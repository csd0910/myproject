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DX_Reverse_Engineering_Engine\"/>
    </mc:Choice>
  </mc:AlternateContent>
  <xr:revisionPtr revIDLastSave="0" documentId="13_ncr:1_{82EDCF65-4196-4ED7-810F-42C5529ECA07}" xr6:coauthVersionLast="47" xr6:coauthVersionMax="47" xr10:uidLastSave="{00000000-0000-0000-0000-000000000000}"/>
  <bookViews>
    <workbookView xWindow="-45" yWindow="-16320" windowWidth="29040" windowHeight="16440" xr2:uid="{0F9B6A61-6B28-4D3C-B463-36099FAAE218}"/>
  </bookViews>
  <sheets>
    <sheet name="発注データ入力" sheetId="2" r:id="rId1"/>
    <sheet name="商品マスタ" sheetId="1" r:id="rId2"/>
  </sheets>
  <externalReferences>
    <externalReference r:id="rId3"/>
  </externalReferences>
  <definedNames>
    <definedName name="_xlnm._FilterDatabase" localSheetId="0" hidden="1">発注データ入力!$A$1:$H$1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2" l="1"/>
  <c r="L17" i="2"/>
  <c r="O16" i="2"/>
  <c r="L16" i="2"/>
  <c r="O15" i="2"/>
  <c r="L15" i="2"/>
  <c r="O14" i="2"/>
  <c r="L14" i="2"/>
  <c r="O13" i="2"/>
  <c r="L13" i="2"/>
  <c r="O12" i="2"/>
  <c r="L12" i="2"/>
  <c r="O11" i="2"/>
  <c r="L11" i="2"/>
  <c r="O10" i="2"/>
  <c r="L10" i="2"/>
  <c r="O9" i="2"/>
  <c r="L9" i="2"/>
  <c r="O8" i="2"/>
  <c r="L8" i="2"/>
  <c r="O7" i="2"/>
  <c r="L7" i="2"/>
  <c r="O6" i="2"/>
  <c r="L6" i="2"/>
  <c r="O5" i="2"/>
  <c r="L5" i="2"/>
  <c r="O4" i="2"/>
  <c r="L4" i="2"/>
  <c r="O3" i="2"/>
  <c r="L3" i="2"/>
  <c r="O2" i="2"/>
  <c r="L2" i="2"/>
  <c r="F19" i="2"/>
  <c r="G19" i="2" s="1"/>
  <c r="F18" i="2"/>
  <c r="G18" i="2" s="1"/>
  <c r="F17" i="2"/>
  <c r="G17" i="2" s="1"/>
  <c r="F16" i="2"/>
  <c r="G16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C19" i="2"/>
  <c r="C18" i="2"/>
  <c r="C17" i="2"/>
  <c r="C16" i="2"/>
  <c r="C11" i="2"/>
  <c r="C10" i="2"/>
  <c r="C9" i="2"/>
  <c r="C8" i="2"/>
  <c r="C7" i="2"/>
  <c r="C6" i="2"/>
  <c r="C5" i="2"/>
  <c r="C4" i="2"/>
  <c r="C3" i="2"/>
  <c r="C2" i="2"/>
  <c r="F15" i="2"/>
  <c r="G15" i="2" s="1"/>
  <c r="F14" i="2"/>
  <c r="G14" i="2" s="1"/>
  <c r="F13" i="2"/>
  <c r="G13" i="2" s="1"/>
  <c r="C13" i="2"/>
  <c r="C14" i="2"/>
  <c r="C15" i="2"/>
  <c r="C12" i="2"/>
  <c r="F12" i="2"/>
  <c r="G12" i="2" s="1"/>
</calcChain>
</file>

<file path=xl/sharedStrings.xml><?xml version="1.0" encoding="utf-8"?>
<sst xmlns="http://schemas.openxmlformats.org/spreadsheetml/2006/main" count="72" uniqueCount="28">
  <si>
    <t>商品コード</t>
  </si>
  <si>
    <t>商品名</t>
  </si>
  <si>
    <t>単価</t>
  </si>
  <si>
    <t>A001</t>
  </si>
  <si>
    <t>ノートPC</t>
  </si>
  <si>
    <t>A002</t>
  </si>
  <si>
    <t>マウス</t>
  </si>
  <si>
    <t>A003</t>
  </si>
  <si>
    <t>キーボード</t>
  </si>
  <si>
    <t>A004</t>
  </si>
  <si>
    <t>モニター</t>
  </si>
  <si>
    <t>発注日</t>
  </si>
  <si>
    <t>数量</t>
  </si>
  <si>
    <t>合計金額</t>
  </si>
  <si>
    <t>備考</t>
  </si>
  <si>
    <t>急ぎ</t>
  </si>
  <si>
    <t>VLOOKUP(B7,商品マスタ!A:C,2,FALSE)</t>
  </si>
  <si>
    <t>A002</t>
    <phoneticPr fontId="1"/>
  </si>
  <si>
    <t>A003</t>
    <phoneticPr fontId="1"/>
  </si>
  <si>
    <t>見積</t>
    <rPh sb="0" eb="2">
      <t>ミツモリ</t>
    </rPh>
    <phoneticPr fontId="1"/>
  </si>
  <si>
    <t>消費税</t>
    <rPh sb="0" eb="3">
      <t>ショウヒゼイ</t>
    </rPh>
    <phoneticPr fontId="1"/>
  </si>
  <si>
    <t>調査</t>
    <rPh sb="0" eb="2">
      <t>チョウサ</t>
    </rPh>
    <phoneticPr fontId="1"/>
  </si>
  <si>
    <t>A001</t>
    <phoneticPr fontId="1"/>
  </si>
  <si>
    <t>A004</t>
    <phoneticPr fontId="1"/>
  </si>
  <si>
    <t>A001</t>
    <phoneticPr fontId="1"/>
  </si>
  <si>
    <t>A002</t>
    <phoneticPr fontId="1"/>
  </si>
  <si>
    <t>A003</t>
    <phoneticPr fontId="1"/>
  </si>
  <si>
    <t>A004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</si>
</sst>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42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  <xf numFmtId="14" fontId="0" fillId="4" borderId="0" xfId="0" applyNumberFormat="1" applyFill="1">
      <alignment vertical="center"/>
    </xf>
    <xf numFmtId="0" fontId="0" fillId="4" borderId="0" xfId="0" applyFill="1">
      <alignment vertical="center"/>
    </xf>
    <xf numFmtId="14" fontId="0" fillId="5" borderId="0" xfId="0" applyNumberFormat="1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2501;&#12457;&#12540;&#12524;&#12473;&#12488;026\MyProject\DX_Reverse_Engineering_Engine\TEST1.xlsx" TargetMode="External"/><Relationship Id="rId1" Type="http://schemas.openxmlformats.org/officeDocument/2006/relationships/externalLinkPath" Target="TES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マスタ"/>
      <sheetName val="データマスタ"/>
    </sheetNames>
    <sheetDataSet>
      <sheetData sheetId="0"/>
      <sheetData sheetId="1">
        <row r="1">
          <cell r="A1" t="str">
            <v>A001</v>
          </cell>
          <cell r="B1" t="str">
            <v>PC</v>
          </cell>
        </row>
        <row r="2">
          <cell r="A2" t="str">
            <v>A002</v>
          </cell>
          <cell r="B2" t="str">
            <v>モニタ</v>
          </cell>
        </row>
        <row r="3">
          <cell r="A3" t="str">
            <v>A003</v>
          </cell>
          <cell r="B3" t="str">
            <v>キーボード</v>
          </cell>
        </row>
        <row r="4">
          <cell r="A4" t="str">
            <v>A004</v>
          </cell>
          <cell r="B4" t="str">
            <v>マウス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2D62-F456-4AD2-812E-BE629DCA8EB3}">
  <dimension ref="A1:O27"/>
  <sheetViews>
    <sheetView tabSelected="1" workbookViewId="0">
      <selection activeCell="J2" sqref="J2:O17"/>
    </sheetView>
  </sheetViews>
  <sheetFormatPr defaultRowHeight="18.75" x14ac:dyDescent="0.4"/>
  <cols>
    <col min="1" max="1" width="21.25" customWidth="1"/>
    <col min="6" max="6" width="12.75" bestFit="1" customWidth="1"/>
    <col min="7" max="7" width="12.75" customWidth="1"/>
  </cols>
  <sheetData>
    <row r="1" spans="1:15" x14ac:dyDescent="0.4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20</v>
      </c>
      <c r="H1" t="s">
        <v>14</v>
      </c>
      <c r="J1" t="s">
        <v>16</v>
      </c>
    </row>
    <row r="2" spans="1:15" x14ac:dyDescent="0.4">
      <c r="A2" s="3">
        <v>46246</v>
      </c>
      <c r="B2" s="4" t="s">
        <v>24</v>
      </c>
      <c r="C2" s="4" t="str">
        <f>VLOOKUP(B2,商品マスタ!A:C,2,FALSE)</f>
        <v>ノートPC</v>
      </c>
      <c r="D2" s="4">
        <v>140000</v>
      </c>
      <c r="E2" s="4">
        <v>3</v>
      </c>
      <c r="F2" s="4">
        <f>D2*E2</f>
        <v>420000</v>
      </c>
      <c r="G2" s="4">
        <f>F2*1.1-F2</f>
        <v>42000.000000000058</v>
      </c>
      <c r="H2" s="4" t="s">
        <v>19</v>
      </c>
      <c r="J2">
        <v>1</v>
      </c>
      <c r="K2" t="s">
        <v>22</v>
      </c>
      <c r="L2" t="str">
        <f>VLOOKUP(K2,[1]データマスタ!$A$1:$B$4,2,FALSE)</f>
        <v>PC</v>
      </c>
      <c r="M2">
        <v>120000</v>
      </c>
      <c r="N2">
        <v>5</v>
      </c>
      <c r="O2" s="2">
        <f>M2*N2</f>
        <v>600000</v>
      </c>
    </row>
    <row r="3" spans="1:15" x14ac:dyDescent="0.4">
      <c r="A3" s="3">
        <v>46247</v>
      </c>
      <c r="B3" s="4" t="s">
        <v>24</v>
      </c>
      <c r="C3" s="4" t="str">
        <f>VLOOKUP(B3,商品マスタ!A:C,2,FALSE)</f>
        <v>ノートPC</v>
      </c>
      <c r="D3" s="4">
        <v>140000</v>
      </c>
      <c r="E3" s="4">
        <v>3</v>
      </c>
      <c r="F3" s="4">
        <f>D3*E3</f>
        <v>420000</v>
      </c>
      <c r="G3" s="4">
        <f>F3*1.1-F3</f>
        <v>42000.000000000058</v>
      </c>
      <c r="H3" s="4" t="s">
        <v>21</v>
      </c>
      <c r="J3">
        <v>2</v>
      </c>
      <c r="K3" t="s">
        <v>17</v>
      </c>
      <c r="L3" t="str">
        <f>VLOOKUP(K3,[1]データマスタ!$A$1:$B$4,2,FALSE)</f>
        <v>モニタ</v>
      </c>
      <c r="M3">
        <v>15000</v>
      </c>
      <c r="N3">
        <v>2</v>
      </c>
      <c r="O3" s="2">
        <f t="shared" ref="O3:O17" si="0">M3*N3</f>
        <v>30000</v>
      </c>
    </row>
    <row r="4" spans="1:15" x14ac:dyDescent="0.4">
      <c r="A4" s="3">
        <v>46248</v>
      </c>
      <c r="B4" s="4" t="s">
        <v>24</v>
      </c>
      <c r="C4" s="4" t="str">
        <f>VLOOKUP(B4,商品マスタ!A:C,2,FALSE)</f>
        <v>ノートPC</v>
      </c>
      <c r="D4" s="4">
        <v>140000</v>
      </c>
      <c r="E4" s="4">
        <v>3</v>
      </c>
      <c r="F4" s="4">
        <f>D4*E4</f>
        <v>420000</v>
      </c>
      <c r="G4" s="4">
        <f>F4*1.1-F4</f>
        <v>42000.000000000058</v>
      </c>
      <c r="H4" s="4" t="s">
        <v>21</v>
      </c>
      <c r="J4">
        <v>3</v>
      </c>
      <c r="K4" t="s">
        <v>18</v>
      </c>
      <c r="L4" t="str">
        <f>VLOOKUP(K4,[1]データマスタ!$A$1:$B$4,2,FALSE)</f>
        <v>キーボード</v>
      </c>
      <c r="M4">
        <v>1500</v>
      </c>
      <c r="N4">
        <v>1</v>
      </c>
      <c r="O4" s="2">
        <f t="shared" si="0"/>
        <v>1500</v>
      </c>
    </row>
    <row r="5" spans="1:15" x14ac:dyDescent="0.4">
      <c r="A5" s="3">
        <v>46249</v>
      </c>
      <c r="B5" s="4" t="s">
        <v>24</v>
      </c>
      <c r="C5" s="4" t="str">
        <f>VLOOKUP(B5,商品マスタ!A:C,2,FALSE)</f>
        <v>ノートPC</v>
      </c>
      <c r="D5" s="4">
        <v>140000</v>
      </c>
      <c r="E5" s="4">
        <v>2</v>
      </c>
      <c r="F5" s="4">
        <f>D5*E5</f>
        <v>280000</v>
      </c>
      <c r="G5" s="4">
        <f>F5*1.1-F5</f>
        <v>28000</v>
      </c>
      <c r="H5" s="4" t="s">
        <v>19</v>
      </c>
      <c r="J5">
        <v>4</v>
      </c>
      <c r="K5" t="s">
        <v>23</v>
      </c>
      <c r="L5" t="str">
        <f>VLOOKUP(K5,[1]データマスタ!$A$1:$B$4,2,FALSE)</f>
        <v>マウス</v>
      </c>
      <c r="M5">
        <v>1000</v>
      </c>
      <c r="N5">
        <v>4</v>
      </c>
      <c r="O5" s="2">
        <f t="shared" si="0"/>
        <v>4000</v>
      </c>
    </row>
    <row r="6" spans="1:15" x14ac:dyDescent="0.4">
      <c r="A6" s="3">
        <v>46250</v>
      </c>
      <c r="B6" s="4" t="s">
        <v>24</v>
      </c>
      <c r="C6" s="4" t="str">
        <f>VLOOKUP(B6,商品マスタ!A:C,2,FALSE)</f>
        <v>ノートPC</v>
      </c>
      <c r="D6" s="4">
        <v>140000</v>
      </c>
      <c r="E6" s="4">
        <v>1</v>
      </c>
      <c r="F6" s="4">
        <f>D6*E6</f>
        <v>140000</v>
      </c>
      <c r="G6" s="4">
        <f>F6*1.1-F6</f>
        <v>14000</v>
      </c>
      <c r="H6" s="4" t="s">
        <v>21</v>
      </c>
      <c r="J6">
        <v>5</v>
      </c>
      <c r="K6" t="s">
        <v>22</v>
      </c>
      <c r="L6" t="str">
        <f>VLOOKUP(K6,[1]データマスタ!$A$1:$B$4,2,FALSE)</f>
        <v>PC</v>
      </c>
      <c r="M6">
        <v>120000</v>
      </c>
      <c r="N6">
        <v>5</v>
      </c>
      <c r="O6" s="2">
        <f t="shared" si="0"/>
        <v>600000</v>
      </c>
    </row>
    <row r="7" spans="1:15" x14ac:dyDescent="0.4">
      <c r="A7" s="5">
        <v>46251</v>
      </c>
      <c r="B7" s="6" t="s">
        <v>25</v>
      </c>
      <c r="C7" s="6" t="str">
        <f>VLOOKUP(B7,商品マスタ!A:C,2,FALSE)</f>
        <v>マウス</v>
      </c>
      <c r="D7" s="6">
        <v>1000</v>
      </c>
      <c r="E7" s="6">
        <v>2</v>
      </c>
      <c r="F7" s="6">
        <f>D7*E7</f>
        <v>2000</v>
      </c>
      <c r="G7" s="6">
        <f>F7*1.1-F7</f>
        <v>200</v>
      </c>
      <c r="H7" s="6" t="s">
        <v>21</v>
      </c>
      <c r="J7">
        <v>6</v>
      </c>
      <c r="K7" t="s">
        <v>17</v>
      </c>
      <c r="L7" t="str">
        <f>VLOOKUP(K7,[1]データマスタ!$A$1:$B$4,2,FALSE)</f>
        <v>モニタ</v>
      </c>
      <c r="M7">
        <v>15000</v>
      </c>
      <c r="N7">
        <v>1</v>
      </c>
      <c r="O7" s="2">
        <f t="shared" si="0"/>
        <v>15000</v>
      </c>
    </row>
    <row r="8" spans="1:15" x14ac:dyDescent="0.4">
      <c r="A8" s="5">
        <v>46252</v>
      </c>
      <c r="B8" s="6" t="s">
        <v>25</v>
      </c>
      <c r="C8" s="6" t="str">
        <f>VLOOKUP(B8,商品マスタ!A:C,2,FALSE)</f>
        <v>マウス</v>
      </c>
      <c r="D8" s="6">
        <v>1000</v>
      </c>
      <c r="E8" s="6">
        <v>3</v>
      </c>
      <c r="F8" s="6">
        <f>D8*E8</f>
        <v>3000</v>
      </c>
      <c r="G8" s="6">
        <f>F8*1.1-F8</f>
        <v>300.00000000000045</v>
      </c>
      <c r="H8" s="6" t="s">
        <v>19</v>
      </c>
      <c r="J8">
        <v>7</v>
      </c>
      <c r="K8" t="s">
        <v>18</v>
      </c>
      <c r="L8" t="str">
        <f>VLOOKUP(K8,[1]データマスタ!$A$1:$B$4,2,FALSE)</f>
        <v>キーボード</v>
      </c>
      <c r="M8">
        <v>1500</v>
      </c>
      <c r="N8">
        <v>3</v>
      </c>
      <c r="O8" s="2">
        <f t="shared" si="0"/>
        <v>4500</v>
      </c>
    </row>
    <row r="9" spans="1:15" x14ac:dyDescent="0.4">
      <c r="A9" s="5">
        <v>46253</v>
      </c>
      <c r="B9" s="6" t="s">
        <v>25</v>
      </c>
      <c r="C9" s="6" t="str">
        <f>VLOOKUP(B9,商品マスタ!A:C,2,FALSE)</f>
        <v>マウス</v>
      </c>
      <c r="D9" s="6">
        <v>1000</v>
      </c>
      <c r="E9" s="6">
        <v>1</v>
      </c>
      <c r="F9" s="6">
        <f>D9*E9</f>
        <v>1000</v>
      </c>
      <c r="G9" s="6">
        <f>F9*1.1-F9</f>
        <v>100</v>
      </c>
      <c r="H9" s="6" t="s">
        <v>21</v>
      </c>
      <c r="J9">
        <v>8</v>
      </c>
      <c r="K9" t="s">
        <v>23</v>
      </c>
      <c r="L9" t="str">
        <f>VLOOKUP(K9,[1]データマスタ!$A$1:$B$4,2,FALSE)</f>
        <v>マウス</v>
      </c>
      <c r="M9">
        <v>1000</v>
      </c>
      <c r="N9">
        <v>2</v>
      </c>
      <c r="O9" s="2">
        <f t="shared" si="0"/>
        <v>2000</v>
      </c>
    </row>
    <row r="10" spans="1:15" x14ac:dyDescent="0.4">
      <c r="A10" s="5">
        <v>46254</v>
      </c>
      <c r="B10" s="6" t="s">
        <v>25</v>
      </c>
      <c r="C10" s="6" t="str">
        <f>VLOOKUP(B10,商品マスタ!A:C,2,FALSE)</f>
        <v>マウス</v>
      </c>
      <c r="D10" s="6">
        <v>1000</v>
      </c>
      <c r="E10" s="6">
        <v>2</v>
      </c>
      <c r="F10" s="6">
        <f>D10*E10</f>
        <v>2000</v>
      </c>
      <c r="G10" s="6">
        <f>F10*1.1-F10</f>
        <v>200</v>
      </c>
      <c r="H10" s="6" t="s">
        <v>21</v>
      </c>
      <c r="J10">
        <v>9</v>
      </c>
      <c r="K10" t="s">
        <v>22</v>
      </c>
      <c r="L10" t="str">
        <f>VLOOKUP(K10,[1]データマスタ!$A$1:$B$4,2,FALSE)</f>
        <v>PC</v>
      </c>
      <c r="M10">
        <v>120000</v>
      </c>
      <c r="N10">
        <v>4</v>
      </c>
      <c r="O10" s="2">
        <f t="shared" si="0"/>
        <v>480000</v>
      </c>
    </row>
    <row r="11" spans="1:15" x14ac:dyDescent="0.4">
      <c r="A11" s="5">
        <v>46255</v>
      </c>
      <c r="B11" s="6" t="s">
        <v>25</v>
      </c>
      <c r="C11" s="6" t="str">
        <f>VLOOKUP(B11,商品マスタ!A:C,2,FALSE)</f>
        <v>マウス</v>
      </c>
      <c r="D11" s="6">
        <v>1000</v>
      </c>
      <c r="E11" s="6">
        <v>3</v>
      </c>
      <c r="F11" s="6">
        <f>D11*E11</f>
        <v>3000</v>
      </c>
      <c r="G11" s="6">
        <f>F11*1.1-F11</f>
        <v>300.00000000000045</v>
      </c>
      <c r="H11" s="6" t="s">
        <v>19</v>
      </c>
      <c r="J11">
        <v>10</v>
      </c>
      <c r="K11" t="s">
        <v>17</v>
      </c>
      <c r="L11" t="str">
        <f>VLOOKUP(K11,[1]データマスタ!$A$1:$B$4,2,FALSE)</f>
        <v>モニタ</v>
      </c>
      <c r="M11">
        <v>15000</v>
      </c>
      <c r="N11">
        <v>5</v>
      </c>
      <c r="O11" s="2">
        <f t="shared" si="0"/>
        <v>75000</v>
      </c>
    </row>
    <row r="12" spans="1:15" x14ac:dyDescent="0.4">
      <c r="A12" s="7">
        <v>46244</v>
      </c>
      <c r="B12" s="8" t="s">
        <v>7</v>
      </c>
      <c r="C12" s="8" t="str">
        <f>VLOOKUP(B12,商品マスタ!A:C,2,FALSE)</f>
        <v>キーボード</v>
      </c>
      <c r="D12" s="8">
        <v>2000</v>
      </c>
      <c r="E12" s="8">
        <v>5</v>
      </c>
      <c r="F12" s="8">
        <f>D12*E12</f>
        <v>10000</v>
      </c>
      <c r="G12" s="8">
        <f>F12*1.1-F12</f>
        <v>1000</v>
      </c>
      <c r="H12" s="8" t="s">
        <v>15</v>
      </c>
      <c r="J12">
        <v>11</v>
      </c>
      <c r="K12" t="s">
        <v>18</v>
      </c>
      <c r="L12" t="str">
        <f>VLOOKUP(K12,[1]データマスタ!$A$1:$B$4,2,FALSE)</f>
        <v>キーボード</v>
      </c>
      <c r="M12">
        <v>1500</v>
      </c>
      <c r="N12">
        <v>6</v>
      </c>
      <c r="O12" s="2">
        <f t="shared" si="0"/>
        <v>9000</v>
      </c>
    </row>
    <row r="13" spans="1:15" x14ac:dyDescent="0.4">
      <c r="A13" s="7">
        <v>46251</v>
      </c>
      <c r="B13" s="8" t="s">
        <v>7</v>
      </c>
      <c r="C13" s="8" t="str">
        <f>VLOOKUP(B13,商品マスタ!A:C,2,FALSE)</f>
        <v>キーボード</v>
      </c>
      <c r="D13" s="8">
        <v>2000</v>
      </c>
      <c r="E13" s="8">
        <v>1</v>
      </c>
      <c r="F13" s="8">
        <f>D13*E13</f>
        <v>2000</v>
      </c>
      <c r="G13" s="8">
        <f>F13*1.1-F13</f>
        <v>200</v>
      </c>
      <c r="H13" s="8" t="s">
        <v>19</v>
      </c>
      <c r="J13">
        <v>12</v>
      </c>
      <c r="K13" t="s">
        <v>23</v>
      </c>
      <c r="L13" t="str">
        <f>VLOOKUP(K13,[1]データマスタ!$A$1:$B$4,2,FALSE)</f>
        <v>マウス</v>
      </c>
      <c r="M13">
        <v>1000</v>
      </c>
      <c r="N13">
        <v>1</v>
      </c>
      <c r="O13" s="2">
        <f t="shared" si="0"/>
        <v>1000</v>
      </c>
    </row>
    <row r="14" spans="1:15" x14ac:dyDescent="0.4">
      <c r="A14" s="7">
        <v>46252</v>
      </c>
      <c r="B14" s="8" t="s">
        <v>7</v>
      </c>
      <c r="C14" s="8" t="str">
        <f>VLOOKUP(B14,商品マスタ!A:C,2,FALSE)</f>
        <v>キーボード</v>
      </c>
      <c r="D14" s="8">
        <v>2000</v>
      </c>
      <c r="E14" s="8">
        <v>2</v>
      </c>
      <c r="F14" s="8">
        <f>D14*E14</f>
        <v>4000</v>
      </c>
      <c r="G14" s="8">
        <f>F14*1.1-F14</f>
        <v>400</v>
      </c>
      <c r="H14" s="8" t="s">
        <v>21</v>
      </c>
      <c r="J14">
        <v>13</v>
      </c>
      <c r="K14" t="s">
        <v>22</v>
      </c>
      <c r="L14" t="str">
        <f>VLOOKUP(K14,[1]データマスタ!$A$1:$B$4,2,FALSE)</f>
        <v>PC</v>
      </c>
      <c r="M14">
        <v>120000</v>
      </c>
      <c r="N14">
        <v>2</v>
      </c>
      <c r="O14" s="2">
        <f t="shared" si="0"/>
        <v>240000</v>
      </c>
    </row>
    <row r="15" spans="1:15" x14ac:dyDescent="0.4">
      <c r="A15" s="7">
        <v>46253</v>
      </c>
      <c r="B15" s="8" t="s">
        <v>7</v>
      </c>
      <c r="C15" s="8" t="str">
        <f>VLOOKUP(B15,商品マスタ!A:C,2,FALSE)</f>
        <v>キーボード</v>
      </c>
      <c r="D15" s="8">
        <v>2000</v>
      </c>
      <c r="E15" s="8">
        <v>3</v>
      </c>
      <c r="F15" s="8">
        <f>D15*E15</f>
        <v>6000</v>
      </c>
      <c r="G15" s="8">
        <f>F15*1.1-F15</f>
        <v>600.00000000000091</v>
      </c>
      <c r="H15" s="8" t="s">
        <v>19</v>
      </c>
      <c r="J15">
        <v>14</v>
      </c>
      <c r="K15" t="s">
        <v>17</v>
      </c>
      <c r="L15" t="str">
        <f>VLOOKUP(K15,[1]データマスタ!$A$1:$B$4,2,FALSE)</f>
        <v>モニタ</v>
      </c>
      <c r="M15">
        <v>15000</v>
      </c>
      <c r="N15">
        <v>4</v>
      </c>
      <c r="O15" s="2">
        <f t="shared" si="0"/>
        <v>60000</v>
      </c>
    </row>
    <row r="16" spans="1:15" x14ac:dyDescent="0.4">
      <c r="A16" s="7">
        <v>46256</v>
      </c>
      <c r="B16" s="8" t="s">
        <v>26</v>
      </c>
      <c r="C16" s="8" t="str">
        <f>VLOOKUP(B16,商品マスタ!A:C,2,FALSE)</f>
        <v>キーボード</v>
      </c>
      <c r="D16" s="8">
        <v>2000</v>
      </c>
      <c r="E16" s="8">
        <v>1</v>
      </c>
      <c r="F16" s="8">
        <f>D16*E16</f>
        <v>2000</v>
      </c>
      <c r="G16" s="8">
        <f>F16*1.1-F16</f>
        <v>200</v>
      </c>
      <c r="H16" s="8" t="s">
        <v>21</v>
      </c>
      <c r="J16">
        <v>15</v>
      </c>
      <c r="K16" t="s">
        <v>18</v>
      </c>
      <c r="L16" t="str">
        <f>VLOOKUP(K16,[1]データマスタ!$A$1:$B$4,2,FALSE)</f>
        <v>キーボード</v>
      </c>
      <c r="M16">
        <v>1500</v>
      </c>
      <c r="N16">
        <v>5</v>
      </c>
      <c r="O16" s="2">
        <f t="shared" si="0"/>
        <v>7500</v>
      </c>
    </row>
    <row r="17" spans="1:15" x14ac:dyDescent="0.4">
      <c r="A17" s="9">
        <v>46257</v>
      </c>
      <c r="B17" s="10" t="s">
        <v>27</v>
      </c>
      <c r="C17" s="10" t="str">
        <f>VLOOKUP(B17,商品マスタ!A:C,2,FALSE)</f>
        <v>モニター</v>
      </c>
      <c r="D17" s="10">
        <v>15000</v>
      </c>
      <c r="E17" s="10">
        <v>2</v>
      </c>
      <c r="F17" s="10">
        <f>D17*E17</f>
        <v>30000</v>
      </c>
      <c r="G17" s="10">
        <f>F17*1.1-F17</f>
        <v>3000</v>
      </c>
      <c r="H17" s="10" t="s">
        <v>21</v>
      </c>
      <c r="J17">
        <v>16</v>
      </c>
      <c r="K17" t="s">
        <v>23</v>
      </c>
      <c r="L17" t="str">
        <f>VLOOKUP(K17,[1]データマスタ!$A$1:$B$4,2,FALSE)</f>
        <v>マウス</v>
      </c>
      <c r="M17">
        <v>1000</v>
      </c>
      <c r="N17">
        <v>6</v>
      </c>
      <c r="O17" s="2">
        <f t="shared" si="0"/>
        <v>6000</v>
      </c>
    </row>
    <row r="18" spans="1:15" x14ac:dyDescent="0.4">
      <c r="A18" s="9">
        <v>46258</v>
      </c>
      <c r="B18" s="10" t="s">
        <v>27</v>
      </c>
      <c r="C18" s="10" t="str">
        <f>VLOOKUP(B18,商品マスタ!A:C,2,FALSE)</f>
        <v>モニター</v>
      </c>
      <c r="D18" s="10">
        <v>15000</v>
      </c>
      <c r="E18" s="10">
        <v>3</v>
      </c>
      <c r="F18" s="10">
        <f>D18*E18</f>
        <v>45000</v>
      </c>
      <c r="G18" s="10">
        <f>F18*1.1-F18</f>
        <v>4500.0000000000073</v>
      </c>
      <c r="H18" s="10" t="s">
        <v>19</v>
      </c>
    </row>
    <row r="19" spans="1:15" x14ac:dyDescent="0.4">
      <c r="A19" s="9">
        <v>46259</v>
      </c>
      <c r="B19" s="10" t="s">
        <v>27</v>
      </c>
      <c r="C19" s="10" t="str">
        <f>VLOOKUP(B19,商品マスタ!A:C,2,FALSE)</f>
        <v>モニター</v>
      </c>
      <c r="D19" s="10">
        <v>15000</v>
      </c>
      <c r="E19" s="10">
        <v>1</v>
      </c>
      <c r="F19" s="10">
        <f>D19*E19</f>
        <v>15000</v>
      </c>
      <c r="G19" s="10">
        <f>F19*1.1-F19</f>
        <v>1500</v>
      </c>
      <c r="H19" s="10" t="s">
        <v>19</v>
      </c>
    </row>
    <row r="20" spans="1:15" x14ac:dyDescent="0.4">
      <c r="A20" s="1"/>
    </row>
    <row r="21" spans="1:15" x14ac:dyDescent="0.4">
      <c r="A21" s="1"/>
    </row>
    <row r="22" spans="1:15" x14ac:dyDescent="0.4">
      <c r="A22" s="1"/>
    </row>
    <row r="23" spans="1:15" x14ac:dyDescent="0.4">
      <c r="A23" s="1"/>
    </row>
    <row r="24" spans="1:15" x14ac:dyDescent="0.4">
      <c r="A24" s="1"/>
    </row>
    <row r="25" spans="1:15" x14ac:dyDescent="0.4">
      <c r="A25" s="1"/>
    </row>
    <row r="26" spans="1:15" x14ac:dyDescent="0.4">
      <c r="A26" s="1"/>
    </row>
    <row r="27" spans="1:15" x14ac:dyDescent="0.4">
      <c r="A27" s="1"/>
    </row>
  </sheetData>
  <autoFilter ref="A1:H1" xr:uid="{BB582D62-F456-4AD2-812E-BE629DCA8EB3}">
    <sortState xmlns:xlrd2="http://schemas.microsoft.com/office/spreadsheetml/2017/richdata2" ref="A2:H19">
      <sortCondition ref="B1"/>
    </sortState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0190-3DD0-4CFB-86A5-DE118C3FF334}">
  <dimension ref="A1:C5"/>
  <sheetViews>
    <sheetView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120000</v>
      </c>
    </row>
    <row r="3" spans="1:3" x14ac:dyDescent="0.4">
      <c r="A3" t="s">
        <v>5</v>
      </c>
      <c r="B3" t="s">
        <v>6</v>
      </c>
      <c r="C3">
        <v>3500</v>
      </c>
    </row>
    <row r="4" spans="1:3" x14ac:dyDescent="0.4">
      <c r="A4" t="s">
        <v>7</v>
      </c>
      <c r="B4" t="s">
        <v>8</v>
      </c>
      <c r="C4">
        <v>8000</v>
      </c>
    </row>
    <row r="5" spans="1:3" x14ac:dyDescent="0.4">
      <c r="A5" t="s">
        <v>9</v>
      </c>
      <c r="B5" t="s">
        <v>10</v>
      </c>
      <c r="C5">
        <v>25000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発注データ入力</vt:lpstr>
      <vt:lpstr>商品マスタ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2026-08-10T01:46:23Z</dcterms:created>
  <dcterms:modified xsi:type="dcterms:W3CDTF">2026-08-12T05:16:48Z</dcterms:modified>
</cp:coreProperties>
</file>