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フォーレスト026\Downloads\"/>
    </mc:Choice>
  </mc:AlternateContent>
  <xr:revisionPtr revIDLastSave="0" documentId="13_ncr:1_{2AEBCE05-2F1E-4C9F-A05B-E7F8D1E3F2DB}" xr6:coauthVersionLast="47" xr6:coauthVersionMax="47" xr10:uidLastSave="{00000000-0000-0000-0000-000000000000}"/>
  <bookViews>
    <workbookView xWindow="28755" yWindow="-16275" windowWidth="29040" windowHeight="15720" activeTab="2" xr2:uid="{BEC5BBBD-726C-4979-BC2B-78BB852A0692}"/>
  </bookViews>
  <sheets>
    <sheet name="他部署受付 - 作業内容管理・進捗" sheetId="1" r:id="rId1"/>
    <sheet name="ヘルプデスク - 作業内容管理・進捗" sheetId="2" r:id="rId2"/>
    <sheet name="社内機器・ソフト・システムの保守 - 作業内容管理・進捗" sheetId="3" r:id="rId3"/>
    <sheet name="2604変更前　ヘルプデスク - 作業内容管理・進捗" sheetId="4" r:id="rId4"/>
    <sheet name="祝日シート" sheetId="5" r:id="rId5"/>
  </sheets>
  <definedNames>
    <definedName name="_xlnm._FilterDatabase" localSheetId="3" hidden="1">'2604変更前　ヘルプデスク - 作業内容管理・進捗'!$B$3:$R$571</definedName>
    <definedName name="_xlnm._FilterDatabase" localSheetId="1" hidden="1">'ヘルプデスク - 作業内容管理・進捗'!$B$3:$Q$569</definedName>
    <definedName name="_xlnm._FilterDatabase" localSheetId="2" hidden="1">'社内機器・ソフト・システムの保守 - 作業内容管理・進捗'!$A$3:$H$71</definedName>
    <definedName name="_xlnm._FilterDatabase" localSheetId="0" hidden="1">'他部署受付 - 作業内容管理・進捗'!$B$3:$N$136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3" i="4" l="1"/>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H47"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11" i="3"/>
  <c r="B10" i="3"/>
  <c r="B9" i="3"/>
  <c r="B8" i="3"/>
  <c r="B7" i="3"/>
  <c r="B6" i="3"/>
  <c r="B5" i="3"/>
  <c r="B4" i="3"/>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H862" i="2"/>
  <c r="B862" i="2"/>
  <c r="H861" i="2"/>
  <c r="B861" i="2"/>
  <c r="H860" i="2"/>
  <c r="B860" i="2"/>
  <c r="H859" i="2"/>
  <c r="B859" i="2"/>
  <c r="H858" i="2"/>
  <c r="B858" i="2"/>
  <c r="H857" i="2"/>
  <c r="C857" i="2"/>
  <c r="B857" i="2"/>
  <c r="H856" i="2"/>
  <c r="C856" i="2"/>
  <c r="B856" i="2"/>
  <c r="H855" i="2"/>
  <c r="C855" i="2"/>
  <c r="B855" i="2"/>
  <c r="H854" i="2"/>
  <c r="C854" i="2"/>
  <c r="B854" i="2"/>
  <c r="H853" i="2"/>
  <c r="C853" i="2"/>
  <c r="B853" i="2"/>
  <c r="H852" i="2"/>
  <c r="C852" i="2"/>
  <c r="B852" i="2"/>
  <c r="H851" i="2"/>
  <c r="C851" i="2"/>
  <c r="B851" i="2"/>
  <c r="H850" i="2"/>
  <c r="C850" i="2"/>
  <c r="B850" i="2"/>
  <c r="H849" i="2"/>
  <c r="C849" i="2"/>
  <c r="B849" i="2"/>
  <c r="C848" i="2"/>
  <c r="B848" i="2"/>
  <c r="H847" i="2"/>
  <c r="C847" i="2"/>
  <c r="B847" i="2"/>
  <c r="H846" i="2"/>
  <c r="C846" i="2"/>
  <c r="B846" i="2"/>
  <c r="H845" i="2"/>
  <c r="C845" i="2"/>
  <c r="B845" i="2"/>
  <c r="C844" i="2"/>
  <c r="B844" i="2"/>
  <c r="H843" i="2"/>
  <c r="C843" i="2"/>
  <c r="B843" i="2"/>
  <c r="H842" i="2"/>
  <c r="C842" i="2"/>
  <c r="B842" i="2"/>
  <c r="H841" i="2"/>
  <c r="C841" i="2"/>
  <c r="B841" i="2"/>
  <c r="H840" i="2"/>
  <c r="C840" i="2"/>
  <c r="B840" i="2"/>
  <c r="H839" i="2"/>
  <c r="C839" i="2"/>
  <c r="B839" i="2"/>
  <c r="H838" i="2"/>
  <c r="C838" i="2"/>
  <c r="B838" i="2"/>
  <c r="C837" i="2"/>
  <c r="B837" i="2"/>
  <c r="C836" i="2"/>
  <c r="B836" i="2"/>
  <c r="C835" i="2"/>
  <c r="B835" i="2"/>
  <c r="C834" i="2"/>
  <c r="B834" i="2"/>
  <c r="C833" i="2"/>
  <c r="B833" i="2"/>
  <c r="C832" i="2"/>
  <c r="B832" i="2"/>
  <c r="C831" i="2"/>
  <c r="B831" i="2"/>
  <c r="C830" i="2"/>
  <c r="B830" i="2"/>
  <c r="C829" i="2"/>
  <c r="B829" i="2"/>
  <c r="C828" i="2"/>
  <c r="B828" i="2"/>
  <c r="C827" i="2"/>
  <c r="B827" i="2"/>
  <c r="H826" i="2"/>
  <c r="C826" i="2"/>
  <c r="B826" i="2"/>
  <c r="H825" i="2"/>
  <c r="C825" i="2"/>
  <c r="B825" i="2"/>
  <c r="H824" i="2"/>
  <c r="C824" i="2"/>
  <c r="B824" i="2"/>
  <c r="H823" i="2"/>
  <c r="C823" i="2"/>
  <c r="B823" i="2"/>
  <c r="H822" i="2"/>
  <c r="C822" i="2"/>
  <c r="B822" i="2"/>
  <c r="H821" i="2"/>
  <c r="C821" i="2"/>
  <c r="B821" i="2"/>
  <c r="H820" i="2"/>
  <c r="C820" i="2"/>
  <c r="B820" i="2"/>
  <c r="H819" i="2"/>
  <c r="C819" i="2"/>
  <c r="B819" i="2"/>
  <c r="H818" i="2"/>
  <c r="C818" i="2"/>
  <c r="B818" i="2"/>
  <c r="H817" i="2"/>
  <c r="C817" i="2"/>
  <c r="B817" i="2"/>
  <c r="H816" i="2"/>
  <c r="C816" i="2"/>
  <c r="B816" i="2"/>
  <c r="H815" i="2"/>
  <c r="C815" i="2"/>
  <c r="B815" i="2"/>
  <c r="H814" i="2"/>
  <c r="C814" i="2"/>
  <c r="B814" i="2"/>
  <c r="H813" i="2"/>
  <c r="C813" i="2"/>
  <c r="B813" i="2"/>
  <c r="H812" i="2"/>
  <c r="C812" i="2"/>
  <c r="B812" i="2"/>
  <c r="H811" i="2"/>
  <c r="C811" i="2"/>
  <c r="B811" i="2"/>
  <c r="H810" i="2"/>
  <c r="C810" i="2"/>
  <c r="B810" i="2"/>
  <c r="H809" i="2"/>
  <c r="C809" i="2"/>
  <c r="B809" i="2"/>
  <c r="H808" i="2"/>
  <c r="C808" i="2"/>
  <c r="B808" i="2"/>
  <c r="H807" i="2"/>
  <c r="C807" i="2"/>
  <c r="B807" i="2"/>
  <c r="H806" i="2"/>
  <c r="C806" i="2"/>
  <c r="B806" i="2"/>
  <c r="H805" i="2"/>
  <c r="C805" i="2"/>
  <c r="B805" i="2"/>
  <c r="H804" i="2"/>
  <c r="C804" i="2"/>
  <c r="B804" i="2"/>
  <c r="H803" i="2"/>
  <c r="C803" i="2"/>
  <c r="B803" i="2"/>
  <c r="H802" i="2"/>
  <c r="C802" i="2"/>
  <c r="B802" i="2"/>
  <c r="H801" i="2"/>
  <c r="C801" i="2"/>
  <c r="B801" i="2"/>
  <c r="H800" i="2"/>
  <c r="C800" i="2"/>
  <c r="B800" i="2"/>
  <c r="H799" i="2"/>
  <c r="C799" i="2"/>
  <c r="B799" i="2"/>
  <c r="H798" i="2"/>
  <c r="C798" i="2"/>
  <c r="B798" i="2"/>
  <c r="H797" i="2"/>
  <c r="C797" i="2"/>
  <c r="B797" i="2"/>
  <c r="H796" i="2"/>
  <c r="C796" i="2"/>
  <c r="B796" i="2"/>
  <c r="H795" i="2"/>
  <c r="C795" i="2"/>
  <c r="B795" i="2"/>
  <c r="H794" i="2"/>
  <c r="C794" i="2"/>
  <c r="B794" i="2"/>
  <c r="H793" i="2"/>
  <c r="C793" i="2"/>
  <c r="B793" i="2"/>
  <c r="H792" i="2"/>
  <c r="C792" i="2"/>
  <c r="B792" i="2"/>
  <c r="C791" i="2"/>
  <c r="B791" i="2"/>
  <c r="H790" i="2"/>
  <c r="C790" i="2"/>
  <c r="B790" i="2"/>
  <c r="C789" i="2"/>
  <c r="B789" i="2"/>
  <c r="H788" i="2"/>
  <c r="C788" i="2"/>
  <c r="B788" i="2"/>
  <c r="H787" i="2"/>
  <c r="C787" i="2"/>
  <c r="B787" i="2"/>
  <c r="H786" i="2"/>
  <c r="C786" i="2"/>
  <c r="B786" i="2"/>
  <c r="H785" i="2"/>
  <c r="C785" i="2"/>
  <c r="B785" i="2"/>
  <c r="H784" i="2"/>
  <c r="C784" i="2"/>
  <c r="B784" i="2"/>
  <c r="H783" i="2"/>
  <c r="C783" i="2"/>
  <c r="B783" i="2"/>
  <c r="H782" i="2"/>
  <c r="C782" i="2"/>
  <c r="B782" i="2"/>
  <c r="H781" i="2"/>
  <c r="C781" i="2"/>
  <c r="B781" i="2"/>
  <c r="H780" i="2"/>
  <c r="C780" i="2"/>
  <c r="B780" i="2"/>
  <c r="C779" i="2"/>
  <c r="B779" i="2"/>
  <c r="C778" i="2"/>
  <c r="B778" i="2"/>
  <c r="H777" i="2"/>
  <c r="C777" i="2"/>
  <c r="B777" i="2"/>
  <c r="H776" i="2"/>
  <c r="C776" i="2"/>
  <c r="B776" i="2"/>
  <c r="H775" i="2"/>
  <c r="C775" i="2"/>
  <c r="B775" i="2"/>
  <c r="C774" i="2"/>
  <c r="B774" i="2"/>
  <c r="H773" i="2"/>
  <c r="C773" i="2"/>
  <c r="B773" i="2"/>
  <c r="C772" i="2"/>
  <c r="B772" i="2"/>
  <c r="H771" i="2"/>
  <c r="C771" i="2"/>
  <c r="B771" i="2"/>
  <c r="H770" i="2"/>
  <c r="C770" i="2"/>
  <c r="B770" i="2"/>
  <c r="H769" i="2"/>
  <c r="C769" i="2"/>
  <c r="B769" i="2"/>
  <c r="H768" i="2"/>
  <c r="C768" i="2"/>
  <c r="B768" i="2"/>
  <c r="H767" i="2"/>
  <c r="C767" i="2"/>
  <c r="B767" i="2"/>
  <c r="H766" i="2"/>
  <c r="C766" i="2"/>
  <c r="B766" i="2"/>
  <c r="H765" i="2"/>
  <c r="C765" i="2"/>
  <c r="B765" i="2"/>
  <c r="H764" i="2"/>
  <c r="C764" i="2"/>
  <c r="B764" i="2"/>
  <c r="H763" i="2"/>
  <c r="C763" i="2"/>
  <c r="B763" i="2"/>
  <c r="H762" i="2"/>
  <c r="C762" i="2"/>
  <c r="B762" i="2"/>
  <c r="H761" i="2"/>
  <c r="C761" i="2"/>
  <c r="B761" i="2"/>
  <c r="H760" i="2"/>
  <c r="C760" i="2"/>
  <c r="B760" i="2"/>
  <c r="H759" i="2"/>
  <c r="C759" i="2"/>
  <c r="B759" i="2"/>
  <c r="C758" i="2"/>
  <c r="B758" i="2"/>
  <c r="C757" i="2"/>
  <c r="B757" i="2"/>
  <c r="H756" i="2"/>
  <c r="C756" i="2"/>
  <c r="B756" i="2"/>
  <c r="H755" i="2"/>
  <c r="C755" i="2"/>
  <c r="B755" i="2"/>
  <c r="H754" i="2"/>
  <c r="C754" i="2"/>
  <c r="B754" i="2"/>
  <c r="H753" i="2"/>
  <c r="C753" i="2"/>
  <c r="B753" i="2"/>
  <c r="H752" i="2"/>
  <c r="C752" i="2"/>
  <c r="B752" i="2"/>
  <c r="H751" i="2"/>
  <c r="B751" i="2"/>
  <c r="H750" i="2"/>
  <c r="C750" i="2"/>
  <c r="B750" i="2"/>
  <c r="H749" i="2"/>
  <c r="B749" i="2"/>
  <c r="H748" i="2"/>
  <c r="C748" i="2"/>
  <c r="B748" i="2"/>
  <c r="H747" i="2"/>
  <c r="C747" i="2"/>
  <c r="B747" i="2"/>
  <c r="H746" i="2"/>
  <c r="B746" i="2"/>
  <c r="H745" i="2"/>
  <c r="C745" i="2"/>
  <c r="B745" i="2"/>
  <c r="H744" i="2"/>
  <c r="C744" i="2"/>
  <c r="B744" i="2"/>
  <c r="H743" i="2"/>
  <c r="C743" i="2"/>
  <c r="B743" i="2"/>
  <c r="H742" i="2"/>
  <c r="C742" i="2"/>
  <c r="B742" i="2"/>
  <c r="H741" i="2"/>
  <c r="C741" i="2"/>
  <c r="B741" i="2"/>
  <c r="H740" i="2"/>
  <c r="C740" i="2"/>
  <c r="B740" i="2"/>
  <c r="H739" i="2"/>
  <c r="C739" i="2"/>
  <c r="B739" i="2"/>
  <c r="H738" i="2"/>
  <c r="C738" i="2"/>
  <c r="B738" i="2"/>
  <c r="H737" i="2"/>
  <c r="C737" i="2"/>
  <c r="B737" i="2"/>
  <c r="H736" i="2"/>
  <c r="C736" i="2"/>
  <c r="B736" i="2"/>
  <c r="H735" i="2"/>
  <c r="C735" i="2"/>
  <c r="B735" i="2"/>
  <c r="H734" i="2"/>
  <c r="C734" i="2"/>
  <c r="B734" i="2"/>
  <c r="H733" i="2"/>
  <c r="C733" i="2"/>
  <c r="B733" i="2"/>
  <c r="H732" i="2"/>
  <c r="C732" i="2"/>
  <c r="B732" i="2"/>
  <c r="H731" i="2"/>
  <c r="C731" i="2"/>
  <c r="B731" i="2"/>
  <c r="H730" i="2"/>
  <c r="C730" i="2"/>
  <c r="B730" i="2"/>
  <c r="H729" i="2"/>
  <c r="C729" i="2"/>
  <c r="B729" i="2"/>
  <c r="H728" i="2"/>
  <c r="C728" i="2"/>
  <c r="B728" i="2"/>
  <c r="H727" i="2"/>
  <c r="C727" i="2"/>
  <c r="B727" i="2"/>
  <c r="H726" i="2"/>
  <c r="C726" i="2"/>
  <c r="B726" i="2"/>
  <c r="H725" i="2"/>
  <c r="C725" i="2"/>
  <c r="B725" i="2"/>
  <c r="H724" i="2"/>
  <c r="C724" i="2"/>
  <c r="B724" i="2"/>
  <c r="H723" i="2"/>
  <c r="C723" i="2"/>
  <c r="B723" i="2"/>
  <c r="H722" i="2"/>
  <c r="C722" i="2"/>
  <c r="B722" i="2"/>
  <c r="H721" i="2"/>
  <c r="C721" i="2"/>
  <c r="B721" i="2"/>
  <c r="H720" i="2"/>
  <c r="C720" i="2"/>
  <c r="B720" i="2"/>
  <c r="H719" i="2"/>
  <c r="C719" i="2"/>
  <c r="B719" i="2"/>
  <c r="H718" i="2"/>
  <c r="C718" i="2"/>
  <c r="B718" i="2"/>
  <c r="H717" i="2"/>
  <c r="C717" i="2"/>
  <c r="B717" i="2"/>
  <c r="H716" i="2"/>
  <c r="C716" i="2"/>
  <c r="B716" i="2"/>
  <c r="H715" i="2"/>
  <c r="C715" i="2"/>
  <c r="B715" i="2"/>
  <c r="H714" i="2"/>
  <c r="C714" i="2"/>
  <c r="B714" i="2"/>
  <c r="H713" i="2"/>
  <c r="C713" i="2"/>
  <c r="B713" i="2"/>
  <c r="H712" i="2"/>
  <c r="C712" i="2"/>
  <c r="B712" i="2"/>
  <c r="H711" i="2"/>
  <c r="C711" i="2"/>
  <c r="B711" i="2"/>
  <c r="H710" i="2"/>
  <c r="C710" i="2"/>
  <c r="B710" i="2"/>
  <c r="H709" i="2"/>
  <c r="C709" i="2"/>
  <c r="B709" i="2"/>
  <c r="H708" i="2"/>
  <c r="C708" i="2"/>
  <c r="B708" i="2"/>
  <c r="H707" i="2"/>
  <c r="C707" i="2"/>
  <c r="B707" i="2"/>
  <c r="H706" i="2"/>
  <c r="C706" i="2"/>
  <c r="B706" i="2"/>
  <c r="H705" i="2"/>
  <c r="C705" i="2"/>
  <c r="B705" i="2"/>
  <c r="H704" i="2"/>
  <c r="C704" i="2"/>
  <c r="B704" i="2"/>
  <c r="H703" i="2"/>
  <c r="C703" i="2"/>
  <c r="B703" i="2"/>
  <c r="H702" i="2"/>
  <c r="C702" i="2"/>
  <c r="B702" i="2"/>
  <c r="H701" i="2"/>
  <c r="C701" i="2"/>
  <c r="B701" i="2"/>
  <c r="H700" i="2"/>
  <c r="C700" i="2"/>
  <c r="B700" i="2"/>
  <c r="H699" i="2"/>
  <c r="C699" i="2"/>
  <c r="B699" i="2"/>
  <c r="H698" i="2"/>
  <c r="C698" i="2"/>
  <c r="B698" i="2"/>
  <c r="H697" i="2"/>
  <c r="C697" i="2"/>
  <c r="B697" i="2"/>
  <c r="H696" i="2"/>
  <c r="C696" i="2"/>
  <c r="B696" i="2"/>
  <c r="H695" i="2"/>
  <c r="C695" i="2"/>
  <c r="B695" i="2"/>
  <c r="H694" i="2"/>
  <c r="B694" i="2"/>
  <c r="H693" i="2"/>
  <c r="C693" i="2"/>
  <c r="B693" i="2"/>
  <c r="H692" i="2"/>
  <c r="C692" i="2"/>
  <c r="B692" i="2"/>
  <c r="H691" i="2"/>
  <c r="C691" i="2"/>
  <c r="B691" i="2"/>
  <c r="H690" i="2"/>
  <c r="C690" i="2"/>
  <c r="B690" i="2"/>
  <c r="H689" i="2"/>
  <c r="C689" i="2"/>
  <c r="B689" i="2"/>
  <c r="H688" i="2"/>
  <c r="C688" i="2"/>
  <c r="B688" i="2"/>
  <c r="H687" i="2"/>
  <c r="C687" i="2"/>
  <c r="B687" i="2"/>
  <c r="H686" i="2"/>
  <c r="C686" i="2"/>
  <c r="B686" i="2"/>
  <c r="H685" i="2"/>
  <c r="C685" i="2"/>
  <c r="B685" i="2"/>
  <c r="H684" i="2"/>
  <c r="C684" i="2"/>
  <c r="B684" i="2"/>
  <c r="H683" i="2"/>
  <c r="C683" i="2"/>
  <c r="B683" i="2"/>
  <c r="H682" i="2"/>
  <c r="C682" i="2"/>
  <c r="B682" i="2"/>
  <c r="H681" i="2"/>
  <c r="C681" i="2"/>
  <c r="B681" i="2"/>
  <c r="H680" i="2"/>
  <c r="C680" i="2"/>
  <c r="B680" i="2"/>
  <c r="H679" i="2"/>
  <c r="C679" i="2"/>
  <c r="B679" i="2"/>
  <c r="H678" i="2"/>
  <c r="C678" i="2"/>
  <c r="B678" i="2"/>
  <c r="H677" i="2"/>
  <c r="C677" i="2"/>
  <c r="B677" i="2"/>
  <c r="H676" i="2"/>
  <c r="C676" i="2"/>
  <c r="B676" i="2"/>
  <c r="H675" i="2"/>
  <c r="C675" i="2"/>
  <c r="B675" i="2"/>
  <c r="H674" i="2"/>
  <c r="C674" i="2"/>
  <c r="B674" i="2"/>
  <c r="H673" i="2"/>
  <c r="C673" i="2"/>
  <c r="B673" i="2"/>
  <c r="H672" i="2"/>
  <c r="C672" i="2"/>
  <c r="B672" i="2"/>
  <c r="H671" i="2"/>
  <c r="C671" i="2"/>
  <c r="B671" i="2"/>
  <c r="H670" i="2"/>
  <c r="C670" i="2"/>
  <c r="B670" i="2"/>
  <c r="H669" i="2"/>
  <c r="C669" i="2"/>
  <c r="B669" i="2"/>
  <c r="H668" i="2"/>
  <c r="C668" i="2"/>
  <c r="B668" i="2"/>
  <c r="H667" i="2"/>
  <c r="C667" i="2"/>
  <c r="B667" i="2"/>
  <c r="H666" i="2"/>
  <c r="C666" i="2"/>
  <c r="B666" i="2"/>
  <c r="H665" i="2"/>
  <c r="C665" i="2"/>
  <c r="B665" i="2"/>
  <c r="H664" i="2"/>
  <c r="C664" i="2"/>
  <c r="B664" i="2"/>
  <c r="H663" i="2"/>
  <c r="C663" i="2"/>
  <c r="B663" i="2"/>
  <c r="H662" i="2"/>
  <c r="C662" i="2"/>
  <c r="B662" i="2"/>
  <c r="H661" i="2"/>
  <c r="C661" i="2"/>
  <c r="B661" i="2"/>
  <c r="H660" i="2"/>
  <c r="C660" i="2"/>
  <c r="B660" i="2"/>
  <c r="H659" i="2"/>
  <c r="C659" i="2"/>
  <c r="B659" i="2"/>
  <c r="H658" i="2"/>
  <c r="C658" i="2"/>
  <c r="B658" i="2"/>
  <c r="H657" i="2"/>
  <c r="C657" i="2"/>
  <c r="B657" i="2"/>
  <c r="H656" i="2"/>
  <c r="C656" i="2"/>
  <c r="B656" i="2"/>
  <c r="H655" i="2"/>
  <c r="C655" i="2"/>
  <c r="B655" i="2"/>
  <c r="H654" i="2"/>
  <c r="C654" i="2"/>
  <c r="B654" i="2"/>
  <c r="H653" i="2"/>
  <c r="C653" i="2"/>
  <c r="B653" i="2"/>
  <c r="H652" i="2"/>
  <c r="C652" i="2"/>
  <c r="B652" i="2"/>
  <c r="H651" i="2"/>
  <c r="C651" i="2"/>
  <c r="B651" i="2"/>
  <c r="H650" i="2"/>
  <c r="C650" i="2"/>
  <c r="B650" i="2"/>
  <c r="H649" i="2"/>
  <c r="C649" i="2"/>
  <c r="B649" i="2"/>
  <c r="H648" i="2"/>
  <c r="C648" i="2"/>
  <c r="B648" i="2"/>
  <c r="H647" i="2"/>
  <c r="C647" i="2"/>
  <c r="B647" i="2"/>
  <c r="H646" i="2"/>
  <c r="C646" i="2"/>
  <c r="B646" i="2"/>
  <c r="H645" i="2"/>
  <c r="C645" i="2"/>
  <c r="B645" i="2"/>
  <c r="H644" i="2"/>
  <c r="C644" i="2"/>
  <c r="B644" i="2"/>
  <c r="H643" i="2"/>
  <c r="C643" i="2"/>
  <c r="B643" i="2"/>
  <c r="H642" i="2"/>
  <c r="C642" i="2"/>
  <c r="B642" i="2"/>
  <c r="H641" i="2"/>
  <c r="C641" i="2"/>
  <c r="B641" i="2"/>
  <c r="H640" i="2"/>
  <c r="C640" i="2"/>
  <c r="B640" i="2"/>
  <c r="H639" i="2"/>
  <c r="C639" i="2"/>
  <c r="B639" i="2"/>
  <c r="H638" i="2"/>
  <c r="C638" i="2"/>
  <c r="B638" i="2"/>
  <c r="H637" i="2"/>
  <c r="C637" i="2"/>
  <c r="B637" i="2"/>
  <c r="H636" i="2"/>
  <c r="C636" i="2"/>
  <c r="B636" i="2"/>
  <c r="H635" i="2"/>
  <c r="C635" i="2"/>
  <c r="B635" i="2"/>
  <c r="H634" i="2"/>
  <c r="C634" i="2"/>
  <c r="B634" i="2"/>
  <c r="H633" i="2"/>
  <c r="C633" i="2"/>
  <c r="B633" i="2"/>
  <c r="H632" i="2"/>
  <c r="C632" i="2"/>
  <c r="B632" i="2"/>
  <c r="H631" i="2"/>
  <c r="C631" i="2"/>
  <c r="B631" i="2"/>
  <c r="H630" i="2"/>
  <c r="C630" i="2"/>
  <c r="B630" i="2"/>
  <c r="H629" i="2"/>
  <c r="C629" i="2"/>
  <c r="B629" i="2"/>
  <c r="H628" i="2"/>
  <c r="C628" i="2"/>
  <c r="B628" i="2"/>
  <c r="H627" i="2"/>
  <c r="C627" i="2"/>
  <c r="B627" i="2"/>
  <c r="H626" i="2"/>
  <c r="C626" i="2"/>
  <c r="B626" i="2"/>
  <c r="H625" i="2"/>
  <c r="C625" i="2"/>
  <c r="B625" i="2"/>
  <c r="H624" i="2"/>
  <c r="C624" i="2"/>
  <c r="B624" i="2"/>
  <c r="H623" i="2"/>
  <c r="C623" i="2"/>
  <c r="B623" i="2"/>
  <c r="H622" i="2"/>
  <c r="C622" i="2"/>
  <c r="B622" i="2"/>
  <c r="H621" i="2"/>
  <c r="C621" i="2"/>
  <c r="B621" i="2"/>
  <c r="H620" i="2"/>
  <c r="C620" i="2"/>
  <c r="B620" i="2"/>
  <c r="H619" i="2"/>
  <c r="C619" i="2"/>
  <c r="B619" i="2"/>
  <c r="H618" i="2"/>
  <c r="C618" i="2"/>
  <c r="B618" i="2"/>
  <c r="H617" i="2"/>
  <c r="C617" i="2"/>
  <c r="B617" i="2"/>
  <c r="H616" i="2"/>
  <c r="C616" i="2"/>
  <c r="B616" i="2"/>
  <c r="H615" i="2"/>
  <c r="C615" i="2"/>
  <c r="B615" i="2"/>
  <c r="H614" i="2"/>
  <c r="C614" i="2"/>
  <c r="B614" i="2"/>
  <c r="H613" i="2"/>
  <c r="C613" i="2"/>
  <c r="B613" i="2"/>
  <c r="H612" i="2"/>
  <c r="C612" i="2"/>
  <c r="B612" i="2"/>
  <c r="H611" i="2"/>
  <c r="C611" i="2"/>
  <c r="B611" i="2"/>
  <c r="H610" i="2"/>
  <c r="C610" i="2"/>
  <c r="B610" i="2"/>
  <c r="H609" i="2"/>
  <c r="C609" i="2"/>
  <c r="B609" i="2"/>
  <c r="H608" i="2"/>
  <c r="C608" i="2"/>
  <c r="B608" i="2"/>
  <c r="H607" i="2"/>
  <c r="C607" i="2"/>
  <c r="B607" i="2"/>
  <c r="H606" i="2"/>
  <c r="C606" i="2"/>
  <c r="B606" i="2"/>
  <c r="H605" i="2"/>
  <c r="C605" i="2"/>
  <c r="B605" i="2"/>
  <c r="H604" i="2"/>
  <c r="C604" i="2"/>
  <c r="B604" i="2"/>
  <c r="H603" i="2"/>
  <c r="C603" i="2"/>
  <c r="B603" i="2"/>
  <c r="H602" i="2"/>
  <c r="C602" i="2"/>
  <c r="B602" i="2"/>
  <c r="H601" i="2"/>
  <c r="C601" i="2"/>
  <c r="B601" i="2"/>
  <c r="H600" i="2"/>
  <c r="C600" i="2"/>
  <c r="B600" i="2"/>
  <c r="H599" i="2"/>
  <c r="C599" i="2"/>
  <c r="B599" i="2"/>
  <c r="H598" i="2"/>
  <c r="C598" i="2"/>
  <c r="B598" i="2"/>
  <c r="H597" i="2"/>
  <c r="C597" i="2"/>
  <c r="B597" i="2"/>
  <c r="H596" i="2"/>
  <c r="C596" i="2"/>
  <c r="B596" i="2"/>
  <c r="H595" i="2"/>
  <c r="C595" i="2"/>
  <c r="B595" i="2"/>
  <c r="H594" i="2"/>
  <c r="C594" i="2"/>
  <c r="B594" i="2"/>
  <c r="H593" i="2"/>
  <c r="C593" i="2"/>
  <c r="B593" i="2"/>
  <c r="H592" i="2"/>
  <c r="C592" i="2"/>
  <c r="B592" i="2"/>
  <c r="H591" i="2"/>
  <c r="C591" i="2"/>
  <c r="B591" i="2"/>
  <c r="H590" i="2"/>
  <c r="C590" i="2"/>
  <c r="B590" i="2"/>
  <c r="H589" i="2"/>
  <c r="C589" i="2"/>
  <c r="B589" i="2"/>
  <c r="H588" i="2"/>
  <c r="C588" i="2"/>
  <c r="B588" i="2"/>
  <c r="H587" i="2"/>
  <c r="C587" i="2"/>
  <c r="B587" i="2"/>
  <c r="H586" i="2"/>
  <c r="C586" i="2"/>
  <c r="B586" i="2"/>
  <c r="H585" i="2"/>
  <c r="C585" i="2"/>
  <c r="B585" i="2"/>
  <c r="H584" i="2"/>
  <c r="C584" i="2"/>
  <c r="B584" i="2"/>
  <c r="H583" i="2"/>
  <c r="C583" i="2"/>
  <c r="B583" i="2"/>
  <c r="H582" i="2"/>
  <c r="C582" i="2"/>
  <c r="B582" i="2"/>
  <c r="H581" i="2"/>
  <c r="C581" i="2"/>
  <c r="B581" i="2"/>
  <c r="H580" i="2"/>
  <c r="C580" i="2"/>
  <c r="B580" i="2"/>
  <c r="H579" i="2"/>
  <c r="C579" i="2"/>
  <c r="B579" i="2"/>
  <c r="H578" i="2"/>
  <c r="C578" i="2"/>
  <c r="B578" i="2"/>
  <c r="H577" i="2"/>
  <c r="C577" i="2"/>
  <c r="B577" i="2"/>
  <c r="H576" i="2"/>
  <c r="C576" i="2"/>
  <c r="B576" i="2"/>
  <c r="H575" i="2"/>
  <c r="C575" i="2"/>
  <c r="B575" i="2"/>
  <c r="H574" i="2"/>
  <c r="C574" i="2"/>
  <c r="B574" i="2"/>
  <c r="H573" i="2"/>
  <c r="C573" i="2"/>
  <c r="B573" i="2"/>
  <c r="H572" i="2"/>
  <c r="C572" i="2"/>
  <c r="B572" i="2"/>
  <c r="H571" i="2"/>
  <c r="C571" i="2"/>
  <c r="B571" i="2"/>
  <c r="H570" i="2"/>
  <c r="C570" i="2"/>
  <c r="B570" i="2"/>
  <c r="H569" i="2"/>
  <c r="C569" i="2"/>
  <c r="B569" i="2"/>
  <c r="H568" i="2"/>
  <c r="C568" i="2"/>
  <c r="B568" i="2"/>
  <c r="H567" i="2"/>
  <c r="C567" i="2"/>
  <c r="B567" i="2"/>
  <c r="H566" i="2"/>
  <c r="C566" i="2"/>
  <c r="B566" i="2"/>
  <c r="H565" i="2"/>
  <c r="C565" i="2"/>
  <c r="B565" i="2"/>
  <c r="H564" i="2"/>
  <c r="C564" i="2"/>
  <c r="B564" i="2"/>
  <c r="H563" i="2"/>
  <c r="C563" i="2"/>
  <c r="B563" i="2"/>
  <c r="H562" i="2"/>
  <c r="C562" i="2"/>
  <c r="B562" i="2"/>
  <c r="H561" i="2"/>
  <c r="C561" i="2"/>
  <c r="B561" i="2"/>
  <c r="H560" i="2"/>
  <c r="C560" i="2"/>
  <c r="B560" i="2"/>
  <c r="H559" i="2"/>
  <c r="C559" i="2"/>
  <c r="B559" i="2"/>
  <c r="H558" i="2"/>
  <c r="C558" i="2"/>
  <c r="B558" i="2"/>
  <c r="H557" i="2"/>
  <c r="C557" i="2"/>
  <c r="B557" i="2"/>
  <c r="H556" i="2"/>
  <c r="C556" i="2"/>
  <c r="B556" i="2"/>
  <c r="H555" i="2"/>
  <c r="C555" i="2"/>
  <c r="B555" i="2"/>
  <c r="H554" i="2"/>
  <c r="C554" i="2"/>
  <c r="B554" i="2"/>
  <c r="H553" i="2"/>
  <c r="C553" i="2"/>
  <c r="B553" i="2"/>
  <c r="H552" i="2"/>
  <c r="C552" i="2"/>
  <c r="B552" i="2"/>
  <c r="H551" i="2"/>
  <c r="C551" i="2"/>
  <c r="B551" i="2"/>
  <c r="H550" i="2"/>
  <c r="C550" i="2"/>
  <c r="B550" i="2"/>
  <c r="H549" i="2"/>
  <c r="C549" i="2"/>
  <c r="B549" i="2"/>
  <c r="H548" i="2"/>
  <c r="C548" i="2"/>
  <c r="B548" i="2"/>
  <c r="H547" i="2"/>
  <c r="C547" i="2"/>
  <c r="B547" i="2"/>
  <c r="H546" i="2"/>
  <c r="C546" i="2"/>
  <c r="B546" i="2"/>
  <c r="H545" i="2"/>
  <c r="C545" i="2"/>
  <c r="B545" i="2"/>
  <c r="H544" i="2"/>
  <c r="C544" i="2"/>
  <c r="B544" i="2"/>
  <c r="H543" i="2"/>
  <c r="C543" i="2"/>
  <c r="B543" i="2"/>
  <c r="H542" i="2"/>
  <c r="C542" i="2"/>
  <c r="B542" i="2"/>
  <c r="H541" i="2"/>
  <c r="C541" i="2"/>
  <c r="B541" i="2"/>
  <c r="H540" i="2"/>
  <c r="C540" i="2"/>
  <c r="B540" i="2"/>
  <c r="H539" i="2"/>
  <c r="C539" i="2"/>
  <c r="B539" i="2"/>
  <c r="H538" i="2"/>
  <c r="C538" i="2"/>
  <c r="B538" i="2"/>
  <c r="H537" i="2"/>
  <c r="C537" i="2"/>
  <c r="B537" i="2"/>
  <c r="H536" i="2"/>
  <c r="C536" i="2"/>
  <c r="B536" i="2"/>
  <c r="H535" i="2"/>
  <c r="C535" i="2"/>
  <c r="B535" i="2"/>
  <c r="H534" i="2"/>
  <c r="C534" i="2"/>
  <c r="B534" i="2"/>
  <c r="H533" i="2"/>
  <c r="C533" i="2"/>
  <c r="B533" i="2"/>
  <c r="H532" i="2"/>
  <c r="C532" i="2"/>
  <c r="B532" i="2"/>
  <c r="H531" i="2"/>
  <c r="C531" i="2"/>
  <c r="B531" i="2"/>
  <c r="H530" i="2"/>
  <c r="C530" i="2"/>
  <c r="B530" i="2"/>
  <c r="H529" i="2"/>
  <c r="C529" i="2"/>
  <c r="B529" i="2"/>
  <c r="H528" i="2"/>
  <c r="C528" i="2"/>
  <c r="B528" i="2"/>
  <c r="H527" i="2"/>
  <c r="C527" i="2"/>
  <c r="B527" i="2"/>
  <c r="H526" i="2"/>
  <c r="C526" i="2"/>
  <c r="B526" i="2"/>
  <c r="H525" i="2"/>
  <c r="C525" i="2"/>
  <c r="B525" i="2"/>
  <c r="H524" i="2"/>
  <c r="C524" i="2"/>
  <c r="B524" i="2"/>
  <c r="H523" i="2"/>
  <c r="C523" i="2"/>
  <c r="B523" i="2"/>
  <c r="H522" i="2"/>
  <c r="C522" i="2"/>
  <c r="B522" i="2"/>
  <c r="H521" i="2"/>
  <c r="C521" i="2"/>
  <c r="B521" i="2"/>
  <c r="H520" i="2"/>
  <c r="C520" i="2"/>
  <c r="B520" i="2"/>
  <c r="H519" i="2"/>
  <c r="C519" i="2"/>
  <c r="B519" i="2"/>
  <c r="H518" i="2"/>
  <c r="C518" i="2"/>
  <c r="B518" i="2"/>
  <c r="H517" i="2"/>
  <c r="C517" i="2"/>
  <c r="B517" i="2"/>
  <c r="H516" i="2"/>
  <c r="C516" i="2"/>
  <c r="B516" i="2"/>
  <c r="H515" i="2"/>
  <c r="C515" i="2"/>
  <c r="B515" i="2"/>
  <c r="H514" i="2"/>
  <c r="C514" i="2"/>
  <c r="B514" i="2"/>
  <c r="H513" i="2"/>
  <c r="C513" i="2"/>
  <c r="B513" i="2"/>
  <c r="H512" i="2"/>
  <c r="C512" i="2"/>
  <c r="B512" i="2"/>
  <c r="H511" i="2"/>
  <c r="C511" i="2"/>
  <c r="B511" i="2"/>
  <c r="H510" i="2"/>
  <c r="C510" i="2"/>
  <c r="B510" i="2"/>
  <c r="H509" i="2"/>
  <c r="C509" i="2"/>
  <c r="B509" i="2"/>
  <c r="H508" i="2"/>
  <c r="C508" i="2"/>
  <c r="B508" i="2"/>
  <c r="H507" i="2"/>
  <c r="C507" i="2"/>
  <c r="B507" i="2"/>
  <c r="H506" i="2"/>
  <c r="C506" i="2"/>
  <c r="B506" i="2"/>
  <c r="H505" i="2"/>
  <c r="C505" i="2"/>
  <c r="B505" i="2"/>
  <c r="H504" i="2"/>
  <c r="C504" i="2"/>
  <c r="B504" i="2"/>
  <c r="H503" i="2"/>
  <c r="C503" i="2"/>
  <c r="B503" i="2"/>
  <c r="H502" i="2"/>
  <c r="C502" i="2"/>
  <c r="B502" i="2"/>
  <c r="H501" i="2"/>
  <c r="C501" i="2"/>
  <c r="B501" i="2"/>
  <c r="H500" i="2"/>
  <c r="C500" i="2"/>
  <c r="B500" i="2"/>
  <c r="H499" i="2"/>
  <c r="C499" i="2"/>
  <c r="B499" i="2"/>
  <c r="H498" i="2"/>
  <c r="C498" i="2"/>
  <c r="B498" i="2"/>
  <c r="H497" i="2"/>
  <c r="C497" i="2"/>
  <c r="B497" i="2"/>
  <c r="H496" i="2"/>
  <c r="C496" i="2"/>
  <c r="B496" i="2"/>
  <c r="H495" i="2"/>
  <c r="C495" i="2"/>
  <c r="B495" i="2"/>
  <c r="H494" i="2"/>
  <c r="C494" i="2"/>
  <c r="B494" i="2"/>
  <c r="H493" i="2"/>
  <c r="C493" i="2"/>
  <c r="B493" i="2"/>
  <c r="H492" i="2"/>
  <c r="C492" i="2"/>
  <c r="B492" i="2"/>
  <c r="H491" i="2"/>
  <c r="C491" i="2"/>
  <c r="B491" i="2"/>
  <c r="H490" i="2"/>
  <c r="C490" i="2"/>
  <c r="B490" i="2"/>
  <c r="H489" i="2"/>
  <c r="C489" i="2"/>
  <c r="B489" i="2"/>
  <c r="H488" i="2"/>
  <c r="C488" i="2"/>
  <c r="B488" i="2"/>
  <c r="H487" i="2"/>
  <c r="C487" i="2"/>
  <c r="B487" i="2"/>
  <c r="H486" i="2"/>
  <c r="C486" i="2"/>
  <c r="B486" i="2"/>
  <c r="H485" i="2"/>
  <c r="C485" i="2"/>
  <c r="B485" i="2"/>
  <c r="H484" i="2"/>
  <c r="C484" i="2"/>
  <c r="B484" i="2"/>
  <c r="H483" i="2"/>
  <c r="C483" i="2"/>
  <c r="B483" i="2"/>
  <c r="H482" i="2"/>
  <c r="C482" i="2"/>
  <c r="B482" i="2"/>
  <c r="H481" i="2"/>
  <c r="C481" i="2"/>
  <c r="B481" i="2"/>
  <c r="H480" i="2"/>
  <c r="C480" i="2"/>
  <c r="B480" i="2"/>
  <c r="H479" i="2"/>
  <c r="C479" i="2"/>
  <c r="B479" i="2"/>
  <c r="H478" i="2"/>
  <c r="C478" i="2"/>
  <c r="B478" i="2"/>
  <c r="H477" i="2"/>
  <c r="C477" i="2"/>
  <c r="B477" i="2"/>
  <c r="H476" i="2"/>
  <c r="C476" i="2"/>
  <c r="B476" i="2"/>
  <c r="H475" i="2"/>
  <c r="C475" i="2"/>
  <c r="B475" i="2"/>
  <c r="H474" i="2"/>
  <c r="C474" i="2"/>
  <c r="B474" i="2"/>
  <c r="H473" i="2"/>
  <c r="C473" i="2"/>
  <c r="B473" i="2"/>
  <c r="H472" i="2"/>
  <c r="C472" i="2"/>
  <c r="B472" i="2"/>
  <c r="H471" i="2"/>
  <c r="C471" i="2"/>
  <c r="B471" i="2"/>
  <c r="H470" i="2"/>
  <c r="C470" i="2"/>
  <c r="B470" i="2"/>
  <c r="H469" i="2"/>
  <c r="C469" i="2"/>
  <c r="B469" i="2"/>
  <c r="H468" i="2"/>
  <c r="C468" i="2"/>
  <c r="B468" i="2"/>
  <c r="H467" i="2"/>
  <c r="C467" i="2"/>
  <c r="B467" i="2"/>
  <c r="H466" i="2"/>
  <c r="C466" i="2"/>
  <c r="B466" i="2"/>
  <c r="H465" i="2"/>
  <c r="C465" i="2"/>
  <c r="B465" i="2"/>
  <c r="H464" i="2"/>
  <c r="C464" i="2"/>
  <c r="B464" i="2"/>
  <c r="H463" i="2"/>
  <c r="C463" i="2"/>
  <c r="B463" i="2"/>
  <c r="H462" i="2"/>
  <c r="C462" i="2"/>
  <c r="B462" i="2"/>
  <c r="H461" i="2"/>
  <c r="C461" i="2"/>
  <c r="B461" i="2"/>
  <c r="H460" i="2"/>
  <c r="C460" i="2"/>
  <c r="B460" i="2"/>
  <c r="H459" i="2"/>
  <c r="C459" i="2"/>
  <c r="B459" i="2"/>
  <c r="H458" i="2"/>
  <c r="C458" i="2"/>
  <c r="B458" i="2"/>
  <c r="H457" i="2"/>
  <c r="C457" i="2"/>
  <c r="B457" i="2"/>
  <c r="H456" i="2"/>
  <c r="C456" i="2"/>
  <c r="B456" i="2"/>
  <c r="H455" i="2"/>
  <c r="C455" i="2"/>
  <c r="B455" i="2"/>
  <c r="H454" i="2"/>
  <c r="C454" i="2"/>
  <c r="B454" i="2"/>
  <c r="H453" i="2"/>
  <c r="C453" i="2"/>
  <c r="B453" i="2"/>
  <c r="H452" i="2"/>
  <c r="C452" i="2"/>
  <c r="B452" i="2"/>
  <c r="H451" i="2"/>
  <c r="C451" i="2"/>
  <c r="B451" i="2"/>
  <c r="H450" i="2"/>
  <c r="C450" i="2"/>
  <c r="B450" i="2"/>
  <c r="H449" i="2"/>
  <c r="C449" i="2"/>
  <c r="B449" i="2"/>
  <c r="H448" i="2"/>
  <c r="C448" i="2"/>
  <c r="B448" i="2"/>
  <c r="H447" i="2"/>
  <c r="C447" i="2"/>
  <c r="B447" i="2"/>
  <c r="H446" i="2"/>
  <c r="C446" i="2"/>
  <c r="B446" i="2"/>
  <c r="H445" i="2"/>
  <c r="C445" i="2"/>
  <c r="B445" i="2"/>
  <c r="H444" i="2"/>
  <c r="C444" i="2"/>
  <c r="B444" i="2"/>
  <c r="H443" i="2"/>
  <c r="C443" i="2"/>
  <c r="B443" i="2"/>
  <c r="H442" i="2"/>
  <c r="C442" i="2"/>
  <c r="B442" i="2"/>
  <c r="H441" i="2"/>
  <c r="C441" i="2"/>
  <c r="B441" i="2"/>
  <c r="H440" i="2"/>
  <c r="C440" i="2"/>
  <c r="B440" i="2"/>
  <c r="H439" i="2"/>
  <c r="C439" i="2"/>
  <c r="B439" i="2"/>
  <c r="H438" i="2"/>
  <c r="C438" i="2"/>
  <c r="B438" i="2"/>
  <c r="H437" i="2"/>
  <c r="C437" i="2"/>
  <c r="B437" i="2"/>
  <c r="H436" i="2"/>
  <c r="C436" i="2"/>
  <c r="B436" i="2"/>
  <c r="H435" i="2"/>
  <c r="C435" i="2"/>
  <c r="B435" i="2"/>
  <c r="H434" i="2"/>
  <c r="C434" i="2"/>
  <c r="B434" i="2"/>
  <c r="H433" i="2"/>
  <c r="C433" i="2"/>
  <c r="B433" i="2"/>
  <c r="H432" i="2"/>
  <c r="C432" i="2"/>
  <c r="B432" i="2"/>
  <c r="H431" i="2"/>
  <c r="C431" i="2"/>
  <c r="B431" i="2"/>
  <c r="H430" i="2"/>
  <c r="C430" i="2"/>
  <c r="B430" i="2"/>
  <c r="H429" i="2"/>
  <c r="C429" i="2"/>
  <c r="B429" i="2"/>
  <c r="H428" i="2"/>
  <c r="C428" i="2"/>
  <c r="B428" i="2"/>
  <c r="H427" i="2"/>
  <c r="C427" i="2"/>
  <c r="B427" i="2"/>
  <c r="H426" i="2"/>
  <c r="C426" i="2"/>
  <c r="B426" i="2"/>
  <c r="H425" i="2"/>
  <c r="C425" i="2"/>
  <c r="B425" i="2"/>
  <c r="H424" i="2"/>
  <c r="C424" i="2"/>
  <c r="B424" i="2"/>
  <c r="H423" i="2"/>
  <c r="C423" i="2"/>
  <c r="B423" i="2"/>
  <c r="H422" i="2"/>
  <c r="C422" i="2"/>
  <c r="B422" i="2"/>
  <c r="H421" i="2"/>
  <c r="C421" i="2"/>
  <c r="B421" i="2"/>
  <c r="H420" i="2"/>
  <c r="C420" i="2"/>
  <c r="B420" i="2"/>
  <c r="H419" i="2"/>
  <c r="C419" i="2"/>
  <c r="B419" i="2"/>
  <c r="H418" i="2"/>
  <c r="C418" i="2"/>
  <c r="B418" i="2"/>
  <c r="H417" i="2"/>
  <c r="C417" i="2"/>
  <c r="B417" i="2"/>
  <c r="H416" i="2"/>
  <c r="C416" i="2"/>
  <c r="B416" i="2"/>
  <c r="H415" i="2"/>
  <c r="C415" i="2"/>
  <c r="B415" i="2"/>
  <c r="H414" i="2"/>
  <c r="C414" i="2"/>
  <c r="B414" i="2"/>
  <c r="H413" i="2"/>
  <c r="C413" i="2"/>
  <c r="B413" i="2"/>
  <c r="H412" i="2"/>
  <c r="C412" i="2"/>
  <c r="B412" i="2"/>
  <c r="H411" i="2"/>
  <c r="C411" i="2"/>
  <c r="B411" i="2"/>
  <c r="H410" i="2"/>
  <c r="C410" i="2"/>
  <c r="B410" i="2"/>
  <c r="H409" i="2"/>
  <c r="C409" i="2"/>
  <c r="B409" i="2"/>
  <c r="H408" i="2"/>
  <c r="C408" i="2"/>
  <c r="B408" i="2"/>
  <c r="H407" i="2"/>
  <c r="C407" i="2"/>
  <c r="B407" i="2"/>
  <c r="H406" i="2"/>
  <c r="C406" i="2"/>
  <c r="B406" i="2"/>
  <c r="H405" i="2"/>
  <c r="C405" i="2"/>
  <c r="B405" i="2"/>
  <c r="H404" i="2"/>
  <c r="C404" i="2"/>
  <c r="B404" i="2"/>
  <c r="H403" i="2"/>
  <c r="C403" i="2"/>
  <c r="B403" i="2"/>
  <c r="H402" i="2"/>
  <c r="C402" i="2"/>
  <c r="B402" i="2"/>
  <c r="H401" i="2"/>
  <c r="C401" i="2"/>
  <c r="B401" i="2"/>
  <c r="H400" i="2"/>
  <c r="C400" i="2"/>
  <c r="B400" i="2"/>
  <c r="H399" i="2"/>
  <c r="C399" i="2"/>
  <c r="B399" i="2"/>
  <c r="H398" i="2"/>
  <c r="C398" i="2"/>
  <c r="B398" i="2"/>
  <c r="H397" i="2"/>
  <c r="C397" i="2"/>
  <c r="B397" i="2"/>
  <c r="H396" i="2"/>
  <c r="C396" i="2"/>
  <c r="B396" i="2"/>
  <c r="H395" i="2"/>
  <c r="C395" i="2"/>
  <c r="B395" i="2"/>
  <c r="H394" i="2"/>
  <c r="C394" i="2"/>
  <c r="B394" i="2"/>
  <c r="H393" i="2"/>
  <c r="C393" i="2"/>
  <c r="B393" i="2"/>
  <c r="H392" i="2"/>
  <c r="C392" i="2"/>
  <c r="B392" i="2"/>
  <c r="H391" i="2"/>
  <c r="C391" i="2"/>
  <c r="B391" i="2"/>
  <c r="H390" i="2"/>
  <c r="C390" i="2"/>
  <c r="B390" i="2"/>
  <c r="H389" i="2"/>
  <c r="C389" i="2"/>
  <c r="B389" i="2"/>
  <c r="H388" i="2"/>
  <c r="C388" i="2"/>
  <c r="B388" i="2"/>
  <c r="H387" i="2"/>
  <c r="C387" i="2"/>
  <c r="B387" i="2"/>
  <c r="H386" i="2"/>
  <c r="C386" i="2"/>
  <c r="B386" i="2"/>
  <c r="H385" i="2"/>
  <c r="C385" i="2"/>
  <c r="B385" i="2"/>
  <c r="H384" i="2"/>
  <c r="C384" i="2"/>
  <c r="B384" i="2"/>
  <c r="H383" i="2"/>
  <c r="C383" i="2"/>
  <c r="B383" i="2"/>
  <c r="H382" i="2"/>
  <c r="C382" i="2"/>
  <c r="B382" i="2"/>
  <c r="H381" i="2"/>
  <c r="C381" i="2"/>
  <c r="B381" i="2"/>
  <c r="H380" i="2"/>
  <c r="C380" i="2"/>
  <c r="B380" i="2"/>
  <c r="H379" i="2"/>
  <c r="C379" i="2"/>
  <c r="B379" i="2"/>
  <c r="H378" i="2"/>
  <c r="C378" i="2"/>
  <c r="B378" i="2"/>
  <c r="H377" i="2"/>
  <c r="C377" i="2"/>
  <c r="B377" i="2"/>
  <c r="H376" i="2"/>
  <c r="C376" i="2"/>
  <c r="B376" i="2"/>
  <c r="H375" i="2"/>
  <c r="C375" i="2"/>
  <c r="B375" i="2"/>
  <c r="H374" i="2"/>
  <c r="C374" i="2"/>
  <c r="B374" i="2"/>
  <c r="H373" i="2"/>
  <c r="C373" i="2"/>
  <c r="B373" i="2"/>
  <c r="H372" i="2"/>
  <c r="C372" i="2"/>
  <c r="B372" i="2"/>
  <c r="H371" i="2"/>
  <c r="C371" i="2"/>
  <c r="B371" i="2"/>
  <c r="H370" i="2"/>
  <c r="C370" i="2"/>
  <c r="B370" i="2"/>
  <c r="H369" i="2"/>
  <c r="C369" i="2"/>
  <c r="B369" i="2"/>
  <c r="H368" i="2"/>
  <c r="C368" i="2"/>
  <c r="B368" i="2"/>
  <c r="H367" i="2"/>
  <c r="C367" i="2"/>
  <c r="B367" i="2"/>
  <c r="H366" i="2"/>
  <c r="C366" i="2"/>
  <c r="B366" i="2"/>
  <c r="H365" i="2"/>
  <c r="C365" i="2"/>
  <c r="B365" i="2"/>
  <c r="H364" i="2"/>
  <c r="C364" i="2"/>
  <c r="B364" i="2"/>
  <c r="H363" i="2"/>
  <c r="C363" i="2"/>
  <c r="B363" i="2"/>
  <c r="H362" i="2"/>
  <c r="C362" i="2"/>
  <c r="B362" i="2"/>
  <c r="H361" i="2"/>
  <c r="C361" i="2"/>
  <c r="B361" i="2"/>
  <c r="H360" i="2"/>
  <c r="C360" i="2"/>
  <c r="B360" i="2"/>
  <c r="H359" i="2"/>
  <c r="C359" i="2"/>
  <c r="B359" i="2"/>
  <c r="H358" i="2"/>
  <c r="C358" i="2"/>
  <c r="B358" i="2"/>
  <c r="H357" i="2"/>
  <c r="C357" i="2"/>
  <c r="B357" i="2"/>
  <c r="H356" i="2"/>
  <c r="C356" i="2"/>
  <c r="B356" i="2"/>
  <c r="H355" i="2"/>
  <c r="C355" i="2"/>
  <c r="B355" i="2"/>
  <c r="H354" i="2"/>
  <c r="C354" i="2"/>
  <c r="B354" i="2"/>
  <c r="H353" i="2"/>
  <c r="C353" i="2"/>
  <c r="B353" i="2"/>
  <c r="H352" i="2"/>
  <c r="C352" i="2"/>
  <c r="B352" i="2"/>
  <c r="H351" i="2"/>
  <c r="C351" i="2"/>
  <c r="B351" i="2"/>
  <c r="H350" i="2"/>
  <c r="C350" i="2"/>
  <c r="B350" i="2"/>
  <c r="H349" i="2"/>
  <c r="C349" i="2"/>
  <c r="B349" i="2"/>
  <c r="H348" i="2"/>
  <c r="C348" i="2"/>
  <c r="B348" i="2"/>
  <c r="H347" i="2"/>
  <c r="C347" i="2"/>
  <c r="B347" i="2"/>
  <c r="H346" i="2"/>
  <c r="C346" i="2"/>
  <c r="B346" i="2"/>
  <c r="H345" i="2"/>
  <c r="C345" i="2"/>
  <c r="B345" i="2"/>
  <c r="H344" i="2"/>
  <c r="C344" i="2"/>
  <c r="B344" i="2"/>
  <c r="H343" i="2"/>
  <c r="C343" i="2"/>
  <c r="B343" i="2"/>
  <c r="H342" i="2"/>
  <c r="C342" i="2"/>
  <c r="B342" i="2"/>
  <c r="H341" i="2"/>
  <c r="C341" i="2"/>
  <c r="B341" i="2"/>
  <c r="H340" i="2"/>
  <c r="C340" i="2"/>
  <c r="B340" i="2"/>
  <c r="H339" i="2"/>
  <c r="C339" i="2"/>
  <c r="B339" i="2"/>
  <c r="H338" i="2"/>
  <c r="C338" i="2"/>
  <c r="B338" i="2"/>
  <c r="H337" i="2"/>
  <c r="C337" i="2"/>
  <c r="B337" i="2"/>
  <c r="H336" i="2"/>
  <c r="C336" i="2"/>
  <c r="B336" i="2"/>
  <c r="H335" i="2"/>
  <c r="C335" i="2"/>
  <c r="B335" i="2"/>
  <c r="H334" i="2"/>
  <c r="C334" i="2"/>
  <c r="B334" i="2"/>
  <c r="H333" i="2"/>
  <c r="C333" i="2"/>
  <c r="B333" i="2"/>
  <c r="H332" i="2"/>
  <c r="C332" i="2"/>
  <c r="B332" i="2"/>
  <c r="H331" i="2"/>
  <c r="C331" i="2"/>
  <c r="B331" i="2"/>
  <c r="H330" i="2"/>
  <c r="C330" i="2"/>
  <c r="B330" i="2"/>
  <c r="H329" i="2"/>
  <c r="C329" i="2"/>
  <c r="B329" i="2"/>
  <c r="H328" i="2"/>
  <c r="C328" i="2"/>
  <c r="B328" i="2"/>
  <c r="H327" i="2"/>
  <c r="C327" i="2"/>
  <c r="B327" i="2"/>
  <c r="H326" i="2"/>
  <c r="C326" i="2"/>
  <c r="B326" i="2"/>
  <c r="H325" i="2"/>
  <c r="C325" i="2"/>
  <c r="B325" i="2"/>
  <c r="H324" i="2"/>
  <c r="C324" i="2"/>
  <c r="B324" i="2"/>
  <c r="H323" i="2"/>
  <c r="C323" i="2"/>
  <c r="B323" i="2"/>
  <c r="H322" i="2"/>
  <c r="C322" i="2"/>
  <c r="B322" i="2"/>
  <c r="H321" i="2"/>
  <c r="C321" i="2"/>
  <c r="B321" i="2"/>
  <c r="H320" i="2"/>
  <c r="C320" i="2"/>
  <c r="B320" i="2"/>
  <c r="H319" i="2"/>
  <c r="C319" i="2"/>
  <c r="B319" i="2"/>
  <c r="H318" i="2"/>
  <c r="C318" i="2"/>
  <c r="B318" i="2"/>
  <c r="H317" i="2"/>
  <c r="C317" i="2"/>
  <c r="B317" i="2"/>
  <c r="H316" i="2"/>
  <c r="C316" i="2"/>
  <c r="B316" i="2"/>
  <c r="H315" i="2"/>
  <c r="C315" i="2"/>
  <c r="B315" i="2"/>
  <c r="H314" i="2"/>
  <c r="C314" i="2"/>
  <c r="B314" i="2"/>
  <c r="H313" i="2"/>
  <c r="C313" i="2"/>
  <c r="B313" i="2"/>
  <c r="H312" i="2"/>
  <c r="C312" i="2"/>
  <c r="B312" i="2"/>
  <c r="H311" i="2"/>
  <c r="C311" i="2"/>
  <c r="B311" i="2"/>
  <c r="H310" i="2"/>
  <c r="C310" i="2"/>
  <c r="B310" i="2"/>
  <c r="H309" i="2"/>
  <c r="C309" i="2"/>
  <c r="B309" i="2"/>
  <c r="H308" i="2"/>
  <c r="C308" i="2"/>
  <c r="B308" i="2"/>
  <c r="H307" i="2"/>
  <c r="C307" i="2"/>
  <c r="B307" i="2"/>
  <c r="H306" i="2"/>
  <c r="C306" i="2"/>
  <c r="B306" i="2"/>
  <c r="H305" i="2"/>
  <c r="C305" i="2"/>
  <c r="B305" i="2"/>
  <c r="H304" i="2"/>
  <c r="C304" i="2"/>
  <c r="B304" i="2"/>
  <c r="H303" i="2"/>
  <c r="C303" i="2"/>
  <c r="B303" i="2"/>
  <c r="H302" i="2"/>
  <c r="C302" i="2"/>
  <c r="B302" i="2"/>
  <c r="H301" i="2"/>
  <c r="C301" i="2"/>
  <c r="B301" i="2"/>
  <c r="H300" i="2"/>
  <c r="C300" i="2"/>
  <c r="B300" i="2"/>
  <c r="H299" i="2"/>
  <c r="C299" i="2"/>
  <c r="B299" i="2"/>
  <c r="H298" i="2"/>
  <c r="C298" i="2"/>
  <c r="B298" i="2"/>
  <c r="H297" i="2"/>
  <c r="C297" i="2"/>
  <c r="B297" i="2"/>
  <c r="H296" i="2"/>
  <c r="C296" i="2"/>
  <c r="B296" i="2"/>
  <c r="H295" i="2"/>
  <c r="C295" i="2"/>
  <c r="B295" i="2"/>
  <c r="H294" i="2"/>
  <c r="C294" i="2"/>
  <c r="B294" i="2"/>
  <c r="H293" i="2"/>
  <c r="C293" i="2"/>
  <c r="B293" i="2"/>
  <c r="H292" i="2"/>
  <c r="C292" i="2"/>
  <c r="B292" i="2"/>
  <c r="H291" i="2"/>
  <c r="C291" i="2"/>
  <c r="B291" i="2"/>
  <c r="H290" i="2"/>
  <c r="C290" i="2"/>
  <c r="B290" i="2"/>
  <c r="H289" i="2"/>
  <c r="C289" i="2"/>
  <c r="B289" i="2"/>
  <c r="H288" i="2"/>
  <c r="C288" i="2"/>
  <c r="B288" i="2"/>
  <c r="H287" i="2"/>
  <c r="C287" i="2"/>
  <c r="B287" i="2"/>
  <c r="H286" i="2"/>
  <c r="C286" i="2"/>
  <c r="B286" i="2"/>
  <c r="H285" i="2"/>
  <c r="C285" i="2"/>
  <c r="B285" i="2"/>
  <c r="H284" i="2"/>
  <c r="C284" i="2"/>
  <c r="B284" i="2"/>
  <c r="H283" i="2"/>
  <c r="C283" i="2"/>
  <c r="B283" i="2"/>
  <c r="H282" i="2"/>
  <c r="C282" i="2"/>
  <c r="B282" i="2"/>
  <c r="H281" i="2"/>
  <c r="C281" i="2"/>
  <c r="B281" i="2"/>
  <c r="H280" i="2"/>
  <c r="C280" i="2"/>
  <c r="B280" i="2"/>
  <c r="H279" i="2"/>
  <c r="C279" i="2"/>
  <c r="B279" i="2"/>
  <c r="H278" i="2"/>
  <c r="C278" i="2"/>
  <c r="B278" i="2"/>
  <c r="H277" i="2"/>
  <c r="C277" i="2"/>
  <c r="B277" i="2"/>
  <c r="H276" i="2"/>
  <c r="C276" i="2"/>
  <c r="B276" i="2"/>
  <c r="H275" i="2"/>
  <c r="C275" i="2"/>
  <c r="B275" i="2"/>
  <c r="H274" i="2"/>
  <c r="C274" i="2"/>
  <c r="B274" i="2"/>
  <c r="H273" i="2"/>
  <c r="C273" i="2"/>
  <c r="B273" i="2"/>
  <c r="H272" i="2"/>
  <c r="C272" i="2"/>
  <c r="B272" i="2"/>
  <c r="H271" i="2"/>
  <c r="C271" i="2"/>
  <c r="B271" i="2"/>
  <c r="H270" i="2"/>
  <c r="C270" i="2"/>
  <c r="B270" i="2"/>
  <c r="H269" i="2"/>
  <c r="C269" i="2"/>
  <c r="B269" i="2"/>
  <c r="H268" i="2"/>
  <c r="C268" i="2"/>
  <c r="B268" i="2"/>
  <c r="H267" i="2"/>
  <c r="C267" i="2"/>
  <c r="B267" i="2"/>
  <c r="H266" i="2"/>
  <c r="C266" i="2"/>
  <c r="B266" i="2"/>
  <c r="H265" i="2"/>
  <c r="C265" i="2"/>
  <c r="B265" i="2"/>
  <c r="H264" i="2"/>
  <c r="C264" i="2"/>
  <c r="B264" i="2"/>
  <c r="H263" i="2"/>
  <c r="C263" i="2"/>
  <c r="B263" i="2"/>
  <c r="H262" i="2"/>
  <c r="C262" i="2"/>
  <c r="B262" i="2"/>
  <c r="H261" i="2"/>
  <c r="C261" i="2"/>
  <c r="B261" i="2"/>
  <c r="H260" i="2"/>
  <c r="C260" i="2"/>
  <c r="B260" i="2"/>
  <c r="H259" i="2"/>
  <c r="C259" i="2"/>
  <c r="B259" i="2"/>
  <c r="H258" i="2"/>
  <c r="C258" i="2"/>
  <c r="B258" i="2"/>
  <c r="H257" i="2"/>
  <c r="C257" i="2"/>
  <c r="B257" i="2"/>
  <c r="H256" i="2"/>
  <c r="C256" i="2"/>
  <c r="B256" i="2"/>
  <c r="H255" i="2"/>
  <c r="C255" i="2"/>
  <c r="B255" i="2"/>
  <c r="H254" i="2"/>
  <c r="C254" i="2"/>
  <c r="B254" i="2"/>
  <c r="H253" i="2"/>
  <c r="C253" i="2"/>
  <c r="B253" i="2"/>
  <c r="H252" i="2"/>
  <c r="C252" i="2"/>
  <c r="B252" i="2"/>
  <c r="H251" i="2"/>
  <c r="C251" i="2"/>
  <c r="B251" i="2"/>
  <c r="H250" i="2"/>
  <c r="C250" i="2"/>
  <c r="B250" i="2"/>
  <c r="H249" i="2"/>
  <c r="C249" i="2"/>
  <c r="B249" i="2"/>
  <c r="H248" i="2"/>
  <c r="C248" i="2"/>
  <c r="B248" i="2"/>
  <c r="H247" i="2"/>
  <c r="C247" i="2"/>
  <c r="B247" i="2"/>
  <c r="H246" i="2"/>
  <c r="C246" i="2"/>
  <c r="B246" i="2"/>
  <c r="H245" i="2"/>
  <c r="C245" i="2"/>
  <c r="B245" i="2"/>
  <c r="H244" i="2"/>
  <c r="C244" i="2"/>
  <c r="B244" i="2"/>
  <c r="H243" i="2"/>
  <c r="C243" i="2"/>
  <c r="B243" i="2"/>
  <c r="H242" i="2"/>
  <c r="C242" i="2"/>
  <c r="B242" i="2"/>
  <c r="H241" i="2"/>
  <c r="C241" i="2"/>
  <c r="B241" i="2"/>
  <c r="H240" i="2"/>
  <c r="C240" i="2"/>
  <c r="B240" i="2"/>
  <c r="H239" i="2"/>
  <c r="C239" i="2"/>
  <c r="B239" i="2"/>
  <c r="H238" i="2"/>
  <c r="C238" i="2"/>
  <c r="B238" i="2"/>
  <c r="H237" i="2"/>
  <c r="C237" i="2"/>
  <c r="B237" i="2"/>
  <c r="H236" i="2"/>
  <c r="C236" i="2"/>
  <c r="B236" i="2"/>
  <c r="H235" i="2"/>
  <c r="C235" i="2"/>
  <c r="B235" i="2"/>
  <c r="H234" i="2"/>
  <c r="C234" i="2"/>
  <c r="B234" i="2"/>
  <c r="H233" i="2"/>
  <c r="C233" i="2"/>
  <c r="B233" i="2"/>
  <c r="H232" i="2"/>
  <c r="C232" i="2"/>
  <c r="B232" i="2"/>
  <c r="H231" i="2"/>
  <c r="C231" i="2"/>
  <c r="B231" i="2"/>
  <c r="H230" i="2"/>
  <c r="C230" i="2"/>
  <c r="B230" i="2"/>
  <c r="H229" i="2"/>
  <c r="C229" i="2"/>
  <c r="B229" i="2"/>
  <c r="H228" i="2"/>
  <c r="C228" i="2"/>
  <c r="B228" i="2"/>
  <c r="H227" i="2"/>
  <c r="C227" i="2"/>
  <c r="B227" i="2"/>
  <c r="H226" i="2"/>
  <c r="C226" i="2"/>
  <c r="B226" i="2"/>
  <c r="H225" i="2"/>
  <c r="C225" i="2"/>
  <c r="B225" i="2"/>
  <c r="H224" i="2"/>
  <c r="C224" i="2"/>
  <c r="B224" i="2"/>
  <c r="H223" i="2"/>
  <c r="C223" i="2"/>
  <c r="B223" i="2"/>
  <c r="H222" i="2"/>
  <c r="C222" i="2"/>
  <c r="B222" i="2"/>
  <c r="H221" i="2"/>
  <c r="C221" i="2"/>
  <c r="B221" i="2"/>
  <c r="H220" i="2"/>
  <c r="C220" i="2"/>
  <c r="B220" i="2"/>
  <c r="H219" i="2"/>
  <c r="C219" i="2"/>
  <c r="B219" i="2"/>
  <c r="H218" i="2"/>
  <c r="C218" i="2"/>
  <c r="B218" i="2"/>
  <c r="H217" i="2"/>
  <c r="C217" i="2"/>
  <c r="B217" i="2"/>
  <c r="H216" i="2"/>
  <c r="C216" i="2"/>
  <c r="B216" i="2"/>
  <c r="H215" i="2"/>
  <c r="C215" i="2"/>
  <c r="B215" i="2"/>
  <c r="H214" i="2"/>
  <c r="C214" i="2"/>
  <c r="B214" i="2"/>
  <c r="H213" i="2"/>
  <c r="C213" i="2"/>
  <c r="B213" i="2"/>
  <c r="H212" i="2"/>
  <c r="C212" i="2"/>
  <c r="B212" i="2"/>
  <c r="H211" i="2"/>
  <c r="C211" i="2"/>
  <c r="B211" i="2"/>
  <c r="H210" i="2"/>
  <c r="C210" i="2"/>
  <c r="B210" i="2"/>
  <c r="H209" i="2"/>
  <c r="C209" i="2"/>
  <c r="B209" i="2"/>
  <c r="H208" i="2"/>
  <c r="C208" i="2"/>
  <c r="B208" i="2"/>
  <c r="H207" i="2"/>
  <c r="C207" i="2"/>
  <c r="B207" i="2"/>
  <c r="H206" i="2"/>
  <c r="C206" i="2"/>
  <c r="B206" i="2"/>
  <c r="H205" i="2"/>
  <c r="C205" i="2"/>
  <c r="B205" i="2"/>
  <c r="H204" i="2"/>
  <c r="C204" i="2"/>
  <c r="B204" i="2"/>
  <c r="H203" i="2"/>
  <c r="C203" i="2"/>
  <c r="B203" i="2"/>
  <c r="H202" i="2"/>
  <c r="C202" i="2"/>
  <c r="B202" i="2"/>
  <c r="H201" i="2"/>
  <c r="C201" i="2"/>
  <c r="B201" i="2"/>
  <c r="H200" i="2"/>
  <c r="C200" i="2"/>
  <c r="B200" i="2"/>
  <c r="H199" i="2"/>
  <c r="C199" i="2"/>
  <c r="B199" i="2"/>
  <c r="H198" i="2"/>
  <c r="C198" i="2"/>
  <c r="B198" i="2"/>
  <c r="H197" i="2"/>
  <c r="C197" i="2"/>
  <c r="B197" i="2"/>
  <c r="H196" i="2"/>
  <c r="C196" i="2"/>
  <c r="B196" i="2"/>
  <c r="H195" i="2"/>
  <c r="C195" i="2"/>
  <c r="B195" i="2"/>
  <c r="H194" i="2"/>
  <c r="C194" i="2"/>
  <c r="B194" i="2"/>
  <c r="H193" i="2"/>
  <c r="C193" i="2"/>
  <c r="B193" i="2"/>
  <c r="H192" i="2"/>
  <c r="C192" i="2"/>
  <c r="B192" i="2"/>
  <c r="H191" i="2"/>
  <c r="C191" i="2"/>
  <c r="B191" i="2"/>
  <c r="H190" i="2"/>
  <c r="C190" i="2"/>
  <c r="B190" i="2"/>
  <c r="H189" i="2"/>
  <c r="C189" i="2"/>
  <c r="B189" i="2"/>
  <c r="H188" i="2"/>
  <c r="C188" i="2"/>
  <c r="B188" i="2"/>
  <c r="H187" i="2"/>
  <c r="C187" i="2"/>
  <c r="B187" i="2"/>
  <c r="H186" i="2"/>
  <c r="C186" i="2"/>
  <c r="B186" i="2"/>
  <c r="H185" i="2"/>
  <c r="C185" i="2"/>
  <c r="B185" i="2"/>
  <c r="H184" i="2"/>
  <c r="C184" i="2"/>
  <c r="B184" i="2"/>
  <c r="H183" i="2"/>
  <c r="C183" i="2"/>
  <c r="B183" i="2"/>
  <c r="H182" i="2"/>
  <c r="C182" i="2"/>
  <c r="B182" i="2"/>
  <c r="H181" i="2"/>
  <c r="C181" i="2"/>
  <c r="B181" i="2"/>
  <c r="H180" i="2"/>
  <c r="C180" i="2"/>
  <c r="B180" i="2"/>
  <c r="H179" i="2"/>
  <c r="C179" i="2"/>
  <c r="B179" i="2"/>
  <c r="H178" i="2"/>
  <c r="C178" i="2"/>
  <c r="B178" i="2"/>
  <c r="H177" i="2"/>
  <c r="C177" i="2"/>
  <c r="B177" i="2"/>
  <c r="H176" i="2"/>
  <c r="C176" i="2"/>
  <c r="B176" i="2"/>
  <c r="H175" i="2"/>
  <c r="C175" i="2"/>
  <c r="B175" i="2"/>
  <c r="H174" i="2"/>
  <c r="C174" i="2"/>
  <c r="B174" i="2"/>
  <c r="H173" i="2"/>
  <c r="C173" i="2"/>
  <c r="B173" i="2"/>
  <c r="H172" i="2"/>
  <c r="C172" i="2"/>
  <c r="B172" i="2"/>
  <c r="H171" i="2"/>
  <c r="C171" i="2"/>
  <c r="B171" i="2"/>
  <c r="H170" i="2"/>
  <c r="C170" i="2"/>
  <c r="B170" i="2"/>
  <c r="H169" i="2"/>
  <c r="C169" i="2"/>
  <c r="B169" i="2"/>
  <c r="H168" i="2"/>
  <c r="C168" i="2"/>
  <c r="B168" i="2"/>
  <c r="H167" i="2"/>
  <c r="C167" i="2"/>
  <c r="B167" i="2"/>
  <c r="H166" i="2"/>
  <c r="C166" i="2"/>
  <c r="B166" i="2"/>
  <c r="H165" i="2"/>
  <c r="C165" i="2"/>
  <c r="B165" i="2"/>
  <c r="H164" i="2"/>
  <c r="C164" i="2"/>
  <c r="B164" i="2"/>
  <c r="H163" i="2"/>
  <c r="C163" i="2"/>
  <c r="B163" i="2"/>
  <c r="H162" i="2"/>
  <c r="C162" i="2"/>
  <c r="B162" i="2"/>
  <c r="H161" i="2"/>
  <c r="C161" i="2"/>
  <c r="B161" i="2"/>
  <c r="H160" i="2"/>
  <c r="C160" i="2"/>
  <c r="B160" i="2"/>
  <c r="H159" i="2"/>
  <c r="C159" i="2"/>
  <c r="B159" i="2"/>
  <c r="H158" i="2"/>
  <c r="C158" i="2"/>
  <c r="B158" i="2"/>
  <c r="H157" i="2"/>
  <c r="C157" i="2"/>
  <c r="B157" i="2"/>
  <c r="H156" i="2"/>
  <c r="C156" i="2"/>
  <c r="B156" i="2"/>
  <c r="H155" i="2"/>
  <c r="C155" i="2"/>
  <c r="B155" i="2"/>
  <c r="H154" i="2"/>
  <c r="C154" i="2"/>
  <c r="B154" i="2"/>
  <c r="H153" i="2"/>
  <c r="C153" i="2"/>
  <c r="B153" i="2"/>
  <c r="H152" i="2"/>
  <c r="C152" i="2"/>
  <c r="B152" i="2"/>
  <c r="H151" i="2"/>
  <c r="C151" i="2"/>
  <c r="B151" i="2"/>
  <c r="H150" i="2"/>
  <c r="C150" i="2"/>
  <c r="B150" i="2"/>
  <c r="H149" i="2"/>
  <c r="C149" i="2"/>
  <c r="B149" i="2"/>
  <c r="H148" i="2"/>
  <c r="C148" i="2"/>
  <c r="B148" i="2"/>
  <c r="H147" i="2"/>
  <c r="C147" i="2"/>
  <c r="B147" i="2"/>
  <c r="H146" i="2"/>
  <c r="C146" i="2"/>
  <c r="B146" i="2"/>
  <c r="H145" i="2"/>
  <c r="C145" i="2"/>
  <c r="B145" i="2"/>
  <c r="H144" i="2"/>
  <c r="C144" i="2"/>
  <c r="B144" i="2"/>
  <c r="H143" i="2"/>
  <c r="C143" i="2"/>
  <c r="B143" i="2"/>
  <c r="H142" i="2"/>
  <c r="C142" i="2"/>
  <c r="B142" i="2"/>
  <c r="H141" i="2"/>
  <c r="C141" i="2"/>
  <c r="B141" i="2"/>
  <c r="H140" i="2"/>
  <c r="C140" i="2"/>
  <c r="B140" i="2"/>
  <c r="H139" i="2"/>
  <c r="C139" i="2"/>
  <c r="B139" i="2"/>
  <c r="H138" i="2"/>
  <c r="C138" i="2"/>
  <c r="B138" i="2"/>
  <c r="H137" i="2"/>
  <c r="C137" i="2"/>
  <c r="B137" i="2"/>
  <c r="H136" i="2"/>
  <c r="C136" i="2"/>
  <c r="B136" i="2"/>
  <c r="H135" i="2"/>
  <c r="C135" i="2"/>
  <c r="B135" i="2"/>
  <c r="H134" i="2"/>
  <c r="C134" i="2"/>
  <c r="B134" i="2"/>
  <c r="H133" i="2"/>
  <c r="C133" i="2"/>
  <c r="B133" i="2"/>
  <c r="H132" i="2"/>
  <c r="C132" i="2"/>
  <c r="B132" i="2"/>
  <c r="H131" i="2"/>
  <c r="C131" i="2"/>
  <c r="B131" i="2"/>
  <c r="H130" i="2"/>
  <c r="C130" i="2"/>
  <c r="B130" i="2"/>
  <c r="H129" i="2"/>
  <c r="C129" i="2"/>
  <c r="B129" i="2"/>
  <c r="H128" i="2"/>
  <c r="C128" i="2"/>
  <c r="B128" i="2"/>
  <c r="H127" i="2"/>
  <c r="C127" i="2"/>
  <c r="B127" i="2"/>
  <c r="H126" i="2"/>
  <c r="C126" i="2"/>
  <c r="B126" i="2"/>
  <c r="H125" i="2"/>
  <c r="C125" i="2"/>
  <c r="B125" i="2"/>
  <c r="H124" i="2"/>
  <c r="C124" i="2"/>
  <c r="B124" i="2"/>
  <c r="H123" i="2"/>
  <c r="C123" i="2"/>
  <c r="B123" i="2"/>
  <c r="H122" i="2"/>
  <c r="C122" i="2"/>
  <c r="B122" i="2"/>
  <c r="H121" i="2"/>
  <c r="C121" i="2"/>
  <c r="B121" i="2"/>
  <c r="H120" i="2"/>
  <c r="C120" i="2"/>
  <c r="B120" i="2"/>
  <c r="H119" i="2"/>
  <c r="C119" i="2"/>
  <c r="B119" i="2"/>
  <c r="H118" i="2"/>
  <c r="C118" i="2"/>
  <c r="B118" i="2"/>
  <c r="H117" i="2"/>
  <c r="C117" i="2"/>
  <c r="B117" i="2"/>
  <c r="H116" i="2"/>
  <c r="C116" i="2"/>
  <c r="B116" i="2"/>
  <c r="H115" i="2"/>
  <c r="C115" i="2"/>
  <c r="B115" i="2"/>
  <c r="H114" i="2"/>
  <c r="C114" i="2"/>
  <c r="B114" i="2"/>
  <c r="H113" i="2"/>
  <c r="C113" i="2"/>
  <c r="B113" i="2"/>
  <c r="H112" i="2"/>
  <c r="C112" i="2"/>
  <c r="B112" i="2"/>
  <c r="H111" i="2"/>
  <c r="C111" i="2"/>
  <c r="B111" i="2"/>
  <c r="H110" i="2"/>
  <c r="C110" i="2"/>
  <c r="B110" i="2"/>
  <c r="H109" i="2"/>
  <c r="C109" i="2"/>
  <c r="B109" i="2"/>
  <c r="H108" i="2"/>
  <c r="C108" i="2"/>
  <c r="B108" i="2"/>
  <c r="H107" i="2"/>
  <c r="C107" i="2"/>
  <c r="B107" i="2"/>
  <c r="H106" i="2"/>
  <c r="C106" i="2"/>
  <c r="B106" i="2"/>
  <c r="H105" i="2"/>
  <c r="C105" i="2"/>
  <c r="B105" i="2"/>
  <c r="H104" i="2"/>
  <c r="C104" i="2"/>
  <c r="B104" i="2"/>
  <c r="H103" i="2"/>
  <c r="C103" i="2"/>
  <c r="B103" i="2"/>
  <c r="H102" i="2"/>
  <c r="C102" i="2"/>
  <c r="B102" i="2"/>
  <c r="H101" i="2"/>
  <c r="C101" i="2"/>
  <c r="B101" i="2"/>
  <c r="H100" i="2"/>
  <c r="C100" i="2"/>
  <c r="B100" i="2"/>
  <c r="H99" i="2"/>
  <c r="C99" i="2"/>
  <c r="B99" i="2"/>
  <c r="H98" i="2"/>
  <c r="C98" i="2"/>
  <c r="B98" i="2"/>
  <c r="H97" i="2"/>
  <c r="C97" i="2"/>
  <c r="B97" i="2"/>
  <c r="H96" i="2"/>
  <c r="C96" i="2"/>
  <c r="B96" i="2"/>
  <c r="H95" i="2"/>
  <c r="C95" i="2"/>
  <c r="B95" i="2"/>
  <c r="H94" i="2"/>
  <c r="C94" i="2"/>
  <c r="B94" i="2"/>
  <c r="H93" i="2"/>
  <c r="C93" i="2"/>
  <c r="B93" i="2"/>
  <c r="H92" i="2"/>
  <c r="C92" i="2"/>
  <c r="B92" i="2"/>
  <c r="H91" i="2"/>
  <c r="C91" i="2"/>
  <c r="B91" i="2"/>
  <c r="H90" i="2"/>
  <c r="C90" i="2"/>
  <c r="B90" i="2"/>
  <c r="I89" i="2"/>
  <c r="H89" i="2"/>
  <c r="C89" i="2"/>
  <c r="B89" i="2"/>
  <c r="H88" i="2"/>
  <c r="C88" i="2"/>
  <c r="B88" i="2"/>
  <c r="H87" i="2"/>
  <c r="C87" i="2"/>
  <c r="B87" i="2"/>
  <c r="H86" i="2"/>
  <c r="C86" i="2"/>
  <c r="B86" i="2"/>
  <c r="H85" i="2"/>
  <c r="C85" i="2"/>
  <c r="B85" i="2"/>
  <c r="H84" i="2"/>
  <c r="C84" i="2"/>
  <c r="B84" i="2"/>
  <c r="H83" i="2"/>
  <c r="C83" i="2"/>
  <c r="B83" i="2"/>
  <c r="H82" i="2"/>
  <c r="C82" i="2"/>
  <c r="B82" i="2"/>
  <c r="H81" i="2"/>
  <c r="C81" i="2"/>
  <c r="B81" i="2"/>
  <c r="H80" i="2"/>
  <c r="C80" i="2"/>
  <c r="B80" i="2"/>
  <c r="H79" i="2"/>
  <c r="C79" i="2"/>
  <c r="B79" i="2"/>
  <c r="H78" i="2"/>
  <c r="C78" i="2"/>
  <c r="B78" i="2"/>
  <c r="H77" i="2"/>
  <c r="C77" i="2"/>
  <c r="B77" i="2"/>
  <c r="H76" i="2"/>
  <c r="C76" i="2"/>
  <c r="B76" i="2"/>
  <c r="H75" i="2"/>
  <c r="C75" i="2"/>
  <c r="B75" i="2"/>
  <c r="H74" i="2"/>
  <c r="C74" i="2"/>
  <c r="B74" i="2"/>
  <c r="H73" i="2"/>
  <c r="C73" i="2"/>
  <c r="B73" i="2"/>
  <c r="H72" i="2"/>
  <c r="C72" i="2"/>
  <c r="B72" i="2"/>
  <c r="H71" i="2"/>
  <c r="C71" i="2"/>
  <c r="B71" i="2"/>
  <c r="H70" i="2"/>
  <c r="C70" i="2"/>
  <c r="B70" i="2"/>
  <c r="H69" i="2"/>
  <c r="C69" i="2"/>
  <c r="B69" i="2"/>
  <c r="H68" i="2"/>
  <c r="C68" i="2"/>
  <c r="B68" i="2"/>
  <c r="H67" i="2"/>
  <c r="C67" i="2"/>
  <c r="B67" i="2"/>
  <c r="H66" i="2"/>
  <c r="C66" i="2"/>
  <c r="B66" i="2"/>
  <c r="H65" i="2"/>
  <c r="C65" i="2"/>
  <c r="B65" i="2"/>
  <c r="H64" i="2"/>
  <c r="C64" i="2"/>
  <c r="B64" i="2"/>
  <c r="H63" i="2"/>
  <c r="C63" i="2"/>
  <c r="B63" i="2"/>
  <c r="H62" i="2"/>
  <c r="C62" i="2"/>
  <c r="B62" i="2"/>
  <c r="H61" i="2"/>
  <c r="C61" i="2"/>
  <c r="B61" i="2"/>
  <c r="H60" i="2"/>
  <c r="C60" i="2"/>
  <c r="B60" i="2"/>
  <c r="H59" i="2"/>
  <c r="C59" i="2"/>
  <c r="B59" i="2"/>
  <c r="H58" i="2"/>
  <c r="C58" i="2"/>
  <c r="B58" i="2"/>
  <c r="H57" i="2"/>
  <c r="C57" i="2"/>
  <c r="B57" i="2"/>
  <c r="H56" i="2"/>
  <c r="C56" i="2"/>
  <c r="B56" i="2"/>
  <c r="H55" i="2"/>
  <c r="C55" i="2"/>
  <c r="B55" i="2"/>
  <c r="H54" i="2"/>
  <c r="C54" i="2"/>
  <c r="B54" i="2"/>
  <c r="H53" i="2"/>
  <c r="C53" i="2"/>
  <c r="B53" i="2"/>
  <c r="H52" i="2"/>
  <c r="C52" i="2"/>
  <c r="B52" i="2"/>
  <c r="H51" i="2"/>
  <c r="C51" i="2"/>
  <c r="B51" i="2"/>
  <c r="H50" i="2"/>
  <c r="C50" i="2"/>
  <c r="B50" i="2"/>
  <c r="H49" i="2"/>
  <c r="C49" i="2"/>
  <c r="B49" i="2"/>
  <c r="H48" i="2"/>
  <c r="C48" i="2"/>
  <c r="B48" i="2"/>
  <c r="H47" i="2"/>
  <c r="C47" i="2"/>
  <c r="B47" i="2"/>
  <c r="H46" i="2"/>
  <c r="C46" i="2"/>
  <c r="B46" i="2"/>
  <c r="H45" i="2"/>
  <c r="C45" i="2"/>
  <c r="B45" i="2"/>
  <c r="H44" i="2"/>
  <c r="C44" i="2"/>
  <c r="B44" i="2"/>
  <c r="H43" i="2"/>
  <c r="C43" i="2"/>
  <c r="B43" i="2"/>
  <c r="H42" i="2"/>
  <c r="C42" i="2"/>
  <c r="B42" i="2"/>
  <c r="H41" i="2"/>
  <c r="C41" i="2"/>
  <c r="B41" i="2"/>
  <c r="H40" i="2"/>
  <c r="C40" i="2"/>
  <c r="B40" i="2"/>
  <c r="H39" i="2"/>
  <c r="C39" i="2"/>
  <c r="B39" i="2"/>
  <c r="H38" i="2"/>
  <c r="C38" i="2"/>
  <c r="B38" i="2"/>
  <c r="H37" i="2"/>
  <c r="C37" i="2"/>
  <c r="B37" i="2"/>
  <c r="H36" i="2"/>
  <c r="C36" i="2"/>
  <c r="B36" i="2"/>
  <c r="H35" i="2"/>
  <c r="C35" i="2"/>
  <c r="B35" i="2"/>
  <c r="H34" i="2"/>
  <c r="C34" i="2"/>
  <c r="B34" i="2"/>
  <c r="H33" i="2"/>
  <c r="C33" i="2"/>
  <c r="B33" i="2"/>
  <c r="H32" i="2"/>
  <c r="C32" i="2"/>
  <c r="B32" i="2"/>
  <c r="H31" i="2"/>
  <c r="C31" i="2"/>
  <c r="B31" i="2"/>
  <c r="H30" i="2"/>
  <c r="C30" i="2"/>
  <c r="B30" i="2"/>
  <c r="H29" i="2"/>
  <c r="C29" i="2"/>
  <c r="B29" i="2"/>
  <c r="H28" i="2"/>
  <c r="C28" i="2"/>
  <c r="B28" i="2"/>
  <c r="H27" i="2"/>
  <c r="C27" i="2"/>
  <c r="B27" i="2"/>
  <c r="H26" i="2"/>
  <c r="C26" i="2"/>
  <c r="B26" i="2"/>
  <c r="H25" i="2"/>
  <c r="C25" i="2"/>
  <c r="B25" i="2"/>
  <c r="H24" i="2"/>
  <c r="C24" i="2"/>
  <c r="B24" i="2"/>
  <c r="H23" i="2"/>
  <c r="C23" i="2"/>
  <c r="B23" i="2"/>
  <c r="H22" i="2"/>
  <c r="H21" i="2"/>
  <c r="H20" i="2"/>
  <c r="H19" i="2"/>
  <c r="H18" i="2"/>
  <c r="H17" i="2"/>
  <c r="H16" i="2"/>
  <c r="H15" i="2"/>
  <c r="H14" i="2"/>
  <c r="H13" i="2"/>
  <c r="H12" i="2"/>
  <c r="H11" i="2"/>
  <c r="H10" i="2"/>
  <c r="H9" i="2"/>
  <c r="H8" i="2"/>
  <c r="H7" i="2"/>
  <c r="H6" i="2"/>
  <c r="H5" i="2"/>
  <c r="H4" i="2"/>
</calcChain>
</file>

<file path=xl/sharedStrings.xml><?xml version="1.0" encoding="utf-8"?>
<sst xmlns="http://schemas.openxmlformats.org/spreadsheetml/2006/main" count="14478" uniqueCount="2048">
  <si>
    <t>システム運営課 ヘルプデスク - 作業内容管理・進捗</t>
  </si>
  <si>
    <t>No1</t>
  </si>
  <si>
    <t>202606</t>
  </si>
  <si>
    <t>支援</t>
  </si>
  <si>
    <t>伊藤</t>
  </si>
  <si>
    <t>佐々嶌さん</t>
  </si>
  <si>
    <t>低</t>
  </si>
  <si>
    <t>完了</t>
  </si>
  <si>
    <t>DocuWorksのインストールフォルダの場所の共有</t>
  </si>
  <si>
    <t>チャットにて共有を実施。</t>
  </si>
  <si>
    <t>No2</t>
  </si>
  <si>
    <t>対応日数(営業日)</t>
  </si>
  <si>
    <t>実作業時間</t>
  </si>
  <si>
    <t>ジャンル</t>
  </si>
  <si>
    <t>依頼部署</t>
  </si>
  <si>
    <t>依頼部署(課)</t>
  </si>
  <si>
    <t>宮澤直也様</t>
  </si>
  <si>
    <t>注文書の送付および、配送先の「福岡開発室」への変更依頼</t>
  </si>
  <si>
    <t>メールにて送付と変更依頼を実施。</t>
  </si>
  <si>
    <t>No3</t>
  </si>
  <si>
    <t>OA端末関連</t>
  </si>
  <si>
    <t>商品部</t>
  </si>
  <si>
    <t>坂田部長</t>
  </si>
  <si>
    <t>UPSバッテリー購入の手配</t>
  </si>
  <si>
    <t>稟議通過を報告し、Amazonでの購入手配をチャットで依頼。</t>
  </si>
  <si>
    <t>No4</t>
  </si>
  <si>
    <t>システム部</t>
  </si>
  <si>
    <t>篠嵜様</t>
  </si>
  <si>
    <t>スマホ機種変更（2回線）の正式発注と納期確認、ガラホの見積もり確認</t>
  </si>
  <si>
    <t>メールにて発注および確認を実施。</t>
  </si>
  <si>
    <t>No5</t>
  </si>
  <si>
    <t>髙山さん</t>
  </si>
  <si>
    <t>足達さんのアカウント連携トラブル対応</t>
  </si>
  <si>
    <t>デバイス削除と再サインインの手順をチャットで指示。</t>
  </si>
  <si>
    <t>No6</t>
  </si>
  <si>
    <t>マーケティング部</t>
  </si>
  <si>
    <t>野崎さん</t>
  </si>
  <si>
    <t>Windows 11環境での基幹端末操作（カーソルずれ）の解消</t>
  </si>
  <si>
    <t>解消のための設定手順をチャットで伝授し、解決に導く。</t>
  </si>
  <si>
    <t>No7</t>
  </si>
  <si>
    <t>総務関連</t>
  </si>
  <si>
    <t>管理部</t>
  </si>
  <si>
    <t>北澤さんの携帯番号重複への対応方針の確認</t>
  </si>
  <si>
    <t>新規購入とするか交換とするかの判断を仰ぐため、チャットで相談。</t>
  </si>
  <si>
    <t>No8</t>
  </si>
  <si>
    <t>基幹端末関連</t>
  </si>
  <si>
    <t>磯辺さん</t>
  </si>
  <si>
    <t>福岡へのガラケー発送対応</t>
  </si>
  <si>
    <t>発送が完了した旨をチャットで報告。</t>
  </si>
  <si>
    <t>No9</t>
  </si>
  <si>
    <t>PythonのExcelツールエラーに関する野崎さんからの問い合わせ対応</t>
  </si>
  <si>
    <t>エラーの内容を佐々嶌さんへチャットで転送し、状況を共有。</t>
  </si>
  <si>
    <t>No10</t>
  </si>
  <si>
    <t>下村部長</t>
  </si>
  <si>
    <t>自身の有給取得と通院によるシフト変更届の提出</t>
  </si>
  <si>
    <t>チャットにて連絡・提出。</t>
  </si>
  <si>
    <t>No11</t>
  </si>
  <si>
    <t>出嶋様</t>
  </si>
  <si>
    <t>購入機器の配送先（大宮本社）および領収書宛名等の情報回答</t>
  </si>
  <si>
    <t>メールにて必要な情報を回答。</t>
  </si>
  <si>
    <t>No12</t>
  </si>
  <si>
    <t>ネットワーク</t>
  </si>
  <si>
    <t>中居様</t>
  </si>
  <si>
    <t>Office 2019のKMSホストキーに関する問い合わせ</t>
  </si>
  <si>
    <t>メールにて技術的な問い合わせを実施。</t>
  </si>
  <si>
    <t>No13</t>
  </si>
  <si>
    <t>足達さんのスマホ設定エラー対応</t>
  </si>
  <si>
    <t>設定が上手くいかないため、端末を預かってこちらで再設定する旨をチャットで連絡。</t>
  </si>
  <si>
    <t>No14</t>
  </si>
  <si>
    <t>202607</t>
  </si>
  <si>
    <t>石鍋さん</t>
  </si>
  <si>
    <t>貯蔵品（PC・ディスプレイ）の数量確認と報告</t>
  </si>
  <si>
    <t>チャットにて現在の在庫数量を報告。</t>
  </si>
  <si>
    <t>No15</t>
  </si>
  <si>
    <t>モニター配送先変更および納期回答の確認</t>
  </si>
  <si>
    <t>メールにて配送先変更の謝意と確認の連絡を実施。</t>
  </si>
  <si>
    <t>No16</t>
  </si>
  <si>
    <t>営業管理部</t>
  </si>
  <si>
    <t>Open Value契約に向けた要件確認と、予算を抑えたプランの提案依頼</t>
  </si>
  <si>
    <t>メールにてプラン提案を依頼。</t>
  </si>
  <si>
    <t>No17</t>
  </si>
  <si>
    <t>既存ライセンスの活用と、最小構成（10～20台）での導入費用感についての相談</t>
  </si>
  <si>
    <t>メールにて要件の相談・問い合わせを実施。</t>
  </si>
  <si>
    <t>No18</t>
  </si>
  <si>
    <t>本社社長室で使用するモニター1台分の正式見積書作成依頼</t>
  </si>
  <si>
    <t>メールにて作成を依頼。</t>
  </si>
  <si>
    <t>No19</t>
  </si>
  <si>
    <t>八木様</t>
  </si>
  <si>
    <t>注文番号1454624の見積書再送依頼（添付漏れのため）</t>
  </si>
  <si>
    <t>メールにて再送を依頼。</t>
  </si>
  <si>
    <t>No20</t>
  </si>
  <si>
    <t>三嶋さん</t>
  </si>
  <si>
    <t>ガラケーの返却について、初期化して伊藤宛に送付するよう案内</t>
  </si>
  <si>
    <t>端末を初期化したうえで、伊藤宛に送付するようチャットで回答・案内。</t>
  </si>
  <si>
    <t>No21</t>
  </si>
  <si>
    <t>SCAW関連</t>
  </si>
  <si>
    <t>派遣社員用端末のOffice365ライセンス追加依頼</t>
  </si>
  <si>
    <t>坂田部長へチャットで追加手配を依頼。</t>
  </si>
  <si>
    <t>運用</t>
  </si>
  <si>
    <t>小幡</t>
  </si>
  <si>
    <t>小幡用ノートPCのキッティング作業　田中・加藤 商品管理部　Scawメニュー付与</t>
  </si>
  <si>
    <t>左記の内容で実施。</t>
  </si>
  <si>
    <t>山本</t>
  </si>
  <si>
    <t>山本ノートPCキッティング（作業用スクリプト制作含む）</t>
  </si>
  <si>
    <t>障害</t>
  </si>
  <si>
    <t>社長</t>
  </si>
  <si>
    <t>尾島社長</t>
  </si>
  <si>
    <t>尾島社長OA端末フリーズ対応</t>
  </si>
  <si>
    <t>タスクマネージャで不要アプリの停止などで動作が復旧。</t>
  </si>
  <si>
    <t>清國</t>
  </si>
  <si>
    <t>清國さん大容量メールの送信をサポート（ギガファイル便の使用）</t>
  </si>
  <si>
    <t>顧客部</t>
  </si>
  <si>
    <t>林田</t>
  </si>
  <si>
    <t>林田さんも同様の質問があり対応</t>
  </si>
  <si>
    <t>岡本</t>
  </si>
  <si>
    <t>顧客部新入社パート端末キッティング（Docuworks、CTIの設定の資料化、動作確認含む）</t>
  </si>
  <si>
    <t>佐々嶌</t>
  </si>
  <si>
    <t>高</t>
  </si>
  <si>
    <t>EDI稟議書の作成と修正</t>
  </si>
  <si>
    <t>業務運用</t>
  </si>
  <si>
    <t>物流部</t>
  </si>
  <si>
    <t>　</t>
  </si>
  <si>
    <t>中</t>
  </si>
  <si>
    <t>東日本物流　複合機入替作業　設定の残作業を実施</t>
  </si>
  <si>
    <t>ドライバの確認、基幹側は旧ドライバから設定変更し流用？</t>
  </si>
  <si>
    <t>清國さんEXCELのエラーからのデータ復旧</t>
  </si>
  <si>
    <t>自動保存から別ディレクトリに保管されたデータから復旧。</t>
  </si>
  <si>
    <t>WindowsUpdate用の運用方法を確認</t>
  </si>
  <si>
    <t>個々PCで設定し、部署単位で運用？　スクリプトかレジストリ？　グループポリシー変更でどうにかならないか？</t>
  </si>
  <si>
    <t>顧客部端末の設置作業、林田さんとの内容確認</t>
  </si>
  <si>
    <t>設置場所、アプリのライセンスの有無で設置場所を変更。</t>
  </si>
  <si>
    <t>相原</t>
  </si>
  <si>
    <t>相原 移動に伴う端末のキッティング</t>
  </si>
  <si>
    <t>成川</t>
  </si>
  <si>
    <t>成川　Excelが遅く開けない。（北山も同様）</t>
  </si>
  <si>
    <t>xlsx形式→xlsb形式でローカルは作業。NWを切断することで動作が若干改善。365特有の問題？</t>
  </si>
  <si>
    <t>安形</t>
  </si>
  <si>
    <t>安形基幹端末の映像出力できない状況への対応。</t>
  </si>
  <si>
    <t>基幹PCがフリーズしていたので再起動とチェックディスク実施。切替器の再読み込み。キーボード、マウスも無線で電池交換。</t>
  </si>
  <si>
    <t>Excelの動作が遅くなる問題について確認。xlsx形式→xlsb形式で動作、容量が軽減1/5程度に。</t>
  </si>
  <si>
    <t>堀川</t>
  </si>
  <si>
    <t>堀川　基幹　oracleに接続できない問題。oraファイルの内容が古く接続先が違っていたので修正。</t>
  </si>
  <si>
    <t>要望</t>
  </si>
  <si>
    <t>その他</t>
  </si>
  <si>
    <t>野崎</t>
  </si>
  <si>
    <t>商品管理部 加藤・田中 情報系端末のScawメニューの付与（設定方法の確認も含む）</t>
  </si>
  <si>
    <t>物流　複合機の設定の確認</t>
  </si>
  <si>
    <t>基幹のドライバが新しいものはXPで対応していないので旧ドライバから引継ぎ。まだわからない。</t>
  </si>
  <si>
    <t>資産管理　端末情報の確認作業</t>
  </si>
  <si>
    <t>台帳とSkyの際が増えてきたので現場と在庫と確認。</t>
  </si>
  <si>
    <t>商品管理部 加藤・田中 固定電話の受信時の動作の変更作業</t>
  </si>
  <si>
    <t>部署の先に在籍していた社員の設定を流用、設定し確認。手順を資料化して保存。</t>
  </si>
  <si>
    <t>山中</t>
  </si>
  <si>
    <t>川口3階のアルバイト・パート社員打刻PCの不調、Freeeの打刻アプリの更新ができない。リモート接続できず本社に送り対応。</t>
  </si>
  <si>
    <t>SSDの不良がありコピーし移植。BIOSなどの更新含め対応。管理部でFreeeの設定を行い発送。設置後にテストをしてもらい、完了。</t>
  </si>
  <si>
    <t>坂本</t>
  </si>
  <si>
    <t>中澤</t>
  </si>
  <si>
    <t>基本ドライバースケジュール変更対応</t>
  </si>
  <si>
    <t>既定手順で対応済</t>
  </si>
  <si>
    <t>営業部</t>
  </si>
  <si>
    <t>佐藤</t>
  </si>
  <si>
    <t>OA端末のログイン時のエラー。画面が黒くなりマウスカーソル以外見えなくなる。</t>
  </si>
  <si>
    <t>Ctrl＋Alt＋Deleteキーでサインアウトし再度ログインすると正常動作でログインできるようになるので解消。Windows11 24H2の障害か？　FMVで多発する。</t>
  </si>
  <si>
    <t>関口</t>
  </si>
  <si>
    <t>新入社員　沖田さんのメールアカウントの作成と、サイボウズ への登録・確認。</t>
  </si>
  <si>
    <t>左記の内容</t>
  </si>
  <si>
    <t>課題</t>
  </si>
  <si>
    <t>下村</t>
  </si>
  <si>
    <t>KPIや業績評価で必要な運営課の作業内容を入力するシートの作成（本シート）</t>
  </si>
  <si>
    <t>作成完了。下村さんにパスを共有するメール。</t>
  </si>
  <si>
    <t>遠藤</t>
  </si>
  <si>
    <t>オーダーメイドで使用する外付けHDDが認識不可</t>
  </si>
  <si>
    <t>①外付けHDDを接続する端末を、USBストレージの制限対象外とする
②外付けHDD自体を使用許可するメディアとしてSKYSEA登録して①を解除する</t>
  </si>
  <si>
    <t>村本</t>
  </si>
  <si>
    <t>名刺端末でスキャンしたデータが名刺サーバ上(\\flbc01\MEISHI_LOGO\OUT)に存在せず、また見覚えのないデータが存在する</t>
  </si>
  <si>
    <t>社内メールで福岡へ調査依頼
→名刺ロゴ抽出のプログラムが、動作中の状態に見えて一部機能に不具合が発生。プログラムを再起動して解消。</t>
  </si>
  <si>
    <t>川口配送センター</t>
  </si>
  <si>
    <t>中澤さんOA端末　Win11に更新によるものでスキャンボックスに入る際に、
認証が必要となり使用できない。</t>
  </si>
  <si>
    <t>本社から配送センターの複合機に管理者ログイン。ボックス内の中澤アカウントにパスワードを設定しテスト。11からWindows資格情報にIP、ボックス番号、パスワード設定が必須。総務人事からのフォルダに資料を保管。</t>
  </si>
  <si>
    <t>出荷予定日変更</t>
  </si>
  <si>
    <t>坂田</t>
  </si>
  <si>
    <t>Bizストレージ＆ファイルシェア 見積書＆申込書の申し込み・疑問点の確認のためNTTコールセンター担当者と電話。</t>
  </si>
  <si>
    <t>見積書・申込書はExelファイルでZipファイルでメールで受信予定。週明け。
担当：清水様　0120-950-138</t>
  </si>
  <si>
    <t>津田</t>
  </si>
  <si>
    <t>iPad　業務用アプリケーション更新作業の手順の確認</t>
  </si>
  <si>
    <t>Apple IDを入力し対応。2要素認証が管理部部長だった岡村さんに行くのでGWに修正し変更する予定。</t>
  </si>
  <si>
    <t>問合せ</t>
  </si>
  <si>
    <t>見形</t>
  </si>
  <si>
    <t>メモ番号:36065967の内容が自動的？に入っているが、メールが届いていない。メモ内容がメールと自動連携されているのでメールがあるはず、とのこと。</t>
  </si>
  <si>
    <t>よくわからないので下村さんにお願いしました。</t>
  </si>
  <si>
    <t>名塚</t>
  </si>
  <si>
    <t>OA端末192.176.5.11でUSBメモリの接続許可依頼</t>
  </si>
  <si>
    <t>SKYSEAで接続許可対応</t>
  </si>
  <si>
    <t>浅野</t>
  </si>
  <si>
    <t>基幹データ移動の際、中継サーバに接続不可。</t>
  </si>
  <si>
    <t>128.128.5.6のみ疎通ができない状態。再起動後に状況を確認しようとしたが、浅野さんに端末制御が移ったため、メールで接続確認を依頼。</t>
  </si>
  <si>
    <t>佐々嶌
坂本</t>
  </si>
  <si>
    <t>開発</t>
  </si>
  <si>
    <t>野尻</t>
  </si>
  <si>
    <t>ライフル買い物コネクトで欠品商品を抽出するツールの仕様変更</t>
  </si>
  <si>
    <t>要望通り対応</t>
  </si>
  <si>
    <t>池田</t>
  </si>
  <si>
    <t>岡村</t>
  </si>
  <si>
    <t>在庫管理課）栗林さんのOA基幹ファイル移動用アカウント新規設定</t>
  </si>
  <si>
    <t>SKYSEA管理サーバにアカウント追加、ユーザーへの利用案内</t>
  </si>
  <si>
    <t>岡元</t>
  </si>
  <si>
    <t>サービス課）松田さんのOA基幹ファイル移動用アカウント新規設定</t>
  </si>
  <si>
    <t>深澤</t>
  </si>
  <si>
    <t>直送品出荷指示</t>
  </si>
  <si>
    <t>エディオン財務部　配信用のエクセルの集計シートのデータが月毎のシートの合計と合わないので調査して修正してほしいとのこと。急ぎ。</t>
  </si>
  <si>
    <t>各月のシートのカテゴリが毎月変わっているので、集計シートは対象の全カテゴリを含めないと正しい値にならない。修正済み。</t>
  </si>
  <si>
    <t>三縞</t>
  </si>
  <si>
    <t>混載設定追加</t>
  </si>
  <si>
    <t>母の日ギフト商品の業務支援ツールで、社外モールにアップロードするデータに既定外のデータ項目が出力される</t>
  </si>
  <si>
    <t>ｄショッピング向けのCSVデータで各行末尾に空データが存在するため、削除する仕組みを追加。</t>
  </si>
  <si>
    <t>矢ヶ崎</t>
  </si>
  <si>
    <t>在庫品引当</t>
  </si>
  <si>
    <t>佐々木</t>
  </si>
  <si>
    <t>24年度伝票。数量1と9の2明細があり、9の方への引当依頼。確認すると数量1が引当済み状態で、9の方に引当不可。下村さんと相談して1を未引当に変更して9に引当を実施。</t>
  </si>
  <si>
    <t>OAから基幹へのファイル転送に失敗する</t>
  </si>
  <si>
    <t>フォルダでの移動を実施したため、転送ができなかった。ファイル個別での転送を依頼。</t>
  </si>
  <si>
    <t>SCAWメニューの付与後のエラー。Scawが落ちる。</t>
  </si>
  <si>
    <t>SCAWメニューの付与後のエラー対応。Scaw.iniの書き換えとSIOBからの更新作業で対応。</t>
  </si>
  <si>
    <t>渡部</t>
  </si>
  <si>
    <t>WEBEDI利用料金徴収案内メールを送信するため、コールセンターのパート社員のサイボウズアカウントに専用アドレスを設定する</t>
  </si>
  <si>
    <t>4名に専用アドレス「frt_kanri@forest.co.jp」を設定。また送信者名を変更する手順を作成して展開済み。</t>
  </si>
  <si>
    <t>在庫品出荷指示</t>
  </si>
  <si>
    <t>鶴田さんに対応依頼。完了後、手順を共有いただいた</t>
  </si>
  <si>
    <t>ウォータースタンド商品の出荷日・着日一括変更</t>
  </si>
  <si>
    <t>岡崎</t>
  </si>
  <si>
    <t>WEBEDI利用料金徴収案内メールを送信するため、蟹江さん、岸川さんのサイボウズアカウントにも専用アドレスを設定する</t>
  </si>
  <si>
    <t>2名に専用アドレス「frt_kanri@forest.co.jp」を設定済み。</t>
  </si>
  <si>
    <t>マーケティング部が使用しているチャート作成ソフトの代替になるような簡単な操作のものがないか質問。</t>
  </si>
  <si>
    <t>ひとまず今のものに変わる簡単な操作のものがなく、様子見。引き続き調査。</t>
  </si>
  <si>
    <t>川口3階にあるプリンターを基幹端末にNW接続したい。
EPSONPX105</t>
  </si>
  <si>
    <t>接続方法の確認。ドライバーの準備、IPアドレスの払い出しなど。月曜日に実施。
Forestwayで購入のLANケーブルが届いてからの作業を実施。→希望のLANケーブルが納品がまだ。
→納品されたので完了済み。</t>
  </si>
  <si>
    <t>Google Cheromeの設定がデスクトップの時のものにそろえたい。</t>
  </si>
  <si>
    <t>完全に本人の要望のため協力はしたが自分で調査させて残りは本人に対応させる。</t>
  </si>
  <si>
    <t>大澤</t>
  </si>
  <si>
    <t>インプロのアドミニストレーターバージョンをインストールしたい。</t>
  </si>
  <si>
    <t>インストールしました。</t>
  </si>
  <si>
    <t>モニタが映らなくなった。</t>
  </si>
  <si>
    <t>電源が抜けてました。</t>
  </si>
  <si>
    <t>コールセンター年間スケジュール登録による留守電のCTIへの設定の依頼調整。</t>
  </si>
  <si>
    <t>見積もり取得、登録スケジュールの伝達。スケジュールの確定。5/21 10：00　メール・電話対応。</t>
  </si>
  <si>
    <t>北澤</t>
  </si>
  <si>
    <t>在庫引き当て</t>
  </si>
  <si>
    <t>着日変更、出荷指示依頼</t>
  </si>
  <si>
    <t>直送品の着日変更可否を下村さんに確認し、対応いただいた</t>
  </si>
  <si>
    <t>配送</t>
  </si>
  <si>
    <t>小林</t>
  </si>
  <si>
    <t>新砂午後便の配車確定が定時に間に合わなかった。</t>
  </si>
  <si>
    <t>自動配車を停止して、配車できる状態に変更。
その後確定してもらって、自動配車状態へ移行させた。</t>
  </si>
  <si>
    <t>久楽</t>
  </si>
  <si>
    <t>在庫品の出荷指示依頼</t>
  </si>
  <si>
    <t>在庫品の対応は手順不明のため、下村さんへ連絡。対応中に自動出荷指示がかかった。</t>
  </si>
  <si>
    <t>佐々嶌
坂本
伊藤</t>
  </si>
  <si>
    <t>齋藤</t>
  </si>
  <si>
    <t>SCAWの得意先メモ表示で、管理番号入力後にEnterキーを押しても表示されない。他のアプリケーションや、SCAWの他の画面では正常に作動する。</t>
  </si>
  <si>
    <t>KVM切替機の不具合。接続ケーブル挿抜により解消。</t>
  </si>
  <si>
    <t>上村</t>
  </si>
  <si>
    <t>エクセルを開くとエラーが出ることがある。
閉じれば使えるが、対処方法があれば教えて欲しい。</t>
  </si>
  <si>
    <t>https://qiita.com/misty299/items/07700bee14499222d814
「C:\Users\FMV\AppData\Local\Packages\Microsoft.AAD.BrokerPlugin_cw5n1h2txyewy」内のファイルを削除、MS365アカウントで再ログイン</t>
  </si>
  <si>
    <t>LANケーブル、マウスなどのシステムに関わる備品のForestway での購入。</t>
  </si>
  <si>
    <t>EDI端末のバックアップ制作。5/21HDDコピー。起動確認。LANアダプタ購入。</t>
  </si>
  <si>
    <t>ひとまずコピー＆HDDの動作は確認。この後、PCを完全に予備用のものにして、LANアダプタの到着後に、サーバー室設置。福岡に引き渡してチェックをしてもらう予定。
→タスクスケジューラーの内容を改めて確認して、NWに接続してOKになってから。</t>
  </si>
  <si>
    <t>端末起動時に毎回カーソルのみの画面表示となる</t>
  </si>
  <si>
    <t>グラフィックドライバとBIOSを更新した。依頼者不在のため様子見。</t>
  </si>
  <si>
    <t>出荷予定日変更（至急）</t>
  </si>
  <si>
    <t>藤田</t>
  </si>
  <si>
    <t>マーケティング部のBI分析でRを使用するが、Shiny(Rを利用したWebアプリパッケージ)の機能更新版が、一部動作しない。（analysis_1が起動しませんでした、というメッセージ）</t>
  </si>
  <si>
    <t>分析ファイルの内容を、詳細ログが出力できるよう修正して、その結果をChatAIで分析。分析結果から更にコードを修正（タイムアウト値の調整、viewer関数の修正）して正常動作を確認。</t>
  </si>
  <si>
    <t>木村</t>
  </si>
  <si>
    <t>売上伝票入力メニューで、確定日付を入力する際に権限不足のメッセージが表示されるので解消したい。対象は見形、佐藤の割当端末。</t>
  </si>
  <si>
    <t>下村さんに対応依頼</t>
  </si>
  <si>
    <t>特定端末で、CTIシステムへのログインに失敗する。</t>
  </si>
  <si>
    <t>下村さんに確認依頼。本端末に割当された内線番号が、別の端末に割当されているため、ログイン不可。こちらの対応としては無し。</t>
  </si>
  <si>
    <t>和田</t>
  </si>
  <si>
    <t>管理部の共有端末にリモートデスクトップしたいが、ユーザー/パスワードが不明</t>
  </si>
  <si>
    <t>FMV/パスワード無しで接続可能であることを連絡</t>
  </si>
  <si>
    <t>北山</t>
  </si>
  <si>
    <t>Excelで数十万行を扱う際に、フリーズする（メモリ不足？）動作が見られる。相川さんの端末では問題なく動作する。</t>
  </si>
  <si>
    <t>北山さんPCと相川さんPCを比較すると、前者の方はWindows10でスペックも高い。取り急ぎOfficeの修復を実行して、経過観察とする。</t>
  </si>
  <si>
    <t>名刺</t>
  </si>
  <si>
    <t>一部の名刺が印刷出力されていないように思われる。再印刷で対応したが、システムで印刷履歴が確認可能か。</t>
  </si>
  <si>
    <t>印刷は完了していたが、印刷物を紛失していたことが判明。対処なし。</t>
  </si>
  <si>
    <t>Windows Live メールを使用して一部の相手とHTML形式メールの送受信をすると、文字化けが発生する。</t>
  </si>
  <si>
    <t>既定のエンコード設定を、日本語からUnicodeに変更した。経過観察とする。</t>
  </si>
  <si>
    <t>中村</t>
  </si>
  <si>
    <t>須藤</t>
  </si>
  <si>
    <t>Windows11端末でFFFTPの挙動が不安定化する。回避手段や代替ソフトの検討</t>
  </si>
  <si>
    <t>WinSCPでの接続を検証し問題なかったため、代替手段として推奨。ただし暗号化無しのFTP接続を行っているため、パスワードの取り扱いについて注意するよう連絡。</t>
  </si>
  <si>
    <t>村上</t>
  </si>
  <si>
    <t>情報系端末のラベル確認</t>
  </si>
  <si>
    <t>情報系端末(128.128.3.2)は以下の通り、ホスト名とSCAWが持つ端末番号が異なる
ホスト名：SCAW-8001
SCAW.ini：SCAW-0066</t>
  </si>
  <si>
    <t>Rを使用した分析ツールの稼働のためにメモリ不足の可能性。</t>
  </si>
  <si>
    <t>FMV共用端末にメモリ増設。動作を確認。</t>
  </si>
  <si>
    <t>蟹江</t>
  </si>
  <si>
    <t>蟹江さんOA端末でメモリが破損し起動不能となる。</t>
  </si>
  <si>
    <t>メモリの在庫を使用し交換。取り外したメモリはテスターで見てみたが使用不可で廃棄。</t>
  </si>
  <si>
    <t>品目登録　登録可と不可の登録が以前できなかったので確認してほしい。</t>
  </si>
  <si>
    <t>一度該当メニューをすべて外し、一度更新。そのあと改めて付与しなおし。
以前できなかったが今回はできた。理由は不明。</t>
  </si>
  <si>
    <t>封筒デザイン、オーダーメイドのWebデザインのアイデア出しに便利なAIツールは何か知っているかの質問。</t>
  </si>
  <si>
    <t>Canva、Adobe FireFly、Indesignなど確認して林田さんに報告。</t>
  </si>
  <si>
    <t>坂本
佐々嶌</t>
  </si>
  <si>
    <t>VD変更、仕入先変更</t>
  </si>
  <si>
    <t>停電時に稼働していてほしいPC端末がUPSに接続されていない。</t>
  </si>
  <si>
    <t>UPSがどのエリアに接続されているか確認。電源タップの接続のやり直しと、起動の確認作業を実施。</t>
  </si>
  <si>
    <t>セキュリティソフトのAvast!が無料ライセンス期限の通知画面が表示される</t>
  </si>
  <si>
    <t>社内標準で使用しているセキュリティソフトではないため、アンインストールを実施</t>
  </si>
  <si>
    <t>サーバー</t>
  </si>
  <si>
    <t>全体</t>
  </si>
  <si>
    <t>SCAW画面が固まって動かないと連絡あり。</t>
  </si>
  <si>
    <t>下村さんに電話。
SCAWDBサービスが落ちてしまっていた模様。
Forestway、ココデカウも接続不可。物流にも影響あり。
DBサーバーを再起動して復旧。
原因はオラクル統計情報を取得するテーブルの表領域が枯渇していた為？</t>
  </si>
  <si>
    <t>青木</t>
  </si>
  <si>
    <t>切替器の切り替えができない。</t>
  </si>
  <si>
    <t>切替器のホットキー再設定。キーボードもCtrlキーが押しづらく、キーボードの劣化があるので交換。</t>
  </si>
  <si>
    <t>名刺編集の「コピーして新規作成」処理が実行不可</t>
  </si>
  <si>
    <t>下村さんにエスカレーション。基幹DB障害発生検知後から10:40頃まで、FWS3⇒基幹へアクセスしないよう設定変更していた影響とのこと。</t>
  </si>
  <si>
    <t>配送リスト（インプロ）が表示されなくなってしまった。</t>
  </si>
  <si>
    <t>プリンター設定がおかしくなっていたので正しく設定することで対応できた。7/4（金）再発。通常使用するプリンタをコニカミノルタにしてScawを再起動して対応。浅見PCの共有が邪魔してる可能性があり共有ドライバ削除。再発しないか確認を継続してもらう。</t>
  </si>
  <si>
    <t>田中</t>
  </si>
  <si>
    <t>仕入先登録</t>
  </si>
  <si>
    <t>5/31～6/1の未引当メールが無いが、妥当か（情報取得や配信処理の不具合ではないか）</t>
  </si>
  <si>
    <t>システム定例会議で報告。メール発報基準に満たないと考えられるため、配信されないのは正常動作</t>
  </si>
  <si>
    <t>データプラス　伊藤様から電話があり、Hubの電源ケーブル破損。代わりの準備の依頼。</t>
  </si>
  <si>
    <t>社内で規格の合うものを確認し佐川で発送。</t>
  </si>
  <si>
    <t>ローカルチャットAIの試用版を使用しているユーザーへの有料版使用への
喚起メール送信。</t>
  </si>
  <si>
    <t>確認方法を記載した社内メールを全社員に送信。</t>
  </si>
  <si>
    <t>樋口</t>
  </si>
  <si>
    <t>広告配信で配信対象の顧客を識別するための個人情報を配信業者へ渡す際、データのハッシュ化についての確認</t>
  </si>
  <si>
    <t>ハッシュ化について説明。合わせてハッシュ化された個人情報でも、アルゴリズムが分かれば個人特定につながるため、利用保留とした方がよい旨を連絡。</t>
  </si>
  <si>
    <t>高橋</t>
  </si>
  <si>
    <t>SCAWメニュー申請　小林、足達、高山</t>
  </si>
  <si>
    <t>所定の手順で対応し終了。ワークフロー、社内メールで伝達。</t>
  </si>
  <si>
    <t>SCAW使用者登録申請　大井</t>
  </si>
  <si>
    <t>浅見</t>
  </si>
  <si>
    <t>OA側複合機　スキャンフォルダを追加したい。</t>
  </si>
  <si>
    <t>PC側、複合機ともに設定をマニュアル通り設定た。PCから複合機のフォルダが見えているのに複合機本体のパネルから見えない。調査のため一度終了。</t>
  </si>
  <si>
    <t>長谷川</t>
  </si>
  <si>
    <t>OA端末(ノートPC)から外部ディスプレイに表示されない</t>
  </si>
  <si>
    <t>マウス、キーボードは切替機を通して正常に動作する。映像出力のみ問題が起こるが、何故か基幹PCからの映像出力は問題がない。モニター自体を交換して解消。</t>
  </si>
  <si>
    <t>須永</t>
  </si>
  <si>
    <t>OA端末のディスク空き容量が不足している、どう対処したらよいか。</t>
  </si>
  <si>
    <t>ローカルに必要なファイルはドキュメントフォルダに集約したとのことで、システムフォルダを除きサイズが大きいファイルを表示するバッチプログラムを提供し、削除候補として検討するよう依頼。</t>
  </si>
  <si>
    <t>AdobeILでログイン認証が要求される</t>
  </si>
  <si>
    <t>管理台帳を基に再ログイン。アカウントロックされたのかパスワードがリセットされたため再発行した。</t>
  </si>
  <si>
    <t>名刺編集画面で緊急コールの表示</t>
  </si>
  <si>
    <t>村本さんへ福岡システム部へエスカレーションするよう連携</t>
  </si>
  <si>
    <t>やはり作成したものは見えず。元からあったフォルダが見えているから、それをそのまま流用してもらい完了。</t>
  </si>
  <si>
    <t>森山</t>
  </si>
  <si>
    <t>西日本　森山さん　EDION支給のガラケーからスマホに機種変更したいという要望。</t>
  </si>
  <si>
    <t>EDION携帯電話をフォーレストの携帯電話として機種変はできない。（ナンバーポータビリティも不可）となるので新規の番号でiPhone、Androidで契約の見積もりを依頼。</t>
  </si>
  <si>
    <t>pdfファイルを開くとedgeが起動し、内容も表示されない</t>
  </si>
  <si>
    <t>pdfファイルをAdobe Acrobatに関連付けして開き、内容が表示されることを確認</t>
  </si>
  <si>
    <t>本社でモニターが破損のため、坂本さんのモニターを譲渡。在庫がなく今後の対応用に購入予定。</t>
  </si>
  <si>
    <t>ダイワボウ一瀬様にメールで見積もり要請。3台分。</t>
  </si>
  <si>
    <t>基幹にインクジェットプリンターを接続したいのでLANケーブルとリモートでの設定をしてほしい。</t>
  </si>
  <si>
    <t>LANケーブルを送ったが長さが足りない。より長いものを送る。6/9に設定の予定。</t>
  </si>
  <si>
    <t>VD一括登録</t>
  </si>
  <si>
    <t>FireWorksを加藤さん・田中さんOA端末にインストールしてほしい。</t>
  </si>
  <si>
    <t>インストーラーを準備して自身でインストールを依頼。手順を坂口さんに伝え、不明点を対応しインストールを実施。</t>
  </si>
  <si>
    <t>PowerPointを使用したい。</t>
  </si>
  <si>
    <t>Office2019から365に入れ替え。動作確認</t>
  </si>
  <si>
    <t>端末を起動してもログイン画面が表示されない。</t>
  </si>
  <si>
    <t>電源ボタン長押しによる強制電源断後に、再起動して解消。OSセキュリティ更新が適用が始まったため、不具合はその影響と思われる。</t>
  </si>
  <si>
    <t>データプラス 伊藤様から先日設定したルーターの情報を聞きたいと電話連絡があり対応。</t>
  </si>
  <si>
    <t>NTT東日本 荒木様とメールで確認。伊藤様に共有。</t>
  </si>
  <si>
    <t>採用を予定していて、以前申請のあった中断中の端末の準備を再開してほしいとのこと。</t>
  </si>
  <si>
    <t>キッティング作業。</t>
  </si>
  <si>
    <t>Windows updateで通信が遅くなる。</t>
  </si>
  <si>
    <t>Windows updateに関しての対策を検証。事前通知、Skyで更新時期の変更ができるかの対策を検証。</t>
  </si>
  <si>
    <t>坂口</t>
  </si>
  <si>
    <t>マスタ一括更新ツールの追加対応</t>
  </si>
  <si>
    <t>荒木さんからの依頼もあり、更新ツールの設定変更手順を確認しながら対応。</t>
  </si>
  <si>
    <t>VD一括変更</t>
  </si>
  <si>
    <t>skyで設定変更を全OA端末に反映できない。</t>
  </si>
  <si>
    <t>ESETにskyによるバックグラウンド実行でバッチ処理ができないので、マニュアルを作成し、個別対応の依頼。</t>
  </si>
  <si>
    <t>混載設定の削除、追加</t>
  </si>
  <si>
    <t>削除対応は下村さんに確認して実施</t>
  </si>
  <si>
    <t>PCモニター故障。在庫がなくなったので購入へ。</t>
  </si>
  <si>
    <t>見積もり、稟議書作成、稟議申請、ダイワボウに発注。</t>
  </si>
  <si>
    <t>出荷予定日・着日変更</t>
  </si>
  <si>
    <t>ESETで一部の端末に設定が事前にされている場合と管理者権限を求められて設定できない。</t>
  </si>
  <si>
    <t>マニュアルを改編。共用端末に関しては連絡し一時保留。</t>
  </si>
  <si>
    <t>請求先変更</t>
  </si>
  <si>
    <t>VD設定</t>
  </si>
  <si>
    <t>小黒</t>
  </si>
  <si>
    <t>基幹端末のSSDから起動できなくなった。</t>
  </si>
  <si>
    <t>使用されていたSSDの寿命と考えられる。高山さんにも確認。データ復旧は無理と判断し、別の端末のキッティングを行う。</t>
  </si>
  <si>
    <t>基幹用NASのデモ機をアイ・オー・データに返送。</t>
  </si>
  <si>
    <t>佐川急便元払いで発送。</t>
  </si>
  <si>
    <t>基幹端末のマザー機のSSDの破損。</t>
  </si>
  <si>
    <t>HDDで別にバックアップを取っていたので、SSDに移して再設定。</t>
  </si>
  <si>
    <t>西日本営業所 森山さんの携帯電話の注文の確認連絡。</t>
  </si>
  <si>
    <t>EDION篠崎さんに連絡。</t>
  </si>
  <si>
    <t>基幹側NASの稟議書、ワークフローに登録。</t>
  </si>
  <si>
    <t>所定の方法で登録。</t>
  </si>
  <si>
    <t>フォーレストの使用中ドメインの確認作業。</t>
  </si>
  <si>
    <t>田中さん、佐々嶌さんに連絡。</t>
  </si>
  <si>
    <t>エレコムの製品で周辺機器の試用機のレンタルへの問い合わせ。</t>
  </si>
  <si>
    <t>所定の方法でメール、Webサイトで確認し確認。希望機種の試用機がなく断念。</t>
  </si>
  <si>
    <t>菅野</t>
  </si>
  <si>
    <t>OA→基幹のファイル移動が不可</t>
  </si>
  <si>
    <t>当該ファイルの移動に関しては、手動で対応。別ファイルも移動不可のため、転送プログラムを停止・起動で復旧した</t>
  </si>
  <si>
    <t>河野</t>
  </si>
  <si>
    <t>切替機の不調</t>
  </si>
  <si>
    <t>ELECOM製のKVMスイッチに変更</t>
  </si>
  <si>
    <t>いつもやり取りのあった取引先のメールにSPAM表示が付いてしまう。</t>
  </si>
  <si>
    <t>ESETのメール保護の部分でリストに登録することで回避できそう。</t>
  </si>
  <si>
    <t xml:space="preserve">HP 830 G8 ノートPCの使い方が荒く、キートップの破損などで使いづらい状態に。完全に本人の問題。 </t>
  </si>
  <si>
    <t>補修分品の調達を確認。現在在庫がない。メーカー修理だとすごく高額。何とか少額でなんとかしたい。</t>
  </si>
  <si>
    <t>マーケティング部　派遣社員採用に関して、派遣元のサイトに接続するNW情報が必要。</t>
  </si>
  <si>
    <t>グローバルIPなど情報が必要。調査し設定をサポート。</t>
  </si>
  <si>
    <t>7月人事異動でノートPCが必要に。安形さん、蟹江さんと新規の購入先の話をして、坂田さんに確認し中古PCを購入する予定に。</t>
  </si>
  <si>
    <t>左記の内容で打ち合わせ。この後計画を確認し、見積もり取得。</t>
  </si>
  <si>
    <t>PC切替器4台が必要。管理部宇野さんから回収し、設置する。
また別席で別の切替器を使用していたが不調。ELECOMに交換。</t>
  </si>
  <si>
    <t>左記の内容で対応。</t>
  </si>
  <si>
    <t>切替機のホットキーが使えない、画面切り替えに数秒のタイムラグがある</t>
  </si>
  <si>
    <t>KVMスイッチの設定再読み込み、接続ケーブルの挿抜で解消せず、モニターを交換で改善</t>
  </si>
  <si>
    <t>鶴巻</t>
  </si>
  <si>
    <t>Outlookか更新されレイアウトが変わったものを元の仕様に戻したい。</t>
  </si>
  <si>
    <t>調査、変更し対応。</t>
  </si>
  <si>
    <t>他社AIによる商品情報が取得できるか調査。</t>
  </si>
  <si>
    <t>GeminiとGrokを使用し、調査。精査は依頼するがデータを取得。</t>
  </si>
  <si>
    <t>マーケティング部　派遣社員用PCが欲しい。</t>
  </si>
  <si>
    <t>EXV、イオシス他から中古PCの見積もり取得。稟議書作成し提出。</t>
  </si>
  <si>
    <t>現状のSCAWメニュー申請書の内容がシステムと一致しておらず、本来登録可能なはずのメニューが申請できない</t>
  </si>
  <si>
    <t>SCAWDBから抽出した業務メニュー一覧を基に、申請書を修正</t>
  </si>
  <si>
    <t>渡辺</t>
  </si>
  <si>
    <t>債権管理 振込用紙プリンターの印刷ができない。</t>
  </si>
  <si>
    <t>FL-02のエラーによる共有プリンタドライバの通信不可が原因。FL-02の復旧まで代替策で対応。FL-02復旧後に設定をもとに戻す作業。</t>
  </si>
  <si>
    <t>ローカルチャットAIにGemini2.0Frashを追加。各モデルの使い分けがわからないと思うので比較表追加。</t>
  </si>
  <si>
    <t>左記の内容でサイボウズにアップ。</t>
  </si>
  <si>
    <t>西日本　森山さん　EDION支給のガラケーからスマホに機種変更したいという要望。EDIONに進捗確認。</t>
  </si>
  <si>
    <t>登記簿更新が必要。坂田さんに依頼しEDIONに最新のものを送信。</t>
  </si>
  <si>
    <t>共有端末にインクジェットプリンタをLAN接続したい。</t>
  </si>
  <si>
    <t>ドライバを用意し、IPアドレスを準備。設定し接続をリモートで作業し接続。</t>
  </si>
  <si>
    <t>宇野</t>
  </si>
  <si>
    <t>キーボードが動かない。</t>
  </si>
  <si>
    <t>新品に交換。</t>
  </si>
  <si>
    <t>RESERVE_FLAG=8のため、依頼者に確認。フラグ解除後に既定手順で対応</t>
  </si>
  <si>
    <t>firefoxでRMSへ接続時に、警告画面が出る。</t>
  </si>
  <si>
    <t>SKYSEAの拡張機能が動作した結果。同意して続行。</t>
  </si>
  <si>
    <t>先週までのWORKテーブル削除</t>
  </si>
  <si>
    <t>EM190仕入先変更</t>
  </si>
  <si>
    <t>EM430VD更新</t>
  </si>
  <si>
    <t>世界的なパスワード流出の疑念から社内のOAのサインインパスワードの設定変更を計画。</t>
  </si>
  <si>
    <t>マニュアル作成。７月中に打診して実施。個人端末のみ。</t>
  </si>
  <si>
    <t>野尻端末の設定と設置（物流システムの設定に問題</t>
  </si>
  <si>
    <t>基幹メール設置しなおし。基幹端末のドライブパスの設定他。</t>
  </si>
  <si>
    <t>基幹端末のMother端末の設定。旧Mother端末のSSDの破損のため。</t>
  </si>
  <si>
    <t>SSDのコピーと設定変更をして次回以降の作業の時間短縮のため。</t>
  </si>
  <si>
    <t>野尻さん　部署異動で基幹端末入替。旧端末から新端末に残っていたメールを移動。</t>
  </si>
  <si>
    <t>名刺印刷室のUPSの消耗したバッテリーの交換作業。</t>
  </si>
  <si>
    <t>鶴巻さん　部署変更で端末の移動作業。</t>
  </si>
  <si>
    <t>左記の内容どおりの対応で実施。</t>
  </si>
  <si>
    <t>ヤマダ</t>
  </si>
  <si>
    <t>ルーター脆弱性の問題の通知、ipadの旧態化問題</t>
  </si>
  <si>
    <t>確認電話、メール送信、iOSバージョン確認、機種、ルーター確認</t>
  </si>
  <si>
    <t>迫田</t>
  </si>
  <si>
    <t>FireFoxで検索ができない。</t>
  </si>
  <si>
    <t>Skyの設定変更を坂本さんに依頼し対応。</t>
  </si>
  <si>
    <t>マーケティング部のノートPCキッティング</t>
  </si>
  <si>
    <t>通常通りの対応</t>
  </si>
  <si>
    <t>SIOBからA5:SQLに移行後、エプソンの発注CSVデータを作成するSQLを実行した結果に差異がある</t>
  </si>
  <si>
    <t>A5SQLの設定では数量の表示を整数化できないため、暫定的にSIOBの利用継続を推奨した</t>
  </si>
  <si>
    <t>EXV</t>
  </si>
  <si>
    <t>複合機の旧態化の課題</t>
  </si>
  <si>
    <t>複合機入れ替えの件</t>
  </si>
  <si>
    <t>迫田他</t>
  </si>
  <si>
    <t>FireFoxの検索不可の問題の対応</t>
  </si>
  <si>
    <t>マーケティング部基幹端末、切替器、モニターの準備</t>
  </si>
  <si>
    <t>野尻・矢ケ崎</t>
  </si>
  <si>
    <t>SIOB＆MK2の使用感の問題について対応</t>
  </si>
  <si>
    <t>佐々嶌さんに使用方法を確認し、伝達。</t>
  </si>
  <si>
    <t>ドライバー基本スケジュール変更</t>
  </si>
  <si>
    <t>加藤さん</t>
  </si>
  <si>
    <t>OA・機関端末設定</t>
  </si>
  <si>
    <t>OA・機関端末設置</t>
  </si>
  <si>
    <t>名刺印刷を実行するプログラムの差替え</t>
  </si>
  <si>
    <t>名刺印刷端末で印刷実行の際に、レスポンスが遅い事象が間欠的に発生する問題への対応</t>
  </si>
  <si>
    <t>出荷指示</t>
  </si>
  <si>
    <t>ER00020を確認した時点で出荷指示済みだったため、対応なし</t>
  </si>
  <si>
    <t>VD変更</t>
  </si>
  <si>
    <t>WindowsUpdateの社内通知</t>
  </si>
  <si>
    <t>直近２か月の内容通り対応。</t>
  </si>
  <si>
    <t>UPS他バクラクへの経費精算登録・メール連絡</t>
  </si>
  <si>
    <t>左記の内容通り。</t>
  </si>
  <si>
    <t>サーバー室UPSの機種確認、ダイワボウの価格確認</t>
  </si>
  <si>
    <t>メール問い合わせ済。</t>
  </si>
  <si>
    <t>林田さん</t>
  </si>
  <si>
    <t>OA端末メモリ不足のエラー対応</t>
  </si>
  <si>
    <t>メモリを8GB→16GBに増設し対応</t>
  </si>
  <si>
    <t>森山さん</t>
  </si>
  <si>
    <t>スマホ設定</t>
  </si>
  <si>
    <t>MDM、電話帳、Googleアカウントの設定、サイボウズ設定。</t>
  </si>
  <si>
    <t>清國さん</t>
  </si>
  <si>
    <t>Excelデータ消失の復旧手順の確認</t>
  </si>
  <si>
    <t>自動保存ON、Cドライブからの復旧を試すもファイル消失。</t>
  </si>
  <si>
    <t>甘利</t>
  </si>
  <si>
    <t>新規採用者へのSCAW担当者コード払出</t>
  </si>
  <si>
    <t>SCAWメニュー付与</t>
  </si>
  <si>
    <t>顧客からの商品画像の連絡があったが、メールにURLが記載されていたため、安全性を確認したいとの依頼</t>
  </si>
  <si>
    <t>URLの情報を確認したところ、正規のファイル転送サービスと判明したため、画像ダウンロードして提供済み</t>
  </si>
  <si>
    <t>鶴巻さん</t>
  </si>
  <si>
    <t>スクリーンショットが取れない</t>
  </si>
  <si>
    <t>設定変更と使い方を周知。</t>
  </si>
  <si>
    <t>スマホ準備。</t>
  </si>
  <si>
    <t>7/16に来社時引き渡しで調整。</t>
  </si>
  <si>
    <t>営業サポートの乗り換えキャンペーンの作成方法　PDF→テキストの抽出方法のサポート</t>
  </si>
  <si>
    <t>無料アプリでひとまず対応。PDF24を使用。</t>
  </si>
  <si>
    <t>出荷日着日変更</t>
  </si>
  <si>
    <t>更新版が入っていないので再度確認。</t>
  </si>
  <si>
    <t>Scawメニューの更新。</t>
  </si>
  <si>
    <t>野尻さん</t>
  </si>
  <si>
    <t>旧基幹PCのメール設定を変更→新PCで一部メールが受信できていない件で</t>
  </si>
  <si>
    <t>旧端末からアカウントを削除と設定変更。</t>
  </si>
  <si>
    <t>Forestwayで注文の備品の注文</t>
  </si>
  <si>
    <t>Webで通常通りの対応。</t>
  </si>
  <si>
    <t>Pythonでツールにした。</t>
  </si>
  <si>
    <t>ワークテーブル削除</t>
  </si>
  <si>
    <t>中泉さん</t>
  </si>
  <si>
    <t>OAで起動後にOneDriveが起動してバックアップを求められる。</t>
  </si>
  <si>
    <t>スタートアップから削除＆必要なければOneDrive設定OFFに後で変更する。</t>
  </si>
  <si>
    <t>Excelのデータで、特定列の値に従ってフィルターし、その結果をファイル出力する作業を省力化できないかという相談</t>
  </si>
  <si>
    <t>VBAマクロを作成して対応。定期的に実行する処理のため、マクロの使用方法も説明。</t>
  </si>
  <si>
    <t>support@forest.co.jp宛ての不審なメールの確認</t>
  </si>
  <si>
    <t>送信元および本文のリンクから、フィッシング詐欺に誘導するメールと判断。破棄するよう指示した。</t>
  </si>
  <si>
    <t>\\128.128.5.1\yamadaへ毎日アクセスする際にパスワード入力が要求される。自動化、省力化できないかという相談</t>
  </si>
  <si>
    <t>同じパスへアクセスする別端末では、ネットワークドライブ割当を行うバッチがスタートアップに登録されていたため、同様の対応を実施。</t>
  </si>
  <si>
    <t>Windows11の機能更新が自動的に始まり端末が使用できない</t>
  </si>
  <si>
    <t>更新中は中断不可のため、別端末で業務いただくよう依頼</t>
  </si>
  <si>
    <t>edgeがメモリ不足でアプリケーションエラーとなる</t>
  </si>
  <si>
    <t>FireFoxのタブが多数開かれており、こまめに閉じるよう指示。
搭載メモリが8GBだったので、16GBに拡張。</t>
  </si>
  <si>
    <t>バクラクのサイトにアクセスできない</t>
  </si>
  <si>
    <t>浅野さん、三嶋さん、配送センターの各端末から、
https://id.layerx.jp/ および https://bakuraku.jpへアクセス不可
https://id.layerx.jp/では何も表示されず、https://bakuraku.jpではCloudFront経由で「403 ERROR」が表示される。
バクラクへ問い合わせした結果、WAFで物流センターのグローバルIPアドレスがブロックされており、手動解除により解決。</t>
  </si>
  <si>
    <t>名刺プリンター2号機の故障通知</t>
  </si>
  <si>
    <t>顧客）村本さんで把握済み、特に対応なし</t>
  </si>
  <si>
    <t>加藤</t>
  </si>
  <si>
    <t>マーケ加藤さん　基幹メール不具合</t>
  </si>
  <si>
    <t>原因は不明だがWindowsLiveメールの再インストールで復旧。</t>
  </si>
  <si>
    <t>本社</t>
  </si>
  <si>
    <t>中上顧問PC緊急で準備。</t>
  </si>
  <si>
    <t>管理部貸し出し用が行方が分からず。（管理部の台帳記録がされてなかった）
遊休端末を設定変更し貸し出し。</t>
  </si>
  <si>
    <t>長谷川さん　iPhone 画面操作不良 設定変更で対応</t>
  </si>
  <si>
    <t>使用していたマグネット付きのケースが原因で取り外し。</t>
  </si>
  <si>
    <t>キーボード・マウス交換　　藤田（マウス）　門田（キーボード）　川原田交換（マウス）</t>
  </si>
  <si>
    <t>岡本さん　EXCEL不具合確認</t>
  </si>
  <si>
    <t>メモリ増設で対応。</t>
  </si>
  <si>
    <t>UPS３台購入稟議書作成　ワークフロー提出</t>
  </si>
  <si>
    <t>不要になったHDDのデータ消去・破砕処理</t>
  </si>
  <si>
    <t>山本部長・打越さん座席移動対応</t>
  </si>
  <si>
    <t>マーケティング部 OAネットワーク不通対応</t>
  </si>
  <si>
    <t>山本さんの座席変更時にHubの電源を抜いてしまっていたため不通に。電源接続し復旧。</t>
  </si>
  <si>
    <t>野尻さん　Scawの伝票表示 複合機出力場所変更対応</t>
  </si>
  <si>
    <t>iniファイルの変更などをテスト。坂本さんが最終対応。</t>
  </si>
  <si>
    <t>OA端末 キッティング用のバッチファイル作成</t>
  </si>
  <si>
    <t>設定箇所が増えているのでAIでバッチ処理を生成。テスト。</t>
  </si>
  <si>
    <t>基幹NASの簡易資料作成と配布</t>
  </si>
  <si>
    <t>清國さん 社内共有 全社共有NAS接続不良の再接続</t>
  </si>
  <si>
    <t>役員</t>
  </si>
  <si>
    <t>加藤監査</t>
  </si>
  <si>
    <t>加藤監査　ipadのLTE接続エラー対応</t>
  </si>
  <si>
    <t>バクラクUPS3台購入の件 登録</t>
  </si>
  <si>
    <t>三縞さん 基幹メール文字化け対応</t>
  </si>
  <si>
    <t>Scawメニュー登録 オーダーメイド 岡崎 石川</t>
  </si>
  <si>
    <t>サイボウズの時間入力の単位の設定変更</t>
  </si>
  <si>
    <t>岸川</t>
  </si>
  <si>
    <t>OA基幹ファイル移動アカウント設定追加</t>
  </si>
  <si>
    <t>OAネットワークNASが利用ができない。
Ping疎通可、WEB管理画面も表示可、エクスプローラでのファイル共有のみ不可。</t>
  </si>
  <si>
    <t>NAS再起動により解消。
その後、OA基幹のファイル移動ができないという報告が複数あり、FL11上の転送プログラムを再起動した。</t>
  </si>
  <si>
    <t>商品管理）加藤さんのOA端末でネットワーク接続ができないとの報告。</t>
  </si>
  <si>
    <t>IPアドレスが重複しており、一時的に第4オクテットを174⇒179に変更。
貸出運用している別端末で同アドレスが設定されており、両端末を変更して対応終了</t>
  </si>
  <si>
    <t>FOREST-EDI仕入先対象追加</t>
  </si>
  <si>
    <t>部内で運用しているツールで出力するデータの項目を増やしたい</t>
  </si>
  <si>
    <t>基幹メールで依頼内容の通り対応</t>
  </si>
  <si>
    <t>業務</t>
  </si>
  <si>
    <t>お盆休みはサーバー室の片づけ、未使用HDDなどの破砕処理、サーバー室のUPSのバッテリー交換</t>
  </si>
  <si>
    <t>小幡用ノートPCのキッティング作業。オーダーメイド用OA端末のキッティング</t>
  </si>
  <si>
    <t>VD更新</t>
  </si>
  <si>
    <t>基幹メールが送信不可</t>
  </si>
  <si>
    <t>添付ファイルサイズ制限を超えたメールの送信が原因。送信メールボックスより削除依頼。</t>
  </si>
  <si>
    <t>明細全てを出荷指示ステータスとした</t>
  </si>
  <si>
    <t>資産管理　端末情報の状況確認。</t>
  </si>
  <si>
    <t>Skyと台帳の差異を調査し修正。</t>
  </si>
  <si>
    <t>商品管理　田中の固定電話に513 マーケティング部宮沢あての案内で連絡が来る。</t>
  </si>
  <si>
    <t>管理部の配布の内線番号表と違う保持されていた方からの連絡だった。
来客用出口の番号表も相違あり。</t>
  </si>
  <si>
    <t>物流 相原端末のキッティングの現地接続後の設定変更。
複合機の設定方法を確認。</t>
  </si>
  <si>
    <t>別紙で資料として保管。</t>
  </si>
  <si>
    <t>仕入先変更（単価マスタ修正）</t>
  </si>
  <si>
    <t>楽天から支給された無料SIMを使い楽天の出展料30％キャンペーンに応募したい。</t>
  </si>
  <si>
    <t>支給SIMを確認し、社内の余りのスマホで登録。SIMロックのかかった端末の解除などの作業で使用で環境を作り須藤さんに渡す。</t>
  </si>
  <si>
    <t>混載設定</t>
  </si>
  <si>
    <t>境</t>
  </si>
  <si>
    <t>開発系WEBDBサーバの時刻同期設定</t>
  </si>
  <si>
    <t>W_FL02の時刻が数分ずれており、W_FL01と同等設定とした</t>
  </si>
  <si>
    <t>故障したUPSの交換用に購入の見積もり取得、稟議書作成。ワークフローに登録。ダイワボウで見積もり、購入。</t>
  </si>
  <si>
    <t>2025/9/25納品予定。</t>
  </si>
  <si>
    <t>Windows11への更新作業。リモートで対応。大塚、村上、長谷川3名。</t>
  </si>
  <si>
    <t>大塚は問題なし。村上はセキュアブートがオフで更新できず後日対応。長谷川はすでに更新済み。スクリプトを修正して他社員も対応の予定。</t>
  </si>
  <si>
    <t>OA端末が動作が不安定で時々フリーズする。</t>
  </si>
  <si>
    <t>DISMコマンドとsfc-scannowコマンドを自動で実行しログを残すスクリプトを作り対応。
今後全員に配布して同様のトラブル時などは自身で実行してもらう。</t>
  </si>
  <si>
    <t>相原 移動時に支給したモニターが不調のため交換希望。</t>
  </si>
  <si>
    <t>本社で保管中の別モニターを社内便で発送。不調モニターは本社で動作確認。</t>
  </si>
  <si>
    <t>本社管理プリンターに印刷できない。</t>
  </si>
  <si>
    <t>設定を変更600dpi→1200dpiに変更すると設定エラーでスプーラーサービスが停止。
Win32のスプーラーのフォルダから設定ファイルを削除し、再起動すると再生成されて復旧する。</t>
  </si>
  <si>
    <t>支給SIMを確認し、社内の余りのスマホで登録。加藤監査に渡したSIMの交換等付帯する作業も発生。どれがどのSIMかわからず、楽天からも渡されたときに明確な指示がなく時間がかかった。</t>
  </si>
  <si>
    <t>SKY上で端末の情報を取得していて、コンピューター名に間違いを発見し修正。</t>
  </si>
  <si>
    <t>現場で手動で修正。</t>
  </si>
  <si>
    <t>SKY上で端末の情報を取得していて、コンピューター名に間違いを発見し修正。OAと基幹両方のSKYの再インストール等実施。</t>
  </si>
  <si>
    <t>鶴田</t>
  </si>
  <si>
    <t>基幹メール　退職予定の高坂アカウントが受信メール容量を超えて、高坂メールアドレス宛のメールを作ったユーザーが送信エラー。</t>
  </si>
  <si>
    <t>有給取得中なのでメール容量を増やして一時対応。10月で削除する。</t>
  </si>
  <si>
    <t>進行中</t>
  </si>
  <si>
    <t>基幹のALCの登録情報の修正。</t>
  </si>
  <si>
    <t>Scaw.iniの内容を林田PCと比較し内容を確認、テスト用iniを作成し、テストし、問題なければ適用する。</t>
  </si>
  <si>
    <t>ドライバースケジュール変更</t>
  </si>
  <si>
    <t>基幹メール送信不可</t>
  </si>
  <si>
    <t>宛先メールアドレスの1つでメールボックス容量超過が原因。使用者の端末で受信処理を行い解消。</t>
  </si>
  <si>
    <t>対象が在庫品だったため、下村さんに相談して対応依頼</t>
  </si>
  <si>
    <t>メールワイズの新しいアドレスの追加が可能か確認。</t>
  </si>
  <si>
    <t>磯辺アカウントで入り設定変更の予定。Bizメールに希望のメールアドレスを追加して使用できるか確認。</t>
  </si>
  <si>
    <t>VD更新、仕入先変更</t>
  </si>
  <si>
    <t>OA基幹連携フォルダパスワードメールの誤削除</t>
  </si>
  <si>
    <t>当該メール再送信</t>
  </si>
  <si>
    <t>磯辺</t>
  </si>
  <si>
    <t>北浦和DCのNW機器の脆弱性対応の稟議書作成。</t>
  </si>
  <si>
    <t>磯辺さんから依頼でEXVに発注するための稟議書を作成。</t>
  </si>
  <si>
    <t>不明</t>
  </si>
  <si>
    <t>携帯電話使用状況に関する情報を精査し、提出</t>
  </si>
  <si>
    <t>管理部が会社の運営コストを調査。プランや使用者見直しのためにデータ化。</t>
  </si>
  <si>
    <t>名刺印刷室UPSの寿命による故障対応　</t>
  </si>
  <si>
    <t>新規購入し交換対応。</t>
  </si>
  <si>
    <t>Windows 10更新の対応</t>
  </si>
  <si>
    <t>Windows10のサポート切れへの対策。バッチ作成、更新しながらのデバッグ作業。</t>
  </si>
  <si>
    <t>大畑、村上</t>
  </si>
  <si>
    <t>管理部・財務共有：Win11による接続不可問題の対応（16:00〜20:00）</t>
  </si>
  <si>
    <t>Win11更新後に共有ドライブが切断される問題に対応。</t>
  </si>
  <si>
    <t>会議室のエディオン端末のセキュアアクセス設定（17:00〜17:15）</t>
  </si>
  <si>
    <t>設定後に端末のブラウザ再起動を忘れてたらしい。再起動しアプリの動作を確認し終了。</t>
  </si>
  <si>
    <t>365アカウント対応：物流部門の対応</t>
  </si>
  <si>
    <t>坂本さんと分担し、割り当てられたPCを更新。同時にWin11に更新も平行。</t>
  </si>
  <si>
    <t>Windows 10更新の対応（午後）</t>
  </si>
  <si>
    <t>バッチの修正と実際の更新作業を実施。</t>
  </si>
  <si>
    <t>石鍋</t>
  </si>
  <si>
    <t>池田PCのキッティング</t>
  </si>
  <si>
    <t>部署移動のため端末を準備。</t>
  </si>
  <si>
    <t>クリックフィックスのセキュリティ脅威への社内告知の作成。</t>
  </si>
  <si>
    <t>エディオン様からの告知を弊社向けに編集し告知。</t>
  </si>
  <si>
    <t>池田PCの設定および設置</t>
  </si>
  <si>
    <t>Win11端末の右クリックメニューを10の表示にするスクリプト作成と告知。</t>
  </si>
  <si>
    <t>コマンドプロンプトとPowershellスクリプトのパッケージを作成し配布。</t>
  </si>
  <si>
    <t>田中PCの設定変更・障害対応</t>
  </si>
  <si>
    <t>GoogleChromeで問題。新規タブを開いても何も表示されなくなる。端末ごと作り変える可能性で調整中。</t>
  </si>
  <si>
    <t>Windowsの自動シャットダウンタイマー機能（タスクスケジューラ等）の調査</t>
  </si>
  <si>
    <t>Windows10のサポート切れへの対策。バッチに組み込む機能の調査。</t>
  </si>
  <si>
    <t>配送のシステム部管轄外のWi-Fiルーターの調査。</t>
  </si>
  <si>
    <t>以前いた昇社員が業務のために設置。坂本さんに対応を引き継ぎ終了。</t>
  </si>
  <si>
    <t>物流　Windows10　ToGo端末の更新とその調査。</t>
  </si>
  <si>
    <t>現在まだ更新ができず。</t>
  </si>
  <si>
    <t>清水</t>
  </si>
  <si>
    <t>清水さんの365アカウント対応</t>
  </si>
  <si>
    <t>Office365にした際に自身で設定したパスワードを忘れたらしく管理コンソールから再発行して連絡。動作確認の案内。</t>
  </si>
  <si>
    <t>AI利用状況の調査報告書提出。</t>
  </si>
  <si>
    <t>磯辺さんから依頼で社内AIツールの利用状況を集計し提出。</t>
  </si>
  <si>
    <t>顧客情報保護プロトコル（基幹端末/OA端末分離）の運用ルール検討</t>
  </si>
  <si>
    <t>昨今のセキュリティ脅威の観点で告知用メールを作る前の整理段階。</t>
  </si>
  <si>
    <t>OA回線不通の対応。</t>
  </si>
  <si>
    <t>NTTフレッツの問題で15分間の障害発生。</t>
  </si>
  <si>
    <t>個人情報の扱いについて調査確認（14:00〜16:00）</t>
  </si>
  <si>
    <t>複合機の入替の受け入れ。搬入、業者対応。</t>
  </si>
  <si>
    <t>輸送車の案内、保管場所の準備、電源の準備他。</t>
  </si>
  <si>
    <t>栗林
大澤ほか</t>
  </si>
  <si>
    <t>コニカミノルタプリンタのグレースケール設定問題の調査（26日〜28日の対応）</t>
  </si>
  <si>
    <t>高木</t>
  </si>
  <si>
    <t>梶原産業のFAXに関する対応（10:00〜12:00）</t>
  </si>
  <si>
    <t>新規案件のためエディオンからの注文書を受け付けるFAXについての調査と運用の相談を受け対応。</t>
  </si>
  <si>
    <t>プライバシーポリシー精査（バックアップ不要への変更、個人情報定義の特定など）</t>
  </si>
  <si>
    <t>栗林
川原田</t>
  </si>
  <si>
    <t>複合機対応（16:00〜18:30）</t>
  </si>
  <si>
    <t>プリンタドライバ修正対応（9:00〜10:30）</t>
  </si>
  <si>
    <t>元のドライバが残ると重複するので削除や再設定を実施。</t>
  </si>
  <si>
    <t>梶原産業のFAX対応（10:30〜11:00）</t>
  </si>
  <si>
    <t>Scawユーザーの抽出（13:00〜14:00）</t>
  </si>
  <si>
    <t>商品部の業務で必要とのことで台帳から抽出。クレンジング作業。</t>
  </si>
  <si>
    <t>ネットワーク調査用サーバー室の整理（14:00〜14:10）</t>
  </si>
  <si>
    <t>NURO回線工事の事前調査立ち合いのため場所の確保のためサーバー室内を整理。</t>
  </si>
  <si>
    <t>菅野さんの梶原産業対応用にメールワイズ、セキュアアクセスの問い合わせ対応。</t>
  </si>
  <si>
    <t>業務を確認し高木さん、管理部と共有し終了。</t>
  </si>
  <si>
    <t>NURO回線工事の事前調査立ち合い（16:00〜17:00）</t>
  </si>
  <si>
    <t>複合機のカラー設定を全台デフォルトでグレースケールに変更</t>
  </si>
  <si>
    <t>現場から注文で基本設定を変更。</t>
  </si>
  <si>
    <t>締日変更</t>
  </si>
  <si>
    <t>川口物流センターから基幹NASへのアクセス障害の調査</t>
  </si>
  <si>
    <t>・大宮の端末からは基幹NASに接続、利用できる
・川口や福岡からは基幹NAS以外の機器（SKYSEAサーバ）にはアクセスできる
・10.84系のアドレスを持つと、128.150(川口)や128.162(福岡)へのtracertが失敗する
上記から基幹ネットワーク上の問題と判断</t>
  </si>
  <si>
    <t>銀行端末で印刷ができない</t>
  </si>
  <si>
    <t>プリンタードライバーが旧複合機向けであったため、更新</t>
  </si>
  <si>
    <t>基幹メール送信時に、文字コードを指定して送信するか確認を促すダイアログが表示される</t>
  </si>
  <si>
    <t>Liveメールのエンコードを調整したが、影響が無い模様。またメールによっては本文を全て削除した状態でも表示される。文字コードを自動調整可能なThunderbirdに置き換えを予定している</t>
  </si>
  <si>
    <t>派遣社員用の端末の依頼。</t>
  </si>
  <si>
    <t>通常通りキッティングを実施。</t>
  </si>
  <si>
    <t>本社防災訓練参加の依頼</t>
  </si>
  <si>
    <t>避難経路確認、点呼、消化訓練など実施</t>
  </si>
  <si>
    <t>WEB-EDI設定変更</t>
  </si>
  <si>
    <t>配送端末スマホの15台の増設。</t>
  </si>
  <si>
    <t>スマホをエディオン様から受領。大宮で動作検証。
 1台にMDM、基本設定を行い配送アプリを旧端末のGoogleアカウントを使用してインストール。アプリの動作を確認し残りの端末を使用することを決定。端末の情報を台帳記入。MDMの準備。</t>
  </si>
  <si>
    <t>配送端末の要望。１５台をなるべく早くとの依頼でキッティング。</t>
  </si>
  <si>
    <t>AndoroidOSが新しいため、動作テスト。問題なく動作したので次の手順に移行。</t>
  </si>
  <si>
    <t>初期設定画面からMDMの登録とMDM動作確認。
 Androidの初期設定。
 Googleアカウントの個別発行。
 配送アプリのダウンロード、インストール、動作確認。</t>
  </si>
  <si>
    <t>スマホのMDM登録後のAmdroid設定作業。</t>
  </si>
  <si>
    <t>配送アプリのインストールの確認と配送への社内便で引き渡し。</t>
  </si>
  <si>
    <t>派遣社員用の端末2台の依頼。</t>
  </si>
  <si>
    <t>電話帳を登録。社内便で発送。高橋課長に連絡し、到着後の最終動作確認。
 配送端末の増設に関わる作業をすべて終了。</t>
  </si>
  <si>
    <t>CTIの確認にNECプラットフォームズ来訪の対応。</t>
  </si>
  <si>
    <t>テスト端末の設置、確認。遠藤さんと確認作業のための案内等。</t>
  </si>
  <si>
    <t>物流応援の要請。</t>
  </si>
  <si>
    <t>バイト監督者として作業。棚入れ作業を中心に作業。</t>
  </si>
  <si>
    <t>部署移動でノートPCが必要となり依頼。</t>
  </si>
  <si>
    <t>出荷指示（167件一斉実行）</t>
  </si>
  <si>
    <t>OA端末のSSD交換の物品購入</t>
  </si>
  <si>
    <t>調査、小口清算の物品請求書の作成。坂田部長への依頼。</t>
  </si>
  <si>
    <t>CTI端末のテスト用のPCをキッティングし設置する。</t>
  </si>
  <si>
    <t>Win10、Win11 2台キッティング。</t>
  </si>
  <si>
    <t>ガラホの充電ができない。</t>
  </si>
  <si>
    <t>予備の中古バッテリーを福岡に発送。</t>
  </si>
  <si>
    <t>OA端末の動作が重く作業でフリーズする。</t>
  </si>
  <si>
    <t>手順書を作成し、メモリを社内便で送付。作業はご自身で行っていいただき終了。</t>
  </si>
  <si>
    <t>Win10、Win11 2台用意し、コールセンターの席下から床下を遠し、情報系共有端末の席に設置。</t>
  </si>
  <si>
    <t>Adobe製品でセキュリティの更新プログラム。脆弱性対策。</t>
  </si>
  <si>
    <t>Acrobat Reader、グラフィックソフトの使用ユーザーなどに注意喚起のメールと手順を送信。</t>
  </si>
  <si>
    <t>業務用のフォーマットの関数が作りたいがわからないので作成してほしい。</t>
  </si>
  <si>
    <t>曲線的に数値が変化する計算が必要でそのための関数を作成。専用のシートを作りテストを実施。操作方法を案内し完了。</t>
  </si>
  <si>
    <t>社内で使用するドメインの更新用の稟議書作成と提出。</t>
  </si>
  <si>
    <t>稟議書の内容で自動更新となり完了。</t>
  </si>
  <si>
    <t>社内フリーWi-Fiの稟議書作成の依頼。</t>
  </si>
  <si>
    <t>大宮、川口2拠点分を作成し磯辺さんに提出。</t>
  </si>
  <si>
    <t>サイボウズ、メールワイズのセキュアアクセスを設定してほしい。</t>
  </si>
  <si>
    <t>発行、対象機に設定して終了。</t>
  </si>
  <si>
    <t>商品部
 マーケティング部他</t>
  </si>
  <si>
    <t>座談会で承認されたスマホ13台のキッティング。</t>
  </si>
  <si>
    <t>配布したスマホの設定の設定を個別に案内し、完了させる。</t>
  </si>
  <si>
    <t>鈴木</t>
  </si>
  <si>
    <t>配布したスマホの設定の設定を電話で案内し、完了させる。</t>
  </si>
  <si>
    <t>1月入社社員のOA端末のキッティング</t>
  </si>
  <si>
    <t>1月入社社員の期間端末のキッティング</t>
  </si>
  <si>
    <t>門田</t>
  </si>
  <si>
    <t>伊藤健人</t>
  </si>
  <si>
    <t>岡本・林田</t>
  </si>
  <si>
    <t>オーダーメイド発注処理の印刷障害</t>
  </si>
  <si>
    <t>scaw.iniの設定内容の確認を下村部長へ依頼 設定変更して完了。</t>
  </si>
  <si>
    <t>Office365ライセンス3名分追加購入申請</t>
  </si>
  <si>
    <t>管理部(坂田部長)へ購入手配を依頼</t>
  </si>
  <si>
    <t>髙橋良金</t>
  </si>
  <si>
    <t>配送用スマートフォン(GalaxyA23)48台の新調検討</t>
  </si>
  <si>
    <t>調査を実施 OSのバージョン情報などを確認。まだ継続使用し、来期の購入を検討し終了。</t>
  </si>
  <si>
    <t>新社員のキッティング作業、OA端末初期PW・SCAW関連申請対応</t>
  </si>
  <si>
    <t>パスワードを【Forest0720@】に設定しワークフローに案内を記載</t>
  </si>
  <si>
    <t>Google Chromeの最新版への更新依頼</t>
  </si>
  <si>
    <t>セキュリティ対策のため全社へ更新手順と重要性を周知</t>
  </si>
  <si>
    <t>門田絵美子</t>
  </si>
  <si>
    <t>Teamsの社外ユーザー（河村さん）招待手順案内</t>
  </si>
  <si>
    <t>招待手順を案内し門田さんが招待とログイン完了を確認。</t>
  </si>
  <si>
    <t>ファイル共有ツールの導入検討。Bizストレージの導入検討段階で、社内の使用できるツールで確認。</t>
  </si>
  <si>
    <t>セキュリティ・使用感の観点から無料ツール（Onedrive）は不可と判断し終了。</t>
  </si>
  <si>
    <t>関口さんのGoogleアカウント移行</t>
  </si>
  <si>
    <t>アカウント移行作業および電話番号認証確認。旧アカウントと連携、パスワード変更などで対応。旧アカウントの情報がなく上書き処理を調査して対応。</t>
  </si>
  <si>
    <t>KVMスイッチ2個の購入申請</t>
  </si>
  <si>
    <t>坂田部長へ小口での物品購入を申請。</t>
  </si>
  <si>
    <t>PPAP対策ファイル転送サービス導入検討資料の確認</t>
  </si>
  <si>
    <t>羽計取締役が内容を確認し稟議提出。</t>
  </si>
  <si>
    <t>KDDI SMSM用Apple Push更新作業</t>
  </si>
  <si>
    <t>マニュアル通りに作業し、来年度のカレンダーに次期更新日を設定し終了。</t>
  </si>
  <si>
    <t>a</t>
  </si>
  <si>
    <t>配送用スマホ１５台の追加。</t>
  </si>
  <si>
    <t>１５台をキッティング、配送支援アプリ、KDDI SMSM設定、電話帳データ作成とインポート。</t>
  </si>
  <si>
    <t>宮本清美</t>
  </si>
  <si>
    <t>配送支援アプリの配信作業で宮本さんに確認。Google Play Consoleのログインとアカウント追加。配送端末にアプリ配信を実施。</t>
  </si>
  <si>
    <t>2段階認証を調整し伊藤健人のアドレスを追加してログイン。配信作業を完了。</t>
  </si>
  <si>
    <t>北浦和DC〜福岡開発室へのサーバー輸送作業の調整。</t>
  </si>
  <si>
    <t>北浦和DC作業で取り外して川口に移送。川口で梱包完了、配送と不要サーバー保管手配を実施し三嶋さんに依頼。</t>
  </si>
  <si>
    <t>配送スマホ切り替えに伴う各種設定の案内。</t>
  </si>
  <si>
    <t>サイボウズ、配送アプリ、セキュリティ設定等の手順、使用方法を展開。</t>
  </si>
  <si>
    <t>村上春菜</t>
  </si>
  <si>
    <t>相原さんのSCAW担当者コード・PW確認がしたい。</t>
  </si>
  <si>
    <t>IDとパスワードを案内しログインを確認し終了。</t>
  </si>
  <si>
    <t>浅見洋</t>
  </si>
  <si>
    <t>配送端末のスマホのGoogleアカウントロック解除と再設定</t>
  </si>
  <si>
    <t>Google側で解除後、再度のサインインとアプリ設定の完了を確認し連絡。</t>
  </si>
  <si>
    <t>サーバー輸送用のオーダーメイドダンボール購入申請。</t>
  </si>
  <si>
    <t>坂田部長へ購入を申請し終了。</t>
  </si>
  <si>
    <t>三嶋康一・山中浩幸</t>
  </si>
  <si>
    <t>倉庫内で使用するラベルプリンター用電源ケーブル15本の送付。</t>
  </si>
  <si>
    <t>社内便で川口へ送付し終了。元のケーブルは廃棄したらしい。</t>
  </si>
  <si>
    <t>社内Wi-Fi(FRT-SYS0001)接続上限による通信遮断。</t>
  </si>
  <si>
    <t>一時的な有線LAN利用を案内し、不要な端末のWi-Fi接続を抑制する依頼をメールで配信。</t>
  </si>
  <si>
    <t>休憩室専用フリーWi-Fiを設置したいという依頼について。</t>
  </si>
  <si>
    <t>業者手配（EXV）・ビル管理申請を実施し、告知物、社内告知メール等作成。</t>
  </si>
  <si>
    <t>関口さん用OA端末のキッティング。</t>
  </si>
  <si>
    <t>購入した予備機から設定。リモートワークに備えて通信機器やアカウントを整理。</t>
  </si>
  <si>
    <t>NTT Bizストレージファイルシェアの設定と展開の準備。</t>
  </si>
  <si>
    <t>アカウント設定、基本設定、展開の手順、マニュアル作成などを実施。</t>
  </si>
  <si>
    <t>BizストレージWeb説明。</t>
  </si>
  <si>
    <t>NTTからの操作や疑問点に関するWeb会議。</t>
  </si>
  <si>
    <t>基幹端末のブルースリーン対応。基幹BIOSロック解除を実施し対応。</t>
  </si>
  <si>
    <t>現地訪問で対応。電池交換やCPUの放熱グリス交換など対応。</t>
  </si>
  <si>
    <t>下村忠嗣</t>
  </si>
  <si>
    <t>踏み台PCキッティング。RDP接続エラー対応とログイン情報案内。</t>
  </si>
  <si>
    <t>IP/PWを案内しFWの設定を調整して接続完了。</t>
  </si>
  <si>
    <t>社内フリーWi-Fiの社内使用についての告知、マニュアル、掲示物の準備。</t>
  </si>
  <si>
    <t>左記の内容で実施し完了。</t>
  </si>
  <si>
    <t>村上さんから予備モニター手配の依頼。</t>
  </si>
  <si>
    <t>社内便で新品モニター1台を送付し終了。</t>
  </si>
  <si>
    <t>2026年UEFIセキュアブート証明書失効問題の調査。</t>
  </si>
  <si>
    <t>影響とリスクを調査。BIOS、WindowsUpdateで対応できるとわかり、対応開始。</t>
  </si>
  <si>
    <t>長島麻由美</t>
  </si>
  <si>
    <t>休憩室フリーWi-FiのQRコード接続時の質問や微調整。</t>
  </si>
  <si>
    <t>QRコードにパスワードが含まれている仕様であることを回答。</t>
  </si>
  <si>
    <t>スマホのOffice365サインインPW不明対応。</t>
  </si>
  <si>
    <t>システム部でPWをリセットしサインイン成功を確認。設定方法を案内。</t>
  </si>
  <si>
    <t>宇野二美子</t>
  </si>
  <si>
    <t>アマノの使用停止依頼</t>
  </si>
  <si>
    <t>アマノのサービスを一時停止を下村さんに依頼し終了。</t>
  </si>
  <si>
    <t>山中浩幸</t>
  </si>
  <si>
    <t>山中氏が受信したSPAM（フィッシング）メールの解析</t>
  </si>
  <si>
    <t>送信元偽装や誘導先を解析し全社的な注意喚起指針を報告。</t>
  </si>
  <si>
    <t>田中史一</t>
  </si>
  <si>
    <t>お客様へのメール不達（thanks@forest.co.jp）原因調査</t>
  </si>
  <si>
    <t>Pythonで解析、SPF/DKIM認証確認、送信レピュテーション低下が原因と推測し連携。</t>
  </si>
  <si>
    <t>PDF他ファイルからJPG変換ツールの問い合わせ。</t>
  </si>
  <si>
    <t>動作検証実施（PDF24、XNconverter）。</t>
  </si>
  <si>
    <t>首藤</t>
  </si>
  <si>
    <t>首藤氏のPC不具合調査（サーマル・バッテリ・SSD等）。</t>
  </si>
  <si>
    <t>イベントビュアー調査、DISM/SFCコマンド実行、CPUファン最大値を下げて様子見。</t>
  </si>
  <si>
    <t>磯辺和重</t>
  </si>
  <si>
    <t>Bizストレージファイルシェア月額料金の報告。</t>
  </si>
  <si>
    <t>容量ごとの料金見積もりプラン変更の際の料金の状態を磯辺取締役へ提出。</t>
  </si>
  <si>
    <t>NEC電話交換機スケジュール設定来期予算の変更相談。</t>
  </si>
  <si>
    <t>稟議・発注書送信を完了し作業予定を仮押さえ済み 3/19予定。</t>
  </si>
  <si>
    <t>ノートPC（HP/富士通等）の静止フリーズ原因推測と対策。</t>
  </si>
  <si>
    <t>デバイスマネージャの設定とPowerShellによる対策を共有 ほかの社員にも発生したので対応。</t>
  </si>
  <si>
    <t>田中未来</t>
  </si>
  <si>
    <t>Google Chromeの不具合対応。</t>
  </si>
  <si>
    <t>調査し、自分の端末でテストし、バッチを使用し復旧。ログイン成功を確認。</t>
  </si>
  <si>
    <t>freeeのインポートエラー報告</t>
  </si>
  <si>
    <t>スクリーンショットを受領し、Freeeからメールで受けた対応方法をすべて試し、エラーを切り分け、Freeeに対して再度調査のメールを作成し宇野さんに渡す。</t>
  </si>
  <si>
    <t>大会議室ノートPC用LANアダプタの購入申請とキッティング</t>
  </si>
  <si>
    <t>端末設定・ソフト導入完了、LANアダプタ到着後設定し引き渡し。</t>
  </si>
  <si>
    <t>羽計</t>
  </si>
  <si>
    <t>Bizストレージファイルシェアの問い合わせ対応</t>
  </si>
  <si>
    <t>マニュアル作成継続・メールにて周知し一旦完了。</t>
  </si>
  <si>
    <t>篠嵜</t>
  </si>
  <si>
    <t>KDDISMSMの不要なアカウント削除</t>
  </si>
  <si>
    <t>エディオン篠嵜さんからKDDIから連絡があり、不動の端末のライセンスを削除いただきたいという連絡があり対応。</t>
  </si>
  <si>
    <t>三嶋康一・関口尭</t>
  </si>
  <si>
    <t>4月からの新社員（青砥氏・大宮氏）のOA、基幹端末・メール準備。</t>
  </si>
  <si>
    <t>端末確保とメールサーバー・サイボウズの登録完了を関口さんに報告。三嶋さんに共有。</t>
  </si>
  <si>
    <t>佐々嶌和彦</t>
  </si>
  <si>
    <t>モニタ故障に伴う予備モニタの手配（管理部・佐々木さん）</t>
  </si>
  <si>
    <t>普段あまり使用しない端末のため古い予備モニタで対応することを報告。</t>
  </si>
  <si>
    <t>見形藍</t>
  </si>
  <si>
    <t>サイボウズの証明書再発行と設定依頼。</t>
  </si>
  <si>
    <t>新OA端末に新しい証明書を送付し設定。</t>
  </si>
  <si>
    <t>栗林みゆき</t>
  </si>
  <si>
    <t>欠品していたType-C有線LANアダプタの入荷確認</t>
  </si>
  <si>
    <t>入荷と引き当ての確認をお願いし、欠品と分かったので再度の購入。</t>
  </si>
  <si>
    <t>岸川恭士</t>
  </si>
  <si>
    <t>坂口さん異動のため端末申請と席替えに伴うノートPCへの変更の希望。</t>
  </si>
  <si>
    <t>稟議書内容の案内、決裁後端末手配を進め、キッティング、アカウント整理。現場に渡して終了。</t>
  </si>
  <si>
    <t>甘利幸恵</t>
  </si>
  <si>
    <t>マーケティング部 尾島社員 社用携帯（GalaxyA23）の払い出し依頼。</t>
  </si>
  <si>
    <t>高坂旧端末払い出しの情報と過去の稟議書サンプルを提供。キッティングを実施し配布。</t>
  </si>
  <si>
    <t>重田明子</t>
  </si>
  <si>
    <t>Google Workspace招待メール未着対応</t>
  </si>
  <si>
    <t>福岡用ライセンスプラン変更後に再招待し、初期PWでのログインを確認し終了。</t>
  </si>
  <si>
    <t>高橋晶子</t>
  </si>
  <si>
    <t>GWS移行時の既存個人アカウント競合対応とGmail移行</t>
  </si>
  <si>
    <t>設定を完了し、坂本さんにメールデータ移行を依頼し終了。</t>
  </si>
  <si>
    <t>関口尭</t>
  </si>
  <si>
    <t>Cybozu総務人事課【共有】のセキュアアクセスでリモートワークで使いたい。</t>
  </si>
  <si>
    <t>証明書とインストール手順を送付しブラウザ使い分けの注意点を案内。使用できることが確認できたので終了。</t>
  </si>
  <si>
    <t>CTIの新電話機の搬入作業。</t>
  </si>
  <si>
    <t>川口からNEC設定のための電話機の搬入。</t>
  </si>
  <si>
    <t>三嶋康一</t>
  </si>
  <si>
    <t>九社員OA端末のパスワードリセット</t>
  </si>
  <si>
    <t>九社員のエディオン移動後、そのまま新入社員へ譲渡のためせってしようとしたがパスワード不明。コマンドプロンプトから設定変更し、キッティング。完了後三嶋さんに報告。</t>
  </si>
  <si>
    <t>CTIの新電話機のラベル作成。</t>
  </si>
  <si>
    <t>左記の内容で完了。</t>
  </si>
  <si>
    <t>三嶋</t>
  </si>
  <si>
    <t>4月入社社員の基幹端末の設定。</t>
  </si>
  <si>
    <t>リモート接続ができない部分で作業があり、訪問し対応。</t>
  </si>
  <si>
    <t>社用携帯電話番号のサイボウズ反映依頼</t>
  </si>
  <si>
    <t>尾島・大宮・坂口社員の電話番号を坂田部長へ連携。再度の設定の確認をして電話帳データもインポートして配布。</t>
  </si>
  <si>
    <t>渡辺滋樹・安形康弘</t>
  </si>
  <si>
    <t>サイボウズのクライアント証明書の有効期限切れによる発行依頼。</t>
  </si>
  <si>
    <t>各自に証明書ファイルを送付し、PC、スマホに設定。</t>
  </si>
  <si>
    <t>営業課</t>
  </si>
  <si>
    <t>営業の顧客リストですでに自社の会員かどうかの調査</t>
  </si>
  <si>
    <t>プログラムを作成してリストとDBの顧客データと付け合わせした結果を出力します</t>
  </si>
  <si>
    <t>総務人事課</t>
  </si>
  <si>
    <t>医療介護の自動チェックシステムで見出しに対してのウインドウの固定</t>
  </si>
  <si>
    <t>４/1人事で座席変更があり、重役の席の増設がしたい。</t>
  </si>
  <si>
    <t>基幹、OAのLAN、分岐と電話線のPoEハブから床下を通線して設置。ケーブルの生える位置を床板を外して移動。10ｍ以上の通線となり時間がかかったが終了。</t>
  </si>
  <si>
    <t>財務経理課</t>
  </si>
  <si>
    <t>共用メールアドレス（saiken-seikyu@forest.co.jp）の受信設定</t>
  </si>
  <si>
    <t>林田さんサイボウズアカウントでの受信設定</t>
  </si>
  <si>
    <t>配送サービス課</t>
  </si>
  <si>
    <t>髙山</t>
  </si>
  <si>
    <t>配送サービス課の共有データにアクセスできない</t>
  </si>
  <si>
    <t>OA共用フォルダ(192.169.5.2)の共有解除したため発生。一時的に同フォルダを再共有する設定に変更</t>
  </si>
  <si>
    <t>基幹端末の容量不足でアプリの起動ができないなど。</t>
  </si>
  <si>
    <t>直接訪問してSSDが128GBだったのを確認し、480GBのSSDにデータをコピーし、交換対応。エラー確認後に問題なしとして終了。</t>
  </si>
  <si>
    <t>システム課</t>
  </si>
  <si>
    <t>GoogleWorkSpaceアカウントのパスワードリセット</t>
  </si>
  <si>
    <t>パスワードリセット、メール送信</t>
  </si>
  <si>
    <t>商品課</t>
  </si>
  <si>
    <t>商品管理課</t>
  </si>
  <si>
    <t>池上</t>
  </si>
  <si>
    <t>基幹NASの接続</t>
  </si>
  <si>
    <t>鶴巻さん OAノートPCのキーボードの破損。</t>
  </si>
  <si>
    <t>本体側の部品を修正し、部品取りの別PC のキー部品を移植し完了。購入なら費用的に13000円前後のものを0円で修理。</t>
  </si>
  <si>
    <t>鶴巻さん OAノートPCのタイプC、HDMIなどのポートからの抜線時のフリーズ。</t>
  </si>
  <si>
    <t>BIOS更新、ドライバの更新、DISMコマンドなどを使用し、不具合を解消。</t>
  </si>
  <si>
    <t>配送部</t>
  </si>
  <si>
    <t>島村</t>
  </si>
  <si>
    <t>基幹NASの移行による元ツールの修正</t>
  </si>
  <si>
    <t>IMPファイルのカタログ向き先をCORNASに変更した</t>
  </si>
  <si>
    <t>移動に伴う基幹端末の設定。</t>
  </si>
  <si>
    <t>メニュー付与などのワークフローで待ちだったものに対応。データ移動なども実施。</t>
  </si>
  <si>
    <t>営業推進課</t>
  </si>
  <si>
    <t>インプロの修正</t>
  </si>
  <si>
    <t>CS部</t>
  </si>
  <si>
    <t>サービス課</t>
  </si>
  <si>
    <t>上村さん、和田さんのサイボウズアカウントでの受信設定</t>
  </si>
  <si>
    <t>画面の解像度が異常。Excelなどがモニター接続時に最大化されてしまう。</t>
  </si>
  <si>
    <t>解像度の設定を一度、200％などにしてサインアウト。起動後に100％に戻し再起動後の動作を確認。問題なし。DISM、sfcのコマンドを実行して様子見。</t>
  </si>
  <si>
    <t>フリーズが治らない。</t>
  </si>
  <si>
    <t>イベントビューアから履歴を抜き、調査。SkyとOOBEが原因か。Skyのアンインストールを実行し様子見。SkyがWin11 25H2日欧していない。坂本さんにSky更新の依頼をしておく。</t>
  </si>
  <si>
    <t>ロジスティクス運営課</t>
  </si>
  <si>
    <t>返品センター共有のメールアドレスの新規作成依頼
（henpin@forest.co.jp）</t>
  </si>
  <si>
    <t>Bizメールサーバーにてメールアドレス作成</t>
  </si>
  <si>
    <t>福永</t>
  </si>
  <si>
    <t>WEB-EDI設定</t>
  </si>
  <si>
    <t>消込不都合修正</t>
  </si>
  <si>
    <t>FireWorksのNASでの検知について対応。</t>
  </si>
  <si>
    <t>ウイルスと検知された原因の調査。高山氏のアクティベーションツールの廃絶、社内の使用状況を確認し、別場所に保管し終了。</t>
  </si>
  <si>
    <t>締日変更依頼</t>
  </si>
  <si>
    <t>18：00</t>
  </si>
  <si>
    <t>Gmailにサイボウズから社内メールが移行できないので重要なメールを履歴として保管したい。</t>
  </si>
  <si>
    <t>Pythonでツール作成。スクレイピングと同じ方法でテキスト化して保存。プロトタイプでテスト中。</t>
  </si>
  <si>
    <t>基幹端末のNAS接続(Mドライブ)設定</t>
  </si>
  <si>
    <t>SKYSEAサーバーで設定バッチファイルを遠隔実行</t>
  </si>
  <si>
    <t>システム運営課</t>
  </si>
  <si>
    <t>OA共有フォルダの共有解除</t>
  </si>
  <si>
    <t>医療介護の自動チェックシステムの機能追加</t>
  </si>
  <si>
    <t>福永期間端末Activedesktopエラー対応</t>
  </si>
  <si>
    <t>再起動で解消。原因不明。</t>
  </si>
  <si>
    <t>全社</t>
  </si>
  <si>
    <t>ー</t>
  </si>
  <si>
    <t>大宮本社サーバーラック内の基幹ネットワークHUB故障</t>
  </si>
  <si>
    <t>故障したHUBの交換、ケーブル再結線</t>
  </si>
  <si>
    <t xml:space="preserve">清國OA端末フリーズ対応
</t>
  </si>
  <si>
    <t>HP製ノートで多発。電源設定などで一時回避。Skyも関連？　頻度が下がったので終了。</t>
  </si>
  <si>
    <t>堀川期間端末　ブルースクリーン対応</t>
  </si>
  <si>
    <t>再起動とシステムスキャン（chk/dskコマンド）で復旧。</t>
  </si>
  <si>
    <t>Acrobat reader　旧バージョンの脆弱性の問題対応</t>
  </si>
  <si>
    <t>Acrobat reader 抽出バッチ作成　配布　集計　メールで更新の周知</t>
  </si>
  <si>
    <t>小幡OA端末フリーズ対応</t>
  </si>
  <si>
    <t>荒木</t>
  </si>
  <si>
    <t>課題解決会議資料が変更、編集不可</t>
  </si>
  <si>
    <t>同会議体メンバーへ荒木さんを追加</t>
  </si>
  <si>
    <t>Microsoft、Adobe他脆弱性対策</t>
  </si>
  <si>
    <t>内容を精査し、更新依頼を社内メールで告知。</t>
  </si>
  <si>
    <t>OA端末容量が増えたのでどうにかしたい</t>
  </si>
  <si>
    <t>Powershellでファイル情報抽出。AIで確認し削除スクリプトで削除し対応。</t>
  </si>
  <si>
    <t>カスタマーサポート課</t>
  </si>
  <si>
    <t>在庫引当</t>
  </si>
  <si>
    <t>エディオン社員用、予備用ノートPCが必要。</t>
  </si>
  <si>
    <t>Amazon再生品を調査。稟議書作成と提出。購入依頼メール。</t>
  </si>
  <si>
    <t>WEB3サーバのHDD障害</t>
  </si>
  <si>
    <t>HPサポートによる保守対応、北浦和での作業立ち合い</t>
  </si>
  <si>
    <t>FL-02サーバのHDD障害</t>
  </si>
  <si>
    <t>ギガファイル便、FireStrageなどの無料ファイル共有サービスの使用禁止方法の確立の依頼。</t>
  </si>
  <si>
    <t>hostsファイルの操作でブロックできるか検証</t>
  </si>
  <si>
    <t>OA⇔基幹移動設定対応</t>
  </si>
  <si>
    <t>ESETに禁止用のxmlをSkyで配布できる形で作成。</t>
  </si>
  <si>
    <t>ギガファイル便のついでに会社全体で不要サイトのブロックのテスト。</t>
  </si>
  <si>
    <t>OA端末自動キッティングツールの検証</t>
  </si>
  <si>
    <t>プロビジョニングキット、Powershell　1台1.75時間→1時間以下へ</t>
  </si>
  <si>
    <t>荷捌き時間変更</t>
  </si>
  <si>
    <t>Word Excelの旧拡張子の大量ファイルをDocx Xlsxにしたい。</t>
  </si>
  <si>
    <t>手で作業しようとしてたのでPythonでexeツールを作り配布し完了。</t>
  </si>
  <si>
    <t>仕入れ先変更・VD更新</t>
  </si>
  <si>
    <t>在庫管理課</t>
  </si>
  <si>
    <t>月初に配信されるOA・基幹移動用アカウントの認証メールが確認できない</t>
  </si>
  <si>
    <t>手動でメールを再送信して対処</t>
  </si>
  <si>
    <t>デジタルマーケティング課</t>
  </si>
  <si>
    <t>B-Dashの顧客データ（ポイント）がおかしいので確認して欲しい。</t>
  </si>
  <si>
    <t>先月までのポイントを保存するテーブル更新が「月初から２営業日」の運用になっているので、GWの影響で５月７日朝のデータがおかしかった。</t>
  </si>
  <si>
    <t>「チェック用）EDION月末売り上げ伝票抽出.imr」で、取得するデータについて以下要望への対応依頼
①特定の１日ではなく、日付を期間で指定したい
②対象データにEM00120のNOTEを追加したい</t>
  </si>
  <si>
    <t>Impromptuで以下を修正
①「レポート」-「クエリー」のフィルタタブで、対象日付を「プロンプトの管理」から開始日付と終了日付を作成し、さらにフィルタ定義で日付をbetween句で指定。
②「レポート」-「クエリー」のデータタブで、左側カタログ欄のEM120のNoteを、右側クエリーデータ欄に追加</t>
  </si>
  <si>
    <t>F-WMS01サーバのHDD障害</t>
  </si>
  <si>
    <t>HPサポートによる保守対応、物流部への立ち合い依頼</t>
  </si>
  <si>
    <t>金子</t>
  </si>
  <si>
    <t>切替機のホットキーの変更と動作不良の対処</t>
  </si>
  <si>
    <t>電源抜き差し、設定変更。</t>
  </si>
  <si>
    <t>佐山</t>
  </si>
  <si>
    <t>エクセルで「信頼できるないファイル」として赤字でメッセージが出て編集できないものがある</t>
  </si>
  <si>
    <t>インターネットオプション＞セキュリティ設定で信頼できるサイトに「10.85.33.230」を追加した</t>
  </si>
  <si>
    <t>PSEマークの処理対応について相談を受ける。</t>
  </si>
  <si>
    <t>PSEマークの内容の調査回答。</t>
  </si>
  <si>
    <t>ILoの接続確認</t>
  </si>
  <si>
    <t>ブラウザで疎通確認</t>
  </si>
  <si>
    <t>出荷日着日一斉変更</t>
  </si>
  <si>
    <t>Googleフォームの公開方法がわからない。</t>
  </si>
  <si>
    <t>リンクを知っている人全員に公開にしてサインインなしで返答可能に。</t>
  </si>
  <si>
    <t>WMS在庫一覧.imrをインプロじゃなくてSQLにしたい</t>
  </si>
  <si>
    <t>解析してSQLに変換</t>
  </si>
  <si>
    <t>OA端末が起動してから操作不能になった</t>
  </si>
  <si>
    <t>リモートでは動くのでPCに問題はなし。
切替器の裏配線を全部外して５秒経ってから付け直して
正常動作を確認できた。</t>
  </si>
  <si>
    <t>5/13に導入したサーバーの設定追加</t>
  </si>
  <si>
    <t>固定ルーティング設定、ファイル共有プロトコル(SMB1.0)有効化</t>
  </si>
  <si>
    <t>新規導入したWEBサーバー(WEB12)が再起動後にPOST画面でハングアップしてOSが起動しない</t>
  </si>
  <si>
    <t>HPEサポートに連絡。iLO上で必要な情報を収集してサポートに解析を依頼。結果システムボードの交換対応が必要となったため、5/22に実施。交換したシステムボードのファームウェアが古かったため、導入時のバージョンに合わせるため想定より時間を要した。またRAIDコントローラのファームウェアのみ導入時より新しいバージョンとなったため、他のWEBサーバでもアップデート対応が必要。</t>
  </si>
  <si>
    <t>ファイル移動用アカウント新規作成ユーザーへの移動手順の展開</t>
  </si>
  <si>
    <t>過去同様に手順案内したメールの送信</t>
  </si>
  <si>
    <t>受注用の複合機で印刷ができない</t>
  </si>
  <si>
    <t>複数の端末から再度印刷処理を実行したが、端末上では印刷ジョブが実行中となるが、複合機ではジョブを認識していない。複合機の電源スイッチをOFF/ONした後、正常動作を確認した</t>
  </si>
  <si>
    <t>0：30</t>
  </si>
  <si>
    <t>GWSのチャットが見えずらい。見やすくする方法を調査。</t>
  </si>
  <si>
    <t>拡張機能を試したが劇的な変化がないので終了。</t>
  </si>
  <si>
    <t>PC管理者権限の設定変更。ESET更新。</t>
  </si>
  <si>
    <t>出荷予定日、到着日変更</t>
  </si>
  <si>
    <t>カウネットの情報取得ツールがとれなくなった。</t>
  </si>
  <si>
    <t>DOM(サイトの構成）が変わった為
新しいDOMに対応 Ver4.0をリリース</t>
  </si>
  <si>
    <t>カウネットの情報取得ツールで先日修正したツールでも取れないものがあった</t>
  </si>
  <si>
    <t>Ver4.0で対応しきれなかったものを修正
Ver4.1をリリース</t>
  </si>
  <si>
    <t>端末が起動するが、パスワードを入れても入れなくなった</t>
  </si>
  <si>
    <t>リモートでも繋がらず。
本体を社内便で送ってもらって大宮で端末起動。(ネットワーク無し)
パスワードは言われていたものでOKで普通に起動した。
川口に戻してもう一度起動してもらう。</t>
  </si>
  <si>
    <t>基幹端末でＭドライブにアクセスできなくなった</t>
  </si>
  <si>
    <t>スタートアップのバッチファイルで繋げた</t>
  </si>
  <si>
    <t>ドライバースケジュールの変更</t>
  </si>
  <si>
    <t>GoogleMeetでカメラは繋がるが、マイクが認識されない</t>
  </si>
  <si>
    <t xml:space="preserve">システム＞プライバシー＞マイクで許可するアプリにChromeがなぜか表示されない
よくわからないが、再起動したら認識されたのでオッケー
</t>
  </si>
  <si>
    <t>17:00確認したが、４倉庫は在庫なし。
北澤さんから在庫に連絡して２倉庫から４倉庫へ移動依頼。
その後自動で引き当った。</t>
  </si>
  <si>
    <t>2：00</t>
  </si>
  <si>
    <t>経理の携帯電話等の請求台帳と実際の使用状態の精査</t>
  </si>
  <si>
    <t>サイボウズ、台帳と整理し経理部資料の更新。</t>
  </si>
  <si>
    <t>Bizストレージのリンク有効期限の延長。</t>
  </si>
  <si>
    <t>使用状況を確認し対応。7日から14日に延長。</t>
  </si>
  <si>
    <t>FL-03ディスク障害</t>
  </si>
  <si>
    <t>W-FL03のスペアディスクに互換性があることを確認し、交換を実施</t>
  </si>
  <si>
    <t>基本ドライバースケジュール変更</t>
  </si>
  <si>
    <t>OA基幹移動用アカウントの作成</t>
  </si>
  <si>
    <t>基幹SKYSEAサーバ上にアカウントを追加、当事者にメール通知</t>
  </si>
  <si>
    <t>保管中の新しい電話機の移動</t>
  </si>
  <si>
    <t>オーダーメイドチーム席付近にある棚に名刺印刷用紙を置くため、電話機を移動（格納している段ボール箱を重ねて保管）</t>
  </si>
  <si>
    <t>202605</t>
  </si>
  <si>
    <t>抽出した社外メールからGmailに同期。全部移行できなかったので、再度作業。</t>
  </si>
  <si>
    <t>Gmailが一度に挙げられる容量制限があり、データを分割し複数回に分けて同期作業を行う。</t>
  </si>
  <si>
    <t>ExcelでNASへ移動した後に開けないなど</t>
  </si>
  <si>
    <t>ロック状態になったので端末再起動後解消。</t>
  </si>
  <si>
    <t>0：15</t>
  </si>
  <si>
    <t>GWSに移行するかメールワイズの使用アドレスの調査</t>
  </si>
  <si>
    <t>磯辺さんから管理アカウントを借りて調査、引継ぎ。</t>
  </si>
  <si>
    <t>ストレッチフィルム発信用データの作成
(UESR_CDとTEL_NOの追加)</t>
  </si>
  <si>
    <t>SCAW側からデータを抜いてプログラムで割り当てました</t>
  </si>
  <si>
    <t>メールアドレスの払い出し</t>
  </si>
  <si>
    <t>スマホに海外発信の迷惑電話が来るのをどうにかできないか？</t>
  </si>
  <si>
    <t>iPhoneでは有料アプリの導入しかブロックできない。アプリ導入には月額費用が発生し稟議案件。一旦クローズ。</t>
  </si>
  <si>
    <t>中泉</t>
  </si>
  <si>
    <t>Acrobat Proを使用するためAdobeユーザーアカウントを切り替えたい</t>
  </si>
  <si>
    <t>Acrobat Proを削除した上でWebブラウザおよびCreativeCloudアプリからログアウト、再ログインしてアカウントの切り替えを実施した</t>
  </si>
  <si>
    <t>ノートPCで昨日までのパスワードでログインができなくなった</t>
  </si>
  <si>
    <t>原因は不明
取り急ぎ管理者アカウントでパスワードリセットで対応</t>
  </si>
  <si>
    <t>基幹端末でのACCESSインストール</t>
  </si>
  <si>
    <t>CDﾒﾃﾞｨｱでインストール。認証済み。</t>
  </si>
  <si>
    <t>中古で購入した予備OA端末の修理返送</t>
  </si>
  <si>
    <t>OA端末のフリーズ対応</t>
  </si>
  <si>
    <t>Windows更新、電源設定変更</t>
  </si>
  <si>
    <t>入れ替えたPCの設定変更</t>
  </si>
  <si>
    <t>Outlookメールデータ移行、アカウント設定変更</t>
  </si>
  <si>
    <t>オリコカード回答ツールの仕様変更</t>
  </si>
  <si>
    <t>VBAを修正</t>
  </si>
  <si>
    <t>仕入先変更、バリエーション変更</t>
  </si>
  <si>
    <t>6/4中途社員用端末キッティング</t>
  </si>
  <si>
    <t>調査</t>
  </si>
  <si>
    <t>過去に自社便で配達したランク別顧客数を知りたい
（創業祭に必要なデータ）</t>
  </si>
  <si>
    <t>ＳＱＬと簡易プログラムで調査</t>
  </si>
  <si>
    <t>鶴巻さん OA端末のメールフォルダの移行</t>
  </si>
  <si>
    <t>SSD、メモリ、切り替え機の稟議書と購入依頼</t>
  </si>
  <si>
    <t>購入対象の調査、稟議書の作成と提出。坂田部長に購入依頼。</t>
  </si>
  <si>
    <t>中山福 仕様欄のサイズ登録誤りについて調査依頼</t>
  </si>
  <si>
    <t>プログラムを動かして検証、問題なし</t>
  </si>
  <si>
    <t>お客様アンケートの集計をスプレッドシートでやりたい</t>
  </si>
  <si>
    <t>効率的なやり方を提案</t>
  </si>
  <si>
    <t>NAS上で消失したファイルを復旧したい</t>
  </si>
  <si>
    <t>フォルダプロパティの「以前のバージョン」タブからバックアップデータを参照して復旧</t>
  </si>
  <si>
    <t>資産管理シールの貼付、管理について</t>
  </si>
  <si>
    <t>5月に導入したKVMスイッチ一式についてシールを貼付する対象機器の確認</t>
  </si>
  <si>
    <t>台風6号による翌日のリモートワークへの対応。</t>
  </si>
  <si>
    <t>通信カードとテザリング可能なスマホの保持ユーザーを資料化して管理部に共有。現物の棚卸をしてリストを更新できるようにする。羽計取締役に提出。</t>
  </si>
  <si>
    <t>長谷川他</t>
  </si>
  <si>
    <t>GWS 初期サインインで多要素認証のテキスト認識型CAPTCHAで識別・入力できないパートさんの対応</t>
  </si>
  <si>
    <t>既定手順で対応済　一度失敗すると簡単な文字列になる。使い方を共有。</t>
  </si>
  <si>
    <t>GWS新規ユーザーへのGmail転送設定</t>
  </si>
  <si>
    <t>請求予定日変更</t>
  </si>
  <si>
    <t>EM00140締日Mの変更は行わないため、既定手順の適用外。
対象伝票の請求予定日を変更する対応のみ実施。</t>
  </si>
  <si>
    <t>入金チェック.imrの修正</t>
  </si>
  <si>
    <t>梅森さんの基幹端末がパーツ不足により間に合わず、自分の基幹端末を設定変更し一時利用として設置。</t>
  </si>
  <si>
    <t>仮想マシンの操作説明、ＳＣＡＷメニューの一時的な設定、ＮＡＳ、ＯＡ共有などの設定を簡易資料にして共有。NAS接続のhostsファイルを修正し解消。</t>
  </si>
  <si>
    <t>OA端末のメモリ増設</t>
  </si>
  <si>
    <t>営業高木さんの社内メール抽出をツールの指導を行い、抽出。</t>
  </si>
  <si>
    <t>使い方の間違えがありエラーが出ていた。</t>
  </si>
  <si>
    <t>野本</t>
  </si>
  <si>
    <t>zipファイル解凍時の動作調整</t>
  </si>
  <si>
    <t>以前対応したzipファイル解凍時に、同階層に解凍する動作が無効となったため、再度レジストリによる設定を実施</t>
  </si>
  <si>
    <t>OA端末のディスプレイが表示されない</t>
  </si>
  <si>
    <t>切替機に接続されている全てのケーブルを抜き、再接続して正常動作した</t>
  </si>
  <si>
    <t>NAS上で消失したフォルダを復旧したい</t>
  </si>
  <si>
    <t>ディスプレイの電源が入らない</t>
  </si>
  <si>
    <t>電源ケーブルを交換しても解消されないため、ディスプレイを交換した</t>
  </si>
  <si>
    <t>内線362席の端末のGoogleChromeで保存されている、ライフルシニアの注文管理サイトログインユーザー情報が、漏洩しているとの表示があった</t>
  </si>
  <si>
    <t>当該ユーザー名とパスワードを変更するよう北澤課長に指示。合わせてユーザー名とパスワードを同一設定して運用していることから、見直す旨を依頼した。</t>
  </si>
  <si>
    <t>派遣の吉川麗華社員の所属確認</t>
  </si>
  <si>
    <t>商品管理課の所属であることを連絡</t>
  </si>
  <si>
    <t>FL-04よりiLOが応答しない旨のSNMPトラップを受信しアラートメールが発報された</t>
  </si>
  <si>
    <t>エラー内容をHPEサポートに連絡。iLOとWindowsのログ、HPE管理ツールの診断レポートを提出。調査の結果、iLOのドライバーが古い場合に、SNMPトラップが誤発報される事例があり、本件が該当する思われ、具体的な対処は行わない方針とする</t>
  </si>
  <si>
    <t>梅森社員のOA端末が、KVMスイッチが不足しており使用できない</t>
  </si>
  <si>
    <t>新規購入したKVMスイッチが到着したため、OA/基幹の各端末が接続できるよう配線した</t>
  </si>
  <si>
    <t>GoogleWorkSpaceのChat画面を新規に開こうとすると、メモリが不足していますとの表示と共にWebブラウザが固まって操作ができない</t>
  </si>
  <si>
    <t>OA端末のメモリを増設して（8GB→16GB）解消されることを確認</t>
  </si>
  <si>
    <t>大畑</t>
  </si>
  <si>
    <t>郵便物のラベル印刷を行う際に、PCがフリーズする</t>
  </si>
  <si>
    <t>搭載メモリが8GBのため、16GBに増設対応して様子を見る</t>
  </si>
  <si>
    <t>取引先とのメールに「reacted to your message:」という表示のみ返信があった。必要なやりとりは終えているが、返信内容が不明。</t>
  </si>
  <si>
    <t>メッセージの内容から調査したところ、相手が絵文字のみで返信してきた可能性が高く、内容自体が挨拶程度であると回答。</t>
  </si>
  <si>
    <t>久楽社員のOA端末でメモリ不足が発生したことから、北澤社員、長谷川社員の分も同様に対応したほうが良いとの相談があった</t>
  </si>
  <si>
    <t>両社員のOA端末のメモリを増設対応（8GB→16GB）</t>
  </si>
  <si>
    <t>サイボウズ社内メール抽出の操作方法の不明点について質問</t>
  </si>
  <si>
    <t>操作方法の追加説明</t>
  </si>
  <si>
    <t>1：00</t>
  </si>
  <si>
    <t>サイボウズの社内メールを抽出したが見やすい方法はないか質問。</t>
  </si>
  <si>
    <t>顧客部などで過去データとして利用機会が多いのでサイボウズ風に見れるビュアーをPythonで作り配布。</t>
  </si>
  <si>
    <t>浅野、三嶋社員用スマホの見積もり。稟議サンプルの用意。</t>
  </si>
  <si>
    <t>エディオン篠嵜さんに依頼</t>
  </si>
  <si>
    <t>着手</t>
  </si>
  <si>
    <t>エディオンから出向の 亀澤社員、深澤社員、秋葉原の外山社員用にノートPCが必要となる。</t>
  </si>
  <si>
    <t>イオシスに見積もり依頼。Amazonが在庫なし。稟議書作成。</t>
  </si>
  <si>
    <t>Googleアプリが開かない、遅い。</t>
  </si>
  <si>
    <t>DNSやNW速度を疑うが解消ならずGoogle側の問題と判明。のちに解消。</t>
  </si>
  <si>
    <t>配送サービス部</t>
  </si>
  <si>
    <t>髙橋</t>
  </si>
  <si>
    <t>サイボウズのメールデータをGmailへ移行したい</t>
  </si>
  <si>
    <t>6/4中途社員用端末キッティング　Win10から11へ更新と仮想データの作成にすごく時間がかかる。</t>
  </si>
  <si>
    <t>既定手順で対応済　OSインストールや更新でエラー。BIOSと最新OSで不具合。調査中。SSDやメモリが在庫がないためキッティングにも時間がかかる。</t>
  </si>
  <si>
    <t>.zip形式のファイルを7-zipで開く様に設定したい</t>
  </si>
  <si>
    <t>既定のプログラムで.zip拡張子を7-zipに関連付け、レジストリを修正してzipフォルダと同階層に解凍されるよう動作を変更</t>
  </si>
  <si>
    <t>0：10</t>
  </si>
  <si>
    <t>モニター故障の疑い。ブルースクリーンのような画面が出る。</t>
  </si>
  <si>
    <t>交換対応のため社内便で発送。</t>
  </si>
  <si>
    <t>OA端末がシャットダウン。起動できない。</t>
  </si>
  <si>
    <t>ケーブルが原因か。イベントには時になし。電源ケーブル交換。</t>
  </si>
  <si>
    <t>吉岡</t>
  </si>
  <si>
    <t>中古購入OAノート　ファン故障。</t>
  </si>
  <si>
    <t>Windows設定、BIOS設定で様子見。</t>
  </si>
  <si>
    <t>対応中</t>
  </si>
  <si>
    <t>名刺印刷室UPSバッテリーが消耗し発報。</t>
  </si>
  <si>
    <t>見積り、稟議申請。</t>
  </si>
  <si>
    <t>キーボードの「Ｈ」キーのみ入力不可</t>
  </si>
  <si>
    <t>代替キーボードでも同事象が一時的に発生したが、解消。その後元のキーボードでも解消したため、交換作業はなし。</t>
  </si>
  <si>
    <t>経理課</t>
  </si>
  <si>
    <t>７Zip圧縮できない</t>
  </si>
  <si>
    <t>ファイル名変更で圧縮ができるようになった。</t>
  </si>
  <si>
    <t>予備機をキッティングし入替。</t>
  </si>
  <si>
    <t>福岡開発室</t>
  </si>
  <si>
    <t>AI開発用に大型モニターが欲しい。</t>
  </si>
  <si>
    <t>調査、見積もり、稟議書作成。ワークフロー申請。</t>
  </si>
  <si>
    <t>プロモーションマーケティング課</t>
  </si>
  <si>
    <t>OA側でマウスが動かない。</t>
  </si>
  <si>
    <t>切替機本体を別の予備に切替。マウスも動きが異常なため交換。</t>
  </si>
  <si>
    <t>相談</t>
  </si>
  <si>
    <t>基幹のSQLツールの新SQL対応</t>
  </si>
  <si>
    <t>要望通りに値王</t>
  </si>
  <si>
    <t>社用スマホでGWSにサインインできない。</t>
  </si>
  <si>
    <t>管理画面で認証を一時緩めて認証。キャッシュができると次から認証できる。</t>
  </si>
  <si>
    <t>情報系のVD更新</t>
  </si>
  <si>
    <t>物流のSQLが２倉庫と４倉庫別々のツールになっているので、
１個にしたい</t>
  </si>
  <si>
    <t>要望通りにSQLを作成</t>
  </si>
  <si>
    <t>SCAWの一部の業務でエラーが発生する</t>
  </si>
  <si>
    <t>SCAWの更新（取り込み直し）で対応</t>
  </si>
  <si>
    <t>GSWに移行で商品管理課パートさんの共通の仕事の
管理をカレンダーでどのようにしたらいいか</t>
  </si>
  <si>
    <t>スケジュールに商品管理課パートさんを表示させて
タスクの追加し、ゲストを全員加えることで対応できそう</t>
  </si>
  <si>
    <t>OA側でモニターが移らない。</t>
  </si>
  <si>
    <t>DVIでそのまま接続すればいいのにDisplayPortに変換。その変換アダプターが壊れてた。撤去しDVIで接続し復旧。</t>
  </si>
  <si>
    <t>Chromeダウンロードが遅い。</t>
  </si>
  <si>
    <t>最近多い、保存先を指定した状態で設定されると遅くなる問題。
Chromeで設定をオフにして解消。</t>
  </si>
  <si>
    <t>Excelファイルが開けない。</t>
  </si>
  <si>
    <t>NAS上で計算式だらけのファイルを開くからローカルで作業するように指示。</t>
  </si>
  <si>
    <t>自社便の出荷指示</t>
  </si>
  <si>
    <t>手順書に不備があったので、下村さんに聞いて修正</t>
  </si>
  <si>
    <t>引当済みであることを確認、実対応なし</t>
  </si>
  <si>
    <t>管理統括部</t>
  </si>
  <si>
    <t>管理部からの依頼 早出残業調査。</t>
  </si>
  <si>
    <t>Skyからのデータを整理し提出。</t>
  </si>
  <si>
    <t>配送課</t>
  </si>
  <si>
    <t>電源断からのブルースクリーン発生。</t>
  </si>
  <si>
    <t>AHCI→ATAへのBIOS設定の変更で対応。</t>
  </si>
  <si>
    <t>浅野、三嶋社員用スマホの発注業務。</t>
  </si>
  <si>
    <t>エディオン篠嵜様に連絡。</t>
  </si>
  <si>
    <t>GWSの共有ドライブをエディオンから出向する新役員がアクセスできるか設定を確認したい</t>
  </si>
  <si>
    <t>管理サイトから現在のアクセス設定を確認し説明済み
https://chat.google.com/room/AAQADNtQTcI/yF73govjoyY/yF73govjoyY?cls=10</t>
  </si>
  <si>
    <t>VD更新(情報系)</t>
  </si>
  <si>
    <t>OA基幹ファイル転送アカウント追加</t>
  </si>
  <si>
    <t>サイボウズで使用していたメールテンプレート機能が、Gmailには存在しない（正確にはテンプレート機能で宛先等が保持できない）
Chromeの拡張で同機能を持つBriskineというのは利用可能か</t>
  </si>
  <si>
    <t>Briskineを調査したところテンプレートをサーバー上に保存する仕様となるため利用不可である旨を回答。導入プロジェクト向けに問い合わせていただくよう依頼。</t>
  </si>
  <si>
    <t>SQLLoaderを使用したデータアップロードに失敗する。</t>
  </si>
  <si>
    <t>エラーログからtnsnames.oraの定義に移行後のWEBDBサーバーのIPアドレスに変更して解消</t>
  </si>
  <si>
    <t>着日、着時間の変更</t>
  </si>
  <si>
    <t>下村部長に連絡して対応依頼</t>
  </si>
  <si>
    <t>基幹メールでメールを送信した際に「配信不能」として送信失敗する</t>
  </si>
  <si>
    <t>送信先アドレスの1つでサーバー上のメールボックス容量を超過していたため、拡張を実施</t>
  </si>
  <si>
    <t>商品管理課パート社員の基幹メール設定</t>
  </si>
  <si>
    <t>在庫品・自社便の出荷指示</t>
  </si>
  <si>
    <t>キーボード動作不良</t>
  </si>
  <si>
    <t>新品交換対応</t>
  </si>
  <si>
    <t>新CTI検証用の電話機動作不良</t>
  </si>
  <si>
    <t>内線430の電話機を、362の電話機に交換</t>
  </si>
  <si>
    <t>EM190のデータ更新者の調査</t>
  </si>
  <si>
    <t>同一伝票に対する在庫引き当て、出荷日着日必着指定設定</t>
  </si>
  <si>
    <t>在庫引き当て、出荷日着日設定を順に実行</t>
  </si>
  <si>
    <t>カタログの更新のやり方をお伝えしました</t>
  </si>
  <si>
    <t>営業の顧客リストにメールアドレスと電話番号を追加したい</t>
  </si>
  <si>
    <t>基幹側で顧客コードをキーに情報取得</t>
  </si>
  <si>
    <t>在庫品・他社便の出荷指示</t>
  </si>
  <si>
    <t>Windows 11環境での基幹端末操作の問題</t>
  </si>
  <si>
    <t>カーソルずれやホスト・ゲストの行き来操作方法、設定手順をチャットで案内。</t>
  </si>
  <si>
    <t>新規購入とするか交換とするかの判断を仰ぐため、チャットで相談。全体の付与リストの精査、OSサポートやバッテリー劣化調査。</t>
  </si>
  <si>
    <t>貯蔵品（PC・ディスプレイ）の数量確認と記載報告</t>
  </si>
  <si>
    <t>Android端末2台の新規見積もりおよび納期情報の依頼。</t>
  </si>
  <si>
    <t>システム運営課 - 作業内容管理・進捗</t>
  </si>
  <si>
    <t>f</t>
  </si>
  <si>
    <t>No.</t>
  </si>
  <si>
    <t>依頼日</t>
  </si>
  <si>
    <t>課題件名</t>
  </si>
  <si>
    <t>課題内容</t>
  </si>
  <si>
    <t>対応内容</t>
  </si>
  <si>
    <t>期限</t>
  </si>
  <si>
    <t>状況</t>
  </si>
  <si>
    <t>備考</t>
  </si>
  <si>
    <t>進捗</t>
  </si>
  <si>
    <t>効果</t>
  </si>
  <si>
    <t>対応者</t>
  </si>
  <si>
    <t>年度</t>
  </si>
  <si>
    <t>商品部
商品管理課</t>
  </si>
  <si>
    <t>楽天カテゴリの取得</t>
  </si>
  <si>
    <t>データシートの「楽天商品カテゴリ」が非常に細かく分類されており、特定の商品がどのカテゴリに当てはまるのかを判断するのが非常に困難で時間がかかっています。</t>
  </si>
  <si>
    <t>WEBスクレイピングを利用して
既に商品が存在するなら他社で一番使われているカテゴリを取得することで作業の効率化とデータの正確性向上を目指す。
また同時にYahooカテゴリについても取得できるようにしました。</t>
  </si>
  <si>
    <t>現在はメーカーからのデータシートにカテゴリが入っているものが多く、プログラムはあまり使用されていない状況とのこと。</t>
  </si>
  <si>
    <t>マーケティング部
サイト運営課</t>
  </si>
  <si>
    <t>b-dash用のデータ作成
週次作業</t>
  </si>
  <si>
    <t>基幹データを抽出してb-dash(販促メール)用に加工する作業が、単純だがファイルサイズが大きいため時間がかかっています。</t>
  </si>
  <si>
    <t>基幹データを抽出する際に、余計なデータを削除し、b-dash用にデータを整える作業を、データファイルを開かずにスムーズに処理・保存できるプログラムを作成しました。
この取り組みにより、作業の効率が向上し、時間の短縮を実現しました。</t>
  </si>
  <si>
    <t>削減工数：約３時間/月
また、上記の時間削減だけでなく、
Excel上の手処理によるミスを防止できることも大きなメリットとなっているとのこと。</t>
  </si>
  <si>
    <t>b-dash用のデータ作成
月次作業</t>
  </si>
  <si>
    <t>基幹データ(直近25か月分)を抽出してb-dash(販促メール)用に取得する行程に時間がかかっています。</t>
  </si>
  <si>
    <t>プログラムを作成しデータを自動取得し、利用したい時にデータが準備してある状態にすることで作業効率を高めました。</t>
  </si>
  <si>
    <t>削減工数：不明</t>
  </si>
  <si>
    <t>短縮商品名の取得</t>
  </si>
  <si>
    <t>商品データシートでは、データベースや納品書印字の制約により、限られた文字数で商品を表現する必要がありました。このため、適切な表現を考え入力する作業が、非常に手間と時間のかかるプロセスとなっていました。この問題は業務全体の効率に影響を及ぼし、現場の負担を大幅に増加させていました。</t>
  </si>
  <si>
    <t>ChatGPTのAPIを使って自動で商品名を提案する機能を導入することで手作業が減り、作業時間が短縮されます。結果として、データ入力が効率化され、スタッフの負担が軽くなります。</t>
  </si>
  <si>
    <t>とりらえず完了！</t>
  </si>
  <si>
    <t>事業管理部</t>
  </si>
  <si>
    <t>SQLの作成
受注データ取得用</t>
  </si>
  <si>
    <t>DWH用の受注データを作成する工程で、現在は基幹のインプロで複数取得したデータを組わせてデータを作成しているので、作成に時間がかかってしまっている。</t>
  </si>
  <si>
    <t>一度でデータを作成できるようにインプロからSQLに作り直し、直接CSVファイルとして書き出すことで作業負担を減らします。</t>
  </si>
  <si>
    <t>ベースのSQLは作成済み。
岡村部長と随時チューニング中です。</t>
  </si>
  <si>
    <t>売価データの統合</t>
  </si>
  <si>
    <t>売価データ、契約単価の更新に伴い、大量のエクセルファイル(毎月およそ250ファイル)を1つにまとめる作業が発生していました。この作業は現在すべて手作業で行われており、作業に時間がかかっていました。</t>
  </si>
  <si>
    <t>プログラムを作成し、この作業を完全自動化しました。
これによりこれまで数時間を費やしていた作業がわずか数秒で完了するようになりました。</t>
  </si>
  <si>
    <t>削減工数：約3時間→約4分
作業時間の98.8%削減。</t>
  </si>
  <si>
    <t>プライスサーチの自社ツール化</t>
  </si>
  <si>
    <t>楽天とヤフーでの価格調査に利用していた「プライスサーチ」が、2024年9月から調査可能な件数に制限(8日間内で7.5万点まで)がかかり、価格調査にかかる日数が2倍になり、調査件数も半減しました。このためリアルタイムの価格を取得できず、他店の価格追跡や価格調整の精度が低下しています。
現在は9.8万円/月(税抜)
現在は価格調査する商品を厳選して対応中。</t>
  </si>
  <si>
    <t>自社で価格を調査するプログラムを開発し、商品価格データを収集します。</t>
  </si>
  <si>
    <t>2025/7末</t>
  </si>
  <si>
    <t>楽天約55万件、ヤフー約53万件の価格調査データを1日で取得し、自動的にNASサーバーに保存できるツールを実装。
楽天は稼働開始から2か月、ヤフーは１か月が経過しましたが、現在までに大きな問題は発生していません。
今後も取得データの確認は継続しますが、ツールとしての実装は完了としています。</t>
  </si>
  <si>
    <t>顧客部サービス課</t>
  </si>
  <si>
    <t>インプロ出力ファイルの破損</t>
  </si>
  <si>
    <t>インプロで出力したエクセルファイルが開けるときと開けない場合がある。開けない場合はやり直さないといけないので無駄な作業になっている。</t>
  </si>
  <si>
    <t>プログラムを作成し、別ルートで同じ結果のファイルを出力するようにしました。</t>
  </si>
  <si>
    <t>根本的な解決にはなっていないので、引き続き調査してみます。</t>
  </si>
  <si>
    <t>顧客部
顧客課</t>
  </si>
  <si>
    <t>買い物コネクトの欠品対応ツールの自動化</t>
  </si>
  <si>
    <t>買い物コネクトにおける現在の業務を簡略化したい。
【現在の流れ】
・インプロで買い物コネクトの欠品情報を取得しそれをエクセル化
→手動で注文日ごと、施設ごとに並び替え
→表示されている伝票番号をSCAWの受注画面で一つ一つ入力し、
欠品している商品の入荷日を調べ、お客様へ案内する</t>
  </si>
  <si>
    <t>エクセルで全ての情報を一括で取得できるようにしました。</t>
  </si>
  <si>
    <t>データの作成に３０分かかっていたのが約１０秒で完了できるようになりました。
作業時間は 約99.44% 削減。</t>
  </si>
  <si>
    <t>顧客部
サービス課</t>
  </si>
  <si>
    <t>基幹⇔OA間のデータ移動</t>
  </si>
  <si>
    <t>研修を通じ基幹とOA間でのデータの移行作業に時間が取られていると感じました。</t>
  </si>
  <si>
    <t>基幹ネットワークとOAネットワークを行き来できる端末を作成し、
フォルダを監視し、そのフォルダに入ったものを移動するプログラムを作成することにより、基幹⇔OA間のデータ移行をスムーズにできるようになります。
セキュリティの為、該当の端末とOA側にはウィルス対策をし、ユーザーは限定し、移動ファイルのログは残すようにします。</t>
  </si>
  <si>
    <t xml:space="preserve">同時接続数の問題で中継端末を端末→サーバーに変更。
現在テスト運用中。
問題なければ２月に正式運用したい。
※USB端末管理台帳をどうするか
</t>
  </si>
  <si>
    <t>買い物コネクト
伝票の対象化と出荷指示解除のツール化</t>
  </si>
  <si>
    <t>買い物コネクトの伝票の対象化と出荷指示解除の作業が平日毎日あり、
確認することも多く通常のObjectBrowserを使った方法だと厳しい。</t>
  </si>
  <si>
    <t>福岡システムにツール化してもらいました。</t>
  </si>
  <si>
    <t>ツールの運用を顧客部に譲渡済み。</t>
  </si>
  <si>
    <t>BtoBの価格調査</t>
  </si>
  <si>
    <t>アスクル、たのめーる、カウネット、モノタロウなど
営業で他社サイトの商品をForestで買ったらいくらになるかの調査に
現在のところ、マンパワーで作業していてかなり時間がかかっているので
改善できるなら改善したい、とのこと。</t>
  </si>
  <si>
    <t>楽天やヤフーのプライスサーチのロジックを使って、BtoBのサイトから欲しい情報を抽出します。</t>
  </si>
  <si>
    <t>まずはアスクルのデータ取得を行い、42,000件の調査が完了しました。
人の手で1行の調査に約30秒かかるところが1秒で終わりました。
作業時間は 約96.67% 削減。
いったん完了。</t>
  </si>
  <si>
    <t>倉庫レイアウトの
データ作成自動化</t>
  </si>
  <si>
    <t>現在、毎朝インプロでデータを抽出してそれをCSVに変換(約３０分前後)し、そのデータをもとに倉庫レイアウト修正作業をしている。
自動化が実現できると業務がスムーズになるので対応をお願いしたい、とのこと。</t>
  </si>
  <si>
    <t>インプロと同じ結果になるSQLを作成しsqlplusのスプール機能を使って
直接CSVに出力し、それをバッチファイルにしてスケジューリングすることで
自動化が実現できると考えます。</t>
  </si>
  <si>
    <t>ツール（インプロ）が７個あり、全部対応完了。
今までのインプロでの作業でもデータ取得まで待機しているわけではなく、他の作業を並行して行っていたため、効率の向上を数値で表現するのは難しいですが、自動化により、作業を開始する前にデータがすでに準備されている状態になり、全体の流れがスムーズになりました、とのこと。</t>
  </si>
  <si>
    <t>物流部
川口配送センター</t>
  </si>
  <si>
    <t>コピー用紙配送の
一般貨物管理表の作成</t>
  </si>
  <si>
    <t>新しい一般貨物配送業務「コピー用紙配送」ができたが、
荷主と下請けの請求金額を精査する管理表が欲しい。</t>
  </si>
  <si>
    <t>適切なエクセルの計算式を入力するだけです。</t>
  </si>
  <si>
    <t>荷主への請求額、
各業者への支払額が一目でわかるようにしました。</t>
  </si>
  <si>
    <t>楽天の商品更新csv</t>
  </si>
  <si>
    <t>イベント期間中に全商品に対し商品名を更新しているが、
商品数が多い（約50万点強）ため元となるexcelを作成し、1つのcsvに対し商品数5万点までのため、そこから計11個のcsvへ手作業で分けているので作業を簡略化したい。</t>
  </si>
  <si>
    <t>プログラムで自動化します。</t>
  </si>
  <si>
    <t>手作業だと１０分？かかっていたのが約15秒で終わるようになりました。
作業時間は約 97.5% 削減。</t>
  </si>
  <si>
    <t>EDION連携納期回答【花王】の
応答速度の改善</t>
  </si>
  <si>
    <t>SCAWメニューの「EDION連携納期回答【花王】」の
応答速度が15:30ぐらいから開始しても17:30以降になるぐらい遅い。
また動作中はSCAW業務が行えない。
（現在はリモートで１台SCAW端末を利用して対応しているとのこと）</t>
  </si>
  <si>
    <t>メニューでどのSQLが呼ばれているか調査して、
必要であればSQLを改修してみます。
また他の方法でデータを取得することができればSCAW業務は行えるので、合わせて調査してみます。</t>
  </si>
  <si>
    <t>下村さんにシステム内で使われているSQLの見直しを
して修正していただきました。
今まで1時間かかっていたところが、2秒程度で終わるようになったそうです。
1時間が2秒で終わる削減効果は99.94%になります。</t>
  </si>
  <si>
    <t>商品部
商品一課</t>
  </si>
  <si>
    <t>未引き当てメールの題名変更</t>
  </si>
  <si>
    <t>理由は各MDが自分の担当の商品が欠品していることを確認するために、欠品のメールの題名に大分類コードを入れられるか、確認してほしい。</t>
  </si>
  <si>
    <t>簡単にできるか、福岡に確認。</t>
  </si>
  <si>
    <t>簡単にはできないそう。
福岡対応予定。
2/13 完了</t>
  </si>
  <si>
    <t>商品部
商品二課</t>
  </si>
  <si>
    <t>売価の設定方法について</t>
  </si>
  <si>
    <t>セールなどで期間限定で売価を変更するが、変更中に他の売価を変更すると
元の売価がわからなくなってしまう。</t>
  </si>
  <si>
    <t>現在の運用を調査して、対応。</t>
  </si>
  <si>
    <t>福岡システムで対応予定。</t>
  </si>
  <si>
    <t>MDの日時作業</t>
  </si>
  <si>
    <t>MDが毎日自分の担当商品の前日の売上データを、岡村さんが作成してくれたLookerStudioから取得してエクセルに入力している。10分ぐらいで終わるが、毎日の作業なので簡略化出来るならやってほしい。</t>
  </si>
  <si>
    <t>SCAWデータを使って作成しているので、簡単に取れないか調査してみる。</t>
  </si>
  <si>
    <t>データを見る</t>
  </si>
  <si>
    <t>管理部
管理課</t>
  </si>
  <si>
    <t>値引伝票自動作成</t>
  </si>
  <si>
    <t>値引伝票を作成するためのデータ作成業務で
月に約３時間ほどの工数で手動で作業しているものを、
ミスもあるので自動作成するようにしてほしい。</t>
  </si>
  <si>
    <t>今までSQLで抽出したデータを加工していたものをSQL内で自動計算して結果を出力することで工数を減らせないか検討中です。</t>
  </si>
  <si>
    <t>完了済み。
しばらくは今までの作業でやっていただき、
ツールと比べて整合性のチェックをしてもらっています。</t>
  </si>
  <si>
    <t>重要メモ抽出ツールの改修</t>
  </si>
  <si>
    <t xml:space="preserve">重要メモ抽出ツールで、お客様から問い合わせがあった際に色々調べなくて済むように、表示内容を追加したい。
</t>
  </si>
  <si>
    <t>インプロを修正します。</t>
  </si>
  <si>
    <t>完了済み。
30分/日ぐらい短縮できているとのこと。</t>
  </si>
  <si>
    <t>楽天の価格調査</t>
  </si>
  <si>
    <t>各MDが自分の商材リストの最新の楽天価格を調査する際、
WEBを回覧すると時間がかかるのでツール化してほしい。</t>
  </si>
  <si>
    <t>マーケティング部で使う予定のプライスサーチをカスタマイズしてＭＤさんが使いやすいように改良します。</t>
  </si>
  <si>
    <t>完了済み。
箱バラ等が取れるように別途チューニング中。</t>
  </si>
  <si>
    <t>マーケティング部
販売促進課</t>
  </si>
  <si>
    <t>b→dashのSFTP自動連携</t>
  </si>
  <si>
    <t>「新規入会後から７日経ったお客様にクーポンメールを送信する」等を自動でやりたいが、現状できていない。
B-dashのデータ自動登録機能をうまく利用して販促に繋げたい。</t>
  </si>
  <si>
    <t>SFTPでB-Dashのサーバーにアップロードすると自動的に登録できる機能があるので、それとNASの基幹→OAへのデータ移動をうまく連携させて自動化できるようにする。</t>
  </si>
  <si>
    <t>2025/2末</t>
  </si>
  <si>
    <t xml:space="preserve">希望は２月末まで。
自動アップロード作成＋テスト済み。
1/23(木)の朝に本番。
</t>
  </si>
  <si>
    <t>Google Play Console デベロッパー アカウント</t>
  </si>
  <si>
    <t>配送支援アプリをGoogle Playにあげているが、
デベロッパーアカウントの設定が必要になっており、対応しないと「デベロッパープロフィールとアプリが削除される」と注意表示されている。</t>
  </si>
  <si>
    <t>調査中</t>
  </si>
  <si>
    <t>調査中です。</t>
  </si>
  <si>
    <t>基幹メールアドレスの枯渇</t>
  </si>
  <si>
    <t>現在基幹メールアドレスが枯渇していて、新規で作れない状態になっている。</t>
  </si>
  <si>
    <t>メールサーバーのソフトウェアを入れ替えて対応。</t>
  </si>
  <si>
    <t>※古いメールはサーバー上から削除されます。
PCで受信したメールはそのまま残ります。
長期間使っていないメールは受信しておいてください。
移行する日程が決まりましたらまたご連絡します。</t>
  </si>
  <si>
    <t>アスクルデータ情報の取得</t>
  </si>
  <si>
    <t>現在アスクルデータの取得をオクトパスという無料ソフトを使って取得しているが、１度に２万件、月に５万件の制限がある。
有料版なら無制限　＄９９/月</t>
  </si>
  <si>
    <t>自社で作成することで、
無制限で同じデータを取得可能。</t>
  </si>
  <si>
    <t>作成済み。
4万件のデータ取得で問題なく完了。</t>
  </si>
  <si>
    <t>カタログの文字校正</t>
  </si>
  <si>
    <t>カタログの規約(PDF)が、規約文書(Word)と差異がないか調査してもらいたい。</t>
  </si>
  <si>
    <t>PDFとWordをテキスト化して、プログラムで精査する。</t>
  </si>
  <si>
    <t>完了済み。</t>
  </si>
  <si>
    <t>楽天の価格調査（箱バラ）</t>
  </si>
  <si>
    <t>以前に作った楽天の価格調査だとJANコードで商品を検索して価格を取得するが、たとえば「６本入り」のデータがとれない。</t>
  </si>
  <si>
    <t>再検索機能を追加して、売価に対して明らかに
おかしい結果のものは商品名と価格を絞って検索して目的の情報を取れるようにする。</t>
  </si>
  <si>
    <t>-</t>
  </si>
  <si>
    <t>2/15完了。</t>
  </si>
  <si>
    <t>カウネットの売価データ取得</t>
  </si>
  <si>
    <t>カウネットの価格調査を自動化したい</t>
  </si>
  <si>
    <t>自動化プログラムを開発し、商品価格データを収集します。</t>
  </si>
  <si>
    <t>b→dashのSFTP自動連携
(伝票データ)</t>
  </si>
  <si>
    <t>伝票データも顧客データと同じように自動連係したい</t>
  </si>
  <si>
    <t>B-Dashへのアップロードするプログラムは汎用性を持たせているので顧客データと同じように伝票データ作成プログラムを作成して対応します。</t>
  </si>
  <si>
    <t>2/19完了。</t>
  </si>
  <si>
    <t>請求書確認の修正</t>
  </si>
  <si>
    <t>コピー機配送請求書の精査で、「コース」も見るようにしたい。</t>
  </si>
  <si>
    <t>ピボットテーブルの項目を追加します。</t>
  </si>
  <si>
    <t>アスクルPB品のデータ取得</t>
  </si>
  <si>
    <t>アスクルのPB品にしぼった情報取得がしたい。</t>
  </si>
  <si>
    <t>巡回プログラムを作成して情報を取得します。</t>
  </si>
  <si>
    <t>No39で対応します。</t>
  </si>
  <si>
    <t>カインズホームの情報取得</t>
  </si>
  <si>
    <t>当社の扱いにないが多くのお客様が欲しいと思う
商品(塊＝群)を探し出して品揃え強化を図りたいので
カインズホームの商品情報を取得したい。</t>
  </si>
  <si>
    <t>プログラムを作成して自動取得します。</t>
  </si>
  <si>
    <t>2/13に完了済み。</t>
  </si>
  <si>
    <t>DCMの情報取得</t>
  </si>
  <si>
    <t>カインズホームのデータだとJAN情報がないものが多く
自社と付け合わせが難しいのでDCMの情報で取得して欲しい。</t>
  </si>
  <si>
    <t>2/14に完了済み。</t>
  </si>
  <si>
    <t>カウネットの情報取得</t>
  </si>
  <si>
    <t>DCMと同じように「たのめーる」での全データ情報が欲しい。</t>
  </si>
  <si>
    <t>一応今は不要とのことでとりあえず完了にしてます。
必要になったら再申請してください。</t>
  </si>
  <si>
    <t>たのめーるの情報取得</t>
  </si>
  <si>
    <t>No.51で完了済み。</t>
  </si>
  <si>
    <t>アスクルの情報取得</t>
  </si>
  <si>
    <t>DCMと同じようにカウネットでの全データ情報が欲しい。</t>
  </si>
  <si>
    <t>No39で対応。</t>
  </si>
  <si>
    <t>アスクルの申込番号に対する
自社商品データ取得</t>
  </si>
  <si>
    <t>営業で利用したいので、エクセルにあるアスクルの申込番号の現在価格とフォーレストの価格を調査してほしい。</t>
  </si>
  <si>
    <t>2/21に完了済み。</t>
  </si>
  <si>
    <t>アスクルのエレコム商品
情報取得</t>
  </si>
  <si>
    <t>アスクルのエレコム商品の品揃えと弊社の揃えを比較したい</t>
  </si>
  <si>
    <t>メーカー名、カテゴリで検索可能。
3/5に完了済み。</t>
  </si>
  <si>
    <t>エディオンの売価情報取得</t>
  </si>
  <si>
    <t>うちで売ってる商品が、エディオンでいくらで売られているか調査したい。</t>
  </si>
  <si>
    <t>3/8に完了済み。</t>
  </si>
  <si>
    <t>株式会社ファースト
データシート作成の効率化</t>
  </si>
  <si>
    <t>２６万行のデータシートの作成を急ぎたい。</t>
  </si>
  <si>
    <t>エクセルではなく、違う方法を利用して効率的に進める方法を考えます。</t>
  </si>
  <si>
    <t>他にも、現場レベルでのデータシート作成に関連する作業を効率化するためのツールを複数作成しました。
6/13に完了済み。</t>
  </si>
  <si>
    <t>売上データの取得</t>
  </si>
  <si>
    <t>24年度の商品売上ランキング上位１万アイテムと、それに付随する楽天価格、アスクル価格を調査したい。</t>
  </si>
  <si>
    <t>SCAWでデータを取得して、楽天、アスクル価格は既存のツールでデータ取得します。</t>
  </si>
  <si>
    <t>今後は商品部で作成出来るようにSCAWのデータ取得SQLを作成。</t>
  </si>
  <si>
    <t xml:space="preserve">手作業（1アイテム1分）と仮定した場合、アスクル、楽天で１万アイテムの検索に約20,000分（約334時間）のみなし削減。
</t>
  </si>
  <si>
    <t>カテゴリの取得</t>
  </si>
  <si>
    <t>他社サイト（アスクル、ロハコ、姫路流通センター）のカテゴリ構造を取得してほしい。</t>
  </si>
  <si>
    <t>プログラムで解析してカテゴリデータを取得します。</t>
  </si>
  <si>
    <t>4/16に完了済み。</t>
  </si>
  <si>
    <t xml:space="preserve">手作業で3サイトの全カテゴリ階層（約1万件規模）を調査・転記したと仮定した場合、約75〜100時間のみなし削減。
</t>
  </si>
  <si>
    <t>おせち・母の日など問番マクロの修正</t>
  </si>
  <si>
    <t>2025年度も母の日ギフトが実施されるが、運用の追加や修正があるため、
サービス課（直送担当）利用分の「問番マクロ」を調整・修正を希望。</t>
  </si>
  <si>
    <t>VBAマクロを修正します。</t>
  </si>
  <si>
    <t>4/17に完了。
細かい修正をして5/9に完了済み。</t>
  </si>
  <si>
    <t>新規運用へのシステム対応。既存自動化ツールの延命・アップデートにより、
現場の継続的な業務効率化（工数削減効果）を維持。</t>
  </si>
  <si>
    <t>データシートの効率化(家具)</t>
  </si>
  <si>
    <t>家具のデータシート作成を簡略化したい。</t>
  </si>
  <si>
    <t>ファーストのデータシート作成プログラムを改変して家具用に調整します。
・「詳しく見る」を「品番、カラー、その他」の記述にする
・「商品名」を椅子の場合は「メーカー名/商品名 背【色】/座【色】【キャスター素材】キャスター」、テーブルの場合は「メーカー名/商品名/天板カラー/天板Ｗ/天板Ｄ」にする
・キーワードを「/」で区切る
・対照表から必要な画像を抽出して自動でリサイズ・リネーム</t>
  </si>
  <si>
    <t>１データシートが約3日かかるものが約2時間で終わります。
作業時間を約９２％軽減。
現場で使えるようにEXE化してツール化。</t>
  </si>
  <si>
    <t>1データシート（メーカーのカタログ更新データ一式等）あたり、
約3日（約24時間）かかっていた作業が約2時間に短縮し、
１データシートにつき約22時間の工数を削減（約92%減）。
今回の３データシートあり、年に２回の改定があったとして
年間約132時間の実工数削減。</t>
  </si>
  <si>
    <t>エディオン引越サービスの料金改定による料金シートの作成</t>
  </si>
  <si>
    <t>エディオン引っ越しサービスの料金が５月に改訂されるので、それに伴って受付表のデータを更新したい。</t>
  </si>
  <si>
    <t>エクセルデータを修正します。</t>
  </si>
  <si>
    <t>4/19に完了済み。</t>
  </si>
  <si>
    <t>外部サービスの料金改定に伴うシステム対応。
既存ツール（受付表）をアップデートすることで手計算への逆戻りを防ぎ、
現場の継続的な業務効率化を維持。</t>
  </si>
  <si>
    <t>商品ランクの再設定</t>
  </si>
  <si>
    <t>商品ランクを設定しなおしたい。</t>
  </si>
  <si>
    <t>S,A,Kランクについてはエクセルデータを元にランクを再設定、
Zランクについては廃盤設定のものを更新、
PランクはForest,Goono,e angleのものを設定するプログラムを作成。</t>
  </si>
  <si>
    <t>5/12に更新済み。
頻繁に更新する場合はプログラムをEXE化して商品部に引継ぎ予定。</t>
  </si>
  <si>
    <t>従来は期実施できていなかった、約3万件の商品ランク（S,A,K,Z,P等）の再設定・更新をプログラム化。
もし手作業で行えば週に数時間（年間約100〜150時間）かかる規模のデータメンテナンスを自動化し、商品ランクの鮮度と正確性を常に維持できる新たな運用を確立（みなし削減・新規価値創出）。</t>
  </si>
  <si>
    <t>EDIONドロップシッピング
家電商品検索</t>
  </si>
  <si>
    <t>ドロップシッピング一覧から家電を抜き出したい。</t>
  </si>
  <si>
    <t>ドロップシッピング一覧のエクセルをデータフレーム化して検索します。</t>
  </si>
  <si>
    <t>4/30に完了済み。</t>
  </si>
  <si>
    <t>ライフル買い物コネクト
欠品商品表示ツールの修正</t>
  </si>
  <si>
    <t>運用上の改善のため、表示方法を修正してほしい。
①SCAW受注日の日付が変わる境目に、下線の太線を追加
②入荷予定数量、現在在庫数～発注日付、メアドの表示削除
③伝票に品目が複数ある場合、分納伝票列に「複」を表示
④入荷予定日が翌々営業日の場合、出荷依頼列に「★」を表示</t>
  </si>
  <si>
    <t xml:space="preserve">5/12に完了済み。
これまで平均約4分かかっていた処理が、約1.5分に短縮され、約60～70％の工数削減になった。
また今回の改修により確認漏れの防止に加え、業務負担の軽減も実感できているとのこと。
</t>
  </si>
  <si>
    <t>運行管理システムの
データ修正</t>
  </si>
  <si>
    <t>運行管理をアプリで記録しているが、データの打ち漏れがある部分を修正したい。</t>
  </si>
  <si>
    <t>依頼のエクセルデータでDBを更新します。</t>
  </si>
  <si>
    <t>5/6に完了済み。</t>
  </si>
  <si>
    <t>商品部
商品課</t>
  </si>
  <si>
    <t>「たのめーる」価格調査</t>
  </si>
  <si>
    <t>「たのめーる」の価格を一括で調査したい。</t>
  </si>
  <si>
    <t>プログラムを作成してデータ取得します。</t>
  </si>
  <si>
    <t>6/12に完了済み。</t>
  </si>
  <si>
    <t>注文取込業務の処理漏れ防止</t>
  </si>
  <si>
    <t>外部サイトのデータ取込漏れが発生。
作業チェックシートを作成して複数人でダブルチェックをしているが、お客様から「商品が届かない」との問い合わせを受け、初めて問題を認識。
過去にも同様の漏れが複数回発生しており、効果的な防止策がないまま対応が続いている。</t>
  </si>
  <si>
    <t>SCAWへのデータ取込有無を自動で確認できるツールを作成し、ヒューマンエラーの根本的な解消を図る。</t>
  </si>
  <si>
    <t>基幹側でエクセルマクロとSQLを利用して１ボタンでデータの取り込み情報を確認できるツールを作成しました。
6/16に完了済み。
その後取り込み漏れはゼロになったとのこと。</t>
  </si>
  <si>
    <t>運行管理システムのデータ修正</t>
  </si>
  <si>
    <t>6/16に完了済み。
以前にもデータ修正依頼があったので、
今後は川口配送センターで管理・修正できるような仕組みを作成しました。</t>
  </si>
  <si>
    <t>管理部
経理課</t>
  </si>
  <si>
    <t>滞留在庫抽出ツール作成</t>
  </si>
  <si>
    <t>現行のツールの問題点
1.現行の作業工程が複雑で作業工数がかかる・・・[4H～8H]×2人×2回/年(在庫管理課でも別途情報取得の工数発生)。
2.現行の作業工程が複雑で特定の人間しか作業できない。
3.ｱｸｾｽ内で連結したﾃﾞｰﾀを抽出、ﾀﾞｳﾝﾛｰﾄﾞしようとするとｴﾗｰが発生することが頻発し作業自体がｽﾑｰｽに実施できない。
4.在庫管理課でも別方法で滞留在庫を監視しているが、経理課で把握する滞留在庫と一致しない。</t>
  </si>
  <si>
    <t>他の方法を利用して結果が一緒になるようにします。</t>
  </si>
  <si>
    <t>7月末</t>
  </si>
  <si>
    <t>6/25に完了済み。
経理課で今までの作業の結果と新ツールの結果が一致することを確認済み。
従来最大16人時かかっていた作業をツール化により約99.7%削減し、
3分で完了できるようにしました。</t>
  </si>
  <si>
    <t>営業管理部
商品管理課</t>
  </si>
  <si>
    <t>改廃データの運用</t>
  </si>
  <si>
    <t>改廃のデータ入力にエクセルを使っているが、
行数が８０万件以上になっていて重すぎて作業に時間がかかる。
改善できるならして欲しい。</t>
  </si>
  <si>
    <t>データはDB化、入出力はWEBアプリケーションを構築して
効率をあげれるようにする。</t>
  </si>
  <si>
    <t>11/7(金)：処理データのアップロードも非同期化の希望
　　　　→ 対応済み→検証待ち
2月より正式運用
　運用してみて追加改修があれば対応します。</t>
  </si>
  <si>
    <t>現段階で作業の4割減とのこと</t>
  </si>
  <si>
    <t>チルドの分類調査</t>
  </si>
  <si>
    <t>チルド食品取扱にあたり、他店の分類調査をして欲しい。</t>
  </si>
  <si>
    <t>依頼されたURLからスクレイピングで分類情報を取得します。</t>
  </si>
  <si>
    <t>急ぎ</t>
  </si>
  <si>
    <t>7/3に完了済み。</t>
  </si>
  <si>
    <t>中山福のデータ変換</t>
  </si>
  <si>
    <t>仕入先「中山福」から送られてくるデータ(エクセル)を自社のデータシートに変換するツールを作成して欲しい。
今後2万件程増える予定。</t>
  </si>
  <si>
    <t>データを変換するプログラムを作成して自動化します。</t>
  </si>
  <si>
    <t>7/10に完了済み。</t>
  </si>
  <si>
    <t>売れ筋商品の取得</t>
  </si>
  <si>
    <t>アスクルの各カテゴリの売れ筋の商品情報を抜き出したい。</t>
  </si>
  <si>
    <t>アスクルのカテゴリ別ランキングページから商品情報を取得します。</t>
  </si>
  <si>
    <t>ファースト未登録品の調査</t>
  </si>
  <si>
    <t>登録件数目標達成のため、ファーストの分類誤りで登録できなかった分
を登録できるようにする→スピードアップしたい。</t>
  </si>
  <si>
    <t>フォーレストの分類がアズワンのカテゴリを模しているとのことで
商品をアズワンで検索した結果の分類を取得する自動プログラムを作成して作業時間短縮を図る。</t>
  </si>
  <si>
    <t>1件あたり約2.8分→約0.4分に短縮。
約83.3％の時間効率改善。</t>
  </si>
  <si>
    <t>管理部
債権・請求管理課</t>
  </si>
  <si>
    <t>納品書・請求書のPDF化</t>
  </si>
  <si>
    <t>お客様に請求書・納品書をPDFで送付したいが、現状のSCAWの出力メニューではプリンタに直接出力されてしまう。そのため、紙で印刷したものをスキャンしてPDF化しており、紙資源と作業時間が無駄になっている。</t>
  </si>
  <si>
    <t>福岡システムと連携し、出力をプリンタではなく画面表示に変更してもらうことで、基幹システム側でPDF出力可能なプリンタドライバを使用してPDF化できるようにする。</t>
  </si>
  <si>
    <t xml:space="preserve">7/24に完了済み。
</t>
  </si>
  <si>
    <t>エディオン商品の画像取得</t>
  </si>
  <si>
    <t>エディオン仕入れで販売する画像をエディオンサイトから取得したい。</t>
  </si>
  <si>
    <t>7/30に完了済み。
ツール化済み。</t>
  </si>
  <si>
    <t>DCMの在庫アイテム取得</t>
  </si>
  <si>
    <t>DCMで在庫を持ってるアイテム情報が欲しい。</t>
  </si>
  <si>
    <t>7/18に完了済み。</t>
  </si>
  <si>
    <t>基幹データ抽出ツール</t>
  </si>
  <si>
    <t>・基幹のデータを取得するのに品目コードで指定したいが品目コードが８万件ぐらいあるので、一度対象のUP_DT(更新日付)を更新して、その日付を指定してデータを取得する運用にしていた。
→他の業務でデータの更新があるため、業務の一番最後にやるしか方法がなかった。
これを改善したい。</t>
  </si>
  <si>
    <t>インプットされたエクセルから品目コードを抽出して、SQLの条件にしてデータを取得できるプログラムを作成します。</t>
  </si>
  <si>
    <t>8/22に完了済み。
作業時間：
４～６時間×２人 →  2～3分× 1人
所要時間の削減率は約 99.4%</t>
  </si>
  <si>
    <t>マスター抽出ツールの改善</t>
  </si>
  <si>
    <t>マスター抽出するツール（インプロ）の結果が出るのが時間がかかる。
（４０～６０分ぐらい）</t>
  </si>
  <si>
    <t>インプロの中身（SQL）を調査して最適化します。</t>
  </si>
  <si>
    <t>9/8に完了済み。
約５０分　→　約２分
所要時間の削減率は約 96%</t>
  </si>
  <si>
    <t>まとめ売りの画像作成</t>
  </si>
  <si>
    <t>冷凍食品の画像でまとめ売りの画像にピクトを入れたい。</t>
  </si>
  <si>
    <t>プログラムを作成して自動化します。</t>
  </si>
  <si>
    <t>なるべく早め</t>
  </si>
  <si>
    <t>9/9に完了済み。
手動で9～10時間かかるのが、１～２分で完了。
所要時間の削減率は約 99.7%。
ツール化して汎用的に使えるようにしました。</t>
  </si>
  <si>
    <t>アスクルデータ取得</t>
  </si>
  <si>
    <t>アスクルが在庫を持ってる商品を調査したい。</t>
  </si>
  <si>
    <t>スクレイピングで直送以外のデータを調査します。</t>
  </si>
  <si>
    <t>最優先</t>
  </si>
  <si>
    <t>レンタルサーバー6台借りて調査中。
アイテム数が1500万点以上あるので調査にかなり時間を要します。
9/16 10時の時点で132万点完了済み。
カテゴリ毎に抽出して終わり次第提出します。</t>
  </si>
  <si>
    <t>9/19(金)：
　18カテゴリ中９カテゴリ取得済みで自社マスタをマージして提出済み。
　残りも引き続き取得中。
9/20(土)：
　「カウネット」「たのめーる」の在庫状況も取得したいとのことで
　別途プログラム作成し、「カウネット」「たのめーる」の情報を取得。
　５カテゴリ取得完了し、結果をマージして提出済み。
　残りも引き続き取得中。
9/22(月)：
　・アスクル 600/1,500万点取得済み
　　17/18カテゴリ
　　残り「機械部品／空圧機器／電気・電子部品」約900万点
　　→安形部長よりこのカテゴリは不要との事でアスクルは終了。
　・カウネット＆たのめーるデータ
　　10/18カテゴリ取得済み
9/24(火)：
　・依頼のデータ全て完了して提出済み。
　・総検索数    　
　　　　アスクル：約６００万点
　　　　カウネット、たのめーる：約４１万点</t>
  </si>
  <si>
    <t>・フォレストウェイ全体の商品マスタデータを基幹から取得するのに８０万件ぐらいあるので、一度抜くのに2～4時間くらいかかる
これを改善したい。
作業時間：ＰＣ占有時間2～3時間</t>
  </si>
  <si>
    <t>9/20(土)：
　・着手中
9/22(月)：
　・SQLを作成して基幹メールで提出済み。
　・結果のフィードバック待ち。</t>
  </si>
  <si>
    <t>一カ月で今までかかっていた作業が
５２０分から１８０分に短縮できたとのこと。
　→　作業時間の約６５．４％削減</t>
  </si>
  <si>
    <t>フォーレスト在庫有
かつ
アスクル・カウネット・たのめーる
の在庫無し情報をとりたい</t>
  </si>
  <si>
    <t>No.66の延長で
フォーレスト在庫有
かつ
アスクル・カウネット・たのめーるの在庫有無情報
をとりたい。</t>
  </si>
  <si>
    <t>アスクルのデータはあるので、No.66で取得したデータ以外のものを
カウネット・たのめーるで情報取得します。</t>
  </si>
  <si>
    <t>取得データアイテム数はカウネット・たのめーる、それぞれで７５万点ほど</t>
  </si>
  <si>
    <t>9/26(金)：
　・着手中 → データ取得中
9/27(土)：
　・データ取得中　
    　　　データ取得率：カウネット：15％
　　　　　　　　　　　たのめーる：20％
　・速度を上げるためにプログラム調整を実施
9/29(月) 
　・データ取得中　
    　　　データ取得率：カウネット：40％
　　　　　　　　　　　たのめーる：85％
 　・カウネットが遅いのでレンタルサーバー増やして対応
9/30(火)：
　・データ取得中　
    　　　データ取得率：カウネット：70％
　　　　　　　　　　　たのめーる：100%
10/1(水)：
　・データ取得中　
    　　　データ取得率：カウネット：95％
　　　　　　　　　　　たのめーる：100%
　　明日の午前中には終わって提出予定。
10/2(木)：
　・フォーレストデータとマージして提出済み。</t>
  </si>
  <si>
    <t>商品登録に時間がかかってる件
(商品キーワード)</t>
  </si>
  <si>
    <t>商品登録でネックになっている内容を自動化
①キーワード
②キャッチコピー
③機種依存文字・使用不可文字の利用チェック
④社外サイトの分類の選定</t>
  </si>
  <si>
    <t xml:space="preserve">①キーワード → AIによる自動化
②キャッチコピー → AIによる自動化
③機種依存文字・使用不可文字の利用チェック
　→VBAによるチェック機能
④社外サイト分類の選定 → AIによる自動化
</t>
  </si>
  <si>
    <t>追加要望が多いのでNo.69についてはいったん完了とし、
No.80で再登録します。</t>
  </si>
  <si>
    <t>10/14(火)：
　着手中→AIのAPIを利用するための稟議作成→申請中→可決
10/16(木)：
　ミーティングで登録をスムーズに行うために必要項目（①～④）を選出
　③の機種依存文字の検出完了済み→要修正
10/17(金)：
　③の「機種依存文字・使用不可文字の利用チェック」完了済み
10/20(月)：
　①キーワード作成→完成
　④社外サイト分類の選定 → 完成
　②は既存のプログラムがあるので終了
10/24(金)：
　商品登録PJにて追加要望</t>
  </si>
  <si>
    <t>商品登録に時間がかかってる件
(商品登録画像)</t>
  </si>
  <si>
    <t>仕入先から送られてきた画像がフォーレストの画像の大きさとあってないので
画像を加工しないといけない</t>
  </si>
  <si>
    <t>プログラムを作成して一括編集できるようにします</t>
  </si>
  <si>
    <t>リサイズはオッケー。
仕入先から来る画像データの並び順でそのまま画像登録すると背面画像が途中にきてしまうので、仕入先から来る画像のリネームをする必要あり。
→リサイズとリネーム二つのプログラムで対応。</t>
  </si>
  <si>
    <t>10/8(水)：
　・着手 → 完成 → 検証依頼中
　　　→追加要望「商品の背面画像は並び順で一番後ろにしたい」
10/9(木)：
　・追加要望着手中 → 
　　GUIで指定した画像をトップ画像、背面画像にリネームできるツールを別途作成
10/10(金)：
　・一部画像が縦1200を超えてしまうバグ修正
　・背面画像は３つまで必要とのことで対応済み(追加要望)
　→追加要望あり　対応検討中
10/17(金)：
　・着手中 → 追加要望対応版提供済み</t>
  </si>
  <si>
    <t>チルド売価設定の為のデータ抽出</t>
  </si>
  <si>
    <t>冷凍食品の売価を設定するのに、商品の売価と送料を取得したい</t>
  </si>
  <si>
    <t>プログラムでスクレイピングします</t>
  </si>
  <si>
    <t>10/8(水)：
　・着手→完成→データ提出済み</t>
  </si>
  <si>
    <t>・人がやったらと仮定したら
　１アイテム3分45秒として×2,000アイテム＝125時間/人
　プログラムで取得した時間＝10時間
　→　作業時間の約９２％削減</t>
  </si>
  <si>
    <t>キャッチコピー作成</t>
  </si>
  <si>
    <t>冷凍食品のデータをアップしたがキャッチコピーが未設定なので
作成したい。(約１６００件)</t>
  </si>
  <si>
    <t>OpenAIのAPIを使って、商品名・商品説明からキャッチコピーを作成します。</t>
  </si>
  <si>
    <t>結果の精度があまり良くないので、
今後のためにチューニング方法を検討中。</t>
  </si>
  <si>
    <t>10/10(金)：
　・着手→完成</t>
  </si>
  <si>
    <t>・実績：１６００件で約２０分
　人がやった場合の想定時間：１件３０秒としても１３時間２０分
　　→　作業時間の約９７．４％削減</t>
  </si>
  <si>
    <t>営業管理部
事業管理課</t>
  </si>
  <si>
    <t>SCAWとデータウェアハウス連携</t>
  </si>
  <si>
    <t>基幹SCAWデータ取得→OAGoogleCloudoStrage保存→BigQueryテーブル更新を自動化したい</t>
  </si>
  <si>
    <t>pythonプログラムで自動化します。</t>
  </si>
  <si>
    <t>１1月中
（早ければ10月中）</t>
  </si>
  <si>
    <t>10/14(火)：
　・着手
10/15(水)：
　・基幹でデータ取得してOA側に移動の自動化完了
10/25(土)：
　・土日祝分のデータを営業日にまとめるコード追加
11/20(木)：
　・CSVのGoogleCloudアップロードまで自動化
11/27(木)：
　・顧客データ、商品データのbigquery登録まで自動化
11/28(土)：
　・受注残データのbigqueryOK。
12/01(月)：
　・受注データの更新(追記)テスト→OK
12/03(水)：
　・受注データ、売上データの更新の自動化完了
12/05(金)：
　・全データ連携完了</t>
  </si>
  <si>
    <t>毎日４５分の削減</t>
  </si>
  <si>
    <t>弊社長期欠品商品の他社クローリング</t>
  </si>
  <si>
    <t>長期欠品リストを基にアスクルの販売状況の確認</t>
  </si>
  <si>
    <t>No66で対応したプログラムがあるのでツール化します。</t>
  </si>
  <si>
    <t>11/14(金)：
　・着手
11/19(水)：
　・完成→検証中
11/20(木)：
　・検索スピードアップ対応→検証中
11/21(金)：
　・完了</t>
  </si>
  <si>
    <t>10時間/月の削減</t>
  </si>
  <si>
    <t>個別単価設定商品の確認</t>
  </si>
  <si>
    <t>営業用に商品に単価設定を実施するが、
チェックがエクセルベースになっており煩雑。
原価値上げの際、チェックされないため赤字販売の可能性がある。</t>
  </si>
  <si>
    <t>未対応</t>
  </si>
  <si>
    <t>長谷川さんが対応しました</t>
  </si>
  <si>
    <t>商品部
 PB事業課</t>
  </si>
  <si>
    <t>競合他社のPB品抽出</t>
  </si>
  <si>
    <t>「アスクル」「カウネット」「たのめーる」のPB品の情報を取得したい。</t>
  </si>
  <si>
    <t>スクレイピングで情報を取得します。</t>
  </si>
  <si>
    <t xml:space="preserve">カウネット、たのめーるは未対応。
WEBデータにJANがないため、弊社情報と紐づけられない。
それでも必要か確認中。
→カテゴリやジャンルが必要なのでJANは不要
</t>
  </si>
  <si>
    <t>10/25(土)：
　・着手→アスクル分の取得完了　データは社内メールで送信済み
11/14(金)：
　・今回は手作業で確認したので、今後チェックするのにツール化希望とのこと。
01/10(土)：
　No９４～９６で完了済み</t>
  </si>
  <si>
    <t>名刺　既存顧客の新規購入の確認</t>
  </si>
  <si>
    <t>中分類3005の既存顧客の新規作成を確認し、リピートにつなげるべく、困っていることが無いかメール送信予定</t>
  </si>
  <si>
    <t>SQLを作成します。</t>
  </si>
  <si>
    <t>今週中</t>
  </si>
  <si>
    <t>10/22(水)：
　着手 → 完了</t>
  </si>
  <si>
    <t>商品部
在庫管理課</t>
  </si>
  <si>
    <t>データ取得関連業務の自動化</t>
  </si>
  <si>
    <t>基幹SCAW及びツールによるデータ取得→指定形式、指定場所への保存</t>
  </si>
  <si>
    <t>終了</t>
  </si>
  <si>
    <t>imr→SQLに時間がかかるのと、商品登録優先のため１１月中は難しいです。</t>
  </si>
  <si>
    <t>05/07(木)：
　対応に時間がかかる為、津田課長と相談し終了とさせていただきました。</t>
  </si>
  <si>
    <t>西日本営業所</t>
  </si>
  <si>
    <t>見積書に必要なデータの取得</t>
  </si>
  <si>
    <t>見積作成に必要な項目について、検索キーをもとに簡単に抽出で切るような仕組みを作ってほしい。
現状１商品に１０～２０分以上かかっている。
（案件によるが２０～１５０アイテム）</t>
  </si>
  <si>
    <t>プログラムを作って可能な限り実現します。</t>
  </si>
  <si>
    <t>できるだけ早く</t>
  </si>
  <si>
    <t>検索先は
「アスクル、たのめーる、モノタロウ、楽天、ヨドバシ」
データ取得は工数がかかるので、取り急ぎ検索リンクをつけて対応</t>
  </si>
  <si>
    <t>10/31(金)：
　・着手→完了
確認は週明けになるそう。
細かい修正があればその都度対応します。
11/05(水)：
　追加依頼あり→完了→確認OK</t>
  </si>
  <si>
    <t>２５アイテムだとこれまで4時間弱のところ20分
削減効率 = 220分 ÷ 240分 × 100% = 0.9166... × 100% = 91.67%
件数が増えれば増えるほど、これまでとくらべて効率が良くなるとのこと。</t>
  </si>
  <si>
    <t>商品登録に時間がかかってる件
・機種依存文字・使用不可文字の利用チェック</t>
  </si>
  <si>
    <t>商品登録でネックになっている内容を自動化してほしい
・機種依存文字・使用不可文字の利用チェック</t>
  </si>
  <si>
    <t>ツール（VBA）を作成して実現します。</t>
  </si>
  <si>
    <t>10/31(金)：
　・着手→完了→確認待ち→確認OK</t>
  </si>
  <si>
    <t>商品登録に時間がかかってる件
・既存マスタとの重複チェック</t>
  </si>
  <si>
    <t>商品登録でネックになっている内容を自動化してほしい
・既存マスタとの重複チェック</t>
  </si>
  <si>
    <t>ツール（VBA）を作成して実現します。
→Pythonによるプログラムに変更</t>
  </si>
  <si>
    <t>10/31(金)：
　・着手→完了→確認待ち→確認NG
11/05(水)：
　・修正中→確認待ち→完了
11/10(月))：
　・仕様変更依頼→完了→確認待ち</t>
  </si>
  <si>
    <t>商品登録に時間がかかってる件
・品目名カナ修正</t>
  </si>
  <si>
    <t>商品登録でネックになっている内容を自動化してほしい
・品目名カナ修正
　漢字などの全角文字を自動で半角カナにして欲しい</t>
  </si>
  <si>
    <t>数式で読み仮名を表示できるが、入力側が手作業で入力していないと読み仮名が反映されないので、AIを利用して読み仮名を入力します。</t>
  </si>
  <si>
    <t>10/31(金)：
　・着手→仕様を確認中
11/05(水)：
　・完了→確認待ち→確認OK
11/10(月))：
　・仕様変更依頼→完了→確認待ち</t>
  </si>
  <si>
    <t>商品登録に時間がかかってる件
・分類の選定</t>
  </si>
  <si>
    <t>商品登録でネックになっている内容を自動化してほしい
・分類の選定</t>
  </si>
  <si>
    <t>データシートの分類に抜けがある箇所に対してAIを利用して
分類コードを補填するプログラムを作成中</t>
  </si>
  <si>
    <t>アスクル対策で医療・介護用品のデータシート作成支援にも使えるので
それまでに作成したい。</t>
  </si>
  <si>
    <t>11/18(水)：
　・着手中
11/29(土)：
　・完了→検証→問題なし</t>
  </si>
  <si>
    <t xml:space="preserve">１アイテム
２分→５秒
約９５％の時間短縮
</t>
  </si>
  <si>
    <t>商品登録に時間がかかってる件
・キャッチコピー</t>
  </si>
  <si>
    <t>商品登録でネックになっている内容を自動化してほしい
・キャッチコピー</t>
  </si>
  <si>
    <t>データシートに対してキャッチコピーが抜けてる項目に対して
AIを利用したキャッチコピーを入力します。</t>
  </si>
  <si>
    <t>商品登録に時間がかかってる件
・画像のリサイズ</t>
  </si>
  <si>
    <t>仕入先からくる画像をForest仕様のサイズでリサイズしたい</t>
  </si>
  <si>
    <t>プログラムで対応します</t>
  </si>
  <si>
    <t>No70で対応済み</t>
  </si>
  <si>
    <t>商品登録に時間がかかってる件
・画像のリネーム</t>
  </si>
  <si>
    <t>下記を自動化したい
・画像のナンバリング（JANの前にDSの行NO.をつける）例）1●4972814531680.jpg
・DS順に全画像を確認
・同枚数ごとに確認
・11枚以上の選別（選んだ画像を不要へ移動）
・4枚以上ある裏面の選別（選んだ裏面を「裏面フォルダ」へ移動。ナンバリング状態のまま）
・メインのみの表示
・メインに背景があったら商品の切り抜き
・画像の入れ替え（メインとサブの入替）
・画像の複製（指定したJANを複製し画像名の変更）青だけにサブがあり、他の色にはメインしかない
・リネームする
・リネーム後のメイン画像の頭に★を付ける（ピクトを入れる）</t>
  </si>
  <si>
    <t>プログラムを作成します。</t>
  </si>
  <si>
    <t>11/22(土)：
　・着手
01/14(水)：
　・完了</t>
  </si>
  <si>
    <t>アスクル・ソロエルアリーナでの
販売再開商品の情報取得</t>
  </si>
  <si>
    <t xml:space="preserve">医療・介護向け商品の取り扱いを強化するため、
アスクルソロエルアリーナで販売再開する商品情報を取得したい。
</t>
  </si>
  <si>
    <t>スクレイピングで情報取得します</t>
  </si>
  <si>
    <t>11/13(木)：
　着手→完了</t>
  </si>
  <si>
    <t>人がやったらと仮定したら
１アイテム20秒として×約757商品＝約250時間/人</t>
  </si>
  <si>
    <t>商品名に対してキーワードを追加する作業の自動化</t>
  </si>
  <si>
    <t>エクセルのVLOOKUPとマクロを使って商品名に対してキーワードを追加し、
そのキーワードを一つずつ組み合わせた商品名を作成ているが時間がかかるので自動化したい。</t>
  </si>
  <si>
    <t>プログラムを作成して自動化します</t>
  </si>
  <si>
    <t>11/14(金)：
　着手→検証待ち→修正中
11/17(月)：
　修正済み→検証待ち→完了</t>
  </si>
  <si>
    <t>３０分→５分に短縮で約８３％の削減。
またプログラムによる作業なのでミスがなくなった、とのこと。</t>
  </si>
  <si>
    <t>在庫管理課で利用してる既存ツールの改修・改善</t>
  </si>
  <si>
    <t>Impromptu販売実績ツールの改修</t>
  </si>
  <si>
    <t>インプロを改修して日別と販路別のデータを見える化します</t>
  </si>
  <si>
    <t>1月～2月中</t>
  </si>
  <si>
    <t>12/08(月)：
　①着手→完成→検証待ち</t>
  </si>
  <si>
    <t>.</t>
  </si>
  <si>
    <t>長期欠品メンテナンスのデータ作成、マスタ更新</t>
  </si>
  <si>
    <t>①インプロからSQLにする作業(４９項目)
②基盤のシステム(SQLを実行して任意の場所に出力するシステム)
の開発が必要。</t>
  </si>
  <si>
    <t>01/15(木)：
　②着手、進捗５０％
　①着手、1/49完成。
05/07(木)：
　対応に時間がかかる為、津田課長と相談し終了とさせていただきました。</t>
  </si>
  <si>
    <t>売上抽出ツールの作成</t>
  </si>
  <si>
    <t>SQLを修正します</t>
  </si>
  <si>
    <t>12/10(水)：
　③着手→完成→検証待ち</t>
  </si>
  <si>
    <t>社外自動売価作業の作業軽減</t>
  </si>
  <si>
    <t>社外自動売価作業の作業でエクセルのデータ量が多く時間がかかるので改善したい</t>
  </si>
  <si>
    <t>プログラムを作成します</t>
  </si>
  <si>
    <t>12月中</t>
  </si>
  <si>
    <t>12/12(金)：
　着手→完了</t>
  </si>
  <si>
    <t>１５０分→２０分
８６％の時間削減</t>
  </si>
  <si>
    <t>品揃え強化 DSが来たか照合するプログラム作成</t>
  </si>
  <si>
    <t xml:space="preserve">　1）WEB-EDIからダウンロードした複数のDSを1つにまとめる（作業者のデスクトップ）
　2）別途DS依頼済のリストと、JANコードで照合する（NAS端末上）
　3）合致した場合、受け取り日の欄に当日の日付を入れてリストを上書き保存（NAS端末上）
</t>
  </si>
  <si>
    <t>01/07(水)：
　着手→完了</t>
  </si>
  <si>
    <t>毎日15分の作業を完全自動化。月間約5時間の削減。</t>
  </si>
  <si>
    <t>他社の価格情報取得
アスクルPB</t>
  </si>
  <si>
    <t>他社のPB品の商品情報を取得したい</t>
  </si>
  <si>
    <t>1月中旬</t>
  </si>
  <si>
    <t>月１で抽出して、差分を出力できるようにしておきます。</t>
  </si>
  <si>
    <t>01/10(土)：
　着手→完了</t>
  </si>
  <si>
    <t>他社の価格情報取得
カウネットPB</t>
  </si>
  <si>
    <t>他社の価格情報取得
たのめーるPB</t>
  </si>
  <si>
    <t>他社の価格情報取得
フォーレストランクA商品</t>
  </si>
  <si>
    <t>フォーレストランクA商品の他社価格を調査したい</t>
  </si>
  <si>
    <t>既存のツールがありますが、取れるデータ項目を最新にして提供します</t>
  </si>
  <si>
    <t>01/14(水)：
　アスクル分着手→完了
01/15(木)：
　カウネット、たのめーる着手→完了　</t>
  </si>
  <si>
    <t>当日受注分を含めたForestwayの
販路単位での受注税込売上を抽出</t>
  </si>
  <si>
    <t>当日受注分を含めたForestwayの
販路単位での受注税込売上を抽出(顧客cd単位での抽出もできれば尚可)</t>
  </si>
  <si>
    <t>インプロを修正して販路、顧客CDを指定できるようにします</t>
  </si>
  <si>
    <t>01/13(火)：
　着手→完了</t>
  </si>
  <si>
    <t>データシート作成のためのツール作成</t>
  </si>
  <si>
    <t>新しい仕入先から来るデータシートのフォーマットをフォーレストの形式に変換できるようにしたい。</t>
  </si>
  <si>
    <t>２月中</t>
  </si>
  <si>
    <t>01/21(水)：
　着手
02/02(月)：
　完了</t>
  </si>
  <si>
    <t>アスクルイベント対象商品情報の取得</t>
  </si>
  <si>
    <t>「復活特別企画」の対象商品情報を取得したい
https://www.askul.co.jp/lksearch/?searchWord=%E5%BE%A9%E6%B4%BB%E7%89%B9%E5%88%A5%E4%BE%A1%E6%A0%BC&amp;itemIcon=16000&amp;sc_i=cp_sf_b_nkw_teaser_pb_specialprice_lk</t>
  </si>
  <si>
    <t>スクレイピングします</t>
  </si>
  <si>
    <t>1/23(金)と
1/30(金)の２回</t>
  </si>
  <si>
    <t xml:space="preserve">01/23(金)：
　着手→完了
01/30(金)：
　着手→完了
</t>
  </si>
  <si>
    <t>カウネットイベント情報取得</t>
  </si>
  <si>
    <t>カウネットの「納得プライス宣言」対象商品の情報を取得したい。
https://www.kaunet.com/kaunet/special/nattoku_price_001.html</t>
  </si>
  <si>
    <t>当日中</t>
  </si>
  <si>
    <t>01/28(水)：
　着手→完了</t>
  </si>
  <si>
    <t>受注伝票へのマスタ情報反映（データ自動紐付け）</t>
  </si>
  <si>
    <t>現在、受注データに発注管理や分析に必要な情報が含まれておらず
　在庫課にて毎日手作業でマスタ（VLOOKUP等）を紐付けている。
　このデータ加工工数をゼロにし、リアルタイムな状況把握を可能にしたい。</t>
  </si>
  <si>
    <t>ツール（SQL）を作成します。</t>
  </si>
  <si>
    <t>2月中</t>
  </si>
  <si>
    <t>02/06(金)：
　着手
02/07(土)：
　完了</t>
  </si>
  <si>
    <t xml:space="preserve">週に３０分ほどの削減
</t>
  </si>
  <si>
    <t>欠品事前予測アラートツールの開発</t>
  </si>
  <si>
    <t>現状、入荷予定と現在庫を手計算で組み合わせて予測しているため
　メーカーの納期回答を反映した正確な予測が困難であり
　手作業の工数も膨大。欠品前に自動でアラートを出し、機会損失を防ぎたい。</t>
  </si>
  <si>
    <t>02/07(土)：
　着手
05/07(木)：
　対応に時間がかかる為、津田課長と相談し終了とさせていただきました。</t>
  </si>
  <si>
    <t>プライスサーチの価格情報の"送料"追加</t>
  </si>
  <si>
    <t>システム抽出頂いている社外サイト（楽天・Yahoo!）のプライスサーチの価格情報について現状送料情報が抽出されていない。
個別で販売価格見直しをする際に改めてサイトの価格を個別確認をしている。
別途送料が発生しているかを抽出したリストで判別できるようにしてほしい。
できれば送料がいくらかわかると、なおよい。</t>
  </si>
  <si>
    <t xml:space="preserve">プライスサーチは楽天、YahooのAPIを利用しています。
(そのため１日で７０万件以上の価格を取得できています)
APIでは「送料」の情報は提供されていません。
価格が送料を含んだ価格なのか、別途送料が必要なのかは
わかるフラグがあるのでそれを取得するようにします。
</t>
  </si>
  <si>
    <t>「送料」の名前変更は後日対応します。</t>
  </si>
  <si>
    <t>02/25(水)：
　着手
02/27(金)：
　完了</t>
  </si>
  <si>
    <t>アスクル品揃え調査</t>
  </si>
  <si>
    <t>他店の品揃え調査</t>
  </si>
  <si>
    <t>スクレイピングします
約３７万アイテム</t>
  </si>
  <si>
    <t>約３７万アイテムでした</t>
  </si>
  <si>
    <t>02/26(木)：
　着手
02/27(金)：
　完了</t>
  </si>
  <si>
    <t>カウネット品揃え調査</t>
  </si>
  <si>
    <t>アスクルデータ（約３７万件）をもとにJANで検索。
約３１万アイテムでした</t>
  </si>
  <si>
    <t>03/14(土)：
　着手
03/21(土)：
　完了</t>
  </si>
  <si>
    <t>たのめーる品揃え調査</t>
  </si>
  <si>
    <t>アスクルデータ（約３７万件）をもとにJANで検索。
約７万アイテムでした</t>
  </si>
  <si>
    <t>03/14(土)：
　着手
03/16(月)：
　完了</t>
  </si>
  <si>
    <t>週別実績の複数品目同時確認</t>
  </si>
  <si>
    <t>現在は週別実績が１品目ずつしか確認できないものを、複数品目同時に確認できるようにしたい</t>
  </si>
  <si>
    <t>ＳＱＬを作成します</t>
  </si>
  <si>
    <t>３月中旬</t>
  </si>
  <si>
    <t>02/27(金)：
　着手
02/28(土)：
　完了</t>
  </si>
  <si>
    <t>商品ランクデータの自動更新</t>
  </si>
  <si>
    <t>商品ランクデータ（期間抽出）のBigQueryへの更新を今は手動でやっているものを自動で更新したい</t>
  </si>
  <si>
    <t>プログラムで自動化します</t>
  </si>
  <si>
    <t>03/09(月)：
　着手
03/11(水)：
　完了</t>
  </si>
  <si>
    <t xml:space="preserve">週に１時間ほどの削減
</t>
  </si>
  <si>
    <t>受発注区分の切り替え</t>
  </si>
  <si>
    <t>受発注区分の切り替えをする為のファイルを手作業で結合しているのを自動で作れるようにして欲しい</t>
  </si>
  <si>
    <t>今月中（早め）</t>
  </si>
  <si>
    <t>アスクル売価の調査と
Forestway売価との比較表の作成支援</t>
  </si>
  <si>
    <t>アスクルと競合してる商品の価格設定を比較できるような比較表の作成と
価格の自動取得を行いたい</t>
  </si>
  <si>
    <t>出来るだけ早く</t>
  </si>
  <si>
    <t>03/11(水)：着手
05/01(土)：完成
05/07(木)：実践で問題なし
　</t>
  </si>
  <si>
    <t>CS部
サービス課</t>
  </si>
  <si>
    <t>メールワイズ一斉配信用csvデータの作成</t>
  </si>
  <si>
    <t>受注伝票リスト/仕入先EDI納期回答リスト/得意先管理メモリストをマージ・整形</t>
  </si>
  <si>
    <t>3月末まで</t>
  </si>
  <si>
    <t xml:space="preserve">03/19(木)：
　着手
03/21(土)：
　完了
</t>
  </si>
  <si>
    <t>得意先管理メモの入力用テキスト作成</t>
  </si>
  <si>
    <t>仕入先EDI納期回答リスト＋任意設定値をマージ・整形</t>
  </si>
  <si>
    <t>03/21(土)：
　着手→完了</t>
  </si>
  <si>
    <t>得意先管理メモのSCAW入力サポート</t>
  </si>
  <si>
    <t>人的なキーボード操作に対するフォローとして</t>
  </si>
  <si>
    <t>VBAで入力補助をします</t>
  </si>
  <si>
    <t xml:space="preserve"> 中期的な展望として</t>
  </si>
  <si>
    <t>３月で試験
４月から本番</t>
  </si>
  <si>
    <t>03/21(土)：
　着手
03/23(月)：～
　チューニング中
03/26(木)：
　完了</t>
  </si>
  <si>
    <t>医家向け医療機器のAmazon価格調査</t>
  </si>
  <si>
    <t>医療機器の価格調査をしたいが、アスクルだと医科向けに登録があるユーザーでないと
価格が表示されないのでアマゾンで価格調査したい</t>
  </si>
  <si>
    <t>3/23（月）まで</t>
  </si>
  <si>
    <t>月１とのことなので、ツール化して提供</t>
  </si>
  <si>
    <t>03/20(金)：
　着手→完了</t>
  </si>
  <si>
    <t>16時間/月
の削減</t>
  </si>
  <si>
    <t>受注数量の週別実績の修正</t>
  </si>
  <si>
    <t>受注数量の週別実績を1品目単位でなく条件指定で抽出、
csvで書き出しできるSQLを作成希望</t>
  </si>
  <si>
    <t>04/01(水)：
　福岡に対応依頼中
04/30(木)：
　完了</t>
  </si>
  <si>
    <t>1時間/週
の削減</t>
  </si>
  <si>
    <t>アスクルの商品情報抽出</t>
  </si>
  <si>
    <t>アスクルの日用品分類の商品情報を直送も含めて抽出したい</t>
  </si>
  <si>
    <t>早めを希望</t>
  </si>
  <si>
    <t>04/01(水)：
　着手
04/04(土)：
　完了</t>
  </si>
  <si>
    <t>目検1アイテム1分×約56万件/月</t>
  </si>
  <si>
    <t>データシート画像Viewerの機能追加</t>
  </si>
  <si>
    <t>・同一画像の表示
・ショートカットキーの追加
・UNDO機能の追加
・画像の回転の追加
・画像拡大時のカーソル移動の仕様変更</t>
  </si>
  <si>
    <t>プログラムを修正します</t>
  </si>
  <si>
    <t>03/30(月)：
　着手</t>
  </si>
  <si>
    <t>マクロ修正</t>
  </si>
  <si>
    <t>仕入先への月次売上実績・在庫報告のマクロの修正</t>
  </si>
  <si>
    <t>マクロでSQL発行して自動化します</t>
  </si>
  <si>
    <t>フィードバックがないので終了とします。
必要な場合は再度依頼をください。</t>
  </si>
  <si>
    <t>04/03(金)：
　着手
05/13(水)：
　フィードバックが無いので終了</t>
  </si>
  <si>
    <t>品目情報の自動データ取得</t>
  </si>
  <si>
    <t>毎日更新されるデータを日付毎にとっておきたいので、
手動でダウンロードしてリネームしているのを自動でリネームして欲しい</t>
  </si>
  <si>
    <t>No.103で作っていたCSVの名前を作成する部分に
日付を足すように修正します</t>
  </si>
  <si>
    <t>04/03(金)：
　着手→完了</t>
  </si>
  <si>
    <t>１分/日</t>
  </si>
  <si>
    <t>顧客データにロイヤル会員フラグを追加</t>
  </si>
  <si>
    <t>BigQueryの顧客データにロイヤル会員フラグを追加してほしい</t>
  </si>
  <si>
    <t>日次の顧客データ抽出SQLにロイヤル会員フラグを追加します</t>
  </si>
  <si>
    <t>今月中</t>
  </si>
  <si>
    <t>04/09(木)：
　着手→完了</t>
  </si>
  <si>
    <t>中東情勢対策によるデータ取得</t>
  </si>
  <si>
    <t>中東情勢の対策で指定の品目の
在庫情報、日別売上実績、日別仕入実績、未入荷リストを毎日自動でデータ取得したい</t>
  </si>
  <si>
    <t>04/09(木)：
　着手
04/17(金)：
　完了</t>
  </si>
  <si>
    <t>1.5時間/日</t>
  </si>
  <si>
    <t>・読込画像数の表示
・DL日・仕入先cd・仕入先名のある画像フォルダ名のリスト化
・「リサイズ保存」で10枚以上の場合、画像を残す。
・名前順で_1,_10,_2ではなく_1,_2,_10と並ぶようにする
・複数選択時の同時マーク
・「エラーのみ」表示条件にメイン画像欠損を追加
・拡張子の.jpg統一
・ボタン名の変更</t>
  </si>
  <si>
    <t>04/17(金)：
　着手
04/25(土)：
　完了</t>
  </si>
  <si>
    <t xml:space="preserve">仕入先改廃情報の遅延による長期欠品・キャンセル発生
(CS改善プロジェクトの議題より)
</t>
  </si>
  <si>
    <t>お取引先様からの改廃情報が遅いや無い事により、販売中や販売後に実際は廃番で
商品を用意する事が出来ずに、長期間お客様を待たせた挙句、キャンセルとなる件数が一定数ある</t>
  </si>
  <si>
    <t>楽天・Yahoo!のAPIから他店の販売状況を取得する判定ツールを作成。市場在庫の有無をベースに入荷可否を早期判断し、長期間待機後のキャンセルという「最悪の顧客体験」を回避する。
まずはデータ検証を行う。</t>
  </si>
  <si>
    <t>在庫管理から頂いた未入荷リストで検証を行ったが、
データに規則性がないため断念。</t>
  </si>
  <si>
    <t>05/13(水)：
　着手
05/20(水)：
　ツール完成</t>
  </si>
  <si>
    <t>マーケティング部
デジタル
マーケティング課</t>
  </si>
  <si>
    <t>CRMツール「b-dash」へ「年度累計購入金額（EZ00050）」を連携するため、SQLの作成とb-dashの自動連携設定</t>
  </si>
  <si>
    <t>Forestwayでロイヤル会員予備軍の方に対し、あといくら購入すればロイヤル会員となり、特典が適用されるかメール案内したい</t>
  </si>
  <si>
    <t>SQLでデータを作成し、SFTPでB-Dashに連携できるようにします。</t>
  </si>
  <si>
    <t>５月中</t>
  </si>
  <si>
    <t>05/15(金)：
　着手
05/16(土)：
　完了</t>
  </si>
  <si>
    <t>配送部
配送サービス課</t>
  </si>
  <si>
    <t>運行管理アプリの修正</t>
  </si>
  <si>
    <t xml:space="preserve">貨物自動車運送適性化事業実施機関に指摘があったため、休憩時間を入力する項目を追加したい。
</t>
  </si>
  <si>
    <t>未着手</t>
  </si>
  <si>
    <t>PSE対象商品の洗い出し</t>
  </si>
  <si>
    <t>楽天のガイドライン変更に伴い
「PSEマークのないバッテリー」に対する違反点数が引き上げられます。
 サイト掲載の確認の為PSE対象商品の洗い出しを行いたい</t>
  </si>
  <si>
    <t>プログラムで抽出します</t>
  </si>
  <si>
    <t>伊藤さんが対応</t>
  </si>
  <si>
    <t>05/18(月)：
　着手
05/21(木)：
　完了</t>
  </si>
  <si>
    <t>手動の場合：約583時間　全123万件から無関係カテゴリを除外し、
「メーカー品番」で重複を排除で7000件。1アイテムをWebでPSE化対象か
確認で5分。7,000件 × 5分 ＝ 35,000分 35,000分 ÷ 60分 ＝ 約583時間。</t>
  </si>
  <si>
    <t>営業部
営業課</t>
  </si>
  <si>
    <t>買い物コネクトのライバルサイト
「生き生き通販」情報取得</t>
  </si>
  <si>
    <t>「生き生き通販」の全商品情報を取得し、品切れや価格情報からサイト掲載改善につなげ、売上拡大を図りたい。</t>
  </si>
  <si>
    <t>６月１日のデータが
取れると良い</t>
  </si>
  <si>
    <t>05/29(金)：
　着手→完了 データ確認待ち
06/01(月)：
　完了</t>
  </si>
  <si>
    <t>全アイテム数＝約1万件
手動でやったら1個15秒としても15万秒 =  約41.6時間</t>
  </si>
  <si>
    <t>別項目でのマスタ抽出データ作成依頼</t>
  </si>
  <si>
    <t>原価変更時の営業品目とポイント交換品目の漏れ防止のため
　　　　 日々抽出しているマスターデータとは別に
　　　　 F品目（営業品目）のみのマスタとポイント交換品のみのマスタを抽出したい</t>
  </si>
  <si>
    <t>06/05(金)：
　着手→完了 データ確認待ち</t>
  </si>
  <si>
    <t>40分 /日 の短縮</t>
  </si>
  <si>
    <t>アスクル、カウネット、たのめーる
商品＆品揃え調査</t>
  </si>
  <si>
    <t>品揃え強化＆価格設定見直しの為、
３社の取り扱っているデータが欲しい</t>
  </si>
  <si>
    <t>出来るだけ早め</t>
  </si>
  <si>
    <t>06/13(土):
　着手
06/22(月)：
　完了</t>
  </si>
  <si>
    <t>基幹データのOA側自動保存</t>
  </si>
  <si>
    <t>日次で基幹データをOA側に連携したい</t>
  </si>
  <si>
    <t>既存のツールに設定を追加します</t>
  </si>
  <si>
    <t>06/24(水)：
　着手→完了</t>
  </si>
  <si>
    <t>1h/月</t>
  </si>
  <si>
    <t>メーカーサイトから商品情報、画像の抽出</t>
  </si>
  <si>
    <t>商品登録に際してメーカー直販サイトから情報を抽出してほしいと連絡があったため
https://21technology.co.jp/</t>
  </si>
  <si>
    <t>7/10まで</t>
  </si>
  <si>
    <t>06/24(水)：
　着手
06/25(木)：
　完了</t>
  </si>
  <si>
    <t>メール添付の注文書を基幹側へ自動移動</t>
  </si>
  <si>
    <t>Forestwayオーダーメイドページで注文書のメール添付でも受付できる案内（5/28）
を受けてメール添付注文書が増加してきたことを受けての依頼</t>
  </si>
  <si>
    <t>support@forest.co.jp宛て、かつ、件名に「オーダーメイド」が入っている、かつPDFの添付がある場合に自動でダウンロードし、ファイルを移動します。
→検索文字を「オーダー」に変更</t>
  </si>
  <si>
    <t>06/26(金)：
　着手→プログラムは完了 テスト中
06/29(月)：
　・画像としてPDFにする
　・ファイルサイズを落とす
　に対応。</t>
  </si>
  <si>
    <t>今までの作業
・OA側で対象のメールからPDFをダウンロードして印刷
・基幹側のプリンタでPDFをスキャン
・基幹側でスキャンしたPDFをドキュワークスで読み込み
改善後
・基幹側で自動作成されたPDFを読み込み。
１件当たり５～６分の短縮</t>
  </si>
  <si>
    <t>システム運営課　社内機器・ソフト・システムの保守 - 作業内容管理・進捗</t>
  </si>
  <si>
    <t>背景</t>
  </si>
  <si>
    <t>USB使用廃止と中継サーバー方式への完全移行
（USB回収、USBポート無効化、データ移行手順の統一）</t>
  </si>
  <si>
    <t>会社全体で複数部署がUSBでデータ移動しており、工数・時間・セキュリティリスクが高い。
中継サーバー方式へ移行済みだが、各部署で所有していたUSBは未回収のため、継続利用の可能性がある。</t>
  </si>
  <si>
    <t>〇中継サーバー方式の標準化・完全移行
・中継サーバー上で指定フォルダへの投入をトリガに自動転送するPythonプログラムを本番運用。
・サーバー側にウイルス対策ソフトを導入済みで、投入ファイルのリアルタイムスキャンを有効化（従来のUSB全体スキャン運用と同等のセキュリティ水準を維持）。
・接続ユーザーを管理し、パスワードは月1で定期変更。不要アカウントは都度無効化。
・転送ログ、ファイルバックアップ機能あり。
〇USB回収
・各部署で使用していたUSBの返却を依頼し、回収保管済み。
〇USBポート無効化
・クライアント管理ツールSkySeaを用いて、システム統括部所属端末を除いて、USBストレージ含む外部メディアの接続を無効化。
・恒久使用する外部メディアは、SkySeaに登録管理した上で接続を許可する。
・一時使用する外部メディアは、使用期間を設定した上でSkySeaで一時的に接続を許可する。</t>
  </si>
  <si>
    <t xml:space="preserve">・各部署で所有していたUSBメモリの総数は不明だが、届出がない外部メディアはOA/基幹の両端末で一切使用できないため、セキュリティリスクは低いと考える
</t>
  </si>
  <si>
    <t>・毎月メンテナンスを実施(利用者のパスワード変更、中継サーバへのセキュリティ更新プログラム適用、転送プログラムの再起動等)
・データ移行に関する質問は随時相談可能</t>
  </si>
  <si>
    <t>UPS（無停電電源装置）配線整備</t>
  </si>
  <si>
    <t>・昨年8月の雷による停電（土曜日）発生時、UPS配線の不備により「端末は稼働するがモニターが起動しない」またはその逆の事象が発生し、一時的に業務へ支障が出た。
・当時は稼働している端末に業務を寄せて対応したが、再発時の業務継続性に課題がある。</t>
  </si>
  <si>
    <t>作業内容：UPS配線の整備
　　　　　（端末・モニターが同一系統でUPS保護下に入るよう配線見直し、ラベル整備、通電確認）
対象エリア：顧客部の島
事前依頼事項
机の下の整理：作業しやすいよう事前清掃をお願いします
机上の整理：机移動時の落下防止のため、向かい側の机との間に物を置かないでください
作業後対応：通電確認、簡易動作確認（端末・モニター）、不具合時はその場で復旧またはエスカレーション</t>
  </si>
  <si>
    <t>実施日時：6月1日（日）</t>
  </si>
  <si>
    <t>作業中は電源ケーブルの抜き差しを行います。作業開始前に保存・ログオフをお願いします。</t>
  </si>
  <si>
    <t>実施日時：6月1日（日）
配線見直し→ラベリング→通電・表示確認→記録（完了シール/チェックリスト）
全て完了済み。</t>
  </si>
  <si>
    <t>【セキュリティ対策】
社内端末のパスワード変更</t>
  </si>
  <si>
    <t>昨今のサイバーセキュリティ環境を鑑み、社内システムの安全性をより一層高めるため、
全社員のOA端末のパスワード変更をお願いすることになった。</t>
  </si>
  <si>
    <t xml:space="preserve">全社員にパスワード変更するよう社内メールで通知。
その際、パスワードを忘れて入れなくならないようシステム管理者ユーザーも作成。
〇新しいパスワードの要件
　・8文字以上の長さ
　・英大文字（A〜Z）を1文字以上
　・英小文字（a〜z）を1文字以上
　・数字（0〜9）を1文字以上
　・特殊記号（!@#$%^&amp;*など）を1文字以上
</t>
  </si>
  <si>
    <t>ユーザーがパスワードを変更したかどうかは判断できない。</t>
  </si>
  <si>
    <t xml:space="preserve">案内済み。
システム管理者ユーザーが入っていない端末はその都度作成済み。
パスワードを忘れたユーザーに関してはシステム管理者ユーザーで入り、パスワードを変更できます。
</t>
  </si>
  <si>
    <t>データベース操作ツールの移行</t>
  </si>
  <si>
    <t>現在、SQLツールとしてオブジェクトブラウザーを使用していますが、以下の問題がある：
1. バージョンとライセンスの問題
　バージョン9、11、12が混在して使用されている
　バージョン9はライセンスが無制限ですが、
　　フルアクセスモードのためセキュリティリスクが存在する（ここが一番問題）
　バージョン11、12のリードオンリー版はセキュリティ面では安全ですが、ライセンス数が限られている
2. ライセンス不足
　リードオンリー版のライセンス数が限られているため、全ユーザーに提供できない
　今後ユーザー数が増加した場合、対応できない
3. 互換性の問題
　新規購入可能な最新バージョンはWindows XPに対応していないため、基幹環境では利用できない
4. 新規ユーザー対応の課題
　新しいメンバーがSQLを使いたい場合も、セキュリティ的に問題のあるバージョン9を使わざるを得ない状況</t>
  </si>
  <si>
    <t>今後SQLの導入が必要なユーザーについてはフリーソフトの「A5:SQL」を利用してもらう。
導入と簡単な利用方法の説明はシステム運営課で対応する。</t>
  </si>
  <si>
    <t>SIOBと若干使い勝手が違うので、その都度システム運営課で対応する。</t>
  </si>
  <si>
    <t>A5:SQL導入：３名
SIOB9利用者：３名</t>
  </si>
  <si>
    <t>Windows 10サポート終了対応</t>
  </si>
  <si>
    <t>Microsoft社のWindows 10のサポートが2025年10月14日に終了予定。
セキュリティ更新が提供されなくなるため、Windows11へアップグレードの対応が必要。</t>
  </si>
  <si>
    <t>SkySeaなどを使ってリモートで更新できるか試したが難しい。
ただし、通常なら複数回再起動を促される毎に再起動を手動でやらないといけないものを
一度起動したら最後まで再起動してWindows11までアップグレードできるバッチを作成できそうなので
それを使って帰り際にバッチを起動して、翌朝にはWindows11にアップグレードが完了している、というような
なるべく業務に支障がでない対応が可能になる予定。</t>
  </si>
  <si>
    <t xml:space="preserve">残存14台につきまして、引き続き計画的な実施スケジュールに基づき、
順次更新を実施していく予定です。
特に共用端末等、利用状況やロケーションに配慮した対応が必要な端末については、関係者と調整のうえ適切なタイミングでの更新を進めていきます。
</t>
  </si>
  <si>
    <t xml:space="preserve">
【10/15更新】　93.14%完了 (残14台)
システム統括部　19/22台　完了率 86.4%（残3台）
マーケティング部　14/14台　完了率100%
営業管理部　21/22台　完了率95.5%（残1台）
営業部　 12/12台　完了率100%
管理部　 15/15台　完了率100%
顧客部　 49/55台　完了率89.10% (残6台)
商品部　 15/18台　完了率83.30%（残3台）
物流部　 29/30台　完了率96.7%（残1台）
本社役員     5/5台　完了率100%
遊休端末 11/11台　完了率100%</t>
  </si>
  <si>
    <t>Office 2019サポート終了対応</t>
  </si>
  <si>
    <t>Office 2019(OA端末80台)のサポートが2025年10月14日に終了予定。
セキュリティ更新が提供されなくなるため、アップグレードが必要。</t>
  </si>
  <si>
    <t>Officeの更新(購入)が必要。
2019の後継ソフトはOffice2024だが、サポートが5年(2029年)なので月毎の費用を計算すると
サブスクリプションであるOffice365とあまり変わらないのと、Office365は常に機能が更新され
人によってエクセルのバージョンが違うことによる弊害の心配もないのでOffice365の導入の決定となった。
(稟議決裁済み)
古い2019を削除して新しいWindows365を自動的にインストールできるバッチを作成済み。
各部署と連携して順次更新をしていく。</t>
  </si>
  <si>
    <t>【完了】Office2024買い切り版 or MS365の導入方針決め
【完了】MS365追加ライセンス数の精査
【完了】富士フィルムBIJへライセンス追加申請、管理サイト上での割当数確認
【完了】Office2019の削除、MS365のインストールの実行スクリプト作成、検証
【完了】対象端末インストール実行（88/88台 100%完了済み）</t>
  </si>
  <si>
    <t>OAネットワーク新回線敷設</t>
  </si>
  <si>
    <t>毎月第二火曜日の翌日（WindowsUpdate配信日）朝の時間帯にインターネット接続が遅延して業務影響がある。
現行のOAネットワーク回線はPPPoE接続方式のため混雑の影響を受けやすく、IPoE方式へ変更する。</t>
  </si>
  <si>
    <t>本社インターネット接続の主回線として新規NUROアクセススタンダードを契約する（10Mbps帯域保証）
主回線トラブル時の予備として現OCN回線を保持するが、予備へ切り替える際の運用上、プライベートIPアドレス（10.85.32.0/23）の使用が必須となるため、新回線開通に合わせて本社設置端末のIPアドレスを変更する。
また新回線で割当されるグローバルIPアドレスを確認して、IP制限を行っているサイト、サービスへ登録する</t>
  </si>
  <si>
    <t>2025/12末</t>
  </si>
  <si>
    <t>【完了】   ～9月末　新回線申込、本社一部端末のIPアドレス変更
【完了】～10月末  本社全端末のIPアドレス変更(10/20～24)、回線工事事前調査(10/28)
【完了】～11月末　新回線のグローバルIPアドレスの確認、各種IP制限サイトへの登録
【完了】12月以降　本社NW作業実施、新OA回線利用開始</t>
  </si>
  <si>
    <t>アーカイブソフトウェア「Lhaplus」の廃止と「7-Zip」の利用推進</t>
  </si>
  <si>
    <t>全社OA端末で利用されている「Lhaplus」は2017年で開発が停止しており、現在一部の圧縮方式で脆弱性が存在することが判明している。解凍時に文字化けが発生するなど機能的な問題もあり、代替ソフトウェアとして「7-Zip」への移行を推進する。</t>
  </si>
  <si>
    <t>OA端末上で「Lhaplus」のインストール有無を調査して削除、「7-Zip」をインストールするツールを作成し、全社展開する。</t>
  </si>
  <si>
    <t>自動封函機と物流サーバー間のデータ連携</t>
  </si>
  <si>
    <t>物流センターに導入される封函機、仕分け機稼働のため、物流サーバーと出荷実績、出荷指示の各データの受け渡しを行うネットワークを構築する</t>
  </si>
  <si>
    <t>・封函機メーカー側で外部から機器動作状況の確認を行うため、インターネット接続環境構築する
・封函機側のネットワーク環境と当社基幹ネットワークを分離し、ネットワーク間にNASを
　配置してSFTPプロトコルのみ許可する方式とする</t>
  </si>
  <si>
    <t>・外部ネットワーク接続は不要（問題発生時はメーカー側の駆けつけ対応）
・EXVへのネットワーク構築作業の発注が遅延したため、NASの代替とする
　基幹PCを構築配置して、データ受け渡しを実行中
・NASへの切り替えは、3/5に実施したが検証中にNASの不具合があり
　調査中
・３月中旬の調査の過程で不具合が解消、切替作業時に封函機メーカー側の立ち合いが必要なため、スケジュール調整中</t>
  </si>
  <si>
    <t>本社休憩室へのWi-Fi環境構築</t>
  </si>
  <si>
    <t>社長、信川専務の座談会から休憩室でWi-Fiが使用したいとの要望があり対応</t>
  </si>
  <si>
    <t>モバイルルータを設置する案、業務用のOA予備回線を使用する案など検討したが、コスト面をクリアしたため、新たにOCN回線を契約して使用する</t>
  </si>
  <si>
    <t>・2025/11：当時案の相談あり、検討開始
・2025/12：OA予備回線流用案を含めてEXVへ見積もり提出、合わせて東日本物流センターでも休憩室への導入を検討
・2026/1：EXVへの発注、現地調査および工事日程調整開始
・2026/2：回線工事完了、利用開始（東日本物流センターは見送り）</t>
  </si>
  <si>
    <t>GoogleWorkspaceの導入支援</t>
  </si>
  <si>
    <t>Geminiによる業務効率化推進、既存の全社コミュニケーションツール（メール、メッセージ、掲示板、ファイル共有）の見直し</t>
  </si>
  <si>
    <t>システム部としては以下を業務スコープとする
■システム対応
アカウント発行、データ移行設計、セキュリティ設定、
（既存システム（サイボウズ等）との併用設定）</t>
  </si>
  <si>
    <t>https://docs.google.com/spreadsheets/d/1hdokrHlTowNvE1OUsHEKj0O6p0VMtt4R1OhtIilolZc/edit?gid=1292048900#gid=1292048900</t>
  </si>
  <si>
    <t>・アカウント発行：利用対象ユーザーへのアカウント発行完了（4/13時点）
・データ移行設計：Gmailへのメールデータ移行方法を調査し対応中。サイボウズメッセージはエクスポート機能がないため、全件テキスト出力するツール（PythonによるWebページ操作）を開発試験中</t>
  </si>
  <si>
    <t>本社OAネットワークの機器・回線障害時の切替簡易化</t>
  </si>
  <si>
    <t>No.7の関連。予備回線と本回線で個別のゲートウェイアドレスを持つ構成であったため、予備回線への切り替え時に既存の手順（LANケーブルの差替え）での運用とするための対応</t>
  </si>
  <si>
    <t>ルータ設定を変更して統一のゲートウェイアドレスとし、ケーブル抜線結線による切替方式とした</t>
  </si>
  <si>
    <t>・3/18に切替作業を実施していたが、１本のケーブルの差替えで完了する構成に見直すため、3/25に再作業して完了。
・作業後にOCNで払い出されるDNSアドレスを設定している端末がインターネット接続不可となる障害が発生。公開DNSサーバーである8.8.8.8や1.1.1.1を設定して対処完了</t>
  </si>
  <si>
    <t>従来のOA・基幹の各共有フォルダ内データのNASへの移行</t>
  </si>
  <si>
    <t>OA側は共有元のMS02Y-Nサーバーの保守解約のため、基幹側は空き容量枯渇のため、既存の共有ファイルをNASへ移行する</t>
  </si>
  <si>
    <t>OA側：移行アナウンス後、サーバー上でフォルダ共有を解除する
基幹側：システム上必要なフォルダ以外をNASへ移行</t>
  </si>
  <si>
    <t>2026/3末</t>
  </si>
  <si>
    <t>・4/1にOA共有フォルダの共有停止を行ったが、配送部の移行が未完了であったため共有停止は延期
・順次基幹NASへの移行が進行。各部のショートカットファイルやツールの呼び出し先が共有フォルダに指定されているため、変更対応中</t>
  </si>
  <si>
    <t>NTT東日本と保守契約しているネットワーク機器の更改対応</t>
  </si>
  <si>
    <t>フォーレスト各拠点と取引先を接続するVPNルータについて、メーカーサポート切れにより、保守契約を一時解約したいとの申し出があり、機器更改した上で再度保守を依頼する</t>
  </si>
  <si>
    <t>計12台の機器リプレイスと保守契約の見積もりを取得して発注および工事予定。
リプレイスは対象の拠点、取引先で一斉に実行するため、スケジュールの調整が必要。</t>
  </si>
  <si>
    <t>見積算出にリプレイス作業の開始時間の提示が必要。関係部署と調整が必要。</t>
  </si>
  <si>
    <t>Bizストレージファイルシェアの導入</t>
  </si>
  <si>
    <t>顧客、取引先とのファイル共有において、PASS付きZipファイルによるメール添付とパスワード通知という手段が慣習化しているが、誤送信など情報漏洩リスクがあり、クラウドサービスの利用でリスク低減を図る</t>
  </si>
  <si>
    <t>Bizストレージファイルシェアを導入して、原則メールへのファイル添付は禁止とする</t>
  </si>
  <si>
    <t>北浦和データセンターの保守切れサーバーの撤去、旧FAXOCRサーバーのHDD増設および福岡システム開発室移送</t>
  </si>
  <si>
    <t>保守契約が終了しているサーバー6台について、将来的な新サーバーのラッキングスペースを確保するため撤去する。また旧FAXOCRサーバー2台および旧W-FL03サーバーは開発用サーバーとして転用する。</t>
  </si>
  <si>
    <t>旧FAXOCRサーバーは福岡システム開発室へ移送、新開発用サーバーとして構築中。
旧W-FL03サーバーは大宮本社のサーバーラックに配置して、Win2016評価版を導入し各種検証サーバーとして活用する</t>
  </si>
  <si>
    <t>WEBアプリケーションサーバー更改</t>
  </si>
  <si>
    <t>現行WEBアプリケーションサーバーのアクセス数増加対応、メモリーリークによる不定期シャットダウン解消に向け、サーバーリプレイスを行う。</t>
  </si>
  <si>
    <t>リプレイスに伴い、以下を行う
・サーバーのハードウェア構成確認
・WindowsServer設定シートの記載確認
・北浦和データセンターのラッキングスペースの確保
・既存ネットワークスイッチとの接続作業および暫定構成検討
・ルーティングテーブル、NTP、SMB1.0無効化など追加設定</t>
  </si>
  <si>
    <t>5/13サーバ搬入予定、それまでにネットワークスイッチへのLANケーブル接続を内製で対応予定</t>
  </si>
  <si>
    <t>新CTI対応</t>
  </si>
  <si>
    <t>現行のCTIシステムの交換機AspireUXが保守期限切れとなっており、新しい交換機と電話機にリプレイスする</t>
  </si>
  <si>
    <t>下村部長、CTI構築ベンダーと連携して新電話機の内線番号設定や現場検証を進める</t>
  </si>
  <si>
    <t>新電話機の設定は完了。新CTI端末が準備出来次第、新交換機での業務試験を実施予定</t>
  </si>
  <si>
    <t>EDION社員用・予備機PCキッティング</t>
  </si>
  <si>
    <t>EDION出向社員がGWSのポータルがノートPCで会議などで閲覧できないので
ノートPCを支給してほしいとの要望。</t>
  </si>
  <si>
    <t>見積もり（使用方法に対して金額が高いので中古）・稟議・キッティング作業。
７台購入し対応。（中古で購入だが１台が不具合あり。修理のために返送。戻り次第予備機として
キッティングの予定。必要なEDION社員には配布したので一旦終了とする。</t>
  </si>
  <si>
    <t>中古の品質はイオシスのほうがAmazonより上。故障があったが
対応の柔軟性もイオシス。
個別に設定が複雑化しており、キッティングの基本部分は
スクリプトで短縮できたが全体の時間は増加。６台16.5時間４日。</t>
  </si>
  <si>
    <t>PCモニタ2台・LANケーブル、
スイッチングハブ購入</t>
  </si>
  <si>
    <t>モニターは人員増加で2台をすぐ使用予定。LANケーブルは在庫がなくなったので追加購入。
窓際の重役席のHubがないので購入。</t>
  </si>
  <si>
    <t>モニターは見積もり、稟議、EDIONクロスベンチャーズに発注。
LAN、ハブはForestwayで購入。</t>
  </si>
  <si>
    <t>入荷後、必要個所に配布、設置。</t>
  </si>
  <si>
    <t>商品部　梅森社員の基幹端末キッティング</t>
  </si>
  <si>
    <t>WindowsXPの在庫がないため在庫していたWin10のPCを使用し基幹端末を制作。</t>
  </si>
  <si>
    <t>CTI導入の予定に合わせてVM-wareを使用した仮想化。マスタのvmdk化や設定を調査し、
仮想化での課題の抽出と手順化もかねて対応。</t>
  </si>
  <si>
    <t>VM-wareなら設定が容易。HDD仕様、８GBメモリでもSCAWのみなら動作がそれほど重くない。ホスト起動後にゲストの自動起動と画面最大化もクリア。</t>
  </si>
  <si>
    <t>商品部商品管理課　野崎社員の基幹端末キッティング</t>
  </si>
  <si>
    <t>Windows11の環境下で基幹端末を作成し、ホスト側で基幹データをPythonを使用し処理したい。そのため仮想化した基幹端末を作成。</t>
  </si>
  <si>
    <t>工場出荷状態のWindows10端末から専用ISOファイルを作成しクリーンインストール（更新の時間を削減）
そこからVM-Wareでの構築。問題抽出。</t>
  </si>
  <si>
    <t>引渡し済み。課題：ホスト側のOfficeソフトのオフラインインストール、VM用のデータ抽出の時間（300GBで8時間弱）、vmdkへの変換（1.5時間）など。また個別に問題点が出てくるものの対応が必要。抽出から付与までの期間のデータの差分解消方法の検討。</t>
  </si>
  <si>
    <t>No</t>
  </si>
  <si>
    <t>1.分類</t>
  </si>
  <si>
    <t>2.担当者</t>
  </si>
  <si>
    <t>3.日付</t>
  </si>
  <si>
    <t>4.発生時刻</t>
  </si>
  <si>
    <t>5.終了時刻</t>
  </si>
  <si>
    <t>6.実作業時間</t>
  </si>
  <si>
    <t>7.終了予定日</t>
  </si>
  <si>
    <t>8.完了日付</t>
  </si>
  <si>
    <t>9.ジャンル</t>
  </si>
  <si>
    <t>10.依頼部署</t>
  </si>
  <si>
    <t>11.依頼部署</t>
  </si>
  <si>
    <t>12.依頼主</t>
  </si>
  <si>
    <t>13重要度</t>
  </si>
  <si>
    <t>14.ステータス</t>
  </si>
  <si>
    <t>15.問題事象・作業内容</t>
  </si>
  <si>
    <t>15.対応内容</t>
  </si>
  <si>
    <t>成川OA端末をデスクトップからノートに入れ替えのためキッティング作業。</t>
  </si>
  <si>
    <t>キッティング効率化用のアプリケーションの検証を兼ねて対応。
設置からデータ移行までやらされたので時間がかかった。</t>
  </si>
  <si>
    <t>USBメモリ他外部ストレージの運用の例外（役員・システム部・申請者用）の社内既定の作成。（加藤さん・磯辺さん確認中）</t>
  </si>
  <si>
    <t>GoogleChromeの更新時の資料作成、通知</t>
  </si>
  <si>
    <t>セキュリティ関連（アプリの更新情報確認）</t>
  </si>
  <si>
    <t>中上顧問出社時の対応</t>
  </si>
  <si>
    <t>総務貸出PC、須藤OA端末、加藤あかりOA端末のIPアドレスの調整（重複原因は不明）</t>
  </si>
  <si>
    <t>重複内容をSkyで確認し台帳等の記録も修正。</t>
  </si>
  <si>
    <t>湯川・迫田</t>
  </si>
  <si>
    <t>湯川・迫田 基幹メールの設定と操作の案内</t>
  </si>
  <si>
    <t>尾島</t>
  </si>
  <si>
    <t>尾島 SIOB→A5Mk2へのSQLのコードの変換依頼（佐々嶌さんに伝達の方法を確認）</t>
  </si>
  <si>
    <t>渡辺さん 基幹NAS ログイン方法の説明</t>
  </si>
  <si>
    <t>山本さんノートPCキーボード破壊 対応　加藤監査に相談、羽計・磯辺さんに相談。稟議書・資料作成</t>
  </si>
  <si>
    <t>NEC　CTI作業　受け入れ等対応</t>
  </si>
  <si>
    <t>高坂</t>
  </si>
  <si>
    <t>高坂さんの貸与PC改修・初期化</t>
  </si>
  <si>
    <t>Bizメールサーバーの個人保存容量確認の設定</t>
  </si>
  <si>
    <t>FastCopyの配布準備の資料作成</t>
  </si>
  <si>
    <t>EXV宮澤さんにWindows更新ネットワーク対策の電話・メールでの確認</t>
  </si>
  <si>
    <t>商品管理 今枝さん送信メールが取引先のほうで文字化けした対応</t>
  </si>
  <si>
    <t>エンコードの問題を調整等。最終的には先方の設定の問題と判明し終了。</t>
  </si>
  <si>
    <t>今枝</t>
  </si>
  <si>
    <t>商品管理今枝さん前日の対応からPCサインインパスワードの変更、サイボウズのパスワードの変更とNAS＆共有再設定</t>
  </si>
  <si>
    <t>イオシスに山本さんのPCを発注の連絡</t>
  </si>
  <si>
    <t>エアコン清掃業者へのサーバー室内立ち入り時の対応</t>
  </si>
  <si>
    <t>田中・加藤 商品管理部　情報系のアクセス方法の確認。（Scaw.ini、oracle tnsoraファイルの基幹用と情報用の差分を確認。設定を変更すると接続先が変わり使用できるようになる。</t>
  </si>
  <si>
    <t>Gmailにサイボウズから社外メールが移行できないので重要なメールを履歴として保管したい。</t>
  </si>
  <si>
    <t>Pythonでツール作成。スクレイピングと同じ方法でテキスト化→MBOX化→ThunderbirdからGmailアカウントに連携して反映。</t>
  </si>
  <si>
    <t>坂本信</t>
  </si>
  <si>
    <t>長谷川あみ</t>
  </si>
  <si>
    <t>完了</t>
    <phoneticPr fontId="27"/>
  </si>
  <si>
    <r>
      <rPr>
        <sz val="11"/>
        <color rgb="FF808080"/>
        <rFont val="ＭＳ ゴシック"/>
        <family val="3"/>
        <charset val="128"/>
      </rPr>
      <t>足達さんのアカウント連携トラブル対応。</t>
    </r>
    <r>
      <rPr>
        <sz val="11"/>
        <color rgb="FF808080"/>
        <rFont val="Arial"/>
        <family val="3"/>
      </rPr>
      <t>Google</t>
    </r>
    <r>
      <rPr>
        <sz val="11"/>
        <color rgb="FF808080"/>
        <rFont val="ＭＳ Ｐゴシック"/>
        <family val="3"/>
        <charset val="128"/>
      </rPr>
      <t>に入れない。</t>
    </r>
    <rPh sb="26" eb="27">
      <t>ハイ</t>
    </rPh>
    <phoneticPr fontId="27"/>
  </si>
  <si>
    <t>北澤さんの携帯番号重複への対応方針の確認、社内でスマホに変更する社員の比較検討し対応。</t>
    <rPh sb="40" eb="42">
      <t>タイオウ</t>
    </rPh>
    <phoneticPr fontId="27"/>
  </si>
  <si>
    <t>デバイス削除と再サインインの手順をチャットで指示。</t>
    <phoneticPr fontId="27"/>
  </si>
  <si>
    <t>設定が上手くいかないため、端末を預かってこちらで再設定する旨をチャットで連絡。（パスワード等セキュリティ未設定だと入れないことが原因）。返送後チャットで説明し完了。</t>
    <rPh sb="64" eb="66">
      <t>ゲンイン</t>
    </rPh>
    <rPh sb="68" eb="71">
      <t>ヘンソウゴ</t>
    </rPh>
    <rPh sb="76" eb="78">
      <t>セツメイ</t>
    </rPh>
    <rPh sb="79" eb="81">
      <t>カンリョウ</t>
    </rPh>
    <phoneticPr fontId="27"/>
  </si>
  <si>
    <t>イオシスで見積もり、稟議、購入後にキッティングし配布。</t>
    <rPh sb="5" eb="7">
      <t>ミツ</t>
    </rPh>
    <rPh sb="10" eb="12">
      <t>リンギ</t>
    </rPh>
    <rPh sb="13" eb="16">
      <t>コウニュウゴ</t>
    </rPh>
    <rPh sb="24" eb="26">
      <t>ハイフ</t>
    </rPh>
    <phoneticPr fontId="27"/>
  </si>
  <si>
    <t>進行中</t>
    <phoneticPr fontId="27"/>
  </si>
  <si>
    <t>GWS導入で外出、倉庫内にいるときに情報を確認するためにガラケーからスマホへの機種変更を希望。</t>
    <rPh sb="3" eb="5">
      <t>ドウニュウ</t>
    </rPh>
    <rPh sb="6" eb="8">
      <t>ガイシュツ</t>
    </rPh>
    <rPh sb="9" eb="12">
      <t>ソウコナイ</t>
    </rPh>
    <rPh sb="18" eb="20">
      <t>ジョウホウ</t>
    </rPh>
    <rPh sb="21" eb="23">
      <t>カクニン</t>
    </rPh>
    <rPh sb="39" eb="43">
      <t>キシュヘンコウ</t>
    </rPh>
    <rPh sb="44" eb="46">
      <t>キボウ</t>
    </rPh>
    <phoneticPr fontId="27"/>
  </si>
  <si>
    <t>田中役員から開発現場で効率化を図るために購入の希望。</t>
    <rPh sb="0" eb="4">
      <t>タナカヤクイン</t>
    </rPh>
    <rPh sb="6" eb="8">
      <t>カイハツ</t>
    </rPh>
    <rPh sb="8" eb="10">
      <t>ゲンバ</t>
    </rPh>
    <rPh sb="11" eb="14">
      <t>コウリツカ</t>
    </rPh>
    <rPh sb="15" eb="16">
      <t>ハカ</t>
    </rPh>
    <rPh sb="20" eb="22">
      <t>コウニュウ</t>
    </rPh>
    <rPh sb="23" eb="25">
      <t>キボウ</t>
    </rPh>
    <phoneticPr fontId="27"/>
  </si>
  <si>
    <t>5年経過のUPSバッテリーの寿命から通知が発されたため、交換に至る。</t>
    <rPh sb="1" eb="4">
      <t>ネンケイカ</t>
    </rPh>
    <rPh sb="14" eb="16">
      <t>ジュミョウ</t>
    </rPh>
    <rPh sb="18" eb="20">
      <t>ツウチ</t>
    </rPh>
    <rPh sb="21" eb="22">
      <t>ハッ</t>
    </rPh>
    <rPh sb="28" eb="30">
      <t>コウカン</t>
    </rPh>
    <rPh sb="31" eb="32">
      <t>イタ</t>
    </rPh>
    <phoneticPr fontId="27"/>
  </si>
  <si>
    <t>田中役員休職時に、緊急連絡を取れる体制構築のため。</t>
    <rPh sb="0" eb="4">
      <t>タナカヤクイン</t>
    </rPh>
    <rPh sb="4" eb="7">
      <t>キュウショクジ</t>
    </rPh>
    <rPh sb="9" eb="13">
      <t>キンキュウレンラク</t>
    </rPh>
    <rPh sb="14" eb="15">
      <t>ト</t>
    </rPh>
    <rPh sb="17" eb="21">
      <t>タイセイコウチク</t>
    </rPh>
    <phoneticPr fontId="27"/>
  </si>
  <si>
    <t>基幹端末仮想化で社内で使用していないOffice2019で既存の2010より効率化が図れる可能性。ライセンスが余っているのでオフラインで使用、認証が可能か調査。</t>
    <rPh sb="0" eb="2">
      <t>キカン</t>
    </rPh>
    <rPh sb="2" eb="4">
      <t>タンマツ</t>
    </rPh>
    <rPh sb="4" eb="7">
      <t>カソウカ</t>
    </rPh>
    <rPh sb="8" eb="10">
      <t>シャナイ</t>
    </rPh>
    <rPh sb="11" eb="13">
      <t>シヨウ</t>
    </rPh>
    <rPh sb="29" eb="31">
      <t>キゾン</t>
    </rPh>
    <rPh sb="38" eb="41">
      <t>コウリツカ</t>
    </rPh>
    <rPh sb="42" eb="43">
      <t>ハカ</t>
    </rPh>
    <rPh sb="45" eb="48">
      <t>カノウセイ</t>
    </rPh>
    <rPh sb="55" eb="56">
      <t>アマ</t>
    </rPh>
    <rPh sb="68" eb="70">
      <t>シヨウ</t>
    </rPh>
    <rPh sb="71" eb="73">
      <t>ニンショウ</t>
    </rPh>
    <rPh sb="74" eb="76">
      <t>カノウ</t>
    </rPh>
    <rPh sb="77" eb="79">
      <t>チョウサ</t>
    </rPh>
    <phoneticPr fontId="27"/>
  </si>
  <si>
    <t>体制変更のため管理部からの依頼。</t>
    <rPh sb="0" eb="4">
      <t>タイセイヘンコウ</t>
    </rPh>
    <rPh sb="7" eb="10">
      <t>カンリブ</t>
    </rPh>
    <rPh sb="13" eb="15">
      <t>イライ</t>
    </rPh>
    <phoneticPr fontId="27"/>
  </si>
  <si>
    <t>7月派遣社員の受け入れ準備のため。</t>
    <rPh sb="1" eb="2">
      <t>ガツ</t>
    </rPh>
    <rPh sb="2" eb="6">
      <t>ハケンシャイン</t>
    </rPh>
    <rPh sb="7" eb="8">
      <t>ウ</t>
    </rPh>
    <rPh sb="9" eb="10">
      <t>イ</t>
    </rPh>
    <rPh sb="11" eb="13">
      <t>ジュンビ</t>
    </rPh>
    <phoneticPr fontId="27"/>
  </si>
  <si>
    <r>
      <rPr>
        <sz val="11"/>
        <color rgb="FF808080"/>
        <rFont val="ＭＳ Ｐゴシック"/>
        <family val="2"/>
        <charset val="128"/>
      </rPr>
      <t>福岡</t>
    </r>
    <r>
      <rPr>
        <sz val="11"/>
        <color rgb="FF808080"/>
        <rFont val="Arial"/>
        <family val="2"/>
      </rPr>
      <t>AI</t>
    </r>
    <r>
      <rPr>
        <sz val="11"/>
        <color rgb="FF808080"/>
        <rFont val="ＭＳ ゴシック"/>
        <family val="3"/>
        <charset val="128"/>
      </rPr>
      <t>開発環境用として</t>
    </r>
    <r>
      <rPr>
        <sz val="11"/>
        <color rgb="FF808080"/>
        <rFont val="Arial"/>
        <family val="2"/>
      </rPr>
      <t>31</t>
    </r>
    <r>
      <rPr>
        <sz val="11"/>
        <color rgb="FF808080"/>
        <rFont val="ＭＳ ゴシック"/>
        <family val="3"/>
        <charset val="128"/>
      </rPr>
      <t>インチ以上・高解像度モニターの提案・見積を依頼。</t>
    </r>
    <r>
      <rPr>
        <sz val="11"/>
        <color rgb="FF808080"/>
        <rFont val="Arial"/>
        <family val="2"/>
        <charset val="128"/>
      </rPr>
      <t>EXV</t>
    </r>
    <r>
      <rPr>
        <sz val="11"/>
        <color rgb="FF808080"/>
        <rFont val="游ゴシック"/>
        <family val="2"/>
        <charset val="128"/>
      </rPr>
      <t>宮澤様に見積もり、社内稟議作成の代行、発注業務。</t>
    </r>
    <rPh sb="0" eb="2">
      <t>フクオカ</t>
    </rPh>
    <phoneticPr fontId="27"/>
  </si>
  <si>
    <t>名刺印刷室UPS　バッテリー劣化でエラー。
EXV宮澤様に見積もり、Amazonと比較し、社内稟議。
Amzonで購入。交換済み。</t>
    <rPh sb="0" eb="5">
      <t>メイシインサツシツ</t>
    </rPh>
    <rPh sb="14" eb="16">
      <t>レッカ</t>
    </rPh>
    <phoneticPr fontId="27"/>
  </si>
  <si>
    <t xml:space="preserve">
イオシスで見積もり、稟議、購入後にキッティングし配布。（7/1～7/7）　外山社員はリカーズAKIBAに郵送処理。</t>
    <phoneticPr fontId="27"/>
  </si>
  <si>
    <t>亀澤社員、深澤社員、外山社員用OA端末購入の件。
管理部よりGWS導入で外出、会議で使用するためデスクトップPCから変更の要請のため。</t>
    <rPh sb="25" eb="28">
      <t>カンリブ</t>
    </rPh>
    <rPh sb="33" eb="35">
      <t>ドウニュウ</t>
    </rPh>
    <rPh sb="36" eb="38">
      <t>ガイシュツ</t>
    </rPh>
    <rPh sb="39" eb="41">
      <t>カイギ</t>
    </rPh>
    <rPh sb="42" eb="44">
      <t>シヨウ</t>
    </rPh>
    <rPh sb="58" eb="60">
      <t>ヘンコウ</t>
    </rPh>
    <rPh sb="61" eb="63">
      <t>ヨウセイ</t>
    </rPh>
    <phoneticPr fontId="27"/>
  </si>
  <si>
    <t>福岡（西島さん用）に在庫ガラケーを初期化し発送対応。チャットで福岡に連絡。</t>
    <rPh sb="10" eb="12">
      <t>ザイコ</t>
    </rPh>
    <rPh sb="17" eb="20">
      <t>ショキカ</t>
    </rPh>
    <rPh sb="31" eb="33">
      <t>フクオカ</t>
    </rPh>
    <rPh sb="34" eb="36">
      <t>レンラク</t>
    </rPh>
    <phoneticPr fontId="27"/>
  </si>
  <si>
    <r>
      <rPr>
        <sz val="11"/>
        <color rgb="FF808080"/>
        <rFont val="ＭＳ Ｐゴシック"/>
        <family val="2"/>
        <charset val="128"/>
      </rPr>
      <t>仮想端末で使用する</t>
    </r>
    <r>
      <rPr>
        <sz val="11"/>
        <color rgb="FF808080"/>
        <rFont val="Arial"/>
        <family val="2"/>
      </rPr>
      <t>Office 2019</t>
    </r>
    <r>
      <rPr>
        <sz val="11"/>
        <color rgb="FF808080"/>
        <rFont val="ＭＳ ゴシック"/>
        <family val="3"/>
        <charset val="128"/>
      </rPr>
      <t>の</t>
    </r>
    <r>
      <rPr>
        <sz val="11"/>
        <color rgb="FF808080"/>
        <rFont val="Arial"/>
        <family val="2"/>
      </rPr>
      <t>KMS</t>
    </r>
    <r>
      <rPr>
        <sz val="11"/>
        <color rgb="FF808080"/>
        <rFont val="ＭＳ ゴシック"/>
        <family val="3"/>
        <charset val="128"/>
      </rPr>
      <t>ホストキーに関する問い合わせ。
オフラインインストーラーの作成を実施。
富士フィルム</t>
    </r>
    <r>
      <rPr>
        <sz val="11"/>
        <color rgb="FF808080"/>
        <rFont val="Arial"/>
        <family val="3"/>
      </rPr>
      <t xml:space="preserve"> </t>
    </r>
    <r>
      <rPr>
        <sz val="11"/>
        <color rgb="FF808080"/>
        <rFont val="ＭＳ ゴシック"/>
        <family val="3"/>
        <charset val="128"/>
      </rPr>
      <t>仲居様</t>
    </r>
    <rPh sb="0" eb="2">
      <t>カソウ</t>
    </rPh>
    <rPh sb="2" eb="4">
      <t>タンマツ</t>
    </rPh>
    <rPh sb="5" eb="7">
      <t>シヨウ</t>
    </rPh>
    <rPh sb="53" eb="55">
      <t>サクセイ</t>
    </rPh>
    <rPh sb="56" eb="58">
      <t>ジッシ</t>
    </rPh>
    <rPh sb="61" eb="63">
      <t>フジ</t>
    </rPh>
    <rPh sb="68" eb="71">
      <t>ナカイサマ</t>
    </rPh>
    <phoneticPr fontId="27"/>
  </si>
  <si>
    <t>追加でライセンスの購入が必要。返信待ち。</t>
    <rPh sb="0" eb="2">
      <t>ツイカ</t>
    </rPh>
    <rPh sb="9" eb="11">
      <t>コウニュウ</t>
    </rPh>
    <rPh sb="12" eb="14">
      <t>ヒツヨウ</t>
    </rPh>
    <rPh sb="15" eb="18">
      <t>ヘンシンマ</t>
    </rPh>
    <phoneticPr fontId="27"/>
  </si>
  <si>
    <t>管理部より野崎、北澤、岡本社員用中古OAノートPC購入の件で依頼。
GWS導入で外出、会議で使用するためデスクトップPCから変更の要請のため。</t>
    <rPh sb="0" eb="3">
      <t>カンリブ</t>
    </rPh>
    <rPh sb="30" eb="32">
      <t>イライ</t>
    </rPh>
    <rPh sb="37" eb="39">
      <t>ドウニュウ</t>
    </rPh>
    <rPh sb="40" eb="42">
      <t>ガイシュツ</t>
    </rPh>
    <rPh sb="43" eb="45">
      <t>カイギ</t>
    </rPh>
    <rPh sb="46" eb="48">
      <t>シヨウ</t>
    </rPh>
    <rPh sb="62" eb="64">
      <t>ヘンコウ</t>
    </rPh>
    <rPh sb="65" eb="67">
      <t>ヨウセイ</t>
    </rPh>
    <phoneticPr fontId="27"/>
  </si>
  <si>
    <r>
      <rPr>
        <sz val="11"/>
        <color rgb="FF808080"/>
        <rFont val="ＭＳ ゴシック"/>
        <family val="3"/>
        <charset val="128"/>
      </rPr>
      <t>本社社長室で使用するモニター</t>
    </r>
    <r>
      <rPr>
        <sz val="11"/>
        <color rgb="FF808080"/>
        <rFont val="Arial"/>
        <family val="2"/>
      </rPr>
      <t>1</t>
    </r>
    <r>
      <rPr>
        <sz val="11"/>
        <color rgb="FF808080"/>
        <rFont val="ＭＳ ゴシック"/>
        <family val="3"/>
        <charset val="128"/>
      </rPr>
      <t>台分の正式見積書作成依頼</t>
    </r>
    <r>
      <rPr>
        <sz val="11"/>
        <color rgb="FF808080"/>
        <rFont val="ＭＳ Ｐゴシック"/>
        <family val="3"/>
        <charset val="128"/>
      </rPr>
      <t>　</t>
    </r>
    <r>
      <rPr>
        <sz val="11"/>
        <color rgb="FF808080"/>
        <rFont val="Arial"/>
        <family val="3"/>
        <charset val="128"/>
      </rPr>
      <t>EXV</t>
    </r>
    <r>
      <rPr>
        <sz val="11"/>
        <color rgb="FF808080"/>
        <rFont val="ＭＳ Ｐゴシック"/>
        <family val="3"/>
        <charset val="128"/>
      </rPr>
      <t>宮澤様に見積もり、発注業務。</t>
    </r>
    <r>
      <rPr>
        <sz val="11"/>
        <color rgb="FF808080"/>
        <rFont val="Arial"/>
        <family val="3"/>
        <charset val="128"/>
      </rPr>
      <t>7/2</t>
    </r>
    <r>
      <rPr>
        <sz val="11"/>
        <color rgb="FF808080"/>
        <rFont val="ＭＳ Ｐゴシック"/>
        <family val="3"/>
        <charset val="128"/>
      </rPr>
      <t>～</t>
    </r>
    <r>
      <rPr>
        <sz val="11"/>
        <color rgb="FF808080"/>
        <rFont val="Arial"/>
        <family val="3"/>
        <charset val="128"/>
      </rPr>
      <t>7/14</t>
    </r>
    <phoneticPr fontId="27"/>
  </si>
  <si>
    <t>7月中旬入社予定の派遣社員用、OA、基幹端末、備品の準備。
キッティングし一式そろえて設置の予定。</t>
    <rPh sb="1" eb="2">
      <t>ガツ</t>
    </rPh>
    <rPh sb="2" eb="4">
      <t>チュウジュン</t>
    </rPh>
    <rPh sb="4" eb="8">
      <t>ニュウシャヨテイ</t>
    </rPh>
    <rPh sb="9" eb="13">
      <t>ハケンシャイン</t>
    </rPh>
    <rPh sb="13" eb="14">
      <t>ヨウ</t>
    </rPh>
    <rPh sb="18" eb="20">
      <t>キカン</t>
    </rPh>
    <rPh sb="20" eb="22">
      <t>タンマツ</t>
    </rPh>
    <rPh sb="23" eb="25">
      <t>ビヒン</t>
    </rPh>
    <rPh sb="26" eb="28">
      <t>ジュンビ</t>
    </rPh>
    <phoneticPr fontId="27"/>
  </si>
  <si>
    <t>管理部依頼の新規OA端末用ノートPCの見積もり、モニター3台の見積もり
EXV宮澤様に見積もり、社内稟議作成の代行、発注業務。</t>
    <rPh sb="0" eb="2">
      <t>カンリ</t>
    </rPh>
    <rPh sb="2" eb="3">
      <t>ブ</t>
    </rPh>
    <rPh sb="3" eb="5">
      <t>イライ</t>
    </rPh>
    <rPh sb="6" eb="8">
      <t>シンキ</t>
    </rPh>
    <rPh sb="10" eb="13">
      <t>タンマツヨウ</t>
    </rPh>
    <rPh sb="19" eb="21">
      <t>ミツ</t>
    </rPh>
    <rPh sb="29" eb="30">
      <t>ダイ</t>
    </rPh>
    <rPh sb="31" eb="33">
      <t>ミツ</t>
    </rPh>
    <phoneticPr fontId="27"/>
  </si>
  <si>
    <r>
      <rPr>
        <sz val="11"/>
        <color rgb="FF808080"/>
        <rFont val="Arial"/>
        <family val="3"/>
      </rPr>
      <t>7</t>
    </r>
    <r>
      <rPr>
        <sz val="11"/>
        <color rgb="FF808080"/>
        <rFont val="游ゴシック"/>
        <family val="3"/>
        <charset val="128"/>
      </rPr>
      <t>月中旬入社予定の</t>
    </r>
    <r>
      <rPr>
        <sz val="11"/>
        <color rgb="FF808080"/>
        <rFont val="ＭＳ ゴシック"/>
        <family val="3"/>
        <charset val="128"/>
      </rPr>
      <t>派遣社員用端末の</t>
    </r>
    <r>
      <rPr>
        <sz val="11"/>
        <color rgb="FF808080"/>
        <rFont val="Arial"/>
        <family val="2"/>
      </rPr>
      <t>Office365</t>
    </r>
    <r>
      <rPr>
        <sz val="11"/>
        <color rgb="FF808080"/>
        <rFont val="ＭＳ ゴシック"/>
        <family val="3"/>
        <charset val="128"/>
      </rPr>
      <t>ライセンス追加依頼</t>
    </r>
    <r>
      <rPr>
        <sz val="11"/>
        <color rgb="FF808080"/>
        <rFont val="ＭＳ Ｐゴシック"/>
        <family val="3"/>
        <charset val="128"/>
      </rPr>
      <t>。
チャットで坂田部長に依頼。</t>
    </r>
    <phoneticPr fontId="27"/>
  </si>
  <si>
    <t>物流 浅野部長、三嶋部長社用スマホへの機種変更</t>
    <rPh sb="0" eb="2">
      <t>ブツリュウ</t>
    </rPh>
    <rPh sb="3" eb="7">
      <t>アサノブチョウ</t>
    </rPh>
    <rPh sb="8" eb="12">
      <t>ミシマブチョウ</t>
    </rPh>
    <rPh sb="12" eb="14">
      <t>シャヨウ</t>
    </rPh>
    <rPh sb="19" eb="23">
      <t>キシュヘンコウ</t>
    </rPh>
    <phoneticPr fontId="27"/>
  </si>
  <si>
    <t>福岡開発室　開発用モニター試験導入のための購入</t>
    <rPh sb="0" eb="2">
      <t>フクオカ</t>
    </rPh>
    <rPh sb="2" eb="5">
      <t>カイハツシツ</t>
    </rPh>
    <rPh sb="6" eb="9">
      <t>カイハツヨウ</t>
    </rPh>
    <rPh sb="13" eb="15">
      <t>シケン</t>
    </rPh>
    <rPh sb="15" eb="17">
      <t>ドウニュウ</t>
    </rPh>
    <rPh sb="21" eb="23">
      <t>コウニュウ</t>
    </rPh>
    <phoneticPr fontId="27"/>
  </si>
  <si>
    <t>名刺印刷室UPSバッテリー購入</t>
    <rPh sb="0" eb="2">
      <t>メイシ</t>
    </rPh>
    <rPh sb="2" eb="5">
      <t>インサツシツ</t>
    </rPh>
    <rPh sb="13" eb="15">
      <t>コウニュウ</t>
    </rPh>
    <phoneticPr fontId="27"/>
  </si>
  <si>
    <t>福岡開発室　西島社員ガラケー貸与</t>
    <rPh sb="0" eb="2">
      <t>フクオカ</t>
    </rPh>
    <rPh sb="6" eb="10">
      <t>ニシジマシャイン</t>
    </rPh>
    <rPh sb="14" eb="16">
      <t>タイヨ</t>
    </rPh>
    <phoneticPr fontId="27"/>
  </si>
  <si>
    <t>仮想基幹端末用Office2019運用</t>
    <rPh sb="0" eb="2">
      <t>カソウ</t>
    </rPh>
    <rPh sb="2" eb="7">
      <t>キカンタンマツヨウ</t>
    </rPh>
    <rPh sb="17" eb="19">
      <t>ウンヨウ</t>
    </rPh>
    <phoneticPr fontId="27"/>
  </si>
  <si>
    <t>社長室ミーティングスペース31.5インチPCモニター購入</t>
    <rPh sb="0" eb="3">
      <t>シャチョウシツ</t>
    </rPh>
    <rPh sb="26" eb="28">
      <t>コウニュウ</t>
    </rPh>
    <phoneticPr fontId="27"/>
  </si>
  <si>
    <t>社長室ミーティングスペースで大型のモニターでPC画面を表示させて打ち合わせ等を行いたい。</t>
    <rPh sb="0" eb="3">
      <t>シャチョウシツ</t>
    </rPh>
    <rPh sb="14" eb="16">
      <t>オオガタ</t>
    </rPh>
    <rPh sb="24" eb="26">
      <t>ガメン</t>
    </rPh>
    <rPh sb="27" eb="29">
      <t>ヒョウジ</t>
    </rPh>
    <rPh sb="32" eb="33">
      <t>ウ</t>
    </rPh>
    <rPh sb="34" eb="35">
      <t>ア</t>
    </rPh>
    <rPh sb="37" eb="38">
      <t>トウ</t>
    </rPh>
    <rPh sb="39" eb="40">
      <t>オコナ</t>
    </rPh>
    <phoneticPr fontId="27"/>
  </si>
  <si>
    <t>（GWS関連対応）EDION社員用PC購入、キッティング</t>
    <rPh sb="4" eb="6">
      <t>カンレン</t>
    </rPh>
    <rPh sb="6" eb="8">
      <t>タイオウ</t>
    </rPh>
    <rPh sb="19" eb="21">
      <t>コウニュウ</t>
    </rPh>
    <phoneticPr fontId="27"/>
  </si>
  <si>
    <t>（GWS関連対応）役職者用PC購入、キッティング</t>
    <rPh sb="4" eb="6">
      <t>カンレン</t>
    </rPh>
    <rPh sb="6" eb="8">
      <t>タイオウ</t>
    </rPh>
    <rPh sb="9" eb="12">
      <t>ヤクショクシャ</t>
    </rPh>
    <rPh sb="15" eb="17">
      <t>コウニュウ</t>
    </rPh>
    <phoneticPr fontId="27"/>
  </si>
  <si>
    <t>新入社員受け入れ対応</t>
    <rPh sb="0" eb="4">
      <t>シンニュウシャイン</t>
    </rPh>
    <rPh sb="4" eb="5">
      <t>ウ</t>
    </rPh>
    <rPh sb="6" eb="7">
      <t>イ</t>
    </rPh>
    <rPh sb="8" eb="10">
      <t>タイオウ</t>
    </rPh>
    <phoneticPr fontId="27"/>
  </si>
  <si>
    <t>組織変更による端末準備対応</t>
    <rPh sb="0" eb="4">
      <t>ソシキヘンコウ</t>
    </rPh>
    <rPh sb="7" eb="9">
      <t>タンマツ</t>
    </rPh>
    <rPh sb="9" eb="13">
      <t>ジュンビタイオウ</t>
    </rPh>
    <phoneticPr fontId="27"/>
  </si>
  <si>
    <t>7/14　90％完了</t>
    <rPh sb="8" eb="10">
      <t>カンリョウ</t>
    </rPh>
    <phoneticPr fontId="27"/>
  </si>
  <si>
    <t>7/14　納品待ち</t>
    <rPh sb="5" eb="7">
      <t>ノウヒン</t>
    </rPh>
    <rPh sb="7" eb="8">
      <t>マ</t>
    </rPh>
    <phoneticPr fontId="27"/>
  </si>
  <si>
    <t>7/14稟議書作成中</t>
    <rPh sb="4" eb="6">
      <t>リンギ</t>
    </rPh>
    <rPh sb="6" eb="7">
      <t>ショ</t>
    </rPh>
    <rPh sb="7" eb="10">
      <t>サクセイチュウ</t>
    </rPh>
    <phoneticPr fontId="27"/>
  </si>
  <si>
    <t>7/14　見積り依頼済み</t>
    <rPh sb="5" eb="7">
      <t>ミツ</t>
    </rPh>
    <rPh sb="8" eb="10">
      <t>イライ</t>
    </rPh>
    <rPh sb="10" eb="11">
      <t>ズ</t>
    </rPh>
    <phoneticPr fontId="27"/>
  </si>
  <si>
    <t>社用携帯</t>
    <rPh sb="0" eb="2">
      <t>シャヨウ</t>
    </rPh>
    <rPh sb="2" eb="4">
      <t>ケイタイ</t>
    </rPh>
    <phoneticPr fontId="27"/>
  </si>
  <si>
    <t>総務関連</t>
    <rPh sb="0" eb="4">
      <t>ソウムカンレン</t>
    </rPh>
    <phoneticPr fontId="27"/>
  </si>
  <si>
    <t>OA端末関連</t>
    <phoneticPr fontId="27"/>
  </si>
  <si>
    <t>経理課</t>
    <phoneticPr fontId="27"/>
  </si>
  <si>
    <t>データ移動用端末TKCの設定のためSKYでポート開放</t>
    <rPh sb="3" eb="8">
      <t>イドウヨウタンマツ</t>
    </rPh>
    <rPh sb="12" eb="14">
      <t>セッテイ</t>
    </rPh>
    <rPh sb="24" eb="26">
      <t>カイホウ</t>
    </rPh>
    <phoneticPr fontId="27"/>
  </si>
  <si>
    <t>対応後、元の設定に復旧させ終了。</t>
    <rPh sb="0" eb="3">
      <t>タイオウゴ</t>
    </rPh>
    <rPh sb="4" eb="5">
      <t>モト</t>
    </rPh>
    <rPh sb="6" eb="8">
      <t>セッテイ</t>
    </rPh>
    <rPh sb="9" eb="11">
      <t>フッキュウ</t>
    </rPh>
    <rPh sb="13" eb="15">
      <t>シュウリョウ</t>
    </rPh>
    <phoneticPr fontId="27"/>
  </si>
  <si>
    <t>配送</t>
    <rPh sb="0" eb="2">
      <t>ハイソウ</t>
    </rPh>
    <phoneticPr fontId="27"/>
  </si>
  <si>
    <t>ハブの電源再起動で復旧。リモートで確認し終了。</t>
    <rPh sb="3" eb="5">
      <t>デンゲン</t>
    </rPh>
    <rPh sb="5" eb="8">
      <t>サイキドウ</t>
    </rPh>
    <rPh sb="9" eb="11">
      <t>フッキュウ</t>
    </rPh>
    <rPh sb="17" eb="19">
      <t>カクニン</t>
    </rPh>
    <rPh sb="20" eb="22">
      <t>シュウリョウ</t>
    </rPh>
    <phoneticPr fontId="27"/>
  </si>
  <si>
    <r>
      <rPr>
        <sz val="11"/>
        <color rgb="FF808080"/>
        <rFont val="ＭＳ ゴシック"/>
        <family val="3"/>
        <charset val="128"/>
      </rPr>
      <t>基幹</t>
    </r>
    <r>
      <rPr>
        <sz val="11"/>
        <color rgb="FF808080"/>
        <rFont val="Arial"/>
        <family val="2"/>
      </rPr>
      <t>NW</t>
    </r>
    <r>
      <rPr>
        <sz val="11"/>
        <color rgb="FF808080"/>
        <rFont val="ＭＳ ゴシック"/>
        <family val="3"/>
        <charset val="128"/>
      </rPr>
      <t>ハブがフリーズし</t>
    </r>
    <r>
      <rPr>
        <sz val="11"/>
        <color rgb="FF808080"/>
        <rFont val="Arial"/>
        <family val="2"/>
      </rPr>
      <t>SCAW</t>
    </r>
    <r>
      <rPr>
        <sz val="11"/>
        <color rgb="FF808080"/>
        <rFont val="ＭＳ ゴシック"/>
        <family val="3"/>
        <charset val="128"/>
      </rPr>
      <t>が使えない。</t>
    </r>
    <rPh sb="0" eb="2">
      <t>キカン</t>
    </rPh>
    <rPh sb="17" eb="18">
      <t>ツカ</t>
    </rPh>
    <phoneticPr fontId="27"/>
  </si>
  <si>
    <t>障害</t>
    <phoneticPr fontId="27"/>
  </si>
  <si>
    <t>物流部</t>
    <rPh sb="0" eb="3">
      <t>ブツリュウブ</t>
    </rPh>
    <phoneticPr fontId="27"/>
  </si>
  <si>
    <t>山中</t>
    <phoneticPr fontId="27"/>
  </si>
  <si>
    <t>勤怠打刻用PCがエラー。赤ランプで起動できず。</t>
    <rPh sb="0" eb="4">
      <t>キンタイダコク</t>
    </rPh>
    <rPh sb="4" eb="5">
      <t>ヨウ</t>
    </rPh>
    <rPh sb="12" eb="13">
      <t>アカ</t>
    </rPh>
    <rPh sb="17" eb="19">
      <t>キドウ</t>
    </rPh>
    <phoneticPr fontId="27"/>
  </si>
  <si>
    <t>郵送いただき本社で電源ユニット他確認。電源ユニットを交換し復旧し社内便で返送。動作確認いただき完了。</t>
    <rPh sb="0" eb="2">
      <t>ユウソウ</t>
    </rPh>
    <rPh sb="6" eb="8">
      <t>ホンシャ</t>
    </rPh>
    <rPh sb="9" eb="11">
      <t>デンゲン</t>
    </rPh>
    <rPh sb="15" eb="16">
      <t>ホカ</t>
    </rPh>
    <rPh sb="16" eb="18">
      <t>カクニン</t>
    </rPh>
    <rPh sb="26" eb="28">
      <t>コウカン</t>
    </rPh>
    <rPh sb="29" eb="31">
      <t>フッキュウ</t>
    </rPh>
    <rPh sb="32" eb="35">
      <t>シャナイビン</t>
    </rPh>
    <rPh sb="36" eb="38">
      <t>ヘンソウ</t>
    </rPh>
    <rPh sb="39" eb="43">
      <t>ドウサカクニン</t>
    </rPh>
    <rPh sb="47" eb="49">
      <t>カンリョウ</t>
    </rPh>
    <phoneticPr fontId="27"/>
  </si>
  <si>
    <t>管理部</t>
    <phoneticPr fontId="27"/>
  </si>
  <si>
    <t>大畑</t>
    <phoneticPr fontId="27"/>
  </si>
  <si>
    <r>
      <t>OA</t>
    </r>
    <r>
      <rPr>
        <sz val="11"/>
        <color rgb="FF808080"/>
        <rFont val="Calibri"/>
        <family val="2"/>
      </rPr>
      <t>端末がシャットダウンできない。アカウント名が表示されなくなる。</t>
    </r>
    <rPh sb="2" eb="4">
      <t>タンマツ</t>
    </rPh>
    <rPh sb="22" eb="23">
      <t>メイ</t>
    </rPh>
    <rPh sb="24" eb="26">
      <t>ヒョウジ</t>
    </rPh>
    <phoneticPr fontId="27"/>
  </si>
  <si>
    <t>グループポリシーとレジストリの不整合を解消し復旧。</t>
    <rPh sb="15" eb="18">
      <t>フセイゴウ</t>
    </rPh>
    <rPh sb="19" eb="21">
      <t>カイショウ</t>
    </rPh>
    <rPh sb="22" eb="24">
      <t>フッキュウ</t>
    </rPh>
    <phoneticPr fontId="27"/>
  </si>
  <si>
    <t>（GWS関連対応）OA端末スペックアップ</t>
    <rPh sb="11" eb="13">
      <t>タンマツ</t>
    </rPh>
    <phoneticPr fontId="27"/>
  </si>
  <si>
    <t>SkySeaから８GBメモリ端末を抽出。価格調査、設置方法を明示。</t>
    <rPh sb="14" eb="16">
      <t>タンマツ</t>
    </rPh>
    <rPh sb="17" eb="19">
      <t>チュウシュツ</t>
    </rPh>
    <rPh sb="20" eb="24">
      <t>カカクチョウサ</t>
    </rPh>
    <rPh sb="25" eb="29">
      <t>セッチホウホウ</t>
    </rPh>
    <rPh sb="30" eb="32">
      <t>メイジ</t>
    </rPh>
    <phoneticPr fontId="27"/>
  </si>
  <si>
    <t>提出待ち</t>
    <rPh sb="0" eb="3">
      <t>テイシュツマ</t>
    </rPh>
    <phoneticPr fontId="27"/>
  </si>
  <si>
    <t>GWS導入でメモリ不足が顕著に発生するため管理部に提出用のメモリ増設計画の資料作成</t>
    <rPh sb="3" eb="5">
      <t>ドウニュウ</t>
    </rPh>
    <rPh sb="9" eb="11">
      <t>ブソク</t>
    </rPh>
    <rPh sb="12" eb="14">
      <t>ケンチョ</t>
    </rPh>
    <rPh sb="15" eb="17">
      <t>ハッセイ</t>
    </rPh>
    <phoneticPr fontId="27"/>
  </si>
  <si>
    <t>藤平</t>
    <rPh sb="0" eb="2">
      <t>フジヒラ</t>
    </rPh>
    <phoneticPr fontId="27"/>
  </si>
  <si>
    <t>７Zipが管理者パスワードのせいでインストールできない。</t>
    <rPh sb="5" eb="8">
      <t>カンリシャ</t>
    </rPh>
    <phoneticPr fontId="27"/>
  </si>
  <si>
    <t>UAC設定変更をリモートで実施。</t>
    <rPh sb="3" eb="5">
      <t>セッテイ</t>
    </rPh>
    <rPh sb="5" eb="7">
      <t>ヘンコウ</t>
    </rPh>
    <rPh sb="13" eb="15">
      <t>ジッシ</t>
    </rPh>
    <phoneticPr fontId="27"/>
  </si>
  <si>
    <t>佐藤</t>
    <phoneticPr fontId="27"/>
  </si>
  <si>
    <t>ESETが管理者パスワードのせいで更新できない。</t>
    <rPh sb="5" eb="8">
      <t>カンリシャ</t>
    </rPh>
    <rPh sb="17" eb="19">
      <t>コウシン</t>
    </rPh>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</si>
</sst>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m/d/yyyy\ h:mm:ss"/>
    <numFmt numFmtId="178" formatCode="yyyy/mm/dd\ h:mm"/>
  </numFmts>
  <fonts count="40">
    <font>
      <sz val="11"/>
      <color theme="1"/>
      <name val="Calibri"/>
      <scheme val="minor"/>
    </font>
    <font>
      <sz val="11"/>
      <color theme="0"/>
      <name val="Calibri"/>
      <family val="2"/>
      <scheme val="minor"/>
    </font>
    <font>
      <sz val="22"/>
      <color theme="1"/>
      <name val="Calibri"/>
      <family val="2"/>
      <scheme val="minor"/>
    </font>
    <font>
      <sz val="11"/>
      <color rgb="FFFFFFFF"/>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
      <sz val="11"/>
      <color rgb="FF000000"/>
      <name val="Calibri"/>
      <family val="2"/>
      <scheme val="minor"/>
    </font>
    <font>
      <strike/>
      <sz val="11"/>
      <color theme="1"/>
      <name val="Calibri"/>
      <family val="2"/>
      <scheme val="minor"/>
    </font>
    <font>
      <sz val="11"/>
      <color theme="1"/>
      <name val="游ゴシック"/>
      <family val="3"/>
      <charset val="128"/>
    </font>
    <font>
      <sz val="11"/>
      <color theme="0"/>
      <name val="游ゴシック"/>
      <family val="3"/>
      <charset val="128"/>
    </font>
    <font>
      <sz val="12"/>
      <color rgb="FF333333"/>
      <name val="Arial"/>
      <family val="2"/>
    </font>
    <font>
      <b/>
      <sz val="11"/>
      <color theme="1"/>
      <name val="游ゴシック"/>
      <family val="3"/>
      <charset val="128"/>
    </font>
    <font>
      <sz val="12"/>
      <color theme="1"/>
      <name val="游ゴシック"/>
      <family val="3"/>
      <charset val="128"/>
    </font>
    <font>
      <u/>
      <sz val="11"/>
      <color theme="1"/>
      <name val="游ゴシック"/>
      <family val="3"/>
      <charset val="128"/>
    </font>
    <font>
      <b/>
      <sz val="18"/>
      <color rgb="FF000000"/>
      <name val="Yu Gothic"/>
      <family val="3"/>
      <charset val="128"/>
    </font>
    <font>
      <b/>
      <sz val="20"/>
      <color theme="1"/>
      <name val="游ゴシック"/>
      <family val="3"/>
      <charset val="128"/>
    </font>
    <font>
      <b/>
      <sz val="12"/>
      <color rgb="FF000000"/>
      <name val="Yu Gothic"/>
      <family val="3"/>
      <charset val="128"/>
    </font>
    <font>
      <b/>
      <sz val="12"/>
      <color rgb="FF000000"/>
      <name val="Arial"/>
      <family val="2"/>
    </font>
    <font>
      <b/>
      <sz val="11"/>
      <color rgb="FF000000"/>
      <name val="Arial"/>
      <family val="2"/>
    </font>
    <font>
      <sz val="11"/>
      <color rgb="FF808080"/>
      <name val="Yu Gothic"/>
      <family val="3"/>
      <charset val="128"/>
    </font>
    <font>
      <sz val="11"/>
      <color rgb="FF808080"/>
      <name val="Arial"/>
      <family val="2"/>
    </font>
    <font>
      <sz val="11"/>
      <color rgb="FF808080"/>
      <name val="&quot;Yu Gothic&quot;"/>
    </font>
    <font>
      <sz val="11"/>
      <color rgb="FF000000"/>
      <name val="&quot;Yu Gothic&quot;"/>
    </font>
    <font>
      <sz val="11"/>
      <color rgb="FF000000"/>
      <name val="Arial"/>
      <family val="2"/>
    </font>
    <font>
      <u/>
      <sz val="11"/>
      <color rgb="FF808080"/>
      <name val="Arial"/>
      <family val="2"/>
    </font>
    <font>
      <u/>
      <sz val="11"/>
      <color rgb="FF0000FF"/>
      <name val="游ゴシック"/>
      <family val="3"/>
      <charset val="128"/>
    </font>
    <font>
      <sz val="6"/>
      <name val="Calibri"/>
      <family val="3"/>
      <charset val="128"/>
      <scheme val="minor"/>
    </font>
    <font>
      <sz val="11"/>
      <color rgb="FF808080"/>
      <name val="ＭＳ Ｐゴシック"/>
      <family val="3"/>
      <charset val="128"/>
    </font>
    <font>
      <sz val="11"/>
      <color rgb="FF808080"/>
      <name val="ＭＳ ゴシック"/>
      <family val="3"/>
      <charset val="128"/>
    </font>
    <font>
      <sz val="11"/>
      <color rgb="FF808080"/>
      <name val="ＭＳ Ｐゴシック"/>
      <family val="2"/>
      <charset val="128"/>
    </font>
    <font>
      <sz val="11"/>
      <color rgb="FF808080"/>
      <name val="Arial"/>
      <family val="2"/>
      <charset val="128"/>
    </font>
    <font>
      <sz val="11"/>
      <color rgb="FF808080"/>
      <name val="Arial"/>
      <family val="3"/>
    </font>
    <font>
      <sz val="11"/>
      <color rgb="FF808080"/>
      <name val="Arial"/>
      <family val="3"/>
      <charset val="128"/>
    </font>
    <font>
      <sz val="11"/>
      <color theme="1"/>
      <name val="Calibri"/>
      <family val="3"/>
      <charset val="128"/>
      <scheme val="minor"/>
    </font>
    <font>
      <sz val="11"/>
      <color theme="1"/>
      <name val="ＭＳ ゴシック"/>
      <family val="3"/>
      <charset val="128"/>
    </font>
    <font>
      <sz val="11"/>
      <color rgb="FF808080"/>
      <name val="游ゴシック"/>
      <family val="3"/>
      <charset val="128"/>
    </font>
    <font>
      <sz val="11"/>
      <color rgb="FF808080"/>
      <name val="游ゴシック"/>
      <family val="2"/>
      <charset val="128"/>
    </font>
    <font>
      <sz val="11"/>
      <color theme="1"/>
      <name val="ＭＳ Ｐゴシック"/>
      <family val="3"/>
      <charset val="128"/>
    </font>
    <font>
      <sz val="11"/>
      <color rgb="FF808080"/>
      <name val="Calibri"/>
      <family val="2"/>
    </font>
  </fonts>
  <fills count="9">
    <fill>
      <patternFill patternType="none"/>
    </fill>
    <fill>
      <patternFill patternType="gray125"/>
    </fill>
    <fill>
      <patternFill patternType="solid">
        <fgColor rgb="FFB4C6E7"/>
        <bgColor rgb="FFB4C6E7"/>
      </patternFill>
    </fill>
    <fill>
      <patternFill patternType="solid">
        <fgColor rgb="FFFFE699"/>
        <bgColor rgb="FFFFE699"/>
      </patternFill>
    </fill>
    <fill>
      <patternFill patternType="solid">
        <fgColor rgb="FFFFFFFF"/>
        <bgColor rgb="FFFFFFFF"/>
      </patternFill>
    </fill>
    <fill>
      <patternFill patternType="solid">
        <fgColor rgb="FFDDEBF7"/>
        <bgColor rgb="FFDDEBF7"/>
      </patternFill>
    </fill>
    <fill>
      <patternFill patternType="solid">
        <fgColor rgb="FFF8CBAD"/>
        <bgColor rgb="FFF8CBAD"/>
      </patternFill>
    </fill>
    <fill>
      <patternFill patternType="solid">
        <fgColor theme="8" tint="0.79998168889431442"/>
        <bgColor indexed="64"/>
      </patternFill>
    </fill>
    <fill>
      <patternFill patternType="solid">
        <fgColor theme="8" tint="0.79998168889431442"/>
        <bgColor rgb="FFDDEBF7"/>
      </patternFill>
    </fill>
  </fills>
  <borders count="10">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69">
    <xf numFmtId="0" fontId="0" fillId="0" borderId="0" xfId="0" applyAlignment="1">
      <alignment vertical="center"/>
    </xf>
    <xf numFmtId="0" fontId="1" fillId="0" borderId="0" xfId="0" applyFont="1" applyAlignment="1">
      <alignment horizontal="center" vertical="center"/>
    </xf>
    <xf numFmtId="176"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14" fontId="0" fillId="0" borderId="0" xfId="0" applyNumberFormat="1" applyAlignment="1">
      <alignment horizontal="center" vertical="center"/>
    </xf>
    <xf numFmtId="0" fontId="2" fillId="0" borderId="0" xfId="0" applyFont="1" applyAlignment="1">
      <alignment horizontal="center" vertical="center" wrapText="1"/>
    </xf>
    <xf numFmtId="176" fontId="0" fillId="0" borderId="0" xfId="0" applyNumberFormat="1" applyAlignment="1">
      <alignment horizontal="center" vertical="center"/>
    </xf>
    <xf numFmtId="0" fontId="3" fillId="0" borderId="0" xfId="0" applyFont="1" applyAlignment="1">
      <alignment horizontal="center" vertical="center"/>
    </xf>
    <xf numFmtId="176" fontId="0" fillId="2" borderId="1" xfId="0" applyNumberFormat="1" applyFill="1" applyBorder="1" applyAlignment="1">
      <alignment horizontal="center" vertical="center"/>
    </xf>
    <xf numFmtId="14" fontId="0" fillId="2" borderId="0" xfId="0" applyNumberForma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0" fontId="4"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176" fontId="0" fillId="0" borderId="1" xfId="0" applyNumberFormat="1" applyBorder="1" applyAlignment="1">
      <alignment horizontal="center" vertical="center"/>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56" fontId="0" fillId="0" borderId="0" xfId="0" applyNumberFormat="1" applyAlignment="1">
      <alignment horizontal="center" vertical="center"/>
    </xf>
    <xf numFmtId="38" fontId="0" fillId="0" borderId="0" xfId="0" applyNumberFormat="1" applyAlignment="1">
      <alignment vertical="center" wrapText="1"/>
    </xf>
    <xf numFmtId="56" fontId="0" fillId="0" borderId="0" xfId="0" applyNumberFormat="1" applyAlignment="1">
      <alignment vertical="center" wrapText="1"/>
    </xf>
    <xf numFmtId="0" fontId="6" fillId="0" borderId="0" xfId="0" applyFont="1" applyAlignment="1">
      <alignment vertical="center"/>
    </xf>
    <xf numFmtId="177" fontId="1"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vertical="center" wrapText="1"/>
    </xf>
    <xf numFmtId="14" fontId="7" fillId="0" borderId="0" xfId="0" applyNumberFormat="1" applyFont="1" applyAlignment="1">
      <alignment horizontal="center" vertical="center" wrapText="1"/>
    </xf>
    <xf numFmtId="0" fontId="7" fillId="0" borderId="0" xfId="0" applyFont="1" applyAlignment="1">
      <alignment horizontal="center" vertical="center"/>
    </xf>
    <xf numFmtId="14" fontId="0" fillId="0" borderId="0" xfId="0" applyNumberFormat="1" applyAlignment="1">
      <alignment horizontal="center" vertical="center" wrapText="1"/>
    </xf>
    <xf numFmtId="0" fontId="7" fillId="3" borderId="0" xfId="0" applyFont="1" applyFill="1" applyAlignment="1">
      <alignment vertical="center" wrapText="1"/>
    </xf>
    <xf numFmtId="176" fontId="8" fillId="0" borderId="1" xfId="0" applyNumberFormat="1" applyFont="1" applyBorder="1" applyAlignment="1">
      <alignment horizontal="center" vertical="center"/>
    </xf>
    <xf numFmtId="14" fontId="0" fillId="0" borderId="0" xfId="0" applyNumberFormat="1" applyAlignment="1">
      <alignment vertical="center" wrapText="1"/>
    </xf>
    <xf numFmtId="0" fontId="9" fillId="0" borderId="0" xfId="0" applyFont="1" applyAlignment="1">
      <alignment vertical="center" wrapText="1"/>
    </xf>
    <xf numFmtId="0" fontId="10"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176" fontId="9" fillId="0" borderId="1" xfId="0" applyNumberFormat="1" applyFont="1" applyBorder="1" applyAlignment="1">
      <alignment horizontal="center" vertical="center"/>
    </xf>
    <xf numFmtId="14" fontId="9" fillId="0" borderId="0" xfId="0" applyNumberFormat="1" applyFont="1" applyAlignment="1">
      <alignment horizontal="center" vertical="center"/>
    </xf>
    <xf numFmtId="0" fontId="11" fillId="4" borderId="0" xfId="0" applyFont="1" applyFill="1" applyAlignment="1">
      <alignment vertical="center"/>
    </xf>
    <xf numFmtId="176" fontId="12" fillId="0" borderId="1" xfId="0" applyNumberFormat="1" applyFont="1" applyBorder="1" applyAlignment="1">
      <alignment horizontal="center" vertical="center"/>
    </xf>
    <xf numFmtId="14"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vertical="center" wrapText="1"/>
    </xf>
    <xf numFmtId="0" fontId="6" fillId="0" borderId="0" xfId="0" applyFont="1" applyAlignment="1">
      <alignment vertical="center" wrapText="1"/>
    </xf>
    <xf numFmtId="0" fontId="9" fillId="0" borderId="0" xfId="0" applyFont="1" applyAlignment="1">
      <alignment horizontal="left" vertical="center"/>
    </xf>
    <xf numFmtId="0" fontId="13" fillId="0" borderId="0" xfId="0" applyFont="1" applyAlignment="1">
      <alignment horizontal="center" vertical="center"/>
    </xf>
    <xf numFmtId="0" fontId="13" fillId="0" borderId="2" xfId="0" applyFont="1" applyBorder="1" applyAlignment="1">
      <alignment horizontal="center" vertical="center"/>
    </xf>
    <xf numFmtId="0" fontId="14" fillId="0" borderId="0" xfId="0" applyFont="1" applyAlignment="1">
      <alignment vertical="center" wrapText="1"/>
    </xf>
    <xf numFmtId="176" fontId="12" fillId="0" borderId="0" xfId="0" applyNumberFormat="1" applyFont="1" applyAlignment="1">
      <alignment horizontal="center" vertical="center"/>
    </xf>
    <xf numFmtId="0" fontId="15" fillId="0" borderId="0" xfId="0" applyFont="1" applyAlignment="1">
      <alignment horizontal="center" vertical="center"/>
    </xf>
    <xf numFmtId="176" fontId="16" fillId="0" borderId="0" xfId="0" applyNumberFormat="1" applyFont="1" applyAlignment="1">
      <alignment horizontal="left" vertical="center"/>
    </xf>
    <xf numFmtId="178" fontId="15" fillId="0" borderId="0" xfId="0" applyNumberFormat="1" applyFont="1" applyAlignment="1">
      <alignment horizontal="center" vertical="center"/>
    </xf>
    <xf numFmtId="0" fontId="15" fillId="0" borderId="0" xfId="0" applyFont="1" applyAlignment="1">
      <alignment vertical="center" wrapText="1"/>
    </xf>
    <xf numFmtId="178" fontId="9" fillId="0" borderId="0" xfId="0" applyNumberFormat="1" applyFont="1" applyAlignment="1">
      <alignment horizontal="center" vertical="center"/>
    </xf>
    <xf numFmtId="0" fontId="17" fillId="0" borderId="3" xfId="0" applyFont="1" applyBorder="1" applyAlignment="1">
      <alignment horizontal="center" vertical="center"/>
    </xf>
    <xf numFmtId="0" fontId="18" fillId="0" borderId="4" xfId="0" applyFont="1" applyBorder="1" applyAlignment="1">
      <alignment horizontal="center" vertical="center"/>
    </xf>
    <xf numFmtId="178" fontId="18" fillId="0" borderId="4"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left" vertical="center" wrapText="1"/>
    </xf>
    <xf numFmtId="0" fontId="20" fillId="5" borderId="3" xfId="0" applyFont="1" applyFill="1" applyBorder="1" applyAlignment="1">
      <alignment horizontal="center" vertical="center"/>
    </xf>
    <xf numFmtId="178" fontId="20" fillId="5" borderId="3" xfId="0" applyNumberFormat="1" applyFont="1" applyFill="1" applyBorder="1" applyAlignment="1">
      <alignment horizontal="center" vertical="center"/>
    </xf>
    <xf numFmtId="20" fontId="20" fillId="5" borderId="3" xfId="0" applyNumberFormat="1" applyFont="1" applyFill="1" applyBorder="1" applyAlignment="1">
      <alignment horizontal="center" vertical="center"/>
    </xf>
    <xf numFmtId="0" fontId="20" fillId="5" borderId="3" xfId="0" applyFont="1" applyFill="1" applyBorder="1" applyAlignment="1">
      <alignment vertical="center" wrapText="1"/>
    </xf>
    <xf numFmtId="0" fontId="21" fillId="5" borderId="3" xfId="0" applyFont="1" applyFill="1" applyBorder="1" applyAlignment="1">
      <alignment horizontal="center" vertical="center"/>
    </xf>
    <xf numFmtId="178" fontId="21" fillId="5" borderId="3" xfId="0" applyNumberFormat="1" applyFont="1" applyFill="1" applyBorder="1" applyAlignment="1">
      <alignment horizontal="center" vertical="center"/>
    </xf>
    <xf numFmtId="0" fontId="21" fillId="5" borderId="3" xfId="0" applyFont="1" applyFill="1" applyBorder="1" applyAlignment="1">
      <alignment vertical="center" wrapText="1"/>
    </xf>
    <xf numFmtId="0" fontId="22" fillId="5" borderId="3" xfId="0" applyFont="1" applyFill="1" applyBorder="1" applyAlignment="1">
      <alignment horizontal="center" vertical="center"/>
    </xf>
    <xf numFmtId="178" fontId="22" fillId="5" borderId="3" xfId="0" applyNumberFormat="1" applyFont="1" applyFill="1" applyBorder="1" applyAlignment="1">
      <alignment horizontal="center" vertical="center"/>
    </xf>
    <xf numFmtId="20" fontId="22" fillId="5" borderId="3" xfId="0" applyNumberFormat="1" applyFont="1" applyFill="1" applyBorder="1" applyAlignment="1">
      <alignment horizontal="center" vertical="center"/>
    </xf>
    <xf numFmtId="0" fontId="22" fillId="5" borderId="3" xfId="0" applyFont="1" applyFill="1" applyBorder="1" applyAlignment="1">
      <alignment horizontal="left" vertical="top" wrapText="1"/>
    </xf>
    <xf numFmtId="0" fontId="22" fillId="5" borderId="3" xfId="0" applyFont="1" applyFill="1" applyBorder="1" applyAlignment="1">
      <alignment vertical="top" wrapText="1"/>
    </xf>
    <xf numFmtId="20" fontId="21" fillId="5" borderId="3" xfId="0" applyNumberFormat="1" applyFont="1" applyFill="1" applyBorder="1" applyAlignment="1">
      <alignment horizontal="center" vertical="center"/>
    </xf>
    <xf numFmtId="0" fontId="20" fillId="0" borderId="3" xfId="0" applyFont="1" applyBorder="1" applyAlignment="1">
      <alignment horizontal="center" vertical="center"/>
    </xf>
    <xf numFmtId="0" fontId="21" fillId="5" borderId="3" xfId="0" applyFont="1" applyFill="1" applyBorder="1" applyAlignment="1">
      <alignment horizontal="left" vertical="top" wrapText="1"/>
    </xf>
    <xf numFmtId="0" fontId="23" fillId="5" borderId="3" xfId="0" applyFont="1" applyFill="1" applyBorder="1" applyAlignment="1">
      <alignment horizontal="center" vertical="center"/>
    </xf>
    <xf numFmtId="178" fontId="23" fillId="5" borderId="3" xfId="0" applyNumberFormat="1" applyFont="1" applyFill="1" applyBorder="1" applyAlignment="1">
      <alignment horizontal="center" vertical="center"/>
    </xf>
    <xf numFmtId="178" fontId="24" fillId="5" borderId="3" xfId="0" applyNumberFormat="1" applyFont="1" applyFill="1" applyBorder="1" applyAlignment="1">
      <alignment horizontal="center" vertical="center"/>
    </xf>
    <xf numFmtId="0" fontId="24" fillId="5" borderId="3" xfId="0" applyFont="1" applyFill="1" applyBorder="1" applyAlignment="1">
      <alignment horizontal="center" vertical="center"/>
    </xf>
    <xf numFmtId="0" fontId="23" fillId="5" borderId="3" xfId="0" applyFont="1" applyFill="1" applyBorder="1" applyAlignment="1">
      <alignment horizontal="left" vertical="top" wrapText="1"/>
    </xf>
    <xf numFmtId="0" fontId="25" fillId="5" borderId="3" xfId="0" applyFont="1" applyFill="1" applyBorder="1" applyAlignment="1">
      <alignment vertical="center" wrapText="1"/>
    </xf>
    <xf numFmtId="0" fontId="9" fillId="0" borderId="0" xfId="0" applyFont="1" applyAlignment="1">
      <alignment horizontal="left" vertical="center" shrinkToFit="1"/>
    </xf>
    <xf numFmtId="176" fontId="12" fillId="2" borderId="3" xfId="0" applyNumberFormat="1"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shrinkToFit="1"/>
    </xf>
    <xf numFmtId="14" fontId="12" fillId="2" borderId="3" xfId="0" applyNumberFormat="1"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wrapText="1"/>
    </xf>
    <xf numFmtId="0" fontId="10" fillId="0" borderId="0" xfId="0" applyFont="1" applyAlignment="1">
      <alignment vertical="center"/>
    </xf>
    <xf numFmtId="0" fontId="9" fillId="0" borderId="0" xfId="0" applyFont="1" applyAlignment="1">
      <alignment vertical="center" shrinkToFit="1"/>
    </xf>
    <xf numFmtId="14" fontId="9" fillId="0" borderId="7" xfId="0" applyNumberFormat="1" applyFont="1" applyBorder="1" applyAlignment="1">
      <alignment horizontal="center" vertical="center"/>
    </xf>
    <xf numFmtId="56" fontId="9" fillId="0" borderId="0" xfId="0" applyNumberFormat="1" applyFont="1" applyAlignment="1">
      <alignment vertical="center" wrapText="1"/>
    </xf>
    <xf numFmtId="0" fontId="26" fillId="0" borderId="0" xfId="0" applyFont="1" applyAlignment="1">
      <alignment vertical="center" wrapText="1"/>
    </xf>
    <xf numFmtId="14" fontId="9" fillId="0" borderId="0" xfId="0" applyNumberFormat="1" applyFont="1" applyAlignment="1">
      <alignment horizontal="center" vertical="center" wrapText="1"/>
    </xf>
    <xf numFmtId="0" fontId="15" fillId="0" borderId="0" xfId="0" applyFont="1" applyAlignment="1">
      <alignment vertical="center"/>
    </xf>
    <xf numFmtId="0" fontId="17" fillId="0" borderId="4" xfId="0" applyFont="1" applyBorder="1" applyAlignment="1">
      <alignment horizontal="center" vertical="center"/>
    </xf>
    <xf numFmtId="0" fontId="17" fillId="0" borderId="4" xfId="0" applyFont="1" applyBorder="1" applyAlignment="1">
      <alignment horizontal="center" vertical="center" wrapText="1"/>
    </xf>
    <xf numFmtId="0" fontId="19" fillId="0" borderId="4" xfId="0" applyFont="1" applyBorder="1" applyAlignment="1">
      <alignment horizontal="left" vertical="center"/>
    </xf>
    <xf numFmtId="14" fontId="20" fillId="5" borderId="3" xfId="0" applyNumberFormat="1" applyFont="1" applyFill="1" applyBorder="1" applyAlignment="1">
      <alignment horizontal="center" vertical="center"/>
    </xf>
    <xf numFmtId="14" fontId="20" fillId="0" borderId="3" xfId="0" applyNumberFormat="1" applyFont="1" applyBorder="1" applyAlignment="1">
      <alignment horizontal="center" vertical="center"/>
    </xf>
    <xf numFmtId="20" fontId="20" fillId="0" borderId="3" xfId="0" applyNumberFormat="1" applyFont="1" applyBorder="1" applyAlignment="1">
      <alignment horizontal="center" vertical="center"/>
    </xf>
    <xf numFmtId="0" fontId="20" fillId="0" borderId="3" xfId="0" applyFont="1" applyBorder="1" applyAlignment="1">
      <alignment vertical="center" wrapText="1"/>
    </xf>
    <xf numFmtId="14" fontId="22" fillId="5" borderId="3" xfId="0" applyNumberFormat="1" applyFont="1" applyFill="1" applyBorder="1" applyAlignment="1">
      <alignment horizontal="center" vertical="center"/>
    </xf>
    <xf numFmtId="0" fontId="22" fillId="5" borderId="3" xfId="0" applyFont="1" applyFill="1" applyBorder="1" applyAlignment="1">
      <alignment horizontal="left" vertical="top"/>
    </xf>
    <xf numFmtId="0" fontId="22" fillId="5" borderId="3" xfId="0" applyFont="1" applyFill="1" applyBorder="1" applyAlignment="1">
      <alignment vertical="top"/>
    </xf>
    <xf numFmtId="0" fontId="23" fillId="6" borderId="3" xfId="0" applyFont="1" applyFill="1" applyBorder="1" applyAlignment="1">
      <alignment horizontal="center" vertical="center"/>
    </xf>
    <xf numFmtId="56" fontId="24" fillId="6" borderId="3" xfId="0" applyNumberFormat="1" applyFont="1" applyFill="1" applyBorder="1" applyAlignment="1">
      <alignment horizontal="center" vertical="center"/>
    </xf>
    <xf numFmtId="20" fontId="23" fillId="6" borderId="3" xfId="0" applyNumberFormat="1" applyFont="1" applyFill="1" applyBorder="1" applyAlignment="1">
      <alignment horizontal="center" vertical="center"/>
    </xf>
    <xf numFmtId="14" fontId="23" fillId="6" borderId="3" xfId="0" applyNumberFormat="1" applyFont="1" applyFill="1" applyBorder="1" applyAlignment="1">
      <alignment horizontal="center" vertical="center"/>
    </xf>
    <xf numFmtId="0" fontId="23" fillId="6" borderId="3" xfId="0" applyFont="1" applyFill="1" applyBorder="1" applyAlignment="1">
      <alignment horizontal="left" vertical="top"/>
    </xf>
    <xf numFmtId="56" fontId="23" fillId="6" borderId="3" xfId="0" applyNumberFormat="1" applyFont="1" applyFill="1" applyBorder="1" applyAlignment="1">
      <alignment horizontal="center" vertical="center"/>
    </xf>
    <xf numFmtId="14" fontId="21" fillId="5" borderId="3" xfId="0" applyNumberFormat="1" applyFont="1" applyFill="1" applyBorder="1" applyAlignment="1">
      <alignment horizontal="center" vertical="center"/>
    </xf>
    <xf numFmtId="0" fontId="21" fillId="5" borderId="3" xfId="0" applyFont="1" applyFill="1" applyBorder="1" applyAlignment="1">
      <alignment horizontal="left" vertical="top"/>
    </xf>
    <xf numFmtId="14" fontId="6" fillId="0" borderId="0" xfId="0" applyNumberFormat="1" applyFont="1" applyAlignment="1">
      <alignment vertical="center"/>
    </xf>
    <xf numFmtId="22" fontId="6" fillId="0" borderId="0" xfId="0" applyNumberFormat="1" applyFont="1" applyAlignment="1">
      <alignment vertical="center"/>
    </xf>
    <xf numFmtId="178" fontId="6" fillId="0" borderId="0" xfId="0" applyNumberFormat="1" applyFont="1" applyAlignment="1">
      <alignment vertical="center"/>
    </xf>
    <xf numFmtId="0" fontId="0" fillId="0" borderId="0" xfId="0"/>
    <xf numFmtId="0" fontId="29" fillId="5" borderId="3" xfId="0" applyFont="1" applyFill="1" applyBorder="1" applyAlignment="1">
      <alignment horizontal="center" vertical="center"/>
    </xf>
    <xf numFmtId="0" fontId="30" fillId="5" borderId="3" xfId="0" applyFont="1" applyFill="1" applyBorder="1" applyAlignment="1">
      <alignment horizontal="center" vertical="center"/>
    </xf>
    <xf numFmtId="0" fontId="29" fillId="5" borderId="3" xfId="0" applyFont="1" applyFill="1" applyBorder="1" applyAlignment="1">
      <alignment horizontal="left" vertical="top" wrapText="1"/>
    </xf>
    <xf numFmtId="0" fontId="33" fillId="5" borderId="3" xfId="0" applyFont="1" applyFill="1" applyBorder="1" applyAlignment="1">
      <alignment horizontal="left" vertical="top" wrapText="1"/>
    </xf>
    <xf numFmtId="0" fontId="20" fillId="5" borderId="9" xfId="0" applyFont="1" applyFill="1" applyBorder="1" applyAlignment="1">
      <alignment horizontal="center" vertical="center"/>
    </xf>
    <xf numFmtId="0" fontId="21" fillId="5" borderId="9" xfId="0" applyFont="1" applyFill="1" applyBorder="1" applyAlignment="1">
      <alignment horizontal="center" vertical="center"/>
    </xf>
    <xf numFmtId="178" fontId="21" fillId="5" borderId="9" xfId="0" applyNumberFormat="1" applyFont="1" applyFill="1" applyBorder="1" applyAlignment="1">
      <alignment horizontal="center" vertical="center"/>
    </xf>
    <xf numFmtId="178" fontId="20" fillId="5" borderId="9" xfId="0" applyNumberFormat="1" applyFont="1" applyFill="1" applyBorder="1" applyAlignment="1">
      <alignment horizontal="center" vertical="center"/>
    </xf>
    <xf numFmtId="20" fontId="20" fillId="5" borderId="9" xfId="0" applyNumberFormat="1" applyFont="1" applyFill="1" applyBorder="1" applyAlignment="1">
      <alignment horizontal="center" vertical="center"/>
    </xf>
    <xf numFmtId="0" fontId="20" fillId="5" borderId="9" xfId="0" applyFont="1" applyFill="1" applyBorder="1" applyAlignment="1">
      <alignment vertical="center" wrapText="1"/>
    </xf>
    <xf numFmtId="0" fontId="0" fillId="0" borderId="8" xfId="0" applyBorder="1"/>
    <xf numFmtId="0" fontId="0" fillId="7" borderId="8" xfId="0" applyFill="1" applyBorder="1" applyAlignment="1">
      <alignment vertical="center"/>
    </xf>
    <xf numFmtId="0" fontId="20" fillId="5" borderId="8" xfId="0" applyFont="1" applyFill="1" applyBorder="1" applyAlignment="1">
      <alignment horizontal="center" vertical="center"/>
    </xf>
    <xf numFmtId="0" fontId="21" fillId="5" borderId="8" xfId="0" applyFont="1" applyFill="1" applyBorder="1" applyAlignment="1">
      <alignment horizontal="center" vertical="center"/>
    </xf>
    <xf numFmtId="0" fontId="30" fillId="5" borderId="8" xfId="0" applyFont="1" applyFill="1" applyBorder="1" applyAlignment="1">
      <alignment horizontal="center" vertical="center"/>
    </xf>
    <xf numFmtId="0" fontId="29" fillId="5" borderId="8" xfId="0" applyFont="1" applyFill="1" applyBorder="1" applyAlignment="1">
      <alignment horizontal="center" vertical="center"/>
    </xf>
    <xf numFmtId="0" fontId="29" fillId="5" borderId="9" xfId="0" applyFont="1" applyFill="1" applyBorder="1" applyAlignment="1">
      <alignment horizontal="center" vertical="center"/>
    </xf>
    <xf numFmtId="0" fontId="33" fillId="5" borderId="8" xfId="0" applyFont="1" applyFill="1" applyBorder="1" applyAlignment="1">
      <alignment horizontal="left" vertical="top" wrapText="1"/>
    </xf>
    <xf numFmtId="0" fontId="33" fillId="5" borderId="9" xfId="0" applyFont="1" applyFill="1" applyBorder="1" applyAlignment="1">
      <alignment horizontal="left" vertical="top" wrapText="1"/>
    </xf>
    <xf numFmtId="0" fontId="20" fillId="5" borderId="8" xfId="0" applyFont="1" applyFill="1" applyBorder="1" applyAlignment="1">
      <alignment vertical="center" wrapText="1"/>
    </xf>
    <xf numFmtId="0" fontId="9" fillId="0" borderId="0" xfId="0" applyFont="1" applyAlignment="1">
      <alignment vertical="center" wrapText="1" shrinkToFit="1"/>
    </xf>
    <xf numFmtId="0" fontId="9" fillId="0" borderId="8" xfId="0" applyFont="1" applyBorder="1" applyAlignment="1">
      <alignment horizontal="center" vertical="center" wrapText="1"/>
    </xf>
    <xf numFmtId="0" fontId="9" fillId="0" borderId="8" xfId="0" applyFont="1" applyBorder="1" applyAlignment="1">
      <alignment vertical="center" wrapText="1"/>
    </xf>
    <xf numFmtId="14"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35" fillId="7" borderId="8" xfId="0" applyFont="1" applyFill="1" applyBorder="1" applyAlignment="1">
      <alignment vertical="center"/>
    </xf>
    <xf numFmtId="0" fontId="9" fillId="7" borderId="8" xfId="0" applyFont="1" applyFill="1" applyBorder="1" applyAlignment="1">
      <alignment horizontal="center" vertical="center" wrapText="1"/>
    </xf>
    <xf numFmtId="0" fontId="9" fillId="7" borderId="8" xfId="0" applyFont="1" applyFill="1" applyBorder="1" applyAlignment="1">
      <alignment vertical="center" wrapText="1"/>
    </xf>
    <xf numFmtId="14" fontId="9" fillId="7" borderId="8" xfId="0" applyNumberFormat="1" applyFont="1" applyFill="1" applyBorder="1" applyAlignment="1">
      <alignment horizontal="center" vertical="center"/>
    </xf>
    <xf numFmtId="0" fontId="9" fillId="7" borderId="8" xfId="0" applyFont="1" applyFill="1" applyBorder="1" applyAlignment="1">
      <alignment horizontal="center" vertical="center"/>
    </xf>
    <xf numFmtId="0" fontId="31" fillId="8" borderId="8" xfId="0" applyFont="1" applyFill="1" applyBorder="1" applyAlignment="1">
      <alignment horizontal="left" vertical="top" wrapText="1"/>
    </xf>
    <xf numFmtId="0" fontId="9" fillId="7" borderId="8" xfId="0" applyFont="1" applyFill="1" applyBorder="1" applyAlignment="1">
      <alignment vertical="center" wrapText="1" shrinkToFit="1"/>
    </xf>
    <xf numFmtId="0" fontId="29" fillId="8" borderId="8" xfId="0" applyFont="1" applyFill="1" applyBorder="1" applyAlignment="1">
      <alignment horizontal="left" vertical="top" wrapText="1"/>
    </xf>
    <xf numFmtId="178" fontId="20" fillId="8" borderId="8" xfId="0" applyNumberFormat="1" applyFont="1" applyFill="1" applyBorder="1" applyAlignment="1">
      <alignment horizontal="center" vertical="center"/>
    </xf>
    <xf numFmtId="0" fontId="20" fillId="8" borderId="8" xfId="0" applyFont="1" applyFill="1" applyBorder="1" applyAlignment="1">
      <alignment vertical="center" wrapText="1"/>
    </xf>
    <xf numFmtId="0" fontId="33" fillId="8" borderId="8" xfId="0" applyFont="1" applyFill="1" applyBorder="1" applyAlignment="1">
      <alignment horizontal="left" vertical="top" wrapText="1"/>
    </xf>
    <xf numFmtId="22" fontId="0" fillId="0" borderId="0" xfId="0" applyNumberFormat="1"/>
    <xf numFmtId="0" fontId="38" fillId="0" borderId="0" xfId="0" applyFont="1" applyFill="1" applyBorder="1"/>
    <xf numFmtId="0" fontId="30" fillId="5" borderId="9" xfId="0" applyFont="1" applyFill="1" applyBorder="1" applyAlignment="1">
      <alignment horizontal="center" vertical="center"/>
    </xf>
    <xf numFmtId="22" fontId="0" fillId="0" borderId="8" xfId="0" applyNumberFormat="1" applyBorder="1"/>
    <xf numFmtId="0" fontId="38" fillId="0" borderId="8" xfId="0" applyFont="1" applyBorder="1"/>
    <xf numFmtId="22" fontId="6" fillId="0" borderId="8" xfId="0" applyNumberFormat="1" applyFont="1" applyBorder="1"/>
    <xf numFmtId="0" fontId="34" fillId="0" borderId="8" xfId="0" applyFont="1" applyBorder="1"/>
    <xf numFmtId="0" fontId="38" fillId="0" borderId="8" xfId="0" applyFont="1" applyFill="1" applyBorder="1"/>
    <xf numFmtId="176" fontId="12" fillId="0" borderId="8" xfId="0" applyNumberFormat="1" applyFont="1" applyBorder="1" applyAlignment="1">
      <alignment horizontal="center" vertical="center"/>
    </xf>
    <xf numFmtId="0" fontId="9" fillId="0" borderId="8" xfId="0" applyFont="1" applyBorder="1" applyAlignment="1">
      <alignment horizontal="left" vertical="center"/>
    </xf>
    <xf numFmtId="0" fontId="13" fillId="0" borderId="8" xfId="0" applyFont="1" applyBorder="1" applyAlignment="1">
      <alignment horizontal="center" vertical="center"/>
    </xf>
    <xf numFmtId="22" fontId="9" fillId="0" borderId="8" xfId="0" applyNumberFormat="1" applyFont="1" applyBorder="1" applyAlignment="1">
      <alignment vertical="center" wrapText="1"/>
    </xf>
    <xf numFmtId="0" fontId="38" fillId="0" borderId="8" xfId="0" applyFont="1" applyBorder="1" applyAlignment="1">
      <alignment horizontal="center"/>
    </xf>
  </cellXfs>
  <cellStyles count="1">
    <cellStyle name="標準" xfId="0" builtinId="0"/>
  </cellStyles>
  <dxfs count="32">
    <dxf>
      <fill>
        <patternFill patternType="solid">
          <fgColor rgb="FFCCCCCC"/>
          <bgColor rgb="FFCCCCCC"/>
        </patternFill>
      </fill>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
      <fill>
        <patternFill patternType="solid">
          <fgColor rgb="FFFFE598"/>
          <bgColor rgb="FFFFE598"/>
        </patternFill>
      </fill>
    </dxf>
    <dxf>
      <border>
        <left style="thin">
          <color rgb="FF000000"/>
        </left>
        <right style="thin">
          <color rgb="FF000000"/>
        </right>
        <top style="thin">
          <color rgb="FF000000"/>
        </top>
        <bottom style="thin">
          <color rgb="FF000000"/>
        </bottom>
      </border>
    </dxf>
    <dxf>
      <fill>
        <patternFill patternType="solid">
          <fgColor rgb="FFFFE598"/>
          <bgColor rgb="FFFFE59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21technology.co.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hat.google.com/room/AAQADNtQTcI/yF73govjoyY/yF73govjoyY?cls=10"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cs.google.com/spreadsheets/d/1hdokrHlTowNvE1OUsHEKj0O6p0VMtt4R1OhtIilolZc/edit?gid=1292048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A1000"/>
  <sheetViews>
    <sheetView workbookViewId="0"/>
  </sheetViews>
  <sheetFormatPr defaultColWidth="14.42578125" defaultRowHeight="15" customHeight="1"/>
  <cols>
    <col min="1" max="1" width="3" style="119" customWidth="1"/>
    <col min="2" max="2" width="7.28515625" style="119" customWidth="1"/>
    <col min="3" max="3" width="11.42578125" style="119" customWidth="1"/>
    <col min="4" max="4" width="22" style="119" customWidth="1"/>
    <col min="5" max="5" width="43.5703125" style="119" customWidth="1"/>
    <col min="6" max="6" width="86.7109375" style="119" customWidth="1"/>
    <col min="7" max="7" width="59.5703125" style="119" customWidth="1"/>
    <col min="8" max="8" width="21.85546875" style="119" customWidth="1"/>
    <col min="9" max="9" width="20" style="119" customWidth="1"/>
    <col min="10" max="10" width="66.7109375" style="119" customWidth="1"/>
    <col min="11" max="11" width="73.28515625" style="119" customWidth="1"/>
    <col min="12" max="12" width="255.7109375" style="119" bestFit="1" customWidth="1"/>
    <col min="13" max="14" width="16.7109375" style="119" customWidth="1"/>
    <col min="15" max="27" width="8.7109375" style="119" customWidth="1"/>
  </cols>
  <sheetData>
    <row r="1" spans="1:14" ht="15.75" customHeight="1">
      <c r="A1" s="1"/>
      <c r="B1" s="2" t="s">
        <v>1240</v>
      </c>
      <c r="C1" s="3"/>
      <c r="D1" s="4"/>
      <c r="E1" s="5"/>
      <c r="F1" s="6"/>
      <c r="G1" s="7"/>
      <c r="H1" s="8"/>
      <c r="I1" s="4"/>
      <c r="J1" s="5"/>
      <c r="K1" s="5"/>
      <c r="L1" s="5"/>
      <c r="M1" s="9"/>
      <c r="N1" s="9"/>
    </row>
    <row r="2" spans="1:14" ht="15.75" hidden="1" customHeight="1">
      <c r="A2" s="1"/>
      <c r="B2" s="10"/>
      <c r="C2" s="8"/>
      <c r="D2" s="4"/>
      <c r="E2" s="5"/>
      <c r="F2" s="6"/>
      <c r="G2" s="7"/>
      <c r="H2" s="8"/>
      <c r="I2" s="4"/>
      <c r="J2" s="5"/>
      <c r="K2" s="5"/>
      <c r="L2" s="5"/>
      <c r="M2" s="9"/>
      <c r="N2" s="9"/>
    </row>
    <row r="3" spans="1:14" ht="33.75" customHeight="1">
      <c r="A3" s="11" t="s">
        <v>1241</v>
      </c>
      <c r="B3" s="12" t="s">
        <v>1242</v>
      </c>
      <c r="C3" s="13" t="s">
        <v>1243</v>
      </c>
      <c r="D3" s="14" t="s">
        <v>14</v>
      </c>
      <c r="E3" s="15" t="s">
        <v>1244</v>
      </c>
      <c r="F3" s="15" t="s">
        <v>1245</v>
      </c>
      <c r="G3" s="15" t="s">
        <v>1246</v>
      </c>
      <c r="H3" s="13" t="s">
        <v>1247</v>
      </c>
      <c r="I3" s="14" t="s">
        <v>1248</v>
      </c>
      <c r="J3" s="15" t="s">
        <v>1249</v>
      </c>
      <c r="K3" s="15" t="s">
        <v>1250</v>
      </c>
      <c r="L3" s="15" t="s">
        <v>1251</v>
      </c>
      <c r="M3" s="16" t="s">
        <v>1252</v>
      </c>
      <c r="N3" s="17" t="s">
        <v>1253</v>
      </c>
    </row>
    <row r="4" spans="1:14" ht="79.5" customHeight="1">
      <c r="A4" s="1"/>
      <c r="B4" s="18">
        <f t="shared" ref="B4:B35" si="0">ROW()-3</f>
        <v>1</v>
      </c>
      <c r="C4" s="8">
        <v>45506</v>
      </c>
      <c r="D4" s="5" t="s">
        <v>1254</v>
      </c>
      <c r="E4" s="4" t="s">
        <v>1255</v>
      </c>
      <c r="F4" s="6" t="s">
        <v>1256</v>
      </c>
      <c r="G4" s="6" t="s">
        <v>1257</v>
      </c>
      <c r="H4" s="8">
        <v>45520</v>
      </c>
      <c r="I4" s="4" t="s">
        <v>7</v>
      </c>
      <c r="J4" s="6"/>
      <c r="K4" s="6" t="s">
        <v>1258</v>
      </c>
      <c r="L4" s="6"/>
      <c r="M4" s="19"/>
      <c r="N4" s="20"/>
    </row>
    <row r="5" spans="1:14" ht="100.5" customHeight="1">
      <c r="A5" s="1"/>
      <c r="B5" s="18">
        <f t="shared" si="0"/>
        <v>2</v>
      </c>
      <c r="C5" s="8">
        <v>45527</v>
      </c>
      <c r="D5" s="5" t="s">
        <v>1259</v>
      </c>
      <c r="E5" s="4" t="s">
        <v>1260</v>
      </c>
      <c r="F5" s="6" t="s">
        <v>1261</v>
      </c>
      <c r="G5" s="6" t="s">
        <v>1262</v>
      </c>
      <c r="H5" s="8">
        <v>45534</v>
      </c>
      <c r="I5" s="4" t="s">
        <v>7</v>
      </c>
      <c r="J5" s="6"/>
      <c r="K5" s="6" t="s">
        <v>1263</v>
      </c>
      <c r="L5" s="6"/>
      <c r="M5" s="19"/>
      <c r="N5" s="20"/>
    </row>
    <row r="6" spans="1:14" ht="107.25" customHeight="1">
      <c r="A6" s="1"/>
      <c r="B6" s="18">
        <f t="shared" si="0"/>
        <v>3</v>
      </c>
      <c r="C6" s="8">
        <v>45527</v>
      </c>
      <c r="D6" s="5" t="s">
        <v>1259</v>
      </c>
      <c r="E6" s="4" t="s">
        <v>1264</v>
      </c>
      <c r="F6" s="6" t="s">
        <v>1265</v>
      </c>
      <c r="G6" s="6" t="s">
        <v>1266</v>
      </c>
      <c r="H6" s="8">
        <v>45568</v>
      </c>
      <c r="I6" s="4" t="s">
        <v>7</v>
      </c>
      <c r="J6" s="6"/>
      <c r="K6" s="6" t="s">
        <v>1267</v>
      </c>
      <c r="L6" s="6"/>
      <c r="M6" s="19"/>
      <c r="N6" s="20"/>
    </row>
    <row r="7" spans="1:14" ht="130.5" customHeight="1">
      <c r="A7" s="1"/>
      <c r="B7" s="18">
        <f t="shared" si="0"/>
        <v>4</v>
      </c>
      <c r="C7" s="8">
        <v>45540</v>
      </c>
      <c r="D7" s="5" t="s">
        <v>1254</v>
      </c>
      <c r="E7" s="4" t="s">
        <v>1268</v>
      </c>
      <c r="F7" s="6" t="s">
        <v>1269</v>
      </c>
      <c r="G7" s="6" t="s">
        <v>1270</v>
      </c>
      <c r="H7" s="8"/>
      <c r="I7" s="4" t="s">
        <v>7</v>
      </c>
      <c r="J7" s="6"/>
      <c r="K7" s="6" t="s">
        <v>1271</v>
      </c>
      <c r="L7" s="6"/>
      <c r="M7" s="19"/>
      <c r="N7" s="20"/>
    </row>
    <row r="8" spans="1:14" ht="91.5" customHeight="1">
      <c r="A8" s="1"/>
      <c r="B8" s="18">
        <f t="shared" si="0"/>
        <v>5</v>
      </c>
      <c r="C8" s="8">
        <v>45547</v>
      </c>
      <c r="D8" s="4" t="s">
        <v>1272</v>
      </c>
      <c r="E8" s="4" t="s">
        <v>1273</v>
      </c>
      <c r="F8" s="6" t="s">
        <v>1274</v>
      </c>
      <c r="G8" s="6" t="s">
        <v>1275</v>
      </c>
      <c r="H8" s="8"/>
      <c r="I8" s="4" t="s">
        <v>7</v>
      </c>
      <c r="J8" s="6"/>
      <c r="K8" s="6" t="s">
        <v>1276</v>
      </c>
      <c r="L8" s="6"/>
      <c r="M8" s="19"/>
      <c r="N8" s="20"/>
    </row>
    <row r="9" spans="1:14" ht="96" customHeight="1">
      <c r="A9" s="1"/>
      <c r="B9" s="18">
        <f t="shared" si="0"/>
        <v>6</v>
      </c>
      <c r="C9" s="8">
        <v>45555</v>
      </c>
      <c r="D9" s="5" t="s">
        <v>1254</v>
      </c>
      <c r="E9" s="4" t="s">
        <v>1277</v>
      </c>
      <c r="F9" s="6" t="s">
        <v>1278</v>
      </c>
      <c r="G9" s="6" t="s">
        <v>1279</v>
      </c>
      <c r="H9" s="8">
        <v>45555</v>
      </c>
      <c r="I9" s="4" t="s">
        <v>7</v>
      </c>
      <c r="J9" s="6"/>
      <c r="K9" s="6" t="s">
        <v>1280</v>
      </c>
      <c r="L9" s="6"/>
      <c r="M9" s="19"/>
      <c r="N9" s="20"/>
    </row>
    <row r="10" spans="1:14" ht="159.75" customHeight="1">
      <c r="A10" s="1"/>
      <c r="B10" s="18">
        <f t="shared" si="0"/>
        <v>7</v>
      </c>
      <c r="C10" s="8">
        <v>45567</v>
      </c>
      <c r="D10" s="5" t="s">
        <v>1259</v>
      </c>
      <c r="E10" s="5" t="s">
        <v>1281</v>
      </c>
      <c r="F10" s="6" t="s">
        <v>1282</v>
      </c>
      <c r="G10" s="6" t="s">
        <v>1283</v>
      </c>
      <c r="H10" s="8" t="s">
        <v>1284</v>
      </c>
      <c r="I10" s="4" t="s">
        <v>7</v>
      </c>
      <c r="J10" s="6"/>
      <c r="K10" s="6" t="s">
        <v>1285</v>
      </c>
      <c r="L10" s="6"/>
      <c r="M10" s="19"/>
      <c r="N10" s="20"/>
    </row>
    <row r="11" spans="1:14" ht="98.25" customHeight="1">
      <c r="A11" s="1"/>
      <c r="B11" s="18">
        <f t="shared" si="0"/>
        <v>8</v>
      </c>
      <c r="C11" s="8">
        <v>45573</v>
      </c>
      <c r="D11" s="4" t="s">
        <v>1286</v>
      </c>
      <c r="E11" s="4" t="s">
        <v>1287</v>
      </c>
      <c r="F11" s="6" t="s">
        <v>1288</v>
      </c>
      <c r="G11" s="6" t="s">
        <v>1289</v>
      </c>
      <c r="H11" s="8">
        <v>45573</v>
      </c>
      <c r="I11" s="4" t="s">
        <v>7</v>
      </c>
      <c r="J11" s="6"/>
      <c r="K11" s="6" t="s">
        <v>1290</v>
      </c>
      <c r="L11" s="6"/>
      <c r="M11" s="19"/>
      <c r="N11" s="20"/>
    </row>
    <row r="12" spans="1:14" ht="157.5" customHeight="1">
      <c r="A12" s="1"/>
      <c r="B12" s="18">
        <f t="shared" si="0"/>
        <v>9</v>
      </c>
      <c r="C12" s="8">
        <v>45594</v>
      </c>
      <c r="D12" s="5" t="s">
        <v>1291</v>
      </c>
      <c r="E12" s="5" t="s">
        <v>1292</v>
      </c>
      <c r="F12" s="6" t="s">
        <v>1293</v>
      </c>
      <c r="G12" s="6" t="s">
        <v>1294</v>
      </c>
      <c r="H12" s="8">
        <v>45597</v>
      </c>
      <c r="I12" s="21" t="s">
        <v>7</v>
      </c>
      <c r="J12" s="6"/>
      <c r="K12" s="6" t="s">
        <v>1295</v>
      </c>
      <c r="L12" s="6"/>
      <c r="M12" s="19"/>
      <c r="N12" s="20"/>
    </row>
    <row r="13" spans="1:14" ht="190.5" customHeight="1">
      <c r="A13" s="1"/>
      <c r="B13" s="18">
        <f t="shared" si="0"/>
        <v>10</v>
      </c>
      <c r="C13" s="8">
        <v>45597</v>
      </c>
      <c r="D13" s="5" t="s">
        <v>1296</v>
      </c>
      <c r="E13" s="5" t="s">
        <v>1297</v>
      </c>
      <c r="F13" s="6" t="s">
        <v>1298</v>
      </c>
      <c r="G13" s="6" t="s">
        <v>1299</v>
      </c>
      <c r="H13" s="8" t="s">
        <v>958</v>
      </c>
      <c r="I13" s="4" t="s">
        <v>7</v>
      </c>
      <c r="J13" s="6"/>
      <c r="K13" s="6" t="s">
        <v>1300</v>
      </c>
      <c r="L13" s="6"/>
      <c r="M13" s="19"/>
      <c r="N13" s="20"/>
    </row>
    <row r="14" spans="1:14" ht="111" customHeight="1">
      <c r="A14" s="1"/>
      <c r="B14" s="18">
        <f t="shared" si="0"/>
        <v>11</v>
      </c>
      <c r="C14" s="8">
        <v>45618</v>
      </c>
      <c r="D14" s="5" t="s">
        <v>1296</v>
      </c>
      <c r="E14" s="5" t="s">
        <v>1301</v>
      </c>
      <c r="F14" s="6" t="s">
        <v>1302</v>
      </c>
      <c r="G14" s="6" t="s">
        <v>1303</v>
      </c>
      <c r="H14" s="8" t="s">
        <v>958</v>
      </c>
      <c r="I14" s="4" t="s">
        <v>7</v>
      </c>
      <c r="J14" s="6"/>
      <c r="K14" s="6" t="s">
        <v>1304</v>
      </c>
      <c r="L14" s="6"/>
      <c r="M14" s="19"/>
      <c r="N14" s="20"/>
    </row>
    <row r="15" spans="1:14" ht="159.75" customHeight="1">
      <c r="A15" s="1"/>
      <c r="B15" s="18">
        <f t="shared" si="0"/>
        <v>12</v>
      </c>
      <c r="C15" s="8">
        <v>45617</v>
      </c>
      <c r="D15" s="5" t="s">
        <v>159</v>
      </c>
      <c r="E15" s="5" t="s">
        <v>1305</v>
      </c>
      <c r="F15" s="6" t="s">
        <v>1306</v>
      </c>
      <c r="G15" s="6" t="s">
        <v>1307</v>
      </c>
      <c r="H15" s="8"/>
      <c r="I15" s="4" t="s">
        <v>7</v>
      </c>
      <c r="J15" s="6"/>
      <c r="K15" s="6" t="s">
        <v>1308</v>
      </c>
      <c r="L15" s="6"/>
      <c r="M15" s="19"/>
      <c r="N15" s="20"/>
    </row>
    <row r="16" spans="1:14" ht="137.25" customHeight="1">
      <c r="A16" s="1"/>
      <c r="B16" s="18">
        <f t="shared" si="0"/>
        <v>13</v>
      </c>
      <c r="C16" s="8">
        <v>45617</v>
      </c>
      <c r="D16" s="5" t="s">
        <v>120</v>
      </c>
      <c r="E16" s="5" t="s">
        <v>1309</v>
      </c>
      <c r="F16" s="6" t="s">
        <v>1310</v>
      </c>
      <c r="G16" s="6" t="s">
        <v>1311</v>
      </c>
      <c r="H16" s="8">
        <v>45628</v>
      </c>
      <c r="I16" s="4" t="s">
        <v>7</v>
      </c>
      <c r="J16" s="6"/>
      <c r="K16" s="6" t="s">
        <v>1312</v>
      </c>
      <c r="L16" s="6"/>
      <c r="M16" s="19"/>
      <c r="N16" s="20"/>
    </row>
    <row r="17" spans="1:14" ht="126.75" customHeight="1">
      <c r="A17" s="1"/>
      <c r="B17" s="18">
        <f t="shared" si="0"/>
        <v>14</v>
      </c>
      <c r="C17" s="8">
        <v>45621</v>
      </c>
      <c r="D17" s="5" t="s">
        <v>1313</v>
      </c>
      <c r="E17" s="5" t="s">
        <v>1314</v>
      </c>
      <c r="F17" s="6" t="s">
        <v>1315</v>
      </c>
      <c r="G17" s="6" t="s">
        <v>1316</v>
      </c>
      <c r="H17" s="8">
        <v>45629</v>
      </c>
      <c r="I17" s="4" t="s">
        <v>7</v>
      </c>
      <c r="J17" s="6"/>
      <c r="K17" s="6" t="s">
        <v>1317</v>
      </c>
      <c r="L17" s="6"/>
      <c r="M17" s="19"/>
      <c r="N17" s="20"/>
    </row>
    <row r="18" spans="1:14" ht="126.75" customHeight="1">
      <c r="A18" s="1"/>
      <c r="B18" s="18">
        <f t="shared" si="0"/>
        <v>15</v>
      </c>
      <c r="C18" s="8">
        <v>45625</v>
      </c>
      <c r="D18" s="5" t="s">
        <v>1259</v>
      </c>
      <c r="E18" s="5" t="s">
        <v>1318</v>
      </c>
      <c r="F18" s="6" t="s">
        <v>1319</v>
      </c>
      <c r="G18" s="6" t="s">
        <v>1320</v>
      </c>
      <c r="H18" s="8">
        <v>45630</v>
      </c>
      <c r="I18" s="4" t="s">
        <v>7</v>
      </c>
      <c r="J18" s="6"/>
      <c r="K18" s="6" t="s">
        <v>1321</v>
      </c>
      <c r="L18" s="6"/>
      <c r="M18" s="19"/>
      <c r="N18" s="20"/>
    </row>
    <row r="19" spans="1:14" ht="123" customHeight="1">
      <c r="A19" s="1"/>
      <c r="B19" s="18">
        <f t="shared" si="0"/>
        <v>16</v>
      </c>
      <c r="C19" s="8">
        <v>45625</v>
      </c>
      <c r="D19" s="5" t="s">
        <v>1259</v>
      </c>
      <c r="E19" s="5" t="s">
        <v>1322</v>
      </c>
      <c r="F19" s="6" t="s">
        <v>1323</v>
      </c>
      <c r="G19" s="6" t="s">
        <v>1324</v>
      </c>
      <c r="H19" s="8" t="s">
        <v>958</v>
      </c>
      <c r="I19" s="4" t="s">
        <v>7</v>
      </c>
      <c r="J19" s="22"/>
      <c r="K19" s="22" t="s">
        <v>1325</v>
      </c>
      <c r="L19" s="22"/>
      <c r="M19" s="19"/>
      <c r="N19" s="20"/>
    </row>
    <row r="20" spans="1:14" ht="89.25" customHeight="1">
      <c r="A20" s="1"/>
      <c r="B20" s="10">
        <f t="shared" si="0"/>
        <v>17</v>
      </c>
      <c r="C20" s="8">
        <v>45627</v>
      </c>
      <c r="D20" s="4" t="s">
        <v>1326</v>
      </c>
      <c r="E20" s="5" t="s">
        <v>1327</v>
      </c>
      <c r="F20" s="6" t="s">
        <v>1328</v>
      </c>
      <c r="G20" s="6" t="s">
        <v>1329</v>
      </c>
      <c r="H20" s="8" t="s">
        <v>958</v>
      </c>
      <c r="I20" s="4" t="s">
        <v>7</v>
      </c>
      <c r="J20" s="6"/>
      <c r="K20" s="6" t="s">
        <v>1330</v>
      </c>
      <c r="L20" s="6"/>
      <c r="M20" s="19"/>
      <c r="N20" s="20"/>
    </row>
    <row r="21" spans="1:14" ht="113.25" customHeight="1">
      <c r="A21" s="1"/>
      <c r="B21" s="18">
        <f t="shared" si="0"/>
        <v>18</v>
      </c>
      <c r="C21" s="8">
        <v>45631</v>
      </c>
      <c r="D21" s="5" t="s">
        <v>1331</v>
      </c>
      <c r="E21" s="5" t="s">
        <v>1332</v>
      </c>
      <c r="F21" s="6" t="s">
        <v>1333</v>
      </c>
      <c r="G21" s="6" t="s">
        <v>1334</v>
      </c>
      <c r="H21" s="8" t="s">
        <v>958</v>
      </c>
      <c r="I21" s="4" t="s">
        <v>7</v>
      </c>
      <c r="J21" s="6"/>
      <c r="K21" s="6" t="s">
        <v>1335</v>
      </c>
      <c r="L21" s="6"/>
      <c r="M21" s="19"/>
      <c r="N21" s="20"/>
    </row>
    <row r="22" spans="1:14" ht="76.5" customHeight="1">
      <c r="A22" s="1"/>
      <c r="B22" s="18">
        <f t="shared" si="0"/>
        <v>19</v>
      </c>
      <c r="C22" s="8">
        <v>45638</v>
      </c>
      <c r="D22" s="5" t="s">
        <v>1326</v>
      </c>
      <c r="E22" s="5" t="s">
        <v>1336</v>
      </c>
      <c r="F22" s="6" t="s">
        <v>1337</v>
      </c>
      <c r="G22" s="6" t="s">
        <v>1338</v>
      </c>
      <c r="H22" s="8" t="s">
        <v>958</v>
      </c>
      <c r="I22" s="4" t="s">
        <v>7</v>
      </c>
      <c r="J22" s="6"/>
      <c r="K22" s="6" t="s">
        <v>1339</v>
      </c>
      <c r="L22" s="6"/>
      <c r="M22" s="19"/>
      <c r="N22" s="20"/>
    </row>
    <row r="23" spans="1:14" ht="100.5" customHeight="1">
      <c r="A23" s="1"/>
      <c r="B23" s="18">
        <f t="shared" si="0"/>
        <v>20</v>
      </c>
      <c r="C23" s="8">
        <v>45638</v>
      </c>
      <c r="D23" s="5" t="s">
        <v>1340</v>
      </c>
      <c r="E23" s="5" t="s">
        <v>1341</v>
      </c>
      <c r="F23" s="6" t="s">
        <v>1342</v>
      </c>
      <c r="G23" s="6" t="s">
        <v>1343</v>
      </c>
      <c r="H23" s="8" t="s">
        <v>958</v>
      </c>
      <c r="I23" s="4" t="s">
        <v>7</v>
      </c>
      <c r="J23" s="6"/>
      <c r="K23" s="6" t="s">
        <v>1344</v>
      </c>
      <c r="L23" s="6"/>
      <c r="M23" s="19"/>
      <c r="N23" s="20"/>
    </row>
    <row r="24" spans="1:14" ht="65.25" customHeight="1">
      <c r="A24" s="1"/>
      <c r="B24" s="18">
        <f t="shared" si="0"/>
        <v>21</v>
      </c>
      <c r="C24" s="8">
        <v>45639</v>
      </c>
      <c r="D24" s="5" t="s">
        <v>1291</v>
      </c>
      <c r="E24" s="5" t="s">
        <v>1345</v>
      </c>
      <c r="F24" s="6" t="s">
        <v>1346</v>
      </c>
      <c r="G24" s="6" t="s">
        <v>1347</v>
      </c>
      <c r="H24" s="8" t="s">
        <v>958</v>
      </c>
      <c r="I24" s="4" t="s">
        <v>7</v>
      </c>
      <c r="J24" s="6"/>
      <c r="K24" s="6" t="s">
        <v>1348</v>
      </c>
      <c r="L24" s="6"/>
      <c r="M24" s="19"/>
      <c r="N24" s="20"/>
    </row>
    <row r="25" spans="1:14" ht="72" customHeight="1">
      <c r="A25" s="1"/>
      <c r="B25" s="18">
        <f t="shared" si="0"/>
        <v>22</v>
      </c>
      <c r="C25" s="8">
        <v>45645</v>
      </c>
      <c r="D25" s="5" t="s">
        <v>1326</v>
      </c>
      <c r="E25" s="5" t="s">
        <v>1349</v>
      </c>
      <c r="F25" s="6" t="s">
        <v>1350</v>
      </c>
      <c r="G25" s="6" t="s">
        <v>1351</v>
      </c>
      <c r="H25" s="8" t="s">
        <v>958</v>
      </c>
      <c r="I25" s="4" t="s">
        <v>7</v>
      </c>
      <c r="J25" s="6"/>
      <c r="K25" s="6" t="s">
        <v>1352</v>
      </c>
      <c r="L25" s="6"/>
      <c r="M25" s="19"/>
      <c r="N25" s="20"/>
    </row>
    <row r="26" spans="1:14" ht="110.25" customHeight="1">
      <c r="A26" s="1"/>
      <c r="B26" s="18">
        <f t="shared" si="0"/>
        <v>23</v>
      </c>
      <c r="C26" s="8">
        <v>45646</v>
      </c>
      <c r="D26" s="5" t="s">
        <v>1353</v>
      </c>
      <c r="E26" s="5" t="s">
        <v>1354</v>
      </c>
      <c r="F26" s="6" t="s">
        <v>1355</v>
      </c>
      <c r="G26" s="6" t="s">
        <v>1356</v>
      </c>
      <c r="H26" s="8" t="s">
        <v>1357</v>
      </c>
      <c r="I26" s="4" t="s">
        <v>7</v>
      </c>
      <c r="J26" s="6"/>
      <c r="K26" s="6" t="s">
        <v>1358</v>
      </c>
      <c r="L26" s="6"/>
      <c r="M26" s="19"/>
      <c r="N26" s="20"/>
    </row>
    <row r="27" spans="1:14" ht="15.75" customHeight="1">
      <c r="A27" s="1"/>
      <c r="B27" s="18">
        <f t="shared" si="0"/>
        <v>24</v>
      </c>
      <c r="C27" s="8">
        <v>45652</v>
      </c>
      <c r="D27" s="4" t="s">
        <v>26</v>
      </c>
      <c r="E27" s="5" t="s">
        <v>1359</v>
      </c>
      <c r="F27" s="6" t="s">
        <v>1360</v>
      </c>
      <c r="G27" s="6" t="s">
        <v>1361</v>
      </c>
      <c r="H27" s="8">
        <v>45756</v>
      </c>
      <c r="I27" s="4" t="s">
        <v>7</v>
      </c>
      <c r="J27" s="6"/>
      <c r="K27" s="6" t="s">
        <v>1362</v>
      </c>
      <c r="L27" s="6"/>
      <c r="M27" s="19"/>
      <c r="N27" s="20"/>
    </row>
    <row r="28" spans="1:14" ht="15.75" customHeight="1">
      <c r="A28" s="1"/>
      <c r="B28" s="18">
        <f t="shared" si="0"/>
        <v>25</v>
      </c>
      <c r="C28" s="8">
        <v>45663</v>
      </c>
      <c r="D28" s="4" t="s">
        <v>26</v>
      </c>
      <c r="E28" s="5" t="s">
        <v>1363</v>
      </c>
      <c r="F28" s="6" t="s">
        <v>1364</v>
      </c>
      <c r="G28" s="6" t="s">
        <v>1365</v>
      </c>
      <c r="H28" s="8" t="s">
        <v>1357</v>
      </c>
      <c r="I28" s="4" t="s">
        <v>7</v>
      </c>
      <c r="J28" s="6"/>
      <c r="K28" s="6" t="s">
        <v>1366</v>
      </c>
      <c r="L28" s="6"/>
      <c r="M28" s="19"/>
      <c r="N28" s="20"/>
    </row>
    <row r="29" spans="1:14" ht="81" customHeight="1">
      <c r="A29" s="1"/>
      <c r="B29" s="18">
        <f t="shared" si="0"/>
        <v>26</v>
      </c>
      <c r="C29" s="8">
        <v>45672</v>
      </c>
      <c r="D29" s="4" t="s">
        <v>916</v>
      </c>
      <c r="E29" s="5" t="s">
        <v>1367</v>
      </c>
      <c r="F29" s="6" t="s">
        <v>1368</v>
      </c>
      <c r="G29" s="6" t="s">
        <v>1369</v>
      </c>
      <c r="H29" s="8">
        <v>45691</v>
      </c>
      <c r="I29" s="4" t="s">
        <v>7</v>
      </c>
      <c r="J29" s="6"/>
      <c r="K29" s="6" t="s">
        <v>1370</v>
      </c>
      <c r="L29" s="6"/>
      <c r="M29" s="19"/>
      <c r="N29" s="20"/>
    </row>
    <row r="30" spans="1:14" ht="81" customHeight="1">
      <c r="A30" s="1"/>
      <c r="B30" s="18">
        <f t="shared" si="0"/>
        <v>27</v>
      </c>
      <c r="C30" s="8">
        <v>45677</v>
      </c>
      <c r="D30" s="4" t="s">
        <v>916</v>
      </c>
      <c r="E30" s="5" t="s">
        <v>1371</v>
      </c>
      <c r="F30" s="6" t="s">
        <v>1372</v>
      </c>
      <c r="G30" s="6" t="s">
        <v>1373</v>
      </c>
      <c r="H30" s="8">
        <v>45680</v>
      </c>
      <c r="I30" s="4" t="s">
        <v>7</v>
      </c>
      <c r="J30" s="6"/>
      <c r="K30" s="6" t="s">
        <v>1374</v>
      </c>
      <c r="L30" s="6"/>
      <c r="M30" s="19"/>
      <c r="N30" s="20"/>
    </row>
    <row r="31" spans="1:14" ht="15.75" customHeight="1">
      <c r="A31" s="1"/>
      <c r="B31" s="18">
        <f t="shared" si="0"/>
        <v>28</v>
      </c>
      <c r="C31" s="8">
        <v>45691</v>
      </c>
      <c r="D31" s="4" t="s">
        <v>1326</v>
      </c>
      <c r="E31" s="5" t="s">
        <v>1375</v>
      </c>
      <c r="F31" s="6" t="s">
        <v>1376</v>
      </c>
      <c r="G31" s="6" t="s">
        <v>1377</v>
      </c>
      <c r="H31" s="8" t="s">
        <v>1378</v>
      </c>
      <c r="I31" s="4" t="s">
        <v>7</v>
      </c>
      <c r="J31" s="23"/>
      <c r="K31" s="23" t="s">
        <v>1379</v>
      </c>
      <c r="L31" s="23"/>
      <c r="M31" s="19"/>
      <c r="N31" s="20"/>
    </row>
    <row r="32" spans="1:14" ht="15.75" customHeight="1">
      <c r="A32" s="1"/>
      <c r="B32" s="18">
        <f t="shared" si="0"/>
        <v>29</v>
      </c>
      <c r="C32" s="8">
        <v>45693</v>
      </c>
      <c r="D32" s="5" t="s">
        <v>1326</v>
      </c>
      <c r="E32" s="5" t="s">
        <v>1380</v>
      </c>
      <c r="F32" s="6" t="s">
        <v>1381</v>
      </c>
      <c r="G32" s="6" t="s">
        <v>1382</v>
      </c>
      <c r="H32" s="8" t="s">
        <v>1378</v>
      </c>
      <c r="I32" s="4" t="s">
        <v>7</v>
      </c>
      <c r="J32" s="6"/>
      <c r="K32" s="6" t="s">
        <v>1374</v>
      </c>
      <c r="L32" s="6"/>
      <c r="M32" s="19"/>
      <c r="N32" s="20"/>
    </row>
    <row r="33" spans="1:14" ht="66" customHeight="1">
      <c r="A33" s="1"/>
      <c r="B33" s="18">
        <f t="shared" si="0"/>
        <v>30</v>
      </c>
      <c r="C33" s="8">
        <v>45693</v>
      </c>
      <c r="D33" s="5" t="s">
        <v>1353</v>
      </c>
      <c r="E33" s="5" t="s">
        <v>1383</v>
      </c>
      <c r="F33" s="6" t="s">
        <v>1384</v>
      </c>
      <c r="G33" s="6" t="s">
        <v>1385</v>
      </c>
      <c r="H33" s="8">
        <v>45696</v>
      </c>
      <c r="I33" s="4" t="s">
        <v>7</v>
      </c>
      <c r="J33" s="6"/>
      <c r="K33" s="6" t="s">
        <v>1386</v>
      </c>
      <c r="L33" s="6"/>
      <c r="M33" s="19"/>
      <c r="N33" s="20"/>
    </row>
    <row r="34" spans="1:14" ht="46.5" customHeight="1">
      <c r="A34" s="1"/>
      <c r="B34" s="18">
        <f t="shared" si="0"/>
        <v>31</v>
      </c>
      <c r="C34" s="8">
        <v>45694</v>
      </c>
      <c r="D34" s="5" t="s">
        <v>1313</v>
      </c>
      <c r="E34" s="5" t="s">
        <v>1387</v>
      </c>
      <c r="F34" s="6" t="s">
        <v>1388</v>
      </c>
      <c r="G34" s="6" t="s">
        <v>1389</v>
      </c>
      <c r="H34" s="8" t="s">
        <v>1378</v>
      </c>
      <c r="I34" s="4" t="s">
        <v>7</v>
      </c>
      <c r="J34" s="6"/>
      <c r="K34" s="6" t="s">
        <v>1374</v>
      </c>
      <c r="L34" s="6"/>
      <c r="M34" s="19"/>
      <c r="N34" s="20"/>
    </row>
    <row r="35" spans="1:14" ht="42.75" customHeight="1">
      <c r="A35" s="1"/>
      <c r="B35" s="18">
        <f t="shared" si="0"/>
        <v>32</v>
      </c>
      <c r="C35" s="8">
        <v>45693</v>
      </c>
      <c r="D35" s="4" t="s">
        <v>916</v>
      </c>
      <c r="E35" s="5" t="s">
        <v>1390</v>
      </c>
      <c r="F35" s="6" t="s">
        <v>1391</v>
      </c>
      <c r="G35" s="6" t="s">
        <v>1392</v>
      </c>
      <c r="H35" s="8"/>
      <c r="I35" s="4" t="s">
        <v>7</v>
      </c>
      <c r="J35" s="6"/>
      <c r="K35" s="6" t="s">
        <v>1393</v>
      </c>
      <c r="L35" s="6"/>
      <c r="M35" s="19"/>
      <c r="N35" s="20"/>
    </row>
    <row r="36" spans="1:14" ht="15.75" customHeight="1">
      <c r="A36" s="1"/>
      <c r="B36" s="18">
        <f t="shared" ref="B36:B67" si="1">ROW()-3</f>
        <v>33</v>
      </c>
      <c r="C36" s="8">
        <v>45700</v>
      </c>
      <c r="D36" s="4" t="s">
        <v>21</v>
      </c>
      <c r="E36" s="5" t="s">
        <v>1394</v>
      </c>
      <c r="F36" s="6" t="s">
        <v>1395</v>
      </c>
      <c r="G36" s="6" t="s">
        <v>1396</v>
      </c>
      <c r="H36" s="8">
        <v>45703</v>
      </c>
      <c r="I36" s="4" t="s">
        <v>7</v>
      </c>
      <c r="J36" s="6"/>
      <c r="K36" s="6" t="s">
        <v>1397</v>
      </c>
      <c r="L36" s="6"/>
      <c r="M36" s="19"/>
      <c r="N36" s="20"/>
    </row>
    <row r="37" spans="1:14" ht="15.75" customHeight="1">
      <c r="A37" s="1"/>
      <c r="B37" s="18">
        <f t="shared" si="1"/>
        <v>34</v>
      </c>
      <c r="C37" s="8">
        <v>45702</v>
      </c>
      <c r="D37" s="4" t="s">
        <v>21</v>
      </c>
      <c r="E37" s="5" t="s">
        <v>1398</v>
      </c>
      <c r="F37" s="6" t="s">
        <v>1399</v>
      </c>
      <c r="G37" s="6" t="s">
        <v>1396</v>
      </c>
      <c r="H37" s="8">
        <v>45703</v>
      </c>
      <c r="I37" s="4" t="s">
        <v>7</v>
      </c>
      <c r="J37" s="6"/>
      <c r="K37" s="6" t="s">
        <v>1400</v>
      </c>
      <c r="L37" s="6"/>
      <c r="M37" s="19"/>
      <c r="N37" s="20"/>
    </row>
    <row r="38" spans="1:14" ht="53.25" customHeight="1">
      <c r="A38" s="1"/>
      <c r="B38" s="18">
        <f t="shared" si="1"/>
        <v>35</v>
      </c>
      <c r="C38" s="8">
        <v>45707</v>
      </c>
      <c r="D38" s="4" t="s">
        <v>21</v>
      </c>
      <c r="E38" s="5" t="s">
        <v>1401</v>
      </c>
      <c r="F38" s="6" t="s">
        <v>1402</v>
      </c>
      <c r="G38" s="6" t="s">
        <v>1396</v>
      </c>
      <c r="H38" s="8" t="s">
        <v>1378</v>
      </c>
      <c r="I38" s="4" t="s">
        <v>7</v>
      </c>
      <c r="J38" s="6"/>
      <c r="K38" s="6" t="s">
        <v>1403</v>
      </c>
      <c r="L38" s="6"/>
      <c r="M38" s="19"/>
      <c r="N38" s="20"/>
    </row>
    <row r="39" spans="1:14" ht="42" customHeight="1">
      <c r="A39" s="1"/>
      <c r="B39" s="18">
        <f t="shared" si="1"/>
        <v>36</v>
      </c>
      <c r="C39" s="8">
        <v>45707</v>
      </c>
      <c r="D39" s="4" t="s">
        <v>21</v>
      </c>
      <c r="E39" s="5" t="s">
        <v>1404</v>
      </c>
      <c r="F39" s="6" t="s">
        <v>1402</v>
      </c>
      <c r="G39" s="6" t="s">
        <v>1396</v>
      </c>
      <c r="H39" s="8" t="s">
        <v>1378</v>
      </c>
      <c r="I39" s="4" t="s">
        <v>7</v>
      </c>
      <c r="J39" s="6"/>
      <c r="K39" s="6" t="s">
        <v>1405</v>
      </c>
      <c r="L39" s="6"/>
      <c r="M39" s="19"/>
      <c r="N39" s="20"/>
    </row>
    <row r="40" spans="1:14" ht="40.5" customHeight="1">
      <c r="A40" s="1"/>
      <c r="B40" s="18">
        <f t="shared" si="1"/>
        <v>37</v>
      </c>
      <c r="C40" s="8">
        <v>45707</v>
      </c>
      <c r="D40" s="4" t="s">
        <v>21</v>
      </c>
      <c r="E40" s="5" t="s">
        <v>1406</v>
      </c>
      <c r="F40" s="6" t="s">
        <v>1407</v>
      </c>
      <c r="G40" s="6" t="s">
        <v>1396</v>
      </c>
      <c r="H40" s="8"/>
      <c r="I40" s="4" t="s">
        <v>7</v>
      </c>
      <c r="J40" s="6"/>
      <c r="K40" s="6" t="s">
        <v>1408</v>
      </c>
      <c r="L40" s="6"/>
      <c r="M40" s="19"/>
      <c r="N40" s="20"/>
    </row>
    <row r="41" spans="1:14" ht="15.75" customHeight="1">
      <c r="A41" s="1"/>
      <c r="B41" s="18">
        <f t="shared" si="1"/>
        <v>38</v>
      </c>
      <c r="C41" s="8">
        <v>45708</v>
      </c>
      <c r="D41" s="4" t="s">
        <v>159</v>
      </c>
      <c r="E41" s="5" t="s">
        <v>1409</v>
      </c>
      <c r="F41" s="6" t="s">
        <v>1410</v>
      </c>
      <c r="G41" s="6" t="s">
        <v>1396</v>
      </c>
      <c r="H41" s="8"/>
      <c r="I41" s="4" t="s">
        <v>7</v>
      </c>
      <c r="J41" s="6"/>
      <c r="K41" s="6" t="s">
        <v>1411</v>
      </c>
      <c r="L41" s="6"/>
      <c r="M41" s="19"/>
      <c r="N41" s="20"/>
    </row>
    <row r="42" spans="1:14" ht="43.5" customHeight="1">
      <c r="A42" s="1"/>
      <c r="B42" s="18">
        <f t="shared" si="1"/>
        <v>39</v>
      </c>
      <c r="C42" s="8">
        <v>45714</v>
      </c>
      <c r="D42" s="4" t="s">
        <v>21</v>
      </c>
      <c r="E42" s="5" t="s">
        <v>1412</v>
      </c>
      <c r="F42" s="6" t="s">
        <v>1413</v>
      </c>
      <c r="G42" s="6" t="s">
        <v>1396</v>
      </c>
      <c r="H42" s="8"/>
      <c r="I42" s="4" t="s">
        <v>7</v>
      </c>
      <c r="J42" s="6"/>
      <c r="K42" s="6" t="s">
        <v>1414</v>
      </c>
      <c r="L42" s="6"/>
      <c r="M42" s="19"/>
      <c r="N42" s="20"/>
    </row>
    <row r="43" spans="1:14" ht="57" customHeight="1">
      <c r="A43" s="1"/>
      <c r="B43" s="18">
        <f t="shared" si="1"/>
        <v>40</v>
      </c>
      <c r="C43" s="8">
        <v>45723</v>
      </c>
      <c r="D43" s="4" t="s">
        <v>21</v>
      </c>
      <c r="E43" s="5" t="s">
        <v>1415</v>
      </c>
      <c r="F43" s="6" t="s">
        <v>1416</v>
      </c>
      <c r="G43" s="6" t="s">
        <v>1396</v>
      </c>
      <c r="H43" s="8"/>
      <c r="I43" s="4" t="s">
        <v>7</v>
      </c>
      <c r="J43" s="23"/>
      <c r="K43" s="23" t="s">
        <v>1417</v>
      </c>
      <c r="L43" s="23"/>
      <c r="M43" s="19"/>
      <c r="N43" s="20"/>
    </row>
    <row r="44" spans="1:14" ht="139.5" customHeight="1">
      <c r="A44" s="1"/>
      <c r="B44" s="18">
        <f t="shared" si="1"/>
        <v>41</v>
      </c>
      <c r="C44" s="8">
        <v>45726</v>
      </c>
      <c r="D44" s="4" t="s">
        <v>21</v>
      </c>
      <c r="E44" s="5" t="s">
        <v>1418</v>
      </c>
      <c r="F44" s="6" t="s">
        <v>1419</v>
      </c>
      <c r="G44" s="6" t="s">
        <v>1420</v>
      </c>
      <c r="H44" s="8">
        <v>45747</v>
      </c>
      <c r="I44" s="4" t="s">
        <v>7</v>
      </c>
      <c r="J44" s="6"/>
      <c r="K44" s="6" t="s">
        <v>1421</v>
      </c>
      <c r="L44" s="6"/>
      <c r="M44" s="19"/>
      <c r="N44" s="20"/>
    </row>
    <row r="45" spans="1:14" ht="51.75" customHeight="1">
      <c r="A45" s="1"/>
      <c r="B45" s="18">
        <f t="shared" si="1"/>
        <v>42</v>
      </c>
      <c r="C45" s="8">
        <v>45750</v>
      </c>
      <c r="D45" s="4" t="s">
        <v>21</v>
      </c>
      <c r="E45" s="5" t="s">
        <v>1422</v>
      </c>
      <c r="F45" s="6" t="s">
        <v>1423</v>
      </c>
      <c r="G45" s="6" t="s">
        <v>1424</v>
      </c>
      <c r="H45" s="8" t="s">
        <v>1378</v>
      </c>
      <c r="I45" s="4" t="s">
        <v>7</v>
      </c>
      <c r="J45" s="6"/>
      <c r="K45" s="6" t="s">
        <v>1425</v>
      </c>
      <c r="L45" s="6" t="s">
        <v>1426</v>
      </c>
      <c r="M45" s="19"/>
      <c r="N45" s="20">
        <v>25</v>
      </c>
    </row>
    <row r="46" spans="1:14" ht="15.75" customHeight="1">
      <c r="A46" s="1"/>
      <c r="B46" s="18">
        <f t="shared" si="1"/>
        <v>43</v>
      </c>
      <c r="C46" s="8">
        <v>45757</v>
      </c>
      <c r="D46" s="4" t="s">
        <v>21</v>
      </c>
      <c r="E46" s="5" t="s">
        <v>1427</v>
      </c>
      <c r="F46" s="6" t="s">
        <v>1428</v>
      </c>
      <c r="G46" s="6" t="s">
        <v>1429</v>
      </c>
      <c r="H46" s="8">
        <v>45765</v>
      </c>
      <c r="I46" s="4" t="s">
        <v>7</v>
      </c>
      <c r="J46" s="6"/>
      <c r="K46" s="6" t="s">
        <v>1430</v>
      </c>
      <c r="L46" s="6" t="s">
        <v>1431</v>
      </c>
      <c r="M46" s="19"/>
      <c r="N46" s="20">
        <v>25</v>
      </c>
    </row>
    <row r="47" spans="1:14" ht="30" customHeight="1">
      <c r="A47" s="1"/>
      <c r="B47" s="18">
        <f t="shared" si="1"/>
        <v>44</v>
      </c>
      <c r="C47" s="8">
        <v>45737</v>
      </c>
      <c r="D47" s="5" t="s">
        <v>1296</v>
      </c>
      <c r="E47" s="5" t="s">
        <v>1432</v>
      </c>
      <c r="F47" s="6" t="s">
        <v>1433</v>
      </c>
      <c r="G47" s="6" t="s">
        <v>1434</v>
      </c>
      <c r="H47" s="8">
        <v>45786</v>
      </c>
      <c r="I47" s="4" t="s">
        <v>7</v>
      </c>
      <c r="J47" s="6"/>
      <c r="K47" s="6" t="s">
        <v>1435</v>
      </c>
      <c r="L47" t="s">
        <v>1436</v>
      </c>
      <c r="M47" s="19"/>
      <c r="N47" s="20">
        <v>25</v>
      </c>
    </row>
    <row r="48" spans="1:14" ht="163.5" customHeight="1">
      <c r="A48" s="1"/>
      <c r="B48" s="18">
        <f t="shared" si="1"/>
        <v>45</v>
      </c>
      <c r="C48" s="8">
        <v>45764</v>
      </c>
      <c r="D48" s="4" t="s">
        <v>21</v>
      </c>
      <c r="E48" s="5" t="s">
        <v>1437</v>
      </c>
      <c r="F48" s="6" t="s">
        <v>1438</v>
      </c>
      <c r="G48" s="6" t="s">
        <v>1439</v>
      </c>
      <c r="H48" s="8" t="s">
        <v>1378</v>
      </c>
      <c r="I48" s="4" t="s">
        <v>7</v>
      </c>
      <c r="J48" s="6"/>
      <c r="K48" s="6" t="s">
        <v>1440</v>
      </c>
      <c r="L48" s="6" t="s">
        <v>1441</v>
      </c>
      <c r="M48" s="19"/>
      <c r="N48" s="20">
        <v>25</v>
      </c>
    </row>
    <row r="49" spans="1:14" ht="15.75" customHeight="1">
      <c r="A49" s="1"/>
      <c r="B49" s="18">
        <f t="shared" si="1"/>
        <v>46</v>
      </c>
      <c r="C49" s="8">
        <v>45765</v>
      </c>
      <c r="D49" s="4" t="s">
        <v>176</v>
      </c>
      <c r="E49" s="5" t="s">
        <v>1442</v>
      </c>
      <c r="F49" s="6" t="s">
        <v>1443</v>
      </c>
      <c r="G49" s="6" t="s">
        <v>1444</v>
      </c>
      <c r="H49" s="8">
        <v>45777</v>
      </c>
      <c r="I49" s="4" t="s">
        <v>7</v>
      </c>
      <c r="J49" s="6"/>
      <c r="K49" s="6" t="s">
        <v>1445</v>
      </c>
      <c r="L49" s="24" t="s">
        <v>1446</v>
      </c>
      <c r="M49" s="19"/>
      <c r="N49" s="20">
        <v>25</v>
      </c>
    </row>
    <row r="50" spans="1:14" ht="69" customHeight="1">
      <c r="A50" s="1"/>
      <c r="B50" s="18">
        <f t="shared" si="1"/>
        <v>47</v>
      </c>
      <c r="C50" s="8">
        <v>45771</v>
      </c>
      <c r="D50" s="4" t="s">
        <v>21</v>
      </c>
      <c r="E50" s="5" t="s">
        <v>1447</v>
      </c>
      <c r="F50" s="6" t="s">
        <v>1448</v>
      </c>
      <c r="G50" s="6" t="s">
        <v>1449</v>
      </c>
      <c r="H50" s="8"/>
      <c r="I50" s="4" t="s">
        <v>7</v>
      </c>
      <c r="J50" s="6"/>
      <c r="K50" s="6" t="s">
        <v>1450</v>
      </c>
      <c r="L50" s="6" t="s">
        <v>1451</v>
      </c>
      <c r="M50" s="19"/>
      <c r="N50" s="20">
        <v>25</v>
      </c>
    </row>
    <row r="51" spans="1:14" ht="63" customHeight="1">
      <c r="A51" s="1"/>
      <c r="B51" s="18">
        <f t="shared" si="1"/>
        <v>48</v>
      </c>
      <c r="C51" s="8">
        <v>45777</v>
      </c>
      <c r="D51" s="4" t="s">
        <v>21</v>
      </c>
      <c r="E51" s="5" t="s">
        <v>1452</v>
      </c>
      <c r="F51" s="6" t="s">
        <v>1453</v>
      </c>
      <c r="G51" s="6" t="s">
        <v>1454</v>
      </c>
      <c r="H51" s="8">
        <v>45777</v>
      </c>
      <c r="I51" s="4" t="s">
        <v>7</v>
      </c>
      <c r="J51" s="6"/>
      <c r="K51" s="6" t="s">
        <v>1455</v>
      </c>
      <c r="L51" s="6"/>
      <c r="M51" s="19"/>
      <c r="N51" s="20">
        <v>25</v>
      </c>
    </row>
    <row r="52" spans="1:14" ht="15.75" customHeight="1">
      <c r="A52" s="1"/>
      <c r="B52" s="18">
        <f t="shared" si="1"/>
        <v>49</v>
      </c>
      <c r="C52" s="8">
        <v>45779</v>
      </c>
      <c r="D52" s="5" t="s">
        <v>1291</v>
      </c>
      <c r="E52" s="5" t="s">
        <v>1456</v>
      </c>
      <c r="F52" s="6" t="s">
        <v>1457</v>
      </c>
      <c r="G52" s="6" t="s">
        <v>1434</v>
      </c>
      <c r="H52" s="8" t="s">
        <v>1378</v>
      </c>
      <c r="I52" s="4" t="s">
        <v>7</v>
      </c>
      <c r="J52" s="6"/>
      <c r="K52" s="6" t="s">
        <v>1458</v>
      </c>
      <c r="L52" s="6"/>
      <c r="M52" s="19"/>
      <c r="N52" s="20">
        <v>25</v>
      </c>
    </row>
    <row r="53" spans="1:14" ht="15.75" customHeight="1">
      <c r="A53" s="1"/>
      <c r="B53" s="18">
        <f t="shared" si="1"/>
        <v>50</v>
      </c>
      <c r="C53" s="8">
        <v>45779</v>
      </c>
      <c r="D53" s="4" t="s">
        <v>176</v>
      </c>
      <c r="E53" s="5" t="s">
        <v>1459</v>
      </c>
      <c r="F53" s="6" t="s">
        <v>1460</v>
      </c>
      <c r="G53" s="6" t="s">
        <v>1461</v>
      </c>
      <c r="H53" s="8">
        <v>45787</v>
      </c>
      <c r="I53" s="4" t="s">
        <v>7</v>
      </c>
      <c r="J53" s="6"/>
      <c r="K53" s="6" t="s">
        <v>1462</v>
      </c>
      <c r="L53" s="6"/>
      <c r="M53" s="19"/>
      <c r="N53" s="20">
        <v>25</v>
      </c>
    </row>
    <row r="54" spans="1:14" ht="76.5" customHeight="1">
      <c r="A54" s="1"/>
      <c r="B54" s="18">
        <f t="shared" si="1"/>
        <v>51</v>
      </c>
      <c r="C54" s="8">
        <v>45813</v>
      </c>
      <c r="D54" s="5" t="s">
        <v>1463</v>
      </c>
      <c r="E54" s="5" t="s">
        <v>1464</v>
      </c>
      <c r="F54" s="6" t="s">
        <v>1465</v>
      </c>
      <c r="G54" s="6" t="s">
        <v>1466</v>
      </c>
      <c r="H54" s="8" t="s">
        <v>1378</v>
      </c>
      <c r="I54" s="4" t="s">
        <v>7</v>
      </c>
      <c r="J54" s="6"/>
      <c r="K54" s="6" t="s">
        <v>1467</v>
      </c>
      <c r="L54" s="6"/>
      <c r="M54" s="19"/>
      <c r="N54" s="20">
        <v>25</v>
      </c>
    </row>
    <row r="55" spans="1:14" ht="108" customHeight="1">
      <c r="A55" s="1"/>
      <c r="B55" s="18">
        <f t="shared" si="1"/>
        <v>52</v>
      </c>
      <c r="C55" s="8">
        <v>45819</v>
      </c>
      <c r="D55" s="5" t="s">
        <v>1291</v>
      </c>
      <c r="E55" s="5" t="s">
        <v>1468</v>
      </c>
      <c r="F55" s="6" t="s">
        <v>1469</v>
      </c>
      <c r="G55" s="6" t="s">
        <v>1470</v>
      </c>
      <c r="H55" s="8" t="s">
        <v>1378</v>
      </c>
      <c r="I55" s="4" t="s">
        <v>7</v>
      </c>
      <c r="J55" s="6"/>
      <c r="K55" s="6" t="s">
        <v>1471</v>
      </c>
      <c r="L55" s="6"/>
      <c r="M55" s="19"/>
      <c r="N55" s="20">
        <v>25</v>
      </c>
    </row>
    <row r="56" spans="1:14" ht="69" customHeight="1">
      <c r="A56" s="1"/>
      <c r="B56" s="18">
        <f t="shared" si="1"/>
        <v>53</v>
      </c>
      <c r="C56" s="8">
        <v>45819</v>
      </c>
      <c r="D56" s="4" t="s">
        <v>176</v>
      </c>
      <c r="E56" s="5" t="s">
        <v>1472</v>
      </c>
      <c r="F56" s="6" t="s">
        <v>1460</v>
      </c>
      <c r="G56" s="6" t="s">
        <v>1461</v>
      </c>
      <c r="H56" s="8" t="s">
        <v>1378</v>
      </c>
      <c r="I56" s="4" t="s">
        <v>7</v>
      </c>
      <c r="J56" s="23"/>
      <c r="K56" s="23" t="s">
        <v>1473</v>
      </c>
      <c r="L56" s="23"/>
      <c r="M56" s="19"/>
      <c r="N56" s="20">
        <v>25</v>
      </c>
    </row>
    <row r="57" spans="1:14" ht="214.5" customHeight="1">
      <c r="A57" s="1"/>
      <c r="B57" s="18">
        <f t="shared" si="1"/>
        <v>54</v>
      </c>
      <c r="C57" s="8">
        <v>45820</v>
      </c>
      <c r="D57" s="5" t="s">
        <v>1474</v>
      </c>
      <c r="E57" s="5" t="s">
        <v>1475</v>
      </c>
      <c r="F57" s="6" t="s">
        <v>1476</v>
      </c>
      <c r="G57" s="6" t="s">
        <v>1477</v>
      </c>
      <c r="H57" s="8" t="s">
        <v>1478</v>
      </c>
      <c r="I57" s="4" t="s">
        <v>7</v>
      </c>
      <c r="J57" s="6"/>
      <c r="K57" s="6" t="s">
        <v>1479</v>
      </c>
      <c r="L57" s="6"/>
      <c r="M57" s="19"/>
      <c r="N57" s="20">
        <v>25</v>
      </c>
    </row>
    <row r="58" spans="1:14" ht="102" customHeight="1">
      <c r="A58" s="25"/>
      <c r="B58" s="18">
        <f t="shared" si="1"/>
        <v>55</v>
      </c>
      <c r="C58" s="26">
        <v>45828</v>
      </c>
      <c r="D58" s="27" t="s">
        <v>1480</v>
      </c>
      <c r="E58" s="27" t="s">
        <v>1481</v>
      </c>
      <c r="F58" s="28" t="s">
        <v>1482</v>
      </c>
      <c r="G58" s="28" t="s">
        <v>1483</v>
      </c>
      <c r="H58" s="29" t="s">
        <v>1378</v>
      </c>
      <c r="I58" s="30" t="s">
        <v>7</v>
      </c>
      <c r="J58" s="28"/>
      <c r="K58" s="28" t="s">
        <v>1484</v>
      </c>
      <c r="L58" s="28" t="s">
        <v>1485</v>
      </c>
      <c r="M58" s="19"/>
      <c r="N58" s="20">
        <v>25</v>
      </c>
    </row>
    <row r="59" spans="1:14" ht="35.25" customHeight="1">
      <c r="A59" s="1"/>
      <c r="B59" s="18">
        <f t="shared" si="1"/>
        <v>56</v>
      </c>
      <c r="C59" s="8">
        <v>45840</v>
      </c>
      <c r="D59" s="4" t="s">
        <v>21</v>
      </c>
      <c r="E59" s="5" t="s">
        <v>1486</v>
      </c>
      <c r="F59" s="6" t="s">
        <v>1487</v>
      </c>
      <c r="G59" s="6" t="s">
        <v>1488</v>
      </c>
      <c r="H59" s="8" t="s">
        <v>1489</v>
      </c>
      <c r="I59" s="4" t="s">
        <v>7</v>
      </c>
      <c r="J59" s="6"/>
      <c r="K59" s="6" t="s">
        <v>1490</v>
      </c>
      <c r="L59" s="6"/>
      <c r="M59" s="19"/>
      <c r="N59" s="20">
        <v>25</v>
      </c>
    </row>
    <row r="60" spans="1:14" ht="54.75" customHeight="1">
      <c r="A60" s="1"/>
      <c r="B60" s="18">
        <f t="shared" si="1"/>
        <v>57</v>
      </c>
      <c r="C60" s="8">
        <v>45840</v>
      </c>
      <c r="D60" s="5" t="s">
        <v>1463</v>
      </c>
      <c r="E60" s="5" t="s">
        <v>1491</v>
      </c>
      <c r="F60" s="6" t="s">
        <v>1492</v>
      </c>
      <c r="G60" s="6" t="s">
        <v>1493</v>
      </c>
      <c r="H60" s="8" t="s">
        <v>1378</v>
      </c>
      <c r="I60" s="4" t="s">
        <v>7</v>
      </c>
      <c r="J60" s="6"/>
      <c r="K60" s="6" t="s">
        <v>1494</v>
      </c>
      <c r="L60" s="6"/>
      <c r="M60" s="19"/>
      <c r="N60" s="20">
        <v>25</v>
      </c>
    </row>
    <row r="61" spans="1:14" ht="42" customHeight="1">
      <c r="A61" s="1"/>
      <c r="B61" s="18">
        <f t="shared" si="1"/>
        <v>58</v>
      </c>
      <c r="C61" s="8">
        <v>45847</v>
      </c>
      <c r="D61" s="4" t="s">
        <v>21</v>
      </c>
      <c r="E61" s="5" t="s">
        <v>1495</v>
      </c>
      <c r="F61" s="6" t="s">
        <v>1496</v>
      </c>
      <c r="G61" s="6" t="s">
        <v>1497</v>
      </c>
      <c r="H61" s="8" t="s">
        <v>1489</v>
      </c>
      <c r="I61" s="4" t="s">
        <v>7</v>
      </c>
      <c r="J61" s="6"/>
      <c r="K61" s="6" t="s">
        <v>1494</v>
      </c>
      <c r="L61" s="6"/>
      <c r="M61" s="19"/>
      <c r="N61" s="20">
        <v>25</v>
      </c>
    </row>
    <row r="62" spans="1:14" ht="62.25" customHeight="1">
      <c r="A62" s="1"/>
      <c r="B62" s="18">
        <f t="shared" si="1"/>
        <v>59</v>
      </c>
      <c r="C62" s="8">
        <v>45848</v>
      </c>
      <c r="D62" s="5" t="s">
        <v>1480</v>
      </c>
      <c r="E62" s="5" t="s">
        <v>1498</v>
      </c>
      <c r="F62" s="6" t="s">
        <v>1499</v>
      </c>
      <c r="G62" s="6" t="s">
        <v>1500</v>
      </c>
      <c r="H62" s="8" t="s">
        <v>1378</v>
      </c>
      <c r="I62" s="4" t="s">
        <v>7</v>
      </c>
      <c r="J62" s="6"/>
      <c r="K62" s="6" t="s">
        <v>1501</v>
      </c>
      <c r="L62" s="6"/>
      <c r="M62" s="19"/>
      <c r="N62" s="20">
        <v>25</v>
      </c>
    </row>
    <row r="63" spans="1:14" ht="63.75" customHeight="1">
      <c r="A63" s="1"/>
      <c r="B63" s="18">
        <f t="shared" si="1"/>
        <v>60</v>
      </c>
      <c r="C63" s="8">
        <v>45861</v>
      </c>
      <c r="D63" s="5" t="s">
        <v>1502</v>
      </c>
      <c r="E63" s="5" t="s">
        <v>1503</v>
      </c>
      <c r="F63" s="6" t="s">
        <v>1504</v>
      </c>
      <c r="G63" s="6" t="s">
        <v>1505</v>
      </c>
      <c r="H63" s="8" t="s">
        <v>1378</v>
      </c>
      <c r="I63" s="4" t="s">
        <v>7</v>
      </c>
      <c r="J63" s="6"/>
      <c r="K63" s="6" t="s">
        <v>1506</v>
      </c>
      <c r="L63" s="6"/>
      <c r="M63" s="19"/>
      <c r="N63" s="20">
        <v>25</v>
      </c>
    </row>
    <row r="64" spans="1:14" ht="43.5" customHeight="1">
      <c r="A64" s="1"/>
      <c r="B64" s="18">
        <f t="shared" si="1"/>
        <v>61</v>
      </c>
      <c r="C64" s="8">
        <v>45868</v>
      </c>
      <c r="D64" s="5" t="s">
        <v>21</v>
      </c>
      <c r="E64" s="5" t="s">
        <v>1507</v>
      </c>
      <c r="F64" s="6" t="s">
        <v>1508</v>
      </c>
      <c r="G64" s="6" t="s">
        <v>1396</v>
      </c>
      <c r="H64" s="8" t="s">
        <v>1378</v>
      </c>
      <c r="I64" s="4" t="s">
        <v>7</v>
      </c>
      <c r="J64" s="6"/>
      <c r="K64" s="6" t="s">
        <v>1509</v>
      </c>
      <c r="L64" s="6"/>
      <c r="M64" s="19"/>
      <c r="N64" s="20">
        <v>25</v>
      </c>
    </row>
    <row r="65" spans="1:14" ht="40.5" customHeight="1">
      <c r="A65" s="1"/>
      <c r="B65" s="18">
        <f t="shared" si="1"/>
        <v>62</v>
      </c>
      <c r="C65" s="8">
        <v>45876</v>
      </c>
      <c r="D65" s="5" t="s">
        <v>21</v>
      </c>
      <c r="E65" s="5" t="s">
        <v>1510</v>
      </c>
      <c r="F65" s="6" t="s">
        <v>1511</v>
      </c>
      <c r="G65" s="6" t="s">
        <v>1396</v>
      </c>
      <c r="H65" s="8" t="s">
        <v>1378</v>
      </c>
      <c r="I65" s="4" t="s">
        <v>7</v>
      </c>
      <c r="J65" s="6"/>
      <c r="K65" s="6" t="s">
        <v>1512</v>
      </c>
      <c r="L65" s="6"/>
      <c r="M65" s="19"/>
      <c r="N65" s="20">
        <v>25</v>
      </c>
    </row>
    <row r="66" spans="1:14" ht="15.75" customHeight="1">
      <c r="A66" s="1"/>
      <c r="B66" s="18">
        <f t="shared" si="1"/>
        <v>63</v>
      </c>
      <c r="C66" s="8">
        <v>45890</v>
      </c>
      <c r="D66" s="5" t="s">
        <v>1480</v>
      </c>
      <c r="E66" s="5" t="s">
        <v>1513</v>
      </c>
      <c r="F66" s="6" t="s">
        <v>1514</v>
      </c>
      <c r="G66" s="6" t="s">
        <v>1515</v>
      </c>
      <c r="H66" s="8" t="s">
        <v>1378</v>
      </c>
      <c r="I66" s="4" t="s">
        <v>7</v>
      </c>
      <c r="J66" s="6"/>
      <c r="K66" s="6" t="s">
        <v>1516</v>
      </c>
      <c r="L66" s="6"/>
      <c r="M66" s="19"/>
      <c r="N66" s="20">
        <v>25</v>
      </c>
    </row>
    <row r="67" spans="1:14" ht="70.5" customHeight="1">
      <c r="A67" s="1"/>
      <c r="B67" s="18">
        <f t="shared" si="1"/>
        <v>64</v>
      </c>
      <c r="C67" s="8">
        <v>45900</v>
      </c>
      <c r="D67" s="5" t="s">
        <v>1463</v>
      </c>
      <c r="E67" s="5" t="s">
        <v>1517</v>
      </c>
      <c r="F67" s="6" t="s">
        <v>1518</v>
      </c>
      <c r="G67" s="6" t="s">
        <v>1519</v>
      </c>
      <c r="H67" s="8" t="s">
        <v>1378</v>
      </c>
      <c r="I67" s="4" t="s">
        <v>7</v>
      </c>
      <c r="J67" s="6"/>
      <c r="K67" s="6" t="s">
        <v>1520</v>
      </c>
      <c r="L67" s="6"/>
      <c r="M67" s="19"/>
      <c r="N67" s="20">
        <v>25</v>
      </c>
    </row>
    <row r="68" spans="1:14" ht="108" customHeight="1">
      <c r="A68" s="1"/>
      <c r="B68" s="18">
        <f t="shared" ref="B68:B99" si="2">ROW()-3</f>
        <v>65</v>
      </c>
      <c r="C68" s="8">
        <v>45909</v>
      </c>
      <c r="D68" s="5" t="s">
        <v>1463</v>
      </c>
      <c r="E68" s="5" t="s">
        <v>1521</v>
      </c>
      <c r="F68" s="6" t="s">
        <v>1522</v>
      </c>
      <c r="G68" s="6" t="s">
        <v>1523</v>
      </c>
      <c r="H68" s="8" t="s">
        <v>1524</v>
      </c>
      <c r="I68" s="4" t="s">
        <v>7</v>
      </c>
      <c r="J68" s="6"/>
      <c r="K68" s="6" t="s">
        <v>1525</v>
      </c>
      <c r="L68" s="6"/>
      <c r="M68" s="19"/>
      <c r="N68" s="20">
        <v>25</v>
      </c>
    </row>
    <row r="69" spans="1:14" ht="408.75" customHeight="1">
      <c r="A69" s="1"/>
      <c r="B69" s="18">
        <f t="shared" si="2"/>
        <v>66</v>
      </c>
      <c r="C69" s="8">
        <v>45912</v>
      </c>
      <c r="D69" s="5" t="s">
        <v>1463</v>
      </c>
      <c r="E69" s="5" t="s">
        <v>1526</v>
      </c>
      <c r="F69" s="6" t="s">
        <v>1527</v>
      </c>
      <c r="G69" s="6" t="s">
        <v>1528</v>
      </c>
      <c r="H69" s="8" t="s">
        <v>1529</v>
      </c>
      <c r="I69" s="4" t="s">
        <v>7</v>
      </c>
      <c r="J69" s="6" t="s">
        <v>1530</v>
      </c>
      <c r="K69" s="6" t="s">
        <v>1531</v>
      </c>
      <c r="L69" s="6"/>
      <c r="M69" s="19"/>
      <c r="N69" s="20">
        <v>25</v>
      </c>
    </row>
    <row r="70" spans="1:14" ht="114" customHeight="1">
      <c r="A70" s="1"/>
      <c r="B70" s="18">
        <f t="shared" si="2"/>
        <v>67</v>
      </c>
      <c r="C70" s="8">
        <v>45919</v>
      </c>
      <c r="D70" s="5" t="s">
        <v>159</v>
      </c>
      <c r="E70" s="5" t="s">
        <v>1513</v>
      </c>
      <c r="F70" s="6" t="s">
        <v>1532</v>
      </c>
      <c r="G70" s="6" t="s">
        <v>1519</v>
      </c>
      <c r="H70" s="8" t="s">
        <v>1524</v>
      </c>
      <c r="I70" s="4" t="s">
        <v>7</v>
      </c>
      <c r="J70" s="6"/>
      <c r="K70" s="6" t="s">
        <v>1533</v>
      </c>
      <c r="L70" s="6" t="s">
        <v>1534</v>
      </c>
      <c r="M70" s="19"/>
      <c r="N70" s="20">
        <v>25</v>
      </c>
    </row>
    <row r="71" spans="1:14" ht="15.75" customHeight="1">
      <c r="A71" s="1"/>
      <c r="B71" s="18">
        <f t="shared" si="2"/>
        <v>68</v>
      </c>
      <c r="C71" s="8">
        <v>45926</v>
      </c>
      <c r="D71" s="5" t="s">
        <v>1463</v>
      </c>
      <c r="E71" s="5" t="s">
        <v>1535</v>
      </c>
      <c r="F71" s="6" t="s">
        <v>1536</v>
      </c>
      <c r="G71" s="6" t="s">
        <v>1537</v>
      </c>
      <c r="H71" s="8" t="s">
        <v>1524</v>
      </c>
      <c r="I71" s="4" t="s">
        <v>7</v>
      </c>
      <c r="J71" s="6" t="s">
        <v>1538</v>
      </c>
      <c r="K71" s="6" t="s">
        <v>1539</v>
      </c>
      <c r="L71" s="6"/>
      <c r="M71" s="19"/>
      <c r="N71" s="20">
        <v>25</v>
      </c>
    </row>
    <row r="72" spans="1:14" ht="243" customHeight="1">
      <c r="A72" s="1"/>
      <c r="B72" s="18">
        <f t="shared" si="2"/>
        <v>69</v>
      </c>
      <c r="C72" s="8">
        <v>45936</v>
      </c>
      <c r="D72" s="5" t="s">
        <v>1254</v>
      </c>
      <c r="E72" s="5" t="s">
        <v>1540</v>
      </c>
      <c r="F72" s="6" t="s">
        <v>1541</v>
      </c>
      <c r="G72" s="6" t="s">
        <v>1542</v>
      </c>
      <c r="H72" s="8" t="s">
        <v>1524</v>
      </c>
      <c r="I72" s="4" t="s">
        <v>7</v>
      </c>
      <c r="J72" s="6" t="s">
        <v>1543</v>
      </c>
      <c r="K72" s="6" t="s">
        <v>1544</v>
      </c>
      <c r="L72" s="6"/>
      <c r="M72" s="19"/>
      <c r="N72" s="20">
        <v>25</v>
      </c>
    </row>
    <row r="73" spans="1:14" ht="240.75" customHeight="1">
      <c r="A73" s="1"/>
      <c r="B73" s="18">
        <f t="shared" si="2"/>
        <v>70</v>
      </c>
      <c r="C73" s="8">
        <v>45936</v>
      </c>
      <c r="D73" s="5" t="s">
        <v>1254</v>
      </c>
      <c r="E73" s="5" t="s">
        <v>1545</v>
      </c>
      <c r="F73" s="6" t="s">
        <v>1546</v>
      </c>
      <c r="G73" s="6" t="s">
        <v>1547</v>
      </c>
      <c r="H73" s="8" t="s">
        <v>1524</v>
      </c>
      <c r="I73" s="4" t="s">
        <v>7</v>
      </c>
      <c r="J73" s="6" t="s">
        <v>1548</v>
      </c>
      <c r="K73" s="6" t="s">
        <v>1549</v>
      </c>
      <c r="L73" s="6"/>
      <c r="M73" s="19"/>
      <c r="N73" s="20">
        <v>25</v>
      </c>
    </row>
    <row r="74" spans="1:14" ht="135.75" customHeight="1">
      <c r="A74" s="1"/>
      <c r="B74" s="18">
        <f t="shared" si="2"/>
        <v>71</v>
      </c>
      <c r="C74" s="8">
        <v>45937</v>
      </c>
      <c r="D74" s="5" t="s">
        <v>1463</v>
      </c>
      <c r="E74" s="5" t="s">
        <v>1550</v>
      </c>
      <c r="F74" s="6" t="s">
        <v>1551</v>
      </c>
      <c r="G74" s="6" t="s">
        <v>1552</v>
      </c>
      <c r="H74" s="8" t="s">
        <v>1524</v>
      </c>
      <c r="I74" s="4" t="s">
        <v>7</v>
      </c>
      <c r="J74" s="6"/>
      <c r="K74" s="6" t="s">
        <v>1553</v>
      </c>
      <c r="L74" s="6" t="s">
        <v>1554</v>
      </c>
      <c r="M74" s="19"/>
      <c r="N74" s="20">
        <v>25</v>
      </c>
    </row>
    <row r="75" spans="1:14" ht="114" customHeight="1">
      <c r="A75" s="1"/>
      <c r="B75" s="18">
        <f t="shared" si="2"/>
        <v>72</v>
      </c>
      <c r="C75" s="8">
        <v>45940</v>
      </c>
      <c r="D75" s="5" t="s">
        <v>1463</v>
      </c>
      <c r="E75" s="5" t="s">
        <v>1555</v>
      </c>
      <c r="F75" s="6" t="s">
        <v>1556</v>
      </c>
      <c r="G75" s="6" t="s">
        <v>1557</v>
      </c>
      <c r="H75" s="8"/>
      <c r="I75" s="4" t="s">
        <v>7</v>
      </c>
      <c r="J75" s="6" t="s">
        <v>1558</v>
      </c>
      <c r="K75" s="6" t="s">
        <v>1559</v>
      </c>
      <c r="L75" s="6" t="s">
        <v>1560</v>
      </c>
      <c r="M75" s="19"/>
      <c r="N75" s="20">
        <v>25</v>
      </c>
    </row>
    <row r="76" spans="1:14" ht="340.5" customHeight="1">
      <c r="A76" s="1"/>
      <c r="B76" s="18">
        <f t="shared" si="2"/>
        <v>73</v>
      </c>
      <c r="C76" s="8">
        <v>45944</v>
      </c>
      <c r="D76" s="5" t="s">
        <v>1561</v>
      </c>
      <c r="E76" s="5" t="s">
        <v>1562</v>
      </c>
      <c r="F76" s="6" t="s">
        <v>1563</v>
      </c>
      <c r="G76" s="6" t="s">
        <v>1564</v>
      </c>
      <c r="H76" s="31" t="s">
        <v>1565</v>
      </c>
      <c r="I76" s="4" t="s">
        <v>7</v>
      </c>
      <c r="J76" s="6"/>
      <c r="K76" s="6" t="s">
        <v>1566</v>
      </c>
      <c r="L76" s="32" t="s">
        <v>1567</v>
      </c>
      <c r="M76" s="19"/>
      <c r="N76" s="20">
        <v>25</v>
      </c>
    </row>
    <row r="77" spans="1:14" ht="119.25" customHeight="1">
      <c r="A77" s="1"/>
      <c r="B77" s="18">
        <f t="shared" si="2"/>
        <v>74</v>
      </c>
      <c r="C77" s="8">
        <v>45945</v>
      </c>
      <c r="D77" s="4" t="s">
        <v>159</v>
      </c>
      <c r="E77" s="5" t="s">
        <v>1568</v>
      </c>
      <c r="F77" s="6" t="s">
        <v>1569</v>
      </c>
      <c r="G77" s="6" t="s">
        <v>1570</v>
      </c>
      <c r="H77" s="31" t="s">
        <v>1565</v>
      </c>
      <c r="I77" s="4" t="s">
        <v>7</v>
      </c>
      <c r="J77" s="6"/>
      <c r="K77" s="6" t="s">
        <v>1571</v>
      </c>
      <c r="L77" s="6" t="s">
        <v>1572</v>
      </c>
      <c r="M77" s="19"/>
      <c r="N77" s="20">
        <v>25</v>
      </c>
    </row>
    <row r="78" spans="1:14" ht="118.5" customHeight="1">
      <c r="A78" s="1"/>
      <c r="B78" s="33">
        <f t="shared" si="2"/>
        <v>75</v>
      </c>
      <c r="C78" s="8">
        <v>45946</v>
      </c>
      <c r="D78" s="4" t="s">
        <v>159</v>
      </c>
      <c r="E78" s="5" t="s">
        <v>1573</v>
      </c>
      <c r="F78" s="6" t="s">
        <v>1574</v>
      </c>
      <c r="G78" s="6" t="s">
        <v>1575</v>
      </c>
      <c r="H78" s="31" t="s">
        <v>1565</v>
      </c>
      <c r="I78" s="4" t="s">
        <v>7</v>
      </c>
      <c r="J78" s="6" t="s">
        <v>1576</v>
      </c>
      <c r="K78" s="6"/>
      <c r="L78" s="6"/>
      <c r="M78" s="19"/>
      <c r="N78" s="20">
        <v>25</v>
      </c>
    </row>
    <row r="79" spans="1:14" ht="108" customHeight="1">
      <c r="A79" s="1"/>
      <c r="B79" s="18">
        <f t="shared" si="2"/>
        <v>76</v>
      </c>
      <c r="C79" s="8">
        <v>45947</v>
      </c>
      <c r="D79" s="5" t="s">
        <v>1577</v>
      </c>
      <c r="E79" s="5" t="s">
        <v>1578</v>
      </c>
      <c r="F79" s="6" t="s">
        <v>1579</v>
      </c>
      <c r="G79" s="6" t="s">
        <v>1580</v>
      </c>
      <c r="H79" s="31" t="s">
        <v>1378</v>
      </c>
      <c r="I79" s="4" t="s">
        <v>7</v>
      </c>
      <c r="J79" s="6" t="s">
        <v>1581</v>
      </c>
      <c r="K79" s="6" t="s">
        <v>1582</v>
      </c>
      <c r="L79" s="6"/>
      <c r="M79" s="19"/>
      <c r="N79" s="20">
        <v>25</v>
      </c>
    </row>
    <row r="80" spans="1:14" ht="94.5" customHeight="1">
      <c r="A80" s="1"/>
      <c r="B80" s="18">
        <f t="shared" si="2"/>
        <v>77</v>
      </c>
      <c r="C80" s="8">
        <v>45952</v>
      </c>
      <c r="D80" s="5" t="s">
        <v>1296</v>
      </c>
      <c r="E80" s="5" t="s">
        <v>1583</v>
      </c>
      <c r="F80" s="6" t="s">
        <v>1584</v>
      </c>
      <c r="G80" s="6" t="s">
        <v>1585</v>
      </c>
      <c r="H80" s="8" t="s">
        <v>1586</v>
      </c>
      <c r="I80" s="4" t="s">
        <v>7</v>
      </c>
      <c r="J80" s="6"/>
      <c r="K80" s="6" t="s">
        <v>1587</v>
      </c>
      <c r="L80" s="6"/>
      <c r="M80" s="19"/>
      <c r="N80" s="20">
        <v>25</v>
      </c>
    </row>
    <row r="81" spans="1:14" ht="97.5" customHeight="1">
      <c r="A81" s="1"/>
      <c r="B81" s="18">
        <f t="shared" si="2"/>
        <v>78</v>
      </c>
      <c r="C81" s="8">
        <v>45952</v>
      </c>
      <c r="D81" s="5" t="s">
        <v>1588</v>
      </c>
      <c r="E81" s="5" t="s">
        <v>1589</v>
      </c>
      <c r="F81" s="6" t="s">
        <v>1590</v>
      </c>
      <c r="G81" s="6" t="s">
        <v>1564</v>
      </c>
      <c r="H81" s="31" t="s">
        <v>1565</v>
      </c>
      <c r="I81" s="4" t="s">
        <v>1591</v>
      </c>
      <c r="J81" s="6" t="s">
        <v>1592</v>
      </c>
      <c r="K81" s="6" t="s">
        <v>1593</v>
      </c>
      <c r="L81" s="6"/>
      <c r="M81" s="19"/>
      <c r="N81" s="20" t="s">
        <v>1378</v>
      </c>
    </row>
    <row r="82" spans="1:14" ht="111.75" customHeight="1">
      <c r="A82" s="1"/>
      <c r="B82" s="18">
        <f t="shared" si="2"/>
        <v>79</v>
      </c>
      <c r="C82" s="8">
        <v>45961</v>
      </c>
      <c r="D82" s="4" t="s">
        <v>1594</v>
      </c>
      <c r="E82" s="5" t="s">
        <v>1595</v>
      </c>
      <c r="F82" s="6" t="s">
        <v>1596</v>
      </c>
      <c r="G82" s="6" t="s">
        <v>1597</v>
      </c>
      <c r="H82" s="8" t="s">
        <v>1598</v>
      </c>
      <c r="I82" s="4" t="s">
        <v>7</v>
      </c>
      <c r="J82" s="6" t="s">
        <v>1599</v>
      </c>
      <c r="K82" s="6" t="s">
        <v>1600</v>
      </c>
      <c r="L82" s="6" t="s">
        <v>1601</v>
      </c>
      <c r="M82" s="19"/>
      <c r="N82" s="20">
        <v>25</v>
      </c>
    </row>
    <row r="83" spans="1:14" ht="99" customHeight="1">
      <c r="A83" s="1"/>
      <c r="B83" s="18">
        <f t="shared" si="2"/>
        <v>80</v>
      </c>
      <c r="C83" s="8">
        <v>45961</v>
      </c>
      <c r="D83" s="5" t="s">
        <v>1254</v>
      </c>
      <c r="E83" s="5" t="s">
        <v>1602</v>
      </c>
      <c r="F83" s="6" t="s">
        <v>1603</v>
      </c>
      <c r="G83" s="6" t="s">
        <v>1604</v>
      </c>
      <c r="H83" s="8" t="s">
        <v>1529</v>
      </c>
      <c r="I83" s="4" t="s">
        <v>7</v>
      </c>
      <c r="J83" s="6"/>
      <c r="K83" s="6" t="s">
        <v>1605</v>
      </c>
      <c r="L83" s="6"/>
      <c r="M83" s="19"/>
      <c r="N83" s="20">
        <v>25</v>
      </c>
    </row>
    <row r="84" spans="1:14" ht="138" customHeight="1">
      <c r="A84" s="1"/>
      <c r="B84" s="18">
        <f t="shared" si="2"/>
        <v>81</v>
      </c>
      <c r="C84" s="8">
        <v>45961</v>
      </c>
      <c r="D84" s="5" t="s">
        <v>1254</v>
      </c>
      <c r="E84" s="5" t="s">
        <v>1606</v>
      </c>
      <c r="F84" s="6" t="s">
        <v>1607</v>
      </c>
      <c r="G84" s="6" t="s">
        <v>1608</v>
      </c>
      <c r="H84" s="8" t="s">
        <v>1529</v>
      </c>
      <c r="I84" s="4" t="s">
        <v>7</v>
      </c>
      <c r="J84" s="6"/>
      <c r="K84" s="6" t="s">
        <v>1609</v>
      </c>
      <c r="L84" s="6"/>
      <c r="M84" s="19"/>
      <c r="N84" s="20">
        <v>25</v>
      </c>
    </row>
    <row r="85" spans="1:14" ht="141" customHeight="1">
      <c r="A85" s="1"/>
      <c r="B85" s="18">
        <f t="shared" si="2"/>
        <v>82</v>
      </c>
      <c r="C85" s="8">
        <v>45961</v>
      </c>
      <c r="D85" s="5" t="s">
        <v>1254</v>
      </c>
      <c r="E85" s="5" t="s">
        <v>1610</v>
      </c>
      <c r="F85" s="6" t="s">
        <v>1611</v>
      </c>
      <c r="G85" s="6" t="s">
        <v>1612</v>
      </c>
      <c r="H85" s="8" t="s">
        <v>1529</v>
      </c>
      <c r="I85" s="4" t="s">
        <v>7</v>
      </c>
      <c r="J85" s="6"/>
      <c r="K85" s="6" t="s">
        <v>1613</v>
      </c>
      <c r="L85" s="6"/>
      <c r="M85" s="19"/>
      <c r="N85" s="20">
        <v>25</v>
      </c>
    </row>
    <row r="86" spans="1:14" ht="99" customHeight="1">
      <c r="A86" s="1"/>
      <c r="B86" s="18">
        <f t="shared" si="2"/>
        <v>83</v>
      </c>
      <c r="C86" s="8">
        <v>45961</v>
      </c>
      <c r="D86" s="5" t="s">
        <v>1254</v>
      </c>
      <c r="E86" s="5" t="s">
        <v>1614</v>
      </c>
      <c r="F86" s="6" t="s">
        <v>1615</v>
      </c>
      <c r="G86" s="6" t="s">
        <v>1616</v>
      </c>
      <c r="H86" s="8" t="s">
        <v>1529</v>
      </c>
      <c r="I86" s="4" t="s">
        <v>7</v>
      </c>
      <c r="J86" s="6" t="s">
        <v>1617</v>
      </c>
      <c r="K86" s="6" t="s">
        <v>1618</v>
      </c>
      <c r="L86" s="6" t="s">
        <v>1619</v>
      </c>
      <c r="M86" s="19"/>
      <c r="N86" s="20">
        <v>25</v>
      </c>
    </row>
    <row r="87" spans="1:14" ht="99" customHeight="1">
      <c r="A87" s="1"/>
      <c r="B87" s="18">
        <f t="shared" si="2"/>
        <v>84</v>
      </c>
      <c r="C87" s="8">
        <v>45961</v>
      </c>
      <c r="D87" s="5" t="s">
        <v>1254</v>
      </c>
      <c r="E87" s="5" t="s">
        <v>1620</v>
      </c>
      <c r="F87" s="6" t="s">
        <v>1621</v>
      </c>
      <c r="G87" s="6" t="s">
        <v>1622</v>
      </c>
      <c r="H87" s="8" t="s">
        <v>1529</v>
      </c>
      <c r="I87" s="4" t="s">
        <v>7</v>
      </c>
      <c r="J87" s="6"/>
      <c r="K87" s="6" t="s">
        <v>1605</v>
      </c>
      <c r="L87" s="6"/>
      <c r="M87" s="19"/>
      <c r="N87" s="20">
        <v>25</v>
      </c>
    </row>
    <row r="88" spans="1:14" ht="99" customHeight="1">
      <c r="A88" s="1"/>
      <c r="B88" s="18">
        <f t="shared" si="2"/>
        <v>85</v>
      </c>
      <c r="C88" s="8">
        <v>45961</v>
      </c>
      <c r="D88" s="5" t="s">
        <v>1254</v>
      </c>
      <c r="E88" s="5" t="s">
        <v>1623</v>
      </c>
      <c r="F88" s="6" t="s">
        <v>1624</v>
      </c>
      <c r="G88" s="6" t="s">
        <v>1625</v>
      </c>
      <c r="H88" s="8" t="s">
        <v>1529</v>
      </c>
      <c r="I88" s="4" t="s">
        <v>7</v>
      </c>
      <c r="J88" s="6"/>
      <c r="K88" s="6" t="s">
        <v>1626</v>
      </c>
      <c r="L88" s="6"/>
      <c r="M88" s="19"/>
      <c r="N88" s="20">
        <v>25</v>
      </c>
    </row>
    <row r="89" spans="1:14" ht="273" customHeight="1">
      <c r="A89" s="1"/>
      <c r="B89" s="18">
        <f t="shared" si="2"/>
        <v>86</v>
      </c>
      <c r="C89" s="8">
        <v>45961</v>
      </c>
      <c r="D89" s="5" t="s">
        <v>1254</v>
      </c>
      <c r="E89" s="5" t="s">
        <v>1627</v>
      </c>
      <c r="F89" s="6" t="s">
        <v>1628</v>
      </c>
      <c r="G89" s="6" t="s">
        <v>1629</v>
      </c>
      <c r="H89" s="8" t="s">
        <v>1529</v>
      </c>
      <c r="I89" s="4" t="s">
        <v>7</v>
      </c>
      <c r="J89" s="6"/>
      <c r="K89" s="6" t="s">
        <v>1630</v>
      </c>
      <c r="L89" s="6"/>
      <c r="M89" s="19"/>
      <c r="N89" s="20">
        <v>25</v>
      </c>
    </row>
    <row r="90" spans="1:14" ht="85.5" customHeight="1">
      <c r="A90" s="1"/>
      <c r="B90" s="18">
        <f t="shared" si="2"/>
        <v>87</v>
      </c>
      <c r="C90" s="8">
        <v>45974</v>
      </c>
      <c r="D90" s="5" t="s">
        <v>1463</v>
      </c>
      <c r="E90" s="5" t="s">
        <v>1631</v>
      </c>
      <c r="F90" s="6" t="s">
        <v>1632</v>
      </c>
      <c r="G90" s="6" t="s">
        <v>1633</v>
      </c>
      <c r="H90" s="8" t="s">
        <v>1524</v>
      </c>
      <c r="I90" s="4" t="s">
        <v>7</v>
      </c>
      <c r="J90" s="6"/>
      <c r="K90" s="34" t="s">
        <v>1634</v>
      </c>
      <c r="L90" s="6" t="s">
        <v>1635</v>
      </c>
      <c r="M90" s="19"/>
      <c r="N90" s="20">
        <v>25</v>
      </c>
    </row>
    <row r="91" spans="1:14" ht="112.5" customHeight="1">
      <c r="A91" s="1"/>
      <c r="B91" s="18">
        <f t="shared" si="2"/>
        <v>88</v>
      </c>
      <c r="C91" s="8">
        <v>45974</v>
      </c>
      <c r="D91" s="5" t="s">
        <v>1259</v>
      </c>
      <c r="E91" s="5" t="s">
        <v>1636</v>
      </c>
      <c r="F91" s="6" t="s">
        <v>1637</v>
      </c>
      <c r="G91" s="6" t="s">
        <v>1638</v>
      </c>
      <c r="H91" s="8" t="s">
        <v>1524</v>
      </c>
      <c r="I91" s="4" t="s">
        <v>7</v>
      </c>
      <c r="J91" s="6"/>
      <c r="K91" s="34" t="s">
        <v>1639</v>
      </c>
      <c r="L91" s="6" t="s">
        <v>1640</v>
      </c>
      <c r="M91" s="19"/>
      <c r="N91" s="20">
        <v>25</v>
      </c>
    </row>
    <row r="92" spans="1:14" ht="87.75" customHeight="1">
      <c r="A92" s="1"/>
      <c r="B92" s="18">
        <f t="shared" si="2"/>
        <v>89</v>
      </c>
      <c r="C92" s="8">
        <v>45999</v>
      </c>
      <c r="D92" s="5" t="s">
        <v>1588</v>
      </c>
      <c r="E92" s="5" t="s">
        <v>1641</v>
      </c>
      <c r="F92" s="6" t="s">
        <v>1642</v>
      </c>
      <c r="G92" s="6" t="s">
        <v>1643</v>
      </c>
      <c r="H92" s="8" t="s">
        <v>1644</v>
      </c>
      <c r="I92" s="4" t="s">
        <v>7</v>
      </c>
      <c r="J92" s="6"/>
      <c r="K92" s="6" t="s">
        <v>1645</v>
      </c>
      <c r="L92" s="6" t="s">
        <v>629</v>
      </c>
      <c r="M92" s="19"/>
      <c r="N92" s="20">
        <v>25</v>
      </c>
    </row>
    <row r="93" spans="1:14" ht="87.75" customHeight="1">
      <c r="A93" s="1" t="s">
        <v>1646</v>
      </c>
      <c r="B93" s="18">
        <f t="shared" si="2"/>
        <v>90</v>
      </c>
      <c r="C93" s="8">
        <v>45999</v>
      </c>
      <c r="D93" s="5" t="s">
        <v>1588</v>
      </c>
      <c r="E93" s="5" t="s">
        <v>1641</v>
      </c>
      <c r="F93" s="6" t="s">
        <v>1647</v>
      </c>
      <c r="G93" s="6" t="s">
        <v>1648</v>
      </c>
      <c r="H93" s="8" t="s">
        <v>1644</v>
      </c>
      <c r="I93" s="4" t="s">
        <v>1591</v>
      </c>
      <c r="J93" s="6"/>
      <c r="K93" s="6" t="s">
        <v>1649</v>
      </c>
      <c r="L93" s="6"/>
      <c r="M93" s="19"/>
      <c r="N93" s="20" t="s">
        <v>1378</v>
      </c>
    </row>
    <row r="94" spans="1:14" ht="87.75" customHeight="1">
      <c r="A94" s="1"/>
      <c r="B94" s="18">
        <f t="shared" si="2"/>
        <v>91</v>
      </c>
      <c r="C94" s="8">
        <v>45999</v>
      </c>
      <c r="D94" s="5" t="s">
        <v>1588</v>
      </c>
      <c r="E94" s="5" t="s">
        <v>1641</v>
      </c>
      <c r="F94" s="6" t="s">
        <v>1650</v>
      </c>
      <c r="G94" s="6" t="s">
        <v>1651</v>
      </c>
      <c r="H94" s="8" t="s">
        <v>1644</v>
      </c>
      <c r="I94" s="4" t="s">
        <v>7</v>
      </c>
      <c r="J94" s="6"/>
      <c r="K94" s="6" t="s">
        <v>1652</v>
      </c>
      <c r="L94" s="6" t="s">
        <v>629</v>
      </c>
      <c r="M94" s="19"/>
      <c r="N94" s="20">
        <v>25</v>
      </c>
    </row>
    <row r="95" spans="1:14" ht="98.25" customHeight="1">
      <c r="A95" s="1"/>
      <c r="B95" s="18">
        <f t="shared" si="2"/>
        <v>92</v>
      </c>
      <c r="C95" s="8">
        <v>46003</v>
      </c>
      <c r="D95" s="5" t="s">
        <v>1463</v>
      </c>
      <c r="E95" s="5" t="s">
        <v>1653</v>
      </c>
      <c r="F95" s="6" t="s">
        <v>1654</v>
      </c>
      <c r="G95" s="6" t="s">
        <v>1655</v>
      </c>
      <c r="H95" s="8" t="s">
        <v>1656</v>
      </c>
      <c r="I95" s="4" t="s">
        <v>7</v>
      </c>
      <c r="J95" s="6"/>
      <c r="K95" s="6" t="s">
        <v>1657</v>
      </c>
      <c r="L95" s="6" t="s">
        <v>1658</v>
      </c>
      <c r="M95" s="19"/>
      <c r="N95" s="20">
        <v>25</v>
      </c>
    </row>
    <row r="96" spans="1:14" ht="73.5" customHeight="1">
      <c r="A96" s="1"/>
      <c r="B96" s="18">
        <f t="shared" si="2"/>
        <v>93</v>
      </c>
      <c r="C96" s="8">
        <v>46029</v>
      </c>
      <c r="D96" s="5" t="s">
        <v>1254</v>
      </c>
      <c r="E96" s="5" t="s">
        <v>1659</v>
      </c>
      <c r="F96" s="6" t="s">
        <v>1660</v>
      </c>
      <c r="G96" s="6" t="s">
        <v>1655</v>
      </c>
      <c r="H96" s="8" t="s">
        <v>1524</v>
      </c>
      <c r="I96" s="4" t="s">
        <v>7</v>
      </c>
      <c r="J96" s="6"/>
      <c r="K96" s="6" t="s">
        <v>1661</v>
      </c>
      <c r="L96" s="6" t="s">
        <v>1662</v>
      </c>
      <c r="M96" s="19"/>
      <c r="N96" s="20">
        <v>25</v>
      </c>
    </row>
    <row r="97" spans="1:14" ht="60.75" customHeight="1">
      <c r="A97" s="1"/>
      <c r="B97" s="18">
        <f t="shared" si="2"/>
        <v>94</v>
      </c>
      <c r="C97" s="8">
        <v>46031</v>
      </c>
      <c r="D97" s="4" t="s">
        <v>1463</v>
      </c>
      <c r="E97" s="5" t="s">
        <v>1663</v>
      </c>
      <c r="F97" s="6" t="s">
        <v>1664</v>
      </c>
      <c r="G97" s="6" t="s">
        <v>1655</v>
      </c>
      <c r="H97" s="8" t="s">
        <v>1665</v>
      </c>
      <c r="I97" s="4" t="s">
        <v>7</v>
      </c>
      <c r="J97" s="6" t="s">
        <v>1666</v>
      </c>
      <c r="K97" s="6" t="s">
        <v>1667</v>
      </c>
      <c r="L97" s="6"/>
      <c r="M97" s="19"/>
      <c r="N97" s="20">
        <v>25</v>
      </c>
    </row>
    <row r="98" spans="1:14" ht="49.5" customHeight="1">
      <c r="A98" s="1"/>
      <c r="B98" s="18">
        <f t="shared" si="2"/>
        <v>95</v>
      </c>
      <c r="C98" s="8">
        <v>46031</v>
      </c>
      <c r="D98" s="4" t="s">
        <v>1463</v>
      </c>
      <c r="E98" s="5" t="s">
        <v>1668</v>
      </c>
      <c r="F98" s="6" t="s">
        <v>1664</v>
      </c>
      <c r="G98" s="6" t="s">
        <v>1655</v>
      </c>
      <c r="H98" s="8" t="s">
        <v>1665</v>
      </c>
      <c r="I98" s="4" t="s">
        <v>7</v>
      </c>
      <c r="J98" s="6" t="s">
        <v>1666</v>
      </c>
      <c r="K98" s="6" t="s">
        <v>1667</v>
      </c>
      <c r="L98" s="6"/>
      <c r="M98" s="19"/>
      <c r="N98" s="20">
        <v>25</v>
      </c>
    </row>
    <row r="99" spans="1:14" ht="55.5" customHeight="1">
      <c r="A99" s="1"/>
      <c r="B99" s="18">
        <f t="shared" si="2"/>
        <v>96</v>
      </c>
      <c r="C99" s="8">
        <v>46031</v>
      </c>
      <c r="D99" s="4" t="s">
        <v>1463</v>
      </c>
      <c r="E99" s="5" t="s">
        <v>1669</v>
      </c>
      <c r="F99" s="6" t="s">
        <v>1664</v>
      </c>
      <c r="G99" s="6" t="s">
        <v>1655</v>
      </c>
      <c r="H99" s="8" t="s">
        <v>1665</v>
      </c>
      <c r="I99" s="4" t="s">
        <v>7</v>
      </c>
      <c r="J99" s="6" t="s">
        <v>1666</v>
      </c>
      <c r="K99" s="6" t="s">
        <v>1667</v>
      </c>
      <c r="L99" s="6"/>
      <c r="M99" s="19"/>
      <c r="N99" s="20">
        <v>25</v>
      </c>
    </row>
    <row r="100" spans="1:14" ht="91.5" customHeight="1">
      <c r="A100" s="1"/>
      <c r="B100" s="18">
        <f t="shared" ref="B100:B136" si="3">ROW()-3</f>
        <v>97</v>
      </c>
      <c r="C100" s="8">
        <v>46031</v>
      </c>
      <c r="D100" s="4" t="s">
        <v>1463</v>
      </c>
      <c r="E100" s="5" t="s">
        <v>1670</v>
      </c>
      <c r="F100" s="6" t="s">
        <v>1671</v>
      </c>
      <c r="G100" s="6" t="s">
        <v>1672</v>
      </c>
      <c r="H100" s="8" t="s">
        <v>1665</v>
      </c>
      <c r="I100" s="4" t="s">
        <v>7</v>
      </c>
      <c r="J100" s="6"/>
      <c r="K100" s="6" t="s">
        <v>1673</v>
      </c>
      <c r="L100" s="6"/>
      <c r="M100" s="19"/>
      <c r="N100" s="20">
        <v>25</v>
      </c>
    </row>
    <row r="101" spans="1:14" ht="57.75" customHeight="1">
      <c r="A101" s="1"/>
      <c r="B101" s="18">
        <f t="shared" si="3"/>
        <v>98</v>
      </c>
      <c r="C101" s="8">
        <v>46035</v>
      </c>
      <c r="D101" s="5" t="s">
        <v>1502</v>
      </c>
      <c r="E101" s="5" t="s">
        <v>1674</v>
      </c>
      <c r="F101" s="6" t="s">
        <v>1675</v>
      </c>
      <c r="G101" s="6" t="s">
        <v>1676</v>
      </c>
      <c r="H101" s="8" t="s">
        <v>1524</v>
      </c>
      <c r="I101" s="4" t="s">
        <v>7</v>
      </c>
      <c r="J101" s="6"/>
      <c r="K101" s="6" t="s">
        <v>1677</v>
      </c>
      <c r="L101" s="6"/>
      <c r="M101" s="19"/>
      <c r="N101" s="20">
        <v>25</v>
      </c>
    </row>
    <row r="102" spans="1:14" ht="95.25" customHeight="1">
      <c r="A102" s="1" t="s">
        <v>1646</v>
      </c>
      <c r="B102" s="18">
        <f t="shared" si="3"/>
        <v>99</v>
      </c>
      <c r="C102" s="8">
        <v>46041</v>
      </c>
      <c r="D102" s="4" t="s">
        <v>1463</v>
      </c>
      <c r="E102" s="5" t="s">
        <v>1678</v>
      </c>
      <c r="F102" s="6" t="s">
        <v>1679</v>
      </c>
      <c r="G102" s="6" t="s">
        <v>1655</v>
      </c>
      <c r="H102" s="8" t="s">
        <v>1680</v>
      </c>
      <c r="I102" s="4" t="s">
        <v>7</v>
      </c>
      <c r="J102" s="6"/>
      <c r="K102" s="23" t="s">
        <v>1681</v>
      </c>
      <c r="L102" s="6"/>
      <c r="M102" s="19"/>
      <c r="N102" s="20">
        <v>25</v>
      </c>
    </row>
    <row r="103" spans="1:14" ht="92.25" customHeight="1">
      <c r="A103" s="1" t="s">
        <v>1646</v>
      </c>
      <c r="B103" s="18">
        <f t="shared" si="3"/>
        <v>100</v>
      </c>
      <c r="C103" s="8">
        <v>46045</v>
      </c>
      <c r="D103" s="4" t="s">
        <v>1463</v>
      </c>
      <c r="E103" s="5" t="s">
        <v>1682</v>
      </c>
      <c r="F103" s="6" t="s">
        <v>1683</v>
      </c>
      <c r="G103" s="6" t="s">
        <v>1684</v>
      </c>
      <c r="H103" s="31" t="s">
        <v>1685</v>
      </c>
      <c r="I103" s="4" t="s">
        <v>7</v>
      </c>
      <c r="J103" s="6"/>
      <c r="K103" s="6" t="s">
        <v>1686</v>
      </c>
      <c r="L103" s="6"/>
      <c r="M103" s="19"/>
      <c r="N103" s="20">
        <v>25</v>
      </c>
    </row>
    <row r="104" spans="1:14" ht="90" customHeight="1">
      <c r="A104" s="11" t="s">
        <v>1646</v>
      </c>
      <c r="B104" s="18">
        <f t="shared" si="3"/>
        <v>101</v>
      </c>
      <c r="C104" s="8">
        <v>46050</v>
      </c>
      <c r="D104" s="5" t="s">
        <v>1463</v>
      </c>
      <c r="E104" s="5" t="s">
        <v>1687</v>
      </c>
      <c r="F104" s="6" t="s">
        <v>1688</v>
      </c>
      <c r="G104" s="6" t="s">
        <v>1684</v>
      </c>
      <c r="H104" s="8" t="s">
        <v>1689</v>
      </c>
      <c r="I104" s="4" t="s">
        <v>7</v>
      </c>
      <c r="J104" s="6"/>
      <c r="K104" s="6" t="s">
        <v>1690</v>
      </c>
      <c r="L104" s="6"/>
      <c r="M104" s="19"/>
      <c r="N104" s="20">
        <v>25</v>
      </c>
    </row>
    <row r="105" spans="1:14" ht="64.5" customHeight="1">
      <c r="A105" s="11" t="s">
        <v>1646</v>
      </c>
      <c r="B105" s="18">
        <f t="shared" si="3"/>
        <v>102</v>
      </c>
      <c r="C105" s="8">
        <v>46059</v>
      </c>
      <c r="D105" s="5" t="s">
        <v>1588</v>
      </c>
      <c r="E105" s="5" t="s">
        <v>1691</v>
      </c>
      <c r="F105" s="6" t="s">
        <v>1692</v>
      </c>
      <c r="G105" s="6" t="s">
        <v>1693</v>
      </c>
      <c r="H105" s="8" t="s">
        <v>1694</v>
      </c>
      <c r="I105" s="4" t="s">
        <v>7</v>
      </c>
      <c r="J105" s="6"/>
      <c r="K105" s="6" t="s">
        <v>1695</v>
      </c>
      <c r="L105" s="6" t="s">
        <v>1696</v>
      </c>
      <c r="M105" s="19"/>
      <c r="N105" s="20">
        <v>25</v>
      </c>
    </row>
    <row r="106" spans="1:14" ht="64.5" customHeight="1">
      <c r="A106" s="11" t="s">
        <v>1646</v>
      </c>
      <c r="B106" s="18">
        <f t="shared" si="3"/>
        <v>103</v>
      </c>
      <c r="C106" s="8">
        <v>46059</v>
      </c>
      <c r="D106" s="5" t="s">
        <v>1588</v>
      </c>
      <c r="E106" s="5" t="s">
        <v>1697</v>
      </c>
      <c r="F106" s="6" t="s">
        <v>1698</v>
      </c>
      <c r="G106" s="6" t="s">
        <v>1629</v>
      </c>
      <c r="H106" s="8" t="s">
        <v>1694</v>
      </c>
      <c r="I106" s="4" t="s">
        <v>1591</v>
      </c>
      <c r="J106" s="6"/>
      <c r="K106" s="6" t="s">
        <v>1699</v>
      </c>
      <c r="L106" s="6"/>
      <c r="M106" s="19"/>
      <c r="N106" s="20" t="s">
        <v>1378</v>
      </c>
    </row>
    <row r="107" spans="1:14" ht="93.75" customHeight="1">
      <c r="A107" s="1"/>
      <c r="B107" s="18">
        <f t="shared" si="3"/>
        <v>104</v>
      </c>
      <c r="C107" s="8">
        <v>46072</v>
      </c>
      <c r="D107" s="5" t="s">
        <v>1463</v>
      </c>
      <c r="E107" s="5" t="s">
        <v>1700</v>
      </c>
      <c r="F107" s="6" t="s">
        <v>1701</v>
      </c>
      <c r="G107" s="6" t="s">
        <v>1702</v>
      </c>
      <c r="H107" s="4" t="s">
        <v>1680</v>
      </c>
      <c r="I107" s="4" t="s">
        <v>7</v>
      </c>
      <c r="J107" s="6" t="s">
        <v>1703</v>
      </c>
      <c r="K107" s="6" t="s">
        <v>1704</v>
      </c>
      <c r="L107" s="6"/>
      <c r="M107" s="19"/>
      <c r="N107" s="20">
        <v>25</v>
      </c>
    </row>
    <row r="108" spans="1:14" ht="15.75" customHeight="1">
      <c r="A108" s="1"/>
      <c r="B108" s="18">
        <f t="shared" si="3"/>
        <v>105</v>
      </c>
      <c r="C108" s="8">
        <v>46077</v>
      </c>
      <c r="D108" s="5" t="s">
        <v>1463</v>
      </c>
      <c r="E108" s="5" t="s">
        <v>1705</v>
      </c>
      <c r="F108" s="6" t="s">
        <v>1706</v>
      </c>
      <c r="G108" s="6" t="s">
        <v>1707</v>
      </c>
      <c r="H108" s="4" t="s">
        <v>1680</v>
      </c>
      <c r="I108" s="4" t="s">
        <v>7</v>
      </c>
      <c r="J108" s="6" t="s">
        <v>1708</v>
      </c>
      <c r="K108" s="6" t="s">
        <v>1709</v>
      </c>
      <c r="L108" s="6"/>
      <c r="M108" s="19"/>
      <c r="N108" s="20">
        <v>25</v>
      </c>
    </row>
    <row r="109" spans="1:14" ht="15.75" customHeight="1">
      <c r="A109" s="1"/>
      <c r="B109" s="18">
        <f t="shared" si="3"/>
        <v>106</v>
      </c>
      <c r="C109" s="8">
        <v>46077</v>
      </c>
      <c r="D109" s="5" t="s">
        <v>1463</v>
      </c>
      <c r="E109" s="5" t="s">
        <v>1710</v>
      </c>
      <c r="F109" s="6" t="s">
        <v>1706</v>
      </c>
      <c r="G109" s="6" t="s">
        <v>1684</v>
      </c>
      <c r="H109" s="4" t="s">
        <v>1680</v>
      </c>
      <c r="I109" s="4" t="s">
        <v>7</v>
      </c>
      <c r="J109" s="6" t="s">
        <v>1711</v>
      </c>
      <c r="K109" s="6" t="s">
        <v>1712</v>
      </c>
      <c r="L109" s="6"/>
      <c r="M109" s="19"/>
      <c r="N109" s="20">
        <v>25</v>
      </c>
    </row>
    <row r="110" spans="1:14" ht="15.75" customHeight="1">
      <c r="A110" s="1"/>
      <c r="B110" s="18">
        <f t="shared" si="3"/>
        <v>107</v>
      </c>
      <c r="C110" s="8">
        <v>46077</v>
      </c>
      <c r="D110" s="5" t="s">
        <v>1463</v>
      </c>
      <c r="E110" s="5" t="s">
        <v>1713</v>
      </c>
      <c r="F110" s="6" t="s">
        <v>1706</v>
      </c>
      <c r="G110" s="6" t="s">
        <v>1684</v>
      </c>
      <c r="H110" s="4" t="s">
        <v>1680</v>
      </c>
      <c r="I110" s="4" t="s">
        <v>7</v>
      </c>
      <c r="J110" s="6" t="s">
        <v>1714</v>
      </c>
      <c r="K110" s="6" t="s">
        <v>1715</v>
      </c>
      <c r="L110" s="6"/>
      <c r="M110" s="19"/>
      <c r="N110" s="20">
        <v>25</v>
      </c>
    </row>
    <row r="111" spans="1:14" ht="71.25" customHeight="1">
      <c r="A111" s="1"/>
      <c r="B111" s="18">
        <f t="shared" si="3"/>
        <v>108</v>
      </c>
      <c r="C111" s="8">
        <v>46080</v>
      </c>
      <c r="D111" s="5" t="s">
        <v>1588</v>
      </c>
      <c r="E111" s="5" t="s">
        <v>1716</v>
      </c>
      <c r="F111" s="6" t="s">
        <v>1717</v>
      </c>
      <c r="G111" s="6" t="s">
        <v>1718</v>
      </c>
      <c r="H111" s="4" t="s">
        <v>1719</v>
      </c>
      <c r="I111" s="4" t="s">
        <v>7</v>
      </c>
      <c r="J111" s="6"/>
      <c r="K111" s="6" t="s">
        <v>1720</v>
      </c>
      <c r="L111" s="6"/>
      <c r="M111" s="19"/>
      <c r="N111" s="20">
        <v>25</v>
      </c>
    </row>
    <row r="112" spans="1:14" ht="68.25" customHeight="1">
      <c r="A112" s="1"/>
      <c r="B112" s="18">
        <f t="shared" si="3"/>
        <v>109</v>
      </c>
      <c r="C112" s="8">
        <v>46080</v>
      </c>
      <c r="D112" s="4" t="s">
        <v>1272</v>
      </c>
      <c r="E112" s="5" t="s">
        <v>1721</v>
      </c>
      <c r="F112" s="6" t="s">
        <v>1722</v>
      </c>
      <c r="G112" s="6" t="s">
        <v>1723</v>
      </c>
      <c r="H112" s="4" t="s">
        <v>1719</v>
      </c>
      <c r="I112" s="4" t="s">
        <v>7</v>
      </c>
      <c r="J112" s="6"/>
      <c r="K112" s="6" t="s">
        <v>1724</v>
      </c>
      <c r="L112" s="6" t="s">
        <v>1725</v>
      </c>
      <c r="M112" s="19"/>
      <c r="N112" s="20">
        <v>25</v>
      </c>
    </row>
    <row r="113" spans="1:14" ht="31.5" customHeight="1">
      <c r="A113" s="1"/>
      <c r="B113" s="18">
        <f t="shared" si="3"/>
        <v>110</v>
      </c>
      <c r="C113" s="8">
        <v>46083</v>
      </c>
      <c r="D113" s="5" t="s">
        <v>1588</v>
      </c>
      <c r="E113" s="5" t="s">
        <v>1726</v>
      </c>
      <c r="F113" s="6" t="s">
        <v>1727</v>
      </c>
      <c r="G113" s="6" t="s">
        <v>1723</v>
      </c>
      <c r="H113" s="4" t="s">
        <v>1728</v>
      </c>
      <c r="I113" s="4" t="s">
        <v>1591</v>
      </c>
      <c r="J113" s="6"/>
      <c r="K113" s="6" t="s">
        <v>1593</v>
      </c>
      <c r="L113" s="6"/>
      <c r="M113" s="19"/>
      <c r="N113" s="20" t="s">
        <v>1378</v>
      </c>
    </row>
    <row r="114" spans="1:14" ht="69.75" customHeight="1">
      <c r="A114" s="1"/>
      <c r="B114" s="18">
        <f t="shared" si="3"/>
        <v>111</v>
      </c>
      <c r="C114" s="8">
        <v>46092</v>
      </c>
      <c r="D114" s="5" t="s">
        <v>1463</v>
      </c>
      <c r="E114" s="5" t="s">
        <v>1729</v>
      </c>
      <c r="F114" s="6" t="s">
        <v>1730</v>
      </c>
      <c r="G114" s="6" t="s">
        <v>1723</v>
      </c>
      <c r="H114" s="4" t="s">
        <v>1731</v>
      </c>
      <c r="I114" s="4" t="s">
        <v>7</v>
      </c>
      <c r="J114" s="6"/>
      <c r="K114" t="s">
        <v>1732</v>
      </c>
      <c r="L114" s="6"/>
      <c r="M114" s="19"/>
      <c r="N114" s="20">
        <v>2605</v>
      </c>
    </row>
    <row r="115" spans="1:14" ht="54" customHeight="1">
      <c r="A115" s="1"/>
      <c r="B115" s="18">
        <f t="shared" si="3"/>
        <v>112</v>
      </c>
      <c r="C115" s="8">
        <v>46093</v>
      </c>
      <c r="D115" s="4" t="s">
        <v>1733</v>
      </c>
      <c r="E115" s="5" t="s">
        <v>1734</v>
      </c>
      <c r="F115" s="6" t="s">
        <v>1735</v>
      </c>
      <c r="G115" s="6" t="s">
        <v>1723</v>
      </c>
      <c r="H115" s="4" t="s">
        <v>1736</v>
      </c>
      <c r="I115" s="4" t="s">
        <v>7</v>
      </c>
      <c r="J115" s="6"/>
      <c r="K115" s="35" t="s">
        <v>1737</v>
      </c>
      <c r="L115" s="6"/>
      <c r="M115" s="19"/>
      <c r="N115" s="20">
        <v>2604</v>
      </c>
    </row>
    <row r="116" spans="1:14" ht="49.5" customHeight="1">
      <c r="A116" s="1"/>
      <c r="B116" s="18">
        <f t="shared" si="3"/>
        <v>113</v>
      </c>
      <c r="C116" s="8">
        <v>46093</v>
      </c>
      <c r="D116" s="4" t="s">
        <v>1733</v>
      </c>
      <c r="E116" s="5" t="s">
        <v>1738</v>
      </c>
      <c r="F116" s="6" t="s">
        <v>1739</v>
      </c>
      <c r="G116" s="6" t="s">
        <v>1723</v>
      </c>
      <c r="H116" s="4" t="s">
        <v>1736</v>
      </c>
      <c r="I116" s="4" t="s">
        <v>7</v>
      </c>
      <c r="J116" s="6"/>
      <c r="K116" s="35" t="s">
        <v>1740</v>
      </c>
      <c r="L116" s="6"/>
      <c r="M116" s="19"/>
      <c r="N116" s="20">
        <v>2604</v>
      </c>
    </row>
    <row r="117" spans="1:14" ht="96.75" customHeight="1">
      <c r="A117" s="1"/>
      <c r="B117" s="18">
        <f t="shared" si="3"/>
        <v>114</v>
      </c>
      <c r="C117" s="8">
        <v>46093</v>
      </c>
      <c r="D117" s="4" t="s">
        <v>1733</v>
      </c>
      <c r="E117" s="5" t="s">
        <v>1741</v>
      </c>
      <c r="F117" s="6" t="s">
        <v>1742</v>
      </c>
      <c r="G117" s="6" t="s">
        <v>1743</v>
      </c>
      <c r="H117" s="4" t="s">
        <v>1744</v>
      </c>
      <c r="I117" s="4" t="s">
        <v>7</v>
      </c>
      <c r="J117" s="6" t="s">
        <v>1745</v>
      </c>
      <c r="K117" s="35" t="s">
        <v>1746</v>
      </c>
      <c r="L117" s="6"/>
      <c r="M117" s="19"/>
      <c r="N117" s="20">
        <v>2604</v>
      </c>
    </row>
    <row r="118" spans="1:14" ht="44.25" customHeight="1">
      <c r="A118" s="36"/>
      <c r="B118" s="18">
        <f t="shared" si="3"/>
        <v>115</v>
      </c>
      <c r="C118" s="8">
        <v>46100</v>
      </c>
      <c r="D118" s="37" t="s">
        <v>1463</v>
      </c>
      <c r="E118" s="38" t="s">
        <v>1747</v>
      </c>
      <c r="F118" s="35" t="s">
        <v>1748</v>
      </c>
      <c r="G118" s="6" t="s">
        <v>1723</v>
      </c>
      <c r="H118" s="37" t="s">
        <v>1749</v>
      </c>
      <c r="I118" s="4" t="s">
        <v>7</v>
      </c>
      <c r="J118" s="35" t="s">
        <v>1750</v>
      </c>
      <c r="K118" s="35" t="s">
        <v>1751</v>
      </c>
      <c r="L118" s="6" t="s">
        <v>1752</v>
      </c>
      <c r="M118" s="19"/>
      <c r="N118" s="20">
        <v>25</v>
      </c>
    </row>
    <row r="119" spans="1:14" ht="77.25" customHeight="1">
      <c r="A119" s="36"/>
      <c r="B119" s="39">
        <f t="shared" si="3"/>
        <v>116</v>
      </c>
      <c r="C119" s="40">
        <v>46106</v>
      </c>
      <c r="D119" s="37" t="s">
        <v>1588</v>
      </c>
      <c r="E119" s="38" t="s">
        <v>1753</v>
      </c>
      <c r="F119" s="35" t="s">
        <v>1754</v>
      </c>
      <c r="G119" s="35" t="s">
        <v>1651</v>
      </c>
      <c r="H119" s="37" t="s">
        <v>1524</v>
      </c>
      <c r="I119" s="37" t="s">
        <v>7</v>
      </c>
      <c r="J119" s="35"/>
      <c r="K119" s="35" t="s">
        <v>1755</v>
      </c>
      <c r="L119" s="6" t="s">
        <v>1756</v>
      </c>
      <c r="M119" s="19"/>
      <c r="N119" s="20">
        <v>2605</v>
      </c>
    </row>
    <row r="120" spans="1:14" ht="89.25" customHeight="1">
      <c r="A120" s="36"/>
      <c r="B120" s="39">
        <f t="shared" si="3"/>
        <v>117</v>
      </c>
      <c r="C120" s="40">
        <v>46111</v>
      </c>
      <c r="D120" s="37" t="s">
        <v>1463</v>
      </c>
      <c r="E120" s="38" t="s">
        <v>1757</v>
      </c>
      <c r="F120" s="35" t="s">
        <v>1758</v>
      </c>
      <c r="G120" s="35" t="s">
        <v>1684</v>
      </c>
      <c r="H120" s="37" t="s">
        <v>1759</v>
      </c>
      <c r="I120" s="37" t="s">
        <v>7</v>
      </c>
      <c r="J120" s="35"/>
      <c r="K120" s="35" t="s">
        <v>1760</v>
      </c>
      <c r="L120" s="41" t="s">
        <v>1761</v>
      </c>
      <c r="M120" s="19"/>
      <c r="N120" s="20">
        <v>2604</v>
      </c>
    </row>
    <row r="121" spans="1:14" ht="109.5" customHeight="1">
      <c r="A121" s="36"/>
      <c r="B121" s="39">
        <f t="shared" si="3"/>
        <v>118</v>
      </c>
      <c r="C121" s="40">
        <v>46111</v>
      </c>
      <c r="D121" s="37" t="s">
        <v>1254</v>
      </c>
      <c r="E121" s="38" t="s">
        <v>1762</v>
      </c>
      <c r="F121" s="35" t="s">
        <v>1763</v>
      </c>
      <c r="G121" s="35" t="s">
        <v>1764</v>
      </c>
      <c r="H121" s="37" t="s">
        <v>1759</v>
      </c>
      <c r="I121" s="37" t="s">
        <v>7</v>
      </c>
      <c r="J121" s="35"/>
      <c r="K121" s="35" t="s">
        <v>1765</v>
      </c>
      <c r="L121" s="41"/>
      <c r="M121" s="19"/>
      <c r="N121" s="20">
        <v>2604</v>
      </c>
    </row>
    <row r="122" spans="1:14" ht="77.25" customHeight="1">
      <c r="A122" s="36"/>
      <c r="B122" s="42">
        <f t="shared" si="3"/>
        <v>119</v>
      </c>
      <c r="C122" s="43">
        <v>46115</v>
      </c>
      <c r="D122" s="44" t="s">
        <v>1254</v>
      </c>
      <c r="E122" s="45" t="s">
        <v>1766</v>
      </c>
      <c r="F122" s="46" t="s">
        <v>1767</v>
      </c>
      <c r="G122" s="35" t="s">
        <v>1768</v>
      </c>
      <c r="H122" s="37" t="s">
        <v>1759</v>
      </c>
      <c r="I122" s="37" t="s">
        <v>1591</v>
      </c>
      <c r="J122" s="35" t="s">
        <v>1769</v>
      </c>
      <c r="K122" s="35" t="s">
        <v>1770</v>
      </c>
      <c r="L122" s="41"/>
      <c r="M122" s="19"/>
      <c r="N122" s="20" t="s">
        <v>1378</v>
      </c>
    </row>
    <row r="123" spans="1:14" ht="77.25" customHeight="1">
      <c r="A123" s="36"/>
      <c r="B123" s="39">
        <f t="shared" si="3"/>
        <v>120</v>
      </c>
      <c r="C123" s="40">
        <v>46115</v>
      </c>
      <c r="D123" s="37" t="s">
        <v>1463</v>
      </c>
      <c r="E123" s="38" t="s">
        <v>1771</v>
      </c>
      <c r="F123" s="35" t="s">
        <v>1772</v>
      </c>
      <c r="G123" s="35" t="s">
        <v>1773</v>
      </c>
      <c r="H123" s="37" t="s">
        <v>1759</v>
      </c>
      <c r="I123" s="37" t="s">
        <v>7</v>
      </c>
      <c r="J123" s="35"/>
      <c r="K123" s="35" t="s">
        <v>1774</v>
      </c>
      <c r="L123" s="41" t="s">
        <v>1775</v>
      </c>
      <c r="M123" s="19" t="s">
        <v>116</v>
      </c>
      <c r="N123" s="20">
        <v>2604</v>
      </c>
    </row>
    <row r="124" spans="1:14" ht="54.75" customHeight="1">
      <c r="A124" s="36"/>
      <c r="B124" s="39">
        <f t="shared" si="3"/>
        <v>121</v>
      </c>
      <c r="C124" s="40">
        <v>46120</v>
      </c>
      <c r="D124" s="37" t="s">
        <v>1272</v>
      </c>
      <c r="E124" s="38" t="s">
        <v>1776</v>
      </c>
      <c r="F124" s="35" t="s">
        <v>1777</v>
      </c>
      <c r="G124" s="35" t="s">
        <v>1778</v>
      </c>
      <c r="H124" s="37" t="s">
        <v>1779</v>
      </c>
      <c r="I124" s="37" t="s">
        <v>7</v>
      </c>
      <c r="J124" s="35"/>
      <c r="K124" s="35" t="s">
        <v>1780</v>
      </c>
      <c r="L124" s="41"/>
      <c r="M124" s="19" t="s">
        <v>116</v>
      </c>
      <c r="N124" s="20">
        <v>2604</v>
      </c>
    </row>
    <row r="125" spans="1:14" ht="61.5" customHeight="1">
      <c r="A125" s="36"/>
      <c r="B125" s="39">
        <f t="shared" si="3"/>
        <v>122</v>
      </c>
      <c r="C125" s="40">
        <v>46120</v>
      </c>
      <c r="D125" s="37" t="s">
        <v>1463</v>
      </c>
      <c r="E125" s="38" t="s">
        <v>1781</v>
      </c>
      <c r="F125" s="35" t="s">
        <v>1782</v>
      </c>
      <c r="G125" s="35" t="s">
        <v>1723</v>
      </c>
      <c r="H125" s="37" t="s">
        <v>1524</v>
      </c>
      <c r="I125" s="37" t="s">
        <v>7</v>
      </c>
      <c r="J125" s="35"/>
      <c r="K125" s="35" t="s">
        <v>1783</v>
      </c>
      <c r="L125" s="41" t="s">
        <v>1784</v>
      </c>
      <c r="M125" s="19" t="s">
        <v>116</v>
      </c>
      <c r="N125" s="20">
        <v>2604</v>
      </c>
    </row>
    <row r="126" spans="1:14" ht="126" customHeight="1">
      <c r="A126" s="36"/>
      <c r="B126" s="39">
        <f t="shared" si="3"/>
        <v>123</v>
      </c>
      <c r="C126" s="40">
        <v>46129</v>
      </c>
      <c r="D126" s="37" t="s">
        <v>1254</v>
      </c>
      <c r="E126" s="38" t="s">
        <v>1762</v>
      </c>
      <c r="F126" s="35" t="s">
        <v>1785</v>
      </c>
      <c r="G126" s="35" t="s">
        <v>1764</v>
      </c>
      <c r="H126" s="37" t="s">
        <v>1524</v>
      </c>
      <c r="I126" s="37" t="s">
        <v>7</v>
      </c>
      <c r="J126" s="35"/>
      <c r="K126" s="35" t="s">
        <v>1786</v>
      </c>
      <c r="L126" s="41"/>
      <c r="M126" s="19" t="s">
        <v>116</v>
      </c>
      <c r="N126" s="20">
        <v>2604</v>
      </c>
    </row>
    <row r="127" spans="1:14" ht="75" customHeight="1">
      <c r="A127" s="36"/>
      <c r="B127" s="39">
        <f t="shared" si="3"/>
        <v>124</v>
      </c>
      <c r="C127" s="40">
        <v>46153</v>
      </c>
      <c r="D127" s="37" t="s">
        <v>21</v>
      </c>
      <c r="E127" s="38" t="s">
        <v>1787</v>
      </c>
      <c r="F127" s="35" t="s">
        <v>1788</v>
      </c>
      <c r="G127" s="47" t="s">
        <v>1789</v>
      </c>
      <c r="H127" s="37" t="s">
        <v>1524</v>
      </c>
      <c r="I127" s="37" t="s">
        <v>7</v>
      </c>
      <c r="J127" s="35" t="s">
        <v>1790</v>
      </c>
      <c r="K127" s="35" t="s">
        <v>1791</v>
      </c>
      <c r="L127" s="48"/>
      <c r="M127" s="49" t="s">
        <v>116</v>
      </c>
      <c r="N127" s="50">
        <v>2605</v>
      </c>
    </row>
    <row r="128" spans="1:14" ht="54.75" customHeight="1">
      <c r="A128" s="36"/>
      <c r="B128" s="39">
        <f t="shared" si="3"/>
        <v>125</v>
      </c>
      <c r="C128" s="40">
        <v>46157</v>
      </c>
      <c r="D128" s="37" t="s">
        <v>1792</v>
      </c>
      <c r="E128" s="38" t="s">
        <v>1793</v>
      </c>
      <c r="F128" s="35" t="s">
        <v>1794</v>
      </c>
      <c r="G128" s="35" t="s">
        <v>1795</v>
      </c>
      <c r="H128" s="37" t="s">
        <v>1796</v>
      </c>
      <c r="I128" s="37" t="s">
        <v>7</v>
      </c>
      <c r="J128" s="35"/>
      <c r="K128" s="35" t="s">
        <v>1797</v>
      </c>
      <c r="L128" s="48"/>
      <c r="M128" s="49" t="s">
        <v>116</v>
      </c>
      <c r="N128" s="49">
        <v>2605</v>
      </c>
    </row>
    <row r="129" spans="1:14" ht="52.5" customHeight="1">
      <c r="A129" s="36"/>
      <c r="B129" s="39">
        <f t="shared" si="3"/>
        <v>126</v>
      </c>
      <c r="C129" s="40">
        <v>46162</v>
      </c>
      <c r="D129" s="37" t="s">
        <v>1798</v>
      </c>
      <c r="E129" s="38" t="s">
        <v>1799</v>
      </c>
      <c r="F129" s="35" t="s">
        <v>1800</v>
      </c>
      <c r="G129" s="35" t="s">
        <v>1764</v>
      </c>
      <c r="H129" s="37" t="s">
        <v>1524</v>
      </c>
      <c r="I129" s="37" t="s">
        <v>1801</v>
      </c>
      <c r="J129" s="35"/>
      <c r="K129" s="35"/>
      <c r="L129" s="48"/>
      <c r="M129" s="49" t="s">
        <v>116</v>
      </c>
      <c r="N129" s="49"/>
    </row>
    <row r="130" spans="1:14" ht="57" customHeight="1">
      <c r="A130" s="36"/>
      <c r="B130" s="39">
        <f t="shared" si="3"/>
        <v>127</v>
      </c>
      <c r="C130" s="40">
        <v>46162</v>
      </c>
      <c r="D130" s="37" t="s">
        <v>1463</v>
      </c>
      <c r="E130" s="38" t="s">
        <v>1802</v>
      </c>
      <c r="F130" s="35" t="s">
        <v>1803</v>
      </c>
      <c r="G130" s="35" t="s">
        <v>1804</v>
      </c>
      <c r="H130" s="37" t="s">
        <v>1796</v>
      </c>
      <c r="I130" s="37" t="s">
        <v>7</v>
      </c>
      <c r="J130" s="35" t="s">
        <v>1805</v>
      </c>
      <c r="K130" s="35" t="s">
        <v>1806</v>
      </c>
      <c r="L130" s="48" t="s">
        <v>1807</v>
      </c>
      <c r="M130" s="49" t="s">
        <v>4</v>
      </c>
      <c r="N130" s="49">
        <v>2605</v>
      </c>
    </row>
    <row r="131" spans="1:14" ht="76.5" customHeight="1">
      <c r="A131" s="36"/>
      <c r="B131" s="39">
        <f t="shared" si="3"/>
        <v>128</v>
      </c>
      <c r="C131" s="40">
        <v>46171</v>
      </c>
      <c r="D131" s="37" t="s">
        <v>1808</v>
      </c>
      <c r="E131" s="38" t="s">
        <v>1809</v>
      </c>
      <c r="F131" s="35" t="s">
        <v>1810</v>
      </c>
      <c r="G131" s="35" t="s">
        <v>1655</v>
      </c>
      <c r="H131" s="37" t="s">
        <v>1811</v>
      </c>
      <c r="I131" s="37" t="s">
        <v>7</v>
      </c>
      <c r="J131" s="35"/>
      <c r="K131" s="35" t="s">
        <v>1812</v>
      </c>
      <c r="L131" s="48" t="s">
        <v>1813</v>
      </c>
      <c r="M131" s="49" t="s">
        <v>116</v>
      </c>
      <c r="N131" s="49">
        <v>2606</v>
      </c>
    </row>
    <row r="132" spans="1:14" ht="59.25" customHeight="1">
      <c r="A132" s="36"/>
      <c r="B132" s="39">
        <f t="shared" si="3"/>
        <v>129</v>
      </c>
      <c r="C132" s="40">
        <v>46177</v>
      </c>
      <c r="D132" s="37" t="s">
        <v>1463</v>
      </c>
      <c r="E132" s="38" t="s">
        <v>1814</v>
      </c>
      <c r="F132" s="35" t="s">
        <v>1815</v>
      </c>
      <c r="G132" s="35" t="s">
        <v>1804</v>
      </c>
      <c r="H132" s="40"/>
      <c r="I132" s="37" t="s">
        <v>7</v>
      </c>
      <c r="J132" s="35"/>
      <c r="K132" s="35" t="s">
        <v>1816</v>
      </c>
      <c r="L132" s="48" t="s">
        <v>1817</v>
      </c>
      <c r="M132" s="49" t="s">
        <v>116</v>
      </c>
      <c r="N132" s="49">
        <v>2606</v>
      </c>
    </row>
    <row r="133" spans="1:14" ht="54" customHeight="1">
      <c r="A133" s="36"/>
      <c r="B133" s="39">
        <f t="shared" si="3"/>
        <v>130</v>
      </c>
      <c r="C133" s="40">
        <v>46185</v>
      </c>
      <c r="D133" s="37" t="s">
        <v>1463</v>
      </c>
      <c r="E133" s="38" t="s">
        <v>1818</v>
      </c>
      <c r="F133" s="35" t="s">
        <v>1819</v>
      </c>
      <c r="G133" s="35" t="s">
        <v>1684</v>
      </c>
      <c r="H133" s="37" t="s">
        <v>1820</v>
      </c>
      <c r="I133" s="37" t="s">
        <v>7</v>
      </c>
      <c r="J133" s="35"/>
      <c r="K133" s="35" t="s">
        <v>1821</v>
      </c>
      <c r="L133" s="48"/>
      <c r="M133" s="49" t="s">
        <v>116</v>
      </c>
      <c r="N133" s="49">
        <v>2606</v>
      </c>
    </row>
    <row r="134" spans="1:14" ht="57.75" customHeight="1">
      <c r="A134" s="36"/>
      <c r="B134" s="39">
        <f t="shared" si="3"/>
        <v>131</v>
      </c>
      <c r="C134" s="40">
        <v>46197</v>
      </c>
      <c r="D134" s="37" t="s">
        <v>1463</v>
      </c>
      <c r="E134" s="38" t="s">
        <v>1822</v>
      </c>
      <c r="F134" s="35" t="s">
        <v>1823</v>
      </c>
      <c r="G134" s="35" t="s">
        <v>1824</v>
      </c>
      <c r="H134" s="37" t="s">
        <v>1524</v>
      </c>
      <c r="I134" s="37" t="s">
        <v>7</v>
      </c>
      <c r="J134" s="35"/>
      <c r="K134" s="35" t="s">
        <v>1825</v>
      </c>
      <c r="L134" s="48" t="s">
        <v>1826</v>
      </c>
      <c r="M134" s="49" t="s">
        <v>116</v>
      </c>
      <c r="N134" s="49">
        <v>2606</v>
      </c>
    </row>
    <row r="135" spans="1:14" ht="74.25" customHeight="1">
      <c r="A135" s="36"/>
      <c r="B135" s="39">
        <f t="shared" si="3"/>
        <v>132</v>
      </c>
      <c r="C135" s="40">
        <v>46198</v>
      </c>
      <c r="D135" s="37" t="s">
        <v>1463</v>
      </c>
      <c r="E135" s="38" t="s">
        <v>1827</v>
      </c>
      <c r="F135" s="51" t="s">
        <v>1828</v>
      </c>
      <c r="G135" s="35" t="s">
        <v>1684</v>
      </c>
      <c r="H135" s="37" t="s">
        <v>1829</v>
      </c>
      <c r="I135" s="37" t="s">
        <v>7</v>
      </c>
      <c r="J135" s="35"/>
      <c r="K135" s="35" t="s">
        <v>1830</v>
      </c>
      <c r="L135" s="48"/>
      <c r="M135" s="49" t="s">
        <v>116</v>
      </c>
      <c r="N135" s="49">
        <v>2606</v>
      </c>
    </row>
    <row r="136" spans="1:14" ht="120.75" customHeight="1">
      <c r="A136" s="36"/>
      <c r="B136" s="39">
        <f t="shared" si="3"/>
        <v>133</v>
      </c>
      <c r="C136" s="40">
        <v>46199</v>
      </c>
      <c r="D136" s="37" t="s">
        <v>1733</v>
      </c>
      <c r="E136" s="38" t="s">
        <v>1831</v>
      </c>
      <c r="F136" s="35" t="s">
        <v>1832</v>
      </c>
      <c r="G136" s="35" t="s">
        <v>1655</v>
      </c>
      <c r="H136" s="37" t="s">
        <v>1524</v>
      </c>
      <c r="I136" s="37" t="s">
        <v>7</v>
      </c>
      <c r="J136" s="35" t="s">
        <v>1833</v>
      </c>
      <c r="K136" s="35" t="s">
        <v>1834</v>
      </c>
      <c r="L136" s="48" t="s">
        <v>1835</v>
      </c>
      <c r="M136" s="49" t="s">
        <v>116</v>
      </c>
      <c r="N136" s="49">
        <v>2606</v>
      </c>
    </row>
    <row r="137" spans="1:14" ht="15.75" customHeight="1">
      <c r="A137" s="36"/>
      <c r="B137" s="52"/>
      <c r="C137" s="40"/>
      <c r="D137" s="37"/>
      <c r="E137" s="38"/>
      <c r="F137" s="35"/>
      <c r="G137" s="35"/>
      <c r="H137" s="40"/>
      <c r="I137" s="37"/>
      <c r="J137" s="35"/>
      <c r="K137" s="35"/>
      <c r="L137" s="48"/>
      <c r="M137" s="49"/>
      <c r="N137" s="49"/>
    </row>
    <row r="138" spans="1:14" ht="15.75" customHeight="1">
      <c r="A138" s="36"/>
      <c r="B138" s="52"/>
      <c r="C138" s="40"/>
      <c r="D138" s="37"/>
      <c r="E138" s="38"/>
      <c r="F138" s="35"/>
      <c r="G138" s="35"/>
      <c r="H138" s="40"/>
      <c r="I138" s="37"/>
      <c r="J138" s="35"/>
      <c r="K138" s="35"/>
      <c r="L138" s="48"/>
      <c r="M138" s="49"/>
      <c r="N138" s="49"/>
    </row>
    <row r="139" spans="1:14" ht="15.75" customHeight="1">
      <c r="A139" s="36"/>
      <c r="B139" s="52"/>
      <c r="C139" s="40"/>
      <c r="D139" s="37"/>
      <c r="E139" s="38"/>
      <c r="F139" s="35"/>
      <c r="G139" s="35"/>
      <c r="H139" s="40"/>
      <c r="I139" s="37"/>
      <c r="J139" s="35"/>
      <c r="K139" s="35"/>
      <c r="L139" s="48"/>
      <c r="M139" s="49"/>
      <c r="N139" s="49"/>
    </row>
    <row r="140" spans="1:14" ht="15.75" customHeight="1">
      <c r="A140" s="36"/>
      <c r="B140" s="52"/>
      <c r="C140" s="40"/>
      <c r="D140" s="37"/>
      <c r="E140" s="38"/>
      <c r="F140" s="35"/>
      <c r="G140" s="35"/>
      <c r="H140" s="40"/>
      <c r="I140" s="37"/>
      <c r="J140" s="35"/>
      <c r="K140" s="35"/>
      <c r="L140" s="48"/>
      <c r="M140" s="49"/>
      <c r="N140" s="49"/>
    </row>
    <row r="141" spans="1:14" ht="15.75" customHeight="1">
      <c r="A141" s="36"/>
      <c r="B141" s="52"/>
      <c r="C141" s="40"/>
      <c r="D141" s="37"/>
      <c r="E141" s="38"/>
      <c r="F141" s="35"/>
      <c r="G141" s="35"/>
      <c r="H141" s="40"/>
      <c r="I141" s="37"/>
      <c r="J141" s="35"/>
      <c r="K141" s="35"/>
      <c r="L141" s="48"/>
      <c r="M141" s="49"/>
      <c r="N141" s="49"/>
    </row>
    <row r="142" spans="1:14" ht="15.75" customHeight="1">
      <c r="A142" s="36"/>
      <c r="B142" s="52"/>
      <c r="C142" s="40"/>
      <c r="D142" s="37"/>
      <c r="E142" s="38"/>
      <c r="F142" s="35"/>
      <c r="G142" s="35"/>
      <c r="H142" s="40"/>
      <c r="I142" s="37"/>
      <c r="J142" s="35"/>
      <c r="K142" s="35"/>
      <c r="L142" s="48"/>
      <c r="M142" s="49"/>
      <c r="N142" s="49"/>
    </row>
    <row r="143" spans="1:14" ht="15.75" customHeight="1">
      <c r="A143" s="36"/>
      <c r="B143" s="52"/>
      <c r="C143" s="40"/>
      <c r="D143" s="37"/>
      <c r="E143" s="38"/>
      <c r="F143" s="35"/>
      <c r="G143" s="35"/>
      <c r="H143" s="40"/>
      <c r="I143" s="37"/>
      <c r="J143" s="35"/>
      <c r="K143" s="35"/>
      <c r="L143" s="48"/>
      <c r="M143" s="49"/>
      <c r="N143" s="49"/>
    </row>
    <row r="144" spans="1:14" ht="15.75" customHeight="1">
      <c r="A144" s="36"/>
      <c r="B144" s="52"/>
      <c r="C144" s="40"/>
      <c r="D144" s="37"/>
      <c r="E144" s="38"/>
      <c r="F144" s="35"/>
      <c r="G144" s="35"/>
      <c r="H144" s="40"/>
      <c r="I144" s="37"/>
      <c r="J144" s="35"/>
      <c r="K144" s="35"/>
      <c r="L144" s="48"/>
      <c r="M144" s="49"/>
      <c r="N144" s="49"/>
    </row>
    <row r="145" spans="1:14" ht="15.75" customHeight="1">
      <c r="A145" s="36"/>
      <c r="B145" s="52"/>
      <c r="C145" s="40"/>
      <c r="D145" s="37"/>
      <c r="E145" s="38"/>
      <c r="F145" s="35"/>
      <c r="G145" s="35"/>
      <c r="H145" s="40"/>
      <c r="I145" s="37"/>
      <c r="J145" s="35"/>
      <c r="K145" s="35"/>
      <c r="L145" s="48"/>
      <c r="M145" s="49"/>
      <c r="N145" s="49"/>
    </row>
    <row r="146" spans="1:14" ht="15.75" customHeight="1">
      <c r="A146" s="36"/>
      <c r="B146" s="52"/>
      <c r="C146" s="40"/>
      <c r="D146" s="37"/>
      <c r="E146" s="38"/>
      <c r="F146" s="35"/>
      <c r="G146" s="35"/>
      <c r="H146" s="40"/>
      <c r="I146" s="37"/>
      <c r="J146" s="35"/>
      <c r="K146" s="35"/>
      <c r="L146" s="48"/>
      <c r="M146" s="49"/>
      <c r="N146" s="49"/>
    </row>
    <row r="147" spans="1:14" ht="15.75" customHeight="1">
      <c r="A147" s="36"/>
      <c r="B147" s="52"/>
      <c r="C147" s="40"/>
      <c r="D147" s="37"/>
      <c r="E147" s="38"/>
      <c r="F147" s="35"/>
      <c r="G147" s="35"/>
      <c r="H147" s="40"/>
      <c r="I147" s="37"/>
      <c r="J147" s="35"/>
      <c r="K147" s="35"/>
      <c r="L147" s="48"/>
      <c r="M147" s="49"/>
      <c r="N147" s="49"/>
    </row>
    <row r="148" spans="1:14" ht="15.75" customHeight="1">
      <c r="A148" s="36"/>
      <c r="B148" s="52"/>
      <c r="C148" s="40"/>
      <c r="D148" s="37"/>
      <c r="E148" s="38"/>
      <c r="F148" s="35"/>
      <c r="G148" s="35"/>
      <c r="H148" s="40"/>
      <c r="I148" s="37"/>
      <c r="J148" s="35"/>
      <c r="K148" s="35"/>
      <c r="L148" s="48"/>
      <c r="M148" s="49"/>
      <c r="N148" s="49"/>
    </row>
    <row r="149" spans="1:14" ht="15.75" customHeight="1">
      <c r="A149" s="36"/>
      <c r="B149" s="52"/>
      <c r="C149" s="40"/>
      <c r="D149" s="37"/>
      <c r="E149" s="38"/>
      <c r="F149" s="35"/>
      <c r="G149" s="35"/>
      <c r="H149" s="40"/>
      <c r="I149" s="37"/>
      <c r="J149" s="35"/>
      <c r="K149" s="35"/>
      <c r="L149" s="48"/>
      <c r="M149" s="49"/>
      <c r="N149" s="49"/>
    </row>
    <row r="150" spans="1:14" ht="15.75" customHeight="1">
      <c r="A150" s="36"/>
      <c r="B150" s="52"/>
      <c r="C150" s="40"/>
      <c r="D150" s="37"/>
      <c r="E150" s="38"/>
      <c r="F150" s="35"/>
      <c r="G150" s="35"/>
      <c r="H150" s="40"/>
      <c r="I150" s="37"/>
      <c r="J150" s="35"/>
      <c r="K150" s="35"/>
      <c r="L150" s="48"/>
      <c r="M150" s="49"/>
      <c r="N150" s="49"/>
    </row>
    <row r="151" spans="1:14" ht="15.75" customHeight="1">
      <c r="A151" s="36"/>
      <c r="B151" s="52"/>
      <c r="C151" s="40"/>
      <c r="D151" s="37"/>
      <c r="E151" s="38"/>
      <c r="F151" s="35"/>
      <c r="G151" s="35"/>
      <c r="H151" s="40"/>
      <c r="I151" s="37"/>
      <c r="J151" s="35"/>
      <c r="K151" s="35"/>
      <c r="L151" s="48"/>
      <c r="M151" s="49"/>
      <c r="N151" s="49"/>
    </row>
    <row r="152" spans="1:14" ht="15.75" customHeight="1">
      <c r="A152" s="36"/>
      <c r="B152" s="52"/>
      <c r="C152" s="40"/>
      <c r="D152" s="37"/>
      <c r="E152" s="38"/>
      <c r="F152" s="35"/>
      <c r="G152" s="35"/>
      <c r="H152" s="40"/>
      <c r="I152" s="37"/>
      <c r="J152" s="35"/>
      <c r="K152" s="35"/>
      <c r="L152" s="48"/>
      <c r="M152" s="49"/>
      <c r="N152" s="49"/>
    </row>
    <row r="153" spans="1:14" ht="15.75" customHeight="1">
      <c r="A153" s="36"/>
      <c r="B153" s="52"/>
      <c r="C153" s="40"/>
      <c r="D153" s="37"/>
      <c r="E153" s="38"/>
      <c r="F153" s="35"/>
      <c r="G153" s="35"/>
      <c r="H153" s="40"/>
      <c r="I153" s="37"/>
      <c r="J153" s="35"/>
      <c r="K153" s="35"/>
      <c r="L153" s="48"/>
      <c r="M153" s="49"/>
      <c r="N153" s="49"/>
    </row>
    <row r="154" spans="1:14" ht="15.75" customHeight="1">
      <c r="A154" s="36"/>
      <c r="B154" s="52"/>
      <c r="C154" s="40"/>
      <c r="D154" s="37"/>
      <c r="E154" s="38"/>
      <c r="F154" s="35"/>
      <c r="G154" s="35"/>
      <c r="H154" s="40"/>
      <c r="I154" s="37"/>
      <c r="J154" s="35"/>
      <c r="K154" s="35"/>
      <c r="L154" s="48"/>
      <c r="M154" s="49"/>
      <c r="N154" s="49"/>
    </row>
    <row r="155" spans="1:14" ht="15.75" customHeight="1">
      <c r="A155" s="36"/>
      <c r="B155" s="52"/>
      <c r="C155" s="40"/>
      <c r="D155" s="37"/>
      <c r="E155" s="38"/>
      <c r="F155" s="35"/>
      <c r="G155" s="35"/>
      <c r="H155" s="40"/>
      <c r="I155" s="37"/>
      <c r="J155" s="35"/>
      <c r="K155" s="35"/>
      <c r="L155" s="48"/>
      <c r="M155" s="49"/>
      <c r="N155" s="49"/>
    </row>
    <row r="156" spans="1:14" ht="15.75" customHeight="1">
      <c r="A156" s="36"/>
      <c r="B156" s="52"/>
      <c r="C156" s="40"/>
      <c r="D156" s="37"/>
      <c r="E156" s="38"/>
      <c r="F156" s="35"/>
      <c r="G156" s="35"/>
      <c r="H156" s="40"/>
      <c r="I156" s="37"/>
      <c r="J156" s="35"/>
      <c r="K156" s="35"/>
      <c r="L156" s="48"/>
      <c r="M156" s="49"/>
      <c r="N156" s="49"/>
    </row>
    <row r="157" spans="1:14" ht="15.75" customHeight="1">
      <c r="A157" s="36"/>
      <c r="B157" s="52"/>
      <c r="C157" s="40"/>
      <c r="D157" s="37"/>
      <c r="E157" s="38"/>
      <c r="F157" s="35"/>
      <c r="G157" s="35"/>
      <c r="H157" s="40"/>
      <c r="I157" s="37"/>
      <c r="J157" s="35"/>
      <c r="K157" s="35"/>
      <c r="L157" s="48"/>
      <c r="M157" s="49"/>
      <c r="N157" s="49"/>
    </row>
    <row r="158" spans="1:14" ht="15.75" customHeight="1">
      <c r="A158" s="36"/>
      <c r="B158" s="52"/>
      <c r="C158" s="40"/>
      <c r="D158" s="37"/>
      <c r="E158" s="38"/>
      <c r="F158" s="35"/>
      <c r="G158" s="35"/>
      <c r="H158" s="40"/>
      <c r="I158" s="37"/>
      <c r="J158" s="35"/>
      <c r="K158" s="35"/>
      <c r="L158" s="48"/>
      <c r="M158" s="49"/>
      <c r="N158" s="49"/>
    </row>
    <row r="159" spans="1:14" ht="15.75" customHeight="1">
      <c r="A159" s="36"/>
      <c r="B159" s="52"/>
      <c r="C159" s="40"/>
      <c r="D159" s="37"/>
      <c r="E159" s="38"/>
      <c r="F159" s="35"/>
      <c r="G159" s="35"/>
      <c r="H159" s="40"/>
      <c r="I159" s="37"/>
      <c r="J159" s="35"/>
      <c r="K159" s="35"/>
      <c r="L159" s="48"/>
      <c r="M159" s="49"/>
      <c r="N159" s="49"/>
    </row>
    <row r="160" spans="1:14" ht="15.75" customHeight="1">
      <c r="A160" s="36"/>
      <c r="B160" s="52"/>
      <c r="C160" s="40"/>
      <c r="D160" s="37"/>
      <c r="E160" s="38"/>
      <c r="F160" s="35"/>
      <c r="G160" s="35"/>
      <c r="H160" s="40"/>
      <c r="I160" s="37"/>
      <c r="J160" s="35"/>
      <c r="K160" s="35"/>
      <c r="L160" s="48"/>
      <c r="M160" s="49"/>
      <c r="N160" s="49"/>
    </row>
    <row r="161" spans="1:14" ht="15.75" customHeight="1">
      <c r="A161" s="36"/>
      <c r="B161" s="52"/>
      <c r="C161" s="40"/>
      <c r="D161" s="37"/>
      <c r="E161" s="38"/>
      <c r="F161" s="35"/>
      <c r="G161" s="35"/>
      <c r="H161" s="40"/>
      <c r="I161" s="37"/>
      <c r="J161" s="35"/>
      <c r="K161" s="35"/>
      <c r="L161" s="48"/>
      <c r="M161" s="49"/>
      <c r="N161" s="49"/>
    </row>
    <row r="162" spans="1:14" ht="15.75" customHeight="1">
      <c r="A162" s="36"/>
      <c r="B162" s="52"/>
      <c r="C162" s="40"/>
      <c r="D162" s="37"/>
      <c r="E162" s="38"/>
      <c r="F162" s="35"/>
      <c r="G162" s="35"/>
      <c r="H162" s="40"/>
      <c r="I162" s="37"/>
      <c r="J162" s="35"/>
      <c r="K162" s="35"/>
      <c r="L162" s="48"/>
      <c r="M162" s="49"/>
      <c r="N162" s="49"/>
    </row>
    <row r="163" spans="1:14" ht="15.75" customHeight="1">
      <c r="A163" s="36"/>
      <c r="B163" s="52"/>
      <c r="C163" s="40"/>
      <c r="D163" s="37"/>
      <c r="E163" s="38"/>
      <c r="F163" s="35"/>
      <c r="G163" s="35"/>
      <c r="H163" s="40"/>
      <c r="I163" s="37"/>
      <c r="J163" s="35"/>
      <c r="K163" s="35"/>
      <c r="L163" s="48"/>
      <c r="M163" s="49"/>
      <c r="N163" s="49"/>
    </row>
    <row r="164" spans="1:14" ht="15.75" customHeight="1">
      <c r="A164" s="36"/>
      <c r="B164" s="52"/>
      <c r="C164" s="40"/>
      <c r="D164" s="37"/>
      <c r="E164" s="38"/>
      <c r="F164" s="35"/>
      <c r="G164" s="35"/>
      <c r="H164" s="40"/>
      <c r="I164" s="37"/>
      <c r="J164" s="35"/>
      <c r="K164" s="35"/>
      <c r="L164" s="48"/>
      <c r="M164" s="49"/>
      <c r="N164" s="49"/>
    </row>
    <row r="165" spans="1:14" ht="15.75" customHeight="1">
      <c r="A165" s="36"/>
      <c r="B165" s="52"/>
      <c r="C165" s="40"/>
      <c r="D165" s="37"/>
      <c r="E165" s="38"/>
      <c r="F165" s="35"/>
      <c r="G165" s="35"/>
      <c r="H165" s="40"/>
      <c r="I165" s="37"/>
      <c r="J165" s="35"/>
      <c r="K165" s="35"/>
      <c r="L165" s="48"/>
      <c r="M165" s="49"/>
      <c r="N165" s="49"/>
    </row>
    <row r="166" spans="1:14" ht="15.75" customHeight="1">
      <c r="A166" s="36"/>
      <c r="B166" s="52"/>
      <c r="C166" s="40"/>
      <c r="D166" s="37"/>
      <c r="E166" s="38"/>
      <c r="F166" s="35"/>
      <c r="G166" s="35"/>
      <c r="H166" s="40"/>
      <c r="I166" s="37"/>
      <c r="J166" s="35"/>
      <c r="K166" s="35"/>
      <c r="L166" s="48"/>
      <c r="M166" s="49"/>
      <c r="N166" s="49"/>
    </row>
    <row r="167" spans="1:14" ht="15.75" customHeight="1">
      <c r="A167" s="36"/>
      <c r="B167" s="52"/>
      <c r="C167" s="40"/>
      <c r="D167" s="37"/>
      <c r="E167" s="38"/>
      <c r="F167" s="35"/>
      <c r="G167" s="35"/>
      <c r="H167" s="40"/>
      <c r="I167" s="37"/>
      <c r="J167" s="35"/>
      <c r="K167" s="35"/>
      <c r="L167" s="48"/>
      <c r="M167" s="49"/>
      <c r="N167" s="49"/>
    </row>
    <row r="168" spans="1:14" ht="15.75" customHeight="1">
      <c r="A168" s="36"/>
      <c r="B168" s="52"/>
      <c r="C168" s="40"/>
      <c r="D168" s="37"/>
      <c r="E168" s="38"/>
      <c r="F168" s="35"/>
      <c r="G168" s="35"/>
      <c r="H168" s="40"/>
      <c r="I168" s="37"/>
      <c r="J168" s="35"/>
      <c r="K168" s="35"/>
      <c r="L168" s="48"/>
      <c r="M168" s="49"/>
      <c r="N168" s="49"/>
    </row>
    <row r="169" spans="1:14" ht="15.75" customHeight="1">
      <c r="A169" s="36"/>
      <c r="B169" s="52"/>
      <c r="C169" s="40"/>
      <c r="D169" s="37"/>
      <c r="E169" s="38"/>
      <c r="F169" s="35"/>
      <c r="G169" s="35"/>
      <c r="H169" s="40"/>
      <c r="I169" s="37"/>
      <c r="J169" s="35"/>
      <c r="K169" s="35"/>
      <c r="L169" s="48"/>
      <c r="M169" s="49"/>
      <c r="N169" s="49"/>
    </row>
    <row r="170" spans="1:14" ht="15.75" customHeight="1">
      <c r="A170" s="36"/>
      <c r="B170" s="52"/>
      <c r="C170" s="40"/>
      <c r="D170" s="37"/>
      <c r="E170" s="38"/>
      <c r="F170" s="35"/>
      <c r="G170" s="35"/>
      <c r="H170" s="40"/>
      <c r="I170" s="37"/>
      <c r="J170" s="35"/>
      <c r="K170" s="35"/>
      <c r="L170" s="48"/>
      <c r="M170" s="49"/>
      <c r="N170" s="49"/>
    </row>
    <row r="171" spans="1:14" ht="15.75" customHeight="1">
      <c r="A171" s="36"/>
      <c r="B171" s="52"/>
      <c r="C171" s="40"/>
      <c r="D171" s="37"/>
      <c r="E171" s="38"/>
      <c r="F171" s="35"/>
      <c r="G171" s="35"/>
      <c r="H171" s="40"/>
      <c r="I171" s="37"/>
      <c r="J171" s="35"/>
      <c r="K171" s="35"/>
      <c r="L171" s="48"/>
      <c r="M171" s="49"/>
      <c r="N171" s="49"/>
    </row>
    <row r="172" spans="1:14" ht="15.75" customHeight="1">
      <c r="A172" s="36"/>
      <c r="B172" s="52"/>
      <c r="C172" s="40"/>
      <c r="D172" s="37"/>
      <c r="E172" s="38"/>
      <c r="F172" s="35"/>
      <c r="G172" s="35"/>
      <c r="H172" s="40"/>
      <c r="I172" s="37"/>
      <c r="J172" s="35"/>
      <c r="K172" s="35"/>
      <c r="L172" s="48"/>
      <c r="M172" s="49"/>
      <c r="N172" s="49"/>
    </row>
    <row r="173" spans="1:14" ht="15.75" customHeight="1">
      <c r="A173" s="36"/>
      <c r="B173" s="52"/>
      <c r="C173" s="40"/>
      <c r="D173" s="37"/>
      <c r="E173" s="38"/>
      <c r="F173" s="35"/>
      <c r="G173" s="35"/>
      <c r="H173" s="40"/>
      <c r="I173" s="37"/>
      <c r="J173" s="35"/>
      <c r="K173" s="35"/>
      <c r="L173" s="48"/>
      <c r="M173" s="49"/>
      <c r="N173" s="49"/>
    </row>
    <row r="174" spans="1:14" ht="15.75" customHeight="1">
      <c r="A174" s="36"/>
      <c r="B174" s="52"/>
      <c r="C174" s="40"/>
      <c r="D174" s="37"/>
      <c r="E174" s="38"/>
      <c r="F174" s="35"/>
      <c r="G174" s="35"/>
      <c r="H174" s="40"/>
      <c r="I174" s="37"/>
      <c r="J174" s="35"/>
      <c r="K174" s="35"/>
      <c r="L174" s="48"/>
      <c r="M174" s="49"/>
      <c r="N174" s="49"/>
    </row>
    <row r="175" spans="1:14" ht="15.75" customHeight="1">
      <c r="A175" s="36"/>
      <c r="B175" s="52"/>
      <c r="C175" s="40"/>
      <c r="D175" s="37"/>
      <c r="E175" s="38"/>
      <c r="F175" s="35"/>
      <c r="G175" s="35"/>
      <c r="H175" s="40"/>
      <c r="I175" s="37"/>
      <c r="J175" s="35"/>
      <c r="K175" s="35"/>
      <c r="L175" s="48"/>
      <c r="M175" s="49"/>
      <c r="N175" s="49"/>
    </row>
    <row r="176" spans="1:14" ht="15.75" customHeight="1">
      <c r="A176" s="36"/>
      <c r="B176" s="52"/>
      <c r="C176" s="40"/>
      <c r="D176" s="37"/>
      <c r="E176" s="38"/>
      <c r="F176" s="35"/>
      <c r="G176" s="35"/>
      <c r="H176" s="40"/>
      <c r="I176" s="37"/>
      <c r="J176" s="35"/>
      <c r="K176" s="35"/>
      <c r="L176" s="48"/>
      <c r="M176" s="49"/>
      <c r="N176" s="49"/>
    </row>
    <row r="177" spans="1:14" ht="15.75" customHeight="1">
      <c r="A177" s="36"/>
      <c r="B177" s="52"/>
      <c r="C177" s="40"/>
      <c r="D177" s="37"/>
      <c r="E177" s="38"/>
      <c r="F177" s="35"/>
      <c r="G177" s="35"/>
      <c r="H177" s="40"/>
      <c r="I177" s="37"/>
      <c r="J177" s="35"/>
      <c r="K177" s="35"/>
      <c r="L177" s="48"/>
      <c r="M177" s="49"/>
      <c r="N177" s="49"/>
    </row>
    <row r="178" spans="1:14" ht="15.75" customHeight="1">
      <c r="A178" s="36"/>
      <c r="B178" s="52"/>
      <c r="C178" s="40"/>
      <c r="D178" s="37"/>
      <c r="E178" s="38"/>
      <c r="F178" s="35"/>
      <c r="G178" s="35"/>
      <c r="H178" s="40"/>
      <c r="I178" s="37"/>
      <c r="J178" s="35"/>
      <c r="K178" s="35"/>
      <c r="L178" s="48"/>
      <c r="M178" s="49"/>
      <c r="N178" s="49"/>
    </row>
    <row r="179" spans="1:14" ht="15.75" customHeight="1">
      <c r="A179" s="36"/>
      <c r="B179" s="52"/>
      <c r="C179" s="40"/>
      <c r="D179" s="37"/>
      <c r="E179" s="38"/>
      <c r="F179" s="35"/>
      <c r="G179" s="35"/>
      <c r="H179" s="40"/>
      <c r="I179" s="37"/>
      <c r="J179" s="35"/>
      <c r="K179" s="35"/>
      <c r="L179" s="48"/>
      <c r="M179" s="49"/>
      <c r="N179" s="49"/>
    </row>
    <row r="180" spans="1:14" ht="15.75" customHeight="1">
      <c r="A180" s="36"/>
      <c r="B180" s="52"/>
      <c r="C180" s="40"/>
      <c r="D180" s="37"/>
      <c r="E180" s="38"/>
      <c r="F180" s="35"/>
      <c r="G180" s="35"/>
      <c r="H180" s="40"/>
      <c r="I180" s="37"/>
      <c r="J180" s="35"/>
      <c r="K180" s="35"/>
      <c r="L180" s="48"/>
      <c r="M180" s="49"/>
      <c r="N180" s="49"/>
    </row>
    <row r="181" spans="1:14" ht="15.75" customHeight="1">
      <c r="A181" s="36"/>
      <c r="B181" s="52"/>
      <c r="C181" s="40"/>
      <c r="D181" s="37"/>
      <c r="E181" s="38"/>
      <c r="F181" s="35"/>
      <c r="G181" s="35"/>
      <c r="H181" s="40"/>
      <c r="I181" s="37"/>
      <c r="J181" s="35"/>
      <c r="K181" s="35"/>
      <c r="L181" s="48"/>
      <c r="M181" s="49"/>
      <c r="N181" s="49"/>
    </row>
    <row r="182" spans="1:14" ht="15.75" customHeight="1">
      <c r="A182" s="36"/>
      <c r="B182" s="52"/>
      <c r="C182" s="40"/>
      <c r="D182" s="37"/>
      <c r="E182" s="38"/>
      <c r="F182" s="35"/>
      <c r="G182" s="35"/>
      <c r="H182" s="40"/>
      <c r="I182" s="37"/>
      <c r="J182" s="35"/>
      <c r="K182" s="35"/>
      <c r="L182" s="48"/>
      <c r="M182" s="49"/>
      <c r="N182" s="49"/>
    </row>
    <row r="183" spans="1:14" ht="15.75" customHeight="1">
      <c r="A183" s="36"/>
      <c r="B183" s="52"/>
      <c r="C183" s="40"/>
      <c r="D183" s="37"/>
      <c r="E183" s="38"/>
      <c r="F183" s="35"/>
      <c r="G183" s="35"/>
      <c r="H183" s="40"/>
      <c r="I183" s="37"/>
      <c r="J183" s="35"/>
      <c r="K183" s="35"/>
      <c r="L183" s="48"/>
      <c r="M183" s="49"/>
      <c r="N183" s="49"/>
    </row>
    <row r="184" spans="1:14" ht="15.75" customHeight="1">
      <c r="A184" s="36"/>
      <c r="B184" s="52"/>
      <c r="C184" s="40"/>
      <c r="D184" s="37"/>
      <c r="E184" s="38"/>
      <c r="F184" s="35"/>
      <c r="G184" s="35"/>
      <c r="H184" s="40"/>
      <c r="I184" s="37"/>
      <c r="J184" s="35"/>
      <c r="K184" s="35"/>
      <c r="L184" s="48"/>
      <c r="M184" s="49"/>
      <c r="N184" s="49"/>
    </row>
    <row r="185" spans="1:14" ht="15.75" customHeight="1">
      <c r="A185" s="36"/>
      <c r="B185" s="52"/>
      <c r="C185" s="40"/>
      <c r="D185" s="37"/>
      <c r="E185" s="38"/>
      <c r="F185" s="35"/>
      <c r="G185" s="35"/>
      <c r="H185" s="40"/>
      <c r="I185" s="37"/>
      <c r="J185" s="35"/>
      <c r="K185" s="35"/>
      <c r="L185" s="48"/>
      <c r="M185" s="49"/>
      <c r="N185" s="49"/>
    </row>
    <row r="186" spans="1:14" ht="15.75" customHeight="1">
      <c r="A186" s="36"/>
      <c r="B186" s="52"/>
      <c r="C186" s="40"/>
      <c r="D186" s="37"/>
      <c r="E186" s="38"/>
      <c r="F186" s="35"/>
      <c r="G186" s="35"/>
      <c r="H186" s="40"/>
      <c r="I186" s="37"/>
      <c r="J186" s="35"/>
      <c r="K186" s="35"/>
      <c r="L186" s="48"/>
      <c r="M186" s="49"/>
      <c r="N186" s="49"/>
    </row>
    <row r="187" spans="1:14" ht="15.75" customHeight="1">
      <c r="A187" s="36"/>
      <c r="B187" s="52"/>
      <c r="C187" s="40"/>
      <c r="D187" s="37"/>
      <c r="E187" s="38"/>
      <c r="F187" s="35"/>
      <c r="G187" s="35"/>
      <c r="H187" s="40"/>
      <c r="I187" s="37"/>
      <c r="J187" s="35"/>
      <c r="K187" s="35"/>
      <c r="L187" s="48"/>
      <c r="M187" s="49"/>
      <c r="N187" s="49"/>
    </row>
    <row r="188" spans="1:14" ht="15.75" customHeight="1">
      <c r="A188" s="36"/>
      <c r="B188" s="52"/>
      <c r="C188" s="40"/>
      <c r="D188" s="37"/>
      <c r="E188" s="38"/>
      <c r="F188" s="35"/>
      <c r="G188" s="35"/>
      <c r="H188" s="40"/>
      <c r="I188" s="37"/>
      <c r="J188" s="35"/>
      <c r="K188" s="35"/>
      <c r="L188" s="48"/>
      <c r="M188" s="49"/>
      <c r="N188" s="49"/>
    </row>
    <row r="189" spans="1:14" ht="15.75" customHeight="1">
      <c r="A189" s="36"/>
      <c r="B189" s="52"/>
      <c r="C189" s="40"/>
      <c r="D189" s="37"/>
      <c r="E189" s="38"/>
      <c r="F189" s="35"/>
      <c r="G189" s="35"/>
      <c r="H189" s="40"/>
      <c r="I189" s="37"/>
      <c r="J189" s="35"/>
      <c r="K189" s="35"/>
      <c r="L189" s="48"/>
      <c r="M189" s="49"/>
      <c r="N189" s="49"/>
    </row>
    <row r="190" spans="1:14" ht="15.75" customHeight="1">
      <c r="A190" s="36"/>
      <c r="B190" s="52"/>
      <c r="C190" s="40"/>
      <c r="D190" s="37"/>
      <c r="E190" s="38"/>
      <c r="F190" s="35"/>
      <c r="G190" s="35"/>
      <c r="H190" s="40"/>
      <c r="I190" s="37"/>
      <c r="J190" s="35"/>
      <c r="K190" s="35"/>
      <c r="L190" s="48"/>
      <c r="M190" s="49"/>
      <c r="N190" s="49"/>
    </row>
    <row r="191" spans="1:14" ht="15.75" customHeight="1">
      <c r="A191" s="36"/>
      <c r="B191" s="52"/>
      <c r="C191" s="40"/>
      <c r="D191" s="37"/>
      <c r="E191" s="38"/>
      <c r="F191" s="35"/>
      <c r="G191" s="35"/>
      <c r="H191" s="40"/>
      <c r="I191" s="37"/>
      <c r="J191" s="35"/>
      <c r="K191" s="35"/>
      <c r="L191" s="48"/>
      <c r="M191" s="49"/>
      <c r="N191" s="49"/>
    </row>
    <row r="192" spans="1:14" ht="15.75" customHeight="1">
      <c r="A192" s="36"/>
      <c r="B192" s="52"/>
      <c r="C192" s="40"/>
      <c r="D192" s="37"/>
      <c r="E192" s="38"/>
      <c r="F192" s="35"/>
      <c r="G192" s="35"/>
      <c r="H192" s="40"/>
      <c r="I192" s="37"/>
      <c r="J192" s="35"/>
      <c r="K192" s="35"/>
      <c r="L192" s="48"/>
      <c r="M192" s="49"/>
      <c r="N192" s="49"/>
    </row>
    <row r="193" spans="1:14" ht="15.75" customHeight="1">
      <c r="A193" s="36"/>
      <c r="B193" s="52"/>
      <c r="C193" s="40"/>
      <c r="D193" s="37"/>
      <c r="E193" s="38"/>
      <c r="F193" s="35"/>
      <c r="G193" s="35"/>
      <c r="H193" s="40"/>
      <c r="I193" s="37"/>
      <c r="J193" s="35"/>
      <c r="K193" s="35"/>
      <c r="L193" s="48"/>
      <c r="M193" s="49"/>
      <c r="N193" s="49"/>
    </row>
    <row r="194" spans="1:14" ht="15.75" customHeight="1">
      <c r="A194" s="36"/>
      <c r="B194" s="52"/>
      <c r="C194" s="40"/>
      <c r="D194" s="37"/>
      <c r="E194" s="38"/>
      <c r="F194" s="35"/>
      <c r="G194" s="35"/>
      <c r="H194" s="40"/>
      <c r="I194" s="37"/>
      <c r="J194" s="35"/>
      <c r="K194" s="35"/>
      <c r="L194" s="48"/>
      <c r="M194" s="49"/>
      <c r="N194" s="49"/>
    </row>
    <row r="195" spans="1:14" ht="15.75" customHeight="1">
      <c r="A195" s="36"/>
      <c r="B195" s="52"/>
      <c r="C195" s="40"/>
      <c r="D195" s="37"/>
      <c r="E195" s="38"/>
      <c r="F195" s="35"/>
      <c r="G195" s="35"/>
      <c r="H195" s="40"/>
      <c r="I195" s="37"/>
      <c r="J195" s="35"/>
      <c r="K195" s="35"/>
      <c r="L195" s="48"/>
      <c r="M195" s="49"/>
      <c r="N195" s="49"/>
    </row>
    <row r="196" spans="1:14" ht="15.75" customHeight="1">
      <c r="A196" s="36"/>
      <c r="B196" s="52"/>
      <c r="C196" s="40"/>
      <c r="D196" s="37"/>
      <c r="E196" s="38"/>
      <c r="F196" s="35"/>
      <c r="G196" s="35"/>
      <c r="H196" s="40"/>
      <c r="I196" s="37"/>
      <c r="J196" s="35"/>
      <c r="K196" s="35"/>
      <c r="L196" s="48"/>
      <c r="M196" s="49"/>
      <c r="N196" s="49"/>
    </row>
    <row r="197" spans="1:14" ht="15.75" customHeight="1">
      <c r="A197" s="36"/>
      <c r="B197" s="52"/>
      <c r="C197" s="40"/>
      <c r="D197" s="37"/>
      <c r="E197" s="38"/>
      <c r="F197" s="35"/>
      <c r="G197" s="35"/>
      <c r="H197" s="40"/>
      <c r="I197" s="37"/>
      <c r="J197" s="35"/>
      <c r="K197" s="35"/>
      <c r="L197" s="48"/>
      <c r="M197" s="49"/>
      <c r="N197" s="49"/>
    </row>
    <row r="198" spans="1:14" ht="15.75" customHeight="1">
      <c r="A198" s="36"/>
      <c r="B198" s="52"/>
      <c r="C198" s="40"/>
      <c r="D198" s="37"/>
      <c r="E198" s="38"/>
      <c r="F198" s="35"/>
      <c r="G198" s="35"/>
      <c r="H198" s="40"/>
      <c r="I198" s="37"/>
      <c r="J198" s="35"/>
      <c r="K198" s="35"/>
      <c r="L198" s="48"/>
      <c r="M198" s="49"/>
      <c r="N198" s="49"/>
    </row>
    <row r="199" spans="1:14" ht="15.75" customHeight="1">
      <c r="A199" s="36"/>
      <c r="B199" s="52"/>
      <c r="C199" s="40"/>
      <c r="D199" s="37"/>
      <c r="E199" s="38"/>
      <c r="F199" s="35"/>
      <c r="G199" s="35"/>
      <c r="H199" s="40"/>
      <c r="I199" s="37"/>
      <c r="J199" s="35"/>
      <c r="K199" s="35"/>
      <c r="L199" s="48"/>
      <c r="M199" s="49"/>
      <c r="N199" s="49"/>
    </row>
    <row r="200" spans="1:14" ht="15.75" customHeight="1">
      <c r="A200" s="36"/>
      <c r="B200" s="52"/>
      <c r="C200" s="40"/>
      <c r="D200" s="37"/>
      <c r="E200" s="38"/>
      <c r="F200" s="35"/>
      <c r="G200" s="35"/>
      <c r="H200" s="40"/>
      <c r="I200" s="37"/>
      <c r="J200" s="35"/>
      <c r="K200" s="35"/>
      <c r="L200" s="48"/>
      <c r="M200" s="49"/>
      <c r="N200" s="49"/>
    </row>
    <row r="201" spans="1:14" ht="15.75" customHeight="1">
      <c r="A201" s="36"/>
      <c r="B201" s="52"/>
      <c r="C201" s="40"/>
      <c r="D201" s="37"/>
      <c r="E201" s="38"/>
      <c r="F201" s="35"/>
      <c r="G201" s="35"/>
      <c r="H201" s="40"/>
      <c r="I201" s="37"/>
      <c r="J201" s="35"/>
      <c r="K201" s="35"/>
      <c r="L201" s="48"/>
      <c r="M201" s="49"/>
      <c r="N201" s="49"/>
    </row>
    <row r="202" spans="1:14" ht="15.75" customHeight="1">
      <c r="A202" s="36"/>
      <c r="B202" s="52"/>
      <c r="C202" s="40"/>
      <c r="D202" s="37"/>
      <c r="E202" s="38"/>
      <c r="F202" s="35"/>
      <c r="G202" s="35"/>
      <c r="H202" s="40"/>
      <c r="I202" s="37"/>
      <c r="J202" s="35"/>
      <c r="K202" s="35"/>
      <c r="L202" s="48"/>
      <c r="M202" s="49"/>
      <c r="N202" s="49"/>
    </row>
    <row r="203" spans="1:14" ht="15.75" customHeight="1">
      <c r="A203" s="36"/>
      <c r="B203" s="52"/>
      <c r="C203" s="40"/>
      <c r="D203" s="37"/>
      <c r="E203" s="38"/>
      <c r="F203" s="35"/>
      <c r="G203" s="35"/>
      <c r="H203" s="40"/>
      <c r="I203" s="37"/>
      <c r="J203" s="35"/>
      <c r="K203" s="35"/>
      <c r="L203" s="48"/>
      <c r="M203" s="49"/>
      <c r="N203" s="49"/>
    </row>
    <row r="204" spans="1:14" ht="15.75" customHeight="1">
      <c r="A204" s="36"/>
      <c r="B204" s="52"/>
      <c r="C204" s="40"/>
      <c r="D204" s="37"/>
      <c r="E204" s="38"/>
      <c r="F204" s="35"/>
      <c r="G204" s="35"/>
      <c r="H204" s="40"/>
      <c r="I204" s="37"/>
      <c r="J204" s="35"/>
      <c r="K204" s="35"/>
      <c r="L204" s="48"/>
      <c r="M204" s="49"/>
      <c r="N204" s="49"/>
    </row>
    <row r="205" spans="1:14" ht="15.75" customHeight="1">
      <c r="A205" s="36"/>
      <c r="B205" s="52"/>
      <c r="C205" s="40"/>
      <c r="D205" s="37"/>
      <c r="E205" s="38"/>
      <c r="F205" s="35"/>
      <c r="G205" s="35"/>
      <c r="H205" s="40"/>
      <c r="I205" s="37"/>
      <c r="J205" s="35"/>
      <c r="K205" s="35"/>
      <c r="L205" s="48"/>
      <c r="M205" s="49"/>
      <c r="N205" s="49"/>
    </row>
    <row r="206" spans="1:14" ht="15.75" customHeight="1">
      <c r="A206" s="36"/>
      <c r="B206" s="52"/>
      <c r="C206" s="40"/>
      <c r="D206" s="37"/>
      <c r="E206" s="38"/>
      <c r="F206" s="35"/>
      <c r="G206" s="35"/>
      <c r="H206" s="40"/>
      <c r="I206" s="37"/>
      <c r="J206" s="35"/>
      <c r="K206" s="35"/>
      <c r="L206" s="48"/>
      <c r="M206" s="49"/>
      <c r="N206" s="49"/>
    </row>
    <row r="207" spans="1:14" ht="15.75" customHeight="1">
      <c r="A207" s="36"/>
      <c r="B207" s="52"/>
      <c r="C207" s="40"/>
      <c r="D207" s="37"/>
      <c r="E207" s="38"/>
      <c r="F207" s="35"/>
      <c r="G207" s="35"/>
      <c r="H207" s="40"/>
      <c r="I207" s="37"/>
      <c r="J207" s="35"/>
      <c r="K207" s="35"/>
      <c r="L207" s="48"/>
      <c r="M207" s="49"/>
      <c r="N207" s="49"/>
    </row>
    <row r="208" spans="1:14" ht="15.75" customHeight="1">
      <c r="A208" s="36"/>
      <c r="B208" s="52"/>
      <c r="C208" s="40"/>
      <c r="D208" s="37"/>
      <c r="E208" s="38"/>
      <c r="F208" s="35"/>
      <c r="G208" s="35"/>
      <c r="H208" s="40"/>
      <c r="I208" s="37"/>
      <c r="J208" s="35"/>
      <c r="K208" s="35"/>
      <c r="L208" s="48"/>
      <c r="M208" s="49"/>
      <c r="N208" s="49"/>
    </row>
    <row r="209" spans="1:14" ht="15.75" customHeight="1">
      <c r="A209" s="36"/>
      <c r="B209" s="52"/>
      <c r="C209" s="40"/>
      <c r="D209" s="37"/>
      <c r="E209" s="38"/>
      <c r="F209" s="35"/>
      <c r="G209" s="35"/>
      <c r="H209" s="40"/>
      <c r="I209" s="37"/>
      <c r="J209" s="35"/>
      <c r="K209" s="35"/>
      <c r="L209" s="48"/>
      <c r="M209" s="49"/>
      <c r="N209" s="49"/>
    </row>
    <row r="210" spans="1:14" ht="15.75" customHeight="1">
      <c r="A210" s="36"/>
      <c r="B210" s="52"/>
      <c r="C210" s="40"/>
      <c r="D210" s="37"/>
      <c r="E210" s="38"/>
      <c r="F210" s="35"/>
      <c r="G210" s="35"/>
      <c r="H210" s="40"/>
      <c r="I210" s="37"/>
      <c r="J210" s="35"/>
      <c r="K210" s="35"/>
      <c r="L210" s="48"/>
      <c r="M210" s="49"/>
      <c r="N210" s="49"/>
    </row>
    <row r="211" spans="1:14" ht="15.75" customHeight="1">
      <c r="A211" s="36"/>
      <c r="B211" s="52"/>
      <c r="C211" s="40"/>
      <c r="D211" s="37"/>
      <c r="E211" s="38"/>
      <c r="F211" s="35"/>
      <c r="G211" s="35"/>
      <c r="H211" s="40"/>
      <c r="I211" s="37"/>
      <c r="J211" s="35"/>
      <c r="K211" s="35"/>
      <c r="L211" s="48"/>
      <c r="M211" s="49"/>
      <c r="N211" s="49"/>
    </row>
    <row r="212" spans="1:14" ht="15.75" customHeight="1">
      <c r="A212" s="36"/>
      <c r="B212" s="52"/>
      <c r="C212" s="40"/>
      <c r="D212" s="37"/>
      <c r="E212" s="38"/>
      <c r="F212" s="35"/>
      <c r="G212" s="35"/>
      <c r="H212" s="40"/>
      <c r="I212" s="37"/>
      <c r="J212" s="35"/>
      <c r="K212" s="35"/>
      <c r="L212" s="48"/>
      <c r="M212" s="49"/>
      <c r="N212" s="49"/>
    </row>
    <row r="213" spans="1:14" ht="15.75" customHeight="1">
      <c r="A213" s="36"/>
      <c r="B213" s="52"/>
      <c r="C213" s="40"/>
      <c r="D213" s="37"/>
      <c r="E213" s="38"/>
      <c r="F213" s="35"/>
      <c r="G213" s="35"/>
      <c r="H213" s="40"/>
      <c r="I213" s="37"/>
      <c r="J213" s="35"/>
      <c r="K213" s="35"/>
      <c r="L213" s="48"/>
      <c r="M213" s="49"/>
      <c r="N213" s="49"/>
    </row>
    <row r="214" spans="1:14" ht="15.75" customHeight="1">
      <c r="A214" s="36"/>
      <c r="B214" s="52"/>
      <c r="C214" s="40"/>
      <c r="D214" s="37"/>
      <c r="E214" s="38"/>
      <c r="F214" s="35"/>
      <c r="G214" s="35"/>
      <c r="H214" s="40"/>
      <c r="I214" s="37"/>
      <c r="J214" s="35"/>
      <c r="K214" s="35"/>
      <c r="L214" s="48"/>
      <c r="M214" s="49"/>
      <c r="N214" s="49"/>
    </row>
    <row r="215" spans="1:14" ht="15.75" customHeight="1">
      <c r="A215" s="36"/>
      <c r="B215" s="52"/>
      <c r="C215" s="40"/>
      <c r="D215" s="37"/>
      <c r="E215" s="38"/>
      <c r="F215" s="35"/>
      <c r="G215" s="35"/>
      <c r="H215" s="40"/>
      <c r="I215" s="37"/>
      <c r="J215" s="35"/>
      <c r="K215" s="35"/>
      <c r="L215" s="48"/>
      <c r="M215" s="49"/>
      <c r="N215" s="49"/>
    </row>
    <row r="216" spans="1:14" ht="15.75" customHeight="1">
      <c r="A216" s="36"/>
      <c r="B216" s="52"/>
      <c r="C216" s="40"/>
      <c r="D216" s="37"/>
      <c r="E216" s="38"/>
      <c r="F216" s="35"/>
      <c r="G216" s="35"/>
      <c r="H216" s="40"/>
      <c r="I216" s="37"/>
      <c r="J216" s="35"/>
      <c r="K216" s="35"/>
      <c r="L216" s="48"/>
      <c r="M216" s="49"/>
      <c r="N216" s="49"/>
    </row>
    <row r="217" spans="1:14" ht="15.75" customHeight="1">
      <c r="A217" s="36"/>
      <c r="B217" s="52"/>
      <c r="C217" s="40"/>
      <c r="D217" s="37"/>
      <c r="E217" s="38"/>
      <c r="F217" s="35"/>
      <c r="G217" s="35"/>
      <c r="H217" s="40"/>
      <c r="I217" s="37"/>
      <c r="J217" s="35"/>
      <c r="K217" s="35"/>
      <c r="L217" s="48"/>
      <c r="M217" s="49"/>
      <c r="N217" s="49"/>
    </row>
    <row r="218" spans="1:14" ht="15.75" customHeight="1">
      <c r="A218" s="36"/>
      <c r="B218" s="52"/>
      <c r="C218" s="40"/>
      <c r="D218" s="37"/>
      <c r="E218" s="38"/>
      <c r="F218" s="35"/>
      <c r="G218" s="35"/>
      <c r="H218" s="40"/>
      <c r="I218" s="37"/>
      <c r="J218" s="35"/>
      <c r="K218" s="35"/>
      <c r="L218" s="48"/>
      <c r="M218" s="49"/>
      <c r="N218" s="49"/>
    </row>
    <row r="219" spans="1:14" ht="15.75" customHeight="1">
      <c r="A219" s="36"/>
      <c r="B219" s="52"/>
      <c r="C219" s="40"/>
      <c r="D219" s="37"/>
      <c r="E219" s="38"/>
      <c r="F219" s="35"/>
      <c r="G219" s="35"/>
      <c r="H219" s="40"/>
      <c r="I219" s="37"/>
      <c r="J219" s="35"/>
      <c r="K219" s="35"/>
      <c r="L219" s="48"/>
      <c r="M219" s="49"/>
      <c r="N219" s="49"/>
    </row>
    <row r="220" spans="1:14" ht="15.75" customHeight="1">
      <c r="A220" s="36"/>
      <c r="B220" s="52"/>
      <c r="C220" s="40"/>
      <c r="D220" s="37"/>
      <c r="E220" s="38"/>
      <c r="F220" s="35"/>
      <c r="G220" s="35"/>
      <c r="H220" s="40"/>
      <c r="I220" s="37"/>
      <c r="J220" s="35"/>
      <c r="K220" s="35"/>
      <c r="L220" s="48"/>
      <c r="M220" s="49"/>
      <c r="N220" s="49"/>
    </row>
    <row r="221" spans="1:14" ht="15.75" customHeight="1">
      <c r="A221" s="36"/>
      <c r="B221" s="52"/>
      <c r="C221" s="40"/>
      <c r="D221" s="37"/>
      <c r="E221" s="38"/>
      <c r="F221" s="35"/>
      <c r="G221" s="35"/>
      <c r="H221" s="40"/>
      <c r="I221" s="37"/>
      <c r="J221" s="35"/>
      <c r="K221" s="35"/>
      <c r="L221" s="48"/>
      <c r="M221" s="49"/>
      <c r="N221" s="49"/>
    </row>
    <row r="222" spans="1:14" ht="15.75" customHeight="1">
      <c r="A222" s="36"/>
      <c r="B222" s="52"/>
      <c r="C222" s="40"/>
      <c r="D222" s="37"/>
      <c r="E222" s="38"/>
      <c r="F222" s="35"/>
      <c r="G222" s="35"/>
      <c r="H222" s="40"/>
      <c r="I222" s="37"/>
      <c r="J222" s="35"/>
      <c r="K222" s="35"/>
      <c r="L222" s="48"/>
      <c r="M222" s="49"/>
      <c r="N222" s="49"/>
    </row>
    <row r="223" spans="1:14" ht="15.75" customHeight="1">
      <c r="A223" s="36"/>
      <c r="B223" s="52"/>
      <c r="C223" s="40"/>
      <c r="D223" s="37"/>
      <c r="E223" s="38"/>
      <c r="F223" s="35"/>
      <c r="G223" s="35"/>
      <c r="H223" s="40"/>
      <c r="I223" s="37"/>
      <c r="J223" s="35"/>
      <c r="K223" s="35"/>
      <c r="L223" s="48"/>
      <c r="M223" s="49"/>
      <c r="N223" s="49"/>
    </row>
    <row r="224" spans="1:14" ht="15.75" customHeight="1">
      <c r="A224" s="36"/>
      <c r="B224" s="52"/>
      <c r="C224" s="40"/>
      <c r="D224" s="37"/>
      <c r="E224" s="38"/>
      <c r="F224" s="35"/>
      <c r="G224" s="35"/>
      <c r="H224" s="40"/>
      <c r="I224" s="37"/>
      <c r="J224" s="35"/>
      <c r="K224" s="35"/>
      <c r="L224" s="48"/>
      <c r="M224" s="49"/>
      <c r="N224" s="49"/>
    </row>
    <row r="225" spans="1:14" ht="15.75" customHeight="1">
      <c r="A225" s="36"/>
      <c r="B225" s="52"/>
      <c r="C225" s="40"/>
      <c r="D225" s="37"/>
      <c r="E225" s="38"/>
      <c r="F225" s="35"/>
      <c r="G225" s="35"/>
      <c r="H225" s="40"/>
      <c r="I225" s="37"/>
      <c r="J225" s="35"/>
      <c r="K225" s="35"/>
      <c r="L225" s="48"/>
      <c r="M225" s="49"/>
      <c r="N225" s="49"/>
    </row>
    <row r="226" spans="1:14" ht="15.75" customHeight="1">
      <c r="A226" s="36"/>
      <c r="B226" s="52"/>
      <c r="C226" s="40"/>
      <c r="D226" s="37"/>
      <c r="E226" s="38"/>
      <c r="F226" s="35"/>
      <c r="G226" s="35"/>
      <c r="H226" s="40"/>
      <c r="I226" s="37"/>
      <c r="J226" s="35"/>
      <c r="K226" s="35"/>
      <c r="L226" s="48"/>
      <c r="M226" s="49"/>
      <c r="N226" s="49"/>
    </row>
    <row r="227" spans="1:14" ht="15.75" customHeight="1">
      <c r="A227" s="36"/>
      <c r="B227" s="52"/>
      <c r="C227" s="40"/>
      <c r="D227" s="37"/>
      <c r="E227" s="38"/>
      <c r="F227" s="35"/>
      <c r="G227" s="35"/>
      <c r="H227" s="40"/>
      <c r="I227" s="37"/>
      <c r="J227" s="35"/>
      <c r="K227" s="35"/>
      <c r="L227" s="48"/>
      <c r="M227" s="49"/>
      <c r="N227" s="49"/>
    </row>
    <row r="228" spans="1:14" ht="15.75" customHeight="1">
      <c r="A228" s="36"/>
      <c r="B228" s="52"/>
      <c r="C228" s="40"/>
      <c r="D228" s="37"/>
      <c r="E228" s="38"/>
      <c r="F228" s="35"/>
      <c r="G228" s="35"/>
      <c r="H228" s="40"/>
      <c r="I228" s="37"/>
      <c r="J228" s="35"/>
      <c r="K228" s="35"/>
      <c r="L228" s="48"/>
      <c r="M228" s="49"/>
      <c r="N228" s="49"/>
    </row>
    <row r="229" spans="1:14" ht="15.75" customHeight="1">
      <c r="A229" s="36"/>
      <c r="B229" s="52"/>
      <c r="C229" s="40"/>
      <c r="D229" s="37"/>
      <c r="E229" s="38"/>
      <c r="F229" s="35"/>
      <c r="G229" s="35"/>
      <c r="H229" s="40"/>
      <c r="I229" s="37"/>
      <c r="J229" s="35"/>
      <c r="K229" s="35"/>
      <c r="L229" s="48"/>
      <c r="M229" s="49"/>
      <c r="N229" s="49"/>
    </row>
    <row r="230" spans="1:14" ht="15.75" customHeight="1">
      <c r="A230" s="36"/>
      <c r="B230" s="52"/>
      <c r="C230" s="40"/>
      <c r="D230" s="37"/>
      <c r="E230" s="38"/>
      <c r="F230" s="35"/>
      <c r="G230" s="35"/>
      <c r="H230" s="40"/>
      <c r="I230" s="37"/>
      <c r="J230" s="35"/>
      <c r="K230" s="35"/>
      <c r="L230" s="48"/>
      <c r="M230" s="49"/>
      <c r="N230" s="49"/>
    </row>
    <row r="231" spans="1:14" ht="15.75" customHeight="1">
      <c r="A231" s="36"/>
      <c r="B231" s="52"/>
      <c r="C231" s="40"/>
      <c r="D231" s="37"/>
      <c r="E231" s="38"/>
      <c r="F231" s="35"/>
      <c r="G231" s="35"/>
      <c r="H231" s="40"/>
      <c r="I231" s="37"/>
      <c r="J231" s="35"/>
      <c r="K231" s="35"/>
      <c r="L231" s="48"/>
      <c r="M231" s="49"/>
      <c r="N231" s="49"/>
    </row>
    <row r="232" spans="1:14" ht="15.75" customHeight="1">
      <c r="A232" s="36"/>
      <c r="B232" s="52"/>
      <c r="C232" s="40"/>
      <c r="D232" s="37"/>
      <c r="E232" s="38"/>
      <c r="F232" s="35"/>
      <c r="G232" s="35"/>
      <c r="H232" s="40"/>
      <c r="I232" s="37"/>
      <c r="J232" s="35"/>
      <c r="K232" s="35"/>
      <c r="L232" s="48"/>
      <c r="M232" s="49"/>
      <c r="N232" s="49"/>
    </row>
    <row r="233" spans="1:14" ht="15.75" customHeight="1">
      <c r="A233" s="36"/>
      <c r="B233" s="52"/>
      <c r="C233" s="40"/>
      <c r="D233" s="37"/>
      <c r="E233" s="38"/>
      <c r="F233" s="35"/>
      <c r="G233" s="35"/>
      <c r="H233" s="40"/>
      <c r="I233" s="37"/>
      <c r="J233" s="35"/>
      <c r="K233" s="35"/>
      <c r="L233" s="48"/>
      <c r="M233" s="49"/>
      <c r="N233" s="49"/>
    </row>
    <row r="234" spans="1:14" ht="15.75" customHeight="1">
      <c r="A234" s="36"/>
      <c r="B234" s="52"/>
      <c r="C234" s="40"/>
      <c r="D234" s="37"/>
      <c r="E234" s="38"/>
      <c r="F234" s="35"/>
      <c r="G234" s="35"/>
      <c r="H234" s="40"/>
      <c r="I234" s="37"/>
      <c r="J234" s="35"/>
      <c r="K234" s="35"/>
      <c r="L234" s="48"/>
      <c r="M234" s="49"/>
      <c r="N234" s="49"/>
    </row>
    <row r="235" spans="1:14" ht="15.75" customHeight="1">
      <c r="A235" s="36"/>
      <c r="B235" s="52"/>
      <c r="C235" s="40"/>
      <c r="D235" s="37"/>
      <c r="E235" s="38"/>
      <c r="F235" s="35"/>
      <c r="G235" s="35"/>
      <c r="H235" s="40"/>
      <c r="I235" s="37"/>
      <c r="J235" s="35"/>
      <c r="K235" s="35"/>
      <c r="L235" s="48"/>
      <c r="M235" s="49"/>
      <c r="N235" s="49"/>
    </row>
    <row r="236" spans="1:14" ht="15.75" customHeight="1">
      <c r="A236" s="36"/>
      <c r="B236" s="52"/>
      <c r="C236" s="40"/>
      <c r="D236" s="37"/>
      <c r="E236" s="38"/>
      <c r="F236" s="35"/>
      <c r="G236" s="35"/>
      <c r="H236" s="40"/>
      <c r="I236" s="37"/>
      <c r="J236" s="35"/>
      <c r="K236" s="35"/>
      <c r="L236" s="48"/>
      <c r="M236" s="49"/>
      <c r="N236" s="49"/>
    </row>
    <row r="237" spans="1:14" ht="15.75" customHeight="1">
      <c r="A237" s="36"/>
      <c r="B237" s="52"/>
      <c r="C237" s="40"/>
      <c r="D237" s="37"/>
      <c r="E237" s="38"/>
      <c r="F237" s="35"/>
      <c r="G237" s="35"/>
      <c r="H237" s="40"/>
      <c r="I237" s="37"/>
      <c r="J237" s="35"/>
      <c r="K237" s="35"/>
      <c r="L237" s="48"/>
      <c r="M237" s="49"/>
      <c r="N237" s="49"/>
    </row>
    <row r="238" spans="1:14" ht="15.75" customHeight="1">
      <c r="A238" s="36"/>
      <c r="B238" s="52"/>
      <c r="C238" s="40"/>
      <c r="D238" s="37"/>
      <c r="E238" s="38"/>
      <c r="F238" s="35"/>
      <c r="G238" s="35"/>
      <c r="H238" s="40"/>
      <c r="I238" s="37"/>
      <c r="J238" s="35"/>
      <c r="K238" s="35"/>
      <c r="L238" s="48"/>
      <c r="M238" s="49"/>
      <c r="N238" s="49"/>
    </row>
    <row r="239" spans="1:14" ht="15.75" customHeight="1">
      <c r="A239" s="36"/>
      <c r="B239" s="52"/>
      <c r="C239" s="40"/>
      <c r="D239" s="37"/>
      <c r="E239" s="38"/>
      <c r="F239" s="35"/>
      <c r="G239" s="35"/>
      <c r="H239" s="40"/>
      <c r="I239" s="37"/>
      <c r="J239" s="35"/>
      <c r="K239" s="35"/>
      <c r="L239" s="48"/>
      <c r="M239" s="49"/>
      <c r="N239" s="49"/>
    </row>
    <row r="240" spans="1:14" ht="15.75" customHeight="1">
      <c r="A240" s="36"/>
      <c r="B240" s="52"/>
      <c r="C240" s="40"/>
      <c r="D240" s="37"/>
      <c r="E240" s="38"/>
      <c r="F240" s="35"/>
      <c r="G240" s="35"/>
      <c r="H240" s="40"/>
      <c r="I240" s="37"/>
      <c r="J240" s="35"/>
      <c r="K240" s="35"/>
      <c r="L240" s="48"/>
      <c r="M240" s="49"/>
      <c r="N240" s="49"/>
    </row>
    <row r="241" spans="1:14" ht="15.75" customHeight="1">
      <c r="A241" s="36"/>
      <c r="B241" s="52"/>
      <c r="C241" s="40"/>
      <c r="D241" s="37"/>
      <c r="E241" s="38"/>
      <c r="F241" s="35"/>
      <c r="G241" s="35"/>
      <c r="H241" s="40"/>
      <c r="I241" s="37"/>
      <c r="J241" s="35"/>
      <c r="K241" s="35"/>
      <c r="L241" s="48"/>
      <c r="M241" s="49"/>
      <c r="N241" s="49"/>
    </row>
    <row r="242" spans="1:14" ht="15.75" customHeight="1">
      <c r="A242" s="36"/>
      <c r="B242" s="52"/>
      <c r="C242" s="40"/>
      <c r="D242" s="37"/>
      <c r="E242" s="38"/>
      <c r="F242" s="35"/>
      <c r="G242" s="35"/>
      <c r="H242" s="40"/>
      <c r="I242" s="37"/>
      <c r="J242" s="35"/>
      <c r="K242" s="35"/>
      <c r="L242" s="48"/>
      <c r="M242" s="49"/>
      <c r="N242" s="49"/>
    </row>
    <row r="243" spans="1:14" ht="15.75" customHeight="1">
      <c r="A243" s="36"/>
      <c r="B243" s="52"/>
      <c r="C243" s="40"/>
      <c r="D243" s="37"/>
      <c r="E243" s="38"/>
      <c r="F243" s="35"/>
      <c r="G243" s="35"/>
      <c r="H243" s="40"/>
      <c r="I243" s="37"/>
      <c r="J243" s="35"/>
      <c r="K243" s="35"/>
      <c r="L243" s="48"/>
      <c r="M243" s="49"/>
      <c r="N243" s="49"/>
    </row>
    <row r="244" spans="1:14" ht="15.75" customHeight="1">
      <c r="A244" s="36"/>
      <c r="B244" s="52"/>
      <c r="C244" s="40"/>
      <c r="D244" s="37"/>
      <c r="E244" s="38"/>
      <c r="F244" s="35"/>
      <c r="G244" s="35"/>
      <c r="H244" s="40"/>
      <c r="I244" s="37"/>
      <c r="J244" s="35"/>
      <c r="K244" s="35"/>
      <c r="L244" s="48"/>
      <c r="M244" s="49"/>
      <c r="N244" s="49"/>
    </row>
    <row r="245" spans="1:14" ht="15.75" customHeight="1">
      <c r="A245" s="36"/>
      <c r="B245" s="52"/>
      <c r="C245" s="40"/>
      <c r="D245" s="37"/>
      <c r="E245" s="38"/>
      <c r="F245" s="35"/>
      <c r="G245" s="35"/>
      <c r="H245" s="40"/>
      <c r="I245" s="37"/>
      <c r="J245" s="35"/>
      <c r="K245" s="35"/>
      <c r="L245" s="48"/>
      <c r="M245" s="49"/>
      <c r="N245" s="49"/>
    </row>
    <row r="246" spans="1:14" ht="15.75" customHeight="1">
      <c r="A246" s="36"/>
      <c r="B246" s="52"/>
      <c r="C246" s="40"/>
      <c r="D246" s="37"/>
      <c r="E246" s="38"/>
      <c r="F246" s="35"/>
      <c r="G246" s="35"/>
      <c r="H246" s="40"/>
      <c r="I246" s="37"/>
      <c r="J246" s="35"/>
      <c r="K246" s="35"/>
      <c r="L246" s="48"/>
      <c r="M246" s="49"/>
      <c r="N246" s="49"/>
    </row>
    <row r="247" spans="1:14" ht="15.75" customHeight="1">
      <c r="A247" s="36"/>
      <c r="B247" s="52"/>
      <c r="C247" s="40"/>
      <c r="D247" s="37"/>
      <c r="E247" s="38"/>
      <c r="F247" s="35"/>
      <c r="G247" s="35"/>
      <c r="H247" s="40"/>
      <c r="I247" s="37"/>
      <c r="J247" s="35"/>
      <c r="K247" s="35"/>
      <c r="L247" s="48"/>
      <c r="M247" s="49"/>
      <c r="N247" s="49"/>
    </row>
    <row r="248" spans="1:14" ht="15.75" customHeight="1">
      <c r="A248" s="36"/>
      <c r="B248" s="52"/>
      <c r="C248" s="40"/>
      <c r="D248" s="37"/>
      <c r="E248" s="38"/>
      <c r="F248" s="35"/>
      <c r="G248" s="35"/>
      <c r="H248" s="40"/>
      <c r="I248" s="37"/>
      <c r="J248" s="35"/>
      <c r="K248" s="35"/>
      <c r="L248" s="48"/>
      <c r="M248" s="49"/>
      <c r="N248" s="49"/>
    </row>
    <row r="249" spans="1:14" ht="15.75" customHeight="1">
      <c r="A249" s="36"/>
      <c r="B249" s="52"/>
      <c r="C249" s="40"/>
      <c r="D249" s="37"/>
      <c r="E249" s="38"/>
      <c r="F249" s="35"/>
      <c r="G249" s="35"/>
      <c r="H249" s="40"/>
      <c r="I249" s="37"/>
      <c r="J249" s="35"/>
      <c r="K249" s="35"/>
      <c r="L249" s="48"/>
      <c r="M249" s="49"/>
      <c r="N249" s="49"/>
    </row>
    <row r="250" spans="1:14" ht="15.75" customHeight="1">
      <c r="A250" s="36"/>
      <c r="B250" s="52"/>
      <c r="C250" s="40"/>
      <c r="D250" s="37"/>
      <c r="E250" s="38"/>
      <c r="F250" s="35"/>
      <c r="G250" s="35"/>
      <c r="H250" s="40"/>
      <c r="I250" s="37"/>
      <c r="J250" s="35"/>
      <c r="K250" s="35"/>
      <c r="L250" s="48"/>
      <c r="M250" s="49"/>
      <c r="N250" s="49"/>
    </row>
    <row r="251" spans="1:14" ht="15.75" customHeight="1">
      <c r="A251" s="36"/>
      <c r="B251" s="52"/>
      <c r="C251" s="40"/>
      <c r="D251" s="37"/>
      <c r="E251" s="38"/>
      <c r="F251" s="35"/>
      <c r="G251" s="35"/>
      <c r="H251" s="40"/>
      <c r="I251" s="37"/>
      <c r="J251" s="35"/>
      <c r="K251" s="35"/>
      <c r="L251" s="48"/>
      <c r="M251" s="49"/>
      <c r="N251" s="49"/>
    </row>
    <row r="252" spans="1:14" ht="15.75" customHeight="1">
      <c r="A252" s="36"/>
      <c r="B252" s="52"/>
      <c r="C252" s="40"/>
      <c r="D252" s="37"/>
      <c r="E252" s="38"/>
      <c r="F252" s="35"/>
      <c r="G252" s="35"/>
      <c r="H252" s="40"/>
      <c r="I252" s="37"/>
      <c r="J252" s="35"/>
      <c r="K252" s="35"/>
      <c r="L252" s="48"/>
      <c r="M252" s="49"/>
      <c r="N252" s="49"/>
    </row>
    <row r="253" spans="1:14" ht="15.75" customHeight="1">
      <c r="A253" s="36"/>
      <c r="B253" s="52"/>
      <c r="C253" s="40"/>
      <c r="D253" s="37"/>
      <c r="E253" s="38"/>
      <c r="F253" s="35"/>
      <c r="G253" s="35"/>
      <c r="H253" s="40"/>
      <c r="I253" s="37"/>
      <c r="J253" s="35"/>
      <c r="K253" s="35"/>
      <c r="L253" s="48"/>
      <c r="M253" s="49"/>
      <c r="N253" s="49"/>
    </row>
    <row r="254" spans="1:14" ht="15.75" customHeight="1">
      <c r="A254" s="36"/>
      <c r="B254" s="52"/>
      <c r="C254" s="40"/>
      <c r="D254" s="37"/>
      <c r="E254" s="38"/>
      <c r="F254" s="35"/>
      <c r="G254" s="35"/>
      <c r="H254" s="40"/>
      <c r="I254" s="37"/>
      <c r="J254" s="35"/>
      <c r="K254" s="35"/>
      <c r="L254" s="48"/>
      <c r="M254" s="49"/>
      <c r="N254" s="49"/>
    </row>
    <row r="255" spans="1:14" ht="15.75" customHeight="1">
      <c r="A255" s="36"/>
      <c r="B255" s="52"/>
      <c r="C255" s="40"/>
      <c r="D255" s="37"/>
      <c r="E255" s="38"/>
      <c r="F255" s="35"/>
      <c r="G255" s="35"/>
      <c r="H255" s="40"/>
      <c r="I255" s="37"/>
      <c r="J255" s="35"/>
      <c r="K255" s="35"/>
      <c r="L255" s="48"/>
      <c r="M255" s="49"/>
      <c r="N255" s="49"/>
    </row>
    <row r="256" spans="1:14" ht="15.75" customHeight="1">
      <c r="A256" s="36"/>
      <c r="B256" s="52"/>
      <c r="C256" s="40"/>
      <c r="D256" s="37"/>
      <c r="E256" s="38"/>
      <c r="F256" s="35"/>
      <c r="G256" s="35"/>
      <c r="H256" s="40"/>
      <c r="I256" s="37"/>
      <c r="J256" s="35"/>
      <c r="K256" s="35"/>
      <c r="L256" s="48"/>
      <c r="M256" s="49"/>
      <c r="N256" s="49"/>
    </row>
    <row r="257" spans="1:14" ht="15.75" customHeight="1">
      <c r="A257" s="36"/>
      <c r="B257" s="52"/>
      <c r="C257" s="40"/>
      <c r="D257" s="37"/>
      <c r="E257" s="38"/>
      <c r="F257" s="35"/>
      <c r="G257" s="35"/>
      <c r="H257" s="40"/>
      <c r="I257" s="37"/>
      <c r="J257" s="35"/>
      <c r="K257" s="35"/>
      <c r="L257" s="48"/>
      <c r="M257" s="49"/>
      <c r="N257" s="49"/>
    </row>
    <row r="258" spans="1:14" ht="15.75" customHeight="1">
      <c r="A258" s="36"/>
      <c r="B258" s="52"/>
      <c r="C258" s="40"/>
      <c r="D258" s="37"/>
      <c r="E258" s="38"/>
      <c r="F258" s="35"/>
      <c r="G258" s="35"/>
      <c r="H258" s="40"/>
      <c r="I258" s="37"/>
      <c r="J258" s="35"/>
      <c r="K258" s="35"/>
      <c r="L258" s="48"/>
      <c r="M258" s="49"/>
      <c r="N258" s="49"/>
    </row>
    <row r="259" spans="1:14" ht="15.75" customHeight="1">
      <c r="A259" s="36"/>
      <c r="B259" s="52"/>
      <c r="C259" s="40"/>
      <c r="D259" s="37"/>
      <c r="E259" s="38"/>
      <c r="F259" s="35"/>
      <c r="G259" s="35"/>
      <c r="H259" s="40"/>
      <c r="I259" s="37"/>
      <c r="J259" s="35"/>
      <c r="K259" s="35"/>
      <c r="L259" s="48"/>
      <c r="M259" s="49"/>
      <c r="N259" s="49"/>
    </row>
    <row r="260" spans="1:14" ht="15.75" customHeight="1">
      <c r="A260" s="36"/>
      <c r="B260" s="52"/>
      <c r="C260" s="40"/>
      <c r="D260" s="37"/>
      <c r="E260" s="38"/>
      <c r="F260" s="35"/>
      <c r="G260" s="35"/>
      <c r="H260" s="40"/>
      <c r="I260" s="37"/>
      <c r="J260" s="35"/>
      <c r="K260" s="35"/>
      <c r="L260" s="48"/>
      <c r="M260" s="49"/>
      <c r="N260" s="49"/>
    </row>
    <row r="261" spans="1:14" ht="15.75" customHeight="1">
      <c r="A261" s="36"/>
      <c r="B261" s="52"/>
      <c r="C261" s="40"/>
      <c r="D261" s="37"/>
      <c r="E261" s="38"/>
      <c r="F261" s="35"/>
      <c r="G261" s="35"/>
      <c r="H261" s="40"/>
      <c r="I261" s="37"/>
      <c r="J261" s="35"/>
      <c r="K261" s="35"/>
      <c r="L261" s="48"/>
      <c r="M261" s="49"/>
      <c r="N261" s="49"/>
    </row>
    <row r="262" spans="1:14" ht="15.75" customHeight="1">
      <c r="A262" s="36"/>
      <c r="B262" s="52"/>
      <c r="C262" s="40"/>
      <c r="D262" s="37"/>
      <c r="E262" s="38"/>
      <c r="F262" s="35"/>
      <c r="G262" s="35"/>
      <c r="H262" s="40"/>
      <c r="I262" s="37"/>
      <c r="J262" s="35"/>
      <c r="K262" s="35"/>
      <c r="L262" s="48"/>
      <c r="M262" s="49"/>
      <c r="N262" s="49"/>
    </row>
    <row r="263" spans="1:14" ht="15.75" customHeight="1">
      <c r="A263" s="36"/>
      <c r="B263" s="52"/>
      <c r="C263" s="40"/>
      <c r="D263" s="37"/>
      <c r="E263" s="38"/>
      <c r="F263" s="35"/>
      <c r="G263" s="35"/>
      <c r="H263" s="40"/>
      <c r="I263" s="37"/>
      <c r="J263" s="35"/>
      <c r="K263" s="35"/>
      <c r="L263" s="48"/>
      <c r="M263" s="49"/>
      <c r="N263" s="49"/>
    </row>
    <row r="264" spans="1:14" ht="15.75" customHeight="1">
      <c r="A264" s="36"/>
      <c r="B264" s="52"/>
      <c r="C264" s="40"/>
      <c r="D264" s="37"/>
      <c r="E264" s="38"/>
      <c r="F264" s="35"/>
      <c r="G264" s="35"/>
      <c r="H264" s="40"/>
      <c r="I264" s="37"/>
      <c r="J264" s="35"/>
      <c r="K264" s="35"/>
      <c r="L264" s="48"/>
      <c r="M264" s="49"/>
      <c r="N264" s="49"/>
    </row>
    <row r="265" spans="1:14" ht="15.75" customHeight="1">
      <c r="A265" s="36"/>
      <c r="B265" s="52"/>
      <c r="C265" s="40"/>
      <c r="D265" s="37"/>
      <c r="E265" s="38"/>
      <c r="F265" s="35"/>
      <c r="G265" s="35"/>
      <c r="H265" s="40"/>
      <c r="I265" s="37"/>
      <c r="J265" s="35"/>
      <c r="K265" s="35"/>
      <c r="L265" s="48"/>
      <c r="M265" s="49"/>
      <c r="N265" s="49"/>
    </row>
    <row r="266" spans="1:14" ht="15.75" customHeight="1">
      <c r="A266" s="36"/>
      <c r="B266" s="52"/>
      <c r="C266" s="40"/>
      <c r="D266" s="37"/>
      <c r="E266" s="38"/>
      <c r="F266" s="35"/>
      <c r="G266" s="35"/>
      <c r="H266" s="40"/>
      <c r="I266" s="37"/>
      <c r="J266" s="35"/>
      <c r="K266" s="35"/>
      <c r="L266" s="48"/>
      <c r="M266" s="49"/>
      <c r="N266" s="49"/>
    </row>
    <row r="267" spans="1:14" ht="15.75" customHeight="1">
      <c r="A267" s="36"/>
      <c r="B267" s="52"/>
      <c r="C267" s="40"/>
      <c r="D267" s="37"/>
      <c r="E267" s="38"/>
      <c r="F267" s="35"/>
      <c r="G267" s="35"/>
      <c r="H267" s="40"/>
      <c r="I267" s="37"/>
      <c r="J267" s="35"/>
      <c r="K267" s="35"/>
      <c r="L267" s="48"/>
      <c r="M267" s="49"/>
      <c r="N267" s="49"/>
    </row>
    <row r="268" spans="1:14" ht="15.75" customHeight="1">
      <c r="A268" s="36"/>
      <c r="B268" s="52"/>
      <c r="C268" s="40"/>
      <c r="D268" s="37"/>
      <c r="E268" s="38"/>
      <c r="F268" s="35"/>
      <c r="G268" s="35"/>
      <c r="H268" s="40"/>
      <c r="I268" s="37"/>
      <c r="J268" s="35"/>
      <c r="K268" s="35"/>
      <c r="L268" s="48"/>
      <c r="M268" s="49"/>
      <c r="N268" s="49"/>
    </row>
    <row r="269" spans="1:14" ht="15.75" customHeight="1">
      <c r="A269" s="36"/>
      <c r="B269" s="52"/>
      <c r="C269" s="40"/>
      <c r="D269" s="37"/>
      <c r="E269" s="38"/>
      <c r="F269" s="35"/>
      <c r="G269" s="35"/>
      <c r="H269" s="40"/>
      <c r="I269" s="37"/>
      <c r="J269" s="35"/>
      <c r="K269" s="35"/>
      <c r="L269" s="48"/>
      <c r="M269" s="49"/>
      <c r="N269" s="49"/>
    </row>
    <row r="270" spans="1:14" ht="15.75" customHeight="1">
      <c r="A270" s="36"/>
      <c r="B270" s="52"/>
      <c r="C270" s="40"/>
      <c r="D270" s="37"/>
      <c r="E270" s="38"/>
      <c r="F270" s="35"/>
      <c r="G270" s="35"/>
      <c r="H270" s="40"/>
      <c r="I270" s="37"/>
      <c r="J270" s="35"/>
      <c r="K270" s="35"/>
      <c r="L270" s="48"/>
      <c r="M270" s="49"/>
      <c r="N270" s="49"/>
    </row>
    <row r="271" spans="1:14" ht="15.75" customHeight="1">
      <c r="A271" s="36"/>
      <c r="B271" s="52"/>
      <c r="C271" s="40"/>
      <c r="D271" s="37"/>
      <c r="E271" s="38"/>
      <c r="F271" s="35"/>
      <c r="G271" s="35"/>
      <c r="H271" s="40"/>
      <c r="I271" s="37"/>
      <c r="J271" s="35"/>
      <c r="K271" s="35"/>
      <c r="L271" s="48"/>
      <c r="M271" s="49"/>
      <c r="N271" s="49"/>
    </row>
    <row r="272" spans="1:14" ht="15.75" customHeight="1">
      <c r="A272" s="36"/>
      <c r="B272" s="52"/>
      <c r="C272" s="40"/>
      <c r="D272" s="37"/>
      <c r="E272" s="38"/>
      <c r="F272" s="35"/>
      <c r="G272" s="35"/>
      <c r="H272" s="40"/>
      <c r="I272" s="37"/>
      <c r="J272" s="35"/>
      <c r="K272" s="35"/>
      <c r="L272" s="48"/>
      <c r="M272" s="49"/>
      <c r="N272" s="49"/>
    </row>
    <row r="273" spans="1:14" ht="15.75" customHeight="1">
      <c r="A273" s="36"/>
      <c r="B273" s="52"/>
      <c r="C273" s="40"/>
      <c r="D273" s="37"/>
      <c r="E273" s="38"/>
      <c r="F273" s="35"/>
      <c r="G273" s="35"/>
      <c r="H273" s="40"/>
      <c r="I273" s="37"/>
      <c r="J273" s="35"/>
      <c r="K273" s="35"/>
      <c r="L273" s="48"/>
      <c r="M273" s="49"/>
      <c r="N273" s="49"/>
    </row>
    <row r="274" spans="1:14" ht="15.75" customHeight="1">
      <c r="A274" s="36"/>
      <c r="B274" s="52"/>
      <c r="C274" s="40"/>
      <c r="D274" s="37"/>
      <c r="E274" s="38"/>
      <c r="F274" s="35"/>
      <c r="G274" s="35"/>
      <c r="H274" s="40"/>
      <c r="I274" s="37"/>
      <c r="J274" s="35"/>
      <c r="K274" s="35"/>
      <c r="L274" s="48"/>
      <c r="M274" s="49"/>
      <c r="N274" s="49"/>
    </row>
    <row r="275" spans="1:14" ht="15.75" customHeight="1">
      <c r="A275" s="36"/>
      <c r="B275" s="52"/>
      <c r="C275" s="40"/>
      <c r="D275" s="37"/>
      <c r="E275" s="38"/>
      <c r="F275" s="35"/>
      <c r="G275" s="35"/>
      <c r="H275" s="40"/>
      <c r="I275" s="37"/>
      <c r="J275" s="35"/>
      <c r="K275" s="35"/>
      <c r="L275" s="48"/>
      <c r="M275" s="49"/>
      <c r="N275" s="49"/>
    </row>
    <row r="276" spans="1:14" ht="15.75" customHeight="1">
      <c r="A276" s="36"/>
      <c r="B276" s="52"/>
      <c r="C276" s="40"/>
      <c r="D276" s="37"/>
      <c r="E276" s="38"/>
      <c r="F276" s="35"/>
      <c r="G276" s="35"/>
      <c r="H276" s="40"/>
      <c r="I276" s="37"/>
      <c r="J276" s="35"/>
      <c r="K276" s="35"/>
      <c r="L276" s="48"/>
      <c r="M276" s="49"/>
      <c r="N276" s="49"/>
    </row>
    <row r="277" spans="1:14" ht="15.75" customHeight="1">
      <c r="A277" s="36"/>
      <c r="B277" s="52"/>
      <c r="C277" s="40"/>
      <c r="D277" s="37"/>
      <c r="E277" s="38"/>
      <c r="F277" s="35"/>
      <c r="G277" s="35"/>
      <c r="H277" s="40"/>
      <c r="I277" s="37"/>
      <c r="J277" s="35"/>
      <c r="K277" s="35"/>
      <c r="L277" s="48"/>
      <c r="M277" s="49"/>
      <c r="N277" s="49"/>
    </row>
    <row r="278" spans="1:14" ht="15.75" customHeight="1">
      <c r="A278" s="36"/>
      <c r="B278" s="52"/>
      <c r="C278" s="40"/>
      <c r="D278" s="37"/>
      <c r="E278" s="38"/>
      <c r="F278" s="35"/>
      <c r="G278" s="35"/>
      <c r="H278" s="40"/>
      <c r="I278" s="37"/>
      <c r="J278" s="35"/>
      <c r="K278" s="35"/>
      <c r="L278" s="48"/>
      <c r="M278" s="49"/>
      <c r="N278" s="49"/>
    </row>
    <row r="279" spans="1:14" ht="15.75" customHeight="1">
      <c r="A279" s="36"/>
      <c r="B279" s="52"/>
      <c r="C279" s="40"/>
      <c r="D279" s="37"/>
      <c r="E279" s="38"/>
      <c r="F279" s="35"/>
      <c r="G279" s="35"/>
      <c r="H279" s="40"/>
      <c r="I279" s="37"/>
      <c r="J279" s="35"/>
      <c r="K279" s="35"/>
      <c r="L279" s="48"/>
      <c r="M279" s="49"/>
      <c r="N279" s="49"/>
    </row>
    <row r="280" spans="1:14" ht="15.75" customHeight="1">
      <c r="A280" s="36"/>
      <c r="B280" s="52"/>
      <c r="C280" s="40"/>
      <c r="D280" s="37"/>
      <c r="E280" s="38"/>
      <c r="F280" s="35"/>
      <c r="G280" s="35"/>
      <c r="H280" s="40"/>
      <c r="I280" s="37"/>
      <c r="J280" s="35"/>
      <c r="K280" s="35"/>
      <c r="L280" s="48"/>
      <c r="M280" s="49"/>
      <c r="N280" s="49"/>
    </row>
    <row r="281" spans="1:14" ht="15.75" customHeight="1">
      <c r="A281" s="36"/>
      <c r="B281" s="52"/>
      <c r="C281" s="40"/>
      <c r="D281" s="37"/>
      <c r="E281" s="38"/>
      <c r="F281" s="35"/>
      <c r="G281" s="35"/>
      <c r="H281" s="40"/>
      <c r="I281" s="37"/>
      <c r="J281" s="35"/>
      <c r="K281" s="35"/>
      <c r="L281" s="48"/>
      <c r="M281" s="49"/>
      <c r="N281" s="49"/>
    </row>
    <row r="282" spans="1:14" ht="15.75" customHeight="1">
      <c r="A282" s="36"/>
      <c r="B282" s="52"/>
      <c r="C282" s="40"/>
      <c r="D282" s="37"/>
      <c r="E282" s="38"/>
      <c r="F282" s="35"/>
      <c r="G282" s="35"/>
      <c r="H282" s="40"/>
      <c r="I282" s="37"/>
      <c r="J282" s="35"/>
      <c r="K282" s="35"/>
      <c r="L282" s="48"/>
      <c r="M282" s="49"/>
      <c r="N282" s="49"/>
    </row>
    <row r="283" spans="1:14" ht="15.75" customHeight="1">
      <c r="A283" s="36"/>
      <c r="B283" s="52"/>
      <c r="C283" s="40"/>
      <c r="D283" s="37"/>
      <c r="E283" s="38"/>
      <c r="F283" s="35"/>
      <c r="G283" s="35"/>
      <c r="H283" s="40"/>
      <c r="I283" s="37"/>
      <c r="J283" s="35"/>
      <c r="K283" s="35"/>
      <c r="L283" s="48"/>
      <c r="M283" s="49"/>
      <c r="N283" s="49"/>
    </row>
    <row r="284" spans="1:14" ht="15.75" customHeight="1">
      <c r="A284" s="36"/>
      <c r="B284" s="52"/>
      <c r="C284" s="40"/>
      <c r="D284" s="37"/>
      <c r="E284" s="38"/>
      <c r="F284" s="35"/>
      <c r="G284" s="35"/>
      <c r="H284" s="40"/>
      <c r="I284" s="37"/>
      <c r="J284" s="35"/>
      <c r="K284" s="35"/>
      <c r="L284" s="48"/>
      <c r="M284" s="49"/>
      <c r="N284" s="49"/>
    </row>
    <row r="285" spans="1:14" ht="15.75" customHeight="1">
      <c r="A285" s="36"/>
      <c r="B285" s="52"/>
      <c r="C285" s="40"/>
      <c r="D285" s="37"/>
      <c r="E285" s="38"/>
      <c r="F285" s="35"/>
      <c r="G285" s="35"/>
      <c r="H285" s="40"/>
      <c r="I285" s="37"/>
      <c r="J285" s="35"/>
      <c r="K285" s="35"/>
      <c r="L285" s="48"/>
      <c r="M285" s="49"/>
      <c r="N285" s="49"/>
    </row>
    <row r="286" spans="1:14" ht="15.75" customHeight="1">
      <c r="A286" s="36"/>
      <c r="B286" s="52"/>
      <c r="C286" s="40"/>
      <c r="D286" s="37"/>
      <c r="E286" s="38"/>
      <c r="F286" s="35"/>
      <c r="G286" s="35"/>
      <c r="H286" s="40"/>
      <c r="I286" s="37"/>
      <c r="J286" s="35"/>
      <c r="K286" s="35"/>
      <c r="L286" s="48"/>
      <c r="M286" s="49"/>
      <c r="N286" s="49"/>
    </row>
    <row r="287" spans="1:14" ht="15.75" customHeight="1">
      <c r="A287" s="36"/>
      <c r="B287" s="52"/>
      <c r="C287" s="40"/>
      <c r="D287" s="37"/>
      <c r="E287" s="38"/>
      <c r="F287" s="35"/>
      <c r="G287" s="35"/>
      <c r="H287" s="40"/>
      <c r="I287" s="37"/>
      <c r="J287" s="35"/>
      <c r="K287" s="35"/>
      <c r="L287" s="48"/>
      <c r="M287" s="49"/>
      <c r="N287" s="49"/>
    </row>
    <row r="288" spans="1:14" ht="15.75" customHeight="1">
      <c r="A288" s="36"/>
      <c r="B288" s="52"/>
      <c r="C288" s="40"/>
      <c r="D288" s="37"/>
      <c r="E288" s="38"/>
      <c r="F288" s="35"/>
      <c r="G288" s="35"/>
      <c r="H288" s="40"/>
      <c r="I288" s="37"/>
      <c r="J288" s="35"/>
      <c r="K288" s="35"/>
      <c r="L288" s="48"/>
      <c r="M288" s="49"/>
      <c r="N288" s="49"/>
    </row>
    <row r="289" spans="1:14" ht="15.75" customHeight="1">
      <c r="A289" s="36"/>
      <c r="B289" s="52"/>
      <c r="C289" s="40"/>
      <c r="D289" s="37"/>
      <c r="E289" s="38"/>
      <c r="F289" s="35"/>
      <c r="G289" s="35"/>
      <c r="H289" s="40"/>
      <c r="I289" s="37"/>
      <c r="J289" s="35"/>
      <c r="K289" s="35"/>
      <c r="L289" s="48"/>
      <c r="M289" s="49"/>
      <c r="N289" s="49"/>
    </row>
    <row r="290" spans="1:14" ht="15.75" customHeight="1">
      <c r="A290" s="36"/>
      <c r="B290" s="52"/>
      <c r="C290" s="40"/>
      <c r="D290" s="37"/>
      <c r="E290" s="38"/>
      <c r="F290" s="35"/>
      <c r="G290" s="35"/>
      <c r="H290" s="40"/>
      <c r="I290" s="37"/>
      <c r="J290" s="35"/>
      <c r="K290" s="35"/>
      <c r="L290" s="48"/>
      <c r="M290" s="49"/>
      <c r="N290" s="49"/>
    </row>
    <row r="291" spans="1:14" ht="15.75" customHeight="1">
      <c r="A291" s="36"/>
      <c r="B291" s="52"/>
      <c r="C291" s="40"/>
      <c r="D291" s="37"/>
      <c r="E291" s="38"/>
      <c r="F291" s="35"/>
      <c r="G291" s="35"/>
      <c r="H291" s="40"/>
      <c r="I291" s="37"/>
      <c r="J291" s="35"/>
      <c r="K291" s="35"/>
      <c r="L291" s="48"/>
      <c r="M291" s="49"/>
      <c r="N291" s="49"/>
    </row>
    <row r="292" spans="1:14" ht="15.75" customHeight="1">
      <c r="A292" s="36"/>
      <c r="B292" s="52"/>
      <c r="C292" s="40"/>
      <c r="D292" s="37"/>
      <c r="E292" s="38"/>
      <c r="F292" s="35"/>
      <c r="G292" s="35"/>
      <c r="H292" s="40"/>
      <c r="I292" s="37"/>
      <c r="J292" s="35"/>
      <c r="K292" s="35"/>
      <c r="L292" s="48"/>
      <c r="M292" s="49"/>
      <c r="N292" s="49"/>
    </row>
    <row r="293" spans="1:14" ht="15.75" customHeight="1">
      <c r="A293" s="36"/>
      <c r="B293" s="52"/>
      <c r="C293" s="40"/>
      <c r="D293" s="37"/>
      <c r="E293" s="38"/>
      <c r="F293" s="35"/>
      <c r="G293" s="35"/>
      <c r="H293" s="40"/>
      <c r="I293" s="37"/>
      <c r="J293" s="35"/>
      <c r="K293" s="35"/>
      <c r="L293" s="48"/>
      <c r="M293" s="49"/>
      <c r="N293" s="49"/>
    </row>
    <row r="294" spans="1:14" ht="15.75" customHeight="1">
      <c r="A294" s="36"/>
      <c r="B294" s="52"/>
      <c r="C294" s="40"/>
      <c r="D294" s="37"/>
      <c r="E294" s="38"/>
      <c r="F294" s="35"/>
      <c r="G294" s="35"/>
      <c r="H294" s="40"/>
      <c r="I294" s="37"/>
      <c r="J294" s="35"/>
      <c r="K294" s="35"/>
      <c r="L294" s="48"/>
      <c r="M294" s="49"/>
      <c r="N294" s="49"/>
    </row>
    <row r="295" spans="1:14" ht="15.75" customHeight="1">
      <c r="A295" s="36"/>
      <c r="B295" s="52"/>
      <c r="C295" s="40"/>
      <c r="D295" s="37"/>
      <c r="E295" s="38"/>
      <c r="F295" s="35"/>
      <c r="G295" s="35"/>
      <c r="H295" s="40"/>
      <c r="I295" s="37"/>
      <c r="J295" s="35"/>
      <c r="K295" s="35"/>
      <c r="L295" s="48"/>
      <c r="M295" s="49"/>
      <c r="N295" s="49"/>
    </row>
    <row r="296" spans="1:14" ht="15.75" customHeight="1">
      <c r="A296" s="36"/>
      <c r="B296" s="52"/>
      <c r="C296" s="40"/>
      <c r="D296" s="37"/>
      <c r="E296" s="38"/>
      <c r="F296" s="35"/>
      <c r="G296" s="35"/>
      <c r="H296" s="40"/>
      <c r="I296" s="37"/>
      <c r="J296" s="35"/>
      <c r="K296" s="35"/>
      <c r="L296" s="48"/>
      <c r="M296" s="49"/>
      <c r="N296" s="49"/>
    </row>
    <row r="297" spans="1:14" ht="15.75" customHeight="1">
      <c r="A297" s="36"/>
      <c r="B297" s="52"/>
      <c r="C297" s="40"/>
      <c r="D297" s="37"/>
      <c r="E297" s="38"/>
      <c r="F297" s="35"/>
      <c r="G297" s="35"/>
      <c r="H297" s="40"/>
      <c r="I297" s="37"/>
      <c r="J297" s="35"/>
      <c r="K297" s="35"/>
      <c r="L297" s="48"/>
      <c r="M297" s="49"/>
      <c r="N297" s="49"/>
    </row>
    <row r="298" spans="1:14" ht="15.75" customHeight="1">
      <c r="A298" s="36"/>
      <c r="B298" s="52"/>
      <c r="C298" s="40"/>
      <c r="D298" s="37"/>
      <c r="E298" s="38"/>
      <c r="F298" s="35"/>
      <c r="G298" s="35"/>
      <c r="H298" s="40"/>
      <c r="I298" s="37"/>
      <c r="J298" s="35"/>
      <c r="K298" s="35"/>
      <c r="L298" s="48"/>
      <c r="M298" s="49"/>
      <c r="N298" s="49"/>
    </row>
    <row r="299" spans="1:14" ht="15.75" customHeight="1">
      <c r="A299" s="36"/>
      <c r="B299" s="52"/>
      <c r="C299" s="40"/>
      <c r="D299" s="37"/>
      <c r="E299" s="38"/>
      <c r="F299" s="35"/>
      <c r="G299" s="35"/>
      <c r="H299" s="40"/>
      <c r="I299" s="37"/>
      <c r="J299" s="35"/>
      <c r="K299" s="35"/>
      <c r="L299" s="48"/>
      <c r="M299" s="49"/>
      <c r="N299" s="49"/>
    </row>
    <row r="300" spans="1:14" ht="15.75" customHeight="1">
      <c r="A300" s="36"/>
      <c r="B300" s="52"/>
      <c r="C300" s="40"/>
      <c r="D300" s="37"/>
      <c r="E300" s="38"/>
      <c r="F300" s="35"/>
      <c r="G300" s="35"/>
      <c r="H300" s="40"/>
      <c r="I300" s="37"/>
      <c r="J300" s="35"/>
      <c r="K300" s="35"/>
      <c r="L300" s="48"/>
      <c r="M300" s="49"/>
      <c r="N300" s="49"/>
    </row>
    <row r="301" spans="1:14" ht="15.75" customHeight="1">
      <c r="A301" s="36"/>
      <c r="B301" s="52"/>
      <c r="C301" s="40"/>
      <c r="D301" s="37"/>
      <c r="E301" s="38"/>
      <c r="F301" s="35"/>
      <c r="G301" s="35"/>
      <c r="H301" s="40"/>
      <c r="I301" s="37"/>
      <c r="J301" s="35"/>
      <c r="K301" s="35"/>
      <c r="L301" s="48"/>
      <c r="M301" s="49"/>
      <c r="N301" s="49"/>
    </row>
    <row r="302" spans="1:14" ht="15.75" customHeight="1">
      <c r="A302" s="36"/>
      <c r="B302" s="52"/>
      <c r="C302" s="40"/>
      <c r="D302" s="37"/>
      <c r="E302" s="38"/>
      <c r="F302" s="35"/>
      <c r="G302" s="35"/>
      <c r="H302" s="40"/>
      <c r="I302" s="37"/>
      <c r="J302" s="35"/>
      <c r="K302" s="35"/>
      <c r="L302" s="48"/>
      <c r="M302" s="49"/>
      <c r="N302" s="49"/>
    </row>
    <row r="303" spans="1:14" ht="15.75" customHeight="1">
      <c r="A303" s="36"/>
      <c r="B303" s="52"/>
      <c r="C303" s="40"/>
      <c r="D303" s="37"/>
      <c r="E303" s="38"/>
      <c r="F303" s="35"/>
      <c r="G303" s="35"/>
      <c r="H303" s="40"/>
      <c r="I303" s="37"/>
      <c r="J303" s="35"/>
      <c r="K303" s="35"/>
      <c r="L303" s="48"/>
      <c r="M303" s="49"/>
      <c r="N303" s="49"/>
    </row>
    <row r="304" spans="1:14" ht="15.75" customHeight="1">
      <c r="A304" s="36"/>
      <c r="B304" s="52"/>
      <c r="C304" s="40"/>
      <c r="D304" s="37"/>
      <c r="E304" s="38"/>
      <c r="F304" s="35"/>
      <c r="G304" s="35"/>
      <c r="H304" s="40"/>
      <c r="I304" s="37"/>
      <c r="J304" s="35"/>
      <c r="K304" s="35"/>
      <c r="L304" s="48"/>
      <c r="M304" s="49"/>
      <c r="N304" s="49"/>
    </row>
    <row r="305" spans="1:14" ht="15.75" customHeight="1">
      <c r="A305" s="36"/>
      <c r="B305" s="52"/>
      <c r="C305" s="40"/>
      <c r="D305" s="37"/>
      <c r="E305" s="38"/>
      <c r="F305" s="35"/>
      <c r="G305" s="35"/>
      <c r="H305" s="40"/>
      <c r="I305" s="37"/>
      <c r="J305" s="35"/>
      <c r="K305" s="35"/>
      <c r="L305" s="48"/>
      <c r="M305" s="49"/>
      <c r="N305" s="49"/>
    </row>
    <row r="306" spans="1:14" ht="15.75" customHeight="1">
      <c r="A306" s="36"/>
      <c r="B306" s="52"/>
      <c r="C306" s="40"/>
      <c r="D306" s="37"/>
      <c r="E306" s="38"/>
      <c r="F306" s="35"/>
      <c r="G306" s="35"/>
      <c r="H306" s="40"/>
      <c r="I306" s="37"/>
      <c r="J306" s="35"/>
      <c r="K306" s="35"/>
      <c r="L306" s="48"/>
      <c r="M306" s="49"/>
      <c r="N306" s="49"/>
    </row>
    <row r="307" spans="1:14" ht="15.75" customHeight="1">
      <c r="A307" s="36"/>
      <c r="B307" s="52"/>
      <c r="C307" s="40"/>
      <c r="D307" s="37"/>
      <c r="E307" s="38"/>
      <c r="F307" s="35"/>
      <c r="G307" s="35"/>
      <c r="H307" s="40"/>
      <c r="I307" s="37"/>
      <c r="J307" s="35"/>
      <c r="K307" s="35"/>
      <c r="L307" s="48"/>
      <c r="M307" s="49"/>
      <c r="N307" s="49"/>
    </row>
    <row r="308" spans="1:14" ht="15.75" customHeight="1">
      <c r="A308" s="36"/>
      <c r="B308" s="52"/>
      <c r="C308" s="40"/>
      <c r="D308" s="37"/>
      <c r="E308" s="38"/>
      <c r="F308" s="35"/>
      <c r="G308" s="35"/>
      <c r="H308" s="40"/>
      <c r="I308" s="37"/>
      <c r="J308" s="35"/>
      <c r="K308" s="35"/>
      <c r="L308" s="48"/>
      <c r="M308" s="49"/>
      <c r="N308" s="49"/>
    </row>
    <row r="309" spans="1:14" ht="15.75" customHeight="1">
      <c r="A309" s="36"/>
      <c r="B309" s="52"/>
      <c r="C309" s="40"/>
      <c r="D309" s="37"/>
      <c r="E309" s="38"/>
      <c r="F309" s="35"/>
      <c r="G309" s="35"/>
      <c r="H309" s="40"/>
      <c r="I309" s="37"/>
      <c r="J309" s="35"/>
      <c r="K309" s="35"/>
      <c r="L309" s="48"/>
      <c r="M309" s="49"/>
      <c r="N309" s="49"/>
    </row>
    <row r="310" spans="1:14" ht="15.75" customHeight="1">
      <c r="A310" s="36"/>
      <c r="B310" s="52"/>
      <c r="C310" s="40"/>
      <c r="D310" s="37"/>
      <c r="E310" s="38"/>
      <c r="F310" s="35"/>
      <c r="G310" s="35"/>
      <c r="H310" s="40"/>
      <c r="I310" s="37"/>
      <c r="J310" s="35"/>
      <c r="K310" s="35"/>
      <c r="L310" s="48"/>
      <c r="M310" s="49"/>
      <c r="N310" s="49"/>
    </row>
    <row r="311" spans="1:14" ht="15.75" customHeight="1">
      <c r="A311" s="36"/>
      <c r="B311" s="52"/>
      <c r="C311" s="40"/>
      <c r="D311" s="37"/>
      <c r="E311" s="38"/>
      <c r="F311" s="35"/>
      <c r="G311" s="35"/>
      <c r="H311" s="40"/>
      <c r="I311" s="37"/>
      <c r="J311" s="35"/>
      <c r="K311" s="35"/>
      <c r="L311" s="48"/>
      <c r="M311" s="49"/>
      <c r="N311" s="49"/>
    </row>
    <row r="312" spans="1:14" ht="15.75" customHeight="1">
      <c r="A312" s="36"/>
      <c r="B312" s="52"/>
      <c r="C312" s="40"/>
      <c r="D312" s="37"/>
      <c r="E312" s="38"/>
      <c r="F312" s="35"/>
      <c r="G312" s="35"/>
      <c r="H312" s="40"/>
      <c r="I312" s="37"/>
      <c r="J312" s="35"/>
      <c r="K312" s="35"/>
      <c r="L312" s="48"/>
      <c r="M312" s="49"/>
      <c r="N312" s="49"/>
    </row>
    <row r="313" spans="1:14" ht="15.75" customHeight="1">
      <c r="A313" s="36"/>
      <c r="B313" s="52"/>
      <c r="C313" s="40"/>
      <c r="D313" s="37"/>
      <c r="E313" s="38"/>
      <c r="F313" s="35"/>
      <c r="G313" s="35"/>
      <c r="H313" s="40"/>
      <c r="I313" s="37"/>
      <c r="J313" s="35"/>
      <c r="K313" s="35"/>
      <c r="L313" s="48"/>
      <c r="M313" s="49"/>
      <c r="N313" s="49"/>
    </row>
    <row r="314" spans="1:14" ht="15.75" customHeight="1">
      <c r="A314" s="36"/>
      <c r="B314" s="52"/>
      <c r="C314" s="40"/>
      <c r="D314" s="37"/>
      <c r="E314" s="38"/>
      <c r="F314" s="35"/>
      <c r="G314" s="35"/>
      <c r="H314" s="40"/>
      <c r="I314" s="37"/>
      <c r="J314" s="35"/>
      <c r="K314" s="35"/>
      <c r="L314" s="48"/>
      <c r="M314" s="49"/>
      <c r="N314" s="49"/>
    </row>
    <row r="315" spans="1:14" ht="15.75" customHeight="1">
      <c r="A315" s="36"/>
      <c r="B315" s="52"/>
      <c r="C315" s="40"/>
      <c r="D315" s="37"/>
      <c r="E315" s="38"/>
      <c r="F315" s="35"/>
      <c r="G315" s="35"/>
      <c r="H315" s="40"/>
      <c r="I315" s="37"/>
      <c r="J315" s="35"/>
      <c r="K315" s="35"/>
      <c r="L315" s="48"/>
      <c r="M315" s="49"/>
      <c r="N315" s="49"/>
    </row>
    <row r="316" spans="1:14" ht="15.75" customHeight="1">
      <c r="A316" s="36"/>
      <c r="B316" s="52"/>
      <c r="C316" s="40"/>
      <c r="D316" s="37"/>
      <c r="E316" s="38"/>
      <c r="F316" s="35"/>
      <c r="G316" s="35"/>
      <c r="H316" s="40"/>
      <c r="I316" s="37"/>
      <c r="J316" s="35"/>
      <c r="K316" s="35"/>
      <c r="L316" s="48"/>
      <c r="M316" s="49"/>
      <c r="N316" s="49"/>
    </row>
    <row r="317" spans="1:14" ht="15.75" customHeight="1">
      <c r="A317" s="36"/>
      <c r="B317" s="52"/>
      <c r="C317" s="40"/>
      <c r="D317" s="37"/>
      <c r="E317" s="38"/>
      <c r="F317" s="35"/>
      <c r="G317" s="35"/>
      <c r="H317" s="40"/>
      <c r="I317" s="37"/>
      <c r="J317" s="35"/>
      <c r="K317" s="35"/>
      <c r="L317" s="48"/>
      <c r="M317" s="49"/>
      <c r="N317" s="49"/>
    </row>
    <row r="318" spans="1:14" ht="15.75" customHeight="1">
      <c r="A318" s="36"/>
      <c r="B318" s="52"/>
      <c r="C318" s="40"/>
      <c r="D318" s="37"/>
      <c r="E318" s="38"/>
      <c r="F318" s="35"/>
      <c r="G318" s="35"/>
      <c r="H318" s="40"/>
      <c r="I318" s="37"/>
      <c r="J318" s="35"/>
      <c r="K318" s="35"/>
      <c r="L318" s="48"/>
      <c r="M318" s="49"/>
      <c r="N318" s="49"/>
    </row>
    <row r="319" spans="1:14" ht="15.75" customHeight="1">
      <c r="A319" s="36"/>
      <c r="B319" s="52"/>
      <c r="C319" s="40"/>
      <c r="D319" s="37"/>
      <c r="E319" s="38"/>
      <c r="F319" s="35"/>
      <c r="G319" s="35"/>
      <c r="H319" s="40"/>
      <c r="I319" s="37"/>
      <c r="J319" s="35"/>
      <c r="K319" s="35"/>
      <c r="L319" s="48"/>
      <c r="M319" s="49"/>
      <c r="N319" s="49"/>
    </row>
    <row r="320" spans="1:14" ht="15.75" customHeight="1">
      <c r="A320" s="36"/>
      <c r="B320" s="52"/>
      <c r="C320" s="40"/>
      <c r="D320" s="37"/>
      <c r="E320" s="38"/>
      <c r="F320" s="35"/>
      <c r="G320" s="35"/>
      <c r="H320" s="40"/>
      <c r="I320" s="37"/>
      <c r="J320" s="35"/>
      <c r="K320" s="35"/>
      <c r="L320" s="48"/>
      <c r="M320" s="49"/>
      <c r="N320" s="49"/>
    </row>
    <row r="321" spans="1:14" ht="15.75" customHeight="1">
      <c r="A321" s="36"/>
      <c r="B321" s="52"/>
      <c r="C321" s="40"/>
      <c r="D321" s="37"/>
      <c r="E321" s="38"/>
      <c r="F321" s="35"/>
      <c r="G321" s="35"/>
      <c r="H321" s="40"/>
      <c r="I321" s="37"/>
      <c r="J321" s="35"/>
      <c r="K321" s="35"/>
      <c r="L321" s="48"/>
      <c r="M321" s="49"/>
      <c r="N321" s="49"/>
    </row>
    <row r="322" spans="1:14" ht="15.75" customHeight="1">
      <c r="A322" s="36"/>
      <c r="B322" s="52"/>
      <c r="C322" s="40"/>
      <c r="D322" s="37"/>
      <c r="E322" s="38"/>
      <c r="F322" s="35"/>
      <c r="G322" s="35"/>
      <c r="H322" s="40"/>
      <c r="I322" s="37"/>
      <c r="J322" s="35"/>
      <c r="K322" s="35"/>
      <c r="L322" s="48"/>
      <c r="M322" s="49"/>
      <c r="N322" s="49"/>
    </row>
    <row r="323" spans="1:14" ht="15.75" customHeight="1">
      <c r="A323" s="36"/>
      <c r="B323" s="52"/>
      <c r="C323" s="40"/>
      <c r="D323" s="37"/>
      <c r="E323" s="38"/>
      <c r="F323" s="35"/>
      <c r="G323" s="35"/>
      <c r="H323" s="40"/>
      <c r="I323" s="37"/>
      <c r="J323" s="35"/>
      <c r="K323" s="35"/>
      <c r="L323" s="48"/>
      <c r="M323" s="49"/>
      <c r="N323" s="49"/>
    </row>
    <row r="324" spans="1:14" ht="15.75" customHeight="1">
      <c r="A324" s="36"/>
      <c r="B324" s="52"/>
      <c r="C324" s="40"/>
      <c r="D324" s="37"/>
      <c r="E324" s="38"/>
      <c r="F324" s="35"/>
      <c r="G324" s="35"/>
      <c r="H324" s="40"/>
      <c r="I324" s="37"/>
      <c r="J324" s="35"/>
      <c r="K324" s="35"/>
      <c r="L324" s="48"/>
      <c r="M324" s="49"/>
      <c r="N324" s="49"/>
    </row>
    <row r="325" spans="1:14" ht="15.75" customHeight="1">
      <c r="A325" s="36"/>
      <c r="B325" s="52"/>
      <c r="C325" s="40"/>
      <c r="D325" s="37"/>
      <c r="E325" s="38"/>
      <c r="F325" s="35"/>
      <c r="G325" s="35"/>
      <c r="H325" s="40"/>
      <c r="I325" s="37"/>
      <c r="J325" s="35"/>
      <c r="K325" s="35"/>
      <c r="L325" s="48"/>
      <c r="M325" s="49"/>
      <c r="N325" s="49"/>
    </row>
    <row r="326" spans="1:14" ht="15.75" customHeight="1">
      <c r="A326" s="36"/>
      <c r="B326" s="52"/>
      <c r="C326" s="40"/>
      <c r="D326" s="37"/>
      <c r="E326" s="38"/>
      <c r="F326" s="35"/>
      <c r="G326" s="35"/>
      <c r="H326" s="40"/>
      <c r="I326" s="37"/>
      <c r="J326" s="35"/>
      <c r="K326" s="35"/>
      <c r="L326" s="48"/>
      <c r="M326" s="49"/>
      <c r="N326" s="49"/>
    </row>
    <row r="327" spans="1:14" ht="15.75" customHeight="1">
      <c r="A327" s="36"/>
      <c r="B327" s="52"/>
      <c r="C327" s="40"/>
      <c r="D327" s="37"/>
      <c r="E327" s="38"/>
      <c r="F327" s="35"/>
      <c r="G327" s="35"/>
      <c r="H327" s="40"/>
      <c r="I327" s="37"/>
      <c r="J327" s="35"/>
      <c r="K327" s="35"/>
      <c r="L327" s="48"/>
      <c r="M327" s="49"/>
      <c r="N327" s="49"/>
    </row>
    <row r="328" spans="1:14" ht="15.75" customHeight="1">
      <c r="A328" s="36"/>
      <c r="B328" s="52"/>
      <c r="C328" s="40"/>
      <c r="D328" s="37"/>
      <c r="E328" s="38"/>
      <c r="F328" s="35"/>
      <c r="G328" s="35"/>
      <c r="H328" s="40"/>
      <c r="I328" s="37"/>
      <c r="J328" s="35"/>
      <c r="K328" s="35"/>
      <c r="L328" s="48"/>
      <c r="M328" s="49"/>
      <c r="N328" s="49"/>
    </row>
    <row r="329" spans="1:14" ht="15.75" customHeight="1">
      <c r="A329" s="36"/>
      <c r="B329" s="52"/>
      <c r="C329" s="40"/>
      <c r="D329" s="37"/>
      <c r="E329" s="38"/>
      <c r="F329" s="35"/>
      <c r="G329" s="35"/>
      <c r="H329" s="40"/>
      <c r="I329" s="37"/>
      <c r="J329" s="35"/>
      <c r="K329" s="35"/>
      <c r="L329" s="48"/>
      <c r="M329" s="49"/>
      <c r="N329" s="49"/>
    </row>
    <row r="330" spans="1:14" ht="15.75" customHeight="1">
      <c r="A330" s="36"/>
      <c r="B330" s="52"/>
      <c r="C330" s="40"/>
      <c r="D330" s="37"/>
      <c r="E330" s="38"/>
      <c r="F330" s="35"/>
      <c r="G330" s="35"/>
      <c r="H330" s="40"/>
      <c r="I330" s="37"/>
      <c r="J330" s="35"/>
      <c r="K330" s="35"/>
      <c r="L330" s="48"/>
      <c r="M330" s="49"/>
      <c r="N330" s="49"/>
    </row>
    <row r="331" spans="1:14" ht="15.75" customHeight="1">
      <c r="A331" s="36"/>
      <c r="B331" s="52"/>
      <c r="C331" s="40"/>
      <c r="D331" s="37"/>
      <c r="E331" s="38"/>
      <c r="F331" s="35"/>
      <c r="G331" s="35"/>
      <c r="H331" s="40"/>
      <c r="I331" s="37"/>
      <c r="J331" s="35"/>
      <c r="K331" s="35"/>
      <c r="L331" s="48"/>
      <c r="M331" s="49"/>
      <c r="N331" s="49"/>
    </row>
    <row r="332" spans="1:14" ht="15.75" customHeight="1">
      <c r="A332" s="36"/>
      <c r="B332" s="52"/>
      <c r="C332" s="40"/>
      <c r="D332" s="37"/>
      <c r="E332" s="38"/>
      <c r="F332" s="35"/>
      <c r="G332" s="35"/>
      <c r="H332" s="40"/>
      <c r="I332" s="37"/>
      <c r="J332" s="35"/>
      <c r="K332" s="35"/>
      <c r="L332" s="48"/>
      <c r="M332" s="49"/>
      <c r="N332" s="49"/>
    </row>
    <row r="333" spans="1:14" ht="15.75" customHeight="1">
      <c r="A333" s="36"/>
      <c r="B333" s="52"/>
      <c r="C333" s="40"/>
      <c r="D333" s="37"/>
      <c r="E333" s="38"/>
      <c r="F333" s="35"/>
      <c r="G333" s="35"/>
      <c r="H333" s="40"/>
      <c r="I333" s="37"/>
      <c r="J333" s="35"/>
      <c r="K333" s="35"/>
      <c r="L333" s="48"/>
      <c r="M333" s="49"/>
      <c r="N333" s="49"/>
    </row>
    <row r="334" spans="1:14" ht="15.75" customHeight="1">
      <c r="A334" s="36"/>
      <c r="B334" s="52"/>
      <c r="C334" s="40"/>
      <c r="D334" s="37"/>
      <c r="E334" s="38"/>
      <c r="F334" s="35"/>
      <c r="G334" s="35"/>
      <c r="H334" s="40"/>
      <c r="I334" s="37"/>
      <c r="J334" s="35"/>
      <c r="K334" s="35"/>
      <c r="L334" s="48"/>
      <c r="M334" s="49"/>
      <c r="N334" s="49"/>
    </row>
    <row r="335" spans="1:14" ht="15.75" customHeight="1">
      <c r="A335" s="36"/>
      <c r="B335" s="52"/>
      <c r="C335" s="40"/>
      <c r="D335" s="37"/>
      <c r="E335" s="38"/>
      <c r="F335" s="35"/>
      <c r="G335" s="35"/>
      <c r="H335" s="40"/>
      <c r="I335" s="37"/>
      <c r="J335" s="35"/>
      <c r="K335" s="35"/>
      <c r="L335" s="48"/>
      <c r="M335" s="49"/>
      <c r="N335" s="49"/>
    </row>
    <row r="336" spans="1:14" ht="15.75" customHeight="1">
      <c r="A336" s="36"/>
      <c r="B336" s="52"/>
      <c r="C336" s="40"/>
      <c r="D336" s="37"/>
      <c r="E336" s="38"/>
      <c r="F336" s="35"/>
      <c r="G336" s="35"/>
      <c r="H336" s="40"/>
      <c r="I336" s="37"/>
      <c r="J336" s="35"/>
      <c r="K336" s="35"/>
      <c r="L336" s="48"/>
      <c r="M336" s="49"/>
      <c r="N336" s="49"/>
    </row>
    <row r="337" spans="1:14" ht="15.75" customHeight="1">
      <c r="A337" s="36"/>
      <c r="B337" s="52"/>
      <c r="C337" s="40"/>
      <c r="D337" s="37"/>
      <c r="E337" s="38"/>
      <c r="F337" s="35"/>
      <c r="G337" s="35"/>
      <c r="H337" s="40"/>
      <c r="I337" s="37"/>
      <c r="J337" s="35"/>
      <c r="K337" s="35"/>
      <c r="L337" s="48"/>
      <c r="M337" s="49"/>
      <c r="N337" s="49"/>
    </row>
    <row r="338" spans="1:14" ht="15.75" customHeight="1">
      <c r="A338" s="36"/>
      <c r="B338" s="52"/>
      <c r="C338" s="40"/>
      <c r="D338" s="37"/>
      <c r="E338" s="38"/>
      <c r="F338" s="35"/>
      <c r="G338" s="35"/>
      <c r="H338" s="40"/>
      <c r="I338" s="37"/>
      <c r="J338" s="35"/>
      <c r="K338" s="35"/>
      <c r="L338" s="48"/>
      <c r="M338" s="49"/>
      <c r="N338" s="49"/>
    </row>
    <row r="339" spans="1:14" ht="15.75" customHeight="1">
      <c r="A339" s="36"/>
      <c r="B339" s="52"/>
      <c r="C339" s="40"/>
      <c r="D339" s="37"/>
      <c r="E339" s="38"/>
      <c r="F339" s="35"/>
      <c r="G339" s="35"/>
      <c r="H339" s="40"/>
      <c r="I339" s="37"/>
      <c r="J339" s="35"/>
      <c r="K339" s="35"/>
      <c r="L339" s="48"/>
      <c r="M339" s="49"/>
      <c r="N339" s="49"/>
    </row>
    <row r="340" spans="1:14" ht="15.75" customHeight="1">
      <c r="A340" s="36"/>
      <c r="B340" s="52"/>
      <c r="C340" s="40"/>
      <c r="D340" s="37"/>
      <c r="E340" s="38"/>
      <c r="F340" s="35"/>
      <c r="G340" s="35"/>
      <c r="H340" s="40"/>
      <c r="I340" s="37"/>
      <c r="J340" s="35"/>
      <c r="K340" s="35"/>
      <c r="L340" s="48"/>
      <c r="M340" s="49"/>
      <c r="N340" s="49"/>
    </row>
    <row r="341" spans="1:14" ht="15.75" customHeight="1">
      <c r="A341" s="36"/>
      <c r="B341" s="52"/>
      <c r="C341" s="40"/>
      <c r="D341" s="37"/>
      <c r="E341" s="38"/>
      <c r="F341" s="35"/>
      <c r="G341" s="35"/>
      <c r="H341" s="40"/>
      <c r="I341" s="37"/>
      <c r="J341" s="35"/>
      <c r="K341" s="35"/>
      <c r="L341" s="48"/>
      <c r="M341" s="49"/>
      <c r="N341" s="49"/>
    </row>
    <row r="342" spans="1:14" ht="15.75" customHeight="1">
      <c r="A342" s="36"/>
      <c r="B342" s="52"/>
      <c r="C342" s="40"/>
      <c r="D342" s="37"/>
      <c r="E342" s="38"/>
      <c r="F342" s="35"/>
      <c r="G342" s="35"/>
      <c r="H342" s="40"/>
      <c r="I342" s="37"/>
      <c r="J342" s="35"/>
      <c r="K342" s="35"/>
      <c r="L342" s="48"/>
      <c r="M342" s="49"/>
      <c r="N342" s="49"/>
    </row>
    <row r="343" spans="1:14" ht="15.75" customHeight="1">
      <c r="A343" s="36"/>
      <c r="B343" s="52"/>
      <c r="C343" s="40"/>
      <c r="D343" s="37"/>
      <c r="E343" s="38"/>
      <c r="F343" s="35"/>
      <c r="G343" s="35"/>
      <c r="H343" s="40"/>
      <c r="I343" s="37"/>
      <c r="J343" s="35"/>
      <c r="K343" s="35"/>
      <c r="L343" s="48"/>
      <c r="M343" s="49"/>
      <c r="N343" s="49"/>
    </row>
    <row r="344" spans="1:14" ht="15.75" customHeight="1">
      <c r="A344" s="36"/>
      <c r="B344" s="52"/>
      <c r="C344" s="40"/>
      <c r="D344" s="37"/>
      <c r="E344" s="38"/>
      <c r="F344" s="35"/>
      <c r="G344" s="35"/>
      <c r="H344" s="40"/>
      <c r="I344" s="37"/>
      <c r="J344" s="35"/>
      <c r="K344" s="35"/>
      <c r="L344" s="48"/>
      <c r="M344" s="49"/>
      <c r="N344" s="49"/>
    </row>
    <row r="345" spans="1:14" ht="15.75" customHeight="1">
      <c r="A345" s="36"/>
      <c r="B345" s="52"/>
      <c r="C345" s="40"/>
      <c r="D345" s="37"/>
      <c r="E345" s="38"/>
      <c r="F345" s="35"/>
      <c r="G345" s="35"/>
      <c r="H345" s="40"/>
      <c r="I345" s="37"/>
      <c r="J345" s="35"/>
      <c r="K345" s="35"/>
      <c r="L345" s="48"/>
      <c r="M345" s="49"/>
      <c r="N345" s="49"/>
    </row>
    <row r="346" spans="1:14" ht="15.75" customHeight="1">
      <c r="A346" s="36"/>
      <c r="B346" s="52"/>
      <c r="C346" s="40"/>
      <c r="D346" s="37"/>
      <c r="E346" s="38"/>
      <c r="F346" s="35"/>
      <c r="G346" s="35"/>
      <c r="H346" s="40"/>
      <c r="I346" s="37"/>
      <c r="J346" s="35"/>
      <c r="K346" s="35"/>
      <c r="L346" s="48"/>
      <c r="M346" s="49"/>
      <c r="N346" s="49"/>
    </row>
    <row r="347" spans="1:14" ht="15.75" customHeight="1">
      <c r="A347" s="36"/>
      <c r="B347" s="52"/>
      <c r="C347" s="40"/>
      <c r="D347" s="37"/>
      <c r="E347" s="38"/>
      <c r="F347" s="35"/>
      <c r="G347" s="35"/>
      <c r="H347" s="40"/>
      <c r="I347" s="37"/>
      <c r="J347" s="35"/>
      <c r="K347" s="35"/>
      <c r="L347" s="48"/>
      <c r="M347" s="49"/>
      <c r="N347" s="49"/>
    </row>
    <row r="348" spans="1:14" ht="15.75" customHeight="1">
      <c r="A348" s="36"/>
      <c r="B348" s="52"/>
      <c r="C348" s="40"/>
      <c r="D348" s="37"/>
      <c r="E348" s="38"/>
      <c r="F348" s="35"/>
      <c r="G348" s="35"/>
      <c r="H348" s="40"/>
      <c r="I348" s="37"/>
      <c r="J348" s="35"/>
      <c r="K348" s="35"/>
      <c r="L348" s="48"/>
      <c r="M348" s="49"/>
      <c r="N348" s="49"/>
    </row>
    <row r="349" spans="1:14" ht="15.75" customHeight="1">
      <c r="A349" s="36"/>
      <c r="B349" s="52"/>
      <c r="C349" s="40"/>
      <c r="D349" s="37"/>
      <c r="E349" s="38"/>
      <c r="F349" s="35"/>
      <c r="G349" s="35"/>
      <c r="H349" s="40"/>
      <c r="I349" s="37"/>
      <c r="J349" s="35"/>
      <c r="K349" s="35"/>
      <c r="L349" s="48"/>
      <c r="M349" s="49"/>
      <c r="N349" s="49"/>
    </row>
    <row r="350" spans="1:14" ht="15.75" customHeight="1">
      <c r="A350" s="36"/>
      <c r="B350" s="52"/>
      <c r="C350" s="40"/>
      <c r="D350" s="37"/>
      <c r="E350" s="38"/>
      <c r="F350" s="35"/>
      <c r="G350" s="35"/>
      <c r="H350" s="40"/>
      <c r="I350" s="37"/>
      <c r="J350" s="35"/>
      <c r="K350" s="35"/>
      <c r="L350" s="48"/>
      <c r="M350" s="49"/>
      <c r="N350" s="49"/>
    </row>
    <row r="351" spans="1:14" ht="15.75" customHeight="1">
      <c r="A351" s="36"/>
      <c r="B351" s="52"/>
      <c r="C351" s="40"/>
      <c r="D351" s="37"/>
      <c r="E351" s="38"/>
      <c r="F351" s="35"/>
      <c r="G351" s="35"/>
      <c r="H351" s="40"/>
      <c r="I351" s="37"/>
      <c r="J351" s="35"/>
      <c r="K351" s="35"/>
      <c r="L351" s="48"/>
      <c r="M351" s="49"/>
      <c r="N351" s="49"/>
    </row>
    <row r="352" spans="1:14" ht="15.75" customHeight="1">
      <c r="A352" s="36"/>
      <c r="B352" s="52"/>
      <c r="C352" s="40"/>
      <c r="D352" s="37"/>
      <c r="E352" s="38"/>
      <c r="F352" s="35"/>
      <c r="G352" s="35"/>
      <c r="H352" s="40"/>
      <c r="I352" s="37"/>
      <c r="J352" s="35"/>
      <c r="K352" s="35"/>
      <c r="L352" s="48"/>
      <c r="M352" s="49"/>
      <c r="N352" s="49"/>
    </row>
    <row r="353" spans="1:14" ht="15.75" customHeight="1">
      <c r="A353" s="36"/>
      <c r="B353" s="52"/>
      <c r="C353" s="40"/>
      <c r="D353" s="37"/>
      <c r="E353" s="38"/>
      <c r="F353" s="35"/>
      <c r="G353" s="35"/>
      <c r="H353" s="40"/>
      <c r="I353" s="37"/>
      <c r="J353" s="35"/>
      <c r="K353" s="35"/>
      <c r="L353" s="48"/>
      <c r="M353" s="49"/>
      <c r="N353" s="49"/>
    </row>
    <row r="354" spans="1:14" ht="15.75" customHeight="1">
      <c r="A354" s="36"/>
      <c r="B354" s="52"/>
      <c r="C354" s="40"/>
      <c r="D354" s="37"/>
      <c r="E354" s="38"/>
      <c r="F354" s="35"/>
      <c r="G354" s="35"/>
      <c r="H354" s="40"/>
      <c r="I354" s="37"/>
      <c r="J354" s="35"/>
      <c r="K354" s="35"/>
      <c r="L354" s="48"/>
      <c r="M354" s="49"/>
      <c r="N354" s="49"/>
    </row>
    <row r="355" spans="1:14" ht="15.75" customHeight="1">
      <c r="A355" s="36"/>
      <c r="B355" s="52"/>
      <c r="C355" s="40"/>
      <c r="D355" s="37"/>
      <c r="E355" s="38"/>
      <c r="F355" s="35"/>
      <c r="G355" s="35"/>
      <c r="H355" s="40"/>
      <c r="I355" s="37"/>
      <c r="J355" s="35"/>
      <c r="K355" s="35"/>
      <c r="L355" s="48"/>
      <c r="M355" s="49"/>
      <c r="N355" s="49"/>
    </row>
    <row r="356" spans="1:14" ht="15.75" customHeight="1">
      <c r="A356" s="36"/>
      <c r="B356" s="52"/>
      <c r="C356" s="40"/>
      <c r="D356" s="37"/>
      <c r="E356" s="38"/>
      <c r="F356" s="35"/>
      <c r="G356" s="35"/>
      <c r="H356" s="40"/>
      <c r="I356" s="37"/>
      <c r="J356" s="35"/>
      <c r="K356" s="35"/>
      <c r="L356" s="48"/>
      <c r="M356" s="49"/>
      <c r="N356" s="49"/>
    </row>
    <row r="357" spans="1:14" ht="15.75" customHeight="1">
      <c r="A357" s="36"/>
      <c r="B357" s="52"/>
      <c r="C357" s="40"/>
      <c r="D357" s="37"/>
      <c r="E357" s="38"/>
      <c r="F357" s="35"/>
      <c r="G357" s="35"/>
      <c r="H357" s="40"/>
      <c r="I357" s="37"/>
      <c r="J357" s="35"/>
      <c r="K357" s="35"/>
      <c r="L357" s="48"/>
      <c r="M357" s="49"/>
      <c r="N357" s="49"/>
    </row>
    <row r="358" spans="1:14" ht="15.75" customHeight="1">
      <c r="A358" s="36"/>
      <c r="B358" s="52"/>
      <c r="C358" s="40"/>
      <c r="D358" s="37"/>
      <c r="E358" s="38"/>
      <c r="F358" s="35"/>
      <c r="G358" s="35"/>
      <c r="H358" s="40"/>
      <c r="I358" s="37"/>
      <c r="J358" s="35"/>
      <c r="K358" s="35"/>
      <c r="L358" s="48"/>
      <c r="M358" s="49"/>
      <c r="N358" s="49"/>
    </row>
    <row r="359" spans="1:14" ht="15.75" customHeight="1">
      <c r="A359" s="36"/>
      <c r="B359" s="52"/>
      <c r="C359" s="40"/>
      <c r="D359" s="37"/>
      <c r="E359" s="38"/>
      <c r="F359" s="35"/>
      <c r="G359" s="35"/>
      <c r="H359" s="40"/>
      <c r="I359" s="37"/>
      <c r="J359" s="35"/>
      <c r="K359" s="35"/>
      <c r="L359" s="48"/>
      <c r="M359" s="49"/>
      <c r="N359" s="49"/>
    </row>
    <row r="360" spans="1:14" ht="15.75" customHeight="1">
      <c r="A360" s="36"/>
      <c r="B360" s="52"/>
      <c r="C360" s="40"/>
      <c r="D360" s="37"/>
      <c r="E360" s="38"/>
      <c r="F360" s="35"/>
      <c r="G360" s="35"/>
      <c r="H360" s="40"/>
      <c r="I360" s="37"/>
      <c r="J360" s="35"/>
      <c r="K360" s="35"/>
      <c r="L360" s="48"/>
      <c r="M360" s="49"/>
      <c r="N360" s="49"/>
    </row>
    <row r="361" spans="1:14" ht="15.75" customHeight="1">
      <c r="A361" s="36"/>
      <c r="B361" s="52"/>
      <c r="C361" s="40"/>
      <c r="D361" s="37"/>
      <c r="E361" s="38"/>
      <c r="F361" s="35"/>
      <c r="G361" s="35"/>
      <c r="H361" s="40"/>
      <c r="I361" s="37"/>
      <c r="J361" s="35"/>
      <c r="K361" s="35"/>
      <c r="L361" s="48"/>
      <c r="M361" s="49"/>
      <c r="N361" s="49"/>
    </row>
    <row r="362" spans="1:14" ht="15.75" customHeight="1">
      <c r="A362" s="36"/>
      <c r="B362" s="52"/>
      <c r="C362" s="40"/>
      <c r="D362" s="37"/>
      <c r="E362" s="38"/>
      <c r="F362" s="35"/>
      <c r="G362" s="35"/>
      <c r="H362" s="40"/>
      <c r="I362" s="37"/>
      <c r="J362" s="35"/>
      <c r="K362" s="35"/>
      <c r="L362" s="48"/>
      <c r="M362" s="49"/>
      <c r="N362" s="49"/>
    </row>
    <row r="363" spans="1:14" ht="15.75" customHeight="1">
      <c r="A363" s="36"/>
      <c r="B363" s="52"/>
      <c r="C363" s="40"/>
      <c r="D363" s="37"/>
      <c r="E363" s="38"/>
      <c r="F363" s="35"/>
      <c r="G363" s="35"/>
      <c r="H363" s="40"/>
      <c r="I363" s="37"/>
      <c r="J363" s="35"/>
      <c r="K363" s="35"/>
      <c r="L363" s="48"/>
      <c r="M363" s="49"/>
      <c r="N363" s="49"/>
    </row>
    <row r="364" spans="1:14" ht="15.75" customHeight="1">
      <c r="A364" s="36"/>
      <c r="B364" s="52"/>
      <c r="C364" s="40"/>
      <c r="D364" s="37"/>
      <c r="E364" s="38"/>
      <c r="F364" s="35"/>
      <c r="G364" s="35"/>
      <c r="H364" s="40"/>
      <c r="I364" s="37"/>
      <c r="J364" s="35"/>
      <c r="K364" s="35"/>
      <c r="L364" s="48"/>
      <c r="M364" s="49"/>
      <c r="N364" s="49"/>
    </row>
    <row r="365" spans="1:14" ht="15.75" customHeight="1">
      <c r="A365" s="36"/>
      <c r="B365" s="52"/>
      <c r="C365" s="40"/>
      <c r="D365" s="37"/>
      <c r="E365" s="38"/>
      <c r="F365" s="35"/>
      <c r="G365" s="35"/>
      <c r="H365" s="40"/>
      <c r="I365" s="37"/>
      <c r="J365" s="35"/>
      <c r="K365" s="35"/>
      <c r="L365" s="48"/>
      <c r="M365" s="49"/>
      <c r="N365" s="49"/>
    </row>
    <row r="366" spans="1:14" ht="15.75" customHeight="1">
      <c r="A366" s="36"/>
      <c r="B366" s="52"/>
      <c r="C366" s="40"/>
      <c r="D366" s="37"/>
      <c r="E366" s="38"/>
      <c r="F366" s="35"/>
      <c r="G366" s="35"/>
      <c r="H366" s="40"/>
      <c r="I366" s="37"/>
      <c r="J366" s="35"/>
      <c r="K366" s="35"/>
      <c r="L366" s="48"/>
      <c r="M366" s="49"/>
      <c r="N366" s="49"/>
    </row>
    <row r="367" spans="1:14" ht="15.75" customHeight="1">
      <c r="A367" s="36"/>
      <c r="B367" s="52"/>
      <c r="C367" s="40"/>
      <c r="D367" s="37"/>
      <c r="E367" s="38"/>
      <c r="F367" s="35"/>
      <c r="G367" s="35"/>
      <c r="H367" s="40"/>
      <c r="I367" s="37"/>
      <c r="J367" s="35"/>
      <c r="K367" s="35"/>
      <c r="L367" s="48"/>
      <c r="M367" s="49"/>
      <c r="N367" s="49"/>
    </row>
    <row r="368" spans="1:14" ht="15.75" customHeight="1">
      <c r="A368" s="36"/>
      <c r="B368" s="52"/>
      <c r="C368" s="40"/>
      <c r="D368" s="37"/>
      <c r="E368" s="38"/>
      <c r="F368" s="35"/>
      <c r="G368" s="35"/>
      <c r="H368" s="40"/>
      <c r="I368" s="37"/>
      <c r="J368" s="35"/>
      <c r="K368" s="35"/>
      <c r="L368" s="48"/>
      <c r="M368" s="49"/>
      <c r="N368" s="49"/>
    </row>
    <row r="369" spans="1:14" ht="15.75" customHeight="1">
      <c r="A369" s="36"/>
      <c r="B369" s="52"/>
      <c r="C369" s="40"/>
      <c r="D369" s="37"/>
      <c r="E369" s="38"/>
      <c r="F369" s="35"/>
      <c r="G369" s="35"/>
      <c r="H369" s="40"/>
      <c r="I369" s="37"/>
      <c r="J369" s="35"/>
      <c r="K369" s="35"/>
      <c r="L369" s="48"/>
      <c r="M369" s="49"/>
      <c r="N369" s="49"/>
    </row>
    <row r="370" spans="1:14" ht="15.75" customHeight="1">
      <c r="A370" s="36"/>
      <c r="B370" s="52"/>
      <c r="C370" s="40"/>
      <c r="D370" s="37"/>
      <c r="E370" s="38"/>
      <c r="F370" s="35"/>
      <c r="G370" s="35"/>
      <c r="H370" s="40"/>
      <c r="I370" s="37"/>
      <c r="J370" s="35"/>
      <c r="K370" s="35"/>
      <c r="L370" s="48"/>
      <c r="M370" s="49"/>
      <c r="N370" s="49"/>
    </row>
    <row r="371" spans="1:14" ht="15.75" customHeight="1">
      <c r="A371" s="36"/>
      <c r="B371" s="52"/>
      <c r="C371" s="40"/>
      <c r="D371" s="37"/>
      <c r="E371" s="38"/>
      <c r="F371" s="35"/>
      <c r="G371" s="35"/>
      <c r="H371" s="40"/>
      <c r="I371" s="37"/>
      <c r="J371" s="35"/>
      <c r="K371" s="35"/>
      <c r="L371" s="48"/>
      <c r="M371" s="49"/>
      <c r="N371" s="49"/>
    </row>
    <row r="372" spans="1:14" ht="15.75" customHeight="1">
      <c r="A372" s="36"/>
      <c r="B372" s="52"/>
      <c r="C372" s="40"/>
      <c r="D372" s="37"/>
      <c r="E372" s="38"/>
      <c r="F372" s="35"/>
      <c r="G372" s="35"/>
      <c r="H372" s="40"/>
      <c r="I372" s="37"/>
      <c r="J372" s="35"/>
      <c r="K372" s="35"/>
      <c r="L372" s="48"/>
      <c r="M372" s="49"/>
      <c r="N372" s="49"/>
    </row>
    <row r="373" spans="1:14" ht="15.75" customHeight="1">
      <c r="A373" s="36"/>
      <c r="B373" s="52"/>
      <c r="C373" s="40"/>
      <c r="D373" s="37"/>
      <c r="E373" s="38"/>
      <c r="F373" s="35"/>
      <c r="G373" s="35"/>
      <c r="H373" s="40"/>
      <c r="I373" s="37"/>
      <c r="J373" s="35"/>
      <c r="K373" s="35"/>
      <c r="L373" s="48"/>
      <c r="M373" s="49"/>
      <c r="N373" s="49"/>
    </row>
    <row r="374" spans="1:14" ht="15.75" customHeight="1">
      <c r="A374" s="36"/>
      <c r="B374" s="52"/>
      <c r="C374" s="40"/>
      <c r="D374" s="37"/>
      <c r="E374" s="38"/>
      <c r="F374" s="35"/>
      <c r="G374" s="35"/>
      <c r="H374" s="40"/>
      <c r="I374" s="37"/>
      <c r="J374" s="35"/>
      <c r="K374" s="35"/>
      <c r="L374" s="48"/>
      <c r="M374" s="49"/>
      <c r="N374" s="49"/>
    </row>
    <row r="375" spans="1:14" ht="15.75" customHeight="1">
      <c r="A375" s="36"/>
      <c r="B375" s="52"/>
      <c r="C375" s="40"/>
      <c r="D375" s="37"/>
      <c r="E375" s="38"/>
      <c r="F375" s="35"/>
      <c r="G375" s="35"/>
      <c r="H375" s="40"/>
      <c r="I375" s="37"/>
      <c r="J375" s="35"/>
      <c r="K375" s="35"/>
      <c r="L375" s="48"/>
      <c r="M375" s="49"/>
      <c r="N375" s="49"/>
    </row>
    <row r="376" spans="1:14" ht="15.75" customHeight="1">
      <c r="A376" s="36"/>
      <c r="B376" s="52"/>
      <c r="C376" s="40"/>
      <c r="D376" s="37"/>
      <c r="E376" s="38"/>
      <c r="F376" s="35"/>
      <c r="G376" s="35"/>
      <c r="H376" s="40"/>
      <c r="I376" s="37"/>
      <c r="J376" s="35"/>
      <c r="K376" s="35"/>
      <c r="L376" s="48"/>
      <c r="M376" s="49"/>
      <c r="N376" s="49"/>
    </row>
    <row r="377" spans="1:14" ht="15.75" customHeight="1">
      <c r="A377" s="36"/>
      <c r="B377" s="52"/>
      <c r="C377" s="40"/>
      <c r="D377" s="37"/>
      <c r="E377" s="38"/>
      <c r="F377" s="35"/>
      <c r="G377" s="35"/>
      <c r="H377" s="40"/>
      <c r="I377" s="37"/>
      <c r="J377" s="35"/>
      <c r="K377" s="35"/>
      <c r="L377" s="48"/>
      <c r="M377" s="49"/>
      <c r="N377" s="49"/>
    </row>
    <row r="378" spans="1:14" ht="15.75" customHeight="1">
      <c r="A378" s="36"/>
      <c r="B378" s="52"/>
      <c r="C378" s="40"/>
      <c r="D378" s="37"/>
      <c r="E378" s="38"/>
      <c r="F378" s="35"/>
      <c r="G378" s="35"/>
      <c r="H378" s="40"/>
      <c r="I378" s="37"/>
      <c r="J378" s="35"/>
      <c r="K378" s="35"/>
      <c r="L378" s="48"/>
      <c r="M378" s="49"/>
      <c r="N378" s="49"/>
    </row>
    <row r="379" spans="1:14" ht="15.75" customHeight="1">
      <c r="A379" s="36"/>
      <c r="B379" s="52"/>
      <c r="C379" s="40"/>
      <c r="D379" s="37"/>
      <c r="E379" s="38"/>
      <c r="F379" s="35"/>
      <c r="G379" s="35"/>
      <c r="H379" s="40"/>
      <c r="I379" s="37"/>
      <c r="J379" s="35"/>
      <c r="K379" s="35"/>
      <c r="L379" s="48"/>
      <c r="M379" s="49"/>
      <c r="N379" s="49"/>
    </row>
    <row r="380" spans="1:14" ht="15.75" customHeight="1">
      <c r="A380" s="36"/>
      <c r="B380" s="52"/>
      <c r="C380" s="40"/>
      <c r="D380" s="37"/>
      <c r="E380" s="38"/>
      <c r="F380" s="35"/>
      <c r="G380" s="35"/>
      <c r="H380" s="40"/>
      <c r="I380" s="37"/>
      <c r="J380" s="35"/>
      <c r="K380" s="35"/>
      <c r="L380" s="48"/>
      <c r="M380" s="49"/>
      <c r="N380" s="49"/>
    </row>
    <row r="381" spans="1:14" ht="15.75" customHeight="1">
      <c r="A381" s="36"/>
      <c r="B381" s="52"/>
      <c r="C381" s="40"/>
      <c r="D381" s="37"/>
      <c r="E381" s="38"/>
      <c r="F381" s="35"/>
      <c r="G381" s="35"/>
      <c r="H381" s="40"/>
      <c r="I381" s="37"/>
      <c r="J381" s="35"/>
      <c r="K381" s="35"/>
      <c r="L381" s="48"/>
      <c r="M381" s="49"/>
      <c r="N381" s="49"/>
    </row>
    <row r="382" spans="1:14" ht="15.75" customHeight="1">
      <c r="A382" s="36"/>
      <c r="B382" s="52"/>
      <c r="C382" s="40"/>
      <c r="D382" s="37"/>
      <c r="E382" s="38"/>
      <c r="F382" s="35"/>
      <c r="G382" s="35"/>
      <c r="H382" s="40"/>
      <c r="I382" s="37"/>
      <c r="J382" s="35"/>
      <c r="K382" s="35"/>
      <c r="L382" s="48"/>
      <c r="M382" s="49"/>
      <c r="N382" s="49"/>
    </row>
    <row r="383" spans="1:14" ht="15.75" customHeight="1">
      <c r="A383" s="36"/>
      <c r="B383" s="52"/>
      <c r="C383" s="40"/>
      <c r="D383" s="37"/>
      <c r="E383" s="38"/>
      <c r="F383" s="35"/>
      <c r="G383" s="35"/>
      <c r="H383" s="40"/>
      <c r="I383" s="37"/>
      <c r="J383" s="35"/>
      <c r="K383" s="35"/>
      <c r="L383" s="48"/>
      <c r="M383" s="49"/>
      <c r="N383" s="49"/>
    </row>
    <row r="384" spans="1:14" ht="15.75" customHeight="1">
      <c r="A384" s="36"/>
      <c r="B384" s="52"/>
      <c r="C384" s="40"/>
      <c r="D384" s="37"/>
      <c r="E384" s="38"/>
      <c r="F384" s="35"/>
      <c r="G384" s="35"/>
      <c r="H384" s="40"/>
      <c r="I384" s="37"/>
      <c r="J384" s="35"/>
      <c r="K384" s="35"/>
      <c r="L384" s="48"/>
      <c r="M384" s="49"/>
      <c r="N384" s="49"/>
    </row>
    <row r="385" spans="1:14" ht="15.75" customHeight="1">
      <c r="A385" s="36"/>
      <c r="B385" s="52"/>
      <c r="C385" s="40"/>
      <c r="D385" s="37"/>
      <c r="E385" s="38"/>
      <c r="F385" s="35"/>
      <c r="G385" s="35"/>
      <c r="H385" s="40"/>
      <c r="I385" s="37"/>
      <c r="J385" s="35"/>
      <c r="K385" s="35"/>
      <c r="L385" s="48"/>
      <c r="M385" s="49"/>
      <c r="N385" s="49"/>
    </row>
    <row r="386" spans="1:14" ht="15.75" customHeight="1">
      <c r="A386" s="36"/>
      <c r="B386" s="52"/>
      <c r="C386" s="40"/>
      <c r="D386" s="37"/>
      <c r="E386" s="38"/>
      <c r="F386" s="35"/>
      <c r="G386" s="35"/>
      <c r="H386" s="40"/>
      <c r="I386" s="37"/>
      <c r="J386" s="35"/>
      <c r="K386" s="35"/>
      <c r="L386" s="48"/>
      <c r="M386" s="49"/>
      <c r="N386" s="49"/>
    </row>
    <row r="387" spans="1:14" ht="15.75" customHeight="1">
      <c r="A387" s="36"/>
      <c r="B387" s="52"/>
      <c r="C387" s="40"/>
      <c r="D387" s="37"/>
      <c r="E387" s="38"/>
      <c r="F387" s="35"/>
      <c r="G387" s="35"/>
      <c r="H387" s="40"/>
      <c r="I387" s="37"/>
      <c r="J387" s="35"/>
      <c r="K387" s="35"/>
      <c r="L387" s="48"/>
      <c r="M387" s="49"/>
      <c r="N387" s="49"/>
    </row>
    <row r="388" spans="1:14" ht="15.75" customHeight="1">
      <c r="A388" s="36"/>
      <c r="B388" s="52"/>
      <c r="C388" s="40"/>
      <c r="D388" s="37"/>
      <c r="E388" s="38"/>
      <c r="F388" s="35"/>
      <c r="G388" s="35"/>
      <c r="H388" s="40"/>
      <c r="I388" s="37"/>
      <c r="J388" s="35"/>
      <c r="K388" s="35"/>
      <c r="L388" s="48"/>
      <c r="M388" s="49"/>
      <c r="N388" s="49"/>
    </row>
    <row r="389" spans="1:14" ht="15.75" customHeight="1">
      <c r="A389" s="36"/>
      <c r="B389" s="52"/>
      <c r="C389" s="40"/>
      <c r="D389" s="37"/>
      <c r="E389" s="38"/>
      <c r="F389" s="35"/>
      <c r="G389" s="35"/>
      <c r="H389" s="40"/>
      <c r="I389" s="37"/>
      <c r="J389" s="35"/>
      <c r="K389" s="35"/>
      <c r="L389" s="48"/>
      <c r="M389" s="49"/>
      <c r="N389" s="49"/>
    </row>
    <row r="390" spans="1:14" ht="15.75" customHeight="1">
      <c r="A390" s="36"/>
      <c r="B390" s="52"/>
      <c r="C390" s="40"/>
      <c r="D390" s="37"/>
      <c r="E390" s="38"/>
      <c r="F390" s="35"/>
      <c r="G390" s="35"/>
      <c r="H390" s="40"/>
      <c r="I390" s="37"/>
      <c r="J390" s="35"/>
      <c r="K390" s="35"/>
      <c r="L390" s="48"/>
      <c r="M390" s="49"/>
      <c r="N390" s="49"/>
    </row>
    <row r="391" spans="1:14" ht="15.75" customHeight="1">
      <c r="A391" s="36"/>
      <c r="B391" s="52"/>
      <c r="C391" s="40"/>
      <c r="D391" s="37"/>
      <c r="E391" s="38"/>
      <c r="F391" s="35"/>
      <c r="G391" s="35"/>
      <c r="H391" s="40"/>
      <c r="I391" s="37"/>
      <c r="J391" s="35"/>
      <c r="K391" s="35"/>
      <c r="L391" s="48"/>
      <c r="M391" s="49"/>
      <c r="N391" s="49"/>
    </row>
    <row r="392" spans="1:14" ht="15.75" customHeight="1">
      <c r="A392" s="36"/>
      <c r="B392" s="52"/>
      <c r="C392" s="40"/>
      <c r="D392" s="37"/>
      <c r="E392" s="38"/>
      <c r="F392" s="35"/>
      <c r="G392" s="35"/>
      <c r="H392" s="40"/>
      <c r="I392" s="37"/>
      <c r="J392" s="35"/>
      <c r="K392" s="35"/>
      <c r="L392" s="48"/>
      <c r="M392" s="49"/>
      <c r="N392" s="49"/>
    </row>
    <row r="393" spans="1:14" ht="15.75" customHeight="1">
      <c r="A393" s="36"/>
      <c r="B393" s="52"/>
      <c r="C393" s="40"/>
      <c r="D393" s="37"/>
      <c r="E393" s="38"/>
      <c r="F393" s="35"/>
      <c r="G393" s="35"/>
      <c r="H393" s="40"/>
      <c r="I393" s="37"/>
      <c r="J393" s="35"/>
      <c r="K393" s="35"/>
      <c r="L393" s="48"/>
      <c r="M393" s="49"/>
      <c r="N393" s="49"/>
    </row>
    <row r="394" spans="1:14" ht="15.75" customHeight="1">
      <c r="A394" s="36"/>
      <c r="B394" s="52"/>
      <c r="C394" s="40"/>
      <c r="D394" s="37"/>
      <c r="E394" s="38"/>
      <c r="F394" s="35"/>
      <c r="G394" s="35"/>
      <c r="H394" s="40"/>
      <c r="I394" s="37"/>
      <c r="J394" s="35"/>
      <c r="K394" s="35"/>
      <c r="L394" s="48"/>
      <c r="M394" s="49"/>
      <c r="N394" s="49"/>
    </row>
    <row r="395" spans="1:14" ht="15.75" customHeight="1">
      <c r="A395" s="36"/>
      <c r="B395" s="52"/>
      <c r="C395" s="40"/>
      <c r="D395" s="37"/>
      <c r="E395" s="38"/>
      <c r="F395" s="35"/>
      <c r="G395" s="35"/>
      <c r="H395" s="40"/>
      <c r="I395" s="37"/>
      <c r="J395" s="35"/>
      <c r="K395" s="35"/>
      <c r="L395" s="48"/>
      <c r="M395" s="49"/>
      <c r="N395" s="49"/>
    </row>
    <row r="396" spans="1:14" ht="15.75" customHeight="1">
      <c r="A396" s="36"/>
      <c r="B396" s="52"/>
      <c r="C396" s="40"/>
      <c r="D396" s="37"/>
      <c r="E396" s="38"/>
      <c r="F396" s="35"/>
      <c r="G396" s="35"/>
      <c r="H396" s="40"/>
      <c r="I396" s="37"/>
      <c r="J396" s="35"/>
      <c r="K396" s="35"/>
      <c r="L396" s="48"/>
      <c r="M396" s="49"/>
      <c r="N396" s="49"/>
    </row>
    <row r="397" spans="1:14" ht="15.75" customHeight="1">
      <c r="A397" s="36"/>
      <c r="B397" s="52"/>
      <c r="C397" s="40"/>
      <c r="D397" s="37"/>
      <c r="E397" s="38"/>
      <c r="F397" s="35"/>
      <c r="G397" s="35"/>
      <c r="H397" s="40"/>
      <c r="I397" s="37"/>
      <c r="J397" s="35"/>
      <c r="K397" s="35"/>
      <c r="L397" s="48"/>
      <c r="M397" s="49"/>
      <c r="N397" s="49"/>
    </row>
    <row r="398" spans="1:14" ht="15.75" customHeight="1">
      <c r="A398" s="36"/>
      <c r="B398" s="52"/>
      <c r="C398" s="40"/>
      <c r="D398" s="37"/>
      <c r="E398" s="38"/>
      <c r="F398" s="35"/>
      <c r="G398" s="35"/>
      <c r="H398" s="40"/>
      <c r="I398" s="37"/>
      <c r="J398" s="35"/>
      <c r="K398" s="35"/>
      <c r="L398" s="48"/>
      <c r="M398" s="49"/>
      <c r="N398" s="49"/>
    </row>
    <row r="399" spans="1:14" ht="15.75" customHeight="1">
      <c r="A399" s="36"/>
      <c r="B399" s="52"/>
      <c r="C399" s="40"/>
      <c r="D399" s="37"/>
      <c r="E399" s="38"/>
      <c r="F399" s="35"/>
      <c r="G399" s="35"/>
      <c r="H399" s="40"/>
      <c r="I399" s="37"/>
      <c r="J399" s="35"/>
      <c r="K399" s="35"/>
      <c r="L399" s="48"/>
      <c r="M399" s="49"/>
      <c r="N399" s="49"/>
    </row>
    <row r="400" spans="1:14" ht="15.75" customHeight="1">
      <c r="A400" s="36"/>
      <c r="B400" s="52"/>
      <c r="C400" s="40"/>
      <c r="D400" s="37"/>
      <c r="E400" s="38"/>
      <c r="F400" s="35"/>
      <c r="G400" s="35"/>
      <c r="H400" s="40"/>
      <c r="I400" s="37"/>
      <c r="J400" s="35"/>
      <c r="K400" s="35"/>
      <c r="L400" s="48"/>
      <c r="M400" s="49"/>
      <c r="N400" s="49"/>
    </row>
    <row r="401" spans="1:14" ht="15.75" customHeight="1">
      <c r="A401" s="36"/>
      <c r="B401" s="52"/>
      <c r="C401" s="40"/>
      <c r="D401" s="37"/>
      <c r="E401" s="38"/>
      <c r="F401" s="35"/>
      <c r="G401" s="35"/>
      <c r="H401" s="40"/>
      <c r="I401" s="37"/>
      <c r="J401" s="35"/>
      <c r="K401" s="35"/>
      <c r="L401" s="48"/>
      <c r="M401" s="49"/>
      <c r="N401" s="49"/>
    </row>
    <row r="402" spans="1:14" ht="15.75" customHeight="1">
      <c r="A402" s="36"/>
      <c r="B402" s="52"/>
      <c r="C402" s="40"/>
      <c r="D402" s="37"/>
      <c r="E402" s="38"/>
      <c r="F402" s="35"/>
      <c r="G402" s="35"/>
      <c r="H402" s="40"/>
      <c r="I402" s="37"/>
      <c r="J402" s="35"/>
      <c r="K402" s="35"/>
      <c r="L402" s="48"/>
      <c r="M402" s="49"/>
      <c r="N402" s="49"/>
    </row>
    <row r="403" spans="1:14" ht="15.75" customHeight="1">
      <c r="A403" s="36"/>
      <c r="B403" s="52"/>
      <c r="C403" s="40"/>
      <c r="D403" s="37"/>
      <c r="E403" s="38"/>
      <c r="F403" s="35"/>
      <c r="G403" s="35"/>
      <c r="H403" s="40"/>
      <c r="I403" s="37"/>
      <c r="J403" s="35"/>
      <c r="K403" s="35"/>
      <c r="L403" s="48"/>
      <c r="M403" s="49"/>
      <c r="N403" s="49"/>
    </row>
    <row r="404" spans="1:14" ht="15.75" customHeight="1">
      <c r="A404" s="36"/>
      <c r="B404" s="52"/>
      <c r="C404" s="40"/>
      <c r="D404" s="37"/>
      <c r="E404" s="38"/>
      <c r="F404" s="35"/>
      <c r="G404" s="35"/>
      <c r="H404" s="40"/>
      <c r="I404" s="37"/>
      <c r="J404" s="35"/>
      <c r="K404" s="35"/>
      <c r="L404" s="48"/>
      <c r="M404" s="49"/>
      <c r="N404" s="49"/>
    </row>
    <row r="405" spans="1:14" ht="15.75" customHeight="1">
      <c r="A405" s="36"/>
      <c r="B405" s="52"/>
      <c r="C405" s="40"/>
      <c r="D405" s="37"/>
      <c r="E405" s="38"/>
      <c r="F405" s="35"/>
      <c r="G405" s="35"/>
      <c r="H405" s="40"/>
      <c r="I405" s="37"/>
      <c r="J405" s="35"/>
      <c r="K405" s="35"/>
      <c r="L405" s="48"/>
      <c r="M405" s="49"/>
      <c r="N405" s="49"/>
    </row>
    <row r="406" spans="1:14" ht="15.75" customHeight="1">
      <c r="A406" s="36"/>
      <c r="B406" s="52"/>
      <c r="C406" s="40"/>
      <c r="D406" s="37"/>
      <c r="E406" s="38"/>
      <c r="F406" s="35"/>
      <c r="G406" s="35"/>
      <c r="H406" s="40"/>
      <c r="I406" s="37"/>
      <c r="J406" s="35"/>
      <c r="K406" s="35"/>
      <c r="L406" s="48"/>
      <c r="M406" s="49"/>
      <c r="N406" s="49"/>
    </row>
    <row r="407" spans="1:14" ht="15.75" customHeight="1">
      <c r="A407" s="36"/>
      <c r="B407" s="52"/>
      <c r="C407" s="40"/>
      <c r="D407" s="37"/>
      <c r="E407" s="38"/>
      <c r="F407" s="35"/>
      <c r="G407" s="35"/>
      <c r="H407" s="40"/>
      <c r="I407" s="37"/>
      <c r="J407" s="35"/>
      <c r="K407" s="35"/>
      <c r="L407" s="48"/>
      <c r="M407" s="49"/>
      <c r="N407" s="49"/>
    </row>
    <row r="408" spans="1:14" ht="15.75" customHeight="1">
      <c r="A408" s="36"/>
      <c r="B408" s="52"/>
      <c r="C408" s="40"/>
      <c r="D408" s="37"/>
      <c r="E408" s="38"/>
      <c r="F408" s="35"/>
      <c r="G408" s="35"/>
      <c r="H408" s="40"/>
      <c r="I408" s="37"/>
      <c r="J408" s="35"/>
      <c r="K408" s="35"/>
      <c r="L408" s="48"/>
      <c r="M408" s="49"/>
      <c r="N408" s="49"/>
    </row>
    <row r="409" spans="1:14" ht="15.75" customHeight="1">
      <c r="A409" s="36"/>
      <c r="B409" s="52"/>
      <c r="C409" s="40"/>
      <c r="D409" s="37"/>
      <c r="E409" s="38"/>
      <c r="F409" s="35"/>
      <c r="G409" s="35"/>
      <c r="H409" s="40"/>
      <c r="I409" s="37"/>
      <c r="J409" s="35"/>
      <c r="K409" s="35"/>
      <c r="L409" s="48"/>
      <c r="M409" s="49"/>
      <c r="N409" s="49"/>
    </row>
    <row r="410" spans="1:14" ht="15.75" customHeight="1">
      <c r="A410" s="36"/>
      <c r="B410" s="52"/>
      <c r="C410" s="40"/>
      <c r="D410" s="37"/>
      <c r="E410" s="38"/>
      <c r="F410" s="35"/>
      <c r="G410" s="35"/>
      <c r="H410" s="40"/>
      <c r="I410" s="37"/>
      <c r="J410" s="35"/>
      <c r="K410" s="35"/>
      <c r="L410" s="48"/>
      <c r="M410" s="49"/>
      <c r="N410" s="49"/>
    </row>
    <row r="411" spans="1:14" ht="15.75" customHeight="1">
      <c r="A411" s="36"/>
      <c r="B411" s="52"/>
      <c r="C411" s="40"/>
      <c r="D411" s="37"/>
      <c r="E411" s="38"/>
      <c r="F411" s="35"/>
      <c r="G411" s="35"/>
      <c r="H411" s="40"/>
      <c r="I411" s="37"/>
      <c r="J411" s="35"/>
      <c r="K411" s="35"/>
      <c r="L411" s="48"/>
      <c r="M411" s="49"/>
      <c r="N411" s="49"/>
    </row>
    <row r="412" spans="1:14" ht="15.75" customHeight="1">
      <c r="A412" s="36"/>
      <c r="B412" s="52"/>
      <c r="C412" s="40"/>
      <c r="D412" s="37"/>
      <c r="E412" s="38"/>
      <c r="F412" s="35"/>
      <c r="G412" s="35"/>
      <c r="H412" s="40"/>
      <c r="I412" s="37"/>
      <c r="J412" s="35"/>
      <c r="K412" s="35"/>
      <c r="L412" s="48"/>
      <c r="M412" s="49"/>
      <c r="N412" s="49"/>
    </row>
    <row r="413" spans="1:14" ht="15.75" customHeight="1">
      <c r="A413" s="36"/>
      <c r="B413" s="52"/>
      <c r="C413" s="40"/>
      <c r="D413" s="37"/>
      <c r="E413" s="38"/>
      <c r="F413" s="35"/>
      <c r="G413" s="35"/>
      <c r="H413" s="40"/>
      <c r="I413" s="37"/>
      <c r="J413" s="35"/>
      <c r="K413" s="35"/>
      <c r="L413" s="48"/>
      <c r="M413" s="49"/>
      <c r="N413" s="49"/>
    </row>
    <row r="414" spans="1:14" ht="15.75" customHeight="1">
      <c r="A414" s="36"/>
      <c r="B414" s="52"/>
      <c r="C414" s="40"/>
      <c r="D414" s="37"/>
      <c r="E414" s="38"/>
      <c r="F414" s="35"/>
      <c r="G414" s="35"/>
      <c r="H414" s="40"/>
      <c r="I414" s="37"/>
      <c r="J414" s="35"/>
      <c r="K414" s="35"/>
      <c r="L414" s="48"/>
      <c r="M414" s="49"/>
      <c r="N414" s="49"/>
    </row>
    <row r="415" spans="1:14" ht="15.75" customHeight="1">
      <c r="A415" s="36"/>
      <c r="B415" s="52"/>
      <c r="C415" s="40"/>
      <c r="D415" s="37"/>
      <c r="E415" s="38"/>
      <c r="F415" s="35"/>
      <c r="G415" s="35"/>
      <c r="H415" s="40"/>
      <c r="I415" s="37"/>
      <c r="J415" s="35"/>
      <c r="K415" s="35"/>
      <c r="L415" s="48"/>
      <c r="M415" s="49"/>
      <c r="N415" s="49"/>
    </row>
    <row r="416" spans="1:14" ht="15.75" customHeight="1">
      <c r="A416" s="36"/>
      <c r="B416" s="52"/>
      <c r="C416" s="40"/>
      <c r="D416" s="37"/>
      <c r="E416" s="38"/>
      <c r="F416" s="35"/>
      <c r="G416" s="35"/>
      <c r="H416" s="40"/>
      <c r="I416" s="37"/>
      <c r="J416" s="35"/>
      <c r="K416" s="35"/>
      <c r="L416" s="48"/>
      <c r="M416" s="49"/>
      <c r="N416" s="49"/>
    </row>
    <row r="417" spans="1:14" ht="15.75" customHeight="1">
      <c r="A417" s="36"/>
      <c r="B417" s="52"/>
      <c r="C417" s="40"/>
      <c r="D417" s="37"/>
      <c r="E417" s="38"/>
      <c r="F417" s="35"/>
      <c r="G417" s="35"/>
      <c r="H417" s="40"/>
      <c r="I417" s="37"/>
      <c r="J417" s="35"/>
      <c r="K417" s="35"/>
      <c r="L417" s="48"/>
      <c r="M417" s="49"/>
      <c r="N417" s="49"/>
    </row>
    <row r="418" spans="1:14" ht="15.75" customHeight="1">
      <c r="A418" s="36"/>
      <c r="B418" s="52"/>
      <c r="C418" s="40"/>
      <c r="D418" s="37"/>
      <c r="E418" s="38"/>
      <c r="F418" s="35"/>
      <c r="G418" s="35"/>
      <c r="H418" s="40"/>
      <c r="I418" s="37"/>
      <c r="J418" s="35"/>
      <c r="K418" s="35"/>
      <c r="L418" s="48"/>
      <c r="M418" s="49"/>
      <c r="N418" s="49"/>
    </row>
    <row r="419" spans="1:14" ht="15.75" customHeight="1">
      <c r="A419" s="36"/>
      <c r="B419" s="52"/>
      <c r="C419" s="40"/>
      <c r="D419" s="37"/>
      <c r="E419" s="38"/>
      <c r="F419" s="35"/>
      <c r="G419" s="35"/>
      <c r="H419" s="40"/>
      <c r="I419" s="37"/>
      <c r="J419" s="35"/>
      <c r="K419" s="35"/>
      <c r="L419" s="48"/>
      <c r="M419" s="49"/>
      <c r="N419" s="49"/>
    </row>
    <row r="420" spans="1:14" ht="15.75" customHeight="1">
      <c r="A420" s="36"/>
      <c r="B420" s="52"/>
      <c r="C420" s="40"/>
      <c r="D420" s="37"/>
      <c r="E420" s="38"/>
      <c r="F420" s="35"/>
      <c r="G420" s="35"/>
      <c r="H420" s="40"/>
      <c r="I420" s="37"/>
      <c r="J420" s="35"/>
      <c r="K420" s="35"/>
      <c r="L420" s="48"/>
      <c r="M420" s="49"/>
      <c r="N420" s="49"/>
    </row>
    <row r="421" spans="1:14" ht="15.75" customHeight="1">
      <c r="A421" s="36"/>
      <c r="B421" s="52"/>
      <c r="C421" s="40"/>
      <c r="D421" s="37"/>
      <c r="E421" s="38"/>
      <c r="F421" s="35"/>
      <c r="G421" s="35"/>
      <c r="H421" s="40"/>
      <c r="I421" s="37"/>
      <c r="J421" s="35"/>
      <c r="K421" s="35"/>
      <c r="L421" s="48"/>
      <c r="M421" s="49"/>
      <c r="N421" s="49"/>
    </row>
    <row r="422" spans="1:14" ht="15.75" customHeight="1">
      <c r="A422" s="36"/>
      <c r="B422" s="52"/>
      <c r="C422" s="40"/>
      <c r="D422" s="37"/>
      <c r="E422" s="38"/>
      <c r="F422" s="35"/>
      <c r="G422" s="35"/>
      <c r="H422" s="40"/>
      <c r="I422" s="37"/>
      <c r="J422" s="35"/>
      <c r="K422" s="35"/>
      <c r="L422" s="48"/>
      <c r="M422" s="49"/>
      <c r="N422" s="49"/>
    </row>
    <row r="423" spans="1:14" ht="15.75" customHeight="1">
      <c r="A423" s="36"/>
      <c r="B423" s="52"/>
      <c r="C423" s="40"/>
      <c r="D423" s="37"/>
      <c r="E423" s="38"/>
      <c r="F423" s="35"/>
      <c r="G423" s="35"/>
      <c r="H423" s="40"/>
      <c r="I423" s="37"/>
      <c r="J423" s="35"/>
      <c r="K423" s="35"/>
      <c r="L423" s="48"/>
      <c r="M423" s="49"/>
      <c r="N423" s="49"/>
    </row>
    <row r="424" spans="1:14" ht="15.75" customHeight="1">
      <c r="A424" s="36"/>
      <c r="B424" s="52"/>
      <c r="C424" s="40"/>
      <c r="D424" s="37"/>
      <c r="E424" s="38"/>
      <c r="F424" s="35"/>
      <c r="G424" s="35"/>
      <c r="H424" s="40"/>
      <c r="I424" s="37"/>
      <c r="J424" s="35"/>
      <c r="K424" s="35"/>
      <c r="L424" s="48"/>
      <c r="M424" s="49"/>
      <c r="N424" s="49"/>
    </row>
    <row r="425" spans="1:14" ht="15.75" customHeight="1">
      <c r="A425" s="36"/>
      <c r="B425" s="52"/>
      <c r="C425" s="40"/>
      <c r="D425" s="37"/>
      <c r="E425" s="38"/>
      <c r="F425" s="35"/>
      <c r="G425" s="35"/>
      <c r="H425" s="40"/>
      <c r="I425" s="37"/>
      <c r="J425" s="35"/>
      <c r="K425" s="35"/>
      <c r="L425" s="48"/>
      <c r="M425" s="49"/>
      <c r="N425" s="49"/>
    </row>
    <row r="426" spans="1:14" ht="15.75" customHeight="1">
      <c r="A426" s="36"/>
      <c r="B426" s="52"/>
      <c r="C426" s="40"/>
      <c r="D426" s="37"/>
      <c r="E426" s="38"/>
      <c r="F426" s="35"/>
      <c r="G426" s="35"/>
      <c r="H426" s="40"/>
      <c r="I426" s="37"/>
      <c r="J426" s="35"/>
      <c r="K426" s="35"/>
      <c r="L426" s="48"/>
      <c r="M426" s="49"/>
      <c r="N426" s="49"/>
    </row>
    <row r="427" spans="1:14" ht="15.75" customHeight="1">
      <c r="A427" s="36"/>
      <c r="B427" s="52"/>
      <c r="C427" s="40"/>
      <c r="D427" s="37"/>
      <c r="E427" s="38"/>
      <c r="F427" s="35"/>
      <c r="G427" s="35"/>
      <c r="H427" s="40"/>
      <c r="I427" s="37"/>
      <c r="J427" s="35"/>
      <c r="K427" s="35"/>
      <c r="L427" s="48"/>
      <c r="M427" s="49"/>
      <c r="N427" s="49"/>
    </row>
    <row r="428" spans="1:14" ht="15.75" customHeight="1">
      <c r="A428" s="36"/>
      <c r="B428" s="52"/>
      <c r="C428" s="40"/>
      <c r="D428" s="37"/>
      <c r="E428" s="38"/>
      <c r="F428" s="35"/>
      <c r="G428" s="35"/>
      <c r="H428" s="40"/>
      <c r="I428" s="37"/>
      <c r="J428" s="35"/>
      <c r="K428" s="35"/>
      <c r="L428" s="48"/>
      <c r="M428" s="49"/>
      <c r="N428" s="49"/>
    </row>
    <row r="429" spans="1:14" ht="15.75" customHeight="1">
      <c r="A429" s="36"/>
      <c r="B429" s="52"/>
      <c r="C429" s="40"/>
      <c r="D429" s="37"/>
      <c r="E429" s="38"/>
      <c r="F429" s="35"/>
      <c r="G429" s="35"/>
      <c r="H429" s="40"/>
      <c r="I429" s="37"/>
      <c r="J429" s="35"/>
      <c r="K429" s="35"/>
      <c r="L429" s="48"/>
      <c r="M429" s="49"/>
      <c r="N429" s="49"/>
    </row>
    <row r="430" spans="1:14" ht="15.75" customHeight="1">
      <c r="A430" s="36"/>
      <c r="B430" s="52"/>
      <c r="C430" s="40"/>
      <c r="D430" s="37"/>
      <c r="E430" s="38"/>
      <c r="F430" s="35"/>
      <c r="G430" s="35"/>
      <c r="H430" s="40"/>
      <c r="I430" s="37"/>
      <c r="J430" s="35"/>
      <c r="K430" s="35"/>
      <c r="L430" s="48"/>
      <c r="M430" s="49"/>
      <c r="N430" s="49"/>
    </row>
    <row r="431" spans="1:14" ht="15.75" customHeight="1">
      <c r="A431" s="36"/>
      <c r="B431" s="52"/>
      <c r="C431" s="40"/>
      <c r="D431" s="37"/>
      <c r="E431" s="38"/>
      <c r="F431" s="35"/>
      <c r="G431" s="35"/>
      <c r="H431" s="40"/>
      <c r="I431" s="37"/>
      <c r="J431" s="35"/>
      <c r="K431" s="35"/>
      <c r="L431" s="48"/>
      <c r="M431" s="49"/>
      <c r="N431" s="49"/>
    </row>
    <row r="432" spans="1:14" ht="15.75" customHeight="1">
      <c r="A432" s="36"/>
      <c r="B432" s="52"/>
      <c r="C432" s="40"/>
      <c r="D432" s="37"/>
      <c r="E432" s="38"/>
      <c r="F432" s="35"/>
      <c r="G432" s="35"/>
      <c r="H432" s="40"/>
      <c r="I432" s="37"/>
      <c r="J432" s="35"/>
      <c r="K432" s="35"/>
      <c r="L432" s="48"/>
      <c r="M432" s="49"/>
      <c r="N432" s="49"/>
    </row>
    <row r="433" spans="1:14" ht="15.75" customHeight="1">
      <c r="A433" s="36"/>
      <c r="B433" s="52"/>
      <c r="C433" s="40"/>
      <c r="D433" s="37"/>
      <c r="E433" s="38"/>
      <c r="F433" s="35"/>
      <c r="G433" s="35"/>
      <c r="H433" s="40"/>
      <c r="I433" s="37"/>
      <c r="J433" s="35"/>
      <c r="K433" s="35"/>
      <c r="L433" s="48"/>
      <c r="M433" s="49"/>
      <c r="N433" s="49"/>
    </row>
    <row r="434" spans="1:14" ht="15.75" customHeight="1">
      <c r="A434" s="36"/>
      <c r="B434" s="52"/>
      <c r="C434" s="40"/>
      <c r="D434" s="37"/>
      <c r="E434" s="38"/>
      <c r="F434" s="35"/>
      <c r="G434" s="35"/>
      <c r="H434" s="40"/>
      <c r="I434" s="37"/>
      <c r="J434" s="35"/>
      <c r="K434" s="35"/>
      <c r="L434" s="48"/>
      <c r="M434" s="49"/>
      <c r="N434" s="49"/>
    </row>
    <row r="435" spans="1:14" ht="15.75" customHeight="1">
      <c r="A435" s="36"/>
      <c r="B435" s="52"/>
      <c r="C435" s="40"/>
      <c r="D435" s="37"/>
      <c r="E435" s="38"/>
      <c r="F435" s="35"/>
      <c r="G435" s="35"/>
      <c r="H435" s="40"/>
      <c r="I435" s="37"/>
      <c r="J435" s="35"/>
      <c r="K435" s="35"/>
      <c r="L435" s="48"/>
      <c r="M435" s="49"/>
      <c r="N435" s="49"/>
    </row>
    <row r="436" spans="1:14" ht="15.75" customHeight="1">
      <c r="A436" s="36"/>
      <c r="B436" s="52"/>
      <c r="C436" s="40"/>
      <c r="D436" s="37"/>
      <c r="E436" s="38"/>
      <c r="F436" s="35"/>
      <c r="G436" s="35"/>
      <c r="H436" s="40"/>
      <c r="I436" s="37"/>
      <c r="J436" s="35"/>
      <c r="K436" s="35"/>
      <c r="L436" s="48"/>
      <c r="M436" s="49"/>
      <c r="N436" s="49"/>
    </row>
    <row r="437" spans="1:14" ht="15.75" customHeight="1">
      <c r="A437" s="36"/>
      <c r="B437" s="52"/>
      <c r="C437" s="40"/>
      <c r="D437" s="37"/>
      <c r="E437" s="38"/>
      <c r="F437" s="35"/>
      <c r="G437" s="35"/>
      <c r="H437" s="40"/>
      <c r="I437" s="37"/>
      <c r="J437" s="35"/>
      <c r="K437" s="35"/>
      <c r="L437" s="48"/>
      <c r="M437" s="49"/>
      <c r="N437" s="49"/>
    </row>
    <row r="438" spans="1:14" ht="15.75" customHeight="1">
      <c r="A438" s="36"/>
      <c r="B438" s="52"/>
      <c r="C438" s="40"/>
      <c r="D438" s="37"/>
      <c r="E438" s="38"/>
      <c r="F438" s="35"/>
      <c r="G438" s="35"/>
      <c r="H438" s="40"/>
      <c r="I438" s="37"/>
      <c r="J438" s="35"/>
      <c r="K438" s="35"/>
      <c r="L438" s="48"/>
      <c r="M438" s="49"/>
      <c r="N438" s="49"/>
    </row>
    <row r="439" spans="1:14" ht="15.75" customHeight="1">
      <c r="A439" s="36"/>
      <c r="B439" s="52"/>
      <c r="C439" s="40"/>
      <c r="D439" s="37"/>
      <c r="E439" s="38"/>
      <c r="F439" s="35"/>
      <c r="G439" s="35"/>
      <c r="H439" s="40"/>
      <c r="I439" s="37"/>
      <c r="J439" s="35"/>
      <c r="K439" s="35"/>
      <c r="L439" s="48"/>
      <c r="M439" s="49"/>
      <c r="N439" s="49"/>
    </row>
    <row r="440" spans="1:14" ht="15.75" customHeight="1">
      <c r="A440" s="36"/>
      <c r="B440" s="52"/>
      <c r="C440" s="40"/>
      <c r="D440" s="37"/>
      <c r="E440" s="38"/>
      <c r="F440" s="35"/>
      <c r="G440" s="35"/>
      <c r="H440" s="40"/>
      <c r="I440" s="37"/>
      <c r="J440" s="35"/>
      <c r="K440" s="35"/>
      <c r="L440" s="48"/>
      <c r="M440" s="49"/>
      <c r="N440" s="49"/>
    </row>
    <row r="441" spans="1:14" ht="15.75" customHeight="1">
      <c r="A441" s="36"/>
      <c r="B441" s="52"/>
      <c r="C441" s="40"/>
      <c r="D441" s="37"/>
      <c r="E441" s="38"/>
      <c r="F441" s="35"/>
      <c r="G441" s="35"/>
      <c r="H441" s="40"/>
      <c r="I441" s="37"/>
      <c r="J441" s="35"/>
      <c r="K441" s="35"/>
      <c r="L441" s="48"/>
      <c r="M441" s="49"/>
      <c r="N441" s="49"/>
    </row>
    <row r="442" spans="1:14" ht="15.75" customHeight="1">
      <c r="A442" s="36"/>
      <c r="B442" s="52"/>
      <c r="C442" s="40"/>
      <c r="D442" s="37"/>
      <c r="E442" s="38"/>
      <c r="F442" s="35"/>
      <c r="G442" s="35"/>
      <c r="H442" s="40"/>
      <c r="I442" s="37"/>
      <c r="J442" s="35"/>
      <c r="K442" s="35"/>
      <c r="L442" s="48"/>
      <c r="M442" s="49"/>
      <c r="N442" s="49"/>
    </row>
    <row r="443" spans="1:14" ht="15.75" customHeight="1">
      <c r="A443" s="36"/>
      <c r="B443" s="52"/>
      <c r="C443" s="40"/>
      <c r="D443" s="37"/>
      <c r="E443" s="38"/>
      <c r="F443" s="35"/>
      <c r="G443" s="35"/>
      <c r="H443" s="40"/>
      <c r="I443" s="37"/>
      <c r="J443" s="35"/>
      <c r="K443" s="35"/>
      <c r="L443" s="48"/>
      <c r="M443" s="49"/>
      <c r="N443" s="49"/>
    </row>
    <row r="444" spans="1:14" ht="15.75" customHeight="1">
      <c r="A444" s="36"/>
      <c r="B444" s="52"/>
      <c r="C444" s="40"/>
      <c r="D444" s="37"/>
      <c r="E444" s="38"/>
      <c r="F444" s="35"/>
      <c r="G444" s="35"/>
      <c r="H444" s="40"/>
      <c r="I444" s="37"/>
      <c r="J444" s="35"/>
      <c r="K444" s="35"/>
      <c r="L444" s="48"/>
      <c r="M444" s="49"/>
      <c r="N444" s="49"/>
    </row>
    <row r="445" spans="1:14" ht="15.75" customHeight="1">
      <c r="A445" s="36"/>
      <c r="B445" s="52"/>
      <c r="C445" s="40"/>
      <c r="D445" s="37"/>
      <c r="E445" s="38"/>
      <c r="F445" s="35"/>
      <c r="G445" s="35"/>
      <c r="H445" s="40"/>
      <c r="I445" s="37"/>
      <c r="J445" s="35"/>
      <c r="K445" s="35"/>
      <c r="L445" s="48"/>
      <c r="M445" s="49"/>
      <c r="N445" s="49"/>
    </row>
    <row r="446" spans="1:14" ht="15.75" customHeight="1">
      <c r="A446" s="36"/>
      <c r="B446" s="52"/>
      <c r="C446" s="40"/>
      <c r="D446" s="37"/>
      <c r="E446" s="38"/>
      <c r="F446" s="35"/>
      <c r="G446" s="35"/>
      <c r="H446" s="40"/>
      <c r="I446" s="37"/>
      <c r="J446" s="35"/>
      <c r="K446" s="35"/>
      <c r="L446" s="48"/>
      <c r="M446" s="49"/>
      <c r="N446" s="49"/>
    </row>
    <row r="447" spans="1:14" ht="15.75" customHeight="1">
      <c r="A447" s="36"/>
      <c r="B447" s="52"/>
      <c r="C447" s="40"/>
      <c r="D447" s="37"/>
      <c r="E447" s="38"/>
      <c r="F447" s="35"/>
      <c r="G447" s="35"/>
      <c r="H447" s="40"/>
      <c r="I447" s="37"/>
      <c r="J447" s="35"/>
      <c r="K447" s="35"/>
      <c r="L447" s="48"/>
      <c r="M447" s="49"/>
      <c r="N447" s="49"/>
    </row>
    <row r="448" spans="1:14" ht="15.75" customHeight="1">
      <c r="A448" s="36"/>
      <c r="B448" s="52"/>
      <c r="C448" s="40"/>
      <c r="D448" s="37"/>
      <c r="E448" s="38"/>
      <c r="F448" s="35"/>
      <c r="G448" s="35"/>
      <c r="H448" s="40"/>
      <c r="I448" s="37"/>
      <c r="J448" s="35"/>
      <c r="K448" s="35"/>
      <c r="L448" s="48"/>
      <c r="M448" s="49"/>
      <c r="N448" s="49"/>
    </row>
    <row r="449" spans="1:14" ht="15.75" customHeight="1">
      <c r="A449" s="36"/>
      <c r="B449" s="52"/>
      <c r="C449" s="40"/>
      <c r="D449" s="37"/>
      <c r="E449" s="38"/>
      <c r="F449" s="35"/>
      <c r="G449" s="35"/>
      <c r="H449" s="40"/>
      <c r="I449" s="37"/>
      <c r="J449" s="35"/>
      <c r="K449" s="35"/>
      <c r="L449" s="48"/>
      <c r="M449" s="49"/>
      <c r="N449" s="49"/>
    </row>
    <row r="450" spans="1:14" ht="15.75" customHeight="1">
      <c r="A450" s="36"/>
      <c r="B450" s="52"/>
      <c r="C450" s="40"/>
      <c r="D450" s="37"/>
      <c r="E450" s="38"/>
      <c r="F450" s="35"/>
      <c r="G450" s="35"/>
      <c r="H450" s="40"/>
      <c r="I450" s="37"/>
      <c r="J450" s="35"/>
      <c r="K450" s="35"/>
      <c r="L450" s="48"/>
      <c r="M450" s="49"/>
      <c r="N450" s="49"/>
    </row>
    <row r="451" spans="1:14" ht="15.75" customHeight="1">
      <c r="A451" s="36"/>
      <c r="B451" s="52"/>
      <c r="C451" s="40"/>
      <c r="D451" s="37"/>
      <c r="E451" s="38"/>
      <c r="F451" s="35"/>
      <c r="G451" s="35"/>
      <c r="H451" s="40"/>
      <c r="I451" s="37"/>
      <c r="J451" s="35"/>
      <c r="K451" s="35"/>
      <c r="L451" s="48"/>
      <c r="M451" s="49"/>
      <c r="N451" s="49"/>
    </row>
    <row r="452" spans="1:14" ht="15.75" customHeight="1">
      <c r="A452" s="36"/>
      <c r="B452" s="52"/>
      <c r="C452" s="40"/>
      <c r="D452" s="37"/>
      <c r="E452" s="38"/>
      <c r="F452" s="35"/>
      <c r="G452" s="35"/>
      <c r="H452" s="40"/>
      <c r="I452" s="37"/>
      <c r="J452" s="35"/>
      <c r="K452" s="35"/>
      <c r="L452" s="48"/>
      <c r="M452" s="49"/>
      <c r="N452" s="49"/>
    </row>
    <row r="453" spans="1:14" ht="15.75" customHeight="1">
      <c r="A453" s="36"/>
      <c r="B453" s="52"/>
      <c r="C453" s="40"/>
      <c r="D453" s="37"/>
      <c r="E453" s="38"/>
      <c r="F453" s="35"/>
      <c r="G453" s="35"/>
      <c r="H453" s="40"/>
      <c r="I453" s="37"/>
      <c r="J453" s="35"/>
      <c r="K453" s="35"/>
      <c r="L453" s="48"/>
      <c r="M453" s="49"/>
      <c r="N453" s="49"/>
    </row>
    <row r="454" spans="1:14" ht="15.75" customHeight="1">
      <c r="A454" s="36"/>
      <c r="B454" s="52"/>
      <c r="C454" s="40"/>
      <c r="D454" s="37"/>
      <c r="E454" s="38"/>
      <c r="F454" s="35"/>
      <c r="G454" s="35"/>
      <c r="H454" s="40"/>
      <c r="I454" s="37"/>
      <c r="J454" s="35"/>
      <c r="K454" s="35"/>
      <c r="L454" s="48"/>
      <c r="M454" s="49"/>
      <c r="N454" s="49"/>
    </row>
    <row r="455" spans="1:14" ht="15.75" customHeight="1">
      <c r="A455" s="36"/>
      <c r="B455" s="52"/>
      <c r="C455" s="40"/>
      <c r="D455" s="37"/>
      <c r="E455" s="38"/>
      <c r="F455" s="35"/>
      <c r="G455" s="35"/>
      <c r="H455" s="40"/>
      <c r="I455" s="37"/>
      <c r="J455" s="35"/>
      <c r="K455" s="35"/>
      <c r="L455" s="48"/>
      <c r="M455" s="49"/>
      <c r="N455" s="49"/>
    </row>
    <row r="456" spans="1:14" ht="15.75" customHeight="1">
      <c r="A456" s="36"/>
      <c r="B456" s="52"/>
      <c r="C456" s="40"/>
      <c r="D456" s="37"/>
      <c r="E456" s="38"/>
      <c r="F456" s="35"/>
      <c r="G456" s="35"/>
      <c r="H456" s="40"/>
      <c r="I456" s="37"/>
      <c r="J456" s="35"/>
      <c r="K456" s="35"/>
      <c r="L456" s="48"/>
      <c r="M456" s="49"/>
      <c r="N456" s="49"/>
    </row>
    <row r="457" spans="1:14" ht="15.75" customHeight="1">
      <c r="A457" s="36"/>
      <c r="B457" s="52"/>
      <c r="C457" s="40"/>
      <c r="D457" s="37"/>
      <c r="E457" s="38"/>
      <c r="F457" s="35"/>
      <c r="G457" s="35"/>
      <c r="H457" s="40"/>
      <c r="I457" s="37"/>
      <c r="J457" s="35"/>
      <c r="K457" s="35"/>
      <c r="L457" s="48"/>
      <c r="M457" s="49"/>
      <c r="N457" s="49"/>
    </row>
    <row r="458" spans="1:14" ht="15.75" customHeight="1">
      <c r="A458" s="36"/>
      <c r="B458" s="52"/>
      <c r="C458" s="40"/>
      <c r="D458" s="37"/>
      <c r="E458" s="38"/>
      <c r="F458" s="35"/>
      <c r="G458" s="35"/>
      <c r="H458" s="40"/>
      <c r="I458" s="37"/>
      <c r="J458" s="35"/>
      <c r="K458" s="35"/>
      <c r="L458" s="48"/>
      <c r="M458" s="49"/>
      <c r="N458" s="49"/>
    </row>
    <row r="459" spans="1:14" ht="15.75" customHeight="1">
      <c r="A459" s="36"/>
      <c r="B459" s="52"/>
      <c r="C459" s="40"/>
      <c r="D459" s="37"/>
      <c r="E459" s="38"/>
      <c r="F459" s="35"/>
      <c r="G459" s="35"/>
      <c r="H459" s="40"/>
      <c r="I459" s="37"/>
      <c r="J459" s="35"/>
      <c r="K459" s="35"/>
      <c r="L459" s="48"/>
      <c r="M459" s="49"/>
      <c r="N459" s="49"/>
    </row>
    <row r="460" spans="1:14" ht="15.75" customHeight="1">
      <c r="A460" s="36"/>
      <c r="B460" s="52"/>
      <c r="C460" s="40"/>
      <c r="D460" s="37"/>
      <c r="E460" s="38"/>
      <c r="F460" s="35"/>
      <c r="G460" s="35"/>
      <c r="H460" s="40"/>
      <c r="I460" s="37"/>
      <c r="J460" s="35"/>
      <c r="K460" s="35"/>
      <c r="L460" s="48"/>
      <c r="M460" s="49"/>
      <c r="N460" s="49"/>
    </row>
    <row r="461" spans="1:14" ht="15.75" customHeight="1">
      <c r="A461" s="36"/>
      <c r="B461" s="52"/>
      <c r="C461" s="40"/>
      <c r="D461" s="37"/>
      <c r="E461" s="38"/>
      <c r="F461" s="35"/>
      <c r="G461" s="35"/>
      <c r="H461" s="40"/>
      <c r="I461" s="37"/>
      <c r="J461" s="35"/>
      <c r="K461" s="35"/>
      <c r="L461" s="48"/>
      <c r="M461" s="49"/>
      <c r="N461" s="49"/>
    </row>
    <row r="462" spans="1:14" ht="15.75" customHeight="1">
      <c r="A462" s="36"/>
      <c r="B462" s="52"/>
      <c r="C462" s="40"/>
      <c r="D462" s="37"/>
      <c r="E462" s="38"/>
      <c r="F462" s="35"/>
      <c r="G462" s="35"/>
      <c r="H462" s="40"/>
      <c r="I462" s="37"/>
      <c r="J462" s="35"/>
      <c r="K462" s="35"/>
      <c r="L462" s="48"/>
      <c r="M462" s="49"/>
      <c r="N462" s="49"/>
    </row>
    <row r="463" spans="1:14" ht="15.75" customHeight="1">
      <c r="A463" s="36"/>
      <c r="B463" s="52"/>
      <c r="C463" s="40"/>
      <c r="D463" s="37"/>
      <c r="E463" s="38"/>
      <c r="F463" s="35"/>
      <c r="G463" s="35"/>
      <c r="H463" s="40"/>
      <c r="I463" s="37"/>
      <c r="J463" s="35"/>
      <c r="K463" s="35"/>
      <c r="L463" s="48"/>
      <c r="M463" s="49"/>
      <c r="N463" s="49"/>
    </row>
    <row r="464" spans="1:14" ht="15.75" customHeight="1">
      <c r="A464" s="36"/>
      <c r="B464" s="52"/>
      <c r="C464" s="40"/>
      <c r="D464" s="37"/>
      <c r="E464" s="38"/>
      <c r="F464" s="35"/>
      <c r="G464" s="35"/>
      <c r="H464" s="40"/>
      <c r="I464" s="37"/>
      <c r="J464" s="35"/>
      <c r="K464" s="35"/>
      <c r="L464" s="48"/>
      <c r="M464" s="49"/>
      <c r="N464" s="49"/>
    </row>
    <row r="465" spans="1:14" ht="15.75" customHeight="1">
      <c r="A465" s="36"/>
      <c r="B465" s="52"/>
      <c r="C465" s="40"/>
      <c r="D465" s="37"/>
      <c r="E465" s="38"/>
      <c r="F465" s="35"/>
      <c r="G465" s="35"/>
      <c r="H465" s="40"/>
      <c r="I465" s="37"/>
      <c r="J465" s="35"/>
      <c r="K465" s="35"/>
      <c r="L465" s="48"/>
      <c r="M465" s="49"/>
      <c r="N465" s="49"/>
    </row>
    <row r="466" spans="1:14" ht="15.75" customHeight="1">
      <c r="A466" s="36"/>
      <c r="B466" s="52"/>
      <c r="C466" s="40"/>
      <c r="D466" s="37"/>
      <c r="E466" s="38"/>
      <c r="F466" s="35"/>
      <c r="G466" s="35"/>
      <c r="H466" s="40"/>
      <c r="I466" s="37"/>
      <c r="J466" s="35"/>
      <c r="K466" s="35"/>
      <c r="L466" s="48"/>
      <c r="M466" s="49"/>
      <c r="N466" s="49"/>
    </row>
    <row r="467" spans="1:14" ht="15.75" customHeight="1">
      <c r="A467" s="36"/>
      <c r="B467" s="52"/>
      <c r="C467" s="40"/>
      <c r="D467" s="37"/>
      <c r="E467" s="38"/>
      <c r="F467" s="35"/>
      <c r="G467" s="35"/>
      <c r="H467" s="40"/>
      <c r="I467" s="37"/>
      <c r="J467" s="35"/>
      <c r="K467" s="35"/>
      <c r="L467" s="48"/>
      <c r="M467" s="49"/>
      <c r="N467" s="49"/>
    </row>
    <row r="468" spans="1:14" ht="15.75" customHeight="1">
      <c r="A468" s="36"/>
      <c r="B468" s="52"/>
      <c r="C468" s="40"/>
      <c r="D468" s="37"/>
      <c r="E468" s="38"/>
      <c r="F468" s="35"/>
      <c r="G468" s="35"/>
      <c r="H468" s="40"/>
      <c r="I468" s="37"/>
      <c r="J468" s="35"/>
      <c r="K468" s="35"/>
      <c r="L468" s="48"/>
      <c r="M468" s="49"/>
      <c r="N468" s="49"/>
    </row>
    <row r="469" spans="1:14" ht="15.75" customHeight="1">
      <c r="A469" s="36"/>
      <c r="B469" s="52"/>
      <c r="C469" s="40"/>
      <c r="D469" s="37"/>
      <c r="E469" s="38"/>
      <c r="F469" s="35"/>
      <c r="G469" s="35"/>
      <c r="H469" s="40"/>
      <c r="I469" s="37"/>
      <c r="J469" s="35"/>
      <c r="K469" s="35"/>
      <c r="L469" s="48"/>
      <c r="M469" s="49"/>
      <c r="N469" s="49"/>
    </row>
    <row r="470" spans="1:14" ht="15.75" customHeight="1">
      <c r="A470" s="36"/>
      <c r="B470" s="52"/>
      <c r="C470" s="40"/>
      <c r="D470" s="37"/>
      <c r="E470" s="38"/>
      <c r="F470" s="35"/>
      <c r="G470" s="35"/>
      <c r="H470" s="40"/>
      <c r="I470" s="37"/>
      <c r="J470" s="35"/>
      <c r="K470" s="35"/>
      <c r="L470" s="48"/>
      <c r="M470" s="49"/>
      <c r="N470" s="49"/>
    </row>
    <row r="471" spans="1:14" ht="15.75" customHeight="1">
      <c r="A471" s="36"/>
      <c r="B471" s="52"/>
      <c r="C471" s="40"/>
      <c r="D471" s="37"/>
      <c r="E471" s="38"/>
      <c r="F471" s="35"/>
      <c r="G471" s="35"/>
      <c r="H471" s="40"/>
      <c r="I471" s="37"/>
      <c r="J471" s="35"/>
      <c r="K471" s="35"/>
      <c r="L471" s="48"/>
      <c r="M471" s="49"/>
      <c r="N471" s="49"/>
    </row>
    <row r="472" spans="1:14" ht="15.75" customHeight="1">
      <c r="A472" s="36"/>
      <c r="B472" s="52"/>
      <c r="C472" s="40"/>
      <c r="D472" s="37"/>
      <c r="E472" s="38"/>
      <c r="F472" s="35"/>
      <c r="G472" s="35"/>
      <c r="H472" s="40"/>
      <c r="I472" s="37"/>
      <c r="J472" s="35"/>
      <c r="K472" s="35"/>
      <c r="L472" s="48"/>
      <c r="M472" s="49"/>
      <c r="N472" s="49"/>
    </row>
    <row r="473" spans="1:14" ht="15.75" customHeight="1">
      <c r="A473" s="36"/>
      <c r="B473" s="52"/>
      <c r="C473" s="40"/>
      <c r="D473" s="37"/>
      <c r="E473" s="38"/>
      <c r="F473" s="35"/>
      <c r="G473" s="35"/>
      <c r="H473" s="40"/>
      <c r="I473" s="37"/>
      <c r="J473" s="35"/>
      <c r="K473" s="35"/>
      <c r="L473" s="48"/>
      <c r="M473" s="49"/>
      <c r="N473" s="49"/>
    </row>
    <row r="474" spans="1:14" ht="15.75" customHeight="1">
      <c r="A474" s="36"/>
      <c r="B474" s="52"/>
      <c r="C474" s="40"/>
      <c r="D474" s="37"/>
      <c r="E474" s="38"/>
      <c r="F474" s="35"/>
      <c r="G474" s="35"/>
      <c r="H474" s="40"/>
      <c r="I474" s="37"/>
      <c r="J474" s="35"/>
      <c r="K474" s="35"/>
      <c r="L474" s="48"/>
      <c r="M474" s="49"/>
      <c r="N474" s="49"/>
    </row>
    <row r="475" spans="1:14" ht="15.75" customHeight="1">
      <c r="A475" s="36"/>
      <c r="B475" s="52"/>
      <c r="C475" s="40"/>
      <c r="D475" s="37"/>
      <c r="E475" s="38"/>
      <c r="F475" s="35"/>
      <c r="G475" s="35"/>
      <c r="H475" s="40"/>
      <c r="I475" s="37"/>
      <c r="J475" s="35"/>
      <c r="K475" s="35"/>
      <c r="L475" s="48"/>
      <c r="M475" s="49"/>
      <c r="N475" s="49"/>
    </row>
    <row r="476" spans="1:14" ht="15.75" customHeight="1">
      <c r="A476" s="36"/>
      <c r="B476" s="52"/>
      <c r="C476" s="40"/>
      <c r="D476" s="37"/>
      <c r="E476" s="38"/>
      <c r="F476" s="35"/>
      <c r="G476" s="35"/>
      <c r="H476" s="40"/>
      <c r="I476" s="37"/>
      <c r="J476" s="35"/>
      <c r="K476" s="35"/>
      <c r="L476" s="48"/>
      <c r="M476" s="49"/>
      <c r="N476" s="49"/>
    </row>
    <row r="477" spans="1:14" ht="15.75" customHeight="1">
      <c r="A477" s="36"/>
      <c r="B477" s="52"/>
      <c r="C477" s="40"/>
      <c r="D477" s="37"/>
      <c r="E477" s="38"/>
      <c r="F477" s="35"/>
      <c r="G477" s="35"/>
      <c r="H477" s="40"/>
      <c r="I477" s="37"/>
      <c r="J477" s="35"/>
      <c r="K477" s="35"/>
      <c r="L477" s="48"/>
      <c r="M477" s="49"/>
      <c r="N477" s="49"/>
    </row>
    <row r="478" spans="1:14" ht="15.75" customHeight="1">
      <c r="A478" s="36"/>
      <c r="B478" s="52"/>
      <c r="C478" s="40"/>
      <c r="D478" s="37"/>
      <c r="E478" s="38"/>
      <c r="F478" s="35"/>
      <c r="G478" s="35"/>
      <c r="H478" s="40"/>
      <c r="I478" s="37"/>
      <c r="J478" s="35"/>
      <c r="K478" s="35"/>
      <c r="L478" s="48"/>
      <c r="M478" s="49"/>
      <c r="N478" s="49"/>
    </row>
    <row r="479" spans="1:14" ht="15.75" customHeight="1">
      <c r="A479" s="36"/>
      <c r="B479" s="52"/>
      <c r="C479" s="40"/>
      <c r="D479" s="37"/>
      <c r="E479" s="38"/>
      <c r="F479" s="35"/>
      <c r="G479" s="35"/>
      <c r="H479" s="40"/>
      <c r="I479" s="37"/>
      <c r="J479" s="35"/>
      <c r="K479" s="35"/>
      <c r="L479" s="48"/>
      <c r="M479" s="49"/>
      <c r="N479" s="49"/>
    </row>
    <row r="480" spans="1:14" ht="15.75" customHeight="1">
      <c r="A480" s="36"/>
      <c r="B480" s="52"/>
      <c r="C480" s="40"/>
      <c r="D480" s="37"/>
      <c r="E480" s="38"/>
      <c r="F480" s="35"/>
      <c r="G480" s="35"/>
      <c r="H480" s="40"/>
      <c r="I480" s="37"/>
      <c r="J480" s="35"/>
      <c r="K480" s="35"/>
      <c r="L480" s="48"/>
      <c r="M480" s="49"/>
      <c r="N480" s="49"/>
    </row>
    <row r="481" spans="1:14" ht="15.75" customHeight="1">
      <c r="A481" s="36"/>
      <c r="B481" s="52"/>
      <c r="C481" s="40"/>
      <c r="D481" s="37"/>
      <c r="E481" s="38"/>
      <c r="F481" s="35"/>
      <c r="G481" s="35"/>
      <c r="H481" s="40"/>
      <c r="I481" s="37"/>
      <c r="J481" s="35"/>
      <c r="K481" s="35"/>
      <c r="L481" s="48"/>
      <c r="M481" s="49"/>
      <c r="N481" s="49"/>
    </row>
    <row r="482" spans="1:14" ht="15.75" customHeight="1">
      <c r="A482" s="36"/>
      <c r="B482" s="52"/>
      <c r="C482" s="40"/>
      <c r="D482" s="37"/>
      <c r="E482" s="38"/>
      <c r="F482" s="35"/>
      <c r="G482" s="35"/>
      <c r="H482" s="40"/>
      <c r="I482" s="37"/>
      <c r="J482" s="35"/>
      <c r="K482" s="35"/>
      <c r="L482" s="48"/>
      <c r="M482" s="49"/>
      <c r="N482" s="49"/>
    </row>
    <row r="483" spans="1:14" ht="15.75" customHeight="1">
      <c r="A483" s="36"/>
      <c r="B483" s="52"/>
      <c r="C483" s="40"/>
      <c r="D483" s="37"/>
      <c r="E483" s="38"/>
      <c r="F483" s="35"/>
      <c r="G483" s="35"/>
      <c r="H483" s="40"/>
      <c r="I483" s="37"/>
      <c r="J483" s="35"/>
      <c r="K483" s="35"/>
      <c r="L483" s="48"/>
      <c r="M483" s="49"/>
      <c r="N483" s="49"/>
    </row>
    <row r="484" spans="1:14" ht="15.75" customHeight="1">
      <c r="A484" s="36"/>
      <c r="B484" s="52"/>
      <c r="C484" s="40"/>
      <c r="D484" s="37"/>
      <c r="E484" s="38"/>
      <c r="F484" s="35"/>
      <c r="G484" s="35"/>
      <c r="H484" s="40"/>
      <c r="I484" s="37"/>
      <c r="J484" s="35"/>
      <c r="K484" s="35"/>
      <c r="L484" s="48"/>
      <c r="M484" s="49"/>
      <c r="N484" s="49"/>
    </row>
    <row r="485" spans="1:14" ht="15.75" customHeight="1">
      <c r="A485" s="36"/>
      <c r="B485" s="52"/>
      <c r="C485" s="40"/>
      <c r="D485" s="37"/>
      <c r="E485" s="38"/>
      <c r="F485" s="35"/>
      <c r="G485" s="35"/>
      <c r="H485" s="40"/>
      <c r="I485" s="37"/>
      <c r="J485" s="35"/>
      <c r="K485" s="35"/>
      <c r="L485" s="48"/>
      <c r="M485" s="49"/>
      <c r="N485" s="49"/>
    </row>
    <row r="486" spans="1:14" ht="15.75" customHeight="1">
      <c r="A486" s="36"/>
      <c r="B486" s="52"/>
      <c r="C486" s="40"/>
      <c r="D486" s="37"/>
      <c r="E486" s="38"/>
      <c r="F486" s="35"/>
      <c r="G486" s="35"/>
      <c r="H486" s="40"/>
      <c r="I486" s="37"/>
      <c r="J486" s="35"/>
      <c r="K486" s="35"/>
      <c r="L486" s="48"/>
      <c r="M486" s="49"/>
      <c r="N486" s="49"/>
    </row>
    <row r="487" spans="1:14" ht="15.75" customHeight="1">
      <c r="A487" s="36"/>
      <c r="B487" s="52"/>
      <c r="C487" s="40"/>
      <c r="D487" s="37"/>
      <c r="E487" s="38"/>
      <c r="F487" s="35"/>
      <c r="G487" s="35"/>
      <c r="H487" s="40"/>
      <c r="I487" s="37"/>
      <c r="J487" s="35"/>
      <c r="K487" s="35"/>
      <c r="L487" s="48"/>
      <c r="M487" s="49"/>
      <c r="N487" s="49"/>
    </row>
    <row r="488" spans="1:14" ht="15.75" customHeight="1">
      <c r="A488" s="36"/>
      <c r="B488" s="52"/>
      <c r="C488" s="40"/>
      <c r="D488" s="37"/>
      <c r="E488" s="38"/>
      <c r="F488" s="35"/>
      <c r="G488" s="35"/>
      <c r="H488" s="40"/>
      <c r="I488" s="37"/>
      <c r="J488" s="35"/>
      <c r="K488" s="35"/>
      <c r="L488" s="48"/>
      <c r="M488" s="49"/>
      <c r="N488" s="49"/>
    </row>
    <row r="489" spans="1:14" ht="15.75" customHeight="1">
      <c r="A489" s="36"/>
      <c r="B489" s="52"/>
      <c r="C489" s="40"/>
      <c r="D489" s="37"/>
      <c r="E489" s="38"/>
      <c r="F489" s="35"/>
      <c r="G489" s="35"/>
      <c r="H489" s="40"/>
      <c r="I489" s="37"/>
      <c r="J489" s="35"/>
      <c r="K489" s="35"/>
      <c r="L489" s="48"/>
      <c r="M489" s="49"/>
      <c r="N489" s="49"/>
    </row>
    <row r="490" spans="1:14" ht="15.75" customHeight="1">
      <c r="A490" s="36"/>
      <c r="B490" s="52"/>
      <c r="C490" s="40"/>
      <c r="D490" s="37"/>
      <c r="E490" s="38"/>
      <c r="F490" s="35"/>
      <c r="G490" s="35"/>
      <c r="H490" s="40"/>
      <c r="I490" s="37"/>
      <c r="J490" s="35"/>
      <c r="K490" s="35"/>
      <c r="L490" s="48"/>
      <c r="M490" s="49"/>
      <c r="N490" s="49"/>
    </row>
    <row r="491" spans="1:14" ht="15.75" customHeight="1">
      <c r="A491" s="36"/>
      <c r="B491" s="52"/>
      <c r="C491" s="40"/>
      <c r="D491" s="37"/>
      <c r="E491" s="38"/>
      <c r="F491" s="35"/>
      <c r="G491" s="35"/>
      <c r="H491" s="40"/>
      <c r="I491" s="37"/>
      <c r="J491" s="35"/>
      <c r="K491" s="35"/>
      <c r="L491" s="48"/>
      <c r="M491" s="49"/>
      <c r="N491" s="49"/>
    </row>
    <row r="492" spans="1:14" ht="15.75" customHeight="1">
      <c r="A492" s="36"/>
      <c r="B492" s="52"/>
      <c r="C492" s="40"/>
      <c r="D492" s="37"/>
      <c r="E492" s="38"/>
      <c r="F492" s="35"/>
      <c r="G492" s="35"/>
      <c r="H492" s="40"/>
      <c r="I492" s="37"/>
      <c r="J492" s="35"/>
      <c r="K492" s="35"/>
      <c r="L492" s="48"/>
      <c r="M492" s="49"/>
      <c r="N492" s="49"/>
    </row>
    <row r="493" spans="1:14" ht="15.75" customHeight="1">
      <c r="A493" s="36"/>
      <c r="B493" s="52"/>
      <c r="C493" s="40"/>
      <c r="D493" s="37"/>
      <c r="E493" s="38"/>
      <c r="F493" s="35"/>
      <c r="G493" s="35"/>
      <c r="H493" s="40"/>
      <c r="I493" s="37"/>
      <c r="J493" s="35"/>
      <c r="K493" s="35"/>
      <c r="L493" s="48"/>
      <c r="M493" s="49"/>
      <c r="N493" s="49"/>
    </row>
    <row r="494" spans="1:14" ht="15.75" customHeight="1">
      <c r="A494" s="36"/>
      <c r="B494" s="52"/>
      <c r="C494" s="40"/>
      <c r="D494" s="37"/>
      <c r="E494" s="38"/>
      <c r="F494" s="35"/>
      <c r="G494" s="35"/>
      <c r="H494" s="40"/>
      <c r="I494" s="37"/>
      <c r="J494" s="35"/>
      <c r="K494" s="35"/>
      <c r="L494" s="48"/>
      <c r="M494" s="49"/>
      <c r="N494" s="49"/>
    </row>
    <row r="495" spans="1:14" ht="15.75" customHeight="1">
      <c r="A495" s="36"/>
      <c r="B495" s="52"/>
      <c r="C495" s="40"/>
      <c r="D495" s="37"/>
      <c r="E495" s="38"/>
      <c r="F495" s="35"/>
      <c r="G495" s="35"/>
      <c r="H495" s="40"/>
      <c r="I495" s="37"/>
      <c r="J495" s="35"/>
      <c r="K495" s="35"/>
      <c r="L495" s="48"/>
      <c r="M495" s="49"/>
      <c r="N495" s="49"/>
    </row>
    <row r="496" spans="1:14" ht="15.75" customHeight="1">
      <c r="A496" s="36"/>
      <c r="B496" s="52"/>
      <c r="C496" s="40"/>
      <c r="D496" s="37"/>
      <c r="E496" s="38"/>
      <c r="F496" s="35"/>
      <c r="G496" s="35"/>
      <c r="H496" s="40"/>
      <c r="I496" s="37"/>
      <c r="J496" s="35"/>
      <c r="K496" s="35"/>
      <c r="L496" s="48"/>
      <c r="M496" s="49"/>
      <c r="N496" s="49"/>
    </row>
    <row r="497" spans="1:14" ht="15.75" customHeight="1">
      <c r="A497" s="36"/>
      <c r="B497" s="52"/>
      <c r="C497" s="40"/>
      <c r="D497" s="37"/>
      <c r="E497" s="38"/>
      <c r="F497" s="35"/>
      <c r="G497" s="35"/>
      <c r="H497" s="40"/>
      <c r="I497" s="37"/>
      <c r="J497" s="35"/>
      <c r="K497" s="35"/>
      <c r="L497" s="48"/>
      <c r="M497" s="49"/>
      <c r="N497" s="49"/>
    </row>
    <row r="498" spans="1:14" ht="15.75" customHeight="1">
      <c r="A498" s="36"/>
      <c r="B498" s="52"/>
      <c r="C498" s="40"/>
      <c r="D498" s="37"/>
      <c r="E498" s="38"/>
      <c r="F498" s="35"/>
      <c r="G498" s="35"/>
      <c r="H498" s="40"/>
      <c r="I498" s="37"/>
      <c r="J498" s="35"/>
      <c r="K498" s="35"/>
      <c r="L498" s="48"/>
      <c r="M498" s="49"/>
      <c r="N498" s="49"/>
    </row>
    <row r="499" spans="1:14" ht="15.75" customHeight="1">
      <c r="A499" s="36"/>
      <c r="B499" s="52"/>
      <c r="C499" s="40"/>
      <c r="D499" s="37"/>
      <c r="E499" s="38"/>
      <c r="F499" s="35"/>
      <c r="G499" s="35"/>
      <c r="H499" s="40"/>
      <c r="I499" s="37"/>
      <c r="J499" s="35"/>
      <c r="K499" s="35"/>
      <c r="L499" s="48"/>
      <c r="M499" s="49"/>
      <c r="N499" s="49"/>
    </row>
    <row r="500" spans="1:14" ht="15.75" customHeight="1">
      <c r="A500" s="36"/>
      <c r="B500" s="52"/>
      <c r="C500" s="40"/>
      <c r="D500" s="37"/>
      <c r="E500" s="38"/>
      <c r="F500" s="35"/>
      <c r="G500" s="35"/>
      <c r="H500" s="40"/>
      <c r="I500" s="37"/>
      <c r="J500" s="35"/>
      <c r="K500" s="35"/>
      <c r="L500" s="48"/>
      <c r="M500" s="49"/>
      <c r="N500" s="49"/>
    </row>
    <row r="501" spans="1:14" ht="15.75" customHeight="1">
      <c r="A501" s="36"/>
      <c r="B501" s="52"/>
      <c r="C501" s="40"/>
      <c r="D501" s="37"/>
      <c r="E501" s="38"/>
      <c r="F501" s="35"/>
      <c r="G501" s="35"/>
      <c r="H501" s="40"/>
      <c r="I501" s="37"/>
      <c r="J501" s="35"/>
      <c r="K501" s="35"/>
      <c r="L501" s="48"/>
      <c r="M501" s="49"/>
      <c r="N501" s="49"/>
    </row>
    <row r="502" spans="1:14" ht="15.75" customHeight="1">
      <c r="A502" s="36"/>
      <c r="B502" s="52"/>
      <c r="C502" s="40"/>
      <c r="D502" s="37"/>
      <c r="E502" s="38"/>
      <c r="F502" s="35"/>
      <c r="G502" s="35"/>
      <c r="H502" s="40"/>
      <c r="I502" s="37"/>
      <c r="J502" s="35"/>
      <c r="K502" s="35"/>
      <c r="L502" s="48"/>
      <c r="M502" s="49"/>
      <c r="N502" s="49"/>
    </row>
    <row r="503" spans="1:14" ht="15.75" customHeight="1">
      <c r="A503" s="36"/>
      <c r="B503" s="52"/>
      <c r="C503" s="40"/>
      <c r="D503" s="37"/>
      <c r="E503" s="38"/>
      <c r="F503" s="35"/>
      <c r="G503" s="35"/>
      <c r="H503" s="40"/>
      <c r="I503" s="37"/>
      <c r="J503" s="35"/>
      <c r="K503" s="35"/>
      <c r="L503" s="48"/>
      <c r="M503" s="49"/>
      <c r="N503" s="49"/>
    </row>
    <row r="504" spans="1:14" ht="15.75" customHeight="1">
      <c r="A504" s="36"/>
      <c r="B504" s="52"/>
      <c r="C504" s="40"/>
      <c r="D504" s="37"/>
      <c r="E504" s="38"/>
      <c r="F504" s="35"/>
      <c r="G504" s="35"/>
      <c r="H504" s="40"/>
      <c r="I504" s="37"/>
      <c r="J504" s="35"/>
      <c r="K504" s="35"/>
      <c r="L504" s="48"/>
      <c r="M504" s="49"/>
      <c r="N504" s="49"/>
    </row>
    <row r="505" spans="1:14" ht="15.75" customHeight="1">
      <c r="A505" s="36"/>
      <c r="B505" s="52"/>
      <c r="C505" s="40"/>
      <c r="D505" s="37"/>
      <c r="E505" s="38"/>
      <c r="F505" s="35"/>
      <c r="G505" s="35"/>
      <c r="H505" s="40"/>
      <c r="I505" s="37"/>
      <c r="J505" s="35"/>
      <c r="K505" s="35"/>
      <c r="L505" s="48"/>
      <c r="M505" s="49"/>
      <c r="N505" s="49"/>
    </row>
    <row r="506" spans="1:14" ht="15.75" customHeight="1">
      <c r="A506" s="36"/>
      <c r="B506" s="52"/>
      <c r="C506" s="40"/>
      <c r="D506" s="37"/>
      <c r="E506" s="38"/>
      <c r="F506" s="35"/>
      <c r="G506" s="35"/>
      <c r="H506" s="40"/>
      <c r="I506" s="37"/>
      <c r="J506" s="35"/>
      <c r="K506" s="35"/>
      <c r="L506" s="48"/>
      <c r="M506" s="49"/>
      <c r="N506" s="49"/>
    </row>
    <row r="507" spans="1:14" ht="15.75" customHeight="1">
      <c r="A507" s="36"/>
      <c r="B507" s="52"/>
      <c r="C507" s="40"/>
      <c r="D507" s="37"/>
      <c r="E507" s="38"/>
      <c r="F507" s="35"/>
      <c r="G507" s="35"/>
      <c r="H507" s="40"/>
      <c r="I507" s="37"/>
      <c r="J507" s="35"/>
      <c r="K507" s="35"/>
      <c r="L507" s="48"/>
      <c r="M507" s="49"/>
      <c r="N507" s="49"/>
    </row>
    <row r="508" spans="1:14" ht="15.75" customHeight="1">
      <c r="A508" s="36"/>
      <c r="B508" s="52"/>
      <c r="C508" s="40"/>
      <c r="D508" s="37"/>
      <c r="E508" s="38"/>
      <c r="F508" s="35"/>
      <c r="G508" s="35"/>
      <c r="H508" s="40"/>
      <c r="I508" s="37"/>
      <c r="J508" s="35"/>
      <c r="K508" s="35"/>
      <c r="L508" s="48"/>
      <c r="M508" s="49"/>
      <c r="N508" s="49"/>
    </row>
    <row r="509" spans="1:14" ht="15.75" customHeight="1">
      <c r="A509" s="36"/>
      <c r="B509" s="52"/>
      <c r="C509" s="40"/>
      <c r="D509" s="37"/>
      <c r="E509" s="38"/>
      <c r="F509" s="35"/>
      <c r="G509" s="35"/>
      <c r="H509" s="40"/>
      <c r="I509" s="37"/>
      <c r="J509" s="35"/>
      <c r="K509" s="35"/>
      <c r="L509" s="48"/>
      <c r="M509" s="49"/>
      <c r="N509" s="49"/>
    </row>
    <row r="510" spans="1:14" ht="15.75" customHeight="1">
      <c r="A510" s="36"/>
      <c r="B510" s="52"/>
      <c r="C510" s="40"/>
      <c r="D510" s="37"/>
      <c r="E510" s="38"/>
      <c r="F510" s="35"/>
      <c r="G510" s="35"/>
      <c r="H510" s="40"/>
      <c r="I510" s="37"/>
      <c r="J510" s="35"/>
      <c r="K510" s="35"/>
      <c r="L510" s="48"/>
      <c r="M510" s="49"/>
      <c r="N510" s="49"/>
    </row>
    <row r="511" spans="1:14" ht="15.75" customHeight="1">
      <c r="A511" s="36"/>
      <c r="B511" s="52"/>
      <c r="C511" s="40"/>
      <c r="D511" s="37"/>
      <c r="E511" s="38"/>
      <c r="F511" s="35"/>
      <c r="G511" s="35"/>
      <c r="H511" s="40"/>
      <c r="I511" s="37"/>
      <c r="J511" s="35"/>
      <c r="K511" s="35"/>
      <c r="L511" s="48"/>
      <c r="M511" s="49"/>
      <c r="N511" s="49"/>
    </row>
    <row r="512" spans="1:14" ht="15.75" customHeight="1">
      <c r="A512" s="36"/>
      <c r="B512" s="52"/>
      <c r="C512" s="40"/>
      <c r="D512" s="37"/>
      <c r="E512" s="38"/>
      <c r="F512" s="35"/>
      <c r="G512" s="35"/>
      <c r="H512" s="40"/>
      <c r="I512" s="37"/>
      <c r="J512" s="35"/>
      <c r="K512" s="35"/>
      <c r="L512" s="48"/>
      <c r="M512" s="49"/>
      <c r="N512" s="49"/>
    </row>
    <row r="513" spans="1:14" ht="15.75" customHeight="1">
      <c r="A513" s="36"/>
      <c r="B513" s="52"/>
      <c r="C513" s="40"/>
      <c r="D513" s="37"/>
      <c r="E513" s="38"/>
      <c r="F513" s="35"/>
      <c r="G513" s="35"/>
      <c r="H513" s="40"/>
      <c r="I513" s="37"/>
      <c r="J513" s="35"/>
      <c r="K513" s="35"/>
      <c r="L513" s="48"/>
      <c r="M513" s="49"/>
      <c r="N513" s="49"/>
    </row>
    <row r="514" spans="1:14" ht="15.75" customHeight="1">
      <c r="A514" s="36"/>
      <c r="B514" s="52"/>
      <c r="C514" s="40"/>
      <c r="D514" s="37"/>
      <c r="E514" s="38"/>
      <c r="F514" s="35"/>
      <c r="G514" s="35"/>
      <c r="H514" s="40"/>
      <c r="I514" s="37"/>
      <c r="J514" s="35"/>
      <c r="K514" s="35"/>
      <c r="L514" s="48"/>
      <c r="M514" s="49"/>
      <c r="N514" s="49"/>
    </row>
    <row r="515" spans="1:14" ht="15.75" customHeight="1">
      <c r="A515" s="36"/>
      <c r="B515" s="52"/>
      <c r="C515" s="40"/>
      <c r="D515" s="37"/>
      <c r="E515" s="38"/>
      <c r="F515" s="35"/>
      <c r="G515" s="35"/>
      <c r="H515" s="40"/>
      <c r="I515" s="37"/>
      <c r="J515" s="35"/>
      <c r="K515" s="35"/>
      <c r="L515" s="48"/>
      <c r="M515" s="49"/>
      <c r="N515" s="49"/>
    </row>
    <row r="516" spans="1:14" ht="15.75" customHeight="1">
      <c r="A516" s="36"/>
      <c r="B516" s="52"/>
      <c r="C516" s="40"/>
      <c r="D516" s="37"/>
      <c r="E516" s="38"/>
      <c r="F516" s="35"/>
      <c r="G516" s="35"/>
      <c r="H516" s="40"/>
      <c r="I516" s="37"/>
      <c r="J516" s="35"/>
      <c r="K516" s="35"/>
      <c r="L516" s="48"/>
      <c r="M516" s="49"/>
      <c r="N516" s="49"/>
    </row>
    <row r="517" spans="1:14" ht="15.75" customHeight="1">
      <c r="A517" s="36"/>
      <c r="B517" s="52"/>
      <c r="C517" s="40"/>
      <c r="D517" s="37"/>
      <c r="E517" s="38"/>
      <c r="F517" s="35"/>
      <c r="G517" s="35"/>
      <c r="H517" s="40"/>
      <c r="I517" s="37"/>
      <c r="J517" s="35"/>
      <c r="K517" s="35"/>
      <c r="L517" s="48"/>
      <c r="M517" s="49"/>
      <c r="N517" s="49"/>
    </row>
    <row r="518" spans="1:14" ht="15.75" customHeight="1">
      <c r="A518" s="36"/>
      <c r="B518" s="52"/>
      <c r="C518" s="40"/>
      <c r="D518" s="37"/>
      <c r="E518" s="38"/>
      <c r="F518" s="35"/>
      <c r="G518" s="35"/>
      <c r="H518" s="40"/>
      <c r="I518" s="37"/>
      <c r="J518" s="35"/>
      <c r="K518" s="35"/>
      <c r="L518" s="48"/>
      <c r="M518" s="49"/>
      <c r="N518" s="49"/>
    </row>
    <row r="519" spans="1:14" ht="15.75" customHeight="1">
      <c r="A519" s="36"/>
      <c r="B519" s="52"/>
      <c r="C519" s="40"/>
      <c r="D519" s="37"/>
      <c r="E519" s="38"/>
      <c r="F519" s="35"/>
      <c r="G519" s="35"/>
      <c r="H519" s="40"/>
      <c r="I519" s="37"/>
      <c r="J519" s="35"/>
      <c r="K519" s="35"/>
      <c r="L519" s="48"/>
      <c r="M519" s="49"/>
      <c r="N519" s="49"/>
    </row>
    <row r="520" spans="1:14" ht="15.75" customHeight="1">
      <c r="A520" s="36"/>
      <c r="B520" s="52"/>
      <c r="C520" s="40"/>
      <c r="D520" s="37"/>
      <c r="E520" s="38"/>
      <c r="F520" s="35"/>
      <c r="G520" s="35"/>
      <c r="H520" s="40"/>
      <c r="I520" s="37"/>
      <c r="J520" s="35"/>
      <c r="K520" s="35"/>
      <c r="L520" s="48"/>
      <c r="M520" s="49"/>
      <c r="N520" s="49"/>
    </row>
    <row r="521" spans="1:14" ht="15.75" customHeight="1">
      <c r="A521" s="36"/>
      <c r="B521" s="52"/>
      <c r="C521" s="40"/>
      <c r="D521" s="37"/>
      <c r="E521" s="38"/>
      <c r="F521" s="35"/>
      <c r="G521" s="35"/>
      <c r="H521" s="40"/>
      <c r="I521" s="37"/>
      <c r="J521" s="35"/>
      <c r="K521" s="35"/>
      <c r="L521" s="48"/>
      <c r="M521" s="49"/>
      <c r="N521" s="49"/>
    </row>
    <row r="522" spans="1:14" ht="15.75" customHeight="1">
      <c r="A522" s="36"/>
      <c r="B522" s="52"/>
      <c r="C522" s="40"/>
      <c r="D522" s="37"/>
      <c r="E522" s="38"/>
      <c r="F522" s="35"/>
      <c r="G522" s="35"/>
      <c r="H522" s="40"/>
      <c r="I522" s="37"/>
      <c r="J522" s="35"/>
      <c r="K522" s="35"/>
      <c r="L522" s="48"/>
      <c r="M522" s="49"/>
      <c r="N522" s="49"/>
    </row>
    <row r="523" spans="1:14" ht="15.75" customHeight="1">
      <c r="A523" s="36"/>
      <c r="B523" s="52"/>
      <c r="C523" s="40"/>
      <c r="D523" s="37"/>
      <c r="E523" s="38"/>
      <c r="F523" s="35"/>
      <c r="G523" s="35"/>
      <c r="H523" s="40"/>
      <c r="I523" s="37"/>
      <c r="J523" s="35"/>
      <c r="K523" s="35"/>
      <c r="L523" s="48"/>
      <c r="M523" s="49"/>
      <c r="N523" s="49"/>
    </row>
    <row r="524" spans="1:14" ht="15.75" customHeight="1">
      <c r="A524" s="36"/>
      <c r="B524" s="52"/>
      <c r="C524" s="40"/>
      <c r="D524" s="37"/>
      <c r="E524" s="38"/>
      <c r="F524" s="35"/>
      <c r="G524" s="35"/>
      <c r="H524" s="40"/>
      <c r="I524" s="37"/>
      <c r="J524" s="35"/>
      <c r="K524" s="35"/>
      <c r="L524" s="48"/>
      <c r="M524" s="49"/>
      <c r="N524" s="49"/>
    </row>
    <row r="525" spans="1:14" ht="15.75" customHeight="1">
      <c r="A525" s="36"/>
      <c r="B525" s="52"/>
      <c r="C525" s="40"/>
      <c r="D525" s="37"/>
      <c r="E525" s="38"/>
      <c r="F525" s="35"/>
      <c r="G525" s="35"/>
      <c r="H525" s="40"/>
      <c r="I525" s="37"/>
      <c r="J525" s="35"/>
      <c r="K525" s="35"/>
      <c r="L525" s="48"/>
      <c r="M525" s="49"/>
      <c r="N525" s="49"/>
    </row>
    <row r="526" spans="1:14" ht="15.75" customHeight="1">
      <c r="A526" s="36"/>
      <c r="B526" s="52"/>
      <c r="C526" s="40"/>
      <c r="D526" s="37"/>
      <c r="E526" s="38"/>
      <c r="F526" s="35"/>
      <c r="G526" s="35"/>
      <c r="H526" s="40"/>
      <c r="I526" s="37"/>
      <c r="J526" s="35"/>
      <c r="K526" s="35"/>
      <c r="L526" s="48"/>
      <c r="M526" s="49"/>
      <c r="N526" s="49"/>
    </row>
    <row r="527" spans="1:14" ht="15.75" customHeight="1">
      <c r="A527" s="36"/>
      <c r="B527" s="52"/>
      <c r="C527" s="40"/>
      <c r="D527" s="37"/>
      <c r="E527" s="38"/>
      <c r="F527" s="35"/>
      <c r="G527" s="35"/>
      <c r="H527" s="40"/>
      <c r="I527" s="37"/>
      <c r="J527" s="35"/>
      <c r="K527" s="35"/>
      <c r="L527" s="48"/>
      <c r="M527" s="49"/>
      <c r="N527" s="49"/>
    </row>
    <row r="528" spans="1:14" ht="15.75" customHeight="1">
      <c r="A528" s="36"/>
      <c r="B528" s="52"/>
      <c r="C528" s="40"/>
      <c r="D528" s="37"/>
      <c r="E528" s="38"/>
      <c r="F528" s="35"/>
      <c r="G528" s="35"/>
      <c r="H528" s="40"/>
      <c r="I528" s="37"/>
      <c r="J528" s="35"/>
      <c r="K528" s="35"/>
      <c r="L528" s="48"/>
      <c r="M528" s="49"/>
      <c r="N528" s="49"/>
    </row>
    <row r="529" spans="1:14" ht="15.75" customHeight="1">
      <c r="A529" s="36"/>
      <c r="B529" s="52"/>
      <c r="C529" s="40"/>
      <c r="D529" s="37"/>
      <c r="E529" s="38"/>
      <c r="F529" s="35"/>
      <c r="G529" s="35"/>
      <c r="H529" s="40"/>
      <c r="I529" s="37"/>
      <c r="J529" s="35"/>
      <c r="K529" s="35"/>
      <c r="L529" s="48"/>
      <c r="M529" s="49"/>
      <c r="N529" s="49"/>
    </row>
    <row r="530" spans="1:14" ht="15.75" customHeight="1">
      <c r="A530" s="36"/>
      <c r="B530" s="52"/>
      <c r="C530" s="40"/>
      <c r="D530" s="37"/>
      <c r="E530" s="38"/>
      <c r="F530" s="35"/>
      <c r="G530" s="35"/>
      <c r="H530" s="40"/>
      <c r="I530" s="37"/>
      <c r="J530" s="35"/>
      <c r="K530" s="35"/>
      <c r="L530" s="48"/>
      <c r="M530" s="49"/>
      <c r="N530" s="49"/>
    </row>
    <row r="531" spans="1:14" ht="15.75" customHeight="1">
      <c r="A531" s="36"/>
      <c r="B531" s="52"/>
      <c r="C531" s="40"/>
      <c r="D531" s="37"/>
      <c r="E531" s="38"/>
      <c r="F531" s="35"/>
      <c r="G531" s="35"/>
      <c r="H531" s="40"/>
      <c r="I531" s="37"/>
      <c r="J531" s="35"/>
      <c r="K531" s="35"/>
      <c r="L531" s="48"/>
      <c r="M531" s="49"/>
      <c r="N531" s="49"/>
    </row>
    <row r="532" spans="1:14" ht="15.75" customHeight="1">
      <c r="A532" s="36"/>
      <c r="B532" s="52"/>
      <c r="C532" s="40"/>
      <c r="D532" s="37"/>
      <c r="E532" s="38"/>
      <c r="F532" s="35"/>
      <c r="G532" s="35"/>
      <c r="H532" s="40"/>
      <c r="I532" s="37"/>
      <c r="J532" s="35"/>
      <c r="K532" s="35"/>
      <c r="L532" s="48"/>
      <c r="M532" s="49"/>
      <c r="N532" s="49"/>
    </row>
    <row r="533" spans="1:14" ht="15.75" customHeight="1">
      <c r="A533" s="36"/>
      <c r="B533" s="52"/>
      <c r="C533" s="40"/>
      <c r="D533" s="37"/>
      <c r="E533" s="38"/>
      <c r="F533" s="35"/>
      <c r="G533" s="35"/>
      <c r="H533" s="40"/>
      <c r="I533" s="37"/>
      <c r="J533" s="35"/>
      <c r="K533" s="35"/>
      <c r="L533" s="48"/>
      <c r="M533" s="49"/>
      <c r="N533" s="49"/>
    </row>
    <row r="534" spans="1:14" ht="15.75" customHeight="1">
      <c r="A534" s="36"/>
      <c r="B534" s="52"/>
      <c r="C534" s="40"/>
      <c r="D534" s="37"/>
      <c r="E534" s="38"/>
      <c r="F534" s="35"/>
      <c r="G534" s="35"/>
      <c r="H534" s="40"/>
      <c r="I534" s="37"/>
      <c r="J534" s="35"/>
      <c r="K534" s="35"/>
      <c r="L534" s="48"/>
      <c r="M534" s="49"/>
      <c r="N534" s="49"/>
    </row>
    <row r="535" spans="1:14" ht="15.75" customHeight="1">
      <c r="A535" s="36"/>
      <c r="B535" s="52"/>
      <c r="C535" s="40"/>
      <c r="D535" s="37"/>
      <c r="E535" s="38"/>
      <c r="F535" s="35"/>
      <c r="G535" s="35"/>
      <c r="H535" s="40"/>
      <c r="I535" s="37"/>
      <c r="J535" s="35"/>
      <c r="K535" s="35"/>
      <c r="L535" s="48"/>
      <c r="M535" s="49"/>
      <c r="N535" s="49"/>
    </row>
    <row r="536" spans="1:14" ht="15.75" customHeight="1">
      <c r="A536" s="36"/>
      <c r="B536" s="52"/>
      <c r="C536" s="40"/>
      <c r="D536" s="37"/>
      <c r="E536" s="38"/>
      <c r="F536" s="35"/>
      <c r="G536" s="35"/>
      <c r="H536" s="40"/>
      <c r="I536" s="37"/>
      <c r="J536" s="35"/>
      <c r="K536" s="35"/>
      <c r="L536" s="48"/>
      <c r="M536" s="49"/>
      <c r="N536" s="49"/>
    </row>
    <row r="537" spans="1:14" ht="15.75" customHeight="1">
      <c r="A537" s="36"/>
      <c r="B537" s="52"/>
      <c r="C537" s="40"/>
      <c r="D537" s="37"/>
      <c r="E537" s="38"/>
      <c r="F537" s="35"/>
      <c r="G537" s="35"/>
      <c r="H537" s="40"/>
      <c r="I537" s="37"/>
      <c r="J537" s="35"/>
      <c r="K537" s="35"/>
      <c r="L537" s="48"/>
      <c r="M537" s="49"/>
      <c r="N537" s="49"/>
    </row>
    <row r="538" spans="1:14" ht="15.75" customHeight="1">
      <c r="A538" s="36"/>
      <c r="B538" s="52"/>
      <c r="C538" s="40"/>
      <c r="D538" s="37"/>
      <c r="E538" s="38"/>
      <c r="F538" s="35"/>
      <c r="G538" s="35"/>
      <c r="H538" s="40"/>
      <c r="I538" s="37"/>
      <c r="J538" s="35"/>
      <c r="K538" s="35"/>
      <c r="L538" s="48"/>
      <c r="M538" s="49"/>
      <c r="N538" s="49"/>
    </row>
    <row r="539" spans="1:14" ht="15.75" customHeight="1">
      <c r="A539" s="36"/>
      <c r="B539" s="52"/>
      <c r="C539" s="40"/>
      <c r="D539" s="37"/>
      <c r="E539" s="38"/>
      <c r="F539" s="35"/>
      <c r="G539" s="35"/>
      <c r="H539" s="40"/>
      <c r="I539" s="37"/>
      <c r="J539" s="35"/>
      <c r="K539" s="35"/>
      <c r="L539" s="48"/>
      <c r="M539" s="49"/>
      <c r="N539" s="49"/>
    </row>
    <row r="540" spans="1:14" ht="15.75" customHeight="1">
      <c r="A540" s="36"/>
      <c r="B540" s="52"/>
      <c r="C540" s="40"/>
      <c r="D540" s="37"/>
      <c r="E540" s="38"/>
      <c r="F540" s="35"/>
      <c r="G540" s="35"/>
      <c r="H540" s="40"/>
      <c r="I540" s="37"/>
      <c r="J540" s="35"/>
      <c r="K540" s="35"/>
      <c r="L540" s="48"/>
      <c r="M540" s="49"/>
      <c r="N540" s="49"/>
    </row>
    <row r="541" spans="1:14" ht="15.75" customHeight="1">
      <c r="A541" s="36"/>
      <c r="B541" s="52"/>
      <c r="C541" s="40"/>
      <c r="D541" s="37"/>
      <c r="E541" s="38"/>
      <c r="F541" s="35"/>
      <c r="G541" s="35"/>
      <c r="H541" s="40"/>
      <c r="I541" s="37"/>
      <c r="J541" s="35"/>
      <c r="K541" s="35"/>
      <c r="L541" s="48"/>
      <c r="M541" s="49"/>
      <c r="N541" s="49"/>
    </row>
    <row r="542" spans="1:14" ht="15.75" customHeight="1">
      <c r="A542" s="36"/>
      <c r="B542" s="52"/>
      <c r="C542" s="40"/>
      <c r="D542" s="37"/>
      <c r="E542" s="38"/>
      <c r="F542" s="35"/>
      <c r="G542" s="35"/>
      <c r="H542" s="40"/>
      <c r="I542" s="37"/>
      <c r="J542" s="35"/>
      <c r="K542" s="35"/>
      <c r="L542" s="48"/>
      <c r="M542" s="49"/>
      <c r="N542" s="49"/>
    </row>
    <row r="543" spans="1:14" ht="15.75" customHeight="1">
      <c r="A543" s="36"/>
      <c r="B543" s="52"/>
      <c r="C543" s="40"/>
      <c r="D543" s="37"/>
      <c r="E543" s="38"/>
      <c r="F543" s="35"/>
      <c r="G543" s="35"/>
      <c r="H543" s="40"/>
      <c r="I543" s="37"/>
      <c r="J543" s="35"/>
      <c r="K543" s="35"/>
      <c r="L543" s="48"/>
      <c r="M543" s="49"/>
      <c r="N543" s="49"/>
    </row>
    <row r="544" spans="1:14" ht="15.75" customHeight="1">
      <c r="A544" s="36"/>
      <c r="B544" s="52"/>
      <c r="C544" s="40"/>
      <c r="D544" s="37"/>
      <c r="E544" s="38"/>
      <c r="F544" s="35"/>
      <c r="G544" s="35"/>
      <c r="H544" s="40"/>
      <c r="I544" s="37"/>
      <c r="J544" s="35"/>
      <c r="K544" s="35"/>
      <c r="L544" s="48"/>
      <c r="M544" s="49"/>
      <c r="N544" s="49"/>
    </row>
    <row r="545" spans="1:14" ht="15.75" customHeight="1">
      <c r="A545" s="36"/>
      <c r="B545" s="52"/>
      <c r="C545" s="40"/>
      <c r="D545" s="37"/>
      <c r="E545" s="38"/>
      <c r="F545" s="35"/>
      <c r="G545" s="35"/>
      <c r="H545" s="40"/>
      <c r="I545" s="37"/>
      <c r="J545" s="35"/>
      <c r="K545" s="35"/>
      <c r="L545" s="48"/>
      <c r="M545" s="49"/>
      <c r="N545" s="49"/>
    </row>
    <row r="546" spans="1:14" ht="15.75" customHeight="1">
      <c r="A546" s="36"/>
      <c r="B546" s="52"/>
      <c r="C546" s="40"/>
      <c r="D546" s="37"/>
      <c r="E546" s="38"/>
      <c r="F546" s="35"/>
      <c r="G546" s="35"/>
      <c r="H546" s="40"/>
      <c r="I546" s="37"/>
      <c r="J546" s="35"/>
      <c r="K546" s="35"/>
      <c r="L546" s="48"/>
      <c r="M546" s="49"/>
      <c r="N546" s="49"/>
    </row>
    <row r="547" spans="1:14" ht="15.75" customHeight="1">
      <c r="A547" s="36"/>
      <c r="B547" s="52"/>
      <c r="C547" s="40"/>
      <c r="D547" s="37"/>
      <c r="E547" s="38"/>
      <c r="F547" s="35"/>
      <c r="G547" s="35"/>
      <c r="H547" s="40"/>
      <c r="I547" s="37"/>
      <c r="J547" s="35"/>
      <c r="K547" s="35"/>
      <c r="L547" s="48"/>
      <c r="M547" s="49"/>
      <c r="N547" s="49"/>
    </row>
    <row r="548" spans="1:14" ht="15.75" customHeight="1">
      <c r="A548" s="36"/>
      <c r="B548" s="52"/>
      <c r="C548" s="40"/>
      <c r="D548" s="37"/>
      <c r="E548" s="38"/>
      <c r="F548" s="35"/>
      <c r="G548" s="35"/>
      <c r="H548" s="40"/>
      <c r="I548" s="37"/>
      <c r="J548" s="35"/>
      <c r="K548" s="35"/>
      <c r="L548" s="48"/>
      <c r="M548" s="49"/>
      <c r="N548" s="49"/>
    </row>
    <row r="549" spans="1:14" ht="15.75" customHeight="1">
      <c r="A549" s="36"/>
      <c r="B549" s="52"/>
      <c r="C549" s="40"/>
      <c r="D549" s="37"/>
      <c r="E549" s="38"/>
      <c r="F549" s="35"/>
      <c r="G549" s="35"/>
      <c r="H549" s="40"/>
      <c r="I549" s="37"/>
      <c r="J549" s="35"/>
      <c r="K549" s="35"/>
      <c r="L549" s="48"/>
      <c r="M549" s="49"/>
      <c r="N549" s="49"/>
    </row>
    <row r="550" spans="1:14" ht="15.75" customHeight="1">
      <c r="A550" s="36"/>
      <c r="B550" s="52"/>
      <c r="C550" s="40"/>
      <c r="D550" s="37"/>
      <c r="E550" s="38"/>
      <c r="F550" s="35"/>
      <c r="G550" s="35"/>
      <c r="H550" s="40"/>
      <c r="I550" s="37"/>
      <c r="J550" s="35"/>
      <c r="K550" s="35"/>
      <c r="L550" s="48"/>
      <c r="M550" s="49"/>
      <c r="N550" s="49"/>
    </row>
    <row r="551" spans="1:14" ht="15.75" customHeight="1">
      <c r="A551" s="36"/>
      <c r="B551" s="52"/>
      <c r="C551" s="40"/>
      <c r="D551" s="37"/>
      <c r="E551" s="38"/>
      <c r="F551" s="35"/>
      <c r="G551" s="35"/>
      <c r="H551" s="40"/>
      <c r="I551" s="37"/>
      <c r="J551" s="35"/>
      <c r="K551" s="35"/>
      <c r="L551" s="48"/>
      <c r="M551" s="49"/>
      <c r="N551" s="49"/>
    </row>
    <row r="552" spans="1:14" ht="15.75" customHeight="1">
      <c r="A552" s="36"/>
      <c r="B552" s="52"/>
      <c r="C552" s="40"/>
      <c r="D552" s="37"/>
      <c r="E552" s="38"/>
      <c r="F552" s="35"/>
      <c r="G552" s="35"/>
      <c r="H552" s="40"/>
      <c r="I552" s="37"/>
      <c r="J552" s="35"/>
      <c r="K552" s="35"/>
      <c r="L552" s="48"/>
      <c r="M552" s="49"/>
      <c r="N552" s="49"/>
    </row>
    <row r="553" spans="1:14" ht="15.75" customHeight="1">
      <c r="A553" s="36"/>
      <c r="B553" s="52"/>
      <c r="C553" s="40"/>
      <c r="D553" s="37"/>
      <c r="E553" s="38"/>
      <c r="F553" s="35"/>
      <c r="G553" s="35"/>
      <c r="H553" s="40"/>
      <c r="I553" s="37"/>
      <c r="J553" s="35"/>
      <c r="K553" s="35"/>
      <c r="L553" s="48"/>
      <c r="M553" s="49"/>
      <c r="N553" s="49"/>
    </row>
    <row r="554" spans="1:14" ht="15.75" customHeight="1">
      <c r="A554" s="36"/>
      <c r="B554" s="52"/>
      <c r="C554" s="40"/>
      <c r="D554" s="37"/>
      <c r="E554" s="38"/>
      <c r="F554" s="35"/>
      <c r="G554" s="35"/>
      <c r="H554" s="40"/>
      <c r="I554" s="37"/>
      <c r="J554" s="35"/>
      <c r="K554" s="35"/>
      <c r="L554" s="48"/>
      <c r="M554" s="49"/>
      <c r="N554" s="49"/>
    </row>
    <row r="555" spans="1:14" ht="15.75" customHeight="1">
      <c r="A555" s="36"/>
      <c r="B555" s="52"/>
      <c r="C555" s="40"/>
      <c r="D555" s="37"/>
      <c r="E555" s="38"/>
      <c r="F555" s="35"/>
      <c r="G555" s="35"/>
      <c r="H555" s="40"/>
      <c r="I555" s="37"/>
      <c r="J555" s="35"/>
      <c r="K555" s="35"/>
      <c r="L555" s="48"/>
      <c r="M555" s="49"/>
      <c r="N555" s="49"/>
    </row>
    <row r="556" spans="1:14" ht="15.75" customHeight="1">
      <c r="A556" s="36"/>
      <c r="B556" s="52"/>
      <c r="C556" s="40"/>
      <c r="D556" s="37"/>
      <c r="E556" s="38"/>
      <c r="F556" s="35"/>
      <c r="G556" s="35"/>
      <c r="H556" s="40"/>
      <c r="I556" s="37"/>
      <c r="J556" s="35"/>
      <c r="K556" s="35"/>
      <c r="L556" s="48"/>
      <c r="M556" s="49"/>
      <c r="N556" s="49"/>
    </row>
    <row r="557" spans="1:14" ht="15.75" customHeight="1">
      <c r="A557" s="36"/>
      <c r="B557" s="52"/>
      <c r="C557" s="40"/>
      <c r="D557" s="37"/>
      <c r="E557" s="38"/>
      <c r="F557" s="35"/>
      <c r="G557" s="35"/>
      <c r="H557" s="40"/>
      <c r="I557" s="37"/>
      <c r="J557" s="35"/>
      <c r="K557" s="35"/>
      <c r="L557" s="48"/>
      <c r="M557" s="49"/>
      <c r="N557" s="49"/>
    </row>
    <row r="558" spans="1:14" ht="15.75" customHeight="1">
      <c r="A558" s="36"/>
      <c r="B558" s="52"/>
      <c r="C558" s="40"/>
      <c r="D558" s="37"/>
      <c r="E558" s="38"/>
      <c r="F558" s="35"/>
      <c r="G558" s="35"/>
      <c r="H558" s="40"/>
      <c r="I558" s="37"/>
      <c r="J558" s="35"/>
      <c r="K558" s="35"/>
      <c r="L558" s="48"/>
      <c r="M558" s="49"/>
      <c r="N558" s="49"/>
    </row>
    <row r="559" spans="1:14" ht="15.75" customHeight="1">
      <c r="A559" s="36"/>
      <c r="B559" s="52"/>
      <c r="C559" s="40"/>
      <c r="D559" s="37"/>
      <c r="E559" s="38"/>
      <c r="F559" s="35"/>
      <c r="G559" s="35"/>
      <c r="H559" s="40"/>
      <c r="I559" s="37"/>
      <c r="J559" s="35"/>
      <c r="K559" s="35"/>
      <c r="L559" s="48"/>
      <c r="M559" s="49"/>
      <c r="N559" s="49"/>
    </row>
    <row r="560" spans="1:14" ht="15.75" customHeight="1">
      <c r="A560" s="36"/>
      <c r="B560" s="52"/>
      <c r="C560" s="40"/>
      <c r="D560" s="37"/>
      <c r="E560" s="38"/>
      <c r="F560" s="35"/>
      <c r="G560" s="35"/>
      <c r="H560" s="40"/>
      <c r="I560" s="37"/>
      <c r="J560" s="35"/>
      <c r="K560" s="35"/>
      <c r="L560" s="48"/>
      <c r="M560" s="49"/>
      <c r="N560" s="49"/>
    </row>
    <row r="561" spans="1:14" ht="15.75" customHeight="1">
      <c r="A561" s="36"/>
      <c r="B561" s="52"/>
      <c r="C561" s="40"/>
      <c r="D561" s="37"/>
      <c r="E561" s="38"/>
      <c r="F561" s="35"/>
      <c r="G561" s="35"/>
      <c r="H561" s="40"/>
      <c r="I561" s="37"/>
      <c r="J561" s="35"/>
      <c r="K561" s="35"/>
      <c r="L561" s="48"/>
      <c r="M561" s="49"/>
      <c r="N561" s="49"/>
    </row>
    <row r="562" spans="1:14" ht="15.75" customHeight="1">
      <c r="A562" s="36"/>
      <c r="B562" s="52"/>
      <c r="C562" s="40"/>
      <c r="D562" s="37"/>
      <c r="E562" s="38"/>
      <c r="F562" s="35"/>
      <c r="G562" s="35"/>
      <c r="H562" s="40"/>
      <c r="I562" s="37"/>
      <c r="J562" s="35"/>
      <c r="K562" s="35"/>
      <c r="L562" s="48"/>
      <c r="M562" s="49"/>
      <c r="N562" s="49"/>
    </row>
    <row r="563" spans="1:14" ht="15.75" customHeight="1">
      <c r="A563" s="36"/>
      <c r="B563" s="52"/>
      <c r="C563" s="40"/>
      <c r="D563" s="37"/>
      <c r="E563" s="38"/>
      <c r="F563" s="35"/>
      <c r="G563" s="35"/>
      <c r="H563" s="40"/>
      <c r="I563" s="37"/>
      <c r="J563" s="35"/>
      <c r="K563" s="35"/>
      <c r="L563" s="48"/>
      <c r="M563" s="49"/>
      <c r="N563" s="49"/>
    </row>
    <row r="564" spans="1:14" ht="15.75" customHeight="1">
      <c r="A564" s="36"/>
      <c r="B564" s="52"/>
      <c r="C564" s="40"/>
      <c r="D564" s="37"/>
      <c r="E564" s="38"/>
      <c r="F564" s="35"/>
      <c r="G564" s="35"/>
      <c r="H564" s="40"/>
      <c r="I564" s="37"/>
      <c r="J564" s="35"/>
      <c r="K564" s="35"/>
      <c r="L564" s="48"/>
      <c r="M564" s="49"/>
      <c r="N564" s="49"/>
    </row>
    <row r="565" spans="1:14" ht="15.75" customHeight="1">
      <c r="A565" s="36"/>
      <c r="B565" s="52"/>
      <c r="C565" s="40"/>
      <c r="D565" s="37"/>
      <c r="E565" s="38"/>
      <c r="F565" s="35"/>
      <c r="G565" s="35"/>
      <c r="H565" s="40"/>
      <c r="I565" s="37"/>
      <c r="J565" s="35"/>
      <c r="K565" s="35"/>
      <c r="L565" s="48"/>
      <c r="M565" s="49"/>
      <c r="N565" s="49"/>
    </row>
    <row r="566" spans="1:14" ht="15.75" customHeight="1">
      <c r="A566" s="36"/>
      <c r="B566" s="52"/>
      <c r="C566" s="40"/>
      <c r="D566" s="37"/>
      <c r="E566" s="38"/>
      <c r="F566" s="35"/>
      <c r="G566" s="35"/>
      <c r="H566" s="40"/>
      <c r="I566" s="37"/>
      <c r="J566" s="35"/>
      <c r="K566" s="35"/>
      <c r="L566" s="48"/>
      <c r="M566" s="49"/>
      <c r="N566" s="49"/>
    </row>
    <row r="567" spans="1:14" ht="15.75" customHeight="1">
      <c r="A567" s="36"/>
      <c r="B567" s="52"/>
      <c r="C567" s="40"/>
      <c r="D567" s="37"/>
      <c r="E567" s="38"/>
      <c r="F567" s="35"/>
      <c r="G567" s="35"/>
      <c r="H567" s="40"/>
      <c r="I567" s="37"/>
      <c r="J567" s="35"/>
      <c r="K567" s="35"/>
      <c r="L567" s="48"/>
      <c r="M567" s="49"/>
      <c r="N567" s="49"/>
    </row>
    <row r="568" spans="1:14" ht="15.75" customHeight="1">
      <c r="A568" s="36"/>
      <c r="B568" s="52"/>
      <c r="C568" s="40"/>
      <c r="D568" s="37"/>
      <c r="E568" s="38"/>
      <c r="F568" s="35"/>
      <c r="G568" s="35"/>
      <c r="H568" s="40"/>
      <c r="I568" s="37"/>
      <c r="J568" s="35"/>
      <c r="K568" s="35"/>
      <c r="L568" s="48"/>
      <c r="M568" s="49"/>
      <c r="N568" s="49"/>
    </row>
    <row r="569" spans="1:14" ht="15.75" customHeight="1">
      <c r="A569" s="36"/>
      <c r="B569" s="52"/>
      <c r="C569" s="40"/>
      <c r="D569" s="37"/>
      <c r="E569" s="38"/>
      <c r="F569" s="35"/>
      <c r="G569" s="35"/>
      <c r="H569" s="40"/>
      <c r="I569" s="37"/>
      <c r="J569" s="35"/>
      <c r="K569" s="35"/>
      <c r="L569" s="48"/>
      <c r="M569" s="49"/>
      <c r="N569" s="49"/>
    </row>
    <row r="570" spans="1:14" ht="15.75" customHeight="1">
      <c r="A570" s="36"/>
      <c r="B570" s="52"/>
      <c r="C570" s="40"/>
      <c r="D570" s="37"/>
      <c r="E570" s="38"/>
      <c r="F570" s="35"/>
      <c r="G570" s="35"/>
      <c r="H570" s="40"/>
      <c r="I570" s="37"/>
      <c r="J570" s="35"/>
      <c r="K570" s="35"/>
      <c r="L570" s="48"/>
      <c r="M570" s="49"/>
      <c r="N570" s="49"/>
    </row>
    <row r="571" spans="1:14" ht="15.75" customHeight="1">
      <c r="A571" s="36"/>
      <c r="B571" s="52"/>
      <c r="C571" s="40"/>
      <c r="D571" s="37"/>
      <c r="E571" s="38"/>
      <c r="F571" s="35"/>
      <c r="G571" s="35"/>
      <c r="H571" s="40"/>
      <c r="I571" s="37"/>
      <c r="J571" s="35"/>
      <c r="K571" s="35"/>
      <c r="L571" s="48"/>
      <c r="M571" s="49"/>
      <c r="N571" s="49"/>
    </row>
    <row r="572" spans="1:14" ht="15.75" customHeight="1">
      <c r="A572" s="36"/>
      <c r="B572" s="52"/>
      <c r="C572" s="40"/>
      <c r="D572" s="37"/>
      <c r="E572" s="38"/>
      <c r="F572" s="35"/>
      <c r="G572" s="35"/>
      <c r="H572" s="40"/>
      <c r="I572" s="37"/>
      <c r="J572" s="35"/>
      <c r="K572" s="35"/>
      <c r="L572" s="48"/>
      <c r="M572" s="49"/>
      <c r="N572" s="49"/>
    </row>
    <row r="573" spans="1:14" ht="15.75" customHeight="1">
      <c r="A573" s="36"/>
      <c r="B573" s="52"/>
      <c r="C573" s="40"/>
      <c r="D573" s="37"/>
      <c r="E573" s="38"/>
      <c r="F573" s="35"/>
      <c r="G573" s="35"/>
      <c r="H573" s="40"/>
      <c r="I573" s="37"/>
      <c r="J573" s="35"/>
      <c r="K573" s="35"/>
      <c r="L573" s="48"/>
      <c r="M573" s="49"/>
      <c r="N573" s="49"/>
    </row>
    <row r="574" spans="1:14" ht="15.75" customHeight="1">
      <c r="A574" s="36"/>
      <c r="B574" s="52"/>
      <c r="C574" s="40"/>
      <c r="D574" s="37"/>
      <c r="E574" s="38"/>
      <c r="F574" s="35"/>
      <c r="G574" s="35"/>
      <c r="H574" s="40"/>
      <c r="I574" s="37"/>
      <c r="J574" s="35"/>
      <c r="K574" s="35"/>
      <c r="L574" s="48"/>
      <c r="M574" s="49"/>
      <c r="N574" s="49"/>
    </row>
    <row r="575" spans="1:14" ht="15.75" customHeight="1">
      <c r="A575" s="36"/>
      <c r="B575" s="52"/>
      <c r="C575" s="40"/>
      <c r="D575" s="37"/>
      <c r="E575" s="38"/>
      <c r="F575" s="35"/>
      <c r="G575" s="35"/>
      <c r="H575" s="40"/>
      <c r="I575" s="37"/>
      <c r="J575" s="35"/>
      <c r="K575" s="35"/>
      <c r="L575" s="48"/>
      <c r="M575" s="49"/>
      <c r="N575" s="49"/>
    </row>
    <row r="576" spans="1:14" ht="15.75" customHeight="1">
      <c r="A576" s="36"/>
      <c r="B576" s="52"/>
      <c r="C576" s="40"/>
      <c r="D576" s="37"/>
      <c r="E576" s="38"/>
      <c r="F576" s="35"/>
      <c r="G576" s="35"/>
      <c r="H576" s="40"/>
      <c r="I576" s="37"/>
      <c r="J576" s="35"/>
      <c r="K576" s="35"/>
      <c r="L576" s="48"/>
      <c r="M576" s="49"/>
      <c r="N576" s="49"/>
    </row>
    <row r="577" spans="1:14" ht="15.75" customHeight="1">
      <c r="A577" s="36"/>
      <c r="B577" s="52"/>
      <c r="C577" s="40"/>
      <c r="D577" s="37"/>
      <c r="E577" s="38"/>
      <c r="F577" s="35"/>
      <c r="G577" s="35"/>
      <c r="H577" s="40"/>
      <c r="I577" s="37"/>
      <c r="J577" s="35"/>
      <c r="K577" s="35"/>
      <c r="L577" s="48"/>
      <c r="M577" s="49"/>
      <c r="N577" s="49"/>
    </row>
    <row r="578" spans="1:14" ht="15.75" customHeight="1">
      <c r="A578" s="36"/>
      <c r="B578" s="52"/>
      <c r="C578" s="40"/>
      <c r="D578" s="37"/>
      <c r="E578" s="38"/>
      <c r="F578" s="35"/>
      <c r="G578" s="35"/>
      <c r="H578" s="40"/>
      <c r="I578" s="37"/>
      <c r="J578" s="35"/>
      <c r="K578" s="35"/>
      <c r="L578" s="48"/>
      <c r="M578" s="49"/>
      <c r="N578" s="49"/>
    </row>
    <row r="579" spans="1:14" ht="15.75" customHeight="1">
      <c r="A579" s="36"/>
      <c r="B579" s="52"/>
      <c r="C579" s="40"/>
      <c r="D579" s="37"/>
      <c r="E579" s="38"/>
      <c r="F579" s="35"/>
      <c r="G579" s="35"/>
      <c r="H579" s="40"/>
      <c r="I579" s="37"/>
      <c r="J579" s="35"/>
      <c r="K579" s="35"/>
      <c r="L579" s="48"/>
      <c r="M579" s="49"/>
      <c r="N579" s="49"/>
    </row>
    <row r="580" spans="1:14" ht="15.75" customHeight="1">
      <c r="A580" s="36"/>
      <c r="B580" s="52"/>
      <c r="C580" s="40"/>
      <c r="D580" s="37"/>
      <c r="E580" s="38"/>
      <c r="F580" s="35"/>
      <c r="G580" s="35"/>
      <c r="H580" s="40"/>
      <c r="I580" s="37"/>
      <c r="J580" s="35"/>
      <c r="K580" s="35"/>
      <c r="L580" s="48"/>
      <c r="M580" s="49"/>
      <c r="N580" s="49"/>
    </row>
    <row r="581" spans="1:14" ht="15.75" customHeight="1">
      <c r="A581" s="36"/>
      <c r="B581" s="52"/>
      <c r="C581" s="40"/>
      <c r="D581" s="37"/>
      <c r="E581" s="38"/>
      <c r="F581" s="35"/>
      <c r="G581" s="35"/>
      <c r="H581" s="40"/>
      <c r="I581" s="37"/>
      <c r="J581" s="35"/>
      <c r="K581" s="35"/>
      <c r="L581" s="48"/>
      <c r="M581" s="49"/>
      <c r="N581" s="49"/>
    </row>
    <row r="582" spans="1:14" ht="15.75" customHeight="1">
      <c r="A582" s="36"/>
      <c r="B582" s="52"/>
      <c r="C582" s="40"/>
      <c r="D582" s="37"/>
      <c r="E582" s="38"/>
      <c r="F582" s="35"/>
      <c r="G582" s="35"/>
      <c r="H582" s="40"/>
      <c r="I582" s="37"/>
      <c r="J582" s="35"/>
      <c r="K582" s="35"/>
      <c r="L582" s="48"/>
      <c r="M582" s="49"/>
      <c r="N582" s="49"/>
    </row>
    <row r="583" spans="1:14" ht="15.75" customHeight="1">
      <c r="A583" s="36"/>
      <c r="B583" s="52"/>
      <c r="C583" s="40"/>
      <c r="D583" s="37"/>
      <c r="E583" s="38"/>
      <c r="F583" s="35"/>
      <c r="G583" s="35"/>
      <c r="H583" s="40"/>
      <c r="I583" s="37"/>
      <c r="J583" s="35"/>
      <c r="K583" s="35"/>
      <c r="L583" s="48"/>
      <c r="M583" s="49"/>
      <c r="N583" s="49"/>
    </row>
    <row r="584" spans="1:14" ht="15.75" customHeight="1">
      <c r="A584" s="36"/>
      <c r="B584" s="52"/>
      <c r="C584" s="40"/>
      <c r="D584" s="37"/>
      <c r="E584" s="38"/>
      <c r="F584" s="35"/>
      <c r="G584" s="35"/>
      <c r="H584" s="40"/>
      <c r="I584" s="37"/>
      <c r="J584" s="35"/>
      <c r="K584" s="35"/>
      <c r="L584" s="48"/>
      <c r="M584" s="49"/>
      <c r="N584" s="49"/>
    </row>
    <row r="585" spans="1:14" ht="15.75" customHeight="1">
      <c r="A585" s="36"/>
      <c r="B585" s="52"/>
      <c r="C585" s="40"/>
      <c r="D585" s="37"/>
      <c r="E585" s="38"/>
      <c r="F585" s="35"/>
      <c r="G585" s="35"/>
      <c r="H585" s="40"/>
      <c r="I585" s="37"/>
      <c r="J585" s="35"/>
      <c r="K585" s="35"/>
      <c r="L585" s="48"/>
      <c r="M585" s="49"/>
      <c r="N585" s="49"/>
    </row>
    <row r="586" spans="1:14" ht="15.75" customHeight="1">
      <c r="A586" s="36"/>
      <c r="B586" s="52"/>
      <c r="C586" s="40"/>
      <c r="D586" s="37"/>
      <c r="E586" s="38"/>
      <c r="F586" s="35"/>
      <c r="G586" s="35"/>
      <c r="H586" s="40"/>
      <c r="I586" s="37"/>
      <c r="J586" s="35"/>
      <c r="K586" s="35"/>
      <c r="L586" s="48"/>
      <c r="M586" s="49"/>
      <c r="N586" s="49"/>
    </row>
    <row r="587" spans="1:14" ht="15.75" customHeight="1">
      <c r="A587" s="36"/>
      <c r="B587" s="52"/>
      <c r="C587" s="40"/>
      <c r="D587" s="37"/>
      <c r="E587" s="38"/>
      <c r="F587" s="35"/>
      <c r="G587" s="35"/>
      <c r="H587" s="40"/>
      <c r="I587" s="37"/>
      <c r="J587" s="35"/>
      <c r="K587" s="35"/>
      <c r="L587" s="48"/>
      <c r="M587" s="49"/>
      <c r="N587" s="49"/>
    </row>
    <row r="588" spans="1:14" ht="15.75" customHeight="1">
      <c r="A588" s="36"/>
      <c r="B588" s="52"/>
      <c r="C588" s="40"/>
      <c r="D588" s="37"/>
      <c r="E588" s="38"/>
      <c r="F588" s="35"/>
      <c r="G588" s="35"/>
      <c r="H588" s="40"/>
      <c r="I588" s="37"/>
      <c r="J588" s="35"/>
      <c r="K588" s="35"/>
      <c r="L588" s="48"/>
      <c r="M588" s="49"/>
      <c r="N588" s="49"/>
    </row>
    <row r="589" spans="1:14" ht="15.75" customHeight="1">
      <c r="A589" s="36"/>
      <c r="B589" s="52"/>
      <c r="C589" s="40"/>
      <c r="D589" s="37"/>
      <c r="E589" s="38"/>
      <c r="F589" s="35"/>
      <c r="G589" s="35"/>
      <c r="H589" s="40"/>
      <c r="I589" s="37"/>
      <c r="J589" s="35"/>
      <c r="K589" s="35"/>
      <c r="L589" s="48"/>
      <c r="M589" s="49"/>
      <c r="N589" s="49"/>
    </row>
    <row r="590" spans="1:14" ht="15.75" customHeight="1">
      <c r="A590" s="36"/>
      <c r="B590" s="52"/>
      <c r="C590" s="40"/>
      <c r="D590" s="37"/>
      <c r="E590" s="38"/>
      <c r="F590" s="35"/>
      <c r="G590" s="35"/>
      <c r="H590" s="40"/>
      <c r="I590" s="37"/>
      <c r="J590" s="35"/>
      <c r="K590" s="35"/>
      <c r="L590" s="48"/>
      <c r="M590" s="49"/>
      <c r="N590" s="49"/>
    </row>
    <row r="591" spans="1:14" ht="15.75" customHeight="1">
      <c r="A591" s="36"/>
      <c r="B591" s="52"/>
      <c r="C591" s="40"/>
      <c r="D591" s="37"/>
      <c r="E591" s="38"/>
      <c r="F591" s="35"/>
      <c r="G591" s="35"/>
      <c r="H591" s="40"/>
      <c r="I591" s="37"/>
      <c r="J591" s="35"/>
      <c r="K591" s="35"/>
      <c r="L591" s="48"/>
      <c r="M591" s="49"/>
      <c r="N591" s="49"/>
    </row>
    <row r="592" spans="1:14" ht="15.75" customHeight="1">
      <c r="A592" s="36"/>
      <c r="B592" s="52"/>
      <c r="C592" s="40"/>
      <c r="D592" s="37"/>
      <c r="E592" s="38"/>
      <c r="F592" s="35"/>
      <c r="G592" s="35"/>
      <c r="H592" s="40"/>
      <c r="I592" s="37"/>
      <c r="J592" s="35"/>
      <c r="K592" s="35"/>
      <c r="L592" s="48"/>
      <c r="M592" s="49"/>
      <c r="N592" s="49"/>
    </row>
    <row r="593" spans="1:14" ht="15.75" customHeight="1">
      <c r="A593" s="36"/>
      <c r="B593" s="52"/>
      <c r="C593" s="40"/>
      <c r="D593" s="37"/>
      <c r="E593" s="38"/>
      <c r="F593" s="35"/>
      <c r="G593" s="35"/>
      <c r="H593" s="40"/>
      <c r="I593" s="37"/>
      <c r="J593" s="35"/>
      <c r="K593" s="35"/>
      <c r="L593" s="48"/>
      <c r="M593" s="49"/>
      <c r="N593" s="49"/>
    </row>
    <row r="594" spans="1:14" ht="15.75" customHeight="1">
      <c r="A594" s="36"/>
      <c r="B594" s="52"/>
      <c r="C594" s="40"/>
      <c r="D594" s="37"/>
      <c r="E594" s="38"/>
      <c r="F594" s="35"/>
      <c r="G594" s="35"/>
      <c r="H594" s="40"/>
      <c r="I594" s="37"/>
      <c r="J594" s="35"/>
      <c r="K594" s="35"/>
      <c r="L594" s="48"/>
      <c r="M594" s="49"/>
      <c r="N594" s="49"/>
    </row>
    <row r="595" spans="1:14" ht="15.75" customHeight="1">
      <c r="A595" s="36"/>
      <c r="B595" s="52"/>
      <c r="C595" s="40"/>
      <c r="D595" s="37"/>
      <c r="E595" s="38"/>
      <c r="F595" s="35"/>
      <c r="G595" s="35"/>
      <c r="H595" s="40"/>
      <c r="I595" s="37"/>
      <c r="J595" s="35"/>
      <c r="K595" s="35"/>
      <c r="L595" s="48"/>
      <c r="M595" s="49"/>
      <c r="N595" s="49"/>
    </row>
    <row r="596" spans="1:14" ht="15.75" customHeight="1">
      <c r="A596" s="36"/>
      <c r="B596" s="52"/>
      <c r="C596" s="40"/>
      <c r="D596" s="37"/>
      <c r="E596" s="38"/>
      <c r="F596" s="35"/>
      <c r="G596" s="35"/>
      <c r="H596" s="40"/>
      <c r="I596" s="37"/>
      <c r="J596" s="35"/>
      <c r="K596" s="35"/>
      <c r="L596" s="48"/>
      <c r="M596" s="49"/>
      <c r="N596" s="49"/>
    </row>
    <row r="597" spans="1:14" ht="15.75" customHeight="1">
      <c r="A597" s="36"/>
      <c r="B597" s="52"/>
      <c r="C597" s="40"/>
      <c r="D597" s="37"/>
      <c r="E597" s="38"/>
      <c r="F597" s="35"/>
      <c r="G597" s="35"/>
      <c r="H597" s="40"/>
      <c r="I597" s="37"/>
      <c r="J597" s="35"/>
      <c r="K597" s="35"/>
      <c r="L597" s="48"/>
      <c r="M597" s="49"/>
      <c r="N597" s="49"/>
    </row>
    <row r="598" spans="1:14" ht="15.75" customHeight="1">
      <c r="A598" s="36"/>
      <c r="B598" s="52"/>
      <c r="C598" s="40"/>
      <c r="D598" s="37"/>
      <c r="E598" s="38"/>
      <c r="F598" s="35"/>
      <c r="G598" s="35"/>
      <c r="H598" s="40"/>
      <c r="I598" s="37"/>
      <c r="J598" s="35"/>
      <c r="K598" s="35"/>
      <c r="L598" s="48"/>
      <c r="M598" s="49"/>
      <c r="N598" s="49"/>
    </row>
    <row r="599" spans="1:14" ht="15.75" customHeight="1">
      <c r="A599" s="36"/>
      <c r="B599" s="52"/>
      <c r="C599" s="40"/>
      <c r="D599" s="37"/>
      <c r="E599" s="38"/>
      <c r="F599" s="35"/>
      <c r="G599" s="35"/>
      <c r="H599" s="40"/>
      <c r="I599" s="37"/>
      <c r="J599" s="35"/>
      <c r="K599" s="35"/>
      <c r="L599" s="48"/>
      <c r="M599" s="49"/>
      <c r="N599" s="49"/>
    </row>
    <row r="600" spans="1:14" ht="15.75" customHeight="1">
      <c r="A600" s="36"/>
      <c r="B600" s="52"/>
      <c r="C600" s="40"/>
      <c r="D600" s="37"/>
      <c r="E600" s="38"/>
      <c r="F600" s="35"/>
      <c r="G600" s="35"/>
      <c r="H600" s="40"/>
      <c r="I600" s="37"/>
      <c r="J600" s="35"/>
      <c r="K600" s="35"/>
      <c r="L600" s="48"/>
      <c r="M600" s="49"/>
      <c r="N600" s="49"/>
    </row>
    <row r="601" spans="1:14" ht="15.75" customHeight="1">
      <c r="A601" s="36"/>
      <c r="B601" s="52"/>
      <c r="C601" s="40"/>
      <c r="D601" s="37"/>
      <c r="E601" s="38"/>
      <c r="F601" s="35"/>
      <c r="G601" s="35"/>
      <c r="H601" s="40"/>
      <c r="I601" s="37"/>
      <c r="J601" s="35"/>
      <c r="K601" s="35"/>
      <c r="L601" s="48"/>
      <c r="M601" s="49"/>
      <c r="N601" s="49"/>
    </row>
    <row r="602" spans="1:14" ht="15.75" customHeight="1">
      <c r="A602" s="36"/>
      <c r="B602" s="52"/>
      <c r="C602" s="40"/>
      <c r="D602" s="37"/>
      <c r="E602" s="38"/>
      <c r="F602" s="35"/>
      <c r="G602" s="35"/>
      <c r="H602" s="40"/>
      <c r="I602" s="37"/>
      <c r="J602" s="35"/>
      <c r="K602" s="35"/>
      <c r="L602" s="48"/>
      <c r="M602" s="49"/>
      <c r="N602" s="49"/>
    </row>
    <row r="603" spans="1:14" ht="15.75" customHeight="1">
      <c r="A603" s="36"/>
      <c r="B603" s="52"/>
      <c r="C603" s="40"/>
      <c r="D603" s="37"/>
      <c r="E603" s="38"/>
      <c r="F603" s="35"/>
      <c r="G603" s="35"/>
      <c r="H603" s="40"/>
      <c r="I603" s="37"/>
      <c r="J603" s="35"/>
      <c r="K603" s="35"/>
      <c r="L603" s="48"/>
      <c r="M603" s="49"/>
      <c r="N603" s="49"/>
    </row>
    <row r="604" spans="1:14" ht="15.75" customHeight="1">
      <c r="A604" s="36"/>
      <c r="B604" s="52"/>
      <c r="C604" s="40"/>
      <c r="D604" s="37"/>
      <c r="E604" s="38"/>
      <c r="F604" s="35"/>
      <c r="G604" s="35"/>
      <c r="H604" s="40"/>
      <c r="I604" s="37"/>
      <c r="J604" s="35"/>
      <c r="K604" s="35"/>
      <c r="L604" s="48"/>
      <c r="M604" s="49"/>
      <c r="N604" s="49"/>
    </row>
    <row r="605" spans="1:14" ht="15.75" customHeight="1">
      <c r="A605" s="36"/>
      <c r="B605" s="52"/>
      <c r="C605" s="40"/>
      <c r="D605" s="37"/>
      <c r="E605" s="38"/>
      <c r="F605" s="35"/>
      <c r="G605" s="35"/>
      <c r="H605" s="40"/>
      <c r="I605" s="37"/>
      <c r="J605" s="35"/>
      <c r="K605" s="35"/>
      <c r="L605" s="48"/>
      <c r="M605" s="49"/>
      <c r="N605" s="49"/>
    </row>
    <row r="606" spans="1:14" ht="15.75" customHeight="1">
      <c r="A606" s="36"/>
      <c r="B606" s="52"/>
      <c r="C606" s="40"/>
      <c r="D606" s="37"/>
      <c r="E606" s="38"/>
      <c r="F606" s="35"/>
      <c r="G606" s="35"/>
      <c r="H606" s="40"/>
      <c r="I606" s="37"/>
      <c r="J606" s="35"/>
      <c r="K606" s="35"/>
      <c r="L606" s="48"/>
      <c r="M606" s="49"/>
      <c r="N606" s="49"/>
    </row>
    <row r="607" spans="1:14" ht="15.75" customHeight="1">
      <c r="A607" s="36"/>
      <c r="B607" s="52"/>
      <c r="C607" s="40"/>
      <c r="D607" s="37"/>
      <c r="E607" s="38"/>
      <c r="F607" s="35"/>
      <c r="G607" s="35"/>
      <c r="H607" s="40"/>
      <c r="I607" s="37"/>
      <c r="J607" s="35"/>
      <c r="K607" s="35"/>
      <c r="L607" s="48"/>
      <c r="M607" s="49"/>
      <c r="N607" s="49"/>
    </row>
    <row r="608" spans="1:14" ht="15.75" customHeight="1">
      <c r="A608" s="36"/>
      <c r="B608" s="52"/>
      <c r="C608" s="40"/>
      <c r="D608" s="37"/>
      <c r="E608" s="38"/>
      <c r="F608" s="35"/>
      <c r="G608" s="35"/>
      <c r="H608" s="40"/>
      <c r="I608" s="37"/>
      <c r="J608" s="35"/>
      <c r="K608" s="35"/>
      <c r="L608" s="48"/>
      <c r="M608" s="49"/>
      <c r="N608" s="49"/>
    </row>
    <row r="609" spans="1:14" ht="15.75" customHeight="1">
      <c r="A609" s="36"/>
      <c r="B609" s="52"/>
      <c r="C609" s="40"/>
      <c r="D609" s="37"/>
      <c r="E609" s="38"/>
      <c r="F609" s="35"/>
      <c r="G609" s="35"/>
      <c r="H609" s="40"/>
      <c r="I609" s="37"/>
      <c r="J609" s="35"/>
      <c r="K609" s="35"/>
      <c r="L609" s="48"/>
      <c r="M609" s="49"/>
      <c r="N609" s="49"/>
    </row>
    <row r="610" spans="1:14" ht="15.75" customHeight="1">
      <c r="A610" s="36"/>
      <c r="B610" s="52"/>
      <c r="C610" s="40"/>
      <c r="D610" s="37"/>
      <c r="E610" s="38"/>
      <c r="F610" s="35"/>
      <c r="G610" s="35"/>
      <c r="H610" s="40"/>
      <c r="I610" s="37"/>
      <c r="J610" s="35"/>
      <c r="K610" s="35"/>
      <c r="L610" s="48"/>
      <c r="M610" s="49"/>
      <c r="N610" s="49"/>
    </row>
    <row r="611" spans="1:14" ht="15.75" customHeight="1">
      <c r="A611" s="36"/>
      <c r="B611" s="52"/>
      <c r="C611" s="40"/>
      <c r="D611" s="37"/>
      <c r="E611" s="38"/>
      <c r="F611" s="35"/>
      <c r="G611" s="35"/>
      <c r="H611" s="40"/>
      <c r="I611" s="37"/>
      <c r="J611" s="35"/>
      <c r="K611" s="35"/>
      <c r="L611" s="48"/>
      <c r="M611" s="49"/>
      <c r="N611" s="49"/>
    </row>
    <row r="612" spans="1:14" ht="15.75" customHeight="1">
      <c r="A612" s="36"/>
      <c r="B612" s="52"/>
      <c r="C612" s="40"/>
      <c r="D612" s="37"/>
      <c r="E612" s="38"/>
      <c r="F612" s="35"/>
      <c r="G612" s="35"/>
      <c r="H612" s="40"/>
      <c r="I612" s="37"/>
      <c r="J612" s="35"/>
      <c r="K612" s="35"/>
      <c r="L612" s="48"/>
      <c r="M612" s="49"/>
      <c r="N612" s="49"/>
    </row>
    <row r="613" spans="1:14" ht="15.75" customHeight="1">
      <c r="A613" s="36"/>
      <c r="B613" s="52"/>
      <c r="C613" s="40"/>
      <c r="D613" s="37"/>
      <c r="E613" s="38"/>
      <c r="F613" s="35"/>
      <c r="G613" s="35"/>
      <c r="H613" s="40"/>
      <c r="I613" s="37"/>
      <c r="J613" s="35"/>
      <c r="K613" s="35"/>
      <c r="L613" s="48"/>
      <c r="M613" s="49"/>
      <c r="N613" s="49"/>
    </row>
    <row r="614" spans="1:14" ht="15.75" customHeight="1">
      <c r="A614" s="36"/>
      <c r="B614" s="52"/>
      <c r="C614" s="40"/>
      <c r="D614" s="37"/>
      <c r="E614" s="38"/>
      <c r="F614" s="35"/>
      <c r="G614" s="35"/>
      <c r="H614" s="40"/>
      <c r="I614" s="37"/>
      <c r="J614" s="35"/>
      <c r="K614" s="35"/>
      <c r="L614" s="48"/>
      <c r="M614" s="49"/>
      <c r="N614" s="49"/>
    </row>
    <row r="615" spans="1:14" ht="15.75" customHeight="1">
      <c r="A615" s="36"/>
      <c r="B615" s="52"/>
      <c r="C615" s="40"/>
      <c r="D615" s="37"/>
      <c r="E615" s="38"/>
      <c r="F615" s="35"/>
      <c r="G615" s="35"/>
      <c r="H615" s="40"/>
      <c r="I615" s="37"/>
      <c r="J615" s="35"/>
      <c r="K615" s="35"/>
      <c r="L615" s="48"/>
      <c r="M615" s="49"/>
      <c r="N615" s="49"/>
    </row>
    <row r="616" spans="1:14" ht="15.75" customHeight="1">
      <c r="A616" s="36"/>
      <c r="B616" s="52"/>
      <c r="C616" s="40"/>
      <c r="D616" s="37"/>
      <c r="E616" s="38"/>
      <c r="F616" s="35"/>
      <c r="G616" s="35"/>
      <c r="H616" s="40"/>
      <c r="I616" s="37"/>
      <c r="J616" s="35"/>
      <c r="K616" s="35"/>
      <c r="L616" s="48"/>
      <c r="M616" s="49"/>
      <c r="N616" s="49"/>
    </row>
    <row r="617" spans="1:14" ht="15.75" customHeight="1">
      <c r="A617" s="36"/>
      <c r="B617" s="52"/>
      <c r="C617" s="40"/>
      <c r="D617" s="37"/>
      <c r="E617" s="38"/>
      <c r="F617" s="35"/>
      <c r="G617" s="35"/>
      <c r="H617" s="40"/>
      <c r="I617" s="37"/>
      <c r="J617" s="35"/>
      <c r="K617" s="35"/>
      <c r="L617" s="48"/>
      <c r="M617" s="49"/>
      <c r="N617" s="49"/>
    </row>
    <row r="618" spans="1:14" ht="15.75" customHeight="1">
      <c r="A618" s="36"/>
      <c r="B618" s="52"/>
      <c r="C618" s="40"/>
      <c r="D618" s="37"/>
      <c r="E618" s="38"/>
      <c r="F618" s="35"/>
      <c r="G618" s="35"/>
      <c r="H618" s="40"/>
      <c r="I618" s="37"/>
      <c r="J618" s="35"/>
      <c r="K618" s="35"/>
      <c r="L618" s="48"/>
      <c r="M618" s="49"/>
      <c r="N618" s="49"/>
    </row>
    <row r="619" spans="1:14" ht="15.75" customHeight="1">
      <c r="A619" s="36"/>
      <c r="B619" s="52"/>
      <c r="C619" s="40"/>
      <c r="D619" s="37"/>
      <c r="E619" s="38"/>
      <c r="F619" s="35"/>
      <c r="G619" s="35"/>
      <c r="H619" s="40"/>
      <c r="I619" s="37"/>
      <c r="J619" s="35"/>
      <c r="K619" s="35"/>
      <c r="L619" s="48"/>
      <c r="M619" s="49"/>
      <c r="N619" s="49"/>
    </row>
    <row r="620" spans="1:14" ht="15.75" customHeight="1">
      <c r="A620" s="36"/>
      <c r="B620" s="52"/>
      <c r="C620" s="40"/>
      <c r="D620" s="37"/>
      <c r="E620" s="38"/>
      <c r="F620" s="35"/>
      <c r="G620" s="35"/>
      <c r="H620" s="40"/>
      <c r="I620" s="37"/>
      <c r="J620" s="35"/>
      <c r="K620" s="35"/>
      <c r="L620" s="48"/>
      <c r="M620" s="49"/>
      <c r="N620" s="49"/>
    </row>
    <row r="621" spans="1:14" ht="15.75" customHeight="1">
      <c r="A621" s="36"/>
      <c r="B621" s="52"/>
      <c r="C621" s="40"/>
      <c r="D621" s="37"/>
      <c r="E621" s="38"/>
      <c r="F621" s="35"/>
      <c r="G621" s="35"/>
      <c r="H621" s="40"/>
      <c r="I621" s="37"/>
      <c r="J621" s="35"/>
      <c r="K621" s="35"/>
      <c r="L621" s="48"/>
      <c r="M621" s="49"/>
      <c r="N621" s="49"/>
    </row>
    <row r="622" spans="1:14" ht="15.75" customHeight="1">
      <c r="A622" s="36"/>
      <c r="B622" s="52"/>
      <c r="C622" s="40"/>
      <c r="D622" s="37"/>
      <c r="E622" s="38"/>
      <c r="F622" s="35"/>
      <c r="G622" s="35"/>
      <c r="H622" s="40"/>
      <c r="I622" s="37"/>
      <c r="J622" s="35"/>
      <c r="K622" s="35"/>
      <c r="L622" s="48"/>
      <c r="M622" s="49"/>
      <c r="N622" s="49"/>
    </row>
    <row r="623" spans="1:14" ht="15.75" customHeight="1">
      <c r="A623" s="36"/>
      <c r="B623" s="52"/>
      <c r="C623" s="40"/>
      <c r="D623" s="37"/>
      <c r="E623" s="38"/>
      <c r="F623" s="35"/>
      <c r="G623" s="35"/>
      <c r="H623" s="40"/>
      <c r="I623" s="37"/>
      <c r="J623" s="35"/>
      <c r="K623" s="35"/>
      <c r="L623" s="48"/>
      <c r="M623" s="49"/>
      <c r="N623" s="49"/>
    </row>
    <row r="624" spans="1:14" ht="15.75" customHeight="1">
      <c r="A624" s="36"/>
      <c r="B624" s="52"/>
      <c r="C624" s="40"/>
      <c r="D624" s="37"/>
      <c r="E624" s="38"/>
      <c r="F624" s="35"/>
      <c r="G624" s="35"/>
      <c r="H624" s="40"/>
      <c r="I624" s="37"/>
      <c r="J624" s="35"/>
      <c r="K624" s="35"/>
      <c r="L624" s="48"/>
      <c r="M624" s="49"/>
      <c r="N624" s="49"/>
    </row>
    <row r="625" spans="1:14" ht="15.75" customHeight="1">
      <c r="A625" s="36"/>
      <c r="B625" s="52"/>
      <c r="C625" s="40"/>
      <c r="D625" s="37"/>
      <c r="E625" s="38"/>
      <c r="F625" s="35"/>
      <c r="G625" s="35"/>
      <c r="H625" s="40"/>
      <c r="I625" s="37"/>
      <c r="J625" s="35"/>
      <c r="K625" s="35"/>
      <c r="L625" s="48"/>
      <c r="M625" s="49"/>
      <c r="N625" s="49"/>
    </row>
    <row r="626" spans="1:14" ht="15.75" customHeight="1">
      <c r="A626" s="36"/>
      <c r="B626" s="52"/>
      <c r="C626" s="40"/>
      <c r="D626" s="37"/>
      <c r="E626" s="38"/>
      <c r="F626" s="35"/>
      <c r="G626" s="35"/>
      <c r="H626" s="40"/>
      <c r="I626" s="37"/>
      <c r="J626" s="35"/>
      <c r="K626" s="35"/>
      <c r="L626" s="48"/>
      <c r="M626" s="49"/>
      <c r="N626" s="49"/>
    </row>
    <row r="627" spans="1:14" ht="15.75" customHeight="1">
      <c r="A627" s="36"/>
      <c r="B627" s="52"/>
      <c r="C627" s="40"/>
      <c r="D627" s="37"/>
      <c r="E627" s="38"/>
      <c r="F627" s="35"/>
      <c r="G627" s="35"/>
      <c r="H627" s="40"/>
      <c r="I627" s="37"/>
      <c r="J627" s="35"/>
      <c r="K627" s="35"/>
      <c r="L627" s="48"/>
      <c r="M627" s="49"/>
      <c r="N627" s="49"/>
    </row>
    <row r="628" spans="1:14" ht="15.75" customHeight="1">
      <c r="A628" s="36"/>
      <c r="B628" s="52"/>
      <c r="C628" s="40"/>
      <c r="D628" s="37"/>
      <c r="E628" s="38"/>
      <c r="F628" s="35"/>
      <c r="G628" s="35"/>
      <c r="H628" s="40"/>
      <c r="I628" s="37"/>
      <c r="J628" s="35"/>
      <c r="K628" s="35"/>
      <c r="L628" s="48"/>
      <c r="M628" s="49"/>
      <c r="N628" s="49"/>
    </row>
    <row r="629" spans="1:14" ht="15.75" customHeight="1">
      <c r="A629" s="36"/>
      <c r="B629" s="52"/>
      <c r="C629" s="40"/>
      <c r="D629" s="37"/>
      <c r="E629" s="38"/>
      <c r="F629" s="35"/>
      <c r="G629" s="35"/>
      <c r="H629" s="40"/>
      <c r="I629" s="37"/>
      <c r="J629" s="35"/>
      <c r="K629" s="35"/>
      <c r="L629" s="48"/>
      <c r="M629" s="49"/>
      <c r="N629" s="49"/>
    </row>
    <row r="630" spans="1:14" ht="15.75" customHeight="1">
      <c r="A630" s="36"/>
      <c r="B630" s="52"/>
      <c r="C630" s="40"/>
      <c r="D630" s="37"/>
      <c r="E630" s="38"/>
      <c r="F630" s="35"/>
      <c r="G630" s="35"/>
      <c r="H630" s="40"/>
      <c r="I630" s="37"/>
      <c r="J630" s="35"/>
      <c r="K630" s="35"/>
      <c r="L630" s="48"/>
      <c r="M630" s="49"/>
      <c r="N630" s="49"/>
    </row>
    <row r="631" spans="1:14" ht="15.75" customHeight="1">
      <c r="A631" s="36"/>
      <c r="B631" s="52"/>
      <c r="C631" s="40"/>
      <c r="D631" s="37"/>
      <c r="E631" s="38"/>
      <c r="F631" s="35"/>
      <c r="G631" s="35"/>
      <c r="H631" s="40"/>
      <c r="I631" s="37"/>
      <c r="J631" s="35"/>
      <c r="K631" s="35"/>
      <c r="L631" s="48"/>
      <c r="M631" s="49"/>
      <c r="N631" s="49"/>
    </row>
    <row r="632" spans="1:14" ht="15.75" customHeight="1">
      <c r="A632" s="36"/>
      <c r="B632" s="52"/>
      <c r="C632" s="40"/>
      <c r="D632" s="37"/>
      <c r="E632" s="38"/>
      <c r="F632" s="35"/>
      <c r="G632" s="35"/>
      <c r="H632" s="40"/>
      <c r="I632" s="37"/>
      <c r="J632" s="35"/>
      <c r="K632" s="35"/>
      <c r="L632" s="48"/>
      <c r="M632" s="49"/>
      <c r="N632" s="49"/>
    </row>
    <row r="633" spans="1:14" ht="15.75" customHeight="1">
      <c r="A633" s="36"/>
      <c r="B633" s="52"/>
      <c r="C633" s="40"/>
      <c r="D633" s="37"/>
      <c r="E633" s="38"/>
      <c r="F633" s="35"/>
      <c r="G633" s="35"/>
      <c r="H633" s="40"/>
      <c r="I633" s="37"/>
      <c r="J633" s="35"/>
      <c r="K633" s="35"/>
      <c r="L633" s="48"/>
      <c r="M633" s="49"/>
      <c r="N633" s="49"/>
    </row>
    <row r="634" spans="1:14" ht="15.75" customHeight="1">
      <c r="A634" s="36"/>
      <c r="B634" s="52"/>
      <c r="C634" s="40"/>
      <c r="D634" s="37"/>
      <c r="E634" s="38"/>
      <c r="F634" s="35"/>
      <c r="G634" s="35"/>
      <c r="H634" s="40"/>
      <c r="I634" s="37"/>
      <c r="J634" s="35"/>
      <c r="K634" s="35"/>
      <c r="L634" s="48"/>
      <c r="M634" s="49"/>
      <c r="N634" s="49"/>
    </row>
    <row r="635" spans="1:14" ht="15.75" customHeight="1">
      <c r="A635" s="36"/>
      <c r="B635" s="52"/>
      <c r="C635" s="40"/>
      <c r="D635" s="37"/>
      <c r="E635" s="38"/>
      <c r="F635" s="35"/>
      <c r="G635" s="35"/>
      <c r="H635" s="40"/>
      <c r="I635" s="37"/>
      <c r="J635" s="35"/>
      <c r="K635" s="35"/>
      <c r="L635" s="48"/>
      <c r="M635" s="49"/>
      <c r="N635" s="49"/>
    </row>
    <row r="636" spans="1:14" ht="15.75" customHeight="1">
      <c r="A636" s="36"/>
      <c r="B636" s="52"/>
      <c r="C636" s="40"/>
      <c r="D636" s="37"/>
      <c r="E636" s="38"/>
      <c r="F636" s="35"/>
      <c r="G636" s="35"/>
      <c r="H636" s="40"/>
      <c r="I636" s="37"/>
      <c r="J636" s="35"/>
      <c r="K636" s="35"/>
      <c r="L636" s="48"/>
      <c r="M636" s="49"/>
      <c r="N636" s="49"/>
    </row>
    <row r="637" spans="1:14" ht="15.75" customHeight="1">
      <c r="A637" s="36"/>
      <c r="B637" s="52"/>
      <c r="C637" s="40"/>
      <c r="D637" s="37"/>
      <c r="E637" s="38"/>
      <c r="F637" s="35"/>
      <c r="G637" s="35"/>
      <c r="H637" s="40"/>
      <c r="I637" s="37"/>
      <c r="J637" s="35"/>
      <c r="K637" s="35"/>
      <c r="L637" s="48"/>
      <c r="M637" s="49"/>
      <c r="N637" s="49"/>
    </row>
    <row r="638" spans="1:14" ht="15.75" customHeight="1">
      <c r="A638" s="36"/>
      <c r="B638" s="52"/>
      <c r="C638" s="40"/>
      <c r="D638" s="37"/>
      <c r="E638" s="38"/>
      <c r="F638" s="35"/>
      <c r="G638" s="35"/>
      <c r="H638" s="40"/>
      <c r="I638" s="37"/>
      <c r="J638" s="35"/>
      <c r="K638" s="35"/>
      <c r="L638" s="48"/>
      <c r="M638" s="49"/>
      <c r="N638" s="49"/>
    </row>
    <row r="639" spans="1:14" ht="15.75" customHeight="1">
      <c r="A639" s="36"/>
      <c r="B639" s="52"/>
      <c r="C639" s="40"/>
      <c r="D639" s="37"/>
      <c r="E639" s="38"/>
      <c r="F639" s="35"/>
      <c r="G639" s="35"/>
      <c r="H639" s="40"/>
      <c r="I639" s="37"/>
      <c r="J639" s="35"/>
      <c r="K639" s="35"/>
      <c r="L639" s="48"/>
      <c r="M639" s="49"/>
      <c r="N639" s="49"/>
    </row>
    <row r="640" spans="1:14" ht="15.75" customHeight="1">
      <c r="A640" s="36"/>
      <c r="B640" s="52"/>
      <c r="C640" s="40"/>
      <c r="D640" s="37"/>
      <c r="E640" s="38"/>
      <c r="F640" s="35"/>
      <c r="G640" s="35"/>
      <c r="H640" s="40"/>
      <c r="I640" s="37"/>
      <c r="J640" s="35"/>
      <c r="K640" s="35"/>
      <c r="L640" s="48"/>
      <c r="M640" s="49"/>
      <c r="N640" s="49"/>
    </row>
    <row r="641" spans="1:14" ht="15.75" customHeight="1">
      <c r="A641" s="36"/>
      <c r="B641" s="52"/>
      <c r="C641" s="40"/>
      <c r="D641" s="37"/>
      <c r="E641" s="38"/>
      <c r="F641" s="35"/>
      <c r="G641" s="35"/>
      <c r="H641" s="40"/>
      <c r="I641" s="37"/>
      <c r="J641" s="35"/>
      <c r="K641" s="35"/>
      <c r="L641" s="48"/>
      <c r="M641" s="49"/>
      <c r="N641" s="49"/>
    </row>
    <row r="642" spans="1:14" ht="15.75" customHeight="1">
      <c r="A642" s="36"/>
      <c r="B642" s="52"/>
      <c r="C642" s="40"/>
      <c r="D642" s="37"/>
      <c r="E642" s="38"/>
      <c r="F642" s="35"/>
      <c r="G642" s="35"/>
      <c r="H642" s="40"/>
      <c r="I642" s="37"/>
      <c r="J642" s="35"/>
      <c r="K642" s="35"/>
      <c r="L642" s="48"/>
      <c r="M642" s="49"/>
      <c r="N642" s="49"/>
    </row>
    <row r="643" spans="1:14" ht="15.75" customHeight="1">
      <c r="A643" s="36"/>
      <c r="B643" s="52"/>
      <c r="C643" s="40"/>
      <c r="D643" s="37"/>
      <c r="E643" s="38"/>
      <c r="F643" s="35"/>
      <c r="G643" s="35"/>
      <c r="H643" s="40"/>
      <c r="I643" s="37"/>
      <c r="J643" s="35"/>
      <c r="K643" s="35"/>
      <c r="L643" s="48"/>
      <c r="M643" s="49"/>
      <c r="N643" s="49"/>
    </row>
    <row r="644" spans="1:14" ht="15.75" customHeight="1">
      <c r="A644" s="36"/>
      <c r="B644" s="52"/>
      <c r="C644" s="40"/>
      <c r="D644" s="37"/>
      <c r="E644" s="38"/>
      <c r="F644" s="35"/>
      <c r="G644" s="35"/>
      <c r="H644" s="40"/>
      <c r="I644" s="37"/>
      <c r="J644" s="35"/>
      <c r="K644" s="35"/>
      <c r="L644" s="48"/>
      <c r="M644" s="49"/>
      <c r="N644" s="49"/>
    </row>
    <row r="645" spans="1:14" ht="15.75" customHeight="1">
      <c r="A645" s="36"/>
      <c r="B645" s="52"/>
      <c r="C645" s="40"/>
      <c r="D645" s="37"/>
      <c r="E645" s="38"/>
      <c r="F645" s="35"/>
      <c r="G645" s="35"/>
      <c r="H645" s="40"/>
      <c r="I645" s="37"/>
      <c r="J645" s="35"/>
      <c r="K645" s="35"/>
      <c r="L645" s="48"/>
      <c r="M645" s="49"/>
      <c r="N645" s="49"/>
    </row>
    <row r="646" spans="1:14" ht="15.75" customHeight="1">
      <c r="A646" s="36"/>
      <c r="B646" s="52"/>
      <c r="C646" s="40"/>
      <c r="D646" s="37"/>
      <c r="E646" s="38"/>
      <c r="F646" s="35"/>
      <c r="G646" s="35"/>
      <c r="H646" s="40"/>
      <c r="I646" s="37"/>
      <c r="J646" s="35"/>
      <c r="K646" s="35"/>
      <c r="L646" s="48"/>
      <c r="M646" s="49"/>
      <c r="N646" s="49"/>
    </row>
    <row r="647" spans="1:14" ht="15.75" customHeight="1">
      <c r="A647" s="36"/>
      <c r="B647" s="52"/>
      <c r="C647" s="40"/>
      <c r="D647" s="37"/>
      <c r="E647" s="38"/>
      <c r="F647" s="35"/>
      <c r="G647" s="35"/>
      <c r="H647" s="40"/>
      <c r="I647" s="37"/>
      <c r="J647" s="35"/>
      <c r="K647" s="35"/>
      <c r="L647" s="48"/>
      <c r="M647" s="49"/>
      <c r="N647" s="49"/>
    </row>
    <row r="648" spans="1:14" ht="15.75" customHeight="1">
      <c r="A648" s="36"/>
      <c r="B648" s="52"/>
      <c r="C648" s="40"/>
      <c r="D648" s="37"/>
      <c r="E648" s="38"/>
      <c r="F648" s="35"/>
      <c r="G648" s="35"/>
      <c r="H648" s="40"/>
      <c r="I648" s="37"/>
      <c r="J648" s="35"/>
      <c r="K648" s="35"/>
      <c r="L648" s="48"/>
      <c r="M648" s="49"/>
      <c r="N648" s="49"/>
    </row>
    <row r="649" spans="1:14" ht="15.75" customHeight="1">
      <c r="A649" s="36"/>
      <c r="B649" s="52"/>
      <c r="C649" s="40"/>
      <c r="D649" s="37"/>
      <c r="E649" s="38"/>
      <c r="F649" s="35"/>
      <c r="G649" s="35"/>
      <c r="H649" s="40"/>
      <c r="I649" s="37"/>
      <c r="J649" s="35"/>
      <c r="K649" s="35"/>
      <c r="L649" s="48"/>
      <c r="M649" s="49"/>
      <c r="N649" s="49"/>
    </row>
    <row r="650" spans="1:14" ht="15.75" customHeight="1">
      <c r="A650" s="36"/>
      <c r="B650" s="52"/>
      <c r="C650" s="40"/>
      <c r="D650" s="37"/>
      <c r="E650" s="38"/>
      <c r="F650" s="35"/>
      <c r="G650" s="35"/>
      <c r="H650" s="40"/>
      <c r="I650" s="37"/>
      <c r="J650" s="35"/>
      <c r="K650" s="35"/>
      <c r="L650" s="48"/>
      <c r="M650" s="49"/>
      <c r="N650" s="49"/>
    </row>
    <row r="651" spans="1:14" ht="15.75" customHeight="1">
      <c r="A651" s="36"/>
      <c r="B651" s="52"/>
      <c r="C651" s="40"/>
      <c r="D651" s="37"/>
      <c r="E651" s="38"/>
      <c r="F651" s="35"/>
      <c r="G651" s="35"/>
      <c r="H651" s="40"/>
      <c r="I651" s="37"/>
      <c r="J651" s="35"/>
      <c r="K651" s="35"/>
      <c r="L651" s="48"/>
      <c r="M651" s="49"/>
      <c r="N651" s="49"/>
    </row>
    <row r="652" spans="1:14" ht="15.75" customHeight="1">
      <c r="A652" s="36"/>
      <c r="B652" s="52"/>
      <c r="C652" s="40"/>
      <c r="D652" s="37"/>
      <c r="E652" s="38"/>
      <c r="F652" s="35"/>
      <c r="G652" s="35"/>
      <c r="H652" s="40"/>
      <c r="I652" s="37"/>
      <c r="J652" s="35"/>
      <c r="K652" s="35"/>
      <c r="L652" s="48"/>
      <c r="M652" s="49"/>
      <c r="N652" s="49"/>
    </row>
    <row r="653" spans="1:14" ht="15.75" customHeight="1">
      <c r="A653" s="36"/>
      <c r="B653" s="52"/>
      <c r="C653" s="40"/>
      <c r="D653" s="37"/>
      <c r="E653" s="38"/>
      <c r="F653" s="35"/>
      <c r="G653" s="35"/>
      <c r="H653" s="40"/>
      <c r="I653" s="37"/>
      <c r="J653" s="35"/>
      <c r="K653" s="35"/>
      <c r="L653" s="48"/>
      <c r="M653" s="49"/>
      <c r="N653" s="49"/>
    </row>
    <row r="654" spans="1:14" ht="15.75" customHeight="1">
      <c r="A654" s="36"/>
      <c r="B654" s="52"/>
      <c r="C654" s="40"/>
      <c r="D654" s="37"/>
      <c r="E654" s="38"/>
      <c r="F654" s="35"/>
      <c r="G654" s="35"/>
      <c r="H654" s="40"/>
      <c r="I654" s="37"/>
      <c r="J654" s="35"/>
      <c r="K654" s="35"/>
      <c r="L654" s="48"/>
      <c r="M654" s="49"/>
      <c r="N654" s="49"/>
    </row>
    <row r="655" spans="1:14" ht="15.75" customHeight="1">
      <c r="A655" s="36"/>
      <c r="B655" s="52"/>
      <c r="C655" s="40"/>
      <c r="D655" s="37"/>
      <c r="E655" s="38"/>
      <c r="F655" s="35"/>
      <c r="G655" s="35"/>
      <c r="H655" s="40"/>
      <c r="I655" s="37"/>
      <c r="J655" s="35"/>
      <c r="K655" s="35"/>
      <c r="L655" s="48"/>
      <c r="M655" s="49"/>
      <c r="N655" s="49"/>
    </row>
    <row r="656" spans="1:14" ht="15.75" customHeight="1">
      <c r="A656" s="36"/>
      <c r="B656" s="52"/>
      <c r="C656" s="40"/>
      <c r="D656" s="37"/>
      <c r="E656" s="38"/>
      <c r="F656" s="35"/>
      <c r="G656" s="35"/>
      <c r="H656" s="40"/>
      <c r="I656" s="37"/>
      <c r="J656" s="35"/>
      <c r="K656" s="35"/>
      <c r="L656" s="48"/>
      <c r="M656" s="49"/>
      <c r="N656" s="49"/>
    </row>
    <row r="657" spans="1:14" ht="15.75" customHeight="1">
      <c r="A657" s="36"/>
      <c r="B657" s="52"/>
      <c r="C657" s="40"/>
      <c r="D657" s="37"/>
      <c r="E657" s="38"/>
      <c r="F657" s="35"/>
      <c r="G657" s="35"/>
      <c r="H657" s="40"/>
      <c r="I657" s="37"/>
      <c r="J657" s="35"/>
      <c r="K657" s="35"/>
      <c r="L657" s="48"/>
      <c r="M657" s="49"/>
      <c r="N657" s="49"/>
    </row>
    <row r="658" spans="1:14" ht="15.75" customHeight="1">
      <c r="A658" s="36"/>
      <c r="B658" s="52"/>
      <c r="C658" s="40"/>
      <c r="D658" s="37"/>
      <c r="E658" s="38"/>
      <c r="F658" s="35"/>
      <c r="G658" s="35"/>
      <c r="H658" s="40"/>
      <c r="I658" s="37"/>
      <c r="J658" s="35"/>
      <c r="K658" s="35"/>
      <c r="L658" s="48"/>
      <c r="M658" s="49"/>
      <c r="N658" s="49"/>
    </row>
    <row r="659" spans="1:14" ht="15.75" customHeight="1">
      <c r="A659" s="36"/>
      <c r="B659" s="52"/>
      <c r="C659" s="40"/>
      <c r="D659" s="37"/>
      <c r="E659" s="38"/>
      <c r="F659" s="35"/>
      <c r="G659" s="35"/>
      <c r="H659" s="40"/>
      <c r="I659" s="37"/>
      <c r="J659" s="35"/>
      <c r="K659" s="35"/>
      <c r="L659" s="48"/>
      <c r="M659" s="49"/>
      <c r="N659" s="49"/>
    </row>
    <row r="660" spans="1:14" ht="15.75" customHeight="1">
      <c r="A660" s="36"/>
      <c r="B660" s="52"/>
      <c r="C660" s="40"/>
      <c r="D660" s="37"/>
      <c r="E660" s="38"/>
      <c r="F660" s="35"/>
      <c r="G660" s="35"/>
      <c r="H660" s="40"/>
      <c r="I660" s="37"/>
      <c r="J660" s="35"/>
      <c r="K660" s="35"/>
      <c r="L660" s="48"/>
      <c r="M660" s="49"/>
      <c r="N660" s="49"/>
    </row>
    <row r="661" spans="1:14" ht="15.75" customHeight="1">
      <c r="A661" s="36"/>
      <c r="B661" s="52"/>
      <c r="C661" s="40"/>
      <c r="D661" s="37"/>
      <c r="E661" s="38"/>
      <c r="F661" s="35"/>
      <c r="G661" s="35"/>
      <c r="H661" s="40"/>
      <c r="I661" s="37"/>
      <c r="J661" s="35"/>
      <c r="K661" s="35"/>
      <c r="L661" s="48"/>
      <c r="M661" s="49"/>
      <c r="N661" s="49"/>
    </row>
    <row r="662" spans="1:14" ht="15.75" customHeight="1">
      <c r="A662" s="36"/>
      <c r="B662" s="52"/>
      <c r="C662" s="40"/>
      <c r="D662" s="37"/>
      <c r="E662" s="38"/>
      <c r="F662" s="35"/>
      <c r="G662" s="35"/>
      <c r="H662" s="40"/>
      <c r="I662" s="37"/>
      <c r="J662" s="35"/>
      <c r="K662" s="35"/>
      <c r="L662" s="48"/>
      <c r="M662" s="49"/>
      <c r="N662" s="49"/>
    </row>
    <row r="663" spans="1:14" ht="15.75" customHeight="1">
      <c r="A663" s="36"/>
      <c r="B663" s="52"/>
      <c r="C663" s="40"/>
      <c r="D663" s="37"/>
      <c r="E663" s="38"/>
      <c r="F663" s="35"/>
      <c r="G663" s="35"/>
      <c r="H663" s="40"/>
      <c r="I663" s="37"/>
      <c r="J663" s="35"/>
      <c r="K663" s="35"/>
      <c r="L663" s="48"/>
      <c r="M663" s="49"/>
      <c r="N663" s="49"/>
    </row>
    <row r="664" spans="1:14" ht="15.75" customHeight="1">
      <c r="A664" s="36"/>
      <c r="B664" s="52"/>
      <c r="C664" s="40"/>
      <c r="D664" s="37"/>
      <c r="E664" s="38"/>
      <c r="F664" s="35"/>
      <c r="G664" s="35"/>
      <c r="H664" s="40"/>
      <c r="I664" s="37"/>
      <c r="J664" s="35"/>
      <c r="K664" s="35"/>
      <c r="L664" s="48"/>
      <c r="M664" s="49"/>
      <c r="N664" s="49"/>
    </row>
    <row r="665" spans="1:14" ht="15.75" customHeight="1">
      <c r="A665" s="36"/>
      <c r="B665" s="52"/>
      <c r="C665" s="40"/>
      <c r="D665" s="37"/>
      <c r="E665" s="38"/>
      <c r="F665" s="35"/>
      <c r="G665" s="35"/>
      <c r="H665" s="40"/>
      <c r="I665" s="37"/>
      <c r="J665" s="35"/>
      <c r="K665" s="35"/>
      <c r="L665" s="48"/>
      <c r="M665" s="49"/>
      <c r="N665" s="49"/>
    </row>
    <row r="666" spans="1:14" ht="15.75" customHeight="1">
      <c r="A666" s="36"/>
      <c r="B666" s="52"/>
      <c r="C666" s="40"/>
      <c r="D666" s="37"/>
      <c r="E666" s="38"/>
      <c r="F666" s="35"/>
      <c r="G666" s="35"/>
      <c r="H666" s="40"/>
      <c r="I666" s="37"/>
      <c r="J666" s="35"/>
      <c r="K666" s="35"/>
      <c r="L666" s="48"/>
      <c r="M666" s="49"/>
      <c r="N666" s="49"/>
    </row>
    <row r="667" spans="1:14" ht="15.75" customHeight="1">
      <c r="A667" s="36"/>
      <c r="B667" s="52"/>
      <c r="C667" s="40"/>
      <c r="D667" s="37"/>
      <c r="E667" s="38"/>
      <c r="F667" s="35"/>
      <c r="G667" s="35"/>
      <c r="H667" s="40"/>
      <c r="I667" s="37"/>
      <c r="J667" s="35"/>
      <c r="K667" s="35"/>
      <c r="L667" s="48"/>
      <c r="M667" s="49"/>
      <c r="N667" s="49"/>
    </row>
    <row r="668" spans="1:14" ht="15.75" customHeight="1">
      <c r="A668" s="36"/>
      <c r="B668" s="52"/>
      <c r="C668" s="40"/>
      <c r="D668" s="37"/>
      <c r="E668" s="38"/>
      <c r="F668" s="35"/>
      <c r="G668" s="35"/>
      <c r="H668" s="40"/>
      <c r="I668" s="37"/>
      <c r="J668" s="35"/>
      <c r="K668" s="35"/>
      <c r="L668" s="48"/>
      <c r="M668" s="49"/>
      <c r="N668" s="49"/>
    </row>
    <row r="669" spans="1:14" ht="15.75" customHeight="1">
      <c r="A669" s="36"/>
      <c r="B669" s="52"/>
      <c r="C669" s="40"/>
      <c r="D669" s="37"/>
      <c r="E669" s="38"/>
      <c r="F669" s="35"/>
      <c r="G669" s="35"/>
      <c r="H669" s="40"/>
      <c r="I669" s="37"/>
      <c r="J669" s="35"/>
      <c r="K669" s="35"/>
      <c r="L669" s="48"/>
      <c r="M669" s="49"/>
      <c r="N669" s="49"/>
    </row>
    <row r="670" spans="1:14" ht="15.75" customHeight="1">
      <c r="A670" s="36"/>
      <c r="B670" s="52"/>
      <c r="C670" s="40"/>
      <c r="D670" s="37"/>
      <c r="E670" s="38"/>
      <c r="F670" s="35"/>
      <c r="G670" s="35"/>
      <c r="H670" s="40"/>
      <c r="I670" s="37"/>
      <c r="J670" s="35"/>
      <c r="K670" s="35"/>
      <c r="L670" s="48"/>
      <c r="M670" s="49"/>
      <c r="N670" s="49"/>
    </row>
    <row r="671" spans="1:14" ht="15.75" customHeight="1">
      <c r="A671" s="36"/>
      <c r="B671" s="52"/>
      <c r="C671" s="40"/>
      <c r="D671" s="37"/>
      <c r="E671" s="38"/>
      <c r="F671" s="35"/>
      <c r="G671" s="35"/>
      <c r="H671" s="40"/>
      <c r="I671" s="37"/>
      <c r="J671" s="35"/>
      <c r="K671" s="35"/>
      <c r="L671" s="48"/>
      <c r="M671" s="49"/>
      <c r="N671" s="49"/>
    </row>
    <row r="672" spans="1:14" ht="15.75" customHeight="1">
      <c r="A672" s="36"/>
      <c r="B672" s="52"/>
      <c r="C672" s="40"/>
      <c r="D672" s="37"/>
      <c r="E672" s="38"/>
      <c r="F672" s="35"/>
      <c r="G672" s="35"/>
      <c r="H672" s="40"/>
      <c r="I672" s="37"/>
      <c r="J672" s="35"/>
      <c r="K672" s="35"/>
      <c r="L672" s="48"/>
      <c r="M672" s="49"/>
      <c r="N672" s="49"/>
    </row>
    <row r="673" spans="1:14" ht="15.75" customHeight="1">
      <c r="A673" s="36"/>
      <c r="B673" s="52"/>
      <c r="C673" s="40"/>
      <c r="D673" s="37"/>
      <c r="E673" s="38"/>
      <c r="F673" s="35"/>
      <c r="G673" s="35"/>
      <c r="H673" s="40"/>
      <c r="I673" s="37"/>
      <c r="J673" s="35"/>
      <c r="K673" s="35"/>
      <c r="L673" s="48"/>
      <c r="M673" s="49"/>
      <c r="N673" s="49"/>
    </row>
    <row r="674" spans="1:14" ht="15.75" customHeight="1">
      <c r="A674" s="36"/>
      <c r="B674" s="52"/>
      <c r="C674" s="40"/>
      <c r="D674" s="37"/>
      <c r="E674" s="38"/>
      <c r="F674" s="35"/>
      <c r="G674" s="35"/>
      <c r="H674" s="40"/>
      <c r="I674" s="37"/>
      <c r="J674" s="35"/>
      <c r="K674" s="35"/>
      <c r="L674" s="48"/>
      <c r="M674" s="49"/>
      <c r="N674" s="49"/>
    </row>
    <row r="675" spans="1:14" ht="15.75" customHeight="1">
      <c r="A675" s="36"/>
      <c r="B675" s="52"/>
      <c r="C675" s="40"/>
      <c r="D675" s="37"/>
      <c r="E675" s="38"/>
      <c r="F675" s="35"/>
      <c r="G675" s="35"/>
      <c r="H675" s="40"/>
      <c r="I675" s="37"/>
      <c r="J675" s="35"/>
      <c r="K675" s="35"/>
      <c r="L675" s="48"/>
      <c r="M675" s="49"/>
      <c r="N675" s="49"/>
    </row>
    <row r="676" spans="1:14" ht="15.75" customHeight="1">
      <c r="A676" s="36"/>
      <c r="B676" s="52"/>
      <c r="C676" s="40"/>
      <c r="D676" s="37"/>
      <c r="E676" s="38"/>
      <c r="F676" s="35"/>
      <c r="G676" s="35"/>
      <c r="H676" s="40"/>
      <c r="I676" s="37"/>
      <c r="J676" s="35"/>
      <c r="K676" s="35"/>
      <c r="L676" s="48"/>
      <c r="M676" s="49"/>
      <c r="N676" s="49"/>
    </row>
    <row r="677" spans="1:14" ht="15.75" customHeight="1">
      <c r="A677" s="36"/>
      <c r="B677" s="52"/>
      <c r="C677" s="40"/>
      <c r="D677" s="37"/>
      <c r="E677" s="38"/>
      <c r="F677" s="35"/>
      <c r="G677" s="35"/>
      <c r="H677" s="40"/>
      <c r="I677" s="37"/>
      <c r="J677" s="35"/>
      <c r="K677" s="35"/>
      <c r="L677" s="48"/>
      <c r="M677" s="49"/>
      <c r="N677" s="49"/>
    </row>
    <row r="678" spans="1:14" ht="15.75" customHeight="1">
      <c r="A678" s="36"/>
      <c r="B678" s="52"/>
      <c r="C678" s="40"/>
      <c r="D678" s="37"/>
      <c r="E678" s="38"/>
      <c r="F678" s="35"/>
      <c r="G678" s="35"/>
      <c r="H678" s="40"/>
      <c r="I678" s="37"/>
      <c r="J678" s="35"/>
      <c r="K678" s="35"/>
      <c r="L678" s="48"/>
      <c r="M678" s="49"/>
      <c r="N678" s="49"/>
    </row>
    <row r="679" spans="1:14" ht="15.75" customHeight="1">
      <c r="A679" s="36"/>
      <c r="B679" s="52"/>
      <c r="C679" s="40"/>
      <c r="D679" s="37"/>
      <c r="E679" s="38"/>
      <c r="F679" s="35"/>
      <c r="G679" s="35"/>
      <c r="H679" s="40"/>
      <c r="I679" s="37"/>
      <c r="J679" s="35"/>
      <c r="K679" s="35"/>
      <c r="L679" s="48"/>
      <c r="M679" s="49"/>
      <c r="N679" s="49"/>
    </row>
    <row r="680" spans="1:14" ht="15.75" customHeight="1">
      <c r="A680" s="36"/>
      <c r="B680" s="52"/>
      <c r="C680" s="40"/>
      <c r="D680" s="37"/>
      <c r="E680" s="38"/>
      <c r="F680" s="35"/>
      <c r="G680" s="35"/>
      <c r="H680" s="40"/>
      <c r="I680" s="37"/>
      <c r="J680" s="35"/>
      <c r="K680" s="35"/>
      <c r="L680" s="48"/>
      <c r="M680" s="49"/>
      <c r="N680" s="49"/>
    </row>
    <row r="681" spans="1:14" ht="15.75" customHeight="1">
      <c r="A681" s="36"/>
      <c r="B681" s="52"/>
      <c r="C681" s="40"/>
      <c r="D681" s="37"/>
      <c r="E681" s="38"/>
      <c r="F681" s="35"/>
      <c r="G681" s="35"/>
      <c r="H681" s="40"/>
      <c r="I681" s="37"/>
      <c r="J681" s="35"/>
      <c r="K681" s="35"/>
      <c r="L681" s="48"/>
      <c r="M681" s="49"/>
      <c r="N681" s="49"/>
    </row>
    <row r="682" spans="1:14" ht="15.75" customHeight="1">
      <c r="A682" s="36"/>
      <c r="B682" s="52"/>
      <c r="C682" s="40"/>
      <c r="D682" s="37"/>
      <c r="E682" s="38"/>
      <c r="F682" s="35"/>
      <c r="G682" s="35"/>
      <c r="H682" s="40"/>
      <c r="I682" s="37"/>
      <c r="J682" s="35"/>
      <c r="K682" s="35"/>
      <c r="L682" s="48"/>
      <c r="M682" s="49"/>
      <c r="N682" s="49"/>
    </row>
    <row r="683" spans="1:14" ht="15.75" customHeight="1">
      <c r="A683" s="36"/>
      <c r="B683" s="52"/>
      <c r="C683" s="40"/>
      <c r="D683" s="37"/>
      <c r="E683" s="38"/>
      <c r="F683" s="35"/>
      <c r="G683" s="35"/>
      <c r="H683" s="40"/>
      <c r="I683" s="37"/>
      <c r="J683" s="35"/>
      <c r="K683" s="35"/>
      <c r="L683" s="48"/>
      <c r="M683" s="49"/>
      <c r="N683" s="49"/>
    </row>
    <row r="684" spans="1:14" ht="15.75" customHeight="1">
      <c r="A684" s="36"/>
      <c r="B684" s="52"/>
      <c r="C684" s="40"/>
      <c r="D684" s="37"/>
      <c r="E684" s="38"/>
      <c r="F684" s="35"/>
      <c r="G684" s="35"/>
      <c r="H684" s="40"/>
      <c r="I684" s="37"/>
      <c r="J684" s="35"/>
      <c r="K684" s="35"/>
      <c r="L684" s="48"/>
      <c r="M684" s="49"/>
      <c r="N684" s="49"/>
    </row>
    <row r="685" spans="1:14" ht="15.75" customHeight="1">
      <c r="A685" s="36"/>
      <c r="B685" s="52"/>
      <c r="C685" s="40"/>
      <c r="D685" s="37"/>
      <c r="E685" s="38"/>
      <c r="F685" s="35"/>
      <c r="G685" s="35"/>
      <c r="H685" s="40"/>
      <c r="I685" s="37"/>
      <c r="J685" s="35"/>
      <c r="K685" s="35"/>
      <c r="L685" s="48"/>
      <c r="M685" s="49"/>
      <c r="N685" s="49"/>
    </row>
    <row r="686" spans="1:14" ht="15.75" customHeight="1">
      <c r="A686" s="36"/>
      <c r="B686" s="52"/>
      <c r="C686" s="40"/>
      <c r="D686" s="37"/>
      <c r="E686" s="38"/>
      <c r="F686" s="35"/>
      <c r="G686" s="35"/>
      <c r="H686" s="40"/>
      <c r="I686" s="37"/>
      <c r="J686" s="35"/>
      <c r="K686" s="35"/>
      <c r="L686" s="48"/>
      <c r="M686" s="49"/>
      <c r="N686" s="49"/>
    </row>
    <row r="687" spans="1:14" ht="15.75" customHeight="1">
      <c r="A687" s="36"/>
      <c r="B687" s="52"/>
      <c r="C687" s="40"/>
      <c r="D687" s="37"/>
      <c r="E687" s="38"/>
      <c r="F687" s="35"/>
      <c r="G687" s="35"/>
      <c r="H687" s="40"/>
      <c r="I687" s="37"/>
      <c r="J687" s="35"/>
      <c r="K687" s="35"/>
      <c r="L687" s="48"/>
      <c r="M687" s="49"/>
      <c r="N687" s="49"/>
    </row>
    <row r="688" spans="1:14" ht="15.75" customHeight="1">
      <c r="A688" s="36"/>
      <c r="B688" s="52"/>
      <c r="C688" s="40"/>
      <c r="D688" s="37"/>
      <c r="E688" s="38"/>
      <c r="F688" s="35"/>
      <c r="G688" s="35"/>
      <c r="H688" s="40"/>
      <c r="I688" s="37"/>
      <c r="J688" s="35"/>
      <c r="K688" s="35"/>
      <c r="L688" s="48"/>
      <c r="M688" s="49"/>
      <c r="N688" s="49"/>
    </row>
    <row r="689" spans="1:14" ht="15.75" customHeight="1">
      <c r="A689" s="36"/>
      <c r="B689" s="52"/>
      <c r="C689" s="40"/>
      <c r="D689" s="37"/>
      <c r="E689" s="38"/>
      <c r="F689" s="35"/>
      <c r="G689" s="35"/>
      <c r="H689" s="40"/>
      <c r="I689" s="37"/>
      <c r="J689" s="35"/>
      <c r="K689" s="35"/>
      <c r="L689" s="48"/>
      <c r="M689" s="49"/>
      <c r="N689" s="49"/>
    </row>
    <row r="690" spans="1:14" ht="15.75" customHeight="1">
      <c r="A690" s="36"/>
      <c r="B690" s="52"/>
      <c r="C690" s="40"/>
      <c r="D690" s="37"/>
      <c r="E690" s="38"/>
      <c r="F690" s="35"/>
      <c r="G690" s="35"/>
      <c r="H690" s="40"/>
      <c r="I690" s="37"/>
      <c r="J690" s="35"/>
      <c r="K690" s="35"/>
      <c r="L690" s="48"/>
      <c r="M690" s="49"/>
      <c r="N690" s="49"/>
    </row>
    <row r="691" spans="1:14" ht="15.75" customHeight="1">
      <c r="A691" s="36"/>
      <c r="B691" s="52"/>
      <c r="C691" s="40"/>
      <c r="D691" s="37"/>
      <c r="E691" s="38"/>
      <c r="F691" s="35"/>
      <c r="G691" s="35"/>
      <c r="H691" s="40"/>
      <c r="I691" s="37"/>
      <c r="J691" s="35"/>
      <c r="K691" s="35"/>
      <c r="L691" s="48"/>
      <c r="M691" s="49"/>
      <c r="N691" s="49"/>
    </row>
    <row r="692" spans="1:14" ht="15.75" customHeight="1">
      <c r="A692" s="36"/>
      <c r="B692" s="52"/>
      <c r="C692" s="40"/>
      <c r="D692" s="37"/>
      <c r="E692" s="38"/>
      <c r="F692" s="35"/>
      <c r="G692" s="35"/>
      <c r="H692" s="40"/>
      <c r="I692" s="37"/>
      <c r="J692" s="35"/>
      <c r="K692" s="35"/>
      <c r="L692" s="48"/>
      <c r="M692" s="49"/>
      <c r="N692" s="49"/>
    </row>
    <row r="693" spans="1:14" ht="15.75" customHeight="1">
      <c r="A693" s="36"/>
      <c r="B693" s="52"/>
      <c r="C693" s="40"/>
      <c r="D693" s="37"/>
      <c r="E693" s="38"/>
      <c r="F693" s="35"/>
      <c r="G693" s="35"/>
      <c r="H693" s="40"/>
      <c r="I693" s="37"/>
      <c r="J693" s="35"/>
      <c r="K693" s="35"/>
      <c r="L693" s="48"/>
      <c r="M693" s="49"/>
      <c r="N693" s="49"/>
    </row>
    <row r="694" spans="1:14" ht="15.75" customHeight="1">
      <c r="A694" s="36"/>
      <c r="B694" s="52"/>
      <c r="C694" s="40"/>
      <c r="D694" s="37"/>
      <c r="E694" s="38"/>
      <c r="F694" s="35"/>
      <c r="G694" s="35"/>
      <c r="H694" s="40"/>
      <c r="I694" s="37"/>
      <c r="J694" s="35"/>
      <c r="K694" s="35"/>
      <c r="L694" s="48"/>
      <c r="M694" s="49"/>
      <c r="N694" s="49"/>
    </row>
    <row r="695" spans="1:14" ht="15.75" customHeight="1">
      <c r="A695" s="36"/>
      <c r="B695" s="52"/>
      <c r="C695" s="40"/>
      <c r="D695" s="37"/>
      <c r="E695" s="38"/>
      <c r="F695" s="35"/>
      <c r="G695" s="35"/>
      <c r="H695" s="40"/>
      <c r="I695" s="37"/>
      <c r="J695" s="35"/>
      <c r="K695" s="35"/>
      <c r="L695" s="48"/>
      <c r="M695" s="49"/>
      <c r="N695" s="49"/>
    </row>
    <row r="696" spans="1:14" ht="15.75" customHeight="1">
      <c r="A696" s="36"/>
      <c r="B696" s="52"/>
      <c r="C696" s="40"/>
      <c r="D696" s="37"/>
      <c r="E696" s="38"/>
      <c r="F696" s="35"/>
      <c r="G696" s="35"/>
      <c r="H696" s="40"/>
      <c r="I696" s="37"/>
      <c r="J696" s="35"/>
      <c r="K696" s="35"/>
      <c r="L696" s="48"/>
      <c r="M696" s="49"/>
      <c r="N696" s="49"/>
    </row>
    <row r="697" spans="1:14" ht="15.75" customHeight="1">
      <c r="A697" s="36"/>
      <c r="B697" s="52"/>
      <c r="C697" s="40"/>
      <c r="D697" s="37"/>
      <c r="E697" s="38"/>
      <c r="F697" s="35"/>
      <c r="G697" s="35"/>
      <c r="H697" s="40"/>
      <c r="I697" s="37"/>
      <c r="J697" s="35"/>
      <c r="K697" s="35"/>
      <c r="L697" s="48"/>
      <c r="M697" s="49"/>
      <c r="N697" s="49"/>
    </row>
    <row r="698" spans="1:14" ht="15.75" customHeight="1">
      <c r="A698" s="36"/>
      <c r="B698" s="52"/>
      <c r="C698" s="40"/>
      <c r="D698" s="37"/>
      <c r="E698" s="38"/>
      <c r="F698" s="35"/>
      <c r="G698" s="35"/>
      <c r="H698" s="40"/>
      <c r="I698" s="37"/>
      <c r="J698" s="35"/>
      <c r="K698" s="35"/>
      <c r="L698" s="48"/>
      <c r="M698" s="49"/>
      <c r="N698" s="49"/>
    </row>
    <row r="699" spans="1:14" ht="15.75" customHeight="1">
      <c r="A699" s="36"/>
      <c r="B699" s="52"/>
      <c r="C699" s="40"/>
      <c r="D699" s="37"/>
      <c r="E699" s="38"/>
      <c r="F699" s="35"/>
      <c r="G699" s="35"/>
      <c r="H699" s="40"/>
      <c r="I699" s="37"/>
      <c r="J699" s="35"/>
      <c r="K699" s="35"/>
      <c r="L699" s="48"/>
      <c r="M699" s="49"/>
      <c r="N699" s="49"/>
    </row>
    <row r="700" spans="1:14" ht="15.75" customHeight="1">
      <c r="A700" s="36"/>
      <c r="B700" s="52"/>
      <c r="C700" s="40"/>
      <c r="D700" s="37"/>
      <c r="E700" s="38"/>
      <c r="F700" s="35"/>
      <c r="G700" s="35"/>
      <c r="H700" s="40"/>
      <c r="I700" s="37"/>
      <c r="J700" s="35"/>
      <c r="K700" s="35"/>
      <c r="L700" s="48"/>
      <c r="M700" s="49"/>
      <c r="N700" s="49"/>
    </row>
    <row r="701" spans="1:14" ht="15.75" customHeight="1">
      <c r="A701" s="36"/>
      <c r="B701" s="52"/>
      <c r="C701" s="40"/>
      <c r="D701" s="37"/>
      <c r="E701" s="38"/>
      <c r="F701" s="35"/>
      <c r="G701" s="35"/>
      <c r="H701" s="40"/>
      <c r="I701" s="37"/>
      <c r="J701" s="35"/>
      <c r="K701" s="35"/>
      <c r="L701" s="48"/>
      <c r="M701" s="49"/>
      <c r="N701" s="49"/>
    </row>
    <row r="702" spans="1:14" ht="15.75" customHeight="1">
      <c r="A702" s="36"/>
      <c r="B702" s="52"/>
      <c r="C702" s="40"/>
      <c r="D702" s="37"/>
      <c r="E702" s="38"/>
      <c r="F702" s="35"/>
      <c r="G702" s="35"/>
      <c r="H702" s="40"/>
      <c r="I702" s="37"/>
      <c r="J702" s="35"/>
      <c r="K702" s="35"/>
      <c r="L702" s="48"/>
      <c r="M702" s="49"/>
      <c r="N702" s="49"/>
    </row>
    <row r="703" spans="1:14" ht="15.75" customHeight="1">
      <c r="A703" s="36"/>
      <c r="B703" s="52"/>
      <c r="C703" s="40"/>
      <c r="D703" s="37"/>
      <c r="E703" s="38"/>
      <c r="F703" s="35"/>
      <c r="G703" s="35"/>
      <c r="H703" s="40"/>
      <c r="I703" s="37"/>
      <c r="J703" s="35"/>
      <c r="K703" s="35"/>
      <c r="L703" s="48"/>
      <c r="M703" s="49"/>
      <c r="N703" s="49"/>
    </row>
    <row r="704" spans="1:14" ht="15.75" customHeight="1">
      <c r="A704" s="36"/>
      <c r="B704" s="52"/>
      <c r="C704" s="40"/>
      <c r="D704" s="37"/>
      <c r="E704" s="38"/>
      <c r="F704" s="35"/>
      <c r="G704" s="35"/>
      <c r="H704" s="40"/>
      <c r="I704" s="37"/>
      <c r="J704" s="35"/>
      <c r="K704" s="35"/>
      <c r="L704" s="48"/>
      <c r="M704" s="49"/>
      <c r="N704" s="49"/>
    </row>
    <row r="705" spans="1:14" ht="15.75" customHeight="1">
      <c r="A705" s="36"/>
      <c r="B705" s="52"/>
      <c r="C705" s="40"/>
      <c r="D705" s="37"/>
      <c r="E705" s="38"/>
      <c r="F705" s="35"/>
      <c r="G705" s="35"/>
      <c r="H705" s="40"/>
      <c r="I705" s="37"/>
      <c r="J705" s="35"/>
      <c r="K705" s="35"/>
      <c r="L705" s="48"/>
      <c r="M705" s="49"/>
      <c r="N705" s="49"/>
    </row>
    <row r="706" spans="1:14" ht="15.75" customHeight="1">
      <c r="A706" s="36"/>
      <c r="B706" s="52"/>
      <c r="C706" s="40"/>
      <c r="D706" s="37"/>
      <c r="E706" s="38"/>
      <c r="F706" s="35"/>
      <c r="G706" s="35"/>
      <c r="H706" s="40"/>
      <c r="I706" s="37"/>
      <c r="J706" s="35"/>
      <c r="K706" s="35"/>
      <c r="L706" s="48"/>
      <c r="M706" s="49"/>
      <c r="N706" s="49"/>
    </row>
    <row r="707" spans="1:14" ht="15.75" customHeight="1">
      <c r="A707" s="36"/>
      <c r="B707" s="52"/>
      <c r="C707" s="40"/>
      <c r="D707" s="37"/>
      <c r="E707" s="38"/>
      <c r="F707" s="35"/>
      <c r="G707" s="35"/>
      <c r="H707" s="40"/>
      <c r="I707" s="37"/>
      <c r="J707" s="35"/>
      <c r="K707" s="35"/>
      <c r="L707" s="48"/>
      <c r="M707" s="49"/>
      <c r="N707" s="49"/>
    </row>
    <row r="708" spans="1:14" ht="15.75" customHeight="1">
      <c r="A708" s="36"/>
      <c r="B708" s="52"/>
      <c r="C708" s="40"/>
      <c r="D708" s="37"/>
      <c r="E708" s="38"/>
      <c r="F708" s="35"/>
      <c r="G708" s="35"/>
      <c r="H708" s="40"/>
      <c r="I708" s="37"/>
      <c r="J708" s="35"/>
      <c r="K708" s="35"/>
      <c r="L708" s="48"/>
      <c r="M708" s="49"/>
      <c r="N708" s="49"/>
    </row>
    <row r="709" spans="1:14" ht="15.75" customHeight="1">
      <c r="A709" s="36"/>
      <c r="B709" s="52"/>
      <c r="C709" s="40"/>
      <c r="D709" s="37"/>
      <c r="E709" s="38"/>
      <c r="F709" s="35"/>
      <c r="G709" s="35"/>
      <c r="H709" s="40"/>
      <c r="I709" s="37"/>
      <c r="J709" s="35"/>
      <c r="K709" s="35"/>
      <c r="L709" s="48"/>
      <c r="M709" s="49"/>
      <c r="N709" s="49"/>
    </row>
    <row r="710" spans="1:14" ht="15.75" customHeight="1">
      <c r="A710" s="36"/>
      <c r="B710" s="52"/>
      <c r="C710" s="40"/>
      <c r="D710" s="37"/>
      <c r="E710" s="38"/>
      <c r="F710" s="35"/>
      <c r="G710" s="35"/>
      <c r="H710" s="40"/>
      <c r="I710" s="37"/>
      <c r="J710" s="35"/>
      <c r="K710" s="35"/>
      <c r="L710" s="48"/>
      <c r="M710" s="49"/>
      <c r="N710" s="49"/>
    </row>
    <row r="711" spans="1:14" ht="15.75" customHeight="1">
      <c r="A711" s="36"/>
      <c r="B711" s="52"/>
      <c r="C711" s="40"/>
      <c r="D711" s="37"/>
      <c r="E711" s="38"/>
      <c r="F711" s="35"/>
      <c r="G711" s="35"/>
      <c r="H711" s="40"/>
      <c r="I711" s="37"/>
      <c r="J711" s="35"/>
      <c r="K711" s="35"/>
      <c r="L711" s="48"/>
      <c r="M711" s="49"/>
      <c r="N711" s="49"/>
    </row>
    <row r="712" spans="1:14" ht="15.75" customHeight="1">
      <c r="A712" s="36"/>
      <c r="B712" s="52"/>
      <c r="C712" s="40"/>
      <c r="D712" s="37"/>
      <c r="E712" s="38"/>
      <c r="F712" s="35"/>
      <c r="G712" s="35"/>
      <c r="H712" s="40"/>
      <c r="I712" s="37"/>
      <c r="J712" s="35"/>
      <c r="K712" s="35"/>
      <c r="L712" s="48"/>
      <c r="M712" s="49"/>
      <c r="N712" s="49"/>
    </row>
    <row r="713" spans="1:14" ht="15.75" customHeight="1">
      <c r="A713" s="36"/>
      <c r="B713" s="52"/>
      <c r="C713" s="40"/>
      <c r="D713" s="37"/>
      <c r="E713" s="38"/>
      <c r="F713" s="35"/>
      <c r="G713" s="35"/>
      <c r="H713" s="40"/>
      <c r="I713" s="37"/>
      <c r="J713" s="35"/>
      <c r="K713" s="35"/>
      <c r="L713" s="48"/>
      <c r="M713" s="49"/>
      <c r="N713" s="49"/>
    </row>
    <row r="714" spans="1:14" ht="15.75" customHeight="1">
      <c r="A714" s="36"/>
      <c r="B714" s="52"/>
      <c r="C714" s="40"/>
      <c r="D714" s="37"/>
      <c r="E714" s="38"/>
      <c r="F714" s="35"/>
      <c r="G714" s="35"/>
      <c r="H714" s="40"/>
      <c r="I714" s="37"/>
      <c r="J714" s="35"/>
      <c r="K714" s="35"/>
      <c r="L714" s="48"/>
      <c r="M714" s="49"/>
      <c r="N714" s="49"/>
    </row>
    <row r="715" spans="1:14" ht="15.75" customHeight="1">
      <c r="A715" s="36"/>
      <c r="B715" s="52"/>
      <c r="C715" s="40"/>
      <c r="D715" s="37"/>
      <c r="E715" s="38"/>
      <c r="F715" s="35"/>
      <c r="G715" s="35"/>
      <c r="H715" s="40"/>
      <c r="I715" s="37"/>
      <c r="J715" s="35"/>
      <c r="K715" s="35"/>
      <c r="L715" s="48"/>
      <c r="M715" s="49"/>
      <c r="N715" s="49"/>
    </row>
    <row r="716" spans="1:14" ht="15.75" customHeight="1">
      <c r="A716" s="36"/>
      <c r="B716" s="52"/>
      <c r="C716" s="40"/>
      <c r="D716" s="37"/>
      <c r="E716" s="38"/>
      <c r="F716" s="35"/>
      <c r="G716" s="35"/>
      <c r="H716" s="40"/>
      <c r="I716" s="37"/>
      <c r="J716" s="35"/>
      <c r="K716" s="35"/>
      <c r="L716" s="48"/>
      <c r="M716" s="49"/>
      <c r="N716" s="49"/>
    </row>
    <row r="717" spans="1:14" ht="15.75" customHeight="1">
      <c r="A717" s="36"/>
      <c r="B717" s="52"/>
      <c r="C717" s="40"/>
      <c r="D717" s="37"/>
      <c r="E717" s="38"/>
      <c r="F717" s="35"/>
      <c r="G717" s="35"/>
      <c r="H717" s="40"/>
      <c r="I717" s="37"/>
      <c r="J717" s="35"/>
      <c r="K717" s="35"/>
      <c r="L717" s="48"/>
      <c r="M717" s="49"/>
      <c r="N717" s="49"/>
    </row>
    <row r="718" spans="1:14" ht="15.75" customHeight="1">
      <c r="A718" s="36"/>
      <c r="B718" s="52"/>
      <c r="C718" s="40"/>
      <c r="D718" s="37"/>
      <c r="E718" s="38"/>
      <c r="F718" s="35"/>
      <c r="G718" s="35"/>
      <c r="H718" s="40"/>
      <c r="I718" s="37"/>
      <c r="J718" s="35"/>
      <c r="K718" s="35"/>
      <c r="L718" s="48"/>
      <c r="M718" s="49"/>
      <c r="N718" s="49"/>
    </row>
    <row r="719" spans="1:14" ht="15.75" customHeight="1">
      <c r="A719" s="36"/>
      <c r="B719" s="52"/>
      <c r="C719" s="40"/>
      <c r="D719" s="37"/>
      <c r="E719" s="38"/>
      <c r="F719" s="35"/>
      <c r="G719" s="35"/>
      <c r="H719" s="40"/>
      <c r="I719" s="37"/>
      <c r="J719" s="35"/>
      <c r="K719" s="35"/>
      <c r="L719" s="48"/>
      <c r="M719" s="49"/>
      <c r="N719" s="49"/>
    </row>
    <row r="720" spans="1:14" ht="15.75" customHeight="1">
      <c r="A720" s="36"/>
      <c r="B720" s="52"/>
      <c r="C720" s="40"/>
      <c r="D720" s="37"/>
      <c r="E720" s="38"/>
      <c r="F720" s="35"/>
      <c r="G720" s="35"/>
      <c r="H720" s="40"/>
      <c r="I720" s="37"/>
      <c r="J720" s="35"/>
      <c r="K720" s="35"/>
      <c r="L720" s="48"/>
      <c r="M720" s="49"/>
      <c r="N720" s="49"/>
    </row>
    <row r="721" spans="1:14" ht="15.75" customHeight="1">
      <c r="A721" s="36"/>
      <c r="B721" s="52"/>
      <c r="C721" s="40"/>
      <c r="D721" s="37"/>
      <c r="E721" s="38"/>
      <c r="F721" s="35"/>
      <c r="G721" s="35"/>
      <c r="H721" s="40"/>
      <c r="I721" s="37"/>
      <c r="J721" s="35"/>
      <c r="K721" s="35"/>
      <c r="L721" s="48"/>
      <c r="M721" s="49"/>
      <c r="N721" s="49"/>
    </row>
    <row r="722" spans="1:14" ht="15.75" customHeight="1">
      <c r="A722" s="36"/>
      <c r="B722" s="52"/>
      <c r="C722" s="40"/>
      <c r="D722" s="37"/>
      <c r="E722" s="38"/>
      <c r="F722" s="35"/>
      <c r="G722" s="35"/>
      <c r="H722" s="40"/>
      <c r="I722" s="37"/>
      <c r="J722" s="35"/>
      <c r="K722" s="35"/>
      <c r="L722" s="48"/>
      <c r="M722" s="49"/>
      <c r="N722" s="49"/>
    </row>
    <row r="723" spans="1:14" ht="15.75" customHeight="1">
      <c r="A723" s="36"/>
      <c r="B723" s="52"/>
      <c r="C723" s="40"/>
      <c r="D723" s="37"/>
      <c r="E723" s="38"/>
      <c r="F723" s="35"/>
      <c r="G723" s="35"/>
      <c r="H723" s="40"/>
      <c r="I723" s="37"/>
      <c r="J723" s="35"/>
      <c r="K723" s="35"/>
      <c r="L723" s="48"/>
      <c r="M723" s="49"/>
      <c r="N723" s="49"/>
    </row>
    <row r="724" spans="1:14" ht="15.75" customHeight="1">
      <c r="A724" s="36"/>
      <c r="B724" s="52"/>
      <c r="C724" s="40"/>
      <c r="D724" s="37"/>
      <c r="E724" s="38"/>
      <c r="F724" s="35"/>
      <c r="G724" s="35"/>
      <c r="H724" s="40"/>
      <c r="I724" s="37"/>
      <c r="J724" s="35"/>
      <c r="K724" s="35"/>
      <c r="L724" s="48"/>
      <c r="M724" s="49"/>
      <c r="N724" s="49"/>
    </row>
    <row r="725" spans="1:14" ht="15.75" customHeight="1">
      <c r="A725" s="36"/>
      <c r="B725" s="52"/>
      <c r="C725" s="40"/>
      <c r="D725" s="37"/>
      <c r="E725" s="38"/>
      <c r="F725" s="35"/>
      <c r="G725" s="35"/>
      <c r="H725" s="40"/>
      <c r="I725" s="37"/>
      <c r="J725" s="35"/>
      <c r="K725" s="35"/>
      <c r="L725" s="48"/>
      <c r="M725" s="49"/>
      <c r="N725" s="49"/>
    </row>
    <row r="726" spans="1:14" ht="15.75" customHeight="1">
      <c r="A726" s="36"/>
      <c r="B726" s="52"/>
      <c r="C726" s="40"/>
      <c r="D726" s="37"/>
      <c r="E726" s="38"/>
      <c r="F726" s="35"/>
      <c r="G726" s="35"/>
      <c r="H726" s="40"/>
      <c r="I726" s="37"/>
      <c r="J726" s="35"/>
      <c r="K726" s="35"/>
      <c r="L726" s="48"/>
      <c r="M726" s="49"/>
      <c r="N726" s="49"/>
    </row>
    <row r="727" spans="1:14" ht="15.75" customHeight="1">
      <c r="A727" s="36"/>
      <c r="B727" s="52"/>
      <c r="C727" s="40"/>
      <c r="D727" s="37"/>
      <c r="E727" s="38"/>
      <c r="F727" s="35"/>
      <c r="G727" s="35"/>
      <c r="H727" s="40"/>
      <c r="I727" s="37"/>
      <c r="J727" s="35"/>
      <c r="K727" s="35"/>
      <c r="L727" s="48"/>
      <c r="M727" s="49"/>
      <c r="N727" s="49"/>
    </row>
    <row r="728" spans="1:14" ht="15.75" customHeight="1">
      <c r="A728" s="36"/>
      <c r="B728" s="52"/>
      <c r="C728" s="40"/>
      <c r="D728" s="37"/>
      <c r="E728" s="38"/>
      <c r="F728" s="35"/>
      <c r="G728" s="35"/>
      <c r="H728" s="40"/>
      <c r="I728" s="37"/>
      <c r="J728" s="35"/>
      <c r="K728" s="35"/>
      <c r="L728" s="48"/>
      <c r="M728" s="49"/>
      <c r="N728" s="49"/>
    </row>
    <row r="729" spans="1:14" ht="15.75" customHeight="1">
      <c r="A729" s="36"/>
      <c r="B729" s="52"/>
      <c r="C729" s="40"/>
      <c r="D729" s="37"/>
      <c r="E729" s="38"/>
      <c r="F729" s="35"/>
      <c r="G729" s="35"/>
      <c r="H729" s="40"/>
      <c r="I729" s="37"/>
      <c r="J729" s="35"/>
      <c r="K729" s="35"/>
      <c r="L729" s="48"/>
      <c r="M729" s="49"/>
      <c r="N729" s="49"/>
    </row>
    <row r="730" spans="1:14" ht="15.75" customHeight="1">
      <c r="A730" s="36"/>
      <c r="B730" s="52"/>
      <c r="C730" s="40"/>
      <c r="D730" s="37"/>
      <c r="E730" s="38"/>
      <c r="F730" s="35"/>
      <c r="G730" s="35"/>
      <c r="H730" s="40"/>
      <c r="I730" s="37"/>
      <c r="J730" s="35"/>
      <c r="K730" s="35"/>
      <c r="L730" s="48"/>
      <c r="M730" s="49"/>
      <c r="N730" s="49"/>
    </row>
    <row r="731" spans="1:14" ht="15.75" customHeight="1">
      <c r="A731" s="36"/>
      <c r="B731" s="52"/>
      <c r="C731" s="40"/>
      <c r="D731" s="37"/>
      <c r="E731" s="38"/>
      <c r="F731" s="35"/>
      <c r="G731" s="35"/>
      <c r="H731" s="40"/>
      <c r="I731" s="37"/>
      <c r="J731" s="35"/>
      <c r="K731" s="35"/>
      <c r="L731" s="48"/>
      <c r="M731" s="49"/>
      <c r="N731" s="49"/>
    </row>
    <row r="732" spans="1:14" ht="15.75" customHeight="1">
      <c r="A732" s="36"/>
      <c r="B732" s="52"/>
      <c r="C732" s="40"/>
      <c r="D732" s="37"/>
      <c r="E732" s="38"/>
      <c r="F732" s="35"/>
      <c r="G732" s="35"/>
      <c r="H732" s="40"/>
      <c r="I732" s="37"/>
      <c r="J732" s="35"/>
      <c r="K732" s="35"/>
      <c r="L732" s="48"/>
      <c r="M732" s="49"/>
      <c r="N732" s="49"/>
    </row>
    <row r="733" spans="1:14" ht="15.75" customHeight="1">
      <c r="A733" s="36"/>
      <c r="B733" s="52"/>
      <c r="C733" s="40"/>
      <c r="D733" s="37"/>
      <c r="E733" s="38"/>
      <c r="F733" s="35"/>
      <c r="G733" s="35"/>
      <c r="H733" s="40"/>
      <c r="I733" s="37"/>
      <c r="J733" s="35"/>
      <c r="K733" s="35"/>
      <c r="L733" s="48"/>
      <c r="M733" s="49"/>
      <c r="N733" s="49"/>
    </row>
    <row r="734" spans="1:14" ht="15.75" customHeight="1">
      <c r="A734" s="36"/>
      <c r="B734" s="52"/>
      <c r="C734" s="40"/>
      <c r="D734" s="37"/>
      <c r="E734" s="38"/>
      <c r="F734" s="35"/>
      <c r="G734" s="35"/>
      <c r="H734" s="40"/>
      <c r="I734" s="37"/>
      <c r="J734" s="35"/>
      <c r="K734" s="35"/>
      <c r="L734" s="48"/>
      <c r="M734" s="49"/>
      <c r="N734" s="49"/>
    </row>
    <row r="735" spans="1:14" ht="15.75" customHeight="1">
      <c r="A735" s="36"/>
      <c r="B735" s="52"/>
      <c r="C735" s="40"/>
      <c r="D735" s="37"/>
      <c r="E735" s="38"/>
      <c r="F735" s="35"/>
      <c r="G735" s="35"/>
      <c r="H735" s="40"/>
      <c r="I735" s="37"/>
      <c r="J735" s="35"/>
      <c r="K735" s="35"/>
      <c r="L735" s="48"/>
      <c r="M735" s="49"/>
      <c r="N735" s="49"/>
    </row>
    <row r="736" spans="1:14" ht="15.75" customHeight="1">
      <c r="A736" s="36"/>
      <c r="B736" s="52"/>
      <c r="C736" s="40"/>
      <c r="D736" s="37"/>
      <c r="E736" s="38"/>
      <c r="F736" s="35"/>
      <c r="G736" s="35"/>
      <c r="H736" s="40"/>
      <c r="I736" s="37"/>
      <c r="J736" s="35"/>
      <c r="K736" s="35"/>
      <c r="L736" s="48"/>
      <c r="M736" s="49"/>
      <c r="N736" s="49"/>
    </row>
    <row r="737" spans="1:14" ht="15.75" customHeight="1">
      <c r="A737" s="36"/>
      <c r="B737" s="52"/>
      <c r="C737" s="40"/>
      <c r="D737" s="37"/>
      <c r="E737" s="38"/>
      <c r="F737" s="35"/>
      <c r="G737" s="35"/>
      <c r="H737" s="40"/>
      <c r="I737" s="37"/>
      <c r="J737" s="35"/>
      <c r="K737" s="35"/>
      <c r="L737" s="48"/>
      <c r="M737" s="49"/>
      <c r="N737" s="49"/>
    </row>
    <row r="738" spans="1:14" ht="15.75" customHeight="1">
      <c r="A738" s="36"/>
      <c r="B738" s="52"/>
      <c r="C738" s="40"/>
      <c r="D738" s="37"/>
      <c r="E738" s="38"/>
      <c r="F738" s="35"/>
      <c r="G738" s="35"/>
      <c r="H738" s="40"/>
      <c r="I738" s="37"/>
      <c r="J738" s="35"/>
      <c r="K738" s="35"/>
      <c r="L738" s="48"/>
      <c r="M738" s="49"/>
      <c r="N738" s="49"/>
    </row>
    <row r="739" spans="1:14" ht="15.75" customHeight="1">
      <c r="A739" s="36"/>
      <c r="B739" s="52"/>
      <c r="C739" s="40"/>
      <c r="D739" s="37"/>
      <c r="E739" s="38"/>
      <c r="F739" s="35"/>
      <c r="G739" s="35"/>
      <c r="H739" s="40"/>
      <c r="I739" s="37"/>
      <c r="J739" s="35"/>
      <c r="K739" s="35"/>
      <c r="L739" s="48"/>
      <c r="M739" s="49"/>
      <c r="N739" s="49"/>
    </row>
    <row r="740" spans="1:14" ht="15.75" customHeight="1">
      <c r="A740" s="36"/>
      <c r="B740" s="52"/>
      <c r="C740" s="40"/>
      <c r="D740" s="37"/>
      <c r="E740" s="38"/>
      <c r="F740" s="35"/>
      <c r="G740" s="35"/>
      <c r="H740" s="40"/>
      <c r="I740" s="37"/>
      <c r="J740" s="35"/>
      <c r="K740" s="35"/>
      <c r="L740" s="48"/>
      <c r="M740" s="49"/>
      <c r="N740" s="49"/>
    </row>
    <row r="741" spans="1:14" ht="15.75" customHeight="1">
      <c r="A741" s="36"/>
      <c r="B741" s="52"/>
      <c r="C741" s="40"/>
      <c r="D741" s="37"/>
      <c r="E741" s="38"/>
      <c r="F741" s="35"/>
      <c r="G741" s="35"/>
      <c r="H741" s="40"/>
      <c r="I741" s="37"/>
      <c r="J741" s="35"/>
      <c r="K741" s="35"/>
      <c r="L741" s="48"/>
      <c r="M741" s="49"/>
      <c r="N741" s="49"/>
    </row>
    <row r="742" spans="1:14" ht="15.75" customHeight="1">
      <c r="A742" s="36"/>
      <c r="B742" s="52"/>
      <c r="C742" s="40"/>
      <c r="D742" s="37"/>
      <c r="E742" s="38"/>
      <c r="F742" s="35"/>
      <c r="G742" s="35"/>
      <c r="H742" s="40"/>
      <c r="I742" s="37"/>
      <c r="J742" s="35"/>
      <c r="K742" s="35"/>
      <c r="L742" s="48"/>
      <c r="M742" s="49"/>
      <c r="N742" s="49"/>
    </row>
    <row r="743" spans="1:14" ht="15.75" customHeight="1">
      <c r="A743" s="36"/>
      <c r="B743" s="52"/>
      <c r="C743" s="40"/>
      <c r="D743" s="37"/>
      <c r="E743" s="38"/>
      <c r="F743" s="35"/>
      <c r="G743" s="35"/>
      <c r="H743" s="40"/>
      <c r="I743" s="37"/>
      <c r="J743" s="35"/>
      <c r="K743" s="35"/>
      <c r="L743" s="48"/>
      <c r="M743" s="49"/>
      <c r="N743" s="49"/>
    </row>
    <row r="744" spans="1:14" ht="15.75" customHeight="1">
      <c r="A744" s="36"/>
      <c r="B744" s="52"/>
      <c r="C744" s="40"/>
      <c r="D744" s="37"/>
      <c r="E744" s="38"/>
      <c r="F744" s="35"/>
      <c r="G744" s="35"/>
      <c r="H744" s="40"/>
      <c r="I744" s="37"/>
      <c r="J744" s="35"/>
      <c r="K744" s="35"/>
      <c r="L744" s="48"/>
      <c r="M744" s="49"/>
      <c r="N744" s="49"/>
    </row>
    <row r="745" spans="1:14" ht="15.75" customHeight="1">
      <c r="A745" s="36"/>
      <c r="B745" s="52"/>
      <c r="C745" s="40"/>
      <c r="D745" s="37"/>
      <c r="E745" s="38"/>
      <c r="F745" s="35"/>
      <c r="G745" s="35"/>
      <c r="H745" s="40"/>
      <c r="I745" s="37"/>
      <c r="J745" s="35"/>
      <c r="K745" s="35"/>
      <c r="L745" s="48"/>
      <c r="M745" s="49"/>
      <c r="N745" s="49"/>
    </row>
    <row r="746" spans="1:14" ht="15.75" customHeight="1">
      <c r="A746" s="36"/>
      <c r="B746" s="52"/>
      <c r="C746" s="40"/>
      <c r="D746" s="37"/>
      <c r="E746" s="38"/>
      <c r="F746" s="35"/>
      <c r="G746" s="35"/>
      <c r="H746" s="40"/>
      <c r="I746" s="37"/>
      <c r="J746" s="35"/>
      <c r="K746" s="35"/>
      <c r="L746" s="48"/>
      <c r="M746" s="49"/>
      <c r="N746" s="49"/>
    </row>
    <row r="747" spans="1:14" ht="15.75" customHeight="1">
      <c r="A747" s="36"/>
      <c r="B747" s="52"/>
      <c r="C747" s="40"/>
      <c r="D747" s="37"/>
      <c r="E747" s="38"/>
      <c r="F747" s="35"/>
      <c r="G747" s="35"/>
      <c r="H747" s="40"/>
      <c r="I747" s="37"/>
      <c r="J747" s="35"/>
      <c r="K747" s="35"/>
      <c r="L747" s="48"/>
      <c r="M747" s="49"/>
      <c r="N747" s="49"/>
    </row>
    <row r="748" spans="1:14" ht="15.75" customHeight="1">
      <c r="A748" s="36"/>
      <c r="B748" s="52"/>
      <c r="C748" s="40"/>
      <c r="D748" s="37"/>
      <c r="E748" s="38"/>
      <c r="F748" s="35"/>
      <c r="G748" s="35"/>
      <c r="H748" s="40"/>
      <c r="I748" s="37"/>
      <c r="J748" s="35"/>
      <c r="K748" s="35"/>
      <c r="L748" s="48"/>
      <c r="M748" s="49"/>
      <c r="N748" s="49"/>
    </row>
    <row r="749" spans="1:14" ht="15.75" customHeight="1">
      <c r="A749" s="36"/>
      <c r="B749" s="52"/>
      <c r="C749" s="40"/>
      <c r="D749" s="37"/>
      <c r="E749" s="38"/>
      <c r="F749" s="35"/>
      <c r="G749" s="35"/>
      <c r="H749" s="40"/>
      <c r="I749" s="37"/>
      <c r="J749" s="35"/>
      <c r="K749" s="35"/>
      <c r="L749" s="48"/>
      <c r="M749" s="49"/>
      <c r="N749" s="49"/>
    </row>
    <row r="750" spans="1:14" ht="15.75" customHeight="1">
      <c r="A750" s="36"/>
      <c r="B750" s="52"/>
      <c r="C750" s="40"/>
      <c r="D750" s="37"/>
      <c r="E750" s="38"/>
      <c r="F750" s="35"/>
      <c r="G750" s="35"/>
      <c r="H750" s="40"/>
      <c r="I750" s="37"/>
      <c r="J750" s="35"/>
      <c r="K750" s="35"/>
      <c r="L750" s="48"/>
      <c r="M750" s="49"/>
      <c r="N750" s="49"/>
    </row>
    <row r="751" spans="1:14" ht="15.75" customHeight="1">
      <c r="A751" s="36"/>
      <c r="B751" s="52"/>
      <c r="C751" s="40"/>
      <c r="D751" s="37"/>
      <c r="E751" s="38"/>
      <c r="F751" s="35"/>
      <c r="G751" s="35"/>
      <c r="H751" s="40"/>
      <c r="I751" s="37"/>
      <c r="J751" s="35"/>
      <c r="K751" s="35"/>
      <c r="L751" s="48"/>
      <c r="M751" s="49"/>
      <c r="N751" s="49"/>
    </row>
    <row r="752" spans="1:14" ht="15.75" customHeight="1">
      <c r="A752" s="36"/>
      <c r="B752" s="52"/>
      <c r="C752" s="40"/>
      <c r="D752" s="37"/>
      <c r="E752" s="38"/>
      <c r="F752" s="35"/>
      <c r="G752" s="35"/>
      <c r="H752" s="40"/>
      <c r="I752" s="37"/>
      <c r="J752" s="35"/>
      <c r="K752" s="35"/>
      <c r="L752" s="48"/>
      <c r="M752" s="49"/>
      <c r="N752" s="49"/>
    </row>
    <row r="753" spans="1:14" ht="15.75" customHeight="1">
      <c r="A753" s="36"/>
      <c r="B753" s="52"/>
      <c r="C753" s="40"/>
      <c r="D753" s="37"/>
      <c r="E753" s="38"/>
      <c r="F753" s="35"/>
      <c r="G753" s="35"/>
      <c r="H753" s="40"/>
      <c r="I753" s="37"/>
      <c r="J753" s="35"/>
      <c r="K753" s="35"/>
      <c r="L753" s="48"/>
      <c r="M753" s="49"/>
      <c r="N753" s="49"/>
    </row>
    <row r="754" spans="1:14" ht="15.75" customHeight="1">
      <c r="A754" s="36"/>
      <c r="B754" s="52"/>
      <c r="C754" s="40"/>
      <c r="D754" s="37"/>
      <c r="E754" s="38"/>
      <c r="F754" s="35"/>
      <c r="G754" s="35"/>
      <c r="H754" s="40"/>
      <c r="I754" s="37"/>
      <c r="J754" s="35"/>
      <c r="K754" s="35"/>
      <c r="L754" s="48"/>
      <c r="M754" s="49"/>
      <c r="N754" s="49"/>
    </row>
    <row r="755" spans="1:14" ht="15.75" customHeight="1">
      <c r="A755" s="36"/>
      <c r="B755" s="52"/>
      <c r="C755" s="40"/>
      <c r="D755" s="37"/>
      <c r="E755" s="38"/>
      <c r="F755" s="35"/>
      <c r="G755" s="35"/>
      <c r="H755" s="40"/>
      <c r="I755" s="37"/>
      <c r="J755" s="35"/>
      <c r="K755" s="35"/>
      <c r="L755" s="48"/>
      <c r="M755" s="49"/>
      <c r="N755" s="49"/>
    </row>
    <row r="756" spans="1:14" ht="15.75" customHeight="1">
      <c r="A756" s="36"/>
      <c r="B756" s="52"/>
      <c r="C756" s="40"/>
      <c r="D756" s="37"/>
      <c r="E756" s="38"/>
      <c r="F756" s="35"/>
      <c r="G756" s="35"/>
      <c r="H756" s="40"/>
      <c r="I756" s="37"/>
      <c r="J756" s="35"/>
      <c r="K756" s="35"/>
      <c r="L756" s="48"/>
      <c r="M756" s="49"/>
      <c r="N756" s="49"/>
    </row>
    <row r="757" spans="1:14" ht="15.75" customHeight="1">
      <c r="A757" s="36"/>
      <c r="B757" s="52"/>
      <c r="C757" s="40"/>
      <c r="D757" s="37"/>
      <c r="E757" s="38"/>
      <c r="F757" s="35"/>
      <c r="G757" s="35"/>
      <c r="H757" s="40"/>
      <c r="I757" s="37"/>
      <c r="J757" s="35"/>
      <c r="K757" s="35"/>
      <c r="L757" s="48"/>
      <c r="M757" s="49"/>
      <c r="N757" s="49"/>
    </row>
    <row r="758" spans="1:14" ht="15.75" customHeight="1">
      <c r="A758" s="36"/>
      <c r="B758" s="52"/>
      <c r="C758" s="40"/>
      <c r="D758" s="37"/>
      <c r="E758" s="38"/>
      <c r="F758" s="35"/>
      <c r="G758" s="35"/>
      <c r="H758" s="40"/>
      <c r="I758" s="37"/>
      <c r="J758" s="35"/>
      <c r="K758" s="35"/>
      <c r="L758" s="48"/>
      <c r="M758" s="49"/>
      <c r="N758" s="49"/>
    </row>
    <row r="759" spans="1:14" ht="15.75" customHeight="1">
      <c r="A759" s="36"/>
      <c r="B759" s="52"/>
      <c r="C759" s="40"/>
      <c r="D759" s="37"/>
      <c r="E759" s="38"/>
      <c r="F759" s="35"/>
      <c r="G759" s="35"/>
      <c r="H759" s="40"/>
      <c r="I759" s="37"/>
      <c r="J759" s="35"/>
      <c r="K759" s="35"/>
      <c r="L759" s="48"/>
      <c r="M759" s="49"/>
      <c r="N759" s="49"/>
    </row>
    <row r="760" spans="1:14" ht="15.75" customHeight="1">
      <c r="A760" s="36"/>
      <c r="B760" s="52"/>
      <c r="C760" s="40"/>
      <c r="D760" s="37"/>
      <c r="E760" s="38"/>
      <c r="F760" s="35"/>
      <c r="G760" s="35"/>
      <c r="H760" s="40"/>
      <c r="I760" s="37"/>
      <c r="J760" s="35"/>
      <c r="K760" s="35"/>
      <c r="L760" s="48"/>
      <c r="M760" s="49"/>
      <c r="N760" s="49"/>
    </row>
    <row r="761" spans="1:14" ht="15.75" customHeight="1">
      <c r="A761" s="36"/>
      <c r="B761" s="52"/>
      <c r="C761" s="40"/>
      <c r="D761" s="37"/>
      <c r="E761" s="38"/>
      <c r="F761" s="35"/>
      <c r="G761" s="35"/>
      <c r="H761" s="40"/>
      <c r="I761" s="37"/>
      <c r="J761" s="35"/>
      <c r="K761" s="35"/>
      <c r="L761" s="48"/>
      <c r="M761" s="49"/>
      <c r="N761" s="49"/>
    </row>
    <row r="762" spans="1:14" ht="15.75" customHeight="1">
      <c r="A762" s="36"/>
      <c r="B762" s="52"/>
      <c r="C762" s="40"/>
      <c r="D762" s="37"/>
      <c r="E762" s="38"/>
      <c r="F762" s="35"/>
      <c r="G762" s="35"/>
      <c r="H762" s="40"/>
      <c r="I762" s="37"/>
      <c r="J762" s="35"/>
      <c r="K762" s="35"/>
      <c r="L762" s="48"/>
      <c r="M762" s="49"/>
      <c r="N762" s="49"/>
    </row>
    <row r="763" spans="1:14" ht="15.75" customHeight="1">
      <c r="A763" s="36"/>
      <c r="B763" s="52"/>
      <c r="C763" s="40"/>
      <c r="D763" s="37"/>
      <c r="E763" s="38"/>
      <c r="F763" s="35"/>
      <c r="G763" s="35"/>
      <c r="H763" s="40"/>
      <c r="I763" s="37"/>
      <c r="J763" s="35"/>
      <c r="K763" s="35"/>
      <c r="L763" s="48"/>
      <c r="M763" s="49"/>
      <c r="N763" s="49"/>
    </row>
    <row r="764" spans="1:14" ht="15.75" customHeight="1">
      <c r="A764" s="36"/>
      <c r="B764" s="52"/>
      <c r="C764" s="40"/>
      <c r="D764" s="37"/>
      <c r="E764" s="38"/>
      <c r="F764" s="35"/>
      <c r="G764" s="35"/>
      <c r="H764" s="40"/>
      <c r="I764" s="37"/>
      <c r="J764" s="35"/>
      <c r="K764" s="35"/>
      <c r="L764" s="48"/>
      <c r="M764" s="49"/>
      <c r="N764" s="49"/>
    </row>
    <row r="765" spans="1:14" ht="15.75" customHeight="1">
      <c r="A765" s="36"/>
      <c r="B765" s="52"/>
      <c r="C765" s="40"/>
      <c r="D765" s="37"/>
      <c r="E765" s="38"/>
      <c r="F765" s="35"/>
      <c r="G765" s="35"/>
      <c r="H765" s="40"/>
      <c r="I765" s="37"/>
      <c r="J765" s="35"/>
      <c r="K765" s="35"/>
      <c r="L765" s="48"/>
      <c r="M765" s="49"/>
      <c r="N765" s="49"/>
    </row>
    <row r="766" spans="1:14" ht="15.75" customHeight="1">
      <c r="A766" s="36"/>
      <c r="B766" s="52"/>
      <c r="C766" s="40"/>
      <c r="D766" s="37"/>
      <c r="E766" s="38"/>
      <c r="F766" s="35"/>
      <c r="G766" s="35"/>
      <c r="H766" s="40"/>
      <c r="I766" s="37"/>
      <c r="J766" s="35"/>
      <c r="K766" s="35"/>
      <c r="L766" s="48"/>
      <c r="M766" s="49"/>
      <c r="N766" s="49"/>
    </row>
    <row r="767" spans="1:14" ht="15.75" customHeight="1">
      <c r="A767" s="36"/>
      <c r="B767" s="52"/>
      <c r="C767" s="40"/>
      <c r="D767" s="37"/>
      <c r="E767" s="38"/>
      <c r="F767" s="35"/>
      <c r="G767" s="35"/>
      <c r="H767" s="40"/>
      <c r="I767" s="37"/>
      <c r="J767" s="35"/>
      <c r="K767" s="35"/>
      <c r="L767" s="48"/>
      <c r="M767" s="49"/>
      <c r="N767" s="49"/>
    </row>
    <row r="768" spans="1:14" ht="15.75" customHeight="1">
      <c r="A768" s="36"/>
      <c r="B768" s="52"/>
      <c r="C768" s="40"/>
      <c r="D768" s="37"/>
      <c r="E768" s="38"/>
      <c r="F768" s="35"/>
      <c r="G768" s="35"/>
      <c r="H768" s="40"/>
      <c r="I768" s="37"/>
      <c r="J768" s="35"/>
      <c r="K768" s="35"/>
      <c r="L768" s="48"/>
      <c r="M768" s="49"/>
      <c r="N768" s="49"/>
    </row>
    <row r="769" spans="1:14" ht="15.75" customHeight="1">
      <c r="A769" s="36"/>
      <c r="B769" s="52"/>
      <c r="C769" s="40"/>
      <c r="D769" s="37"/>
      <c r="E769" s="38"/>
      <c r="F769" s="35"/>
      <c r="G769" s="35"/>
      <c r="H769" s="40"/>
      <c r="I769" s="37"/>
      <c r="J769" s="35"/>
      <c r="K769" s="35"/>
      <c r="L769" s="48"/>
      <c r="M769" s="49"/>
      <c r="N769" s="49"/>
    </row>
    <row r="770" spans="1:14" ht="15.75" customHeight="1">
      <c r="A770" s="36"/>
      <c r="B770" s="52"/>
      <c r="C770" s="40"/>
      <c r="D770" s="37"/>
      <c r="E770" s="38"/>
      <c r="F770" s="35"/>
      <c r="G770" s="35"/>
      <c r="H770" s="40"/>
      <c r="I770" s="37"/>
      <c r="J770" s="35"/>
      <c r="K770" s="35"/>
      <c r="L770" s="48"/>
      <c r="M770" s="49"/>
      <c r="N770" s="49"/>
    </row>
    <row r="771" spans="1:14" ht="15.75" customHeight="1">
      <c r="A771" s="36"/>
      <c r="B771" s="52"/>
      <c r="C771" s="40"/>
      <c r="D771" s="37"/>
      <c r="E771" s="38"/>
      <c r="F771" s="35"/>
      <c r="G771" s="35"/>
      <c r="H771" s="40"/>
      <c r="I771" s="37"/>
      <c r="J771" s="35"/>
      <c r="K771" s="35"/>
      <c r="L771" s="48"/>
      <c r="M771" s="49"/>
      <c r="N771" s="49"/>
    </row>
    <row r="772" spans="1:14" ht="15.75" customHeight="1">
      <c r="A772" s="36"/>
      <c r="B772" s="52"/>
      <c r="C772" s="40"/>
      <c r="D772" s="37"/>
      <c r="E772" s="38"/>
      <c r="F772" s="35"/>
      <c r="G772" s="35"/>
      <c r="H772" s="40"/>
      <c r="I772" s="37"/>
      <c r="J772" s="35"/>
      <c r="K772" s="35"/>
      <c r="L772" s="48"/>
      <c r="M772" s="49"/>
      <c r="N772" s="49"/>
    </row>
    <row r="773" spans="1:14" ht="15.75" customHeight="1">
      <c r="A773" s="36"/>
      <c r="B773" s="52"/>
      <c r="C773" s="40"/>
      <c r="D773" s="37"/>
      <c r="E773" s="38"/>
      <c r="F773" s="35"/>
      <c r="G773" s="35"/>
      <c r="H773" s="40"/>
      <c r="I773" s="37"/>
      <c r="J773" s="35"/>
      <c r="K773" s="35"/>
      <c r="L773" s="48"/>
      <c r="M773" s="49"/>
      <c r="N773" s="49"/>
    </row>
    <row r="774" spans="1:14" ht="15.75" customHeight="1">
      <c r="A774" s="36"/>
      <c r="B774" s="52"/>
      <c r="C774" s="40"/>
      <c r="D774" s="37"/>
      <c r="E774" s="38"/>
      <c r="F774" s="35"/>
      <c r="G774" s="35"/>
      <c r="H774" s="40"/>
      <c r="I774" s="37"/>
      <c r="J774" s="35"/>
      <c r="K774" s="35"/>
      <c r="L774" s="48"/>
      <c r="M774" s="49"/>
      <c r="N774" s="49"/>
    </row>
    <row r="775" spans="1:14" ht="15.75" customHeight="1">
      <c r="A775" s="36"/>
      <c r="B775" s="52"/>
      <c r="C775" s="40"/>
      <c r="D775" s="37"/>
      <c r="E775" s="38"/>
      <c r="F775" s="35"/>
      <c r="G775" s="35"/>
      <c r="H775" s="40"/>
      <c r="I775" s="37"/>
      <c r="J775" s="35"/>
      <c r="K775" s="35"/>
      <c r="L775" s="48"/>
      <c r="M775" s="49"/>
      <c r="N775" s="49"/>
    </row>
    <row r="776" spans="1:14" ht="15.75" customHeight="1">
      <c r="A776" s="36"/>
      <c r="B776" s="52"/>
      <c r="C776" s="40"/>
      <c r="D776" s="37"/>
      <c r="E776" s="38"/>
      <c r="F776" s="35"/>
      <c r="G776" s="35"/>
      <c r="H776" s="40"/>
      <c r="I776" s="37"/>
      <c r="J776" s="35"/>
      <c r="K776" s="35"/>
      <c r="L776" s="48"/>
      <c r="M776" s="49"/>
      <c r="N776" s="49"/>
    </row>
    <row r="777" spans="1:14" ht="15.75" customHeight="1">
      <c r="A777" s="36"/>
      <c r="B777" s="52"/>
      <c r="C777" s="40"/>
      <c r="D777" s="37"/>
      <c r="E777" s="38"/>
      <c r="F777" s="35"/>
      <c r="G777" s="35"/>
      <c r="H777" s="40"/>
      <c r="I777" s="37"/>
      <c r="J777" s="35"/>
      <c r="K777" s="35"/>
      <c r="L777" s="48"/>
      <c r="M777" s="49"/>
      <c r="N777" s="49"/>
    </row>
    <row r="778" spans="1:14" ht="15.75" customHeight="1">
      <c r="A778" s="36"/>
      <c r="B778" s="52"/>
      <c r="C778" s="40"/>
      <c r="D778" s="37"/>
      <c r="E778" s="38"/>
      <c r="F778" s="35"/>
      <c r="G778" s="35"/>
      <c r="H778" s="40"/>
      <c r="I778" s="37"/>
      <c r="J778" s="35"/>
      <c r="K778" s="35"/>
      <c r="L778" s="48"/>
      <c r="M778" s="49"/>
      <c r="N778" s="49"/>
    </row>
    <row r="779" spans="1:14" ht="15.75" customHeight="1">
      <c r="A779" s="36"/>
      <c r="B779" s="52"/>
      <c r="C779" s="40"/>
      <c r="D779" s="37"/>
      <c r="E779" s="38"/>
      <c r="F779" s="35"/>
      <c r="G779" s="35"/>
      <c r="H779" s="40"/>
      <c r="I779" s="37"/>
      <c r="J779" s="35"/>
      <c r="K779" s="35"/>
      <c r="L779" s="48"/>
      <c r="M779" s="49"/>
      <c r="N779" s="49"/>
    </row>
    <row r="780" spans="1:14" ht="15.75" customHeight="1">
      <c r="A780" s="36"/>
      <c r="B780" s="52"/>
      <c r="C780" s="40"/>
      <c r="D780" s="37"/>
      <c r="E780" s="38"/>
      <c r="F780" s="35"/>
      <c r="G780" s="35"/>
      <c r="H780" s="40"/>
      <c r="I780" s="37"/>
      <c r="J780" s="35"/>
      <c r="K780" s="35"/>
      <c r="L780" s="48"/>
      <c r="M780" s="49"/>
      <c r="N780" s="49"/>
    </row>
    <row r="781" spans="1:14" ht="15.75" customHeight="1">
      <c r="A781" s="36"/>
      <c r="B781" s="52"/>
      <c r="C781" s="40"/>
      <c r="D781" s="37"/>
      <c r="E781" s="38"/>
      <c r="F781" s="35"/>
      <c r="G781" s="35"/>
      <c r="H781" s="40"/>
      <c r="I781" s="37"/>
      <c r="J781" s="35"/>
      <c r="K781" s="35"/>
      <c r="L781" s="48"/>
      <c r="M781" s="49"/>
      <c r="N781" s="49"/>
    </row>
    <row r="782" spans="1:14" ht="15.75" customHeight="1">
      <c r="A782" s="36"/>
      <c r="B782" s="52"/>
      <c r="C782" s="40"/>
      <c r="D782" s="37"/>
      <c r="E782" s="38"/>
      <c r="F782" s="35"/>
      <c r="G782" s="35"/>
      <c r="H782" s="40"/>
      <c r="I782" s="37"/>
      <c r="J782" s="35"/>
      <c r="K782" s="35"/>
      <c r="L782" s="48"/>
      <c r="M782" s="49"/>
      <c r="N782" s="49"/>
    </row>
    <row r="783" spans="1:14" ht="15.75" customHeight="1">
      <c r="A783" s="36"/>
      <c r="B783" s="52"/>
      <c r="C783" s="40"/>
      <c r="D783" s="37"/>
      <c r="E783" s="38"/>
      <c r="F783" s="35"/>
      <c r="G783" s="35"/>
      <c r="H783" s="40"/>
      <c r="I783" s="37"/>
      <c r="J783" s="35"/>
      <c r="K783" s="35"/>
      <c r="L783" s="48"/>
      <c r="M783" s="49"/>
      <c r="N783" s="49"/>
    </row>
    <row r="784" spans="1:14" ht="15.75" customHeight="1">
      <c r="A784" s="36"/>
      <c r="B784" s="52"/>
      <c r="C784" s="40"/>
      <c r="D784" s="37"/>
      <c r="E784" s="38"/>
      <c r="F784" s="35"/>
      <c r="G784" s="35"/>
      <c r="H784" s="40"/>
      <c r="I784" s="37"/>
      <c r="J784" s="35"/>
      <c r="K784" s="35"/>
      <c r="L784" s="48"/>
      <c r="M784" s="49"/>
      <c r="N784" s="49"/>
    </row>
    <row r="785" spans="1:14" ht="15.75" customHeight="1">
      <c r="A785" s="36"/>
      <c r="B785" s="52"/>
      <c r="C785" s="40"/>
      <c r="D785" s="37"/>
      <c r="E785" s="38"/>
      <c r="F785" s="35"/>
      <c r="G785" s="35"/>
      <c r="H785" s="40"/>
      <c r="I785" s="37"/>
      <c r="J785" s="35"/>
      <c r="K785" s="35"/>
      <c r="L785" s="48"/>
      <c r="M785" s="49"/>
      <c r="N785" s="49"/>
    </row>
    <row r="786" spans="1:14" ht="15.75" customHeight="1">
      <c r="A786" s="36"/>
      <c r="B786" s="52"/>
      <c r="C786" s="40"/>
      <c r="D786" s="37"/>
      <c r="E786" s="38"/>
      <c r="F786" s="35"/>
      <c r="G786" s="35"/>
      <c r="H786" s="40"/>
      <c r="I786" s="37"/>
      <c r="J786" s="35"/>
      <c r="K786" s="35"/>
      <c r="L786" s="48"/>
      <c r="M786" s="49"/>
      <c r="N786" s="49"/>
    </row>
    <row r="787" spans="1:14" ht="15.75" customHeight="1">
      <c r="A787" s="36"/>
      <c r="B787" s="52"/>
      <c r="C787" s="40"/>
      <c r="D787" s="37"/>
      <c r="E787" s="38"/>
      <c r="F787" s="35"/>
      <c r="G787" s="35"/>
      <c r="H787" s="40"/>
      <c r="I787" s="37"/>
      <c r="J787" s="35"/>
      <c r="K787" s="35"/>
      <c r="L787" s="48"/>
      <c r="M787" s="49"/>
      <c r="N787" s="49"/>
    </row>
    <row r="788" spans="1:14" ht="15.75" customHeight="1">
      <c r="A788" s="36"/>
      <c r="B788" s="52"/>
      <c r="C788" s="40"/>
      <c r="D788" s="37"/>
      <c r="E788" s="38"/>
      <c r="F788" s="35"/>
      <c r="G788" s="35"/>
      <c r="H788" s="40"/>
      <c r="I788" s="37"/>
      <c r="J788" s="35"/>
      <c r="K788" s="35"/>
      <c r="L788" s="48"/>
      <c r="M788" s="49"/>
      <c r="N788" s="49"/>
    </row>
    <row r="789" spans="1:14" ht="15.75" customHeight="1">
      <c r="A789" s="36"/>
      <c r="B789" s="52"/>
      <c r="C789" s="40"/>
      <c r="D789" s="37"/>
      <c r="E789" s="38"/>
      <c r="F789" s="35"/>
      <c r="G789" s="35"/>
      <c r="H789" s="40"/>
      <c r="I789" s="37"/>
      <c r="J789" s="35"/>
      <c r="K789" s="35"/>
      <c r="L789" s="48"/>
      <c r="M789" s="49"/>
      <c r="N789" s="49"/>
    </row>
    <row r="790" spans="1:14" ht="15.75" customHeight="1">
      <c r="A790" s="36"/>
      <c r="B790" s="52"/>
      <c r="C790" s="40"/>
      <c r="D790" s="37"/>
      <c r="E790" s="38"/>
      <c r="F790" s="35"/>
      <c r="G790" s="35"/>
      <c r="H790" s="40"/>
      <c r="I790" s="37"/>
      <c r="J790" s="35"/>
      <c r="K790" s="35"/>
      <c r="L790" s="48"/>
      <c r="M790" s="49"/>
      <c r="N790" s="49"/>
    </row>
    <row r="791" spans="1:14" ht="15.75" customHeight="1">
      <c r="A791" s="36"/>
      <c r="B791" s="52"/>
      <c r="C791" s="40"/>
      <c r="D791" s="37"/>
      <c r="E791" s="38"/>
      <c r="F791" s="35"/>
      <c r="G791" s="35"/>
      <c r="H791" s="40"/>
      <c r="I791" s="37"/>
      <c r="J791" s="35"/>
      <c r="K791" s="35"/>
      <c r="L791" s="48"/>
      <c r="M791" s="49"/>
      <c r="N791" s="49"/>
    </row>
    <row r="792" spans="1:14" ht="15.75" customHeight="1">
      <c r="A792" s="36"/>
      <c r="B792" s="52"/>
      <c r="C792" s="40"/>
      <c r="D792" s="37"/>
      <c r="E792" s="38"/>
      <c r="F792" s="35"/>
      <c r="G792" s="35"/>
      <c r="H792" s="40"/>
      <c r="I792" s="37"/>
      <c r="J792" s="35"/>
      <c r="K792" s="35"/>
      <c r="L792" s="48"/>
      <c r="M792" s="49"/>
      <c r="N792" s="49"/>
    </row>
    <row r="793" spans="1:14" ht="15.75" customHeight="1">
      <c r="A793" s="36"/>
      <c r="B793" s="52"/>
      <c r="C793" s="40"/>
      <c r="D793" s="37"/>
      <c r="E793" s="38"/>
      <c r="F793" s="35"/>
      <c r="G793" s="35"/>
      <c r="H793" s="40"/>
      <c r="I793" s="37"/>
      <c r="J793" s="35"/>
      <c r="K793" s="35"/>
      <c r="L793" s="48"/>
      <c r="M793" s="49"/>
      <c r="N793" s="49"/>
    </row>
    <row r="794" spans="1:14" ht="15.75" customHeight="1">
      <c r="A794" s="36"/>
      <c r="B794" s="52"/>
      <c r="C794" s="40"/>
      <c r="D794" s="37"/>
      <c r="E794" s="38"/>
      <c r="F794" s="35"/>
      <c r="G794" s="35"/>
      <c r="H794" s="40"/>
      <c r="I794" s="37"/>
      <c r="J794" s="35"/>
      <c r="K794" s="35"/>
      <c r="L794" s="48"/>
      <c r="M794" s="49"/>
      <c r="N794" s="49"/>
    </row>
    <row r="795" spans="1:14" ht="15.75" customHeight="1">
      <c r="A795" s="36"/>
      <c r="B795" s="52"/>
      <c r="C795" s="40"/>
      <c r="D795" s="37"/>
      <c r="E795" s="38"/>
      <c r="F795" s="35"/>
      <c r="G795" s="35"/>
      <c r="H795" s="40"/>
      <c r="I795" s="37"/>
      <c r="J795" s="35"/>
      <c r="K795" s="35"/>
      <c r="L795" s="48"/>
      <c r="M795" s="49"/>
      <c r="N795" s="49"/>
    </row>
    <row r="796" spans="1:14" ht="15.75" customHeight="1">
      <c r="A796" s="36"/>
      <c r="B796" s="52"/>
      <c r="C796" s="40"/>
      <c r="D796" s="37"/>
      <c r="E796" s="38"/>
      <c r="F796" s="35"/>
      <c r="G796" s="35"/>
      <c r="H796" s="40"/>
      <c r="I796" s="37"/>
      <c r="J796" s="35"/>
      <c r="K796" s="35"/>
      <c r="L796" s="48"/>
      <c r="M796" s="49"/>
      <c r="N796" s="49"/>
    </row>
    <row r="797" spans="1:14" ht="15.75" customHeight="1">
      <c r="A797" s="36"/>
      <c r="B797" s="52"/>
      <c r="C797" s="40"/>
      <c r="D797" s="37"/>
      <c r="E797" s="38"/>
      <c r="F797" s="35"/>
      <c r="G797" s="35"/>
      <c r="H797" s="40"/>
      <c r="I797" s="37"/>
      <c r="J797" s="35"/>
      <c r="K797" s="35"/>
      <c r="L797" s="48"/>
      <c r="M797" s="49"/>
      <c r="N797" s="49"/>
    </row>
    <row r="798" spans="1:14" ht="15.75" customHeight="1">
      <c r="A798" s="36"/>
      <c r="B798" s="52"/>
      <c r="C798" s="40"/>
      <c r="D798" s="37"/>
      <c r="E798" s="38"/>
      <c r="F798" s="35"/>
      <c r="G798" s="35"/>
      <c r="H798" s="40"/>
      <c r="I798" s="37"/>
      <c r="J798" s="35"/>
      <c r="K798" s="35"/>
      <c r="L798" s="48"/>
      <c r="M798" s="49"/>
      <c r="N798" s="49"/>
    </row>
    <row r="799" spans="1:14" ht="15.75" customHeight="1">
      <c r="A799" s="36"/>
      <c r="B799" s="52"/>
      <c r="C799" s="40"/>
      <c r="D799" s="37"/>
      <c r="E799" s="38"/>
      <c r="F799" s="35"/>
      <c r="G799" s="35"/>
      <c r="H799" s="40"/>
      <c r="I799" s="37"/>
      <c r="J799" s="35"/>
      <c r="K799" s="35"/>
      <c r="L799" s="48"/>
      <c r="M799" s="49"/>
      <c r="N799" s="49"/>
    </row>
    <row r="800" spans="1:14" ht="15.75" customHeight="1">
      <c r="A800" s="36"/>
      <c r="B800" s="52"/>
      <c r="C800" s="40"/>
      <c r="D800" s="37"/>
      <c r="E800" s="38"/>
      <c r="F800" s="35"/>
      <c r="G800" s="35"/>
      <c r="H800" s="40"/>
      <c r="I800" s="37"/>
      <c r="J800" s="35"/>
      <c r="K800" s="35"/>
      <c r="L800" s="48"/>
      <c r="M800" s="49"/>
      <c r="N800" s="49"/>
    </row>
    <row r="801" spans="1:14" ht="15.75" customHeight="1">
      <c r="A801" s="36"/>
      <c r="B801" s="52"/>
      <c r="C801" s="40"/>
      <c r="D801" s="37"/>
      <c r="E801" s="38"/>
      <c r="F801" s="35"/>
      <c r="G801" s="35"/>
      <c r="H801" s="40"/>
      <c r="I801" s="37"/>
      <c r="J801" s="35"/>
      <c r="K801" s="35"/>
      <c r="L801" s="48"/>
      <c r="M801" s="49"/>
      <c r="N801" s="49"/>
    </row>
    <row r="802" spans="1:14" ht="15.75" customHeight="1">
      <c r="A802" s="36"/>
      <c r="B802" s="52"/>
      <c r="C802" s="40"/>
      <c r="D802" s="37"/>
      <c r="E802" s="38"/>
      <c r="F802" s="35"/>
      <c r="G802" s="35"/>
      <c r="H802" s="40"/>
      <c r="I802" s="37"/>
      <c r="J802" s="35"/>
      <c r="K802" s="35"/>
      <c r="L802" s="48"/>
      <c r="M802" s="49"/>
      <c r="N802" s="49"/>
    </row>
    <row r="803" spans="1:14" ht="15.75" customHeight="1">
      <c r="A803" s="36"/>
      <c r="B803" s="52"/>
      <c r="C803" s="40"/>
      <c r="D803" s="37"/>
      <c r="E803" s="38"/>
      <c r="F803" s="35"/>
      <c r="G803" s="35"/>
      <c r="H803" s="40"/>
      <c r="I803" s="37"/>
      <c r="J803" s="35"/>
      <c r="K803" s="35"/>
      <c r="L803" s="48"/>
      <c r="M803" s="49"/>
      <c r="N803" s="49"/>
    </row>
    <row r="804" spans="1:14" ht="15.75" customHeight="1">
      <c r="A804" s="36"/>
      <c r="B804" s="52"/>
      <c r="C804" s="40"/>
      <c r="D804" s="37"/>
      <c r="E804" s="38"/>
      <c r="F804" s="35"/>
      <c r="G804" s="35"/>
      <c r="H804" s="40"/>
      <c r="I804" s="37"/>
      <c r="J804" s="35"/>
      <c r="K804" s="35"/>
      <c r="L804" s="48"/>
      <c r="M804" s="49"/>
      <c r="N804" s="49"/>
    </row>
    <row r="805" spans="1:14" ht="15.75" customHeight="1">
      <c r="A805" s="36"/>
      <c r="B805" s="52"/>
      <c r="C805" s="40"/>
      <c r="D805" s="37"/>
      <c r="E805" s="38"/>
      <c r="F805" s="35"/>
      <c r="G805" s="35"/>
      <c r="H805" s="40"/>
      <c r="I805" s="37"/>
      <c r="J805" s="35"/>
      <c r="K805" s="35"/>
      <c r="L805" s="48"/>
      <c r="M805" s="49"/>
      <c r="N805" s="49"/>
    </row>
    <row r="806" spans="1:14" ht="15.75" customHeight="1">
      <c r="A806" s="36"/>
      <c r="B806" s="52"/>
      <c r="C806" s="40"/>
      <c r="D806" s="37"/>
      <c r="E806" s="38"/>
      <c r="F806" s="35"/>
      <c r="G806" s="35"/>
      <c r="H806" s="40"/>
      <c r="I806" s="37"/>
      <c r="J806" s="35"/>
      <c r="K806" s="35"/>
      <c r="L806" s="48"/>
      <c r="M806" s="49"/>
      <c r="N806" s="49"/>
    </row>
    <row r="807" spans="1:14" ht="15.75" customHeight="1">
      <c r="A807" s="36"/>
      <c r="B807" s="52"/>
      <c r="C807" s="40"/>
      <c r="D807" s="37"/>
      <c r="E807" s="38"/>
      <c r="F807" s="35"/>
      <c r="G807" s="35"/>
      <c r="H807" s="40"/>
      <c r="I807" s="37"/>
      <c r="J807" s="35"/>
      <c r="K807" s="35"/>
      <c r="L807" s="48"/>
      <c r="M807" s="49"/>
      <c r="N807" s="49"/>
    </row>
    <row r="808" spans="1:14" ht="15.75" customHeight="1">
      <c r="A808" s="36"/>
      <c r="B808" s="52"/>
      <c r="C808" s="40"/>
      <c r="D808" s="37"/>
      <c r="E808" s="38"/>
      <c r="F808" s="35"/>
      <c r="G808" s="35"/>
      <c r="H808" s="40"/>
      <c r="I808" s="37"/>
      <c r="J808" s="35"/>
      <c r="K808" s="35"/>
      <c r="L808" s="48"/>
      <c r="M808" s="49"/>
      <c r="N808" s="49"/>
    </row>
    <row r="809" spans="1:14" ht="15.75" customHeight="1">
      <c r="A809" s="36"/>
      <c r="B809" s="52"/>
      <c r="C809" s="40"/>
      <c r="D809" s="37"/>
      <c r="E809" s="38"/>
      <c r="F809" s="35"/>
      <c r="G809" s="35"/>
      <c r="H809" s="40"/>
      <c r="I809" s="37"/>
      <c r="J809" s="35"/>
      <c r="K809" s="35"/>
      <c r="L809" s="48"/>
      <c r="M809" s="49"/>
      <c r="N809" s="49"/>
    </row>
    <row r="810" spans="1:14" ht="15.75" customHeight="1">
      <c r="A810" s="36"/>
      <c r="B810" s="52"/>
      <c r="C810" s="40"/>
      <c r="D810" s="37"/>
      <c r="E810" s="38"/>
      <c r="F810" s="35"/>
      <c r="G810" s="35"/>
      <c r="H810" s="40"/>
      <c r="I810" s="37"/>
      <c r="J810" s="35"/>
      <c r="K810" s="35"/>
      <c r="L810" s="48"/>
      <c r="M810" s="49"/>
      <c r="N810" s="49"/>
    </row>
    <row r="811" spans="1:14" ht="15.75" customHeight="1">
      <c r="A811" s="36"/>
      <c r="B811" s="52"/>
      <c r="C811" s="40"/>
      <c r="D811" s="37"/>
      <c r="E811" s="38"/>
      <c r="F811" s="35"/>
      <c r="G811" s="35"/>
      <c r="H811" s="40"/>
      <c r="I811" s="37"/>
      <c r="J811" s="35"/>
      <c r="K811" s="35"/>
      <c r="L811" s="48"/>
      <c r="M811" s="49"/>
      <c r="N811" s="49"/>
    </row>
    <row r="812" spans="1:14" ht="15.75" customHeight="1">
      <c r="A812" s="36"/>
      <c r="B812" s="52"/>
      <c r="C812" s="40"/>
      <c r="D812" s="37"/>
      <c r="E812" s="38"/>
      <c r="F812" s="35"/>
      <c r="G812" s="35"/>
      <c r="H812" s="40"/>
      <c r="I812" s="37"/>
      <c r="J812" s="35"/>
      <c r="K812" s="35"/>
      <c r="L812" s="48"/>
      <c r="M812" s="49"/>
      <c r="N812" s="49"/>
    </row>
    <row r="813" spans="1:14" ht="15.75" customHeight="1">
      <c r="A813" s="36"/>
      <c r="B813" s="52"/>
      <c r="C813" s="40"/>
      <c r="D813" s="37"/>
      <c r="E813" s="38"/>
      <c r="F813" s="35"/>
      <c r="G813" s="35"/>
      <c r="H813" s="40"/>
      <c r="I813" s="37"/>
      <c r="J813" s="35"/>
      <c r="K813" s="35"/>
      <c r="L813" s="48"/>
      <c r="M813" s="49"/>
      <c r="N813" s="49"/>
    </row>
    <row r="814" spans="1:14" ht="15.75" customHeight="1">
      <c r="A814" s="36"/>
      <c r="B814" s="52"/>
      <c r="C814" s="40"/>
      <c r="D814" s="37"/>
      <c r="E814" s="38"/>
      <c r="F814" s="35"/>
      <c r="G814" s="35"/>
      <c r="H814" s="40"/>
      <c r="I814" s="37"/>
      <c r="J814" s="35"/>
      <c r="K814" s="35"/>
      <c r="L814" s="48"/>
      <c r="M814" s="49"/>
      <c r="N814" s="49"/>
    </row>
    <row r="815" spans="1:14" ht="15.75" customHeight="1">
      <c r="A815" s="36"/>
      <c r="B815" s="52"/>
      <c r="C815" s="40"/>
      <c r="D815" s="37"/>
      <c r="E815" s="38"/>
      <c r="F815" s="35"/>
      <c r="G815" s="35"/>
      <c r="H815" s="40"/>
      <c r="I815" s="37"/>
      <c r="J815" s="35"/>
      <c r="K815" s="35"/>
      <c r="L815" s="48"/>
      <c r="M815" s="49"/>
      <c r="N815" s="49"/>
    </row>
    <row r="816" spans="1:14" ht="15.75" customHeight="1">
      <c r="A816" s="36"/>
      <c r="B816" s="52"/>
      <c r="C816" s="40"/>
      <c r="D816" s="37"/>
      <c r="E816" s="38"/>
      <c r="F816" s="35"/>
      <c r="G816" s="35"/>
      <c r="H816" s="40"/>
      <c r="I816" s="37"/>
      <c r="J816" s="35"/>
      <c r="K816" s="35"/>
      <c r="L816" s="48"/>
      <c r="M816" s="49"/>
      <c r="N816" s="49"/>
    </row>
    <row r="817" spans="1:14" ht="15.75" customHeight="1">
      <c r="A817" s="36"/>
      <c r="B817" s="52"/>
      <c r="C817" s="40"/>
      <c r="D817" s="37"/>
      <c r="E817" s="38"/>
      <c r="F817" s="35"/>
      <c r="G817" s="35"/>
      <c r="H817" s="40"/>
      <c r="I817" s="37"/>
      <c r="J817" s="35"/>
      <c r="K817" s="35"/>
      <c r="L817" s="48"/>
      <c r="M817" s="49"/>
      <c r="N817" s="49"/>
    </row>
    <row r="818" spans="1:14" ht="15.75" customHeight="1">
      <c r="A818" s="36"/>
      <c r="B818" s="52"/>
      <c r="C818" s="40"/>
      <c r="D818" s="37"/>
      <c r="E818" s="38"/>
      <c r="F818" s="35"/>
      <c r="G818" s="35"/>
      <c r="H818" s="40"/>
      <c r="I818" s="37"/>
      <c r="J818" s="35"/>
      <c r="K818" s="35"/>
      <c r="L818" s="48"/>
      <c r="M818" s="49"/>
      <c r="N818" s="49"/>
    </row>
    <row r="819" spans="1:14" ht="15.75" customHeight="1">
      <c r="A819" s="36"/>
      <c r="B819" s="52"/>
      <c r="C819" s="40"/>
      <c r="D819" s="37"/>
      <c r="E819" s="38"/>
      <c r="F819" s="35"/>
      <c r="G819" s="35"/>
      <c r="H819" s="40"/>
      <c r="I819" s="37"/>
      <c r="J819" s="35"/>
      <c r="K819" s="35"/>
      <c r="L819" s="48"/>
      <c r="M819" s="49"/>
      <c r="N819" s="49"/>
    </row>
    <row r="820" spans="1:14" ht="15.75" customHeight="1">
      <c r="A820" s="36"/>
      <c r="B820" s="52"/>
      <c r="C820" s="40"/>
      <c r="D820" s="37"/>
      <c r="E820" s="38"/>
      <c r="F820" s="35"/>
      <c r="G820" s="35"/>
      <c r="H820" s="40"/>
      <c r="I820" s="37"/>
      <c r="J820" s="35"/>
      <c r="K820" s="35"/>
      <c r="L820" s="48"/>
      <c r="M820" s="49"/>
      <c r="N820" s="49"/>
    </row>
    <row r="821" spans="1:14" ht="15.75" customHeight="1">
      <c r="A821" s="36"/>
      <c r="B821" s="52"/>
      <c r="C821" s="40"/>
      <c r="D821" s="37"/>
      <c r="E821" s="38"/>
      <c r="F821" s="35"/>
      <c r="G821" s="35"/>
      <c r="H821" s="40"/>
      <c r="I821" s="37"/>
      <c r="J821" s="35"/>
      <c r="K821" s="35"/>
      <c r="L821" s="48"/>
      <c r="M821" s="49"/>
      <c r="N821" s="49"/>
    </row>
    <row r="822" spans="1:14" ht="15.75" customHeight="1">
      <c r="A822" s="36"/>
      <c r="B822" s="52"/>
      <c r="C822" s="40"/>
      <c r="D822" s="37"/>
      <c r="E822" s="38"/>
      <c r="F822" s="35"/>
      <c r="G822" s="35"/>
      <c r="H822" s="40"/>
      <c r="I822" s="37"/>
      <c r="J822" s="35"/>
      <c r="K822" s="35"/>
      <c r="L822" s="48"/>
      <c r="M822" s="49"/>
      <c r="N822" s="49"/>
    </row>
    <row r="823" spans="1:14" ht="15.75" customHeight="1">
      <c r="A823" s="36"/>
      <c r="B823" s="52"/>
      <c r="C823" s="40"/>
      <c r="D823" s="37"/>
      <c r="E823" s="38"/>
      <c r="F823" s="35"/>
      <c r="G823" s="35"/>
      <c r="H823" s="40"/>
      <c r="I823" s="37"/>
      <c r="J823" s="35"/>
      <c r="K823" s="35"/>
      <c r="L823" s="48"/>
      <c r="M823" s="49"/>
      <c r="N823" s="49"/>
    </row>
    <row r="824" spans="1:14" ht="15.75" customHeight="1">
      <c r="A824" s="36"/>
      <c r="B824" s="52"/>
      <c r="C824" s="40"/>
      <c r="D824" s="37"/>
      <c r="E824" s="38"/>
      <c r="F824" s="35"/>
      <c r="G824" s="35"/>
      <c r="H824" s="40"/>
      <c r="I824" s="37"/>
      <c r="J824" s="35"/>
      <c r="K824" s="35"/>
      <c r="L824" s="48"/>
      <c r="M824" s="49"/>
      <c r="N824" s="49"/>
    </row>
    <row r="825" spans="1:14" ht="15.75" customHeight="1">
      <c r="A825" s="36"/>
      <c r="B825" s="52"/>
      <c r="C825" s="40"/>
      <c r="D825" s="37"/>
      <c r="E825" s="38"/>
      <c r="F825" s="35"/>
      <c r="G825" s="35"/>
      <c r="H825" s="40"/>
      <c r="I825" s="37"/>
      <c r="J825" s="35"/>
      <c r="K825" s="35"/>
      <c r="L825" s="48"/>
      <c r="M825" s="49"/>
      <c r="N825" s="49"/>
    </row>
    <row r="826" spans="1:14" ht="15.75" customHeight="1">
      <c r="A826" s="36"/>
      <c r="B826" s="52"/>
      <c r="C826" s="40"/>
      <c r="D826" s="37"/>
      <c r="E826" s="38"/>
      <c r="F826" s="35"/>
      <c r="G826" s="35"/>
      <c r="H826" s="40"/>
      <c r="I826" s="37"/>
      <c r="J826" s="35"/>
      <c r="K826" s="35"/>
      <c r="L826" s="48"/>
      <c r="M826" s="49"/>
      <c r="N826" s="49"/>
    </row>
    <row r="827" spans="1:14" ht="15.75" customHeight="1">
      <c r="A827" s="36"/>
      <c r="B827" s="52"/>
      <c r="C827" s="40"/>
      <c r="D827" s="37"/>
      <c r="E827" s="38"/>
      <c r="F827" s="35"/>
      <c r="G827" s="35"/>
      <c r="H827" s="40"/>
      <c r="I827" s="37"/>
      <c r="J827" s="35"/>
      <c r="K827" s="35"/>
      <c r="L827" s="48"/>
      <c r="M827" s="49"/>
      <c r="N827" s="49"/>
    </row>
    <row r="828" spans="1:14" ht="15.75" customHeight="1">
      <c r="A828" s="36"/>
      <c r="B828" s="52"/>
      <c r="C828" s="40"/>
      <c r="D828" s="37"/>
      <c r="E828" s="38"/>
      <c r="F828" s="35"/>
      <c r="G828" s="35"/>
      <c r="H828" s="40"/>
      <c r="I828" s="37"/>
      <c r="J828" s="35"/>
      <c r="K828" s="35"/>
      <c r="L828" s="48"/>
      <c r="M828" s="49"/>
      <c r="N828" s="49"/>
    </row>
    <row r="829" spans="1:14" ht="15.75" customHeight="1">
      <c r="A829" s="36"/>
      <c r="B829" s="52"/>
      <c r="C829" s="40"/>
      <c r="D829" s="37"/>
      <c r="E829" s="38"/>
      <c r="F829" s="35"/>
      <c r="G829" s="35"/>
      <c r="H829" s="40"/>
      <c r="I829" s="37"/>
      <c r="J829" s="35"/>
      <c r="K829" s="35"/>
      <c r="L829" s="48"/>
      <c r="M829" s="49"/>
      <c r="N829" s="49"/>
    </row>
    <row r="830" spans="1:14" ht="15.75" customHeight="1">
      <c r="A830" s="36"/>
      <c r="B830" s="52"/>
      <c r="C830" s="40"/>
      <c r="D830" s="37"/>
      <c r="E830" s="38"/>
      <c r="F830" s="35"/>
      <c r="G830" s="35"/>
      <c r="H830" s="40"/>
      <c r="I830" s="37"/>
      <c r="J830" s="35"/>
      <c r="K830" s="35"/>
      <c r="L830" s="48"/>
      <c r="M830" s="49"/>
      <c r="N830" s="49"/>
    </row>
    <row r="831" spans="1:14" ht="15.75" customHeight="1">
      <c r="A831" s="36"/>
      <c r="B831" s="52"/>
      <c r="C831" s="40"/>
      <c r="D831" s="37"/>
      <c r="E831" s="38"/>
      <c r="F831" s="35"/>
      <c r="G831" s="35"/>
      <c r="H831" s="40"/>
      <c r="I831" s="37"/>
      <c r="J831" s="35"/>
      <c r="K831" s="35"/>
      <c r="L831" s="48"/>
      <c r="M831" s="49"/>
      <c r="N831" s="49"/>
    </row>
    <row r="832" spans="1:14" ht="15.75" customHeight="1">
      <c r="A832" s="36"/>
      <c r="B832" s="52"/>
      <c r="C832" s="40"/>
      <c r="D832" s="37"/>
      <c r="E832" s="38"/>
      <c r="F832" s="35"/>
      <c r="G832" s="35"/>
      <c r="H832" s="40"/>
      <c r="I832" s="37"/>
      <c r="J832" s="35"/>
      <c r="K832" s="35"/>
      <c r="L832" s="48"/>
      <c r="M832" s="49"/>
      <c r="N832" s="49"/>
    </row>
    <row r="833" spans="1:14" ht="15.75" customHeight="1">
      <c r="A833" s="36"/>
      <c r="B833" s="52"/>
      <c r="C833" s="40"/>
      <c r="D833" s="37"/>
      <c r="E833" s="38"/>
      <c r="F833" s="35"/>
      <c r="G833" s="35"/>
      <c r="H833" s="40"/>
      <c r="I833" s="37"/>
      <c r="J833" s="35"/>
      <c r="K833" s="35"/>
      <c r="L833" s="48"/>
      <c r="M833" s="49"/>
      <c r="N833" s="49"/>
    </row>
    <row r="834" spans="1:14" ht="15.75" customHeight="1">
      <c r="A834" s="36"/>
      <c r="B834" s="52"/>
      <c r="C834" s="40"/>
      <c r="D834" s="37"/>
      <c r="E834" s="38"/>
      <c r="F834" s="35"/>
      <c r="G834" s="35"/>
      <c r="H834" s="40"/>
      <c r="I834" s="37"/>
      <c r="J834" s="35"/>
      <c r="K834" s="35"/>
      <c r="L834" s="48"/>
      <c r="M834" s="49"/>
      <c r="N834" s="49"/>
    </row>
    <row r="835" spans="1:14" ht="15.75" customHeight="1">
      <c r="A835" s="36"/>
      <c r="B835" s="52"/>
      <c r="C835" s="40"/>
      <c r="D835" s="37"/>
      <c r="E835" s="38"/>
      <c r="F835" s="35"/>
      <c r="G835" s="35"/>
      <c r="H835" s="40"/>
      <c r="I835" s="37"/>
      <c r="J835" s="35"/>
      <c r="K835" s="35"/>
      <c r="L835" s="48"/>
      <c r="M835" s="49"/>
      <c r="N835" s="49"/>
    </row>
    <row r="836" spans="1:14" ht="15.75" customHeight="1">
      <c r="A836" s="36"/>
      <c r="B836" s="52"/>
      <c r="C836" s="40"/>
      <c r="D836" s="37"/>
      <c r="E836" s="38"/>
      <c r="F836" s="35"/>
      <c r="G836" s="35"/>
      <c r="H836" s="40"/>
      <c r="I836" s="37"/>
      <c r="J836" s="35"/>
      <c r="K836" s="35"/>
      <c r="L836" s="48"/>
      <c r="M836" s="49"/>
      <c r="N836" s="49"/>
    </row>
    <row r="837" spans="1:14" ht="15.75" customHeight="1">
      <c r="A837" s="36"/>
      <c r="B837" s="52"/>
      <c r="C837" s="40"/>
      <c r="D837" s="37"/>
      <c r="E837" s="38"/>
      <c r="F837" s="35"/>
      <c r="G837" s="35"/>
      <c r="H837" s="40"/>
      <c r="I837" s="37"/>
      <c r="J837" s="35"/>
      <c r="K837" s="35"/>
      <c r="L837" s="48"/>
      <c r="M837" s="49"/>
      <c r="N837" s="49"/>
    </row>
    <row r="838" spans="1:14" ht="15.75" customHeight="1">
      <c r="A838" s="36"/>
      <c r="B838" s="52"/>
      <c r="C838" s="40"/>
      <c r="D838" s="37"/>
      <c r="E838" s="38"/>
      <c r="F838" s="35"/>
      <c r="G838" s="35"/>
      <c r="H838" s="40"/>
      <c r="I838" s="37"/>
      <c r="J838" s="35"/>
      <c r="K838" s="35"/>
      <c r="L838" s="48"/>
      <c r="M838" s="49"/>
      <c r="N838" s="49"/>
    </row>
    <row r="839" spans="1:14" ht="15.75" customHeight="1">
      <c r="A839" s="36"/>
      <c r="B839" s="52"/>
      <c r="C839" s="40"/>
      <c r="D839" s="37"/>
      <c r="E839" s="38"/>
      <c r="F839" s="35"/>
      <c r="G839" s="35"/>
      <c r="H839" s="40"/>
      <c r="I839" s="37"/>
      <c r="J839" s="35"/>
      <c r="K839" s="35"/>
      <c r="L839" s="48"/>
      <c r="M839" s="49"/>
      <c r="N839" s="49"/>
    </row>
    <row r="840" spans="1:14" ht="15.75" customHeight="1">
      <c r="A840" s="36"/>
      <c r="B840" s="52"/>
      <c r="C840" s="40"/>
      <c r="D840" s="37"/>
      <c r="E840" s="38"/>
      <c r="F840" s="35"/>
      <c r="G840" s="35"/>
      <c r="H840" s="40"/>
      <c r="I840" s="37"/>
      <c r="J840" s="35"/>
      <c r="K840" s="35"/>
      <c r="L840" s="48"/>
      <c r="M840" s="49"/>
      <c r="N840" s="49"/>
    </row>
    <row r="841" spans="1:14" ht="15.75" customHeight="1">
      <c r="A841" s="36"/>
      <c r="B841" s="52"/>
      <c r="C841" s="40"/>
      <c r="D841" s="37"/>
      <c r="E841" s="38"/>
      <c r="F841" s="35"/>
      <c r="G841" s="35"/>
      <c r="H841" s="40"/>
      <c r="I841" s="37"/>
      <c r="J841" s="35"/>
      <c r="K841" s="35"/>
      <c r="L841" s="48"/>
      <c r="M841" s="49"/>
      <c r="N841" s="49"/>
    </row>
    <row r="842" spans="1:14" ht="15.75" customHeight="1">
      <c r="A842" s="36"/>
      <c r="B842" s="52"/>
      <c r="C842" s="40"/>
      <c r="D842" s="37"/>
      <c r="E842" s="38"/>
      <c r="F842" s="35"/>
      <c r="G842" s="35"/>
      <c r="H842" s="40"/>
      <c r="I842" s="37"/>
      <c r="J842" s="35"/>
      <c r="K842" s="35"/>
      <c r="L842" s="48"/>
      <c r="M842" s="49"/>
      <c r="N842" s="49"/>
    </row>
    <row r="843" spans="1:14" ht="15.75" customHeight="1">
      <c r="A843" s="36"/>
      <c r="B843" s="52"/>
      <c r="C843" s="40"/>
      <c r="D843" s="37"/>
      <c r="E843" s="38"/>
      <c r="F843" s="35"/>
      <c r="G843" s="35"/>
      <c r="H843" s="40"/>
      <c r="I843" s="37"/>
      <c r="J843" s="35"/>
      <c r="K843" s="35"/>
      <c r="L843" s="48"/>
      <c r="M843" s="49"/>
      <c r="N843" s="49"/>
    </row>
    <row r="844" spans="1:14" ht="15.75" customHeight="1">
      <c r="A844" s="36"/>
      <c r="B844" s="52"/>
      <c r="C844" s="40"/>
      <c r="D844" s="37"/>
      <c r="E844" s="38"/>
      <c r="F844" s="35"/>
      <c r="G844" s="35"/>
      <c r="H844" s="40"/>
      <c r="I844" s="37"/>
      <c r="J844" s="35"/>
      <c r="K844" s="35"/>
      <c r="L844" s="48"/>
      <c r="M844" s="49"/>
      <c r="N844" s="49"/>
    </row>
    <row r="845" spans="1:14" ht="15.75" customHeight="1">
      <c r="A845" s="36"/>
      <c r="B845" s="52"/>
      <c r="C845" s="40"/>
      <c r="D845" s="37"/>
      <c r="E845" s="38"/>
      <c r="F845" s="35"/>
      <c r="G845" s="35"/>
      <c r="H845" s="40"/>
      <c r="I845" s="37"/>
      <c r="J845" s="35"/>
      <c r="K845" s="35"/>
      <c r="L845" s="48"/>
      <c r="M845" s="49"/>
      <c r="N845" s="49"/>
    </row>
    <row r="846" spans="1:14" ht="15.75" customHeight="1">
      <c r="A846" s="36"/>
      <c r="B846" s="52"/>
      <c r="C846" s="40"/>
      <c r="D846" s="37"/>
      <c r="E846" s="38"/>
      <c r="F846" s="35"/>
      <c r="G846" s="35"/>
      <c r="H846" s="40"/>
      <c r="I846" s="37"/>
      <c r="J846" s="35"/>
      <c r="K846" s="35"/>
      <c r="L846" s="48"/>
      <c r="M846" s="49"/>
      <c r="N846" s="49"/>
    </row>
    <row r="847" spans="1:14" ht="15.75" customHeight="1">
      <c r="A847" s="36"/>
      <c r="B847" s="52"/>
      <c r="C847" s="40"/>
      <c r="D847" s="37"/>
      <c r="E847" s="38"/>
      <c r="F847" s="35"/>
      <c r="G847" s="35"/>
      <c r="H847" s="40"/>
      <c r="I847" s="37"/>
      <c r="J847" s="35"/>
      <c r="K847" s="35"/>
      <c r="L847" s="48"/>
      <c r="M847" s="49"/>
      <c r="N847" s="49"/>
    </row>
    <row r="848" spans="1:14" ht="15.75" customHeight="1">
      <c r="A848" s="36"/>
      <c r="B848" s="52"/>
      <c r="C848" s="40"/>
      <c r="D848" s="37"/>
      <c r="E848" s="38"/>
      <c r="F848" s="35"/>
      <c r="G848" s="35"/>
      <c r="H848" s="40"/>
      <c r="I848" s="37"/>
      <c r="J848" s="35"/>
      <c r="K848" s="35"/>
      <c r="L848" s="48"/>
      <c r="M848" s="49"/>
      <c r="N848" s="49"/>
    </row>
    <row r="849" spans="1:17" ht="15.75" customHeight="1">
      <c r="A849" s="36"/>
      <c r="B849" s="52"/>
      <c r="C849" s="40"/>
      <c r="D849" s="37"/>
      <c r="E849" s="38"/>
      <c r="F849" s="35"/>
      <c r="G849" s="35"/>
      <c r="H849" s="40"/>
      <c r="I849" s="37"/>
      <c r="J849" s="35"/>
      <c r="K849" s="35"/>
      <c r="L849" s="48"/>
      <c r="M849" s="49"/>
      <c r="N849" s="49"/>
    </row>
    <row r="850" spans="1:17" ht="15.75" customHeight="1">
      <c r="A850" s="36"/>
      <c r="B850" s="52"/>
      <c r="C850" s="40"/>
      <c r="D850" s="37"/>
      <c r="E850" s="38"/>
      <c r="F850" s="35"/>
      <c r="G850" s="35"/>
      <c r="H850" s="40"/>
      <c r="I850" s="37"/>
      <c r="J850" s="35"/>
      <c r="K850" s="35"/>
      <c r="L850" s="48"/>
      <c r="M850" s="49"/>
      <c r="N850" s="49"/>
    </row>
    <row r="851" spans="1:17" ht="15.75" customHeight="1">
      <c r="A851" s="36"/>
      <c r="B851" s="52"/>
      <c r="C851" s="40"/>
      <c r="D851" s="37"/>
      <c r="E851" s="38"/>
      <c r="F851" s="35"/>
      <c r="G851" s="35"/>
      <c r="H851" s="40"/>
      <c r="I851" s="37"/>
      <c r="J851" s="35"/>
      <c r="K851" s="35"/>
      <c r="L851" s="48"/>
      <c r="M851" s="49"/>
      <c r="N851" s="49"/>
    </row>
    <row r="852" spans="1:17" ht="15.75" customHeight="1">
      <c r="A852" s="36"/>
      <c r="B852" s="52"/>
      <c r="C852" s="40"/>
      <c r="D852" s="37"/>
      <c r="E852" s="38"/>
      <c r="F852" s="35"/>
      <c r="G852" s="35"/>
      <c r="H852" s="40"/>
      <c r="I852" s="37"/>
      <c r="J852" s="35"/>
      <c r="K852" s="35"/>
      <c r="L852" s="48"/>
      <c r="M852" s="49"/>
      <c r="N852" s="49"/>
    </row>
    <row r="853" spans="1:17" ht="15.75" customHeight="1">
      <c r="A853" s="36"/>
      <c r="B853" s="52"/>
      <c r="C853" s="40"/>
      <c r="D853" s="37"/>
      <c r="E853" s="38"/>
      <c r="F853" s="35"/>
      <c r="G853" s="35"/>
      <c r="H853" s="40"/>
      <c r="I853" s="37"/>
      <c r="J853" s="35"/>
      <c r="K853" s="35"/>
      <c r="L853" s="48"/>
      <c r="M853" s="49"/>
      <c r="N853" s="49"/>
    </row>
    <row r="854" spans="1:17" ht="15.75" customHeight="1">
      <c r="A854" s="36"/>
      <c r="B854" s="52"/>
      <c r="C854" s="40"/>
      <c r="D854" s="37"/>
      <c r="E854" s="38"/>
      <c r="F854" s="35"/>
      <c r="G854" s="35"/>
      <c r="H854" s="40"/>
      <c r="I854" s="37"/>
      <c r="J854" s="35"/>
      <c r="K854" s="35"/>
      <c r="L854" s="48"/>
      <c r="M854" s="49"/>
      <c r="N854" s="49"/>
    </row>
    <row r="855" spans="1:17" ht="15.75" customHeight="1">
      <c r="A855" s="36"/>
      <c r="B855" s="52"/>
      <c r="C855" s="40"/>
      <c r="D855" s="37"/>
      <c r="E855" s="38"/>
      <c r="F855" s="35"/>
      <c r="G855" s="35"/>
      <c r="H855" s="40"/>
      <c r="I855" s="37"/>
      <c r="J855" s="35"/>
      <c r="K855" s="35"/>
      <c r="L855" s="48"/>
      <c r="M855" s="49"/>
      <c r="N855" s="49"/>
    </row>
    <row r="856" spans="1:17" ht="15.75" customHeight="1">
      <c r="A856" s="36"/>
      <c r="B856" s="52"/>
      <c r="C856" s="40"/>
      <c r="D856" s="37"/>
      <c r="E856" s="38"/>
      <c r="F856" s="35"/>
      <c r="G856" s="35"/>
      <c r="H856" s="40"/>
      <c r="I856" s="37"/>
      <c r="J856" s="35"/>
      <c r="K856" s="35"/>
      <c r="L856" s="48"/>
      <c r="M856" s="49"/>
      <c r="N856" s="49"/>
    </row>
    <row r="857" spans="1:17" ht="15.75" customHeight="1">
      <c r="A857" s="36"/>
      <c r="B857" s="52"/>
      <c r="C857" s="40"/>
      <c r="D857" s="37"/>
      <c r="E857" s="38"/>
      <c r="F857" s="35"/>
      <c r="G857" s="35"/>
      <c r="H857" s="40"/>
      <c r="I857" s="37"/>
      <c r="J857" s="35"/>
      <c r="K857" s="35"/>
      <c r="L857" s="48"/>
      <c r="M857" s="49"/>
      <c r="N857" s="49"/>
    </row>
    <row r="858" spans="1:17" ht="15.75" customHeight="1">
      <c r="A858" s="36"/>
      <c r="B858" s="52"/>
      <c r="C858" s="40"/>
      <c r="D858" s="37"/>
      <c r="E858" s="38"/>
      <c r="F858" s="35"/>
      <c r="G858" s="35"/>
      <c r="H858" s="40"/>
      <c r="I858" s="37"/>
      <c r="J858" s="35"/>
      <c r="K858" s="35"/>
      <c r="L858" s="48"/>
      <c r="M858" s="49"/>
      <c r="N858" s="49"/>
    </row>
    <row r="859" spans="1:17" ht="15.75" customHeight="1">
      <c r="A859" s="36"/>
      <c r="B859" s="52"/>
      <c r="C859" s="40"/>
      <c r="D859" s="37"/>
      <c r="E859" s="38"/>
      <c r="F859" s="35"/>
      <c r="G859" s="35"/>
      <c r="H859" s="40"/>
      <c r="I859" s="37"/>
      <c r="J859" s="35"/>
      <c r="K859" s="35"/>
      <c r="L859" s="48"/>
      <c r="M859" s="49"/>
      <c r="N859" s="49"/>
    </row>
    <row r="860" spans="1:17" ht="15.75" customHeight="1">
      <c r="A860" s="36"/>
      <c r="B860" s="52"/>
      <c r="C860" s="40"/>
      <c r="D860" s="37"/>
      <c r="E860" s="38"/>
      <c r="F860" s="35"/>
      <c r="G860" s="35"/>
      <c r="H860" s="40"/>
      <c r="I860" s="37"/>
      <c r="J860" s="35"/>
      <c r="K860" s="35"/>
      <c r="L860" s="48"/>
      <c r="M860" s="49"/>
      <c r="N860" s="49"/>
    </row>
    <row r="861" spans="1:17" ht="15.75" customHeight="1">
      <c r="A861" s="36"/>
      <c r="B861" s="52"/>
      <c r="C861" s="40"/>
      <c r="D861" s="37"/>
      <c r="E861" s="38"/>
      <c r="F861" s="35"/>
      <c r="G861" s="35"/>
      <c r="H861" s="40"/>
      <c r="I861" s="37"/>
      <c r="J861" s="35"/>
      <c r="K861" s="35"/>
      <c r="L861" s="48"/>
      <c r="M861" s="49"/>
      <c r="N861" s="49"/>
    </row>
    <row r="862" spans="1:17" ht="15.75" customHeight="1">
      <c r="A862" s="36"/>
      <c r="B862" s="52"/>
      <c r="C862" s="40"/>
      <c r="D862" s="37"/>
      <c r="E862" s="38"/>
      <c r="F862" s="35"/>
      <c r="G862" s="35"/>
      <c r="H862" s="40"/>
      <c r="I862" s="37"/>
      <c r="J862" s="35"/>
      <c r="K862" s="35"/>
      <c r="L862" s="48"/>
      <c r="M862" s="49"/>
      <c r="N862" s="49"/>
    </row>
    <row r="863" spans="1:17" ht="15.75" customHeight="1">
      <c r="A863" s="36"/>
      <c r="B863" s="164"/>
      <c r="C863" s="40"/>
      <c r="D863" s="144"/>
      <c r="E863" s="141"/>
      <c r="F863" s="142"/>
      <c r="G863" s="142"/>
      <c r="H863" s="143"/>
      <c r="I863" s="144"/>
      <c r="J863" s="142"/>
      <c r="K863" s="142"/>
      <c r="L863" s="165"/>
      <c r="M863" s="166"/>
      <c r="N863" s="166"/>
      <c r="O863" s="130"/>
      <c r="P863" s="130"/>
      <c r="Q863" s="130"/>
    </row>
    <row r="864" spans="1:17" ht="15.75" customHeight="1">
      <c r="A864" s="36"/>
      <c r="B864" s="164"/>
      <c r="C864" s="40"/>
      <c r="D864" s="144"/>
      <c r="E864" s="141"/>
      <c r="F864" s="142"/>
      <c r="G864" s="142"/>
      <c r="H864" s="143"/>
      <c r="I864" s="144"/>
      <c r="J864" s="142"/>
      <c r="K864" s="142"/>
      <c r="L864" s="165"/>
      <c r="M864" s="166"/>
      <c r="N864" s="166"/>
      <c r="O864" s="130"/>
      <c r="P864" s="130"/>
      <c r="Q864" s="130"/>
    </row>
    <row r="865" spans="1:17" ht="15.75" customHeight="1">
      <c r="A865" s="36"/>
      <c r="B865" s="164"/>
      <c r="C865" s="40"/>
      <c r="D865" s="144"/>
      <c r="E865" s="141"/>
      <c r="F865" s="142"/>
      <c r="G865" s="142"/>
      <c r="H865" s="143"/>
      <c r="I865" s="144"/>
      <c r="J865" s="142"/>
      <c r="K865" s="142"/>
      <c r="L865" s="165" t="s">
        <v>938</v>
      </c>
      <c r="M865" s="166"/>
      <c r="N865" s="166"/>
      <c r="O865" s="130"/>
      <c r="P865" s="130"/>
      <c r="Q865" s="130"/>
    </row>
    <row r="866" spans="1:17" ht="15.75" customHeight="1">
      <c r="A866" s="36"/>
      <c r="B866" s="164"/>
      <c r="C866" s="40"/>
      <c r="D866" s="144"/>
      <c r="E866" s="141"/>
      <c r="F866" s="142"/>
      <c r="G866" s="142"/>
      <c r="H866" s="143"/>
      <c r="I866" s="144"/>
      <c r="J866" s="142"/>
      <c r="K866" s="141"/>
      <c r="L866" s="165"/>
      <c r="M866" s="166"/>
      <c r="N866" s="166"/>
      <c r="O866" s="130"/>
      <c r="P866" s="130"/>
      <c r="Q866" s="130"/>
    </row>
    <row r="867" spans="1:17" ht="15.75" customHeight="1">
      <c r="A867" s="36"/>
      <c r="B867" s="164"/>
      <c r="C867" s="40"/>
      <c r="D867" s="144"/>
      <c r="E867" s="141"/>
      <c r="F867" s="142"/>
      <c r="G867" s="142"/>
      <c r="H867" s="143"/>
      <c r="I867" s="144"/>
      <c r="J867" s="142"/>
      <c r="K867" s="141"/>
      <c r="L867" s="165" t="s">
        <v>938</v>
      </c>
      <c r="M867" s="166"/>
      <c r="N867" s="166"/>
      <c r="O867" s="130"/>
      <c r="P867" s="130"/>
      <c r="Q867" s="130"/>
    </row>
    <row r="868" spans="1:17" ht="15.75" customHeight="1">
      <c r="A868" s="36"/>
      <c r="B868" s="164"/>
      <c r="C868" s="40"/>
      <c r="D868" s="144"/>
      <c r="E868" s="141"/>
      <c r="F868" s="167">
        <v>46213.541666666664</v>
      </c>
      <c r="G868" s="167">
        <v>46213.552083333336</v>
      </c>
      <c r="H868" s="143"/>
      <c r="I868" s="144"/>
      <c r="J868" s="142"/>
      <c r="K868" s="141"/>
      <c r="L868" s="165" t="s">
        <v>938</v>
      </c>
      <c r="M868" s="166"/>
      <c r="N868" s="166"/>
      <c r="O868" s="130"/>
      <c r="P868" s="130" t="s">
        <v>2047</v>
      </c>
      <c r="Q868" s="130"/>
    </row>
    <row r="869" spans="1:17" ht="15.75" customHeight="1">
      <c r="A869" s="36"/>
      <c r="B869" s="52"/>
      <c r="C869" s="40"/>
      <c r="D869" s="37"/>
      <c r="E869" s="38"/>
      <c r="F869" s="35"/>
      <c r="G869" s="35"/>
      <c r="H869" s="40"/>
      <c r="I869" s="37"/>
      <c r="J869" s="35"/>
      <c r="K869" s="35"/>
      <c r="L869" s="48"/>
      <c r="M869" s="49"/>
      <c r="N869" s="49"/>
    </row>
    <row r="870" spans="1:17" ht="15.75" customHeight="1">
      <c r="A870" s="36"/>
      <c r="B870" s="52"/>
      <c r="C870" s="40"/>
      <c r="D870" s="37"/>
      <c r="E870" s="38"/>
      <c r="F870" s="35"/>
      <c r="G870" s="35"/>
      <c r="H870" s="40"/>
      <c r="I870" s="37"/>
      <c r="J870" s="35"/>
      <c r="K870" s="35"/>
      <c r="L870" s="48"/>
      <c r="M870" s="49"/>
      <c r="N870" s="49"/>
    </row>
    <row r="871" spans="1:17" ht="15.75" customHeight="1">
      <c r="A871" s="36"/>
      <c r="B871" s="52"/>
      <c r="C871" s="40"/>
      <c r="D871" s="37"/>
      <c r="E871" s="38"/>
      <c r="F871" s="35"/>
      <c r="G871" s="35"/>
      <c r="H871" s="40"/>
      <c r="I871" s="37"/>
      <c r="J871" s="35"/>
      <c r="K871" s="35"/>
      <c r="L871" s="48"/>
      <c r="M871" s="49"/>
      <c r="N871" s="49"/>
    </row>
    <row r="872" spans="1:17" ht="15.75" customHeight="1">
      <c r="A872" s="36"/>
      <c r="B872" s="52"/>
      <c r="C872" s="40"/>
      <c r="D872" s="37"/>
      <c r="E872" s="38"/>
      <c r="F872" s="35"/>
      <c r="G872" s="35"/>
      <c r="H872" s="40"/>
      <c r="I872" s="37"/>
      <c r="J872" s="35"/>
      <c r="K872" s="35"/>
      <c r="L872" s="48"/>
      <c r="M872" s="49"/>
      <c r="N872" s="49"/>
    </row>
    <row r="873" spans="1:17" ht="15.75" customHeight="1">
      <c r="A873" s="36"/>
      <c r="B873" s="52"/>
      <c r="C873" s="40"/>
      <c r="D873" s="37"/>
      <c r="E873" s="38"/>
      <c r="F873" s="35"/>
      <c r="G873" s="35"/>
      <c r="H873" s="40"/>
      <c r="I873" s="37"/>
      <c r="J873" s="35"/>
      <c r="K873" s="35"/>
      <c r="L873" s="48"/>
      <c r="M873" s="49"/>
      <c r="N873" s="49"/>
    </row>
    <row r="874" spans="1:17" ht="15.75" customHeight="1">
      <c r="A874" s="36"/>
      <c r="B874" s="52"/>
      <c r="C874" s="40"/>
      <c r="D874" s="37"/>
      <c r="E874" s="38"/>
      <c r="F874" s="35"/>
      <c r="G874" s="35"/>
      <c r="H874" s="40"/>
      <c r="I874" s="37"/>
      <c r="J874" s="35"/>
      <c r="K874" s="35"/>
      <c r="L874" s="48"/>
      <c r="M874" s="49"/>
      <c r="N874" s="49"/>
    </row>
    <row r="875" spans="1:17" ht="15.75" customHeight="1">
      <c r="A875" s="36"/>
      <c r="B875" s="52"/>
      <c r="C875" s="40"/>
      <c r="D875" s="37"/>
      <c r="E875" s="38"/>
      <c r="F875" s="35"/>
      <c r="G875" s="35"/>
      <c r="H875" s="40"/>
      <c r="I875" s="37"/>
      <c r="J875" s="35"/>
      <c r="K875" s="35"/>
      <c r="L875" s="48"/>
      <c r="M875" s="49"/>
      <c r="N875" s="49"/>
    </row>
    <row r="876" spans="1:17" ht="15.75" customHeight="1">
      <c r="A876" s="36"/>
      <c r="B876" s="52"/>
      <c r="C876" s="40"/>
      <c r="D876" s="37"/>
      <c r="E876" s="38"/>
      <c r="F876" s="35"/>
      <c r="G876" s="35"/>
      <c r="H876" s="40"/>
      <c r="I876" s="37"/>
      <c r="J876" s="35"/>
      <c r="K876" s="35"/>
      <c r="L876" s="48"/>
      <c r="M876" s="49"/>
      <c r="N876" s="49"/>
    </row>
    <row r="877" spans="1:17" ht="15.75" customHeight="1">
      <c r="A877" s="36"/>
      <c r="B877" s="52"/>
      <c r="C877" s="40"/>
      <c r="D877" s="37"/>
      <c r="E877" s="38"/>
      <c r="F877" s="35"/>
      <c r="G877" s="35"/>
      <c r="H877" s="40"/>
      <c r="I877" s="37"/>
      <c r="J877" s="35"/>
      <c r="K877" s="35"/>
      <c r="L877" s="48"/>
      <c r="M877" s="49"/>
      <c r="N877" s="49"/>
    </row>
    <row r="878" spans="1:17" ht="15.75" customHeight="1">
      <c r="A878" s="36"/>
      <c r="B878" s="52"/>
      <c r="C878" s="40"/>
      <c r="D878" s="37"/>
      <c r="E878" s="38"/>
      <c r="F878" s="35"/>
      <c r="G878" s="35"/>
      <c r="H878" s="40"/>
      <c r="I878" s="37"/>
      <c r="J878" s="35"/>
      <c r="K878" s="35"/>
      <c r="L878" s="48"/>
      <c r="M878" s="49"/>
      <c r="N878" s="49"/>
    </row>
    <row r="879" spans="1:17" ht="15.75" customHeight="1">
      <c r="A879" s="36"/>
      <c r="B879" s="52"/>
      <c r="C879" s="40"/>
      <c r="D879" s="37"/>
      <c r="E879" s="38"/>
      <c r="F879" s="35"/>
      <c r="G879" s="35"/>
      <c r="H879" s="40"/>
      <c r="I879" s="37"/>
      <c r="J879" s="35"/>
      <c r="K879" s="35"/>
      <c r="L879" s="48"/>
      <c r="M879" s="49"/>
      <c r="N879" s="49"/>
    </row>
    <row r="880" spans="1:17" ht="15.75" customHeight="1">
      <c r="A880" s="36"/>
      <c r="B880" s="52"/>
      <c r="C880" s="40"/>
      <c r="D880" s="37"/>
      <c r="E880" s="38"/>
      <c r="F880" s="35"/>
      <c r="G880" s="35"/>
      <c r="H880" s="40"/>
      <c r="I880" s="37"/>
      <c r="J880" s="35"/>
      <c r="K880" s="35"/>
      <c r="L880" s="48"/>
      <c r="M880" s="49"/>
      <c r="N880" s="49"/>
    </row>
    <row r="881" spans="1:14" ht="15.75" customHeight="1">
      <c r="A881" s="36"/>
      <c r="B881" s="52"/>
      <c r="C881" s="40"/>
      <c r="D881" s="37"/>
      <c r="E881" s="38"/>
      <c r="F881" s="35"/>
      <c r="G881" s="35"/>
      <c r="H881" s="40"/>
      <c r="I881" s="37"/>
      <c r="J881" s="35"/>
      <c r="K881" s="35"/>
      <c r="L881" s="48"/>
      <c r="M881" s="49"/>
      <c r="N881" s="49"/>
    </row>
    <row r="882" spans="1:14" ht="15.75" customHeight="1">
      <c r="A882" s="36"/>
      <c r="B882" s="52"/>
      <c r="C882" s="40"/>
      <c r="D882" s="37"/>
      <c r="E882" s="38"/>
      <c r="F882" s="35"/>
      <c r="G882" s="35"/>
      <c r="H882" s="40"/>
      <c r="I882" s="37"/>
      <c r="J882" s="35"/>
      <c r="K882" s="35"/>
      <c r="L882" s="48"/>
      <c r="M882" s="49"/>
      <c r="N882" s="49"/>
    </row>
    <row r="883" spans="1:14" ht="15.75" customHeight="1">
      <c r="A883" s="36"/>
      <c r="B883" s="52"/>
      <c r="C883" s="40"/>
      <c r="D883" s="37"/>
      <c r="E883" s="38"/>
      <c r="F883" s="35"/>
      <c r="G883" s="35"/>
      <c r="H883" s="40"/>
      <c r="I883" s="37"/>
      <c r="J883" s="35"/>
      <c r="K883" s="35"/>
      <c r="L883" s="48"/>
      <c r="M883" s="49"/>
      <c r="N883" s="49"/>
    </row>
    <row r="884" spans="1:14" ht="15.75" customHeight="1">
      <c r="A884" s="36"/>
      <c r="B884" s="52"/>
      <c r="C884" s="40"/>
      <c r="D884" s="37"/>
      <c r="E884" s="38"/>
      <c r="F884" s="35"/>
      <c r="G884" s="35"/>
      <c r="H884" s="40"/>
      <c r="I884" s="37"/>
      <c r="J884" s="35"/>
      <c r="K884" s="35"/>
      <c r="L884" s="48"/>
      <c r="M884" s="49"/>
      <c r="N884" s="49"/>
    </row>
    <row r="885" spans="1:14" ht="15.75" customHeight="1">
      <c r="A885" s="36"/>
      <c r="B885" s="52"/>
      <c r="C885" s="40"/>
      <c r="D885" s="37"/>
      <c r="E885" s="38"/>
      <c r="F885" s="35"/>
      <c r="G885" s="35"/>
      <c r="H885" s="40"/>
      <c r="I885" s="37"/>
      <c r="J885" s="35"/>
      <c r="K885" s="35"/>
      <c r="L885" s="48"/>
      <c r="M885" s="49"/>
      <c r="N885" s="49"/>
    </row>
    <row r="886" spans="1:14" ht="15.75" customHeight="1">
      <c r="A886" s="36"/>
      <c r="B886" s="52"/>
      <c r="C886" s="40"/>
      <c r="D886" s="37"/>
      <c r="E886" s="38"/>
      <c r="F886" s="35"/>
      <c r="G886" s="35"/>
      <c r="H886" s="40"/>
      <c r="I886" s="37"/>
      <c r="J886" s="35"/>
      <c r="K886" s="35"/>
      <c r="L886" s="48"/>
      <c r="M886" s="49"/>
      <c r="N886" s="49"/>
    </row>
    <row r="887" spans="1:14" ht="15.75" customHeight="1">
      <c r="A887" s="36"/>
      <c r="B887" s="52"/>
      <c r="C887" s="40"/>
      <c r="D887" s="37"/>
      <c r="E887" s="38"/>
      <c r="F887" s="35"/>
      <c r="G887" s="35"/>
      <c r="H887" s="40"/>
      <c r="I887" s="37"/>
      <c r="J887" s="35"/>
      <c r="K887" s="35"/>
      <c r="L887" s="48"/>
      <c r="M887" s="49"/>
      <c r="N887" s="49"/>
    </row>
    <row r="888" spans="1:14" ht="15.75" customHeight="1">
      <c r="A888" s="36"/>
      <c r="B888" s="52"/>
      <c r="C888" s="40"/>
      <c r="D888" s="37"/>
      <c r="E888" s="38"/>
      <c r="F888" s="35"/>
      <c r="G888" s="35"/>
      <c r="H888" s="40"/>
      <c r="I888" s="37"/>
      <c r="J888" s="35"/>
      <c r="K888" s="35"/>
      <c r="L888" s="48"/>
      <c r="M888" s="49"/>
      <c r="N888" s="49"/>
    </row>
    <row r="889" spans="1:14" ht="15.75" customHeight="1">
      <c r="A889" s="36"/>
      <c r="B889" s="52"/>
      <c r="C889" s="40"/>
      <c r="D889" s="37"/>
      <c r="E889" s="38"/>
      <c r="F889" s="35"/>
      <c r="G889" s="35"/>
      <c r="H889" s="40"/>
      <c r="I889" s="37"/>
      <c r="J889" s="35"/>
      <c r="K889" s="35"/>
      <c r="L889" s="48"/>
      <c r="M889" s="49"/>
      <c r="N889" s="49"/>
    </row>
    <row r="890" spans="1:14" ht="15.75" customHeight="1">
      <c r="A890" s="36"/>
      <c r="B890" s="52"/>
      <c r="C890" s="40"/>
      <c r="D890" s="37"/>
      <c r="E890" s="38"/>
      <c r="F890" s="35"/>
      <c r="G890" s="35"/>
      <c r="H890" s="40"/>
      <c r="I890" s="37"/>
      <c r="J890" s="35"/>
      <c r="K890" s="35"/>
      <c r="L890" s="48"/>
      <c r="M890" s="49"/>
      <c r="N890" s="49"/>
    </row>
    <row r="891" spans="1:14" ht="15.75" customHeight="1">
      <c r="A891" s="36"/>
      <c r="B891" s="52"/>
      <c r="C891" s="40"/>
      <c r="D891" s="37"/>
      <c r="E891" s="38"/>
      <c r="F891" s="35"/>
      <c r="G891" s="35"/>
      <c r="H891" s="40"/>
      <c r="I891" s="37"/>
      <c r="J891" s="35"/>
      <c r="K891" s="35"/>
      <c r="L891" s="48"/>
      <c r="M891" s="49"/>
      <c r="N891" s="49"/>
    </row>
    <row r="892" spans="1:14" ht="15.75" customHeight="1">
      <c r="A892" s="36"/>
      <c r="B892" s="52"/>
      <c r="C892" s="40"/>
      <c r="D892" s="37"/>
      <c r="E892" s="38"/>
      <c r="F892" s="35"/>
      <c r="G892" s="35"/>
      <c r="H892" s="40"/>
      <c r="I892" s="37"/>
      <c r="J892" s="35"/>
      <c r="K892" s="35"/>
      <c r="L892" s="48"/>
      <c r="M892" s="49"/>
      <c r="N892" s="49"/>
    </row>
    <row r="893" spans="1:14" ht="15.75" customHeight="1">
      <c r="A893" s="36"/>
      <c r="B893" s="52"/>
      <c r="C893" s="40"/>
      <c r="D893" s="37"/>
      <c r="E893" s="38"/>
      <c r="F893" s="35"/>
      <c r="G893" s="35"/>
      <c r="H893" s="40"/>
      <c r="I893" s="37"/>
      <c r="J893" s="35"/>
      <c r="K893" s="35"/>
      <c r="L893" s="48"/>
      <c r="M893" s="49"/>
      <c r="N893" s="49"/>
    </row>
    <row r="894" spans="1:14" ht="15.75" customHeight="1">
      <c r="A894" s="36"/>
      <c r="B894" s="52"/>
      <c r="C894" s="40"/>
      <c r="D894" s="37"/>
      <c r="E894" s="38"/>
      <c r="F894" s="35"/>
      <c r="G894" s="35"/>
      <c r="H894" s="40"/>
      <c r="I894" s="37"/>
      <c r="J894" s="35"/>
      <c r="K894" s="35"/>
      <c r="L894" s="48"/>
      <c r="M894" s="49"/>
      <c r="N894" s="49"/>
    </row>
    <row r="895" spans="1:14" ht="15.75" customHeight="1">
      <c r="A895" s="36"/>
      <c r="B895" s="52"/>
      <c r="C895" s="40"/>
      <c r="D895" s="37"/>
      <c r="E895" s="38"/>
      <c r="F895" s="35"/>
      <c r="G895" s="35"/>
      <c r="H895" s="40"/>
      <c r="I895" s="37"/>
      <c r="J895" s="35"/>
      <c r="K895" s="35"/>
      <c r="L895" s="48"/>
      <c r="M895" s="49"/>
      <c r="N895" s="49"/>
    </row>
    <row r="896" spans="1:14" ht="15.75" customHeight="1">
      <c r="A896" s="36"/>
      <c r="B896" s="52"/>
      <c r="C896" s="40"/>
      <c r="D896" s="37"/>
      <c r="E896" s="38"/>
      <c r="F896" s="35"/>
      <c r="G896" s="35"/>
      <c r="H896" s="40"/>
      <c r="I896" s="37"/>
      <c r="J896" s="35"/>
      <c r="K896" s="35"/>
      <c r="L896" s="48"/>
      <c r="M896" s="49"/>
      <c r="N896" s="49"/>
    </row>
    <row r="897" spans="1:14" ht="15.75" customHeight="1">
      <c r="A897" s="36"/>
      <c r="B897" s="52"/>
      <c r="C897" s="40"/>
      <c r="D897" s="37"/>
      <c r="E897" s="38"/>
      <c r="F897" s="35"/>
      <c r="G897" s="35"/>
      <c r="H897" s="40"/>
      <c r="I897" s="37"/>
      <c r="J897" s="35"/>
      <c r="K897" s="35"/>
      <c r="L897" s="48"/>
      <c r="M897" s="49"/>
      <c r="N897" s="49"/>
    </row>
    <row r="898" spans="1:14" ht="15.75" customHeight="1">
      <c r="A898" s="36"/>
      <c r="B898" s="52"/>
      <c r="C898" s="40"/>
      <c r="D898" s="37"/>
      <c r="E898" s="38"/>
      <c r="F898" s="35"/>
      <c r="G898" s="35"/>
      <c r="H898" s="40"/>
      <c r="I898" s="37"/>
      <c r="J898" s="35"/>
      <c r="K898" s="35"/>
      <c r="L898" s="48"/>
      <c r="M898" s="49"/>
      <c r="N898" s="49"/>
    </row>
    <row r="899" spans="1:14" ht="15.75" customHeight="1">
      <c r="A899" s="36"/>
      <c r="B899" s="52"/>
      <c r="C899" s="40"/>
      <c r="D899" s="37"/>
      <c r="E899" s="38"/>
      <c r="F899" s="35"/>
      <c r="G899" s="35"/>
      <c r="H899" s="40"/>
      <c r="I899" s="37"/>
      <c r="J899" s="35"/>
      <c r="K899" s="35"/>
      <c r="L899" s="48"/>
      <c r="M899" s="49"/>
      <c r="N899" s="49"/>
    </row>
    <row r="900" spans="1:14" ht="15.75" customHeight="1">
      <c r="A900" s="36"/>
      <c r="B900" s="52"/>
      <c r="C900" s="40"/>
      <c r="D900" s="37"/>
      <c r="E900" s="38"/>
      <c r="F900" s="35"/>
      <c r="G900" s="35"/>
      <c r="H900" s="40"/>
      <c r="I900" s="37"/>
      <c r="J900" s="35"/>
      <c r="K900" s="35"/>
      <c r="L900" s="48"/>
      <c r="M900" s="49"/>
      <c r="N900" s="49"/>
    </row>
    <row r="901" spans="1:14" ht="15.75" customHeight="1">
      <c r="A901" s="36"/>
      <c r="B901" s="52"/>
      <c r="C901" s="40"/>
      <c r="D901" s="37"/>
      <c r="E901" s="38"/>
      <c r="F901" s="35"/>
      <c r="G901" s="35"/>
      <c r="H901" s="40"/>
      <c r="I901" s="37"/>
      <c r="J901" s="35"/>
      <c r="K901" s="35"/>
      <c r="L901" s="48"/>
      <c r="M901" s="49"/>
      <c r="N901" s="49"/>
    </row>
    <row r="902" spans="1:14" ht="15.75" customHeight="1">
      <c r="A902" s="36"/>
      <c r="B902" s="52"/>
      <c r="C902" s="40"/>
      <c r="D902" s="37"/>
      <c r="E902" s="38"/>
      <c r="F902" s="35"/>
      <c r="G902" s="35"/>
      <c r="H902" s="40"/>
      <c r="I902" s="37"/>
      <c r="J902" s="35"/>
      <c r="K902" s="35"/>
      <c r="L902" s="48"/>
      <c r="M902" s="49"/>
      <c r="N902" s="49"/>
    </row>
    <row r="903" spans="1:14" ht="15.75" customHeight="1">
      <c r="A903" s="36"/>
      <c r="B903" s="52"/>
      <c r="C903" s="40"/>
      <c r="D903" s="37"/>
      <c r="E903" s="38"/>
      <c r="F903" s="35"/>
      <c r="G903" s="35"/>
      <c r="H903" s="40"/>
      <c r="I903" s="37"/>
      <c r="J903" s="35"/>
      <c r="K903" s="35"/>
      <c r="L903" s="48"/>
      <c r="M903" s="49"/>
      <c r="N903" s="49"/>
    </row>
    <row r="904" spans="1:14" ht="15.75" customHeight="1">
      <c r="A904" s="36"/>
      <c r="B904" s="52"/>
      <c r="C904" s="40"/>
      <c r="D904" s="37"/>
      <c r="E904" s="38"/>
      <c r="F904" s="35"/>
      <c r="G904" s="35"/>
      <c r="H904" s="40"/>
      <c r="I904" s="37"/>
      <c r="J904" s="35"/>
      <c r="K904" s="35"/>
      <c r="L904" s="48"/>
      <c r="M904" s="49"/>
      <c r="N904" s="49"/>
    </row>
    <row r="905" spans="1:14" ht="15.75" customHeight="1">
      <c r="A905" s="36"/>
      <c r="B905" s="52"/>
      <c r="C905" s="40"/>
      <c r="D905" s="37"/>
      <c r="E905" s="38"/>
      <c r="F905" s="35"/>
      <c r="G905" s="35"/>
      <c r="H905" s="40"/>
      <c r="I905" s="37"/>
      <c r="J905" s="35"/>
      <c r="K905" s="35"/>
      <c r="L905" s="48"/>
      <c r="M905" s="49"/>
      <c r="N905" s="49"/>
    </row>
    <row r="906" spans="1:14" ht="15.75" customHeight="1">
      <c r="A906" s="36"/>
      <c r="B906" s="52"/>
      <c r="C906" s="40"/>
      <c r="D906" s="37"/>
      <c r="E906" s="38"/>
      <c r="F906" s="35"/>
      <c r="G906" s="35"/>
      <c r="H906" s="40"/>
      <c r="I906" s="37"/>
      <c r="J906" s="35"/>
      <c r="K906" s="35"/>
      <c r="L906" s="48"/>
      <c r="M906" s="49"/>
      <c r="N906" s="49"/>
    </row>
    <row r="907" spans="1:14" ht="15.75" customHeight="1">
      <c r="A907" s="36"/>
      <c r="B907" s="52"/>
      <c r="C907" s="40"/>
      <c r="D907" s="37"/>
      <c r="E907" s="38"/>
      <c r="F907" s="35"/>
      <c r="G907" s="35"/>
      <c r="H907" s="40"/>
      <c r="I907" s="37"/>
      <c r="J907" s="35"/>
      <c r="K907" s="35"/>
      <c r="L907" s="48"/>
      <c r="M907" s="49"/>
      <c r="N907" s="49"/>
    </row>
    <row r="908" spans="1:14" ht="15.75" customHeight="1">
      <c r="A908" s="36"/>
      <c r="B908" s="52"/>
      <c r="C908" s="40"/>
      <c r="D908" s="37"/>
      <c r="E908" s="38"/>
      <c r="F908" s="35"/>
      <c r="G908" s="35"/>
      <c r="H908" s="40"/>
      <c r="I908" s="37"/>
      <c r="J908" s="35"/>
      <c r="K908" s="35"/>
      <c r="L908" s="48"/>
      <c r="M908" s="49"/>
      <c r="N908" s="49"/>
    </row>
    <row r="909" spans="1:14" ht="15.75" customHeight="1">
      <c r="A909" s="36"/>
      <c r="B909" s="52"/>
      <c r="C909" s="40"/>
      <c r="D909" s="37"/>
      <c r="E909" s="38"/>
      <c r="F909" s="35"/>
      <c r="G909" s="35"/>
      <c r="H909" s="40"/>
      <c r="I909" s="37"/>
      <c r="J909" s="35"/>
      <c r="K909" s="35"/>
      <c r="L909" s="48"/>
      <c r="M909" s="49"/>
      <c r="N909" s="49"/>
    </row>
    <row r="910" spans="1:14" ht="15.75" customHeight="1">
      <c r="A910" s="36"/>
      <c r="B910" s="52"/>
      <c r="C910" s="40"/>
      <c r="D910" s="37"/>
      <c r="E910" s="38"/>
      <c r="F910" s="35"/>
      <c r="G910" s="35"/>
      <c r="H910" s="40"/>
      <c r="I910" s="37"/>
      <c r="J910" s="35"/>
      <c r="K910" s="35"/>
      <c r="L910" s="48"/>
      <c r="M910" s="49"/>
      <c r="N910" s="49"/>
    </row>
    <row r="911" spans="1:14" ht="15.75" customHeight="1">
      <c r="A911" s="36"/>
      <c r="B911" s="52"/>
      <c r="C911" s="40"/>
      <c r="D911" s="37"/>
      <c r="E911" s="38"/>
      <c r="F911" s="35"/>
      <c r="G911" s="35"/>
      <c r="H911" s="40"/>
      <c r="I911" s="37"/>
      <c r="J911" s="35"/>
      <c r="K911" s="35"/>
      <c r="L911" s="48"/>
      <c r="M911" s="49"/>
      <c r="N911" s="49"/>
    </row>
    <row r="912" spans="1:14" ht="15.75" customHeight="1">
      <c r="A912" s="36"/>
      <c r="B912" s="52"/>
      <c r="C912" s="40"/>
      <c r="D912" s="37"/>
      <c r="E912" s="38"/>
      <c r="F912" s="35"/>
      <c r="G912" s="35"/>
      <c r="H912" s="40"/>
      <c r="I912" s="37"/>
      <c r="J912" s="35"/>
      <c r="K912" s="35"/>
      <c r="L912" s="48"/>
      <c r="M912" s="49"/>
      <c r="N912" s="49"/>
    </row>
    <row r="913" spans="1:14" ht="15.75" customHeight="1">
      <c r="A913" s="36"/>
      <c r="B913" s="52"/>
      <c r="C913" s="40"/>
      <c r="D913" s="37"/>
      <c r="E913" s="38"/>
      <c r="F913" s="35"/>
      <c r="G913" s="35"/>
      <c r="H913" s="40"/>
      <c r="I913" s="37"/>
      <c r="J913" s="35"/>
      <c r="K913" s="35"/>
      <c r="L913" s="48"/>
      <c r="M913" s="49"/>
      <c r="N913" s="49"/>
    </row>
    <row r="914" spans="1:14" ht="15.75" customHeight="1">
      <c r="A914" s="36"/>
      <c r="B914" s="52"/>
      <c r="C914" s="40"/>
      <c r="D914" s="37"/>
      <c r="E914" s="38"/>
      <c r="F914" s="35"/>
      <c r="G914" s="35"/>
      <c r="H914" s="40"/>
      <c r="I914" s="37"/>
      <c r="J914" s="35"/>
      <c r="K914" s="35"/>
      <c r="L914" s="48"/>
      <c r="M914" s="49"/>
      <c r="N914" s="49"/>
    </row>
    <row r="915" spans="1:14" ht="15.75" customHeight="1">
      <c r="A915" s="36"/>
      <c r="B915" s="52"/>
      <c r="C915" s="40"/>
      <c r="D915" s="37"/>
      <c r="E915" s="38"/>
      <c r="F915" s="35"/>
      <c r="G915" s="35"/>
      <c r="H915" s="40"/>
      <c r="I915" s="37"/>
      <c r="J915" s="35"/>
      <c r="K915" s="35"/>
      <c r="L915" s="48"/>
      <c r="M915" s="49"/>
      <c r="N915" s="49"/>
    </row>
    <row r="916" spans="1:14" ht="15.75" customHeight="1">
      <c r="A916" s="36"/>
      <c r="B916" s="52"/>
      <c r="C916" s="40"/>
      <c r="D916" s="37"/>
      <c r="E916" s="38"/>
      <c r="F916" s="35"/>
      <c r="G916" s="35"/>
      <c r="H916" s="40"/>
      <c r="I916" s="37"/>
      <c r="J916" s="35"/>
      <c r="K916" s="35"/>
      <c r="L916" s="48"/>
      <c r="M916" s="49"/>
      <c r="N916" s="49"/>
    </row>
    <row r="917" spans="1:14" ht="15.75" customHeight="1">
      <c r="A917" s="36"/>
      <c r="B917" s="52"/>
      <c r="C917" s="40"/>
      <c r="D917" s="37"/>
      <c r="E917" s="38"/>
      <c r="F917" s="35"/>
      <c r="G917" s="35"/>
      <c r="H917" s="40"/>
      <c r="I917" s="37"/>
      <c r="J917" s="35"/>
      <c r="K917" s="35"/>
      <c r="L917" s="48"/>
      <c r="M917" s="49"/>
      <c r="N917" s="49"/>
    </row>
    <row r="918" spans="1:14" ht="15.75" customHeight="1">
      <c r="A918" s="36"/>
      <c r="B918" s="52"/>
      <c r="C918" s="40"/>
      <c r="D918" s="37"/>
      <c r="E918" s="38"/>
      <c r="F918" s="35"/>
      <c r="G918" s="35"/>
      <c r="H918" s="40"/>
      <c r="I918" s="37"/>
      <c r="J918" s="35"/>
      <c r="K918" s="35"/>
      <c r="L918" s="48"/>
      <c r="M918" s="49"/>
      <c r="N918" s="49"/>
    </row>
    <row r="919" spans="1:14" ht="15.75" customHeight="1">
      <c r="A919" s="36"/>
      <c r="B919" s="52"/>
      <c r="C919" s="40"/>
      <c r="D919" s="37"/>
      <c r="E919" s="38"/>
      <c r="F919" s="35"/>
      <c r="G919" s="35"/>
      <c r="H919" s="40"/>
      <c r="I919" s="37"/>
      <c r="J919" s="35"/>
      <c r="K919" s="35"/>
      <c r="L919" s="48"/>
      <c r="M919" s="49"/>
      <c r="N919" s="49"/>
    </row>
    <row r="920" spans="1:14" ht="15.75" customHeight="1">
      <c r="A920" s="36"/>
      <c r="B920" s="52"/>
      <c r="C920" s="40"/>
      <c r="D920" s="37"/>
      <c r="E920" s="38"/>
      <c r="F920" s="35"/>
      <c r="G920" s="35"/>
      <c r="H920" s="40"/>
      <c r="I920" s="37"/>
      <c r="J920" s="35"/>
      <c r="K920" s="35"/>
      <c r="L920" s="48"/>
      <c r="M920" s="49"/>
      <c r="N920" s="49"/>
    </row>
    <row r="921" spans="1:14" ht="15.75" customHeight="1">
      <c r="A921" s="36"/>
      <c r="B921" s="52"/>
      <c r="C921" s="40"/>
      <c r="D921" s="37"/>
      <c r="E921" s="38"/>
      <c r="F921" s="35"/>
      <c r="G921" s="35"/>
      <c r="H921" s="40"/>
      <c r="I921" s="37"/>
      <c r="J921" s="35"/>
      <c r="K921" s="35"/>
      <c r="L921" s="48"/>
      <c r="M921" s="49"/>
      <c r="N921" s="49"/>
    </row>
    <row r="922" spans="1:14" ht="15.75" customHeight="1">
      <c r="A922" s="36"/>
      <c r="B922" s="52"/>
      <c r="C922" s="40"/>
      <c r="D922" s="37"/>
      <c r="E922" s="38"/>
      <c r="F922" s="35"/>
      <c r="G922" s="35"/>
      <c r="H922" s="40"/>
      <c r="I922" s="37"/>
      <c r="J922" s="35"/>
      <c r="K922" s="35"/>
      <c r="L922" s="48"/>
      <c r="M922" s="49"/>
      <c r="N922" s="49"/>
    </row>
    <row r="923" spans="1:14" ht="15.75" customHeight="1">
      <c r="A923" s="36"/>
      <c r="B923" s="52"/>
      <c r="C923" s="40"/>
      <c r="D923" s="37"/>
      <c r="E923" s="38"/>
      <c r="F923" s="35"/>
      <c r="G923" s="35"/>
      <c r="H923" s="40"/>
      <c r="I923" s="37"/>
      <c r="J923" s="35"/>
      <c r="K923" s="35"/>
      <c r="L923" s="48"/>
      <c r="M923" s="49"/>
      <c r="N923" s="49"/>
    </row>
    <row r="924" spans="1:14" ht="15.75" customHeight="1">
      <c r="A924" s="36"/>
      <c r="B924" s="52"/>
      <c r="C924" s="40"/>
      <c r="D924" s="37"/>
      <c r="E924" s="38"/>
      <c r="F924" s="35"/>
      <c r="G924" s="35"/>
      <c r="H924" s="40"/>
      <c r="I924" s="37"/>
      <c r="J924" s="35"/>
      <c r="K924" s="35"/>
      <c r="L924" s="48"/>
      <c r="M924" s="49"/>
      <c r="N924" s="49"/>
    </row>
    <row r="925" spans="1:14" ht="15.75" customHeight="1">
      <c r="A925" s="36"/>
      <c r="B925" s="52"/>
      <c r="C925" s="40"/>
      <c r="D925" s="37"/>
      <c r="E925" s="38"/>
      <c r="F925" s="35"/>
      <c r="G925" s="35"/>
      <c r="H925" s="40"/>
      <c r="I925" s="37"/>
      <c r="J925" s="35"/>
      <c r="K925" s="35"/>
      <c r="L925" s="48"/>
      <c r="M925" s="49"/>
      <c r="N925" s="49"/>
    </row>
    <row r="926" spans="1:14" ht="15.75" customHeight="1">
      <c r="A926" s="36"/>
      <c r="B926" s="52"/>
      <c r="C926" s="40"/>
      <c r="D926" s="37"/>
      <c r="E926" s="38"/>
      <c r="F926" s="35"/>
      <c r="G926" s="35"/>
      <c r="H926" s="40"/>
      <c r="I926" s="37"/>
      <c r="J926" s="35"/>
      <c r="K926" s="35"/>
      <c r="L926" s="48"/>
      <c r="M926" s="49"/>
      <c r="N926" s="49"/>
    </row>
    <row r="927" spans="1:14" ht="15.75" customHeight="1">
      <c r="A927" s="36"/>
      <c r="B927" s="52"/>
      <c r="C927" s="40"/>
      <c r="D927" s="37"/>
      <c r="E927" s="38"/>
      <c r="F927" s="35"/>
      <c r="G927" s="35"/>
      <c r="H927" s="40"/>
      <c r="I927" s="37"/>
      <c r="J927" s="35"/>
      <c r="K927" s="35"/>
      <c r="L927" s="48"/>
      <c r="M927" s="49"/>
      <c r="N927" s="49"/>
    </row>
    <row r="928" spans="1:14" ht="15.75" customHeight="1">
      <c r="A928" s="36"/>
      <c r="B928" s="52"/>
      <c r="C928" s="40"/>
      <c r="D928" s="37"/>
      <c r="E928" s="38"/>
      <c r="F928" s="35"/>
      <c r="G928" s="35"/>
      <c r="H928" s="40"/>
      <c r="I928" s="37"/>
      <c r="J928" s="35"/>
      <c r="K928" s="35"/>
      <c r="L928" s="48"/>
      <c r="M928" s="49"/>
      <c r="N928" s="49"/>
    </row>
    <row r="929" spans="1:14" ht="15.75" customHeight="1">
      <c r="A929" s="36"/>
      <c r="B929" s="52"/>
      <c r="C929" s="40"/>
      <c r="D929" s="37"/>
      <c r="E929" s="38"/>
      <c r="F929" s="35"/>
      <c r="G929" s="35"/>
      <c r="H929" s="40"/>
      <c r="I929" s="37"/>
      <c r="J929" s="35"/>
      <c r="K929" s="35"/>
      <c r="L929" s="48"/>
      <c r="M929" s="49"/>
      <c r="N929" s="49"/>
    </row>
    <row r="930" spans="1:14" ht="15.75" customHeight="1">
      <c r="A930" s="36"/>
      <c r="B930" s="52"/>
      <c r="C930" s="40"/>
      <c r="D930" s="37"/>
      <c r="E930" s="38"/>
      <c r="F930" s="35"/>
      <c r="G930" s="35"/>
      <c r="H930" s="40"/>
      <c r="I930" s="37"/>
      <c r="J930" s="35"/>
      <c r="K930" s="35"/>
      <c r="L930" s="48"/>
      <c r="M930" s="49"/>
      <c r="N930" s="49"/>
    </row>
    <row r="931" spans="1:14" ht="15.75" customHeight="1">
      <c r="A931" s="36"/>
      <c r="B931" s="52"/>
      <c r="C931" s="40"/>
      <c r="D931" s="37"/>
      <c r="E931" s="38"/>
      <c r="F931" s="35"/>
      <c r="G931" s="35"/>
      <c r="H931" s="40"/>
      <c r="I931" s="37"/>
      <c r="J931" s="35"/>
      <c r="K931" s="35"/>
      <c r="L931" s="48"/>
      <c r="M931" s="49"/>
      <c r="N931" s="49"/>
    </row>
    <row r="932" spans="1:14" ht="15.75" customHeight="1">
      <c r="A932" s="36"/>
      <c r="B932" s="52"/>
      <c r="C932" s="40"/>
      <c r="D932" s="37"/>
      <c r="E932" s="38"/>
      <c r="F932" s="35"/>
      <c r="G932" s="35"/>
      <c r="H932" s="40"/>
      <c r="I932" s="37"/>
      <c r="J932" s="35"/>
      <c r="K932" s="35"/>
      <c r="L932" s="48"/>
      <c r="M932" s="49"/>
      <c r="N932" s="49"/>
    </row>
    <row r="933" spans="1:14" ht="15.75" customHeight="1">
      <c r="A933" s="36"/>
      <c r="B933" s="52"/>
      <c r="C933" s="40"/>
      <c r="D933" s="37"/>
      <c r="E933" s="38"/>
      <c r="F933" s="35"/>
      <c r="G933" s="35"/>
      <c r="H933" s="40"/>
      <c r="I933" s="37"/>
      <c r="J933" s="35"/>
      <c r="K933" s="35"/>
      <c r="L933" s="48"/>
      <c r="M933" s="49"/>
      <c r="N933" s="49"/>
    </row>
    <row r="934" spans="1:14" ht="15.75" customHeight="1">
      <c r="A934" s="36"/>
      <c r="B934" s="52"/>
      <c r="C934" s="40"/>
      <c r="D934" s="37"/>
      <c r="E934" s="38"/>
      <c r="F934" s="35"/>
      <c r="G934" s="35"/>
      <c r="H934" s="40"/>
      <c r="I934" s="37"/>
      <c r="J934" s="35"/>
      <c r="K934" s="35"/>
      <c r="L934" s="48"/>
      <c r="M934" s="49"/>
      <c r="N934" s="49"/>
    </row>
    <row r="935" spans="1:14" ht="15.75" customHeight="1">
      <c r="A935" s="36"/>
      <c r="B935" s="52"/>
      <c r="C935" s="40"/>
      <c r="D935" s="37"/>
      <c r="E935" s="38"/>
      <c r="F935" s="35"/>
      <c r="G935" s="35"/>
      <c r="H935" s="40"/>
      <c r="I935" s="37"/>
      <c r="J935" s="35"/>
      <c r="K935" s="35"/>
      <c r="L935" s="48"/>
      <c r="M935" s="49"/>
      <c r="N935" s="49"/>
    </row>
    <row r="936" spans="1:14" ht="15.75" customHeight="1">
      <c r="A936" s="36"/>
      <c r="B936" s="52"/>
      <c r="C936" s="40"/>
      <c r="D936" s="37"/>
      <c r="E936" s="38"/>
      <c r="F936" s="35"/>
      <c r="G936" s="35"/>
      <c r="H936" s="40"/>
      <c r="I936" s="37"/>
      <c r="J936" s="35"/>
      <c r="K936" s="35"/>
      <c r="L936" s="48"/>
      <c r="M936" s="49"/>
      <c r="N936" s="49"/>
    </row>
    <row r="937" spans="1:14" ht="15.75" customHeight="1">
      <c r="A937" s="36"/>
      <c r="B937" s="52"/>
      <c r="C937" s="40"/>
      <c r="D937" s="37"/>
      <c r="E937" s="38"/>
      <c r="F937" s="35"/>
      <c r="G937" s="35"/>
      <c r="H937" s="40"/>
      <c r="I937" s="37"/>
      <c r="J937" s="35"/>
      <c r="K937" s="35"/>
      <c r="L937" s="48"/>
      <c r="M937" s="49"/>
      <c r="N937" s="49"/>
    </row>
    <row r="938" spans="1:14" ht="15.75" customHeight="1">
      <c r="A938" s="36"/>
      <c r="B938" s="52"/>
      <c r="C938" s="40"/>
      <c r="D938" s="37"/>
      <c r="E938" s="38"/>
      <c r="F938" s="35"/>
      <c r="G938" s="35"/>
      <c r="H938" s="40"/>
      <c r="I938" s="37"/>
      <c r="J938" s="35"/>
      <c r="K938" s="35"/>
      <c r="L938" s="48"/>
      <c r="M938" s="49"/>
      <c r="N938" s="49"/>
    </row>
    <row r="939" spans="1:14" ht="15.75" customHeight="1">
      <c r="A939" s="36"/>
      <c r="B939" s="52"/>
      <c r="C939" s="40"/>
      <c r="D939" s="37"/>
      <c r="E939" s="38"/>
      <c r="F939" s="35"/>
      <c r="G939" s="35"/>
      <c r="H939" s="40"/>
      <c r="I939" s="37"/>
      <c r="J939" s="35"/>
      <c r="K939" s="35"/>
      <c r="L939" s="48"/>
      <c r="M939" s="49"/>
      <c r="N939" s="49"/>
    </row>
    <row r="940" spans="1:14" ht="15.75" customHeight="1">
      <c r="A940" s="36"/>
      <c r="B940" s="52"/>
      <c r="C940" s="40"/>
      <c r="D940" s="37"/>
      <c r="E940" s="38"/>
      <c r="F940" s="35"/>
      <c r="G940" s="35"/>
      <c r="H940" s="40"/>
      <c r="I940" s="37"/>
      <c r="J940" s="35"/>
      <c r="K940" s="35"/>
      <c r="L940" s="48"/>
      <c r="M940" s="49"/>
      <c r="N940" s="49"/>
    </row>
    <row r="941" spans="1:14" ht="15.75" customHeight="1">
      <c r="A941" s="36"/>
      <c r="B941" s="52"/>
      <c r="C941" s="40"/>
      <c r="D941" s="37"/>
      <c r="E941" s="38"/>
      <c r="F941" s="35"/>
      <c r="G941" s="35"/>
      <c r="H941" s="40"/>
      <c r="I941" s="37"/>
      <c r="J941" s="35"/>
      <c r="K941" s="35"/>
      <c r="L941" s="48"/>
      <c r="M941" s="49"/>
      <c r="N941" s="49"/>
    </row>
    <row r="942" spans="1:14" ht="15.75" customHeight="1">
      <c r="A942" s="36"/>
      <c r="B942" s="52"/>
      <c r="C942" s="40"/>
      <c r="D942" s="37"/>
      <c r="E942" s="38"/>
      <c r="F942" s="35"/>
      <c r="G942" s="35"/>
      <c r="H942" s="40"/>
      <c r="I942" s="37"/>
      <c r="J942" s="35"/>
      <c r="K942" s="35"/>
      <c r="L942" s="48"/>
      <c r="M942" s="49"/>
      <c r="N942" s="49"/>
    </row>
    <row r="943" spans="1:14" ht="15.75" customHeight="1">
      <c r="A943" s="36"/>
      <c r="B943" s="52"/>
      <c r="C943" s="40"/>
      <c r="D943" s="37"/>
      <c r="E943" s="38"/>
      <c r="F943" s="35"/>
      <c r="G943" s="35"/>
      <c r="H943" s="40"/>
      <c r="I943" s="37"/>
      <c r="J943" s="35"/>
      <c r="K943" s="35"/>
      <c r="L943" s="48"/>
      <c r="M943" s="49"/>
      <c r="N943" s="49"/>
    </row>
    <row r="944" spans="1:14" ht="15.75" customHeight="1">
      <c r="A944" s="36"/>
      <c r="B944" s="52"/>
      <c r="C944" s="40"/>
      <c r="D944" s="37"/>
      <c r="E944" s="38"/>
      <c r="F944" s="35"/>
      <c r="G944" s="35"/>
      <c r="H944" s="40"/>
      <c r="I944" s="37"/>
      <c r="J944" s="35"/>
      <c r="K944" s="35"/>
      <c r="L944" s="48"/>
      <c r="M944" s="49"/>
      <c r="N944" s="49"/>
    </row>
    <row r="945" spans="1:14" ht="15.75" customHeight="1">
      <c r="A945" s="36"/>
      <c r="B945" s="52"/>
      <c r="C945" s="40"/>
      <c r="D945" s="37"/>
      <c r="E945" s="38"/>
      <c r="F945" s="35"/>
      <c r="G945" s="35"/>
      <c r="H945" s="40"/>
      <c r="I945" s="37"/>
      <c r="J945" s="35"/>
      <c r="K945" s="35"/>
      <c r="L945" s="48"/>
      <c r="M945" s="49"/>
      <c r="N945" s="49"/>
    </row>
    <row r="946" spans="1:14" ht="15.75" customHeight="1">
      <c r="A946" s="36"/>
      <c r="B946" s="52"/>
      <c r="C946" s="40"/>
      <c r="D946" s="37"/>
      <c r="E946" s="38"/>
      <c r="F946" s="35"/>
      <c r="G946" s="35"/>
      <c r="H946" s="40"/>
      <c r="I946" s="37"/>
      <c r="J946" s="35"/>
      <c r="K946" s="35"/>
      <c r="L946" s="48"/>
      <c r="M946" s="49"/>
      <c r="N946" s="49"/>
    </row>
    <row r="947" spans="1:14" ht="15.75" customHeight="1">
      <c r="A947" s="36"/>
      <c r="B947" s="52"/>
      <c r="C947" s="40"/>
      <c r="D947" s="37"/>
      <c r="E947" s="38"/>
      <c r="F947" s="35"/>
      <c r="G947" s="35"/>
      <c r="H947" s="40"/>
      <c r="I947" s="37"/>
      <c r="J947" s="35"/>
      <c r="K947" s="35"/>
      <c r="L947" s="48"/>
      <c r="M947" s="49"/>
      <c r="N947" s="49"/>
    </row>
    <row r="948" spans="1:14" ht="15.75" customHeight="1">
      <c r="A948" s="36"/>
      <c r="B948" s="52"/>
      <c r="C948" s="40"/>
      <c r="D948" s="37"/>
      <c r="E948" s="38"/>
      <c r="F948" s="35"/>
      <c r="G948" s="35"/>
      <c r="H948" s="40"/>
      <c r="I948" s="37"/>
      <c r="J948" s="35"/>
      <c r="K948" s="35"/>
      <c r="L948" s="48"/>
      <c r="M948" s="49"/>
      <c r="N948" s="49"/>
    </row>
    <row r="949" spans="1:14" ht="15.75" customHeight="1">
      <c r="A949" s="36"/>
      <c r="B949" s="52"/>
      <c r="C949" s="40"/>
      <c r="D949" s="37"/>
      <c r="E949" s="38"/>
      <c r="F949" s="35"/>
      <c r="G949" s="35"/>
      <c r="H949" s="40"/>
      <c r="I949" s="37"/>
      <c r="J949" s="35"/>
      <c r="K949" s="35"/>
      <c r="L949" s="48"/>
      <c r="M949" s="49"/>
      <c r="N949" s="49"/>
    </row>
    <row r="950" spans="1:14" ht="15.75" customHeight="1">
      <c r="A950" s="36"/>
      <c r="B950" s="52"/>
      <c r="C950" s="40"/>
      <c r="D950" s="37"/>
      <c r="E950" s="38"/>
      <c r="F950" s="35"/>
      <c r="G950" s="35"/>
      <c r="H950" s="40"/>
      <c r="I950" s="37"/>
      <c r="J950" s="35"/>
      <c r="K950" s="35"/>
      <c r="L950" s="48"/>
      <c r="M950" s="49"/>
      <c r="N950" s="49"/>
    </row>
    <row r="951" spans="1:14" ht="15.75" customHeight="1">
      <c r="A951" s="36"/>
      <c r="B951" s="52"/>
      <c r="C951" s="40"/>
      <c r="D951" s="37"/>
      <c r="E951" s="38"/>
      <c r="F951" s="35"/>
      <c r="G951" s="35"/>
      <c r="H951" s="40"/>
      <c r="I951" s="37"/>
      <c r="J951" s="35"/>
      <c r="K951" s="35"/>
      <c r="L951" s="48"/>
      <c r="M951" s="49"/>
      <c r="N951" s="49"/>
    </row>
    <row r="952" spans="1:14" ht="15.75" customHeight="1">
      <c r="A952" s="36"/>
      <c r="B952" s="52"/>
      <c r="C952" s="40"/>
      <c r="D952" s="37"/>
      <c r="E952" s="38"/>
      <c r="F952" s="35"/>
      <c r="G952" s="35"/>
      <c r="H952" s="40"/>
      <c r="I952" s="37"/>
      <c r="J952" s="35"/>
      <c r="K952" s="35"/>
      <c r="L952" s="48"/>
      <c r="M952" s="49"/>
      <c r="N952" s="49"/>
    </row>
    <row r="953" spans="1:14" ht="15.75" customHeight="1">
      <c r="A953" s="36"/>
      <c r="B953" s="52"/>
      <c r="C953" s="40"/>
      <c r="D953" s="37"/>
      <c r="E953" s="38"/>
      <c r="F953" s="35"/>
      <c r="G953" s="35"/>
      <c r="H953" s="40"/>
      <c r="I953" s="37"/>
      <c r="J953" s="35"/>
      <c r="K953" s="35"/>
      <c r="L953" s="48"/>
      <c r="M953" s="49"/>
      <c r="N953" s="49"/>
    </row>
    <row r="954" spans="1:14" ht="15.75" customHeight="1">
      <c r="A954" s="36"/>
      <c r="B954" s="52"/>
      <c r="C954" s="40"/>
      <c r="D954" s="37"/>
      <c r="E954" s="38"/>
      <c r="F954" s="35"/>
      <c r="G954" s="35"/>
      <c r="H954" s="40"/>
      <c r="I954" s="37"/>
      <c r="J954" s="35"/>
      <c r="K954" s="35"/>
      <c r="L954" s="48"/>
      <c r="M954" s="49"/>
      <c r="N954" s="49"/>
    </row>
    <row r="955" spans="1:14" ht="15.75" customHeight="1">
      <c r="A955" s="36"/>
      <c r="B955" s="52"/>
      <c r="C955" s="40"/>
      <c r="D955" s="37"/>
      <c r="E955" s="38"/>
      <c r="F955" s="35"/>
      <c r="G955" s="35"/>
      <c r="H955" s="40"/>
      <c r="I955" s="37"/>
      <c r="J955" s="35"/>
      <c r="K955" s="35"/>
      <c r="L955" s="48"/>
      <c r="M955" s="49"/>
      <c r="N955" s="49"/>
    </row>
    <row r="956" spans="1:14" ht="15.75" customHeight="1">
      <c r="A956" s="36"/>
      <c r="B956" s="52"/>
      <c r="C956" s="40"/>
      <c r="D956" s="37"/>
      <c r="E956" s="38"/>
      <c r="F956" s="35"/>
      <c r="G956" s="35"/>
      <c r="H956" s="40"/>
      <c r="I956" s="37"/>
      <c r="J956" s="35"/>
      <c r="K956" s="35"/>
      <c r="L956" s="48"/>
      <c r="M956" s="49"/>
      <c r="N956" s="49"/>
    </row>
    <row r="957" spans="1:14" ht="15.75" customHeight="1">
      <c r="A957" s="36"/>
      <c r="B957" s="52"/>
      <c r="C957" s="40"/>
      <c r="D957" s="37"/>
      <c r="E957" s="38"/>
      <c r="F957" s="35"/>
      <c r="G957" s="35"/>
      <c r="H957" s="40"/>
      <c r="I957" s="37"/>
      <c r="J957" s="35"/>
      <c r="K957" s="35"/>
      <c r="L957" s="48"/>
      <c r="M957" s="49"/>
      <c r="N957" s="49"/>
    </row>
    <row r="958" spans="1:14" ht="15.75" customHeight="1">
      <c r="A958" s="36"/>
      <c r="B958" s="52"/>
      <c r="C958" s="40"/>
      <c r="D958" s="37"/>
      <c r="E958" s="38"/>
      <c r="F958" s="35"/>
      <c r="G958" s="35"/>
      <c r="H958" s="40"/>
      <c r="I958" s="37"/>
      <c r="J958" s="35"/>
      <c r="K958" s="35"/>
      <c r="L958" s="48"/>
      <c r="M958" s="49"/>
      <c r="N958" s="49"/>
    </row>
    <row r="959" spans="1:14" ht="15.75" customHeight="1">
      <c r="A959" s="36"/>
      <c r="B959" s="52"/>
      <c r="C959" s="40"/>
      <c r="D959" s="37"/>
      <c r="E959" s="38"/>
      <c r="F959" s="35"/>
      <c r="G959" s="35"/>
      <c r="H959" s="40"/>
      <c r="I959" s="37"/>
      <c r="J959" s="35"/>
      <c r="K959" s="35"/>
      <c r="L959" s="48"/>
      <c r="M959" s="49"/>
      <c r="N959" s="49"/>
    </row>
    <row r="960" spans="1:14" ht="15.75" customHeight="1">
      <c r="A960" s="36"/>
      <c r="B960" s="52"/>
      <c r="C960" s="40"/>
      <c r="D960" s="37"/>
      <c r="E960" s="38"/>
      <c r="F960" s="35"/>
      <c r="G960" s="35"/>
      <c r="H960" s="40"/>
      <c r="I960" s="37"/>
      <c r="J960" s="35"/>
      <c r="K960" s="35"/>
      <c r="L960" s="48"/>
      <c r="M960" s="49"/>
      <c r="N960" s="49"/>
    </row>
    <row r="961" spans="1:14" ht="15.75" customHeight="1">
      <c r="A961" s="36"/>
      <c r="B961" s="52"/>
      <c r="C961" s="40"/>
      <c r="D961" s="37"/>
      <c r="E961" s="38"/>
      <c r="F961" s="35"/>
      <c r="G961" s="35"/>
      <c r="H961" s="40"/>
      <c r="I961" s="37"/>
      <c r="J961" s="35"/>
      <c r="K961" s="35"/>
      <c r="L961" s="48"/>
      <c r="M961" s="49"/>
      <c r="N961" s="49"/>
    </row>
    <row r="962" spans="1:14" ht="15.75" customHeight="1">
      <c r="A962" s="36"/>
      <c r="B962" s="52"/>
      <c r="C962" s="40"/>
      <c r="D962" s="37"/>
      <c r="E962" s="38"/>
      <c r="F962" s="35"/>
      <c r="G962" s="35"/>
      <c r="H962" s="40"/>
      <c r="I962" s="37"/>
      <c r="J962" s="35"/>
      <c r="K962" s="35"/>
      <c r="L962" s="48"/>
      <c r="M962" s="49"/>
      <c r="N962" s="49"/>
    </row>
    <row r="963" spans="1:14" ht="15.75" customHeight="1">
      <c r="A963" s="36"/>
      <c r="B963" s="52"/>
      <c r="C963" s="40"/>
      <c r="D963" s="37"/>
      <c r="E963" s="38"/>
      <c r="F963" s="35"/>
      <c r="G963" s="35"/>
      <c r="H963" s="40"/>
      <c r="I963" s="37"/>
      <c r="J963" s="35"/>
      <c r="K963" s="35"/>
      <c r="L963" s="48"/>
      <c r="M963" s="49"/>
      <c r="N963" s="49"/>
    </row>
    <row r="964" spans="1:14" ht="15.75" customHeight="1">
      <c r="A964" s="36"/>
      <c r="B964" s="52"/>
      <c r="C964" s="40"/>
      <c r="D964" s="37"/>
      <c r="E964" s="38"/>
      <c r="F964" s="35"/>
      <c r="G964" s="35"/>
      <c r="H964" s="40"/>
      <c r="I964" s="37"/>
      <c r="J964" s="35"/>
      <c r="K964" s="35"/>
      <c r="L964" s="48"/>
      <c r="M964" s="49"/>
      <c r="N964" s="49"/>
    </row>
    <row r="965" spans="1:14" ht="15.75" customHeight="1">
      <c r="A965" s="36"/>
      <c r="B965" s="52"/>
      <c r="C965" s="40"/>
      <c r="D965" s="37"/>
      <c r="E965" s="38"/>
      <c r="F965" s="35"/>
      <c r="G965" s="35"/>
      <c r="H965" s="40"/>
      <c r="I965" s="37"/>
      <c r="J965" s="35"/>
      <c r="K965" s="35"/>
      <c r="L965" s="48"/>
      <c r="M965" s="49"/>
      <c r="N965" s="49"/>
    </row>
    <row r="966" spans="1:14" ht="15.75" customHeight="1">
      <c r="A966" s="36"/>
      <c r="B966" s="52"/>
      <c r="C966" s="40"/>
      <c r="D966" s="37"/>
      <c r="E966" s="38"/>
      <c r="F966" s="35"/>
      <c r="G966" s="35"/>
      <c r="H966" s="40"/>
      <c r="I966" s="37"/>
      <c r="J966" s="35"/>
      <c r="K966" s="35"/>
      <c r="L966" s="48"/>
      <c r="M966" s="49"/>
      <c r="N966" s="49"/>
    </row>
    <row r="967" spans="1:14" ht="15.75" customHeight="1">
      <c r="A967" s="36"/>
      <c r="B967" s="52"/>
      <c r="C967" s="40"/>
      <c r="D967" s="37"/>
      <c r="E967" s="38"/>
      <c r="F967" s="35"/>
      <c r="G967" s="35"/>
      <c r="H967" s="40"/>
      <c r="I967" s="37"/>
      <c r="J967" s="35"/>
      <c r="K967" s="35"/>
      <c r="L967" s="48"/>
      <c r="M967" s="49"/>
      <c r="N967" s="49"/>
    </row>
    <row r="968" spans="1:14" ht="15.75" customHeight="1">
      <c r="A968" s="36"/>
      <c r="B968" s="52"/>
      <c r="C968" s="40"/>
      <c r="D968" s="37"/>
      <c r="E968" s="38"/>
      <c r="F968" s="35"/>
      <c r="G968" s="35"/>
      <c r="H968" s="40"/>
      <c r="I968" s="37"/>
      <c r="J968" s="35"/>
      <c r="K968" s="35"/>
      <c r="L968" s="48"/>
      <c r="M968" s="49"/>
      <c r="N968" s="49"/>
    </row>
    <row r="969" spans="1:14" ht="15.75" customHeight="1">
      <c r="A969" s="36"/>
      <c r="B969" s="52"/>
      <c r="C969" s="40"/>
      <c r="D969" s="37"/>
      <c r="E969" s="38"/>
      <c r="F969" s="35"/>
      <c r="G969" s="35"/>
      <c r="H969" s="40"/>
      <c r="I969" s="37"/>
      <c r="J969" s="35"/>
      <c r="K969" s="35"/>
      <c r="L969" s="48"/>
      <c r="M969" s="49"/>
      <c r="N969" s="49"/>
    </row>
    <row r="970" spans="1:14" ht="15.75" customHeight="1">
      <c r="A970" s="36"/>
      <c r="B970" s="52"/>
      <c r="C970" s="40"/>
      <c r="D970" s="37"/>
      <c r="E970" s="38"/>
      <c r="F970" s="35"/>
      <c r="G970" s="35"/>
      <c r="H970" s="40"/>
      <c r="I970" s="37"/>
      <c r="J970" s="35"/>
      <c r="K970" s="35"/>
      <c r="L970" s="48"/>
      <c r="M970" s="49"/>
      <c r="N970" s="49"/>
    </row>
    <row r="971" spans="1:14" ht="15.75" customHeight="1">
      <c r="A971" s="36"/>
      <c r="B971" s="52"/>
      <c r="C971" s="40"/>
      <c r="D971" s="37"/>
      <c r="E971" s="38"/>
      <c r="F971" s="35"/>
      <c r="G971" s="35"/>
      <c r="H971" s="40"/>
      <c r="I971" s="37"/>
      <c r="J971" s="35"/>
      <c r="K971" s="35"/>
      <c r="L971" s="48"/>
      <c r="M971" s="49"/>
      <c r="N971" s="49"/>
    </row>
    <row r="972" spans="1:14" ht="15.75" customHeight="1">
      <c r="A972" s="36"/>
      <c r="B972" s="52"/>
      <c r="C972" s="40"/>
      <c r="D972" s="37"/>
      <c r="E972" s="38"/>
      <c r="F972" s="35"/>
      <c r="G972" s="35"/>
      <c r="H972" s="40"/>
      <c r="I972" s="37"/>
      <c r="J972" s="35"/>
      <c r="K972" s="35"/>
      <c r="L972" s="48"/>
      <c r="M972" s="49"/>
      <c r="N972" s="49"/>
    </row>
    <row r="973" spans="1:14" ht="15.75" customHeight="1">
      <c r="A973" s="36"/>
      <c r="B973" s="52"/>
      <c r="C973" s="40"/>
      <c r="D973" s="37"/>
      <c r="E973" s="38"/>
      <c r="F973" s="35"/>
      <c r="G973" s="35"/>
      <c r="H973" s="40"/>
      <c r="I973" s="37"/>
      <c r="J973" s="35"/>
      <c r="K973" s="35"/>
      <c r="L973" s="48"/>
      <c r="M973" s="49"/>
      <c r="N973" s="49"/>
    </row>
    <row r="974" spans="1:14" ht="15.75" customHeight="1">
      <c r="A974" s="36"/>
      <c r="B974" s="52"/>
      <c r="C974" s="40"/>
      <c r="D974" s="37"/>
      <c r="E974" s="38"/>
      <c r="F974" s="35"/>
      <c r="G974" s="35"/>
      <c r="H974" s="40"/>
      <c r="I974" s="37"/>
      <c r="J974" s="35"/>
      <c r="K974" s="35"/>
      <c r="L974" s="48"/>
      <c r="M974" s="49"/>
      <c r="N974" s="49"/>
    </row>
    <row r="975" spans="1:14" ht="15.75" customHeight="1">
      <c r="A975" s="36"/>
      <c r="B975" s="52"/>
      <c r="C975" s="40"/>
      <c r="D975" s="37"/>
      <c r="E975" s="38"/>
      <c r="F975" s="35"/>
      <c r="G975" s="35"/>
      <c r="H975" s="40"/>
      <c r="I975" s="37"/>
      <c r="J975" s="35"/>
      <c r="K975" s="35"/>
      <c r="L975" s="48"/>
      <c r="M975" s="49"/>
      <c r="N975" s="49"/>
    </row>
    <row r="976" spans="1:14" ht="15.75" customHeight="1">
      <c r="A976" s="36"/>
      <c r="B976" s="52"/>
      <c r="C976" s="40"/>
      <c r="D976" s="37"/>
      <c r="E976" s="38"/>
      <c r="F976" s="35"/>
      <c r="G976" s="35"/>
      <c r="H976" s="40"/>
      <c r="I976" s="37"/>
      <c r="J976" s="35"/>
      <c r="K976" s="35"/>
      <c r="L976" s="48"/>
      <c r="M976" s="49"/>
      <c r="N976" s="49"/>
    </row>
    <row r="977" spans="1:14" ht="15.75" customHeight="1">
      <c r="A977" s="36"/>
      <c r="B977" s="52"/>
      <c r="C977" s="40"/>
      <c r="D977" s="37"/>
      <c r="E977" s="38"/>
      <c r="F977" s="35"/>
      <c r="G977" s="35"/>
      <c r="H977" s="40"/>
      <c r="I977" s="37"/>
      <c r="J977" s="35"/>
      <c r="K977" s="35"/>
      <c r="L977" s="48"/>
      <c r="M977" s="49"/>
      <c r="N977" s="49"/>
    </row>
    <row r="978" spans="1:14" ht="15.75" customHeight="1">
      <c r="A978" s="36"/>
      <c r="B978" s="52"/>
      <c r="C978" s="40"/>
      <c r="D978" s="37"/>
      <c r="E978" s="38"/>
      <c r="F978" s="35"/>
      <c r="G978" s="35"/>
      <c r="H978" s="40"/>
      <c r="I978" s="37"/>
      <c r="J978" s="35"/>
      <c r="K978" s="35"/>
      <c r="L978" s="48"/>
      <c r="M978" s="49"/>
      <c r="N978" s="49"/>
    </row>
    <row r="979" spans="1:14" ht="15.75" customHeight="1">
      <c r="A979" s="36"/>
      <c r="B979" s="52"/>
      <c r="C979" s="40"/>
      <c r="D979" s="37"/>
      <c r="E979" s="38"/>
      <c r="F979" s="35"/>
      <c r="G979" s="35"/>
      <c r="H979" s="40"/>
      <c r="I979" s="37"/>
      <c r="J979" s="35"/>
      <c r="K979" s="35"/>
      <c r="L979" s="48"/>
      <c r="M979" s="49"/>
      <c r="N979" s="49"/>
    </row>
    <row r="980" spans="1:14" ht="15.75" customHeight="1">
      <c r="A980" s="36"/>
      <c r="B980" s="52"/>
      <c r="C980" s="40"/>
      <c r="D980" s="37"/>
      <c r="E980" s="38"/>
      <c r="F980" s="35"/>
      <c r="G980" s="35"/>
      <c r="H980" s="40"/>
      <c r="I980" s="37"/>
      <c r="J980" s="35"/>
      <c r="K980" s="35"/>
      <c r="L980" s="48"/>
      <c r="M980" s="49"/>
      <c r="N980" s="49"/>
    </row>
    <row r="981" spans="1:14" ht="15.75" customHeight="1">
      <c r="A981" s="36"/>
      <c r="B981" s="52"/>
      <c r="C981" s="40"/>
      <c r="D981" s="37"/>
      <c r="E981" s="38"/>
      <c r="F981" s="35"/>
      <c r="G981" s="35"/>
      <c r="H981" s="40"/>
      <c r="I981" s="37"/>
      <c r="J981" s="35"/>
      <c r="K981" s="35"/>
      <c r="L981" s="48"/>
      <c r="M981" s="49"/>
      <c r="N981" s="49"/>
    </row>
    <row r="982" spans="1:14" ht="15.75" customHeight="1">
      <c r="A982" s="36"/>
      <c r="B982" s="52"/>
      <c r="C982" s="40"/>
      <c r="D982" s="37"/>
      <c r="E982" s="38"/>
      <c r="F982" s="35"/>
      <c r="G982" s="35"/>
      <c r="H982" s="40"/>
      <c r="I982" s="37"/>
      <c r="J982" s="35"/>
      <c r="K982" s="35"/>
      <c r="L982" s="48"/>
      <c r="M982" s="49"/>
      <c r="N982" s="49"/>
    </row>
    <row r="983" spans="1:14" ht="15.75" customHeight="1">
      <c r="A983" s="36"/>
      <c r="B983" s="52"/>
      <c r="C983" s="40"/>
      <c r="D983" s="37"/>
      <c r="E983" s="38"/>
      <c r="F983" s="35"/>
      <c r="G983" s="35"/>
      <c r="H983" s="40"/>
      <c r="I983" s="37"/>
      <c r="J983" s="35"/>
      <c r="K983" s="35"/>
      <c r="L983" s="48"/>
      <c r="M983" s="49"/>
      <c r="N983" s="49"/>
    </row>
    <row r="984" spans="1:14" ht="15.75" customHeight="1">
      <c r="A984" s="36"/>
      <c r="B984" s="52"/>
      <c r="C984" s="40"/>
      <c r="D984" s="37"/>
      <c r="E984" s="38"/>
      <c r="F984" s="35"/>
      <c r="G984" s="35"/>
      <c r="H984" s="40"/>
      <c r="I984" s="37"/>
      <c r="J984" s="35"/>
      <c r="K984" s="35"/>
      <c r="L984" s="48"/>
      <c r="M984" s="49"/>
      <c r="N984" s="49"/>
    </row>
    <row r="985" spans="1:14" ht="15.75" customHeight="1">
      <c r="A985" s="36"/>
      <c r="B985" s="52"/>
      <c r="C985" s="40"/>
      <c r="D985" s="37"/>
      <c r="E985" s="38"/>
      <c r="F985" s="35"/>
      <c r="G985" s="35"/>
      <c r="H985" s="40"/>
      <c r="I985" s="37"/>
      <c r="J985" s="35"/>
      <c r="K985" s="35"/>
      <c r="L985" s="48"/>
      <c r="M985" s="49"/>
      <c r="N985" s="49"/>
    </row>
    <row r="986" spans="1:14" ht="15.75" customHeight="1">
      <c r="A986" s="36"/>
      <c r="B986" s="52"/>
      <c r="C986" s="40"/>
      <c r="D986" s="37"/>
      <c r="E986" s="38"/>
      <c r="F986" s="35"/>
      <c r="G986" s="35"/>
      <c r="H986" s="40"/>
      <c r="I986" s="37"/>
      <c r="J986" s="35"/>
      <c r="K986" s="35"/>
      <c r="L986" s="48"/>
      <c r="M986" s="49"/>
      <c r="N986" s="49"/>
    </row>
    <row r="987" spans="1:14" ht="15.75" customHeight="1">
      <c r="A987" s="36"/>
      <c r="B987" s="52"/>
      <c r="C987" s="40"/>
      <c r="D987" s="37"/>
      <c r="E987" s="38"/>
      <c r="F987" s="35"/>
      <c r="G987" s="35"/>
      <c r="H987" s="40"/>
      <c r="I987" s="37"/>
      <c r="J987" s="35"/>
      <c r="K987" s="35"/>
      <c r="L987" s="48"/>
      <c r="M987" s="49"/>
      <c r="N987" s="49"/>
    </row>
    <row r="988" spans="1:14" ht="15.75" customHeight="1">
      <c r="A988" s="36"/>
      <c r="B988" s="52"/>
      <c r="C988" s="40"/>
      <c r="D988" s="37"/>
      <c r="E988" s="38"/>
      <c r="F988" s="35"/>
      <c r="G988" s="35"/>
      <c r="H988" s="40"/>
      <c r="I988" s="37"/>
      <c r="J988" s="35"/>
      <c r="K988" s="35"/>
      <c r="L988" s="48"/>
      <c r="M988" s="49"/>
      <c r="N988" s="49"/>
    </row>
    <row r="989" spans="1:14" ht="15.75" customHeight="1">
      <c r="A989" s="36"/>
      <c r="B989" s="52"/>
      <c r="C989" s="40"/>
      <c r="D989" s="37"/>
      <c r="E989" s="38"/>
      <c r="F989" s="35"/>
      <c r="G989" s="35"/>
      <c r="H989" s="40"/>
      <c r="I989" s="37"/>
      <c r="J989" s="35"/>
      <c r="K989" s="35"/>
      <c r="L989" s="48"/>
      <c r="M989" s="49"/>
      <c r="N989" s="49"/>
    </row>
    <row r="990" spans="1:14" ht="15.75" customHeight="1">
      <c r="A990" s="36"/>
      <c r="B990" s="52"/>
      <c r="C990" s="40"/>
      <c r="D990" s="37"/>
      <c r="E990" s="38"/>
      <c r="F990" s="35"/>
      <c r="G990" s="35"/>
      <c r="H990" s="40"/>
      <c r="I990" s="37"/>
      <c r="J990" s="35"/>
      <c r="K990" s="35"/>
      <c r="L990" s="48"/>
      <c r="M990" s="49"/>
      <c r="N990" s="49"/>
    </row>
    <row r="991" spans="1:14" ht="15.75" customHeight="1">
      <c r="A991" s="36"/>
      <c r="B991" s="52"/>
      <c r="C991" s="40"/>
      <c r="D991" s="37"/>
      <c r="E991" s="38"/>
      <c r="F991" s="35"/>
      <c r="G991" s="35"/>
      <c r="H991" s="40"/>
      <c r="I991" s="37"/>
      <c r="J991" s="35"/>
      <c r="K991" s="35"/>
      <c r="L991" s="48"/>
      <c r="M991" s="49"/>
      <c r="N991" s="49"/>
    </row>
    <row r="992" spans="1:14" ht="15.75" customHeight="1">
      <c r="A992" s="36"/>
      <c r="B992" s="52"/>
      <c r="C992" s="40"/>
      <c r="D992" s="37"/>
      <c r="E992" s="38"/>
      <c r="F992" s="35"/>
      <c r="G992" s="35"/>
      <c r="H992" s="40"/>
      <c r="I992" s="37"/>
      <c r="J992" s="35"/>
      <c r="K992" s="35"/>
      <c r="L992" s="48"/>
      <c r="M992" s="49"/>
      <c r="N992" s="49"/>
    </row>
    <row r="993" spans="1:14" ht="15.75" customHeight="1">
      <c r="A993" s="36"/>
      <c r="B993" s="52"/>
      <c r="C993" s="40"/>
      <c r="D993" s="37"/>
      <c r="E993" s="38"/>
      <c r="F993" s="35"/>
      <c r="G993" s="35"/>
      <c r="H993" s="40"/>
      <c r="I993" s="37"/>
      <c r="J993" s="35"/>
      <c r="K993" s="35"/>
      <c r="L993" s="48"/>
      <c r="M993" s="49"/>
      <c r="N993" s="49"/>
    </row>
    <row r="994" spans="1:14" ht="15.75" customHeight="1">
      <c r="A994" s="36"/>
      <c r="B994" s="52"/>
      <c r="C994" s="40"/>
      <c r="D994" s="37"/>
      <c r="E994" s="38"/>
      <c r="F994" s="35"/>
      <c r="G994" s="35"/>
      <c r="H994" s="40"/>
      <c r="I994" s="37"/>
      <c r="J994" s="35"/>
      <c r="K994" s="35"/>
      <c r="L994" s="48"/>
      <c r="M994" s="49"/>
      <c r="N994" s="49"/>
    </row>
    <row r="995" spans="1:14" ht="15.75" customHeight="1">
      <c r="A995" s="36"/>
      <c r="B995" s="52"/>
      <c r="C995" s="40"/>
      <c r="D995" s="37"/>
      <c r="E995" s="38"/>
      <c r="F995" s="35"/>
      <c r="G995" s="35"/>
      <c r="H995" s="40"/>
      <c r="I995" s="37"/>
      <c r="J995" s="35"/>
      <c r="K995" s="35"/>
      <c r="L995" s="48"/>
      <c r="M995" s="49"/>
      <c r="N995" s="49"/>
    </row>
    <row r="996" spans="1:14" ht="15.75" customHeight="1">
      <c r="A996" s="36"/>
      <c r="B996" s="52"/>
      <c r="C996" s="40"/>
      <c r="D996" s="37"/>
      <c r="E996" s="38"/>
      <c r="F996" s="35"/>
      <c r="G996" s="35"/>
      <c r="H996" s="40"/>
      <c r="I996" s="37"/>
      <c r="J996" s="35"/>
      <c r="K996" s="35"/>
      <c r="L996" s="48"/>
      <c r="M996" s="49"/>
      <c r="N996" s="49"/>
    </row>
    <row r="997" spans="1:14" ht="15.75" customHeight="1">
      <c r="A997" s="36"/>
      <c r="B997" s="52"/>
      <c r="C997" s="40"/>
      <c r="D997" s="37"/>
      <c r="E997" s="38"/>
      <c r="F997" s="35"/>
      <c r="G997" s="35"/>
      <c r="H997" s="40"/>
      <c r="I997" s="37"/>
      <c r="J997" s="35"/>
      <c r="K997" s="35"/>
      <c r="L997" s="48"/>
      <c r="M997" s="49"/>
      <c r="N997" s="49"/>
    </row>
    <row r="998" spans="1:14" ht="15.75" customHeight="1">
      <c r="A998" s="36"/>
      <c r="B998" s="52"/>
      <c r="C998" s="40"/>
      <c r="D998" s="37"/>
      <c r="E998" s="38"/>
      <c r="F998" s="35"/>
      <c r="G998" s="35"/>
      <c r="H998" s="40"/>
      <c r="I998" s="37"/>
      <c r="J998" s="35"/>
      <c r="K998" s="35"/>
      <c r="L998" s="48"/>
      <c r="M998" s="49"/>
      <c r="N998" s="49"/>
    </row>
    <row r="999" spans="1:14" ht="15.75" customHeight="1">
      <c r="A999" s="36"/>
      <c r="B999" s="52"/>
      <c r="C999" s="40"/>
      <c r="D999" s="37"/>
      <c r="E999" s="38"/>
      <c r="F999" s="35"/>
      <c r="G999" s="35"/>
      <c r="H999" s="40"/>
      <c r="I999" s="37"/>
      <c r="J999" s="35"/>
      <c r="K999" s="35"/>
      <c r="L999" s="48"/>
      <c r="M999" s="49"/>
      <c r="N999" s="49"/>
    </row>
    <row r="1000" spans="1:14" ht="15.75" customHeight="1">
      <c r="A1000" s="36"/>
      <c r="B1000" s="52"/>
      <c r="C1000" s="40"/>
      <c r="D1000" s="37"/>
      <c r="E1000" s="38"/>
      <c r="F1000" s="35"/>
      <c r="G1000" s="35"/>
      <c r="H1000" s="40"/>
      <c r="I1000" s="37"/>
      <c r="J1000" s="35"/>
      <c r="K1000" s="35"/>
      <c r="L1000" s="48"/>
      <c r="M1000" s="49"/>
      <c r="N1000" s="49"/>
    </row>
  </sheetData>
  <autoFilter ref="B3:N136" xr:uid="{00000000-0009-0000-0000-000000000000}"/>
  <phoneticPr fontId="27"/>
  <conditionalFormatting sqref="B41">
    <cfRule type="expression" dxfId="31" priority="1">
      <formula>IF(AND($B41&lt;&gt;"",$I42="完了"),TRUE,FALSE)</formula>
    </cfRule>
  </conditionalFormatting>
  <conditionalFormatting sqref="B41:B43">
    <cfRule type="expression" dxfId="30" priority="2">
      <formula>IF($B41&lt;&gt;"",TRUE,FALSE)</formula>
    </cfRule>
  </conditionalFormatting>
  <conditionalFormatting sqref="B42:B43">
    <cfRule type="expression" dxfId="29" priority="3">
      <formula>IF(AND($B42&lt;&gt;"",$I41="完了"),TRUE,FALSE)</formula>
    </cfRule>
  </conditionalFormatting>
  <conditionalFormatting sqref="B20:C20">
    <cfRule type="expression" dxfId="28" priority="5">
      <formula>IF(AND($B20&lt;&gt;"",$I31="完了"),TRUE,FALSE)</formula>
    </cfRule>
    <cfRule type="expression" dxfId="27" priority="6">
      <formula>IF($B20&lt;&gt;"",TRUE,FALSE)</formula>
    </cfRule>
  </conditionalFormatting>
  <conditionalFormatting sqref="B4:N1000">
    <cfRule type="expression" dxfId="1" priority="7">
      <formula>IF(AND($B4&lt;&gt;"",$I4="完了"),TRUE,FALSE)</formula>
    </cfRule>
    <cfRule type="expression" dxfId="0" priority="8">
      <formula>IF(AND($B4&lt;&gt;"",$I4="終了"),TRUE,FALSE)</formula>
    </cfRule>
    <cfRule type="expression" priority="9">
      <formula>IF($B4&lt;&gt;"",TRUE,FALSE)</formula>
    </cfRule>
  </conditionalFormatting>
  <conditionalFormatting sqref="C42:F42 H42:N42 G42:G43">
    <cfRule type="expression" dxfId="26" priority="12">
      <formula>IF(AND($B41&lt;&gt;"",$I42="完了"),TRUE,FALSE)</formula>
    </cfRule>
    <cfRule type="expression" dxfId="25" priority="13">
      <formula>IF($B41&lt;&gt;"",TRUE,FALSE)</formula>
    </cfRule>
  </conditionalFormatting>
  <conditionalFormatting sqref="C41:N41">
    <cfRule type="expression" dxfId="24" priority="10">
      <formula>IF(AND($B42&lt;&gt;"",$I41="完了"),TRUE,FALSE)</formula>
    </cfRule>
    <cfRule type="expression" dxfId="23" priority="11">
      <formula>IF($B42&lt;&gt;"",TRUE,FALSE)</formula>
    </cfRule>
  </conditionalFormatting>
  <conditionalFormatting sqref="D20:N20">
    <cfRule type="expression" dxfId="22" priority="14">
      <formula>IF(AND(#REF!&lt;&gt;"",$I20="完了"),TRUE,FALSE)</formula>
    </cfRule>
    <cfRule type="expression" dxfId="21" priority="15">
      <formula>IF(#REF!&lt;&gt;"",TRUE,FALSE)</formula>
    </cfRule>
  </conditionalFormatting>
  <conditionalFormatting sqref="I21">
    <cfRule type="expression" dxfId="20" priority="16">
      <formula>IF(AND(#REF!&lt;&gt;"",$I21="完了"),TRUE,FALSE)</formula>
    </cfRule>
    <cfRule type="expression" dxfId="19" priority="17">
      <formula>IF(#REF!&lt;&gt;"",TRUE,FALSE)</formula>
    </cfRule>
  </conditionalFormatting>
  <conditionalFormatting sqref="L4:L40 M4:N126 L43:L75 L77:L126">
    <cfRule type="expression" dxfId="18" priority="18">
      <formula>IF(AND($B4&lt;&gt;"",$I4="完了"),TRUE,FALSE)</formula>
    </cfRule>
    <cfRule type="expression" dxfId="17" priority="19">
      <formula>IF($B4&lt;&gt;"",TRUE,FALSE)</formula>
    </cfRule>
  </conditionalFormatting>
  <hyperlinks>
    <hyperlink ref="F135" r:id="rId1" xr:uid="{00000000-0004-0000-0000-000000000000}"/>
  </hyperlinks>
  <pageMargins left="0.11811023622047249" right="0.11811023622047249" top="0.94488188976377963" bottom="0.35433070866141742"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4"/>
  </sheetPr>
  <dimension ref="A1:Z870"/>
  <sheetViews>
    <sheetView topLeftCell="F847" workbookViewId="0">
      <selection activeCell="J858" sqref="J858:Q868"/>
    </sheetView>
  </sheetViews>
  <sheetFormatPr defaultColWidth="14.42578125" defaultRowHeight="15" customHeight="1"/>
  <cols>
    <col min="1" max="1" width="5.28515625" style="119" customWidth="1"/>
    <col min="2" max="2" width="7.28515625" style="119" customWidth="1"/>
    <col min="3" max="3" width="13.140625" style="119" customWidth="1"/>
    <col min="4" max="5" width="12.42578125" style="119" customWidth="1"/>
    <col min="6" max="6" width="20.42578125" style="119" customWidth="1"/>
    <col min="7" max="7" width="21.7109375" style="119" customWidth="1"/>
    <col min="8" max="8" width="15" style="119" customWidth="1"/>
    <col min="9" max="9" width="13.42578125" style="119" customWidth="1"/>
    <col min="10" max="10" width="19" style="119" customWidth="1"/>
    <col min="11" max="11" width="17.42578125" style="119" customWidth="1"/>
    <col min="12" max="12" width="39.28515625" style="119" bestFit="1" customWidth="1"/>
    <col min="13" max="13" width="20.5703125" style="119" customWidth="1"/>
    <col min="14" max="14" width="12.42578125" style="119" customWidth="1"/>
    <col min="15" max="15" width="17" style="119" customWidth="1"/>
    <col min="16" max="16" width="64.85546875" style="119" customWidth="1"/>
    <col min="17" max="17" width="62.140625" style="119" customWidth="1"/>
    <col min="18" max="26" width="8.7109375" style="119" customWidth="1"/>
  </cols>
  <sheetData>
    <row r="1" spans="2:17" ht="18.75" customHeight="1">
      <c r="B1" s="53"/>
      <c r="C1" s="53"/>
      <c r="D1" s="54" t="s">
        <v>0</v>
      </c>
      <c r="E1" s="53"/>
      <c r="F1" s="55"/>
      <c r="G1" s="55"/>
      <c r="H1" s="53"/>
      <c r="I1" s="53"/>
      <c r="J1" s="53"/>
      <c r="K1" s="53"/>
      <c r="L1" s="53"/>
      <c r="M1" s="53"/>
      <c r="N1" s="53"/>
      <c r="O1" s="53"/>
      <c r="P1" s="56"/>
      <c r="Q1" s="47"/>
    </row>
    <row r="2" spans="2:17" ht="18.75" customHeight="1">
      <c r="B2" s="37" t="s">
        <v>1</v>
      </c>
      <c r="C2" s="37" t="s">
        <v>2</v>
      </c>
      <c r="D2" s="37" t="s">
        <v>3</v>
      </c>
      <c r="E2" s="37" t="s">
        <v>4</v>
      </c>
      <c r="F2" s="57">
        <v>46199.381249999999</v>
      </c>
      <c r="G2" s="57">
        <v>46199.39166666667</v>
      </c>
      <c r="H2" s="37"/>
      <c r="I2" s="37"/>
      <c r="J2" s="37"/>
      <c r="K2" s="37"/>
      <c r="L2" s="37"/>
      <c r="M2" s="37" t="s">
        <v>5</v>
      </c>
      <c r="N2" s="37" t="s">
        <v>6</v>
      </c>
      <c r="O2" s="37" t="s">
        <v>7</v>
      </c>
      <c r="P2" s="47" t="s">
        <v>8</v>
      </c>
      <c r="Q2" s="47" t="s">
        <v>9</v>
      </c>
    </row>
    <row r="3" spans="2:17" ht="18.75" customHeight="1">
      <c r="B3" s="58" t="s">
        <v>10</v>
      </c>
      <c r="C3" s="58" t="s">
        <v>2</v>
      </c>
      <c r="D3" s="59" t="s">
        <v>3</v>
      </c>
      <c r="E3" s="59" t="s">
        <v>4</v>
      </c>
      <c r="F3" s="60">
        <v>46199.440972222219</v>
      </c>
      <c r="G3" s="60">
        <v>46199.451388888891</v>
      </c>
      <c r="H3" s="59" t="s">
        <v>11</v>
      </c>
      <c r="I3" s="59" t="s">
        <v>12</v>
      </c>
      <c r="J3" s="61" t="s">
        <v>13</v>
      </c>
      <c r="K3" s="61" t="s">
        <v>14</v>
      </c>
      <c r="L3" s="61" t="s">
        <v>15</v>
      </c>
      <c r="M3" s="61" t="s">
        <v>16</v>
      </c>
      <c r="N3" s="59" t="s">
        <v>6</v>
      </c>
      <c r="O3" s="61" t="s">
        <v>7</v>
      </c>
      <c r="P3" s="62" t="s">
        <v>17</v>
      </c>
      <c r="Q3" s="62" t="s">
        <v>18</v>
      </c>
    </row>
    <row r="4" spans="2:17" ht="18.75" customHeight="1">
      <c r="B4" s="63" t="s">
        <v>19</v>
      </c>
      <c r="C4" s="63" t="s">
        <v>2</v>
      </c>
      <c r="D4" s="63" t="s">
        <v>3</v>
      </c>
      <c r="E4" s="63" t="s">
        <v>4</v>
      </c>
      <c r="F4" s="64">
        <v>46199.447916666657</v>
      </c>
      <c r="G4" s="64">
        <v>46199.458333333343</v>
      </c>
      <c r="H4" s="63">
        <f>IF(F4="", "", NETWORKDAYS.INTL(F4, G4, 11,祝日シート!A:A))</f>
        <v>1</v>
      </c>
      <c r="I4" s="65">
        <v>0.16666666666666671</v>
      </c>
      <c r="J4" s="63" t="s">
        <v>20</v>
      </c>
      <c r="K4" s="63" t="s">
        <v>21</v>
      </c>
      <c r="L4" s="63"/>
      <c r="M4" s="63" t="s">
        <v>22</v>
      </c>
      <c r="N4" s="63" t="s">
        <v>6</v>
      </c>
      <c r="O4" s="63" t="s">
        <v>7</v>
      </c>
      <c r="P4" s="66" t="s">
        <v>23</v>
      </c>
      <c r="Q4" s="66" t="s">
        <v>24</v>
      </c>
    </row>
    <row r="5" spans="2:17" ht="39" customHeight="1">
      <c r="B5" s="63" t="s">
        <v>25</v>
      </c>
      <c r="C5" s="63" t="s">
        <v>2</v>
      </c>
      <c r="D5" s="63" t="s">
        <v>3</v>
      </c>
      <c r="E5" s="63" t="s">
        <v>4</v>
      </c>
      <c r="F5" s="64">
        <v>46199.478472222218</v>
      </c>
      <c r="G5" s="64">
        <v>46199.488888888889</v>
      </c>
      <c r="H5" s="63">
        <f>IF(F5="", "", NETWORKDAYS.INTL(F5, G5, 11,祝日シート!A:A))</f>
        <v>1</v>
      </c>
      <c r="I5" s="65">
        <v>8.3333333333333329E-2</v>
      </c>
      <c r="J5" s="63" t="s">
        <v>20</v>
      </c>
      <c r="K5" s="63" t="s">
        <v>26</v>
      </c>
      <c r="L5" s="63"/>
      <c r="M5" s="63" t="s">
        <v>27</v>
      </c>
      <c r="N5" s="63" t="s">
        <v>6</v>
      </c>
      <c r="O5" s="63" t="s">
        <v>7</v>
      </c>
      <c r="P5" s="66" t="s">
        <v>28</v>
      </c>
      <c r="Q5" s="66" t="s">
        <v>29</v>
      </c>
    </row>
    <row r="6" spans="2:17" ht="18.75" customHeight="1">
      <c r="B6" s="63" t="s">
        <v>30</v>
      </c>
      <c r="C6" s="63" t="s">
        <v>2</v>
      </c>
      <c r="D6" s="63" t="s">
        <v>3</v>
      </c>
      <c r="E6" s="63" t="s">
        <v>4</v>
      </c>
      <c r="F6" s="64">
        <v>46202.451388888891</v>
      </c>
      <c r="G6" s="64">
        <v>46202.461805555547</v>
      </c>
      <c r="H6" s="63">
        <f>IF(F6="", "", NETWORKDAYS.INTL(F6, G6, 11,祝日シート!A:A))</f>
        <v>1</v>
      </c>
      <c r="I6" s="65">
        <v>4.1666666666666657E-2</v>
      </c>
      <c r="J6" s="63" t="s">
        <v>20</v>
      </c>
      <c r="K6" s="63" t="s">
        <v>26</v>
      </c>
      <c r="L6" s="63"/>
      <c r="M6" s="63" t="s">
        <v>31</v>
      </c>
      <c r="N6" s="63" t="s">
        <v>6</v>
      </c>
      <c r="O6" s="63" t="s">
        <v>7</v>
      </c>
      <c r="P6" s="66" t="s">
        <v>32</v>
      </c>
      <c r="Q6" s="66" t="s">
        <v>33</v>
      </c>
    </row>
    <row r="7" spans="2:17" ht="18.75" customHeight="1">
      <c r="B7" s="63" t="s">
        <v>34</v>
      </c>
      <c r="C7" s="63" t="s">
        <v>2</v>
      </c>
      <c r="D7" s="63" t="s">
        <v>3</v>
      </c>
      <c r="E7" s="63" t="s">
        <v>4</v>
      </c>
      <c r="F7" s="64">
        <v>46202.547222222223</v>
      </c>
      <c r="G7" s="64">
        <v>46202.557638888888</v>
      </c>
      <c r="H7" s="63">
        <f>IF(F7="", "", NETWORKDAYS.INTL(F7, G7, 11,祝日シート!A:A))</f>
        <v>1</v>
      </c>
      <c r="I7" s="65">
        <v>2.0833333333333329E-2</v>
      </c>
      <c r="J7" s="63" t="s">
        <v>20</v>
      </c>
      <c r="K7" s="63" t="s">
        <v>35</v>
      </c>
      <c r="L7" s="63"/>
      <c r="M7" s="63" t="s">
        <v>36</v>
      </c>
      <c r="N7" s="63" t="s">
        <v>6</v>
      </c>
      <c r="O7" s="63" t="s">
        <v>7</v>
      </c>
      <c r="P7" s="66" t="s">
        <v>37</v>
      </c>
      <c r="Q7" s="66" t="s">
        <v>38</v>
      </c>
    </row>
    <row r="8" spans="2:17" ht="18.75" customHeight="1">
      <c r="B8" s="63" t="s">
        <v>39</v>
      </c>
      <c r="C8" s="63" t="s">
        <v>2</v>
      </c>
      <c r="D8" s="63" t="s">
        <v>3</v>
      </c>
      <c r="E8" s="63" t="s">
        <v>4</v>
      </c>
      <c r="F8" s="64">
        <v>46202.554166666669</v>
      </c>
      <c r="G8" s="64">
        <v>46202.564583333333</v>
      </c>
      <c r="H8" s="63">
        <f>IF(F8="", "", NETWORKDAYS.INTL(F8, G8, 11,祝日シート!A:A))</f>
        <v>1</v>
      </c>
      <c r="I8" s="65">
        <v>1.041666666666667E-2</v>
      </c>
      <c r="J8" s="63" t="s">
        <v>40</v>
      </c>
      <c r="K8" s="63" t="s">
        <v>41</v>
      </c>
      <c r="L8" s="63"/>
      <c r="M8" s="63" t="s">
        <v>22</v>
      </c>
      <c r="N8" s="63" t="s">
        <v>6</v>
      </c>
      <c r="O8" s="63" t="s">
        <v>7</v>
      </c>
      <c r="P8" s="66" t="s">
        <v>42</v>
      </c>
      <c r="Q8" s="66" t="s">
        <v>43</v>
      </c>
    </row>
    <row r="9" spans="2:17" ht="39.75" customHeight="1">
      <c r="B9" s="63" t="s">
        <v>44</v>
      </c>
      <c r="C9" s="63" t="s">
        <v>2</v>
      </c>
      <c r="D9" s="63" t="s">
        <v>3</v>
      </c>
      <c r="E9" s="63" t="s">
        <v>4</v>
      </c>
      <c r="F9" s="64">
        <v>46202.603472222218</v>
      </c>
      <c r="G9" s="64">
        <v>46202.613888888889</v>
      </c>
      <c r="H9" s="63">
        <f>IF(F9="", "", NETWORKDAYS.INTL(F9, G9, 11,祝日シート!A:A))</f>
        <v>1</v>
      </c>
      <c r="I9" s="65">
        <v>1.388888888888889E-2</v>
      </c>
      <c r="J9" s="63" t="s">
        <v>45</v>
      </c>
      <c r="K9" s="63" t="s">
        <v>21</v>
      </c>
      <c r="L9" s="63"/>
      <c r="M9" s="63" t="s">
        <v>46</v>
      </c>
      <c r="N9" s="63" t="s">
        <v>6</v>
      </c>
      <c r="O9" s="63" t="s">
        <v>7</v>
      </c>
      <c r="P9" s="66" t="s">
        <v>47</v>
      </c>
      <c r="Q9" s="66" t="s">
        <v>48</v>
      </c>
    </row>
    <row r="10" spans="2:17" ht="39.75" customHeight="1">
      <c r="B10" s="63" t="s">
        <v>49</v>
      </c>
      <c r="C10" s="63" t="s">
        <v>2</v>
      </c>
      <c r="D10" s="63" t="s">
        <v>3</v>
      </c>
      <c r="E10" s="63" t="s">
        <v>4</v>
      </c>
      <c r="F10" s="64">
        <v>46202.606944444437</v>
      </c>
      <c r="G10" s="64">
        <v>46202.617361111108</v>
      </c>
      <c r="H10" s="63">
        <f>IF(F10="", "", NETWORKDAYS.INTL(F10, G10, 11,祝日シート!A:A))</f>
        <v>1</v>
      </c>
      <c r="I10" s="65">
        <v>1.041666666666667E-2</v>
      </c>
      <c r="J10" s="63" t="s">
        <v>45</v>
      </c>
      <c r="K10" s="63" t="s">
        <v>35</v>
      </c>
      <c r="L10" s="63"/>
      <c r="M10" s="63" t="s">
        <v>5</v>
      </c>
      <c r="N10" s="63" t="s">
        <v>6</v>
      </c>
      <c r="O10" s="63" t="s">
        <v>7</v>
      </c>
      <c r="P10" s="66" t="s">
        <v>50</v>
      </c>
      <c r="Q10" s="66" t="s">
        <v>51</v>
      </c>
    </row>
    <row r="11" spans="2:17" ht="18.75" customHeight="1">
      <c r="B11" s="63" t="s">
        <v>52</v>
      </c>
      <c r="C11" s="63" t="s">
        <v>2</v>
      </c>
      <c r="D11" s="63" t="s">
        <v>3</v>
      </c>
      <c r="E11" s="63" t="s">
        <v>4</v>
      </c>
      <c r="F11" s="64">
        <v>46202.667361111111</v>
      </c>
      <c r="G11" s="64">
        <v>46202.677777777782</v>
      </c>
      <c r="H11" s="63">
        <f>IF(F11="", "", NETWORKDAYS.INTL(F11, G11, 11,祝日シート!A:A))</f>
        <v>1</v>
      </c>
      <c r="I11" s="65">
        <v>1.041666666666667E-2</v>
      </c>
      <c r="J11" s="63" t="s">
        <v>45</v>
      </c>
      <c r="K11" s="63" t="s">
        <v>21</v>
      </c>
      <c r="L11" s="63"/>
      <c r="M11" s="63" t="s">
        <v>53</v>
      </c>
      <c r="N11" s="63" t="s">
        <v>6</v>
      </c>
      <c r="O11" s="63" t="s">
        <v>7</v>
      </c>
      <c r="P11" s="66" t="s">
        <v>54</v>
      </c>
      <c r="Q11" s="66" t="s">
        <v>55</v>
      </c>
    </row>
    <row r="12" spans="2:17" ht="18.75" customHeight="1">
      <c r="B12" s="63" t="s">
        <v>56</v>
      </c>
      <c r="C12" s="63" t="s">
        <v>2</v>
      </c>
      <c r="D12" s="63" t="s">
        <v>3</v>
      </c>
      <c r="E12" s="63" t="s">
        <v>4</v>
      </c>
      <c r="F12" s="64">
        <v>46203.348611111112</v>
      </c>
      <c r="G12" s="64">
        <v>46203.359027777777</v>
      </c>
      <c r="H12" s="63">
        <f>IF(F12="", "", NETWORKDAYS.INTL(F12, G12, 11,祝日シート!A:A))</f>
        <v>1</v>
      </c>
      <c r="I12" s="65">
        <v>0.20833333333333329</v>
      </c>
      <c r="J12" s="63" t="s">
        <v>20</v>
      </c>
      <c r="K12" s="63" t="s">
        <v>35</v>
      </c>
      <c r="L12" s="63"/>
      <c r="M12" s="63" t="s">
        <v>57</v>
      </c>
      <c r="N12" s="63" t="s">
        <v>6</v>
      </c>
      <c r="O12" s="63" t="s">
        <v>7</v>
      </c>
      <c r="P12" s="66" t="s">
        <v>58</v>
      </c>
      <c r="Q12" s="66" t="s">
        <v>59</v>
      </c>
    </row>
    <row r="13" spans="2:17" ht="37.5" customHeight="1">
      <c r="B13" s="63" t="s">
        <v>60</v>
      </c>
      <c r="C13" s="63" t="s">
        <v>2</v>
      </c>
      <c r="D13" s="63" t="s">
        <v>3</v>
      </c>
      <c r="E13" s="63" t="s">
        <v>4</v>
      </c>
      <c r="F13" s="64">
        <v>46203.365972222222</v>
      </c>
      <c r="G13" s="64">
        <v>46203.376388888893</v>
      </c>
      <c r="H13" s="63">
        <f>IF(F13="", "", NETWORKDAYS.INTL(F13, G13, 11,祝日シート!A:A))</f>
        <v>1</v>
      </c>
      <c r="I13" s="65">
        <v>0.27083333333333331</v>
      </c>
      <c r="J13" s="63" t="s">
        <v>61</v>
      </c>
      <c r="K13" s="63" t="s">
        <v>26</v>
      </c>
      <c r="L13" s="63"/>
      <c r="M13" s="63" t="s">
        <v>62</v>
      </c>
      <c r="N13" s="63" t="s">
        <v>6</v>
      </c>
      <c r="O13" s="63" t="s">
        <v>7</v>
      </c>
      <c r="P13" s="66" t="s">
        <v>63</v>
      </c>
      <c r="Q13" s="66" t="s">
        <v>64</v>
      </c>
    </row>
    <row r="14" spans="2:17" ht="37.5" customHeight="1">
      <c r="B14" s="63" t="s">
        <v>65</v>
      </c>
      <c r="C14" s="63" t="s">
        <v>2</v>
      </c>
      <c r="D14" s="63" t="s">
        <v>3</v>
      </c>
      <c r="E14" s="63" t="s">
        <v>4</v>
      </c>
      <c r="F14" s="64">
        <v>46203.605555555558</v>
      </c>
      <c r="G14" s="64">
        <v>46203.615972222222</v>
      </c>
      <c r="H14" s="63">
        <f>IF(F14="", "", NETWORKDAYS.INTL(F14, G14, 11,祝日シート!A:A))</f>
        <v>1</v>
      </c>
      <c r="I14" s="65">
        <v>0.125</v>
      </c>
      <c r="J14" s="63" t="s">
        <v>40</v>
      </c>
      <c r="K14" s="63" t="s">
        <v>21</v>
      </c>
      <c r="L14" s="63"/>
      <c r="M14" s="63" t="s">
        <v>31</v>
      </c>
      <c r="N14" s="63" t="s">
        <v>6</v>
      </c>
      <c r="O14" s="63" t="s">
        <v>7</v>
      </c>
      <c r="P14" s="66" t="s">
        <v>66</v>
      </c>
      <c r="Q14" s="66" t="s">
        <v>67</v>
      </c>
    </row>
    <row r="15" spans="2:17" ht="18.75" customHeight="1">
      <c r="B15" s="63" t="s">
        <v>68</v>
      </c>
      <c r="C15" s="63" t="s">
        <v>69</v>
      </c>
      <c r="D15" s="63" t="s">
        <v>3</v>
      </c>
      <c r="E15" s="63" t="s">
        <v>4</v>
      </c>
      <c r="F15" s="64">
        <v>46204.40902777778</v>
      </c>
      <c r="G15" s="64">
        <v>46204.419444444437</v>
      </c>
      <c r="H15" s="63">
        <f>IF(F15="", "", NETWORKDAYS.INTL(F15, G15, 11,祝日シート!A:A))</f>
        <v>1</v>
      </c>
      <c r="I15" s="65">
        <v>4.1666666666666657E-2</v>
      </c>
      <c r="J15" s="63" t="s">
        <v>20</v>
      </c>
      <c r="K15" s="63" t="s">
        <v>26</v>
      </c>
      <c r="L15" s="63"/>
      <c r="M15" s="63" t="s">
        <v>70</v>
      </c>
      <c r="N15" s="63" t="s">
        <v>6</v>
      </c>
      <c r="O15" s="63" t="s">
        <v>7</v>
      </c>
      <c r="P15" s="66" t="s">
        <v>71</v>
      </c>
      <c r="Q15" s="66" t="s">
        <v>72</v>
      </c>
    </row>
    <row r="16" spans="2:17" ht="18.75" customHeight="1">
      <c r="B16" s="63" t="s">
        <v>73</v>
      </c>
      <c r="C16" s="63" t="s">
        <v>69</v>
      </c>
      <c r="D16" s="63" t="s">
        <v>3</v>
      </c>
      <c r="E16" s="63" t="s">
        <v>4</v>
      </c>
      <c r="F16" s="64">
        <v>46204.4375</v>
      </c>
      <c r="G16" s="64">
        <v>46204.447916666657</v>
      </c>
      <c r="H16" s="63">
        <f>IF(F16="", "", NETWORKDAYS.INTL(F16, G16, 11,祝日シート!A:A))</f>
        <v>1</v>
      </c>
      <c r="I16" s="65">
        <v>1.041666666666667E-2</v>
      </c>
      <c r="J16" s="63" t="s">
        <v>40</v>
      </c>
      <c r="K16" s="63" t="s">
        <v>26</v>
      </c>
      <c r="L16" s="63"/>
      <c r="M16" s="63" t="s">
        <v>16</v>
      </c>
      <c r="N16" s="63" t="s">
        <v>6</v>
      </c>
      <c r="O16" s="63" t="s">
        <v>7</v>
      </c>
      <c r="P16" s="66" t="s">
        <v>74</v>
      </c>
      <c r="Q16" s="66" t="s">
        <v>75</v>
      </c>
    </row>
    <row r="17" spans="2:17" ht="18.75" customHeight="1">
      <c r="B17" s="63" t="s">
        <v>76</v>
      </c>
      <c r="C17" s="63" t="s">
        <v>69</v>
      </c>
      <c r="D17" s="63" t="s">
        <v>3</v>
      </c>
      <c r="E17" s="63" t="s">
        <v>4</v>
      </c>
      <c r="F17" s="64">
        <v>46204.652083333327</v>
      </c>
      <c r="G17" s="64">
        <v>46204.662499999999</v>
      </c>
      <c r="H17" s="63">
        <f>IF(F17="", "", NETWORKDAYS.INTL(F17, G17, 11,祝日シート!A:A))</f>
        <v>1</v>
      </c>
      <c r="I17" s="65">
        <v>4.1666666666666657E-2</v>
      </c>
      <c r="J17" s="63" t="s">
        <v>20</v>
      </c>
      <c r="K17" s="63" t="s">
        <v>77</v>
      </c>
      <c r="L17" s="63"/>
      <c r="M17" s="63" t="s">
        <v>62</v>
      </c>
      <c r="N17" s="63" t="s">
        <v>6</v>
      </c>
      <c r="O17" s="63" t="s">
        <v>7</v>
      </c>
      <c r="P17" s="66" t="s">
        <v>78</v>
      </c>
      <c r="Q17" s="66" t="s">
        <v>79</v>
      </c>
    </row>
    <row r="18" spans="2:17" ht="18.75" customHeight="1">
      <c r="B18" s="63" t="s">
        <v>80</v>
      </c>
      <c r="C18" s="63" t="s">
        <v>69</v>
      </c>
      <c r="D18" s="63" t="s">
        <v>3</v>
      </c>
      <c r="E18" s="63" t="s">
        <v>4</v>
      </c>
      <c r="F18" s="64">
        <v>46205.400694444441</v>
      </c>
      <c r="G18" s="64">
        <v>46205.411111111112</v>
      </c>
      <c r="H18" s="63">
        <f>IF(F18="", "", NETWORKDAYS.INTL(F18, G18, 11,祝日シート!A:A))</f>
        <v>1</v>
      </c>
      <c r="I18" s="65">
        <v>2.0833333333333329E-2</v>
      </c>
      <c r="J18" s="63" t="s">
        <v>61</v>
      </c>
      <c r="K18" s="63" t="s">
        <v>26</v>
      </c>
      <c r="L18" s="63"/>
      <c r="M18" s="63" t="s">
        <v>62</v>
      </c>
      <c r="N18" s="63" t="s">
        <v>6</v>
      </c>
      <c r="O18" s="63" t="s">
        <v>7</v>
      </c>
      <c r="P18" s="66" t="s">
        <v>81</v>
      </c>
      <c r="Q18" s="66" t="s">
        <v>82</v>
      </c>
    </row>
    <row r="19" spans="2:17" ht="41.25" customHeight="1">
      <c r="B19" s="63" t="s">
        <v>83</v>
      </c>
      <c r="C19" s="63" t="s">
        <v>69</v>
      </c>
      <c r="D19" s="63" t="s">
        <v>3</v>
      </c>
      <c r="E19" s="63" t="s">
        <v>4</v>
      </c>
      <c r="F19" s="64">
        <v>46205.411111111112</v>
      </c>
      <c r="G19" s="64">
        <v>46205.421527777777</v>
      </c>
      <c r="H19" s="63">
        <f>IF(F19="", "", NETWORKDAYS.INTL(F19, G19, 11,祝日シート!A:A))</f>
        <v>1</v>
      </c>
      <c r="I19" s="65">
        <v>4.1666666666666657E-2</v>
      </c>
      <c r="J19" s="63" t="s">
        <v>40</v>
      </c>
      <c r="K19" s="63" t="s">
        <v>41</v>
      </c>
      <c r="L19" s="63"/>
      <c r="M19" s="63" t="s">
        <v>16</v>
      </c>
      <c r="N19" s="63" t="s">
        <v>6</v>
      </c>
      <c r="O19" s="63" t="s">
        <v>7</v>
      </c>
      <c r="P19" s="66" t="s">
        <v>84</v>
      </c>
      <c r="Q19" s="66" t="s">
        <v>85</v>
      </c>
    </row>
    <row r="20" spans="2:17" ht="41.25" customHeight="1">
      <c r="B20" s="63" t="s">
        <v>86</v>
      </c>
      <c r="C20" s="63" t="s">
        <v>69</v>
      </c>
      <c r="D20" s="63" t="s">
        <v>3</v>
      </c>
      <c r="E20" s="63" t="s">
        <v>4</v>
      </c>
      <c r="F20" s="64">
        <v>46216.393750000003</v>
      </c>
      <c r="G20" s="64">
        <v>46216.404166666667</v>
      </c>
      <c r="H20" s="63">
        <f>IF(F20="", "", NETWORKDAYS.INTL(F20, G20, 11,祝日シート!A:A))</f>
        <v>1</v>
      </c>
      <c r="I20" s="65">
        <v>6.9444444444444441E-3</v>
      </c>
      <c r="J20" s="63" t="s">
        <v>20</v>
      </c>
      <c r="K20" s="63" t="s">
        <v>77</v>
      </c>
      <c r="L20" s="63"/>
      <c r="M20" s="63" t="s">
        <v>87</v>
      </c>
      <c r="N20" s="63" t="s">
        <v>6</v>
      </c>
      <c r="O20" s="63" t="s">
        <v>7</v>
      </c>
      <c r="P20" s="66" t="s">
        <v>88</v>
      </c>
      <c r="Q20" s="66" t="s">
        <v>89</v>
      </c>
    </row>
    <row r="21" spans="2:17" ht="18.75" customHeight="1">
      <c r="B21" s="63" t="s">
        <v>90</v>
      </c>
      <c r="C21" s="63" t="s">
        <v>69</v>
      </c>
      <c r="D21" s="63" t="s">
        <v>3</v>
      </c>
      <c r="E21" s="63" t="s">
        <v>4</v>
      </c>
      <c r="F21" s="64">
        <v>46216.477777777778</v>
      </c>
      <c r="G21" s="64">
        <v>46216.488194444442</v>
      </c>
      <c r="H21" s="63">
        <f>IF(F21="", "", NETWORKDAYS.INTL(F21, G21, 11,祝日シート!A:A))</f>
        <v>1</v>
      </c>
      <c r="I21" s="65">
        <v>6.9444444444444441E-3</v>
      </c>
      <c r="J21" s="63" t="s">
        <v>40</v>
      </c>
      <c r="K21" s="63" t="s">
        <v>35</v>
      </c>
      <c r="L21" s="63"/>
      <c r="M21" s="63" t="s">
        <v>91</v>
      </c>
      <c r="N21" s="63" t="s">
        <v>6</v>
      </c>
      <c r="O21" s="63" t="s">
        <v>7</v>
      </c>
      <c r="P21" s="66" t="s">
        <v>92</v>
      </c>
      <c r="Q21" s="66" t="s">
        <v>93</v>
      </c>
    </row>
    <row r="22" spans="2:17" ht="18.75" customHeight="1">
      <c r="B22" s="63" t="s">
        <v>94</v>
      </c>
      <c r="C22" s="63" t="s">
        <v>69</v>
      </c>
      <c r="D22" s="63" t="s">
        <v>3</v>
      </c>
      <c r="E22" s="63" t="s">
        <v>4</v>
      </c>
      <c r="F22" s="64">
        <v>46216.495138888888</v>
      </c>
      <c r="G22" s="64">
        <v>46216.505555555559</v>
      </c>
      <c r="H22" s="63">
        <f>IF(F22="", "", NETWORKDAYS.INTL(F22, G22, 11,祝日シート!A:A))</f>
        <v>1</v>
      </c>
      <c r="I22" s="65">
        <v>6.25E-2</v>
      </c>
      <c r="J22" s="63" t="s">
        <v>95</v>
      </c>
      <c r="K22" s="63" t="s">
        <v>77</v>
      </c>
      <c r="L22" s="63"/>
      <c r="M22" s="63" t="s">
        <v>22</v>
      </c>
      <c r="N22" s="63" t="s">
        <v>6</v>
      </c>
      <c r="O22" s="63" t="s">
        <v>7</v>
      </c>
      <c r="P22" s="66" t="s">
        <v>96</v>
      </c>
      <c r="Q22" s="66" t="s">
        <v>97</v>
      </c>
    </row>
    <row r="23" spans="2:17" ht="18.75" customHeight="1">
      <c r="B23" s="63" t="str">
        <f t="shared" ref="B23:B86" si="0">"No"&amp;ROW()-3</f>
        <v>No20</v>
      </c>
      <c r="C23" s="63" t="str">
        <f t="shared" ref="C23:C86" si="1">IFERROR(IF(G23&lt;&gt;"",TEXT(G23,"yyyymm"),""),"")</f>
        <v>202408</v>
      </c>
      <c r="D23" s="63" t="s">
        <v>98</v>
      </c>
      <c r="E23" s="63" t="s">
        <v>4</v>
      </c>
      <c r="F23" s="64">
        <v>45522.666666666657</v>
      </c>
      <c r="G23" s="64">
        <v>45522.6875</v>
      </c>
      <c r="H23" s="63">
        <f>IF(F23="", "", NETWORKDAYS.INTL(F23, G23, 11,祝日シート!A:A))</f>
        <v>0</v>
      </c>
      <c r="I23" s="65">
        <v>2.0833333333333329E-2</v>
      </c>
      <c r="J23" s="63" t="s">
        <v>40</v>
      </c>
      <c r="K23" s="63" t="s">
        <v>21</v>
      </c>
      <c r="L23" s="63"/>
      <c r="M23" s="63" t="s">
        <v>99</v>
      </c>
      <c r="N23" s="63" t="s">
        <v>6</v>
      </c>
      <c r="O23" s="63" t="s">
        <v>7</v>
      </c>
      <c r="P23" s="66" t="s">
        <v>100</v>
      </c>
      <c r="Q23" s="66" t="s">
        <v>101</v>
      </c>
    </row>
    <row r="24" spans="2:17" ht="18.75" customHeight="1">
      <c r="B24" s="63" t="str">
        <f t="shared" si="0"/>
        <v>No21</v>
      </c>
      <c r="C24" s="63" t="str">
        <f t="shared" si="1"/>
        <v>202408</v>
      </c>
      <c r="D24" s="63" t="s">
        <v>98</v>
      </c>
      <c r="E24" s="63" t="s">
        <v>4</v>
      </c>
      <c r="F24" s="64">
        <v>45529.375</v>
      </c>
      <c r="G24" s="64">
        <v>45529.708333333343</v>
      </c>
      <c r="H24" s="63">
        <f>IF(F24="", "", NETWORKDAYS.INTL(F24, G24, 11,祝日シート!A:A))</f>
        <v>0</v>
      </c>
      <c r="I24" s="65">
        <v>0.33333333333333331</v>
      </c>
      <c r="J24" s="63" t="s">
        <v>40</v>
      </c>
      <c r="K24" s="63" t="s">
        <v>35</v>
      </c>
      <c r="L24" s="63"/>
      <c r="M24" s="63" t="s">
        <v>102</v>
      </c>
      <c r="N24" s="63" t="s">
        <v>6</v>
      </c>
      <c r="O24" s="63" t="s">
        <v>7</v>
      </c>
      <c r="P24" s="66" t="s">
        <v>103</v>
      </c>
      <c r="Q24" s="66" t="s">
        <v>101</v>
      </c>
    </row>
    <row r="25" spans="2:17" ht="41.25" customHeight="1">
      <c r="B25" s="63" t="str">
        <f t="shared" si="0"/>
        <v>No22</v>
      </c>
      <c r="C25" s="63" t="str">
        <f t="shared" si="1"/>
        <v>202408</v>
      </c>
      <c r="D25" s="63" t="s">
        <v>104</v>
      </c>
      <c r="E25" s="63" t="s">
        <v>4</v>
      </c>
      <c r="F25" s="64">
        <v>45529.458333333343</v>
      </c>
      <c r="G25" s="64">
        <v>45529.465277777781</v>
      </c>
      <c r="H25" s="63">
        <f>IF(F25="", "", NETWORKDAYS.INTL(F25, G25, 11,祝日シート!A:A))</f>
        <v>0</v>
      </c>
      <c r="I25" s="65">
        <v>6.9444444444444441E-3</v>
      </c>
      <c r="J25" s="63" t="s">
        <v>20</v>
      </c>
      <c r="K25" s="63" t="s">
        <v>105</v>
      </c>
      <c r="L25" s="63"/>
      <c r="M25" s="63" t="s">
        <v>106</v>
      </c>
      <c r="N25" s="63" t="s">
        <v>6</v>
      </c>
      <c r="O25" s="63" t="s">
        <v>7</v>
      </c>
      <c r="P25" s="66" t="s">
        <v>107</v>
      </c>
      <c r="Q25" s="66" t="s">
        <v>108</v>
      </c>
    </row>
    <row r="26" spans="2:17" ht="41.25" customHeight="1">
      <c r="B26" s="63" t="str">
        <f t="shared" si="0"/>
        <v>No23</v>
      </c>
      <c r="C26" s="63" t="str">
        <f t="shared" si="1"/>
        <v>202408</v>
      </c>
      <c r="D26" s="63" t="s">
        <v>3</v>
      </c>
      <c r="E26" s="63" t="s">
        <v>4</v>
      </c>
      <c r="F26" s="64">
        <v>45529.493055555547</v>
      </c>
      <c r="G26" s="64">
        <v>45529.5</v>
      </c>
      <c r="H26" s="63">
        <f>IF(F26="", "", NETWORKDAYS.INTL(F26, G26, 11,祝日シート!A:A))</f>
        <v>0</v>
      </c>
      <c r="I26" s="65">
        <v>6.9444444444444441E-3</v>
      </c>
      <c r="J26" s="63" t="s">
        <v>20</v>
      </c>
      <c r="K26" s="63" t="s">
        <v>21</v>
      </c>
      <c r="L26" s="63"/>
      <c r="M26" s="63" t="s">
        <v>109</v>
      </c>
      <c r="N26" s="63" t="s">
        <v>6</v>
      </c>
      <c r="O26" s="63" t="s">
        <v>7</v>
      </c>
      <c r="P26" s="66" t="s">
        <v>110</v>
      </c>
      <c r="Q26" s="66" t="s">
        <v>101</v>
      </c>
    </row>
    <row r="27" spans="2:17" ht="41.25" customHeight="1">
      <c r="B27" s="63" t="str">
        <f t="shared" si="0"/>
        <v>No24</v>
      </c>
      <c r="C27" s="63" t="str">
        <f t="shared" si="1"/>
        <v>202408</v>
      </c>
      <c r="D27" s="63" t="s">
        <v>3</v>
      </c>
      <c r="E27" s="63" t="s">
        <v>4</v>
      </c>
      <c r="F27" s="64">
        <v>45529.5625</v>
      </c>
      <c r="G27" s="64">
        <v>45529.569444444453</v>
      </c>
      <c r="H27" s="63">
        <f>IF(F27="", "", NETWORKDAYS.INTL(F27, G27, 11,祝日シート!A:A))</f>
        <v>0</v>
      </c>
      <c r="I27" s="65">
        <v>6.9444444444444441E-3</v>
      </c>
      <c r="J27" s="63" t="s">
        <v>20</v>
      </c>
      <c r="K27" s="63" t="s">
        <v>111</v>
      </c>
      <c r="L27" s="63"/>
      <c r="M27" s="63" t="s">
        <v>112</v>
      </c>
      <c r="N27" s="63" t="s">
        <v>6</v>
      </c>
      <c r="O27" s="63" t="s">
        <v>7</v>
      </c>
      <c r="P27" s="66" t="s">
        <v>113</v>
      </c>
      <c r="Q27" s="66" t="s">
        <v>101</v>
      </c>
    </row>
    <row r="28" spans="2:17" ht="41.25" customHeight="1">
      <c r="B28" s="63" t="str">
        <f t="shared" si="0"/>
        <v>No25</v>
      </c>
      <c r="C28" s="63" t="str">
        <f t="shared" si="1"/>
        <v>202408</v>
      </c>
      <c r="D28" s="63" t="s">
        <v>98</v>
      </c>
      <c r="E28" s="63" t="s">
        <v>4</v>
      </c>
      <c r="F28" s="64">
        <v>45531.375</v>
      </c>
      <c r="G28" s="64">
        <v>45531.75</v>
      </c>
      <c r="H28" s="63">
        <f>IF(F28="", "", NETWORKDAYS.INTL(F28, G28, 11,祝日シート!A:A))</f>
        <v>1</v>
      </c>
      <c r="I28" s="65">
        <v>0.375</v>
      </c>
      <c r="J28" s="63" t="s">
        <v>40</v>
      </c>
      <c r="K28" s="63" t="s">
        <v>111</v>
      </c>
      <c r="L28" s="63"/>
      <c r="M28" s="63" t="s">
        <v>114</v>
      </c>
      <c r="N28" s="63" t="s">
        <v>6</v>
      </c>
      <c r="O28" s="63" t="s">
        <v>7</v>
      </c>
      <c r="P28" s="66" t="s">
        <v>115</v>
      </c>
      <c r="Q28" s="66" t="s">
        <v>101</v>
      </c>
    </row>
    <row r="29" spans="2:17" ht="41.25" customHeight="1">
      <c r="B29" s="63" t="str">
        <f t="shared" si="0"/>
        <v>No26</v>
      </c>
      <c r="C29" s="63" t="str">
        <f t="shared" si="1"/>
        <v>202408</v>
      </c>
      <c r="D29" s="63" t="s">
        <v>98</v>
      </c>
      <c r="E29" s="63" t="s">
        <v>4</v>
      </c>
      <c r="F29" s="64">
        <v>45531.458333333343</v>
      </c>
      <c r="G29" s="64">
        <v>45531.479166666657</v>
      </c>
      <c r="H29" s="63">
        <f>IF(F29="", "", NETWORKDAYS.INTL(F29, G29, 11,祝日シート!A:A))</f>
        <v>1</v>
      </c>
      <c r="I29" s="65">
        <v>2.0833333333333329E-2</v>
      </c>
      <c r="J29" s="63" t="s">
        <v>40</v>
      </c>
      <c r="K29" s="63" t="s">
        <v>26</v>
      </c>
      <c r="L29" s="63"/>
      <c r="M29" s="63" t="s">
        <v>116</v>
      </c>
      <c r="N29" s="63" t="s">
        <v>117</v>
      </c>
      <c r="O29" s="63" t="s">
        <v>7</v>
      </c>
      <c r="P29" s="66" t="s">
        <v>118</v>
      </c>
      <c r="Q29" s="66" t="s">
        <v>101</v>
      </c>
    </row>
    <row r="30" spans="2:17" ht="41.25" customHeight="1">
      <c r="B30" s="63" t="str">
        <f t="shared" si="0"/>
        <v>No27</v>
      </c>
      <c r="C30" s="63" t="str">
        <f t="shared" si="1"/>
        <v>202408</v>
      </c>
      <c r="D30" s="63" t="s">
        <v>3</v>
      </c>
      <c r="E30" s="63" t="s">
        <v>4</v>
      </c>
      <c r="F30" s="64">
        <v>45531.5</v>
      </c>
      <c r="G30" s="64">
        <v>45531.583333333343</v>
      </c>
      <c r="H30" s="63">
        <f>IF(F30="", "", NETWORKDAYS.INTL(F30, G30, 11,祝日シート!A:A))</f>
        <v>1</v>
      </c>
      <c r="I30" s="65">
        <v>8.3333333333333329E-2</v>
      </c>
      <c r="J30" s="63" t="s">
        <v>119</v>
      </c>
      <c r="K30" s="63" t="s">
        <v>120</v>
      </c>
      <c r="L30" s="63"/>
      <c r="M30" s="63" t="s">
        <v>121</v>
      </c>
      <c r="N30" s="63" t="s">
        <v>122</v>
      </c>
      <c r="O30" s="63" t="s">
        <v>7</v>
      </c>
      <c r="P30" s="66" t="s">
        <v>123</v>
      </c>
      <c r="Q30" s="66" t="s">
        <v>101</v>
      </c>
    </row>
    <row r="31" spans="2:17" ht="41.25" customHeight="1">
      <c r="B31" s="63" t="str">
        <f t="shared" si="0"/>
        <v>No28</v>
      </c>
      <c r="C31" s="63" t="str">
        <f t="shared" si="1"/>
        <v>202408</v>
      </c>
      <c r="D31" s="63" t="s">
        <v>3</v>
      </c>
      <c r="E31" s="63" t="s">
        <v>4</v>
      </c>
      <c r="F31" s="64">
        <v>45532.375</v>
      </c>
      <c r="G31" s="64">
        <v>45532.75</v>
      </c>
      <c r="H31" s="63">
        <f>IF(F31="", "", NETWORKDAYS.INTL(F31, G31, 11,祝日シート!A:A))</f>
        <v>1</v>
      </c>
      <c r="I31" s="65">
        <v>0.375</v>
      </c>
      <c r="J31" s="63" t="s">
        <v>40</v>
      </c>
      <c r="K31" s="63" t="s">
        <v>111</v>
      </c>
      <c r="L31" s="63"/>
      <c r="M31" s="63" t="s">
        <v>114</v>
      </c>
      <c r="N31" s="63" t="s">
        <v>6</v>
      </c>
      <c r="O31" s="63" t="s">
        <v>7</v>
      </c>
      <c r="P31" s="66" t="s">
        <v>115</v>
      </c>
      <c r="Q31" s="66" t="s">
        <v>101</v>
      </c>
    </row>
    <row r="32" spans="2:17" ht="30.75" customHeight="1">
      <c r="B32" s="63" t="str">
        <f t="shared" si="0"/>
        <v>No29</v>
      </c>
      <c r="C32" s="63" t="str">
        <f t="shared" si="1"/>
        <v>202408</v>
      </c>
      <c r="D32" s="63" t="s">
        <v>3</v>
      </c>
      <c r="E32" s="63" t="s">
        <v>4</v>
      </c>
      <c r="F32" s="64">
        <v>45532.541666666657</v>
      </c>
      <c r="G32" s="64">
        <v>45532.666666666657</v>
      </c>
      <c r="H32" s="63">
        <f>IF(F32="", "", NETWORKDAYS.INTL(F32, G32, 11,祝日シート!A:A))</f>
        <v>1</v>
      </c>
      <c r="I32" s="65">
        <v>0.125</v>
      </c>
      <c r="J32" s="63" t="s">
        <v>119</v>
      </c>
      <c r="K32" s="63" t="s">
        <v>120</v>
      </c>
      <c r="L32" s="63"/>
      <c r="M32" s="63" t="s">
        <v>121</v>
      </c>
      <c r="N32" s="63" t="s">
        <v>122</v>
      </c>
      <c r="O32" s="63" t="s">
        <v>7</v>
      </c>
      <c r="P32" s="66" t="s">
        <v>123</v>
      </c>
      <c r="Q32" s="66" t="s">
        <v>124</v>
      </c>
    </row>
    <row r="33" spans="2:17" ht="18.75" customHeight="1">
      <c r="B33" s="63" t="str">
        <f t="shared" si="0"/>
        <v>No30</v>
      </c>
      <c r="C33" s="63" t="str">
        <f t="shared" si="1"/>
        <v>202408</v>
      </c>
      <c r="D33" s="63" t="s">
        <v>104</v>
      </c>
      <c r="E33" s="63" t="s">
        <v>4</v>
      </c>
      <c r="F33" s="64">
        <v>45532.625</v>
      </c>
      <c r="G33" s="64">
        <v>45532.645833333343</v>
      </c>
      <c r="H33" s="63">
        <f>IF(F33="", "", NETWORKDAYS.INTL(F33, G33, 11,祝日シート!A:A))</f>
        <v>1</v>
      </c>
      <c r="I33" s="65">
        <v>2.0833333333333329E-2</v>
      </c>
      <c r="J33" s="63" t="s">
        <v>20</v>
      </c>
      <c r="K33" s="63" t="s">
        <v>21</v>
      </c>
      <c r="L33" s="63"/>
      <c r="M33" s="63" t="s">
        <v>109</v>
      </c>
      <c r="N33" s="63" t="s">
        <v>6</v>
      </c>
      <c r="O33" s="63" t="s">
        <v>7</v>
      </c>
      <c r="P33" s="66" t="s">
        <v>125</v>
      </c>
      <c r="Q33" s="66" t="s">
        <v>126</v>
      </c>
    </row>
    <row r="34" spans="2:17" ht="37.5" customHeight="1">
      <c r="B34" s="63" t="str">
        <f t="shared" si="0"/>
        <v>No31</v>
      </c>
      <c r="C34" s="63" t="str">
        <f t="shared" si="1"/>
        <v>202408</v>
      </c>
      <c r="D34" s="63" t="s">
        <v>98</v>
      </c>
      <c r="E34" s="63" t="s">
        <v>4</v>
      </c>
      <c r="F34" s="64">
        <v>45533.375</v>
      </c>
      <c r="G34" s="64">
        <v>45533.75</v>
      </c>
      <c r="H34" s="63">
        <f>IF(F34="", "", NETWORKDAYS.INTL(F34, G34, 11,祝日シート!A:A))</f>
        <v>1</v>
      </c>
      <c r="I34" s="65">
        <v>0.375</v>
      </c>
      <c r="J34" s="63" t="s">
        <v>40</v>
      </c>
      <c r="K34" s="63" t="s">
        <v>111</v>
      </c>
      <c r="L34" s="63"/>
      <c r="M34" s="63" t="s">
        <v>114</v>
      </c>
      <c r="N34" s="63" t="s">
        <v>6</v>
      </c>
      <c r="O34" s="63" t="s">
        <v>7</v>
      </c>
      <c r="P34" s="66" t="s">
        <v>115</v>
      </c>
      <c r="Q34" s="66" t="s">
        <v>101</v>
      </c>
    </row>
    <row r="35" spans="2:17" ht="37.5" customHeight="1">
      <c r="B35" s="63" t="str">
        <f t="shared" si="0"/>
        <v>No32</v>
      </c>
      <c r="C35" s="63" t="str">
        <f t="shared" si="1"/>
        <v>202408</v>
      </c>
      <c r="D35" s="63" t="s">
        <v>3</v>
      </c>
      <c r="E35" s="63" t="s">
        <v>4</v>
      </c>
      <c r="F35" s="64">
        <v>45533.583333333343</v>
      </c>
      <c r="G35" s="64">
        <v>45533.625</v>
      </c>
      <c r="H35" s="63">
        <f>IF(F35="", "", NETWORKDAYS.INTL(F35, G35, 11,祝日シート!A:A))</f>
        <v>1</v>
      </c>
      <c r="I35" s="65">
        <v>4.1666666666666657E-2</v>
      </c>
      <c r="J35" s="63" t="s">
        <v>20</v>
      </c>
      <c r="K35" s="63" t="s">
        <v>26</v>
      </c>
      <c r="L35" s="63"/>
      <c r="M35" s="63" t="s">
        <v>121</v>
      </c>
      <c r="N35" s="63" t="s">
        <v>6</v>
      </c>
      <c r="O35" s="63" t="s">
        <v>7</v>
      </c>
      <c r="P35" s="66" t="s">
        <v>127</v>
      </c>
      <c r="Q35" s="66" t="s">
        <v>128</v>
      </c>
    </row>
    <row r="36" spans="2:17" ht="37.5" customHeight="1">
      <c r="B36" s="63" t="str">
        <f t="shared" si="0"/>
        <v>No33</v>
      </c>
      <c r="C36" s="63" t="str">
        <f t="shared" si="1"/>
        <v>202408</v>
      </c>
      <c r="D36" s="63" t="s">
        <v>3</v>
      </c>
      <c r="E36" s="63" t="s">
        <v>4</v>
      </c>
      <c r="F36" s="64">
        <v>45533.708333333343</v>
      </c>
      <c r="G36" s="64">
        <v>45533.75</v>
      </c>
      <c r="H36" s="63">
        <f>IF(F36="", "", NETWORKDAYS.INTL(F36, G36, 11,祝日シート!A:A))</f>
        <v>1</v>
      </c>
      <c r="I36" s="65">
        <v>4.1666666666666657E-2</v>
      </c>
      <c r="J36" s="63" t="s">
        <v>40</v>
      </c>
      <c r="K36" s="63" t="s">
        <v>111</v>
      </c>
      <c r="L36" s="63"/>
      <c r="M36" s="63" t="s">
        <v>112</v>
      </c>
      <c r="N36" s="63" t="s">
        <v>6</v>
      </c>
      <c r="O36" s="63" t="s">
        <v>7</v>
      </c>
      <c r="P36" s="66" t="s">
        <v>129</v>
      </c>
      <c r="Q36" s="66" t="s">
        <v>130</v>
      </c>
    </row>
    <row r="37" spans="2:17" ht="37.5" customHeight="1">
      <c r="B37" s="63" t="str">
        <f t="shared" si="0"/>
        <v>No34</v>
      </c>
      <c r="C37" s="63" t="str">
        <f t="shared" si="1"/>
        <v>202409</v>
      </c>
      <c r="D37" s="63" t="s">
        <v>98</v>
      </c>
      <c r="E37" s="63" t="s">
        <v>4</v>
      </c>
      <c r="F37" s="64">
        <v>45536.375</v>
      </c>
      <c r="G37" s="64">
        <v>45536.75</v>
      </c>
      <c r="H37" s="63">
        <f>IF(F37="", "", NETWORKDAYS.INTL(F37, G37, 11,祝日シート!A:A))</f>
        <v>0</v>
      </c>
      <c r="I37" s="65">
        <v>0.375</v>
      </c>
      <c r="J37" s="63" t="s">
        <v>40</v>
      </c>
      <c r="K37" s="63" t="s">
        <v>120</v>
      </c>
      <c r="L37" s="63"/>
      <c r="M37" s="63" t="s">
        <v>131</v>
      </c>
      <c r="N37" s="63" t="s">
        <v>6</v>
      </c>
      <c r="O37" s="63" t="s">
        <v>7</v>
      </c>
      <c r="P37" s="66" t="s">
        <v>132</v>
      </c>
      <c r="Q37" s="66" t="s">
        <v>101</v>
      </c>
    </row>
    <row r="38" spans="2:17" ht="37.5" customHeight="1">
      <c r="B38" s="63" t="str">
        <f t="shared" si="0"/>
        <v>No35</v>
      </c>
      <c r="C38" s="63" t="str">
        <f t="shared" si="1"/>
        <v>202409</v>
      </c>
      <c r="D38" s="63" t="s">
        <v>104</v>
      </c>
      <c r="E38" s="63" t="s">
        <v>4</v>
      </c>
      <c r="F38" s="64">
        <v>45536.458333333343</v>
      </c>
      <c r="G38" s="64">
        <v>45536.46875</v>
      </c>
      <c r="H38" s="63">
        <f>IF(F38="", "", NETWORKDAYS.INTL(F38, G38, 11,祝日シート!A:A))</f>
        <v>0</v>
      </c>
      <c r="I38" s="65">
        <v>1.041666666666667E-2</v>
      </c>
      <c r="J38" s="63" t="s">
        <v>20</v>
      </c>
      <c r="K38" s="63" t="s">
        <v>21</v>
      </c>
      <c r="L38" s="63"/>
      <c r="M38" s="63" t="s">
        <v>133</v>
      </c>
      <c r="N38" s="63" t="s">
        <v>6</v>
      </c>
      <c r="O38" s="63" t="s">
        <v>7</v>
      </c>
      <c r="P38" s="66" t="s">
        <v>134</v>
      </c>
      <c r="Q38" s="66" t="s">
        <v>135</v>
      </c>
    </row>
    <row r="39" spans="2:17" ht="18.75" customHeight="1">
      <c r="B39" s="63" t="str">
        <f t="shared" si="0"/>
        <v>No36</v>
      </c>
      <c r="C39" s="63" t="str">
        <f t="shared" si="1"/>
        <v>202409</v>
      </c>
      <c r="D39" s="63" t="s">
        <v>98</v>
      </c>
      <c r="E39" s="63" t="s">
        <v>4</v>
      </c>
      <c r="F39" s="64">
        <v>45537.375</v>
      </c>
      <c r="G39" s="64">
        <v>45537.75</v>
      </c>
      <c r="H39" s="63">
        <f>IF(F39="", "", NETWORKDAYS.INTL(F39, G39, 11,祝日シート!A:A))</f>
        <v>1</v>
      </c>
      <c r="I39" s="65">
        <v>0.375</v>
      </c>
      <c r="J39" s="63" t="s">
        <v>40</v>
      </c>
      <c r="K39" s="63" t="s">
        <v>120</v>
      </c>
      <c r="L39" s="63"/>
      <c r="M39" s="63" t="s">
        <v>131</v>
      </c>
      <c r="N39" s="63" t="s">
        <v>6</v>
      </c>
      <c r="O39" s="63" t="s">
        <v>7</v>
      </c>
      <c r="P39" s="66" t="s">
        <v>132</v>
      </c>
      <c r="Q39" s="66" t="s">
        <v>101</v>
      </c>
    </row>
    <row r="40" spans="2:17" ht="27.75" customHeight="1">
      <c r="B40" s="63" t="str">
        <f t="shared" si="0"/>
        <v>No37</v>
      </c>
      <c r="C40" s="63" t="str">
        <f t="shared" si="1"/>
        <v>202409</v>
      </c>
      <c r="D40" s="63" t="s">
        <v>104</v>
      </c>
      <c r="E40" s="63" t="s">
        <v>4</v>
      </c>
      <c r="F40" s="64">
        <v>45537.458333333343</v>
      </c>
      <c r="G40" s="64">
        <v>45537.465277777781</v>
      </c>
      <c r="H40" s="63">
        <f>IF(F40="", "", NETWORKDAYS.INTL(F40, G40, 11,祝日シート!A:A))</f>
        <v>1</v>
      </c>
      <c r="I40" s="65">
        <v>6.9444444444444441E-3</v>
      </c>
      <c r="J40" s="63" t="s">
        <v>45</v>
      </c>
      <c r="K40" s="63" t="s">
        <v>21</v>
      </c>
      <c r="L40" s="63"/>
      <c r="M40" s="63" t="s">
        <v>136</v>
      </c>
      <c r="N40" s="63" t="s">
        <v>6</v>
      </c>
      <c r="O40" s="63" t="s">
        <v>7</v>
      </c>
      <c r="P40" s="66" t="s">
        <v>137</v>
      </c>
      <c r="Q40" s="66" t="s">
        <v>138</v>
      </c>
    </row>
    <row r="41" spans="2:17" ht="18.75" customHeight="1">
      <c r="B41" s="63" t="str">
        <f t="shared" si="0"/>
        <v>No38</v>
      </c>
      <c r="C41" s="63" t="str">
        <f t="shared" si="1"/>
        <v>202409</v>
      </c>
      <c r="D41" s="63" t="s">
        <v>104</v>
      </c>
      <c r="E41" s="63" t="s">
        <v>4</v>
      </c>
      <c r="F41" s="64">
        <v>45537.458333333343</v>
      </c>
      <c r="G41" s="64">
        <v>45537.5625</v>
      </c>
      <c r="H41" s="63">
        <f>IF(F41="", "", NETWORKDAYS.INTL(F41, G41, 11,祝日シート!A:A))</f>
        <v>1</v>
      </c>
      <c r="I41" s="65">
        <v>0.1041666666666667</v>
      </c>
      <c r="J41" s="63" t="s">
        <v>20</v>
      </c>
      <c r="K41" s="63" t="s">
        <v>21</v>
      </c>
      <c r="L41" s="63"/>
      <c r="M41" s="63" t="s">
        <v>133</v>
      </c>
      <c r="N41" s="63" t="s">
        <v>6</v>
      </c>
      <c r="O41" s="63" t="s">
        <v>7</v>
      </c>
      <c r="P41" s="66" t="s">
        <v>139</v>
      </c>
      <c r="Q41" s="66" t="s">
        <v>135</v>
      </c>
    </row>
    <row r="42" spans="2:17" ht="33" customHeight="1">
      <c r="B42" s="63" t="str">
        <f t="shared" si="0"/>
        <v>No39</v>
      </c>
      <c r="C42" s="63" t="str">
        <f t="shared" si="1"/>
        <v>202409</v>
      </c>
      <c r="D42" s="63" t="s">
        <v>104</v>
      </c>
      <c r="E42" s="63" t="s">
        <v>4</v>
      </c>
      <c r="F42" s="64">
        <v>45537.5</v>
      </c>
      <c r="G42" s="64">
        <v>45537.541666666657</v>
      </c>
      <c r="H42" s="63">
        <f>IF(F42="", "", NETWORKDAYS.INTL(F42, G42, 11,祝日シート!A:A))</f>
        <v>1</v>
      </c>
      <c r="I42" s="65">
        <v>4.1666666666666657E-2</v>
      </c>
      <c r="J42" s="63" t="s">
        <v>95</v>
      </c>
      <c r="K42" s="63" t="s">
        <v>77</v>
      </c>
      <c r="L42" s="63"/>
      <c r="M42" s="63" t="s">
        <v>140</v>
      </c>
      <c r="N42" s="63" t="s">
        <v>6</v>
      </c>
      <c r="O42" s="63" t="s">
        <v>7</v>
      </c>
      <c r="P42" s="66" t="s">
        <v>141</v>
      </c>
      <c r="Q42" s="66" t="s">
        <v>101</v>
      </c>
    </row>
    <row r="43" spans="2:17" ht="33" customHeight="1">
      <c r="B43" s="63" t="str">
        <f t="shared" si="0"/>
        <v>No40</v>
      </c>
      <c r="C43" s="63" t="str">
        <f t="shared" si="1"/>
        <v>202409</v>
      </c>
      <c r="D43" s="63" t="s">
        <v>142</v>
      </c>
      <c r="E43" s="63" t="s">
        <v>4</v>
      </c>
      <c r="F43" s="64">
        <v>45538.375</v>
      </c>
      <c r="G43" s="64">
        <v>45538.75</v>
      </c>
      <c r="H43" s="63">
        <f>IF(F43="", "", NETWORKDAYS.INTL(F43, G43, 11,祝日シート!A:A))</f>
        <v>1</v>
      </c>
      <c r="I43" s="65">
        <v>0.375</v>
      </c>
      <c r="J43" s="63" t="s">
        <v>143</v>
      </c>
      <c r="K43" s="63" t="s">
        <v>77</v>
      </c>
      <c r="L43" s="63"/>
      <c r="M43" s="63" t="s">
        <v>144</v>
      </c>
      <c r="N43" s="63" t="s">
        <v>122</v>
      </c>
      <c r="O43" s="63" t="s">
        <v>7</v>
      </c>
      <c r="P43" s="66" t="s">
        <v>145</v>
      </c>
      <c r="Q43" s="66" t="s">
        <v>101</v>
      </c>
    </row>
    <row r="44" spans="2:17" ht="18.75" customHeight="1">
      <c r="B44" s="63" t="str">
        <f t="shared" si="0"/>
        <v>No41</v>
      </c>
      <c r="C44" s="63" t="str">
        <f t="shared" si="1"/>
        <v>202409</v>
      </c>
      <c r="D44" s="63" t="s">
        <v>3</v>
      </c>
      <c r="E44" s="63" t="s">
        <v>4</v>
      </c>
      <c r="F44" s="64">
        <v>45538.458333333343</v>
      </c>
      <c r="G44" s="64">
        <v>45538.479166666657</v>
      </c>
      <c r="H44" s="63">
        <f>IF(F44="", "", NETWORKDAYS.INTL(F44, G44, 11,祝日シート!A:A))</f>
        <v>1</v>
      </c>
      <c r="I44" s="65">
        <v>2.0833333333333329E-2</v>
      </c>
      <c r="J44" s="63" t="s">
        <v>119</v>
      </c>
      <c r="K44" s="63" t="s">
        <v>120</v>
      </c>
      <c r="L44" s="63"/>
      <c r="M44" s="63" t="s">
        <v>121</v>
      </c>
      <c r="N44" s="63" t="s">
        <v>122</v>
      </c>
      <c r="O44" s="63" t="s">
        <v>7</v>
      </c>
      <c r="P44" s="66" t="s">
        <v>146</v>
      </c>
      <c r="Q44" s="66" t="s">
        <v>147</v>
      </c>
    </row>
    <row r="45" spans="2:17" ht="18.75" customHeight="1">
      <c r="B45" s="63" t="str">
        <f t="shared" si="0"/>
        <v>No42</v>
      </c>
      <c r="C45" s="63" t="str">
        <f t="shared" si="1"/>
        <v>202409</v>
      </c>
      <c r="D45" s="63" t="s">
        <v>98</v>
      </c>
      <c r="E45" s="63" t="s">
        <v>4</v>
      </c>
      <c r="F45" s="64">
        <v>45538.5</v>
      </c>
      <c r="G45" s="64">
        <v>45538.583333333343</v>
      </c>
      <c r="H45" s="63">
        <f>IF(F45="", "", NETWORKDAYS.INTL(F45, G45, 11,祝日シート!A:A))</f>
        <v>1</v>
      </c>
      <c r="I45" s="65">
        <v>8.3333333333333329E-2</v>
      </c>
      <c r="J45" s="63" t="s">
        <v>119</v>
      </c>
      <c r="K45" s="63" t="s">
        <v>26</v>
      </c>
      <c r="L45" s="63"/>
      <c r="M45" s="63" t="s">
        <v>121</v>
      </c>
      <c r="N45" s="63" t="s">
        <v>6</v>
      </c>
      <c r="O45" s="63" t="s">
        <v>7</v>
      </c>
      <c r="P45" s="66" t="s">
        <v>148</v>
      </c>
      <c r="Q45" s="66" t="s">
        <v>149</v>
      </c>
    </row>
    <row r="46" spans="2:17" ht="37.5" customHeight="1">
      <c r="B46" s="63" t="str">
        <f t="shared" si="0"/>
        <v>No43</v>
      </c>
      <c r="C46" s="63" t="str">
        <f t="shared" si="1"/>
        <v>202409</v>
      </c>
      <c r="D46" s="63" t="s">
        <v>142</v>
      </c>
      <c r="E46" s="63" t="s">
        <v>4</v>
      </c>
      <c r="F46" s="64">
        <v>45538.5625</v>
      </c>
      <c r="G46" s="64">
        <v>45538.569444444453</v>
      </c>
      <c r="H46" s="63">
        <f>IF(F46="", "", NETWORKDAYS.INTL(F46, G46, 11,祝日シート!A:A))</f>
        <v>1</v>
      </c>
      <c r="I46" s="65">
        <v>6.9444444444444441E-3</v>
      </c>
      <c r="J46" s="63" t="s">
        <v>143</v>
      </c>
      <c r="K46" s="63" t="s">
        <v>77</v>
      </c>
      <c r="L46" s="63"/>
      <c r="M46" s="63" t="s">
        <v>144</v>
      </c>
      <c r="N46" s="63" t="s">
        <v>122</v>
      </c>
      <c r="O46" s="63" t="s">
        <v>7</v>
      </c>
      <c r="P46" s="66" t="s">
        <v>150</v>
      </c>
      <c r="Q46" s="66" t="s">
        <v>151</v>
      </c>
    </row>
    <row r="47" spans="2:17" ht="37.5" customHeight="1">
      <c r="B47" s="63" t="str">
        <f t="shared" si="0"/>
        <v>No44</v>
      </c>
      <c r="C47" s="63" t="str">
        <f t="shared" si="1"/>
        <v>202505</v>
      </c>
      <c r="D47" s="63" t="s">
        <v>104</v>
      </c>
      <c r="E47" s="63" t="s">
        <v>4</v>
      </c>
      <c r="F47" s="64">
        <v>45772.333333333343</v>
      </c>
      <c r="G47" s="64">
        <v>45778.375</v>
      </c>
      <c r="H47" s="63">
        <f>IF(F47="", "", NETWORKDAYS.INTL(F47, G47, 11,祝日シート!A:A))</f>
        <v>6</v>
      </c>
      <c r="I47" s="65">
        <v>0.16666666666666671</v>
      </c>
      <c r="J47" s="63" t="s">
        <v>20</v>
      </c>
      <c r="K47" s="63" t="s">
        <v>120</v>
      </c>
      <c r="L47" s="63"/>
      <c r="M47" s="63" t="s">
        <v>152</v>
      </c>
      <c r="N47" s="63" t="s">
        <v>122</v>
      </c>
      <c r="O47" s="63" t="s">
        <v>7</v>
      </c>
      <c r="P47" s="66" t="s">
        <v>153</v>
      </c>
      <c r="Q47" s="66" t="s">
        <v>154</v>
      </c>
    </row>
    <row r="48" spans="2:17" ht="27.75" hidden="1" customHeight="1">
      <c r="B48" s="63" t="str">
        <f t="shared" si="0"/>
        <v>No45</v>
      </c>
      <c r="C48" s="63" t="str">
        <f t="shared" si="1"/>
        <v>202505</v>
      </c>
      <c r="D48" s="63" t="s">
        <v>142</v>
      </c>
      <c r="E48" s="63" t="s">
        <v>155</v>
      </c>
      <c r="F48" s="64">
        <v>45778.364583333343</v>
      </c>
      <c r="G48" s="64">
        <v>45778.375</v>
      </c>
      <c r="H48" s="63">
        <f>IF(F48="", "", NETWORKDAYS.INTL(F48, G48, 11,祝日シート!A:A))</f>
        <v>1</v>
      </c>
      <c r="I48" s="65">
        <v>1.041666666666667E-2</v>
      </c>
      <c r="J48" s="63" t="s">
        <v>119</v>
      </c>
      <c r="K48" s="63" t="s">
        <v>120</v>
      </c>
      <c r="L48" s="63"/>
      <c r="M48" s="63" t="s">
        <v>156</v>
      </c>
      <c r="N48" s="63" t="s">
        <v>122</v>
      </c>
      <c r="O48" s="63" t="s">
        <v>7</v>
      </c>
      <c r="P48" s="66" t="s">
        <v>157</v>
      </c>
      <c r="Q48" s="66" t="s">
        <v>158</v>
      </c>
    </row>
    <row r="49" spans="2:17" ht="27.75" customHeight="1">
      <c r="B49" s="63" t="str">
        <f t="shared" si="0"/>
        <v>No46</v>
      </c>
      <c r="C49" s="63" t="str">
        <f t="shared" si="1"/>
        <v>202505</v>
      </c>
      <c r="D49" s="63" t="s">
        <v>104</v>
      </c>
      <c r="E49" s="63" t="s">
        <v>4</v>
      </c>
      <c r="F49" s="64">
        <v>45778.375</v>
      </c>
      <c r="G49" s="64">
        <v>45778.378472222219</v>
      </c>
      <c r="H49" s="63">
        <f>IF(F49="", "", NETWORKDAYS.INTL(F49, G49, 11,祝日シート!A:A))</f>
        <v>1</v>
      </c>
      <c r="I49" s="65">
        <v>3.472222222222222E-3</v>
      </c>
      <c r="J49" s="63" t="s">
        <v>20</v>
      </c>
      <c r="K49" s="63" t="s">
        <v>159</v>
      </c>
      <c r="L49" s="63"/>
      <c r="M49" s="67" t="s">
        <v>160</v>
      </c>
      <c r="N49" s="63" t="s">
        <v>6</v>
      </c>
      <c r="O49" s="63" t="s">
        <v>7</v>
      </c>
      <c r="P49" s="66" t="s">
        <v>161</v>
      </c>
      <c r="Q49" s="66" t="s">
        <v>162</v>
      </c>
    </row>
    <row r="50" spans="2:17" ht="18.75" customHeight="1">
      <c r="B50" s="63" t="str">
        <f t="shared" si="0"/>
        <v>No47</v>
      </c>
      <c r="C50" s="63" t="str">
        <f t="shared" si="1"/>
        <v>202505</v>
      </c>
      <c r="D50" s="63" t="s">
        <v>142</v>
      </c>
      <c r="E50" s="63" t="s">
        <v>4</v>
      </c>
      <c r="F50" s="64">
        <v>45778.375</v>
      </c>
      <c r="G50" s="64">
        <v>45778.381944444453</v>
      </c>
      <c r="H50" s="63">
        <f>IF(F50="", "", NETWORKDAYS.INTL(F50, G50, 11,祝日シート!A:A))</f>
        <v>1</v>
      </c>
      <c r="I50" s="65">
        <v>6.9444444444444441E-3</v>
      </c>
      <c r="J50" s="63" t="s">
        <v>40</v>
      </c>
      <c r="K50" s="63" t="s">
        <v>41</v>
      </c>
      <c r="L50" s="63"/>
      <c r="M50" s="63" t="s">
        <v>163</v>
      </c>
      <c r="N50" s="63" t="s">
        <v>6</v>
      </c>
      <c r="O50" s="63" t="s">
        <v>7</v>
      </c>
      <c r="P50" s="66" t="s">
        <v>164</v>
      </c>
      <c r="Q50" s="66" t="s">
        <v>165</v>
      </c>
    </row>
    <row r="51" spans="2:17" ht="18.75" customHeight="1">
      <c r="B51" s="63" t="str">
        <f t="shared" si="0"/>
        <v>No48</v>
      </c>
      <c r="C51" s="63" t="str">
        <f t="shared" si="1"/>
        <v>202505</v>
      </c>
      <c r="D51" s="63" t="s">
        <v>166</v>
      </c>
      <c r="E51" s="63" t="s">
        <v>4</v>
      </c>
      <c r="F51" s="64">
        <v>45778.416666666657</v>
      </c>
      <c r="G51" s="64">
        <v>45778.4375</v>
      </c>
      <c r="H51" s="63">
        <f>IF(F51="", "", NETWORKDAYS.INTL(F51, G51, 11,祝日シート!A:A))</f>
        <v>1</v>
      </c>
      <c r="I51" s="65">
        <v>2.0833333333333329E-2</v>
      </c>
      <c r="J51" s="63" t="s">
        <v>143</v>
      </c>
      <c r="K51" s="63" t="s">
        <v>26</v>
      </c>
      <c r="L51" s="63"/>
      <c r="M51" s="63" t="s">
        <v>167</v>
      </c>
      <c r="N51" s="63" t="s">
        <v>6</v>
      </c>
      <c r="O51" s="63" t="s">
        <v>7</v>
      </c>
      <c r="P51" s="66" t="s">
        <v>168</v>
      </c>
      <c r="Q51" s="66" t="s">
        <v>169</v>
      </c>
    </row>
    <row r="52" spans="2:17" ht="18.75" hidden="1" customHeight="1">
      <c r="B52" s="63" t="str">
        <f t="shared" si="0"/>
        <v>No49</v>
      </c>
      <c r="C52" s="63" t="str">
        <f t="shared" si="1"/>
        <v>202505</v>
      </c>
      <c r="D52" s="63" t="s">
        <v>142</v>
      </c>
      <c r="E52" s="63" t="s">
        <v>155</v>
      </c>
      <c r="F52" s="64">
        <v>45778.416666666657</v>
      </c>
      <c r="G52" s="64">
        <v>45792.625</v>
      </c>
      <c r="H52" s="63">
        <f>IF(F52="", "", NETWORKDAYS.INTL(F52, G52, 11,祝日シート!A:A))</f>
        <v>13</v>
      </c>
      <c r="I52" s="65">
        <v>4.1666666666666657E-2</v>
      </c>
      <c r="J52" s="63" t="s">
        <v>20</v>
      </c>
      <c r="K52" s="63" t="s">
        <v>111</v>
      </c>
      <c r="L52" s="63"/>
      <c r="M52" s="63" t="s">
        <v>170</v>
      </c>
      <c r="N52" s="63" t="s">
        <v>6</v>
      </c>
      <c r="O52" s="63" t="s">
        <v>7</v>
      </c>
      <c r="P52" s="66" t="s">
        <v>171</v>
      </c>
      <c r="Q52" s="66" t="s">
        <v>172</v>
      </c>
    </row>
    <row r="53" spans="2:17" ht="18.75" hidden="1" customHeight="1">
      <c r="B53" s="63" t="str">
        <f t="shared" si="0"/>
        <v>No50</v>
      </c>
      <c r="C53" s="63" t="str">
        <f t="shared" si="1"/>
        <v>202505</v>
      </c>
      <c r="D53" s="63" t="s">
        <v>104</v>
      </c>
      <c r="E53" s="63" t="s">
        <v>155</v>
      </c>
      <c r="F53" s="64">
        <v>45778.4375</v>
      </c>
      <c r="G53" s="68">
        <v>45778.520833333343</v>
      </c>
      <c r="H53" s="63">
        <f>IF(F53="", "", NETWORKDAYS.INTL(F53, G53, 11,祝日シート!A:A))</f>
        <v>1</v>
      </c>
      <c r="I53" s="65" t="s">
        <v>121</v>
      </c>
      <c r="J53" s="63" t="s">
        <v>143</v>
      </c>
      <c r="K53" s="63" t="s">
        <v>111</v>
      </c>
      <c r="L53" s="63"/>
      <c r="M53" s="63" t="s">
        <v>173</v>
      </c>
      <c r="N53" s="63" t="s">
        <v>122</v>
      </c>
      <c r="O53" s="63" t="s">
        <v>7</v>
      </c>
      <c r="P53" s="66" t="s">
        <v>174</v>
      </c>
      <c r="Q53" s="66" t="s">
        <v>175</v>
      </c>
    </row>
    <row r="54" spans="2:17" ht="18.75" customHeight="1">
      <c r="B54" s="63" t="str">
        <f t="shared" si="0"/>
        <v>No51</v>
      </c>
      <c r="C54" s="63" t="str">
        <f t="shared" si="1"/>
        <v>202505</v>
      </c>
      <c r="D54" s="63" t="s">
        <v>104</v>
      </c>
      <c r="E54" s="63" t="s">
        <v>4</v>
      </c>
      <c r="F54" s="64">
        <v>45778.479166666657</v>
      </c>
      <c r="G54" s="64">
        <v>45778.704861111109</v>
      </c>
      <c r="H54" s="63">
        <f>IF(F54="", "", NETWORKDAYS.INTL(F54, G54, 11,祝日シート!A:A))</f>
        <v>1</v>
      </c>
      <c r="I54" s="65">
        <v>3.125E-2</v>
      </c>
      <c r="J54" s="63" t="s">
        <v>20</v>
      </c>
      <c r="K54" s="63" t="s">
        <v>176</v>
      </c>
      <c r="L54" s="63"/>
      <c r="M54" s="63" t="s">
        <v>156</v>
      </c>
      <c r="N54" s="63" t="s">
        <v>122</v>
      </c>
      <c r="O54" s="63" t="s">
        <v>7</v>
      </c>
      <c r="P54" s="66" t="s">
        <v>177</v>
      </c>
      <c r="Q54" s="66" t="s">
        <v>178</v>
      </c>
    </row>
    <row r="55" spans="2:17" ht="40.5" hidden="1" customHeight="1">
      <c r="B55" s="63" t="str">
        <f t="shared" si="0"/>
        <v>No52</v>
      </c>
      <c r="C55" s="63" t="str">
        <f t="shared" si="1"/>
        <v>202505</v>
      </c>
      <c r="D55" s="63" t="s">
        <v>142</v>
      </c>
      <c r="E55" s="63" t="s">
        <v>155</v>
      </c>
      <c r="F55" s="64">
        <v>45778.552083333343</v>
      </c>
      <c r="G55" s="64">
        <v>45778.555555555547</v>
      </c>
      <c r="H55" s="63">
        <f>IF(F55="", "", NETWORKDAYS.INTL(F55, G55, 11,祝日シート!A:A))</f>
        <v>1</v>
      </c>
      <c r="I55" s="65">
        <v>3.472222222222222E-3</v>
      </c>
      <c r="J55" s="63" t="s">
        <v>119</v>
      </c>
      <c r="K55" s="63" t="s">
        <v>159</v>
      </c>
      <c r="L55" s="63"/>
      <c r="M55" s="63" t="s">
        <v>160</v>
      </c>
      <c r="N55" s="63" t="s">
        <v>122</v>
      </c>
      <c r="O55" s="63" t="s">
        <v>7</v>
      </c>
      <c r="P55" s="66" t="s">
        <v>179</v>
      </c>
      <c r="Q55" s="66" t="s">
        <v>158</v>
      </c>
    </row>
    <row r="56" spans="2:17" ht="40.5" customHeight="1">
      <c r="B56" s="63" t="str">
        <f t="shared" si="0"/>
        <v>No53</v>
      </c>
      <c r="C56" s="63" t="str">
        <f t="shared" si="1"/>
        <v>202505</v>
      </c>
      <c r="D56" s="63" t="s">
        <v>3</v>
      </c>
      <c r="E56" s="63" t="s">
        <v>4</v>
      </c>
      <c r="F56" s="64">
        <v>45778.708333333343</v>
      </c>
      <c r="G56" s="64">
        <v>45778.722222222219</v>
      </c>
      <c r="H56" s="63">
        <f>IF(F56="", "", NETWORKDAYS.INTL(F56, G56, 11,祝日シート!A:A))</f>
        <v>1</v>
      </c>
      <c r="I56" s="65">
        <v>1.388888888888889E-2</v>
      </c>
      <c r="J56" s="63" t="s">
        <v>40</v>
      </c>
      <c r="K56" s="63" t="s">
        <v>41</v>
      </c>
      <c r="L56" s="63"/>
      <c r="M56" s="63" t="s">
        <v>180</v>
      </c>
      <c r="N56" s="63" t="s">
        <v>122</v>
      </c>
      <c r="O56" s="63" t="s">
        <v>7</v>
      </c>
      <c r="P56" s="66" t="s">
        <v>181</v>
      </c>
      <c r="Q56" s="66" t="s">
        <v>182</v>
      </c>
    </row>
    <row r="57" spans="2:17" ht="40.5" customHeight="1">
      <c r="B57" s="63" t="str">
        <f t="shared" si="0"/>
        <v>No54</v>
      </c>
      <c r="C57" s="63" t="str">
        <f t="shared" si="1"/>
        <v>202505</v>
      </c>
      <c r="D57" s="63" t="s">
        <v>3</v>
      </c>
      <c r="E57" s="63" t="s">
        <v>4</v>
      </c>
      <c r="F57" s="64">
        <v>45778.722222222219</v>
      </c>
      <c r="G57" s="64">
        <v>45778.729166666657</v>
      </c>
      <c r="H57" s="63">
        <f>IF(F57="", "", NETWORKDAYS.INTL(F57, G57, 11,祝日シート!A:A))</f>
        <v>1</v>
      </c>
      <c r="I57" s="65">
        <v>6.9444444444444441E-3</v>
      </c>
      <c r="J57" s="63" t="s">
        <v>143</v>
      </c>
      <c r="K57" s="63" t="s">
        <v>77</v>
      </c>
      <c r="L57" s="63"/>
      <c r="M57" s="63" t="s">
        <v>183</v>
      </c>
      <c r="N57" s="63" t="s">
        <v>6</v>
      </c>
      <c r="O57" s="63" t="s">
        <v>7</v>
      </c>
      <c r="P57" s="66" t="s">
        <v>184</v>
      </c>
      <c r="Q57" s="69" t="s">
        <v>185</v>
      </c>
    </row>
    <row r="58" spans="2:17" ht="40.5" hidden="1" customHeight="1">
      <c r="B58" s="63" t="str">
        <f t="shared" si="0"/>
        <v>No55</v>
      </c>
      <c r="C58" s="63" t="str">
        <f t="shared" si="1"/>
        <v>202505</v>
      </c>
      <c r="D58" s="63" t="s">
        <v>186</v>
      </c>
      <c r="E58" s="63" t="s">
        <v>116</v>
      </c>
      <c r="F58" s="64">
        <v>45778.729166666657</v>
      </c>
      <c r="G58" s="64">
        <v>45778.736111111109</v>
      </c>
      <c r="H58" s="63">
        <f>IF(F58="", "", NETWORKDAYS.INTL(F58, G58, 11,祝日シート!A:A))</f>
        <v>1</v>
      </c>
      <c r="I58" s="65">
        <v>6.9444444444444441E-3</v>
      </c>
      <c r="J58" s="63" t="s">
        <v>143</v>
      </c>
      <c r="K58" s="63" t="s">
        <v>159</v>
      </c>
      <c r="L58" s="63"/>
      <c r="M58" s="63" t="s">
        <v>187</v>
      </c>
      <c r="N58" s="63" t="s">
        <v>122</v>
      </c>
      <c r="O58" s="63" t="s">
        <v>7</v>
      </c>
      <c r="P58" s="66" t="s">
        <v>188</v>
      </c>
      <c r="Q58" s="66" t="s">
        <v>189</v>
      </c>
    </row>
    <row r="59" spans="2:17" ht="40.5" hidden="1" customHeight="1">
      <c r="B59" s="63" t="str">
        <f t="shared" si="0"/>
        <v>No56</v>
      </c>
      <c r="C59" s="63" t="str">
        <f t="shared" si="1"/>
        <v>202505</v>
      </c>
      <c r="D59" s="63" t="s">
        <v>142</v>
      </c>
      <c r="E59" s="63" t="s">
        <v>155</v>
      </c>
      <c r="F59" s="64">
        <v>45779.541666666657</v>
      </c>
      <c r="G59" s="64">
        <v>45779.552083333343</v>
      </c>
      <c r="H59" s="63">
        <f>IF(F59="", "", NETWORKDAYS.INTL(F59, G59, 11,祝日シート!A:A))</f>
        <v>1</v>
      </c>
      <c r="I59" s="65">
        <v>1.041666666666667E-2</v>
      </c>
      <c r="J59" s="63" t="s">
        <v>20</v>
      </c>
      <c r="K59" s="63" t="s">
        <v>120</v>
      </c>
      <c r="L59" s="63"/>
      <c r="M59" s="63" t="s">
        <v>190</v>
      </c>
      <c r="N59" s="63" t="s">
        <v>122</v>
      </c>
      <c r="O59" s="63" t="s">
        <v>7</v>
      </c>
      <c r="P59" s="66" t="s">
        <v>191</v>
      </c>
      <c r="Q59" s="66" t="s">
        <v>192</v>
      </c>
    </row>
    <row r="60" spans="2:17" ht="18.75" hidden="1" customHeight="1">
      <c r="B60" s="63" t="str">
        <f t="shared" si="0"/>
        <v>No57</v>
      </c>
      <c r="C60" s="63" t="str">
        <f t="shared" si="1"/>
        <v>202505</v>
      </c>
      <c r="D60" s="63" t="s">
        <v>186</v>
      </c>
      <c r="E60" s="63" t="s">
        <v>155</v>
      </c>
      <c r="F60" s="64">
        <v>45779.59375</v>
      </c>
      <c r="G60" s="64">
        <v>45779.604166666657</v>
      </c>
      <c r="H60" s="63">
        <f>IF(F60="", "", NETWORKDAYS.INTL(F60, G60, 11,祝日シート!A:A))</f>
        <v>1</v>
      </c>
      <c r="I60" s="65">
        <v>1.041666666666667E-2</v>
      </c>
      <c r="J60" s="63" t="s">
        <v>45</v>
      </c>
      <c r="K60" s="63" t="s">
        <v>120</v>
      </c>
      <c r="L60" s="63"/>
      <c r="M60" s="63" t="s">
        <v>193</v>
      </c>
      <c r="N60" s="63" t="s">
        <v>122</v>
      </c>
      <c r="O60" s="63" t="s">
        <v>7</v>
      </c>
      <c r="P60" s="66" t="s">
        <v>194</v>
      </c>
      <c r="Q60" s="66" t="s">
        <v>195</v>
      </c>
    </row>
    <row r="61" spans="2:17" ht="18.75" hidden="1" customHeight="1">
      <c r="B61" s="63" t="str">
        <f t="shared" si="0"/>
        <v>No58</v>
      </c>
      <c r="C61" s="63" t="str">
        <f t="shared" si="1"/>
        <v>202505</v>
      </c>
      <c r="D61" s="63" t="s">
        <v>3</v>
      </c>
      <c r="E61" s="63" t="s">
        <v>196</v>
      </c>
      <c r="F61" s="64">
        <v>45779.791666666657</v>
      </c>
      <c r="G61" s="64">
        <v>45786.75</v>
      </c>
      <c r="H61" s="63">
        <f>IF(F61="", "", NETWORKDAYS.INTL(F61, G61, 11,祝日シート!A:A))</f>
        <v>7</v>
      </c>
      <c r="I61" s="65">
        <v>0.33333333333333331</v>
      </c>
      <c r="J61" s="63" t="s">
        <v>197</v>
      </c>
      <c r="K61" s="63" t="s">
        <v>111</v>
      </c>
      <c r="L61" s="63"/>
      <c r="M61" s="63" t="s">
        <v>198</v>
      </c>
      <c r="N61" s="63" t="s">
        <v>122</v>
      </c>
      <c r="O61" s="63" t="s">
        <v>7</v>
      </c>
      <c r="P61" s="66" t="s">
        <v>199</v>
      </c>
      <c r="Q61" s="66" t="s">
        <v>200</v>
      </c>
    </row>
    <row r="62" spans="2:17" ht="18.75" customHeight="1">
      <c r="B62" s="63" t="str">
        <f t="shared" si="0"/>
        <v>No59</v>
      </c>
      <c r="C62" s="63" t="str">
        <f t="shared" si="1"/>
        <v>202505</v>
      </c>
      <c r="D62" s="63" t="s">
        <v>104</v>
      </c>
      <c r="E62" s="63" t="s">
        <v>4</v>
      </c>
      <c r="F62" s="64">
        <v>45784.375</v>
      </c>
      <c r="G62" s="64">
        <v>45784.381944444453</v>
      </c>
      <c r="H62" s="63">
        <f>IF(F62="", "", NETWORKDAYS.INTL(F62, G62, 11,祝日シート!A:A))</f>
        <v>1</v>
      </c>
      <c r="I62" s="65">
        <v>6.9444444444444441E-3</v>
      </c>
      <c r="J62" s="63" t="s">
        <v>20</v>
      </c>
      <c r="K62" s="63" t="s">
        <v>111</v>
      </c>
      <c r="L62" s="63"/>
      <c r="M62" s="63" t="s">
        <v>201</v>
      </c>
      <c r="N62" s="63" t="s">
        <v>6</v>
      </c>
      <c r="O62" s="63" t="s">
        <v>7</v>
      </c>
      <c r="P62" s="66" t="s">
        <v>161</v>
      </c>
      <c r="Q62" s="66" t="s">
        <v>162</v>
      </c>
    </row>
    <row r="63" spans="2:17" ht="27" hidden="1" customHeight="1">
      <c r="B63" s="63" t="str">
        <f t="shared" si="0"/>
        <v>No60</v>
      </c>
      <c r="C63" s="63" t="str">
        <f t="shared" si="1"/>
        <v>202505</v>
      </c>
      <c r="D63" s="63" t="s">
        <v>142</v>
      </c>
      <c r="E63" s="63" t="s">
        <v>155</v>
      </c>
      <c r="F63" s="64">
        <v>45784.385416666657</v>
      </c>
      <c r="G63" s="64">
        <v>45784.427083333343</v>
      </c>
      <c r="H63" s="63">
        <f>IF(F63="", "", NETWORKDAYS.INTL(F63, G63, 11,祝日シート!A:A))</f>
        <v>1</v>
      </c>
      <c r="I63" s="65">
        <v>4.1666666666666657E-2</v>
      </c>
      <c r="J63" s="63" t="s">
        <v>119</v>
      </c>
      <c r="K63" s="63" t="s">
        <v>77</v>
      </c>
      <c r="L63" s="63"/>
      <c r="M63" s="63" t="s">
        <v>202</v>
      </c>
      <c r="N63" s="63" t="s">
        <v>122</v>
      </c>
      <c r="O63" s="63" t="s">
        <v>7</v>
      </c>
      <c r="P63" s="66" t="s">
        <v>203</v>
      </c>
      <c r="Q63" s="66" t="s">
        <v>204</v>
      </c>
    </row>
    <row r="64" spans="2:17" ht="27" hidden="1" customHeight="1">
      <c r="B64" s="63" t="str">
        <f t="shared" si="0"/>
        <v>No61</v>
      </c>
      <c r="C64" s="63" t="str">
        <f t="shared" si="1"/>
        <v>202505</v>
      </c>
      <c r="D64" s="63" t="s">
        <v>142</v>
      </c>
      <c r="E64" s="63" t="s">
        <v>155</v>
      </c>
      <c r="F64" s="64">
        <v>45784.385416666657</v>
      </c>
      <c r="G64" s="64">
        <v>45784.427083333343</v>
      </c>
      <c r="H64" s="63">
        <f>IF(F64="", "", NETWORKDAYS.INTL(F64, G64, 11,祝日シート!A:A))</f>
        <v>1</v>
      </c>
      <c r="I64" s="65">
        <v>4.1666666666666657E-2</v>
      </c>
      <c r="J64" s="63" t="s">
        <v>119</v>
      </c>
      <c r="K64" s="63" t="s">
        <v>111</v>
      </c>
      <c r="L64" s="63"/>
      <c r="M64" s="63" t="s">
        <v>205</v>
      </c>
      <c r="N64" s="63" t="s">
        <v>122</v>
      </c>
      <c r="O64" s="63" t="s">
        <v>7</v>
      </c>
      <c r="P64" s="66" t="s">
        <v>206</v>
      </c>
      <c r="Q64" s="66" t="s">
        <v>204</v>
      </c>
    </row>
    <row r="65" spans="2:17" ht="18.75" hidden="1" customHeight="1">
      <c r="B65" s="63" t="str">
        <f t="shared" si="0"/>
        <v>No62</v>
      </c>
      <c r="C65" s="63" t="str">
        <f t="shared" si="1"/>
        <v>202505</v>
      </c>
      <c r="D65" s="63" t="s">
        <v>142</v>
      </c>
      <c r="E65" s="63" t="s">
        <v>155</v>
      </c>
      <c r="F65" s="64">
        <v>45784.510416666657</v>
      </c>
      <c r="G65" s="64">
        <v>45784.513888888891</v>
      </c>
      <c r="H65" s="63">
        <f>IF(F65="", "", NETWORKDAYS.INTL(F65, G65, 11,祝日シート!A:A))</f>
        <v>1</v>
      </c>
      <c r="I65" s="65">
        <v>3.472222222222222E-3</v>
      </c>
      <c r="J65" s="63" t="s">
        <v>119</v>
      </c>
      <c r="K65" s="63" t="s">
        <v>159</v>
      </c>
      <c r="L65" s="63"/>
      <c r="M65" s="63" t="s">
        <v>207</v>
      </c>
      <c r="N65" s="63" t="s">
        <v>122</v>
      </c>
      <c r="O65" s="63" t="s">
        <v>7</v>
      </c>
      <c r="P65" s="66" t="s">
        <v>208</v>
      </c>
      <c r="Q65" s="66" t="s">
        <v>158</v>
      </c>
    </row>
    <row r="66" spans="2:17" ht="35.25" hidden="1" customHeight="1">
      <c r="B66" s="63" t="str">
        <f t="shared" si="0"/>
        <v>No63</v>
      </c>
      <c r="C66" s="63" t="str">
        <f t="shared" si="1"/>
        <v>202505</v>
      </c>
      <c r="D66" s="63" t="s">
        <v>142</v>
      </c>
      <c r="E66" s="63" t="s">
        <v>155</v>
      </c>
      <c r="F66" s="64">
        <v>45784.652777777781</v>
      </c>
      <c r="G66" s="64">
        <v>45784.65625</v>
      </c>
      <c r="H66" s="63">
        <f>IF(F66="", "", NETWORKDAYS.INTL(F66, G66, 11,祝日シート!A:A))</f>
        <v>1</v>
      </c>
      <c r="I66" s="65">
        <v>3.472222222222222E-3</v>
      </c>
      <c r="J66" s="63" t="s">
        <v>119</v>
      </c>
      <c r="K66" s="63" t="s">
        <v>159</v>
      </c>
      <c r="L66" s="63"/>
      <c r="M66" s="63" t="s">
        <v>160</v>
      </c>
      <c r="N66" s="63" t="s">
        <v>122</v>
      </c>
      <c r="O66" s="63" t="s">
        <v>7</v>
      </c>
      <c r="P66" s="66" t="s">
        <v>179</v>
      </c>
      <c r="Q66" s="66" t="s">
        <v>158</v>
      </c>
    </row>
    <row r="67" spans="2:17" ht="35.25" hidden="1" customHeight="1">
      <c r="B67" s="63" t="str">
        <f t="shared" si="0"/>
        <v>No64</v>
      </c>
      <c r="C67" s="63" t="str">
        <f t="shared" si="1"/>
        <v>202505</v>
      </c>
      <c r="D67" s="63" t="s">
        <v>3</v>
      </c>
      <c r="E67" s="63" t="s">
        <v>116</v>
      </c>
      <c r="F67" s="64">
        <v>45784.65625</v>
      </c>
      <c r="G67" s="64">
        <v>45784.760416666657</v>
      </c>
      <c r="H67" s="63">
        <f>IF(F67="", "", NETWORKDAYS.INTL(F67, G67, 11,祝日シート!A:A))</f>
        <v>1</v>
      </c>
      <c r="I67" s="65">
        <v>0.1041666666666667</v>
      </c>
      <c r="J67" s="63" t="s">
        <v>143</v>
      </c>
      <c r="K67" s="63" t="s">
        <v>21</v>
      </c>
      <c r="L67" s="63"/>
      <c r="M67" s="63" t="s">
        <v>136</v>
      </c>
      <c r="N67" s="63" t="s">
        <v>117</v>
      </c>
      <c r="O67" s="63" t="s">
        <v>7</v>
      </c>
      <c r="P67" s="66" t="s">
        <v>209</v>
      </c>
      <c r="Q67" s="66" t="s">
        <v>210</v>
      </c>
    </row>
    <row r="68" spans="2:17" ht="18.75" hidden="1" customHeight="1">
      <c r="B68" s="63" t="str">
        <f t="shared" si="0"/>
        <v>No65</v>
      </c>
      <c r="C68" s="63" t="str">
        <f t="shared" si="1"/>
        <v>202505</v>
      </c>
      <c r="D68" s="63" t="s">
        <v>142</v>
      </c>
      <c r="E68" s="63" t="s">
        <v>155</v>
      </c>
      <c r="F68" s="64">
        <v>45785.4375</v>
      </c>
      <c r="G68" s="64">
        <v>45785.583333333343</v>
      </c>
      <c r="H68" s="63">
        <f>IF(F68="", "", NETWORKDAYS.INTL(F68, G68, 11,祝日シート!A:A))</f>
        <v>1</v>
      </c>
      <c r="I68" s="65">
        <v>6.9444444444444441E-3</v>
      </c>
      <c r="J68" s="63" t="s">
        <v>119</v>
      </c>
      <c r="K68" s="63" t="s">
        <v>77</v>
      </c>
      <c r="L68" s="63"/>
      <c r="M68" s="63" t="s">
        <v>211</v>
      </c>
      <c r="N68" s="63" t="s">
        <v>122</v>
      </c>
      <c r="O68" s="63" t="s">
        <v>7</v>
      </c>
      <c r="P68" s="66" t="s">
        <v>212</v>
      </c>
      <c r="Q68" s="66" t="s">
        <v>158</v>
      </c>
    </row>
    <row r="69" spans="2:17" ht="18.75" hidden="1" customHeight="1">
      <c r="B69" s="63" t="str">
        <f t="shared" si="0"/>
        <v>No66</v>
      </c>
      <c r="C69" s="63" t="str">
        <f t="shared" si="1"/>
        <v>202505</v>
      </c>
      <c r="D69" s="63" t="s">
        <v>166</v>
      </c>
      <c r="E69" s="63" t="s">
        <v>155</v>
      </c>
      <c r="F69" s="64">
        <v>45786.354166666657</v>
      </c>
      <c r="G69" s="64">
        <v>45786.416666666657</v>
      </c>
      <c r="H69" s="63">
        <f>IF(F69="", "", NETWORKDAYS.INTL(F69, G69, 11,祝日シート!A:A))</f>
        <v>1</v>
      </c>
      <c r="I69" s="65">
        <v>4.1666666666666657E-2</v>
      </c>
      <c r="J69" s="63" t="s">
        <v>197</v>
      </c>
      <c r="K69" s="63" t="s">
        <v>111</v>
      </c>
      <c r="L69" s="63"/>
      <c r="M69" s="63" t="s">
        <v>112</v>
      </c>
      <c r="N69" s="63" t="s">
        <v>117</v>
      </c>
      <c r="O69" s="63" t="s">
        <v>7</v>
      </c>
      <c r="P69" s="66" t="s">
        <v>213</v>
      </c>
      <c r="Q69" s="66" t="s">
        <v>214</v>
      </c>
    </row>
    <row r="70" spans="2:17" ht="32.25" hidden="1" customHeight="1">
      <c r="B70" s="63" t="str">
        <f t="shared" si="0"/>
        <v>No67</v>
      </c>
      <c r="C70" s="63" t="str">
        <f t="shared" si="1"/>
        <v>202505</v>
      </c>
      <c r="D70" s="63" t="s">
        <v>104</v>
      </c>
      <c r="E70" s="63" t="s">
        <v>155</v>
      </c>
      <c r="F70" s="64">
        <v>45786.354166666657</v>
      </c>
      <c r="G70" s="64">
        <v>45786.361111111109</v>
      </c>
      <c r="H70" s="63">
        <f>IF(F70="", "", NETWORKDAYS.INTL(F70, G70, 11,祝日シート!A:A))</f>
        <v>1</v>
      </c>
      <c r="I70" s="65">
        <v>6.9444444444444441E-3</v>
      </c>
      <c r="J70" s="63" t="s">
        <v>20</v>
      </c>
      <c r="K70" s="63" t="s">
        <v>111</v>
      </c>
      <c r="L70" s="63"/>
      <c r="M70" s="63" t="s">
        <v>173</v>
      </c>
      <c r="N70" s="63" t="s">
        <v>6</v>
      </c>
      <c r="O70" s="63" t="s">
        <v>7</v>
      </c>
      <c r="P70" s="66" t="s">
        <v>161</v>
      </c>
      <c r="Q70" s="66" t="s">
        <v>162</v>
      </c>
    </row>
    <row r="71" spans="2:17" ht="18.75" customHeight="1">
      <c r="B71" s="63" t="str">
        <f t="shared" si="0"/>
        <v>No68</v>
      </c>
      <c r="C71" s="63" t="str">
        <f t="shared" si="1"/>
        <v>202505</v>
      </c>
      <c r="D71" s="63" t="s">
        <v>104</v>
      </c>
      <c r="E71" s="63" t="s">
        <v>4</v>
      </c>
      <c r="F71" s="64">
        <v>45786.375</v>
      </c>
      <c r="G71" s="64">
        <v>45786.378472222219</v>
      </c>
      <c r="H71" s="63">
        <f>IF(F71="", "", NETWORKDAYS.INTL(F71, G71, 11,祝日シート!A:A))</f>
        <v>1</v>
      </c>
      <c r="I71" s="65">
        <v>3.472222222222222E-3</v>
      </c>
      <c r="J71" s="63" t="s">
        <v>20</v>
      </c>
      <c r="K71" s="63" t="s">
        <v>111</v>
      </c>
      <c r="L71" s="63"/>
      <c r="M71" s="63" t="s">
        <v>201</v>
      </c>
      <c r="N71" s="63" t="s">
        <v>6</v>
      </c>
      <c r="O71" s="63" t="s">
        <v>7</v>
      </c>
      <c r="P71" s="66" t="s">
        <v>161</v>
      </c>
      <c r="Q71" s="66" t="s">
        <v>162</v>
      </c>
    </row>
    <row r="72" spans="2:17" ht="18.75" hidden="1" customHeight="1">
      <c r="B72" s="63" t="str">
        <f t="shared" si="0"/>
        <v>No69</v>
      </c>
      <c r="C72" s="63" t="str">
        <f t="shared" si="1"/>
        <v>202505</v>
      </c>
      <c r="D72" s="63" t="s">
        <v>142</v>
      </c>
      <c r="E72" s="63" t="s">
        <v>155</v>
      </c>
      <c r="F72" s="64">
        <v>45786.552083333343</v>
      </c>
      <c r="G72" s="64">
        <v>45786.583333333343</v>
      </c>
      <c r="H72" s="63">
        <f>IF(F72="", "", NETWORKDAYS.INTL(F72, G72, 11,祝日シート!A:A))</f>
        <v>1</v>
      </c>
      <c r="I72" s="65">
        <v>1.388888888888889E-2</v>
      </c>
      <c r="J72" s="63" t="s">
        <v>119</v>
      </c>
      <c r="K72" s="63" t="s">
        <v>111</v>
      </c>
      <c r="L72" s="63"/>
      <c r="M72" s="63" t="s">
        <v>215</v>
      </c>
      <c r="N72" s="63" t="s">
        <v>122</v>
      </c>
      <c r="O72" s="63" t="s">
        <v>7</v>
      </c>
      <c r="P72" s="66" t="s">
        <v>216</v>
      </c>
      <c r="Q72" s="66" t="s">
        <v>158</v>
      </c>
    </row>
    <row r="73" spans="2:17" ht="18.75" customHeight="1">
      <c r="B73" s="63" t="str">
        <f t="shared" si="0"/>
        <v>No70</v>
      </c>
      <c r="C73" s="63" t="str">
        <f t="shared" si="1"/>
        <v>202505</v>
      </c>
      <c r="D73" s="63" t="s">
        <v>104</v>
      </c>
      <c r="E73" s="63" t="s">
        <v>4</v>
      </c>
      <c r="F73" s="64">
        <v>45786.666666666657</v>
      </c>
      <c r="G73" s="64">
        <v>45786.670138888891</v>
      </c>
      <c r="H73" s="63">
        <f>IF(F73="", "", NETWORKDAYS.INTL(F73, G73, 11,祝日シート!A:A))</f>
        <v>1</v>
      </c>
      <c r="I73" s="65">
        <v>3.472222222222222E-3</v>
      </c>
      <c r="J73" s="63" t="s">
        <v>20</v>
      </c>
      <c r="K73" s="63" t="s">
        <v>41</v>
      </c>
      <c r="L73" s="63"/>
      <c r="M73" s="63" t="s">
        <v>217</v>
      </c>
      <c r="N73" s="63" t="s">
        <v>6</v>
      </c>
      <c r="O73" s="63" t="s">
        <v>7</v>
      </c>
      <c r="P73" s="66" t="s">
        <v>161</v>
      </c>
      <c r="Q73" s="66" t="s">
        <v>162</v>
      </c>
    </row>
    <row r="74" spans="2:17" ht="18.75" hidden="1" customHeight="1">
      <c r="B74" s="63" t="str">
        <f t="shared" si="0"/>
        <v>No71</v>
      </c>
      <c r="C74" s="63" t="str">
        <f t="shared" si="1"/>
        <v>202505</v>
      </c>
      <c r="D74" s="63" t="s">
        <v>142</v>
      </c>
      <c r="E74" s="63" t="s">
        <v>155</v>
      </c>
      <c r="F74" s="64">
        <v>45786.680555555547</v>
      </c>
      <c r="G74" s="64">
        <v>45786.722222222219</v>
      </c>
      <c r="H74" s="63">
        <f>IF(F74="", "", NETWORKDAYS.INTL(F74, G74, 11,祝日シート!A:A))</f>
        <v>1</v>
      </c>
      <c r="I74" s="65">
        <v>3.125E-2</v>
      </c>
      <c r="J74" s="63" t="s">
        <v>119</v>
      </c>
      <c r="K74" s="63" t="s">
        <v>111</v>
      </c>
      <c r="L74" s="63"/>
      <c r="M74" s="63" t="s">
        <v>198</v>
      </c>
      <c r="N74" s="63" t="s">
        <v>122</v>
      </c>
      <c r="O74" s="63" t="s">
        <v>7</v>
      </c>
      <c r="P74" s="66" t="s">
        <v>216</v>
      </c>
      <c r="Q74" s="66" t="s">
        <v>218</v>
      </c>
    </row>
    <row r="75" spans="2:17" ht="18.75" hidden="1" customHeight="1">
      <c r="B75" s="63" t="str">
        <f t="shared" si="0"/>
        <v>No72</v>
      </c>
      <c r="C75" s="63" t="str">
        <f t="shared" si="1"/>
        <v>202505</v>
      </c>
      <c r="D75" s="63" t="s">
        <v>142</v>
      </c>
      <c r="E75" s="63" t="s">
        <v>155</v>
      </c>
      <c r="F75" s="64">
        <v>45789.388888888891</v>
      </c>
      <c r="G75" s="64">
        <v>45789.423611111109</v>
      </c>
      <c r="H75" s="63">
        <f>IF(F75="", "", NETWORKDAYS.INTL(F75, G75, 11,祝日シート!A:A))</f>
        <v>1</v>
      </c>
      <c r="I75" s="65">
        <v>6.9444444444444441E-3</v>
      </c>
      <c r="J75" s="63" t="s">
        <v>119</v>
      </c>
      <c r="K75" s="63" t="s">
        <v>77</v>
      </c>
      <c r="L75" s="63"/>
      <c r="M75" s="63" t="s">
        <v>211</v>
      </c>
      <c r="N75" s="63" t="s">
        <v>122</v>
      </c>
      <c r="O75" s="63" t="s">
        <v>7</v>
      </c>
      <c r="P75" s="66" t="s">
        <v>212</v>
      </c>
      <c r="Q75" s="66" t="s">
        <v>158</v>
      </c>
    </row>
    <row r="76" spans="2:17" ht="18.75" hidden="1" customHeight="1">
      <c r="B76" s="63" t="str">
        <f t="shared" si="0"/>
        <v>No73</v>
      </c>
      <c r="C76" s="63" t="str">
        <f t="shared" si="1"/>
        <v>202505</v>
      </c>
      <c r="D76" s="63" t="s">
        <v>186</v>
      </c>
      <c r="E76" s="63" t="s">
        <v>116</v>
      </c>
      <c r="F76" s="64">
        <v>45789.430555555547</v>
      </c>
      <c r="G76" s="64">
        <v>45789.4375</v>
      </c>
      <c r="H76" s="63">
        <f>IF(F76="", "", NETWORKDAYS.INTL(F76, G76, 11,祝日シート!A:A))</f>
        <v>1</v>
      </c>
      <c r="I76" s="65">
        <v>6.9444444444444441E-3</v>
      </c>
      <c r="J76" s="63" t="s">
        <v>20</v>
      </c>
      <c r="K76" s="63" t="s">
        <v>120</v>
      </c>
      <c r="L76" s="63"/>
      <c r="M76" s="63" t="s">
        <v>193</v>
      </c>
      <c r="N76" s="63" t="s">
        <v>122</v>
      </c>
      <c r="O76" s="63" t="s">
        <v>7</v>
      </c>
      <c r="P76" s="66" t="s">
        <v>219</v>
      </c>
      <c r="Q76" s="66" t="s">
        <v>220</v>
      </c>
    </row>
    <row r="77" spans="2:17" ht="35.25" customHeight="1">
      <c r="B77" s="63" t="str">
        <f t="shared" si="0"/>
        <v>No74</v>
      </c>
      <c r="C77" s="63" t="str">
        <f t="shared" si="1"/>
        <v>202505</v>
      </c>
      <c r="D77" s="63" t="s">
        <v>104</v>
      </c>
      <c r="E77" s="63" t="s">
        <v>4</v>
      </c>
      <c r="F77" s="64">
        <v>45789.541666666657</v>
      </c>
      <c r="G77" s="64">
        <v>45789.555555555547</v>
      </c>
      <c r="H77" s="63">
        <f>IF(F77="", "", NETWORKDAYS.INTL(F77, G77, 11,祝日シート!A:A))</f>
        <v>1</v>
      </c>
      <c r="I77" s="65">
        <v>1.388888888888889E-2</v>
      </c>
      <c r="J77" s="63" t="s">
        <v>45</v>
      </c>
      <c r="K77" s="63" t="s">
        <v>77</v>
      </c>
      <c r="L77" s="63"/>
      <c r="M77" s="63" t="s">
        <v>144</v>
      </c>
      <c r="N77" s="63" t="s">
        <v>6</v>
      </c>
      <c r="O77" s="63" t="s">
        <v>7</v>
      </c>
      <c r="P77" s="66" t="s">
        <v>221</v>
      </c>
      <c r="Q77" s="66" t="s">
        <v>222</v>
      </c>
    </row>
    <row r="78" spans="2:17" ht="18.75" hidden="1" customHeight="1">
      <c r="B78" s="63" t="str">
        <f t="shared" si="0"/>
        <v>No75</v>
      </c>
      <c r="C78" s="63" t="str">
        <f t="shared" si="1"/>
        <v>202505</v>
      </c>
      <c r="D78" s="63" t="s">
        <v>142</v>
      </c>
      <c r="E78" s="63" t="s">
        <v>155</v>
      </c>
      <c r="F78" s="64">
        <v>45789.590277777781</v>
      </c>
      <c r="G78" s="64">
        <v>45789.59375</v>
      </c>
      <c r="H78" s="63">
        <f>IF(F78="", "", NETWORKDAYS.INTL(F78, G78, 11,祝日シート!A:A))</f>
        <v>1</v>
      </c>
      <c r="I78" s="65">
        <v>3.472222222222222E-3</v>
      </c>
      <c r="J78" s="63" t="s">
        <v>119</v>
      </c>
      <c r="K78" s="63" t="s">
        <v>159</v>
      </c>
      <c r="L78" s="63"/>
      <c r="M78" s="63" t="s">
        <v>187</v>
      </c>
      <c r="N78" s="63" t="s">
        <v>117</v>
      </c>
      <c r="O78" s="63" t="s">
        <v>7</v>
      </c>
      <c r="P78" s="66" t="s">
        <v>208</v>
      </c>
      <c r="Q78" s="66" t="s">
        <v>158</v>
      </c>
    </row>
    <row r="79" spans="2:17" ht="18.75" hidden="1" customHeight="1">
      <c r="B79" s="63" t="str">
        <f t="shared" si="0"/>
        <v>No76</v>
      </c>
      <c r="C79" s="63" t="str">
        <f t="shared" si="1"/>
        <v>202505</v>
      </c>
      <c r="D79" s="63" t="s">
        <v>142</v>
      </c>
      <c r="E79" s="63" t="s">
        <v>155</v>
      </c>
      <c r="F79" s="64">
        <v>45790.354166666657</v>
      </c>
      <c r="G79" s="64">
        <v>45790.357638888891</v>
      </c>
      <c r="H79" s="63">
        <f>IF(F79="", "", NETWORKDAYS.INTL(F79, G79, 11,祝日シート!A:A))</f>
        <v>1</v>
      </c>
      <c r="I79" s="65">
        <v>3.472222222222222E-3</v>
      </c>
      <c r="J79" s="63" t="s">
        <v>20</v>
      </c>
      <c r="K79" s="63" t="s">
        <v>21</v>
      </c>
      <c r="L79" s="63"/>
      <c r="M79" s="63" t="s">
        <v>223</v>
      </c>
      <c r="N79" s="63" t="s">
        <v>6</v>
      </c>
      <c r="O79" s="63" t="s">
        <v>7</v>
      </c>
      <c r="P79" s="66" t="s">
        <v>161</v>
      </c>
      <c r="Q79" s="66" t="s">
        <v>162</v>
      </c>
    </row>
    <row r="80" spans="2:17" ht="18.75" hidden="1" customHeight="1">
      <c r="B80" s="63" t="str">
        <f t="shared" si="0"/>
        <v>No77</v>
      </c>
      <c r="C80" s="63" t="str">
        <f t="shared" si="1"/>
        <v>202505</v>
      </c>
      <c r="D80" s="63" t="s">
        <v>142</v>
      </c>
      <c r="E80" s="63" t="s">
        <v>155</v>
      </c>
      <c r="F80" s="64">
        <v>45790.375</v>
      </c>
      <c r="G80" s="64">
        <v>45790.40625</v>
      </c>
      <c r="H80" s="63">
        <f>IF(F80="", "", NETWORKDAYS.INTL(F80, G80, 11,祝日シート!A:A))</f>
        <v>1</v>
      </c>
      <c r="I80" s="65">
        <v>3.125E-2</v>
      </c>
      <c r="J80" s="63" t="s">
        <v>40</v>
      </c>
      <c r="K80" s="63" t="s">
        <v>41</v>
      </c>
      <c r="L80" s="63"/>
      <c r="M80" s="63" t="s">
        <v>180</v>
      </c>
      <c r="N80" s="63" t="s">
        <v>122</v>
      </c>
      <c r="O80" s="63" t="s">
        <v>7</v>
      </c>
      <c r="P80" s="66" t="s">
        <v>224</v>
      </c>
      <c r="Q80" s="66" t="s">
        <v>225</v>
      </c>
    </row>
    <row r="81" spans="2:17" ht="29.25" hidden="1" customHeight="1">
      <c r="B81" s="63" t="str">
        <f t="shared" si="0"/>
        <v>No78</v>
      </c>
      <c r="C81" s="63" t="str">
        <f t="shared" si="1"/>
        <v>202505</v>
      </c>
      <c r="D81" s="63" t="s">
        <v>142</v>
      </c>
      <c r="E81" s="63" t="s">
        <v>155</v>
      </c>
      <c r="F81" s="64">
        <v>45790.434027777781</v>
      </c>
      <c r="G81" s="64">
        <v>45790.444444444453</v>
      </c>
      <c r="H81" s="63">
        <f>IF(F81="", "", NETWORKDAYS.INTL(F81, G81, 11,祝日シート!A:A))</f>
        <v>1</v>
      </c>
      <c r="I81" s="65">
        <v>1.041666666666667E-2</v>
      </c>
      <c r="J81" s="63" t="s">
        <v>119</v>
      </c>
      <c r="K81" s="63" t="s">
        <v>159</v>
      </c>
      <c r="L81" s="63"/>
      <c r="M81" s="63" t="s">
        <v>187</v>
      </c>
      <c r="N81" s="63" t="s">
        <v>117</v>
      </c>
      <c r="O81" s="63" t="s">
        <v>7</v>
      </c>
      <c r="P81" s="66" t="s">
        <v>226</v>
      </c>
      <c r="Q81" s="66" t="s">
        <v>227</v>
      </c>
    </row>
    <row r="82" spans="2:17" ht="18.75" hidden="1" customHeight="1">
      <c r="B82" s="63" t="str">
        <f t="shared" si="0"/>
        <v>No79</v>
      </c>
      <c r="C82" s="63" t="str">
        <f t="shared" si="1"/>
        <v>202505</v>
      </c>
      <c r="D82" s="63" t="s">
        <v>142</v>
      </c>
      <c r="E82" s="63" t="s">
        <v>155</v>
      </c>
      <c r="F82" s="64">
        <v>45790.541666666657</v>
      </c>
      <c r="G82" s="64">
        <v>45791.4375</v>
      </c>
      <c r="H82" s="63">
        <f>IF(F82="", "", NETWORKDAYS.INTL(F82, G82, 11,祝日シート!A:A))</f>
        <v>2</v>
      </c>
      <c r="I82" s="65">
        <v>6.25E-2</v>
      </c>
      <c r="J82" s="63" t="s">
        <v>119</v>
      </c>
      <c r="K82" s="63" t="s">
        <v>159</v>
      </c>
      <c r="L82" s="63"/>
      <c r="M82" s="63" t="s">
        <v>187</v>
      </c>
      <c r="N82" s="63" t="s">
        <v>122</v>
      </c>
      <c r="O82" s="63" t="s">
        <v>7</v>
      </c>
      <c r="P82" s="66" t="s">
        <v>228</v>
      </c>
      <c r="Q82" s="66" t="s">
        <v>158</v>
      </c>
    </row>
    <row r="83" spans="2:17" ht="18.75" hidden="1" customHeight="1">
      <c r="B83" s="63" t="str">
        <f t="shared" si="0"/>
        <v>No80</v>
      </c>
      <c r="C83" s="63" t="str">
        <f t="shared" si="1"/>
        <v>202505</v>
      </c>
      <c r="D83" s="63" t="s">
        <v>142</v>
      </c>
      <c r="E83" s="63" t="s">
        <v>155</v>
      </c>
      <c r="F83" s="64">
        <v>45791.416666666657</v>
      </c>
      <c r="G83" s="64">
        <v>45791.4375</v>
      </c>
      <c r="H83" s="63">
        <f>IF(F83="", "", NETWORKDAYS.INTL(F83, G83, 11,祝日シート!A:A))</f>
        <v>1</v>
      </c>
      <c r="I83" s="65">
        <v>6.9444444444444441E-3</v>
      </c>
      <c r="J83" s="63" t="s">
        <v>119</v>
      </c>
      <c r="K83" s="63" t="s">
        <v>159</v>
      </c>
      <c r="L83" s="63"/>
      <c r="M83" s="63" t="s">
        <v>160</v>
      </c>
      <c r="N83" s="63" t="s">
        <v>122</v>
      </c>
      <c r="O83" s="63" t="s">
        <v>7</v>
      </c>
      <c r="P83" s="66" t="s">
        <v>179</v>
      </c>
      <c r="Q83" s="66" t="s">
        <v>158</v>
      </c>
    </row>
    <row r="84" spans="2:17" ht="45" hidden="1" customHeight="1">
      <c r="B84" s="63" t="str">
        <f t="shared" si="0"/>
        <v>No81</v>
      </c>
      <c r="C84" s="63" t="str">
        <f t="shared" si="1"/>
        <v>202505</v>
      </c>
      <c r="D84" s="63" t="s">
        <v>142</v>
      </c>
      <c r="E84" s="63" t="s">
        <v>155</v>
      </c>
      <c r="F84" s="64">
        <v>45791.444444444453</v>
      </c>
      <c r="G84" s="64">
        <v>45791.454861111109</v>
      </c>
      <c r="H84" s="63">
        <f>IF(F84="", "", NETWORKDAYS.INTL(F84, G84, 11,祝日シート!A:A))</f>
        <v>1</v>
      </c>
      <c r="I84" s="65">
        <v>3.472222222222222E-3</v>
      </c>
      <c r="J84" s="63" t="s">
        <v>119</v>
      </c>
      <c r="K84" s="63" t="s">
        <v>111</v>
      </c>
      <c r="L84" s="63"/>
      <c r="M84" s="63" t="s">
        <v>229</v>
      </c>
      <c r="N84" s="63" t="s">
        <v>122</v>
      </c>
      <c r="O84" s="63" t="s">
        <v>7</v>
      </c>
      <c r="P84" s="66" t="s">
        <v>208</v>
      </c>
      <c r="Q84" s="66" t="s">
        <v>158</v>
      </c>
    </row>
    <row r="85" spans="2:17" ht="45" hidden="1" customHeight="1">
      <c r="B85" s="63" t="str">
        <f t="shared" si="0"/>
        <v>No82</v>
      </c>
      <c r="C85" s="63" t="str">
        <f t="shared" si="1"/>
        <v>202505</v>
      </c>
      <c r="D85" s="63" t="s">
        <v>142</v>
      </c>
      <c r="E85" s="63" t="s">
        <v>155</v>
      </c>
      <c r="F85" s="64">
        <v>45791.583333333343</v>
      </c>
      <c r="G85" s="64">
        <v>45791.590277777781</v>
      </c>
      <c r="H85" s="63">
        <f>IF(F85="", "", NETWORKDAYS.INTL(F85, G85, 11,祝日シート!A:A))</f>
        <v>1</v>
      </c>
      <c r="I85" s="65">
        <v>6.9444444444444441E-3</v>
      </c>
      <c r="J85" s="63" t="s">
        <v>119</v>
      </c>
      <c r="K85" s="63" t="s">
        <v>159</v>
      </c>
      <c r="L85" s="63"/>
      <c r="M85" s="63" t="s">
        <v>160</v>
      </c>
      <c r="N85" s="63" t="s">
        <v>122</v>
      </c>
      <c r="O85" s="63" t="s">
        <v>7</v>
      </c>
      <c r="P85" s="66" t="s">
        <v>179</v>
      </c>
      <c r="Q85" s="66" t="s">
        <v>158</v>
      </c>
    </row>
    <row r="86" spans="2:17" ht="45" hidden="1" customHeight="1">
      <c r="B86" s="63" t="str">
        <f t="shared" si="0"/>
        <v>No83</v>
      </c>
      <c r="C86" s="63" t="str">
        <f t="shared" si="1"/>
        <v>202505</v>
      </c>
      <c r="D86" s="63" t="s">
        <v>142</v>
      </c>
      <c r="E86" s="63" t="s">
        <v>155</v>
      </c>
      <c r="F86" s="64">
        <v>45791.649305555547</v>
      </c>
      <c r="G86" s="64">
        <v>45791.65625</v>
      </c>
      <c r="H86" s="63">
        <f>IF(F86="", "", NETWORKDAYS.INTL(F86, G86, 11,祝日シート!A:A))</f>
        <v>1</v>
      </c>
      <c r="I86" s="65">
        <v>6.9444444444444441E-3</v>
      </c>
      <c r="J86" s="63" t="s">
        <v>119</v>
      </c>
      <c r="K86" s="63" t="s">
        <v>159</v>
      </c>
      <c r="L86" s="63"/>
      <c r="M86" s="63" t="s">
        <v>160</v>
      </c>
      <c r="N86" s="63" t="s">
        <v>122</v>
      </c>
      <c r="O86" s="63" t="s">
        <v>7</v>
      </c>
      <c r="P86" s="66" t="s">
        <v>179</v>
      </c>
      <c r="Q86" s="66" t="s">
        <v>158</v>
      </c>
    </row>
    <row r="87" spans="2:17" ht="45" hidden="1" customHeight="1">
      <c r="B87" s="63" t="str">
        <f t="shared" ref="B87:B150" si="2">"No"&amp;ROW()-3</f>
        <v>No84</v>
      </c>
      <c r="C87" s="63" t="str">
        <f t="shared" ref="C87:C150" si="3">IFERROR(IF(G87&lt;&gt;"",TEXT(G87,"yyyymm"),""),"")</f>
        <v>202505</v>
      </c>
      <c r="D87" s="63" t="s">
        <v>142</v>
      </c>
      <c r="E87" s="63" t="s">
        <v>155</v>
      </c>
      <c r="F87" s="64">
        <v>45791.697916666657</v>
      </c>
      <c r="G87" s="64">
        <v>45791.71875</v>
      </c>
      <c r="H87" s="63">
        <f>IF(F87="", "", NETWORKDAYS.INTL(F87, G87, 11,祝日シート!A:A))</f>
        <v>1</v>
      </c>
      <c r="I87" s="65">
        <v>1.041666666666667E-2</v>
      </c>
      <c r="J87" s="63" t="s">
        <v>40</v>
      </c>
      <c r="K87" s="63" t="s">
        <v>41</v>
      </c>
      <c r="L87" s="63"/>
      <c r="M87" s="63" t="s">
        <v>180</v>
      </c>
      <c r="N87" s="63" t="s">
        <v>122</v>
      </c>
      <c r="O87" s="63" t="s">
        <v>7</v>
      </c>
      <c r="P87" s="66" t="s">
        <v>230</v>
      </c>
      <c r="Q87" s="66" t="s">
        <v>231</v>
      </c>
    </row>
    <row r="88" spans="2:17" ht="45" customHeight="1">
      <c r="B88" s="63" t="str">
        <f t="shared" si="2"/>
        <v>No85</v>
      </c>
      <c r="C88" s="63" t="str">
        <f t="shared" si="3"/>
        <v>202505</v>
      </c>
      <c r="D88" s="63" t="s">
        <v>142</v>
      </c>
      <c r="E88" s="63" t="s">
        <v>4</v>
      </c>
      <c r="F88" s="64">
        <v>45792.583333333343</v>
      </c>
      <c r="G88" s="64">
        <v>45792.597222222219</v>
      </c>
      <c r="H88" s="63">
        <f>IF(F88="", "", NETWORKDAYS.INTL(F88, G88, 11,祝日シート!A:A))</f>
        <v>1</v>
      </c>
      <c r="I88" s="65">
        <v>1.388888888888889E-2</v>
      </c>
      <c r="J88" s="63" t="s">
        <v>20</v>
      </c>
      <c r="K88" s="63" t="s">
        <v>105</v>
      </c>
      <c r="L88" s="63"/>
      <c r="M88" s="63" t="s">
        <v>106</v>
      </c>
      <c r="N88" s="63" t="s">
        <v>6</v>
      </c>
      <c r="O88" s="63" t="s">
        <v>7</v>
      </c>
      <c r="P88" s="66" t="s">
        <v>232</v>
      </c>
      <c r="Q88" s="66" t="s">
        <v>233</v>
      </c>
    </row>
    <row r="89" spans="2:17" ht="48.75" customHeight="1">
      <c r="B89" s="63" t="str">
        <f t="shared" si="2"/>
        <v>No86</v>
      </c>
      <c r="C89" s="63" t="str">
        <f t="shared" si="3"/>
        <v>202505</v>
      </c>
      <c r="D89" s="63" t="s">
        <v>142</v>
      </c>
      <c r="E89" s="63" t="s">
        <v>4</v>
      </c>
      <c r="F89" s="64">
        <v>45792.625</v>
      </c>
      <c r="G89" s="68">
        <v>45792.708333333343</v>
      </c>
      <c r="H89" s="63">
        <f>IF(F89="", "", NETWORKDAYS.INTL(F89, G89, 11,祝日シート!A:A))</f>
        <v>1</v>
      </c>
      <c r="I89" s="65" t="e">
        <f>#REF!-#REF!</f>
        <v>#REF!</v>
      </c>
      <c r="J89" s="63" t="s">
        <v>45</v>
      </c>
      <c r="K89" s="63" t="s">
        <v>120</v>
      </c>
      <c r="L89" s="63"/>
      <c r="M89" s="63" t="s">
        <v>152</v>
      </c>
      <c r="N89" s="63" t="s">
        <v>6</v>
      </c>
      <c r="O89" s="63" t="s">
        <v>7</v>
      </c>
      <c r="P89" s="66" t="s">
        <v>234</v>
      </c>
      <c r="Q89" s="66" t="s">
        <v>235</v>
      </c>
    </row>
    <row r="90" spans="2:17" ht="18.75" customHeight="1">
      <c r="B90" s="63" t="str">
        <f t="shared" si="2"/>
        <v>No87</v>
      </c>
      <c r="C90" s="63" t="str">
        <f t="shared" si="3"/>
        <v>202505</v>
      </c>
      <c r="D90" s="63" t="s">
        <v>142</v>
      </c>
      <c r="E90" s="63" t="s">
        <v>4</v>
      </c>
      <c r="F90" s="64">
        <v>45793.375</v>
      </c>
      <c r="G90" s="64">
        <v>45793.666666666657</v>
      </c>
      <c r="H90" s="63">
        <f>IF(F90="", "", NETWORKDAYS.INTL(F90, G90, 11,祝日シート!A:A))</f>
        <v>1</v>
      </c>
      <c r="I90" s="65">
        <v>8.3333333333333329E-2</v>
      </c>
      <c r="J90" s="63" t="s">
        <v>20</v>
      </c>
      <c r="K90" s="63" t="s">
        <v>21</v>
      </c>
      <c r="L90" s="63"/>
      <c r="M90" s="63" t="s">
        <v>133</v>
      </c>
      <c r="N90" s="63" t="s">
        <v>6</v>
      </c>
      <c r="O90" s="63" t="s">
        <v>7</v>
      </c>
      <c r="P90" s="66" t="s">
        <v>236</v>
      </c>
      <c r="Q90" s="66" t="s">
        <v>237</v>
      </c>
    </row>
    <row r="91" spans="2:17" ht="18.75" hidden="1" customHeight="1">
      <c r="B91" s="63" t="str">
        <f t="shared" si="2"/>
        <v>No88</v>
      </c>
      <c r="C91" s="63" t="str">
        <f t="shared" si="3"/>
        <v>202505</v>
      </c>
      <c r="D91" s="63" t="s">
        <v>142</v>
      </c>
      <c r="E91" s="63" t="s">
        <v>116</v>
      </c>
      <c r="F91" s="64">
        <v>45793.388888888891</v>
      </c>
      <c r="G91" s="64">
        <v>45793.399305555547</v>
      </c>
      <c r="H91" s="63">
        <f>IF(F91="", "", NETWORKDAYS.INTL(F91, G91, 11,祝日シート!A:A))</f>
        <v>1</v>
      </c>
      <c r="I91" s="65">
        <v>1.041666666666667E-2</v>
      </c>
      <c r="J91" s="63" t="s">
        <v>45</v>
      </c>
      <c r="K91" s="63" t="s">
        <v>77</v>
      </c>
      <c r="L91" s="63"/>
      <c r="M91" s="63" t="s">
        <v>238</v>
      </c>
      <c r="N91" s="63" t="s">
        <v>6</v>
      </c>
      <c r="O91" s="63" t="s">
        <v>7</v>
      </c>
      <c r="P91" s="66" t="s">
        <v>239</v>
      </c>
      <c r="Q91" s="66" t="s">
        <v>240</v>
      </c>
    </row>
    <row r="92" spans="2:17" ht="27" hidden="1" customHeight="1">
      <c r="B92" s="63" t="str">
        <f t="shared" si="2"/>
        <v>No89</v>
      </c>
      <c r="C92" s="63" t="str">
        <f t="shared" si="3"/>
        <v>202505</v>
      </c>
      <c r="D92" s="63" t="s">
        <v>104</v>
      </c>
      <c r="E92" s="63" t="s">
        <v>116</v>
      </c>
      <c r="F92" s="64">
        <v>45793.401388888888</v>
      </c>
      <c r="G92" s="64">
        <v>45793.402777777781</v>
      </c>
      <c r="H92" s="63">
        <f>IF(F92="", "", NETWORKDAYS.INTL(F92, G92, 11,祝日シート!A:A))</f>
        <v>1</v>
      </c>
      <c r="I92" s="65">
        <v>3.472222222222222E-3</v>
      </c>
      <c r="J92" s="63" t="s">
        <v>20</v>
      </c>
      <c r="K92" s="63" t="s">
        <v>77</v>
      </c>
      <c r="L92" s="63"/>
      <c r="M92" s="63" t="s">
        <v>211</v>
      </c>
      <c r="N92" s="63" t="s">
        <v>6</v>
      </c>
      <c r="O92" s="63" t="s">
        <v>7</v>
      </c>
      <c r="P92" s="66" t="s">
        <v>241</v>
      </c>
      <c r="Q92" s="66" t="s">
        <v>242</v>
      </c>
    </row>
    <row r="93" spans="2:17" ht="27" customHeight="1">
      <c r="B93" s="63" t="str">
        <f t="shared" si="2"/>
        <v>No90</v>
      </c>
      <c r="C93" s="63" t="str">
        <f t="shared" si="3"/>
        <v>202505</v>
      </c>
      <c r="D93" s="63" t="s">
        <v>166</v>
      </c>
      <c r="E93" s="63" t="s">
        <v>4</v>
      </c>
      <c r="F93" s="64">
        <v>45793.458333333343</v>
      </c>
      <c r="G93" s="64">
        <v>45793.479166666657</v>
      </c>
      <c r="H93" s="63">
        <f>IF(F93="", "", NETWORKDAYS.INTL(F93, G93, 11,祝日シート!A:A))</f>
        <v>1</v>
      </c>
      <c r="I93" s="65">
        <v>2.0833333333333329E-2</v>
      </c>
      <c r="J93" s="63" t="s">
        <v>40</v>
      </c>
      <c r="K93" s="63" t="s">
        <v>41</v>
      </c>
      <c r="L93" s="63"/>
      <c r="M93" s="63" t="s">
        <v>180</v>
      </c>
      <c r="N93" s="63" t="s">
        <v>122</v>
      </c>
      <c r="O93" s="63" t="s">
        <v>7</v>
      </c>
      <c r="P93" s="66" t="s">
        <v>243</v>
      </c>
      <c r="Q93" s="66" t="s">
        <v>244</v>
      </c>
    </row>
    <row r="94" spans="2:17" ht="18.75" hidden="1" customHeight="1">
      <c r="B94" s="63" t="str">
        <f t="shared" si="2"/>
        <v>No91</v>
      </c>
      <c r="C94" s="63" t="str">
        <f t="shared" si="3"/>
        <v>202505</v>
      </c>
      <c r="D94" s="63" t="s">
        <v>142</v>
      </c>
      <c r="E94" s="63" t="s">
        <v>155</v>
      </c>
      <c r="F94" s="64">
        <v>45793.46875</v>
      </c>
      <c r="G94" s="64">
        <v>45793.479166666657</v>
      </c>
      <c r="H94" s="63">
        <f>IF(F94="", "", NETWORKDAYS.INTL(F94, G94, 11,祝日シート!A:A))</f>
        <v>1</v>
      </c>
      <c r="I94" s="65">
        <v>6.9444444444444441E-3</v>
      </c>
      <c r="J94" s="63" t="s">
        <v>119</v>
      </c>
      <c r="K94" s="63" t="s">
        <v>111</v>
      </c>
      <c r="L94" s="63"/>
      <c r="M94" s="63" t="s">
        <v>245</v>
      </c>
      <c r="N94" s="63" t="s">
        <v>122</v>
      </c>
      <c r="O94" s="63" t="s">
        <v>7</v>
      </c>
      <c r="P94" s="66" t="s">
        <v>246</v>
      </c>
      <c r="Q94" s="66" t="s">
        <v>158</v>
      </c>
    </row>
    <row r="95" spans="2:17" ht="18.75" hidden="1" customHeight="1">
      <c r="B95" s="63" t="str">
        <f t="shared" si="2"/>
        <v>No92</v>
      </c>
      <c r="C95" s="63" t="str">
        <f t="shared" si="3"/>
        <v>202505</v>
      </c>
      <c r="D95" s="63" t="s">
        <v>142</v>
      </c>
      <c r="E95" s="63" t="s">
        <v>155</v>
      </c>
      <c r="F95" s="64">
        <v>45793.482638888891</v>
      </c>
      <c r="G95" s="64">
        <v>45793.489583333343</v>
      </c>
      <c r="H95" s="63">
        <f>IF(F95="", "", NETWORKDAYS.INTL(F95, G95, 11,祝日シート!A:A))</f>
        <v>1</v>
      </c>
      <c r="I95" s="65">
        <v>3.472222222222222E-3</v>
      </c>
      <c r="J95" s="63" t="s">
        <v>119</v>
      </c>
      <c r="K95" s="63" t="s">
        <v>159</v>
      </c>
      <c r="L95" s="63"/>
      <c r="M95" s="63" t="s">
        <v>160</v>
      </c>
      <c r="N95" s="63" t="s">
        <v>122</v>
      </c>
      <c r="O95" s="63" t="s">
        <v>7</v>
      </c>
      <c r="P95" s="66" t="s">
        <v>179</v>
      </c>
      <c r="Q95" s="66" t="s">
        <v>158</v>
      </c>
    </row>
    <row r="96" spans="2:17" ht="29.25" hidden="1" customHeight="1">
      <c r="B96" s="63" t="str">
        <f t="shared" si="2"/>
        <v>No93</v>
      </c>
      <c r="C96" s="63" t="str">
        <f t="shared" si="3"/>
        <v>202505</v>
      </c>
      <c r="D96" s="63" t="s">
        <v>142</v>
      </c>
      <c r="E96" s="63" t="s">
        <v>155</v>
      </c>
      <c r="F96" s="64">
        <v>45793.552083333343</v>
      </c>
      <c r="G96" s="64">
        <v>45793.559027777781</v>
      </c>
      <c r="H96" s="63">
        <f>IF(F96="", "", NETWORKDAYS.INTL(F96, G96, 11,祝日シート!A:A))</f>
        <v>1</v>
      </c>
      <c r="I96" s="65">
        <v>6.9444444444444441E-3</v>
      </c>
      <c r="J96" s="63" t="s">
        <v>119</v>
      </c>
      <c r="K96" s="63" t="s">
        <v>159</v>
      </c>
      <c r="L96" s="63"/>
      <c r="M96" s="63" t="s">
        <v>187</v>
      </c>
      <c r="N96" s="63" t="s">
        <v>122</v>
      </c>
      <c r="O96" s="63" t="s">
        <v>7</v>
      </c>
      <c r="P96" s="66" t="s">
        <v>247</v>
      </c>
      <c r="Q96" s="66" t="s">
        <v>248</v>
      </c>
    </row>
    <row r="97" spans="2:17" ht="18.75" hidden="1" customHeight="1">
      <c r="B97" s="63" t="str">
        <f t="shared" si="2"/>
        <v>No94</v>
      </c>
      <c r="C97" s="63" t="str">
        <f t="shared" si="3"/>
        <v>202505</v>
      </c>
      <c r="D97" s="63" t="s">
        <v>3</v>
      </c>
      <c r="E97" s="63" t="s">
        <v>116</v>
      </c>
      <c r="F97" s="64">
        <v>45794.527777777781</v>
      </c>
      <c r="G97" s="64">
        <v>45794.548611111109</v>
      </c>
      <c r="H97" s="63">
        <f>IF(F97="", "", NETWORKDAYS.INTL(F97, G97, 11,祝日シート!A:A))</f>
        <v>1</v>
      </c>
      <c r="I97" s="65">
        <v>2.0833333333333329E-2</v>
      </c>
      <c r="J97" s="63" t="s">
        <v>249</v>
      </c>
      <c r="K97" s="63" t="s">
        <v>176</v>
      </c>
      <c r="L97" s="63"/>
      <c r="M97" s="63" t="s">
        <v>250</v>
      </c>
      <c r="N97" s="63" t="s">
        <v>117</v>
      </c>
      <c r="O97" s="63" t="s">
        <v>7</v>
      </c>
      <c r="P97" s="66" t="s">
        <v>251</v>
      </c>
      <c r="Q97" s="66" t="s">
        <v>252</v>
      </c>
    </row>
    <row r="98" spans="2:17" ht="18.75" hidden="1" customHeight="1">
      <c r="B98" s="63" t="str">
        <f t="shared" si="2"/>
        <v>No95</v>
      </c>
      <c r="C98" s="63" t="str">
        <f t="shared" si="3"/>
        <v>202505</v>
      </c>
      <c r="D98" s="63" t="s">
        <v>142</v>
      </c>
      <c r="E98" s="63" t="s">
        <v>155</v>
      </c>
      <c r="F98" s="64">
        <v>45796.413194444453</v>
      </c>
      <c r="G98" s="64">
        <v>45796.420138888891</v>
      </c>
      <c r="H98" s="63">
        <f>IF(F98="", "", NETWORKDAYS.INTL(F98, G98, 11,祝日シート!A:A))</f>
        <v>1</v>
      </c>
      <c r="I98" s="65">
        <v>6.9444444444444441E-3</v>
      </c>
      <c r="J98" s="63" t="s">
        <v>119</v>
      </c>
      <c r="K98" s="63" t="s">
        <v>111</v>
      </c>
      <c r="L98" s="63"/>
      <c r="M98" s="63" t="s">
        <v>253</v>
      </c>
      <c r="N98" s="63" t="s">
        <v>122</v>
      </c>
      <c r="O98" s="63" t="s">
        <v>7</v>
      </c>
      <c r="P98" s="66" t="s">
        <v>254</v>
      </c>
      <c r="Q98" s="66" t="s">
        <v>255</v>
      </c>
    </row>
    <row r="99" spans="2:17" ht="18.75" hidden="1" customHeight="1">
      <c r="B99" s="63" t="str">
        <f t="shared" si="2"/>
        <v>No96</v>
      </c>
      <c r="C99" s="63" t="str">
        <f t="shared" si="3"/>
        <v>202505</v>
      </c>
      <c r="D99" s="63" t="s">
        <v>142</v>
      </c>
      <c r="E99" s="63" t="s">
        <v>155</v>
      </c>
      <c r="F99" s="64">
        <v>45796.458333333343</v>
      </c>
      <c r="G99" s="64">
        <v>45796.465277777781</v>
      </c>
      <c r="H99" s="63">
        <f>IF(F99="", "", NETWORKDAYS.INTL(F99, G99, 11,祝日シート!A:A))</f>
        <v>1</v>
      </c>
      <c r="I99" s="65">
        <v>6.9444444444444441E-3</v>
      </c>
      <c r="J99" s="63" t="s">
        <v>119</v>
      </c>
      <c r="K99" s="63" t="s">
        <v>77</v>
      </c>
      <c r="L99" s="63"/>
      <c r="M99" s="63" t="s">
        <v>211</v>
      </c>
      <c r="N99" s="63" t="s">
        <v>122</v>
      </c>
      <c r="O99" s="63" t="s">
        <v>7</v>
      </c>
      <c r="P99" s="66" t="s">
        <v>212</v>
      </c>
      <c r="Q99" s="66" t="s">
        <v>158</v>
      </c>
    </row>
    <row r="100" spans="2:17" ht="23.25" hidden="1" customHeight="1">
      <c r="B100" s="63" t="str">
        <f t="shared" si="2"/>
        <v>No97</v>
      </c>
      <c r="C100" s="63" t="str">
        <f t="shared" si="3"/>
        <v>202505</v>
      </c>
      <c r="D100" s="63" t="s">
        <v>104</v>
      </c>
      <c r="E100" s="63" t="s">
        <v>256</v>
      </c>
      <c r="F100" s="64">
        <v>45796.604166666657</v>
      </c>
      <c r="G100" s="64">
        <v>45796.645833333343</v>
      </c>
      <c r="H100" s="63">
        <f>IF(F100="", "", NETWORKDAYS.INTL(F100, G100, 11,祝日シート!A:A))</f>
        <v>1</v>
      </c>
      <c r="I100" s="65">
        <v>4.1666666666666657E-2</v>
      </c>
      <c r="J100" s="63" t="s">
        <v>45</v>
      </c>
      <c r="K100" s="63" t="s">
        <v>111</v>
      </c>
      <c r="L100" s="63"/>
      <c r="M100" s="63" t="s">
        <v>257</v>
      </c>
      <c r="N100" s="63" t="s">
        <v>122</v>
      </c>
      <c r="O100" s="63" t="s">
        <v>7</v>
      </c>
      <c r="P100" s="66" t="s">
        <v>258</v>
      </c>
      <c r="Q100" s="66" t="s">
        <v>259</v>
      </c>
    </row>
    <row r="101" spans="2:17" ht="23.25" hidden="1" customHeight="1">
      <c r="B101" s="63" t="str">
        <f t="shared" si="2"/>
        <v>No98</v>
      </c>
      <c r="C101" s="63" t="str">
        <f t="shared" si="3"/>
        <v>202505</v>
      </c>
      <c r="D101" s="63" t="s">
        <v>186</v>
      </c>
      <c r="E101" s="63" t="s">
        <v>116</v>
      </c>
      <c r="F101" s="64">
        <v>45796.670138888891</v>
      </c>
      <c r="G101" s="68">
        <v>45796.673611111109</v>
      </c>
      <c r="H101" s="63">
        <f>IF(F101="", "", NETWORKDAYS.INTL(F101, G101, 11,祝日シート!A:A))</f>
        <v>1</v>
      </c>
      <c r="I101" s="65">
        <v>6.9444444444444441E-3</v>
      </c>
      <c r="J101" s="63" t="s">
        <v>20</v>
      </c>
      <c r="K101" s="63" t="s">
        <v>41</v>
      </c>
      <c r="L101" s="63"/>
      <c r="M101" s="63" t="s">
        <v>260</v>
      </c>
      <c r="N101" s="63" t="s">
        <v>6</v>
      </c>
      <c r="O101" s="63" t="s">
        <v>7</v>
      </c>
      <c r="P101" s="66" t="s">
        <v>261</v>
      </c>
      <c r="Q101" s="66" t="s">
        <v>262</v>
      </c>
    </row>
    <row r="102" spans="2:17" ht="18.75" hidden="1" customHeight="1">
      <c r="B102" s="63" t="str">
        <f t="shared" si="2"/>
        <v>No99</v>
      </c>
      <c r="C102" s="63" t="str">
        <f t="shared" si="3"/>
        <v>202505</v>
      </c>
      <c r="D102" s="63" t="s">
        <v>142</v>
      </c>
      <c r="E102" s="63" t="s">
        <v>155</v>
      </c>
      <c r="F102" s="64">
        <v>45798.395833333343</v>
      </c>
      <c r="G102" s="64">
        <v>45798.416666666657</v>
      </c>
      <c r="H102" s="63">
        <f>IF(F102="", "", NETWORKDAYS.INTL(F102, G102, 11,祝日シート!A:A))</f>
        <v>1</v>
      </c>
      <c r="I102" s="65">
        <v>6.9444444444444441E-3</v>
      </c>
      <c r="J102" s="63" t="s">
        <v>119</v>
      </c>
      <c r="K102" s="63" t="s">
        <v>159</v>
      </c>
      <c r="L102" s="63"/>
      <c r="M102" s="63" t="s">
        <v>160</v>
      </c>
      <c r="N102" s="63" t="s">
        <v>122</v>
      </c>
      <c r="O102" s="63" t="s">
        <v>7</v>
      </c>
      <c r="P102" s="66" t="s">
        <v>179</v>
      </c>
      <c r="Q102" s="66" t="s">
        <v>158</v>
      </c>
    </row>
    <row r="103" spans="2:17" ht="18.75" hidden="1" customHeight="1">
      <c r="B103" s="63" t="str">
        <f t="shared" si="2"/>
        <v>No100</v>
      </c>
      <c r="C103" s="63" t="str">
        <f t="shared" si="3"/>
        <v>202505</v>
      </c>
      <c r="D103" s="63" t="s">
        <v>142</v>
      </c>
      <c r="E103" s="63" t="s">
        <v>155</v>
      </c>
      <c r="F103" s="64">
        <v>45798.40625</v>
      </c>
      <c r="G103" s="64">
        <v>45798.479166666657</v>
      </c>
      <c r="H103" s="63">
        <f>IF(F103="", "", NETWORKDAYS.INTL(F103, G103, 11,祝日シート!A:A))</f>
        <v>1</v>
      </c>
      <c r="I103" s="65">
        <v>6.9444444444444441E-3</v>
      </c>
      <c r="J103" s="63" t="s">
        <v>119</v>
      </c>
      <c r="K103" s="63" t="s">
        <v>77</v>
      </c>
      <c r="L103" s="63"/>
      <c r="M103" s="63" t="s">
        <v>211</v>
      </c>
      <c r="N103" s="63" t="s">
        <v>122</v>
      </c>
      <c r="O103" s="63" t="s">
        <v>7</v>
      </c>
      <c r="P103" s="66" t="s">
        <v>212</v>
      </c>
      <c r="Q103" s="66" t="s">
        <v>158</v>
      </c>
    </row>
    <row r="104" spans="2:17" ht="18.75" customHeight="1">
      <c r="B104" s="63" t="str">
        <f t="shared" si="2"/>
        <v>No101</v>
      </c>
      <c r="C104" s="63" t="str">
        <f t="shared" si="3"/>
        <v>202505</v>
      </c>
      <c r="D104" s="63" t="s">
        <v>166</v>
      </c>
      <c r="E104" s="63" t="s">
        <v>4</v>
      </c>
      <c r="F104" s="64">
        <v>45798.416666666657</v>
      </c>
      <c r="G104" s="64">
        <v>45798.430555555547</v>
      </c>
      <c r="H104" s="63">
        <f>IF(F104="", "", NETWORKDAYS.INTL(F104, G104, 11,祝日シート!A:A))</f>
        <v>1</v>
      </c>
      <c r="I104" s="65">
        <v>1.388888888888889E-2</v>
      </c>
      <c r="J104" s="63" t="s">
        <v>40</v>
      </c>
      <c r="K104" s="63" t="s">
        <v>121</v>
      </c>
      <c r="L104" s="63"/>
      <c r="M104" s="63" t="s">
        <v>121</v>
      </c>
      <c r="N104" s="63" t="s">
        <v>6</v>
      </c>
      <c r="O104" s="63" t="s">
        <v>7</v>
      </c>
      <c r="P104" s="66" t="s">
        <v>263</v>
      </c>
      <c r="Q104" s="66" t="s">
        <v>158</v>
      </c>
    </row>
    <row r="105" spans="2:17" ht="27.75" hidden="1" customHeight="1">
      <c r="B105" s="63" t="str">
        <f t="shared" si="2"/>
        <v>No102</v>
      </c>
      <c r="C105" s="63" t="str">
        <f t="shared" si="3"/>
        <v>202505</v>
      </c>
      <c r="D105" s="63" t="s">
        <v>142</v>
      </c>
      <c r="E105" s="63" t="s">
        <v>155</v>
      </c>
      <c r="F105" s="64">
        <v>45798.458333333343</v>
      </c>
      <c r="G105" s="64">
        <v>45791.461805555547</v>
      </c>
      <c r="H105" s="63">
        <f>IF(F105="", "", NETWORKDAYS.INTL(F105, G105, 11,祝日シート!A:A))</f>
        <v>-7</v>
      </c>
      <c r="I105" s="65">
        <v>3.472222222222222E-3</v>
      </c>
      <c r="J105" s="63" t="s">
        <v>119</v>
      </c>
      <c r="K105" s="63" t="s">
        <v>159</v>
      </c>
      <c r="L105" s="63"/>
      <c r="M105" s="63" t="s">
        <v>187</v>
      </c>
      <c r="N105" s="63" t="s">
        <v>122</v>
      </c>
      <c r="O105" s="63" t="s">
        <v>7</v>
      </c>
      <c r="P105" s="66" t="s">
        <v>208</v>
      </c>
      <c r="Q105" s="66" t="s">
        <v>158</v>
      </c>
    </row>
    <row r="106" spans="2:17" ht="18.75" customHeight="1">
      <c r="B106" s="63" t="str">
        <f t="shared" si="2"/>
        <v>No103</v>
      </c>
      <c r="C106" s="63" t="str">
        <f t="shared" si="3"/>
        <v>202505</v>
      </c>
      <c r="D106" s="63" t="s">
        <v>166</v>
      </c>
      <c r="E106" s="63" t="s">
        <v>4</v>
      </c>
      <c r="F106" s="64">
        <v>45798.729166666657</v>
      </c>
      <c r="G106" s="68">
        <v>45798.770833333343</v>
      </c>
      <c r="H106" s="63">
        <f>IF(F106="", "", NETWORKDAYS.INTL(F106, G106, 11,祝日シート!A:A))</f>
        <v>1</v>
      </c>
      <c r="I106" s="65">
        <v>6.25E-2</v>
      </c>
      <c r="J106" s="63" t="s">
        <v>119</v>
      </c>
      <c r="K106" s="63" t="s">
        <v>26</v>
      </c>
      <c r="L106" s="63"/>
      <c r="M106" s="63" t="s">
        <v>121</v>
      </c>
      <c r="N106" s="63" t="s">
        <v>117</v>
      </c>
      <c r="O106" s="63" t="s">
        <v>7</v>
      </c>
      <c r="P106" s="66" t="s">
        <v>264</v>
      </c>
      <c r="Q106" s="66" t="s">
        <v>265</v>
      </c>
    </row>
    <row r="107" spans="2:17" ht="18.75" hidden="1" customHeight="1">
      <c r="B107" s="63" t="str">
        <f t="shared" si="2"/>
        <v>No104</v>
      </c>
      <c r="C107" s="63" t="str">
        <f t="shared" si="3"/>
        <v>202505</v>
      </c>
      <c r="D107" s="63" t="s">
        <v>142</v>
      </c>
      <c r="E107" s="63" t="s">
        <v>155</v>
      </c>
      <c r="F107" s="64">
        <v>45799.434027777781</v>
      </c>
      <c r="G107" s="64">
        <v>45799.444444444453</v>
      </c>
      <c r="H107" s="63">
        <f>IF(F107="", "", NETWORKDAYS.INTL(F107, G107, 11,祝日シート!A:A))</f>
        <v>1</v>
      </c>
      <c r="I107" s="65">
        <v>1.041666666666667E-2</v>
      </c>
      <c r="J107" s="63" t="s">
        <v>119</v>
      </c>
      <c r="K107" s="63" t="s">
        <v>111</v>
      </c>
      <c r="L107" s="63"/>
      <c r="M107" s="63" t="s">
        <v>201</v>
      </c>
      <c r="N107" s="63" t="s">
        <v>122</v>
      </c>
      <c r="O107" s="63" t="s">
        <v>7</v>
      </c>
      <c r="P107" s="66" t="s">
        <v>246</v>
      </c>
      <c r="Q107" s="66" t="s">
        <v>158</v>
      </c>
    </row>
    <row r="108" spans="2:17" ht="18.75" hidden="1" customHeight="1">
      <c r="B108" s="63" t="str">
        <f t="shared" si="2"/>
        <v>No105</v>
      </c>
      <c r="C108" s="63" t="str">
        <f t="shared" si="3"/>
        <v>202505</v>
      </c>
      <c r="D108" s="63" t="s">
        <v>142</v>
      </c>
      <c r="E108" s="63" t="s">
        <v>155</v>
      </c>
      <c r="F108" s="64">
        <v>45799.444444444453</v>
      </c>
      <c r="G108" s="64">
        <v>45799.447916666657</v>
      </c>
      <c r="H108" s="63">
        <f>IF(F108="", "", NETWORKDAYS.INTL(F108, G108, 11,祝日シート!A:A))</f>
        <v>1</v>
      </c>
      <c r="I108" s="65">
        <v>3.472222222222222E-3</v>
      </c>
      <c r="J108" s="63" t="s">
        <v>119</v>
      </c>
      <c r="K108" s="63" t="s">
        <v>159</v>
      </c>
      <c r="L108" s="63"/>
      <c r="M108" s="63" t="s">
        <v>160</v>
      </c>
      <c r="N108" s="63" t="s">
        <v>122</v>
      </c>
      <c r="O108" s="63" t="s">
        <v>7</v>
      </c>
      <c r="P108" s="66" t="s">
        <v>179</v>
      </c>
      <c r="Q108" s="66" t="s">
        <v>158</v>
      </c>
    </row>
    <row r="109" spans="2:17" ht="18.75" hidden="1" customHeight="1">
      <c r="B109" s="63" t="str">
        <f t="shared" si="2"/>
        <v>No106</v>
      </c>
      <c r="C109" s="63" t="str">
        <f t="shared" si="3"/>
        <v>202505</v>
      </c>
      <c r="D109" s="63" t="s">
        <v>142</v>
      </c>
      <c r="E109" s="63" t="s">
        <v>155</v>
      </c>
      <c r="F109" s="64">
        <v>45800.46875</v>
      </c>
      <c r="G109" s="64">
        <v>45800.583333333343</v>
      </c>
      <c r="H109" s="63">
        <f>IF(F109="", "", NETWORKDAYS.INTL(F109, G109, 11,祝日シート!A:A))</f>
        <v>1</v>
      </c>
      <c r="I109" s="65">
        <v>2.0833333333333329E-2</v>
      </c>
      <c r="J109" s="63" t="s">
        <v>20</v>
      </c>
      <c r="K109" s="63" t="s">
        <v>111</v>
      </c>
      <c r="L109" s="63"/>
      <c r="M109" s="63" t="s">
        <v>173</v>
      </c>
      <c r="N109" s="63" t="s">
        <v>122</v>
      </c>
      <c r="O109" s="63" t="s">
        <v>7</v>
      </c>
      <c r="P109" s="66" t="s">
        <v>266</v>
      </c>
      <c r="Q109" s="66" t="s">
        <v>267</v>
      </c>
    </row>
    <row r="110" spans="2:17" ht="18.75" hidden="1" customHeight="1">
      <c r="B110" s="63" t="str">
        <f t="shared" si="2"/>
        <v>No107</v>
      </c>
      <c r="C110" s="63" t="str">
        <f t="shared" si="3"/>
        <v>202505</v>
      </c>
      <c r="D110" s="63" t="s">
        <v>142</v>
      </c>
      <c r="E110" s="63" t="s">
        <v>155</v>
      </c>
      <c r="F110" s="64">
        <v>45800.479166666657</v>
      </c>
      <c r="G110" s="64">
        <v>45800.482638888891</v>
      </c>
      <c r="H110" s="63">
        <f>IF(F110="", "", NETWORKDAYS.INTL(F110, G110, 11,祝日シート!A:A))</f>
        <v>1</v>
      </c>
      <c r="I110" s="65">
        <v>3.472222222222222E-3</v>
      </c>
      <c r="J110" s="63" t="s">
        <v>119</v>
      </c>
      <c r="K110" s="63" t="s">
        <v>159</v>
      </c>
      <c r="L110" s="63"/>
      <c r="M110" s="63" t="s">
        <v>160</v>
      </c>
      <c r="N110" s="63" t="s">
        <v>122</v>
      </c>
      <c r="O110" s="63" t="s">
        <v>7</v>
      </c>
      <c r="P110" s="66" t="s">
        <v>179</v>
      </c>
      <c r="Q110" s="66" t="s">
        <v>158</v>
      </c>
    </row>
    <row r="111" spans="2:17" ht="18.75" hidden="1" customHeight="1">
      <c r="B111" s="63" t="str">
        <f t="shared" si="2"/>
        <v>No108</v>
      </c>
      <c r="C111" s="63" t="str">
        <f t="shared" si="3"/>
        <v>202505</v>
      </c>
      <c r="D111" s="63" t="s">
        <v>142</v>
      </c>
      <c r="E111" s="63" t="s">
        <v>155</v>
      </c>
      <c r="F111" s="64">
        <v>45800.645833333343</v>
      </c>
      <c r="G111" s="64">
        <v>45800.659722222219</v>
      </c>
      <c r="H111" s="63">
        <f>IF(F111="", "", NETWORKDAYS.INTL(F111, G111, 11,祝日シート!A:A))</f>
        <v>1</v>
      </c>
      <c r="I111" s="65">
        <v>6.9444444444444441E-3</v>
      </c>
      <c r="J111" s="63" t="s">
        <v>119</v>
      </c>
      <c r="K111" s="63" t="s">
        <v>159</v>
      </c>
      <c r="L111" s="63"/>
      <c r="M111" s="63" t="s">
        <v>160</v>
      </c>
      <c r="N111" s="63" t="s">
        <v>117</v>
      </c>
      <c r="O111" s="63" t="s">
        <v>7</v>
      </c>
      <c r="P111" s="66" t="s">
        <v>268</v>
      </c>
      <c r="Q111" s="66" t="s">
        <v>158</v>
      </c>
    </row>
    <row r="112" spans="2:17" ht="18.75" hidden="1" customHeight="1">
      <c r="B112" s="63" t="str">
        <f t="shared" si="2"/>
        <v>No109</v>
      </c>
      <c r="C112" s="63" t="str">
        <f t="shared" si="3"/>
        <v>202505</v>
      </c>
      <c r="D112" s="63" t="s">
        <v>142</v>
      </c>
      <c r="E112" s="63" t="s">
        <v>155</v>
      </c>
      <c r="F112" s="64">
        <v>45804.375</v>
      </c>
      <c r="G112" s="64">
        <v>45805.416666666657</v>
      </c>
      <c r="H112" s="63">
        <f>IF(F112="", "", NETWORKDAYS.INTL(F112, G112, 11,祝日シート!A:A))</f>
        <v>2</v>
      </c>
      <c r="I112" s="65">
        <v>6.25E-2</v>
      </c>
      <c r="J112" s="63" t="s">
        <v>143</v>
      </c>
      <c r="K112" s="63" t="s">
        <v>35</v>
      </c>
      <c r="L112" s="63"/>
      <c r="M112" s="63" t="s">
        <v>269</v>
      </c>
      <c r="N112" s="63" t="s">
        <v>6</v>
      </c>
      <c r="O112" s="63" t="s">
        <v>7</v>
      </c>
      <c r="P112" s="66" t="s">
        <v>270</v>
      </c>
      <c r="Q112" s="66" t="s">
        <v>271</v>
      </c>
    </row>
    <row r="113" spans="2:17" ht="18.75" hidden="1" customHeight="1">
      <c r="B113" s="63" t="str">
        <f t="shared" si="2"/>
        <v>No110</v>
      </c>
      <c r="C113" s="63" t="str">
        <f t="shared" si="3"/>
        <v>202505</v>
      </c>
      <c r="D113" s="63" t="s">
        <v>142</v>
      </c>
      <c r="E113" s="63" t="s">
        <v>155</v>
      </c>
      <c r="F113" s="64">
        <v>45804.395833333343</v>
      </c>
      <c r="G113" s="64">
        <v>45804.399305555547</v>
      </c>
      <c r="H113" s="63">
        <f>IF(F113="", "", NETWORKDAYS.INTL(F113, G113, 11,祝日シート!A:A))</f>
        <v>1</v>
      </c>
      <c r="I113" s="65">
        <v>3.472222222222222E-3</v>
      </c>
      <c r="J113" s="63" t="s">
        <v>119</v>
      </c>
      <c r="K113" s="63" t="s">
        <v>111</v>
      </c>
      <c r="L113" s="63"/>
      <c r="M113" s="63" t="s">
        <v>272</v>
      </c>
      <c r="N113" s="63" t="s">
        <v>122</v>
      </c>
      <c r="O113" s="63" t="s">
        <v>7</v>
      </c>
      <c r="P113" s="66" t="s">
        <v>208</v>
      </c>
      <c r="Q113" s="66" t="s">
        <v>158</v>
      </c>
    </row>
    <row r="114" spans="2:17" ht="18.75" hidden="1" customHeight="1">
      <c r="B114" s="63" t="str">
        <f t="shared" si="2"/>
        <v>No111</v>
      </c>
      <c r="C114" s="63" t="str">
        <f t="shared" si="3"/>
        <v>202505</v>
      </c>
      <c r="D114" s="63" t="s">
        <v>166</v>
      </c>
      <c r="E114" s="63" t="s">
        <v>155</v>
      </c>
      <c r="F114" s="64">
        <v>45804.40625</v>
      </c>
      <c r="G114" s="64">
        <v>45804.413194444453</v>
      </c>
      <c r="H114" s="63">
        <f>IF(F114="", "", NETWORKDAYS.INTL(F114, G114, 11,祝日シート!A:A))</f>
        <v>1</v>
      </c>
      <c r="I114" s="65">
        <v>6.9444444444444441E-3</v>
      </c>
      <c r="J114" s="63" t="s">
        <v>95</v>
      </c>
      <c r="K114" s="63" t="s">
        <v>159</v>
      </c>
      <c r="L114" s="63"/>
      <c r="M114" s="63" t="s">
        <v>187</v>
      </c>
      <c r="N114" s="63" t="s">
        <v>122</v>
      </c>
      <c r="O114" s="63" t="s">
        <v>7</v>
      </c>
      <c r="P114" s="66" t="s">
        <v>273</v>
      </c>
      <c r="Q114" s="66" t="s">
        <v>274</v>
      </c>
    </row>
    <row r="115" spans="2:17" ht="39" hidden="1" customHeight="1">
      <c r="B115" s="63" t="str">
        <f t="shared" si="2"/>
        <v>No112</v>
      </c>
      <c r="C115" s="63" t="str">
        <f t="shared" si="3"/>
        <v>202505</v>
      </c>
      <c r="D115" s="63" t="s">
        <v>104</v>
      </c>
      <c r="E115" s="63" t="s">
        <v>155</v>
      </c>
      <c r="F115" s="64">
        <v>45804.416666666657</v>
      </c>
      <c r="G115" s="64">
        <v>45804.583333333343</v>
      </c>
      <c r="H115" s="63">
        <f>IF(F115="", "", NETWORKDAYS.INTL(F115, G115, 11,祝日シート!A:A))</f>
        <v>1</v>
      </c>
      <c r="I115" s="65">
        <v>1.041666666666667E-2</v>
      </c>
      <c r="J115" s="63" t="s">
        <v>45</v>
      </c>
      <c r="K115" s="63" t="s">
        <v>111</v>
      </c>
      <c r="L115" s="63"/>
      <c r="M115" s="63" t="s">
        <v>112</v>
      </c>
      <c r="N115" s="63" t="s">
        <v>117</v>
      </c>
      <c r="O115" s="63" t="s">
        <v>7</v>
      </c>
      <c r="P115" s="66" t="s">
        <v>275</v>
      </c>
      <c r="Q115" s="66" t="s">
        <v>276</v>
      </c>
    </row>
    <row r="116" spans="2:17" ht="18.75" hidden="1" customHeight="1">
      <c r="B116" s="63" t="str">
        <f t="shared" si="2"/>
        <v>No113</v>
      </c>
      <c r="C116" s="63" t="str">
        <f t="shared" si="3"/>
        <v>202505</v>
      </c>
      <c r="D116" s="63" t="s">
        <v>142</v>
      </c>
      <c r="E116" s="63" t="s">
        <v>155</v>
      </c>
      <c r="F116" s="64">
        <v>45804.427083333343</v>
      </c>
      <c r="G116" s="64">
        <v>45804.430555555547</v>
      </c>
      <c r="H116" s="63">
        <f>IF(F116="", "", NETWORKDAYS.INTL(F116, G116, 11,祝日シート!A:A))</f>
        <v>1</v>
      </c>
      <c r="I116" s="65">
        <v>3.472222222222222E-3</v>
      </c>
      <c r="J116" s="63" t="s">
        <v>20</v>
      </c>
      <c r="K116" s="63" t="s">
        <v>41</v>
      </c>
      <c r="L116" s="63"/>
      <c r="M116" s="63" t="s">
        <v>277</v>
      </c>
      <c r="N116" s="63" t="s">
        <v>6</v>
      </c>
      <c r="O116" s="63" t="s">
        <v>7</v>
      </c>
      <c r="P116" s="66" t="s">
        <v>278</v>
      </c>
      <c r="Q116" s="66" t="s">
        <v>279</v>
      </c>
    </row>
    <row r="117" spans="2:17" ht="35.25" hidden="1" customHeight="1">
      <c r="B117" s="63" t="str">
        <f t="shared" si="2"/>
        <v>No114</v>
      </c>
      <c r="C117" s="63" t="str">
        <f t="shared" si="3"/>
        <v>202505</v>
      </c>
      <c r="D117" s="63" t="s">
        <v>166</v>
      </c>
      <c r="E117" s="63" t="s">
        <v>155</v>
      </c>
      <c r="F117" s="64">
        <v>45804.4375</v>
      </c>
      <c r="G117" s="64">
        <v>45804.666666666657</v>
      </c>
      <c r="H117" s="63">
        <f>IF(F117="", "", NETWORKDAYS.INTL(F117, G117, 11,祝日シート!A:A))</f>
        <v>1</v>
      </c>
      <c r="I117" s="65">
        <v>2.0833333333333329E-2</v>
      </c>
      <c r="J117" s="63" t="s">
        <v>20</v>
      </c>
      <c r="K117" s="63" t="s">
        <v>35</v>
      </c>
      <c r="L117" s="63"/>
      <c r="M117" s="63" t="s">
        <v>280</v>
      </c>
      <c r="N117" s="63" t="s">
        <v>122</v>
      </c>
      <c r="O117" s="63" t="s">
        <v>7</v>
      </c>
      <c r="P117" s="66" t="s">
        <v>281</v>
      </c>
      <c r="Q117" s="66" t="s">
        <v>282</v>
      </c>
    </row>
    <row r="118" spans="2:17" ht="35.25" hidden="1" customHeight="1">
      <c r="B118" s="63" t="str">
        <f t="shared" si="2"/>
        <v>No115</v>
      </c>
      <c r="C118" s="63" t="str">
        <f t="shared" si="3"/>
        <v>202505</v>
      </c>
      <c r="D118" s="63" t="s">
        <v>186</v>
      </c>
      <c r="E118" s="63" t="s">
        <v>155</v>
      </c>
      <c r="F118" s="64">
        <v>45804.479166666657</v>
      </c>
      <c r="G118" s="64">
        <v>45804.541666666657</v>
      </c>
      <c r="H118" s="63">
        <f>IF(F118="", "", NETWORKDAYS.INTL(F118, G118, 11,祝日シート!A:A))</f>
        <v>1</v>
      </c>
      <c r="I118" s="65">
        <v>6.9444444444444441E-3</v>
      </c>
      <c r="J118" s="63" t="s">
        <v>283</v>
      </c>
      <c r="K118" s="63" t="s">
        <v>111</v>
      </c>
      <c r="L118" s="63"/>
      <c r="M118" s="63" t="s">
        <v>173</v>
      </c>
      <c r="N118" s="63" t="s">
        <v>122</v>
      </c>
      <c r="O118" s="63" t="s">
        <v>7</v>
      </c>
      <c r="P118" s="66" t="s">
        <v>284</v>
      </c>
      <c r="Q118" s="66" t="s">
        <v>285</v>
      </c>
    </row>
    <row r="119" spans="2:17" ht="18.75" hidden="1" customHeight="1">
      <c r="B119" s="63" t="str">
        <f t="shared" si="2"/>
        <v>No116</v>
      </c>
      <c r="C119" s="63" t="str">
        <f t="shared" si="3"/>
        <v>202505</v>
      </c>
      <c r="D119" s="63" t="s">
        <v>166</v>
      </c>
      <c r="E119" s="63" t="s">
        <v>155</v>
      </c>
      <c r="F119" s="64">
        <v>45804.496527777781</v>
      </c>
      <c r="G119" s="64">
        <v>45804.708333333343</v>
      </c>
      <c r="H119" s="63">
        <f>IF(F119="", "", NETWORKDAYS.INTL(F119, G119, 11,祝日シート!A:A))</f>
        <v>1</v>
      </c>
      <c r="I119" s="65">
        <v>8.3333333333333329E-2</v>
      </c>
      <c r="J119" s="63" t="s">
        <v>45</v>
      </c>
      <c r="K119" s="63" t="s">
        <v>77</v>
      </c>
      <c r="L119" s="63"/>
      <c r="M119" s="63" t="s">
        <v>140</v>
      </c>
      <c r="N119" s="63" t="s">
        <v>122</v>
      </c>
      <c r="O119" s="63" t="s">
        <v>7</v>
      </c>
      <c r="P119" s="66" t="s">
        <v>286</v>
      </c>
      <c r="Q119" s="66" t="s">
        <v>287</v>
      </c>
    </row>
    <row r="120" spans="2:17" ht="18.75" hidden="1" customHeight="1">
      <c r="B120" s="63" t="str">
        <f t="shared" si="2"/>
        <v>No117</v>
      </c>
      <c r="C120" s="63" t="str">
        <f t="shared" si="3"/>
        <v>202505</v>
      </c>
      <c r="D120" s="63" t="s">
        <v>142</v>
      </c>
      <c r="E120" s="63" t="s">
        <v>155</v>
      </c>
      <c r="F120" s="64">
        <v>45804.5625</v>
      </c>
      <c r="G120" s="64">
        <v>45804.614583333343</v>
      </c>
      <c r="H120" s="63">
        <f>IF(F120="", "", NETWORKDAYS.INTL(F120, G120, 11,祝日シート!A:A))</f>
        <v>1</v>
      </c>
      <c r="I120" s="65">
        <v>3.472222222222222E-3</v>
      </c>
      <c r="J120" s="63" t="s">
        <v>95</v>
      </c>
      <c r="K120" s="63" t="s">
        <v>159</v>
      </c>
      <c r="L120" s="63"/>
      <c r="M120" s="63" t="s">
        <v>288</v>
      </c>
      <c r="N120" s="63" t="s">
        <v>122</v>
      </c>
      <c r="O120" s="63" t="s">
        <v>7</v>
      </c>
      <c r="P120" s="66" t="s">
        <v>179</v>
      </c>
      <c r="Q120" s="66" t="s">
        <v>158</v>
      </c>
    </row>
    <row r="121" spans="2:17" ht="18.75" hidden="1" customHeight="1">
      <c r="B121" s="63" t="str">
        <f t="shared" si="2"/>
        <v>No118</v>
      </c>
      <c r="C121" s="63" t="str">
        <f t="shared" si="3"/>
        <v>202505</v>
      </c>
      <c r="D121" s="63" t="s">
        <v>142</v>
      </c>
      <c r="E121" s="63" t="s">
        <v>155</v>
      </c>
      <c r="F121" s="64">
        <v>45804.645833333343</v>
      </c>
      <c r="G121" s="64">
        <v>45806.5</v>
      </c>
      <c r="H121" s="63">
        <f>IF(F121="", "", NETWORKDAYS.INTL(F121, G121, 11,祝日シート!A:A))</f>
        <v>3</v>
      </c>
      <c r="I121" s="65">
        <v>4.1666666666666657E-2</v>
      </c>
      <c r="J121" s="63" t="s">
        <v>20</v>
      </c>
      <c r="K121" s="63" t="s">
        <v>77</v>
      </c>
      <c r="L121" s="63"/>
      <c r="M121" s="63" t="s">
        <v>289</v>
      </c>
      <c r="N121" s="63" t="s">
        <v>6</v>
      </c>
      <c r="O121" s="63" t="s">
        <v>7</v>
      </c>
      <c r="P121" s="66" t="s">
        <v>290</v>
      </c>
      <c r="Q121" s="66" t="s">
        <v>291</v>
      </c>
    </row>
    <row r="122" spans="2:17" ht="36.75" hidden="1" customHeight="1">
      <c r="B122" s="63" t="str">
        <f t="shared" si="2"/>
        <v>No119</v>
      </c>
      <c r="C122" s="63" t="str">
        <f t="shared" si="3"/>
        <v>202505</v>
      </c>
      <c r="D122" s="63" t="s">
        <v>104</v>
      </c>
      <c r="E122" s="63" t="s">
        <v>155</v>
      </c>
      <c r="F122" s="64">
        <v>45805.364583333343</v>
      </c>
      <c r="G122" s="64">
        <v>45805.371527777781</v>
      </c>
      <c r="H122" s="63">
        <f>IF(F122="", "", NETWORKDAYS.INTL(F122, G122, 11,祝日シート!A:A))</f>
        <v>1</v>
      </c>
      <c r="I122" s="65">
        <v>6.9444444444444441E-3</v>
      </c>
      <c r="J122" s="63" t="s">
        <v>20</v>
      </c>
      <c r="K122" s="63" t="s">
        <v>41</v>
      </c>
      <c r="L122" s="63"/>
      <c r="M122" s="63" t="s">
        <v>292</v>
      </c>
      <c r="N122" s="63" t="s">
        <v>6</v>
      </c>
      <c r="O122" s="63" t="s">
        <v>7</v>
      </c>
      <c r="P122" s="66" t="s">
        <v>161</v>
      </c>
      <c r="Q122" s="66" t="s">
        <v>162</v>
      </c>
    </row>
    <row r="123" spans="2:17" ht="18.75" hidden="1" customHeight="1">
      <c r="B123" s="63" t="str">
        <f t="shared" si="2"/>
        <v>No120</v>
      </c>
      <c r="C123" s="63" t="str">
        <f t="shared" si="3"/>
        <v>202505</v>
      </c>
      <c r="D123" s="63" t="s">
        <v>186</v>
      </c>
      <c r="E123" s="63" t="s">
        <v>155</v>
      </c>
      <c r="F123" s="64">
        <v>45805.4375</v>
      </c>
      <c r="G123" s="64">
        <v>45805.458333333343</v>
      </c>
      <c r="H123" s="63">
        <f>IF(F123="", "", NETWORKDAYS.INTL(F123, G123, 11,祝日シート!A:A))</f>
        <v>1</v>
      </c>
      <c r="I123" s="65">
        <v>1.041666666666667E-2</v>
      </c>
      <c r="J123" s="63" t="s">
        <v>45</v>
      </c>
      <c r="K123" s="63" t="s">
        <v>159</v>
      </c>
      <c r="L123" s="63"/>
      <c r="M123" s="63" t="s">
        <v>187</v>
      </c>
      <c r="N123" s="63" t="s">
        <v>6</v>
      </c>
      <c r="O123" s="63" t="s">
        <v>7</v>
      </c>
      <c r="P123" s="66" t="s">
        <v>293</v>
      </c>
      <c r="Q123" s="66" t="s">
        <v>294</v>
      </c>
    </row>
    <row r="124" spans="2:17" ht="18.75" hidden="1" customHeight="1">
      <c r="B124" s="63" t="str">
        <f t="shared" si="2"/>
        <v>No121</v>
      </c>
      <c r="C124" s="63" t="str">
        <f t="shared" si="3"/>
        <v>202505</v>
      </c>
      <c r="D124" s="63" t="s">
        <v>142</v>
      </c>
      <c r="E124" s="63" t="s">
        <v>155</v>
      </c>
      <c r="F124" s="64">
        <v>45805.46875</v>
      </c>
      <c r="G124" s="64">
        <v>45805.479166666657</v>
      </c>
      <c r="H124" s="63">
        <f>IF(F124="", "", NETWORKDAYS.INTL(F124, G124, 11,祝日シート!A:A))</f>
        <v>1</v>
      </c>
      <c r="I124" s="65">
        <v>6.9444444444444441E-3</v>
      </c>
      <c r="J124" s="63" t="s">
        <v>119</v>
      </c>
      <c r="K124" s="63" t="s">
        <v>159</v>
      </c>
      <c r="L124" s="63"/>
      <c r="M124" s="63" t="s">
        <v>160</v>
      </c>
      <c r="N124" s="63" t="s">
        <v>122</v>
      </c>
      <c r="O124" s="63" t="s">
        <v>7</v>
      </c>
      <c r="P124" s="66" t="s">
        <v>179</v>
      </c>
      <c r="Q124" s="66" t="s">
        <v>158</v>
      </c>
    </row>
    <row r="125" spans="2:17" ht="18.75" customHeight="1">
      <c r="B125" s="63" t="str">
        <f t="shared" si="2"/>
        <v>No122</v>
      </c>
      <c r="C125" s="63" t="str">
        <f t="shared" si="3"/>
        <v>202505</v>
      </c>
      <c r="D125" s="63" t="s">
        <v>142</v>
      </c>
      <c r="E125" s="63" t="s">
        <v>4</v>
      </c>
      <c r="F125" s="64">
        <v>45806.375</v>
      </c>
      <c r="G125" s="64">
        <v>45806.388888888891</v>
      </c>
      <c r="H125" s="63">
        <f>IF(F125="", "", NETWORKDAYS.INTL(F125, G125, 11,祝日シート!A:A))</f>
        <v>1</v>
      </c>
      <c r="I125" s="65">
        <v>1.388888888888889E-2</v>
      </c>
      <c r="J125" s="63" t="s">
        <v>20</v>
      </c>
      <c r="K125" s="63" t="s">
        <v>35</v>
      </c>
      <c r="L125" s="63"/>
      <c r="M125" s="63" t="s">
        <v>269</v>
      </c>
      <c r="N125" s="63" t="s">
        <v>6</v>
      </c>
      <c r="O125" s="63" t="s">
        <v>7</v>
      </c>
      <c r="P125" s="66" t="s">
        <v>295</v>
      </c>
      <c r="Q125" s="66" t="s">
        <v>296</v>
      </c>
    </row>
    <row r="126" spans="2:17" ht="25.5" customHeight="1">
      <c r="B126" s="63" t="str">
        <f t="shared" si="2"/>
        <v>No123</v>
      </c>
      <c r="C126" s="63" t="str">
        <f t="shared" si="3"/>
        <v>202505</v>
      </c>
      <c r="D126" s="63" t="s">
        <v>142</v>
      </c>
      <c r="E126" s="63" t="s">
        <v>4</v>
      </c>
      <c r="F126" s="64">
        <v>45806.458333333343</v>
      </c>
      <c r="G126" s="64">
        <v>45806.5</v>
      </c>
      <c r="H126" s="63">
        <f>IF(F126="", "", NETWORKDAYS.INTL(F126, G126, 11,祝日シート!A:A))</f>
        <v>1</v>
      </c>
      <c r="I126" s="65">
        <v>4.1666666666666657E-2</v>
      </c>
      <c r="J126" s="63" t="s">
        <v>20</v>
      </c>
      <c r="K126" s="63" t="s">
        <v>21</v>
      </c>
      <c r="L126" s="63"/>
      <c r="M126" s="63" t="s">
        <v>297</v>
      </c>
      <c r="N126" s="63" t="s">
        <v>6</v>
      </c>
      <c r="O126" s="63" t="s">
        <v>7</v>
      </c>
      <c r="P126" s="66" t="s">
        <v>298</v>
      </c>
      <c r="Q126" s="66" t="s">
        <v>299</v>
      </c>
    </row>
    <row r="127" spans="2:17" ht="25.5" customHeight="1">
      <c r="B127" s="63" t="str">
        <f t="shared" si="2"/>
        <v>No124</v>
      </c>
      <c r="C127" s="63" t="str">
        <f t="shared" si="3"/>
        <v>202505</v>
      </c>
      <c r="D127" s="63" t="s">
        <v>142</v>
      </c>
      <c r="E127" s="63" t="s">
        <v>4</v>
      </c>
      <c r="F127" s="64">
        <v>45806.541666666657</v>
      </c>
      <c r="G127" s="64">
        <v>45806.548611111109</v>
      </c>
      <c r="H127" s="63">
        <f>IF(F127="", "", NETWORKDAYS.INTL(F127, G127, 11,祝日シート!A:A))</f>
        <v>1</v>
      </c>
      <c r="I127" s="65">
        <v>6.9444444444444441E-3</v>
      </c>
      <c r="J127" s="63" t="s">
        <v>95</v>
      </c>
      <c r="K127" s="63" t="s">
        <v>35</v>
      </c>
      <c r="L127" s="63"/>
      <c r="M127" s="63" t="s">
        <v>280</v>
      </c>
      <c r="N127" s="63" t="s">
        <v>6</v>
      </c>
      <c r="O127" s="63" t="s">
        <v>7</v>
      </c>
      <c r="P127" s="66" t="s">
        <v>300</v>
      </c>
      <c r="Q127" s="66" t="s">
        <v>301</v>
      </c>
    </row>
    <row r="128" spans="2:17" ht="18.75" hidden="1" customHeight="1">
      <c r="B128" s="63" t="str">
        <f t="shared" si="2"/>
        <v>No125</v>
      </c>
      <c r="C128" s="63" t="str">
        <f t="shared" si="3"/>
        <v>202505</v>
      </c>
      <c r="D128" s="63" t="s">
        <v>142</v>
      </c>
      <c r="E128" s="63" t="s">
        <v>155</v>
      </c>
      <c r="F128" s="64">
        <v>45806.555555555547</v>
      </c>
      <c r="G128" s="64">
        <v>45806.5625</v>
      </c>
      <c r="H128" s="63">
        <f>IF(F128="", "", NETWORKDAYS.INTL(F128, G128, 11,祝日シート!A:A))</f>
        <v>1</v>
      </c>
      <c r="I128" s="65">
        <v>6.9444444444444441E-3</v>
      </c>
      <c r="J128" s="63" t="s">
        <v>119</v>
      </c>
      <c r="K128" s="63" t="s">
        <v>111</v>
      </c>
      <c r="L128" s="63"/>
      <c r="M128" s="63" t="s">
        <v>215</v>
      </c>
      <c r="N128" s="63" t="s">
        <v>122</v>
      </c>
      <c r="O128" s="63" t="s">
        <v>7</v>
      </c>
      <c r="P128" s="66" t="s">
        <v>246</v>
      </c>
      <c r="Q128" s="66" t="s">
        <v>158</v>
      </c>
    </row>
    <row r="129" spans="2:17" ht="18.75" customHeight="1">
      <c r="B129" s="63" t="str">
        <f t="shared" si="2"/>
        <v>No126</v>
      </c>
      <c r="C129" s="63" t="str">
        <f t="shared" si="3"/>
        <v>202505</v>
      </c>
      <c r="D129" s="63" t="s">
        <v>142</v>
      </c>
      <c r="E129" s="63" t="s">
        <v>4</v>
      </c>
      <c r="F129" s="64">
        <v>45806.666666666657</v>
      </c>
      <c r="G129" s="64">
        <v>45806.680555555547</v>
      </c>
      <c r="H129" s="63">
        <f>IF(F129="", "", NETWORKDAYS.INTL(F129, G129, 11,祝日シート!A:A))</f>
        <v>1</v>
      </c>
      <c r="I129" s="65">
        <v>1.388888888888889E-2</v>
      </c>
      <c r="J129" s="63" t="s">
        <v>20</v>
      </c>
      <c r="K129" s="63" t="s">
        <v>111</v>
      </c>
      <c r="L129" s="63"/>
      <c r="M129" s="63" t="s">
        <v>112</v>
      </c>
      <c r="N129" s="63" t="s">
        <v>6</v>
      </c>
      <c r="O129" s="63" t="s">
        <v>7</v>
      </c>
      <c r="P129" s="66" t="s">
        <v>302</v>
      </c>
      <c r="Q129" s="66" t="s">
        <v>303</v>
      </c>
    </row>
    <row r="130" spans="2:17" ht="18.75" hidden="1" customHeight="1">
      <c r="B130" s="63" t="str">
        <f t="shared" si="2"/>
        <v>No127</v>
      </c>
      <c r="C130" s="63" t="str">
        <f t="shared" si="3"/>
        <v>202505</v>
      </c>
      <c r="D130" s="63" t="s">
        <v>142</v>
      </c>
      <c r="E130" s="63" t="s">
        <v>155</v>
      </c>
      <c r="F130" s="64">
        <v>45806.666666666657</v>
      </c>
      <c r="G130" s="64">
        <v>45806.680555555547</v>
      </c>
      <c r="H130" s="63">
        <f>IF(F130="", "", NETWORKDAYS.INTL(F130, G130, 11,祝日シート!A:A))</f>
        <v>1</v>
      </c>
      <c r="I130" s="65">
        <v>6.9444444444444441E-3</v>
      </c>
      <c r="J130" s="63" t="s">
        <v>119</v>
      </c>
      <c r="K130" s="63" t="s">
        <v>159</v>
      </c>
      <c r="L130" s="63"/>
      <c r="M130" s="63" t="s">
        <v>160</v>
      </c>
      <c r="N130" s="63" t="s">
        <v>122</v>
      </c>
      <c r="O130" s="63" t="s">
        <v>7</v>
      </c>
      <c r="P130" s="66" t="s">
        <v>179</v>
      </c>
      <c r="Q130" s="66" t="s">
        <v>158</v>
      </c>
    </row>
    <row r="131" spans="2:17" ht="18.75" hidden="1" customHeight="1">
      <c r="B131" s="63" t="str">
        <f t="shared" si="2"/>
        <v>No128</v>
      </c>
      <c r="C131" s="63" t="str">
        <f t="shared" si="3"/>
        <v>202505</v>
      </c>
      <c r="D131" s="63" t="s">
        <v>142</v>
      </c>
      <c r="E131" s="63" t="s">
        <v>155</v>
      </c>
      <c r="F131" s="64">
        <v>45806.722222222219</v>
      </c>
      <c r="G131" s="64">
        <v>45806.732638888891</v>
      </c>
      <c r="H131" s="63">
        <f>IF(F131="", "", NETWORKDAYS.INTL(F131, G131, 11,祝日シート!A:A))</f>
        <v>1</v>
      </c>
      <c r="I131" s="65">
        <v>1.041666666666667E-2</v>
      </c>
      <c r="J131" s="63" t="s">
        <v>119</v>
      </c>
      <c r="K131" s="63" t="s">
        <v>111</v>
      </c>
      <c r="L131" s="63"/>
      <c r="M131" s="63" t="s">
        <v>201</v>
      </c>
      <c r="N131" s="63" t="s">
        <v>122</v>
      </c>
      <c r="O131" s="63" t="s">
        <v>7</v>
      </c>
      <c r="P131" s="66" t="s">
        <v>246</v>
      </c>
      <c r="Q131" s="66" t="s">
        <v>158</v>
      </c>
    </row>
    <row r="132" spans="2:17" ht="18.75" hidden="1" customHeight="1">
      <c r="B132" s="63" t="str">
        <f t="shared" si="2"/>
        <v>No129</v>
      </c>
      <c r="C132" s="63" t="str">
        <f t="shared" si="3"/>
        <v>202505</v>
      </c>
      <c r="D132" s="63" t="s">
        <v>142</v>
      </c>
      <c r="E132" s="63" t="s">
        <v>304</v>
      </c>
      <c r="F132" s="64">
        <v>45807.375</v>
      </c>
      <c r="G132" s="64">
        <v>45807.715277777781</v>
      </c>
      <c r="H132" s="63">
        <f>IF(F132="", "", NETWORKDAYS.INTL(F132, G132, 11,祝日シート!A:A))</f>
        <v>1</v>
      </c>
      <c r="I132" s="65">
        <v>4.1666666666666657E-2</v>
      </c>
      <c r="J132" s="63" t="s">
        <v>119</v>
      </c>
      <c r="K132" s="63" t="s">
        <v>77</v>
      </c>
      <c r="L132" s="63"/>
      <c r="M132" s="63" t="s">
        <v>99</v>
      </c>
      <c r="N132" s="63" t="s">
        <v>117</v>
      </c>
      <c r="O132" s="63" t="s">
        <v>7</v>
      </c>
      <c r="P132" s="66" t="s">
        <v>305</v>
      </c>
      <c r="Q132" s="66" t="s">
        <v>158</v>
      </c>
    </row>
    <row r="133" spans="2:17" ht="18.75" hidden="1" customHeight="1">
      <c r="B133" s="63" t="str">
        <f t="shared" si="2"/>
        <v>No130</v>
      </c>
      <c r="C133" s="63" t="str">
        <f t="shared" si="3"/>
        <v>202506</v>
      </c>
      <c r="D133" s="63" t="s">
        <v>166</v>
      </c>
      <c r="E133" s="63" t="s">
        <v>116</v>
      </c>
      <c r="F133" s="64">
        <v>45809.375</v>
      </c>
      <c r="G133" s="64">
        <v>45809.75</v>
      </c>
      <c r="H133" s="63">
        <f>IF(F133="", "", NETWORKDAYS.INTL(F133, G133, 11,祝日シート!A:A))</f>
        <v>0</v>
      </c>
      <c r="I133" s="65">
        <v>0.33333333333333331</v>
      </c>
      <c r="J133" s="63" t="s">
        <v>119</v>
      </c>
      <c r="K133" s="63" t="s">
        <v>111</v>
      </c>
      <c r="L133" s="63"/>
      <c r="M133" s="63" t="s">
        <v>121</v>
      </c>
      <c r="N133" s="63" t="s">
        <v>122</v>
      </c>
      <c r="O133" s="63" t="s">
        <v>7</v>
      </c>
      <c r="P133" s="66" t="s">
        <v>306</v>
      </c>
      <c r="Q133" s="66" t="s">
        <v>307</v>
      </c>
    </row>
    <row r="134" spans="2:17" ht="18.75" hidden="1" customHeight="1">
      <c r="B134" s="63" t="str">
        <f t="shared" si="2"/>
        <v>No131</v>
      </c>
      <c r="C134" s="63" t="str">
        <f t="shared" si="3"/>
        <v>202506</v>
      </c>
      <c r="D134" s="63" t="s">
        <v>166</v>
      </c>
      <c r="E134" s="63" t="s">
        <v>155</v>
      </c>
      <c r="F134" s="64">
        <v>45809.375</v>
      </c>
      <c r="G134" s="64">
        <v>45809.75</v>
      </c>
      <c r="H134" s="63">
        <f>IF(F134="", "", NETWORKDAYS.INTL(F134, G134, 11,祝日シート!A:A))</f>
        <v>0</v>
      </c>
      <c r="I134" s="65">
        <v>0.33333333333333331</v>
      </c>
      <c r="J134" s="63" t="s">
        <v>119</v>
      </c>
      <c r="K134" s="63" t="s">
        <v>111</v>
      </c>
      <c r="L134" s="63"/>
      <c r="M134" s="63" t="s">
        <v>121</v>
      </c>
      <c r="N134" s="63" t="s">
        <v>122</v>
      </c>
      <c r="O134" s="63" t="s">
        <v>7</v>
      </c>
      <c r="P134" s="66" t="s">
        <v>306</v>
      </c>
      <c r="Q134" s="66" t="s">
        <v>307</v>
      </c>
    </row>
    <row r="135" spans="2:17" ht="42" customHeight="1">
      <c r="B135" s="63" t="str">
        <f t="shared" si="2"/>
        <v>No132</v>
      </c>
      <c r="C135" s="63" t="str">
        <f t="shared" si="3"/>
        <v>202506</v>
      </c>
      <c r="D135" s="63" t="s">
        <v>166</v>
      </c>
      <c r="E135" s="63" t="s">
        <v>4</v>
      </c>
      <c r="F135" s="64">
        <v>45809.375</v>
      </c>
      <c r="G135" s="64">
        <v>45809.75</v>
      </c>
      <c r="H135" s="63">
        <f>IF(F135="", "", NETWORKDAYS.INTL(F135, G135, 11,祝日シート!A:A))</f>
        <v>0</v>
      </c>
      <c r="I135" s="65">
        <v>0.33333333333333331</v>
      </c>
      <c r="J135" s="63" t="s">
        <v>119</v>
      </c>
      <c r="K135" s="63" t="s">
        <v>111</v>
      </c>
      <c r="L135" s="63"/>
      <c r="M135" s="63" t="s">
        <v>121</v>
      </c>
      <c r="N135" s="63" t="s">
        <v>122</v>
      </c>
      <c r="O135" s="63" t="s">
        <v>7</v>
      </c>
      <c r="P135" s="66" t="s">
        <v>306</v>
      </c>
      <c r="Q135" s="66" t="s">
        <v>307</v>
      </c>
    </row>
    <row r="136" spans="2:17" ht="42" hidden="1" customHeight="1">
      <c r="B136" s="63" t="str">
        <f t="shared" si="2"/>
        <v>No133</v>
      </c>
      <c r="C136" s="63" t="str">
        <f t="shared" si="3"/>
        <v>202506</v>
      </c>
      <c r="D136" s="63" t="s">
        <v>142</v>
      </c>
      <c r="E136" s="63" t="s">
        <v>155</v>
      </c>
      <c r="F136" s="64">
        <v>45810.375</v>
      </c>
      <c r="G136" s="64">
        <v>45810.381944444453</v>
      </c>
      <c r="H136" s="63">
        <f>IF(F136="", "", NETWORKDAYS.INTL(F136, G136, 11,祝日シート!A:A))</f>
        <v>1</v>
      </c>
      <c r="I136" s="65">
        <v>6.9444444444444441E-3</v>
      </c>
      <c r="J136" s="63" t="s">
        <v>20</v>
      </c>
      <c r="K136" s="63" t="s">
        <v>77</v>
      </c>
      <c r="L136" s="63"/>
      <c r="M136" s="63" t="s">
        <v>99</v>
      </c>
      <c r="N136" s="63" t="s">
        <v>6</v>
      </c>
      <c r="O136" s="63" t="s">
        <v>7</v>
      </c>
      <c r="P136" s="66" t="s">
        <v>308</v>
      </c>
      <c r="Q136" s="66" t="s">
        <v>309</v>
      </c>
    </row>
    <row r="137" spans="2:17" ht="42" hidden="1" customHeight="1">
      <c r="B137" s="63" t="str">
        <f t="shared" si="2"/>
        <v>No134</v>
      </c>
      <c r="C137" s="63" t="str">
        <f t="shared" si="3"/>
        <v>202506</v>
      </c>
      <c r="D137" s="63" t="s">
        <v>104</v>
      </c>
      <c r="E137" s="63" t="s">
        <v>256</v>
      </c>
      <c r="F137" s="68">
        <v>45810.412499999999</v>
      </c>
      <c r="G137" s="68">
        <v>45810.427083333343</v>
      </c>
      <c r="H137" s="63">
        <f>IF(F137="", "", NETWORKDAYS.INTL(F137, G137, 11,祝日シート!A:A))</f>
        <v>1</v>
      </c>
      <c r="I137" s="65">
        <v>2.5000000000000001E-2</v>
      </c>
      <c r="J137" s="63" t="s">
        <v>310</v>
      </c>
      <c r="K137" s="63" t="s">
        <v>311</v>
      </c>
      <c r="L137" s="63"/>
      <c r="M137" s="63" t="s">
        <v>245</v>
      </c>
      <c r="N137" s="63" t="s">
        <v>117</v>
      </c>
      <c r="O137" s="63" t="s">
        <v>7</v>
      </c>
      <c r="P137" s="66" t="s">
        <v>312</v>
      </c>
      <c r="Q137" s="66" t="s">
        <v>313</v>
      </c>
    </row>
    <row r="138" spans="2:17" ht="42" customHeight="1">
      <c r="B138" s="63" t="str">
        <f t="shared" si="2"/>
        <v>No135</v>
      </c>
      <c r="C138" s="63" t="str">
        <f t="shared" si="3"/>
        <v>202506</v>
      </c>
      <c r="D138" s="63" t="s">
        <v>142</v>
      </c>
      <c r="E138" s="63" t="s">
        <v>4</v>
      </c>
      <c r="F138" s="64">
        <v>45810.416666666657</v>
      </c>
      <c r="G138" s="64">
        <v>45810.427083333343</v>
      </c>
      <c r="H138" s="63">
        <f>IF(F138="", "", NETWORKDAYS.INTL(F138, G138, 11,祝日シート!A:A))</f>
        <v>1</v>
      </c>
      <c r="I138" s="65">
        <v>1.041666666666667E-2</v>
      </c>
      <c r="J138" s="63" t="s">
        <v>20</v>
      </c>
      <c r="K138" s="63" t="s">
        <v>159</v>
      </c>
      <c r="L138" s="63"/>
      <c r="M138" s="63" t="s">
        <v>314</v>
      </c>
      <c r="N138" s="63" t="s">
        <v>6</v>
      </c>
      <c r="O138" s="63" t="s">
        <v>7</v>
      </c>
      <c r="P138" s="66" t="s">
        <v>315</v>
      </c>
      <c r="Q138" s="66" t="s">
        <v>316</v>
      </c>
    </row>
    <row r="139" spans="2:17" ht="42" hidden="1" customHeight="1">
      <c r="B139" s="63" t="str">
        <f t="shared" si="2"/>
        <v>No136</v>
      </c>
      <c r="C139" s="63" t="str">
        <f t="shared" si="3"/>
        <v>202506</v>
      </c>
      <c r="D139" s="63" t="s">
        <v>104</v>
      </c>
      <c r="E139" s="63" t="s">
        <v>155</v>
      </c>
      <c r="F139" s="64">
        <v>45810.4375</v>
      </c>
      <c r="G139" s="64">
        <v>45810.458333333343</v>
      </c>
      <c r="H139" s="63">
        <f>IF(F139="", "", NETWORKDAYS.INTL(F139, G139, 11,祝日シート!A:A))</f>
        <v>1</v>
      </c>
      <c r="I139" s="65">
        <v>1.041666666666667E-2</v>
      </c>
      <c r="J139" s="63" t="s">
        <v>283</v>
      </c>
      <c r="K139" s="63" t="s">
        <v>111</v>
      </c>
      <c r="L139" s="63"/>
      <c r="M139" s="63" t="s">
        <v>173</v>
      </c>
      <c r="N139" s="63" t="s">
        <v>122</v>
      </c>
      <c r="O139" s="63" t="s">
        <v>7</v>
      </c>
      <c r="P139" s="66" t="s">
        <v>317</v>
      </c>
      <c r="Q139" s="66" t="s">
        <v>318</v>
      </c>
    </row>
    <row r="140" spans="2:17" ht="42" hidden="1" customHeight="1">
      <c r="B140" s="63" t="str">
        <f t="shared" si="2"/>
        <v>No137</v>
      </c>
      <c r="C140" s="63" t="str">
        <f t="shared" si="3"/>
        <v>202506</v>
      </c>
      <c r="D140" s="63" t="s">
        <v>104</v>
      </c>
      <c r="E140" s="63" t="s">
        <v>116</v>
      </c>
      <c r="F140" s="64">
        <v>45810.444444444453</v>
      </c>
      <c r="G140" s="64">
        <v>45810.465277777781</v>
      </c>
      <c r="H140" s="63">
        <f>IF(F140="", "", NETWORKDAYS.INTL(F140, G140, 11,祝日シート!A:A))</f>
        <v>1</v>
      </c>
      <c r="I140" s="65">
        <v>2.0833333333333329E-2</v>
      </c>
      <c r="J140" s="63" t="s">
        <v>249</v>
      </c>
      <c r="K140" s="63" t="s">
        <v>176</v>
      </c>
      <c r="L140" s="63"/>
      <c r="M140" s="63" t="s">
        <v>156</v>
      </c>
      <c r="N140" s="63" t="s">
        <v>6</v>
      </c>
      <c r="O140" s="63" t="s">
        <v>7</v>
      </c>
      <c r="P140" s="66" t="s">
        <v>319</v>
      </c>
      <c r="Q140" s="66" t="s">
        <v>320</v>
      </c>
    </row>
    <row r="141" spans="2:17" ht="42" hidden="1" customHeight="1">
      <c r="B141" s="63" t="str">
        <f t="shared" si="2"/>
        <v>No138</v>
      </c>
      <c r="C141" s="63" t="str">
        <f t="shared" si="3"/>
        <v>202506</v>
      </c>
      <c r="D141" s="63" t="s">
        <v>142</v>
      </c>
      <c r="E141" s="63" t="s">
        <v>155</v>
      </c>
      <c r="F141" s="64">
        <v>45810.541666666657</v>
      </c>
      <c r="G141" s="64">
        <v>45810.559027777781</v>
      </c>
      <c r="H141" s="63">
        <f>IF(F141="", "", NETWORKDAYS.INTL(F141, G141, 11,祝日シート!A:A))</f>
        <v>1</v>
      </c>
      <c r="I141" s="65">
        <v>6.9444444444444441E-3</v>
      </c>
      <c r="J141" s="63" t="s">
        <v>119</v>
      </c>
      <c r="K141" s="63" t="s">
        <v>77</v>
      </c>
      <c r="L141" s="63"/>
      <c r="M141" s="63" t="s">
        <v>321</v>
      </c>
      <c r="N141" s="63" t="s">
        <v>122</v>
      </c>
      <c r="O141" s="63" t="s">
        <v>7</v>
      </c>
      <c r="P141" s="66" t="s">
        <v>322</v>
      </c>
      <c r="Q141" s="66" t="s">
        <v>158</v>
      </c>
    </row>
    <row r="142" spans="2:17" ht="42" hidden="1" customHeight="1">
      <c r="B142" s="63" t="str">
        <f t="shared" si="2"/>
        <v>No139</v>
      </c>
      <c r="C142" s="63" t="str">
        <f t="shared" si="3"/>
        <v>202506</v>
      </c>
      <c r="D142" s="63" t="s">
        <v>142</v>
      </c>
      <c r="E142" s="63" t="s">
        <v>155</v>
      </c>
      <c r="F142" s="64">
        <v>45810.583333333343</v>
      </c>
      <c r="G142" s="64">
        <v>45810.597222222219</v>
      </c>
      <c r="H142" s="63">
        <f>IF(F142="", "", NETWORKDAYS.INTL(F142, G142, 11,祝日シート!A:A))</f>
        <v>1</v>
      </c>
      <c r="I142" s="65">
        <v>1.388888888888889E-2</v>
      </c>
      <c r="J142" s="63" t="s">
        <v>119</v>
      </c>
      <c r="K142" s="63" t="s">
        <v>111</v>
      </c>
      <c r="L142" s="63"/>
      <c r="M142" s="63" t="s">
        <v>215</v>
      </c>
      <c r="N142" s="63" t="s">
        <v>122</v>
      </c>
      <c r="O142" s="63" t="s">
        <v>7</v>
      </c>
      <c r="P142" s="66" t="s">
        <v>246</v>
      </c>
      <c r="Q142" s="66" t="s">
        <v>158</v>
      </c>
    </row>
    <row r="143" spans="2:17" ht="42" hidden="1" customHeight="1">
      <c r="B143" s="63" t="str">
        <f t="shared" si="2"/>
        <v>No140</v>
      </c>
      <c r="C143" s="63" t="str">
        <f t="shared" si="3"/>
        <v>202506</v>
      </c>
      <c r="D143" s="63" t="s">
        <v>186</v>
      </c>
      <c r="E143" s="63" t="s">
        <v>196</v>
      </c>
      <c r="F143" s="64">
        <v>45810.614583333343</v>
      </c>
      <c r="G143" s="64">
        <v>45810.666666666657</v>
      </c>
      <c r="H143" s="63">
        <f>IF(F143="", "", NETWORKDAYS.INTL(F143, G143, 11,祝日シート!A:A))</f>
        <v>1</v>
      </c>
      <c r="I143" s="65">
        <v>1.041666666666667E-2</v>
      </c>
      <c r="J143" s="63" t="s">
        <v>143</v>
      </c>
      <c r="K143" s="63" t="s">
        <v>21</v>
      </c>
      <c r="L143" s="63"/>
      <c r="M143" s="63" t="s">
        <v>136</v>
      </c>
      <c r="N143" s="63" t="s">
        <v>6</v>
      </c>
      <c r="O143" s="63" t="s">
        <v>7</v>
      </c>
      <c r="P143" s="66" t="s">
        <v>323</v>
      </c>
      <c r="Q143" s="66" t="s">
        <v>324</v>
      </c>
    </row>
    <row r="144" spans="2:17" ht="42" customHeight="1">
      <c r="B144" s="63" t="str">
        <f t="shared" si="2"/>
        <v>No141</v>
      </c>
      <c r="C144" s="63" t="str">
        <f t="shared" si="3"/>
        <v>202506</v>
      </c>
      <c r="D144" s="63" t="s">
        <v>104</v>
      </c>
      <c r="E144" s="63" t="s">
        <v>4</v>
      </c>
      <c r="F144" s="64">
        <v>45810.625</v>
      </c>
      <c r="G144" s="64">
        <v>45810.638888888891</v>
      </c>
      <c r="H144" s="63">
        <f>IF(F144="", "", NETWORKDAYS.INTL(F144, G144, 11,祝日シート!A:A))</f>
        <v>1</v>
      </c>
      <c r="I144" s="65">
        <v>1.388888888888889E-2</v>
      </c>
      <c r="J144" s="63" t="s">
        <v>61</v>
      </c>
      <c r="K144" s="63" t="s">
        <v>26</v>
      </c>
      <c r="L144" s="63"/>
      <c r="M144" s="63" t="s">
        <v>121</v>
      </c>
      <c r="N144" s="63" t="s">
        <v>122</v>
      </c>
      <c r="O144" s="63" t="s">
        <v>7</v>
      </c>
      <c r="P144" s="66" t="s">
        <v>325</v>
      </c>
      <c r="Q144" s="66" t="s">
        <v>326</v>
      </c>
    </row>
    <row r="145" spans="2:17" ht="42" hidden="1" customHeight="1">
      <c r="B145" s="63" t="str">
        <f t="shared" si="2"/>
        <v>No142</v>
      </c>
      <c r="C145" s="63" t="str">
        <f t="shared" si="3"/>
        <v>202506</v>
      </c>
      <c r="D145" s="63" t="s">
        <v>142</v>
      </c>
      <c r="E145" s="63" t="s">
        <v>155</v>
      </c>
      <c r="F145" s="64">
        <v>45811.402777777781</v>
      </c>
      <c r="G145" s="64">
        <v>45811.479166666657</v>
      </c>
      <c r="H145" s="63">
        <f>IF(F145="", "", NETWORKDAYS.INTL(F145, G145, 11,祝日シート!A:A))</f>
        <v>1</v>
      </c>
      <c r="I145" s="65">
        <v>1.041666666666667E-2</v>
      </c>
      <c r="J145" s="63" t="s">
        <v>119</v>
      </c>
      <c r="K145" s="63" t="s">
        <v>77</v>
      </c>
      <c r="L145" s="63"/>
      <c r="M145" s="63" t="s">
        <v>211</v>
      </c>
      <c r="N145" s="63" t="s">
        <v>122</v>
      </c>
      <c r="O145" s="63" t="s">
        <v>7</v>
      </c>
      <c r="P145" s="66" t="s">
        <v>212</v>
      </c>
      <c r="Q145" s="66" t="s">
        <v>158</v>
      </c>
    </row>
    <row r="146" spans="2:17" ht="18.75" customHeight="1">
      <c r="B146" s="63" t="str">
        <f t="shared" si="2"/>
        <v>No143</v>
      </c>
      <c r="C146" s="63" t="str">
        <f t="shared" si="3"/>
        <v>202506</v>
      </c>
      <c r="D146" s="63" t="s">
        <v>3</v>
      </c>
      <c r="E146" s="63" t="s">
        <v>4</v>
      </c>
      <c r="F146" s="64">
        <v>45811.458333333343</v>
      </c>
      <c r="G146" s="64">
        <v>45811.475694444453</v>
      </c>
      <c r="H146" s="63">
        <f>IF(F146="", "", NETWORKDAYS.INTL(F146, G146, 11,祝日シート!A:A))</f>
        <v>1</v>
      </c>
      <c r="I146" s="65">
        <v>1.7361111111111108E-2</v>
      </c>
      <c r="J146" s="63" t="s">
        <v>20</v>
      </c>
      <c r="K146" s="63" t="s">
        <v>311</v>
      </c>
      <c r="L146" s="63"/>
      <c r="M146" s="63" t="s">
        <v>121</v>
      </c>
      <c r="N146" s="63" t="s">
        <v>6</v>
      </c>
      <c r="O146" s="63" t="s">
        <v>7</v>
      </c>
      <c r="P146" s="66" t="s">
        <v>327</v>
      </c>
      <c r="Q146" s="66" t="s">
        <v>328</v>
      </c>
    </row>
    <row r="147" spans="2:17" ht="33" hidden="1" customHeight="1">
      <c r="B147" s="63" t="str">
        <f t="shared" si="2"/>
        <v>No144</v>
      </c>
      <c r="C147" s="63" t="str">
        <f t="shared" si="3"/>
        <v>202506</v>
      </c>
      <c r="D147" s="63" t="s">
        <v>142</v>
      </c>
      <c r="E147" s="63" t="s">
        <v>155</v>
      </c>
      <c r="F147" s="64">
        <v>45811.46875</v>
      </c>
      <c r="G147" s="64">
        <v>45811.559027777781</v>
      </c>
      <c r="H147" s="63">
        <f>IF(F147="", "", NETWORKDAYS.INTL(F147, G147, 11,祝日シート!A:A))</f>
        <v>1</v>
      </c>
      <c r="I147" s="65">
        <v>6.9444444444444441E-3</v>
      </c>
      <c r="J147" s="63" t="s">
        <v>119</v>
      </c>
      <c r="K147" s="63" t="s">
        <v>111</v>
      </c>
      <c r="L147" s="63"/>
      <c r="M147" s="63" t="s">
        <v>187</v>
      </c>
      <c r="N147" s="63" t="s">
        <v>122</v>
      </c>
      <c r="O147" s="63" t="s">
        <v>7</v>
      </c>
      <c r="P147" s="66" t="s">
        <v>179</v>
      </c>
      <c r="Q147" s="66" t="s">
        <v>158</v>
      </c>
    </row>
    <row r="148" spans="2:17" ht="18.75" hidden="1" customHeight="1">
      <c r="B148" s="63" t="str">
        <f t="shared" si="2"/>
        <v>No145</v>
      </c>
      <c r="C148" s="63" t="str">
        <f t="shared" si="3"/>
        <v>202506</v>
      </c>
      <c r="D148" s="63" t="s">
        <v>186</v>
      </c>
      <c r="E148" s="63" t="s">
        <v>155</v>
      </c>
      <c r="F148" s="64">
        <v>45811.541666666657</v>
      </c>
      <c r="G148" s="64">
        <v>45811.555555555547</v>
      </c>
      <c r="H148" s="63">
        <f>IF(F148="", "", NETWORKDAYS.INTL(F148, G148, 11,祝日シート!A:A))</f>
        <v>1</v>
      </c>
      <c r="I148" s="65">
        <v>1.388888888888889E-2</v>
      </c>
      <c r="J148" s="63" t="s">
        <v>143</v>
      </c>
      <c r="K148" s="63" t="s">
        <v>35</v>
      </c>
      <c r="L148" s="63"/>
      <c r="M148" s="63" t="s">
        <v>329</v>
      </c>
      <c r="N148" s="63" t="s">
        <v>122</v>
      </c>
      <c r="O148" s="63" t="s">
        <v>7</v>
      </c>
      <c r="P148" s="66" t="s">
        <v>330</v>
      </c>
      <c r="Q148" s="66" t="s">
        <v>331</v>
      </c>
    </row>
    <row r="149" spans="2:17" ht="18.75" customHeight="1">
      <c r="B149" s="63" t="str">
        <f t="shared" si="2"/>
        <v>No146</v>
      </c>
      <c r="C149" s="63" t="str">
        <f t="shared" si="3"/>
        <v>202506</v>
      </c>
      <c r="D149" s="63" t="s">
        <v>142</v>
      </c>
      <c r="E149" s="63" t="s">
        <v>4</v>
      </c>
      <c r="F149" s="64">
        <v>45811.541666666657</v>
      </c>
      <c r="G149" s="64">
        <v>45811.559027777781</v>
      </c>
      <c r="H149" s="63">
        <f>IF(F149="", "", NETWORKDAYS.INTL(F149, G149, 11,祝日シート!A:A))</f>
        <v>1</v>
      </c>
      <c r="I149" s="65">
        <v>1.7361111111111108E-2</v>
      </c>
      <c r="J149" s="63" t="s">
        <v>95</v>
      </c>
      <c r="K149" s="63" t="s">
        <v>176</v>
      </c>
      <c r="L149" s="63"/>
      <c r="M149" s="63" t="s">
        <v>332</v>
      </c>
      <c r="N149" s="63" t="s">
        <v>6</v>
      </c>
      <c r="O149" s="63" t="s">
        <v>7</v>
      </c>
      <c r="P149" s="66" t="s">
        <v>333</v>
      </c>
      <c r="Q149" s="66" t="s">
        <v>334</v>
      </c>
    </row>
    <row r="150" spans="2:17" ht="18.75" customHeight="1">
      <c r="B150" s="63" t="str">
        <f t="shared" si="2"/>
        <v>No147</v>
      </c>
      <c r="C150" s="63" t="str">
        <f t="shared" si="3"/>
        <v>202506</v>
      </c>
      <c r="D150" s="63" t="s">
        <v>142</v>
      </c>
      <c r="E150" s="63" t="s">
        <v>4</v>
      </c>
      <c r="F150" s="64">
        <v>45811.559027777781</v>
      </c>
      <c r="G150" s="64">
        <v>45811.565972222219</v>
      </c>
      <c r="H150" s="63">
        <f>IF(F150="", "", NETWORKDAYS.INTL(F150, G150, 11,祝日シート!A:A))</f>
        <v>1</v>
      </c>
      <c r="I150" s="65">
        <v>6.9444444444444441E-3</v>
      </c>
      <c r="J150" s="63" t="s">
        <v>95</v>
      </c>
      <c r="K150" s="63" t="s">
        <v>111</v>
      </c>
      <c r="L150" s="63"/>
      <c r="M150" s="63" t="s">
        <v>173</v>
      </c>
      <c r="N150" s="63" t="s">
        <v>6</v>
      </c>
      <c r="O150" s="63" t="s">
        <v>7</v>
      </c>
      <c r="P150" s="66" t="s">
        <v>335</v>
      </c>
      <c r="Q150" s="66" t="s">
        <v>334</v>
      </c>
    </row>
    <row r="151" spans="2:17" ht="18.75" customHeight="1">
      <c r="B151" s="63" t="str">
        <f t="shared" ref="B151:B214" si="4">"No"&amp;ROW()-3</f>
        <v>No148</v>
      </c>
      <c r="C151" s="63" t="str">
        <f t="shared" ref="C151:C214" si="5">IFERROR(IF(G151&lt;&gt;"",TEXT(G151,"yyyymm"),""),"")</f>
        <v>202506</v>
      </c>
      <c r="D151" s="63" t="s">
        <v>142</v>
      </c>
      <c r="E151" s="63" t="s">
        <v>4</v>
      </c>
      <c r="F151" s="64">
        <v>45811.75</v>
      </c>
      <c r="G151" s="64">
        <v>45811.833333333343</v>
      </c>
      <c r="H151" s="63">
        <f>IF(F151="", "", NETWORKDAYS.INTL(F151, G151, 11,祝日シート!A:A))</f>
        <v>1</v>
      </c>
      <c r="I151" s="65">
        <v>8.3333333333333329E-2</v>
      </c>
      <c r="J151" s="63" t="s">
        <v>20</v>
      </c>
      <c r="K151" s="63" t="s">
        <v>176</v>
      </c>
      <c r="L151" s="63"/>
      <c r="M151" s="63" t="s">
        <v>336</v>
      </c>
      <c r="N151" s="63" t="s">
        <v>6</v>
      </c>
      <c r="O151" s="63" t="s">
        <v>7</v>
      </c>
      <c r="P151" s="66" t="s">
        <v>337</v>
      </c>
      <c r="Q151" s="66" t="s">
        <v>338</v>
      </c>
    </row>
    <row r="152" spans="2:17" ht="18.75" hidden="1" customHeight="1">
      <c r="B152" s="63" t="str">
        <f t="shared" si="4"/>
        <v>No149</v>
      </c>
      <c r="C152" s="63" t="str">
        <f t="shared" si="5"/>
        <v>202506</v>
      </c>
      <c r="D152" s="63" t="s">
        <v>142</v>
      </c>
      <c r="E152" s="63" t="s">
        <v>155</v>
      </c>
      <c r="F152" s="64">
        <v>45812.385416666657</v>
      </c>
      <c r="G152" s="64">
        <v>45812.388888888891</v>
      </c>
      <c r="H152" s="63">
        <f>IF(F152="", "", NETWORKDAYS.INTL(F152, G152, 11,祝日シート!A:A))</f>
        <v>1</v>
      </c>
      <c r="I152" s="65">
        <v>3.472222222222222E-3</v>
      </c>
      <c r="J152" s="63" t="s">
        <v>119</v>
      </c>
      <c r="K152" s="63" t="s">
        <v>159</v>
      </c>
      <c r="L152" s="63"/>
      <c r="M152" s="63" t="s">
        <v>187</v>
      </c>
      <c r="N152" s="63" t="s">
        <v>122</v>
      </c>
      <c r="O152" s="63" t="s">
        <v>7</v>
      </c>
      <c r="P152" s="66" t="s">
        <v>208</v>
      </c>
      <c r="Q152" s="66" t="s">
        <v>158</v>
      </c>
    </row>
    <row r="153" spans="2:17" ht="18.75" hidden="1" customHeight="1">
      <c r="B153" s="63" t="str">
        <f t="shared" si="4"/>
        <v>No150</v>
      </c>
      <c r="C153" s="63" t="str">
        <f t="shared" si="5"/>
        <v>202506</v>
      </c>
      <c r="D153" s="63" t="s">
        <v>104</v>
      </c>
      <c r="E153" s="63" t="s">
        <v>155</v>
      </c>
      <c r="F153" s="64">
        <v>45812.402777777781</v>
      </c>
      <c r="G153" s="64">
        <v>45812.458333333343</v>
      </c>
      <c r="H153" s="63">
        <f>IF(F153="", "", NETWORKDAYS.INTL(F153, G153, 11,祝日シート!A:A))</f>
        <v>1</v>
      </c>
      <c r="I153" s="65">
        <v>5.5555555555555552E-2</v>
      </c>
      <c r="J153" s="63" t="s">
        <v>20</v>
      </c>
      <c r="K153" s="63" t="s">
        <v>159</v>
      </c>
      <c r="L153" s="63"/>
      <c r="M153" s="63" t="s">
        <v>339</v>
      </c>
      <c r="N153" s="63" t="s">
        <v>117</v>
      </c>
      <c r="O153" s="63" t="s">
        <v>7</v>
      </c>
      <c r="P153" s="66" t="s">
        <v>340</v>
      </c>
      <c r="Q153" s="66" t="s">
        <v>341</v>
      </c>
    </row>
    <row r="154" spans="2:17" ht="30" hidden="1" customHeight="1">
      <c r="B154" s="63" t="str">
        <f t="shared" si="4"/>
        <v>No151</v>
      </c>
      <c r="C154" s="63" t="str">
        <f t="shared" si="5"/>
        <v>202506</v>
      </c>
      <c r="D154" s="63" t="s">
        <v>104</v>
      </c>
      <c r="E154" s="63" t="s">
        <v>155</v>
      </c>
      <c r="F154" s="64">
        <v>45812.604166666657</v>
      </c>
      <c r="G154" s="64">
        <v>45812.625</v>
      </c>
      <c r="H154" s="63">
        <f>IF(F154="", "", NETWORKDAYS.INTL(F154, G154, 11,祝日シート!A:A))</f>
        <v>1</v>
      </c>
      <c r="I154" s="65">
        <v>2.0833333333333329E-2</v>
      </c>
      <c r="J154" s="63" t="s">
        <v>20</v>
      </c>
      <c r="K154" s="63" t="s">
        <v>21</v>
      </c>
      <c r="L154" s="63"/>
      <c r="M154" s="63" t="s">
        <v>342</v>
      </c>
      <c r="N154" s="63" t="s">
        <v>122</v>
      </c>
      <c r="O154" s="63" t="s">
        <v>7</v>
      </c>
      <c r="P154" s="66" t="s">
        <v>343</v>
      </c>
      <c r="Q154" s="66" t="s">
        <v>344</v>
      </c>
    </row>
    <row r="155" spans="2:17" ht="30" hidden="1" customHeight="1">
      <c r="B155" s="63" t="str">
        <f t="shared" si="4"/>
        <v>No152</v>
      </c>
      <c r="C155" s="63" t="str">
        <f t="shared" si="5"/>
        <v>202506</v>
      </c>
      <c r="D155" s="63" t="s">
        <v>104</v>
      </c>
      <c r="E155" s="63" t="s">
        <v>155</v>
      </c>
      <c r="F155" s="64">
        <v>45812.625</v>
      </c>
      <c r="G155" s="64">
        <v>45812.631944444453</v>
      </c>
      <c r="H155" s="63">
        <f>IF(F155="", "", NETWORKDAYS.INTL(F155, G155, 11,祝日シート!A:A))</f>
        <v>1</v>
      </c>
      <c r="I155" s="65">
        <v>6.9444444444444441E-3</v>
      </c>
      <c r="J155" s="63" t="s">
        <v>119</v>
      </c>
      <c r="K155" s="63" t="s">
        <v>111</v>
      </c>
      <c r="L155" s="63"/>
      <c r="M155" s="63" t="s">
        <v>198</v>
      </c>
      <c r="N155" s="63" t="s">
        <v>122</v>
      </c>
      <c r="O155" s="63" t="s">
        <v>7</v>
      </c>
      <c r="P155" s="66" t="s">
        <v>246</v>
      </c>
      <c r="Q155" s="66" t="s">
        <v>158</v>
      </c>
    </row>
    <row r="156" spans="2:17" ht="18.75" hidden="1" customHeight="1">
      <c r="B156" s="63" t="str">
        <f t="shared" si="4"/>
        <v>No153</v>
      </c>
      <c r="C156" s="63" t="str">
        <f t="shared" si="5"/>
        <v>202506</v>
      </c>
      <c r="D156" s="63" t="s">
        <v>104</v>
      </c>
      <c r="E156" s="63" t="s">
        <v>155</v>
      </c>
      <c r="F156" s="64">
        <v>45812.666666666657</v>
      </c>
      <c r="G156" s="64">
        <v>45812.6875</v>
      </c>
      <c r="H156" s="63">
        <f>IF(F156="", "", NETWORKDAYS.INTL(F156, G156, 11,祝日シート!A:A))</f>
        <v>1</v>
      </c>
      <c r="I156" s="65">
        <v>2.0833333333333329E-2</v>
      </c>
      <c r="J156" s="63" t="s">
        <v>283</v>
      </c>
      <c r="K156" s="63" t="s">
        <v>111</v>
      </c>
      <c r="L156" s="63"/>
      <c r="M156" s="63" t="s">
        <v>173</v>
      </c>
      <c r="N156" s="63" t="s">
        <v>122</v>
      </c>
      <c r="O156" s="63" t="s">
        <v>7</v>
      </c>
      <c r="P156" s="66" t="s">
        <v>345</v>
      </c>
      <c r="Q156" s="66" t="s">
        <v>346</v>
      </c>
    </row>
    <row r="157" spans="2:17" ht="18.75" hidden="1" customHeight="1">
      <c r="B157" s="63" t="str">
        <f t="shared" si="4"/>
        <v>No154</v>
      </c>
      <c r="C157" s="63" t="str">
        <f t="shared" si="5"/>
        <v>202506</v>
      </c>
      <c r="D157" s="63" t="s">
        <v>104</v>
      </c>
      <c r="E157" s="63" t="s">
        <v>155</v>
      </c>
      <c r="F157" s="64">
        <v>45812.708333333343</v>
      </c>
      <c r="G157" s="64">
        <v>45812.71875</v>
      </c>
      <c r="H157" s="63">
        <f>IF(F157="", "", NETWORKDAYS.INTL(F157, G157, 11,祝日シート!A:A))</f>
        <v>1</v>
      </c>
      <c r="I157" s="65">
        <v>1.041666666666667E-2</v>
      </c>
      <c r="J157" s="63" t="s">
        <v>283</v>
      </c>
      <c r="K157" s="63" t="s">
        <v>111</v>
      </c>
      <c r="L157" s="63"/>
      <c r="M157" s="63" t="s">
        <v>173</v>
      </c>
      <c r="N157" s="63" t="s">
        <v>122</v>
      </c>
      <c r="O157" s="63" t="s">
        <v>7</v>
      </c>
      <c r="P157" s="66" t="s">
        <v>347</v>
      </c>
      <c r="Q157" s="66" t="s">
        <v>348</v>
      </c>
    </row>
    <row r="158" spans="2:17" ht="18.75" hidden="1" customHeight="1">
      <c r="B158" s="63" t="str">
        <f t="shared" si="4"/>
        <v>No155</v>
      </c>
      <c r="C158" s="63" t="str">
        <f t="shared" si="5"/>
        <v>202506</v>
      </c>
      <c r="D158" s="63" t="s">
        <v>142</v>
      </c>
      <c r="E158" s="63" t="s">
        <v>116</v>
      </c>
      <c r="F158" s="64">
        <v>45813.402777777781</v>
      </c>
      <c r="G158" s="64">
        <v>45813.40625</v>
      </c>
      <c r="H158" s="63">
        <f>IF(F158="", "", NETWORKDAYS.INTL(F158, G158, 11,祝日シート!A:A))</f>
        <v>1</v>
      </c>
      <c r="I158" s="65">
        <v>3.472222222222222E-3</v>
      </c>
      <c r="J158" s="63" t="s">
        <v>119</v>
      </c>
      <c r="K158" s="63" t="s">
        <v>111</v>
      </c>
      <c r="L158" s="63"/>
      <c r="M158" s="63" t="s">
        <v>229</v>
      </c>
      <c r="N158" s="63" t="s">
        <v>122</v>
      </c>
      <c r="O158" s="63" t="s">
        <v>7</v>
      </c>
      <c r="P158" s="66" t="s">
        <v>208</v>
      </c>
      <c r="Q158" s="66" t="s">
        <v>158</v>
      </c>
    </row>
    <row r="159" spans="2:17" ht="18.75" customHeight="1">
      <c r="B159" s="63" t="str">
        <f t="shared" si="4"/>
        <v>No156</v>
      </c>
      <c r="C159" s="63" t="str">
        <f t="shared" si="5"/>
        <v>202506</v>
      </c>
      <c r="D159" s="63" t="s">
        <v>142</v>
      </c>
      <c r="E159" s="63" t="s">
        <v>4</v>
      </c>
      <c r="F159" s="64">
        <v>45813.458333333343</v>
      </c>
      <c r="G159" s="64">
        <v>45813.5</v>
      </c>
      <c r="H159" s="63">
        <f>IF(F159="", "", NETWORKDAYS.INTL(F159, G159, 11,祝日シート!A:A))</f>
        <v>1</v>
      </c>
      <c r="I159" s="65">
        <v>4.1666666666666657E-2</v>
      </c>
      <c r="J159" s="63" t="s">
        <v>20</v>
      </c>
      <c r="K159" s="63" t="s">
        <v>176</v>
      </c>
      <c r="L159" s="63"/>
      <c r="M159" s="63" t="s">
        <v>336</v>
      </c>
      <c r="N159" s="63" t="s">
        <v>6</v>
      </c>
      <c r="O159" s="63" t="s">
        <v>7</v>
      </c>
      <c r="P159" s="66" t="s">
        <v>337</v>
      </c>
      <c r="Q159" s="66" t="s">
        <v>349</v>
      </c>
    </row>
    <row r="160" spans="2:17" ht="18.75" customHeight="1">
      <c r="B160" s="63" t="str">
        <f t="shared" si="4"/>
        <v>No157</v>
      </c>
      <c r="C160" s="63" t="str">
        <f t="shared" si="5"/>
        <v>202506</v>
      </c>
      <c r="D160" s="63" t="s">
        <v>142</v>
      </c>
      <c r="E160" s="63" t="s">
        <v>4</v>
      </c>
      <c r="F160" s="64">
        <v>45814.395833333343</v>
      </c>
      <c r="G160" s="64">
        <v>45814.395833333343</v>
      </c>
      <c r="H160" s="63">
        <f>IF(F160="", "", NETWORKDAYS.INTL(F160, G160, 11,祝日シート!A:A))</f>
        <v>1</v>
      </c>
      <c r="I160" s="65">
        <v>2.0833333333333329E-2</v>
      </c>
      <c r="J160" s="63" t="s">
        <v>40</v>
      </c>
      <c r="K160" s="63" t="s">
        <v>159</v>
      </c>
      <c r="L160" s="63"/>
      <c r="M160" s="63" t="s">
        <v>350</v>
      </c>
      <c r="N160" s="63" t="s">
        <v>122</v>
      </c>
      <c r="O160" s="63" t="s">
        <v>7</v>
      </c>
      <c r="P160" s="66" t="s">
        <v>351</v>
      </c>
      <c r="Q160" s="66" t="s">
        <v>352</v>
      </c>
    </row>
    <row r="161" spans="2:17" ht="18.75" hidden="1" customHeight="1">
      <c r="B161" s="63" t="str">
        <f t="shared" si="4"/>
        <v>No158</v>
      </c>
      <c r="C161" s="63" t="str">
        <f t="shared" si="5"/>
        <v>202506</v>
      </c>
      <c r="D161" s="63" t="s">
        <v>142</v>
      </c>
      <c r="E161" s="63" t="s">
        <v>155</v>
      </c>
      <c r="F161" s="64">
        <v>45814.447916666657</v>
      </c>
      <c r="G161" s="64">
        <v>45814.454861111109</v>
      </c>
      <c r="H161" s="63">
        <f>IF(F161="", "", NETWORKDAYS.INTL(F161, G161, 11,祝日シート!A:A))</f>
        <v>1</v>
      </c>
      <c r="I161" s="65">
        <v>6.9444444444444441E-3</v>
      </c>
      <c r="J161" s="63" t="s">
        <v>20</v>
      </c>
      <c r="K161" s="63" t="s">
        <v>111</v>
      </c>
      <c r="L161" s="63"/>
      <c r="M161" s="63" t="s">
        <v>201</v>
      </c>
      <c r="N161" s="63" t="s">
        <v>6</v>
      </c>
      <c r="O161" s="63" t="s">
        <v>7</v>
      </c>
      <c r="P161" s="66" t="s">
        <v>353</v>
      </c>
      <c r="Q161" s="66" t="s">
        <v>354</v>
      </c>
    </row>
    <row r="162" spans="2:17" ht="31.5" customHeight="1">
      <c r="B162" s="63" t="str">
        <f t="shared" si="4"/>
        <v>No159</v>
      </c>
      <c r="C162" s="63" t="str">
        <f t="shared" si="5"/>
        <v>202506</v>
      </c>
      <c r="D162" s="63" t="s">
        <v>142</v>
      </c>
      <c r="E162" s="63" t="s">
        <v>4</v>
      </c>
      <c r="F162" s="64">
        <v>45814.458333333343</v>
      </c>
      <c r="G162" s="64">
        <v>45814.479166666657</v>
      </c>
      <c r="H162" s="63">
        <f>IF(F162="", "", NETWORKDAYS.INTL(F162, G162, 11,祝日シート!A:A))</f>
        <v>1</v>
      </c>
      <c r="I162" s="65">
        <v>2.0833333333333329E-2</v>
      </c>
      <c r="J162" s="63" t="s">
        <v>40</v>
      </c>
      <c r="K162" s="63" t="s">
        <v>26</v>
      </c>
      <c r="L162" s="63"/>
      <c r="M162" s="63" t="s">
        <v>155</v>
      </c>
      <c r="N162" s="63" t="s">
        <v>6</v>
      </c>
      <c r="O162" s="63" t="s">
        <v>7</v>
      </c>
      <c r="P162" s="66" t="s">
        <v>355</v>
      </c>
      <c r="Q162" s="66" t="s">
        <v>356</v>
      </c>
    </row>
    <row r="163" spans="2:17" ht="31.5" customHeight="1">
      <c r="B163" s="63" t="str">
        <f t="shared" si="4"/>
        <v>No160</v>
      </c>
      <c r="C163" s="63" t="str">
        <f t="shared" si="5"/>
        <v>202506</v>
      </c>
      <c r="D163" s="63" t="s">
        <v>142</v>
      </c>
      <c r="E163" s="63" t="s">
        <v>4</v>
      </c>
      <c r="F163" s="64">
        <v>45814.541666666657</v>
      </c>
      <c r="G163" s="64">
        <v>45814.5625</v>
      </c>
      <c r="H163" s="63">
        <f>IF(F163="", "", NETWORKDAYS.INTL(F163, G163, 11,祝日シート!A:A))</f>
        <v>1</v>
      </c>
      <c r="I163" s="65">
        <v>2.0833333333333329E-2</v>
      </c>
      <c r="J163" s="63" t="s">
        <v>45</v>
      </c>
      <c r="K163" s="63" t="s">
        <v>120</v>
      </c>
      <c r="L163" s="63"/>
      <c r="M163" s="63" t="s">
        <v>152</v>
      </c>
      <c r="N163" s="63" t="s">
        <v>6</v>
      </c>
      <c r="O163" s="63" t="s">
        <v>7</v>
      </c>
      <c r="P163" s="66" t="s">
        <v>357</v>
      </c>
      <c r="Q163" s="66" t="s">
        <v>358</v>
      </c>
    </row>
    <row r="164" spans="2:17" ht="18.75" hidden="1" customHeight="1">
      <c r="B164" s="63" t="str">
        <f t="shared" si="4"/>
        <v>No161</v>
      </c>
      <c r="C164" s="63" t="str">
        <f t="shared" si="5"/>
        <v>202506</v>
      </c>
      <c r="D164" s="63" t="s">
        <v>3</v>
      </c>
      <c r="E164" s="63" t="s">
        <v>155</v>
      </c>
      <c r="F164" s="64">
        <v>45814.583333333343</v>
      </c>
      <c r="G164" s="64">
        <v>45814.604166666657</v>
      </c>
      <c r="H164" s="63">
        <f>IF(F164="", "", NETWORKDAYS.INTL(F164, G164, 11,祝日シート!A:A))</f>
        <v>1</v>
      </c>
      <c r="I164" s="65">
        <v>2.0833333333333329E-2</v>
      </c>
      <c r="J164" s="63" t="s">
        <v>119</v>
      </c>
      <c r="K164" s="63" t="s">
        <v>77</v>
      </c>
      <c r="L164" s="63"/>
      <c r="M164" s="63" t="s">
        <v>99</v>
      </c>
      <c r="N164" s="63" t="s">
        <v>122</v>
      </c>
      <c r="O164" s="63" t="s">
        <v>7</v>
      </c>
      <c r="P164" s="66" t="s">
        <v>359</v>
      </c>
      <c r="Q164" s="66" t="s">
        <v>158</v>
      </c>
    </row>
    <row r="165" spans="2:17" ht="27.75" customHeight="1">
      <c r="B165" s="63" t="str">
        <f t="shared" si="4"/>
        <v>No162</v>
      </c>
      <c r="C165" s="63" t="str">
        <f t="shared" si="5"/>
        <v>202506</v>
      </c>
      <c r="D165" s="63" t="s">
        <v>142</v>
      </c>
      <c r="E165" s="63" t="s">
        <v>4</v>
      </c>
      <c r="F165" s="64">
        <v>45814.583333333343</v>
      </c>
      <c r="G165" s="64">
        <v>45814.604166666657</v>
      </c>
      <c r="H165" s="63">
        <f>IF(F165="", "", NETWORKDAYS.INTL(F165, G165, 11,祝日シート!A:A))</f>
        <v>1</v>
      </c>
      <c r="I165" s="65">
        <v>2.0833333333333329E-2</v>
      </c>
      <c r="J165" s="63" t="s">
        <v>20</v>
      </c>
      <c r="K165" s="63" t="s">
        <v>77</v>
      </c>
      <c r="L165" s="63"/>
      <c r="M165" s="63" t="s">
        <v>140</v>
      </c>
      <c r="N165" s="63" t="s">
        <v>6</v>
      </c>
      <c r="O165" s="63" t="s">
        <v>7</v>
      </c>
      <c r="P165" s="66" t="s">
        <v>360</v>
      </c>
      <c r="Q165" s="66" t="s">
        <v>361</v>
      </c>
    </row>
    <row r="166" spans="2:17" ht="18.75" customHeight="1">
      <c r="B166" s="63" t="str">
        <f t="shared" si="4"/>
        <v>No163</v>
      </c>
      <c r="C166" s="63" t="str">
        <f t="shared" si="5"/>
        <v>202506</v>
      </c>
      <c r="D166" s="63" t="s">
        <v>142</v>
      </c>
      <c r="E166" s="63" t="s">
        <v>4</v>
      </c>
      <c r="F166" s="64">
        <v>45814.666666666657</v>
      </c>
      <c r="G166" s="64">
        <v>45814.6875</v>
      </c>
      <c r="H166" s="63">
        <f>IF(F166="", "", NETWORKDAYS.INTL(F166, G166, 11,祝日シート!A:A))</f>
        <v>1</v>
      </c>
      <c r="I166" s="65">
        <v>2.0833333333333329E-2</v>
      </c>
      <c r="J166" s="63" t="s">
        <v>20</v>
      </c>
      <c r="K166" s="63" t="s">
        <v>111</v>
      </c>
      <c r="L166" s="63"/>
      <c r="M166" s="63" t="s">
        <v>112</v>
      </c>
      <c r="N166" s="63" t="s">
        <v>6</v>
      </c>
      <c r="O166" s="63" t="s">
        <v>7</v>
      </c>
      <c r="P166" s="66" t="s">
        <v>362</v>
      </c>
      <c r="Q166" s="66" t="s">
        <v>363</v>
      </c>
    </row>
    <row r="167" spans="2:17" ht="18.75" hidden="1" customHeight="1">
      <c r="B167" s="63" t="str">
        <f t="shared" si="4"/>
        <v>No164</v>
      </c>
      <c r="C167" s="63" t="str">
        <f t="shared" si="5"/>
        <v>202506</v>
      </c>
      <c r="D167" s="63" t="s">
        <v>142</v>
      </c>
      <c r="E167" s="63" t="s">
        <v>155</v>
      </c>
      <c r="F167" s="64">
        <v>45817.378472222219</v>
      </c>
      <c r="G167" s="64">
        <v>45817.385416666657</v>
      </c>
      <c r="H167" s="63">
        <f>IF(F167="", "", NETWORKDAYS.INTL(F167, G167, 11,祝日シート!A:A))</f>
        <v>1</v>
      </c>
      <c r="I167" s="65">
        <v>6.9444444444444441E-3</v>
      </c>
      <c r="J167" s="63" t="s">
        <v>20</v>
      </c>
      <c r="K167" s="63" t="s">
        <v>35</v>
      </c>
      <c r="L167" s="63"/>
      <c r="M167" s="63" t="s">
        <v>280</v>
      </c>
      <c r="N167" s="63" t="s">
        <v>122</v>
      </c>
      <c r="O167" s="63" t="s">
        <v>7</v>
      </c>
      <c r="P167" s="66" t="s">
        <v>364</v>
      </c>
      <c r="Q167" s="66" t="s">
        <v>365</v>
      </c>
    </row>
    <row r="168" spans="2:17" ht="18.75" customHeight="1">
      <c r="B168" s="63" t="str">
        <f t="shared" si="4"/>
        <v>No165</v>
      </c>
      <c r="C168" s="63" t="str">
        <f t="shared" si="5"/>
        <v>202506</v>
      </c>
      <c r="D168" s="63" t="s">
        <v>186</v>
      </c>
      <c r="E168" s="63" t="s">
        <v>4</v>
      </c>
      <c r="F168" s="64">
        <v>45817.6875</v>
      </c>
      <c r="G168" s="64">
        <v>45817.697916666657</v>
      </c>
      <c r="H168" s="63">
        <f>IF(F168="", "", NETWORKDAYS.INTL(F168, G168, 11,祝日シート!A:A))</f>
        <v>1</v>
      </c>
      <c r="I168" s="65">
        <v>1.041666666666667E-2</v>
      </c>
      <c r="J168" s="63" t="s">
        <v>61</v>
      </c>
      <c r="K168" s="63" t="s">
        <v>143</v>
      </c>
      <c r="L168" s="63"/>
      <c r="M168" s="63" t="s">
        <v>229</v>
      </c>
      <c r="N168" s="63" t="s">
        <v>6</v>
      </c>
      <c r="O168" s="63" t="s">
        <v>7</v>
      </c>
      <c r="P168" s="66" t="s">
        <v>366</v>
      </c>
      <c r="Q168" s="66" t="s">
        <v>367</v>
      </c>
    </row>
    <row r="169" spans="2:17" ht="18.75" customHeight="1">
      <c r="B169" s="63" t="str">
        <f t="shared" si="4"/>
        <v>No166</v>
      </c>
      <c r="C169" s="63" t="str">
        <f t="shared" si="5"/>
        <v>202506</v>
      </c>
      <c r="D169" s="63" t="s">
        <v>142</v>
      </c>
      <c r="E169" s="63" t="s">
        <v>4</v>
      </c>
      <c r="F169" s="64">
        <v>45818.395833333343</v>
      </c>
      <c r="G169" s="68">
        <v>45818.520833333343</v>
      </c>
      <c r="H169" s="63">
        <f>IF(F169="", "", NETWORKDAYS.INTL(F169, G169, 11,祝日シート!A:A))</f>
        <v>1</v>
      </c>
      <c r="I169" s="65">
        <v>4.1666666666666657E-2</v>
      </c>
      <c r="J169" s="63" t="s">
        <v>20</v>
      </c>
      <c r="K169" s="63" t="s">
        <v>111</v>
      </c>
      <c r="L169" s="63"/>
      <c r="M169" s="63" t="s">
        <v>114</v>
      </c>
      <c r="N169" s="63" t="s">
        <v>6</v>
      </c>
      <c r="O169" s="63" t="s">
        <v>7</v>
      </c>
      <c r="P169" s="66" t="s">
        <v>368</v>
      </c>
      <c r="Q169" s="66" t="s">
        <v>369</v>
      </c>
    </row>
    <row r="170" spans="2:17" ht="18.75" customHeight="1">
      <c r="B170" s="63" t="str">
        <f t="shared" si="4"/>
        <v>No167</v>
      </c>
      <c r="C170" s="63" t="str">
        <f t="shared" si="5"/>
        <v>202506</v>
      </c>
      <c r="D170" s="63" t="s">
        <v>166</v>
      </c>
      <c r="E170" s="63" t="s">
        <v>4</v>
      </c>
      <c r="F170" s="64">
        <v>45818.416666666657</v>
      </c>
      <c r="G170" s="64">
        <v>45818.583333333343</v>
      </c>
      <c r="H170" s="63">
        <f>IF(F170="", "", NETWORKDAYS.INTL(F170, G170, 11,祝日シート!A:A))</f>
        <v>1</v>
      </c>
      <c r="I170" s="65">
        <v>0.16666666666666671</v>
      </c>
      <c r="J170" s="63" t="s">
        <v>20</v>
      </c>
      <c r="K170" s="63" t="s">
        <v>311</v>
      </c>
      <c r="L170" s="63"/>
      <c r="M170" s="63" t="s">
        <v>121</v>
      </c>
      <c r="N170" s="63" t="s">
        <v>122</v>
      </c>
      <c r="O170" s="63" t="s">
        <v>7</v>
      </c>
      <c r="P170" s="66" t="s">
        <v>370</v>
      </c>
      <c r="Q170" s="66" t="s">
        <v>371</v>
      </c>
    </row>
    <row r="171" spans="2:17" ht="18.75" hidden="1" customHeight="1">
      <c r="B171" s="63" t="str">
        <f t="shared" si="4"/>
        <v>No168</v>
      </c>
      <c r="C171" s="63" t="str">
        <f t="shared" si="5"/>
        <v>202506</v>
      </c>
      <c r="D171" s="63" t="s">
        <v>142</v>
      </c>
      <c r="E171" s="63" t="s">
        <v>155</v>
      </c>
      <c r="F171" s="64">
        <v>45818.416666666657</v>
      </c>
      <c r="G171" s="64">
        <v>45818.520833333343</v>
      </c>
      <c r="H171" s="63">
        <f>IF(F171="", "", NETWORKDAYS.INTL(F171, G171, 11,祝日シート!A:A))</f>
        <v>1</v>
      </c>
      <c r="I171" s="65">
        <v>0.1041666666666667</v>
      </c>
      <c r="J171" s="63" t="s">
        <v>119</v>
      </c>
      <c r="K171" s="63" t="s">
        <v>77</v>
      </c>
      <c r="L171" s="63"/>
      <c r="M171" s="63" t="s">
        <v>372</v>
      </c>
      <c r="N171" s="63" t="s">
        <v>122</v>
      </c>
      <c r="O171" s="63" t="s">
        <v>7</v>
      </c>
      <c r="P171" s="66" t="s">
        <v>373</v>
      </c>
      <c r="Q171" s="66" t="s">
        <v>374</v>
      </c>
    </row>
    <row r="172" spans="2:17" ht="18.75" hidden="1" customHeight="1">
      <c r="B172" s="63" t="str">
        <f t="shared" si="4"/>
        <v>No169</v>
      </c>
      <c r="C172" s="63" t="str">
        <f t="shared" si="5"/>
        <v>202506</v>
      </c>
      <c r="D172" s="63" t="s">
        <v>142</v>
      </c>
      <c r="E172" s="63" t="s">
        <v>155</v>
      </c>
      <c r="F172" s="64">
        <v>45818.472222222219</v>
      </c>
      <c r="G172" s="64">
        <v>45818.479166666657</v>
      </c>
      <c r="H172" s="63">
        <f>IF(F172="", "", NETWORKDAYS.INTL(F172, G172, 11,祝日シート!A:A))</f>
        <v>1</v>
      </c>
      <c r="I172" s="65">
        <v>6.9444444444444441E-3</v>
      </c>
      <c r="J172" s="63" t="s">
        <v>119</v>
      </c>
      <c r="K172" s="63" t="s">
        <v>159</v>
      </c>
      <c r="L172" s="63"/>
      <c r="M172" s="63" t="s">
        <v>160</v>
      </c>
      <c r="N172" s="63" t="s">
        <v>122</v>
      </c>
      <c r="O172" s="63" t="s">
        <v>7</v>
      </c>
      <c r="P172" s="66" t="s">
        <v>179</v>
      </c>
      <c r="Q172" s="66" t="s">
        <v>158</v>
      </c>
    </row>
    <row r="173" spans="2:17" ht="18.75" hidden="1" customHeight="1">
      <c r="B173" s="63" t="str">
        <f t="shared" si="4"/>
        <v>No170</v>
      </c>
      <c r="C173" s="63" t="str">
        <f t="shared" si="5"/>
        <v>202506</v>
      </c>
      <c r="D173" s="63" t="s">
        <v>142</v>
      </c>
      <c r="E173" s="63" t="s">
        <v>155</v>
      </c>
      <c r="F173" s="64">
        <v>45818.5</v>
      </c>
      <c r="G173" s="64">
        <v>45818.510416666657</v>
      </c>
      <c r="H173" s="63">
        <f>IF(F173="", "", NETWORKDAYS.INTL(F173, G173, 11,祝日シート!A:A))</f>
        <v>1</v>
      </c>
      <c r="I173" s="65">
        <v>1.041666666666667E-2</v>
      </c>
      <c r="J173" s="63" t="s">
        <v>119</v>
      </c>
      <c r="K173" s="63" t="s">
        <v>77</v>
      </c>
      <c r="L173" s="63"/>
      <c r="M173" s="63" t="s">
        <v>99</v>
      </c>
      <c r="N173" s="63" t="s">
        <v>122</v>
      </c>
      <c r="O173" s="63" t="s">
        <v>7</v>
      </c>
      <c r="P173" s="66" t="s">
        <v>375</v>
      </c>
      <c r="Q173" s="66" t="s">
        <v>158</v>
      </c>
    </row>
    <row r="174" spans="2:17" ht="18.75" hidden="1" customHeight="1">
      <c r="B174" s="63" t="str">
        <f t="shared" si="4"/>
        <v>No171</v>
      </c>
      <c r="C174" s="63" t="str">
        <f t="shared" si="5"/>
        <v>202506</v>
      </c>
      <c r="D174" s="63" t="s">
        <v>142</v>
      </c>
      <c r="E174" s="63" t="s">
        <v>116</v>
      </c>
      <c r="F174" s="64">
        <v>45819.399305555547</v>
      </c>
      <c r="G174" s="64">
        <v>45819.402777777781</v>
      </c>
      <c r="H174" s="63">
        <f>IF(F174="", "", NETWORKDAYS.INTL(F174, G174, 11,祝日シート!A:A))</f>
        <v>1</v>
      </c>
      <c r="I174" s="65">
        <v>3.472222222222222E-3</v>
      </c>
      <c r="J174" s="63" t="s">
        <v>119</v>
      </c>
      <c r="K174" s="63" t="s">
        <v>111</v>
      </c>
      <c r="L174" s="63"/>
      <c r="M174" s="63" t="s">
        <v>229</v>
      </c>
      <c r="N174" s="63" t="s">
        <v>122</v>
      </c>
      <c r="O174" s="63" t="s">
        <v>7</v>
      </c>
      <c r="P174" s="66" t="s">
        <v>208</v>
      </c>
      <c r="Q174" s="66" t="s">
        <v>158</v>
      </c>
    </row>
    <row r="175" spans="2:17" ht="30.75" customHeight="1">
      <c r="B175" s="63" t="str">
        <f t="shared" si="4"/>
        <v>No172</v>
      </c>
      <c r="C175" s="63" t="str">
        <f t="shared" si="5"/>
        <v>202506</v>
      </c>
      <c r="D175" s="63" t="s">
        <v>166</v>
      </c>
      <c r="E175" s="63" t="s">
        <v>4</v>
      </c>
      <c r="F175" s="64">
        <v>45819.416666666657</v>
      </c>
      <c r="G175" s="64">
        <v>45819.708333333343</v>
      </c>
      <c r="H175" s="63">
        <f>IF(F175="", "", NETWORKDAYS.INTL(F175, G175, 11,祝日シート!A:A))</f>
        <v>1</v>
      </c>
      <c r="I175" s="65">
        <v>0.125</v>
      </c>
      <c r="J175" s="63" t="s">
        <v>20</v>
      </c>
      <c r="K175" s="63" t="s">
        <v>311</v>
      </c>
      <c r="L175" s="63"/>
      <c r="M175" s="63" t="s">
        <v>121</v>
      </c>
      <c r="N175" s="63" t="s">
        <v>122</v>
      </c>
      <c r="O175" s="63" t="s">
        <v>7</v>
      </c>
      <c r="P175" s="66" t="s">
        <v>376</v>
      </c>
      <c r="Q175" s="66" t="s">
        <v>377</v>
      </c>
    </row>
    <row r="176" spans="2:17" ht="18.75" hidden="1" customHeight="1">
      <c r="B176" s="63" t="str">
        <f t="shared" si="4"/>
        <v>No173</v>
      </c>
      <c r="C176" s="63" t="str">
        <f t="shared" si="5"/>
        <v>202506</v>
      </c>
      <c r="D176" s="63" t="s">
        <v>142</v>
      </c>
      <c r="E176" s="63" t="s">
        <v>155</v>
      </c>
      <c r="F176" s="64">
        <v>45819.458333333343</v>
      </c>
      <c r="G176" s="64">
        <v>45819.5</v>
      </c>
      <c r="H176" s="63">
        <f>IF(F176="", "", NETWORKDAYS.INTL(F176, G176, 11,祝日シート!A:A))</f>
        <v>1</v>
      </c>
      <c r="I176" s="65">
        <v>2.0833333333333329E-2</v>
      </c>
      <c r="J176" s="63" t="s">
        <v>119</v>
      </c>
      <c r="K176" s="63" t="s">
        <v>77</v>
      </c>
      <c r="L176" s="63"/>
      <c r="M176" s="63" t="s">
        <v>211</v>
      </c>
      <c r="N176" s="63" t="s">
        <v>122</v>
      </c>
      <c r="O176" s="63" t="s">
        <v>7</v>
      </c>
      <c r="P176" s="66" t="s">
        <v>378</v>
      </c>
      <c r="Q176" s="66" t="s">
        <v>379</v>
      </c>
    </row>
    <row r="177" spans="2:17" ht="27.75" customHeight="1">
      <c r="B177" s="63" t="str">
        <f t="shared" si="4"/>
        <v>No174</v>
      </c>
      <c r="C177" s="63" t="str">
        <f t="shared" si="5"/>
        <v>202506</v>
      </c>
      <c r="D177" s="63" t="s">
        <v>142</v>
      </c>
      <c r="E177" s="63" t="s">
        <v>4</v>
      </c>
      <c r="F177" s="64">
        <v>45819.541666666657</v>
      </c>
      <c r="G177" s="64">
        <v>45819.583333333343</v>
      </c>
      <c r="H177" s="63">
        <f>IF(F177="", "", NETWORKDAYS.INTL(F177, G177, 11,祝日シート!A:A))</f>
        <v>1</v>
      </c>
      <c r="I177" s="65">
        <v>4.1666666666666657E-2</v>
      </c>
      <c r="J177" s="63" t="s">
        <v>40</v>
      </c>
      <c r="K177" s="63" t="s">
        <v>26</v>
      </c>
      <c r="L177" s="63"/>
      <c r="M177" s="63" t="s">
        <v>121</v>
      </c>
      <c r="N177" s="63" t="s">
        <v>6</v>
      </c>
      <c r="O177" s="63" t="s">
        <v>7</v>
      </c>
      <c r="P177" s="66" t="s">
        <v>380</v>
      </c>
      <c r="Q177" s="66" t="s">
        <v>381</v>
      </c>
    </row>
    <row r="178" spans="2:17" ht="27.75" customHeight="1">
      <c r="B178" s="63" t="str">
        <f t="shared" si="4"/>
        <v>No175</v>
      </c>
      <c r="C178" s="63" t="str">
        <f t="shared" si="5"/>
        <v>202506</v>
      </c>
      <c r="D178" s="63" t="s">
        <v>142</v>
      </c>
      <c r="E178" s="63" t="s">
        <v>4</v>
      </c>
      <c r="F178" s="64">
        <v>45819.541666666657</v>
      </c>
      <c r="G178" s="64">
        <v>45819.583333333343</v>
      </c>
      <c r="H178" s="63">
        <f>IF(F178="", "", NETWORKDAYS.INTL(F178, G178, 11,祝日シート!A:A))</f>
        <v>1</v>
      </c>
      <c r="I178" s="65">
        <v>4.1666666666666657E-2</v>
      </c>
      <c r="J178" s="63" t="s">
        <v>40</v>
      </c>
      <c r="K178" s="63" t="s">
        <v>26</v>
      </c>
      <c r="L178" s="63"/>
      <c r="M178" s="63" t="s">
        <v>121</v>
      </c>
      <c r="N178" s="63" t="s">
        <v>6</v>
      </c>
      <c r="O178" s="63" t="s">
        <v>7</v>
      </c>
      <c r="P178" s="66" t="s">
        <v>380</v>
      </c>
      <c r="Q178" s="66" t="s">
        <v>381</v>
      </c>
    </row>
    <row r="179" spans="2:17" ht="27.75" hidden="1" customHeight="1">
      <c r="B179" s="63" t="str">
        <f t="shared" si="4"/>
        <v>No176</v>
      </c>
      <c r="C179" s="63" t="str">
        <f t="shared" si="5"/>
        <v>202506</v>
      </c>
      <c r="D179" s="63" t="s">
        <v>142</v>
      </c>
      <c r="E179" s="63" t="s">
        <v>155</v>
      </c>
      <c r="F179" s="64">
        <v>45819.697916666657</v>
      </c>
      <c r="G179" s="64">
        <v>45819.402777777781</v>
      </c>
      <c r="H179" s="63">
        <f>IF(F179="", "", NETWORKDAYS.INTL(F179, G179, 11,祝日シート!A:A))</f>
        <v>1</v>
      </c>
      <c r="I179" s="65">
        <v>4.1666666666666657E-2</v>
      </c>
      <c r="J179" s="63" t="s">
        <v>119</v>
      </c>
      <c r="K179" s="63" t="s">
        <v>159</v>
      </c>
      <c r="L179" s="63"/>
      <c r="M179" s="63" t="s">
        <v>187</v>
      </c>
      <c r="N179" s="63" t="s">
        <v>122</v>
      </c>
      <c r="O179" s="63" t="s">
        <v>7</v>
      </c>
      <c r="P179" s="66" t="s">
        <v>382</v>
      </c>
      <c r="Q179" s="66" t="s">
        <v>158</v>
      </c>
    </row>
    <row r="180" spans="2:17" ht="27.75" customHeight="1">
      <c r="B180" s="63" t="str">
        <f t="shared" si="4"/>
        <v>No177</v>
      </c>
      <c r="C180" s="63" t="str">
        <f t="shared" si="5"/>
        <v>202506</v>
      </c>
      <c r="D180" s="63" t="s">
        <v>166</v>
      </c>
      <c r="E180" s="63" t="s">
        <v>4</v>
      </c>
      <c r="F180" s="64">
        <v>45820.416666666657</v>
      </c>
      <c r="G180" s="64">
        <v>45820.458333333343</v>
      </c>
      <c r="H180" s="63">
        <f>IF(F180="", "", NETWORKDAYS.INTL(F180, G180, 11,祝日シート!A:A))</f>
        <v>1</v>
      </c>
      <c r="I180" s="65">
        <v>4.1666666666666657E-2</v>
      </c>
      <c r="J180" s="63" t="s">
        <v>20</v>
      </c>
      <c r="K180" s="63" t="s">
        <v>311</v>
      </c>
      <c r="L180" s="63"/>
      <c r="M180" s="63" t="s">
        <v>121</v>
      </c>
      <c r="N180" s="63" t="s">
        <v>122</v>
      </c>
      <c r="O180" s="63" t="s">
        <v>7</v>
      </c>
      <c r="P180" s="66" t="s">
        <v>383</v>
      </c>
      <c r="Q180" s="66" t="s">
        <v>384</v>
      </c>
    </row>
    <row r="181" spans="2:17" ht="27.75" customHeight="1">
      <c r="B181" s="63" t="str">
        <f t="shared" si="4"/>
        <v>No178</v>
      </c>
      <c r="C181" s="63" t="str">
        <f t="shared" si="5"/>
        <v>202506</v>
      </c>
      <c r="D181" s="63" t="s">
        <v>166</v>
      </c>
      <c r="E181" s="63" t="s">
        <v>4</v>
      </c>
      <c r="F181" s="64">
        <v>45820.416666666657</v>
      </c>
      <c r="G181" s="64">
        <v>45820.458333333343</v>
      </c>
      <c r="H181" s="63">
        <f>IF(F181="", "", NETWORKDAYS.INTL(F181, G181, 11,祝日シート!A:A))</f>
        <v>1</v>
      </c>
      <c r="I181" s="65">
        <v>4.1666666666666657E-2</v>
      </c>
      <c r="J181" s="63" t="s">
        <v>20</v>
      </c>
      <c r="K181" s="63" t="s">
        <v>311</v>
      </c>
      <c r="L181" s="63"/>
      <c r="M181" s="63" t="s">
        <v>121</v>
      </c>
      <c r="N181" s="63" t="s">
        <v>122</v>
      </c>
      <c r="O181" s="63" t="s">
        <v>7</v>
      </c>
      <c r="P181" s="66" t="s">
        <v>383</v>
      </c>
      <c r="Q181" s="66" t="s">
        <v>384</v>
      </c>
    </row>
    <row r="182" spans="2:17" ht="18.75" hidden="1" customHeight="1">
      <c r="B182" s="63" t="str">
        <f t="shared" si="4"/>
        <v>No179</v>
      </c>
      <c r="C182" s="63" t="str">
        <f t="shared" si="5"/>
        <v>202506</v>
      </c>
      <c r="D182" s="63" t="s">
        <v>142</v>
      </c>
      <c r="E182" s="63" t="s">
        <v>155</v>
      </c>
      <c r="F182" s="64">
        <v>45820.458333333343</v>
      </c>
      <c r="G182" s="64">
        <v>45820.465277777781</v>
      </c>
      <c r="H182" s="63">
        <f>IF(F182="", "", NETWORKDAYS.INTL(F182, G182, 11,祝日シート!A:A))</f>
        <v>1</v>
      </c>
      <c r="I182" s="65">
        <v>6.9444444444444441E-3</v>
      </c>
      <c r="J182" s="63" t="s">
        <v>119</v>
      </c>
      <c r="K182" s="63" t="s">
        <v>41</v>
      </c>
      <c r="L182" s="63"/>
      <c r="M182" s="63" t="s">
        <v>277</v>
      </c>
      <c r="N182" s="63" t="s">
        <v>122</v>
      </c>
      <c r="O182" s="63" t="s">
        <v>7</v>
      </c>
      <c r="P182" s="66" t="s">
        <v>385</v>
      </c>
      <c r="Q182" s="66" t="s">
        <v>158</v>
      </c>
    </row>
    <row r="183" spans="2:17" ht="18.75" hidden="1" customHeight="1">
      <c r="B183" s="63" t="str">
        <f t="shared" si="4"/>
        <v>No180</v>
      </c>
      <c r="C183" s="63" t="str">
        <f t="shared" si="5"/>
        <v>202506</v>
      </c>
      <c r="D183" s="63" t="s">
        <v>142</v>
      </c>
      <c r="E183" s="63" t="s">
        <v>155</v>
      </c>
      <c r="F183" s="64">
        <v>45820.638888888891</v>
      </c>
      <c r="G183" s="64">
        <v>45820.666666666657</v>
      </c>
      <c r="H183" s="63">
        <f>IF(F183="", "", NETWORKDAYS.INTL(F183, G183, 11,祝日シート!A:A))</f>
        <v>1</v>
      </c>
      <c r="I183" s="65">
        <v>2.777777777777778E-2</v>
      </c>
      <c r="J183" s="63" t="s">
        <v>119</v>
      </c>
      <c r="K183" s="63" t="s">
        <v>77</v>
      </c>
      <c r="L183" s="63"/>
      <c r="M183" s="63" t="s">
        <v>144</v>
      </c>
      <c r="N183" s="63" t="s">
        <v>122</v>
      </c>
      <c r="O183" s="63" t="s">
        <v>7</v>
      </c>
      <c r="P183" s="66" t="s">
        <v>386</v>
      </c>
      <c r="Q183" s="66" t="s">
        <v>158</v>
      </c>
    </row>
    <row r="184" spans="2:17" ht="24" hidden="1" customHeight="1">
      <c r="B184" s="63" t="str">
        <f t="shared" si="4"/>
        <v>No181</v>
      </c>
      <c r="C184" s="63" t="str">
        <f t="shared" si="5"/>
        <v>202506</v>
      </c>
      <c r="D184" s="63" t="s">
        <v>142</v>
      </c>
      <c r="E184" s="63" t="s">
        <v>155</v>
      </c>
      <c r="F184" s="64">
        <v>45820.833333333343</v>
      </c>
      <c r="G184" s="64">
        <v>45821.385416666657</v>
      </c>
      <c r="H184" s="63">
        <f>IF(F184="", "", NETWORKDAYS.INTL(F184, G184, 11,祝日シート!A:A))</f>
        <v>2</v>
      </c>
      <c r="I184" s="65">
        <v>2.0833333333333329E-2</v>
      </c>
      <c r="J184" s="63" t="s">
        <v>119</v>
      </c>
      <c r="K184" s="63" t="s">
        <v>77</v>
      </c>
      <c r="L184" s="63"/>
      <c r="M184" s="63" t="s">
        <v>144</v>
      </c>
      <c r="N184" s="63" t="s">
        <v>122</v>
      </c>
      <c r="O184" s="63" t="s">
        <v>7</v>
      </c>
      <c r="P184" s="66" t="s">
        <v>386</v>
      </c>
      <c r="Q184" s="66" t="s">
        <v>158</v>
      </c>
    </row>
    <row r="185" spans="2:17" ht="18.75" customHeight="1">
      <c r="B185" s="63" t="str">
        <f t="shared" si="4"/>
        <v>No182</v>
      </c>
      <c r="C185" s="63" t="str">
        <f t="shared" si="5"/>
        <v>202506</v>
      </c>
      <c r="D185" s="63" t="s">
        <v>104</v>
      </c>
      <c r="E185" s="63" t="s">
        <v>4</v>
      </c>
      <c r="F185" s="64">
        <v>45821.375</v>
      </c>
      <c r="G185" s="64">
        <v>45821.541666666657</v>
      </c>
      <c r="H185" s="63">
        <f>IF(F185="", "", NETWORKDAYS.INTL(F185, G185, 11,祝日シート!A:A))</f>
        <v>1</v>
      </c>
      <c r="I185" s="65">
        <v>0.16666666666666671</v>
      </c>
      <c r="J185" s="63" t="s">
        <v>45</v>
      </c>
      <c r="K185" s="63" t="s">
        <v>120</v>
      </c>
      <c r="L185" s="63"/>
      <c r="M185" s="63" t="s">
        <v>387</v>
      </c>
      <c r="N185" s="63" t="s">
        <v>6</v>
      </c>
      <c r="O185" s="63" t="s">
        <v>7</v>
      </c>
      <c r="P185" s="66" t="s">
        <v>388</v>
      </c>
      <c r="Q185" s="66" t="s">
        <v>389</v>
      </c>
    </row>
    <row r="186" spans="2:17" ht="18.75" customHeight="1">
      <c r="B186" s="63" t="str">
        <f t="shared" si="4"/>
        <v>No183</v>
      </c>
      <c r="C186" s="63" t="str">
        <f t="shared" si="5"/>
        <v>202506</v>
      </c>
      <c r="D186" s="63" t="s">
        <v>3</v>
      </c>
      <c r="E186" s="63" t="s">
        <v>4</v>
      </c>
      <c r="F186" s="64">
        <v>45821.395833333343</v>
      </c>
      <c r="G186" s="64">
        <v>45821.40625</v>
      </c>
      <c r="H186" s="63">
        <f>IF(F186="", "", NETWORKDAYS.INTL(F186, G186, 11,祝日シート!A:A))</f>
        <v>1</v>
      </c>
      <c r="I186" s="65">
        <v>1.041666666666667E-2</v>
      </c>
      <c r="J186" s="63" t="s">
        <v>45</v>
      </c>
      <c r="K186" s="63" t="s">
        <v>26</v>
      </c>
      <c r="L186" s="63"/>
      <c r="M186" s="63" t="s">
        <v>155</v>
      </c>
      <c r="N186" s="63" t="s">
        <v>6</v>
      </c>
      <c r="O186" s="63" t="s">
        <v>7</v>
      </c>
      <c r="P186" s="66" t="s">
        <v>390</v>
      </c>
      <c r="Q186" s="66" t="s">
        <v>391</v>
      </c>
    </row>
    <row r="187" spans="2:17" ht="18.75" hidden="1" customHeight="1">
      <c r="B187" s="63" t="str">
        <f t="shared" si="4"/>
        <v>No184</v>
      </c>
      <c r="C187" s="63" t="str">
        <f t="shared" si="5"/>
        <v>202506</v>
      </c>
      <c r="D187" s="63" t="s">
        <v>142</v>
      </c>
      <c r="E187" s="63" t="s">
        <v>155</v>
      </c>
      <c r="F187" s="64">
        <v>45821.416666666657</v>
      </c>
      <c r="G187" s="64">
        <v>45821.423611111109</v>
      </c>
      <c r="H187" s="63">
        <f>IF(F187="", "", NETWORKDAYS.INTL(F187, G187, 11,祝日シート!A:A))</f>
        <v>1</v>
      </c>
      <c r="I187" s="65">
        <v>6.9444444444444441E-3</v>
      </c>
      <c r="J187" s="63" t="s">
        <v>119</v>
      </c>
      <c r="K187" s="63" t="s">
        <v>159</v>
      </c>
      <c r="L187" s="63"/>
      <c r="M187" s="63" t="s">
        <v>160</v>
      </c>
      <c r="N187" s="63" t="s">
        <v>122</v>
      </c>
      <c r="O187" s="63" t="s">
        <v>7</v>
      </c>
      <c r="P187" s="66" t="s">
        <v>179</v>
      </c>
      <c r="Q187" s="66" t="s">
        <v>158</v>
      </c>
    </row>
    <row r="188" spans="2:17" ht="24" hidden="1" customHeight="1">
      <c r="B188" s="63" t="str">
        <f t="shared" si="4"/>
        <v>No185</v>
      </c>
      <c r="C188" s="63" t="str">
        <f t="shared" si="5"/>
        <v>202506</v>
      </c>
      <c r="D188" s="63" t="s">
        <v>142</v>
      </c>
      <c r="E188" s="63" t="s">
        <v>155</v>
      </c>
      <c r="F188" s="64">
        <v>45821.461805555547</v>
      </c>
      <c r="G188" s="64">
        <v>45821.482638888891</v>
      </c>
      <c r="H188" s="63">
        <f>IF(F188="", "", NETWORKDAYS.INTL(F188, G188, 11,祝日シート!A:A))</f>
        <v>1</v>
      </c>
      <c r="I188" s="65">
        <v>6.9444444444444441E-3</v>
      </c>
      <c r="J188" s="63" t="s">
        <v>119</v>
      </c>
      <c r="K188" s="63" t="s">
        <v>159</v>
      </c>
      <c r="L188" s="63"/>
      <c r="M188" s="63" t="s">
        <v>160</v>
      </c>
      <c r="N188" s="63" t="s">
        <v>122</v>
      </c>
      <c r="O188" s="63" t="s">
        <v>7</v>
      </c>
      <c r="P188" s="66" t="s">
        <v>179</v>
      </c>
      <c r="Q188" s="66" t="s">
        <v>158</v>
      </c>
    </row>
    <row r="189" spans="2:17" ht="18.75" hidden="1" customHeight="1">
      <c r="B189" s="63" t="str">
        <f t="shared" si="4"/>
        <v>No186</v>
      </c>
      <c r="C189" s="63" t="str">
        <f t="shared" si="5"/>
        <v>202506</v>
      </c>
      <c r="D189" s="63" t="s">
        <v>142</v>
      </c>
      <c r="E189" s="63" t="s">
        <v>155</v>
      </c>
      <c r="F189" s="64">
        <v>45821.520833333343</v>
      </c>
      <c r="G189" s="64">
        <v>45821.756944444453</v>
      </c>
      <c r="H189" s="63">
        <f>IF(F189="", "", NETWORKDAYS.INTL(F189, G189, 11,祝日シート!A:A))</f>
        <v>1</v>
      </c>
      <c r="I189" s="65">
        <v>2.0833333333333329E-2</v>
      </c>
      <c r="J189" s="63" t="s">
        <v>119</v>
      </c>
      <c r="K189" s="63" t="s">
        <v>77</v>
      </c>
      <c r="L189" s="63"/>
      <c r="M189" s="63" t="s">
        <v>144</v>
      </c>
      <c r="N189" s="63" t="s">
        <v>122</v>
      </c>
      <c r="O189" s="63" t="s">
        <v>7</v>
      </c>
      <c r="P189" s="66" t="s">
        <v>386</v>
      </c>
      <c r="Q189" s="66" t="s">
        <v>158</v>
      </c>
    </row>
    <row r="190" spans="2:17" ht="24.75" customHeight="1">
      <c r="B190" s="63" t="str">
        <f t="shared" si="4"/>
        <v>No187</v>
      </c>
      <c r="C190" s="63" t="str">
        <f t="shared" si="5"/>
        <v>202506</v>
      </c>
      <c r="D190" s="63" t="s">
        <v>166</v>
      </c>
      <c r="E190" s="63" t="s">
        <v>4</v>
      </c>
      <c r="F190" s="64">
        <v>45824.416666666657</v>
      </c>
      <c r="G190" s="64">
        <v>45824.458333333343</v>
      </c>
      <c r="H190" s="63">
        <f>IF(F190="", "", NETWORKDAYS.INTL(F190, G190, 11,祝日シート!A:A))</f>
        <v>1</v>
      </c>
      <c r="I190" s="65">
        <v>4.1666666666666657E-2</v>
      </c>
      <c r="J190" s="63" t="s">
        <v>45</v>
      </c>
      <c r="K190" s="63" t="s">
        <v>121</v>
      </c>
      <c r="L190" s="63"/>
      <c r="M190" s="63" t="s">
        <v>121</v>
      </c>
      <c r="N190" s="63" t="s">
        <v>6</v>
      </c>
      <c r="O190" s="63" t="s">
        <v>7</v>
      </c>
      <c r="P190" s="66" t="s">
        <v>392</v>
      </c>
      <c r="Q190" s="66" t="s">
        <v>393</v>
      </c>
    </row>
    <row r="191" spans="2:17" ht="24.75" hidden="1" customHeight="1">
      <c r="B191" s="63" t="str">
        <f t="shared" si="4"/>
        <v>No188</v>
      </c>
      <c r="C191" s="63" t="str">
        <f t="shared" si="5"/>
        <v>202506</v>
      </c>
      <c r="D191" s="63" t="s">
        <v>142</v>
      </c>
      <c r="E191" s="63" t="s">
        <v>155</v>
      </c>
      <c r="F191" s="64">
        <v>45825.381944444453</v>
      </c>
      <c r="G191" s="64">
        <v>45825.388888888891</v>
      </c>
      <c r="H191" s="63">
        <f>IF(F191="", "", NETWORKDAYS.INTL(F191, G191, 11,祝日シート!A:A))</f>
        <v>1</v>
      </c>
      <c r="I191" s="65">
        <v>6.9444444444444441E-3</v>
      </c>
      <c r="J191" s="63" t="s">
        <v>119</v>
      </c>
      <c r="K191" s="63" t="s">
        <v>159</v>
      </c>
      <c r="L191" s="63"/>
      <c r="M191" s="63" t="s">
        <v>187</v>
      </c>
      <c r="N191" s="63" t="s">
        <v>122</v>
      </c>
      <c r="O191" s="63" t="s">
        <v>7</v>
      </c>
      <c r="P191" s="66" t="s">
        <v>208</v>
      </c>
      <c r="Q191" s="66" t="s">
        <v>158</v>
      </c>
    </row>
    <row r="192" spans="2:17" ht="18.75" customHeight="1">
      <c r="B192" s="63" t="str">
        <f t="shared" si="4"/>
        <v>No189</v>
      </c>
      <c r="C192" s="63" t="str">
        <f t="shared" si="5"/>
        <v>202506</v>
      </c>
      <c r="D192" s="63" t="s">
        <v>3</v>
      </c>
      <c r="E192" s="63" t="s">
        <v>4</v>
      </c>
      <c r="F192" s="64">
        <v>45825.395833333343</v>
      </c>
      <c r="G192" s="64">
        <v>45825.416666666657</v>
      </c>
      <c r="H192" s="63">
        <f>IF(F192="", "", NETWORKDAYS.INTL(F192, G192, 11,祝日シート!A:A))</f>
        <v>1</v>
      </c>
      <c r="I192" s="65">
        <v>2.0833333333333329E-2</v>
      </c>
      <c r="J192" s="63" t="s">
        <v>40</v>
      </c>
      <c r="K192" s="63" t="s">
        <v>121</v>
      </c>
      <c r="L192" s="63"/>
      <c r="M192" s="63" t="s">
        <v>121</v>
      </c>
      <c r="N192" s="63" t="s">
        <v>6</v>
      </c>
      <c r="O192" s="63" t="s">
        <v>7</v>
      </c>
      <c r="P192" s="66" t="s">
        <v>394</v>
      </c>
      <c r="Q192" s="66" t="s">
        <v>395</v>
      </c>
    </row>
    <row r="193" spans="2:17" ht="23.25" customHeight="1">
      <c r="B193" s="63" t="str">
        <f t="shared" si="4"/>
        <v>No190</v>
      </c>
      <c r="C193" s="63" t="str">
        <f t="shared" si="5"/>
        <v>202506</v>
      </c>
      <c r="D193" s="63" t="s">
        <v>142</v>
      </c>
      <c r="E193" s="63" t="s">
        <v>4</v>
      </c>
      <c r="F193" s="64">
        <v>45825.4375</v>
      </c>
      <c r="G193" s="64">
        <v>45825.5</v>
      </c>
      <c r="H193" s="63">
        <f>IF(F193="", "", NETWORKDAYS.INTL(F193, G193, 11,祝日シート!A:A))</f>
        <v>1</v>
      </c>
      <c r="I193" s="65">
        <v>6.25E-2</v>
      </c>
      <c r="J193" s="63" t="s">
        <v>45</v>
      </c>
      <c r="K193" s="63" t="s">
        <v>121</v>
      </c>
      <c r="L193" s="63"/>
      <c r="M193" s="63" t="s">
        <v>121</v>
      </c>
      <c r="N193" s="63" t="s">
        <v>6</v>
      </c>
      <c r="O193" s="63" t="s">
        <v>7</v>
      </c>
      <c r="P193" s="66" t="s">
        <v>396</v>
      </c>
      <c r="Q193" s="66" t="s">
        <v>397</v>
      </c>
    </row>
    <row r="194" spans="2:17" ht="23.25" customHeight="1">
      <c r="B194" s="63" t="str">
        <f t="shared" si="4"/>
        <v>No191</v>
      </c>
      <c r="C194" s="63" t="str">
        <f t="shared" si="5"/>
        <v>202506</v>
      </c>
      <c r="D194" s="63" t="s">
        <v>3</v>
      </c>
      <c r="E194" s="63" t="s">
        <v>4</v>
      </c>
      <c r="F194" s="64">
        <v>45825.458333333343</v>
      </c>
      <c r="G194" s="64">
        <v>45825.479166666657</v>
      </c>
      <c r="H194" s="63">
        <f>IF(F194="", "", NETWORKDAYS.INTL(F194, G194, 11,祝日シート!A:A))</f>
        <v>1</v>
      </c>
      <c r="I194" s="65">
        <v>2.0833333333333329E-2</v>
      </c>
      <c r="J194" s="63" t="s">
        <v>143</v>
      </c>
      <c r="K194" s="63" t="s">
        <v>121</v>
      </c>
      <c r="L194" s="63"/>
      <c r="M194" s="63" t="s">
        <v>121</v>
      </c>
      <c r="N194" s="63" t="s">
        <v>6</v>
      </c>
      <c r="O194" s="63" t="s">
        <v>7</v>
      </c>
      <c r="P194" s="66" t="s">
        <v>398</v>
      </c>
      <c r="Q194" s="66" t="s">
        <v>399</v>
      </c>
    </row>
    <row r="195" spans="2:17" ht="18.75" hidden="1" customHeight="1">
      <c r="B195" s="63" t="str">
        <f t="shared" si="4"/>
        <v>No192</v>
      </c>
      <c r="C195" s="63" t="str">
        <f t="shared" si="5"/>
        <v>202506</v>
      </c>
      <c r="D195" s="63" t="s">
        <v>142</v>
      </c>
      <c r="E195" s="63" t="s">
        <v>155</v>
      </c>
      <c r="F195" s="64">
        <v>45825.489583333343</v>
      </c>
      <c r="G195" s="64">
        <v>45825.496527777781</v>
      </c>
      <c r="H195" s="63">
        <f>IF(F195="", "", NETWORKDAYS.INTL(F195, G195, 11,祝日シート!A:A))</f>
        <v>1</v>
      </c>
      <c r="I195" s="65">
        <v>6.9444444444444441E-3</v>
      </c>
      <c r="J195" s="63" t="s">
        <v>119</v>
      </c>
      <c r="K195" s="63" t="s">
        <v>77</v>
      </c>
      <c r="L195" s="63"/>
      <c r="M195" s="63" t="s">
        <v>140</v>
      </c>
      <c r="N195" s="63" t="s">
        <v>122</v>
      </c>
      <c r="O195" s="63" t="s">
        <v>7</v>
      </c>
      <c r="P195" s="66" t="s">
        <v>322</v>
      </c>
      <c r="Q195" s="66" t="s">
        <v>158</v>
      </c>
    </row>
    <row r="196" spans="2:17" ht="28.5" customHeight="1">
      <c r="B196" s="63" t="str">
        <f t="shared" si="4"/>
        <v>No193</v>
      </c>
      <c r="C196" s="63" t="str">
        <f t="shared" si="5"/>
        <v>202506</v>
      </c>
      <c r="D196" s="63" t="s">
        <v>142</v>
      </c>
      <c r="E196" s="63" t="s">
        <v>4</v>
      </c>
      <c r="F196" s="64">
        <v>45825.583333333343</v>
      </c>
      <c r="G196" s="64">
        <v>45825.604166666657</v>
      </c>
      <c r="H196" s="63">
        <f>IF(F196="", "", NETWORKDAYS.INTL(F196, G196, 11,祝日シート!A:A))</f>
        <v>1</v>
      </c>
      <c r="I196" s="65">
        <v>2.0833333333333329E-2</v>
      </c>
      <c r="J196" s="63" t="s">
        <v>143</v>
      </c>
      <c r="K196" s="63" t="s">
        <v>121</v>
      </c>
      <c r="L196" s="63"/>
      <c r="M196" s="63" t="s">
        <v>121</v>
      </c>
      <c r="N196" s="63" t="s">
        <v>6</v>
      </c>
      <c r="O196" s="63" t="s">
        <v>7</v>
      </c>
      <c r="P196" s="66" t="s">
        <v>400</v>
      </c>
      <c r="Q196" s="66" t="s">
        <v>401</v>
      </c>
    </row>
    <row r="197" spans="2:17" ht="28.5" hidden="1" customHeight="1">
      <c r="B197" s="63" t="str">
        <f t="shared" si="4"/>
        <v>No194</v>
      </c>
      <c r="C197" s="63" t="str">
        <f t="shared" si="5"/>
        <v>202506</v>
      </c>
      <c r="D197" s="63" t="s">
        <v>104</v>
      </c>
      <c r="E197" s="63" t="s">
        <v>155</v>
      </c>
      <c r="F197" s="64">
        <v>45825.722222222219</v>
      </c>
      <c r="G197" s="64">
        <v>45825.736111111109</v>
      </c>
      <c r="H197" s="63">
        <f>IF(F197="", "", NETWORKDAYS.INTL(F197, G197, 11,祝日シート!A:A))</f>
        <v>1</v>
      </c>
      <c r="I197" s="65">
        <v>1.388888888888889E-2</v>
      </c>
      <c r="J197" s="63" t="s">
        <v>20</v>
      </c>
      <c r="K197" s="63" t="s">
        <v>77</v>
      </c>
      <c r="L197" s="63"/>
      <c r="M197" s="63" t="s">
        <v>402</v>
      </c>
      <c r="N197" s="63" t="s">
        <v>117</v>
      </c>
      <c r="O197" s="63" t="s">
        <v>7</v>
      </c>
      <c r="P197" s="66" t="s">
        <v>403</v>
      </c>
      <c r="Q197" s="66" t="s">
        <v>404</v>
      </c>
    </row>
    <row r="198" spans="2:17" ht="28.5" hidden="1" customHeight="1">
      <c r="B198" s="63" t="str">
        <f t="shared" si="4"/>
        <v>No195</v>
      </c>
      <c r="C198" s="63" t="str">
        <f t="shared" si="5"/>
        <v>202506</v>
      </c>
      <c r="D198" s="63" t="s">
        <v>104</v>
      </c>
      <c r="E198" s="63" t="s">
        <v>155</v>
      </c>
      <c r="F198" s="64">
        <v>45826.361111111109</v>
      </c>
      <c r="G198" s="64">
        <v>45826.770833333343</v>
      </c>
      <c r="H198" s="63">
        <f>IF(F198="", "", NETWORKDAYS.INTL(F198, G198, 11,祝日シート!A:A))</f>
        <v>1</v>
      </c>
      <c r="I198" s="65">
        <v>4.1666666666666657E-2</v>
      </c>
      <c r="J198" s="63" t="s">
        <v>143</v>
      </c>
      <c r="K198" s="63" t="s">
        <v>111</v>
      </c>
      <c r="L198" s="63"/>
      <c r="M198" s="63" t="s">
        <v>405</v>
      </c>
      <c r="N198" s="63" t="s">
        <v>122</v>
      </c>
      <c r="O198" s="63" t="s">
        <v>7</v>
      </c>
      <c r="P198" s="66" t="s">
        <v>406</v>
      </c>
      <c r="Q198" s="66" t="s">
        <v>407</v>
      </c>
    </row>
    <row r="199" spans="2:17" ht="28.5" customHeight="1">
      <c r="B199" s="63" t="str">
        <f t="shared" si="4"/>
        <v>No196</v>
      </c>
      <c r="C199" s="63" t="str">
        <f t="shared" si="5"/>
        <v>202506</v>
      </c>
      <c r="D199" s="63" t="s">
        <v>166</v>
      </c>
      <c r="E199" s="63" t="s">
        <v>4</v>
      </c>
      <c r="F199" s="64">
        <v>45826.416666666657</v>
      </c>
      <c r="G199" s="64">
        <v>45826.458333333343</v>
      </c>
      <c r="H199" s="63">
        <f>IF(F199="", "", NETWORKDAYS.INTL(F199, G199, 11,祝日シート!A:A))</f>
        <v>1</v>
      </c>
      <c r="I199" s="65">
        <v>4.1666666666666657E-2</v>
      </c>
      <c r="J199" s="63" t="s">
        <v>40</v>
      </c>
      <c r="K199" s="63" t="s">
        <v>21</v>
      </c>
      <c r="L199" s="63"/>
      <c r="M199" s="63" t="s">
        <v>314</v>
      </c>
      <c r="N199" s="63" t="s">
        <v>6</v>
      </c>
      <c r="O199" s="63" t="s">
        <v>7</v>
      </c>
      <c r="P199" s="66" t="s">
        <v>408</v>
      </c>
      <c r="Q199" s="66" t="s">
        <v>409</v>
      </c>
    </row>
    <row r="200" spans="2:17" ht="28.5" customHeight="1">
      <c r="B200" s="63" t="str">
        <f t="shared" si="4"/>
        <v>No197</v>
      </c>
      <c r="C200" s="63" t="str">
        <f t="shared" si="5"/>
        <v>202506</v>
      </c>
      <c r="D200" s="63" t="s">
        <v>104</v>
      </c>
      <c r="E200" s="63" t="s">
        <v>4</v>
      </c>
      <c r="F200" s="64">
        <v>45826.541666666657</v>
      </c>
      <c r="G200" s="64">
        <v>45826.5625</v>
      </c>
      <c r="H200" s="63">
        <f>IF(F200="", "", NETWORKDAYS.INTL(F200, G200, 11,祝日シート!A:A))</f>
        <v>1</v>
      </c>
      <c r="I200" s="65">
        <v>2.0833333333333329E-2</v>
      </c>
      <c r="J200" s="63" t="s">
        <v>20</v>
      </c>
      <c r="K200" s="63" t="s">
        <v>35</v>
      </c>
      <c r="L200" s="63"/>
      <c r="M200" s="63" t="s">
        <v>102</v>
      </c>
      <c r="N200" s="63" t="s">
        <v>6</v>
      </c>
      <c r="O200" s="63" t="s">
        <v>7</v>
      </c>
      <c r="P200" s="66" t="s">
        <v>410</v>
      </c>
      <c r="Q200" s="66" t="s">
        <v>411</v>
      </c>
    </row>
    <row r="201" spans="2:17" ht="28.5" customHeight="1">
      <c r="B201" s="63" t="str">
        <f t="shared" si="4"/>
        <v>No198</v>
      </c>
      <c r="C201" s="63" t="str">
        <f t="shared" si="5"/>
        <v>202506</v>
      </c>
      <c r="D201" s="63" t="s">
        <v>142</v>
      </c>
      <c r="E201" s="63" t="s">
        <v>4</v>
      </c>
      <c r="F201" s="64">
        <v>45826.583333333343</v>
      </c>
      <c r="G201" s="64">
        <v>45826.604166666657</v>
      </c>
      <c r="H201" s="63">
        <f>IF(F201="", "", NETWORKDAYS.INTL(F201, G201, 11,祝日シート!A:A))</f>
        <v>1</v>
      </c>
      <c r="I201" s="65">
        <v>2.0833333333333329E-2</v>
      </c>
      <c r="J201" s="63" t="s">
        <v>40</v>
      </c>
      <c r="K201" s="63" t="s">
        <v>35</v>
      </c>
      <c r="L201" s="63"/>
      <c r="M201" s="63" t="s">
        <v>102</v>
      </c>
      <c r="N201" s="63" t="s">
        <v>6</v>
      </c>
      <c r="O201" s="63" t="s">
        <v>7</v>
      </c>
      <c r="P201" s="66" t="s">
        <v>412</v>
      </c>
      <c r="Q201" s="66" t="s">
        <v>413</v>
      </c>
    </row>
    <row r="202" spans="2:17" ht="28.5" customHeight="1">
      <c r="B202" s="63" t="str">
        <f t="shared" si="4"/>
        <v>No199</v>
      </c>
      <c r="C202" s="63" t="str">
        <f t="shared" si="5"/>
        <v>202506</v>
      </c>
      <c r="D202" s="63" t="s">
        <v>142</v>
      </c>
      <c r="E202" s="63" t="s">
        <v>4</v>
      </c>
      <c r="F202" s="64">
        <v>45826.729166666657</v>
      </c>
      <c r="G202" s="64">
        <v>45826.75</v>
      </c>
      <c r="H202" s="63">
        <f>IF(F202="", "", NETWORKDAYS.INTL(F202, G202, 11,祝日シート!A:A))</f>
        <v>1</v>
      </c>
      <c r="I202" s="65">
        <v>2.0833333333333329E-2</v>
      </c>
      <c r="J202" s="63" t="s">
        <v>40</v>
      </c>
      <c r="K202" s="63" t="s">
        <v>21</v>
      </c>
      <c r="L202" s="63"/>
      <c r="M202" s="63" t="s">
        <v>136</v>
      </c>
      <c r="N202" s="63" t="s">
        <v>6</v>
      </c>
      <c r="O202" s="63" t="s">
        <v>7</v>
      </c>
      <c r="P202" s="66" t="s">
        <v>414</v>
      </c>
      <c r="Q202" s="66" t="s">
        <v>415</v>
      </c>
    </row>
    <row r="203" spans="2:17" ht="28.5" customHeight="1">
      <c r="B203" s="63" t="str">
        <f t="shared" si="4"/>
        <v>No200</v>
      </c>
      <c r="C203" s="63" t="str">
        <f t="shared" si="5"/>
        <v>202506</v>
      </c>
      <c r="D203" s="63" t="s">
        <v>142</v>
      </c>
      <c r="E203" s="63" t="s">
        <v>4</v>
      </c>
      <c r="F203" s="64">
        <v>45826.75</v>
      </c>
      <c r="G203" s="64">
        <v>45826.8125</v>
      </c>
      <c r="H203" s="63">
        <f>IF(F203="", "", NETWORKDAYS.INTL(F203, G203, 11,祝日シート!A:A))</f>
        <v>1</v>
      </c>
      <c r="I203" s="65">
        <v>6.25E-2</v>
      </c>
      <c r="J203" s="63" t="s">
        <v>20</v>
      </c>
      <c r="K203" s="63" t="s">
        <v>111</v>
      </c>
      <c r="L203" s="63"/>
      <c r="M203" s="63" t="s">
        <v>173</v>
      </c>
      <c r="N203" s="63" t="s">
        <v>6</v>
      </c>
      <c r="O203" s="63" t="s">
        <v>7</v>
      </c>
      <c r="P203" s="66" t="s">
        <v>416</v>
      </c>
      <c r="Q203" s="66" t="s">
        <v>417</v>
      </c>
    </row>
    <row r="204" spans="2:17" ht="18.75" hidden="1" customHeight="1">
      <c r="B204" s="63" t="str">
        <f t="shared" si="4"/>
        <v>No201</v>
      </c>
      <c r="C204" s="63" t="str">
        <f t="shared" si="5"/>
        <v>202506</v>
      </c>
      <c r="D204" s="63" t="s">
        <v>142</v>
      </c>
      <c r="E204" s="63" t="s">
        <v>155</v>
      </c>
      <c r="F204" s="64">
        <v>45827.427083333343</v>
      </c>
      <c r="G204" s="64">
        <v>45827.4375</v>
      </c>
      <c r="H204" s="63">
        <f>IF(F204="", "", NETWORKDAYS.INTL(F204, G204, 11,祝日シート!A:A))</f>
        <v>1</v>
      </c>
      <c r="I204" s="65">
        <v>1.041666666666667E-2</v>
      </c>
      <c r="J204" s="63" t="s">
        <v>119</v>
      </c>
      <c r="K204" s="63" t="s">
        <v>41</v>
      </c>
      <c r="L204" s="63"/>
      <c r="M204" s="63" t="s">
        <v>277</v>
      </c>
      <c r="N204" s="63" t="s">
        <v>122</v>
      </c>
      <c r="O204" s="63" t="s">
        <v>7</v>
      </c>
      <c r="P204" s="66" t="s">
        <v>385</v>
      </c>
      <c r="Q204" s="66" t="s">
        <v>158</v>
      </c>
    </row>
    <row r="205" spans="2:17" ht="18.75" hidden="1" customHeight="1">
      <c r="B205" s="63" t="str">
        <f t="shared" si="4"/>
        <v>No202</v>
      </c>
      <c r="C205" s="63" t="str">
        <f t="shared" si="5"/>
        <v>202506</v>
      </c>
      <c r="D205" s="63" t="s">
        <v>142</v>
      </c>
      <c r="E205" s="63" t="s">
        <v>155</v>
      </c>
      <c r="F205" s="64">
        <v>45827.461805555547</v>
      </c>
      <c r="G205" s="64">
        <v>45827.472222222219</v>
      </c>
      <c r="H205" s="63">
        <f>IF(F205="", "", NETWORKDAYS.INTL(F205, G205, 11,祝日シート!A:A))</f>
        <v>1</v>
      </c>
      <c r="I205" s="65">
        <v>1.041666666666667E-2</v>
      </c>
      <c r="J205" s="63" t="s">
        <v>119</v>
      </c>
      <c r="K205" s="63" t="s">
        <v>111</v>
      </c>
      <c r="L205" s="63"/>
      <c r="M205" s="63" t="s">
        <v>229</v>
      </c>
      <c r="N205" s="63" t="s">
        <v>122</v>
      </c>
      <c r="O205" s="63" t="s">
        <v>7</v>
      </c>
      <c r="P205" s="66" t="s">
        <v>208</v>
      </c>
      <c r="Q205" s="66" t="s">
        <v>158</v>
      </c>
    </row>
    <row r="206" spans="2:17" ht="24.75" hidden="1" customHeight="1">
      <c r="B206" s="63" t="str">
        <f t="shared" si="4"/>
        <v>No203</v>
      </c>
      <c r="C206" s="63" t="str">
        <f t="shared" si="5"/>
        <v>202506</v>
      </c>
      <c r="D206" s="63" t="s">
        <v>142</v>
      </c>
      <c r="E206" s="63" t="s">
        <v>155</v>
      </c>
      <c r="F206" s="64">
        <v>45827.5</v>
      </c>
      <c r="G206" s="64">
        <v>45827.53125</v>
      </c>
      <c r="H206" s="63">
        <f>IF(F206="", "", NETWORKDAYS.INTL(F206, G206, 11,祝日シート!A:A))</f>
        <v>1</v>
      </c>
      <c r="I206" s="65">
        <v>3.125E-2</v>
      </c>
      <c r="J206" s="63" t="s">
        <v>20</v>
      </c>
      <c r="K206" s="63" t="s">
        <v>41</v>
      </c>
      <c r="L206" s="63"/>
      <c r="M206" s="63" t="s">
        <v>277</v>
      </c>
      <c r="N206" s="63" t="s">
        <v>122</v>
      </c>
      <c r="O206" s="63" t="s">
        <v>7</v>
      </c>
      <c r="P206" s="66" t="s">
        <v>418</v>
      </c>
      <c r="Q206" s="66" t="s">
        <v>419</v>
      </c>
    </row>
    <row r="207" spans="2:17" ht="24.75" hidden="1" customHeight="1">
      <c r="B207" s="63" t="str">
        <f t="shared" si="4"/>
        <v>No204</v>
      </c>
      <c r="C207" s="63" t="str">
        <f t="shared" si="5"/>
        <v>202506</v>
      </c>
      <c r="D207" s="63" t="s">
        <v>142</v>
      </c>
      <c r="E207" s="63" t="s">
        <v>155</v>
      </c>
      <c r="F207" s="64">
        <v>45828.5</v>
      </c>
      <c r="G207" s="64">
        <v>45828.548611111109</v>
      </c>
      <c r="H207" s="63">
        <f>IF(F207="", "", NETWORKDAYS.INTL(F207, G207, 11,祝日シート!A:A))</f>
        <v>1</v>
      </c>
      <c r="I207" s="65">
        <v>6.9444444444444441E-3</v>
      </c>
      <c r="J207" s="63" t="s">
        <v>119</v>
      </c>
      <c r="K207" s="63" t="s">
        <v>159</v>
      </c>
      <c r="L207" s="63"/>
      <c r="M207" s="63" t="s">
        <v>160</v>
      </c>
      <c r="N207" s="63" t="s">
        <v>122</v>
      </c>
      <c r="O207" s="63" t="s">
        <v>7</v>
      </c>
      <c r="P207" s="66" t="s">
        <v>179</v>
      </c>
      <c r="Q207" s="66" t="s">
        <v>158</v>
      </c>
    </row>
    <row r="208" spans="2:17" ht="24.75" customHeight="1">
      <c r="B208" s="63" t="str">
        <f t="shared" si="4"/>
        <v>No205</v>
      </c>
      <c r="C208" s="63" t="str">
        <f t="shared" si="5"/>
        <v>202506</v>
      </c>
      <c r="D208" s="63" t="s">
        <v>3</v>
      </c>
      <c r="E208" s="63" t="s">
        <v>4</v>
      </c>
      <c r="F208" s="64">
        <v>45831.416666666657</v>
      </c>
      <c r="G208" s="64">
        <v>45831.4375</v>
      </c>
      <c r="H208" s="63">
        <f>IF(F208="", "", NETWORKDAYS.INTL(F208, G208, 11,祝日シート!A:A))</f>
        <v>1</v>
      </c>
      <c r="I208" s="65">
        <v>2.0833333333333329E-2</v>
      </c>
      <c r="J208" s="63" t="s">
        <v>20</v>
      </c>
      <c r="K208" s="63" t="s">
        <v>159</v>
      </c>
      <c r="L208" s="63"/>
      <c r="M208" s="63" t="s">
        <v>420</v>
      </c>
      <c r="N208" s="63" t="s">
        <v>6</v>
      </c>
      <c r="O208" s="63" t="s">
        <v>7</v>
      </c>
      <c r="P208" s="66" t="s">
        <v>421</v>
      </c>
      <c r="Q208" s="66" t="s">
        <v>422</v>
      </c>
    </row>
    <row r="209" spans="2:17" ht="18.75" customHeight="1">
      <c r="B209" s="63" t="str">
        <f t="shared" si="4"/>
        <v>No206</v>
      </c>
      <c r="C209" s="63" t="str">
        <f t="shared" si="5"/>
        <v>202506</v>
      </c>
      <c r="D209" s="63" t="s">
        <v>142</v>
      </c>
      <c r="E209" s="63" t="s">
        <v>4</v>
      </c>
      <c r="F209" s="64">
        <v>45831.416666666657</v>
      </c>
      <c r="G209" s="64">
        <v>45831.583333333343</v>
      </c>
      <c r="H209" s="63">
        <f>IF(F209="", "", NETWORKDAYS.INTL(F209, G209, 11,祝日シート!A:A))</f>
        <v>1</v>
      </c>
      <c r="I209" s="65">
        <v>0.16666666666666671</v>
      </c>
      <c r="J209" s="63" t="s">
        <v>143</v>
      </c>
      <c r="K209" s="63" t="s">
        <v>21</v>
      </c>
      <c r="L209" s="63"/>
      <c r="M209" s="63" t="s">
        <v>109</v>
      </c>
      <c r="N209" s="63" t="s">
        <v>6</v>
      </c>
      <c r="O209" s="63" t="s">
        <v>7</v>
      </c>
      <c r="P209" s="66" t="s">
        <v>423</v>
      </c>
      <c r="Q209" s="66" t="s">
        <v>424</v>
      </c>
    </row>
    <row r="210" spans="2:17" ht="18.75" customHeight="1">
      <c r="B210" s="63" t="str">
        <f t="shared" si="4"/>
        <v>No207</v>
      </c>
      <c r="C210" s="63" t="str">
        <f t="shared" si="5"/>
        <v>202506</v>
      </c>
      <c r="D210" s="63" t="s">
        <v>142</v>
      </c>
      <c r="E210" s="63" t="s">
        <v>4</v>
      </c>
      <c r="F210" s="64">
        <v>45831.458333333343</v>
      </c>
      <c r="G210" s="64">
        <v>45831.5</v>
      </c>
      <c r="H210" s="63">
        <f>IF(F210="", "", NETWORKDAYS.INTL(F210, G210, 11,祝日シート!A:A))</f>
        <v>1</v>
      </c>
      <c r="I210" s="65">
        <v>4.1666666666666657E-2</v>
      </c>
      <c r="J210" s="63" t="s">
        <v>20</v>
      </c>
      <c r="K210" s="63" t="s">
        <v>26</v>
      </c>
      <c r="L210" s="63"/>
      <c r="M210" s="63" t="s">
        <v>4</v>
      </c>
      <c r="N210" s="63" t="s">
        <v>6</v>
      </c>
      <c r="O210" s="63" t="s">
        <v>7</v>
      </c>
      <c r="P210" s="66" t="s">
        <v>425</v>
      </c>
      <c r="Q210" s="66" t="s">
        <v>426</v>
      </c>
    </row>
    <row r="211" spans="2:17" ht="24.75" hidden="1" customHeight="1">
      <c r="B211" s="63" t="str">
        <f t="shared" si="4"/>
        <v>No208</v>
      </c>
      <c r="C211" s="63" t="str">
        <f t="shared" si="5"/>
        <v>202506</v>
      </c>
      <c r="D211" s="63" t="s">
        <v>142</v>
      </c>
      <c r="E211" s="63" t="s">
        <v>155</v>
      </c>
      <c r="F211" s="64">
        <v>45831.666666666657</v>
      </c>
      <c r="G211" s="64">
        <v>45831.729166666657</v>
      </c>
      <c r="H211" s="63">
        <f>IF(F211="", "", NETWORKDAYS.INTL(F211, G211, 11,祝日シート!A:A))</f>
        <v>1</v>
      </c>
      <c r="I211" s="65">
        <v>6.25E-2</v>
      </c>
      <c r="J211" s="63" t="s">
        <v>95</v>
      </c>
      <c r="K211" s="63" t="s">
        <v>159</v>
      </c>
      <c r="L211" s="63"/>
      <c r="M211" s="63" t="s">
        <v>187</v>
      </c>
      <c r="N211" s="63" t="s">
        <v>122</v>
      </c>
      <c r="O211" s="63" t="s">
        <v>7</v>
      </c>
      <c r="P211" s="66" t="s">
        <v>427</v>
      </c>
      <c r="Q211" s="66" t="s">
        <v>428</v>
      </c>
    </row>
    <row r="212" spans="2:17" ht="24.75" customHeight="1">
      <c r="B212" s="63" t="str">
        <f t="shared" si="4"/>
        <v>No209</v>
      </c>
      <c r="C212" s="63" t="str">
        <f t="shared" si="5"/>
        <v>202506</v>
      </c>
      <c r="D212" s="63" t="s">
        <v>142</v>
      </c>
      <c r="E212" s="63" t="s">
        <v>4</v>
      </c>
      <c r="F212" s="64">
        <v>45832.541666666657</v>
      </c>
      <c r="G212" s="64">
        <v>45832.625</v>
      </c>
      <c r="H212" s="63">
        <f>IF(F212="", "", NETWORKDAYS.INTL(F212, G212, 11,祝日シート!A:A))</f>
        <v>1</v>
      </c>
      <c r="I212" s="65">
        <v>8.3333333333333329E-2</v>
      </c>
      <c r="J212" s="63" t="s">
        <v>143</v>
      </c>
      <c r="K212" s="63" t="s">
        <v>21</v>
      </c>
      <c r="L212" s="63"/>
      <c r="M212" s="63" t="s">
        <v>429</v>
      </c>
      <c r="N212" s="63" t="s">
        <v>6</v>
      </c>
      <c r="O212" s="63" t="s">
        <v>7</v>
      </c>
      <c r="P212" s="66" t="s">
        <v>423</v>
      </c>
      <c r="Q212" s="66" t="s">
        <v>424</v>
      </c>
    </row>
    <row r="213" spans="2:17" ht="18.75" customHeight="1">
      <c r="B213" s="63" t="str">
        <f t="shared" si="4"/>
        <v>No210</v>
      </c>
      <c r="C213" s="63" t="str">
        <f t="shared" si="5"/>
        <v>202506</v>
      </c>
      <c r="D213" s="63" t="s">
        <v>104</v>
      </c>
      <c r="E213" s="63" t="s">
        <v>4</v>
      </c>
      <c r="F213" s="64">
        <v>45832.666666666657</v>
      </c>
      <c r="G213" s="64">
        <v>45834.75</v>
      </c>
      <c r="H213" s="63">
        <f>IF(F213="", "", NETWORKDAYS.INTL(F213, G213, 11,祝日シート!A:A))</f>
        <v>3</v>
      </c>
      <c r="I213" s="65">
        <v>8.3333333333333329E-2</v>
      </c>
      <c r="J213" s="63" t="s">
        <v>95</v>
      </c>
      <c r="K213" s="63" t="s">
        <v>41</v>
      </c>
      <c r="L213" s="63"/>
      <c r="M213" s="63" t="s">
        <v>277</v>
      </c>
      <c r="N213" s="63" t="s">
        <v>122</v>
      </c>
      <c r="O213" s="63" t="s">
        <v>7</v>
      </c>
      <c r="P213" s="66" t="s">
        <v>430</v>
      </c>
      <c r="Q213" s="66" t="s">
        <v>431</v>
      </c>
    </row>
    <row r="214" spans="2:17" ht="18.75" customHeight="1">
      <c r="B214" s="63" t="str">
        <f t="shared" si="4"/>
        <v>No211</v>
      </c>
      <c r="C214" s="63" t="str">
        <f t="shared" si="5"/>
        <v>202506</v>
      </c>
      <c r="D214" s="63" t="s">
        <v>3</v>
      </c>
      <c r="E214" s="63" t="s">
        <v>4</v>
      </c>
      <c r="F214" s="64">
        <v>45833.333333333343</v>
      </c>
      <c r="G214" s="64">
        <v>45833.395833333343</v>
      </c>
      <c r="H214" s="63">
        <f>IF(F214="", "", NETWORKDAYS.INTL(F214, G214, 11,祝日シート!A:A))</f>
        <v>1</v>
      </c>
      <c r="I214" s="65">
        <v>6.25E-2</v>
      </c>
      <c r="J214" s="63" t="s">
        <v>20</v>
      </c>
      <c r="K214" s="63" t="s">
        <v>26</v>
      </c>
      <c r="L214" s="63"/>
      <c r="M214" s="63" t="s">
        <v>4</v>
      </c>
      <c r="N214" s="63" t="s">
        <v>6</v>
      </c>
      <c r="O214" s="63" t="s">
        <v>7</v>
      </c>
      <c r="P214" s="66" t="s">
        <v>432</v>
      </c>
      <c r="Q214" s="66" t="s">
        <v>433</v>
      </c>
    </row>
    <row r="215" spans="2:17" ht="27" customHeight="1">
      <c r="B215" s="63" t="str">
        <f t="shared" ref="B215:B278" si="6">"No"&amp;ROW()-3</f>
        <v>No212</v>
      </c>
      <c r="C215" s="63" t="str">
        <f t="shared" ref="C215:C278" si="7">IFERROR(IF(G215&lt;&gt;"",TEXT(G215,"yyyymm"),""),"")</f>
        <v>202506</v>
      </c>
      <c r="D215" s="63" t="s">
        <v>142</v>
      </c>
      <c r="E215" s="63" t="s">
        <v>4</v>
      </c>
      <c r="F215" s="64">
        <v>45833.541666666657</v>
      </c>
      <c r="G215" s="64">
        <v>45833.583333333343</v>
      </c>
      <c r="H215" s="63">
        <f>IF(F215="", "", NETWORKDAYS.INTL(F215, G215, 11,祝日シート!A:A))</f>
        <v>1</v>
      </c>
      <c r="I215" s="65">
        <v>4.1666666666666657E-2</v>
      </c>
      <c r="J215" s="63" t="s">
        <v>40</v>
      </c>
      <c r="K215" s="63" t="s">
        <v>26</v>
      </c>
      <c r="L215" s="63"/>
      <c r="M215" s="63" t="s">
        <v>4</v>
      </c>
      <c r="N215" s="63" t="s">
        <v>6</v>
      </c>
      <c r="O215" s="63" t="s">
        <v>7</v>
      </c>
      <c r="P215" s="66" t="s">
        <v>434</v>
      </c>
      <c r="Q215" s="66" t="s">
        <v>435</v>
      </c>
    </row>
    <row r="216" spans="2:17" ht="27" customHeight="1">
      <c r="B216" s="63" t="str">
        <f t="shared" si="6"/>
        <v>No213</v>
      </c>
      <c r="C216" s="63" t="str">
        <f t="shared" si="7"/>
        <v>202506</v>
      </c>
      <c r="D216" s="63" t="s">
        <v>142</v>
      </c>
      <c r="E216" s="63" t="s">
        <v>4</v>
      </c>
      <c r="F216" s="64">
        <v>45833.625</v>
      </c>
      <c r="G216" s="64">
        <v>45833.666666666657</v>
      </c>
      <c r="H216" s="63">
        <f>IF(F216="", "", NETWORKDAYS.INTL(F216, G216, 11,祝日シート!A:A))</f>
        <v>1</v>
      </c>
      <c r="I216" s="65">
        <v>4.1666666666666657E-2</v>
      </c>
      <c r="J216" s="63" t="s">
        <v>45</v>
      </c>
      <c r="K216" s="63" t="s">
        <v>120</v>
      </c>
      <c r="L216" s="63"/>
      <c r="M216" s="63" t="s">
        <v>152</v>
      </c>
      <c r="N216" s="63" t="s">
        <v>6</v>
      </c>
      <c r="O216" s="63" t="s">
        <v>7</v>
      </c>
      <c r="P216" s="66" t="s">
        <v>436</v>
      </c>
      <c r="Q216" s="66" t="s">
        <v>437</v>
      </c>
    </row>
    <row r="217" spans="2:17" ht="27" customHeight="1">
      <c r="B217" s="63" t="str">
        <f t="shared" si="6"/>
        <v>No214</v>
      </c>
      <c r="C217" s="63" t="str">
        <f t="shared" si="7"/>
        <v>202506</v>
      </c>
      <c r="D217" s="63" t="s">
        <v>104</v>
      </c>
      <c r="E217" s="63" t="s">
        <v>4</v>
      </c>
      <c r="F217" s="64">
        <v>45834.375</v>
      </c>
      <c r="G217" s="64">
        <v>45834.381944444453</v>
      </c>
      <c r="H217" s="63">
        <f>IF(F217="", "", NETWORKDAYS.INTL(F217, G217, 11,祝日シート!A:A))</f>
        <v>1</v>
      </c>
      <c r="I217" s="65">
        <v>6.9444444444444441E-3</v>
      </c>
      <c r="J217" s="63" t="s">
        <v>20</v>
      </c>
      <c r="K217" s="63" t="s">
        <v>41</v>
      </c>
      <c r="L217" s="63"/>
      <c r="M217" s="63" t="s">
        <v>438</v>
      </c>
      <c r="N217" s="63" t="s">
        <v>6</v>
      </c>
      <c r="O217" s="63" t="s">
        <v>7</v>
      </c>
      <c r="P217" s="66" t="s">
        <v>439</v>
      </c>
      <c r="Q217" s="66" t="s">
        <v>440</v>
      </c>
    </row>
    <row r="218" spans="2:17" ht="18.75" hidden="1" customHeight="1">
      <c r="B218" s="63" t="str">
        <f t="shared" si="6"/>
        <v>No215</v>
      </c>
      <c r="C218" s="63" t="str">
        <f t="shared" si="7"/>
        <v>202506</v>
      </c>
      <c r="D218" s="63" t="s">
        <v>142</v>
      </c>
      <c r="E218" s="63" t="s">
        <v>155</v>
      </c>
      <c r="F218" s="64">
        <v>45834.388888888891</v>
      </c>
      <c r="G218" s="64">
        <v>45834.402777777781</v>
      </c>
      <c r="H218" s="63">
        <f>IF(F218="", "", NETWORKDAYS.INTL(F218, G218, 11,祝日シート!A:A))</f>
        <v>1</v>
      </c>
      <c r="I218" s="65">
        <v>1.388888888888889E-2</v>
      </c>
      <c r="J218" s="63" t="s">
        <v>119</v>
      </c>
      <c r="K218" s="63" t="s">
        <v>111</v>
      </c>
      <c r="L218" s="63"/>
      <c r="M218" s="63" t="s">
        <v>205</v>
      </c>
      <c r="N218" s="63" t="s">
        <v>122</v>
      </c>
      <c r="O218" s="63" t="s">
        <v>7</v>
      </c>
      <c r="P218" s="66" t="s">
        <v>208</v>
      </c>
      <c r="Q218" s="66" t="s">
        <v>441</v>
      </c>
    </row>
    <row r="219" spans="2:17" ht="25.5" hidden="1" customHeight="1">
      <c r="B219" s="63" t="str">
        <f t="shared" si="6"/>
        <v>No216</v>
      </c>
      <c r="C219" s="63" t="str">
        <f t="shared" si="7"/>
        <v>202506</v>
      </c>
      <c r="D219" s="63" t="s">
        <v>186</v>
      </c>
      <c r="E219" s="63" t="s">
        <v>155</v>
      </c>
      <c r="F219" s="64">
        <v>45838.402777777781</v>
      </c>
      <c r="G219" s="64">
        <v>45838.40625</v>
      </c>
      <c r="H219" s="63">
        <f>IF(F219="", "", NETWORKDAYS.INTL(F219, G219, 11,祝日シート!A:A))</f>
        <v>1</v>
      </c>
      <c r="I219" s="65">
        <v>3.472222222222222E-3</v>
      </c>
      <c r="J219" s="63" t="s">
        <v>20</v>
      </c>
      <c r="K219" s="63" t="s">
        <v>111</v>
      </c>
      <c r="L219" s="63"/>
      <c r="M219" s="63" t="s">
        <v>201</v>
      </c>
      <c r="N219" s="63" t="s">
        <v>6</v>
      </c>
      <c r="O219" s="63" t="s">
        <v>7</v>
      </c>
      <c r="P219" s="66" t="s">
        <v>442</v>
      </c>
      <c r="Q219" s="66" t="s">
        <v>443</v>
      </c>
    </row>
    <row r="220" spans="2:17" ht="25.5" hidden="1" customHeight="1">
      <c r="B220" s="63" t="str">
        <f t="shared" si="6"/>
        <v>No217</v>
      </c>
      <c r="C220" s="63" t="str">
        <f t="shared" si="7"/>
        <v>202506</v>
      </c>
      <c r="D220" s="63" t="s">
        <v>142</v>
      </c>
      <c r="E220" s="63" t="s">
        <v>155</v>
      </c>
      <c r="F220" s="64">
        <v>45838.4375</v>
      </c>
      <c r="G220" s="64">
        <v>45838.479166666657</v>
      </c>
      <c r="H220" s="63">
        <f>IF(F220="", "", NETWORKDAYS.INTL(F220, G220, 11,祝日シート!A:A))</f>
        <v>1</v>
      </c>
      <c r="I220" s="65">
        <v>4.1666666666666657E-2</v>
      </c>
      <c r="J220" s="63" t="s">
        <v>119</v>
      </c>
      <c r="K220" s="63" t="s">
        <v>77</v>
      </c>
      <c r="L220" s="63"/>
      <c r="M220" s="63" t="s">
        <v>144</v>
      </c>
      <c r="N220" s="63" t="s">
        <v>6</v>
      </c>
      <c r="O220" s="63" t="s">
        <v>7</v>
      </c>
      <c r="P220" s="66" t="s">
        <v>444</v>
      </c>
      <c r="Q220" s="66" t="s">
        <v>158</v>
      </c>
    </row>
    <row r="221" spans="2:17" ht="25.5" hidden="1" customHeight="1">
      <c r="B221" s="63" t="str">
        <f t="shared" si="6"/>
        <v>No218</v>
      </c>
      <c r="C221" s="63" t="str">
        <f t="shared" si="7"/>
        <v>202506</v>
      </c>
      <c r="D221" s="63" t="s">
        <v>142</v>
      </c>
      <c r="E221" s="63" t="s">
        <v>155</v>
      </c>
      <c r="F221" s="64">
        <v>45838.444444444453</v>
      </c>
      <c r="G221" s="64">
        <v>45838.729166666657</v>
      </c>
      <c r="H221" s="63">
        <f>IF(F221="", "", NETWORKDAYS.INTL(F221, G221, 11,祝日シート!A:A))</f>
        <v>1</v>
      </c>
      <c r="I221" s="65">
        <v>1.041666666666667E-2</v>
      </c>
      <c r="J221" s="63" t="s">
        <v>119</v>
      </c>
      <c r="K221" s="63" t="s">
        <v>77</v>
      </c>
      <c r="L221" s="63"/>
      <c r="M221" s="63" t="s">
        <v>99</v>
      </c>
      <c r="N221" s="63" t="s">
        <v>117</v>
      </c>
      <c r="O221" s="63" t="s">
        <v>7</v>
      </c>
      <c r="P221" s="66" t="s">
        <v>445</v>
      </c>
      <c r="Q221" s="66" t="s">
        <v>158</v>
      </c>
    </row>
    <row r="222" spans="2:17" ht="18.75" hidden="1" customHeight="1">
      <c r="B222" s="63" t="str">
        <f t="shared" si="6"/>
        <v>No219</v>
      </c>
      <c r="C222" s="63" t="str">
        <f t="shared" si="7"/>
        <v>202506</v>
      </c>
      <c r="D222" s="63" t="s">
        <v>142</v>
      </c>
      <c r="E222" s="63" t="s">
        <v>116</v>
      </c>
      <c r="F222" s="64">
        <v>45838.444444444453</v>
      </c>
      <c r="G222" s="64">
        <v>45838.78125</v>
      </c>
      <c r="H222" s="63">
        <f>IF(F222="", "", NETWORKDAYS.INTL(F222, G222, 11,祝日シート!A:A))</f>
        <v>1</v>
      </c>
      <c r="I222" s="65">
        <v>4.1666666666666657E-2</v>
      </c>
      <c r="J222" s="63" t="s">
        <v>119</v>
      </c>
      <c r="K222" s="63" t="s">
        <v>77</v>
      </c>
      <c r="L222" s="63"/>
      <c r="M222" s="63" t="s">
        <v>99</v>
      </c>
      <c r="N222" s="63" t="s">
        <v>117</v>
      </c>
      <c r="O222" s="63" t="s">
        <v>7</v>
      </c>
      <c r="P222" s="66" t="s">
        <v>446</v>
      </c>
      <c r="Q222" s="66" t="s">
        <v>158</v>
      </c>
    </row>
    <row r="223" spans="2:17" ht="24" hidden="1" customHeight="1">
      <c r="B223" s="63" t="str">
        <f t="shared" si="6"/>
        <v>No220</v>
      </c>
      <c r="C223" s="63" t="str">
        <f t="shared" si="7"/>
        <v>202506</v>
      </c>
      <c r="D223" s="63" t="s">
        <v>142</v>
      </c>
      <c r="E223" s="63" t="s">
        <v>155</v>
      </c>
      <c r="F223" s="64">
        <v>45838.486111111109</v>
      </c>
      <c r="G223" s="64">
        <v>45838.493055555547</v>
      </c>
      <c r="H223" s="63">
        <f>IF(F223="", "", NETWORKDAYS.INTL(F223, G223, 11,祝日シート!A:A))</f>
        <v>1</v>
      </c>
      <c r="I223" s="65">
        <v>6.9444444444444441E-3</v>
      </c>
      <c r="J223" s="63" t="s">
        <v>119</v>
      </c>
      <c r="K223" s="63" t="s">
        <v>159</v>
      </c>
      <c r="L223" s="63"/>
      <c r="M223" s="63" t="s">
        <v>288</v>
      </c>
      <c r="N223" s="63" t="s">
        <v>122</v>
      </c>
      <c r="O223" s="63" t="s">
        <v>7</v>
      </c>
      <c r="P223" s="66" t="s">
        <v>246</v>
      </c>
      <c r="Q223" s="66" t="s">
        <v>158</v>
      </c>
    </row>
    <row r="224" spans="2:17" ht="24" customHeight="1">
      <c r="B224" s="63" t="str">
        <f t="shared" si="6"/>
        <v>No221</v>
      </c>
      <c r="C224" s="63" t="str">
        <f t="shared" si="7"/>
        <v>202507</v>
      </c>
      <c r="D224" s="63" t="s">
        <v>166</v>
      </c>
      <c r="E224" s="63" t="s">
        <v>4</v>
      </c>
      <c r="F224" s="64">
        <v>45839.416666666657</v>
      </c>
      <c r="G224" s="64">
        <v>45839.5</v>
      </c>
      <c r="H224" s="63">
        <f>IF(F224="", "", NETWORKDAYS.INTL(F224, G224, 11,祝日シート!A:A))</f>
        <v>1</v>
      </c>
      <c r="I224" s="65">
        <v>8.3333333333333329E-2</v>
      </c>
      <c r="J224" s="63" t="s">
        <v>20</v>
      </c>
      <c r="K224" s="63" t="s">
        <v>311</v>
      </c>
      <c r="L224" s="63"/>
      <c r="M224" s="63" t="s">
        <v>121</v>
      </c>
      <c r="N224" s="63" t="s">
        <v>122</v>
      </c>
      <c r="O224" s="63" t="s">
        <v>7</v>
      </c>
      <c r="P224" s="66" t="s">
        <v>447</v>
      </c>
      <c r="Q224" s="66" t="s">
        <v>448</v>
      </c>
    </row>
    <row r="225" spans="2:17" ht="18.75" customHeight="1">
      <c r="B225" s="63" t="str">
        <f t="shared" si="6"/>
        <v>No222</v>
      </c>
      <c r="C225" s="63" t="str">
        <f t="shared" si="7"/>
        <v>202507</v>
      </c>
      <c r="D225" s="63" t="s">
        <v>142</v>
      </c>
      <c r="E225" s="63" t="s">
        <v>4</v>
      </c>
      <c r="F225" s="64">
        <v>45839.416666666657</v>
      </c>
      <c r="G225" s="64">
        <v>45839.458333333343</v>
      </c>
      <c r="H225" s="63">
        <f>IF(F225="", "", NETWORKDAYS.INTL(F225, G225, 11,祝日シート!A:A))</f>
        <v>1</v>
      </c>
      <c r="I225" s="65">
        <v>4.1666666666666657E-2</v>
      </c>
      <c r="J225" s="63" t="s">
        <v>45</v>
      </c>
      <c r="K225" s="63" t="s">
        <v>77</v>
      </c>
      <c r="L225" s="63"/>
      <c r="M225" s="63" t="s">
        <v>198</v>
      </c>
      <c r="N225" s="63" t="s">
        <v>6</v>
      </c>
      <c r="O225" s="63" t="s">
        <v>7</v>
      </c>
      <c r="P225" s="66" t="s">
        <v>449</v>
      </c>
      <c r="Q225" s="66" t="s">
        <v>450</v>
      </c>
    </row>
    <row r="226" spans="2:17" ht="22.5" hidden="1" customHeight="1">
      <c r="B226" s="63" t="str">
        <f t="shared" si="6"/>
        <v>No223</v>
      </c>
      <c r="C226" s="63" t="str">
        <f t="shared" si="7"/>
        <v>202507</v>
      </c>
      <c r="D226" s="63" t="s">
        <v>142</v>
      </c>
      <c r="E226" s="63" t="s">
        <v>155</v>
      </c>
      <c r="F226" s="64">
        <v>45839.465277777781</v>
      </c>
      <c r="G226" s="64">
        <v>45839.479166666657</v>
      </c>
      <c r="H226" s="63">
        <f>IF(F226="", "", NETWORKDAYS.INTL(F226, G226, 11,祝日シート!A:A))</f>
        <v>1</v>
      </c>
      <c r="I226" s="65">
        <v>1.388888888888889E-2</v>
      </c>
      <c r="J226" s="63" t="s">
        <v>119</v>
      </c>
      <c r="K226" s="63" t="s">
        <v>159</v>
      </c>
      <c r="L226" s="63"/>
      <c r="M226" s="63" t="s">
        <v>160</v>
      </c>
      <c r="N226" s="63" t="s">
        <v>122</v>
      </c>
      <c r="O226" s="63" t="s">
        <v>7</v>
      </c>
      <c r="P226" s="66" t="s">
        <v>208</v>
      </c>
      <c r="Q226" s="66" t="s">
        <v>158</v>
      </c>
    </row>
    <row r="227" spans="2:17" ht="22.5" customHeight="1">
      <c r="B227" s="63" t="str">
        <f t="shared" si="6"/>
        <v>No224</v>
      </c>
      <c r="C227" s="63" t="str">
        <f t="shared" si="7"/>
        <v>202507</v>
      </c>
      <c r="D227" s="63" t="s">
        <v>166</v>
      </c>
      <c r="E227" s="63" t="s">
        <v>4</v>
      </c>
      <c r="F227" s="64">
        <v>45839.541666666657</v>
      </c>
      <c r="G227" s="64">
        <v>45839.583333333343</v>
      </c>
      <c r="H227" s="63">
        <f>IF(F227="", "", NETWORKDAYS.INTL(F227, G227, 11,祝日シート!A:A))</f>
        <v>1</v>
      </c>
      <c r="I227" s="65">
        <v>4.1666666666666657E-2</v>
      </c>
      <c r="J227" s="63" t="s">
        <v>45</v>
      </c>
      <c r="K227" s="63" t="s">
        <v>26</v>
      </c>
      <c r="L227" s="63"/>
      <c r="M227" s="63" t="s">
        <v>121</v>
      </c>
      <c r="N227" s="63" t="s">
        <v>6</v>
      </c>
      <c r="O227" s="63" t="s">
        <v>7</v>
      </c>
      <c r="P227" s="66" t="s">
        <v>451</v>
      </c>
      <c r="Q227" s="66" t="s">
        <v>452</v>
      </c>
    </row>
    <row r="228" spans="2:17" ht="18.75" customHeight="1">
      <c r="B228" s="63" t="str">
        <f t="shared" si="6"/>
        <v>No225</v>
      </c>
      <c r="C228" s="63" t="str">
        <f t="shared" si="7"/>
        <v>202507</v>
      </c>
      <c r="D228" s="63" t="s">
        <v>142</v>
      </c>
      <c r="E228" s="63" t="s">
        <v>4</v>
      </c>
      <c r="F228" s="64">
        <v>45839.583333333343</v>
      </c>
      <c r="G228" s="64">
        <v>45839.604166666657</v>
      </c>
      <c r="H228" s="63">
        <f>IF(F228="", "", NETWORKDAYS.INTL(F228, G228, 11,祝日シート!A:A))</f>
        <v>1</v>
      </c>
      <c r="I228" s="65">
        <v>2.0833333333333329E-2</v>
      </c>
      <c r="J228" s="63" t="s">
        <v>45</v>
      </c>
      <c r="K228" s="63" t="s">
        <v>77</v>
      </c>
      <c r="L228" s="63"/>
      <c r="M228" s="63" t="s">
        <v>198</v>
      </c>
      <c r="N228" s="63" t="s">
        <v>6</v>
      </c>
      <c r="O228" s="63" t="s">
        <v>7</v>
      </c>
      <c r="P228" s="66" t="s">
        <v>453</v>
      </c>
      <c r="Q228" s="66" t="s">
        <v>101</v>
      </c>
    </row>
    <row r="229" spans="2:17" ht="29.25" customHeight="1">
      <c r="B229" s="63" t="str">
        <f t="shared" si="6"/>
        <v>No226</v>
      </c>
      <c r="C229" s="63" t="str">
        <f t="shared" si="7"/>
        <v>202507</v>
      </c>
      <c r="D229" s="63" t="s">
        <v>166</v>
      </c>
      <c r="E229" s="63" t="s">
        <v>4</v>
      </c>
      <c r="F229" s="64">
        <v>45839.708333333343</v>
      </c>
      <c r="G229" s="64">
        <v>45839.75</v>
      </c>
      <c r="H229" s="63">
        <f>IF(F229="", "", NETWORKDAYS.INTL(F229, G229, 11,祝日シート!A:A))</f>
        <v>1</v>
      </c>
      <c r="I229" s="65">
        <v>4.1666666666666657E-2</v>
      </c>
      <c r="J229" s="63" t="s">
        <v>40</v>
      </c>
      <c r="K229" s="63" t="s">
        <v>26</v>
      </c>
      <c r="L229" s="63"/>
      <c r="M229" s="63" t="s">
        <v>121</v>
      </c>
      <c r="N229" s="63" t="s">
        <v>6</v>
      </c>
      <c r="O229" s="63" t="s">
        <v>7</v>
      </c>
      <c r="P229" s="66" t="s">
        <v>454</v>
      </c>
      <c r="Q229" s="66" t="s">
        <v>101</v>
      </c>
    </row>
    <row r="230" spans="2:17" ht="18.75" customHeight="1">
      <c r="B230" s="63" t="str">
        <f t="shared" si="6"/>
        <v>No227</v>
      </c>
      <c r="C230" s="63" t="str">
        <f t="shared" si="7"/>
        <v>202507</v>
      </c>
      <c r="D230" s="63" t="s">
        <v>166</v>
      </c>
      <c r="E230" s="63" t="s">
        <v>4</v>
      </c>
      <c r="F230" s="64">
        <v>45839.75</v>
      </c>
      <c r="G230" s="64">
        <v>45839.791666666657</v>
      </c>
      <c r="H230" s="63">
        <f>IF(F230="", "", NETWORKDAYS.INTL(F230, G230, 11,祝日シート!A:A))</f>
        <v>1</v>
      </c>
      <c r="I230" s="65">
        <v>4.1666666666666657E-2</v>
      </c>
      <c r="J230" s="63" t="s">
        <v>143</v>
      </c>
      <c r="K230" s="63" t="s">
        <v>159</v>
      </c>
      <c r="L230" s="63"/>
      <c r="M230" s="63" t="s">
        <v>420</v>
      </c>
      <c r="N230" s="63" t="s">
        <v>6</v>
      </c>
      <c r="O230" s="63" t="s">
        <v>7</v>
      </c>
      <c r="P230" s="66" t="s">
        <v>455</v>
      </c>
      <c r="Q230" s="66" t="s">
        <v>456</v>
      </c>
    </row>
    <row r="231" spans="2:17" ht="18.75" customHeight="1">
      <c r="B231" s="63" t="str">
        <f t="shared" si="6"/>
        <v>No228</v>
      </c>
      <c r="C231" s="63" t="str">
        <f t="shared" si="7"/>
        <v>202507</v>
      </c>
      <c r="D231" s="63" t="s">
        <v>166</v>
      </c>
      <c r="E231" s="63" t="s">
        <v>4</v>
      </c>
      <c r="F231" s="64">
        <v>45840.395833333343</v>
      </c>
      <c r="G231" s="64">
        <v>45840.4375</v>
      </c>
      <c r="H231" s="63">
        <f>IF(F231="", "", NETWORKDAYS.INTL(F231, G231, 11,祝日シート!A:A))</f>
        <v>1</v>
      </c>
      <c r="I231" s="65">
        <v>4.1666666666666657E-2</v>
      </c>
      <c r="J231" s="63" t="s">
        <v>20</v>
      </c>
      <c r="K231" s="63" t="s">
        <v>111</v>
      </c>
      <c r="L231" s="63"/>
      <c r="M231" s="63" t="s">
        <v>457</v>
      </c>
      <c r="N231" s="63" t="s">
        <v>6</v>
      </c>
      <c r="O231" s="63" t="s">
        <v>7</v>
      </c>
      <c r="P231" s="66" t="s">
        <v>458</v>
      </c>
      <c r="Q231" s="66" t="s">
        <v>459</v>
      </c>
    </row>
    <row r="232" spans="2:17" ht="28.5" customHeight="1">
      <c r="B232" s="63" t="str">
        <f t="shared" si="6"/>
        <v>No229</v>
      </c>
      <c r="C232" s="63" t="str">
        <f t="shared" si="7"/>
        <v>202507</v>
      </c>
      <c r="D232" s="63" t="s">
        <v>104</v>
      </c>
      <c r="E232" s="63" t="s">
        <v>4</v>
      </c>
      <c r="F232" s="64">
        <v>45840.416666666657</v>
      </c>
      <c r="G232" s="64">
        <v>45840.427083333343</v>
      </c>
      <c r="H232" s="63">
        <f>IF(F232="", "", NETWORKDAYS.INTL(F232, G232, 11,祝日シート!A:A))</f>
        <v>1</v>
      </c>
      <c r="I232" s="65">
        <v>1.041666666666667E-2</v>
      </c>
      <c r="J232" s="63" t="s">
        <v>20</v>
      </c>
      <c r="K232" s="63" t="s">
        <v>77</v>
      </c>
      <c r="L232" s="63"/>
      <c r="M232" s="63" t="s">
        <v>460</v>
      </c>
      <c r="N232" s="63" t="s">
        <v>6</v>
      </c>
      <c r="O232" s="63" t="s">
        <v>7</v>
      </c>
      <c r="P232" s="66" t="s">
        <v>461</v>
      </c>
      <c r="Q232" s="66" t="s">
        <v>462</v>
      </c>
    </row>
    <row r="233" spans="2:17" ht="28.5" customHeight="1">
      <c r="B233" s="63" t="str">
        <f t="shared" si="6"/>
        <v>No230</v>
      </c>
      <c r="C233" s="63" t="str">
        <f t="shared" si="7"/>
        <v>202507</v>
      </c>
      <c r="D233" s="63" t="s">
        <v>142</v>
      </c>
      <c r="E233" s="63" t="s">
        <v>4</v>
      </c>
      <c r="F233" s="64">
        <v>45840.4375</v>
      </c>
      <c r="G233" s="64">
        <v>45840.625</v>
      </c>
      <c r="H233" s="63">
        <f>IF(F233="", "", NETWORKDAYS.INTL(F233, G233, 11,祝日シート!A:A))</f>
        <v>1</v>
      </c>
      <c r="I233" s="65">
        <v>0.1875</v>
      </c>
      <c r="J233" s="63" t="s">
        <v>20</v>
      </c>
      <c r="K233" s="63" t="s">
        <v>35</v>
      </c>
      <c r="L233" s="63"/>
      <c r="M233" s="63" t="s">
        <v>121</v>
      </c>
      <c r="N233" s="63" t="s">
        <v>6</v>
      </c>
      <c r="O233" s="63" t="s">
        <v>7</v>
      </c>
      <c r="P233" s="66" t="s">
        <v>463</v>
      </c>
      <c r="Q233" s="66" t="s">
        <v>464</v>
      </c>
    </row>
    <row r="234" spans="2:17" ht="18.75" hidden="1" customHeight="1">
      <c r="B234" s="63" t="str">
        <f t="shared" si="6"/>
        <v>No231</v>
      </c>
      <c r="C234" s="63" t="str">
        <f t="shared" si="7"/>
        <v>202507</v>
      </c>
      <c r="D234" s="63" t="s">
        <v>186</v>
      </c>
      <c r="E234" s="63" t="s">
        <v>116</v>
      </c>
      <c r="F234" s="64">
        <v>45840.458333333343</v>
      </c>
      <c r="G234" s="64">
        <v>45841.666666666657</v>
      </c>
      <c r="H234" s="63">
        <f>IF(F234="", "", NETWORKDAYS.INTL(F234, G234, 11,祝日シート!A:A))</f>
        <v>2</v>
      </c>
      <c r="I234" s="65">
        <v>0.20833333333333329</v>
      </c>
      <c r="J234" s="63" t="s">
        <v>45</v>
      </c>
      <c r="K234" s="63" t="s">
        <v>77</v>
      </c>
      <c r="L234" s="63"/>
      <c r="M234" s="63" t="s">
        <v>198</v>
      </c>
      <c r="N234" s="63" t="s">
        <v>122</v>
      </c>
      <c r="O234" s="63" t="s">
        <v>7</v>
      </c>
      <c r="P234" s="66" t="s">
        <v>465</v>
      </c>
      <c r="Q234" s="66" t="s">
        <v>466</v>
      </c>
    </row>
    <row r="235" spans="2:17" ht="24.75" customHeight="1">
      <c r="B235" s="63" t="str">
        <f t="shared" si="6"/>
        <v>No232</v>
      </c>
      <c r="C235" s="63" t="str">
        <f t="shared" si="7"/>
        <v>202507</v>
      </c>
      <c r="D235" s="63" t="s">
        <v>166</v>
      </c>
      <c r="E235" s="63" t="s">
        <v>4</v>
      </c>
      <c r="F235" s="64">
        <v>45840.5625</v>
      </c>
      <c r="G235" s="64">
        <v>45840.625</v>
      </c>
      <c r="H235" s="63">
        <f>IF(F235="", "", NETWORKDAYS.INTL(F235, G235, 11,祝日シート!A:A))</f>
        <v>1</v>
      </c>
      <c r="I235" s="65">
        <v>6.25E-2</v>
      </c>
      <c r="J235" s="63" t="s">
        <v>40</v>
      </c>
      <c r="K235" s="63" t="s">
        <v>41</v>
      </c>
      <c r="L235" s="63"/>
      <c r="M235" s="63" t="s">
        <v>467</v>
      </c>
      <c r="N235" s="63" t="s">
        <v>6</v>
      </c>
      <c r="O235" s="63" t="s">
        <v>7</v>
      </c>
      <c r="P235" s="66" t="s">
        <v>468</v>
      </c>
      <c r="Q235" s="66" t="s">
        <v>469</v>
      </c>
    </row>
    <row r="236" spans="2:17" ht="18.75" customHeight="1">
      <c r="B236" s="63" t="str">
        <f t="shared" si="6"/>
        <v>No233</v>
      </c>
      <c r="C236" s="63" t="str">
        <f t="shared" si="7"/>
        <v>202507</v>
      </c>
      <c r="D236" s="63" t="s">
        <v>104</v>
      </c>
      <c r="E236" s="63" t="s">
        <v>4</v>
      </c>
      <c r="F236" s="64">
        <v>45840.625</v>
      </c>
      <c r="G236" s="64">
        <v>45840.635416666657</v>
      </c>
      <c r="H236" s="63">
        <f>IF(F236="", "", NETWORKDAYS.INTL(F236, G236, 11,祝日シート!A:A))</f>
        <v>1</v>
      </c>
      <c r="I236" s="65">
        <v>1.041666666666667E-2</v>
      </c>
      <c r="J236" s="63" t="s">
        <v>20</v>
      </c>
      <c r="K236" s="63" t="s">
        <v>77</v>
      </c>
      <c r="L236" s="63"/>
      <c r="M236" s="63" t="s">
        <v>470</v>
      </c>
      <c r="N236" s="63" t="s">
        <v>6</v>
      </c>
      <c r="O236" s="63" t="s">
        <v>7</v>
      </c>
      <c r="P236" s="66" t="s">
        <v>461</v>
      </c>
      <c r="Q236" s="66" t="s">
        <v>471</v>
      </c>
    </row>
    <row r="237" spans="2:17" ht="18.75" customHeight="1">
      <c r="B237" s="63" t="str">
        <f t="shared" si="6"/>
        <v>No234</v>
      </c>
      <c r="C237" s="63" t="str">
        <f t="shared" si="7"/>
        <v>202507</v>
      </c>
      <c r="D237" s="63" t="s">
        <v>142</v>
      </c>
      <c r="E237" s="63" t="s">
        <v>4</v>
      </c>
      <c r="F237" s="64">
        <v>45840.625</v>
      </c>
      <c r="G237" s="64">
        <v>45840.708333333343</v>
      </c>
      <c r="H237" s="63">
        <f>IF(F237="", "", NETWORKDAYS.INTL(F237, G237, 11,祝日シート!A:A))</f>
        <v>1</v>
      </c>
      <c r="I237" s="65">
        <v>8.3333333333333329E-2</v>
      </c>
      <c r="J237" s="63" t="s">
        <v>45</v>
      </c>
      <c r="K237" s="63" t="s">
        <v>35</v>
      </c>
      <c r="L237" s="63"/>
      <c r="M237" s="63" t="s">
        <v>121</v>
      </c>
      <c r="N237" s="63" t="s">
        <v>6</v>
      </c>
      <c r="O237" s="63" t="s">
        <v>7</v>
      </c>
      <c r="P237" s="66" t="s">
        <v>472</v>
      </c>
      <c r="Q237" s="66" t="s">
        <v>464</v>
      </c>
    </row>
    <row r="238" spans="2:17" ht="24.75" hidden="1" customHeight="1">
      <c r="B238" s="63" t="str">
        <f t="shared" si="6"/>
        <v>No235</v>
      </c>
      <c r="C238" s="63" t="str">
        <f t="shared" si="7"/>
        <v>202507</v>
      </c>
      <c r="D238" s="63" t="s">
        <v>142</v>
      </c>
      <c r="E238" s="63" t="s">
        <v>155</v>
      </c>
      <c r="F238" s="64">
        <v>45840.666666666657</v>
      </c>
      <c r="G238" s="64">
        <v>45841.708333333343</v>
      </c>
      <c r="H238" s="63">
        <f>IF(F238="", "", NETWORKDAYS.INTL(F238, G238, 11,祝日シート!A:A))</f>
        <v>2</v>
      </c>
      <c r="I238" s="65">
        <v>6.9444444444444441E-3</v>
      </c>
      <c r="J238" s="63" t="s">
        <v>119</v>
      </c>
      <c r="K238" s="63" t="s">
        <v>41</v>
      </c>
      <c r="L238" s="63"/>
      <c r="M238" s="63" t="s">
        <v>277</v>
      </c>
      <c r="N238" s="63" t="s">
        <v>122</v>
      </c>
      <c r="O238" s="63" t="s">
        <v>7</v>
      </c>
      <c r="P238" s="66" t="s">
        <v>385</v>
      </c>
      <c r="Q238" s="66" t="s">
        <v>158</v>
      </c>
    </row>
    <row r="239" spans="2:17" ht="24.75" customHeight="1">
      <c r="B239" s="63" t="str">
        <f t="shared" si="6"/>
        <v>No236</v>
      </c>
      <c r="C239" s="63" t="str">
        <f t="shared" si="7"/>
        <v>202507</v>
      </c>
      <c r="D239" s="63" t="s">
        <v>166</v>
      </c>
      <c r="E239" s="63" t="s">
        <v>4</v>
      </c>
      <c r="F239" s="64">
        <v>45840.708333333343</v>
      </c>
      <c r="G239" s="64">
        <v>45840.75</v>
      </c>
      <c r="H239" s="63">
        <f>IF(F239="", "", NETWORKDAYS.INTL(F239, G239, 11,祝日シート!A:A))</f>
        <v>1</v>
      </c>
      <c r="I239" s="65">
        <v>4.1666666666666657E-2</v>
      </c>
      <c r="J239" s="63" t="s">
        <v>45</v>
      </c>
      <c r="K239" s="63" t="s">
        <v>111</v>
      </c>
      <c r="L239" s="63"/>
      <c r="M239" s="63" t="s">
        <v>473</v>
      </c>
      <c r="N239" s="63" t="s">
        <v>6</v>
      </c>
      <c r="O239" s="63" t="s">
        <v>7</v>
      </c>
      <c r="P239" s="66" t="s">
        <v>474</v>
      </c>
      <c r="Q239" s="66" t="s">
        <v>475</v>
      </c>
    </row>
    <row r="240" spans="2:17" ht="18.75" hidden="1" customHeight="1">
      <c r="B240" s="63" t="str">
        <f t="shared" si="6"/>
        <v>No237</v>
      </c>
      <c r="C240" s="63" t="str">
        <f t="shared" si="7"/>
        <v>202507</v>
      </c>
      <c r="D240" s="63" t="s">
        <v>142</v>
      </c>
      <c r="E240" s="63" t="s">
        <v>155</v>
      </c>
      <c r="F240" s="64">
        <v>45842.364583333343</v>
      </c>
      <c r="G240" s="64">
        <v>45842.381944444453</v>
      </c>
      <c r="H240" s="63">
        <f>IF(F240="", "", NETWORKDAYS.INTL(F240, G240, 11,祝日シート!A:A))</f>
        <v>1</v>
      </c>
      <c r="I240" s="65">
        <v>1.7361111111111108E-2</v>
      </c>
      <c r="J240" s="63" t="s">
        <v>119</v>
      </c>
      <c r="K240" s="63" t="s">
        <v>176</v>
      </c>
      <c r="L240" s="63"/>
      <c r="M240" s="63" t="s">
        <v>156</v>
      </c>
      <c r="N240" s="63" t="s">
        <v>122</v>
      </c>
      <c r="O240" s="63" t="s">
        <v>7</v>
      </c>
      <c r="P240" s="66" t="s">
        <v>476</v>
      </c>
      <c r="Q240" s="66" t="s">
        <v>158</v>
      </c>
    </row>
    <row r="241" spans="2:17" ht="29.25" hidden="1" customHeight="1">
      <c r="B241" s="63" t="str">
        <f t="shared" si="6"/>
        <v>No238</v>
      </c>
      <c r="C241" s="63" t="str">
        <f t="shared" si="7"/>
        <v>202507</v>
      </c>
      <c r="D241" s="63" t="s">
        <v>142</v>
      </c>
      <c r="E241" s="63" t="s">
        <v>155</v>
      </c>
      <c r="F241" s="64">
        <v>45842.472222222219</v>
      </c>
      <c r="G241" s="64">
        <v>45842.479166666657</v>
      </c>
      <c r="H241" s="63">
        <f>IF(F241="", "", NETWORKDAYS.INTL(F241, G241, 11,祝日シート!A:A))</f>
        <v>1</v>
      </c>
      <c r="I241" s="65">
        <v>6.9444444444444441E-3</v>
      </c>
      <c r="J241" s="63" t="s">
        <v>119</v>
      </c>
      <c r="K241" s="63" t="s">
        <v>77</v>
      </c>
      <c r="L241" s="63"/>
      <c r="M241" s="63" t="s">
        <v>211</v>
      </c>
      <c r="N241" s="63" t="s">
        <v>122</v>
      </c>
      <c r="O241" s="63" t="s">
        <v>7</v>
      </c>
      <c r="P241" s="66" t="s">
        <v>212</v>
      </c>
      <c r="Q241" s="66" t="s">
        <v>158</v>
      </c>
    </row>
    <row r="242" spans="2:17" ht="18.75" hidden="1" customHeight="1">
      <c r="B242" s="63" t="str">
        <f t="shared" si="6"/>
        <v>No239</v>
      </c>
      <c r="C242" s="63" t="str">
        <f t="shared" si="7"/>
        <v>202507</v>
      </c>
      <c r="D242" s="63" t="s">
        <v>142</v>
      </c>
      <c r="E242" s="63" t="s">
        <v>155</v>
      </c>
      <c r="F242" s="64">
        <v>45842.635416666657</v>
      </c>
      <c r="G242" s="64">
        <v>45842.642361111109</v>
      </c>
      <c r="H242" s="63">
        <f>IF(F242="", "", NETWORKDAYS.INTL(F242, G242, 11,祝日シート!A:A))</f>
        <v>1</v>
      </c>
      <c r="I242" s="65">
        <v>6.9444444444444441E-3</v>
      </c>
      <c r="J242" s="63" t="s">
        <v>119</v>
      </c>
      <c r="K242" s="63" t="s">
        <v>41</v>
      </c>
      <c r="L242" s="63"/>
      <c r="M242" s="63" t="s">
        <v>277</v>
      </c>
      <c r="N242" s="63" t="s">
        <v>122</v>
      </c>
      <c r="O242" s="63" t="s">
        <v>7</v>
      </c>
      <c r="P242" s="66" t="s">
        <v>385</v>
      </c>
      <c r="Q242" s="66" t="s">
        <v>158</v>
      </c>
    </row>
    <row r="243" spans="2:17" ht="27" customHeight="1">
      <c r="B243" s="63" t="str">
        <f t="shared" si="6"/>
        <v>No240</v>
      </c>
      <c r="C243" s="63" t="str">
        <f t="shared" si="7"/>
        <v>202507</v>
      </c>
      <c r="D243" s="63" t="s">
        <v>142</v>
      </c>
      <c r="E243" s="63" t="s">
        <v>4</v>
      </c>
      <c r="F243" s="64">
        <v>45845.416666666657</v>
      </c>
      <c r="G243" s="64">
        <v>45845.604166666657</v>
      </c>
      <c r="H243" s="63">
        <f>IF(F243="", "", NETWORKDAYS.INTL(F243, G243, 11,祝日シート!A:A))</f>
        <v>1</v>
      </c>
      <c r="I243" s="65">
        <v>0.1875</v>
      </c>
      <c r="J243" s="63" t="s">
        <v>40</v>
      </c>
      <c r="K243" s="63" t="s">
        <v>35</v>
      </c>
      <c r="L243" s="63"/>
      <c r="M243" s="63" t="s">
        <v>477</v>
      </c>
      <c r="N243" s="63" t="s">
        <v>6</v>
      </c>
      <c r="O243" s="63" t="s">
        <v>7</v>
      </c>
      <c r="P243" s="66" t="s">
        <v>478</v>
      </c>
      <c r="Q243" s="66" t="s">
        <v>464</v>
      </c>
    </row>
    <row r="244" spans="2:17" ht="27" hidden="1" customHeight="1">
      <c r="B244" s="63" t="str">
        <f t="shared" si="6"/>
        <v>No241</v>
      </c>
      <c r="C244" s="63" t="str">
        <f t="shared" si="7"/>
        <v>202507</v>
      </c>
      <c r="D244" s="63" t="s">
        <v>142</v>
      </c>
      <c r="E244" s="63" t="s">
        <v>155</v>
      </c>
      <c r="F244" s="64">
        <v>45845.590277777781</v>
      </c>
      <c r="G244" s="64">
        <v>45845.597222222219</v>
      </c>
      <c r="H244" s="63">
        <f>IF(F244="", "", NETWORKDAYS.INTL(F244, G244, 11,祝日シート!A:A))</f>
        <v>1</v>
      </c>
      <c r="I244" s="65">
        <v>6.9444444444444441E-3</v>
      </c>
      <c r="J244" s="63" t="s">
        <v>119</v>
      </c>
      <c r="K244" s="63" t="s">
        <v>159</v>
      </c>
      <c r="L244" s="63"/>
      <c r="M244" s="63" t="s">
        <v>288</v>
      </c>
      <c r="N244" s="63" t="s">
        <v>122</v>
      </c>
      <c r="O244" s="63" t="s">
        <v>7</v>
      </c>
      <c r="P244" s="66" t="s">
        <v>246</v>
      </c>
      <c r="Q244" s="66" t="s">
        <v>158</v>
      </c>
    </row>
    <row r="245" spans="2:17" ht="27" customHeight="1">
      <c r="B245" s="63" t="str">
        <f t="shared" si="6"/>
        <v>No242</v>
      </c>
      <c r="C245" s="63" t="str">
        <f t="shared" si="7"/>
        <v>202507</v>
      </c>
      <c r="D245" s="63" t="s">
        <v>142</v>
      </c>
      <c r="E245" s="63" t="s">
        <v>4</v>
      </c>
      <c r="F245" s="64">
        <v>45845.625</v>
      </c>
      <c r="G245" s="64">
        <v>45845.666666666657</v>
      </c>
      <c r="H245" s="63">
        <f>IF(F245="", "", NETWORKDAYS.INTL(F245, G245, 11,祝日シート!A:A))</f>
        <v>1</v>
      </c>
      <c r="I245" s="65">
        <v>4.1666666666666657E-2</v>
      </c>
      <c r="J245" s="63" t="s">
        <v>40</v>
      </c>
      <c r="K245" s="63" t="s">
        <v>35</v>
      </c>
      <c r="L245" s="63"/>
      <c r="M245" s="63" t="s">
        <v>477</v>
      </c>
      <c r="N245" s="63" t="s">
        <v>6</v>
      </c>
      <c r="O245" s="63" t="s">
        <v>7</v>
      </c>
      <c r="P245" s="66" t="s">
        <v>479</v>
      </c>
      <c r="Q245" s="66" t="s">
        <v>464</v>
      </c>
    </row>
    <row r="246" spans="2:17" ht="18.75" hidden="1" customHeight="1">
      <c r="B246" s="63" t="str">
        <f t="shared" si="6"/>
        <v>No243</v>
      </c>
      <c r="C246" s="63" t="str">
        <f t="shared" si="7"/>
        <v>202507</v>
      </c>
      <c r="D246" s="63" t="s">
        <v>142</v>
      </c>
      <c r="E246" s="63" t="s">
        <v>155</v>
      </c>
      <c r="F246" s="64">
        <v>45845.708333333343</v>
      </c>
      <c r="G246" s="64">
        <v>45845.71875</v>
      </c>
      <c r="H246" s="63">
        <f>IF(F246="", "", NETWORKDAYS.INTL(F246, G246, 11,祝日シート!A:A))</f>
        <v>1</v>
      </c>
      <c r="I246" s="65">
        <v>1.041666666666667E-2</v>
      </c>
      <c r="J246" s="63" t="s">
        <v>283</v>
      </c>
      <c r="K246" s="63" t="s">
        <v>26</v>
      </c>
      <c r="L246" s="63"/>
      <c r="M246" s="63" t="s">
        <v>167</v>
      </c>
      <c r="N246" s="63" t="s">
        <v>117</v>
      </c>
      <c r="O246" s="63" t="s">
        <v>7</v>
      </c>
      <c r="P246" s="66" t="s">
        <v>480</v>
      </c>
      <c r="Q246" s="66" t="s">
        <v>481</v>
      </c>
    </row>
    <row r="247" spans="2:17" ht="18.75" hidden="1" customHeight="1">
      <c r="B247" s="63" t="str">
        <f t="shared" si="6"/>
        <v>No244</v>
      </c>
      <c r="C247" s="63" t="str">
        <f t="shared" si="7"/>
        <v>202507</v>
      </c>
      <c r="D247" s="63" t="s">
        <v>142</v>
      </c>
      <c r="E247" s="63" t="s">
        <v>155</v>
      </c>
      <c r="F247" s="64">
        <v>45846.381944444453</v>
      </c>
      <c r="G247" s="64">
        <v>45846.385416666657</v>
      </c>
      <c r="H247" s="63">
        <f>IF(F247="", "", NETWORKDAYS.INTL(F247, G247, 11,祝日シート!A:A))</f>
        <v>1</v>
      </c>
      <c r="I247" s="65">
        <v>3.472222222222222E-3</v>
      </c>
      <c r="J247" s="63" t="s">
        <v>119</v>
      </c>
      <c r="K247" s="63" t="s">
        <v>111</v>
      </c>
      <c r="L247" s="63"/>
      <c r="M247" s="63" t="s">
        <v>205</v>
      </c>
      <c r="N247" s="63" t="s">
        <v>122</v>
      </c>
      <c r="O247" s="63" t="s">
        <v>7</v>
      </c>
      <c r="P247" s="66" t="s">
        <v>482</v>
      </c>
      <c r="Q247" s="66" t="s">
        <v>483</v>
      </c>
    </row>
    <row r="248" spans="2:17" ht="26.25" hidden="1" customHeight="1">
      <c r="B248" s="63" t="str">
        <f t="shared" si="6"/>
        <v>No245</v>
      </c>
      <c r="C248" s="63" t="str">
        <f t="shared" si="7"/>
        <v>202507</v>
      </c>
      <c r="D248" s="63" t="s">
        <v>142</v>
      </c>
      <c r="E248" s="63" t="s">
        <v>155</v>
      </c>
      <c r="F248" s="64">
        <v>45846.479166666657</v>
      </c>
      <c r="G248" s="64">
        <v>45847.375</v>
      </c>
      <c r="H248" s="63">
        <f>IF(F248="", "", NETWORKDAYS.INTL(F248, G248, 11,祝日シート!A:A))</f>
        <v>2</v>
      </c>
      <c r="I248" s="65">
        <v>1.041666666666667E-2</v>
      </c>
      <c r="J248" s="63" t="s">
        <v>119</v>
      </c>
      <c r="K248" s="63" t="s">
        <v>77</v>
      </c>
      <c r="L248" s="63"/>
      <c r="M248" s="63" t="s">
        <v>144</v>
      </c>
      <c r="N248" s="63" t="s">
        <v>122</v>
      </c>
      <c r="O248" s="63" t="s">
        <v>7</v>
      </c>
      <c r="P248" s="66" t="s">
        <v>484</v>
      </c>
      <c r="Q248" s="66" t="s">
        <v>158</v>
      </c>
    </row>
    <row r="249" spans="2:17" ht="18.75" hidden="1" customHeight="1">
      <c r="B249" s="63" t="str">
        <f t="shared" si="6"/>
        <v>No246</v>
      </c>
      <c r="C249" s="63" t="str">
        <f t="shared" si="7"/>
        <v>202507</v>
      </c>
      <c r="D249" s="63" t="s">
        <v>142</v>
      </c>
      <c r="E249" s="63" t="s">
        <v>155</v>
      </c>
      <c r="F249" s="64">
        <v>45846.486111111109</v>
      </c>
      <c r="G249" s="64">
        <v>45846.496527777781</v>
      </c>
      <c r="H249" s="63">
        <f>IF(F249="", "", NETWORKDAYS.INTL(F249, G249, 11,祝日シート!A:A))</f>
        <v>1</v>
      </c>
      <c r="I249" s="65">
        <v>1.041666666666667E-2</v>
      </c>
      <c r="J249" s="63" t="s">
        <v>119</v>
      </c>
      <c r="K249" s="63" t="s">
        <v>159</v>
      </c>
      <c r="L249" s="63"/>
      <c r="M249" s="63" t="s">
        <v>288</v>
      </c>
      <c r="N249" s="63" t="s">
        <v>122</v>
      </c>
      <c r="O249" s="63" t="s">
        <v>7</v>
      </c>
      <c r="P249" s="66" t="s">
        <v>208</v>
      </c>
      <c r="Q249" s="66" t="s">
        <v>158</v>
      </c>
    </row>
    <row r="250" spans="2:17" ht="18.75" customHeight="1">
      <c r="B250" s="63" t="str">
        <f t="shared" si="6"/>
        <v>No247</v>
      </c>
      <c r="C250" s="63" t="str">
        <f t="shared" si="7"/>
        <v>202507</v>
      </c>
      <c r="D250" s="63" t="s">
        <v>166</v>
      </c>
      <c r="E250" s="63" t="s">
        <v>4</v>
      </c>
      <c r="F250" s="64">
        <v>45846.541666666657</v>
      </c>
      <c r="G250" s="64">
        <v>45846.5625</v>
      </c>
      <c r="H250" s="63">
        <f>IF(F250="", "", NETWORKDAYS.INTL(F250, G250, 11,祝日シート!A:A))</f>
        <v>1</v>
      </c>
      <c r="I250" s="65">
        <v>2.0833333333333329E-2</v>
      </c>
      <c r="J250" s="63" t="s">
        <v>20</v>
      </c>
      <c r="K250" s="63" t="s">
        <v>26</v>
      </c>
      <c r="L250" s="63"/>
      <c r="M250" s="63" t="s">
        <v>121</v>
      </c>
      <c r="N250" s="63" t="s">
        <v>6</v>
      </c>
      <c r="O250" s="63" t="s">
        <v>7</v>
      </c>
      <c r="P250" s="66" t="s">
        <v>485</v>
      </c>
      <c r="Q250" s="66" t="s">
        <v>486</v>
      </c>
    </row>
    <row r="251" spans="2:17" ht="25.5" customHeight="1">
      <c r="B251" s="63" t="str">
        <f t="shared" si="6"/>
        <v>No248</v>
      </c>
      <c r="C251" s="63" t="str">
        <f t="shared" si="7"/>
        <v>202507</v>
      </c>
      <c r="D251" s="63" t="s">
        <v>166</v>
      </c>
      <c r="E251" s="63" t="s">
        <v>4</v>
      </c>
      <c r="F251" s="64">
        <v>45846.541666666657</v>
      </c>
      <c r="G251" s="64">
        <v>45846.5625</v>
      </c>
      <c r="H251" s="63">
        <f>IF(F251="", "", NETWORKDAYS.INTL(F251, G251, 11,祝日シート!A:A))</f>
        <v>1</v>
      </c>
      <c r="I251" s="65">
        <v>2.0833333333333329E-2</v>
      </c>
      <c r="J251" s="63" t="s">
        <v>40</v>
      </c>
      <c r="K251" s="63" t="s">
        <v>26</v>
      </c>
      <c r="L251" s="63"/>
      <c r="M251" s="63" t="s">
        <v>121</v>
      </c>
      <c r="N251" s="63" t="s">
        <v>6</v>
      </c>
      <c r="O251" s="63" t="s">
        <v>7</v>
      </c>
      <c r="P251" s="66" t="s">
        <v>487</v>
      </c>
      <c r="Q251" s="66" t="s">
        <v>488</v>
      </c>
    </row>
    <row r="252" spans="2:17" ht="25.5" customHeight="1">
      <c r="B252" s="63" t="str">
        <f t="shared" si="6"/>
        <v>No249</v>
      </c>
      <c r="C252" s="63" t="str">
        <f t="shared" si="7"/>
        <v>202507</v>
      </c>
      <c r="D252" s="63" t="s">
        <v>166</v>
      </c>
      <c r="E252" s="63" t="s">
        <v>4</v>
      </c>
      <c r="F252" s="64">
        <v>45846.604166666657</v>
      </c>
      <c r="G252" s="64">
        <v>45846.618055555547</v>
      </c>
      <c r="H252" s="63">
        <f>IF(F252="", "", NETWORKDAYS.INTL(F252, G252, 11,祝日シート!A:A))</f>
        <v>1</v>
      </c>
      <c r="I252" s="65">
        <v>1.388888888888889E-2</v>
      </c>
      <c r="J252" s="63" t="s">
        <v>40</v>
      </c>
      <c r="K252" s="63" t="s">
        <v>26</v>
      </c>
      <c r="L252" s="63"/>
      <c r="M252" s="63" t="s">
        <v>121</v>
      </c>
      <c r="N252" s="63" t="s">
        <v>6</v>
      </c>
      <c r="O252" s="63" t="s">
        <v>7</v>
      </c>
      <c r="P252" s="66" t="s">
        <v>489</v>
      </c>
      <c r="Q252" s="66" t="s">
        <v>490</v>
      </c>
    </row>
    <row r="253" spans="2:17" ht="25.5" customHeight="1">
      <c r="B253" s="63" t="str">
        <f t="shared" si="6"/>
        <v>No250</v>
      </c>
      <c r="C253" s="63" t="str">
        <f t="shared" si="7"/>
        <v>202507</v>
      </c>
      <c r="D253" s="63" t="s">
        <v>104</v>
      </c>
      <c r="E253" s="63" t="s">
        <v>4</v>
      </c>
      <c r="F253" s="64">
        <v>45846.625</v>
      </c>
      <c r="G253" s="64">
        <v>45846.645833333343</v>
      </c>
      <c r="H253" s="63">
        <f>IF(F253="", "", NETWORKDAYS.INTL(F253, G253, 11,祝日シート!A:A))</f>
        <v>1</v>
      </c>
      <c r="I253" s="65">
        <v>2.0833333333333329E-2</v>
      </c>
      <c r="J253" s="63" t="s">
        <v>20</v>
      </c>
      <c r="K253" s="63" t="s">
        <v>111</v>
      </c>
      <c r="L253" s="63"/>
      <c r="M253" s="63" t="s">
        <v>491</v>
      </c>
      <c r="N253" s="63" t="s">
        <v>6</v>
      </c>
      <c r="O253" s="63" t="s">
        <v>7</v>
      </c>
      <c r="P253" s="66" t="s">
        <v>492</v>
      </c>
      <c r="Q253" s="66" t="s">
        <v>493</v>
      </c>
    </row>
    <row r="254" spans="2:17" ht="18.75" hidden="1" customHeight="1">
      <c r="B254" s="63" t="str">
        <f t="shared" si="6"/>
        <v>No251</v>
      </c>
      <c r="C254" s="63" t="str">
        <f t="shared" si="7"/>
        <v>202507</v>
      </c>
      <c r="D254" s="63" t="s">
        <v>142</v>
      </c>
      <c r="E254" s="63" t="s">
        <v>155</v>
      </c>
      <c r="F254" s="64">
        <v>45846.6875</v>
      </c>
      <c r="G254" s="64">
        <v>45846.756944444453</v>
      </c>
      <c r="H254" s="63">
        <f>IF(F254="", "", NETWORKDAYS.INTL(F254, G254, 11,祝日シート!A:A))</f>
        <v>1</v>
      </c>
      <c r="I254" s="65">
        <v>1.388888888888889E-2</v>
      </c>
      <c r="J254" s="63" t="s">
        <v>119</v>
      </c>
      <c r="K254" s="63" t="s">
        <v>77</v>
      </c>
      <c r="L254" s="63"/>
      <c r="M254" s="63" t="s">
        <v>144</v>
      </c>
      <c r="N254" s="63" t="s">
        <v>117</v>
      </c>
      <c r="O254" s="63" t="s">
        <v>7</v>
      </c>
      <c r="P254" s="66" t="s">
        <v>484</v>
      </c>
      <c r="Q254" s="66" t="s">
        <v>158</v>
      </c>
    </row>
    <row r="255" spans="2:17" ht="18.75" customHeight="1">
      <c r="B255" s="63" t="str">
        <f t="shared" si="6"/>
        <v>No252</v>
      </c>
      <c r="C255" s="63" t="str">
        <f t="shared" si="7"/>
        <v>202507</v>
      </c>
      <c r="D255" s="63" t="s">
        <v>142</v>
      </c>
      <c r="E255" s="63" t="s">
        <v>4</v>
      </c>
      <c r="F255" s="64">
        <v>45846.708333333343</v>
      </c>
      <c r="G255" s="64">
        <v>45846.729166666657</v>
      </c>
      <c r="H255" s="63">
        <f>IF(F255="", "", NETWORKDAYS.INTL(F255, G255, 11,祝日シート!A:A))</f>
        <v>1</v>
      </c>
      <c r="I255" s="65">
        <v>2.0833333333333329E-2</v>
      </c>
      <c r="J255" s="63" t="s">
        <v>40</v>
      </c>
      <c r="K255" s="63" t="s">
        <v>159</v>
      </c>
      <c r="L255" s="63"/>
      <c r="M255" s="63" t="s">
        <v>494</v>
      </c>
      <c r="N255" s="63" t="s">
        <v>6</v>
      </c>
      <c r="O255" s="63" t="s">
        <v>7</v>
      </c>
      <c r="P255" s="66" t="s">
        <v>495</v>
      </c>
      <c r="Q255" s="66" t="s">
        <v>496</v>
      </c>
    </row>
    <row r="256" spans="2:17" ht="18.75" customHeight="1">
      <c r="B256" s="63" t="str">
        <f t="shared" si="6"/>
        <v>No253</v>
      </c>
      <c r="C256" s="63" t="str">
        <f t="shared" si="7"/>
        <v>202507</v>
      </c>
      <c r="D256" s="63" t="s">
        <v>104</v>
      </c>
      <c r="E256" s="63" t="s">
        <v>4</v>
      </c>
      <c r="F256" s="64">
        <v>45846.75</v>
      </c>
      <c r="G256" s="64">
        <v>45846.763888888891</v>
      </c>
      <c r="H256" s="63">
        <f>IF(F256="", "", NETWORKDAYS.INTL(F256, G256, 11,祝日シート!A:A))</f>
        <v>1</v>
      </c>
      <c r="I256" s="65">
        <v>1.388888888888889E-2</v>
      </c>
      <c r="J256" s="63" t="s">
        <v>20</v>
      </c>
      <c r="K256" s="63" t="s">
        <v>21</v>
      </c>
      <c r="L256" s="63"/>
      <c r="M256" s="63" t="s">
        <v>497</v>
      </c>
      <c r="N256" s="63" t="s">
        <v>6</v>
      </c>
      <c r="O256" s="63" t="s">
        <v>7</v>
      </c>
      <c r="P256" s="66" t="s">
        <v>498</v>
      </c>
      <c r="Q256" s="66" t="s">
        <v>499</v>
      </c>
    </row>
    <row r="257" spans="2:17" ht="24.75" hidden="1" customHeight="1">
      <c r="B257" s="63" t="str">
        <f t="shared" si="6"/>
        <v>No254</v>
      </c>
      <c r="C257" s="63" t="str">
        <f t="shared" si="7"/>
        <v>202507</v>
      </c>
      <c r="D257" s="63" t="s">
        <v>142</v>
      </c>
      <c r="E257" s="63" t="s">
        <v>155</v>
      </c>
      <c r="F257" s="64">
        <v>45847.604166666657</v>
      </c>
      <c r="G257" s="64">
        <v>45848.375</v>
      </c>
      <c r="H257" s="63">
        <f>IF(F257="", "", NETWORKDAYS.INTL(F257, G257, 11,祝日シート!A:A))</f>
        <v>2</v>
      </c>
      <c r="I257" s="65">
        <v>6.9444444444444441E-3</v>
      </c>
      <c r="J257" s="63" t="s">
        <v>45</v>
      </c>
      <c r="K257" s="63" t="s">
        <v>35</v>
      </c>
      <c r="L257" s="63"/>
      <c r="M257" s="63" t="s">
        <v>500</v>
      </c>
      <c r="N257" s="63" t="s">
        <v>122</v>
      </c>
      <c r="O257" s="63" t="s">
        <v>7</v>
      </c>
      <c r="P257" s="66" t="s">
        <v>501</v>
      </c>
      <c r="Q257" s="66" t="s">
        <v>158</v>
      </c>
    </row>
    <row r="258" spans="2:17" ht="24.75" hidden="1" customHeight="1">
      <c r="B258" s="63" t="str">
        <f t="shared" si="6"/>
        <v>No255</v>
      </c>
      <c r="C258" s="63" t="str">
        <f t="shared" si="7"/>
        <v>202507</v>
      </c>
      <c r="D258" s="63" t="s">
        <v>142</v>
      </c>
      <c r="E258" s="63" t="s">
        <v>155</v>
      </c>
      <c r="F258" s="64">
        <v>45847.604166666657</v>
      </c>
      <c r="G258" s="64">
        <v>45848.375</v>
      </c>
      <c r="H258" s="63">
        <f>IF(F258="", "", NETWORKDAYS.INTL(F258, G258, 11,祝日シート!A:A))</f>
        <v>2</v>
      </c>
      <c r="I258" s="65">
        <v>6.9444444444444441E-3</v>
      </c>
      <c r="J258" s="63" t="s">
        <v>45</v>
      </c>
      <c r="K258" s="63" t="s">
        <v>159</v>
      </c>
      <c r="L258" s="63"/>
      <c r="M258" s="63" t="s">
        <v>187</v>
      </c>
      <c r="N258" s="63" t="s">
        <v>122</v>
      </c>
      <c r="O258" s="63" t="s">
        <v>7</v>
      </c>
      <c r="P258" s="66" t="s">
        <v>502</v>
      </c>
      <c r="Q258" s="66" t="s">
        <v>158</v>
      </c>
    </row>
    <row r="259" spans="2:17" ht="27" hidden="1" customHeight="1">
      <c r="B259" s="63" t="str">
        <f t="shared" si="6"/>
        <v>No256</v>
      </c>
      <c r="C259" s="63" t="str">
        <f t="shared" si="7"/>
        <v>202507</v>
      </c>
      <c r="D259" s="63" t="s">
        <v>142</v>
      </c>
      <c r="E259" s="63" t="s">
        <v>155</v>
      </c>
      <c r="F259" s="64">
        <v>45847.604166666657</v>
      </c>
      <c r="G259" s="64">
        <v>45848.375</v>
      </c>
      <c r="H259" s="63">
        <f>IF(F259="", "", NETWORKDAYS.INTL(F259, G259, 11,祝日シート!A:A))</f>
        <v>2</v>
      </c>
      <c r="I259" s="65">
        <v>6.9444444444444441E-3</v>
      </c>
      <c r="J259" s="63" t="s">
        <v>45</v>
      </c>
      <c r="K259" s="63" t="s">
        <v>111</v>
      </c>
      <c r="L259" s="63"/>
      <c r="M259" s="63" t="s">
        <v>215</v>
      </c>
      <c r="N259" s="63" t="s">
        <v>122</v>
      </c>
      <c r="O259" s="63" t="s">
        <v>7</v>
      </c>
      <c r="P259" s="66" t="s">
        <v>502</v>
      </c>
      <c r="Q259" s="66" t="s">
        <v>158</v>
      </c>
    </row>
    <row r="260" spans="2:17" ht="18.75" hidden="1" customHeight="1">
      <c r="B260" s="63" t="str">
        <f t="shared" si="6"/>
        <v>No257</v>
      </c>
      <c r="C260" s="63" t="str">
        <f t="shared" si="7"/>
        <v>202507</v>
      </c>
      <c r="D260" s="63" t="s">
        <v>142</v>
      </c>
      <c r="E260" s="63" t="s">
        <v>155</v>
      </c>
      <c r="F260" s="64">
        <v>45847.625</v>
      </c>
      <c r="G260" s="64">
        <v>45847.677083333343</v>
      </c>
      <c r="H260" s="63">
        <f>IF(F260="", "", NETWORKDAYS.INTL(F260, G260, 11,祝日シート!A:A))</f>
        <v>1</v>
      </c>
      <c r="I260" s="65">
        <v>1.041666666666667E-2</v>
      </c>
      <c r="J260" s="63" t="s">
        <v>20</v>
      </c>
      <c r="K260" s="63" t="s">
        <v>111</v>
      </c>
      <c r="L260" s="63"/>
      <c r="M260" s="63" t="s">
        <v>339</v>
      </c>
      <c r="N260" s="63" t="s">
        <v>122</v>
      </c>
      <c r="O260" s="63" t="s">
        <v>7</v>
      </c>
      <c r="P260" s="66" t="s">
        <v>503</v>
      </c>
      <c r="Q260" s="66" t="s">
        <v>504</v>
      </c>
    </row>
    <row r="261" spans="2:17" ht="18.75" hidden="1" customHeight="1">
      <c r="B261" s="63" t="str">
        <f t="shared" si="6"/>
        <v>No258</v>
      </c>
      <c r="C261" s="63" t="str">
        <f t="shared" si="7"/>
        <v>202507</v>
      </c>
      <c r="D261" s="63" t="s">
        <v>142</v>
      </c>
      <c r="E261" s="63" t="s">
        <v>155</v>
      </c>
      <c r="F261" s="64">
        <v>45847.677083333343</v>
      </c>
      <c r="G261" s="64">
        <v>45847.690972222219</v>
      </c>
      <c r="H261" s="63">
        <f>IF(F261="", "", NETWORKDAYS.INTL(F261, G261, 11,祝日シート!A:A))</f>
        <v>1</v>
      </c>
      <c r="I261" s="65">
        <v>6.9444444444444441E-3</v>
      </c>
      <c r="J261" s="63" t="s">
        <v>119</v>
      </c>
      <c r="K261" s="63" t="s">
        <v>111</v>
      </c>
      <c r="L261" s="63"/>
      <c r="M261" s="63" t="s">
        <v>215</v>
      </c>
      <c r="N261" s="63" t="s">
        <v>122</v>
      </c>
      <c r="O261" s="63" t="s">
        <v>7</v>
      </c>
      <c r="P261" s="66" t="s">
        <v>246</v>
      </c>
      <c r="Q261" s="66" t="s">
        <v>158</v>
      </c>
    </row>
    <row r="262" spans="2:17" ht="24" customHeight="1">
      <c r="B262" s="63" t="str">
        <f t="shared" si="6"/>
        <v>No259</v>
      </c>
      <c r="C262" s="63" t="str">
        <f t="shared" si="7"/>
        <v>202507</v>
      </c>
      <c r="D262" s="63" t="s">
        <v>186</v>
      </c>
      <c r="E262" s="63" t="s">
        <v>4</v>
      </c>
      <c r="F262" s="64">
        <v>45848.583333333343</v>
      </c>
      <c r="G262" s="64">
        <v>45848.59375</v>
      </c>
      <c r="H262" s="63">
        <f>IF(F262="", "", NETWORKDAYS.INTL(F262, G262, 11,祝日シート!A:A))</f>
        <v>1</v>
      </c>
      <c r="I262" s="65">
        <v>1.041666666666667E-2</v>
      </c>
      <c r="J262" s="63" t="s">
        <v>20</v>
      </c>
      <c r="K262" s="63" t="s">
        <v>21</v>
      </c>
      <c r="L262" s="63"/>
      <c r="M262" s="63" t="s">
        <v>505</v>
      </c>
      <c r="N262" s="63" t="s">
        <v>6</v>
      </c>
      <c r="O262" s="63" t="s">
        <v>7</v>
      </c>
      <c r="P262" s="66" t="s">
        <v>506</v>
      </c>
      <c r="Q262" s="66" t="s">
        <v>507</v>
      </c>
    </row>
    <row r="263" spans="2:17" ht="24" customHeight="1">
      <c r="B263" s="63" t="str">
        <f t="shared" si="6"/>
        <v>No260</v>
      </c>
      <c r="C263" s="63" t="str">
        <f t="shared" si="7"/>
        <v>202507</v>
      </c>
      <c r="D263" s="63" t="s">
        <v>142</v>
      </c>
      <c r="E263" s="63" t="s">
        <v>4</v>
      </c>
      <c r="F263" s="64">
        <v>45849.416666666657</v>
      </c>
      <c r="G263" s="64">
        <v>45849.427083333343</v>
      </c>
      <c r="H263" s="63">
        <f>IF(F263="", "", NETWORKDAYS.INTL(F263, G263, 11,祝日シート!A:A))</f>
        <v>1</v>
      </c>
      <c r="I263" s="65">
        <v>1.041666666666667E-2</v>
      </c>
      <c r="J263" s="63" t="s">
        <v>40</v>
      </c>
      <c r="K263" s="63" t="s">
        <v>159</v>
      </c>
      <c r="L263" s="63"/>
      <c r="M263" s="63" t="s">
        <v>494</v>
      </c>
      <c r="N263" s="63" t="s">
        <v>6</v>
      </c>
      <c r="O263" s="63" t="s">
        <v>7</v>
      </c>
      <c r="P263" s="66" t="s">
        <v>508</v>
      </c>
      <c r="Q263" s="66" t="s">
        <v>509</v>
      </c>
    </row>
    <row r="264" spans="2:17" ht="24" customHeight="1">
      <c r="B264" s="63" t="str">
        <f t="shared" si="6"/>
        <v>No261</v>
      </c>
      <c r="C264" s="63" t="str">
        <f t="shared" si="7"/>
        <v>202507</v>
      </c>
      <c r="D264" s="63" t="s">
        <v>142</v>
      </c>
      <c r="E264" s="63" t="s">
        <v>4</v>
      </c>
      <c r="F264" s="64">
        <v>45849.416666666657</v>
      </c>
      <c r="G264" s="64">
        <v>45849.583333333343</v>
      </c>
      <c r="H264" s="63">
        <f>IF(F264="", "", NETWORKDAYS.INTL(F264, G264, 11,祝日シート!A:A))</f>
        <v>1</v>
      </c>
      <c r="I264" s="65">
        <v>0.16666666666666671</v>
      </c>
      <c r="J264" s="63" t="s">
        <v>20</v>
      </c>
      <c r="K264" s="63" t="s">
        <v>159</v>
      </c>
      <c r="L264" s="63"/>
      <c r="M264" s="63" t="s">
        <v>121</v>
      </c>
      <c r="N264" s="63" t="s">
        <v>6</v>
      </c>
      <c r="O264" s="63" t="s">
        <v>7</v>
      </c>
      <c r="P264" s="66" t="s">
        <v>510</v>
      </c>
      <c r="Q264" s="66" t="s">
        <v>511</v>
      </c>
    </row>
    <row r="265" spans="2:17" ht="24" hidden="1" customHeight="1">
      <c r="B265" s="63" t="str">
        <f t="shared" si="6"/>
        <v>No262</v>
      </c>
      <c r="C265" s="63" t="str">
        <f t="shared" si="7"/>
        <v>202507</v>
      </c>
      <c r="D265" s="63" t="s">
        <v>142</v>
      </c>
      <c r="E265" s="63" t="s">
        <v>155</v>
      </c>
      <c r="F265" s="64">
        <v>45849.46875</v>
      </c>
      <c r="G265" s="64">
        <v>45852.444444444453</v>
      </c>
      <c r="H265" s="63">
        <f>IF(F265="", "", NETWORKDAYS.INTL(F265, G265, 11,祝日シート!A:A))</f>
        <v>3</v>
      </c>
      <c r="I265" s="65">
        <v>4.1666666666666657E-2</v>
      </c>
      <c r="J265" s="63" t="s">
        <v>119</v>
      </c>
      <c r="K265" s="63" t="s">
        <v>159</v>
      </c>
      <c r="L265" s="63"/>
      <c r="M265" s="63" t="s">
        <v>187</v>
      </c>
      <c r="N265" s="63" t="s">
        <v>122</v>
      </c>
      <c r="O265" s="63" t="s">
        <v>7</v>
      </c>
      <c r="P265" s="66" t="s">
        <v>512</v>
      </c>
      <c r="Q265" s="66" t="s">
        <v>158</v>
      </c>
    </row>
    <row r="266" spans="2:17" ht="24" customHeight="1">
      <c r="B266" s="63" t="str">
        <f t="shared" si="6"/>
        <v>No263</v>
      </c>
      <c r="C266" s="63" t="str">
        <f t="shared" si="7"/>
        <v>202507</v>
      </c>
      <c r="D266" s="63" t="s">
        <v>186</v>
      </c>
      <c r="E266" s="63" t="s">
        <v>4</v>
      </c>
      <c r="F266" s="64">
        <v>45849.541666666657</v>
      </c>
      <c r="G266" s="64">
        <v>45849.555555555547</v>
      </c>
      <c r="H266" s="63">
        <f>IF(F266="", "", NETWORKDAYS.INTL(F266, G266, 11,祝日シート!A:A))</f>
        <v>1</v>
      </c>
      <c r="I266" s="65">
        <v>1.388888888888889E-2</v>
      </c>
      <c r="J266" s="63" t="s">
        <v>95</v>
      </c>
      <c r="K266" s="63" t="s">
        <v>35</v>
      </c>
      <c r="L266" s="63"/>
      <c r="M266" s="63" t="s">
        <v>477</v>
      </c>
      <c r="N266" s="63" t="s">
        <v>6</v>
      </c>
      <c r="O266" s="63" t="s">
        <v>7</v>
      </c>
      <c r="P266" s="66" t="s">
        <v>513</v>
      </c>
      <c r="Q266" s="66" t="s">
        <v>514</v>
      </c>
    </row>
    <row r="267" spans="2:17" ht="18.75" customHeight="1">
      <c r="B267" s="63" t="str">
        <f t="shared" si="6"/>
        <v>No264</v>
      </c>
      <c r="C267" s="63" t="str">
        <f t="shared" si="7"/>
        <v>202507</v>
      </c>
      <c r="D267" s="63" t="s">
        <v>186</v>
      </c>
      <c r="E267" s="63" t="s">
        <v>4</v>
      </c>
      <c r="F267" s="64">
        <v>45849.625</v>
      </c>
      <c r="G267" s="64">
        <v>45849.645833333343</v>
      </c>
      <c r="H267" s="63">
        <f>IF(F267="", "", NETWORKDAYS.INTL(F267, G267, 11,祝日シート!A:A))</f>
        <v>1</v>
      </c>
      <c r="I267" s="65">
        <v>2.0833333333333329E-2</v>
      </c>
      <c r="J267" s="63" t="s">
        <v>45</v>
      </c>
      <c r="K267" s="63" t="s">
        <v>35</v>
      </c>
      <c r="L267" s="63"/>
      <c r="M267" s="63" t="s">
        <v>515</v>
      </c>
      <c r="N267" s="63" t="s">
        <v>6</v>
      </c>
      <c r="O267" s="63" t="s">
        <v>7</v>
      </c>
      <c r="P267" s="66" t="s">
        <v>516</v>
      </c>
      <c r="Q267" s="66" t="s">
        <v>517</v>
      </c>
    </row>
    <row r="268" spans="2:17" ht="26.25" hidden="1" customHeight="1">
      <c r="B268" s="63" t="str">
        <f t="shared" si="6"/>
        <v>No265</v>
      </c>
      <c r="C268" s="63" t="str">
        <f t="shared" si="7"/>
        <v>202507</v>
      </c>
      <c r="D268" s="63" t="s">
        <v>142</v>
      </c>
      <c r="E268" s="63" t="s">
        <v>155</v>
      </c>
      <c r="F268" s="64">
        <v>45849.645833333343</v>
      </c>
      <c r="G268" s="64">
        <v>45849.708333333343</v>
      </c>
      <c r="H268" s="63">
        <f>IF(F268="", "", NETWORKDAYS.INTL(F268, G268, 11,祝日シート!A:A))</f>
        <v>1</v>
      </c>
      <c r="I268" s="65">
        <v>1.041666666666667E-2</v>
      </c>
      <c r="J268" s="63" t="s">
        <v>119</v>
      </c>
      <c r="K268" s="63" t="s">
        <v>77</v>
      </c>
      <c r="L268" s="63"/>
      <c r="M268" s="63" t="s">
        <v>211</v>
      </c>
      <c r="N268" s="63" t="s">
        <v>122</v>
      </c>
      <c r="O268" s="63" t="s">
        <v>7</v>
      </c>
      <c r="P268" s="66" t="s">
        <v>212</v>
      </c>
      <c r="Q268" s="66" t="s">
        <v>158</v>
      </c>
    </row>
    <row r="269" spans="2:17" ht="18.75" customHeight="1">
      <c r="B269" s="63" t="str">
        <f t="shared" si="6"/>
        <v>No266</v>
      </c>
      <c r="C269" s="63" t="str">
        <f t="shared" si="7"/>
        <v>202507</v>
      </c>
      <c r="D269" s="63" t="s">
        <v>166</v>
      </c>
      <c r="E269" s="63" t="s">
        <v>4</v>
      </c>
      <c r="F269" s="64">
        <v>45850.375</v>
      </c>
      <c r="G269" s="64">
        <v>45850.395833333343</v>
      </c>
      <c r="H269" s="63">
        <f>IF(F269="", "", NETWORKDAYS.INTL(F269, G269, 11,祝日シート!A:A))</f>
        <v>1</v>
      </c>
      <c r="I269" s="65">
        <v>2.0833333333333329E-2</v>
      </c>
      <c r="J269" s="63" t="s">
        <v>143</v>
      </c>
      <c r="K269" s="63" t="s">
        <v>26</v>
      </c>
      <c r="L269" s="63"/>
      <c r="M269" s="63" t="s">
        <v>121</v>
      </c>
      <c r="N269" s="63" t="s">
        <v>6</v>
      </c>
      <c r="O269" s="63" t="s">
        <v>7</v>
      </c>
      <c r="P269" s="66" t="s">
        <v>518</v>
      </c>
      <c r="Q269" s="66" t="s">
        <v>519</v>
      </c>
    </row>
    <row r="270" spans="2:17" ht="24.75" customHeight="1">
      <c r="B270" s="63" t="str">
        <f t="shared" si="6"/>
        <v>No267</v>
      </c>
      <c r="C270" s="63" t="str">
        <f t="shared" si="7"/>
        <v>202507</v>
      </c>
      <c r="D270" s="63" t="s">
        <v>142</v>
      </c>
      <c r="E270" s="63" t="s">
        <v>4</v>
      </c>
      <c r="F270" s="64">
        <v>45850.458333333343</v>
      </c>
      <c r="G270" s="64">
        <v>45850.625</v>
      </c>
      <c r="H270" s="63">
        <f>IF(F270="", "", NETWORKDAYS.INTL(F270, G270, 11,祝日シート!A:A))</f>
        <v>1</v>
      </c>
      <c r="I270" s="65">
        <v>0.16666666666666671</v>
      </c>
      <c r="J270" s="63" t="s">
        <v>20</v>
      </c>
      <c r="K270" s="63" t="s">
        <v>159</v>
      </c>
      <c r="L270" s="63"/>
      <c r="M270" s="63" t="s">
        <v>121</v>
      </c>
      <c r="N270" s="63" t="s">
        <v>6</v>
      </c>
      <c r="O270" s="63" t="s">
        <v>7</v>
      </c>
      <c r="P270" s="66" t="s">
        <v>510</v>
      </c>
      <c r="Q270" s="66" t="s">
        <v>520</v>
      </c>
    </row>
    <row r="271" spans="2:17" ht="24.75" hidden="1" customHeight="1">
      <c r="B271" s="63" t="str">
        <f t="shared" si="6"/>
        <v>No268</v>
      </c>
      <c r="C271" s="63" t="str">
        <f t="shared" si="7"/>
        <v>202507</v>
      </c>
      <c r="D271" s="63" t="s">
        <v>3</v>
      </c>
      <c r="E271" s="63" t="s">
        <v>155</v>
      </c>
      <c r="F271" s="64">
        <v>45852.375</v>
      </c>
      <c r="G271" s="64">
        <v>45852.458333333343</v>
      </c>
      <c r="H271" s="63">
        <f>IF(F271="", "", NETWORKDAYS.INTL(F271, G271, 11,祝日シート!A:A))</f>
        <v>1</v>
      </c>
      <c r="I271" s="65">
        <v>1.041666666666667E-2</v>
      </c>
      <c r="J271" s="63" t="s">
        <v>119</v>
      </c>
      <c r="K271" s="63" t="s">
        <v>77</v>
      </c>
      <c r="L271" s="63"/>
      <c r="M271" s="63" t="s">
        <v>321</v>
      </c>
      <c r="N271" s="63" t="s">
        <v>6</v>
      </c>
      <c r="O271" s="63" t="s">
        <v>7</v>
      </c>
      <c r="P271" s="66" t="s">
        <v>521</v>
      </c>
      <c r="Q271" s="66" t="s">
        <v>158</v>
      </c>
    </row>
    <row r="272" spans="2:17" ht="24.75" customHeight="1">
      <c r="B272" s="63" t="str">
        <f t="shared" si="6"/>
        <v>No269</v>
      </c>
      <c r="C272" s="63" t="str">
        <f t="shared" si="7"/>
        <v>202507</v>
      </c>
      <c r="D272" s="63" t="s">
        <v>186</v>
      </c>
      <c r="E272" s="63" t="s">
        <v>4</v>
      </c>
      <c r="F272" s="64">
        <v>45852.395833333343</v>
      </c>
      <c r="G272" s="64">
        <v>45852.40625</v>
      </c>
      <c r="H272" s="63">
        <f>IF(F272="", "", NETWORKDAYS.INTL(F272, G272, 11,祝日シート!A:A))</f>
        <v>1</v>
      </c>
      <c r="I272" s="65">
        <v>1.041666666666667E-2</v>
      </c>
      <c r="J272" s="63" t="s">
        <v>20</v>
      </c>
      <c r="K272" s="63" t="s">
        <v>111</v>
      </c>
      <c r="L272" s="63"/>
      <c r="M272" s="63" t="s">
        <v>522</v>
      </c>
      <c r="N272" s="63" t="s">
        <v>6</v>
      </c>
      <c r="O272" s="63" t="s">
        <v>7</v>
      </c>
      <c r="P272" s="66" t="s">
        <v>523</v>
      </c>
      <c r="Q272" s="66" t="s">
        <v>524</v>
      </c>
    </row>
    <row r="273" spans="2:17" ht="24.75" hidden="1" customHeight="1">
      <c r="B273" s="63" t="str">
        <f t="shared" si="6"/>
        <v>No270</v>
      </c>
      <c r="C273" s="63" t="str">
        <f t="shared" si="7"/>
        <v>202507</v>
      </c>
      <c r="D273" s="63" t="s">
        <v>3</v>
      </c>
      <c r="E273" s="63" t="s">
        <v>155</v>
      </c>
      <c r="F273" s="64">
        <v>45852.59375</v>
      </c>
      <c r="G273" s="64">
        <v>45852.6875</v>
      </c>
      <c r="H273" s="63">
        <f>IF(F273="", "", NETWORKDAYS.INTL(F273, G273, 11,祝日シート!A:A))</f>
        <v>1</v>
      </c>
      <c r="I273" s="65">
        <v>8.3333333333333329E-2</v>
      </c>
      <c r="J273" s="63" t="s">
        <v>197</v>
      </c>
      <c r="K273" s="63" t="s">
        <v>159</v>
      </c>
      <c r="L273" s="63"/>
      <c r="M273" s="63" t="s">
        <v>187</v>
      </c>
      <c r="N273" s="63" t="s">
        <v>117</v>
      </c>
      <c r="O273" s="63" t="s">
        <v>7</v>
      </c>
      <c r="P273" s="66" t="s">
        <v>525</v>
      </c>
      <c r="Q273" s="66" t="s">
        <v>526</v>
      </c>
    </row>
    <row r="274" spans="2:17" ht="24.75" hidden="1" customHeight="1">
      <c r="B274" s="63" t="str">
        <f t="shared" si="6"/>
        <v>No271</v>
      </c>
      <c r="C274" s="63" t="str">
        <f t="shared" si="7"/>
        <v>202507</v>
      </c>
      <c r="D274" s="63" t="s">
        <v>142</v>
      </c>
      <c r="E274" s="63" t="s">
        <v>155</v>
      </c>
      <c r="F274" s="64">
        <v>45852.65625</v>
      </c>
      <c r="G274" s="64">
        <v>45852.760416666657</v>
      </c>
      <c r="H274" s="63">
        <f>IF(F274="", "", NETWORKDAYS.INTL(F274, G274, 11,祝日シート!A:A))</f>
        <v>1</v>
      </c>
      <c r="I274" s="65">
        <v>3.125E-2</v>
      </c>
      <c r="J274" s="63" t="s">
        <v>119</v>
      </c>
      <c r="K274" s="63" t="s">
        <v>77</v>
      </c>
      <c r="L274" s="63"/>
      <c r="M274" s="63" t="s">
        <v>144</v>
      </c>
      <c r="N274" s="63" t="s">
        <v>117</v>
      </c>
      <c r="O274" s="63" t="s">
        <v>7</v>
      </c>
      <c r="P274" s="66" t="s">
        <v>484</v>
      </c>
      <c r="Q274" s="66" t="s">
        <v>158</v>
      </c>
    </row>
    <row r="275" spans="2:17" ht="24.75" hidden="1" customHeight="1">
      <c r="B275" s="63" t="str">
        <f t="shared" si="6"/>
        <v>No272</v>
      </c>
      <c r="C275" s="63" t="str">
        <f t="shared" si="7"/>
        <v>202507</v>
      </c>
      <c r="D275" s="63" t="s">
        <v>142</v>
      </c>
      <c r="E275" s="63" t="s">
        <v>155</v>
      </c>
      <c r="F275" s="64">
        <v>45852.715277777781</v>
      </c>
      <c r="G275" s="64">
        <v>45852.722222222219</v>
      </c>
      <c r="H275" s="63">
        <f>IF(F275="", "", NETWORKDAYS.INTL(F275, G275, 11,祝日シート!A:A))</f>
        <v>1</v>
      </c>
      <c r="I275" s="65">
        <v>6.9444444444444441E-3</v>
      </c>
      <c r="J275" s="63" t="s">
        <v>119</v>
      </c>
      <c r="K275" s="63" t="s">
        <v>41</v>
      </c>
      <c r="L275" s="63"/>
      <c r="M275" s="63" t="s">
        <v>277</v>
      </c>
      <c r="N275" s="63" t="s">
        <v>122</v>
      </c>
      <c r="O275" s="63" t="s">
        <v>7</v>
      </c>
      <c r="P275" s="66" t="s">
        <v>385</v>
      </c>
      <c r="Q275" s="66" t="s">
        <v>158</v>
      </c>
    </row>
    <row r="276" spans="2:17" ht="24.75" hidden="1" customHeight="1">
      <c r="B276" s="63" t="str">
        <f t="shared" si="6"/>
        <v>No273</v>
      </c>
      <c r="C276" s="63" t="str">
        <f t="shared" si="7"/>
        <v>202507</v>
      </c>
      <c r="D276" s="63" t="s">
        <v>186</v>
      </c>
      <c r="E276" s="63" t="s">
        <v>155</v>
      </c>
      <c r="F276" s="64">
        <v>45853.423611111109</v>
      </c>
      <c r="G276" s="64">
        <v>45853.4375</v>
      </c>
      <c r="H276" s="63">
        <f>IF(F276="", "", NETWORKDAYS.INTL(F276, G276, 11,祝日シート!A:A))</f>
        <v>1</v>
      </c>
      <c r="I276" s="65">
        <v>1.388888888888889E-2</v>
      </c>
      <c r="J276" s="63" t="s">
        <v>143</v>
      </c>
      <c r="K276" s="63" t="s">
        <v>111</v>
      </c>
      <c r="L276" s="63"/>
      <c r="M276" s="63" t="s">
        <v>201</v>
      </c>
      <c r="N276" s="63" t="s">
        <v>122</v>
      </c>
      <c r="O276" s="63" t="s">
        <v>7</v>
      </c>
      <c r="P276" s="66" t="s">
        <v>527</v>
      </c>
      <c r="Q276" s="66" t="s">
        <v>528</v>
      </c>
    </row>
    <row r="277" spans="2:17" ht="24.75" hidden="1" customHeight="1">
      <c r="B277" s="63" t="str">
        <f t="shared" si="6"/>
        <v>No274</v>
      </c>
      <c r="C277" s="63" t="str">
        <f t="shared" si="7"/>
        <v>202507</v>
      </c>
      <c r="D277" s="63" t="s">
        <v>142</v>
      </c>
      <c r="E277" s="63" t="s">
        <v>155</v>
      </c>
      <c r="F277" s="64">
        <v>45855.416666666657</v>
      </c>
      <c r="G277" s="64">
        <v>45855.427083333343</v>
      </c>
      <c r="H277" s="63">
        <f>IF(F277="", "", NETWORKDAYS.INTL(F277, G277, 11,祝日シート!A:A))</f>
        <v>1</v>
      </c>
      <c r="I277" s="65">
        <v>1.041666666666667E-2</v>
      </c>
      <c r="J277" s="63" t="s">
        <v>119</v>
      </c>
      <c r="K277" s="63" t="s">
        <v>111</v>
      </c>
      <c r="L277" s="63"/>
      <c r="M277" s="63" t="s">
        <v>245</v>
      </c>
      <c r="N277" s="63" t="s">
        <v>122</v>
      </c>
      <c r="O277" s="63" t="s">
        <v>7</v>
      </c>
      <c r="P277" s="66" t="s">
        <v>246</v>
      </c>
      <c r="Q277" s="66" t="s">
        <v>158</v>
      </c>
    </row>
    <row r="278" spans="2:17" ht="24.75" hidden="1" customHeight="1">
      <c r="B278" s="63" t="str">
        <f t="shared" si="6"/>
        <v>No275</v>
      </c>
      <c r="C278" s="63" t="str">
        <f t="shared" si="7"/>
        <v>202507</v>
      </c>
      <c r="D278" s="63" t="s">
        <v>3</v>
      </c>
      <c r="E278" s="63" t="s">
        <v>155</v>
      </c>
      <c r="F278" s="64">
        <v>45855.4375</v>
      </c>
      <c r="G278" s="64">
        <v>45855.708333333343</v>
      </c>
      <c r="H278" s="63">
        <f>IF(F278="", "", NETWORKDAYS.INTL(F278, G278, 11,祝日シート!A:A))</f>
        <v>1</v>
      </c>
      <c r="I278" s="65">
        <v>6.25E-2</v>
      </c>
      <c r="J278" s="63" t="s">
        <v>45</v>
      </c>
      <c r="K278" s="63" t="s">
        <v>111</v>
      </c>
      <c r="L278" s="63"/>
      <c r="M278" s="63" t="s">
        <v>112</v>
      </c>
      <c r="N278" s="63" t="s">
        <v>6</v>
      </c>
      <c r="O278" s="63" t="s">
        <v>7</v>
      </c>
      <c r="P278" s="66" t="s">
        <v>529</v>
      </c>
      <c r="Q278" s="66" t="s">
        <v>530</v>
      </c>
    </row>
    <row r="279" spans="2:17" ht="18.75" hidden="1" customHeight="1">
      <c r="B279" s="63" t="str">
        <f t="shared" ref="B279:B342" si="8">"No"&amp;ROW()-3</f>
        <v>No276</v>
      </c>
      <c r="C279" s="63" t="str">
        <f t="shared" ref="C279:C342" si="9">IFERROR(IF(G279&lt;&gt;"",TEXT(G279,"yyyymm"),""),"")</f>
        <v>202507</v>
      </c>
      <c r="D279" s="63" t="s">
        <v>186</v>
      </c>
      <c r="E279" s="63" t="s">
        <v>155</v>
      </c>
      <c r="F279" s="64">
        <v>45856.541666666657</v>
      </c>
      <c r="G279" s="64">
        <v>45856.548611111109</v>
      </c>
      <c r="H279" s="63">
        <f>IF(F279="", "", NETWORKDAYS.INTL(F279, G279, 11,祝日シート!A:A))</f>
        <v>1</v>
      </c>
      <c r="I279" s="65">
        <v>6.9444444444444441E-3</v>
      </c>
      <c r="J279" s="63" t="s">
        <v>20</v>
      </c>
      <c r="K279" s="63" t="s">
        <v>111</v>
      </c>
      <c r="L279" s="63"/>
      <c r="M279" s="63" t="s">
        <v>201</v>
      </c>
      <c r="N279" s="63" t="s">
        <v>122</v>
      </c>
      <c r="O279" s="63" t="s">
        <v>7</v>
      </c>
      <c r="P279" s="66" t="s">
        <v>531</v>
      </c>
      <c r="Q279" s="66" t="s">
        <v>532</v>
      </c>
    </row>
    <row r="280" spans="2:17" ht="27" hidden="1" customHeight="1">
      <c r="B280" s="63" t="str">
        <f t="shared" si="8"/>
        <v>No277</v>
      </c>
      <c r="C280" s="63" t="str">
        <f t="shared" si="9"/>
        <v>202507</v>
      </c>
      <c r="D280" s="63" t="s">
        <v>3</v>
      </c>
      <c r="E280" s="63" t="s">
        <v>155</v>
      </c>
      <c r="F280" s="64">
        <v>45861.375</v>
      </c>
      <c r="G280" s="64">
        <v>45861.395833333343</v>
      </c>
      <c r="H280" s="63">
        <f>IF(F280="", "", NETWORKDAYS.INTL(F280, G280, 11,祝日シート!A:A))</f>
        <v>1</v>
      </c>
      <c r="I280" s="65">
        <v>2.0833333333333329E-2</v>
      </c>
      <c r="J280" s="63" t="s">
        <v>119</v>
      </c>
      <c r="K280" s="63" t="s">
        <v>77</v>
      </c>
      <c r="L280" s="63"/>
      <c r="M280" s="63" t="s">
        <v>477</v>
      </c>
      <c r="N280" s="63" t="s">
        <v>6</v>
      </c>
      <c r="O280" s="63" t="s">
        <v>7</v>
      </c>
      <c r="P280" s="66" t="s">
        <v>521</v>
      </c>
      <c r="Q280" s="66" t="s">
        <v>158</v>
      </c>
    </row>
    <row r="281" spans="2:17" ht="18.75" hidden="1" customHeight="1">
      <c r="B281" s="63" t="str">
        <f t="shared" si="8"/>
        <v>No278</v>
      </c>
      <c r="C281" s="63" t="str">
        <f t="shared" si="9"/>
        <v>202507</v>
      </c>
      <c r="D281" s="63" t="s">
        <v>104</v>
      </c>
      <c r="E281" s="63" t="s">
        <v>155</v>
      </c>
      <c r="F281" s="64">
        <v>45861.458333333343</v>
      </c>
      <c r="G281" s="64">
        <v>45862.395833333343</v>
      </c>
      <c r="H281" s="63">
        <f>IF(F281="", "", NETWORKDAYS.INTL(F281, G281, 11,祝日シート!A:A))</f>
        <v>2</v>
      </c>
      <c r="I281" s="65">
        <v>2.0833333333333329E-2</v>
      </c>
      <c r="J281" s="63" t="s">
        <v>20</v>
      </c>
      <c r="K281" s="63" t="s">
        <v>111</v>
      </c>
      <c r="L281" s="63"/>
      <c r="M281" s="63" t="s">
        <v>339</v>
      </c>
      <c r="N281" s="63" t="s">
        <v>122</v>
      </c>
      <c r="O281" s="63" t="s">
        <v>7</v>
      </c>
      <c r="P281" s="66" t="s">
        <v>533</v>
      </c>
      <c r="Q281" s="66" t="s">
        <v>534</v>
      </c>
    </row>
    <row r="282" spans="2:17" ht="30" hidden="1" customHeight="1">
      <c r="B282" s="63" t="str">
        <f t="shared" si="8"/>
        <v>No279</v>
      </c>
      <c r="C282" s="63" t="str">
        <f t="shared" si="9"/>
        <v>202507</v>
      </c>
      <c r="D282" s="63" t="s">
        <v>142</v>
      </c>
      <c r="E282" s="63" t="s">
        <v>155</v>
      </c>
      <c r="F282" s="64">
        <v>45861.541666666657</v>
      </c>
      <c r="G282" s="64">
        <v>45861.708333333343</v>
      </c>
      <c r="H282" s="63">
        <f>IF(F282="", "", NETWORKDAYS.INTL(F282, G282, 11,祝日シート!A:A))</f>
        <v>1</v>
      </c>
      <c r="I282" s="65">
        <v>1.041666666666667E-2</v>
      </c>
      <c r="J282" s="63" t="s">
        <v>249</v>
      </c>
      <c r="K282" s="63" t="s">
        <v>176</v>
      </c>
      <c r="L282" s="63"/>
      <c r="M282" s="63" t="s">
        <v>156</v>
      </c>
      <c r="N282" s="63" t="s">
        <v>122</v>
      </c>
      <c r="O282" s="63" t="s">
        <v>7</v>
      </c>
      <c r="P282" s="66" t="s">
        <v>476</v>
      </c>
      <c r="Q282" s="66" t="s">
        <v>158</v>
      </c>
    </row>
    <row r="283" spans="2:17" ht="18.75" hidden="1" customHeight="1">
      <c r="B283" s="63" t="str">
        <f t="shared" si="8"/>
        <v>No280</v>
      </c>
      <c r="C283" s="63" t="str">
        <f t="shared" si="9"/>
        <v>202507</v>
      </c>
      <c r="D283" s="63" t="s">
        <v>142</v>
      </c>
      <c r="E283" s="63" t="s">
        <v>155</v>
      </c>
      <c r="F283" s="64">
        <v>45862.388888888891</v>
      </c>
      <c r="G283" s="64">
        <v>45862.395833333343</v>
      </c>
      <c r="H283" s="63">
        <f>IF(F283="", "", NETWORKDAYS.INTL(F283, G283, 11,祝日シート!A:A))</f>
        <v>1</v>
      </c>
      <c r="I283" s="65">
        <v>6.9444444444444441E-3</v>
      </c>
      <c r="J283" s="63" t="s">
        <v>119</v>
      </c>
      <c r="K283" s="63" t="s">
        <v>111</v>
      </c>
      <c r="L283" s="63"/>
      <c r="M283" s="63" t="s">
        <v>205</v>
      </c>
      <c r="N283" s="63" t="s">
        <v>122</v>
      </c>
      <c r="O283" s="63" t="s">
        <v>7</v>
      </c>
      <c r="P283" s="66" t="s">
        <v>208</v>
      </c>
      <c r="Q283" s="66" t="s">
        <v>158</v>
      </c>
    </row>
    <row r="284" spans="2:17" ht="27" hidden="1" customHeight="1">
      <c r="B284" s="63" t="str">
        <f t="shared" si="8"/>
        <v>No281</v>
      </c>
      <c r="C284" s="63" t="str">
        <f t="shared" si="9"/>
        <v>202507</v>
      </c>
      <c r="D284" s="63" t="s">
        <v>104</v>
      </c>
      <c r="E284" s="63" t="s">
        <v>155</v>
      </c>
      <c r="F284" s="64">
        <v>45866.4375</v>
      </c>
      <c r="G284" s="64">
        <v>45866.708333333343</v>
      </c>
      <c r="H284" s="63">
        <f>IF(F284="", "", NETWORKDAYS.INTL(F284, G284, 11,祝日シート!A:A))</f>
        <v>1</v>
      </c>
      <c r="I284" s="65">
        <v>8.3333333333333329E-2</v>
      </c>
      <c r="J284" s="63" t="s">
        <v>61</v>
      </c>
      <c r="K284" s="63" t="s">
        <v>120</v>
      </c>
      <c r="L284" s="63"/>
      <c r="M284" s="63" t="s">
        <v>193</v>
      </c>
      <c r="N284" s="63" t="s">
        <v>122</v>
      </c>
      <c r="O284" s="63" t="s">
        <v>7</v>
      </c>
      <c r="P284" s="66" t="s">
        <v>535</v>
      </c>
      <c r="Q284" s="66" t="s">
        <v>536</v>
      </c>
    </row>
    <row r="285" spans="2:17" ht="27" hidden="1" customHeight="1">
      <c r="B285" s="63" t="str">
        <f t="shared" si="8"/>
        <v>No282</v>
      </c>
      <c r="C285" s="63" t="str">
        <f t="shared" si="9"/>
        <v>202507</v>
      </c>
      <c r="D285" s="63" t="s">
        <v>142</v>
      </c>
      <c r="E285" s="63" t="s">
        <v>155</v>
      </c>
      <c r="F285" s="64">
        <v>45866.4375</v>
      </c>
      <c r="G285" s="64">
        <v>45866.447916666657</v>
      </c>
      <c r="H285" s="63">
        <f>IF(F285="", "", NETWORKDAYS.INTL(F285, G285, 11,祝日シート!A:A))</f>
        <v>1</v>
      </c>
      <c r="I285" s="65">
        <v>1.041666666666667E-2</v>
      </c>
      <c r="J285" s="63" t="s">
        <v>119</v>
      </c>
      <c r="K285" s="63" t="s">
        <v>159</v>
      </c>
      <c r="L285" s="63"/>
      <c r="M285" s="63" t="s">
        <v>160</v>
      </c>
      <c r="N285" s="63" t="s">
        <v>122</v>
      </c>
      <c r="O285" s="63" t="s">
        <v>7</v>
      </c>
      <c r="P285" s="66" t="s">
        <v>208</v>
      </c>
      <c r="Q285" s="66" t="s">
        <v>158</v>
      </c>
    </row>
    <row r="286" spans="2:17" ht="27" hidden="1" customHeight="1">
      <c r="B286" s="63" t="str">
        <f t="shared" si="8"/>
        <v>No283</v>
      </c>
      <c r="C286" s="63" t="str">
        <f t="shared" si="9"/>
        <v>202507</v>
      </c>
      <c r="D286" s="63" t="s">
        <v>142</v>
      </c>
      <c r="E286" s="63" t="s">
        <v>155</v>
      </c>
      <c r="F286" s="64">
        <v>45866.583333333343</v>
      </c>
      <c r="G286" s="64">
        <v>45866.590277777781</v>
      </c>
      <c r="H286" s="63">
        <f>IF(F286="", "", NETWORKDAYS.INTL(F286, G286, 11,祝日シート!A:A))</f>
        <v>1</v>
      </c>
      <c r="I286" s="65">
        <v>6.9444444444444441E-3</v>
      </c>
      <c r="J286" s="63" t="s">
        <v>283</v>
      </c>
      <c r="K286" s="63" t="s">
        <v>41</v>
      </c>
      <c r="L286" s="63"/>
      <c r="M286" s="63" t="s">
        <v>438</v>
      </c>
      <c r="N286" s="63" t="s">
        <v>122</v>
      </c>
      <c r="O286" s="63" t="s">
        <v>7</v>
      </c>
      <c r="P286" s="66" t="s">
        <v>537</v>
      </c>
      <c r="Q286" s="66" t="s">
        <v>538</v>
      </c>
    </row>
    <row r="287" spans="2:17" ht="27" hidden="1" customHeight="1">
      <c r="B287" s="63" t="str">
        <f t="shared" si="8"/>
        <v>No284</v>
      </c>
      <c r="C287" s="63" t="str">
        <f t="shared" si="9"/>
        <v>202507</v>
      </c>
      <c r="D287" s="63" t="s">
        <v>3</v>
      </c>
      <c r="E287" s="63" t="s">
        <v>155</v>
      </c>
      <c r="F287" s="64">
        <v>45866.666666666657</v>
      </c>
      <c r="G287" s="64">
        <v>45866.6875</v>
      </c>
      <c r="H287" s="63">
        <f>IF(F287="", "", NETWORKDAYS.INTL(F287, G287, 11,祝日シート!A:A))</f>
        <v>1</v>
      </c>
      <c r="I287" s="65">
        <v>2.0833333333333329E-2</v>
      </c>
      <c r="J287" s="63" t="s">
        <v>119</v>
      </c>
      <c r="K287" s="63" t="s">
        <v>77</v>
      </c>
      <c r="L287" s="63"/>
      <c r="M287" s="63" t="s">
        <v>539</v>
      </c>
      <c r="N287" s="63" t="s">
        <v>6</v>
      </c>
      <c r="O287" s="63" t="s">
        <v>7</v>
      </c>
      <c r="P287" s="66" t="s">
        <v>521</v>
      </c>
      <c r="Q287" s="66" t="s">
        <v>158</v>
      </c>
    </row>
    <row r="288" spans="2:17" ht="18.75" customHeight="1">
      <c r="B288" s="63" t="str">
        <f t="shared" si="8"/>
        <v>No285</v>
      </c>
      <c r="C288" s="63" t="str">
        <f t="shared" si="9"/>
        <v>202507</v>
      </c>
      <c r="D288" s="63" t="s">
        <v>104</v>
      </c>
      <c r="E288" s="63" t="s">
        <v>4</v>
      </c>
      <c r="F288" s="64">
        <v>45867.489583333343</v>
      </c>
      <c r="G288" s="64">
        <v>45867.5</v>
      </c>
      <c r="H288" s="63">
        <f>IF(F288="", "", NETWORKDAYS.INTL(F288, G288, 11,祝日シート!A:A))</f>
        <v>1</v>
      </c>
      <c r="I288" s="65">
        <v>1.041666666666667E-2</v>
      </c>
      <c r="J288" s="63" t="s">
        <v>45</v>
      </c>
      <c r="K288" s="63" t="s">
        <v>35</v>
      </c>
      <c r="L288" s="63"/>
      <c r="M288" s="63" t="s">
        <v>539</v>
      </c>
      <c r="N288" s="63" t="s">
        <v>6</v>
      </c>
      <c r="O288" s="63" t="s">
        <v>7</v>
      </c>
      <c r="P288" s="66" t="s">
        <v>540</v>
      </c>
      <c r="Q288" s="66" t="s">
        <v>541</v>
      </c>
    </row>
    <row r="289" spans="2:17" ht="18.75" customHeight="1">
      <c r="B289" s="63" t="str">
        <f t="shared" si="8"/>
        <v>No286</v>
      </c>
      <c r="C289" s="63" t="str">
        <f t="shared" si="9"/>
        <v>202507</v>
      </c>
      <c r="D289" s="63" t="s">
        <v>3</v>
      </c>
      <c r="E289" s="63" t="s">
        <v>4</v>
      </c>
      <c r="F289" s="64">
        <v>45867.65625</v>
      </c>
      <c r="G289" s="64">
        <v>45867.666666666657</v>
      </c>
      <c r="H289" s="63">
        <f>IF(F289="", "", NETWORKDAYS.INTL(F289, G289, 11,祝日シート!A:A))</f>
        <v>1</v>
      </c>
      <c r="I289" s="65">
        <v>1.041666666666667E-2</v>
      </c>
      <c r="J289" s="63" t="s">
        <v>40</v>
      </c>
      <c r="K289" s="63" t="s">
        <v>542</v>
      </c>
      <c r="L289" s="63"/>
      <c r="M289" s="63" t="s">
        <v>163</v>
      </c>
      <c r="N289" s="63" t="s">
        <v>6</v>
      </c>
      <c r="O289" s="63" t="s">
        <v>7</v>
      </c>
      <c r="P289" s="66" t="s">
        <v>543</v>
      </c>
      <c r="Q289" s="66" t="s">
        <v>544</v>
      </c>
    </row>
    <row r="290" spans="2:17" ht="18.75" customHeight="1">
      <c r="B290" s="63" t="str">
        <f t="shared" si="8"/>
        <v>No287</v>
      </c>
      <c r="C290" s="63" t="str">
        <f t="shared" si="9"/>
        <v>202507</v>
      </c>
      <c r="D290" s="63" t="s">
        <v>104</v>
      </c>
      <c r="E290" s="63" t="s">
        <v>4</v>
      </c>
      <c r="F290" s="64">
        <v>45867.659722222219</v>
      </c>
      <c r="G290" s="64">
        <v>45867.666666666657</v>
      </c>
      <c r="H290" s="63">
        <f>IF(F290="", "", NETWORKDAYS.INTL(F290, G290, 11,祝日シート!A:A))</f>
        <v>1</v>
      </c>
      <c r="I290" s="65">
        <v>6.9444444444444441E-3</v>
      </c>
      <c r="J290" s="63" t="s">
        <v>40</v>
      </c>
      <c r="K290" s="63" t="s">
        <v>159</v>
      </c>
      <c r="L290" s="63"/>
      <c r="M290" s="63" t="s">
        <v>339</v>
      </c>
      <c r="N290" s="63" t="s">
        <v>6</v>
      </c>
      <c r="O290" s="63" t="s">
        <v>7</v>
      </c>
      <c r="P290" s="66" t="s">
        <v>545</v>
      </c>
      <c r="Q290" s="66" t="s">
        <v>546</v>
      </c>
    </row>
    <row r="291" spans="2:17" ht="31.5" customHeight="1">
      <c r="B291" s="63" t="str">
        <f t="shared" si="8"/>
        <v>No288</v>
      </c>
      <c r="C291" s="63" t="str">
        <f t="shared" si="9"/>
        <v>202507</v>
      </c>
      <c r="D291" s="63" t="s">
        <v>142</v>
      </c>
      <c r="E291" s="63" t="s">
        <v>4</v>
      </c>
      <c r="F291" s="64">
        <v>45867.711805555547</v>
      </c>
      <c r="G291" s="64">
        <v>45867.71875</v>
      </c>
      <c r="H291" s="63">
        <f>IF(F291="", "", NETWORKDAYS.INTL(F291, G291, 11,祝日シート!A:A))</f>
        <v>1</v>
      </c>
      <c r="I291" s="65">
        <v>6.9444444444444441E-3</v>
      </c>
      <c r="J291" s="63" t="s">
        <v>40</v>
      </c>
      <c r="K291" s="63" t="s">
        <v>35</v>
      </c>
      <c r="L291" s="63"/>
      <c r="M291" s="63" t="s">
        <v>269</v>
      </c>
      <c r="N291" s="63" t="s">
        <v>6</v>
      </c>
      <c r="O291" s="63" t="s">
        <v>7</v>
      </c>
      <c r="P291" s="66" t="s">
        <v>547</v>
      </c>
      <c r="Q291" s="66" t="s">
        <v>101</v>
      </c>
    </row>
    <row r="292" spans="2:17" ht="18.75" customHeight="1">
      <c r="B292" s="63" t="str">
        <f t="shared" si="8"/>
        <v>No289</v>
      </c>
      <c r="C292" s="63" t="str">
        <f t="shared" si="9"/>
        <v>202507</v>
      </c>
      <c r="D292" s="63" t="s">
        <v>104</v>
      </c>
      <c r="E292" s="63" t="s">
        <v>4</v>
      </c>
      <c r="F292" s="64">
        <v>45867.71875</v>
      </c>
      <c r="G292" s="64">
        <v>45867.729166666657</v>
      </c>
      <c r="H292" s="63">
        <f>IF(F292="", "", NETWORKDAYS.INTL(F292, G292, 11,祝日シート!A:A))</f>
        <v>1</v>
      </c>
      <c r="I292" s="65">
        <v>1.041666666666667E-2</v>
      </c>
      <c r="J292" s="63" t="s">
        <v>20</v>
      </c>
      <c r="K292" s="63" t="s">
        <v>111</v>
      </c>
      <c r="L292" s="63"/>
      <c r="M292" s="63" t="s">
        <v>114</v>
      </c>
      <c r="N292" s="63" t="s">
        <v>6</v>
      </c>
      <c r="O292" s="63" t="s">
        <v>7</v>
      </c>
      <c r="P292" s="66" t="s">
        <v>548</v>
      </c>
      <c r="Q292" s="66" t="s">
        <v>549</v>
      </c>
    </row>
    <row r="293" spans="2:17" ht="18.75" customHeight="1">
      <c r="B293" s="63" t="str">
        <f t="shared" si="8"/>
        <v>No290</v>
      </c>
      <c r="C293" s="63" t="str">
        <f t="shared" si="9"/>
        <v>202507</v>
      </c>
      <c r="D293" s="63" t="s">
        <v>166</v>
      </c>
      <c r="E293" s="63" t="s">
        <v>4</v>
      </c>
      <c r="F293" s="64">
        <v>45868.416666666657</v>
      </c>
      <c r="G293" s="64">
        <v>45868.5</v>
      </c>
      <c r="H293" s="63">
        <f>IF(F293="", "", NETWORKDAYS.INTL(F293, G293, 11,祝日シート!A:A))</f>
        <v>1</v>
      </c>
      <c r="I293" s="65">
        <v>8.3333333333333329E-2</v>
      </c>
      <c r="J293" s="63" t="s">
        <v>40</v>
      </c>
      <c r="K293" s="63" t="s">
        <v>26</v>
      </c>
      <c r="L293" s="63"/>
      <c r="M293" s="63" t="s">
        <v>4</v>
      </c>
      <c r="N293" s="63" t="s">
        <v>122</v>
      </c>
      <c r="O293" s="63" t="s">
        <v>7</v>
      </c>
      <c r="P293" s="66" t="s">
        <v>550</v>
      </c>
      <c r="Q293" s="66" t="s">
        <v>101</v>
      </c>
    </row>
    <row r="294" spans="2:17" ht="18.75" customHeight="1">
      <c r="B294" s="63" t="str">
        <f t="shared" si="8"/>
        <v>No291</v>
      </c>
      <c r="C294" s="63" t="str">
        <f t="shared" si="9"/>
        <v>202507</v>
      </c>
      <c r="D294" s="63" t="s">
        <v>166</v>
      </c>
      <c r="E294" s="63" t="s">
        <v>4</v>
      </c>
      <c r="F294" s="64">
        <v>45868.541666666657</v>
      </c>
      <c r="G294" s="64">
        <v>45868.5625</v>
      </c>
      <c r="H294" s="63">
        <f>IF(F294="", "", NETWORKDAYS.INTL(F294, G294, 11,祝日シート!A:A))</f>
        <v>1</v>
      </c>
      <c r="I294" s="65">
        <v>2.0833333333333329E-2</v>
      </c>
      <c r="J294" s="63" t="s">
        <v>40</v>
      </c>
      <c r="K294" s="63" t="s">
        <v>111</v>
      </c>
      <c r="L294" s="63"/>
      <c r="M294" s="63" t="s">
        <v>114</v>
      </c>
      <c r="N294" s="63" t="s">
        <v>6</v>
      </c>
      <c r="O294" s="63" t="s">
        <v>7</v>
      </c>
      <c r="P294" s="66" t="s">
        <v>551</v>
      </c>
      <c r="Q294" s="66" t="s">
        <v>101</v>
      </c>
    </row>
    <row r="295" spans="2:17" ht="18.75" customHeight="1">
      <c r="B295" s="63" t="str">
        <f t="shared" si="8"/>
        <v>No292</v>
      </c>
      <c r="C295" s="63" t="str">
        <f t="shared" si="9"/>
        <v>202507</v>
      </c>
      <c r="D295" s="63" t="s">
        <v>3</v>
      </c>
      <c r="E295" s="63" t="s">
        <v>4</v>
      </c>
      <c r="F295" s="64">
        <v>45868.708333333343</v>
      </c>
      <c r="G295" s="64">
        <v>45868.75</v>
      </c>
      <c r="H295" s="63">
        <f>IF(F295="", "", NETWORKDAYS.INTL(F295, G295, 11,祝日シート!A:A))</f>
        <v>1</v>
      </c>
      <c r="I295" s="65">
        <v>4.1666666666666657E-2</v>
      </c>
      <c r="J295" s="63" t="s">
        <v>40</v>
      </c>
      <c r="K295" s="63" t="s">
        <v>35</v>
      </c>
      <c r="L295" s="63"/>
      <c r="M295" s="63" t="s">
        <v>102</v>
      </c>
      <c r="N295" s="63" t="s">
        <v>6</v>
      </c>
      <c r="O295" s="63" t="s">
        <v>7</v>
      </c>
      <c r="P295" s="66" t="s">
        <v>552</v>
      </c>
      <c r="Q295" s="66" t="s">
        <v>101</v>
      </c>
    </row>
    <row r="296" spans="2:17" ht="18.75" customHeight="1">
      <c r="B296" s="63" t="str">
        <f t="shared" si="8"/>
        <v>No293</v>
      </c>
      <c r="C296" s="63" t="str">
        <f t="shared" si="9"/>
        <v>202507</v>
      </c>
      <c r="D296" s="63" t="s">
        <v>104</v>
      </c>
      <c r="E296" s="63" t="s">
        <v>4</v>
      </c>
      <c r="F296" s="64">
        <v>45869.395833333343</v>
      </c>
      <c r="G296" s="64">
        <v>45869.40625</v>
      </c>
      <c r="H296" s="63">
        <f>IF(F296="", "", NETWORKDAYS.INTL(F296, G296, 11,祝日シート!A:A))</f>
        <v>1</v>
      </c>
      <c r="I296" s="65">
        <v>1.041666666666667E-2</v>
      </c>
      <c r="J296" s="63" t="s">
        <v>61</v>
      </c>
      <c r="K296" s="63" t="s">
        <v>35</v>
      </c>
      <c r="L296" s="63"/>
      <c r="M296" s="63" t="s">
        <v>269</v>
      </c>
      <c r="N296" s="63" t="s">
        <v>6</v>
      </c>
      <c r="O296" s="63" t="s">
        <v>7</v>
      </c>
      <c r="P296" s="66" t="s">
        <v>553</v>
      </c>
      <c r="Q296" s="66" t="s">
        <v>554</v>
      </c>
    </row>
    <row r="297" spans="2:17" ht="18.75" customHeight="1">
      <c r="B297" s="63" t="str">
        <f t="shared" si="8"/>
        <v>No294</v>
      </c>
      <c r="C297" s="63" t="str">
        <f t="shared" si="9"/>
        <v>202507</v>
      </c>
      <c r="D297" s="63" t="s">
        <v>104</v>
      </c>
      <c r="E297" s="63" t="s">
        <v>4</v>
      </c>
      <c r="F297" s="64">
        <v>45869.416666666657</v>
      </c>
      <c r="G297" s="64">
        <v>45869.4375</v>
      </c>
      <c r="H297" s="63">
        <f>IF(F297="", "", NETWORKDAYS.INTL(F297, G297, 11,祝日シート!A:A))</f>
        <v>1</v>
      </c>
      <c r="I297" s="65">
        <v>2.0833333333333329E-2</v>
      </c>
      <c r="J297" s="63" t="s">
        <v>95</v>
      </c>
      <c r="K297" s="63" t="s">
        <v>77</v>
      </c>
      <c r="L297" s="63"/>
      <c r="M297" s="63" t="s">
        <v>198</v>
      </c>
      <c r="N297" s="63" t="s">
        <v>6</v>
      </c>
      <c r="O297" s="63" t="s">
        <v>7</v>
      </c>
      <c r="P297" s="66" t="s">
        <v>555</v>
      </c>
      <c r="Q297" s="66" t="s">
        <v>556</v>
      </c>
    </row>
    <row r="298" spans="2:17" ht="18.75" customHeight="1">
      <c r="B298" s="63" t="str">
        <f t="shared" si="8"/>
        <v>No295</v>
      </c>
      <c r="C298" s="63" t="str">
        <f t="shared" si="9"/>
        <v>202507</v>
      </c>
      <c r="D298" s="63" t="s">
        <v>3</v>
      </c>
      <c r="E298" s="63" t="s">
        <v>4</v>
      </c>
      <c r="F298" s="64">
        <v>45869.541666666657</v>
      </c>
      <c r="G298" s="64">
        <v>45869.708333333343</v>
      </c>
      <c r="H298" s="63">
        <f>IF(F298="", "", NETWORKDAYS.INTL(F298, G298, 11,祝日シート!A:A))</f>
        <v>1</v>
      </c>
      <c r="I298" s="65">
        <v>0.16666666666666671</v>
      </c>
      <c r="J298" s="63" t="s">
        <v>20</v>
      </c>
      <c r="K298" s="63" t="s">
        <v>26</v>
      </c>
      <c r="L298" s="63"/>
      <c r="M298" s="63" t="s">
        <v>121</v>
      </c>
      <c r="N298" s="63" t="s">
        <v>6</v>
      </c>
      <c r="O298" s="63" t="s">
        <v>7</v>
      </c>
      <c r="P298" s="66" t="s">
        <v>557</v>
      </c>
      <c r="Q298" s="66" t="s">
        <v>558</v>
      </c>
    </row>
    <row r="299" spans="2:17" ht="18.75" customHeight="1">
      <c r="B299" s="63" t="str">
        <f t="shared" si="8"/>
        <v>No296</v>
      </c>
      <c r="C299" s="63" t="str">
        <f t="shared" si="9"/>
        <v>202508</v>
      </c>
      <c r="D299" s="63" t="s">
        <v>3</v>
      </c>
      <c r="E299" s="63" t="s">
        <v>4</v>
      </c>
      <c r="F299" s="64">
        <v>45870.375</v>
      </c>
      <c r="G299" s="64">
        <v>45870.458333333343</v>
      </c>
      <c r="H299" s="63">
        <f>IF(F299="", "", NETWORKDAYS.INTL(F299, G299, 11,祝日シート!A:A))</f>
        <v>1</v>
      </c>
      <c r="I299" s="65">
        <v>8.3333333333333329E-2</v>
      </c>
      <c r="J299" s="63" t="s">
        <v>45</v>
      </c>
      <c r="K299" s="63" t="s">
        <v>26</v>
      </c>
      <c r="L299" s="63"/>
      <c r="M299" s="63" t="s">
        <v>121</v>
      </c>
      <c r="N299" s="63" t="s">
        <v>6</v>
      </c>
      <c r="O299" s="63" t="s">
        <v>7</v>
      </c>
      <c r="P299" s="66" t="s">
        <v>559</v>
      </c>
      <c r="Q299" s="66" t="s">
        <v>101</v>
      </c>
    </row>
    <row r="300" spans="2:17" ht="27.75" hidden="1" customHeight="1">
      <c r="B300" s="63" t="str">
        <f t="shared" si="8"/>
        <v>No297</v>
      </c>
      <c r="C300" s="63" t="str">
        <f t="shared" si="9"/>
        <v>202507</v>
      </c>
      <c r="D300" s="63" t="s">
        <v>142</v>
      </c>
      <c r="E300" s="63" t="s">
        <v>116</v>
      </c>
      <c r="F300" s="64">
        <v>45870.399305555547</v>
      </c>
      <c r="G300" s="64">
        <v>45852.409722222219</v>
      </c>
      <c r="H300" s="63">
        <f>IF(F300="", "", NETWORKDAYS.INTL(F300, G300, 11,祝日シート!A:A))</f>
        <v>-17</v>
      </c>
      <c r="I300" s="65">
        <v>1.041666666666667E-2</v>
      </c>
      <c r="J300" s="63" t="s">
        <v>119</v>
      </c>
      <c r="K300" s="63" t="s">
        <v>159</v>
      </c>
      <c r="L300" s="63"/>
      <c r="M300" s="63" t="s">
        <v>187</v>
      </c>
      <c r="N300" s="63" t="s">
        <v>122</v>
      </c>
      <c r="O300" s="63" t="s">
        <v>7</v>
      </c>
      <c r="P300" s="66" t="s">
        <v>482</v>
      </c>
      <c r="Q300" s="66" t="s">
        <v>158</v>
      </c>
    </row>
    <row r="301" spans="2:17" ht="18.75" hidden="1" customHeight="1">
      <c r="B301" s="63" t="str">
        <f t="shared" si="8"/>
        <v>No298</v>
      </c>
      <c r="C301" s="63" t="str">
        <f t="shared" si="9"/>
        <v>202507</v>
      </c>
      <c r="D301" s="63" t="s">
        <v>142</v>
      </c>
      <c r="E301" s="63" t="s">
        <v>116</v>
      </c>
      <c r="F301" s="64">
        <v>45870.399305555547</v>
      </c>
      <c r="G301" s="64">
        <v>45852.409722222219</v>
      </c>
      <c r="H301" s="63">
        <f>IF(F301="", "", NETWORKDAYS.INTL(F301, G301, 11,祝日シート!A:A))</f>
        <v>-17</v>
      </c>
      <c r="I301" s="65">
        <v>1.041666666666667E-2</v>
      </c>
      <c r="J301" s="63" t="s">
        <v>119</v>
      </c>
      <c r="K301" s="63" t="s">
        <v>111</v>
      </c>
      <c r="L301" s="63"/>
      <c r="M301" s="63" t="s">
        <v>215</v>
      </c>
      <c r="N301" s="63" t="s">
        <v>122</v>
      </c>
      <c r="O301" s="63" t="s">
        <v>7</v>
      </c>
      <c r="P301" s="66" t="s">
        <v>246</v>
      </c>
      <c r="Q301" s="66" t="s">
        <v>158</v>
      </c>
    </row>
    <row r="302" spans="2:17" ht="18.75" customHeight="1">
      <c r="B302" s="63" t="str">
        <f t="shared" si="8"/>
        <v>No299</v>
      </c>
      <c r="C302" s="63" t="str">
        <f t="shared" si="9"/>
        <v>202508</v>
      </c>
      <c r="D302" s="63" t="s">
        <v>104</v>
      </c>
      <c r="E302" s="63" t="s">
        <v>4</v>
      </c>
      <c r="F302" s="64">
        <v>45870.416666666657</v>
      </c>
      <c r="G302" s="64">
        <v>45870.423611111109</v>
      </c>
      <c r="H302" s="63">
        <f>IF(F302="", "", NETWORKDAYS.INTL(F302, G302, 11,祝日シート!A:A))</f>
        <v>1</v>
      </c>
      <c r="I302" s="65">
        <v>6.9444444444444441E-3</v>
      </c>
      <c r="J302" s="63" t="s">
        <v>20</v>
      </c>
      <c r="K302" s="63" t="s">
        <v>21</v>
      </c>
      <c r="L302" s="63"/>
      <c r="M302" s="63" t="s">
        <v>109</v>
      </c>
      <c r="N302" s="63" t="s">
        <v>6</v>
      </c>
      <c r="O302" s="63" t="s">
        <v>7</v>
      </c>
      <c r="P302" s="66" t="s">
        <v>560</v>
      </c>
      <c r="Q302" s="66" t="s">
        <v>101</v>
      </c>
    </row>
    <row r="303" spans="2:17" ht="18.75" customHeight="1">
      <c r="B303" s="63" t="str">
        <f t="shared" si="8"/>
        <v>No300</v>
      </c>
      <c r="C303" s="63" t="str">
        <f t="shared" si="9"/>
        <v>202508</v>
      </c>
      <c r="D303" s="63" t="s">
        <v>104</v>
      </c>
      <c r="E303" s="63" t="s">
        <v>4</v>
      </c>
      <c r="F303" s="64">
        <v>45870.458333333343</v>
      </c>
      <c r="G303" s="64">
        <v>45870.46875</v>
      </c>
      <c r="H303" s="63">
        <f>IF(F303="", "", NETWORKDAYS.INTL(F303, G303, 11,祝日シート!A:A))</f>
        <v>1</v>
      </c>
      <c r="I303" s="65">
        <v>1.041666666666667E-2</v>
      </c>
      <c r="J303" s="63" t="s">
        <v>40</v>
      </c>
      <c r="K303" s="63" t="s">
        <v>561</v>
      </c>
      <c r="L303" s="63"/>
      <c r="M303" s="63" t="s">
        <v>562</v>
      </c>
      <c r="N303" s="63" t="s">
        <v>6</v>
      </c>
      <c r="O303" s="63" t="s">
        <v>7</v>
      </c>
      <c r="P303" s="66" t="s">
        <v>563</v>
      </c>
      <c r="Q303" s="66" t="s">
        <v>101</v>
      </c>
    </row>
    <row r="304" spans="2:17" ht="18.75" customHeight="1">
      <c r="B304" s="63" t="str">
        <f t="shared" si="8"/>
        <v>No301</v>
      </c>
      <c r="C304" s="63" t="str">
        <f t="shared" si="9"/>
        <v>202508</v>
      </c>
      <c r="D304" s="63" t="s">
        <v>166</v>
      </c>
      <c r="E304" s="63" t="s">
        <v>4</v>
      </c>
      <c r="F304" s="64">
        <v>45870.541666666657</v>
      </c>
      <c r="G304" s="64">
        <v>45870.5625</v>
      </c>
      <c r="H304" s="63">
        <f>IF(F304="", "", NETWORKDAYS.INTL(F304, G304, 11,祝日シート!A:A))</f>
        <v>1</v>
      </c>
      <c r="I304" s="65">
        <v>2.0833333333333329E-2</v>
      </c>
      <c r="J304" s="63" t="s">
        <v>40</v>
      </c>
      <c r="K304" s="63" t="s">
        <v>26</v>
      </c>
      <c r="L304" s="63"/>
      <c r="M304" s="63" t="s">
        <v>121</v>
      </c>
      <c r="N304" s="63" t="s">
        <v>6</v>
      </c>
      <c r="O304" s="63" t="s">
        <v>7</v>
      </c>
      <c r="P304" s="66" t="s">
        <v>564</v>
      </c>
      <c r="Q304" s="66" t="s">
        <v>101</v>
      </c>
    </row>
    <row r="305" spans="2:17" ht="18.75" customHeight="1">
      <c r="B305" s="63" t="str">
        <f t="shared" si="8"/>
        <v>No302</v>
      </c>
      <c r="C305" s="63" t="str">
        <f t="shared" si="9"/>
        <v>202508</v>
      </c>
      <c r="D305" s="63" t="s">
        <v>104</v>
      </c>
      <c r="E305" s="63" t="s">
        <v>4</v>
      </c>
      <c r="F305" s="64">
        <v>45870.541666666657</v>
      </c>
      <c r="G305" s="64">
        <v>45870.552083333343</v>
      </c>
      <c r="H305" s="63">
        <f>IF(F305="", "", NETWORKDAYS.INTL(F305, G305, 11,祝日シート!A:A))</f>
        <v>1</v>
      </c>
      <c r="I305" s="65">
        <v>1.041666666666667E-2</v>
      </c>
      <c r="J305" s="63" t="s">
        <v>45</v>
      </c>
      <c r="K305" s="63" t="s">
        <v>77</v>
      </c>
      <c r="L305" s="63"/>
      <c r="M305" s="63" t="s">
        <v>211</v>
      </c>
      <c r="N305" s="63" t="s">
        <v>6</v>
      </c>
      <c r="O305" s="63" t="s">
        <v>7</v>
      </c>
      <c r="P305" s="66" t="s">
        <v>565</v>
      </c>
      <c r="Q305" s="66" t="s">
        <v>101</v>
      </c>
    </row>
    <row r="306" spans="2:17" ht="18.75" hidden="1" customHeight="1">
      <c r="B306" s="63" t="str">
        <f t="shared" si="8"/>
        <v>No303</v>
      </c>
      <c r="C306" s="63" t="str">
        <f t="shared" si="9"/>
        <v>202507</v>
      </c>
      <c r="D306" s="63" t="s">
        <v>142</v>
      </c>
      <c r="E306" s="63" t="s">
        <v>155</v>
      </c>
      <c r="F306" s="64">
        <v>45870.715277777781</v>
      </c>
      <c r="G306" s="64">
        <v>45852.722222222219</v>
      </c>
      <c r="H306" s="63">
        <f>IF(F306="", "", NETWORKDAYS.INTL(F306, G306, 11,祝日シート!A:A))</f>
        <v>-17</v>
      </c>
      <c r="I306" s="65">
        <v>6.9444444444444441E-3</v>
      </c>
      <c r="J306" s="63" t="s">
        <v>119</v>
      </c>
      <c r="K306" s="63" t="s">
        <v>41</v>
      </c>
      <c r="L306" s="63"/>
      <c r="M306" s="63" t="s">
        <v>277</v>
      </c>
      <c r="N306" s="63" t="s">
        <v>122</v>
      </c>
      <c r="O306" s="63" t="s">
        <v>7</v>
      </c>
      <c r="P306" s="66" t="s">
        <v>385</v>
      </c>
      <c r="Q306" s="66" t="s">
        <v>158</v>
      </c>
    </row>
    <row r="307" spans="2:17" ht="18.75" customHeight="1">
      <c r="B307" s="63" t="str">
        <f t="shared" si="8"/>
        <v>No304</v>
      </c>
      <c r="C307" s="63" t="str">
        <f t="shared" si="9"/>
        <v>202508</v>
      </c>
      <c r="D307" s="63" t="s">
        <v>98</v>
      </c>
      <c r="E307" s="63" t="s">
        <v>4</v>
      </c>
      <c r="F307" s="64">
        <v>45870.71875</v>
      </c>
      <c r="G307" s="64">
        <v>45870.729166666657</v>
      </c>
      <c r="H307" s="63">
        <f>IF(F307="", "", NETWORKDAYS.INTL(F307, G307, 11,祝日シート!A:A))</f>
        <v>1</v>
      </c>
      <c r="I307" s="65">
        <v>1.041666666666667E-2</v>
      </c>
      <c r="J307" s="63" t="s">
        <v>95</v>
      </c>
      <c r="K307" s="63" t="s">
        <v>111</v>
      </c>
      <c r="L307" s="63"/>
      <c r="M307" s="63" t="s">
        <v>114</v>
      </c>
      <c r="N307" s="63" t="s">
        <v>6</v>
      </c>
      <c r="O307" s="63" t="s">
        <v>7</v>
      </c>
      <c r="P307" s="66" t="s">
        <v>566</v>
      </c>
      <c r="Q307" s="66" t="s">
        <v>101</v>
      </c>
    </row>
    <row r="308" spans="2:17" ht="18.75" customHeight="1">
      <c r="B308" s="63" t="str">
        <f t="shared" si="8"/>
        <v>No305</v>
      </c>
      <c r="C308" s="63" t="str">
        <f t="shared" si="9"/>
        <v>202508</v>
      </c>
      <c r="D308" s="63" t="s">
        <v>3</v>
      </c>
      <c r="E308" s="63" t="s">
        <v>4</v>
      </c>
      <c r="F308" s="64">
        <v>45870.729166666657</v>
      </c>
      <c r="G308" s="64">
        <v>45870.75</v>
      </c>
      <c r="H308" s="63">
        <f>IF(F308="", "", NETWORKDAYS.INTL(F308, G308, 11,祝日シート!A:A))</f>
        <v>1</v>
      </c>
      <c r="I308" s="65">
        <v>2.0833333333333329E-2</v>
      </c>
      <c r="J308" s="63" t="s">
        <v>20</v>
      </c>
      <c r="K308" s="63" t="s">
        <v>26</v>
      </c>
      <c r="L308" s="63"/>
      <c r="M308" s="63" t="s">
        <v>121</v>
      </c>
      <c r="N308" s="63" t="s">
        <v>6</v>
      </c>
      <c r="O308" s="63" t="s">
        <v>7</v>
      </c>
      <c r="P308" s="66" t="s">
        <v>567</v>
      </c>
      <c r="Q308" s="66" t="s">
        <v>101</v>
      </c>
    </row>
    <row r="309" spans="2:17" ht="18.75" hidden="1" customHeight="1">
      <c r="B309" s="63" t="str">
        <f t="shared" si="8"/>
        <v>No306</v>
      </c>
      <c r="C309" s="63" t="str">
        <f t="shared" si="9"/>
        <v>202508</v>
      </c>
      <c r="D309" s="63" t="s">
        <v>142</v>
      </c>
      <c r="E309" s="63" t="s">
        <v>155</v>
      </c>
      <c r="F309" s="64">
        <v>45874.416666666657</v>
      </c>
      <c r="G309" s="64">
        <v>45874.541666666657</v>
      </c>
      <c r="H309" s="63">
        <f>IF(F309="", "", NETWORKDAYS.INTL(F309, G309, 11,祝日シート!A:A))</f>
        <v>1</v>
      </c>
      <c r="I309" s="65">
        <v>2.0833333333333329E-2</v>
      </c>
      <c r="J309" s="63" t="s">
        <v>45</v>
      </c>
      <c r="K309" s="63" t="s">
        <v>21</v>
      </c>
      <c r="L309" s="63"/>
      <c r="M309" s="63" t="s">
        <v>568</v>
      </c>
      <c r="N309" s="63" t="s">
        <v>122</v>
      </c>
      <c r="O309" s="63" t="s">
        <v>7</v>
      </c>
      <c r="P309" s="66" t="s">
        <v>569</v>
      </c>
      <c r="Q309" s="66" t="s">
        <v>158</v>
      </c>
    </row>
    <row r="310" spans="2:17" ht="18.75" hidden="1" customHeight="1">
      <c r="B310" s="63" t="str">
        <f t="shared" si="8"/>
        <v>No307</v>
      </c>
      <c r="C310" s="63" t="str">
        <f t="shared" si="9"/>
        <v>202508</v>
      </c>
      <c r="D310" s="63" t="s">
        <v>104</v>
      </c>
      <c r="E310" s="63" t="s">
        <v>155</v>
      </c>
      <c r="F310" s="64">
        <v>45874.479166666657</v>
      </c>
      <c r="G310" s="64">
        <v>45874.5625</v>
      </c>
      <c r="H310" s="63">
        <f>IF(F310="", "", NETWORKDAYS.INTL(F310, G310, 11,祝日シート!A:A))</f>
        <v>1</v>
      </c>
      <c r="I310" s="65">
        <v>4.1666666666666657E-2</v>
      </c>
      <c r="J310" s="63" t="s">
        <v>119</v>
      </c>
      <c r="K310" s="63" t="s">
        <v>311</v>
      </c>
      <c r="L310" s="63"/>
      <c r="M310" s="63" t="s">
        <v>121</v>
      </c>
      <c r="N310" s="63" t="s">
        <v>117</v>
      </c>
      <c r="O310" s="63" t="s">
        <v>7</v>
      </c>
      <c r="P310" s="66" t="s">
        <v>570</v>
      </c>
      <c r="Q310" s="66" t="s">
        <v>571</v>
      </c>
    </row>
    <row r="311" spans="2:17" ht="31.5" hidden="1" customHeight="1">
      <c r="B311" s="63" t="str">
        <f t="shared" si="8"/>
        <v>No308</v>
      </c>
      <c r="C311" s="63" t="str">
        <f t="shared" si="9"/>
        <v>202508</v>
      </c>
      <c r="D311" s="63" t="s">
        <v>104</v>
      </c>
      <c r="E311" s="63" t="s">
        <v>155</v>
      </c>
      <c r="F311" s="64">
        <v>45874.486111111109</v>
      </c>
      <c r="G311" s="64">
        <v>45874.5</v>
      </c>
      <c r="H311" s="63">
        <f>IF(F311="", "", NETWORKDAYS.INTL(F311, G311, 11,祝日シート!A:A))</f>
        <v>1</v>
      </c>
      <c r="I311" s="65">
        <v>1.388888888888889E-2</v>
      </c>
      <c r="J311" s="63" t="s">
        <v>119</v>
      </c>
      <c r="K311" s="63" t="s">
        <v>77</v>
      </c>
      <c r="L311" s="63"/>
      <c r="M311" s="63" t="s">
        <v>144</v>
      </c>
      <c r="N311" s="63" t="s">
        <v>122</v>
      </c>
      <c r="O311" s="63" t="s">
        <v>7</v>
      </c>
      <c r="P311" s="66" t="s">
        <v>572</v>
      </c>
      <c r="Q311" s="66" t="s">
        <v>573</v>
      </c>
    </row>
    <row r="312" spans="2:17" ht="18.75" hidden="1" customHeight="1">
      <c r="B312" s="63" t="str">
        <f t="shared" si="8"/>
        <v>No309</v>
      </c>
      <c r="C312" s="63" t="str">
        <f t="shared" si="9"/>
        <v>202508</v>
      </c>
      <c r="D312" s="63" t="s">
        <v>142</v>
      </c>
      <c r="E312" s="63" t="s">
        <v>155</v>
      </c>
      <c r="F312" s="64">
        <v>45874.875</v>
      </c>
      <c r="G312" s="64">
        <v>45875.364583333343</v>
      </c>
      <c r="H312" s="63">
        <f>IF(F312="", "", NETWORKDAYS.INTL(F312, G312, 11,祝日シート!A:A))</f>
        <v>2</v>
      </c>
      <c r="I312" s="65">
        <v>1.388888888888889E-2</v>
      </c>
      <c r="J312" s="63" t="s">
        <v>119</v>
      </c>
      <c r="K312" s="63" t="s">
        <v>77</v>
      </c>
      <c r="L312" s="63"/>
      <c r="M312" s="63" t="s">
        <v>144</v>
      </c>
      <c r="N312" s="63" t="s">
        <v>122</v>
      </c>
      <c r="O312" s="63" t="s">
        <v>7</v>
      </c>
      <c r="P312" s="66" t="s">
        <v>574</v>
      </c>
      <c r="Q312" s="66" t="s">
        <v>158</v>
      </c>
    </row>
    <row r="313" spans="2:17" ht="27.75" hidden="1" customHeight="1">
      <c r="B313" s="63" t="str">
        <f t="shared" si="8"/>
        <v>No310</v>
      </c>
      <c r="C313" s="63" t="str">
        <f t="shared" si="9"/>
        <v>202508</v>
      </c>
      <c r="D313" s="63" t="s">
        <v>142</v>
      </c>
      <c r="E313" s="63" t="s">
        <v>155</v>
      </c>
      <c r="F313" s="64">
        <v>45876.399305555547</v>
      </c>
      <c r="G313" s="64">
        <v>45876.40625</v>
      </c>
      <c r="H313" s="63">
        <f>IF(F313="", "", NETWORKDAYS.INTL(F313, G313, 11,祝日シート!A:A))</f>
        <v>1</v>
      </c>
      <c r="I313" s="65">
        <v>1.041666666666667E-2</v>
      </c>
      <c r="J313" s="63" t="s">
        <v>119</v>
      </c>
      <c r="K313" s="63" t="s">
        <v>159</v>
      </c>
      <c r="L313" s="63"/>
      <c r="M313" s="63" t="s">
        <v>187</v>
      </c>
      <c r="N313" s="63" t="s">
        <v>122</v>
      </c>
      <c r="O313" s="63" t="s">
        <v>7</v>
      </c>
      <c r="P313" s="66" t="s">
        <v>179</v>
      </c>
      <c r="Q313" s="66" t="s">
        <v>158</v>
      </c>
    </row>
    <row r="314" spans="2:17" ht="18.75" hidden="1" customHeight="1">
      <c r="B314" s="63" t="str">
        <f t="shared" si="8"/>
        <v>No311</v>
      </c>
      <c r="C314" s="63" t="str">
        <f t="shared" si="9"/>
        <v>202508</v>
      </c>
      <c r="D314" s="63" t="s">
        <v>142</v>
      </c>
      <c r="E314" s="63" t="s">
        <v>155</v>
      </c>
      <c r="F314" s="64">
        <v>45876.416666666657</v>
      </c>
      <c r="G314" s="64">
        <v>45876.729166666657</v>
      </c>
      <c r="H314" s="63">
        <f>IF(F314="", "", NETWORKDAYS.INTL(F314, G314, 11,祝日シート!A:A))</f>
        <v>1</v>
      </c>
      <c r="I314" s="65">
        <v>0.125</v>
      </c>
      <c r="J314" s="63" t="s">
        <v>119</v>
      </c>
      <c r="K314" s="63" t="s">
        <v>159</v>
      </c>
      <c r="L314" s="63"/>
      <c r="M314" s="63" t="s">
        <v>187</v>
      </c>
      <c r="N314" s="63" t="s">
        <v>122</v>
      </c>
      <c r="O314" s="63" t="s">
        <v>7</v>
      </c>
      <c r="P314" s="66" t="s">
        <v>512</v>
      </c>
      <c r="Q314" s="66" t="s">
        <v>158</v>
      </c>
    </row>
    <row r="315" spans="2:17" ht="18.75" hidden="1" customHeight="1">
      <c r="B315" s="63" t="str">
        <f t="shared" si="8"/>
        <v>No312</v>
      </c>
      <c r="C315" s="63" t="str">
        <f t="shared" si="9"/>
        <v>202508</v>
      </c>
      <c r="D315" s="63" t="s">
        <v>142</v>
      </c>
      <c r="E315" s="63" t="s">
        <v>155</v>
      </c>
      <c r="F315" s="64">
        <v>45876.635416666657</v>
      </c>
      <c r="G315" s="64">
        <v>45876.659722222219</v>
      </c>
      <c r="H315" s="63">
        <f>IF(F315="", "", NETWORKDAYS.INTL(F315, G315, 11,祝日シート!A:A))</f>
        <v>1</v>
      </c>
      <c r="I315" s="65">
        <v>6.9444444444444441E-3</v>
      </c>
      <c r="J315" s="63" t="s">
        <v>119</v>
      </c>
      <c r="K315" s="63" t="s">
        <v>159</v>
      </c>
      <c r="L315" s="63"/>
      <c r="M315" s="63" t="s">
        <v>160</v>
      </c>
      <c r="N315" s="63" t="s">
        <v>122</v>
      </c>
      <c r="O315" s="63" t="s">
        <v>7</v>
      </c>
      <c r="P315" s="66" t="s">
        <v>179</v>
      </c>
      <c r="Q315" s="66" t="s">
        <v>158</v>
      </c>
    </row>
    <row r="316" spans="2:17" ht="18.75" hidden="1" customHeight="1">
      <c r="B316" s="63" t="str">
        <f t="shared" si="8"/>
        <v>No313</v>
      </c>
      <c r="C316" s="63" t="str">
        <f t="shared" si="9"/>
        <v>202508</v>
      </c>
      <c r="D316" s="63" t="s">
        <v>142</v>
      </c>
      <c r="E316" s="63" t="s">
        <v>155</v>
      </c>
      <c r="F316" s="64">
        <v>45877.625</v>
      </c>
      <c r="G316" s="64">
        <v>45881.625</v>
      </c>
      <c r="H316" s="63">
        <f>IF(F316="", "", NETWORKDAYS.INTL(F316, G316, 11,祝日シート!A:A))</f>
        <v>4</v>
      </c>
      <c r="I316" s="65">
        <v>0.20833333333333329</v>
      </c>
      <c r="J316" s="63" t="s">
        <v>197</v>
      </c>
      <c r="K316" s="63" t="s">
        <v>77</v>
      </c>
      <c r="L316" s="63"/>
      <c r="M316" s="63" t="s">
        <v>238</v>
      </c>
      <c r="N316" s="63" t="s">
        <v>122</v>
      </c>
      <c r="O316" s="63" t="s">
        <v>7</v>
      </c>
      <c r="P316" s="66" t="s">
        <v>575</v>
      </c>
      <c r="Q316" s="66" t="s">
        <v>576</v>
      </c>
    </row>
    <row r="317" spans="2:17" ht="18.75" customHeight="1">
      <c r="B317" s="63" t="str">
        <f t="shared" si="8"/>
        <v>No314</v>
      </c>
      <c r="C317" s="63" t="str">
        <f t="shared" si="9"/>
        <v>202508</v>
      </c>
      <c r="D317" s="63" t="s">
        <v>577</v>
      </c>
      <c r="E317" s="63" t="s">
        <v>4</v>
      </c>
      <c r="F317" s="64">
        <v>45881.395833333343</v>
      </c>
      <c r="G317" s="64">
        <v>45881.458333333343</v>
      </c>
      <c r="H317" s="63">
        <f>IF(F317="", "", NETWORKDAYS.INTL(F317, G317, 11,祝日シート!A:A))</f>
        <v>1</v>
      </c>
      <c r="I317" s="65">
        <v>6.25E-2</v>
      </c>
      <c r="J317" s="63" t="s">
        <v>40</v>
      </c>
      <c r="K317" s="63" t="s">
        <v>26</v>
      </c>
      <c r="L317" s="63"/>
      <c r="M317" s="63" t="s">
        <v>121</v>
      </c>
      <c r="N317" s="63" t="s">
        <v>6</v>
      </c>
      <c r="O317" s="63" t="s">
        <v>7</v>
      </c>
      <c r="P317" s="66" t="s">
        <v>578</v>
      </c>
      <c r="Q317" s="66" t="s">
        <v>101</v>
      </c>
    </row>
    <row r="318" spans="2:17" ht="47.25" customHeight="1">
      <c r="B318" s="63" t="str">
        <f t="shared" si="8"/>
        <v>No315</v>
      </c>
      <c r="C318" s="63" t="str">
        <f t="shared" si="9"/>
        <v>202508</v>
      </c>
      <c r="D318" s="63" t="s">
        <v>98</v>
      </c>
      <c r="E318" s="63" t="s">
        <v>4</v>
      </c>
      <c r="F318" s="64">
        <v>45881.416666666657</v>
      </c>
      <c r="G318" s="64">
        <v>45881.625</v>
      </c>
      <c r="H318" s="63">
        <f>IF(F318="", "", NETWORKDAYS.INTL(F318, G318, 11,祝日シート!A:A))</f>
        <v>1</v>
      </c>
      <c r="I318" s="65">
        <v>0.20833333333333329</v>
      </c>
      <c r="J318" s="63" t="s">
        <v>40</v>
      </c>
      <c r="K318" s="63" t="s">
        <v>21</v>
      </c>
      <c r="L318" s="63"/>
      <c r="M318" s="63" t="s">
        <v>99</v>
      </c>
      <c r="N318" s="63" t="s">
        <v>6</v>
      </c>
      <c r="O318" s="63" t="s">
        <v>7</v>
      </c>
      <c r="P318" s="66" t="s">
        <v>579</v>
      </c>
      <c r="Q318" s="66" t="s">
        <v>101</v>
      </c>
    </row>
    <row r="319" spans="2:17" ht="59.25" hidden="1" customHeight="1">
      <c r="B319" s="63" t="str">
        <f t="shared" si="8"/>
        <v>No316</v>
      </c>
      <c r="C319" s="63" t="str">
        <f t="shared" si="9"/>
        <v>202508</v>
      </c>
      <c r="D319" s="63" t="s">
        <v>142</v>
      </c>
      <c r="E319" s="63" t="s">
        <v>155</v>
      </c>
      <c r="F319" s="64">
        <v>45881.4375</v>
      </c>
      <c r="G319" s="64">
        <v>45881.447916666657</v>
      </c>
      <c r="H319" s="63">
        <f>IF(F319="", "", NETWORKDAYS.INTL(F319, G319, 11,祝日シート!A:A))</f>
        <v>1</v>
      </c>
      <c r="I319" s="65">
        <v>1.041666666666667E-2</v>
      </c>
      <c r="J319" s="63" t="s">
        <v>119</v>
      </c>
      <c r="K319" s="63" t="s">
        <v>111</v>
      </c>
      <c r="L319" s="63"/>
      <c r="M319" s="63" t="s">
        <v>201</v>
      </c>
      <c r="N319" s="63" t="s">
        <v>122</v>
      </c>
      <c r="O319" s="63" t="s">
        <v>7</v>
      </c>
      <c r="P319" s="66" t="s">
        <v>246</v>
      </c>
      <c r="Q319" s="66" t="s">
        <v>158</v>
      </c>
    </row>
    <row r="320" spans="2:17" ht="18.75" hidden="1" customHeight="1">
      <c r="B320" s="63" t="str">
        <f t="shared" si="8"/>
        <v>No317</v>
      </c>
      <c r="C320" s="63" t="str">
        <f t="shared" si="9"/>
        <v>202509</v>
      </c>
      <c r="D320" s="63" t="s">
        <v>142</v>
      </c>
      <c r="E320" s="63" t="s">
        <v>155</v>
      </c>
      <c r="F320" s="64">
        <v>45901.75</v>
      </c>
      <c r="G320" s="64">
        <v>45901.770833333343</v>
      </c>
      <c r="H320" s="63">
        <f>IF(F320="", "", NETWORKDAYS.INTL(F320, G320, 11,祝日シート!A:A))</f>
        <v>1</v>
      </c>
      <c r="I320" s="65">
        <v>2.0833333333333329E-2</v>
      </c>
      <c r="J320" s="63" t="s">
        <v>119</v>
      </c>
      <c r="K320" s="63" t="s">
        <v>77</v>
      </c>
      <c r="L320" s="63"/>
      <c r="M320" s="63" t="s">
        <v>144</v>
      </c>
      <c r="N320" s="63" t="s">
        <v>117</v>
      </c>
      <c r="O320" s="63" t="s">
        <v>7</v>
      </c>
      <c r="P320" s="66" t="s">
        <v>580</v>
      </c>
      <c r="Q320" s="66" t="s">
        <v>158</v>
      </c>
    </row>
    <row r="321" spans="2:17" ht="66.75" hidden="1" customHeight="1">
      <c r="B321" s="63" t="str">
        <f t="shared" si="8"/>
        <v>No318</v>
      </c>
      <c r="C321" s="63" t="str">
        <f t="shared" si="9"/>
        <v>202509</v>
      </c>
      <c r="D321" s="63" t="s">
        <v>142</v>
      </c>
      <c r="E321" s="63" t="s">
        <v>155</v>
      </c>
      <c r="F321" s="64">
        <v>45902.739583333343</v>
      </c>
      <c r="G321" s="64">
        <v>45902.760416666657</v>
      </c>
      <c r="H321" s="63">
        <f>IF(F321="", "", NETWORKDAYS.INTL(F321, G321, 11,祝日シート!A:A))</f>
        <v>1</v>
      </c>
      <c r="I321" s="65">
        <v>2.0833333333333329E-2</v>
      </c>
      <c r="J321" s="63" t="s">
        <v>119</v>
      </c>
      <c r="K321" s="63" t="s">
        <v>77</v>
      </c>
      <c r="L321" s="63"/>
      <c r="M321" s="63" t="s">
        <v>144</v>
      </c>
      <c r="N321" s="63" t="s">
        <v>117</v>
      </c>
      <c r="O321" s="63" t="s">
        <v>7</v>
      </c>
      <c r="P321" s="66" t="s">
        <v>580</v>
      </c>
      <c r="Q321" s="66" t="s">
        <v>158</v>
      </c>
    </row>
    <row r="322" spans="2:17" ht="52.5" hidden="1" customHeight="1">
      <c r="B322" s="63" t="str">
        <f t="shared" si="8"/>
        <v>No319</v>
      </c>
      <c r="C322" s="63" t="str">
        <f t="shared" si="9"/>
        <v>202509</v>
      </c>
      <c r="D322" s="63" t="s">
        <v>186</v>
      </c>
      <c r="E322" s="63" t="s">
        <v>155</v>
      </c>
      <c r="F322" s="64">
        <v>45902.78125</v>
      </c>
      <c r="G322" s="64">
        <v>45903.368055555547</v>
      </c>
      <c r="H322" s="63">
        <f>IF(F322="", "", NETWORKDAYS.INTL(F322, G322, 11,祝日シート!A:A))</f>
        <v>2</v>
      </c>
      <c r="I322" s="65">
        <v>1.041666666666667E-2</v>
      </c>
      <c r="J322" s="63" t="s">
        <v>45</v>
      </c>
      <c r="K322" s="63" t="s">
        <v>77</v>
      </c>
      <c r="L322" s="63"/>
      <c r="M322" s="63" t="s">
        <v>144</v>
      </c>
      <c r="N322" s="63" t="s">
        <v>117</v>
      </c>
      <c r="O322" s="63" t="s">
        <v>7</v>
      </c>
      <c r="P322" s="66" t="s">
        <v>581</v>
      </c>
      <c r="Q322" s="66" t="s">
        <v>582</v>
      </c>
    </row>
    <row r="323" spans="2:17" ht="18.75" hidden="1" customHeight="1">
      <c r="B323" s="63" t="str">
        <f t="shared" si="8"/>
        <v>No320</v>
      </c>
      <c r="C323" s="63" t="str">
        <f t="shared" si="9"/>
        <v>202509</v>
      </c>
      <c r="D323" s="63" t="s">
        <v>142</v>
      </c>
      <c r="E323" s="63" t="s">
        <v>155</v>
      </c>
      <c r="F323" s="64">
        <v>45903.625</v>
      </c>
      <c r="G323" s="64">
        <v>45903.666666666657</v>
      </c>
      <c r="H323" s="63">
        <f>IF(F323="", "", NETWORKDAYS.INTL(F323, G323, 11,祝日シート!A:A))</f>
        <v>1</v>
      </c>
      <c r="I323" s="65">
        <v>2.0833333333333329E-2</v>
      </c>
      <c r="J323" s="63" t="s">
        <v>119</v>
      </c>
      <c r="K323" s="63" t="s">
        <v>111</v>
      </c>
      <c r="L323" s="63"/>
      <c r="M323" s="63" t="s">
        <v>112</v>
      </c>
      <c r="N323" s="63" t="s">
        <v>122</v>
      </c>
      <c r="O323" s="63" t="s">
        <v>7</v>
      </c>
      <c r="P323" s="66" t="s">
        <v>482</v>
      </c>
      <c r="Q323" s="66" t="s">
        <v>583</v>
      </c>
    </row>
    <row r="324" spans="2:17" ht="18.75" hidden="1" customHeight="1">
      <c r="B324" s="63" t="str">
        <f t="shared" si="8"/>
        <v>No321</v>
      </c>
      <c r="C324" s="63" t="str">
        <f t="shared" si="9"/>
        <v>202509</v>
      </c>
      <c r="D324" s="63" t="s">
        <v>142</v>
      </c>
      <c r="E324" s="63" t="s">
        <v>155</v>
      </c>
      <c r="F324" s="64">
        <v>45903.697916666657</v>
      </c>
      <c r="G324" s="64">
        <v>45903.71875</v>
      </c>
      <c r="H324" s="63">
        <f>IF(F324="", "", NETWORKDAYS.INTL(F324, G324, 11,祝日シート!A:A))</f>
        <v>1</v>
      </c>
      <c r="I324" s="65">
        <v>2.0833333333333329E-2</v>
      </c>
      <c r="J324" s="63" t="s">
        <v>119</v>
      </c>
      <c r="K324" s="63" t="s">
        <v>77</v>
      </c>
      <c r="L324" s="63"/>
      <c r="M324" s="63" t="s">
        <v>539</v>
      </c>
      <c r="N324" s="63" t="s">
        <v>117</v>
      </c>
      <c r="O324" s="63" t="s">
        <v>7</v>
      </c>
      <c r="P324" s="66" t="s">
        <v>580</v>
      </c>
      <c r="Q324" s="66" t="s">
        <v>158</v>
      </c>
    </row>
    <row r="325" spans="2:17" ht="18.75" customHeight="1">
      <c r="B325" s="63" t="str">
        <f t="shared" si="8"/>
        <v>No322</v>
      </c>
      <c r="C325" s="63" t="str">
        <f t="shared" si="9"/>
        <v>202509</v>
      </c>
      <c r="D325" s="63" t="s">
        <v>166</v>
      </c>
      <c r="E325" s="63" t="s">
        <v>4</v>
      </c>
      <c r="F325" s="64">
        <v>45904.375</v>
      </c>
      <c r="G325" s="64">
        <v>45904.458333333343</v>
      </c>
      <c r="H325" s="63">
        <f>IF(F325="", "", NETWORKDAYS.INTL(F325, G325, 11,祝日シート!A:A))</f>
        <v>1</v>
      </c>
      <c r="I325" s="65">
        <v>8.3333333333333329E-2</v>
      </c>
      <c r="J325" s="63" t="s">
        <v>119</v>
      </c>
      <c r="K325" s="63" t="s">
        <v>26</v>
      </c>
      <c r="L325" s="63"/>
      <c r="M325" s="63" t="s">
        <v>121</v>
      </c>
      <c r="N325" s="63" t="s">
        <v>6</v>
      </c>
      <c r="O325" s="63" t="s">
        <v>7</v>
      </c>
      <c r="P325" s="66" t="s">
        <v>584</v>
      </c>
      <c r="Q325" s="66" t="s">
        <v>585</v>
      </c>
    </row>
    <row r="326" spans="2:17" ht="18.75" customHeight="1">
      <c r="B326" s="63" t="str">
        <f t="shared" si="8"/>
        <v>No323</v>
      </c>
      <c r="C326" s="63" t="str">
        <f t="shared" si="9"/>
        <v>202509</v>
      </c>
      <c r="D326" s="63" t="s">
        <v>186</v>
      </c>
      <c r="E326" s="63" t="s">
        <v>4</v>
      </c>
      <c r="F326" s="64">
        <v>45904.4375</v>
      </c>
      <c r="G326" s="64">
        <v>45904.458333333343</v>
      </c>
      <c r="H326" s="63">
        <f>IF(F326="", "", NETWORKDAYS.INTL(F326, G326, 11,祝日シート!A:A))</f>
        <v>1</v>
      </c>
      <c r="I326" s="65">
        <v>2.0833333333333329E-2</v>
      </c>
      <c r="J326" s="63" t="s">
        <v>40</v>
      </c>
      <c r="K326" s="63" t="s">
        <v>77</v>
      </c>
      <c r="L326" s="63"/>
      <c r="M326" s="63" t="s">
        <v>372</v>
      </c>
      <c r="N326" s="63" t="s">
        <v>6</v>
      </c>
      <c r="O326" s="63" t="s">
        <v>7</v>
      </c>
      <c r="P326" s="66" t="s">
        <v>586</v>
      </c>
      <c r="Q326" s="66" t="s">
        <v>587</v>
      </c>
    </row>
    <row r="327" spans="2:17" ht="18.75" hidden="1" customHeight="1">
      <c r="B327" s="63" t="str">
        <f t="shared" si="8"/>
        <v>No324</v>
      </c>
      <c r="C327" s="63" t="str">
        <f t="shared" si="9"/>
        <v>202509</v>
      </c>
      <c r="D327" s="63" t="s">
        <v>142</v>
      </c>
      <c r="E327" s="63" t="s">
        <v>155</v>
      </c>
      <c r="F327" s="64">
        <v>45904.541666666657</v>
      </c>
      <c r="G327" s="64">
        <v>45903.552083333343</v>
      </c>
      <c r="H327" s="63">
        <f>IF(F327="", "", NETWORKDAYS.INTL(F327, G327, 11,祝日シート!A:A))</f>
        <v>-2</v>
      </c>
      <c r="I327" s="65">
        <v>1.041666666666667E-2</v>
      </c>
      <c r="J327" s="63" t="s">
        <v>119</v>
      </c>
      <c r="K327" s="63" t="s">
        <v>159</v>
      </c>
      <c r="L327" s="63"/>
      <c r="M327" s="63" t="s">
        <v>207</v>
      </c>
      <c r="N327" s="63" t="s">
        <v>122</v>
      </c>
      <c r="O327" s="63" t="s">
        <v>7</v>
      </c>
      <c r="P327" s="66" t="s">
        <v>482</v>
      </c>
      <c r="Q327" s="66" t="s">
        <v>158</v>
      </c>
    </row>
    <row r="328" spans="2:17" ht="18.75" customHeight="1">
      <c r="B328" s="63" t="str">
        <f t="shared" si="8"/>
        <v>No325</v>
      </c>
      <c r="C328" s="63" t="str">
        <f t="shared" si="9"/>
        <v>202509</v>
      </c>
      <c r="D328" s="63" t="s">
        <v>3</v>
      </c>
      <c r="E328" s="63" t="s">
        <v>4</v>
      </c>
      <c r="F328" s="64">
        <v>45904.583333333343</v>
      </c>
      <c r="G328" s="64">
        <v>45904.666666666657</v>
      </c>
      <c r="H328" s="63">
        <f>IF(F328="", "", NETWORKDAYS.INTL(F328, G328, 11,祝日シート!A:A))</f>
        <v>1</v>
      </c>
      <c r="I328" s="65">
        <v>8.3333333333333329E-2</v>
      </c>
      <c r="J328" s="63" t="s">
        <v>40</v>
      </c>
      <c r="K328" s="63" t="s">
        <v>120</v>
      </c>
      <c r="L328" s="63"/>
      <c r="M328" s="63" t="s">
        <v>190</v>
      </c>
      <c r="N328" s="63" t="s">
        <v>6</v>
      </c>
      <c r="O328" s="63" t="s">
        <v>7</v>
      </c>
      <c r="P328" s="66" t="s">
        <v>588</v>
      </c>
      <c r="Q328" s="66" t="s">
        <v>589</v>
      </c>
    </row>
    <row r="329" spans="2:17" ht="18.75" hidden="1" customHeight="1">
      <c r="B329" s="63" t="str">
        <f t="shared" si="8"/>
        <v>No326</v>
      </c>
      <c r="C329" s="63" t="str">
        <f t="shared" si="9"/>
        <v>202509</v>
      </c>
      <c r="D329" s="63" t="s">
        <v>142</v>
      </c>
      <c r="E329" s="63" t="s">
        <v>155</v>
      </c>
      <c r="F329" s="64">
        <v>45908.576388888891</v>
      </c>
      <c r="G329" s="64">
        <v>45908.583333333343</v>
      </c>
      <c r="H329" s="63">
        <f>IF(F329="", "", NETWORKDAYS.INTL(F329, G329, 11,祝日シート!A:A))</f>
        <v>1</v>
      </c>
      <c r="I329" s="65">
        <v>6.9444444444444441E-3</v>
      </c>
      <c r="J329" s="63" t="s">
        <v>119</v>
      </c>
      <c r="K329" s="63" t="s">
        <v>159</v>
      </c>
      <c r="L329" s="63"/>
      <c r="M329" s="63" t="s">
        <v>207</v>
      </c>
      <c r="N329" s="63" t="s">
        <v>122</v>
      </c>
      <c r="O329" s="63" t="s">
        <v>7</v>
      </c>
      <c r="P329" s="66" t="s">
        <v>482</v>
      </c>
      <c r="Q329" s="66" t="s">
        <v>158</v>
      </c>
    </row>
    <row r="330" spans="2:17" ht="83.25" hidden="1" customHeight="1">
      <c r="B330" s="63" t="str">
        <f t="shared" si="8"/>
        <v>No327</v>
      </c>
      <c r="C330" s="63" t="str">
        <f t="shared" si="9"/>
        <v>202509</v>
      </c>
      <c r="D330" s="63" t="s">
        <v>142</v>
      </c>
      <c r="E330" s="63" t="s">
        <v>155</v>
      </c>
      <c r="F330" s="64">
        <v>45909.704861111109</v>
      </c>
      <c r="G330" s="64">
        <v>45909.715277777781</v>
      </c>
      <c r="H330" s="63">
        <f>IF(F330="", "", NETWORKDAYS.INTL(F330, G330, 11,祝日シート!A:A))</f>
        <v>1</v>
      </c>
      <c r="I330" s="65">
        <v>1.041666666666667E-2</v>
      </c>
      <c r="J330" s="63" t="s">
        <v>119</v>
      </c>
      <c r="K330" s="63" t="s">
        <v>41</v>
      </c>
      <c r="L330" s="63"/>
      <c r="M330" s="63" t="s">
        <v>277</v>
      </c>
      <c r="N330" s="63" t="s">
        <v>122</v>
      </c>
      <c r="O330" s="63" t="s">
        <v>7</v>
      </c>
      <c r="P330" s="66" t="s">
        <v>385</v>
      </c>
      <c r="Q330" s="66" t="s">
        <v>158</v>
      </c>
    </row>
    <row r="331" spans="2:17" ht="18.75" hidden="1" customHeight="1">
      <c r="B331" s="63" t="str">
        <f t="shared" si="8"/>
        <v>No328</v>
      </c>
      <c r="C331" s="63" t="str">
        <f t="shared" si="9"/>
        <v>202509</v>
      </c>
      <c r="D331" s="63" t="s">
        <v>142</v>
      </c>
      <c r="E331" s="63" t="s">
        <v>155</v>
      </c>
      <c r="F331" s="64">
        <v>45910.569444444453</v>
      </c>
      <c r="G331" s="64">
        <v>45910.576388888891</v>
      </c>
      <c r="H331" s="63">
        <f>IF(F331="", "", NETWORKDAYS.INTL(F331, G331, 11,祝日シート!A:A))</f>
        <v>1</v>
      </c>
      <c r="I331" s="65">
        <v>6.9444444444444441E-3</v>
      </c>
      <c r="J331" s="63" t="s">
        <v>119</v>
      </c>
      <c r="K331" s="63" t="s">
        <v>159</v>
      </c>
      <c r="L331" s="63"/>
      <c r="M331" s="63" t="s">
        <v>288</v>
      </c>
      <c r="N331" s="63" t="s">
        <v>122</v>
      </c>
      <c r="O331" s="63" t="s">
        <v>7</v>
      </c>
      <c r="P331" s="66" t="s">
        <v>482</v>
      </c>
      <c r="Q331" s="66" t="s">
        <v>158</v>
      </c>
    </row>
    <row r="332" spans="2:17" ht="74.25" hidden="1" customHeight="1">
      <c r="B332" s="63" t="str">
        <f t="shared" si="8"/>
        <v>No329</v>
      </c>
      <c r="C332" s="63" t="str">
        <f t="shared" si="9"/>
        <v>202509</v>
      </c>
      <c r="D332" s="63" t="s">
        <v>142</v>
      </c>
      <c r="E332" s="63" t="s">
        <v>155</v>
      </c>
      <c r="F332" s="64">
        <v>45910.628472222219</v>
      </c>
      <c r="G332" s="64">
        <v>45910.635416666657</v>
      </c>
      <c r="H332" s="63">
        <f>IF(F332="", "", NETWORKDAYS.INTL(F332, G332, 11,祝日シート!A:A))</f>
        <v>1</v>
      </c>
      <c r="I332" s="65">
        <v>6.9444444444444441E-3</v>
      </c>
      <c r="J332" s="63" t="s">
        <v>119</v>
      </c>
      <c r="K332" s="63" t="s">
        <v>159</v>
      </c>
      <c r="L332" s="63"/>
      <c r="M332" s="63" t="s">
        <v>288</v>
      </c>
      <c r="N332" s="63" t="s">
        <v>122</v>
      </c>
      <c r="O332" s="63" t="s">
        <v>7</v>
      </c>
      <c r="P332" s="66" t="s">
        <v>482</v>
      </c>
      <c r="Q332" s="66" t="s">
        <v>158</v>
      </c>
    </row>
    <row r="333" spans="2:17" ht="51.75" hidden="1" customHeight="1">
      <c r="B333" s="63" t="str">
        <f t="shared" si="8"/>
        <v>No330</v>
      </c>
      <c r="C333" s="63" t="str">
        <f t="shared" si="9"/>
        <v>202509</v>
      </c>
      <c r="D333" s="63" t="s">
        <v>142</v>
      </c>
      <c r="E333" s="63" t="s">
        <v>155</v>
      </c>
      <c r="F333" s="64">
        <v>45911.40625</v>
      </c>
      <c r="G333" s="64">
        <v>45911.427083333343</v>
      </c>
      <c r="H333" s="63">
        <f>IF(F333="", "", NETWORKDAYS.INTL(F333, G333, 11,祝日シート!A:A))</f>
        <v>1</v>
      </c>
      <c r="I333" s="65">
        <v>2.0833333333333329E-2</v>
      </c>
      <c r="J333" s="63" t="s">
        <v>119</v>
      </c>
      <c r="K333" s="63" t="s">
        <v>77</v>
      </c>
      <c r="L333" s="63"/>
      <c r="M333" s="63" t="s">
        <v>144</v>
      </c>
      <c r="N333" s="63" t="s">
        <v>117</v>
      </c>
      <c r="O333" s="63" t="s">
        <v>7</v>
      </c>
      <c r="P333" s="66" t="s">
        <v>590</v>
      </c>
      <c r="Q333" s="66" t="s">
        <v>158</v>
      </c>
    </row>
    <row r="334" spans="2:17" ht="57" customHeight="1">
      <c r="B334" s="63" t="str">
        <f t="shared" si="8"/>
        <v>No331</v>
      </c>
      <c r="C334" s="63" t="str">
        <f t="shared" si="9"/>
        <v>202509</v>
      </c>
      <c r="D334" s="63" t="s">
        <v>142</v>
      </c>
      <c r="E334" s="63" t="s">
        <v>4</v>
      </c>
      <c r="F334" s="64">
        <v>45911.458333333343</v>
      </c>
      <c r="G334" s="64">
        <v>45911.5</v>
      </c>
      <c r="H334" s="63">
        <f>IF(F334="", "", NETWORKDAYS.INTL(F334, G334, 11,祝日シート!A:A))</f>
        <v>1</v>
      </c>
      <c r="I334" s="65">
        <v>4.1666666666666657E-2</v>
      </c>
      <c r="J334" s="63" t="s">
        <v>119</v>
      </c>
      <c r="K334" s="63" t="s">
        <v>35</v>
      </c>
      <c r="L334" s="63"/>
      <c r="M334" s="63" t="s">
        <v>289</v>
      </c>
      <c r="N334" s="63" t="s">
        <v>122</v>
      </c>
      <c r="O334" s="63" t="s">
        <v>7</v>
      </c>
      <c r="P334" s="66" t="s">
        <v>591</v>
      </c>
      <c r="Q334" s="66" t="s">
        <v>592</v>
      </c>
    </row>
    <row r="335" spans="2:17" ht="30.75" hidden="1" customHeight="1">
      <c r="B335" s="63" t="str">
        <f t="shared" si="8"/>
        <v>No332</v>
      </c>
      <c r="C335" s="63" t="str">
        <f t="shared" si="9"/>
        <v>202509</v>
      </c>
      <c r="D335" s="63" t="s">
        <v>142</v>
      </c>
      <c r="E335" s="63" t="s">
        <v>155</v>
      </c>
      <c r="F335" s="64">
        <v>45911.458333333343</v>
      </c>
      <c r="G335" s="64">
        <v>45911.493055555547</v>
      </c>
      <c r="H335" s="63">
        <f>IF(F335="", "", NETWORKDAYS.INTL(F335, G335, 11,祝日シート!A:A))</f>
        <v>1</v>
      </c>
      <c r="I335" s="65">
        <v>6.9444444444444441E-3</v>
      </c>
      <c r="J335" s="63" t="s">
        <v>119</v>
      </c>
      <c r="K335" s="63" t="s">
        <v>77</v>
      </c>
      <c r="L335" s="63"/>
      <c r="M335" s="63" t="s">
        <v>211</v>
      </c>
      <c r="N335" s="63" t="s">
        <v>122</v>
      </c>
      <c r="O335" s="63" t="s">
        <v>7</v>
      </c>
      <c r="P335" s="66" t="s">
        <v>593</v>
      </c>
      <c r="Q335" s="66" t="s">
        <v>158</v>
      </c>
    </row>
    <row r="336" spans="2:17" ht="30.75" hidden="1" customHeight="1">
      <c r="B336" s="63" t="str">
        <f t="shared" si="8"/>
        <v>No333</v>
      </c>
      <c r="C336" s="63" t="str">
        <f t="shared" si="9"/>
        <v>202509</v>
      </c>
      <c r="D336" s="63" t="s">
        <v>142</v>
      </c>
      <c r="E336" s="63" t="s">
        <v>155</v>
      </c>
      <c r="F336" s="64">
        <v>45911.71875</v>
      </c>
      <c r="G336" s="64">
        <v>45912.427083333343</v>
      </c>
      <c r="H336" s="63">
        <f>IF(F336="", "", NETWORKDAYS.INTL(F336, G336, 11,祝日シート!A:A))</f>
        <v>2</v>
      </c>
      <c r="I336" s="65">
        <v>8.3333333333333329E-2</v>
      </c>
      <c r="J336" s="63" t="s">
        <v>119</v>
      </c>
      <c r="K336" s="63" t="s">
        <v>159</v>
      </c>
      <c r="L336" s="63"/>
      <c r="M336" s="63" t="s">
        <v>187</v>
      </c>
      <c r="N336" s="63" t="s">
        <v>122</v>
      </c>
      <c r="O336" s="63" t="s">
        <v>7</v>
      </c>
      <c r="P336" s="66" t="s">
        <v>512</v>
      </c>
      <c r="Q336" s="66" t="s">
        <v>158</v>
      </c>
    </row>
    <row r="337" spans="2:17" ht="30.75" hidden="1" customHeight="1">
      <c r="B337" s="63" t="str">
        <f t="shared" si="8"/>
        <v>No334</v>
      </c>
      <c r="C337" s="63" t="str">
        <f t="shared" si="9"/>
        <v>202509</v>
      </c>
      <c r="D337" s="63" t="s">
        <v>142</v>
      </c>
      <c r="E337" s="63" t="s">
        <v>155</v>
      </c>
      <c r="F337" s="64">
        <v>45912.541666666657</v>
      </c>
      <c r="G337" s="64">
        <v>45912.59375</v>
      </c>
      <c r="H337" s="63">
        <f>IF(F337="", "", NETWORKDAYS.INTL(F337, G337, 11,祝日シート!A:A))</f>
        <v>1</v>
      </c>
      <c r="I337" s="65">
        <v>1.041666666666667E-2</v>
      </c>
      <c r="J337" s="63" t="s">
        <v>119</v>
      </c>
      <c r="K337" s="63" t="s">
        <v>77</v>
      </c>
      <c r="L337" s="63"/>
      <c r="M337" s="63" t="s">
        <v>321</v>
      </c>
      <c r="N337" s="63" t="s">
        <v>122</v>
      </c>
      <c r="O337" s="63" t="s">
        <v>7</v>
      </c>
      <c r="P337" s="66" t="s">
        <v>322</v>
      </c>
      <c r="Q337" s="66" t="s">
        <v>158</v>
      </c>
    </row>
    <row r="338" spans="2:17" ht="30.75" hidden="1" customHeight="1">
      <c r="B338" s="63" t="str">
        <f t="shared" si="8"/>
        <v>No335</v>
      </c>
      <c r="C338" s="63" t="str">
        <f t="shared" si="9"/>
        <v>202509</v>
      </c>
      <c r="D338" s="63" t="s">
        <v>142</v>
      </c>
      <c r="E338" s="63" t="s">
        <v>155</v>
      </c>
      <c r="F338" s="64">
        <v>45912.75</v>
      </c>
      <c r="G338" s="64">
        <v>45916.604166666657</v>
      </c>
      <c r="H338" s="63">
        <f>IF(F338="", "", NETWORKDAYS.INTL(F338, G338, 11,祝日シート!A:A))</f>
        <v>4</v>
      </c>
      <c r="I338" s="65">
        <v>4.1666666666666657E-2</v>
      </c>
      <c r="J338" s="63" t="s">
        <v>310</v>
      </c>
      <c r="K338" s="63" t="s">
        <v>26</v>
      </c>
      <c r="L338" s="63"/>
      <c r="M338" s="63" t="s">
        <v>594</v>
      </c>
      <c r="N338" s="63" t="s">
        <v>6</v>
      </c>
      <c r="O338" s="63" t="s">
        <v>7</v>
      </c>
      <c r="P338" s="66" t="s">
        <v>595</v>
      </c>
      <c r="Q338" s="66" t="s">
        <v>596</v>
      </c>
    </row>
    <row r="339" spans="2:17" ht="30.75" hidden="1" customHeight="1">
      <c r="B339" s="63" t="str">
        <f t="shared" si="8"/>
        <v>No336</v>
      </c>
      <c r="C339" s="63" t="str">
        <f t="shared" si="9"/>
        <v>202509</v>
      </c>
      <c r="D339" s="63" t="s">
        <v>142</v>
      </c>
      <c r="E339" s="63" t="s">
        <v>155</v>
      </c>
      <c r="F339" s="64">
        <v>45916.604166666657</v>
      </c>
      <c r="G339" s="64">
        <v>45916.708333333343</v>
      </c>
      <c r="H339" s="63">
        <f>IF(F339="", "", NETWORKDAYS.INTL(F339, G339, 11,祝日シート!A:A))</f>
        <v>1</v>
      </c>
      <c r="I339" s="65">
        <v>6.9444444444444441E-3</v>
      </c>
      <c r="J339" s="63" t="s">
        <v>119</v>
      </c>
      <c r="K339" s="63" t="s">
        <v>77</v>
      </c>
      <c r="L339" s="63"/>
      <c r="M339" s="63" t="s">
        <v>211</v>
      </c>
      <c r="N339" s="63" t="s">
        <v>122</v>
      </c>
      <c r="O339" s="63" t="s">
        <v>7</v>
      </c>
      <c r="P339" s="66" t="s">
        <v>593</v>
      </c>
      <c r="Q339" s="66" t="s">
        <v>158</v>
      </c>
    </row>
    <row r="340" spans="2:17" ht="30.75" customHeight="1">
      <c r="B340" s="63" t="str">
        <f t="shared" si="8"/>
        <v>No337</v>
      </c>
      <c r="C340" s="63" t="str">
        <f t="shared" si="9"/>
        <v>202509</v>
      </c>
      <c r="D340" s="63" t="s">
        <v>166</v>
      </c>
      <c r="E340" s="63" t="s">
        <v>4</v>
      </c>
      <c r="F340" s="64">
        <v>45917.395833333343</v>
      </c>
      <c r="G340" s="64">
        <v>45917.409722222219</v>
      </c>
      <c r="H340" s="63">
        <f>IF(F340="", "", NETWORKDAYS.INTL(F340, G340, 11,祝日シート!A:A))</f>
        <v>1</v>
      </c>
      <c r="I340" s="65">
        <v>1.388888888888889E-2</v>
      </c>
      <c r="J340" s="63" t="s">
        <v>40</v>
      </c>
      <c r="K340" s="63" t="s">
        <v>26</v>
      </c>
      <c r="L340" s="63"/>
      <c r="M340" s="63" t="s">
        <v>121</v>
      </c>
      <c r="N340" s="63" t="s">
        <v>6</v>
      </c>
      <c r="O340" s="63" t="s">
        <v>7</v>
      </c>
      <c r="P340" s="66" t="s">
        <v>597</v>
      </c>
      <c r="Q340" s="66" t="s">
        <v>598</v>
      </c>
    </row>
    <row r="341" spans="2:17" ht="30.75" hidden="1" customHeight="1">
      <c r="B341" s="63" t="str">
        <f t="shared" si="8"/>
        <v>No338</v>
      </c>
      <c r="C341" s="63" t="str">
        <f t="shared" si="9"/>
        <v>202509</v>
      </c>
      <c r="D341" s="63" t="s">
        <v>142</v>
      </c>
      <c r="E341" s="63" t="s">
        <v>155</v>
      </c>
      <c r="F341" s="64">
        <v>45917.395833333343</v>
      </c>
      <c r="G341" s="64">
        <v>45917.4375</v>
      </c>
      <c r="H341" s="63">
        <f>IF(F341="", "", NETWORKDAYS.INTL(F341, G341, 11,祝日シート!A:A))</f>
        <v>1</v>
      </c>
      <c r="I341" s="65">
        <v>1.041666666666667E-2</v>
      </c>
      <c r="J341" s="63" t="s">
        <v>119</v>
      </c>
      <c r="K341" s="63" t="s">
        <v>41</v>
      </c>
      <c r="L341" s="63"/>
      <c r="M341" s="63" t="s">
        <v>277</v>
      </c>
      <c r="N341" s="63" t="s">
        <v>122</v>
      </c>
      <c r="O341" s="63" t="s">
        <v>7</v>
      </c>
      <c r="P341" s="66" t="s">
        <v>385</v>
      </c>
      <c r="Q341" s="66" t="s">
        <v>158</v>
      </c>
    </row>
    <row r="342" spans="2:17" ht="30.75" hidden="1" customHeight="1">
      <c r="B342" s="63" t="str">
        <f t="shared" si="8"/>
        <v>No339</v>
      </c>
      <c r="C342" s="63" t="str">
        <f t="shared" si="9"/>
        <v>202509</v>
      </c>
      <c r="D342" s="63" t="s">
        <v>142</v>
      </c>
      <c r="E342" s="63" t="s">
        <v>155</v>
      </c>
      <c r="F342" s="64">
        <v>45917.395833333343</v>
      </c>
      <c r="G342" s="64">
        <v>45917.4375</v>
      </c>
      <c r="H342" s="63">
        <f>IF(F342="", "", NETWORKDAYS.INTL(F342, G342, 11,祝日シート!A:A))</f>
        <v>1</v>
      </c>
      <c r="I342" s="65">
        <v>1.041666666666667E-2</v>
      </c>
      <c r="J342" s="63" t="s">
        <v>119</v>
      </c>
      <c r="K342" s="63" t="s">
        <v>77</v>
      </c>
      <c r="L342" s="63"/>
      <c r="M342" s="63" t="s">
        <v>211</v>
      </c>
      <c r="N342" s="63" t="s">
        <v>122</v>
      </c>
      <c r="O342" s="63" t="s">
        <v>7</v>
      </c>
      <c r="P342" s="66" t="s">
        <v>593</v>
      </c>
      <c r="Q342" s="66" t="s">
        <v>158</v>
      </c>
    </row>
    <row r="343" spans="2:17" ht="30.75" hidden="1" customHeight="1">
      <c r="B343" s="63" t="str">
        <f t="shared" ref="B343:B406" si="10">"No"&amp;ROW()-3</f>
        <v>No340</v>
      </c>
      <c r="C343" s="63" t="str">
        <f t="shared" ref="C343:C406" si="11">IFERROR(IF(G343&lt;&gt;"",TEXT(G343,"yyyymm"),""),"")</f>
        <v>202509</v>
      </c>
      <c r="D343" s="63" t="s">
        <v>142</v>
      </c>
      <c r="E343" s="63" t="s">
        <v>155</v>
      </c>
      <c r="F343" s="64">
        <v>45918.489583333343</v>
      </c>
      <c r="G343" s="64">
        <v>45918.5</v>
      </c>
      <c r="H343" s="63">
        <f>IF(F343="", "", NETWORKDAYS.INTL(F343, G343, 11,祝日シート!A:A))</f>
        <v>1</v>
      </c>
      <c r="I343" s="65">
        <v>1.041666666666667E-2</v>
      </c>
      <c r="J343" s="63" t="s">
        <v>119</v>
      </c>
      <c r="K343" s="63" t="s">
        <v>159</v>
      </c>
      <c r="L343" s="63"/>
      <c r="M343" s="63" t="s">
        <v>187</v>
      </c>
      <c r="N343" s="63" t="s">
        <v>122</v>
      </c>
      <c r="O343" s="63" t="s">
        <v>7</v>
      </c>
      <c r="P343" s="66" t="s">
        <v>482</v>
      </c>
      <c r="Q343" s="66" t="s">
        <v>158</v>
      </c>
    </row>
    <row r="344" spans="2:17" ht="30.75" customHeight="1">
      <c r="B344" s="63" t="str">
        <f t="shared" si="10"/>
        <v>No341</v>
      </c>
      <c r="C344" s="63" t="str">
        <f t="shared" si="11"/>
        <v>202509</v>
      </c>
      <c r="D344" s="63" t="s">
        <v>104</v>
      </c>
      <c r="E344" s="63" t="s">
        <v>4</v>
      </c>
      <c r="F344" s="64">
        <v>45919.375</v>
      </c>
      <c r="G344" s="64">
        <v>45919.458333333343</v>
      </c>
      <c r="H344" s="63">
        <f>IF(F344="", "", NETWORKDAYS.INTL(F344, G344, 11,祝日シート!A:A))</f>
        <v>1</v>
      </c>
      <c r="I344" s="65">
        <v>8.3333333333333329E-2</v>
      </c>
      <c r="J344" s="63" t="s">
        <v>20</v>
      </c>
      <c r="K344" s="63" t="s">
        <v>120</v>
      </c>
      <c r="L344" s="63"/>
      <c r="M344" s="63" t="s">
        <v>190</v>
      </c>
      <c r="N344" s="63" t="s">
        <v>122</v>
      </c>
      <c r="O344" s="63" t="s">
        <v>7</v>
      </c>
      <c r="P344" s="66" t="s">
        <v>599</v>
      </c>
      <c r="Q344" s="66" t="s">
        <v>600</v>
      </c>
    </row>
    <row r="345" spans="2:17" ht="30.75" customHeight="1">
      <c r="B345" s="63" t="str">
        <f t="shared" si="10"/>
        <v>No342</v>
      </c>
      <c r="C345" s="63" t="str">
        <f t="shared" si="11"/>
        <v>202509</v>
      </c>
      <c r="D345" s="63" t="s">
        <v>104</v>
      </c>
      <c r="E345" s="63" t="s">
        <v>4</v>
      </c>
      <c r="F345" s="64">
        <v>45919.375</v>
      </c>
      <c r="G345" s="64">
        <v>45919.5</v>
      </c>
      <c r="H345" s="63">
        <f>IF(F345="", "", NETWORKDAYS.INTL(F345, G345, 11,祝日シート!A:A))</f>
        <v>1</v>
      </c>
      <c r="I345" s="65">
        <v>0.125</v>
      </c>
      <c r="J345" s="63" t="s">
        <v>20</v>
      </c>
      <c r="K345" s="63" t="s">
        <v>35</v>
      </c>
      <c r="L345" s="63"/>
      <c r="M345" s="63" t="s">
        <v>102</v>
      </c>
      <c r="N345" s="63" t="s">
        <v>6</v>
      </c>
      <c r="O345" s="63" t="s">
        <v>7</v>
      </c>
      <c r="P345" s="66" t="s">
        <v>601</v>
      </c>
      <c r="Q345" s="66" t="s">
        <v>602</v>
      </c>
    </row>
    <row r="346" spans="2:17" ht="30.75" hidden="1" customHeight="1">
      <c r="B346" s="63" t="str">
        <f t="shared" si="10"/>
        <v>No343</v>
      </c>
      <c r="C346" s="63" t="str">
        <f t="shared" si="11"/>
        <v>202509</v>
      </c>
      <c r="D346" s="63" t="s">
        <v>142</v>
      </c>
      <c r="E346" s="63" t="s">
        <v>155</v>
      </c>
      <c r="F346" s="64">
        <v>45919.440972222219</v>
      </c>
      <c r="G346" s="64">
        <v>45919.447916666657</v>
      </c>
      <c r="H346" s="63">
        <f>IF(F346="", "", NETWORKDAYS.INTL(F346, G346, 11,祝日シート!A:A))</f>
        <v>1</v>
      </c>
      <c r="I346" s="65">
        <v>6.9444444444444441E-3</v>
      </c>
      <c r="J346" s="63" t="s">
        <v>119</v>
      </c>
      <c r="K346" s="63" t="s">
        <v>111</v>
      </c>
      <c r="L346" s="63"/>
      <c r="M346" s="63" t="s">
        <v>229</v>
      </c>
      <c r="N346" s="63" t="s">
        <v>122</v>
      </c>
      <c r="O346" s="63" t="s">
        <v>7</v>
      </c>
      <c r="P346" s="66" t="s">
        <v>482</v>
      </c>
      <c r="Q346" s="66" t="s">
        <v>158</v>
      </c>
    </row>
    <row r="347" spans="2:17" ht="30.75" customHeight="1">
      <c r="B347" s="63" t="str">
        <f t="shared" si="10"/>
        <v>No344</v>
      </c>
      <c r="C347" s="63" t="str">
        <f t="shared" si="11"/>
        <v>202509</v>
      </c>
      <c r="D347" s="63" t="s">
        <v>104</v>
      </c>
      <c r="E347" s="63" t="s">
        <v>4</v>
      </c>
      <c r="F347" s="64">
        <v>45919.541666666657</v>
      </c>
      <c r="G347" s="64">
        <v>45919.5625</v>
      </c>
      <c r="H347" s="63">
        <f>IF(F347="", "", NETWORKDAYS.INTL(F347, G347, 11,祝日シート!A:A))</f>
        <v>1</v>
      </c>
      <c r="I347" s="65">
        <v>2.0833333333333329E-2</v>
      </c>
      <c r="J347" s="63" t="s">
        <v>20</v>
      </c>
      <c r="K347" s="63" t="s">
        <v>120</v>
      </c>
      <c r="L347" s="63"/>
      <c r="M347" s="63" t="s">
        <v>190</v>
      </c>
      <c r="N347" s="63" t="s">
        <v>6</v>
      </c>
      <c r="O347" s="63" t="s">
        <v>7</v>
      </c>
      <c r="P347" s="66" t="s">
        <v>603</v>
      </c>
      <c r="Q347" s="66" t="s">
        <v>604</v>
      </c>
    </row>
    <row r="348" spans="2:17" ht="30.75" customHeight="1">
      <c r="B348" s="63" t="str">
        <f t="shared" si="10"/>
        <v>No345</v>
      </c>
      <c r="C348" s="63" t="str">
        <f t="shared" si="11"/>
        <v>202509</v>
      </c>
      <c r="D348" s="63" t="s">
        <v>104</v>
      </c>
      <c r="E348" s="63" t="s">
        <v>4</v>
      </c>
      <c r="F348" s="64">
        <v>45919.583333333343</v>
      </c>
      <c r="G348" s="64">
        <v>45919.625</v>
      </c>
      <c r="H348" s="63">
        <f>IF(F348="", "", NETWORKDAYS.INTL(F348, G348, 11,祝日シート!A:A))</f>
        <v>1</v>
      </c>
      <c r="I348" s="65">
        <v>4.1666666666666657E-2</v>
      </c>
      <c r="J348" s="63" t="s">
        <v>45</v>
      </c>
      <c r="K348" s="63" t="s">
        <v>41</v>
      </c>
      <c r="L348" s="63"/>
      <c r="M348" s="63" t="s">
        <v>277</v>
      </c>
      <c r="N348" s="63" t="s">
        <v>6</v>
      </c>
      <c r="O348" s="63" t="s">
        <v>7</v>
      </c>
      <c r="P348" s="66" t="s">
        <v>605</v>
      </c>
      <c r="Q348" s="66" t="s">
        <v>606</v>
      </c>
    </row>
    <row r="349" spans="2:17" ht="30.75" customHeight="1">
      <c r="B349" s="63" t="str">
        <f t="shared" si="10"/>
        <v>No346</v>
      </c>
      <c r="C349" s="63" t="str">
        <f t="shared" si="11"/>
        <v>202509</v>
      </c>
      <c r="D349" s="63" t="s">
        <v>142</v>
      </c>
      <c r="E349" s="63" t="s">
        <v>4</v>
      </c>
      <c r="F349" s="64">
        <v>45919.625</v>
      </c>
      <c r="G349" s="64">
        <v>45919.75</v>
      </c>
      <c r="H349" s="63">
        <f>IF(F349="", "", NETWORKDAYS.INTL(F349, G349, 11,祝日シート!A:A))</f>
        <v>1</v>
      </c>
      <c r="I349" s="65">
        <v>0.125</v>
      </c>
      <c r="J349" s="63" t="s">
        <v>119</v>
      </c>
      <c r="K349" s="63" t="s">
        <v>35</v>
      </c>
      <c r="L349" s="63"/>
      <c r="M349" s="63" t="s">
        <v>289</v>
      </c>
      <c r="N349" s="63" t="s">
        <v>122</v>
      </c>
      <c r="O349" s="63" t="s">
        <v>7</v>
      </c>
      <c r="P349" s="66" t="s">
        <v>591</v>
      </c>
      <c r="Q349" s="66" t="s">
        <v>607</v>
      </c>
    </row>
    <row r="350" spans="2:17" ht="30.75" customHeight="1">
      <c r="B350" s="63" t="str">
        <f t="shared" si="10"/>
        <v>No347</v>
      </c>
      <c r="C350" s="63" t="str">
        <f t="shared" si="11"/>
        <v>202509</v>
      </c>
      <c r="D350" s="63" t="s">
        <v>166</v>
      </c>
      <c r="E350" s="63" t="s">
        <v>4</v>
      </c>
      <c r="F350" s="64">
        <v>45919.697916666657</v>
      </c>
      <c r="G350" s="64">
        <v>45919.708333333343</v>
      </c>
      <c r="H350" s="63">
        <f>IF(F350="", "", NETWORKDAYS.INTL(F350, G350, 11,祝日シート!A:A))</f>
        <v>1</v>
      </c>
      <c r="I350" s="65">
        <v>1.041666666666667E-2</v>
      </c>
      <c r="J350" s="63" t="s">
        <v>20</v>
      </c>
      <c r="K350" s="63" t="s">
        <v>111</v>
      </c>
      <c r="L350" s="63"/>
      <c r="M350" s="63" t="s">
        <v>201</v>
      </c>
      <c r="N350" s="63" t="s">
        <v>6</v>
      </c>
      <c r="O350" s="63" t="s">
        <v>7</v>
      </c>
      <c r="P350" s="66" t="s">
        <v>608</v>
      </c>
      <c r="Q350" s="66" t="s">
        <v>609</v>
      </c>
    </row>
    <row r="351" spans="2:17" ht="30.75" customHeight="1">
      <c r="B351" s="63" t="str">
        <f t="shared" si="10"/>
        <v>No348</v>
      </c>
      <c r="C351" s="63" t="str">
        <f t="shared" si="11"/>
        <v>202509</v>
      </c>
      <c r="D351" s="63" t="s">
        <v>166</v>
      </c>
      <c r="E351" s="63" t="s">
        <v>4</v>
      </c>
      <c r="F351" s="64">
        <v>45919.708333333343</v>
      </c>
      <c r="G351" s="64">
        <v>45919.71875</v>
      </c>
      <c r="H351" s="63">
        <f>IF(F351="", "", NETWORKDAYS.INTL(F351, G351, 11,祝日シート!A:A))</f>
        <v>1</v>
      </c>
      <c r="I351" s="65">
        <v>1.041666666666667E-2</v>
      </c>
      <c r="J351" s="63" t="s">
        <v>20</v>
      </c>
      <c r="K351" s="63" t="s">
        <v>77</v>
      </c>
      <c r="L351" s="63"/>
      <c r="M351" s="63" t="s">
        <v>183</v>
      </c>
      <c r="N351" s="63" t="s">
        <v>6</v>
      </c>
      <c r="O351" s="63" t="s">
        <v>7</v>
      </c>
      <c r="P351" s="66" t="s">
        <v>610</v>
      </c>
      <c r="Q351" s="66" t="s">
        <v>609</v>
      </c>
    </row>
    <row r="352" spans="2:17" ht="30.75" customHeight="1">
      <c r="B352" s="63" t="str">
        <f t="shared" si="10"/>
        <v>No349</v>
      </c>
      <c r="C352" s="63" t="str">
        <f t="shared" si="11"/>
        <v>202509</v>
      </c>
      <c r="D352" s="63" t="s">
        <v>104</v>
      </c>
      <c r="E352" s="63" t="s">
        <v>4</v>
      </c>
      <c r="F352" s="64">
        <v>45919.743055555547</v>
      </c>
      <c r="G352" s="64">
        <v>45919.753472222219</v>
      </c>
      <c r="H352" s="63">
        <f>IF(F352="", "", NETWORKDAYS.INTL(F352, G352, 11,祝日シート!A:A))</f>
        <v>1</v>
      </c>
      <c r="I352" s="65">
        <v>1.041666666666667E-2</v>
      </c>
      <c r="J352" s="63" t="s">
        <v>45</v>
      </c>
      <c r="K352" s="63" t="s">
        <v>26</v>
      </c>
      <c r="L352" s="63"/>
      <c r="M352" s="63" t="s">
        <v>611</v>
      </c>
      <c r="N352" s="63" t="s">
        <v>6</v>
      </c>
      <c r="O352" s="63" t="s">
        <v>7</v>
      </c>
      <c r="P352" s="66" t="s">
        <v>612</v>
      </c>
      <c r="Q352" s="66" t="s">
        <v>613</v>
      </c>
    </row>
    <row r="353" spans="2:17" ht="30.75" customHeight="1">
      <c r="B353" s="63" t="str">
        <f t="shared" si="10"/>
        <v>No350</v>
      </c>
      <c r="C353" s="63" t="str">
        <f t="shared" si="11"/>
        <v>202509</v>
      </c>
      <c r="D353" s="63" t="s">
        <v>142</v>
      </c>
      <c r="E353" s="63" t="s">
        <v>4</v>
      </c>
      <c r="F353" s="64">
        <v>45922.458333333343</v>
      </c>
      <c r="G353" s="64">
        <v>45925.5</v>
      </c>
      <c r="H353" s="63">
        <f>IF(F353="", "", NETWORKDAYS.INTL(F353, G353, 11,祝日シート!A:A))</f>
        <v>4</v>
      </c>
      <c r="I353" s="65">
        <v>4.1666666666666657E-2</v>
      </c>
      <c r="J353" s="63" t="s">
        <v>45</v>
      </c>
      <c r="K353" s="63" t="s">
        <v>111</v>
      </c>
      <c r="L353" s="63"/>
      <c r="M353" s="63" t="s">
        <v>229</v>
      </c>
      <c r="N353" s="63" t="s">
        <v>6</v>
      </c>
      <c r="O353" s="63" t="s">
        <v>614</v>
      </c>
      <c r="P353" s="66" t="s">
        <v>615</v>
      </c>
      <c r="Q353" s="66" t="s">
        <v>616</v>
      </c>
    </row>
    <row r="354" spans="2:17" ht="30.75" hidden="1" customHeight="1">
      <c r="B354" s="63" t="str">
        <f t="shared" si="10"/>
        <v>No351</v>
      </c>
      <c r="C354" s="63" t="str">
        <f t="shared" si="11"/>
        <v>202509</v>
      </c>
      <c r="D354" s="63" t="s">
        <v>142</v>
      </c>
      <c r="E354" s="63" t="s">
        <v>155</v>
      </c>
      <c r="F354" s="64">
        <v>45922.465277777781</v>
      </c>
      <c r="G354" s="64">
        <v>45922.479166666657</v>
      </c>
      <c r="H354" s="63">
        <f>IF(F354="", "", NETWORKDAYS.INTL(F354, G354, 11,祝日シート!A:A))</f>
        <v>1</v>
      </c>
      <c r="I354" s="65">
        <v>1.388888888888889E-2</v>
      </c>
      <c r="J354" s="63" t="s">
        <v>119</v>
      </c>
      <c r="K354" s="63" t="s">
        <v>176</v>
      </c>
      <c r="L354" s="63"/>
      <c r="M354" s="63" t="s">
        <v>156</v>
      </c>
      <c r="N354" s="63" t="s">
        <v>122</v>
      </c>
      <c r="O354" s="63" t="s">
        <v>7</v>
      </c>
      <c r="P354" s="66" t="s">
        <v>617</v>
      </c>
      <c r="Q354" s="66" t="s">
        <v>158</v>
      </c>
    </row>
    <row r="355" spans="2:17" ht="30.75" hidden="1" customHeight="1">
      <c r="B355" s="63" t="str">
        <f t="shared" si="10"/>
        <v>No352</v>
      </c>
      <c r="C355" s="63" t="str">
        <f t="shared" si="11"/>
        <v>202509</v>
      </c>
      <c r="D355" s="63" t="s">
        <v>142</v>
      </c>
      <c r="E355" s="63" t="s">
        <v>155</v>
      </c>
      <c r="F355" s="64">
        <v>45924.541666666657</v>
      </c>
      <c r="G355" s="64">
        <v>45924.548611111109</v>
      </c>
      <c r="H355" s="63">
        <f>IF(F355="", "", NETWORKDAYS.INTL(F355, G355, 11,祝日シート!A:A))</f>
        <v>1</v>
      </c>
      <c r="I355" s="65">
        <v>6.9444444444444441E-3</v>
      </c>
      <c r="J355" s="63" t="s">
        <v>119</v>
      </c>
      <c r="K355" s="63" t="s">
        <v>111</v>
      </c>
      <c r="L355" s="63"/>
      <c r="M355" s="63" t="s">
        <v>215</v>
      </c>
      <c r="N355" s="63" t="s">
        <v>122</v>
      </c>
      <c r="O355" s="63" t="s">
        <v>7</v>
      </c>
      <c r="P355" s="66" t="s">
        <v>482</v>
      </c>
      <c r="Q355" s="66" t="s">
        <v>158</v>
      </c>
    </row>
    <row r="356" spans="2:17" ht="30.75" hidden="1" customHeight="1">
      <c r="B356" s="63" t="str">
        <f t="shared" si="10"/>
        <v>No353</v>
      </c>
      <c r="C356" s="63" t="str">
        <f t="shared" si="11"/>
        <v>202509</v>
      </c>
      <c r="D356" s="63" t="s">
        <v>142</v>
      </c>
      <c r="E356" s="63" t="s">
        <v>155</v>
      </c>
      <c r="F356" s="64">
        <v>45924.708333333343</v>
      </c>
      <c r="G356" s="64">
        <v>45924.729166666657</v>
      </c>
      <c r="H356" s="63">
        <f>IF(F356="", "", NETWORKDAYS.INTL(F356, G356, 11,祝日シート!A:A))</f>
        <v>1</v>
      </c>
      <c r="I356" s="65">
        <v>2.0833333333333329E-2</v>
      </c>
      <c r="J356" s="63" t="s">
        <v>45</v>
      </c>
      <c r="K356" s="63" t="s">
        <v>26</v>
      </c>
      <c r="L356" s="63"/>
      <c r="M356" s="63" t="s">
        <v>611</v>
      </c>
      <c r="N356" s="63" t="s">
        <v>122</v>
      </c>
      <c r="O356" s="63" t="s">
        <v>7</v>
      </c>
      <c r="P356" s="66" t="s">
        <v>618</v>
      </c>
      <c r="Q356" s="66" t="s">
        <v>619</v>
      </c>
    </row>
    <row r="357" spans="2:17" ht="30.75" hidden="1" customHeight="1">
      <c r="B357" s="63" t="str">
        <f t="shared" si="10"/>
        <v>No354</v>
      </c>
      <c r="C357" s="63" t="str">
        <f t="shared" si="11"/>
        <v>202509</v>
      </c>
      <c r="D357" s="63" t="s">
        <v>142</v>
      </c>
      <c r="E357" s="63" t="s">
        <v>155</v>
      </c>
      <c r="F357" s="64">
        <v>45925.40625</v>
      </c>
      <c r="G357" s="64">
        <v>45925.447916666657</v>
      </c>
      <c r="H357" s="63">
        <f>IF(F357="", "", NETWORKDAYS.INTL(F357, G357, 11,祝日シート!A:A))</f>
        <v>1</v>
      </c>
      <c r="I357" s="65">
        <v>2.0833333333333329E-2</v>
      </c>
      <c r="J357" s="63" t="s">
        <v>119</v>
      </c>
      <c r="K357" s="63" t="s">
        <v>159</v>
      </c>
      <c r="L357" s="63"/>
      <c r="M357" s="63" t="s">
        <v>187</v>
      </c>
      <c r="N357" s="63" t="s">
        <v>122</v>
      </c>
      <c r="O357" s="63" t="s">
        <v>7</v>
      </c>
      <c r="P357" s="66" t="s">
        <v>482</v>
      </c>
      <c r="Q357" s="66" t="s">
        <v>620</v>
      </c>
    </row>
    <row r="358" spans="2:17" ht="30.75" hidden="1" customHeight="1">
      <c r="B358" s="63" t="str">
        <f t="shared" si="10"/>
        <v>No355</v>
      </c>
      <c r="C358" s="63" t="str">
        <f t="shared" si="11"/>
        <v>202509</v>
      </c>
      <c r="D358" s="63" t="s">
        <v>142</v>
      </c>
      <c r="E358" s="63" t="s">
        <v>155</v>
      </c>
      <c r="F358" s="64">
        <v>45925.4375</v>
      </c>
      <c r="G358" s="64">
        <v>45925.447916666657</v>
      </c>
      <c r="H358" s="63">
        <f>IF(F358="", "", NETWORKDAYS.INTL(F358, G358, 11,祝日シート!A:A))</f>
        <v>1</v>
      </c>
      <c r="I358" s="65">
        <v>1.041666666666667E-2</v>
      </c>
      <c r="J358" s="63" t="s">
        <v>119</v>
      </c>
      <c r="K358" s="63" t="s">
        <v>41</v>
      </c>
      <c r="L358" s="63"/>
      <c r="M358" s="63" t="s">
        <v>277</v>
      </c>
      <c r="N358" s="63" t="s">
        <v>122</v>
      </c>
      <c r="O358" s="63" t="s">
        <v>7</v>
      </c>
      <c r="P358" s="66" t="s">
        <v>385</v>
      </c>
      <c r="Q358" s="66" t="s">
        <v>158</v>
      </c>
    </row>
    <row r="359" spans="2:17" ht="30.75" hidden="1" customHeight="1">
      <c r="B359" s="63" t="str">
        <f t="shared" si="10"/>
        <v>No356</v>
      </c>
      <c r="C359" s="63" t="str">
        <f t="shared" si="11"/>
        <v>202509</v>
      </c>
      <c r="D359" s="63" t="s">
        <v>142</v>
      </c>
      <c r="E359" s="63" t="s">
        <v>155</v>
      </c>
      <c r="F359" s="64">
        <v>45925.458333333343</v>
      </c>
      <c r="G359" s="64">
        <v>45925.46875</v>
      </c>
      <c r="H359" s="63">
        <f>IF(F359="", "", NETWORKDAYS.INTL(F359, G359, 11,祝日シート!A:A))</f>
        <v>1</v>
      </c>
      <c r="I359" s="65">
        <v>1.041666666666667E-2</v>
      </c>
      <c r="J359" s="63" t="s">
        <v>119</v>
      </c>
      <c r="K359" s="63" t="s">
        <v>77</v>
      </c>
      <c r="L359" s="63"/>
      <c r="M359" s="63" t="s">
        <v>211</v>
      </c>
      <c r="N359" s="63" t="s">
        <v>122</v>
      </c>
      <c r="O359" s="63" t="s">
        <v>7</v>
      </c>
      <c r="P359" s="66" t="s">
        <v>593</v>
      </c>
      <c r="Q359" s="66" t="s">
        <v>158</v>
      </c>
    </row>
    <row r="360" spans="2:17" ht="30.75" customHeight="1">
      <c r="B360" s="63" t="str">
        <f t="shared" si="10"/>
        <v>No357</v>
      </c>
      <c r="C360" s="63" t="str">
        <f t="shared" si="11"/>
        <v>202509</v>
      </c>
      <c r="D360" s="63" t="s">
        <v>142</v>
      </c>
      <c r="E360" s="63" t="s">
        <v>4</v>
      </c>
      <c r="F360" s="64">
        <v>45925.625</v>
      </c>
      <c r="G360" s="64">
        <v>45925.708333333343</v>
      </c>
      <c r="H360" s="63">
        <f>IF(F360="", "", NETWORKDAYS.INTL(F360, G360, 11,祝日シート!A:A))</f>
        <v>1</v>
      </c>
      <c r="I360" s="65">
        <v>8.3333333333333329E-2</v>
      </c>
      <c r="J360" s="63" t="s">
        <v>20</v>
      </c>
      <c r="K360" s="63" t="s">
        <v>159</v>
      </c>
      <c r="L360" s="63"/>
      <c r="M360" s="63" t="s">
        <v>187</v>
      </c>
      <c r="N360" s="63" t="s">
        <v>6</v>
      </c>
      <c r="O360" s="63" t="s">
        <v>614</v>
      </c>
      <c r="P360" s="66" t="s">
        <v>621</v>
      </c>
      <c r="Q360" s="66" t="s">
        <v>622</v>
      </c>
    </row>
    <row r="361" spans="2:17" ht="30.75" hidden="1" customHeight="1">
      <c r="B361" s="63" t="str">
        <f t="shared" si="10"/>
        <v>No358</v>
      </c>
      <c r="C361" s="63" t="str">
        <f t="shared" si="11"/>
        <v>202509</v>
      </c>
      <c r="D361" s="63" t="s">
        <v>142</v>
      </c>
      <c r="E361" s="63" t="s">
        <v>155</v>
      </c>
      <c r="F361" s="64">
        <v>45925.625</v>
      </c>
      <c r="G361" s="64">
        <v>45925.708333333343</v>
      </c>
      <c r="H361" s="63">
        <f>IF(F361="", "", NETWORKDAYS.INTL(F361, G361, 11,祝日シート!A:A))</f>
        <v>1</v>
      </c>
      <c r="I361" s="65">
        <v>1.041666666666667E-2</v>
      </c>
      <c r="J361" s="63" t="s">
        <v>119</v>
      </c>
      <c r="K361" s="63" t="s">
        <v>77</v>
      </c>
      <c r="L361" s="63"/>
      <c r="M361" s="63" t="s">
        <v>211</v>
      </c>
      <c r="N361" s="63" t="s">
        <v>122</v>
      </c>
      <c r="O361" s="63" t="s">
        <v>7</v>
      </c>
      <c r="P361" s="66" t="s">
        <v>593</v>
      </c>
      <c r="Q361" s="66" t="s">
        <v>158</v>
      </c>
    </row>
    <row r="362" spans="2:17" ht="30.75" hidden="1" customHeight="1">
      <c r="B362" s="63" t="str">
        <f t="shared" si="10"/>
        <v>No359</v>
      </c>
      <c r="C362" s="63" t="str">
        <f t="shared" si="11"/>
        <v>202509</v>
      </c>
      <c r="D362" s="63" t="s">
        <v>142</v>
      </c>
      <c r="E362" s="63" t="s">
        <v>155</v>
      </c>
      <c r="F362" s="64">
        <v>45925.666666666657</v>
      </c>
      <c r="G362" s="64">
        <v>45925.708333333343</v>
      </c>
      <c r="H362" s="63">
        <f>IF(F362="", "", NETWORKDAYS.INTL(F362, G362, 11,祝日シート!A:A))</f>
        <v>1</v>
      </c>
      <c r="I362" s="65">
        <v>1.041666666666667E-2</v>
      </c>
      <c r="J362" s="63" t="s">
        <v>119</v>
      </c>
      <c r="K362" s="63" t="s">
        <v>77</v>
      </c>
      <c r="L362" s="63"/>
      <c r="M362" s="63" t="s">
        <v>238</v>
      </c>
      <c r="N362" s="63" t="s">
        <v>122</v>
      </c>
      <c r="O362" s="63" t="s">
        <v>7</v>
      </c>
      <c r="P362" s="66" t="s">
        <v>593</v>
      </c>
      <c r="Q362" s="66" t="s">
        <v>158</v>
      </c>
    </row>
    <row r="363" spans="2:17" ht="30.75" hidden="1" customHeight="1">
      <c r="B363" s="63" t="str">
        <f t="shared" si="10"/>
        <v>No360</v>
      </c>
      <c r="C363" s="63" t="str">
        <f t="shared" si="11"/>
        <v>202509</v>
      </c>
      <c r="D363" s="63" t="s">
        <v>142</v>
      </c>
      <c r="E363" s="63" t="s">
        <v>155</v>
      </c>
      <c r="F363" s="64">
        <v>45929.59375</v>
      </c>
      <c r="G363" s="64">
        <v>45929.625</v>
      </c>
      <c r="H363" s="63">
        <f>IF(F363="", "", NETWORKDAYS.INTL(F363, G363, 11,祝日シート!A:A))</f>
        <v>1</v>
      </c>
      <c r="I363" s="65">
        <v>6.9444444444444441E-3</v>
      </c>
      <c r="J363" s="63" t="s">
        <v>119</v>
      </c>
      <c r="K363" s="63" t="s">
        <v>159</v>
      </c>
      <c r="L363" s="63"/>
      <c r="M363" s="63" t="s">
        <v>288</v>
      </c>
      <c r="N363" s="63" t="s">
        <v>122</v>
      </c>
      <c r="O363" s="63" t="s">
        <v>7</v>
      </c>
      <c r="P363" s="66" t="s">
        <v>482</v>
      </c>
      <c r="Q363" s="66" t="s">
        <v>158</v>
      </c>
    </row>
    <row r="364" spans="2:17" ht="30.75" hidden="1" customHeight="1">
      <c r="B364" s="63" t="str">
        <f t="shared" si="10"/>
        <v>No361</v>
      </c>
      <c r="C364" s="63" t="str">
        <f t="shared" si="11"/>
        <v>202509</v>
      </c>
      <c r="D364" s="63" t="s">
        <v>142</v>
      </c>
      <c r="E364" s="63" t="s">
        <v>155</v>
      </c>
      <c r="F364" s="64">
        <v>45929.708333333343</v>
      </c>
      <c r="G364" s="64">
        <v>45929.71875</v>
      </c>
      <c r="H364" s="63">
        <f>IF(F364="", "", NETWORKDAYS.INTL(F364, G364, 11,祝日シート!A:A))</f>
        <v>1</v>
      </c>
      <c r="I364" s="65">
        <v>6.9444444444444441E-3</v>
      </c>
      <c r="J364" s="63" t="s">
        <v>119</v>
      </c>
      <c r="K364" s="63" t="s">
        <v>159</v>
      </c>
      <c r="L364" s="63"/>
      <c r="M364" s="63" t="s">
        <v>215</v>
      </c>
      <c r="N364" s="63" t="s">
        <v>122</v>
      </c>
      <c r="O364" s="63" t="s">
        <v>7</v>
      </c>
      <c r="P364" s="66" t="s">
        <v>246</v>
      </c>
      <c r="Q364" s="66" t="s">
        <v>158</v>
      </c>
    </row>
    <row r="365" spans="2:17" ht="30.75" hidden="1" customHeight="1">
      <c r="B365" s="63" t="str">
        <f t="shared" si="10"/>
        <v>No362</v>
      </c>
      <c r="C365" s="63" t="str">
        <f t="shared" si="11"/>
        <v>202509</v>
      </c>
      <c r="D365" s="63" t="s">
        <v>142</v>
      </c>
      <c r="E365" s="63" t="s">
        <v>155</v>
      </c>
      <c r="F365" s="64">
        <v>45929.708333333343</v>
      </c>
      <c r="G365" s="64">
        <v>45925.722222222219</v>
      </c>
      <c r="H365" s="63">
        <f>IF(F365="", "", NETWORKDAYS.INTL(F365, G365, 11,祝日シート!A:A))</f>
        <v>-4</v>
      </c>
      <c r="I365" s="65">
        <v>6.9444444444444441E-3</v>
      </c>
      <c r="J365" s="63" t="s">
        <v>119</v>
      </c>
      <c r="K365" s="63" t="s">
        <v>41</v>
      </c>
      <c r="L365" s="63"/>
      <c r="M365" s="63" t="s">
        <v>277</v>
      </c>
      <c r="N365" s="63" t="s">
        <v>122</v>
      </c>
      <c r="O365" s="63" t="s">
        <v>7</v>
      </c>
      <c r="P365" s="66" t="s">
        <v>385</v>
      </c>
      <c r="Q365" s="66" t="s">
        <v>158</v>
      </c>
    </row>
    <row r="366" spans="2:17" ht="30.75" hidden="1" customHeight="1">
      <c r="B366" s="63" t="str">
        <f t="shared" si="10"/>
        <v>No363</v>
      </c>
      <c r="C366" s="63" t="str">
        <f t="shared" si="11"/>
        <v>202509</v>
      </c>
      <c r="D366" s="63" t="s">
        <v>142</v>
      </c>
      <c r="E366" s="63" t="s">
        <v>155</v>
      </c>
      <c r="F366" s="64">
        <v>45930.486111111109</v>
      </c>
      <c r="G366" s="64">
        <v>45930.493055555547</v>
      </c>
      <c r="H366" s="63">
        <f>IF(F366="", "", NETWORKDAYS.INTL(F366, G366, 11,祝日シート!A:A))</f>
        <v>1</v>
      </c>
      <c r="I366" s="65">
        <v>6.9444444444444441E-3</v>
      </c>
      <c r="J366" s="63" t="s">
        <v>119</v>
      </c>
      <c r="K366" s="63" t="s">
        <v>77</v>
      </c>
      <c r="L366" s="63"/>
      <c r="M366" s="63" t="s">
        <v>539</v>
      </c>
      <c r="N366" s="63" t="s">
        <v>122</v>
      </c>
      <c r="O366" s="63" t="s">
        <v>7</v>
      </c>
      <c r="P366" s="66" t="s">
        <v>322</v>
      </c>
      <c r="Q366" s="66" t="s">
        <v>158</v>
      </c>
    </row>
    <row r="367" spans="2:17" ht="30.75" hidden="1" customHeight="1">
      <c r="B367" s="63" t="str">
        <f t="shared" si="10"/>
        <v>No364</v>
      </c>
      <c r="C367" s="63" t="str">
        <f t="shared" si="11"/>
        <v>202509</v>
      </c>
      <c r="D367" s="63" t="s">
        <v>142</v>
      </c>
      <c r="E367" s="63" t="s">
        <v>155</v>
      </c>
      <c r="F367" s="64">
        <v>45930.5625</v>
      </c>
      <c r="G367" s="64">
        <v>45930.760416666657</v>
      </c>
      <c r="H367" s="63">
        <f>IF(F367="", "", NETWORKDAYS.INTL(F367, G367, 11,祝日シート!A:A))</f>
        <v>1</v>
      </c>
      <c r="I367" s="65">
        <v>4.1666666666666657E-2</v>
      </c>
      <c r="J367" s="63" t="s">
        <v>119</v>
      </c>
      <c r="K367" s="63" t="s">
        <v>77</v>
      </c>
      <c r="L367" s="63"/>
      <c r="M367" s="63" t="s">
        <v>144</v>
      </c>
      <c r="N367" s="63" t="s">
        <v>122</v>
      </c>
      <c r="O367" s="63" t="s">
        <v>7</v>
      </c>
      <c r="P367" s="66" t="s">
        <v>623</v>
      </c>
      <c r="Q367" s="66" t="s">
        <v>158</v>
      </c>
    </row>
    <row r="368" spans="2:17" ht="30.75" hidden="1" customHeight="1">
      <c r="B368" s="63" t="str">
        <f t="shared" si="10"/>
        <v>No365</v>
      </c>
      <c r="C368" s="63" t="str">
        <f t="shared" si="11"/>
        <v>202509</v>
      </c>
      <c r="D368" s="63" t="s">
        <v>142</v>
      </c>
      <c r="E368" s="63" t="s">
        <v>155</v>
      </c>
      <c r="F368" s="64">
        <v>45930.611111111109</v>
      </c>
      <c r="G368" s="64">
        <v>45930.6875</v>
      </c>
      <c r="H368" s="63">
        <f>IF(F368="", "", NETWORKDAYS.INTL(F368, G368, 11,祝日シート!A:A))</f>
        <v>1</v>
      </c>
      <c r="I368" s="65">
        <v>1.388888888888889E-2</v>
      </c>
      <c r="J368" s="63" t="s">
        <v>119</v>
      </c>
      <c r="K368" s="63" t="s">
        <v>176</v>
      </c>
      <c r="L368" s="63"/>
      <c r="M368" s="63" t="s">
        <v>156</v>
      </c>
      <c r="N368" s="63" t="s">
        <v>122</v>
      </c>
      <c r="O368" s="63" t="s">
        <v>7</v>
      </c>
      <c r="P368" s="66" t="s">
        <v>617</v>
      </c>
      <c r="Q368" s="66" t="s">
        <v>158</v>
      </c>
    </row>
    <row r="369" spans="2:17" ht="18.75" hidden="1" customHeight="1">
      <c r="B369" s="63" t="str">
        <f t="shared" si="10"/>
        <v>No366</v>
      </c>
      <c r="C369" s="63" t="str">
        <f t="shared" si="11"/>
        <v>202510</v>
      </c>
      <c r="D369" s="63" t="s">
        <v>142</v>
      </c>
      <c r="E369" s="63" t="s">
        <v>155</v>
      </c>
      <c r="F369" s="64">
        <v>45931.4375</v>
      </c>
      <c r="G369" s="64">
        <v>45931.458333333343</v>
      </c>
      <c r="H369" s="63">
        <f>IF(F369="", "", NETWORKDAYS.INTL(F369, G369, 11,祝日シート!A:A))</f>
        <v>1</v>
      </c>
      <c r="I369" s="65">
        <v>1.041666666666667E-2</v>
      </c>
      <c r="J369" s="63" t="s">
        <v>119</v>
      </c>
      <c r="K369" s="63" t="s">
        <v>77</v>
      </c>
      <c r="L369" s="63"/>
      <c r="M369" s="63" t="s">
        <v>539</v>
      </c>
      <c r="N369" s="63" t="s">
        <v>122</v>
      </c>
      <c r="O369" s="63" t="s">
        <v>7</v>
      </c>
      <c r="P369" s="66" t="s">
        <v>322</v>
      </c>
      <c r="Q369" s="66" t="s">
        <v>158</v>
      </c>
    </row>
    <row r="370" spans="2:17" ht="18.75" hidden="1" customHeight="1">
      <c r="B370" s="63" t="str">
        <f t="shared" si="10"/>
        <v>No367</v>
      </c>
      <c r="C370" s="63" t="str">
        <f t="shared" si="11"/>
        <v>202510</v>
      </c>
      <c r="D370" s="63" t="s">
        <v>142</v>
      </c>
      <c r="E370" s="63" t="s">
        <v>155</v>
      </c>
      <c r="F370" s="64">
        <v>45931.666666666657</v>
      </c>
      <c r="G370" s="64">
        <v>45931.677083333343</v>
      </c>
      <c r="H370" s="63">
        <f>IF(F370="", "", NETWORKDAYS.INTL(F370, G370, 11,祝日シート!A:A))</f>
        <v>1</v>
      </c>
      <c r="I370" s="65">
        <v>6.9444444444444441E-3</v>
      </c>
      <c r="J370" s="63" t="s">
        <v>45</v>
      </c>
      <c r="K370" s="63" t="s">
        <v>111</v>
      </c>
      <c r="L370" s="63"/>
      <c r="M370" s="63" t="s">
        <v>229</v>
      </c>
      <c r="N370" s="63" t="s">
        <v>122</v>
      </c>
      <c r="O370" s="63" t="s">
        <v>7</v>
      </c>
      <c r="P370" s="66" t="s">
        <v>624</v>
      </c>
      <c r="Q370" s="66" t="s">
        <v>625</v>
      </c>
    </row>
    <row r="371" spans="2:17" ht="25.5" hidden="1" customHeight="1">
      <c r="B371" s="63" t="str">
        <f t="shared" si="10"/>
        <v>No368</v>
      </c>
      <c r="C371" s="63" t="str">
        <f t="shared" si="11"/>
        <v>202510</v>
      </c>
      <c r="D371" s="63" t="s">
        <v>142</v>
      </c>
      <c r="E371" s="63" t="s">
        <v>155</v>
      </c>
      <c r="F371" s="64">
        <v>45932.638888888891</v>
      </c>
      <c r="G371" s="64">
        <v>45932.673611111109</v>
      </c>
      <c r="H371" s="63">
        <f>IF(F371="", "", NETWORKDAYS.INTL(F371, G371, 11,祝日シート!A:A))</f>
        <v>1</v>
      </c>
      <c r="I371" s="65">
        <v>6.9444444444444441E-3</v>
      </c>
      <c r="J371" s="63" t="s">
        <v>119</v>
      </c>
      <c r="K371" s="63" t="s">
        <v>41</v>
      </c>
      <c r="L371" s="63"/>
      <c r="M371" s="63" t="s">
        <v>277</v>
      </c>
      <c r="N371" s="63" t="s">
        <v>122</v>
      </c>
      <c r="O371" s="63" t="s">
        <v>7</v>
      </c>
      <c r="P371" s="66" t="s">
        <v>385</v>
      </c>
      <c r="Q371" s="66" t="s">
        <v>158</v>
      </c>
    </row>
    <row r="372" spans="2:17" ht="18.75" customHeight="1">
      <c r="B372" s="63" t="str">
        <f t="shared" si="10"/>
        <v>No369</v>
      </c>
      <c r="C372" s="63" t="str">
        <f t="shared" si="11"/>
        <v>202510</v>
      </c>
      <c r="D372" s="63" t="s">
        <v>166</v>
      </c>
      <c r="E372" s="63" t="s">
        <v>4</v>
      </c>
      <c r="F372" s="64">
        <v>45933.375</v>
      </c>
      <c r="G372" s="64">
        <v>45933.5</v>
      </c>
      <c r="H372" s="63">
        <f>IF(F372="", "", NETWORKDAYS.INTL(F372, G372, 11,祝日シート!A:A))</f>
        <v>1</v>
      </c>
      <c r="I372" s="65">
        <v>0.125</v>
      </c>
      <c r="J372" s="63" t="s">
        <v>61</v>
      </c>
      <c r="K372" s="63" t="s">
        <v>26</v>
      </c>
      <c r="L372" s="63"/>
      <c r="M372" s="63" t="s">
        <v>626</v>
      </c>
      <c r="N372" s="63" t="s">
        <v>122</v>
      </c>
      <c r="O372" s="63" t="s">
        <v>7</v>
      </c>
      <c r="P372" s="66" t="s">
        <v>627</v>
      </c>
      <c r="Q372" s="66" t="s">
        <v>628</v>
      </c>
    </row>
    <row r="373" spans="2:17" ht="18.75" customHeight="1">
      <c r="B373" s="63" t="str">
        <f t="shared" si="10"/>
        <v>No370</v>
      </c>
      <c r="C373" s="63" t="str">
        <f t="shared" si="11"/>
        <v>202510</v>
      </c>
      <c r="D373" s="63" t="s">
        <v>3</v>
      </c>
      <c r="E373" s="63" t="s">
        <v>4</v>
      </c>
      <c r="F373" s="64">
        <v>45933.416666666657</v>
      </c>
      <c r="G373" s="64">
        <v>45933.583333333343</v>
      </c>
      <c r="H373" s="63">
        <f>IF(F373="", "", NETWORKDAYS.INTL(F373, G373, 11,祝日シート!A:A))</f>
        <v>1</v>
      </c>
      <c r="I373" s="65">
        <v>0.16666666666666671</v>
      </c>
      <c r="J373" s="63" t="s">
        <v>40</v>
      </c>
      <c r="K373" s="63" t="s">
        <v>41</v>
      </c>
      <c r="L373" s="63"/>
      <c r="M373" s="63" t="s">
        <v>629</v>
      </c>
      <c r="N373" s="63" t="s">
        <v>6</v>
      </c>
      <c r="O373" s="63" t="s">
        <v>7</v>
      </c>
      <c r="P373" s="66" t="s">
        <v>630</v>
      </c>
      <c r="Q373" s="66" t="s">
        <v>631</v>
      </c>
    </row>
    <row r="374" spans="2:17" ht="18.75" customHeight="1">
      <c r="B374" s="63" t="str">
        <f t="shared" si="10"/>
        <v>No371</v>
      </c>
      <c r="C374" s="63" t="str">
        <f t="shared" si="11"/>
        <v>202510</v>
      </c>
      <c r="D374" s="63" t="s">
        <v>166</v>
      </c>
      <c r="E374" s="63" t="s">
        <v>4</v>
      </c>
      <c r="F374" s="64">
        <v>45933.78125</v>
      </c>
      <c r="G374" s="64">
        <v>45933.833333333343</v>
      </c>
      <c r="H374" s="63">
        <f>IF(F374="", "", NETWORKDAYS.INTL(F374, G374, 11,祝日シート!A:A))</f>
        <v>1</v>
      </c>
      <c r="I374" s="65">
        <v>5.2083333333333343E-2</v>
      </c>
      <c r="J374" s="63" t="s">
        <v>40</v>
      </c>
      <c r="K374" s="63" t="s">
        <v>26</v>
      </c>
      <c r="L374" s="63"/>
      <c r="M374" s="63"/>
      <c r="N374" s="63" t="s">
        <v>122</v>
      </c>
      <c r="O374" s="63" t="s">
        <v>7</v>
      </c>
      <c r="P374" s="66" t="s">
        <v>632</v>
      </c>
      <c r="Q374" s="66" t="s">
        <v>633</v>
      </c>
    </row>
    <row r="375" spans="2:17" ht="18.75" customHeight="1">
      <c r="B375" s="63" t="str">
        <f t="shared" si="10"/>
        <v>No372</v>
      </c>
      <c r="C375" s="63" t="str">
        <f t="shared" si="11"/>
        <v>202510</v>
      </c>
      <c r="D375" s="63" t="s">
        <v>166</v>
      </c>
      <c r="E375" s="63" t="s">
        <v>4</v>
      </c>
      <c r="F375" s="64">
        <v>45934.375</v>
      </c>
      <c r="G375" s="64">
        <v>45934.75</v>
      </c>
      <c r="H375" s="63">
        <f>IF(F375="", "", NETWORKDAYS.INTL(F375, G375, 11,祝日シート!A:A))</f>
        <v>1</v>
      </c>
      <c r="I375" s="65">
        <v>0.375</v>
      </c>
      <c r="J375" s="63" t="s">
        <v>20</v>
      </c>
      <c r="K375" s="63" t="s">
        <v>26</v>
      </c>
      <c r="L375" s="63"/>
      <c r="M375" s="63" t="s">
        <v>629</v>
      </c>
      <c r="N375" s="63" t="s">
        <v>6</v>
      </c>
      <c r="O375" s="63" t="s">
        <v>7</v>
      </c>
      <c r="P375" s="66" t="s">
        <v>634</v>
      </c>
      <c r="Q375" s="66" t="s">
        <v>635</v>
      </c>
    </row>
    <row r="376" spans="2:17" ht="31.5" hidden="1" customHeight="1">
      <c r="B376" s="63" t="str">
        <f t="shared" si="10"/>
        <v>No373</v>
      </c>
      <c r="C376" s="63" t="str">
        <f t="shared" si="11"/>
        <v>202510</v>
      </c>
      <c r="D376" s="63" t="s">
        <v>142</v>
      </c>
      <c r="E376" s="63" t="s">
        <v>155</v>
      </c>
      <c r="F376" s="64">
        <v>45936.447916666657</v>
      </c>
      <c r="G376" s="64">
        <v>45936.458333333343</v>
      </c>
      <c r="H376" s="63">
        <f>IF(F376="", "", NETWORKDAYS.INTL(F376, G376, 11,祝日シート!A:A))</f>
        <v>1</v>
      </c>
      <c r="I376" s="65">
        <v>1.041666666666667E-2</v>
      </c>
      <c r="J376" s="63" t="s">
        <v>119</v>
      </c>
      <c r="K376" s="63" t="s">
        <v>159</v>
      </c>
      <c r="L376" s="63"/>
      <c r="M376" s="63" t="s">
        <v>288</v>
      </c>
      <c r="N376" s="63" t="s">
        <v>122</v>
      </c>
      <c r="O376" s="63" t="s">
        <v>7</v>
      </c>
      <c r="P376" s="66" t="s">
        <v>482</v>
      </c>
      <c r="Q376" s="66" t="s">
        <v>158</v>
      </c>
    </row>
    <row r="377" spans="2:17" ht="27" hidden="1" customHeight="1">
      <c r="B377" s="63" t="str">
        <f t="shared" si="10"/>
        <v>No374</v>
      </c>
      <c r="C377" s="63" t="str">
        <f t="shared" si="11"/>
        <v>202510</v>
      </c>
      <c r="D377" s="63" t="s">
        <v>142</v>
      </c>
      <c r="E377" s="63" t="s">
        <v>155</v>
      </c>
      <c r="F377" s="64">
        <v>45936.527777777781</v>
      </c>
      <c r="G377" s="64">
        <v>45936.645833333343</v>
      </c>
      <c r="H377" s="63">
        <f>IF(F377="", "", NETWORKDAYS.INTL(F377, G377, 11,祝日シート!A:A))</f>
        <v>1</v>
      </c>
      <c r="I377" s="65">
        <v>2.0833333333333329E-2</v>
      </c>
      <c r="J377" s="63" t="s">
        <v>119</v>
      </c>
      <c r="K377" s="63" t="s">
        <v>159</v>
      </c>
      <c r="L377" s="63"/>
      <c r="M377" s="63" t="s">
        <v>215</v>
      </c>
      <c r="N377" s="63" t="s">
        <v>122</v>
      </c>
      <c r="O377" s="63" t="s">
        <v>7</v>
      </c>
      <c r="P377" s="66" t="s">
        <v>246</v>
      </c>
      <c r="Q377" s="66" t="s">
        <v>158</v>
      </c>
    </row>
    <row r="378" spans="2:17" ht="18.75" customHeight="1">
      <c r="B378" s="63" t="str">
        <f t="shared" si="10"/>
        <v>No375</v>
      </c>
      <c r="C378" s="63" t="str">
        <f t="shared" si="11"/>
        <v>202510</v>
      </c>
      <c r="D378" s="63" t="s">
        <v>104</v>
      </c>
      <c r="E378" s="63" t="s">
        <v>4</v>
      </c>
      <c r="F378" s="64">
        <v>45937.375</v>
      </c>
      <c r="G378" s="64">
        <v>45937.395833333343</v>
      </c>
      <c r="H378" s="63">
        <f>IF(F378="", "", NETWORKDAYS.INTL(F378, G378, 11,祝日シート!A:A))</f>
        <v>1</v>
      </c>
      <c r="I378" s="65">
        <v>2.0833333333333329E-2</v>
      </c>
      <c r="J378" s="63" t="s">
        <v>20</v>
      </c>
      <c r="K378" s="63" t="s">
        <v>41</v>
      </c>
      <c r="L378" s="63"/>
      <c r="M378" s="63" t="s">
        <v>636</v>
      </c>
      <c r="N378" s="63" t="s">
        <v>6</v>
      </c>
      <c r="O378" s="63" t="s">
        <v>7</v>
      </c>
      <c r="P378" s="66" t="s">
        <v>637</v>
      </c>
      <c r="Q378" s="66" t="s">
        <v>638</v>
      </c>
    </row>
    <row r="379" spans="2:17" ht="27" hidden="1" customHeight="1">
      <c r="B379" s="63" t="str">
        <f t="shared" si="10"/>
        <v>No376</v>
      </c>
      <c r="C379" s="63" t="str">
        <f t="shared" si="11"/>
        <v>202510</v>
      </c>
      <c r="D379" s="63" t="s">
        <v>142</v>
      </c>
      <c r="E379" s="63" t="s">
        <v>155</v>
      </c>
      <c r="F379" s="64">
        <v>45937.697916666657</v>
      </c>
      <c r="G379" s="64">
        <v>45937.71875</v>
      </c>
      <c r="H379" s="63">
        <f>IF(F379="", "", NETWORKDAYS.INTL(F379, G379, 11,祝日シート!A:A))</f>
        <v>1</v>
      </c>
      <c r="I379" s="65">
        <v>2.0833333333333329E-2</v>
      </c>
      <c r="J379" s="63" t="s">
        <v>119</v>
      </c>
      <c r="K379" s="63" t="s">
        <v>77</v>
      </c>
      <c r="L379" s="63"/>
      <c r="M379" s="63" t="s">
        <v>144</v>
      </c>
      <c r="N379" s="63" t="s">
        <v>117</v>
      </c>
      <c r="O379" s="63" t="s">
        <v>7</v>
      </c>
      <c r="P379" s="66" t="s">
        <v>580</v>
      </c>
      <c r="Q379" s="66" t="s">
        <v>158</v>
      </c>
    </row>
    <row r="380" spans="2:17" ht="18.75" customHeight="1">
      <c r="B380" s="63" t="str">
        <f t="shared" si="10"/>
        <v>No377</v>
      </c>
      <c r="C380" s="63" t="str">
        <f t="shared" si="11"/>
        <v>202510</v>
      </c>
      <c r="D380" s="63" t="s">
        <v>3</v>
      </c>
      <c r="E380" s="63" t="s">
        <v>4</v>
      </c>
      <c r="F380" s="64">
        <v>45937.708333333343</v>
      </c>
      <c r="G380" s="64">
        <v>45937.71875</v>
      </c>
      <c r="H380" s="63">
        <f>IF(F380="", "", NETWORKDAYS.INTL(F380, G380, 11,祝日シート!A:A))</f>
        <v>1</v>
      </c>
      <c r="I380" s="65">
        <v>1.041666666666667E-2</v>
      </c>
      <c r="J380" s="63" t="s">
        <v>20</v>
      </c>
      <c r="K380" s="63" t="s">
        <v>41</v>
      </c>
      <c r="L380" s="63"/>
      <c r="M380" s="63" t="s">
        <v>163</v>
      </c>
      <c r="N380" s="63" t="s">
        <v>6</v>
      </c>
      <c r="O380" s="63" t="s">
        <v>7</v>
      </c>
      <c r="P380" s="66" t="s">
        <v>639</v>
      </c>
      <c r="Q380" s="66" t="s">
        <v>640</v>
      </c>
    </row>
    <row r="381" spans="2:17" ht="18.75" customHeight="1">
      <c r="B381" s="63" t="str">
        <f t="shared" si="10"/>
        <v>No378</v>
      </c>
      <c r="C381" s="63" t="str">
        <f t="shared" si="11"/>
        <v>202510</v>
      </c>
      <c r="D381" s="63" t="s">
        <v>166</v>
      </c>
      <c r="E381" s="63" t="s">
        <v>4</v>
      </c>
      <c r="F381" s="64">
        <v>45938.416666666657</v>
      </c>
      <c r="G381" s="64">
        <v>45938.458333333343</v>
      </c>
      <c r="H381" s="63">
        <f>IF(F381="", "", NETWORKDAYS.INTL(F381, G381, 11,祝日シート!A:A))</f>
        <v>1</v>
      </c>
      <c r="I381" s="65">
        <v>4.1666666666666657E-2</v>
      </c>
      <c r="J381" s="63" t="s">
        <v>20</v>
      </c>
      <c r="K381" s="63"/>
      <c r="L381" s="63"/>
      <c r="M381" s="63"/>
      <c r="N381" s="63" t="s">
        <v>6</v>
      </c>
      <c r="O381" s="63" t="s">
        <v>7</v>
      </c>
      <c r="P381" s="66" t="s">
        <v>641</v>
      </c>
      <c r="Q381" s="66" t="s">
        <v>642</v>
      </c>
    </row>
    <row r="382" spans="2:17" ht="18.75" customHeight="1">
      <c r="B382" s="63" t="str">
        <f t="shared" si="10"/>
        <v>No379</v>
      </c>
      <c r="C382" s="63" t="str">
        <f t="shared" si="11"/>
        <v>202510</v>
      </c>
      <c r="D382" s="63" t="s">
        <v>166</v>
      </c>
      <c r="E382" s="63" t="s">
        <v>4</v>
      </c>
      <c r="F382" s="64">
        <v>45938.416666666657</v>
      </c>
      <c r="G382" s="64">
        <v>45938.458333333343</v>
      </c>
      <c r="H382" s="63">
        <f>IF(F382="", "", NETWORKDAYS.INTL(F382, G382, 11,祝日シート!A:A))</f>
        <v>1</v>
      </c>
      <c r="I382" s="65">
        <v>4.1666666666666657E-2</v>
      </c>
      <c r="J382" s="63" t="s">
        <v>20</v>
      </c>
      <c r="K382" s="63" t="s">
        <v>26</v>
      </c>
      <c r="L382" s="63"/>
      <c r="M382" s="63" t="s">
        <v>636</v>
      </c>
      <c r="N382" s="63" t="s">
        <v>6</v>
      </c>
      <c r="O382" s="63" t="s">
        <v>7</v>
      </c>
      <c r="P382" s="66" t="s">
        <v>643</v>
      </c>
      <c r="Q382" s="66" t="s">
        <v>644</v>
      </c>
    </row>
    <row r="383" spans="2:17" ht="18.75" hidden="1" customHeight="1">
      <c r="B383" s="63" t="str">
        <f t="shared" si="10"/>
        <v>No380</v>
      </c>
      <c r="C383" s="63" t="str">
        <f t="shared" si="11"/>
        <v>202510</v>
      </c>
      <c r="D383" s="63" t="s">
        <v>142</v>
      </c>
      <c r="E383" s="63" t="s">
        <v>155</v>
      </c>
      <c r="F383" s="64">
        <v>45939.5</v>
      </c>
      <c r="G383" s="64">
        <v>45939.666666666657</v>
      </c>
      <c r="H383" s="63">
        <f>IF(F383="", "", NETWORKDAYS.INTL(F383, G383, 11,祝日シート!A:A))</f>
        <v>1</v>
      </c>
      <c r="I383" s="65">
        <v>1.041666666666667E-2</v>
      </c>
      <c r="J383" s="63" t="s">
        <v>119</v>
      </c>
      <c r="K383" s="63" t="s">
        <v>159</v>
      </c>
      <c r="L383" s="63"/>
      <c r="M383" s="63" t="s">
        <v>160</v>
      </c>
      <c r="N383" s="63" t="s">
        <v>122</v>
      </c>
      <c r="O383" s="63" t="s">
        <v>7</v>
      </c>
      <c r="P383" s="66" t="s">
        <v>179</v>
      </c>
      <c r="Q383" s="66" t="s">
        <v>158</v>
      </c>
    </row>
    <row r="384" spans="2:17" ht="29.25" hidden="1" customHeight="1">
      <c r="B384" s="63" t="str">
        <f t="shared" si="10"/>
        <v>No381</v>
      </c>
      <c r="C384" s="63" t="str">
        <f t="shared" si="11"/>
        <v>202510</v>
      </c>
      <c r="D384" s="63" t="s">
        <v>142</v>
      </c>
      <c r="E384" s="63" t="s">
        <v>155</v>
      </c>
      <c r="F384" s="64">
        <v>45939.6875</v>
      </c>
      <c r="G384" s="64">
        <v>45939.697916666657</v>
      </c>
      <c r="H384" s="63">
        <f>IF(F384="", "", NETWORKDAYS.INTL(F384, G384, 11,祝日シート!A:A))</f>
        <v>1</v>
      </c>
      <c r="I384" s="65">
        <v>1.041666666666667E-2</v>
      </c>
      <c r="J384" s="63" t="s">
        <v>119</v>
      </c>
      <c r="K384" s="63" t="s">
        <v>77</v>
      </c>
      <c r="L384" s="63"/>
      <c r="M384" s="63" t="s">
        <v>211</v>
      </c>
      <c r="N384" s="63" t="s">
        <v>122</v>
      </c>
      <c r="O384" s="63" t="s">
        <v>7</v>
      </c>
      <c r="P384" s="66" t="s">
        <v>593</v>
      </c>
      <c r="Q384" s="66" t="s">
        <v>158</v>
      </c>
    </row>
    <row r="385" spans="2:17" ht="18.75" hidden="1" customHeight="1">
      <c r="B385" s="63" t="str">
        <f t="shared" si="10"/>
        <v>No382</v>
      </c>
      <c r="C385" s="63" t="str">
        <f t="shared" si="11"/>
        <v>202510</v>
      </c>
      <c r="D385" s="63" t="s">
        <v>142</v>
      </c>
      <c r="E385" s="63" t="s">
        <v>155</v>
      </c>
      <c r="F385" s="64">
        <v>45940.5</v>
      </c>
      <c r="G385" s="64">
        <v>45940.552083333343</v>
      </c>
      <c r="H385" s="63">
        <f>IF(F385="", "", NETWORKDAYS.INTL(F385, G385, 11,祝日シート!A:A))</f>
        <v>1</v>
      </c>
      <c r="I385" s="65">
        <v>1.041666666666667E-2</v>
      </c>
      <c r="J385" s="63" t="s">
        <v>119</v>
      </c>
      <c r="K385" s="63" t="s">
        <v>159</v>
      </c>
      <c r="L385" s="63"/>
      <c r="M385" s="63" t="s">
        <v>288</v>
      </c>
      <c r="N385" s="63" t="s">
        <v>122</v>
      </c>
      <c r="O385" s="63" t="s">
        <v>7</v>
      </c>
      <c r="P385" s="66" t="s">
        <v>179</v>
      </c>
      <c r="Q385" s="66" t="s">
        <v>158</v>
      </c>
    </row>
    <row r="386" spans="2:17" ht="18.75" hidden="1" customHeight="1">
      <c r="B386" s="63" t="str">
        <f t="shared" si="10"/>
        <v>No383</v>
      </c>
      <c r="C386" s="63" t="str">
        <f t="shared" si="11"/>
        <v>202510</v>
      </c>
      <c r="D386" s="63" t="s">
        <v>142</v>
      </c>
      <c r="E386" s="63" t="s">
        <v>155</v>
      </c>
      <c r="F386" s="64">
        <v>45940.638888888891</v>
      </c>
      <c r="G386" s="64">
        <v>45940.649305555547</v>
      </c>
      <c r="H386" s="63">
        <f>IF(F386="", "", NETWORKDAYS.INTL(F386, G386, 11,祝日シート!A:A))</f>
        <v>1</v>
      </c>
      <c r="I386" s="65">
        <v>1.041666666666667E-2</v>
      </c>
      <c r="J386" s="63" t="s">
        <v>119</v>
      </c>
      <c r="K386" s="63" t="s">
        <v>159</v>
      </c>
      <c r="L386" s="63"/>
      <c r="M386" s="63" t="s">
        <v>160</v>
      </c>
      <c r="N386" s="63" t="s">
        <v>122</v>
      </c>
      <c r="O386" s="63" t="s">
        <v>7</v>
      </c>
      <c r="P386" s="66" t="s">
        <v>179</v>
      </c>
      <c r="Q386" s="66" t="s">
        <v>158</v>
      </c>
    </row>
    <row r="387" spans="2:17" ht="18.75" customHeight="1">
      <c r="B387" s="63" t="str">
        <f t="shared" si="10"/>
        <v>No384</v>
      </c>
      <c r="C387" s="63" t="str">
        <f t="shared" si="11"/>
        <v>202510</v>
      </c>
      <c r="D387" s="63" t="s">
        <v>142</v>
      </c>
      <c r="E387" s="63" t="s">
        <v>4</v>
      </c>
      <c r="F387" s="64">
        <v>45942.395833333343</v>
      </c>
      <c r="G387" s="64">
        <v>45942.5</v>
      </c>
      <c r="H387" s="63">
        <f>IF(F387="", "", NETWORKDAYS.INTL(F387, G387, 11,祝日シート!A:A))</f>
        <v>0</v>
      </c>
      <c r="I387" s="65">
        <v>0.1041666666666667</v>
      </c>
      <c r="J387" s="63" t="s">
        <v>40</v>
      </c>
      <c r="K387" s="63" t="s">
        <v>41</v>
      </c>
      <c r="L387" s="63"/>
      <c r="M387" s="63" t="s">
        <v>645</v>
      </c>
      <c r="N387" s="63" t="s">
        <v>6</v>
      </c>
      <c r="O387" s="63" t="s">
        <v>7</v>
      </c>
      <c r="P387" s="66" t="s">
        <v>646</v>
      </c>
      <c r="Q387" s="66" t="s">
        <v>647</v>
      </c>
    </row>
    <row r="388" spans="2:17" ht="35.25" customHeight="1">
      <c r="B388" s="63" t="str">
        <f t="shared" si="10"/>
        <v>No385</v>
      </c>
      <c r="C388" s="63" t="str">
        <f t="shared" si="11"/>
        <v>202510</v>
      </c>
      <c r="D388" s="63" t="s">
        <v>166</v>
      </c>
      <c r="E388" s="63" t="s">
        <v>4</v>
      </c>
      <c r="F388" s="64">
        <v>45944.416666666657</v>
      </c>
      <c r="G388" s="64">
        <v>45944.583333333343</v>
      </c>
      <c r="H388" s="63">
        <f>IF(F388="", "", NETWORKDAYS.INTL(F388, G388, 11,祝日シート!A:A))</f>
        <v>1</v>
      </c>
      <c r="I388" s="65">
        <v>0.16666666666666671</v>
      </c>
      <c r="J388" s="63" t="s">
        <v>20</v>
      </c>
      <c r="K388" s="63" t="s">
        <v>311</v>
      </c>
      <c r="L388" s="63"/>
      <c r="M388" s="63" t="s">
        <v>626</v>
      </c>
      <c r="N388" s="63" t="s">
        <v>6</v>
      </c>
      <c r="O388" s="63" t="s">
        <v>7</v>
      </c>
      <c r="P388" s="66" t="s">
        <v>648</v>
      </c>
      <c r="Q388" s="66" t="s">
        <v>649</v>
      </c>
    </row>
    <row r="389" spans="2:17" ht="18.75" hidden="1" customHeight="1">
      <c r="B389" s="63" t="str">
        <f t="shared" si="10"/>
        <v>No386</v>
      </c>
      <c r="C389" s="63" t="str">
        <f t="shared" si="11"/>
        <v>202510</v>
      </c>
      <c r="D389" s="63" t="s">
        <v>142</v>
      </c>
      <c r="E389" s="63" t="s">
        <v>155</v>
      </c>
      <c r="F389" s="64">
        <v>45944.510416666657</v>
      </c>
      <c r="G389" s="64">
        <v>45944.572916666657</v>
      </c>
      <c r="H389" s="63">
        <f>IF(F389="", "", NETWORKDAYS.INTL(F389, G389, 11,祝日シート!A:A))</f>
        <v>1</v>
      </c>
      <c r="I389" s="65">
        <v>1.041666666666667E-2</v>
      </c>
      <c r="J389" s="63" t="s">
        <v>119</v>
      </c>
      <c r="K389" s="63" t="s">
        <v>159</v>
      </c>
      <c r="L389" s="63"/>
      <c r="M389" s="63" t="s">
        <v>207</v>
      </c>
      <c r="N389" s="63" t="s">
        <v>122</v>
      </c>
      <c r="O389" s="63" t="s">
        <v>7</v>
      </c>
      <c r="P389" s="66" t="s">
        <v>482</v>
      </c>
      <c r="Q389" s="66" t="s">
        <v>158</v>
      </c>
    </row>
    <row r="390" spans="2:17" ht="33.75" hidden="1" customHeight="1">
      <c r="B390" s="63" t="str">
        <f t="shared" si="10"/>
        <v>No387</v>
      </c>
      <c r="C390" s="63" t="str">
        <f t="shared" si="11"/>
        <v>202510</v>
      </c>
      <c r="D390" s="63" t="s">
        <v>142</v>
      </c>
      <c r="E390" s="63" t="s">
        <v>155</v>
      </c>
      <c r="F390" s="64">
        <v>45944.520833333343</v>
      </c>
      <c r="G390" s="64">
        <v>45944.572916666657</v>
      </c>
      <c r="H390" s="63">
        <f>IF(F390="", "", NETWORKDAYS.INTL(F390, G390, 11,祝日シート!A:A))</f>
        <v>1</v>
      </c>
      <c r="I390" s="65">
        <v>1.041666666666667E-2</v>
      </c>
      <c r="J390" s="63" t="s">
        <v>119</v>
      </c>
      <c r="K390" s="63" t="s">
        <v>159</v>
      </c>
      <c r="L390" s="63"/>
      <c r="M390" s="63" t="s">
        <v>160</v>
      </c>
      <c r="N390" s="63" t="s">
        <v>122</v>
      </c>
      <c r="O390" s="63" t="s">
        <v>7</v>
      </c>
      <c r="P390" s="66" t="s">
        <v>179</v>
      </c>
      <c r="Q390" s="66" t="s">
        <v>158</v>
      </c>
    </row>
    <row r="391" spans="2:17" ht="18.75" hidden="1" customHeight="1">
      <c r="B391" s="63" t="str">
        <f t="shared" si="10"/>
        <v>No388</v>
      </c>
      <c r="C391" s="63" t="str">
        <f t="shared" si="11"/>
        <v>202510</v>
      </c>
      <c r="D391" s="63" t="s">
        <v>142</v>
      </c>
      <c r="E391" s="63" t="s">
        <v>155</v>
      </c>
      <c r="F391" s="64">
        <v>45945.354166666657</v>
      </c>
      <c r="G391" s="64">
        <v>45945.489583333343</v>
      </c>
      <c r="H391" s="63">
        <f>IF(F391="", "", NETWORKDAYS.INTL(F391, G391, 11,祝日シート!A:A))</f>
        <v>1</v>
      </c>
      <c r="I391" s="65">
        <v>8.3333333333333329E-2</v>
      </c>
      <c r="J391" s="63" t="s">
        <v>119</v>
      </c>
      <c r="K391" s="63" t="s">
        <v>159</v>
      </c>
      <c r="L391" s="63"/>
      <c r="M391" s="63" t="s">
        <v>187</v>
      </c>
      <c r="N391" s="63" t="s">
        <v>122</v>
      </c>
      <c r="O391" s="63" t="s">
        <v>7</v>
      </c>
      <c r="P391" s="66" t="s">
        <v>512</v>
      </c>
      <c r="Q391" s="66" t="s">
        <v>158</v>
      </c>
    </row>
    <row r="392" spans="2:17" ht="18.75" hidden="1" customHeight="1">
      <c r="B392" s="63" t="str">
        <f t="shared" si="10"/>
        <v>No389</v>
      </c>
      <c r="C392" s="63" t="str">
        <f t="shared" si="11"/>
        <v>202510</v>
      </c>
      <c r="D392" s="63" t="s">
        <v>142</v>
      </c>
      <c r="E392" s="63" t="s">
        <v>155</v>
      </c>
      <c r="F392" s="64">
        <v>45945.458333333343</v>
      </c>
      <c r="G392" s="64">
        <v>45945.465277777781</v>
      </c>
      <c r="H392" s="63">
        <f>IF(F392="", "", NETWORKDAYS.INTL(F392, G392, 11,祝日シート!A:A))</f>
        <v>1</v>
      </c>
      <c r="I392" s="65">
        <v>6.9444444444444441E-3</v>
      </c>
      <c r="J392" s="63" t="s">
        <v>119</v>
      </c>
      <c r="K392" s="63" t="s">
        <v>77</v>
      </c>
      <c r="L392" s="63"/>
      <c r="M392" s="63" t="s">
        <v>211</v>
      </c>
      <c r="N392" s="63" t="s">
        <v>122</v>
      </c>
      <c r="O392" s="63" t="s">
        <v>7</v>
      </c>
      <c r="P392" s="66" t="s">
        <v>593</v>
      </c>
      <c r="Q392" s="66" t="s">
        <v>158</v>
      </c>
    </row>
    <row r="393" spans="2:17" ht="18.75" hidden="1" customHeight="1">
      <c r="B393" s="63" t="str">
        <f t="shared" si="10"/>
        <v>No390</v>
      </c>
      <c r="C393" s="63" t="str">
        <f t="shared" si="11"/>
        <v>202510</v>
      </c>
      <c r="D393" s="63" t="s">
        <v>142</v>
      </c>
      <c r="E393" s="63" t="s">
        <v>155</v>
      </c>
      <c r="F393" s="64">
        <v>45946.552083333343</v>
      </c>
      <c r="G393" s="64">
        <v>45946.572916666657</v>
      </c>
      <c r="H393" s="63">
        <f>IF(F393="", "", NETWORKDAYS.INTL(F393, G393, 11,祝日シート!A:A))</f>
        <v>1</v>
      </c>
      <c r="I393" s="65">
        <v>1.041666666666667E-2</v>
      </c>
      <c r="J393" s="63" t="s">
        <v>119</v>
      </c>
      <c r="K393" s="63" t="s">
        <v>159</v>
      </c>
      <c r="L393" s="63"/>
      <c r="M393" s="63" t="s">
        <v>160</v>
      </c>
      <c r="N393" s="63" t="s">
        <v>122</v>
      </c>
      <c r="O393" s="63" t="s">
        <v>7</v>
      </c>
      <c r="P393" s="66" t="s">
        <v>179</v>
      </c>
      <c r="Q393" s="66" t="s">
        <v>158</v>
      </c>
    </row>
    <row r="394" spans="2:17" ht="18.75" customHeight="1">
      <c r="B394" s="63" t="str">
        <f t="shared" si="10"/>
        <v>No391</v>
      </c>
      <c r="C394" s="63" t="str">
        <f t="shared" si="11"/>
        <v>202510</v>
      </c>
      <c r="D394" s="63" t="s">
        <v>142</v>
      </c>
      <c r="E394" s="63" t="s">
        <v>4</v>
      </c>
      <c r="F394" s="64">
        <v>45946.708333333343</v>
      </c>
      <c r="G394" s="64">
        <v>45946.75</v>
      </c>
      <c r="H394" s="63">
        <f>IF(F394="", "", NETWORKDAYS.INTL(F394, G394, 11,祝日シート!A:A))</f>
        <v>1</v>
      </c>
      <c r="I394" s="65">
        <v>4.1666666666666657E-2</v>
      </c>
      <c r="J394" s="63" t="s">
        <v>40</v>
      </c>
      <c r="K394" s="63" t="s">
        <v>41</v>
      </c>
      <c r="L394" s="63"/>
      <c r="M394" s="63" t="s">
        <v>645</v>
      </c>
      <c r="N394" s="63" t="s">
        <v>6</v>
      </c>
      <c r="O394" s="63" t="s">
        <v>7</v>
      </c>
      <c r="P394" s="66" t="s">
        <v>650</v>
      </c>
      <c r="Q394" s="66" t="s">
        <v>647</v>
      </c>
    </row>
    <row r="395" spans="2:17" ht="18.75" hidden="1" customHeight="1">
      <c r="B395" s="63" t="str">
        <f t="shared" si="10"/>
        <v>No392</v>
      </c>
      <c r="C395" s="63" t="str">
        <f t="shared" si="11"/>
        <v>202510</v>
      </c>
      <c r="D395" s="63" t="s">
        <v>142</v>
      </c>
      <c r="E395" s="63" t="s">
        <v>155</v>
      </c>
      <c r="F395" s="64">
        <v>45947.520833333343</v>
      </c>
      <c r="G395" s="64">
        <v>45947.583333333343</v>
      </c>
      <c r="H395" s="63">
        <f>IF(F395="", "", NETWORKDAYS.INTL(F395, G395, 11,祝日シート!A:A))</f>
        <v>1</v>
      </c>
      <c r="I395" s="65">
        <v>1.041666666666667E-2</v>
      </c>
      <c r="J395" s="63" t="s">
        <v>119</v>
      </c>
      <c r="K395" s="63" t="s">
        <v>159</v>
      </c>
      <c r="L395" s="63"/>
      <c r="M395" s="63" t="s">
        <v>207</v>
      </c>
      <c r="N395" s="63" t="s">
        <v>122</v>
      </c>
      <c r="O395" s="63" t="s">
        <v>7</v>
      </c>
      <c r="P395" s="66" t="s">
        <v>482</v>
      </c>
      <c r="Q395" s="66" t="s">
        <v>158</v>
      </c>
    </row>
    <row r="396" spans="2:17" ht="18.75" customHeight="1">
      <c r="B396" s="63" t="str">
        <f t="shared" si="10"/>
        <v>No393</v>
      </c>
      <c r="C396" s="63" t="str">
        <f t="shared" si="11"/>
        <v>202510</v>
      </c>
      <c r="D396" s="63" t="s">
        <v>3</v>
      </c>
      <c r="E396" s="63" t="s">
        <v>4</v>
      </c>
      <c r="F396" s="64">
        <v>45947.625</v>
      </c>
      <c r="G396" s="64">
        <v>45947.666666666657</v>
      </c>
      <c r="H396" s="63">
        <f>IF(F396="", "", NETWORKDAYS.INTL(F396, G396, 11,祝日シート!A:A))</f>
        <v>1</v>
      </c>
      <c r="I396" s="65">
        <v>4.1666666666666657E-2</v>
      </c>
      <c r="J396" s="63" t="s">
        <v>20</v>
      </c>
      <c r="K396" s="63" t="s">
        <v>311</v>
      </c>
      <c r="L396" s="63"/>
      <c r="M396" s="63"/>
      <c r="N396" s="63" t="s">
        <v>6</v>
      </c>
      <c r="O396" s="63" t="s">
        <v>7</v>
      </c>
      <c r="P396" s="66" t="s">
        <v>651</v>
      </c>
      <c r="Q396" s="66" t="s">
        <v>652</v>
      </c>
    </row>
    <row r="397" spans="2:17" ht="18.75" customHeight="1">
      <c r="B397" s="63" t="str">
        <f t="shared" si="10"/>
        <v>No394</v>
      </c>
      <c r="C397" s="63" t="str">
        <f t="shared" si="11"/>
        <v>202510</v>
      </c>
      <c r="D397" s="63" t="s">
        <v>104</v>
      </c>
      <c r="E397" s="63" t="s">
        <v>4</v>
      </c>
      <c r="F397" s="64">
        <v>45947.625</v>
      </c>
      <c r="G397" s="64">
        <v>45947.75</v>
      </c>
      <c r="H397" s="63">
        <f>IF(F397="", "", NETWORKDAYS.INTL(F397, G397, 11,祝日シート!A:A))</f>
        <v>1</v>
      </c>
      <c r="I397" s="65">
        <v>0.125</v>
      </c>
      <c r="J397" s="63" t="s">
        <v>20</v>
      </c>
      <c r="K397" s="63" t="s">
        <v>111</v>
      </c>
      <c r="L397" s="63"/>
      <c r="M397" s="63" t="s">
        <v>321</v>
      </c>
      <c r="N397" s="63" t="s">
        <v>6</v>
      </c>
      <c r="O397" s="63" t="s">
        <v>614</v>
      </c>
      <c r="P397" s="66" t="s">
        <v>653</v>
      </c>
      <c r="Q397" s="66" t="s">
        <v>654</v>
      </c>
    </row>
    <row r="398" spans="2:17" ht="18.75" hidden="1" customHeight="1">
      <c r="B398" s="63" t="str">
        <f t="shared" si="10"/>
        <v>No395</v>
      </c>
      <c r="C398" s="63" t="str">
        <f t="shared" si="11"/>
        <v>202510</v>
      </c>
      <c r="D398" s="63" t="s">
        <v>142</v>
      </c>
      <c r="E398" s="63" t="s">
        <v>155</v>
      </c>
      <c r="F398" s="64">
        <v>45950.395833333343</v>
      </c>
      <c r="G398" s="64">
        <v>45950.46875</v>
      </c>
      <c r="H398" s="63">
        <f>IF(F398="", "", NETWORKDAYS.INTL(F398, G398, 11,祝日シート!A:A))</f>
        <v>1</v>
      </c>
      <c r="I398" s="65">
        <v>2.0833333333333329E-2</v>
      </c>
      <c r="J398" s="63" t="s">
        <v>119</v>
      </c>
      <c r="K398" s="63" t="s">
        <v>159</v>
      </c>
      <c r="L398" s="63"/>
      <c r="M398" s="63" t="s">
        <v>160</v>
      </c>
      <c r="N398" s="63" t="s">
        <v>122</v>
      </c>
      <c r="O398" s="63" t="s">
        <v>7</v>
      </c>
      <c r="P398" s="66" t="s">
        <v>179</v>
      </c>
      <c r="Q398" s="66" t="s">
        <v>158</v>
      </c>
    </row>
    <row r="399" spans="2:17" ht="18.75" hidden="1" customHeight="1">
      <c r="B399" s="63" t="str">
        <f t="shared" si="10"/>
        <v>No396</v>
      </c>
      <c r="C399" s="63" t="str">
        <f t="shared" si="11"/>
        <v>202510</v>
      </c>
      <c r="D399" s="63" t="s">
        <v>142</v>
      </c>
      <c r="E399" s="63" t="s">
        <v>155</v>
      </c>
      <c r="F399" s="64">
        <v>45950.572916666657</v>
      </c>
      <c r="G399" s="64">
        <v>45950.586805555547</v>
      </c>
      <c r="H399" s="63">
        <f>IF(F399="", "", NETWORKDAYS.INTL(F399, G399, 11,祝日シート!A:A))</f>
        <v>1</v>
      </c>
      <c r="I399" s="65">
        <v>1.388888888888889E-2</v>
      </c>
      <c r="J399" s="63" t="s">
        <v>119</v>
      </c>
      <c r="K399" s="63" t="s">
        <v>77</v>
      </c>
      <c r="L399" s="63"/>
      <c r="M399" s="63" t="s">
        <v>144</v>
      </c>
      <c r="N399" s="63" t="s">
        <v>117</v>
      </c>
      <c r="O399" s="63" t="s">
        <v>7</v>
      </c>
      <c r="P399" s="66" t="s">
        <v>580</v>
      </c>
      <c r="Q399" s="66" t="s">
        <v>158</v>
      </c>
    </row>
    <row r="400" spans="2:17" ht="18.75" hidden="1" customHeight="1">
      <c r="B400" s="63" t="str">
        <f t="shared" si="10"/>
        <v>No397</v>
      </c>
      <c r="C400" s="63" t="str">
        <f t="shared" si="11"/>
        <v>202510</v>
      </c>
      <c r="D400" s="63" t="s">
        <v>142</v>
      </c>
      <c r="E400" s="63" t="s">
        <v>155</v>
      </c>
      <c r="F400" s="64">
        <v>45950.722222222219</v>
      </c>
      <c r="G400" s="64">
        <v>45951.409722222219</v>
      </c>
      <c r="H400" s="63">
        <f>IF(F400="", "", NETWORKDAYS.INTL(F400, G400, 11,祝日シート!A:A))</f>
        <v>2</v>
      </c>
      <c r="I400" s="65">
        <v>1.041666666666667E-2</v>
      </c>
      <c r="J400" s="63" t="s">
        <v>119</v>
      </c>
      <c r="K400" s="63" t="s">
        <v>77</v>
      </c>
      <c r="L400" s="63"/>
      <c r="M400" s="63" t="s">
        <v>144</v>
      </c>
      <c r="N400" s="63" t="s">
        <v>122</v>
      </c>
      <c r="O400" s="63" t="s">
        <v>7</v>
      </c>
      <c r="P400" s="66" t="s">
        <v>322</v>
      </c>
      <c r="Q400" s="66" t="s">
        <v>158</v>
      </c>
    </row>
    <row r="401" spans="2:17" ht="18.75" hidden="1" customHeight="1">
      <c r="B401" s="63" t="str">
        <f t="shared" si="10"/>
        <v>No398</v>
      </c>
      <c r="C401" s="63" t="str">
        <f t="shared" si="11"/>
        <v>202510</v>
      </c>
      <c r="D401" s="63" t="s">
        <v>142</v>
      </c>
      <c r="E401" s="63" t="s">
        <v>155</v>
      </c>
      <c r="F401" s="64">
        <v>45951.520833333343</v>
      </c>
      <c r="G401" s="64">
        <v>45951.583333333343</v>
      </c>
      <c r="H401" s="63">
        <f>IF(F401="", "", NETWORKDAYS.INTL(F401, G401, 11,祝日シート!A:A))</f>
        <v>1</v>
      </c>
      <c r="I401" s="65">
        <v>1.041666666666667E-2</v>
      </c>
      <c r="J401" s="63" t="s">
        <v>119</v>
      </c>
      <c r="K401" s="63" t="s">
        <v>159</v>
      </c>
      <c r="L401" s="63"/>
      <c r="M401" s="63" t="s">
        <v>207</v>
      </c>
      <c r="N401" s="63" t="s">
        <v>122</v>
      </c>
      <c r="O401" s="63" t="s">
        <v>7</v>
      </c>
      <c r="P401" s="66" t="s">
        <v>482</v>
      </c>
      <c r="Q401" s="66" t="s">
        <v>158</v>
      </c>
    </row>
    <row r="402" spans="2:17" ht="39" customHeight="1">
      <c r="B402" s="63" t="str">
        <f t="shared" si="10"/>
        <v>No399</v>
      </c>
      <c r="C402" s="63" t="str">
        <f t="shared" si="11"/>
        <v>202510</v>
      </c>
      <c r="D402" s="63" t="s">
        <v>166</v>
      </c>
      <c r="E402" s="63" t="s">
        <v>4</v>
      </c>
      <c r="F402" s="64">
        <v>45951.583333333343</v>
      </c>
      <c r="G402" s="64">
        <v>45951.666666666657</v>
      </c>
      <c r="H402" s="63">
        <f>IF(F402="", "", NETWORKDAYS.INTL(F402, G402, 11,祝日シート!A:A))</f>
        <v>1</v>
      </c>
      <c r="I402" s="65">
        <v>8.3333333333333329E-2</v>
      </c>
      <c r="J402" s="63" t="s">
        <v>20</v>
      </c>
      <c r="K402" s="63" t="s">
        <v>26</v>
      </c>
      <c r="L402" s="63"/>
      <c r="M402" s="63"/>
      <c r="N402" s="63" t="s">
        <v>6</v>
      </c>
      <c r="O402" s="63" t="s">
        <v>7</v>
      </c>
      <c r="P402" s="66" t="s">
        <v>655</v>
      </c>
      <c r="Q402" s="66" t="s">
        <v>656</v>
      </c>
    </row>
    <row r="403" spans="2:17" ht="39" customHeight="1">
      <c r="B403" s="63" t="str">
        <f t="shared" si="10"/>
        <v>No400</v>
      </c>
      <c r="C403" s="63" t="str">
        <f t="shared" si="11"/>
        <v>202510</v>
      </c>
      <c r="D403" s="63" t="s">
        <v>166</v>
      </c>
      <c r="E403" s="63" t="s">
        <v>4</v>
      </c>
      <c r="F403" s="64">
        <v>45952.375</v>
      </c>
      <c r="G403" s="64">
        <v>45952.395833333343</v>
      </c>
      <c r="H403" s="63">
        <f>IF(F403="", "", NETWORKDAYS.INTL(F403, G403, 11,祝日シート!A:A))</f>
        <v>1</v>
      </c>
      <c r="I403" s="65">
        <v>2.0833333333333329E-2</v>
      </c>
      <c r="J403" s="63" t="s">
        <v>61</v>
      </c>
      <c r="K403" s="63" t="s">
        <v>26</v>
      </c>
      <c r="L403" s="63"/>
      <c r="M403" s="63" t="s">
        <v>155</v>
      </c>
      <c r="N403" s="63" t="s">
        <v>6</v>
      </c>
      <c r="O403" s="63" t="s">
        <v>7</v>
      </c>
      <c r="P403" s="66" t="s">
        <v>657</v>
      </c>
      <c r="Q403" s="66" t="s">
        <v>658</v>
      </c>
    </row>
    <row r="404" spans="2:17" ht="39" customHeight="1">
      <c r="B404" s="63" t="str">
        <f t="shared" si="10"/>
        <v>No401</v>
      </c>
      <c r="C404" s="63" t="str">
        <f t="shared" si="11"/>
        <v>202510</v>
      </c>
      <c r="D404" s="63" t="s">
        <v>3</v>
      </c>
      <c r="E404" s="63" t="s">
        <v>4</v>
      </c>
      <c r="F404" s="64">
        <v>45952.541666666657</v>
      </c>
      <c r="G404" s="64">
        <v>45952.583333333343</v>
      </c>
      <c r="H404" s="63">
        <f>IF(F404="", "", NETWORKDAYS.INTL(F404, G404, 11,祝日シート!A:A))</f>
        <v>1</v>
      </c>
      <c r="I404" s="65">
        <v>4.1666666666666657E-2</v>
      </c>
      <c r="J404" s="63" t="s">
        <v>20</v>
      </c>
      <c r="K404" s="63" t="s">
        <v>26</v>
      </c>
      <c r="L404" s="63"/>
      <c r="M404" s="63"/>
      <c r="N404" s="63" t="s">
        <v>6</v>
      </c>
      <c r="O404" s="63" t="s">
        <v>614</v>
      </c>
      <c r="P404" s="66" t="s">
        <v>659</v>
      </c>
      <c r="Q404" s="66" t="s">
        <v>660</v>
      </c>
    </row>
    <row r="405" spans="2:17" ht="39" hidden="1" customHeight="1">
      <c r="B405" s="63" t="str">
        <f t="shared" si="10"/>
        <v>No402</v>
      </c>
      <c r="C405" s="63" t="str">
        <f t="shared" si="11"/>
        <v>202510</v>
      </c>
      <c r="D405" s="63" t="s">
        <v>142</v>
      </c>
      <c r="E405" s="63" t="s">
        <v>155</v>
      </c>
      <c r="F405" s="64">
        <v>45952.576388888891</v>
      </c>
      <c r="G405" s="64">
        <v>45952.583333333343</v>
      </c>
      <c r="H405" s="63">
        <f>IF(F405="", "", NETWORKDAYS.INTL(F405, G405, 11,祝日シート!A:A))</f>
        <v>1</v>
      </c>
      <c r="I405" s="65">
        <v>6.9444444444444441E-3</v>
      </c>
      <c r="J405" s="63" t="s">
        <v>119</v>
      </c>
      <c r="K405" s="63" t="s">
        <v>159</v>
      </c>
      <c r="L405" s="63"/>
      <c r="M405" s="63" t="s">
        <v>288</v>
      </c>
      <c r="N405" s="63" t="s">
        <v>122</v>
      </c>
      <c r="O405" s="63" t="s">
        <v>7</v>
      </c>
      <c r="P405" s="66" t="s">
        <v>482</v>
      </c>
      <c r="Q405" s="66" t="s">
        <v>158</v>
      </c>
    </row>
    <row r="406" spans="2:17" ht="39" customHeight="1">
      <c r="B406" s="63" t="str">
        <f t="shared" si="10"/>
        <v>No403</v>
      </c>
      <c r="C406" s="63" t="str">
        <f t="shared" si="11"/>
        <v>202510</v>
      </c>
      <c r="D406" s="63" t="s">
        <v>3</v>
      </c>
      <c r="E406" s="63" t="s">
        <v>4</v>
      </c>
      <c r="F406" s="64">
        <v>45953.375</v>
      </c>
      <c r="G406" s="64">
        <v>45953.395833333343</v>
      </c>
      <c r="H406" s="63">
        <f>IF(F406="", "", NETWORKDAYS.INTL(F406, G406, 11,祝日シート!A:A))</f>
        <v>1</v>
      </c>
      <c r="I406" s="65">
        <v>2.0833333333333329E-2</v>
      </c>
      <c r="J406" s="63" t="s">
        <v>20</v>
      </c>
      <c r="K406" s="63" t="s">
        <v>120</v>
      </c>
      <c r="L406" s="63"/>
      <c r="M406" s="63" t="s">
        <v>661</v>
      </c>
      <c r="N406" s="63" t="s">
        <v>6</v>
      </c>
      <c r="O406" s="63" t="s">
        <v>7</v>
      </c>
      <c r="P406" s="66" t="s">
        <v>662</v>
      </c>
      <c r="Q406" s="66" t="s">
        <v>663</v>
      </c>
    </row>
    <row r="407" spans="2:17" ht="39" customHeight="1">
      <c r="B407" s="63" t="str">
        <f t="shared" ref="B407:B470" si="12">"No"&amp;ROW()-3</f>
        <v>No404</v>
      </c>
      <c r="C407" s="63" t="str">
        <f t="shared" ref="C407:C470" si="13">IFERROR(IF(G407&lt;&gt;"",TEXT(G407,"yyyymm"),""),"")</f>
        <v>202510</v>
      </c>
      <c r="D407" s="63" t="s">
        <v>3</v>
      </c>
      <c r="E407" s="63" t="s">
        <v>4</v>
      </c>
      <c r="F407" s="64">
        <v>45953.375</v>
      </c>
      <c r="G407" s="64">
        <v>45953.625</v>
      </c>
      <c r="H407" s="63">
        <f>IF(F407="", "", NETWORKDAYS.INTL(F407, G407, 11,祝日シート!A:A))</f>
        <v>1</v>
      </c>
      <c r="I407" s="65">
        <v>0.25</v>
      </c>
      <c r="J407" s="63" t="s">
        <v>20</v>
      </c>
      <c r="K407" s="63" t="s">
        <v>26</v>
      </c>
      <c r="L407" s="63"/>
      <c r="M407" s="63" t="s">
        <v>626</v>
      </c>
      <c r="N407" s="63" t="s">
        <v>6</v>
      </c>
      <c r="O407" s="63" t="s">
        <v>7</v>
      </c>
      <c r="P407" s="66" t="s">
        <v>664</v>
      </c>
      <c r="Q407" s="66" t="s">
        <v>665</v>
      </c>
    </row>
    <row r="408" spans="2:17" ht="39" customHeight="1">
      <c r="B408" s="63" t="str">
        <f t="shared" si="12"/>
        <v>No405</v>
      </c>
      <c r="C408" s="63" t="str">
        <f t="shared" si="13"/>
        <v>202510</v>
      </c>
      <c r="D408" s="63" t="s">
        <v>166</v>
      </c>
      <c r="E408" s="63" t="s">
        <v>4</v>
      </c>
      <c r="F408" s="64">
        <v>45953.416666666657</v>
      </c>
      <c r="G408" s="64">
        <v>45953.583333333343</v>
      </c>
      <c r="H408" s="63">
        <f>IF(F408="", "", NETWORKDAYS.INTL(F408, G408, 11,祝日シート!A:A))</f>
        <v>1</v>
      </c>
      <c r="I408" s="65">
        <v>0.16666666666666671</v>
      </c>
      <c r="J408" s="63" t="s">
        <v>119</v>
      </c>
      <c r="K408" s="63" t="s">
        <v>26</v>
      </c>
      <c r="L408" s="63"/>
      <c r="M408" s="63"/>
      <c r="N408" s="63" t="s">
        <v>122</v>
      </c>
      <c r="O408" s="63" t="s">
        <v>614</v>
      </c>
      <c r="P408" s="66" t="s">
        <v>666</v>
      </c>
      <c r="Q408" s="66" t="s">
        <v>667</v>
      </c>
    </row>
    <row r="409" spans="2:17" ht="39" customHeight="1">
      <c r="B409" s="63" t="str">
        <f t="shared" si="12"/>
        <v>No406</v>
      </c>
      <c r="C409" s="63" t="str">
        <f t="shared" si="13"/>
        <v>202510</v>
      </c>
      <c r="D409" s="63" t="s">
        <v>104</v>
      </c>
      <c r="E409" s="63" t="s">
        <v>4</v>
      </c>
      <c r="F409" s="64">
        <v>45954.645833333343</v>
      </c>
      <c r="G409" s="64">
        <v>45954.65625</v>
      </c>
      <c r="H409" s="63">
        <f>IF(F409="", "", NETWORKDAYS.INTL(F409, G409, 11,祝日シート!A:A))</f>
        <v>1</v>
      </c>
      <c r="I409" s="65">
        <v>1.041666666666667E-2</v>
      </c>
      <c r="J409" s="63" t="s">
        <v>61</v>
      </c>
      <c r="K409" s="63" t="s">
        <v>26</v>
      </c>
      <c r="L409" s="63"/>
      <c r="M409" s="63"/>
      <c r="N409" s="63" t="s">
        <v>122</v>
      </c>
      <c r="O409" s="63" t="s">
        <v>7</v>
      </c>
      <c r="P409" s="66" t="s">
        <v>668</v>
      </c>
      <c r="Q409" s="66" t="s">
        <v>669</v>
      </c>
    </row>
    <row r="410" spans="2:17" ht="39" customHeight="1">
      <c r="B410" s="63" t="str">
        <f t="shared" si="12"/>
        <v>No407</v>
      </c>
      <c r="C410" s="63" t="str">
        <f t="shared" si="13"/>
        <v>202510</v>
      </c>
      <c r="D410" s="63" t="s">
        <v>166</v>
      </c>
      <c r="E410" s="63" t="s">
        <v>4</v>
      </c>
      <c r="F410" s="64">
        <v>45954.666666666657</v>
      </c>
      <c r="G410" s="64">
        <v>45954.708333333343</v>
      </c>
      <c r="H410" s="63">
        <f>IF(F410="", "", NETWORKDAYS.INTL(F410, G410, 11,祝日シート!A:A))</f>
        <v>1</v>
      </c>
      <c r="I410" s="65">
        <v>4.1666666666666657E-2</v>
      </c>
      <c r="J410" s="63" t="s">
        <v>119</v>
      </c>
      <c r="K410" s="63" t="s">
        <v>26</v>
      </c>
      <c r="L410" s="63"/>
      <c r="M410" s="63"/>
      <c r="N410" s="63" t="s">
        <v>122</v>
      </c>
      <c r="O410" s="63" t="s">
        <v>614</v>
      </c>
      <c r="P410" s="66" t="s">
        <v>670</v>
      </c>
      <c r="Q410" s="66" t="s">
        <v>667</v>
      </c>
    </row>
    <row r="411" spans="2:17" ht="39" customHeight="1">
      <c r="B411" s="63" t="str">
        <f t="shared" si="12"/>
        <v>No408</v>
      </c>
      <c r="C411" s="63" t="str">
        <f t="shared" si="13"/>
        <v>202510</v>
      </c>
      <c r="D411" s="63" t="s">
        <v>3</v>
      </c>
      <c r="E411" s="63" t="s">
        <v>4</v>
      </c>
      <c r="F411" s="64">
        <v>45954.666666666657</v>
      </c>
      <c r="G411" s="64">
        <v>45954.770833333343</v>
      </c>
      <c r="H411" s="63">
        <f>IF(F411="", "", NETWORKDAYS.INTL(F411, G411, 11,祝日シート!A:A))</f>
        <v>1</v>
      </c>
      <c r="I411" s="65">
        <v>0.1041666666666667</v>
      </c>
      <c r="J411" s="63" t="s">
        <v>40</v>
      </c>
      <c r="K411" s="63" t="s">
        <v>41</v>
      </c>
      <c r="L411" s="63"/>
      <c r="M411" s="63"/>
      <c r="N411" s="63" t="s">
        <v>122</v>
      </c>
      <c r="O411" s="63" t="s">
        <v>7</v>
      </c>
      <c r="P411" s="66" t="s">
        <v>671</v>
      </c>
      <c r="Q411" s="66" t="s">
        <v>672</v>
      </c>
    </row>
    <row r="412" spans="2:17" ht="39" customHeight="1">
      <c r="B412" s="63" t="str">
        <f t="shared" si="12"/>
        <v>No409</v>
      </c>
      <c r="C412" s="63" t="str">
        <f t="shared" si="13"/>
        <v>202510</v>
      </c>
      <c r="D412" s="63" t="s">
        <v>142</v>
      </c>
      <c r="E412" s="63" t="s">
        <v>4</v>
      </c>
      <c r="F412" s="64">
        <v>45956.583333333343</v>
      </c>
      <c r="G412" s="64">
        <v>45956.666666666657</v>
      </c>
      <c r="H412" s="63">
        <f>IF(F412="", "", NETWORKDAYS.INTL(F412, G412, 11,祝日シート!A:A))</f>
        <v>0</v>
      </c>
      <c r="I412" s="65">
        <v>8.3333333333333329E-2</v>
      </c>
      <c r="J412" s="63" t="s">
        <v>20</v>
      </c>
      <c r="K412" s="63" t="s">
        <v>77</v>
      </c>
      <c r="L412" s="63"/>
      <c r="M412" s="63" t="s">
        <v>673</v>
      </c>
      <c r="N412" s="63" t="s">
        <v>6</v>
      </c>
      <c r="O412" s="63" t="s">
        <v>7</v>
      </c>
      <c r="P412" s="66" t="s">
        <v>674</v>
      </c>
      <c r="Q412" s="66" t="s">
        <v>101</v>
      </c>
    </row>
    <row r="413" spans="2:17" ht="39" customHeight="1">
      <c r="B413" s="63" t="str">
        <f t="shared" si="12"/>
        <v>No410</v>
      </c>
      <c r="C413" s="63" t="str">
        <f t="shared" si="13"/>
        <v>202510</v>
      </c>
      <c r="D413" s="63" t="s">
        <v>3</v>
      </c>
      <c r="E413" s="63" t="s">
        <v>4</v>
      </c>
      <c r="F413" s="64">
        <v>45957.416666666657</v>
      </c>
      <c r="G413" s="64">
        <v>45957.5</v>
      </c>
      <c r="H413" s="63">
        <f>IF(F413="", "", NETWORKDAYS.INTL(F413, G413, 11,祝日シート!A:A))</f>
        <v>1</v>
      </c>
      <c r="I413" s="65">
        <v>8.3333333333333329E-2</v>
      </c>
      <c r="J413" s="63" t="s">
        <v>119</v>
      </c>
      <c r="K413" s="63" t="s">
        <v>159</v>
      </c>
      <c r="L413" s="63"/>
      <c r="M413" s="63" t="s">
        <v>675</v>
      </c>
      <c r="N413" s="63" t="s">
        <v>122</v>
      </c>
      <c r="O413" s="63" t="s">
        <v>7</v>
      </c>
      <c r="P413" s="66" t="s">
        <v>676</v>
      </c>
      <c r="Q413" s="66" t="s">
        <v>677</v>
      </c>
    </row>
    <row r="414" spans="2:17" ht="39" customHeight="1">
      <c r="B414" s="63" t="str">
        <f t="shared" si="12"/>
        <v>No411</v>
      </c>
      <c r="C414" s="63" t="str">
        <f t="shared" si="13"/>
        <v>202510</v>
      </c>
      <c r="D414" s="63" t="s">
        <v>166</v>
      </c>
      <c r="E414" s="63" t="s">
        <v>4</v>
      </c>
      <c r="F414" s="64">
        <v>45957.583333333343</v>
      </c>
      <c r="G414" s="64">
        <v>45957.625</v>
      </c>
      <c r="H414" s="63">
        <f>IF(F414="", "", NETWORKDAYS.INTL(F414, G414, 11,祝日シート!A:A))</f>
        <v>1</v>
      </c>
      <c r="I414" s="65">
        <v>4.1666666666666657E-2</v>
      </c>
      <c r="J414" s="63" t="s">
        <v>119</v>
      </c>
      <c r="K414" s="63"/>
      <c r="L414" s="63"/>
      <c r="M414" s="63"/>
      <c r="N414" s="63" t="s">
        <v>122</v>
      </c>
      <c r="O414" s="63" t="s">
        <v>614</v>
      </c>
      <c r="P414" s="66" t="s">
        <v>678</v>
      </c>
      <c r="Q414" s="66" t="s">
        <v>667</v>
      </c>
    </row>
    <row r="415" spans="2:17" ht="39" customHeight="1">
      <c r="B415" s="63" t="str">
        <f t="shared" si="12"/>
        <v>No412</v>
      </c>
      <c r="C415" s="63" t="str">
        <f t="shared" si="13"/>
        <v>202510</v>
      </c>
      <c r="D415" s="63" t="s">
        <v>3</v>
      </c>
      <c r="E415" s="63" t="s">
        <v>4</v>
      </c>
      <c r="F415" s="64">
        <v>45957.666666666657</v>
      </c>
      <c r="G415" s="64">
        <v>45957.770833333343</v>
      </c>
      <c r="H415" s="63">
        <f>IF(F415="", "", NETWORKDAYS.INTL(F415, G415, 11,祝日シート!A:A))</f>
        <v>1</v>
      </c>
      <c r="I415" s="65">
        <v>0.1041666666666667</v>
      </c>
      <c r="J415" s="63" t="s">
        <v>119</v>
      </c>
      <c r="K415" s="63" t="s">
        <v>77</v>
      </c>
      <c r="L415" s="63"/>
      <c r="M415" s="63" t="s">
        <v>679</v>
      </c>
      <c r="N415" s="63" t="s">
        <v>6</v>
      </c>
      <c r="O415" s="63" t="s">
        <v>7</v>
      </c>
      <c r="P415" s="66" t="s">
        <v>680</v>
      </c>
      <c r="Q415" s="66" t="s">
        <v>677</v>
      </c>
    </row>
    <row r="416" spans="2:17" ht="39" customHeight="1">
      <c r="B416" s="63" t="str">
        <f t="shared" si="12"/>
        <v>No413</v>
      </c>
      <c r="C416" s="63" t="str">
        <f t="shared" si="13"/>
        <v>202510</v>
      </c>
      <c r="D416" s="63" t="s">
        <v>142</v>
      </c>
      <c r="E416" s="63" t="s">
        <v>4</v>
      </c>
      <c r="F416" s="64">
        <v>45958.375</v>
      </c>
      <c r="G416" s="64">
        <v>45958.4375</v>
      </c>
      <c r="H416" s="63">
        <f>IF(F416="", "", NETWORKDAYS.INTL(F416, G416, 11,祝日シート!A:A))</f>
        <v>1</v>
      </c>
      <c r="I416" s="65">
        <v>6.25E-2</v>
      </c>
      <c r="J416" s="63" t="s">
        <v>20</v>
      </c>
      <c r="K416" s="63" t="s">
        <v>77</v>
      </c>
      <c r="L416" s="63"/>
      <c r="M416" s="63" t="s">
        <v>679</v>
      </c>
      <c r="N416" s="63" t="s">
        <v>6</v>
      </c>
      <c r="O416" s="63" t="s">
        <v>7</v>
      </c>
      <c r="P416" s="66" t="s">
        <v>681</v>
      </c>
      <c r="Q416" s="66" t="s">
        <v>682</v>
      </c>
    </row>
    <row r="417" spans="2:17" ht="39" hidden="1" customHeight="1">
      <c r="B417" s="63" t="str">
        <f t="shared" si="12"/>
        <v>No414</v>
      </c>
      <c r="C417" s="63" t="str">
        <f t="shared" si="13"/>
        <v>202510</v>
      </c>
      <c r="D417" s="63" t="s">
        <v>142</v>
      </c>
      <c r="E417" s="63" t="s">
        <v>155</v>
      </c>
      <c r="F417" s="64">
        <v>45958.395833333343</v>
      </c>
      <c r="G417" s="64">
        <v>45958.416666666657</v>
      </c>
      <c r="H417" s="63">
        <f>IF(F417="", "", NETWORKDAYS.INTL(F417, G417, 11,祝日シート!A:A))</f>
        <v>1</v>
      </c>
      <c r="I417" s="65">
        <v>1.041666666666667E-2</v>
      </c>
      <c r="J417" s="63" t="s">
        <v>119</v>
      </c>
      <c r="K417" s="63" t="s">
        <v>111</v>
      </c>
      <c r="L417" s="63"/>
      <c r="M417" s="63" t="s">
        <v>215</v>
      </c>
      <c r="N417" s="63" t="s">
        <v>122</v>
      </c>
      <c r="O417" s="63" t="s">
        <v>7</v>
      </c>
      <c r="P417" s="66" t="s">
        <v>482</v>
      </c>
      <c r="Q417" s="66" t="s">
        <v>158</v>
      </c>
    </row>
    <row r="418" spans="2:17" ht="39" customHeight="1">
      <c r="B418" s="63" t="str">
        <f t="shared" si="12"/>
        <v>No415</v>
      </c>
      <c r="C418" s="63" t="str">
        <f t="shared" si="13"/>
        <v>202510</v>
      </c>
      <c r="D418" s="63" t="s">
        <v>3</v>
      </c>
      <c r="E418" s="63" t="s">
        <v>4</v>
      </c>
      <c r="F418" s="64">
        <v>45958.4375</v>
      </c>
      <c r="G418" s="64">
        <v>45958.458333333343</v>
      </c>
      <c r="H418" s="63">
        <f>IF(F418="", "", NETWORKDAYS.INTL(F418, G418, 11,祝日シート!A:A))</f>
        <v>1</v>
      </c>
      <c r="I418" s="65">
        <v>2.0833333333333329E-2</v>
      </c>
      <c r="J418" s="63" t="s">
        <v>119</v>
      </c>
      <c r="K418" s="63" t="s">
        <v>159</v>
      </c>
      <c r="L418" s="63"/>
      <c r="M418" s="63" t="s">
        <v>675</v>
      </c>
      <c r="N418" s="63" t="s">
        <v>122</v>
      </c>
      <c r="O418" s="63" t="s">
        <v>7</v>
      </c>
      <c r="P418" s="66" t="s">
        <v>683</v>
      </c>
      <c r="Q418" s="66" t="s">
        <v>677</v>
      </c>
    </row>
    <row r="419" spans="2:17" ht="39" customHeight="1">
      <c r="B419" s="63" t="str">
        <f t="shared" si="12"/>
        <v>No416</v>
      </c>
      <c r="C419" s="63" t="str">
        <f t="shared" si="13"/>
        <v>202510</v>
      </c>
      <c r="D419" s="63" t="s">
        <v>3</v>
      </c>
      <c r="E419" s="63" t="s">
        <v>4</v>
      </c>
      <c r="F419" s="64">
        <v>45958.541666666657</v>
      </c>
      <c r="G419" s="64">
        <v>45958.583333333343</v>
      </c>
      <c r="H419" s="63">
        <f>IF(F419="", "", NETWORKDAYS.INTL(F419, G419, 11,祝日シート!A:A))</f>
        <v>1</v>
      </c>
      <c r="I419" s="65">
        <v>4.1666666666666657E-2</v>
      </c>
      <c r="J419" s="63" t="s">
        <v>95</v>
      </c>
      <c r="K419" s="63" t="s">
        <v>21</v>
      </c>
      <c r="L419" s="63"/>
      <c r="M419" s="63" t="s">
        <v>568</v>
      </c>
      <c r="N419" s="63" t="s">
        <v>6</v>
      </c>
      <c r="O419" s="63" t="s">
        <v>7</v>
      </c>
      <c r="P419" s="66" t="s">
        <v>684</v>
      </c>
      <c r="Q419" s="66" t="s">
        <v>685</v>
      </c>
    </row>
    <row r="420" spans="2:17" ht="39" customHeight="1">
      <c r="B420" s="63" t="str">
        <f t="shared" si="12"/>
        <v>No417</v>
      </c>
      <c r="C420" s="63" t="str">
        <f t="shared" si="13"/>
        <v>202510</v>
      </c>
      <c r="D420" s="63" t="s">
        <v>166</v>
      </c>
      <c r="E420" s="63" t="s">
        <v>4</v>
      </c>
      <c r="F420" s="64">
        <v>45958.583333333343</v>
      </c>
      <c r="G420" s="64">
        <v>45958.590277777781</v>
      </c>
      <c r="H420" s="63">
        <f>IF(F420="", "", NETWORKDAYS.INTL(F420, G420, 11,祝日シート!A:A))</f>
        <v>1</v>
      </c>
      <c r="I420" s="65">
        <v>6.9444444444444441E-3</v>
      </c>
      <c r="J420" s="63" t="s">
        <v>143</v>
      </c>
      <c r="K420" s="63" t="s">
        <v>26</v>
      </c>
      <c r="L420" s="63"/>
      <c r="M420" s="63"/>
      <c r="N420" s="63" t="s">
        <v>6</v>
      </c>
      <c r="O420" s="63" t="s">
        <v>7</v>
      </c>
      <c r="P420" s="66" t="s">
        <v>686</v>
      </c>
      <c r="Q420" s="66" t="s">
        <v>687</v>
      </c>
    </row>
    <row r="421" spans="2:17" ht="39" customHeight="1">
      <c r="B421" s="63" t="str">
        <f t="shared" si="12"/>
        <v>No418</v>
      </c>
      <c r="C421" s="63" t="str">
        <f t="shared" si="13"/>
        <v>202510</v>
      </c>
      <c r="D421" s="63" t="s">
        <v>186</v>
      </c>
      <c r="E421" s="63" t="s">
        <v>4</v>
      </c>
      <c r="F421" s="64">
        <v>45958.583333333343</v>
      </c>
      <c r="G421" s="64">
        <v>45958.597222222219</v>
      </c>
      <c r="H421" s="63">
        <f>IF(F421="", "", NETWORKDAYS.INTL(F421, G421, 11,祝日シート!A:A))</f>
        <v>1</v>
      </c>
      <c r="I421" s="65">
        <v>1.388888888888889E-2</v>
      </c>
      <c r="J421" s="63" t="s">
        <v>20</v>
      </c>
      <c r="K421" s="63" t="s">
        <v>159</v>
      </c>
      <c r="L421" s="63"/>
      <c r="M421" s="63" t="s">
        <v>402</v>
      </c>
      <c r="N421" s="63" t="s">
        <v>6</v>
      </c>
      <c r="O421" s="63" t="s">
        <v>7</v>
      </c>
      <c r="P421" s="66" t="s">
        <v>688</v>
      </c>
      <c r="Q421" s="66" t="s">
        <v>689</v>
      </c>
    </row>
    <row r="422" spans="2:17" ht="39" customHeight="1">
      <c r="B422" s="63" t="str">
        <f t="shared" si="12"/>
        <v>No419</v>
      </c>
      <c r="C422" s="63" t="str">
        <f t="shared" si="13"/>
        <v>202510</v>
      </c>
      <c r="D422" s="63" t="s">
        <v>166</v>
      </c>
      <c r="E422" s="63" t="s">
        <v>4</v>
      </c>
      <c r="F422" s="64">
        <v>45958.666666666657</v>
      </c>
      <c r="G422" s="64">
        <v>45958.708333333343</v>
      </c>
      <c r="H422" s="63">
        <f>IF(F422="", "", NETWORKDAYS.INTL(F422, G422, 11,祝日シート!A:A))</f>
        <v>1</v>
      </c>
      <c r="I422" s="65">
        <v>4.1666666666666657E-2</v>
      </c>
      <c r="J422" s="63" t="s">
        <v>61</v>
      </c>
      <c r="K422" s="63" t="s">
        <v>26</v>
      </c>
      <c r="L422" s="63"/>
      <c r="M422" s="63"/>
      <c r="N422" s="63" t="s">
        <v>122</v>
      </c>
      <c r="O422" s="63" t="s">
        <v>7</v>
      </c>
      <c r="P422" s="66" t="s">
        <v>690</v>
      </c>
      <c r="Q422" s="66" t="s">
        <v>101</v>
      </c>
    </row>
    <row r="423" spans="2:17" ht="39" hidden="1" customHeight="1">
      <c r="B423" s="63" t="str">
        <f t="shared" si="12"/>
        <v>No420</v>
      </c>
      <c r="C423" s="63" t="str">
        <f t="shared" si="13"/>
        <v>202510</v>
      </c>
      <c r="D423" s="63" t="s">
        <v>142</v>
      </c>
      <c r="E423" s="63" t="s">
        <v>155</v>
      </c>
      <c r="F423" s="64">
        <v>45958.697916666657</v>
      </c>
      <c r="G423" s="64">
        <v>45958.729166666657</v>
      </c>
      <c r="H423" s="63">
        <f>IF(F423="", "", NETWORKDAYS.INTL(F423, G423, 11,祝日シート!A:A))</f>
        <v>1</v>
      </c>
      <c r="I423" s="65">
        <v>1.041666666666667E-2</v>
      </c>
      <c r="J423" s="63" t="s">
        <v>119</v>
      </c>
      <c r="K423" s="63" t="s">
        <v>111</v>
      </c>
      <c r="L423" s="63"/>
      <c r="M423" s="63" t="s">
        <v>253</v>
      </c>
      <c r="N423" s="63" t="s">
        <v>122</v>
      </c>
      <c r="O423" s="63" t="s">
        <v>7</v>
      </c>
      <c r="P423" s="66" t="s">
        <v>246</v>
      </c>
      <c r="Q423" s="66" t="s">
        <v>158</v>
      </c>
    </row>
    <row r="424" spans="2:17" ht="39" hidden="1" customHeight="1">
      <c r="B424" s="63" t="str">
        <f t="shared" si="12"/>
        <v>No421</v>
      </c>
      <c r="C424" s="63" t="str">
        <f t="shared" si="13"/>
        <v>202510</v>
      </c>
      <c r="D424" s="63" t="s">
        <v>142</v>
      </c>
      <c r="E424" s="63" t="s">
        <v>155</v>
      </c>
      <c r="F424" s="64">
        <v>45958.743055555547</v>
      </c>
      <c r="G424" s="64">
        <v>45958.756944444453</v>
      </c>
      <c r="H424" s="63">
        <f>IF(F424="", "", NETWORKDAYS.INTL(F424, G424, 11,祝日シート!A:A))</f>
        <v>1</v>
      </c>
      <c r="I424" s="65">
        <v>1.388888888888889E-2</v>
      </c>
      <c r="J424" s="63" t="s">
        <v>119</v>
      </c>
      <c r="K424" s="63" t="s">
        <v>77</v>
      </c>
      <c r="L424" s="63"/>
      <c r="M424" s="63" t="s">
        <v>144</v>
      </c>
      <c r="N424" s="63" t="s">
        <v>117</v>
      </c>
      <c r="O424" s="63" t="s">
        <v>7</v>
      </c>
      <c r="P424" s="66" t="s">
        <v>580</v>
      </c>
      <c r="Q424" s="66" t="s">
        <v>158</v>
      </c>
    </row>
    <row r="425" spans="2:17" ht="39" customHeight="1">
      <c r="B425" s="63" t="str">
        <f t="shared" si="12"/>
        <v>No422</v>
      </c>
      <c r="C425" s="63" t="str">
        <f t="shared" si="13"/>
        <v>202510</v>
      </c>
      <c r="D425" s="63" t="s">
        <v>142</v>
      </c>
      <c r="E425" s="63" t="s">
        <v>4</v>
      </c>
      <c r="F425" s="64">
        <v>45959.541666666657</v>
      </c>
      <c r="G425" s="64">
        <v>45959.5625</v>
      </c>
      <c r="H425" s="63">
        <f>IF(F425="", "", NETWORKDAYS.INTL(F425, G425, 11,祝日シート!A:A))</f>
        <v>1</v>
      </c>
      <c r="I425" s="65">
        <v>2.0833333333333329E-2</v>
      </c>
      <c r="J425" s="63" t="s">
        <v>119</v>
      </c>
      <c r="K425" s="63" t="s">
        <v>26</v>
      </c>
      <c r="L425" s="63"/>
      <c r="M425" s="63"/>
      <c r="N425" s="63" t="s">
        <v>6</v>
      </c>
      <c r="O425" s="63" t="s">
        <v>7</v>
      </c>
      <c r="P425" s="66" t="s">
        <v>691</v>
      </c>
      <c r="Q425" s="66" t="s">
        <v>692</v>
      </c>
    </row>
    <row r="426" spans="2:17" ht="39" hidden="1" customHeight="1">
      <c r="B426" s="63" t="str">
        <f t="shared" si="12"/>
        <v>No423</v>
      </c>
      <c r="C426" s="63" t="str">
        <f t="shared" si="13"/>
        <v>202510</v>
      </c>
      <c r="D426" s="63" t="s">
        <v>142</v>
      </c>
      <c r="E426" s="63" t="s">
        <v>155</v>
      </c>
      <c r="F426" s="64">
        <v>45959.541666666657</v>
      </c>
      <c r="G426" s="64">
        <v>45959.569444444453</v>
      </c>
      <c r="H426" s="63">
        <f>IF(F426="", "", NETWORKDAYS.INTL(F426, G426, 11,祝日シート!A:A))</f>
        <v>1</v>
      </c>
      <c r="I426" s="65">
        <v>1.388888888888889E-2</v>
      </c>
      <c r="J426" s="63" t="s">
        <v>119</v>
      </c>
      <c r="K426" s="63" t="s">
        <v>41</v>
      </c>
      <c r="L426" s="63"/>
      <c r="M426" s="63" t="s">
        <v>277</v>
      </c>
      <c r="N426" s="63" t="s">
        <v>122</v>
      </c>
      <c r="O426" s="63" t="s">
        <v>7</v>
      </c>
      <c r="P426" s="66" t="s">
        <v>693</v>
      </c>
      <c r="Q426" s="66" t="s">
        <v>158</v>
      </c>
    </row>
    <row r="427" spans="2:17" ht="39" hidden="1" customHeight="1">
      <c r="B427" s="63" t="str">
        <f t="shared" si="12"/>
        <v>No424</v>
      </c>
      <c r="C427" s="63" t="str">
        <f t="shared" si="13"/>
        <v>202510</v>
      </c>
      <c r="D427" s="63" t="s">
        <v>142</v>
      </c>
      <c r="E427" s="63" t="s">
        <v>155</v>
      </c>
      <c r="F427" s="64">
        <v>45960.645833333343</v>
      </c>
      <c r="G427" s="64">
        <v>45960.697916666657</v>
      </c>
      <c r="H427" s="63">
        <f>IF(F427="", "", NETWORKDAYS.INTL(F427, G427, 11,祝日シート!A:A))</f>
        <v>1</v>
      </c>
      <c r="I427" s="65">
        <v>1.041666666666667E-2</v>
      </c>
      <c r="J427" s="63" t="s">
        <v>119</v>
      </c>
      <c r="K427" s="63" t="s">
        <v>111</v>
      </c>
      <c r="L427" s="63"/>
      <c r="M427" s="63" t="s">
        <v>339</v>
      </c>
      <c r="N427" s="63" t="s">
        <v>122</v>
      </c>
      <c r="O427" s="63" t="s">
        <v>7</v>
      </c>
      <c r="P427" s="66" t="s">
        <v>246</v>
      </c>
      <c r="Q427" s="66" t="s">
        <v>158</v>
      </c>
    </row>
    <row r="428" spans="2:17" ht="39" hidden="1" customHeight="1">
      <c r="B428" s="63" t="str">
        <f t="shared" si="12"/>
        <v>No425</v>
      </c>
      <c r="C428" s="63" t="str">
        <f t="shared" si="13"/>
        <v>202510</v>
      </c>
      <c r="D428" s="63" t="s">
        <v>142</v>
      </c>
      <c r="E428" s="63" t="s">
        <v>155</v>
      </c>
      <c r="F428" s="64">
        <v>45960.694444444453</v>
      </c>
      <c r="G428" s="64">
        <v>45960.701388888891</v>
      </c>
      <c r="H428" s="63">
        <f>IF(F428="", "", NETWORKDAYS.INTL(F428, G428, 11,祝日シート!A:A))</f>
        <v>1</v>
      </c>
      <c r="I428" s="65">
        <v>6.9444444444444441E-3</v>
      </c>
      <c r="J428" s="63" t="s">
        <v>119</v>
      </c>
      <c r="K428" s="63" t="s">
        <v>159</v>
      </c>
      <c r="L428" s="63"/>
      <c r="M428" s="63" t="s">
        <v>187</v>
      </c>
      <c r="N428" s="63" t="s">
        <v>122</v>
      </c>
      <c r="O428" s="63" t="s">
        <v>7</v>
      </c>
      <c r="P428" s="66" t="s">
        <v>482</v>
      </c>
      <c r="Q428" s="66" t="s">
        <v>158</v>
      </c>
    </row>
    <row r="429" spans="2:17" ht="39" hidden="1" customHeight="1">
      <c r="B429" s="63" t="str">
        <f t="shared" si="12"/>
        <v>No426</v>
      </c>
      <c r="C429" s="63" t="str">
        <f t="shared" si="13"/>
        <v>202510</v>
      </c>
      <c r="D429" s="63" t="s">
        <v>142</v>
      </c>
      <c r="E429" s="63" t="s">
        <v>155</v>
      </c>
      <c r="F429" s="64">
        <v>45961.548611111109</v>
      </c>
      <c r="G429" s="64">
        <v>45961.555555555547</v>
      </c>
      <c r="H429" s="63">
        <f>IF(F429="", "", NETWORKDAYS.INTL(F429, G429, 11,祝日シート!A:A))</f>
        <v>1</v>
      </c>
      <c r="I429" s="65">
        <v>1.388888888888889E-2</v>
      </c>
      <c r="J429" s="63" t="s">
        <v>119</v>
      </c>
      <c r="K429" s="63" t="s">
        <v>41</v>
      </c>
      <c r="L429" s="63"/>
      <c r="M429" s="63" t="s">
        <v>277</v>
      </c>
      <c r="N429" s="63" t="s">
        <v>122</v>
      </c>
      <c r="O429" s="63" t="s">
        <v>7</v>
      </c>
      <c r="P429" s="66" t="s">
        <v>693</v>
      </c>
      <c r="Q429" s="66" t="s">
        <v>158</v>
      </c>
    </row>
    <row r="430" spans="2:17" ht="39" hidden="1" customHeight="1">
      <c r="B430" s="63" t="str">
        <f t="shared" si="12"/>
        <v>No427</v>
      </c>
      <c r="C430" s="63" t="str">
        <f t="shared" si="13"/>
        <v>202510</v>
      </c>
      <c r="D430" s="63" t="s">
        <v>142</v>
      </c>
      <c r="E430" s="63" t="s">
        <v>155</v>
      </c>
      <c r="F430" s="64">
        <v>45961.645833333343</v>
      </c>
      <c r="G430" s="64">
        <v>45961.708333333343</v>
      </c>
      <c r="H430" s="63">
        <f>IF(F430="", "", NETWORKDAYS.INTL(F430, G430, 11,祝日シート!A:A))</f>
        <v>1</v>
      </c>
      <c r="I430" s="65">
        <v>1.041666666666667E-2</v>
      </c>
      <c r="J430" s="63" t="s">
        <v>119</v>
      </c>
      <c r="K430" s="63" t="s">
        <v>111</v>
      </c>
      <c r="L430" s="63"/>
      <c r="M430" s="63" t="s">
        <v>245</v>
      </c>
      <c r="N430" s="63" t="s">
        <v>122</v>
      </c>
      <c r="O430" s="63" t="s">
        <v>7</v>
      </c>
      <c r="P430" s="66" t="s">
        <v>246</v>
      </c>
      <c r="Q430" s="66" t="s">
        <v>158</v>
      </c>
    </row>
    <row r="431" spans="2:17" ht="43.5" hidden="1" customHeight="1">
      <c r="B431" s="63" t="str">
        <f t="shared" si="12"/>
        <v>No428</v>
      </c>
      <c r="C431" s="63" t="str">
        <f t="shared" si="13"/>
        <v>202511</v>
      </c>
      <c r="D431" s="63" t="s">
        <v>142</v>
      </c>
      <c r="E431" s="63" t="s">
        <v>155</v>
      </c>
      <c r="F431" s="64">
        <v>45968.413194444453</v>
      </c>
      <c r="G431" s="64">
        <v>45968.416666666657</v>
      </c>
      <c r="H431" s="63">
        <f>IF(F431="", "", NETWORKDAYS.INTL(F431, G431, 11,祝日シート!A:A))</f>
        <v>1</v>
      </c>
      <c r="I431" s="65">
        <v>3.472222222222222E-3</v>
      </c>
      <c r="J431" s="63" t="s">
        <v>119</v>
      </c>
      <c r="K431" s="63" t="s">
        <v>111</v>
      </c>
      <c r="L431" s="63"/>
      <c r="M431" s="63" t="s">
        <v>215</v>
      </c>
      <c r="N431" s="63" t="s">
        <v>122</v>
      </c>
      <c r="O431" s="63" t="s">
        <v>7</v>
      </c>
      <c r="P431" s="66" t="s">
        <v>482</v>
      </c>
      <c r="Q431" s="66" t="s">
        <v>158</v>
      </c>
    </row>
    <row r="432" spans="2:17" ht="43.5" hidden="1" customHeight="1">
      <c r="B432" s="63" t="str">
        <f t="shared" si="12"/>
        <v>No429</v>
      </c>
      <c r="C432" s="63" t="str">
        <f t="shared" si="13"/>
        <v>202511</v>
      </c>
      <c r="D432" s="63" t="s">
        <v>142</v>
      </c>
      <c r="E432" s="63" t="s">
        <v>155</v>
      </c>
      <c r="F432" s="64">
        <v>45972.381944444453</v>
      </c>
      <c r="G432" s="64">
        <v>45972.392361111109</v>
      </c>
      <c r="H432" s="63">
        <f>IF(F432="", "", NETWORKDAYS.INTL(F432, G432, 11,祝日シート!A:A))</f>
        <v>1</v>
      </c>
      <c r="I432" s="65">
        <v>6.9444444444444441E-3</v>
      </c>
      <c r="J432" s="63" t="s">
        <v>119</v>
      </c>
      <c r="K432" s="63" t="s">
        <v>159</v>
      </c>
      <c r="L432" s="63"/>
      <c r="M432" s="63" t="s">
        <v>187</v>
      </c>
      <c r="N432" s="63" t="s">
        <v>122</v>
      </c>
      <c r="O432" s="63" t="s">
        <v>7</v>
      </c>
      <c r="P432" s="66" t="s">
        <v>482</v>
      </c>
      <c r="Q432" s="66" t="s">
        <v>158</v>
      </c>
    </row>
    <row r="433" spans="2:17" ht="43.5" hidden="1" customHeight="1">
      <c r="B433" s="63" t="str">
        <f t="shared" si="12"/>
        <v>No430</v>
      </c>
      <c r="C433" s="63" t="str">
        <f t="shared" si="13"/>
        <v>202511</v>
      </c>
      <c r="D433" s="63" t="s">
        <v>142</v>
      </c>
      <c r="E433" s="63" t="s">
        <v>155</v>
      </c>
      <c r="F433" s="64">
        <v>45972.388888888891</v>
      </c>
      <c r="G433" s="64">
        <v>45972.395833333343</v>
      </c>
      <c r="H433" s="63">
        <f>IF(F433="", "", NETWORKDAYS.INTL(F433, G433, 11,祝日シート!A:A))</f>
        <v>1</v>
      </c>
      <c r="I433" s="65">
        <v>6.9444444444444441E-3</v>
      </c>
      <c r="J433" s="63" t="s">
        <v>119</v>
      </c>
      <c r="K433" s="63" t="s">
        <v>159</v>
      </c>
      <c r="L433" s="63"/>
      <c r="M433" s="63" t="s">
        <v>288</v>
      </c>
      <c r="N433" s="63" t="s">
        <v>122</v>
      </c>
      <c r="O433" s="63" t="s">
        <v>7</v>
      </c>
      <c r="P433" s="66" t="s">
        <v>482</v>
      </c>
      <c r="Q433" s="66" t="s">
        <v>158</v>
      </c>
    </row>
    <row r="434" spans="2:17" ht="43.5" hidden="1" customHeight="1">
      <c r="B434" s="63" t="str">
        <f t="shared" si="12"/>
        <v>No431</v>
      </c>
      <c r="C434" s="63" t="str">
        <f t="shared" si="13"/>
        <v>202511</v>
      </c>
      <c r="D434" s="63" t="s">
        <v>142</v>
      </c>
      <c r="E434" s="63" t="s">
        <v>155</v>
      </c>
      <c r="F434" s="64">
        <v>45973.447916666657</v>
      </c>
      <c r="G434" s="64">
        <v>45973.458333333343</v>
      </c>
      <c r="H434" s="63">
        <f>IF(F434="", "", NETWORKDAYS.INTL(F434, G434, 11,祝日シート!A:A))</f>
        <v>1</v>
      </c>
      <c r="I434" s="65">
        <v>1.041666666666667E-2</v>
      </c>
      <c r="J434" s="63" t="s">
        <v>119</v>
      </c>
      <c r="K434" s="63" t="s">
        <v>111</v>
      </c>
      <c r="L434" s="63"/>
      <c r="M434" s="63" t="s">
        <v>215</v>
      </c>
      <c r="N434" s="63" t="s">
        <v>122</v>
      </c>
      <c r="O434" s="63" t="s">
        <v>7</v>
      </c>
      <c r="P434" s="66" t="s">
        <v>246</v>
      </c>
      <c r="Q434" s="66" t="s">
        <v>158</v>
      </c>
    </row>
    <row r="435" spans="2:17" ht="43.5" hidden="1" customHeight="1">
      <c r="B435" s="63" t="str">
        <f t="shared" si="12"/>
        <v>No432</v>
      </c>
      <c r="C435" s="63" t="str">
        <f t="shared" si="13"/>
        <v>202511</v>
      </c>
      <c r="D435" s="63" t="s">
        <v>142</v>
      </c>
      <c r="E435" s="63" t="s">
        <v>155</v>
      </c>
      <c r="F435" s="64">
        <v>45973.708333333343</v>
      </c>
      <c r="G435" s="64">
        <v>45975.777777777781</v>
      </c>
      <c r="H435" s="63">
        <f>IF(F435="", "", NETWORKDAYS.INTL(F435, G435, 11,祝日シート!A:A))</f>
        <v>3</v>
      </c>
      <c r="I435" s="65">
        <v>8.3333333333333329E-2</v>
      </c>
      <c r="J435" s="63" t="s">
        <v>119</v>
      </c>
      <c r="K435" s="63" t="s">
        <v>159</v>
      </c>
      <c r="L435" s="63"/>
      <c r="M435" s="63" t="s">
        <v>160</v>
      </c>
      <c r="N435" s="63" t="s">
        <v>122</v>
      </c>
      <c r="O435" s="63" t="s">
        <v>7</v>
      </c>
      <c r="P435" s="66" t="s">
        <v>512</v>
      </c>
      <c r="Q435" s="66" t="s">
        <v>158</v>
      </c>
    </row>
    <row r="436" spans="2:17" ht="43.5" hidden="1" customHeight="1">
      <c r="B436" s="63" t="str">
        <f t="shared" si="12"/>
        <v>No433</v>
      </c>
      <c r="C436" s="63" t="str">
        <f t="shared" si="13"/>
        <v>202511</v>
      </c>
      <c r="D436" s="63" t="s">
        <v>142</v>
      </c>
      <c r="E436" s="63" t="s">
        <v>155</v>
      </c>
      <c r="F436" s="64">
        <v>45974.5625</v>
      </c>
      <c r="G436" s="64">
        <v>45974.364583333343</v>
      </c>
      <c r="H436" s="63">
        <f>IF(F436="", "", NETWORKDAYS.INTL(F436, G436, 11,祝日シート!A:A))</f>
        <v>1</v>
      </c>
      <c r="I436" s="65">
        <v>1.041666666666667E-2</v>
      </c>
      <c r="J436" s="63" t="s">
        <v>119</v>
      </c>
      <c r="K436" s="63" t="s">
        <v>77</v>
      </c>
      <c r="L436" s="63"/>
      <c r="M436" s="63" t="s">
        <v>198</v>
      </c>
      <c r="N436" s="63" t="s">
        <v>122</v>
      </c>
      <c r="O436" s="63" t="s">
        <v>7</v>
      </c>
      <c r="P436" s="66" t="s">
        <v>593</v>
      </c>
      <c r="Q436" s="66" t="s">
        <v>158</v>
      </c>
    </row>
    <row r="437" spans="2:17" ht="43.5" hidden="1" customHeight="1">
      <c r="B437" s="63" t="str">
        <f t="shared" si="12"/>
        <v>No434</v>
      </c>
      <c r="C437" s="63" t="str">
        <f t="shared" si="13"/>
        <v>202511</v>
      </c>
      <c r="D437" s="63" t="s">
        <v>142</v>
      </c>
      <c r="E437" s="63" t="s">
        <v>155</v>
      </c>
      <c r="F437" s="64">
        <v>45975.708333333343</v>
      </c>
      <c r="G437" s="64">
        <v>45975.756944444453</v>
      </c>
      <c r="H437" s="63">
        <f>IF(F437="", "", NETWORKDAYS.INTL(F437, G437, 11,祝日シート!A:A))</f>
        <v>1</v>
      </c>
      <c r="I437" s="65">
        <v>1.388888888888889E-2</v>
      </c>
      <c r="J437" s="63" t="s">
        <v>119</v>
      </c>
      <c r="K437" s="63" t="s">
        <v>77</v>
      </c>
      <c r="L437" s="63"/>
      <c r="M437" s="63" t="s">
        <v>372</v>
      </c>
      <c r="N437" s="63" t="s">
        <v>117</v>
      </c>
      <c r="O437" s="63" t="s">
        <v>7</v>
      </c>
      <c r="P437" s="66" t="s">
        <v>580</v>
      </c>
      <c r="Q437" s="66" t="s">
        <v>158</v>
      </c>
    </row>
    <row r="438" spans="2:17" ht="43.5" hidden="1" customHeight="1">
      <c r="B438" s="63" t="str">
        <f t="shared" si="12"/>
        <v>No435</v>
      </c>
      <c r="C438" s="63" t="str">
        <f t="shared" si="13"/>
        <v>202511</v>
      </c>
      <c r="D438" s="63" t="s">
        <v>104</v>
      </c>
      <c r="E438" s="63" t="s">
        <v>155</v>
      </c>
      <c r="F438" s="64">
        <v>45977.5625</v>
      </c>
      <c r="G438" s="64">
        <v>45977.729166666657</v>
      </c>
      <c r="H438" s="63">
        <f>IF(F438="", "", NETWORKDAYS.INTL(F438, G438, 11,祝日シート!A:A))</f>
        <v>0</v>
      </c>
      <c r="I438" s="65">
        <v>0.16666666666666671</v>
      </c>
      <c r="J438" s="63" t="s">
        <v>61</v>
      </c>
      <c r="K438" s="63" t="s">
        <v>26</v>
      </c>
      <c r="L438" s="63"/>
      <c r="M438" s="63"/>
      <c r="N438" s="63" t="s">
        <v>117</v>
      </c>
      <c r="O438" s="63" t="s">
        <v>7</v>
      </c>
      <c r="P438" s="66" t="s">
        <v>694</v>
      </c>
      <c r="Q438" s="66" t="s">
        <v>695</v>
      </c>
    </row>
    <row r="439" spans="2:17" ht="43.5" hidden="1" customHeight="1">
      <c r="B439" s="63" t="str">
        <f t="shared" si="12"/>
        <v>No436</v>
      </c>
      <c r="C439" s="63" t="str">
        <f t="shared" si="13"/>
        <v>202511</v>
      </c>
      <c r="D439" s="63" t="s">
        <v>142</v>
      </c>
      <c r="E439" s="63" t="s">
        <v>155</v>
      </c>
      <c r="F439" s="64">
        <v>45979.388888888891</v>
      </c>
      <c r="G439" s="64">
        <v>45979.395833333343</v>
      </c>
      <c r="H439" s="63">
        <f>IF(F439="", "", NETWORKDAYS.INTL(F439, G439, 11,祝日シート!A:A))</f>
        <v>1</v>
      </c>
      <c r="I439" s="65">
        <v>6.9444444444444441E-3</v>
      </c>
      <c r="J439" s="63" t="s">
        <v>119</v>
      </c>
      <c r="K439" s="63" t="s">
        <v>111</v>
      </c>
      <c r="L439" s="63"/>
      <c r="M439" s="63" t="s">
        <v>215</v>
      </c>
      <c r="N439" s="63" t="s">
        <v>122</v>
      </c>
      <c r="O439" s="63" t="s">
        <v>7</v>
      </c>
      <c r="P439" s="66" t="s">
        <v>482</v>
      </c>
      <c r="Q439" s="66" t="s">
        <v>158</v>
      </c>
    </row>
    <row r="440" spans="2:17" ht="43.5" hidden="1" customHeight="1">
      <c r="B440" s="63" t="str">
        <f t="shared" si="12"/>
        <v>No437</v>
      </c>
      <c r="C440" s="63" t="str">
        <f t="shared" si="13"/>
        <v>202511</v>
      </c>
      <c r="D440" s="63" t="s">
        <v>186</v>
      </c>
      <c r="E440" s="63" t="s">
        <v>155</v>
      </c>
      <c r="F440" s="64">
        <v>45979.677083333343</v>
      </c>
      <c r="G440" s="64">
        <v>45979.6875</v>
      </c>
      <c r="H440" s="63">
        <f>IF(F440="", "", NETWORKDAYS.INTL(F440, G440, 11,祝日シート!A:A))</f>
        <v>1</v>
      </c>
      <c r="I440" s="65">
        <v>1.041666666666667E-2</v>
      </c>
      <c r="J440" s="63" t="s">
        <v>20</v>
      </c>
      <c r="K440" s="63" t="s">
        <v>41</v>
      </c>
      <c r="L440" s="63"/>
      <c r="M440" s="63" t="s">
        <v>645</v>
      </c>
      <c r="N440" s="63" t="s">
        <v>6</v>
      </c>
      <c r="O440" s="63" t="s">
        <v>7</v>
      </c>
      <c r="P440" s="66" t="s">
        <v>696</v>
      </c>
      <c r="Q440" s="66" t="s">
        <v>697</v>
      </c>
    </row>
    <row r="441" spans="2:17" ht="43.5" hidden="1" customHeight="1">
      <c r="B441" s="63" t="str">
        <f t="shared" si="12"/>
        <v>No438</v>
      </c>
      <c r="C441" s="63" t="str">
        <f t="shared" si="13"/>
        <v>202511</v>
      </c>
      <c r="D441" s="63" t="s">
        <v>142</v>
      </c>
      <c r="E441" s="63" t="s">
        <v>155</v>
      </c>
      <c r="F441" s="64">
        <v>45979.71875</v>
      </c>
      <c r="G441" s="64">
        <v>45979.729166666657</v>
      </c>
      <c r="H441" s="63">
        <f>IF(F441="", "", NETWORKDAYS.INTL(F441, G441, 11,祝日シート!A:A))</f>
        <v>1</v>
      </c>
      <c r="I441" s="65">
        <v>1.041666666666667E-2</v>
      </c>
      <c r="J441" s="63" t="s">
        <v>119</v>
      </c>
      <c r="K441" s="63" t="s">
        <v>77</v>
      </c>
      <c r="L441" s="63"/>
      <c r="M441" s="63" t="s">
        <v>144</v>
      </c>
      <c r="N441" s="63" t="s">
        <v>122</v>
      </c>
      <c r="O441" s="63" t="s">
        <v>7</v>
      </c>
      <c r="P441" s="66" t="s">
        <v>322</v>
      </c>
      <c r="Q441" s="66" t="s">
        <v>158</v>
      </c>
    </row>
    <row r="442" spans="2:17" ht="45.75" hidden="1" customHeight="1">
      <c r="B442" s="63" t="str">
        <f t="shared" si="12"/>
        <v>No439</v>
      </c>
      <c r="C442" s="63" t="str">
        <f t="shared" si="13"/>
        <v>202511</v>
      </c>
      <c r="D442" s="63" t="s">
        <v>186</v>
      </c>
      <c r="E442" s="63" t="s">
        <v>155</v>
      </c>
      <c r="F442" s="64">
        <v>45980.416666666657</v>
      </c>
      <c r="G442" s="64">
        <v>45980.458333333343</v>
      </c>
      <c r="H442" s="63">
        <f>IF(F442="", "", NETWORKDAYS.INTL(F442, G442, 11,祝日シート!A:A))</f>
        <v>1</v>
      </c>
      <c r="I442" s="65">
        <v>4.1666666666666657E-2</v>
      </c>
      <c r="J442" s="63" t="s">
        <v>45</v>
      </c>
      <c r="K442" s="63" t="s">
        <v>35</v>
      </c>
      <c r="L442" s="63"/>
      <c r="M442" s="63" t="s">
        <v>269</v>
      </c>
      <c r="N442" s="63" t="s">
        <v>6</v>
      </c>
      <c r="O442" s="63" t="s">
        <v>7</v>
      </c>
      <c r="P442" s="66" t="s">
        <v>698</v>
      </c>
      <c r="Q442" s="66" t="s">
        <v>699</v>
      </c>
    </row>
    <row r="443" spans="2:17" ht="37.5" customHeight="1">
      <c r="B443" s="63" t="str">
        <f t="shared" si="12"/>
        <v>No440</v>
      </c>
      <c r="C443" s="63" t="str">
        <f t="shared" si="13"/>
        <v>202511</v>
      </c>
      <c r="D443" s="70" t="s">
        <v>142</v>
      </c>
      <c r="E443" s="70" t="s">
        <v>4</v>
      </c>
      <c r="F443" s="71">
        <v>45981.375</v>
      </c>
      <c r="G443" s="64">
        <v>45981.5</v>
      </c>
      <c r="H443" s="70">
        <f>IF(F443="", "", NETWORKDAYS.INTL(F443, G443, 11,祝日シート!A:A))</f>
        <v>1</v>
      </c>
      <c r="I443" s="72">
        <v>0.125</v>
      </c>
      <c r="J443" s="70" t="s">
        <v>20</v>
      </c>
      <c r="K443" s="70" t="s">
        <v>159</v>
      </c>
      <c r="L443" s="70"/>
      <c r="M443" s="70" t="s">
        <v>675</v>
      </c>
      <c r="N443" s="70" t="s">
        <v>6</v>
      </c>
      <c r="O443" s="70" t="s">
        <v>7</v>
      </c>
      <c r="P443" s="73" t="s">
        <v>700</v>
      </c>
      <c r="Q443" s="74" t="s">
        <v>701</v>
      </c>
    </row>
    <row r="444" spans="2:17" ht="37.5" customHeight="1">
      <c r="B444" s="63" t="str">
        <f t="shared" si="12"/>
        <v>No441</v>
      </c>
      <c r="C444" s="63" t="str">
        <f t="shared" si="13"/>
        <v>202511</v>
      </c>
      <c r="D444" s="70" t="s">
        <v>142</v>
      </c>
      <c r="E444" s="70" t="s">
        <v>4</v>
      </c>
      <c r="F444" s="71">
        <v>45981.541666666657</v>
      </c>
      <c r="G444" s="64">
        <v>45981.625</v>
      </c>
      <c r="H444" s="70">
        <f>IF(F444="", "", NETWORKDAYS.INTL(F444, G444, 11,祝日シート!A:A))</f>
        <v>1</v>
      </c>
      <c r="I444" s="72">
        <v>8.3333333333333329E-2</v>
      </c>
      <c r="J444" s="70" t="s">
        <v>45</v>
      </c>
      <c r="K444" s="70" t="s">
        <v>159</v>
      </c>
      <c r="L444" s="70"/>
      <c r="M444" s="70" t="s">
        <v>675</v>
      </c>
      <c r="N444" s="70" t="s">
        <v>6</v>
      </c>
      <c r="O444" s="70" t="s">
        <v>7</v>
      </c>
      <c r="P444" s="73" t="s">
        <v>700</v>
      </c>
      <c r="Q444" s="74" t="s">
        <v>701</v>
      </c>
    </row>
    <row r="445" spans="2:17" ht="37.5" hidden="1" customHeight="1">
      <c r="B445" s="63" t="str">
        <f t="shared" si="12"/>
        <v>No442</v>
      </c>
      <c r="C445" s="63" t="str">
        <f t="shared" si="13"/>
        <v>202511</v>
      </c>
      <c r="D445" s="70" t="s">
        <v>142</v>
      </c>
      <c r="E445" s="70" t="s">
        <v>155</v>
      </c>
      <c r="F445" s="71">
        <v>45981.635416666657</v>
      </c>
      <c r="G445" s="64">
        <v>45981.677083333343</v>
      </c>
      <c r="H445" s="70">
        <f>IF(F445="", "", NETWORKDAYS.INTL(F445, G445, 11,祝日シート!A:A))</f>
        <v>1</v>
      </c>
      <c r="I445" s="72">
        <v>1.388888888888889E-2</v>
      </c>
      <c r="J445" s="70" t="s">
        <v>119</v>
      </c>
      <c r="K445" s="70" t="s">
        <v>159</v>
      </c>
      <c r="L445" s="70"/>
      <c r="M445" s="70" t="s">
        <v>160</v>
      </c>
      <c r="N445" s="70" t="s">
        <v>122</v>
      </c>
      <c r="O445" s="70" t="s">
        <v>7</v>
      </c>
      <c r="P445" s="73" t="s">
        <v>179</v>
      </c>
      <c r="Q445" s="73" t="s">
        <v>158</v>
      </c>
    </row>
    <row r="446" spans="2:17" ht="37.5" hidden="1" customHeight="1">
      <c r="B446" s="63" t="str">
        <f t="shared" si="12"/>
        <v>No443</v>
      </c>
      <c r="C446" s="63" t="str">
        <f t="shared" si="13"/>
        <v>202511</v>
      </c>
      <c r="D446" s="70" t="s">
        <v>142</v>
      </c>
      <c r="E446" s="70" t="s">
        <v>155</v>
      </c>
      <c r="F446" s="71">
        <v>45981.708333333343</v>
      </c>
      <c r="G446" s="64">
        <v>45981.729166666657</v>
      </c>
      <c r="H446" s="70">
        <f>IF(F446="", "", NETWORKDAYS.INTL(F446, G446, 11,祝日シート!A:A))</f>
        <v>1</v>
      </c>
      <c r="I446" s="72">
        <v>2.0833333333333329E-2</v>
      </c>
      <c r="J446" s="70" t="s">
        <v>119</v>
      </c>
      <c r="K446" s="70" t="s">
        <v>41</v>
      </c>
      <c r="L446" s="70"/>
      <c r="M446" s="70" t="s">
        <v>277</v>
      </c>
      <c r="N446" s="70" t="s">
        <v>122</v>
      </c>
      <c r="O446" s="70" t="s">
        <v>7</v>
      </c>
      <c r="P446" s="73" t="s">
        <v>693</v>
      </c>
      <c r="Q446" s="73" t="s">
        <v>158</v>
      </c>
    </row>
    <row r="447" spans="2:17" ht="37.5" hidden="1" customHeight="1">
      <c r="B447" s="63" t="str">
        <f t="shared" si="12"/>
        <v>No444</v>
      </c>
      <c r="C447" s="63" t="str">
        <f t="shared" si="13"/>
        <v>202511</v>
      </c>
      <c r="D447" s="70" t="s">
        <v>142</v>
      </c>
      <c r="E447" s="70" t="s">
        <v>155</v>
      </c>
      <c r="F447" s="71">
        <v>45982.416666666657</v>
      </c>
      <c r="G447" s="64">
        <v>45982.423611111109</v>
      </c>
      <c r="H447" s="70">
        <f>IF(F447="", "", NETWORKDAYS.INTL(F447, G447, 11,祝日シート!A:A))</f>
        <v>1</v>
      </c>
      <c r="I447" s="72">
        <v>6.9444444444444441E-3</v>
      </c>
      <c r="J447" s="70" t="s">
        <v>119</v>
      </c>
      <c r="K447" s="70" t="s">
        <v>111</v>
      </c>
      <c r="L447" s="70"/>
      <c r="M447" s="70" t="s">
        <v>215</v>
      </c>
      <c r="N447" s="70" t="s">
        <v>122</v>
      </c>
      <c r="O447" s="70" t="s">
        <v>7</v>
      </c>
      <c r="P447" s="73" t="s">
        <v>246</v>
      </c>
      <c r="Q447" s="73" t="s">
        <v>158</v>
      </c>
    </row>
    <row r="448" spans="2:17" ht="37.5" hidden="1" customHeight="1">
      <c r="B448" s="63" t="str">
        <f t="shared" si="12"/>
        <v>No445</v>
      </c>
      <c r="C448" s="63" t="str">
        <f t="shared" si="13"/>
        <v>202511</v>
      </c>
      <c r="D448" s="70" t="s">
        <v>142</v>
      </c>
      <c r="E448" s="70" t="s">
        <v>155</v>
      </c>
      <c r="F448" s="71">
        <v>45982.427083333343</v>
      </c>
      <c r="G448" s="64">
        <v>45982.434027777781</v>
      </c>
      <c r="H448" s="70">
        <f>IF(F448="", "", NETWORKDAYS.INTL(F448, G448, 11,祝日シート!A:A))</f>
        <v>1</v>
      </c>
      <c r="I448" s="72">
        <v>6.9444444444444441E-3</v>
      </c>
      <c r="J448" s="70" t="s">
        <v>119</v>
      </c>
      <c r="K448" s="70" t="s">
        <v>111</v>
      </c>
      <c r="L448" s="70"/>
      <c r="M448" s="70" t="s">
        <v>339</v>
      </c>
      <c r="N448" s="70" t="s">
        <v>122</v>
      </c>
      <c r="O448" s="70" t="s">
        <v>7</v>
      </c>
      <c r="P448" s="73" t="s">
        <v>246</v>
      </c>
      <c r="Q448" s="73" t="s">
        <v>158</v>
      </c>
    </row>
    <row r="449" spans="2:17" ht="37.5" hidden="1" customHeight="1">
      <c r="B449" s="63" t="str">
        <f t="shared" si="12"/>
        <v>No446</v>
      </c>
      <c r="C449" s="63" t="str">
        <f t="shared" si="13"/>
        <v>202511</v>
      </c>
      <c r="D449" s="70" t="s">
        <v>142</v>
      </c>
      <c r="E449" s="70" t="s">
        <v>155</v>
      </c>
      <c r="F449" s="71">
        <v>45982.583333333343</v>
      </c>
      <c r="G449" s="64">
        <v>45982.590277777781</v>
      </c>
      <c r="H449" s="70">
        <f>IF(F449="", "", NETWORKDAYS.INTL(F449, G449, 11,祝日シート!A:A))</f>
        <v>1</v>
      </c>
      <c r="I449" s="72">
        <v>6.9444444444444441E-3</v>
      </c>
      <c r="J449" s="70" t="s">
        <v>119</v>
      </c>
      <c r="K449" s="70" t="s">
        <v>111</v>
      </c>
      <c r="L449" s="70"/>
      <c r="M449" s="70" t="s">
        <v>339</v>
      </c>
      <c r="N449" s="70" t="s">
        <v>122</v>
      </c>
      <c r="O449" s="70" t="s">
        <v>7</v>
      </c>
      <c r="P449" s="73" t="s">
        <v>246</v>
      </c>
      <c r="Q449" s="73" t="s">
        <v>158</v>
      </c>
    </row>
    <row r="450" spans="2:17" ht="37.5" customHeight="1">
      <c r="B450" s="63" t="str">
        <f t="shared" si="12"/>
        <v>No447</v>
      </c>
      <c r="C450" s="63" t="str">
        <f t="shared" si="13"/>
        <v>202511</v>
      </c>
      <c r="D450" s="70" t="s">
        <v>3</v>
      </c>
      <c r="E450" s="70" t="s">
        <v>4</v>
      </c>
      <c r="F450" s="71">
        <v>45982.625</v>
      </c>
      <c r="G450" s="64">
        <v>45982.6875</v>
      </c>
      <c r="H450" s="70">
        <f>IF(F450="", "", NETWORKDAYS.INTL(F450, G450, 11,祝日シート!A:A))</f>
        <v>1</v>
      </c>
      <c r="I450" s="72">
        <v>6.25E-2</v>
      </c>
      <c r="J450" s="70" t="s">
        <v>40</v>
      </c>
      <c r="K450" s="70" t="s">
        <v>41</v>
      </c>
      <c r="L450" s="70"/>
      <c r="M450" s="70" t="s">
        <v>180</v>
      </c>
      <c r="N450" s="70" t="s">
        <v>6</v>
      </c>
      <c r="O450" s="70" t="s">
        <v>7</v>
      </c>
      <c r="P450" s="73" t="s">
        <v>702</v>
      </c>
      <c r="Q450" s="73" t="s">
        <v>703</v>
      </c>
    </row>
    <row r="451" spans="2:17" ht="37.5" hidden="1" customHeight="1">
      <c r="B451" s="63" t="str">
        <f t="shared" si="12"/>
        <v>No448</v>
      </c>
      <c r="C451" s="63" t="str">
        <f t="shared" si="13"/>
        <v>202511</v>
      </c>
      <c r="D451" s="70" t="s">
        <v>142</v>
      </c>
      <c r="E451" s="70" t="s">
        <v>155</v>
      </c>
      <c r="F451" s="71">
        <v>45982.635416666657</v>
      </c>
      <c r="G451" s="64">
        <v>45982.666666666657</v>
      </c>
      <c r="H451" s="70">
        <f>IF(F451="", "", NETWORKDAYS.INTL(F451, G451, 11,祝日シート!A:A))</f>
        <v>1</v>
      </c>
      <c r="I451" s="72">
        <v>1.041666666666667E-2</v>
      </c>
      <c r="J451" s="70" t="s">
        <v>119</v>
      </c>
      <c r="K451" s="70" t="s">
        <v>77</v>
      </c>
      <c r="L451" s="70"/>
      <c r="M451" s="70" t="s">
        <v>144</v>
      </c>
      <c r="N451" s="70" t="s">
        <v>122</v>
      </c>
      <c r="O451" s="70" t="s">
        <v>7</v>
      </c>
      <c r="P451" s="73" t="s">
        <v>704</v>
      </c>
      <c r="Q451" s="73" t="s">
        <v>158</v>
      </c>
    </row>
    <row r="452" spans="2:17" ht="37.5" hidden="1" customHeight="1">
      <c r="B452" s="63" t="str">
        <f t="shared" si="12"/>
        <v>No449</v>
      </c>
      <c r="C452" s="63" t="str">
        <f t="shared" si="13"/>
        <v>202511</v>
      </c>
      <c r="D452" s="70" t="s">
        <v>142</v>
      </c>
      <c r="E452" s="70" t="s">
        <v>155</v>
      </c>
      <c r="F452" s="71">
        <v>45982.711805555547</v>
      </c>
      <c r="G452" s="64">
        <v>45982.71875</v>
      </c>
      <c r="H452" s="70">
        <f>IF(F452="", "", NETWORKDAYS.INTL(F452, G452, 11,祝日シート!A:A))</f>
        <v>1</v>
      </c>
      <c r="I452" s="72">
        <v>6.9444444444444441E-3</v>
      </c>
      <c r="J452" s="70" t="s">
        <v>119</v>
      </c>
      <c r="K452" s="70" t="s">
        <v>111</v>
      </c>
      <c r="L452" s="70"/>
      <c r="M452" s="70" t="s">
        <v>339</v>
      </c>
      <c r="N452" s="70" t="s">
        <v>122</v>
      </c>
      <c r="O452" s="70" t="s">
        <v>7</v>
      </c>
      <c r="P452" s="73" t="s">
        <v>246</v>
      </c>
      <c r="Q452" s="73" t="s">
        <v>158</v>
      </c>
    </row>
    <row r="453" spans="2:17" ht="37.5" customHeight="1">
      <c r="B453" s="63" t="str">
        <f t="shared" si="12"/>
        <v>No450</v>
      </c>
      <c r="C453" s="63" t="str">
        <f t="shared" si="13"/>
        <v>202511</v>
      </c>
      <c r="D453" s="70" t="s">
        <v>142</v>
      </c>
      <c r="E453" s="70" t="s">
        <v>4</v>
      </c>
      <c r="F453" s="71">
        <v>45983.375</v>
      </c>
      <c r="G453" s="64">
        <v>45983.5</v>
      </c>
      <c r="H453" s="70">
        <f>IF(F453="", "", NETWORKDAYS.INTL(F453, G453, 11,祝日シート!A:A))</f>
        <v>1</v>
      </c>
      <c r="I453" s="72">
        <v>0.125</v>
      </c>
      <c r="J453" s="70" t="s">
        <v>143</v>
      </c>
      <c r="K453" s="70" t="s">
        <v>176</v>
      </c>
      <c r="L453" s="70"/>
      <c r="M453" s="70" t="s">
        <v>332</v>
      </c>
      <c r="N453" s="70" t="s">
        <v>122</v>
      </c>
      <c r="O453" s="70" t="s">
        <v>7</v>
      </c>
      <c r="P453" s="73" t="s">
        <v>705</v>
      </c>
      <c r="Q453" s="73" t="s">
        <v>706</v>
      </c>
    </row>
    <row r="454" spans="2:17" ht="37.5" customHeight="1">
      <c r="B454" s="63" t="str">
        <f t="shared" si="12"/>
        <v>No451</v>
      </c>
      <c r="C454" s="63" t="str">
        <f t="shared" si="13"/>
        <v>202511</v>
      </c>
      <c r="D454" s="70" t="s">
        <v>142</v>
      </c>
      <c r="E454" s="70" t="s">
        <v>4</v>
      </c>
      <c r="F454" s="71">
        <v>45984.375</v>
      </c>
      <c r="G454" s="64">
        <v>45986.583333333343</v>
      </c>
      <c r="H454" s="70">
        <f>IF(F454="", "", NETWORKDAYS.INTL(F454, G454, 11,祝日シート!A:A))</f>
        <v>2</v>
      </c>
      <c r="I454" s="72">
        <v>0.20833333333333329</v>
      </c>
      <c r="J454" s="70" t="s">
        <v>40</v>
      </c>
      <c r="K454" s="70" t="s">
        <v>176</v>
      </c>
      <c r="L454" s="70"/>
      <c r="M454" s="70" t="s">
        <v>332</v>
      </c>
      <c r="N454" s="70" t="s">
        <v>122</v>
      </c>
      <c r="O454" s="70" t="s">
        <v>7</v>
      </c>
      <c r="P454" s="73" t="s">
        <v>707</v>
      </c>
      <c r="Q454" s="74" t="s">
        <v>708</v>
      </c>
    </row>
    <row r="455" spans="2:17" ht="37.5" customHeight="1">
      <c r="B455" s="63" t="str">
        <f t="shared" si="12"/>
        <v>No452</v>
      </c>
      <c r="C455" s="63" t="str">
        <f t="shared" si="13"/>
        <v>202511</v>
      </c>
      <c r="D455" s="70" t="s">
        <v>142</v>
      </c>
      <c r="E455" s="70" t="s">
        <v>4</v>
      </c>
      <c r="F455" s="71">
        <v>45984.375</v>
      </c>
      <c r="G455" s="64">
        <v>45984.625</v>
      </c>
      <c r="H455" s="70">
        <f>IF(F455="", "", NETWORKDAYS.INTL(F455, G455, 11,祝日シート!A:A))</f>
        <v>0</v>
      </c>
      <c r="I455" s="72">
        <v>0.25</v>
      </c>
      <c r="J455" s="70" t="s">
        <v>143</v>
      </c>
      <c r="K455" s="70" t="s">
        <v>176</v>
      </c>
      <c r="L455" s="70"/>
      <c r="M455" s="70" t="s">
        <v>332</v>
      </c>
      <c r="N455" s="70" t="s">
        <v>122</v>
      </c>
      <c r="O455" s="70" t="s">
        <v>7</v>
      </c>
      <c r="P455" s="73" t="s">
        <v>705</v>
      </c>
      <c r="Q455" s="73" t="s">
        <v>709</v>
      </c>
    </row>
    <row r="456" spans="2:17" ht="37.5" customHeight="1">
      <c r="B456" s="63" t="str">
        <f t="shared" si="12"/>
        <v>No453</v>
      </c>
      <c r="C456" s="63" t="str">
        <f t="shared" si="13"/>
        <v>202511</v>
      </c>
      <c r="D456" s="70" t="s">
        <v>142</v>
      </c>
      <c r="E456" s="70" t="s">
        <v>4</v>
      </c>
      <c r="F456" s="71">
        <v>45985.375</v>
      </c>
      <c r="G456" s="64">
        <v>45985.625</v>
      </c>
      <c r="H456" s="70">
        <f>IF(F456="", "", NETWORKDAYS.INTL(F456, G456, 11,祝日シート!A:A))</f>
        <v>1</v>
      </c>
      <c r="I456" s="72">
        <v>0.25</v>
      </c>
      <c r="J456" s="70" t="s">
        <v>143</v>
      </c>
      <c r="K456" s="70" t="s">
        <v>176</v>
      </c>
      <c r="L456" s="70"/>
      <c r="M456" s="70" t="s">
        <v>332</v>
      </c>
      <c r="N456" s="70" t="s">
        <v>122</v>
      </c>
      <c r="O456" s="70" t="s">
        <v>7</v>
      </c>
      <c r="P456" s="73" t="s">
        <v>705</v>
      </c>
      <c r="Q456" s="74" t="s">
        <v>710</v>
      </c>
    </row>
    <row r="457" spans="2:17" ht="37.5" customHeight="1">
      <c r="B457" s="63" t="str">
        <f t="shared" si="12"/>
        <v>No454</v>
      </c>
      <c r="C457" s="63" t="str">
        <f t="shared" si="13"/>
        <v>202511</v>
      </c>
      <c r="D457" s="70" t="s">
        <v>142</v>
      </c>
      <c r="E457" s="70" t="s">
        <v>4</v>
      </c>
      <c r="F457" s="71">
        <v>45986.375</v>
      </c>
      <c r="G457" s="64">
        <v>45986.493055555547</v>
      </c>
      <c r="H457" s="70">
        <f>IF(F457="", "", NETWORKDAYS.INTL(F457, G457, 11,祝日シート!A:A))</f>
        <v>1</v>
      </c>
      <c r="I457" s="75">
        <v>0.11805555555555559</v>
      </c>
      <c r="J457" s="70" t="s">
        <v>40</v>
      </c>
      <c r="K457" s="70" t="s">
        <v>176</v>
      </c>
      <c r="L457" s="70"/>
      <c r="M457" s="70" t="s">
        <v>332</v>
      </c>
      <c r="N457" s="70" t="s">
        <v>122</v>
      </c>
      <c r="O457" s="70" t="s">
        <v>7</v>
      </c>
      <c r="P457" s="73" t="s">
        <v>707</v>
      </c>
      <c r="Q457" s="73" t="s">
        <v>711</v>
      </c>
    </row>
    <row r="458" spans="2:17" ht="37.5" customHeight="1">
      <c r="B458" s="63" t="str">
        <f t="shared" si="12"/>
        <v>No455</v>
      </c>
      <c r="C458" s="63" t="str">
        <f t="shared" si="13"/>
        <v>202511</v>
      </c>
      <c r="D458" s="70" t="s">
        <v>142</v>
      </c>
      <c r="E458" s="70" t="s">
        <v>4</v>
      </c>
      <c r="F458" s="71">
        <v>45986.375</v>
      </c>
      <c r="G458" s="64">
        <v>45981.5</v>
      </c>
      <c r="H458" s="70">
        <f>IF(F458="", "", NETWORKDAYS.INTL(F458, G458, 11,祝日シート!A:A))</f>
        <v>-5</v>
      </c>
      <c r="I458" s="72">
        <v>0.125</v>
      </c>
      <c r="J458" s="70" t="s">
        <v>20</v>
      </c>
      <c r="K458" s="70" t="s">
        <v>159</v>
      </c>
      <c r="L458" s="70"/>
      <c r="M458" s="70" t="s">
        <v>144</v>
      </c>
      <c r="N458" s="70" t="s">
        <v>6</v>
      </c>
      <c r="O458" s="70" t="s">
        <v>7</v>
      </c>
      <c r="P458" s="73" t="s">
        <v>712</v>
      </c>
      <c r="Q458" s="73" t="s">
        <v>701</v>
      </c>
    </row>
    <row r="459" spans="2:17" ht="37.5" customHeight="1">
      <c r="B459" s="63" t="str">
        <f t="shared" si="12"/>
        <v>No456</v>
      </c>
      <c r="C459" s="63" t="str">
        <f t="shared" si="13"/>
        <v>202511</v>
      </c>
      <c r="D459" s="70" t="s">
        <v>142</v>
      </c>
      <c r="E459" s="70" t="s">
        <v>4</v>
      </c>
      <c r="F459" s="71">
        <v>45986.375</v>
      </c>
      <c r="G459" s="64">
        <v>45986.541666666657</v>
      </c>
      <c r="H459" s="70">
        <f>IF(F459="", "", NETWORKDAYS.INTL(F459, G459, 11,祝日シート!A:A))</f>
        <v>1</v>
      </c>
      <c r="I459" s="72">
        <v>0.16666666666666671</v>
      </c>
      <c r="J459" s="70" t="s">
        <v>143</v>
      </c>
      <c r="K459" s="70" t="s">
        <v>176</v>
      </c>
      <c r="L459" s="70"/>
      <c r="M459" s="70" t="s">
        <v>332</v>
      </c>
      <c r="N459" s="70" t="s">
        <v>122</v>
      </c>
      <c r="O459" s="70" t="s">
        <v>7</v>
      </c>
      <c r="P459" s="73" t="s">
        <v>705</v>
      </c>
      <c r="Q459" s="73" t="s">
        <v>713</v>
      </c>
    </row>
    <row r="460" spans="2:17" ht="37.5" hidden="1" customHeight="1">
      <c r="B460" s="63" t="str">
        <f t="shared" si="12"/>
        <v>No457</v>
      </c>
      <c r="C460" s="63" t="str">
        <f t="shared" si="13"/>
        <v>202511</v>
      </c>
      <c r="D460" s="70" t="s">
        <v>142</v>
      </c>
      <c r="E460" s="70" t="s">
        <v>155</v>
      </c>
      <c r="F460" s="71">
        <v>45986.430555555547</v>
      </c>
      <c r="G460" s="64">
        <v>45986.59375</v>
      </c>
      <c r="H460" s="70">
        <f>IF(F460="", "", NETWORKDAYS.INTL(F460, G460, 11,祝日シート!A:A))</f>
        <v>1</v>
      </c>
      <c r="I460" s="72">
        <v>6.9444444444444441E-3</v>
      </c>
      <c r="J460" s="70" t="s">
        <v>119</v>
      </c>
      <c r="K460" s="70" t="s">
        <v>111</v>
      </c>
      <c r="L460" s="70"/>
      <c r="M460" s="70" t="s">
        <v>229</v>
      </c>
      <c r="N460" s="70" t="s">
        <v>122</v>
      </c>
      <c r="O460" s="70" t="s">
        <v>7</v>
      </c>
      <c r="P460" s="73" t="s">
        <v>482</v>
      </c>
      <c r="Q460" s="73" t="s">
        <v>158</v>
      </c>
    </row>
    <row r="461" spans="2:17" ht="37.5" customHeight="1">
      <c r="B461" s="63" t="str">
        <f t="shared" si="12"/>
        <v>No458</v>
      </c>
      <c r="C461" s="63" t="str">
        <f t="shared" si="13"/>
        <v>202511</v>
      </c>
      <c r="D461" s="70" t="s">
        <v>3</v>
      </c>
      <c r="E461" s="70" t="s">
        <v>4</v>
      </c>
      <c r="F461" s="71">
        <v>45986.458333333343</v>
      </c>
      <c r="G461" s="64">
        <v>45986.5</v>
      </c>
      <c r="H461" s="70">
        <f>IF(F461="", "", NETWORKDAYS.INTL(F461, G461, 11,祝日シート!A:A))</f>
        <v>1</v>
      </c>
      <c r="I461" s="72">
        <v>4.1666666666666657E-2</v>
      </c>
      <c r="J461" s="70" t="s">
        <v>45</v>
      </c>
      <c r="K461" s="70" t="s">
        <v>26</v>
      </c>
      <c r="L461" s="70"/>
      <c r="M461" s="70" t="s">
        <v>167</v>
      </c>
      <c r="N461" s="70" t="s">
        <v>122</v>
      </c>
      <c r="O461" s="70" t="s">
        <v>7</v>
      </c>
      <c r="P461" s="73" t="s">
        <v>714</v>
      </c>
      <c r="Q461" s="74" t="s">
        <v>715</v>
      </c>
    </row>
    <row r="462" spans="2:17" ht="37.5" hidden="1" customHeight="1">
      <c r="B462" s="63" t="str">
        <f t="shared" si="12"/>
        <v>No459</v>
      </c>
      <c r="C462" s="63" t="str">
        <f t="shared" si="13"/>
        <v>202511</v>
      </c>
      <c r="D462" s="70" t="s">
        <v>142</v>
      </c>
      <c r="E462" s="70" t="s">
        <v>155</v>
      </c>
      <c r="F462" s="71">
        <v>45986.489583333343</v>
      </c>
      <c r="G462" s="64">
        <v>45986.59375</v>
      </c>
      <c r="H462" s="70">
        <f>IF(F462="", "", NETWORKDAYS.INTL(F462, G462, 11,祝日シート!A:A))</f>
        <v>1</v>
      </c>
      <c r="I462" s="72">
        <v>6.9444444444444441E-3</v>
      </c>
      <c r="J462" s="70" t="s">
        <v>119</v>
      </c>
      <c r="K462" s="70" t="s">
        <v>111</v>
      </c>
      <c r="L462" s="70"/>
      <c r="M462" s="70" t="s">
        <v>245</v>
      </c>
      <c r="N462" s="70" t="s">
        <v>122</v>
      </c>
      <c r="O462" s="70" t="s">
        <v>7</v>
      </c>
      <c r="P462" s="73" t="s">
        <v>246</v>
      </c>
      <c r="Q462" s="73" t="s">
        <v>158</v>
      </c>
    </row>
    <row r="463" spans="2:17" ht="37.5" customHeight="1">
      <c r="B463" s="63" t="str">
        <f t="shared" si="12"/>
        <v>No460</v>
      </c>
      <c r="C463" s="63" t="str">
        <f t="shared" si="13"/>
        <v>202511</v>
      </c>
      <c r="D463" s="70" t="s">
        <v>142</v>
      </c>
      <c r="E463" s="70" t="s">
        <v>4</v>
      </c>
      <c r="F463" s="71">
        <v>45986.541666666657</v>
      </c>
      <c r="G463" s="64">
        <v>45986.75</v>
      </c>
      <c r="H463" s="70">
        <f>IF(F463="", "", NETWORKDAYS.INTL(F463, G463, 11,祝日シート!A:A))</f>
        <v>1</v>
      </c>
      <c r="I463" s="72">
        <v>0.20833333333333329</v>
      </c>
      <c r="J463" s="70" t="s">
        <v>20</v>
      </c>
      <c r="K463" s="70" t="s">
        <v>21</v>
      </c>
      <c r="L463" s="70"/>
      <c r="M463" s="70" t="s">
        <v>183</v>
      </c>
      <c r="N463" s="70" t="s">
        <v>6</v>
      </c>
      <c r="O463" s="70" t="s">
        <v>7</v>
      </c>
      <c r="P463" s="73" t="s">
        <v>700</v>
      </c>
      <c r="Q463" s="74" t="s">
        <v>701</v>
      </c>
    </row>
    <row r="464" spans="2:17" ht="37.5" customHeight="1">
      <c r="B464" s="63" t="str">
        <f t="shared" si="12"/>
        <v>No461</v>
      </c>
      <c r="C464" s="63" t="str">
        <f t="shared" si="13"/>
        <v>202511</v>
      </c>
      <c r="D464" s="70" t="s">
        <v>142</v>
      </c>
      <c r="E464" s="70" t="s">
        <v>4</v>
      </c>
      <c r="F464" s="71">
        <v>45986.583333333343</v>
      </c>
      <c r="G464" s="64">
        <v>45986.6875</v>
      </c>
      <c r="H464" s="70">
        <f>IF(F464="", "", NETWORKDAYS.INTL(F464, G464, 11,祝日シート!A:A))</f>
        <v>1</v>
      </c>
      <c r="I464" s="72">
        <v>0.1041666666666667</v>
      </c>
      <c r="J464" s="70" t="s">
        <v>45</v>
      </c>
      <c r="K464" s="70" t="s">
        <v>21</v>
      </c>
      <c r="L464" s="70"/>
      <c r="M464" s="70" t="s">
        <v>183</v>
      </c>
      <c r="N464" s="70" t="s">
        <v>6</v>
      </c>
      <c r="O464" s="70" t="s">
        <v>7</v>
      </c>
      <c r="P464" s="73" t="s">
        <v>700</v>
      </c>
      <c r="Q464" s="73" t="s">
        <v>701</v>
      </c>
    </row>
    <row r="465" spans="2:17" ht="37.5" customHeight="1">
      <c r="B465" s="63" t="str">
        <f t="shared" si="12"/>
        <v>No462</v>
      </c>
      <c r="C465" s="63" t="str">
        <f t="shared" si="13"/>
        <v>202511</v>
      </c>
      <c r="D465" s="70" t="s">
        <v>142</v>
      </c>
      <c r="E465" s="70" t="s">
        <v>4</v>
      </c>
      <c r="F465" s="71">
        <v>45986.625</v>
      </c>
      <c r="G465" s="64">
        <v>45981.75</v>
      </c>
      <c r="H465" s="70">
        <f>IF(F465="", "", NETWORKDAYS.INTL(F465, G465, 11,祝日シート!A:A))</f>
        <v>-5</v>
      </c>
      <c r="I465" s="72">
        <v>0.125</v>
      </c>
      <c r="J465" s="70" t="s">
        <v>45</v>
      </c>
      <c r="K465" s="70" t="s">
        <v>159</v>
      </c>
      <c r="L465" s="70"/>
      <c r="M465" s="70" t="s">
        <v>144</v>
      </c>
      <c r="N465" s="70" t="s">
        <v>6</v>
      </c>
      <c r="O465" s="70" t="s">
        <v>7</v>
      </c>
      <c r="P465" s="73" t="s">
        <v>712</v>
      </c>
      <c r="Q465" s="73" t="s">
        <v>701</v>
      </c>
    </row>
    <row r="466" spans="2:17" ht="37.5" hidden="1" customHeight="1">
      <c r="B466" s="63" t="str">
        <f t="shared" si="12"/>
        <v>No463</v>
      </c>
      <c r="C466" s="63" t="str">
        <f t="shared" si="13"/>
        <v>202511</v>
      </c>
      <c r="D466" s="70" t="s">
        <v>142</v>
      </c>
      <c r="E466" s="70" t="s">
        <v>155</v>
      </c>
      <c r="F466" s="71">
        <v>45986.659722222219</v>
      </c>
      <c r="G466" s="64">
        <v>45986.739583333343</v>
      </c>
      <c r="H466" s="70">
        <f>IF(F466="", "", NETWORKDAYS.INTL(F466, G466, 11,祝日シート!A:A))</f>
        <v>1</v>
      </c>
      <c r="I466" s="72">
        <v>6.9444444444444441E-3</v>
      </c>
      <c r="J466" s="70" t="s">
        <v>119</v>
      </c>
      <c r="K466" s="70" t="s">
        <v>159</v>
      </c>
      <c r="L466" s="70"/>
      <c r="M466" s="70" t="s">
        <v>187</v>
      </c>
      <c r="N466" s="70" t="s">
        <v>122</v>
      </c>
      <c r="O466" s="70" t="s">
        <v>7</v>
      </c>
      <c r="P466" s="73" t="s">
        <v>482</v>
      </c>
      <c r="Q466" s="73" t="s">
        <v>158</v>
      </c>
    </row>
    <row r="467" spans="2:17" ht="37.5" hidden="1" customHeight="1">
      <c r="B467" s="63" t="str">
        <f t="shared" si="12"/>
        <v>No464</v>
      </c>
      <c r="C467" s="63" t="str">
        <f t="shared" si="13"/>
        <v>202511</v>
      </c>
      <c r="D467" s="70" t="s">
        <v>142</v>
      </c>
      <c r="E467" s="70" t="s">
        <v>155</v>
      </c>
      <c r="F467" s="71">
        <v>45986.694444444453</v>
      </c>
      <c r="G467" s="64">
        <v>45986.746527777781</v>
      </c>
      <c r="H467" s="70">
        <f>IF(F467="", "", NETWORKDAYS.INTL(F467, G467, 11,祝日シート!A:A))</f>
        <v>1</v>
      </c>
      <c r="I467" s="72">
        <v>6.9444444444444441E-3</v>
      </c>
      <c r="J467" s="70" t="s">
        <v>119</v>
      </c>
      <c r="K467" s="70" t="s">
        <v>111</v>
      </c>
      <c r="L467" s="70"/>
      <c r="M467" s="70" t="s">
        <v>215</v>
      </c>
      <c r="N467" s="70" t="s">
        <v>122</v>
      </c>
      <c r="O467" s="70" t="s">
        <v>7</v>
      </c>
      <c r="P467" s="73" t="s">
        <v>246</v>
      </c>
      <c r="Q467" s="73" t="s">
        <v>158</v>
      </c>
    </row>
    <row r="468" spans="2:17" ht="37.5" hidden="1" customHeight="1">
      <c r="B468" s="63" t="str">
        <f t="shared" si="12"/>
        <v>No465</v>
      </c>
      <c r="C468" s="63" t="str">
        <f t="shared" si="13"/>
        <v>202511</v>
      </c>
      <c r="D468" s="70" t="s">
        <v>142</v>
      </c>
      <c r="E468" s="70" t="s">
        <v>155</v>
      </c>
      <c r="F468" s="71">
        <v>45986.729166666657</v>
      </c>
      <c r="G468" s="64">
        <v>45986.75</v>
      </c>
      <c r="H468" s="70">
        <f>IF(F468="", "", NETWORKDAYS.INTL(F468, G468, 11,祝日シート!A:A))</f>
        <v>1</v>
      </c>
      <c r="I468" s="72">
        <v>6.9444444444444441E-3</v>
      </c>
      <c r="J468" s="70" t="s">
        <v>119</v>
      </c>
      <c r="K468" s="70" t="s">
        <v>111</v>
      </c>
      <c r="L468" s="70"/>
      <c r="M468" s="70" t="s">
        <v>205</v>
      </c>
      <c r="N468" s="70" t="s">
        <v>122</v>
      </c>
      <c r="O468" s="70" t="s">
        <v>7</v>
      </c>
      <c r="P468" s="73" t="s">
        <v>482</v>
      </c>
      <c r="Q468" s="73" t="s">
        <v>158</v>
      </c>
    </row>
    <row r="469" spans="2:17" ht="37.5" hidden="1" customHeight="1">
      <c r="B469" s="63" t="str">
        <f t="shared" si="12"/>
        <v>No466</v>
      </c>
      <c r="C469" s="63" t="str">
        <f t="shared" si="13"/>
        <v>202511</v>
      </c>
      <c r="D469" s="70" t="s">
        <v>142</v>
      </c>
      <c r="E469" s="70" t="s">
        <v>155</v>
      </c>
      <c r="F469" s="71">
        <v>45986.756944444453</v>
      </c>
      <c r="G469" s="64">
        <v>45986.763888888891</v>
      </c>
      <c r="H469" s="70">
        <f>IF(F469="", "", NETWORKDAYS.INTL(F469, G469, 11,祝日シート!A:A))</f>
        <v>1</v>
      </c>
      <c r="I469" s="72">
        <v>6.9444444444444441E-3</v>
      </c>
      <c r="J469" s="70" t="s">
        <v>119</v>
      </c>
      <c r="K469" s="70" t="s">
        <v>111</v>
      </c>
      <c r="L469" s="70"/>
      <c r="M469" s="70" t="s">
        <v>205</v>
      </c>
      <c r="N469" s="70" t="s">
        <v>122</v>
      </c>
      <c r="O469" s="70" t="s">
        <v>7</v>
      </c>
      <c r="P469" s="73" t="s">
        <v>482</v>
      </c>
      <c r="Q469" s="73" t="s">
        <v>158</v>
      </c>
    </row>
    <row r="470" spans="2:17" ht="37.5" customHeight="1">
      <c r="B470" s="63" t="str">
        <f t="shared" si="12"/>
        <v>No467</v>
      </c>
      <c r="C470" s="63" t="str">
        <f t="shared" si="13"/>
        <v>202511</v>
      </c>
      <c r="D470" s="70" t="s">
        <v>142</v>
      </c>
      <c r="E470" s="70" t="s">
        <v>4</v>
      </c>
      <c r="F470" s="71">
        <v>45987.416666666657</v>
      </c>
      <c r="G470" s="64">
        <v>45987.791666666657</v>
      </c>
      <c r="H470" s="70">
        <f>IF(F470="", "", NETWORKDAYS.INTL(F470, G470, 11,祝日シート!A:A))</f>
        <v>1</v>
      </c>
      <c r="I470" s="72">
        <v>0.375</v>
      </c>
      <c r="J470" s="70" t="s">
        <v>143</v>
      </c>
      <c r="K470" s="70" t="s">
        <v>120</v>
      </c>
      <c r="L470" s="70"/>
      <c r="M470" s="70" t="s">
        <v>332</v>
      </c>
      <c r="N470" s="70" t="s">
        <v>6</v>
      </c>
      <c r="O470" s="70" t="s">
        <v>7</v>
      </c>
      <c r="P470" s="73" t="s">
        <v>716</v>
      </c>
      <c r="Q470" s="73" t="s">
        <v>717</v>
      </c>
    </row>
    <row r="471" spans="2:17" ht="37.5" hidden="1" customHeight="1">
      <c r="B471" s="63" t="str">
        <f t="shared" ref="B471:B534" si="14">"No"&amp;ROW()-3</f>
        <v>No468</v>
      </c>
      <c r="C471" s="63" t="str">
        <f t="shared" ref="C471:C534" si="15">IFERROR(IF(G471&lt;&gt;"",TEXT(G471,"yyyymm"),""),"")</f>
        <v>202511</v>
      </c>
      <c r="D471" s="70" t="s">
        <v>142</v>
      </c>
      <c r="E471" s="70" t="s">
        <v>155</v>
      </c>
      <c r="F471" s="71">
        <v>45987.479166666657</v>
      </c>
      <c r="G471" s="64">
        <v>45987.541666666657</v>
      </c>
      <c r="H471" s="70">
        <f>IF(F471="", "", NETWORKDAYS.INTL(F471, G471, 11,祝日シート!A:A))</f>
        <v>1</v>
      </c>
      <c r="I471" s="72">
        <v>6.9444444444444441E-3</v>
      </c>
      <c r="J471" s="70" t="s">
        <v>119</v>
      </c>
      <c r="K471" s="70" t="s">
        <v>77</v>
      </c>
      <c r="L471" s="70"/>
      <c r="M471" s="70" t="s">
        <v>198</v>
      </c>
      <c r="N471" s="70" t="s">
        <v>122</v>
      </c>
      <c r="O471" s="70" t="s">
        <v>7</v>
      </c>
      <c r="P471" s="73" t="s">
        <v>593</v>
      </c>
      <c r="Q471" s="73" t="s">
        <v>158</v>
      </c>
    </row>
    <row r="472" spans="2:17" ht="37.5" hidden="1" customHeight="1">
      <c r="B472" s="63" t="str">
        <f t="shared" si="14"/>
        <v>No469</v>
      </c>
      <c r="C472" s="63" t="str">
        <f t="shared" si="15"/>
        <v>202511</v>
      </c>
      <c r="D472" s="70" t="s">
        <v>142</v>
      </c>
      <c r="E472" s="70" t="s">
        <v>155</v>
      </c>
      <c r="F472" s="71">
        <v>45988.392361111109</v>
      </c>
      <c r="G472" s="64">
        <v>45988.399305555547</v>
      </c>
      <c r="H472" s="70">
        <f>IF(F472="", "", NETWORKDAYS.INTL(F472, G472, 11,祝日シート!A:A))</f>
        <v>1</v>
      </c>
      <c r="I472" s="72">
        <v>6.9444444444444441E-3</v>
      </c>
      <c r="J472" s="70" t="s">
        <v>119</v>
      </c>
      <c r="K472" s="70" t="s">
        <v>77</v>
      </c>
      <c r="L472" s="70"/>
      <c r="M472" s="70" t="s">
        <v>402</v>
      </c>
      <c r="N472" s="70" t="s">
        <v>122</v>
      </c>
      <c r="O472" s="70" t="s">
        <v>7</v>
      </c>
      <c r="P472" s="73" t="s">
        <v>482</v>
      </c>
      <c r="Q472" s="73" t="s">
        <v>158</v>
      </c>
    </row>
    <row r="473" spans="2:17" ht="37.5" hidden="1" customHeight="1">
      <c r="B473" s="63" t="str">
        <f t="shared" si="14"/>
        <v>No470</v>
      </c>
      <c r="C473" s="63" t="str">
        <f t="shared" si="15"/>
        <v>202511</v>
      </c>
      <c r="D473" s="70" t="s">
        <v>142</v>
      </c>
      <c r="E473" s="70" t="s">
        <v>155</v>
      </c>
      <c r="F473" s="71">
        <v>45988.447916666657</v>
      </c>
      <c r="G473" s="64">
        <v>45988.454861111109</v>
      </c>
      <c r="H473" s="70">
        <f>IF(F473="", "", NETWORKDAYS.INTL(F473, G473, 11,祝日シート!A:A))</f>
        <v>1</v>
      </c>
      <c r="I473" s="72">
        <v>6.9444444444444441E-3</v>
      </c>
      <c r="J473" s="70" t="s">
        <v>119</v>
      </c>
      <c r="K473" s="70" t="s">
        <v>159</v>
      </c>
      <c r="L473" s="70"/>
      <c r="M473" s="70" t="s">
        <v>187</v>
      </c>
      <c r="N473" s="70" t="s">
        <v>122</v>
      </c>
      <c r="O473" s="70" t="s">
        <v>7</v>
      </c>
      <c r="P473" s="73" t="s">
        <v>482</v>
      </c>
      <c r="Q473" s="73" t="s">
        <v>158</v>
      </c>
    </row>
    <row r="474" spans="2:17" ht="37.5" hidden="1" customHeight="1">
      <c r="B474" s="63" t="str">
        <f t="shared" si="14"/>
        <v>No471</v>
      </c>
      <c r="C474" s="63" t="str">
        <f t="shared" si="15"/>
        <v>202511</v>
      </c>
      <c r="D474" s="70" t="s">
        <v>142</v>
      </c>
      <c r="E474" s="70" t="s">
        <v>155</v>
      </c>
      <c r="F474" s="71">
        <v>45988.454861111109</v>
      </c>
      <c r="G474" s="64">
        <v>45988.5</v>
      </c>
      <c r="H474" s="70">
        <f>IF(F474="", "", NETWORKDAYS.INTL(F474, G474, 11,祝日シート!A:A))</f>
        <v>1</v>
      </c>
      <c r="I474" s="72">
        <v>2.0833333333333329E-2</v>
      </c>
      <c r="J474" s="70" t="s">
        <v>119</v>
      </c>
      <c r="K474" s="70" t="s">
        <v>176</v>
      </c>
      <c r="L474" s="70"/>
      <c r="M474" s="70" t="s">
        <v>156</v>
      </c>
      <c r="N474" s="70" t="s">
        <v>122</v>
      </c>
      <c r="O474" s="70" t="s">
        <v>7</v>
      </c>
      <c r="P474" s="73" t="s">
        <v>617</v>
      </c>
      <c r="Q474" s="73" t="s">
        <v>158</v>
      </c>
    </row>
    <row r="475" spans="2:17" ht="37.5" hidden="1" customHeight="1">
      <c r="B475" s="63" t="str">
        <f t="shared" si="14"/>
        <v>No472</v>
      </c>
      <c r="C475" s="63" t="str">
        <f t="shared" si="15"/>
        <v>202511</v>
      </c>
      <c r="D475" s="70" t="s">
        <v>142</v>
      </c>
      <c r="E475" s="70" t="s">
        <v>155</v>
      </c>
      <c r="F475" s="71">
        <v>45988.541666666657</v>
      </c>
      <c r="G475" s="64">
        <v>45988.572916666657</v>
      </c>
      <c r="H475" s="70">
        <f>IF(F475="", "", NETWORKDAYS.INTL(F475, G475, 11,祝日シート!A:A))</f>
        <v>1</v>
      </c>
      <c r="I475" s="72">
        <v>1.041666666666667E-2</v>
      </c>
      <c r="J475" s="70" t="s">
        <v>119</v>
      </c>
      <c r="K475" s="70" t="s">
        <v>77</v>
      </c>
      <c r="L475" s="70"/>
      <c r="M475" s="70" t="s">
        <v>140</v>
      </c>
      <c r="N475" s="70" t="s">
        <v>122</v>
      </c>
      <c r="O475" s="70" t="s">
        <v>7</v>
      </c>
      <c r="P475" s="73" t="s">
        <v>322</v>
      </c>
      <c r="Q475" s="73" t="s">
        <v>158</v>
      </c>
    </row>
    <row r="476" spans="2:17" ht="37.5" customHeight="1">
      <c r="B476" s="63" t="str">
        <f t="shared" si="14"/>
        <v>No473</v>
      </c>
      <c r="C476" s="63" t="str">
        <f t="shared" si="15"/>
        <v>202512</v>
      </c>
      <c r="D476" s="70" t="s">
        <v>142</v>
      </c>
      <c r="E476" s="70" t="s">
        <v>4</v>
      </c>
      <c r="F476" s="71">
        <v>45992.375</v>
      </c>
      <c r="G476" s="64">
        <v>45992.583333333343</v>
      </c>
      <c r="H476" s="70">
        <f>IF(F476="", "", NETWORKDAYS.INTL(F476, G476, 11,祝日シート!A:A))</f>
        <v>1</v>
      </c>
      <c r="I476" s="72">
        <v>0.20833333333333329</v>
      </c>
      <c r="J476" s="70" t="s">
        <v>20</v>
      </c>
      <c r="K476" s="70" t="s">
        <v>21</v>
      </c>
      <c r="L476" s="70"/>
      <c r="M476" s="70" t="s">
        <v>183</v>
      </c>
      <c r="N476" s="70" t="s">
        <v>6</v>
      </c>
      <c r="O476" s="70" t="s">
        <v>7</v>
      </c>
      <c r="P476" s="73" t="s">
        <v>718</v>
      </c>
      <c r="Q476" s="73" t="s">
        <v>701</v>
      </c>
    </row>
    <row r="477" spans="2:17" ht="37.5" hidden="1" customHeight="1">
      <c r="B477" s="63" t="str">
        <f t="shared" si="14"/>
        <v>No474</v>
      </c>
      <c r="C477" s="63" t="str">
        <f t="shared" si="15"/>
        <v>202512</v>
      </c>
      <c r="D477" s="70" t="s">
        <v>142</v>
      </c>
      <c r="E477" s="70" t="s">
        <v>155</v>
      </c>
      <c r="F477" s="71">
        <v>45992.46875</v>
      </c>
      <c r="G477" s="64">
        <v>45992.5</v>
      </c>
      <c r="H477" s="70">
        <f>IF(F477="", "", NETWORKDAYS.INTL(F477, G477, 11,祝日シート!A:A))</f>
        <v>1</v>
      </c>
      <c r="I477" s="72">
        <v>6.9444444444444441E-3</v>
      </c>
      <c r="J477" s="70" t="s">
        <v>119</v>
      </c>
      <c r="K477" s="70" t="s">
        <v>21</v>
      </c>
      <c r="L477" s="70"/>
      <c r="M477" s="70" t="s">
        <v>198</v>
      </c>
      <c r="N477" s="70" t="s">
        <v>122</v>
      </c>
      <c r="O477" s="70" t="s">
        <v>7</v>
      </c>
      <c r="P477" s="73" t="s">
        <v>593</v>
      </c>
      <c r="Q477" s="73" t="s">
        <v>158</v>
      </c>
    </row>
    <row r="478" spans="2:17" ht="37.5" hidden="1" customHeight="1">
      <c r="B478" s="63" t="str">
        <f t="shared" si="14"/>
        <v>No475</v>
      </c>
      <c r="C478" s="63" t="str">
        <f t="shared" si="15"/>
        <v>202512</v>
      </c>
      <c r="D478" s="70" t="s">
        <v>142</v>
      </c>
      <c r="E478" s="70" t="s">
        <v>155</v>
      </c>
      <c r="F478" s="71">
        <v>45992.541666666657</v>
      </c>
      <c r="G478" s="64">
        <v>45992.552083333343</v>
      </c>
      <c r="H478" s="70">
        <f>IF(F478="", "", NETWORKDAYS.INTL(F478, G478, 11,祝日シート!A:A))</f>
        <v>1</v>
      </c>
      <c r="I478" s="72">
        <v>1.041666666666667E-2</v>
      </c>
      <c r="J478" s="70" t="s">
        <v>119</v>
      </c>
      <c r="K478" s="70" t="s">
        <v>111</v>
      </c>
      <c r="L478" s="70"/>
      <c r="M478" s="70" t="s">
        <v>112</v>
      </c>
      <c r="N478" s="70" t="s">
        <v>122</v>
      </c>
      <c r="O478" s="70" t="s">
        <v>7</v>
      </c>
      <c r="P478" s="73" t="s">
        <v>482</v>
      </c>
      <c r="Q478" s="73" t="s">
        <v>158</v>
      </c>
    </row>
    <row r="479" spans="2:17" ht="37.5" hidden="1" customHeight="1">
      <c r="B479" s="63" t="str">
        <f t="shared" si="14"/>
        <v>No476</v>
      </c>
      <c r="C479" s="63" t="str">
        <f t="shared" si="15"/>
        <v>202512</v>
      </c>
      <c r="D479" s="70" t="s">
        <v>142</v>
      </c>
      <c r="E479" s="70" t="s">
        <v>155</v>
      </c>
      <c r="F479" s="71">
        <v>45992.604166666657</v>
      </c>
      <c r="G479" s="64">
        <v>45992.625</v>
      </c>
      <c r="H479" s="70">
        <f>IF(F479="", "", NETWORKDAYS.INTL(F479, G479, 11,祝日シート!A:A))</f>
        <v>1</v>
      </c>
      <c r="I479" s="72">
        <v>2.0833333333333329E-2</v>
      </c>
      <c r="J479" s="70" t="s">
        <v>119</v>
      </c>
      <c r="K479" s="70" t="s">
        <v>21</v>
      </c>
      <c r="L479" s="70"/>
      <c r="M479" s="70" t="s">
        <v>402</v>
      </c>
      <c r="N479" s="70" t="s">
        <v>122</v>
      </c>
      <c r="O479" s="70" t="s">
        <v>7</v>
      </c>
      <c r="P479" s="73" t="s">
        <v>719</v>
      </c>
      <c r="Q479" s="73" t="s">
        <v>158</v>
      </c>
    </row>
    <row r="480" spans="2:17" ht="37.5" hidden="1" customHeight="1">
      <c r="B480" s="63" t="str">
        <f t="shared" si="14"/>
        <v>No477</v>
      </c>
      <c r="C480" s="63" t="str">
        <f t="shared" si="15"/>
        <v>202512</v>
      </c>
      <c r="D480" s="70" t="s">
        <v>142</v>
      </c>
      <c r="E480" s="70" t="s">
        <v>155</v>
      </c>
      <c r="F480" s="71">
        <v>45992.645833333343</v>
      </c>
      <c r="G480" s="64">
        <v>45992.708333333343</v>
      </c>
      <c r="H480" s="70">
        <f>IF(F480="", "", NETWORKDAYS.INTL(F480, G480, 11,祝日シート!A:A))</f>
        <v>1</v>
      </c>
      <c r="I480" s="72">
        <v>1.041666666666667E-2</v>
      </c>
      <c r="J480" s="70" t="s">
        <v>119</v>
      </c>
      <c r="K480" s="70" t="s">
        <v>77</v>
      </c>
      <c r="L480" s="70"/>
      <c r="M480" s="70" t="s">
        <v>539</v>
      </c>
      <c r="N480" s="70" t="s">
        <v>122</v>
      </c>
      <c r="O480" s="70" t="s">
        <v>7</v>
      </c>
      <c r="P480" s="73" t="s">
        <v>322</v>
      </c>
      <c r="Q480" s="73" t="s">
        <v>158</v>
      </c>
    </row>
    <row r="481" spans="2:17" ht="37.5" hidden="1" customHeight="1">
      <c r="B481" s="63" t="str">
        <f t="shared" si="14"/>
        <v>No478</v>
      </c>
      <c r="C481" s="63" t="str">
        <f t="shared" si="15"/>
        <v>202512</v>
      </c>
      <c r="D481" s="70" t="s">
        <v>142</v>
      </c>
      <c r="E481" s="70" t="s">
        <v>155</v>
      </c>
      <c r="F481" s="71">
        <v>45993.541666666657</v>
      </c>
      <c r="G481" s="64">
        <v>45993.5625</v>
      </c>
      <c r="H481" s="70">
        <f>IF(F481="", "", NETWORKDAYS.INTL(F481, G481, 11,祝日シート!A:A))</f>
        <v>1</v>
      </c>
      <c r="I481" s="72">
        <v>6.9444444444444441E-3</v>
      </c>
      <c r="J481" s="70" t="s">
        <v>119</v>
      </c>
      <c r="K481" s="70" t="s">
        <v>111</v>
      </c>
      <c r="L481" s="70"/>
      <c r="M481" s="70" t="s">
        <v>112</v>
      </c>
      <c r="N481" s="70" t="s">
        <v>122</v>
      </c>
      <c r="O481" s="70" t="s">
        <v>7</v>
      </c>
      <c r="P481" s="73" t="s">
        <v>482</v>
      </c>
      <c r="Q481" s="73" t="s">
        <v>158</v>
      </c>
    </row>
    <row r="482" spans="2:17" ht="37.5" hidden="1" customHeight="1">
      <c r="B482" s="63" t="str">
        <f t="shared" si="14"/>
        <v>No479</v>
      </c>
      <c r="C482" s="63" t="str">
        <f t="shared" si="15"/>
        <v>202512</v>
      </c>
      <c r="D482" s="70" t="s">
        <v>142</v>
      </c>
      <c r="E482" s="70" t="s">
        <v>155</v>
      </c>
      <c r="F482" s="71">
        <v>45994.666666666657</v>
      </c>
      <c r="G482" s="64">
        <v>45994.677083333343</v>
      </c>
      <c r="H482" s="70">
        <f>IF(F482="", "", NETWORKDAYS.INTL(F482, G482, 11,祝日シート!A:A))</f>
        <v>1</v>
      </c>
      <c r="I482" s="72">
        <v>1.041666666666667E-2</v>
      </c>
      <c r="J482" s="70" t="s">
        <v>119</v>
      </c>
      <c r="K482" s="70" t="s">
        <v>41</v>
      </c>
      <c r="L482" s="70"/>
      <c r="M482" s="70" t="s">
        <v>277</v>
      </c>
      <c r="N482" s="70" t="s">
        <v>122</v>
      </c>
      <c r="O482" s="70" t="s">
        <v>7</v>
      </c>
      <c r="P482" s="73" t="s">
        <v>693</v>
      </c>
      <c r="Q482" s="73" t="s">
        <v>158</v>
      </c>
    </row>
    <row r="483" spans="2:17" ht="37.5" customHeight="1">
      <c r="B483" s="63" t="str">
        <f t="shared" si="14"/>
        <v>No480</v>
      </c>
      <c r="C483" s="63" t="str">
        <f t="shared" si="15"/>
        <v>202512</v>
      </c>
      <c r="D483" s="70" t="s">
        <v>3</v>
      </c>
      <c r="E483" s="70" t="s">
        <v>4</v>
      </c>
      <c r="F483" s="71">
        <v>45996.625</v>
      </c>
      <c r="G483" s="64">
        <v>45996.645833333343</v>
      </c>
      <c r="H483" s="70">
        <f>IF(F483="", "", NETWORKDAYS.INTL(F483, G483, 11,祝日シート!A:A))</f>
        <v>1</v>
      </c>
      <c r="I483" s="72">
        <v>2.0833333333333329E-2</v>
      </c>
      <c r="J483" s="70" t="s">
        <v>20</v>
      </c>
      <c r="K483" s="70" t="s">
        <v>26</v>
      </c>
      <c r="L483" s="70"/>
      <c r="M483" s="70" t="s">
        <v>116</v>
      </c>
      <c r="N483" s="70" t="s">
        <v>6</v>
      </c>
      <c r="O483" s="70" t="s">
        <v>7</v>
      </c>
      <c r="P483" s="73" t="s">
        <v>720</v>
      </c>
      <c r="Q483" s="73" t="s">
        <v>721</v>
      </c>
    </row>
    <row r="484" spans="2:17" ht="37.5" customHeight="1">
      <c r="B484" s="63" t="str">
        <f t="shared" si="14"/>
        <v>No481</v>
      </c>
      <c r="C484" s="63" t="str">
        <f t="shared" si="15"/>
        <v>202512</v>
      </c>
      <c r="D484" s="70" t="s">
        <v>166</v>
      </c>
      <c r="E484" s="70" t="s">
        <v>4</v>
      </c>
      <c r="F484" s="71">
        <v>45997.541666666657</v>
      </c>
      <c r="G484" s="64">
        <v>45997.75</v>
      </c>
      <c r="H484" s="70">
        <f>IF(F484="", "", NETWORKDAYS.INTL(F484, G484, 11,祝日シート!A:A))</f>
        <v>1</v>
      </c>
      <c r="I484" s="72">
        <v>0.20833333333333329</v>
      </c>
      <c r="J484" s="70" t="s">
        <v>45</v>
      </c>
      <c r="K484" s="70" t="s">
        <v>26</v>
      </c>
      <c r="L484" s="70"/>
      <c r="M484" s="70" t="s">
        <v>167</v>
      </c>
      <c r="N484" s="70" t="s">
        <v>122</v>
      </c>
      <c r="O484" s="70" t="s">
        <v>7</v>
      </c>
      <c r="P484" s="73" t="s">
        <v>722</v>
      </c>
      <c r="Q484" s="73" t="s">
        <v>723</v>
      </c>
    </row>
    <row r="485" spans="2:17" ht="37.5" customHeight="1">
      <c r="B485" s="63" t="str">
        <f t="shared" si="14"/>
        <v>No482</v>
      </c>
      <c r="C485" s="63" t="str">
        <f t="shared" si="15"/>
        <v>202512</v>
      </c>
      <c r="D485" s="70" t="s">
        <v>166</v>
      </c>
      <c r="E485" s="70" t="s">
        <v>4</v>
      </c>
      <c r="F485" s="71">
        <v>45998.541666666657</v>
      </c>
      <c r="G485" s="64">
        <v>45998.75</v>
      </c>
      <c r="H485" s="70">
        <f>IF(F485="", "", NETWORKDAYS.INTL(F485, G485, 11,祝日シート!A:A))</f>
        <v>0</v>
      </c>
      <c r="I485" s="72">
        <v>0.20833333333333329</v>
      </c>
      <c r="J485" s="70" t="s">
        <v>45</v>
      </c>
      <c r="K485" s="70" t="s">
        <v>26</v>
      </c>
      <c r="L485" s="70"/>
      <c r="M485" s="70" t="s">
        <v>167</v>
      </c>
      <c r="N485" s="70" t="s">
        <v>122</v>
      </c>
      <c r="O485" s="70" t="s">
        <v>7</v>
      </c>
      <c r="P485" s="73" t="s">
        <v>722</v>
      </c>
      <c r="Q485" s="73" t="s">
        <v>723</v>
      </c>
    </row>
    <row r="486" spans="2:17" ht="37.5" customHeight="1">
      <c r="B486" s="63" t="str">
        <f t="shared" si="14"/>
        <v>No483</v>
      </c>
      <c r="C486" s="63" t="str">
        <f t="shared" si="15"/>
        <v>202512</v>
      </c>
      <c r="D486" s="70" t="s">
        <v>3</v>
      </c>
      <c r="E486" s="70" t="s">
        <v>4</v>
      </c>
      <c r="F486" s="71">
        <v>45999.395833333343</v>
      </c>
      <c r="G486" s="64">
        <v>45999.409722222219</v>
      </c>
      <c r="H486" s="70">
        <f>IF(F486="", "", NETWORKDAYS.INTL(F486, G486, 11,祝日シート!A:A))</f>
        <v>1</v>
      </c>
      <c r="I486" s="72">
        <v>1.388888888888889E-2</v>
      </c>
      <c r="J486" s="70" t="s">
        <v>143</v>
      </c>
      <c r="K486" s="70" t="s">
        <v>26</v>
      </c>
      <c r="L486" s="70"/>
      <c r="M486" s="70" t="s">
        <v>626</v>
      </c>
      <c r="N486" s="70" t="s">
        <v>6</v>
      </c>
      <c r="O486" s="70" t="s">
        <v>7</v>
      </c>
      <c r="P486" s="73" t="s">
        <v>724</v>
      </c>
      <c r="Q486" s="73" t="s">
        <v>725</v>
      </c>
    </row>
    <row r="487" spans="2:17" ht="37.5" customHeight="1">
      <c r="B487" s="63" t="str">
        <f t="shared" si="14"/>
        <v>No484</v>
      </c>
      <c r="C487" s="63" t="str">
        <f t="shared" si="15"/>
        <v>202512</v>
      </c>
      <c r="D487" s="70" t="s">
        <v>3</v>
      </c>
      <c r="E487" s="70" t="s">
        <v>4</v>
      </c>
      <c r="F487" s="71">
        <v>45999.416666666657</v>
      </c>
      <c r="G487" s="64">
        <v>45999.604166666657</v>
      </c>
      <c r="H487" s="70">
        <f>IF(F487="", "", NETWORKDAYS.INTL(F487, G487, 11,祝日シート!A:A))</f>
        <v>1</v>
      </c>
      <c r="I487" s="72">
        <v>0.1875</v>
      </c>
      <c r="J487" s="70" t="s">
        <v>20</v>
      </c>
      <c r="K487" s="70" t="s">
        <v>120</v>
      </c>
      <c r="L487" s="70"/>
      <c r="M487" s="70" t="s">
        <v>193</v>
      </c>
      <c r="N487" s="70" t="s">
        <v>6</v>
      </c>
      <c r="O487" s="70" t="s">
        <v>7</v>
      </c>
      <c r="P487" s="73" t="s">
        <v>726</v>
      </c>
      <c r="Q487" s="73" t="s">
        <v>727</v>
      </c>
    </row>
    <row r="488" spans="2:17" ht="37.5" customHeight="1">
      <c r="B488" s="63" t="str">
        <f t="shared" si="14"/>
        <v>No485</v>
      </c>
      <c r="C488" s="63" t="str">
        <f t="shared" si="15"/>
        <v>202512</v>
      </c>
      <c r="D488" s="70" t="s">
        <v>166</v>
      </c>
      <c r="E488" s="70" t="s">
        <v>4</v>
      </c>
      <c r="F488" s="71">
        <v>46000.458333333343</v>
      </c>
      <c r="G488" s="64">
        <v>46000.625</v>
      </c>
      <c r="H488" s="70">
        <f>IF(F488="", "", NETWORKDAYS.INTL(F488, G488, 11,祝日シート!A:A))</f>
        <v>1</v>
      </c>
      <c r="I488" s="72">
        <v>0.16666666666666671</v>
      </c>
      <c r="J488" s="70" t="s">
        <v>45</v>
      </c>
      <c r="K488" s="70" t="s">
        <v>26</v>
      </c>
      <c r="L488" s="70"/>
      <c r="M488" s="70" t="s">
        <v>167</v>
      </c>
      <c r="N488" s="70" t="s">
        <v>122</v>
      </c>
      <c r="O488" s="70" t="s">
        <v>7</v>
      </c>
      <c r="P488" s="73" t="s">
        <v>722</v>
      </c>
      <c r="Q488" s="73" t="s">
        <v>728</v>
      </c>
    </row>
    <row r="489" spans="2:17" ht="37.5" customHeight="1">
      <c r="B489" s="63" t="str">
        <f t="shared" si="14"/>
        <v>No486</v>
      </c>
      <c r="C489" s="63" t="str">
        <f t="shared" si="15"/>
        <v>202512</v>
      </c>
      <c r="D489" s="70" t="s">
        <v>166</v>
      </c>
      <c r="E489" s="70" t="s">
        <v>4</v>
      </c>
      <c r="F489" s="71">
        <v>46002.666666666657</v>
      </c>
      <c r="G489" s="64">
        <v>46002.708333333343</v>
      </c>
      <c r="H489" s="70">
        <f>IF(F489="", "", NETWORKDAYS.INTL(F489, G489, 11,祝日シート!A:A))</f>
        <v>1</v>
      </c>
      <c r="I489" s="72">
        <v>4.1666666666666657E-2</v>
      </c>
      <c r="J489" s="70" t="s">
        <v>20</v>
      </c>
      <c r="K489" s="70" t="s">
        <v>26</v>
      </c>
      <c r="L489" s="70"/>
      <c r="M489" s="70" t="s">
        <v>4</v>
      </c>
      <c r="N489" s="70" t="s">
        <v>6</v>
      </c>
      <c r="O489" s="70" t="s">
        <v>7</v>
      </c>
      <c r="P489" s="73" t="s">
        <v>729</v>
      </c>
      <c r="Q489" s="73" t="s">
        <v>730</v>
      </c>
    </row>
    <row r="490" spans="2:17" ht="37.5" customHeight="1">
      <c r="B490" s="63" t="str">
        <f t="shared" si="14"/>
        <v>No487</v>
      </c>
      <c r="C490" s="63" t="str">
        <f t="shared" si="15"/>
        <v>202512</v>
      </c>
      <c r="D490" s="70" t="s">
        <v>142</v>
      </c>
      <c r="E490" s="70" t="s">
        <v>4</v>
      </c>
      <c r="F490" s="71">
        <v>46006.604166666657</v>
      </c>
      <c r="G490" s="64">
        <v>46006.71875</v>
      </c>
      <c r="H490" s="70">
        <f>IF(F490="", "", NETWORKDAYS.INTL(F490, G490, 11,祝日シート!A:A))</f>
        <v>1</v>
      </c>
      <c r="I490" s="72">
        <v>0.1145833333333333</v>
      </c>
      <c r="J490" s="70" t="s">
        <v>119</v>
      </c>
      <c r="K490" s="70" t="s">
        <v>41</v>
      </c>
      <c r="L490" s="70"/>
      <c r="M490" s="70" t="s">
        <v>163</v>
      </c>
      <c r="N490" s="70" t="s">
        <v>6</v>
      </c>
      <c r="O490" s="70" t="s">
        <v>7</v>
      </c>
      <c r="P490" s="73" t="s">
        <v>731</v>
      </c>
      <c r="Q490" s="73" t="s">
        <v>732</v>
      </c>
    </row>
    <row r="491" spans="2:17" ht="37.5" customHeight="1">
      <c r="B491" s="63" t="str">
        <f t="shared" si="14"/>
        <v>No488</v>
      </c>
      <c r="C491" s="63" t="str">
        <f t="shared" si="15"/>
        <v>202512</v>
      </c>
      <c r="D491" s="70" t="s">
        <v>166</v>
      </c>
      <c r="E491" s="70" t="s">
        <v>4</v>
      </c>
      <c r="F491" s="71">
        <v>46007.604166666657</v>
      </c>
      <c r="G491" s="64">
        <v>46007.75</v>
      </c>
      <c r="H491" s="70">
        <f>IF(F491="", "", NETWORKDAYS.INTL(F491, G491, 11,祝日シート!A:A))</f>
        <v>1</v>
      </c>
      <c r="I491" s="72">
        <v>0.14583333333333329</v>
      </c>
      <c r="J491" s="70" t="s">
        <v>119</v>
      </c>
      <c r="K491" s="70" t="s">
        <v>26</v>
      </c>
      <c r="L491" s="70"/>
      <c r="M491" s="70" t="s">
        <v>4</v>
      </c>
      <c r="N491" s="70" t="s">
        <v>122</v>
      </c>
      <c r="O491" s="70" t="s">
        <v>7</v>
      </c>
      <c r="P491" s="73" t="s">
        <v>733</v>
      </c>
      <c r="Q491" s="73" t="s">
        <v>734</v>
      </c>
    </row>
    <row r="492" spans="2:17" ht="37.5" customHeight="1">
      <c r="B492" s="63" t="str">
        <f t="shared" si="14"/>
        <v>No489</v>
      </c>
      <c r="C492" s="63" t="str">
        <f t="shared" si="15"/>
        <v>202512</v>
      </c>
      <c r="D492" s="70" t="s">
        <v>166</v>
      </c>
      <c r="E492" s="70" t="s">
        <v>4</v>
      </c>
      <c r="F492" s="71">
        <v>46010.375</v>
      </c>
      <c r="G492" s="64">
        <v>46010.583333333343</v>
      </c>
      <c r="H492" s="70">
        <f>IF(F492="", "", NETWORKDAYS.INTL(F492, G492, 11,祝日シート!A:A))</f>
        <v>1</v>
      </c>
      <c r="I492" s="72">
        <v>0.20833333333333329</v>
      </c>
      <c r="J492" s="70" t="s">
        <v>61</v>
      </c>
      <c r="K492" s="70" t="s">
        <v>26</v>
      </c>
      <c r="L492" s="70"/>
      <c r="M492" s="70" t="s">
        <v>626</v>
      </c>
      <c r="N492" s="70" t="s">
        <v>122</v>
      </c>
      <c r="O492" s="70" t="s">
        <v>7</v>
      </c>
      <c r="P492" s="73" t="s">
        <v>735</v>
      </c>
      <c r="Q492" s="73" t="s">
        <v>736</v>
      </c>
    </row>
    <row r="493" spans="2:17" ht="37.5" customHeight="1">
      <c r="B493" s="63" t="str">
        <f t="shared" si="14"/>
        <v>No490</v>
      </c>
      <c r="C493" s="63" t="str">
        <f t="shared" si="15"/>
        <v>202512</v>
      </c>
      <c r="D493" s="70" t="s">
        <v>142</v>
      </c>
      <c r="E493" s="70" t="s">
        <v>4</v>
      </c>
      <c r="F493" s="71">
        <v>46010.493055555547</v>
      </c>
      <c r="G493" s="64">
        <v>46010.583333333343</v>
      </c>
      <c r="H493" s="70">
        <f>IF(F493="", "", NETWORKDAYS.INTL(F493, G493, 11,祝日シート!A:A))</f>
        <v>1</v>
      </c>
      <c r="I493" s="72">
        <v>9.0277777777777776E-2</v>
      </c>
      <c r="J493" s="70" t="s">
        <v>20</v>
      </c>
      <c r="K493" s="70" t="s">
        <v>159</v>
      </c>
      <c r="L493" s="70"/>
      <c r="M493" s="70" t="s">
        <v>675</v>
      </c>
      <c r="N493" s="70" t="s">
        <v>6</v>
      </c>
      <c r="O493" s="70" t="s">
        <v>7</v>
      </c>
      <c r="P493" s="73" t="s">
        <v>737</v>
      </c>
      <c r="Q493" s="73" t="s">
        <v>738</v>
      </c>
    </row>
    <row r="494" spans="2:17" ht="37.5" customHeight="1">
      <c r="B494" s="63" t="str">
        <f t="shared" si="14"/>
        <v>No491</v>
      </c>
      <c r="C494" s="63" t="str">
        <f t="shared" si="15"/>
        <v>202512</v>
      </c>
      <c r="D494" s="70" t="s">
        <v>166</v>
      </c>
      <c r="E494" s="70" t="s">
        <v>4</v>
      </c>
      <c r="F494" s="71">
        <v>46014.375</v>
      </c>
      <c r="G494" s="64">
        <v>46015.708333333343</v>
      </c>
      <c r="H494" s="70">
        <f>IF(F494="", "", NETWORKDAYS.INTL(F494, G494, 11,祝日シート!A:A))</f>
        <v>2</v>
      </c>
      <c r="I494" s="72">
        <v>0.33333333333333331</v>
      </c>
      <c r="J494" s="70" t="s">
        <v>143</v>
      </c>
      <c r="K494" s="70" t="s">
        <v>143</v>
      </c>
      <c r="L494" s="70"/>
      <c r="M494" s="70" t="s">
        <v>739</v>
      </c>
      <c r="N494" s="70" t="s">
        <v>6</v>
      </c>
      <c r="O494" s="70" t="s">
        <v>7</v>
      </c>
      <c r="P494" s="73" t="s">
        <v>740</v>
      </c>
      <c r="Q494" s="73" t="s">
        <v>101</v>
      </c>
    </row>
    <row r="495" spans="2:17" ht="37.5" customHeight="1">
      <c r="B495" s="63" t="str">
        <f t="shared" si="14"/>
        <v>No492</v>
      </c>
      <c r="C495" s="63" t="str">
        <f t="shared" si="15"/>
        <v>202512</v>
      </c>
      <c r="D495" s="70" t="s">
        <v>3</v>
      </c>
      <c r="E495" s="70" t="s">
        <v>4</v>
      </c>
      <c r="F495" s="71">
        <v>46016.416666666657</v>
      </c>
      <c r="G495" s="64">
        <v>46016.625</v>
      </c>
      <c r="H495" s="70">
        <f>IF(F495="", "", NETWORKDAYS.INTL(F495, G495, 11,祝日シート!A:A))</f>
        <v>1</v>
      </c>
      <c r="I495" s="72">
        <v>0.20833333333333329</v>
      </c>
      <c r="J495" s="70" t="s">
        <v>143</v>
      </c>
      <c r="K495" s="70" t="s">
        <v>143</v>
      </c>
      <c r="L495" s="70"/>
      <c r="M495" s="70" t="s">
        <v>739</v>
      </c>
      <c r="N495" s="70" t="s">
        <v>6</v>
      </c>
      <c r="O495" s="70" t="s">
        <v>7</v>
      </c>
      <c r="P495" s="73" t="s">
        <v>741</v>
      </c>
      <c r="Q495" s="73" t="s">
        <v>101</v>
      </c>
    </row>
    <row r="496" spans="2:17" ht="35.25" customHeight="1">
      <c r="B496" s="63" t="str">
        <f t="shared" si="14"/>
        <v>No493</v>
      </c>
      <c r="C496" s="63" t="str">
        <f t="shared" si="15"/>
        <v>202512</v>
      </c>
      <c r="D496" s="70" t="s">
        <v>3</v>
      </c>
      <c r="E496" s="70" t="s">
        <v>4</v>
      </c>
      <c r="F496" s="71">
        <v>46016.645833333343</v>
      </c>
      <c r="G496" s="64">
        <v>46016.6875</v>
      </c>
      <c r="H496" s="70">
        <f>IF(F496="", "", NETWORKDAYS.INTL(F496, G496, 11,祝日シート!A:A))</f>
        <v>1</v>
      </c>
      <c r="I496" s="72">
        <v>4.1666666666666657E-2</v>
      </c>
      <c r="J496" s="70" t="s">
        <v>143</v>
      </c>
      <c r="K496" s="70" t="s">
        <v>21</v>
      </c>
      <c r="L496" s="70"/>
      <c r="M496" s="70" t="s">
        <v>742</v>
      </c>
      <c r="N496" s="70" t="s">
        <v>6</v>
      </c>
      <c r="O496" s="70" t="s">
        <v>7</v>
      </c>
      <c r="P496" s="73" t="s">
        <v>743</v>
      </c>
      <c r="Q496" s="73" t="s">
        <v>101</v>
      </c>
    </row>
    <row r="497" spans="1:17" ht="37.5" customHeight="1">
      <c r="B497" s="63" t="str">
        <f t="shared" si="14"/>
        <v>No494</v>
      </c>
      <c r="C497" s="63" t="str">
        <f t="shared" si="15"/>
        <v>202512</v>
      </c>
      <c r="D497" s="70" t="s">
        <v>3</v>
      </c>
      <c r="E497" s="70" t="s">
        <v>4</v>
      </c>
      <c r="F497" s="71">
        <v>46017.416666666657</v>
      </c>
      <c r="G497" s="64">
        <v>46017.666666666657</v>
      </c>
      <c r="H497" s="70">
        <f>IF(F497="", "", NETWORKDAYS.INTL(F497, G497, 11,祝日シート!A:A))</f>
        <v>1</v>
      </c>
      <c r="I497" s="72">
        <v>0.25</v>
      </c>
      <c r="J497" s="70" t="s">
        <v>20</v>
      </c>
      <c r="K497" s="70" t="s">
        <v>111</v>
      </c>
      <c r="L497" s="70"/>
      <c r="M497" s="70" t="s">
        <v>114</v>
      </c>
      <c r="N497" s="70" t="s">
        <v>6</v>
      </c>
      <c r="O497" s="70" t="s">
        <v>7</v>
      </c>
      <c r="P497" s="73" t="s">
        <v>744</v>
      </c>
      <c r="Q497" s="73" t="s">
        <v>101</v>
      </c>
    </row>
    <row r="498" spans="1:17" ht="37.5" customHeight="1">
      <c r="B498" s="63" t="str">
        <f t="shared" si="14"/>
        <v>No495</v>
      </c>
      <c r="C498" s="63" t="str">
        <f t="shared" si="15"/>
        <v>202512</v>
      </c>
      <c r="D498" s="70" t="s">
        <v>3</v>
      </c>
      <c r="E498" s="70" t="s">
        <v>4</v>
      </c>
      <c r="F498" s="71">
        <v>46017.666666666657</v>
      </c>
      <c r="G498" s="64">
        <v>46017.75</v>
      </c>
      <c r="H498" s="70">
        <f>IF(F498="", "", NETWORKDAYS.INTL(F498, G498, 11,祝日シート!A:A))</f>
        <v>1</v>
      </c>
      <c r="I498" s="72">
        <v>8.3333333333333329E-2</v>
      </c>
      <c r="J498" s="70" t="s">
        <v>45</v>
      </c>
      <c r="K498" s="70" t="s">
        <v>111</v>
      </c>
      <c r="L498" s="70"/>
      <c r="M498" s="70" t="s">
        <v>114</v>
      </c>
      <c r="N498" s="70" t="s">
        <v>6</v>
      </c>
      <c r="O498" s="70" t="s">
        <v>7</v>
      </c>
      <c r="P498" s="73" t="s">
        <v>745</v>
      </c>
      <c r="Q498" s="73" t="s">
        <v>101</v>
      </c>
    </row>
    <row r="499" spans="1:17" ht="37.5" customHeight="1">
      <c r="B499" s="63" t="str">
        <f t="shared" si="14"/>
        <v>No496</v>
      </c>
      <c r="C499" s="63" t="str">
        <f t="shared" si="15"/>
        <v>202512</v>
      </c>
      <c r="D499" s="70" t="s">
        <v>3</v>
      </c>
      <c r="E499" s="70" t="s">
        <v>4</v>
      </c>
      <c r="F499" s="71">
        <v>46018.416666666657</v>
      </c>
      <c r="G499" s="64">
        <v>46018.625</v>
      </c>
      <c r="H499" s="70">
        <f>IF(F499="", "", NETWORKDAYS.INTL(F499, G499, 11,祝日シート!A:A))</f>
        <v>1</v>
      </c>
      <c r="I499" s="72">
        <v>0.20833333333333329</v>
      </c>
      <c r="J499" s="70" t="s">
        <v>20</v>
      </c>
      <c r="K499" s="70" t="s">
        <v>35</v>
      </c>
      <c r="L499" s="70"/>
      <c r="M499" s="70" t="s">
        <v>746</v>
      </c>
      <c r="N499" s="70" t="s">
        <v>6</v>
      </c>
      <c r="O499" s="70" t="s">
        <v>7</v>
      </c>
      <c r="P499" s="73" t="s">
        <v>744</v>
      </c>
      <c r="Q499" s="73" t="s">
        <v>101</v>
      </c>
    </row>
    <row r="500" spans="1:17" ht="37.5" customHeight="1">
      <c r="B500" s="63" t="str">
        <f t="shared" si="14"/>
        <v>No497</v>
      </c>
      <c r="C500" s="63" t="str">
        <f t="shared" si="15"/>
        <v>202512</v>
      </c>
      <c r="D500" s="70" t="s">
        <v>3</v>
      </c>
      <c r="E500" s="70" t="s">
        <v>4</v>
      </c>
      <c r="F500" s="71">
        <v>46018.666666666657</v>
      </c>
      <c r="G500" s="64">
        <v>46018.75</v>
      </c>
      <c r="H500" s="70">
        <f>IF(F500="", "", NETWORKDAYS.INTL(F500, G500, 11,祝日シート!A:A))</f>
        <v>1</v>
      </c>
      <c r="I500" s="72">
        <v>8.3333333333333329E-2</v>
      </c>
      <c r="J500" s="70" t="s">
        <v>45</v>
      </c>
      <c r="K500" s="70" t="s">
        <v>35</v>
      </c>
      <c r="L500" s="70"/>
      <c r="M500" s="70" t="s">
        <v>746</v>
      </c>
      <c r="N500" s="70" t="s">
        <v>6</v>
      </c>
      <c r="O500" s="67" t="s">
        <v>7</v>
      </c>
      <c r="P500" s="73" t="s">
        <v>745</v>
      </c>
      <c r="Q500" s="73" t="s">
        <v>101</v>
      </c>
    </row>
    <row r="501" spans="1:17" ht="36" hidden="1" customHeight="1">
      <c r="B501" s="63" t="str">
        <f t="shared" si="14"/>
        <v>No498</v>
      </c>
      <c r="C501" s="63" t="str">
        <f t="shared" si="15"/>
        <v>202601</v>
      </c>
      <c r="D501" s="70" t="s">
        <v>104</v>
      </c>
      <c r="E501" s="70" t="s">
        <v>747</v>
      </c>
      <c r="F501" s="71">
        <v>46028.576388888891</v>
      </c>
      <c r="G501" s="64">
        <v>46028.666666666657</v>
      </c>
      <c r="H501" s="70">
        <f>IF(F501="", "", NETWORKDAYS.INTL(F501, G501, 11,祝日シート!A:A))</f>
        <v>1</v>
      </c>
      <c r="I501" s="72">
        <v>9.0277777777777776E-2</v>
      </c>
      <c r="J501" s="70" t="s">
        <v>95</v>
      </c>
      <c r="K501" s="70" t="s">
        <v>143</v>
      </c>
      <c r="L501" s="70"/>
      <c r="M501" s="70" t="s">
        <v>748</v>
      </c>
      <c r="N501" s="70" t="s">
        <v>6</v>
      </c>
      <c r="O501" s="70" t="s">
        <v>7</v>
      </c>
      <c r="P501" s="73" t="s">
        <v>749</v>
      </c>
      <c r="Q501" s="73" t="s">
        <v>750</v>
      </c>
    </row>
    <row r="502" spans="1:17" ht="35.25" hidden="1" customHeight="1">
      <c r="B502" s="63" t="str">
        <f t="shared" si="14"/>
        <v>No499</v>
      </c>
      <c r="C502" s="63" t="str">
        <f t="shared" si="15"/>
        <v>202601</v>
      </c>
      <c r="D502" s="70" t="s">
        <v>142</v>
      </c>
      <c r="E502" s="70" t="s">
        <v>747</v>
      </c>
      <c r="F502" s="71">
        <v>46029.5625</v>
      </c>
      <c r="G502" s="64">
        <v>46029.583333333343</v>
      </c>
      <c r="H502" s="70">
        <f>IF(F502="", "", NETWORKDAYS.INTL(F502, G502, 11,祝日シート!A:A))</f>
        <v>1</v>
      </c>
      <c r="I502" s="72">
        <v>2.0833333333333329E-2</v>
      </c>
      <c r="J502" s="70" t="s">
        <v>20</v>
      </c>
      <c r="K502" s="70" t="s">
        <v>26</v>
      </c>
      <c r="L502" s="70"/>
      <c r="M502" s="70" t="s">
        <v>747</v>
      </c>
      <c r="N502" s="70" t="s">
        <v>6</v>
      </c>
      <c r="O502" s="70" t="s">
        <v>7</v>
      </c>
      <c r="P502" s="73" t="s">
        <v>751</v>
      </c>
      <c r="Q502" s="73" t="s">
        <v>752</v>
      </c>
    </row>
    <row r="503" spans="1:17" ht="35.25" hidden="1" customHeight="1">
      <c r="B503" s="63" t="str">
        <f t="shared" si="14"/>
        <v>No500</v>
      </c>
      <c r="C503" s="63" t="str">
        <f t="shared" si="15"/>
        <v>202601</v>
      </c>
      <c r="D503" s="70" t="s">
        <v>142</v>
      </c>
      <c r="E503" s="70" t="s">
        <v>747</v>
      </c>
      <c r="F503" s="71">
        <v>46030.395833333343</v>
      </c>
      <c r="G503" s="64">
        <v>46030.486111111109</v>
      </c>
      <c r="H503" s="70">
        <f>IF(F503="", "", NETWORKDAYS.INTL(F503, G503, 11,祝日シート!A:A))</f>
        <v>1</v>
      </c>
      <c r="I503" s="72">
        <v>9.0277777777777776E-2</v>
      </c>
      <c r="J503" s="70" t="s">
        <v>249</v>
      </c>
      <c r="K503" s="70" t="s">
        <v>176</v>
      </c>
      <c r="L503" s="70"/>
      <c r="M503" s="70" t="s">
        <v>753</v>
      </c>
      <c r="N503" s="70" t="s">
        <v>6</v>
      </c>
      <c r="O503" s="70" t="s">
        <v>7</v>
      </c>
      <c r="P503" s="73" t="s">
        <v>754</v>
      </c>
      <c r="Q503" s="73" t="s">
        <v>755</v>
      </c>
    </row>
    <row r="504" spans="1:17" ht="35.25" hidden="1" customHeight="1">
      <c r="B504" s="63" t="str">
        <f t="shared" si="14"/>
        <v>No501</v>
      </c>
      <c r="C504" s="63" t="str">
        <f t="shared" si="15"/>
        <v>202601</v>
      </c>
      <c r="D504" s="70" t="s">
        <v>142</v>
      </c>
      <c r="E504" s="70" t="s">
        <v>747</v>
      </c>
      <c r="F504" s="71">
        <v>46035.375</v>
      </c>
      <c r="G504" s="64">
        <v>46035.388888888891</v>
      </c>
      <c r="H504" s="70">
        <f>IF(F504="", "", NETWORKDAYS.INTL(F504, G504, 11,祝日シート!A:A))</f>
        <v>1</v>
      </c>
      <c r="I504" s="72">
        <v>1.388888888888889E-2</v>
      </c>
      <c r="J504" s="70" t="s">
        <v>20</v>
      </c>
      <c r="K504" s="70" t="s">
        <v>35</v>
      </c>
      <c r="L504" s="70"/>
      <c r="M504" s="70" t="s">
        <v>102</v>
      </c>
      <c r="N504" s="70" t="s">
        <v>122</v>
      </c>
      <c r="O504" s="70" t="s">
        <v>7</v>
      </c>
      <c r="P504" s="73" t="s">
        <v>756</v>
      </c>
      <c r="Q504" s="73" t="s">
        <v>757</v>
      </c>
    </row>
    <row r="505" spans="1:17" ht="35.25" hidden="1" customHeight="1">
      <c r="B505" s="63" t="str">
        <f t="shared" si="14"/>
        <v>No502</v>
      </c>
      <c r="C505" s="63" t="str">
        <f t="shared" si="15"/>
        <v>202601</v>
      </c>
      <c r="D505" s="70" t="s">
        <v>166</v>
      </c>
      <c r="E505" s="70" t="s">
        <v>747</v>
      </c>
      <c r="F505" s="71">
        <v>46036.4375</v>
      </c>
      <c r="G505" s="64">
        <v>46036.451388888891</v>
      </c>
      <c r="H505" s="70">
        <f>IF(F505="", "", NETWORKDAYS.INTL(F505, G505, 11,祝日シート!A:A))</f>
        <v>1</v>
      </c>
      <c r="I505" s="72">
        <v>1.388888888888889E-2</v>
      </c>
      <c r="J505" s="70" t="s">
        <v>20</v>
      </c>
      <c r="K505" s="70" t="s">
        <v>311</v>
      </c>
      <c r="L505" s="70"/>
      <c r="M505" s="70"/>
      <c r="N505" s="70" t="s">
        <v>6</v>
      </c>
      <c r="O505" s="70" t="s">
        <v>7</v>
      </c>
      <c r="P505" s="73" t="s">
        <v>758</v>
      </c>
      <c r="Q505" s="73" t="s">
        <v>759</v>
      </c>
    </row>
    <row r="506" spans="1:17" ht="35.25" hidden="1" customHeight="1">
      <c r="B506" s="63" t="str">
        <f t="shared" si="14"/>
        <v>No503</v>
      </c>
      <c r="C506" s="63" t="str">
        <f t="shared" si="15"/>
        <v>202601</v>
      </c>
      <c r="D506" s="70" t="s">
        <v>186</v>
      </c>
      <c r="E506" s="70" t="s">
        <v>747</v>
      </c>
      <c r="F506" s="71">
        <v>46036.583333333343</v>
      </c>
      <c r="G506" s="64">
        <v>46036.618055555547</v>
      </c>
      <c r="H506" s="70">
        <f>IF(F506="", "", NETWORKDAYS.INTL(F506, G506, 11,祝日シート!A:A))</f>
        <v>1</v>
      </c>
      <c r="I506" s="72">
        <v>3.4722222222222217E-2</v>
      </c>
      <c r="J506" s="70" t="s">
        <v>20</v>
      </c>
      <c r="K506" s="70" t="s">
        <v>143</v>
      </c>
      <c r="L506" s="70"/>
      <c r="M506" s="70" t="s">
        <v>760</v>
      </c>
      <c r="N506" s="70" t="s">
        <v>6</v>
      </c>
      <c r="O506" s="70" t="s">
        <v>7</v>
      </c>
      <c r="P506" s="73" t="s">
        <v>761</v>
      </c>
      <c r="Q506" s="73" t="s">
        <v>762</v>
      </c>
    </row>
    <row r="507" spans="1:17" ht="35.25" hidden="1" customHeight="1">
      <c r="B507" s="63" t="str">
        <f t="shared" si="14"/>
        <v>No504</v>
      </c>
      <c r="C507" s="63" t="str">
        <f t="shared" si="15"/>
        <v>202601</v>
      </c>
      <c r="D507" s="70" t="s">
        <v>166</v>
      </c>
      <c r="E507" s="70" t="s">
        <v>747</v>
      </c>
      <c r="F507" s="71">
        <v>46037.416666666657</v>
      </c>
      <c r="G507" s="64">
        <v>46037.701388888891</v>
      </c>
      <c r="H507" s="70">
        <f>IF(F507="", "", NETWORKDAYS.INTL(F507, G507, 11,祝日シート!A:A))</f>
        <v>1</v>
      </c>
      <c r="I507" s="72">
        <v>0.28472222222222221</v>
      </c>
      <c r="J507" s="70" t="s">
        <v>119</v>
      </c>
      <c r="K507" s="70" t="s">
        <v>143</v>
      </c>
      <c r="L507" s="70"/>
      <c r="M507" s="70" t="s">
        <v>215</v>
      </c>
      <c r="N507" s="70" t="s">
        <v>6</v>
      </c>
      <c r="O507" s="70" t="s">
        <v>7</v>
      </c>
      <c r="P507" s="73" t="s">
        <v>763</v>
      </c>
      <c r="Q507" s="73" t="s">
        <v>764</v>
      </c>
    </row>
    <row r="508" spans="1:17" ht="35.25" hidden="1" customHeight="1">
      <c r="B508" s="63" t="str">
        <f t="shared" si="14"/>
        <v>No505</v>
      </c>
      <c r="C508" s="63" t="str">
        <f t="shared" si="15"/>
        <v>202601</v>
      </c>
      <c r="D508" s="70" t="s">
        <v>3</v>
      </c>
      <c r="E508" s="70" t="s">
        <v>747</v>
      </c>
      <c r="F508" s="71">
        <v>46037.541666666657</v>
      </c>
      <c r="G508" s="64">
        <v>46037.659722222219</v>
      </c>
      <c r="H508" s="70">
        <f>IF(F508="", "", NETWORKDAYS.INTL(F508, G508, 11,祝日シート!A:A))</f>
        <v>1</v>
      </c>
      <c r="I508" s="72">
        <v>0.11805555555555559</v>
      </c>
      <c r="J508" s="70" t="s">
        <v>20</v>
      </c>
      <c r="K508" s="70" t="s">
        <v>143</v>
      </c>
      <c r="L508" s="70"/>
      <c r="M508" s="70" t="s">
        <v>163</v>
      </c>
      <c r="N508" s="70" t="s">
        <v>6</v>
      </c>
      <c r="O508" s="70" t="s">
        <v>7</v>
      </c>
      <c r="P508" s="73" t="s">
        <v>765</v>
      </c>
      <c r="Q508" s="73" t="s">
        <v>766</v>
      </c>
    </row>
    <row r="509" spans="1:17" ht="35.25" hidden="1" customHeight="1">
      <c r="B509" s="63" t="str">
        <f t="shared" si="14"/>
        <v>No506</v>
      </c>
      <c r="C509" s="63" t="str">
        <f t="shared" si="15"/>
        <v>202601</v>
      </c>
      <c r="D509" s="70" t="s">
        <v>142</v>
      </c>
      <c r="E509" s="70" t="s">
        <v>747</v>
      </c>
      <c r="F509" s="71">
        <v>46038.659722222219</v>
      </c>
      <c r="G509" s="64">
        <v>46038.680555555547</v>
      </c>
      <c r="H509" s="70">
        <f>IF(F509="", "", NETWORKDAYS.INTL(F509, G509, 11,祝日シート!A:A))</f>
        <v>1</v>
      </c>
      <c r="I509" s="72">
        <v>2.0833333333333329E-2</v>
      </c>
      <c r="J509" s="70" t="s">
        <v>20</v>
      </c>
      <c r="K509" s="70" t="s">
        <v>26</v>
      </c>
      <c r="L509" s="70"/>
      <c r="M509" s="70" t="s">
        <v>747</v>
      </c>
      <c r="N509" s="70" t="s">
        <v>6</v>
      </c>
      <c r="O509" s="70" t="s">
        <v>7</v>
      </c>
      <c r="P509" s="73" t="s">
        <v>767</v>
      </c>
      <c r="Q509" s="73" t="s">
        <v>768</v>
      </c>
    </row>
    <row r="510" spans="1:17" ht="35.25" hidden="1" customHeight="1">
      <c r="B510" s="63" t="str">
        <f t="shared" si="14"/>
        <v>No507</v>
      </c>
      <c r="C510" s="63" t="str">
        <f t="shared" si="15"/>
        <v>202601</v>
      </c>
      <c r="D510" s="70" t="s">
        <v>166</v>
      </c>
      <c r="E510" s="70" t="s">
        <v>747</v>
      </c>
      <c r="F510" s="71">
        <v>46041.55972222222</v>
      </c>
      <c r="G510" s="64">
        <v>46041.784722222219</v>
      </c>
      <c r="H510" s="70">
        <f>IF(F510="", "", NETWORKDAYS.INTL(F510, G510, 11,祝日シート!A:A))</f>
        <v>1</v>
      </c>
      <c r="I510" s="72">
        <v>0.22500000000000001</v>
      </c>
      <c r="J510" s="70" t="s">
        <v>119</v>
      </c>
      <c r="K510" s="70" t="s">
        <v>561</v>
      </c>
      <c r="L510" s="70"/>
      <c r="M510" s="70" t="s">
        <v>747</v>
      </c>
      <c r="N510" s="70" t="s">
        <v>6</v>
      </c>
      <c r="O510" s="70" t="s">
        <v>7</v>
      </c>
      <c r="P510" s="73" t="s">
        <v>769</v>
      </c>
      <c r="Q510" s="73" t="s">
        <v>770</v>
      </c>
    </row>
    <row r="511" spans="1:17" ht="35.25" hidden="1" customHeight="1">
      <c r="B511" s="63" t="str">
        <f t="shared" si="14"/>
        <v>No508</v>
      </c>
      <c r="C511" s="63" t="str">
        <f t="shared" si="15"/>
        <v>202601</v>
      </c>
      <c r="D511" s="70" t="s">
        <v>166</v>
      </c>
      <c r="E511" s="70" t="s">
        <v>747</v>
      </c>
      <c r="F511" s="71">
        <v>46041.708333333343</v>
      </c>
      <c r="G511" s="64">
        <v>46041.75</v>
      </c>
      <c r="H511" s="70">
        <f>IF(F511="", "", NETWORKDAYS.INTL(F511, G511, 11,祝日シート!A:A))</f>
        <v>1</v>
      </c>
      <c r="I511" s="72">
        <v>4.1666666666666657E-2</v>
      </c>
      <c r="J511" s="70" t="s">
        <v>119</v>
      </c>
      <c r="K511" s="70" t="s">
        <v>26</v>
      </c>
      <c r="L511" s="70"/>
      <c r="M511" s="70"/>
      <c r="N511" s="70" t="s">
        <v>122</v>
      </c>
      <c r="O511" s="70" t="s">
        <v>7</v>
      </c>
      <c r="P511" s="73" t="s">
        <v>771</v>
      </c>
      <c r="Q511" s="73" t="s">
        <v>772</v>
      </c>
    </row>
    <row r="512" spans="1:17" ht="35.25" hidden="1" customHeight="1">
      <c r="A512" s="24" t="s">
        <v>773</v>
      </c>
      <c r="B512" s="63" t="str">
        <f t="shared" si="14"/>
        <v>No509</v>
      </c>
      <c r="C512" s="63" t="str">
        <f t="shared" si="15"/>
        <v>202601</v>
      </c>
      <c r="D512" s="70" t="s">
        <v>3</v>
      </c>
      <c r="E512" s="70" t="s">
        <v>747</v>
      </c>
      <c r="F512" s="71">
        <v>46047.375</v>
      </c>
      <c r="G512" s="64">
        <v>46047.625</v>
      </c>
      <c r="H512" s="70">
        <f>IF(F512="", "", NETWORKDAYS.INTL(F512, G512, 11,祝日シート!A:A))</f>
        <v>0</v>
      </c>
      <c r="I512" s="72">
        <v>0.25</v>
      </c>
      <c r="J512" s="70" t="s">
        <v>40</v>
      </c>
      <c r="K512" s="70" t="s">
        <v>176</v>
      </c>
      <c r="L512" s="70"/>
      <c r="M512" s="70" t="s">
        <v>753</v>
      </c>
      <c r="N512" s="70" t="s">
        <v>122</v>
      </c>
      <c r="O512" s="70" t="s">
        <v>7</v>
      </c>
      <c r="P512" s="73" t="s">
        <v>774</v>
      </c>
      <c r="Q512" s="73" t="s">
        <v>775</v>
      </c>
    </row>
    <row r="513" spans="2:17" ht="35.25" hidden="1" customHeight="1">
      <c r="B513" s="63" t="str">
        <f t="shared" si="14"/>
        <v>No510</v>
      </c>
      <c r="C513" s="63" t="str">
        <f t="shared" si="15"/>
        <v>202601</v>
      </c>
      <c r="D513" s="70" t="s">
        <v>3</v>
      </c>
      <c r="E513" s="70" t="s">
        <v>747</v>
      </c>
      <c r="F513" s="71">
        <v>46049.454861111109</v>
      </c>
      <c r="G513" s="64">
        <v>46049.868055555547</v>
      </c>
      <c r="H513" s="70">
        <f>IF(F513="", "", NETWORKDAYS.INTL(F513, G513, 11,祝日シート!A:A))</f>
        <v>1</v>
      </c>
      <c r="I513" s="72">
        <v>0.41319444444444442</v>
      </c>
      <c r="J513" s="70" t="s">
        <v>197</v>
      </c>
      <c r="K513" s="70" t="s">
        <v>143</v>
      </c>
      <c r="L513" s="70"/>
      <c r="M513" s="70" t="s">
        <v>776</v>
      </c>
      <c r="N513" s="70" t="s">
        <v>122</v>
      </c>
      <c r="O513" s="70" t="s">
        <v>7</v>
      </c>
      <c r="P513" s="73" t="s">
        <v>777</v>
      </c>
      <c r="Q513" s="73" t="s">
        <v>778</v>
      </c>
    </row>
    <row r="514" spans="2:17" ht="35.25" hidden="1" customHeight="1">
      <c r="B514" s="63" t="str">
        <f t="shared" si="14"/>
        <v>No511</v>
      </c>
      <c r="C514" s="63" t="str">
        <f t="shared" si="15"/>
        <v>202601</v>
      </c>
      <c r="D514" s="70" t="s">
        <v>166</v>
      </c>
      <c r="E514" s="70" t="s">
        <v>747</v>
      </c>
      <c r="F514" s="71">
        <v>46050.375</v>
      </c>
      <c r="G514" s="64">
        <v>46050.75</v>
      </c>
      <c r="H514" s="70">
        <f>IF(F514="", "", NETWORKDAYS.INTL(F514, G514, 11,祝日シート!A:A))</f>
        <v>1</v>
      </c>
      <c r="I514" s="72">
        <v>0.375</v>
      </c>
      <c r="J514" s="70" t="s">
        <v>310</v>
      </c>
      <c r="K514" s="70" t="s">
        <v>26</v>
      </c>
      <c r="L514" s="70"/>
      <c r="M514" s="70"/>
      <c r="N514" s="70" t="s">
        <v>122</v>
      </c>
      <c r="O514" s="70" t="s">
        <v>7</v>
      </c>
      <c r="P514" s="73" t="s">
        <v>779</v>
      </c>
      <c r="Q514" s="73" t="s">
        <v>780</v>
      </c>
    </row>
    <row r="515" spans="2:17" ht="35.25" hidden="1" customHeight="1">
      <c r="B515" s="63" t="str">
        <f t="shared" si="14"/>
        <v>No512</v>
      </c>
      <c r="C515" s="63" t="str">
        <f t="shared" si="15"/>
        <v>202601</v>
      </c>
      <c r="D515" s="70" t="s">
        <v>3</v>
      </c>
      <c r="E515" s="70" t="s">
        <v>747</v>
      </c>
      <c r="F515" s="71">
        <v>46050.375</v>
      </c>
      <c r="G515" s="64">
        <v>46050.395833333343</v>
      </c>
      <c r="H515" s="70">
        <f>IF(F515="", "", NETWORKDAYS.INTL(F515, G515, 11,祝日シート!A:A))</f>
        <v>1</v>
      </c>
      <c r="I515" s="72">
        <v>2.0833333333333329E-2</v>
      </c>
      <c r="J515" s="70" t="s">
        <v>249</v>
      </c>
      <c r="K515" s="70" t="s">
        <v>176</v>
      </c>
      <c r="L515" s="70"/>
      <c r="M515" s="70"/>
      <c r="N515" s="70" t="s">
        <v>6</v>
      </c>
      <c r="O515" s="70" t="s">
        <v>7</v>
      </c>
      <c r="P515" s="73" t="s">
        <v>781</v>
      </c>
      <c r="Q515" s="73" t="s">
        <v>782</v>
      </c>
    </row>
    <row r="516" spans="2:17" ht="35.25" hidden="1" customHeight="1">
      <c r="B516" s="63" t="str">
        <f t="shared" si="14"/>
        <v>No513</v>
      </c>
      <c r="C516" s="63" t="str">
        <f t="shared" si="15"/>
        <v>202601</v>
      </c>
      <c r="D516" s="70" t="s">
        <v>186</v>
      </c>
      <c r="E516" s="70" t="s">
        <v>747</v>
      </c>
      <c r="F516" s="71">
        <v>46050.465277777781</v>
      </c>
      <c r="G516" s="64">
        <v>46050.479166666657</v>
      </c>
      <c r="H516" s="70">
        <f>IF(F516="", "", NETWORKDAYS.INTL(F516, G516, 11,祝日シート!A:A))</f>
        <v>1</v>
      </c>
      <c r="I516" s="72">
        <v>1.388888888888889E-2</v>
      </c>
      <c r="J516" s="70" t="s">
        <v>95</v>
      </c>
      <c r="K516" s="70" t="s">
        <v>143</v>
      </c>
      <c r="L516" s="70"/>
      <c r="M516" s="70" t="s">
        <v>783</v>
      </c>
      <c r="N516" s="70" t="s">
        <v>6</v>
      </c>
      <c r="O516" s="70" t="s">
        <v>7</v>
      </c>
      <c r="P516" s="73" t="s">
        <v>784</v>
      </c>
      <c r="Q516" s="73" t="s">
        <v>785</v>
      </c>
    </row>
    <row r="517" spans="2:17" ht="35.25" hidden="1" customHeight="1">
      <c r="B517" s="63" t="str">
        <f t="shared" si="14"/>
        <v>No514</v>
      </c>
      <c r="C517" s="63" t="str">
        <f t="shared" si="15"/>
        <v>202601</v>
      </c>
      <c r="D517" s="70" t="s">
        <v>104</v>
      </c>
      <c r="E517" s="70" t="s">
        <v>747</v>
      </c>
      <c r="F517" s="71">
        <v>46050.493055555547</v>
      </c>
      <c r="G517" s="64">
        <v>46050.506944444453</v>
      </c>
      <c r="H517" s="70">
        <f>IF(F517="", "", NETWORKDAYS.INTL(F517, G517, 11,祝日シート!A:A))</f>
        <v>1</v>
      </c>
      <c r="I517" s="72">
        <v>1.388888888888889E-2</v>
      </c>
      <c r="J517" s="70" t="s">
        <v>249</v>
      </c>
      <c r="K517" s="70" t="s">
        <v>176</v>
      </c>
      <c r="L517" s="70"/>
      <c r="M517" s="70" t="s">
        <v>786</v>
      </c>
      <c r="N517" s="70" t="s">
        <v>6</v>
      </c>
      <c r="O517" s="70" t="s">
        <v>7</v>
      </c>
      <c r="P517" s="73" t="s">
        <v>787</v>
      </c>
      <c r="Q517" s="73" t="s">
        <v>788</v>
      </c>
    </row>
    <row r="518" spans="2:17" ht="35.25" hidden="1" customHeight="1">
      <c r="B518" s="63" t="str">
        <f t="shared" si="14"/>
        <v>No515</v>
      </c>
      <c r="C518" s="63" t="str">
        <f t="shared" si="15"/>
        <v>202601</v>
      </c>
      <c r="D518" s="70" t="s">
        <v>142</v>
      </c>
      <c r="E518" s="70" t="s">
        <v>747</v>
      </c>
      <c r="F518" s="71">
        <v>46050.701388888891</v>
      </c>
      <c r="G518" s="64">
        <v>46050.034722222219</v>
      </c>
      <c r="H518" s="70">
        <f>IF(F518="", "", NETWORKDAYS.INTL(F518, G518, 11,祝日シート!A:A))</f>
        <v>1</v>
      </c>
      <c r="I518" s="72">
        <v>0.33333333333333331</v>
      </c>
      <c r="J518" s="70" t="s">
        <v>310</v>
      </c>
      <c r="K518" s="70" t="s">
        <v>26</v>
      </c>
      <c r="L518" s="70"/>
      <c r="M518" s="70"/>
      <c r="N518" s="70" t="s">
        <v>6</v>
      </c>
      <c r="O518" s="70" t="s">
        <v>7</v>
      </c>
      <c r="P518" s="73" t="s">
        <v>789</v>
      </c>
      <c r="Q518" s="73" t="s">
        <v>790</v>
      </c>
    </row>
    <row r="519" spans="2:17" ht="35.25" hidden="1" customHeight="1">
      <c r="B519" s="63" t="str">
        <f t="shared" si="14"/>
        <v>No516</v>
      </c>
      <c r="C519" s="63" t="str">
        <f t="shared" si="15"/>
        <v>202601</v>
      </c>
      <c r="D519" s="70" t="s">
        <v>3</v>
      </c>
      <c r="E519" s="70" t="s">
        <v>747</v>
      </c>
      <c r="F519" s="71">
        <v>46051.666666666657</v>
      </c>
      <c r="G519" s="64">
        <v>46051.6875</v>
      </c>
      <c r="H519" s="70">
        <f>IF(F519="", "", NETWORKDAYS.INTL(F519, G519, 11,祝日シート!A:A))</f>
        <v>1</v>
      </c>
      <c r="I519" s="72">
        <v>2.0833333333333329E-2</v>
      </c>
      <c r="J519" s="70" t="s">
        <v>20</v>
      </c>
      <c r="K519" s="70" t="s">
        <v>120</v>
      </c>
      <c r="L519" s="70"/>
      <c r="M519" s="70" t="s">
        <v>791</v>
      </c>
      <c r="N519" s="70" t="s">
        <v>6</v>
      </c>
      <c r="O519" s="70" t="s">
        <v>7</v>
      </c>
      <c r="P519" s="73" t="s">
        <v>792</v>
      </c>
      <c r="Q519" s="73" t="s">
        <v>793</v>
      </c>
    </row>
    <row r="520" spans="2:17" ht="35.25" hidden="1" customHeight="1">
      <c r="B520" s="63" t="str">
        <f t="shared" si="14"/>
        <v>No517</v>
      </c>
      <c r="C520" s="63" t="str">
        <f t="shared" si="15"/>
        <v>202602</v>
      </c>
      <c r="D520" s="70" t="s">
        <v>104</v>
      </c>
      <c r="E520" s="70" t="s">
        <v>747</v>
      </c>
      <c r="F520" s="71">
        <v>46056.583333333343</v>
      </c>
      <c r="G520" s="64">
        <v>46056.604166666657</v>
      </c>
      <c r="H520" s="70">
        <f>IF(F520="", "", NETWORKDAYS.INTL(F520, G520, 11,祝日シート!A:A))</f>
        <v>1</v>
      </c>
      <c r="I520" s="72">
        <v>2.0833333333333329E-2</v>
      </c>
      <c r="J520" s="70" t="s">
        <v>61</v>
      </c>
      <c r="K520" s="70" t="s">
        <v>311</v>
      </c>
      <c r="L520" s="70"/>
      <c r="M520" s="70"/>
      <c r="N520" s="70" t="s">
        <v>6</v>
      </c>
      <c r="O520" s="70" t="s">
        <v>7</v>
      </c>
      <c r="P520" s="73" t="s">
        <v>794</v>
      </c>
      <c r="Q520" s="73" t="s">
        <v>795</v>
      </c>
    </row>
    <row r="521" spans="2:17" ht="35.25" hidden="1" customHeight="1">
      <c r="B521" s="63" t="str">
        <f t="shared" si="14"/>
        <v>No518</v>
      </c>
      <c r="C521" s="63" t="str">
        <f t="shared" si="15"/>
        <v>202602</v>
      </c>
      <c r="D521" s="70" t="s">
        <v>166</v>
      </c>
      <c r="E521" s="70" t="s">
        <v>747</v>
      </c>
      <c r="F521" s="71">
        <v>46062.375</v>
      </c>
      <c r="G521" s="64">
        <v>46062.625</v>
      </c>
      <c r="H521" s="70">
        <f>IF(F521="", "", NETWORKDAYS.INTL(F521, G521, 11,祝日シート!A:A))</f>
        <v>1</v>
      </c>
      <c r="I521" s="72">
        <v>0.25</v>
      </c>
      <c r="J521" s="70" t="s">
        <v>61</v>
      </c>
      <c r="K521" s="70" t="s">
        <v>311</v>
      </c>
      <c r="L521" s="70"/>
      <c r="M521" s="70"/>
      <c r="N521" s="70" t="s">
        <v>122</v>
      </c>
      <c r="O521" s="70" t="s">
        <v>7</v>
      </c>
      <c r="P521" s="73" t="s">
        <v>796</v>
      </c>
      <c r="Q521" s="73" t="s">
        <v>797</v>
      </c>
    </row>
    <row r="522" spans="2:17" ht="35.25" hidden="1" customHeight="1">
      <c r="B522" s="63" t="str">
        <f t="shared" si="14"/>
        <v>No519</v>
      </c>
      <c r="C522" s="63" t="str">
        <f t="shared" si="15"/>
        <v>202602</v>
      </c>
      <c r="D522" s="70" t="s">
        <v>142</v>
      </c>
      <c r="E522" s="70" t="s">
        <v>747</v>
      </c>
      <c r="F522" s="68">
        <v>46062.451388888891</v>
      </c>
      <c r="G522" s="68">
        <v>46062.659722222219</v>
      </c>
      <c r="H522" s="70">
        <f>IF(F522="", "", NETWORKDAYS.INTL(F522, G522, 11,祝日シート!A:A))</f>
        <v>1</v>
      </c>
      <c r="I522" s="75">
        <v>0.16666666666666671</v>
      </c>
      <c r="J522" s="70" t="s">
        <v>20</v>
      </c>
      <c r="K522" s="70" t="s">
        <v>41</v>
      </c>
      <c r="L522" s="70"/>
      <c r="M522" s="70" t="s">
        <v>180</v>
      </c>
      <c r="N522" s="70" t="s">
        <v>6</v>
      </c>
      <c r="O522" s="70" t="s">
        <v>7</v>
      </c>
      <c r="P522" s="73" t="s">
        <v>798</v>
      </c>
      <c r="Q522" s="73" t="s">
        <v>799</v>
      </c>
    </row>
    <row r="523" spans="2:17" ht="35.25" hidden="1" customHeight="1">
      <c r="B523" s="63" t="str">
        <f t="shared" si="14"/>
        <v>No520</v>
      </c>
      <c r="C523" s="63" t="str">
        <f t="shared" si="15"/>
        <v>202602</v>
      </c>
      <c r="D523" s="70" t="s">
        <v>166</v>
      </c>
      <c r="E523" s="70" t="s">
        <v>747</v>
      </c>
      <c r="F523" s="71">
        <v>46063.458333333343</v>
      </c>
      <c r="G523" s="64">
        <v>46063.708333333343</v>
      </c>
      <c r="H523" s="70">
        <f>IF(F523="", "", NETWORKDAYS.INTL(F523, G523, 11,祝日シート!A:A))</f>
        <v>1</v>
      </c>
      <c r="I523" s="72">
        <v>0.25</v>
      </c>
      <c r="J523" s="70" t="s">
        <v>20</v>
      </c>
      <c r="K523" s="70" t="s">
        <v>26</v>
      </c>
      <c r="L523" s="70"/>
      <c r="M523" s="70"/>
      <c r="N523" s="70" t="s">
        <v>122</v>
      </c>
      <c r="O523" s="70" t="s">
        <v>7</v>
      </c>
      <c r="P523" s="73" t="s">
        <v>800</v>
      </c>
      <c r="Q523" s="73" t="s">
        <v>801</v>
      </c>
    </row>
    <row r="524" spans="2:17" ht="35.25" hidden="1" customHeight="1">
      <c r="B524" s="63" t="str">
        <f t="shared" si="14"/>
        <v>No521</v>
      </c>
      <c r="C524" s="63" t="str">
        <f t="shared" si="15"/>
        <v>202602</v>
      </c>
      <c r="D524" s="70" t="s">
        <v>166</v>
      </c>
      <c r="E524" s="70" t="s">
        <v>747</v>
      </c>
      <c r="F524" s="71">
        <v>46065.416666666657</v>
      </c>
      <c r="G524" s="64">
        <v>46065.458333333343</v>
      </c>
      <c r="H524" s="70">
        <f>IF(F524="", "", NETWORKDAYS.INTL(F524, G524, 11,祝日シート!A:A))</f>
        <v>1</v>
      </c>
      <c r="I524" s="72">
        <v>4.1666666666666657E-2</v>
      </c>
      <c r="J524" s="70" t="s">
        <v>20</v>
      </c>
      <c r="K524" s="70" t="s">
        <v>26</v>
      </c>
      <c r="L524" s="70"/>
      <c r="M524" s="70"/>
      <c r="N524" s="70" t="s">
        <v>6</v>
      </c>
      <c r="O524" s="70" t="s">
        <v>7</v>
      </c>
      <c r="P524" s="73" t="s">
        <v>802</v>
      </c>
      <c r="Q524" s="73" t="s">
        <v>803</v>
      </c>
    </row>
    <row r="525" spans="2:17" ht="35.25" hidden="1" customHeight="1">
      <c r="B525" s="63" t="str">
        <f t="shared" si="14"/>
        <v>No522</v>
      </c>
      <c r="C525" s="63" t="str">
        <f t="shared" si="15"/>
        <v>202602</v>
      </c>
      <c r="D525" s="70" t="s">
        <v>104</v>
      </c>
      <c r="E525" s="70" t="s">
        <v>747</v>
      </c>
      <c r="F525" s="71">
        <v>46065.541666666657</v>
      </c>
      <c r="G525" s="64">
        <v>46065.75</v>
      </c>
      <c r="H525" s="70">
        <f>IF(F525="", "", NETWORKDAYS.INTL(F525, G525, 11,祝日シート!A:A))</f>
        <v>1</v>
      </c>
      <c r="I525" s="72">
        <v>0.20833333333333329</v>
      </c>
      <c r="J525" s="70" t="s">
        <v>45</v>
      </c>
      <c r="K525" s="70" t="s">
        <v>120</v>
      </c>
      <c r="L525" s="70"/>
      <c r="M525" s="70" t="s">
        <v>783</v>
      </c>
      <c r="N525" s="70" t="s">
        <v>6</v>
      </c>
      <c r="O525" s="70" t="s">
        <v>7</v>
      </c>
      <c r="P525" s="73" t="s">
        <v>804</v>
      </c>
      <c r="Q525" s="73" t="s">
        <v>805</v>
      </c>
    </row>
    <row r="526" spans="2:17" ht="35.25" hidden="1" customHeight="1">
      <c r="B526" s="63" t="str">
        <f t="shared" si="14"/>
        <v>No523</v>
      </c>
      <c r="C526" s="63" t="str">
        <f t="shared" si="15"/>
        <v>202602</v>
      </c>
      <c r="D526" s="70" t="s">
        <v>104</v>
      </c>
      <c r="E526" s="70" t="s">
        <v>747</v>
      </c>
      <c r="F526" s="71">
        <v>46065.541666666657</v>
      </c>
      <c r="G526" s="64">
        <v>46065.75</v>
      </c>
      <c r="H526" s="70">
        <f>IF(F526="", "", NETWORKDAYS.INTL(F526, G526, 11,祝日シート!A:A))</f>
        <v>1</v>
      </c>
      <c r="I526" s="72">
        <v>0.20833333333333329</v>
      </c>
      <c r="J526" s="70" t="s">
        <v>61</v>
      </c>
      <c r="K526" s="70" t="s">
        <v>26</v>
      </c>
      <c r="L526" s="70"/>
      <c r="M526" s="70" t="s">
        <v>806</v>
      </c>
      <c r="N526" s="70" t="s">
        <v>6</v>
      </c>
      <c r="O526" s="70" t="s">
        <v>7</v>
      </c>
      <c r="P526" s="73" t="s">
        <v>807</v>
      </c>
      <c r="Q526" s="73" t="s">
        <v>808</v>
      </c>
    </row>
    <row r="527" spans="2:17" ht="35.25" hidden="1" customHeight="1">
      <c r="B527" s="76" t="str">
        <f t="shared" si="14"/>
        <v>No524</v>
      </c>
      <c r="C527" s="63" t="str">
        <f t="shared" si="15"/>
        <v>202602</v>
      </c>
      <c r="D527" s="70" t="s">
        <v>142</v>
      </c>
      <c r="E527" s="70" t="s">
        <v>747</v>
      </c>
      <c r="F527" s="71">
        <v>46069.416666666657</v>
      </c>
      <c r="G527" s="64">
        <v>46069.583333333343</v>
      </c>
      <c r="H527" s="70">
        <f>IF(F527="", "", NETWORKDAYS.INTL(F527, G527, 11,祝日シート!A:A))</f>
        <v>1</v>
      </c>
      <c r="I527" s="72">
        <v>0.16666666666666671</v>
      </c>
      <c r="J527" s="70" t="s">
        <v>61</v>
      </c>
      <c r="K527" s="70" t="s">
        <v>26</v>
      </c>
      <c r="L527" s="70"/>
      <c r="M527" s="70"/>
      <c r="N527" s="70" t="s">
        <v>122</v>
      </c>
      <c r="O527" s="70" t="s">
        <v>7</v>
      </c>
      <c r="P527" s="73" t="s">
        <v>809</v>
      </c>
      <c r="Q527" s="73" t="s">
        <v>810</v>
      </c>
    </row>
    <row r="528" spans="2:17" ht="35.25" hidden="1" customHeight="1">
      <c r="B528" s="63" t="str">
        <f t="shared" si="14"/>
        <v>No525</v>
      </c>
      <c r="C528" s="63" t="str">
        <f t="shared" si="15"/>
        <v>202602</v>
      </c>
      <c r="D528" s="70" t="s">
        <v>142</v>
      </c>
      <c r="E528" s="70" t="s">
        <v>747</v>
      </c>
      <c r="F528" s="71">
        <v>46069.472222222219</v>
      </c>
      <c r="G528" s="64">
        <v>46069.493055555547</v>
      </c>
      <c r="H528" s="70">
        <f>IF(F528="", "", NETWORKDAYS.INTL(F528, G528, 11,祝日シート!A:A))</f>
        <v>1</v>
      </c>
      <c r="I528" s="72">
        <v>2.0833333333333329E-2</v>
      </c>
      <c r="J528" s="70" t="s">
        <v>20</v>
      </c>
      <c r="K528" s="70" t="s">
        <v>143</v>
      </c>
      <c r="L528" s="70"/>
      <c r="M528" s="70" t="s">
        <v>783</v>
      </c>
      <c r="N528" s="70" t="s">
        <v>6</v>
      </c>
      <c r="O528" s="70" t="s">
        <v>7</v>
      </c>
      <c r="P528" s="73" t="s">
        <v>811</v>
      </c>
      <c r="Q528" s="73" t="s">
        <v>812</v>
      </c>
    </row>
    <row r="529" spans="2:17" ht="35.25" hidden="1" customHeight="1">
      <c r="B529" s="63" t="str">
        <f t="shared" si="14"/>
        <v>No526</v>
      </c>
      <c r="C529" s="63" t="str">
        <f t="shared" si="15"/>
        <v>202602</v>
      </c>
      <c r="D529" s="70" t="s">
        <v>166</v>
      </c>
      <c r="E529" s="70" t="s">
        <v>747</v>
      </c>
      <c r="F529" s="71">
        <v>46069.479166666657</v>
      </c>
      <c r="G529" s="64">
        <v>46069.708333333343</v>
      </c>
      <c r="H529" s="70">
        <f>IF(F529="", "", NETWORKDAYS.INTL(F529, G529, 11,祝日シート!A:A))</f>
        <v>1</v>
      </c>
      <c r="I529" s="72">
        <v>0.22916666666666671</v>
      </c>
      <c r="J529" s="70" t="s">
        <v>310</v>
      </c>
      <c r="K529" s="70" t="s">
        <v>26</v>
      </c>
      <c r="L529" s="70"/>
      <c r="M529" s="70"/>
      <c r="N529" s="70" t="s">
        <v>122</v>
      </c>
      <c r="O529" s="70" t="s">
        <v>7</v>
      </c>
      <c r="P529" s="73" t="s">
        <v>813</v>
      </c>
      <c r="Q529" s="73" t="s">
        <v>814</v>
      </c>
    </row>
    <row r="530" spans="2:17" ht="35.25" hidden="1" customHeight="1">
      <c r="B530" s="63" t="str">
        <f t="shared" si="14"/>
        <v>No527</v>
      </c>
      <c r="C530" s="63" t="str">
        <f t="shared" si="15"/>
        <v>202602</v>
      </c>
      <c r="D530" s="70" t="s">
        <v>186</v>
      </c>
      <c r="E530" s="70" t="s">
        <v>747</v>
      </c>
      <c r="F530" s="71">
        <v>46069.486111111109</v>
      </c>
      <c r="G530" s="64">
        <v>46069.5</v>
      </c>
      <c r="H530" s="70">
        <f>IF(F530="", "", NETWORKDAYS.INTL(F530, G530, 11,祝日シート!A:A))</f>
        <v>1</v>
      </c>
      <c r="I530" s="72">
        <v>1.388888888888889E-2</v>
      </c>
      <c r="J530" s="70" t="s">
        <v>61</v>
      </c>
      <c r="K530" s="70" t="s">
        <v>143</v>
      </c>
      <c r="L530" s="70"/>
      <c r="M530" s="70" t="s">
        <v>815</v>
      </c>
      <c r="N530" s="70" t="s">
        <v>6</v>
      </c>
      <c r="O530" s="70" t="s">
        <v>7</v>
      </c>
      <c r="P530" s="73" t="s">
        <v>816</v>
      </c>
      <c r="Q530" s="73" t="s">
        <v>817</v>
      </c>
    </row>
    <row r="531" spans="2:17" ht="35.25" hidden="1" customHeight="1">
      <c r="B531" s="63" t="str">
        <f t="shared" si="14"/>
        <v>No528</v>
      </c>
      <c r="C531" s="63" t="str">
        <f t="shared" si="15"/>
        <v>202602</v>
      </c>
      <c r="D531" s="70" t="s">
        <v>104</v>
      </c>
      <c r="E531" s="70" t="s">
        <v>747</v>
      </c>
      <c r="F531" s="71">
        <v>46069.694444444453</v>
      </c>
      <c r="G531" s="64">
        <v>46069.722222222219</v>
      </c>
      <c r="H531" s="70">
        <f>IF(F531="", "", NETWORKDAYS.INTL(F531, G531, 11,祝日シート!A:A))</f>
        <v>1</v>
      </c>
      <c r="I531" s="72">
        <v>2.777777777777778E-2</v>
      </c>
      <c r="J531" s="70" t="s">
        <v>249</v>
      </c>
      <c r="K531" s="70" t="s">
        <v>176</v>
      </c>
      <c r="L531" s="70"/>
      <c r="M531" s="70" t="s">
        <v>753</v>
      </c>
      <c r="N531" s="70" t="s">
        <v>6</v>
      </c>
      <c r="O531" s="70" t="s">
        <v>7</v>
      </c>
      <c r="P531" s="73" t="s">
        <v>818</v>
      </c>
      <c r="Q531" s="73" t="s">
        <v>819</v>
      </c>
    </row>
    <row r="532" spans="2:17" ht="35.25" hidden="1" customHeight="1">
      <c r="B532" s="63" t="str">
        <f t="shared" si="14"/>
        <v>No529</v>
      </c>
      <c r="C532" s="63" t="str">
        <f t="shared" si="15"/>
        <v>202602</v>
      </c>
      <c r="D532" s="70" t="s">
        <v>142</v>
      </c>
      <c r="E532" s="70" t="s">
        <v>747</v>
      </c>
      <c r="F532" s="71">
        <v>46071.501388888893</v>
      </c>
      <c r="G532" s="64">
        <v>46071.534722222219</v>
      </c>
      <c r="H532" s="70">
        <f>IF(F532="", "", NETWORKDAYS.INTL(F532, G532, 11,祝日シート!A:A))</f>
        <v>1</v>
      </c>
      <c r="I532" s="72">
        <v>3.3333333333333333E-2</v>
      </c>
      <c r="J532" s="70" t="s">
        <v>119</v>
      </c>
      <c r="K532" s="70" t="s">
        <v>41</v>
      </c>
      <c r="L532" s="70"/>
      <c r="M532" s="70" t="s">
        <v>820</v>
      </c>
      <c r="N532" s="70" t="s">
        <v>6</v>
      </c>
      <c r="O532" s="70" t="s">
        <v>7</v>
      </c>
      <c r="P532" s="73" t="s">
        <v>821</v>
      </c>
      <c r="Q532" s="73" t="s">
        <v>822</v>
      </c>
    </row>
    <row r="533" spans="2:17" ht="35.25" hidden="1" customHeight="1">
      <c r="B533" s="63" t="str">
        <f t="shared" si="14"/>
        <v>No530</v>
      </c>
      <c r="C533" s="63" t="str">
        <f t="shared" si="15"/>
        <v>202602</v>
      </c>
      <c r="D533" s="70" t="s">
        <v>104</v>
      </c>
      <c r="E533" s="70" t="s">
        <v>747</v>
      </c>
      <c r="F533" s="71">
        <v>46072.404166666667</v>
      </c>
      <c r="G533" s="64">
        <v>46072.576388888891</v>
      </c>
      <c r="H533" s="70">
        <f>IF(F533="", "", NETWORKDAYS.INTL(F533, G533, 11,祝日シート!A:A))</f>
        <v>1</v>
      </c>
      <c r="I533" s="72">
        <v>0.17222222222222219</v>
      </c>
      <c r="J533" s="70" t="s">
        <v>143</v>
      </c>
      <c r="K533" s="70" t="s">
        <v>120</v>
      </c>
      <c r="L533" s="70"/>
      <c r="M533" s="70" t="s">
        <v>823</v>
      </c>
      <c r="N533" s="70" t="s">
        <v>6</v>
      </c>
      <c r="O533" s="70" t="s">
        <v>7</v>
      </c>
      <c r="P533" s="73" t="s">
        <v>824</v>
      </c>
      <c r="Q533" s="73" t="s">
        <v>825</v>
      </c>
    </row>
    <row r="534" spans="2:17" ht="35.25" hidden="1" customHeight="1">
      <c r="B534" s="63" t="str">
        <f t="shared" si="14"/>
        <v>No531</v>
      </c>
      <c r="C534" s="63" t="str">
        <f t="shared" si="15"/>
        <v>202602</v>
      </c>
      <c r="D534" s="70" t="s">
        <v>104</v>
      </c>
      <c r="E534" s="70" t="s">
        <v>747</v>
      </c>
      <c r="F534" s="71">
        <v>46078.408333333333</v>
      </c>
      <c r="G534" s="64">
        <v>46078.618055555547</v>
      </c>
      <c r="H534" s="70">
        <f>IF(F534="", "", NETWORKDAYS.INTL(F534, G534, 11,祝日シート!A:A))</f>
        <v>1</v>
      </c>
      <c r="I534" s="72">
        <v>0.2097222222222222</v>
      </c>
      <c r="J534" s="70" t="s">
        <v>61</v>
      </c>
      <c r="K534" s="70" t="s">
        <v>561</v>
      </c>
      <c r="L534" s="70"/>
      <c r="M534" s="70" t="s">
        <v>826</v>
      </c>
      <c r="N534" s="70" t="s">
        <v>122</v>
      </c>
      <c r="O534" s="70" t="s">
        <v>7</v>
      </c>
      <c r="P534" s="73" t="s">
        <v>827</v>
      </c>
      <c r="Q534" s="73" t="s">
        <v>828</v>
      </c>
    </row>
    <row r="535" spans="2:17" ht="35.25" hidden="1" customHeight="1">
      <c r="B535" s="63" t="str">
        <f t="shared" ref="B535:B598" si="16">"No"&amp;ROW()-3</f>
        <v>No532</v>
      </c>
      <c r="C535" s="63" t="str">
        <f t="shared" ref="C535:C598" si="17">IFERROR(IF(G535&lt;&gt;"",TEXT(G535,"yyyymm"),""),"")</f>
        <v>202602</v>
      </c>
      <c r="D535" s="70" t="s">
        <v>186</v>
      </c>
      <c r="E535" s="70" t="s">
        <v>747</v>
      </c>
      <c r="F535" s="71">
        <v>46079.625</v>
      </c>
      <c r="G535" s="64">
        <v>46079.701388888891</v>
      </c>
      <c r="H535" s="70">
        <f>IF(F535="", "", NETWORKDAYS.INTL(F535, G535, 11,祝日シート!A:A))</f>
        <v>1</v>
      </c>
      <c r="I535" s="72">
        <v>7.6388888888888895E-2</v>
      </c>
      <c r="J535" s="70" t="s">
        <v>20</v>
      </c>
      <c r="K535" s="70" t="s">
        <v>143</v>
      </c>
      <c r="L535" s="70"/>
      <c r="M535" s="70" t="s">
        <v>144</v>
      </c>
      <c r="N535" s="70" t="s">
        <v>6</v>
      </c>
      <c r="O535" s="70" t="s">
        <v>7</v>
      </c>
      <c r="P535" s="73" t="s">
        <v>829</v>
      </c>
      <c r="Q535" s="73" t="s">
        <v>830</v>
      </c>
    </row>
    <row r="536" spans="2:17" ht="35.25" hidden="1" customHeight="1">
      <c r="B536" s="63" t="str">
        <f t="shared" si="16"/>
        <v>No533</v>
      </c>
      <c r="C536" s="63" t="str">
        <f t="shared" si="17"/>
        <v>202602</v>
      </c>
      <c r="D536" s="70" t="s">
        <v>104</v>
      </c>
      <c r="E536" s="70" t="s">
        <v>747</v>
      </c>
      <c r="F536" s="71">
        <v>46080.625</v>
      </c>
      <c r="G536" s="64">
        <v>46080.666666666657</v>
      </c>
      <c r="H536" s="70">
        <f>IF(F536="", "", NETWORKDAYS.INTL(F536, G536, 11,祝日シート!A:A))</f>
        <v>1</v>
      </c>
      <c r="I536" s="72">
        <v>4.1666666666666657E-2</v>
      </c>
      <c r="J536" s="70" t="s">
        <v>20</v>
      </c>
      <c r="K536" s="70" t="s">
        <v>143</v>
      </c>
      <c r="L536" s="70"/>
      <c r="M536" s="70" t="s">
        <v>831</v>
      </c>
      <c r="N536" s="70" t="s">
        <v>6</v>
      </c>
      <c r="O536" s="70" t="s">
        <v>7</v>
      </c>
      <c r="P536" s="73" t="s">
        <v>832</v>
      </c>
      <c r="Q536" s="73" t="s">
        <v>833</v>
      </c>
    </row>
    <row r="537" spans="2:17" ht="35.25" hidden="1" customHeight="1">
      <c r="B537" s="63" t="str">
        <f t="shared" si="16"/>
        <v>No534</v>
      </c>
      <c r="C537" s="63" t="str">
        <f t="shared" si="17"/>
        <v>202602</v>
      </c>
      <c r="D537" s="70" t="s">
        <v>166</v>
      </c>
      <c r="E537" s="70" t="s">
        <v>747</v>
      </c>
      <c r="F537" s="71">
        <v>46080.640277777777</v>
      </c>
      <c r="G537" s="64">
        <v>46080.659722222219</v>
      </c>
      <c r="H537" s="70">
        <f>IF(F537="", "", NETWORKDAYS.INTL(F537, G537, 11,祝日シート!A:A))</f>
        <v>1</v>
      </c>
      <c r="I537" s="72">
        <v>1.9444444444444441E-2</v>
      </c>
      <c r="J537" s="70" t="s">
        <v>119</v>
      </c>
      <c r="K537" s="70" t="s">
        <v>561</v>
      </c>
      <c r="L537" s="70"/>
      <c r="M537" s="70" t="s">
        <v>834</v>
      </c>
      <c r="N537" s="70" t="s">
        <v>6</v>
      </c>
      <c r="O537" s="70" t="s">
        <v>7</v>
      </c>
      <c r="P537" s="73" t="s">
        <v>835</v>
      </c>
      <c r="Q537" s="73" t="s">
        <v>836</v>
      </c>
    </row>
    <row r="538" spans="2:17" ht="35.25" hidden="1" customHeight="1">
      <c r="B538" s="63" t="str">
        <f t="shared" si="16"/>
        <v>No535</v>
      </c>
      <c r="C538" s="63" t="str">
        <f t="shared" si="17"/>
        <v>202603</v>
      </c>
      <c r="D538" s="70" t="s">
        <v>166</v>
      </c>
      <c r="E538" s="70" t="s">
        <v>747</v>
      </c>
      <c r="F538" s="71">
        <v>46083.6875</v>
      </c>
      <c r="G538" s="64">
        <v>46083.701388888891</v>
      </c>
      <c r="H538" s="70">
        <f>IF(F538="", "", NETWORKDAYS.INTL(F538, G538, 11,祝日シート!A:A))</f>
        <v>1</v>
      </c>
      <c r="I538" s="72">
        <v>1.388888888888889E-2</v>
      </c>
      <c r="J538" s="70" t="s">
        <v>119</v>
      </c>
      <c r="K538" s="70" t="s">
        <v>26</v>
      </c>
      <c r="L538" s="70"/>
      <c r="M538" s="70"/>
      <c r="N538" s="70" t="s">
        <v>122</v>
      </c>
      <c r="O538" s="70" t="s">
        <v>7</v>
      </c>
      <c r="P538" s="73" t="s">
        <v>837</v>
      </c>
      <c r="Q538" s="73" t="s">
        <v>838</v>
      </c>
    </row>
    <row r="539" spans="2:17" ht="35.25" hidden="1" customHeight="1">
      <c r="B539" s="63" t="str">
        <f t="shared" si="16"/>
        <v>No536</v>
      </c>
      <c r="C539" s="63" t="str">
        <f t="shared" si="17"/>
        <v>202603</v>
      </c>
      <c r="D539" s="70" t="s">
        <v>104</v>
      </c>
      <c r="E539" s="70" t="s">
        <v>747</v>
      </c>
      <c r="F539" s="71">
        <v>46085.708333333343</v>
      </c>
      <c r="G539" s="64">
        <v>46085.743055555547</v>
      </c>
      <c r="H539" s="70">
        <f>IF(F539="", "", NETWORKDAYS.INTL(F539, G539, 11,祝日シート!A:A))</f>
        <v>1</v>
      </c>
      <c r="I539" s="72">
        <v>3.4722222222222217E-2</v>
      </c>
      <c r="J539" s="70" t="s">
        <v>20</v>
      </c>
      <c r="K539" s="70" t="s">
        <v>561</v>
      </c>
      <c r="L539" s="70"/>
      <c r="M539" s="70" t="s">
        <v>834</v>
      </c>
      <c r="N539" s="70" t="s">
        <v>6</v>
      </c>
      <c r="O539" s="70" t="s">
        <v>7</v>
      </c>
      <c r="P539" s="73" t="s">
        <v>839</v>
      </c>
      <c r="Q539" s="73" t="s">
        <v>840</v>
      </c>
    </row>
    <row r="540" spans="2:17" ht="35.25" hidden="1" customHeight="1">
      <c r="B540" s="63" t="str">
        <f t="shared" si="16"/>
        <v>No537</v>
      </c>
      <c r="C540" s="63" t="str">
        <f t="shared" si="17"/>
        <v>202603</v>
      </c>
      <c r="D540" s="70" t="s">
        <v>104</v>
      </c>
      <c r="E540" s="70" t="s">
        <v>747</v>
      </c>
      <c r="F540" s="71">
        <v>46086.569444444453</v>
      </c>
      <c r="G540" s="64">
        <v>46086.784722222219</v>
      </c>
      <c r="H540" s="70">
        <f>IF(F540="", "", NETWORKDAYS.INTL(F540, G540, 11,祝日シート!A:A))</f>
        <v>1</v>
      </c>
      <c r="I540" s="72">
        <v>0.21527777777777779</v>
      </c>
      <c r="J540" s="70" t="s">
        <v>20</v>
      </c>
      <c r="K540" s="70" t="s">
        <v>143</v>
      </c>
      <c r="L540" s="70"/>
      <c r="M540" s="70" t="s">
        <v>841</v>
      </c>
      <c r="N540" s="70" t="s">
        <v>6</v>
      </c>
      <c r="O540" s="70" t="s">
        <v>7</v>
      </c>
      <c r="P540" s="73" t="s">
        <v>842</v>
      </c>
      <c r="Q540" s="73" t="s">
        <v>843</v>
      </c>
    </row>
    <row r="541" spans="2:17" ht="35.25" hidden="1" customHeight="1">
      <c r="B541" s="63" t="str">
        <f t="shared" si="16"/>
        <v>No538</v>
      </c>
      <c r="C541" s="63" t="str">
        <f t="shared" si="17"/>
        <v>202603</v>
      </c>
      <c r="D541" s="70" t="s">
        <v>104</v>
      </c>
      <c r="E541" s="70" t="s">
        <v>747</v>
      </c>
      <c r="F541" s="71">
        <v>46087.541666666657</v>
      </c>
      <c r="G541" s="64">
        <v>46087.708333333343</v>
      </c>
      <c r="H541" s="70">
        <f>IF(F541="", "", NETWORKDAYS.INTL(F541, G541, 11,祝日シート!A:A))</f>
        <v>1</v>
      </c>
      <c r="I541" s="72">
        <v>0.16666666666666671</v>
      </c>
      <c r="J541" s="70" t="s">
        <v>119</v>
      </c>
      <c r="K541" s="70" t="s">
        <v>41</v>
      </c>
      <c r="L541" s="70"/>
      <c r="M541" s="70" t="s">
        <v>820</v>
      </c>
      <c r="N541" s="70" t="s">
        <v>122</v>
      </c>
      <c r="O541" s="70" t="s">
        <v>7</v>
      </c>
      <c r="P541" s="73" t="s">
        <v>844</v>
      </c>
      <c r="Q541" s="73" t="s">
        <v>845</v>
      </c>
    </row>
    <row r="542" spans="2:17" ht="35.25" hidden="1" customHeight="1">
      <c r="B542" s="63" t="str">
        <f t="shared" si="16"/>
        <v>No539</v>
      </c>
      <c r="C542" s="63" t="str">
        <f t="shared" si="17"/>
        <v>202603</v>
      </c>
      <c r="D542" s="70" t="s">
        <v>142</v>
      </c>
      <c r="E542" s="70" t="s">
        <v>747</v>
      </c>
      <c r="F542" s="71">
        <v>46087.713888888888</v>
      </c>
      <c r="G542" s="64">
        <v>46087.826388888891</v>
      </c>
      <c r="H542" s="70">
        <f>IF(F542="", "", NETWORKDAYS.INTL(F542, G542, 11,祝日シート!A:A))</f>
        <v>1</v>
      </c>
      <c r="I542" s="72">
        <v>0.1125</v>
      </c>
      <c r="J542" s="70" t="s">
        <v>20</v>
      </c>
      <c r="K542" s="70" t="s">
        <v>41</v>
      </c>
      <c r="L542" s="70"/>
      <c r="M542" s="70" t="s">
        <v>41</v>
      </c>
      <c r="N542" s="70" t="s">
        <v>122</v>
      </c>
      <c r="O542" s="70" t="s">
        <v>7</v>
      </c>
      <c r="P542" s="73" t="s">
        <v>846</v>
      </c>
      <c r="Q542" s="73" t="s">
        <v>847</v>
      </c>
    </row>
    <row r="543" spans="2:17" ht="35.25" hidden="1" customHeight="1">
      <c r="B543" s="63" t="str">
        <f t="shared" si="16"/>
        <v>No540</v>
      </c>
      <c r="C543" s="63" t="str">
        <f t="shared" si="17"/>
        <v>202603</v>
      </c>
      <c r="D543" s="70" t="s">
        <v>186</v>
      </c>
      <c r="E543" s="70" t="s">
        <v>747</v>
      </c>
      <c r="F543" s="71">
        <v>46090.458333333343</v>
      </c>
      <c r="G543" s="64">
        <v>46090.583333333343</v>
      </c>
      <c r="H543" s="70">
        <f>IF(F543="", "", NETWORKDAYS.INTL(F543, G543, 11,祝日シート!A:A))</f>
        <v>1</v>
      </c>
      <c r="I543" s="72">
        <v>0.125</v>
      </c>
      <c r="J543" s="70" t="s">
        <v>119</v>
      </c>
      <c r="K543" s="70" t="s">
        <v>41</v>
      </c>
      <c r="L543" s="70"/>
      <c r="M543" s="70" t="s">
        <v>848</v>
      </c>
      <c r="N543" s="70" t="s">
        <v>122</v>
      </c>
      <c r="O543" s="70" t="s">
        <v>7</v>
      </c>
      <c r="P543" s="73" t="s">
        <v>849</v>
      </c>
      <c r="Q543" s="73" t="s">
        <v>850</v>
      </c>
    </row>
    <row r="544" spans="2:17" ht="35.25" hidden="1" customHeight="1">
      <c r="B544" s="63" t="str">
        <f t="shared" si="16"/>
        <v>No541</v>
      </c>
      <c r="C544" s="63" t="str">
        <f t="shared" si="17"/>
        <v>202603</v>
      </c>
      <c r="D544" s="70" t="s">
        <v>166</v>
      </c>
      <c r="E544" s="70" t="s">
        <v>747</v>
      </c>
      <c r="F544" s="71">
        <v>46091.583333333343</v>
      </c>
      <c r="G544" s="64">
        <v>46091.666666666657</v>
      </c>
      <c r="H544" s="70">
        <f>IF(F544="", "", NETWORKDAYS.INTL(F544, G544, 11,祝日シート!A:A))</f>
        <v>1</v>
      </c>
      <c r="I544" s="72">
        <v>8.3333333333333329E-2</v>
      </c>
      <c r="J544" s="70" t="s">
        <v>119</v>
      </c>
      <c r="K544" s="70" t="s">
        <v>143</v>
      </c>
      <c r="L544" s="70"/>
      <c r="M544" s="70" t="s">
        <v>851</v>
      </c>
      <c r="N544" s="70" t="s">
        <v>122</v>
      </c>
      <c r="O544" s="70" t="s">
        <v>7</v>
      </c>
      <c r="P544" s="73" t="s">
        <v>852</v>
      </c>
      <c r="Q544" s="73" t="s">
        <v>853</v>
      </c>
    </row>
    <row r="545" spans="2:17" ht="35.25" hidden="1" customHeight="1">
      <c r="B545" s="63" t="str">
        <f t="shared" si="16"/>
        <v>No542</v>
      </c>
      <c r="C545" s="63" t="str">
        <f t="shared" si="17"/>
        <v>202603</v>
      </c>
      <c r="D545" s="70" t="s">
        <v>142</v>
      </c>
      <c r="E545" s="70" t="s">
        <v>747</v>
      </c>
      <c r="F545" s="71">
        <v>46093.691666666673</v>
      </c>
      <c r="G545" s="64">
        <v>46093.909722222219</v>
      </c>
      <c r="H545" s="70">
        <f>IF(F545="", "", NETWORKDAYS.INTL(F545, G545, 11,祝日シート!A:A))</f>
        <v>1</v>
      </c>
      <c r="I545" s="72">
        <v>0.21805555555555561</v>
      </c>
      <c r="J545" s="70" t="s">
        <v>20</v>
      </c>
      <c r="K545" s="70" t="s">
        <v>143</v>
      </c>
      <c r="L545" s="70"/>
      <c r="M545" s="70" t="s">
        <v>854</v>
      </c>
      <c r="N545" s="70" t="s">
        <v>122</v>
      </c>
      <c r="O545" s="70" t="s">
        <v>7</v>
      </c>
      <c r="P545" s="73" t="s">
        <v>855</v>
      </c>
      <c r="Q545" s="73" t="s">
        <v>856</v>
      </c>
    </row>
    <row r="546" spans="2:17" ht="35.25" hidden="1" customHeight="1">
      <c r="B546" s="63" t="str">
        <f t="shared" si="16"/>
        <v>No543</v>
      </c>
      <c r="C546" s="63" t="str">
        <f t="shared" si="17"/>
        <v>202603</v>
      </c>
      <c r="D546" s="70" t="s">
        <v>104</v>
      </c>
      <c r="E546" s="70" t="s">
        <v>747</v>
      </c>
      <c r="F546" s="71">
        <v>46095.411111111112</v>
      </c>
      <c r="G546" s="64">
        <v>46095.951388888891</v>
      </c>
      <c r="H546" s="70">
        <f>IF(F546="", "", NETWORKDAYS.INTL(F546, G546, 11,祝日シート!A:A))</f>
        <v>1</v>
      </c>
      <c r="I546" s="72">
        <v>0.54027777777777775</v>
      </c>
      <c r="J546" s="70" t="s">
        <v>20</v>
      </c>
      <c r="K546" s="70" t="s">
        <v>143</v>
      </c>
      <c r="L546" s="70"/>
      <c r="M546" s="70" t="s">
        <v>857</v>
      </c>
      <c r="N546" s="70" t="s">
        <v>122</v>
      </c>
      <c r="O546" s="70" t="s">
        <v>7</v>
      </c>
      <c r="P546" s="73" t="s">
        <v>858</v>
      </c>
      <c r="Q546" s="73" t="s">
        <v>859</v>
      </c>
    </row>
    <row r="547" spans="2:17" ht="35.25" hidden="1" customHeight="1">
      <c r="B547" s="63" t="str">
        <f t="shared" si="16"/>
        <v>No544</v>
      </c>
      <c r="C547" s="63" t="str">
        <f t="shared" si="17"/>
        <v>202603</v>
      </c>
      <c r="D547" s="70" t="s">
        <v>3</v>
      </c>
      <c r="E547" s="70" t="s">
        <v>747</v>
      </c>
      <c r="F547" s="71">
        <v>46097.427777777782</v>
      </c>
      <c r="G547" s="64">
        <v>46097.993055555547</v>
      </c>
      <c r="H547" s="70">
        <f>IF(F547="", "", NETWORKDAYS.INTL(F547, G547, 11,祝日シート!A:A))</f>
        <v>1</v>
      </c>
      <c r="I547" s="72">
        <v>0.56527777777777777</v>
      </c>
      <c r="J547" s="70" t="s">
        <v>20</v>
      </c>
      <c r="K547" s="70" t="s">
        <v>143</v>
      </c>
      <c r="L547" s="70"/>
      <c r="M547" s="70" t="s">
        <v>860</v>
      </c>
      <c r="N547" s="70" t="s">
        <v>122</v>
      </c>
      <c r="O547" s="70" t="s">
        <v>7</v>
      </c>
      <c r="P547" s="73" t="s">
        <v>861</v>
      </c>
      <c r="Q547" s="73" t="s">
        <v>862</v>
      </c>
    </row>
    <row r="548" spans="2:17" ht="35.25" hidden="1" customHeight="1">
      <c r="B548" s="63" t="str">
        <f t="shared" si="16"/>
        <v>No545</v>
      </c>
      <c r="C548" s="63" t="str">
        <f t="shared" si="17"/>
        <v>202603</v>
      </c>
      <c r="D548" s="70" t="s">
        <v>186</v>
      </c>
      <c r="E548" s="70" t="s">
        <v>747</v>
      </c>
      <c r="F548" s="71">
        <v>46097.679861111108</v>
      </c>
      <c r="G548" s="64">
        <v>46097.625</v>
      </c>
      <c r="H548" s="70">
        <f>IF(F548="", "", NETWORKDAYS.INTL(F548, G548, 11,祝日シート!A:A))</f>
        <v>1</v>
      </c>
      <c r="I548" s="72">
        <v>0.64583333333333337</v>
      </c>
      <c r="J548" s="70" t="s">
        <v>20</v>
      </c>
      <c r="K548" s="70" t="s">
        <v>143</v>
      </c>
      <c r="L548" s="70"/>
      <c r="M548" s="70" t="s">
        <v>863</v>
      </c>
      <c r="N548" s="70" t="s">
        <v>122</v>
      </c>
      <c r="O548" s="70" t="s">
        <v>7</v>
      </c>
      <c r="P548" s="73" t="s">
        <v>864</v>
      </c>
      <c r="Q548" s="73" t="s">
        <v>865</v>
      </c>
    </row>
    <row r="549" spans="2:17" ht="35.25" hidden="1" customHeight="1">
      <c r="B549" s="63" t="str">
        <f t="shared" si="16"/>
        <v>No546</v>
      </c>
      <c r="C549" s="63" t="str">
        <f t="shared" si="17"/>
        <v>202603</v>
      </c>
      <c r="D549" s="70" t="s">
        <v>142</v>
      </c>
      <c r="E549" s="70" t="s">
        <v>747</v>
      </c>
      <c r="F549" s="71">
        <v>46099.40347222222</v>
      </c>
      <c r="G549" s="64">
        <v>46099.076388888891</v>
      </c>
      <c r="H549" s="70">
        <f>IF(F549="", "", NETWORKDAYS.INTL(F549, G549, 11,祝日シート!A:A))</f>
        <v>1</v>
      </c>
      <c r="I549" s="72">
        <v>0.67291666666666672</v>
      </c>
      <c r="J549" s="70" t="s">
        <v>20</v>
      </c>
      <c r="K549" s="70" t="s">
        <v>21</v>
      </c>
      <c r="L549" s="70"/>
      <c r="M549" s="70" t="s">
        <v>866</v>
      </c>
      <c r="N549" s="70" t="s">
        <v>122</v>
      </c>
      <c r="O549" s="70" t="s">
        <v>7</v>
      </c>
      <c r="P549" s="73" t="s">
        <v>867</v>
      </c>
      <c r="Q549" s="73" t="s">
        <v>868</v>
      </c>
    </row>
    <row r="550" spans="2:17" ht="35.25" hidden="1" customHeight="1">
      <c r="B550" s="63" t="str">
        <f t="shared" si="16"/>
        <v>No547</v>
      </c>
      <c r="C550" s="63" t="str">
        <f t="shared" si="17"/>
        <v>202603</v>
      </c>
      <c r="D550" s="70" t="s">
        <v>3</v>
      </c>
      <c r="E550" s="70" t="s">
        <v>747</v>
      </c>
      <c r="F550" s="71">
        <v>46099.423611111109</v>
      </c>
      <c r="G550" s="64">
        <v>46099.5625</v>
      </c>
      <c r="H550" s="70">
        <f>IF(F550="", "", NETWORKDAYS.INTL(F550, G550, 11,祝日シート!A:A))</f>
        <v>1</v>
      </c>
      <c r="I550" s="72">
        <v>0.69791666666666663</v>
      </c>
      <c r="J550" s="70" t="s">
        <v>20</v>
      </c>
      <c r="K550" s="70" t="s">
        <v>143</v>
      </c>
      <c r="L550" s="70"/>
      <c r="M550" s="70" t="s">
        <v>869</v>
      </c>
      <c r="N550" s="70" t="s">
        <v>122</v>
      </c>
      <c r="O550" s="70" t="s">
        <v>7</v>
      </c>
      <c r="P550" s="73" t="s">
        <v>870</v>
      </c>
      <c r="Q550" s="73" t="s">
        <v>871</v>
      </c>
    </row>
    <row r="551" spans="2:17" ht="35.25" hidden="1" customHeight="1">
      <c r="B551" s="63" t="str">
        <f t="shared" si="16"/>
        <v>No548</v>
      </c>
      <c r="C551" s="63" t="str">
        <f t="shared" si="17"/>
        <v>202603</v>
      </c>
      <c r="D551" s="70" t="s">
        <v>104</v>
      </c>
      <c r="E551" s="70" t="s">
        <v>747</v>
      </c>
      <c r="F551" s="71">
        <v>46099.479166666657</v>
      </c>
      <c r="G551" s="64">
        <v>46099.583333333343</v>
      </c>
      <c r="H551" s="70">
        <f>IF(F551="", "", NETWORKDAYS.INTL(F551, G551, 11,祝日シート!A:A))</f>
        <v>1</v>
      </c>
      <c r="I551" s="72">
        <v>0.1041666666666667</v>
      </c>
      <c r="J551" s="70" t="s">
        <v>20</v>
      </c>
      <c r="K551" s="70" t="s">
        <v>143</v>
      </c>
      <c r="L551" s="70"/>
      <c r="M551" s="70" t="s">
        <v>872</v>
      </c>
      <c r="N551" s="70" t="s">
        <v>122</v>
      </c>
      <c r="O551" s="70" t="s">
        <v>7</v>
      </c>
      <c r="P551" s="73" t="s">
        <v>873</v>
      </c>
      <c r="Q551" s="73" t="s">
        <v>874</v>
      </c>
    </row>
    <row r="552" spans="2:17" ht="35.25" hidden="1" customHeight="1">
      <c r="B552" s="63" t="str">
        <f t="shared" si="16"/>
        <v>No549</v>
      </c>
      <c r="C552" s="63" t="str">
        <f t="shared" si="17"/>
        <v>202603</v>
      </c>
      <c r="D552" s="70" t="s">
        <v>104</v>
      </c>
      <c r="E552" s="70" t="s">
        <v>747</v>
      </c>
      <c r="F552" s="71">
        <v>46099.479166666657</v>
      </c>
      <c r="G552" s="64">
        <v>46099.625</v>
      </c>
      <c r="H552" s="70">
        <f>IF(F552="", "", NETWORKDAYS.INTL(F552, G552, 11,祝日シート!A:A))</f>
        <v>1</v>
      </c>
      <c r="I552" s="72">
        <v>0.14583333333333329</v>
      </c>
      <c r="J552" s="70" t="s">
        <v>20</v>
      </c>
      <c r="K552" s="70" t="s">
        <v>143</v>
      </c>
      <c r="L552" s="70"/>
      <c r="M552" s="70" t="s">
        <v>875</v>
      </c>
      <c r="N552" s="70" t="s">
        <v>122</v>
      </c>
      <c r="O552" s="70" t="s">
        <v>7</v>
      </c>
      <c r="P552" s="73" t="s">
        <v>876</v>
      </c>
      <c r="Q552" s="73" t="s">
        <v>877</v>
      </c>
    </row>
    <row r="553" spans="2:17" ht="35.25" hidden="1" customHeight="1">
      <c r="B553" s="63" t="str">
        <f t="shared" si="16"/>
        <v>No550</v>
      </c>
      <c r="C553" s="63" t="str">
        <f t="shared" si="17"/>
        <v>202603</v>
      </c>
      <c r="D553" s="70" t="s">
        <v>3</v>
      </c>
      <c r="E553" s="70" t="s">
        <v>747</v>
      </c>
      <c r="F553" s="71">
        <v>46100.625</v>
      </c>
      <c r="G553" s="64">
        <v>46100.708333333343</v>
      </c>
      <c r="H553" s="70">
        <f>IF(F553="", "", NETWORKDAYS.INTL(F553, G553, 11,祝日シート!A:A))</f>
        <v>1</v>
      </c>
      <c r="I553" s="72">
        <v>8.3333333333333329E-2</v>
      </c>
      <c r="J553" s="70" t="s">
        <v>40</v>
      </c>
      <c r="K553" s="70" t="s">
        <v>143</v>
      </c>
      <c r="L553" s="70"/>
      <c r="M553" s="70" t="s">
        <v>878</v>
      </c>
      <c r="N553" s="70" t="s">
        <v>122</v>
      </c>
      <c r="O553" s="70" t="s">
        <v>7</v>
      </c>
      <c r="P553" s="73" t="s">
        <v>879</v>
      </c>
      <c r="Q553" s="73" t="s">
        <v>880</v>
      </c>
    </row>
    <row r="554" spans="2:17" ht="35.25" hidden="1" customHeight="1">
      <c r="B554" s="63" t="str">
        <f t="shared" si="16"/>
        <v>No551</v>
      </c>
      <c r="C554" s="63" t="str">
        <f t="shared" si="17"/>
        <v>202603</v>
      </c>
      <c r="D554" s="70" t="s">
        <v>3</v>
      </c>
      <c r="E554" s="70" t="s">
        <v>747</v>
      </c>
      <c r="F554" s="71">
        <v>46104.541666666657</v>
      </c>
      <c r="G554" s="64">
        <v>46104.555555555547</v>
      </c>
      <c r="H554" s="70">
        <f>IF(F554="", "", NETWORKDAYS.INTL(F554, G554, 11,祝日シート!A:A))</f>
        <v>1</v>
      </c>
      <c r="I554" s="72">
        <v>1.388888888888889E-2</v>
      </c>
      <c r="J554" s="70" t="s">
        <v>45</v>
      </c>
      <c r="K554" s="70" t="s">
        <v>26</v>
      </c>
      <c r="L554" s="70"/>
      <c r="M554" s="70" t="s">
        <v>806</v>
      </c>
      <c r="N554" s="70" t="s">
        <v>6</v>
      </c>
      <c r="O554" s="70" t="s">
        <v>7</v>
      </c>
      <c r="P554" s="73" t="s">
        <v>881</v>
      </c>
      <c r="Q554" s="73" t="s">
        <v>882</v>
      </c>
    </row>
    <row r="555" spans="2:17" ht="35.25" hidden="1" customHeight="1">
      <c r="B555" s="63" t="str">
        <f t="shared" si="16"/>
        <v>No552</v>
      </c>
      <c r="C555" s="63" t="str">
        <f t="shared" si="17"/>
        <v>202603</v>
      </c>
      <c r="D555" s="70" t="s">
        <v>104</v>
      </c>
      <c r="E555" s="70" t="s">
        <v>747</v>
      </c>
      <c r="F555" s="71">
        <v>46107.444444444453</v>
      </c>
      <c r="G555" s="64">
        <v>46107.708333333343</v>
      </c>
      <c r="H555" s="70">
        <f>IF(F555="", "", NETWORKDAYS.INTL(F555, G555, 11,祝日シート!A:A))</f>
        <v>1</v>
      </c>
      <c r="I555" s="72">
        <v>0.2638888888888889</v>
      </c>
      <c r="J555" s="70" t="s">
        <v>20</v>
      </c>
      <c r="K555" s="70" t="s">
        <v>120</v>
      </c>
      <c r="L555" s="70"/>
      <c r="M555" s="70" t="s">
        <v>883</v>
      </c>
      <c r="N555" s="70" t="s">
        <v>6</v>
      </c>
      <c r="O555" s="70" t="s">
        <v>7</v>
      </c>
      <c r="P555" s="73" t="s">
        <v>884</v>
      </c>
      <c r="Q555" s="73" t="s">
        <v>885</v>
      </c>
    </row>
    <row r="556" spans="2:17" ht="35.25" hidden="1" customHeight="1">
      <c r="B556" s="63" t="str">
        <f t="shared" si="16"/>
        <v>No553</v>
      </c>
      <c r="C556" s="63" t="str">
        <f t="shared" si="17"/>
        <v>202603</v>
      </c>
      <c r="D556" s="70" t="s">
        <v>3</v>
      </c>
      <c r="E556" s="70" t="s">
        <v>747</v>
      </c>
      <c r="F556" s="71">
        <v>46107.708333333343</v>
      </c>
      <c r="G556" s="64">
        <v>46107.75</v>
      </c>
      <c r="H556" s="70">
        <f>IF(F556="", "", NETWORKDAYS.INTL(F556, G556, 11,祝日シート!A:A))</f>
        <v>1</v>
      </c>
      <c r="I556" s="72">
        <v>4.1666666666666657E-2</v>
      </c>
      <c r="J556" s="70" t="s">
        <v>45</v>
      </c>
      <c r="K556" s="70" t="s">
        <v>26</v>
      </c>
      <c r="L556" s="70"/>
      <c r="M556" s="70" t="s">
        <v>806</v>
      </c>
      <c r="N556" s="70" t="s">
        <v>6</v>
      </c>
      <c r="O556" s="70" t="s">
        <v>7</v>
      </c>
      <c r="P556" s="73" t="s">
        <v>886</v>
      </c>
      <c r="Q556" s="73" t="s">
        <v>887</v>
      </c>
    </row>
    <row r="557" spans="2:17" ht="35.25" hidden="1" customHeight="1">
      <c r="B557" s="63" t="str">
        <f t="shared" si="16"/>
        <v>No554</v>
      </c>
      <c r="C557" s="63" t="str">
        <f t="shared" si="17"/>
        <v>202603</v>
      </c>
      <c r="D557" s="70" t="s">
        <v>142</v>
      </c>
      <c r="E557" s="70" t="s">
        <v>747</v>
      </c>
      <c r="F557" s="71">
        <v>46108.375</v>
      </c>
      <c r="G557" s="64">
        <v>46108.5</v>
      </c>
      <c r="H557" s="70">
        <f>IF(F557="", "", NETWORKDAYS.INTL(F557, G557, 11,祝日シート!A:A))</f>
        <v>1</v>
      </c>
      <c r="I557" s="72">
        <v>0.125</v>
      </c>
      <c r="J557" s="70" t="s">
        <v>45</v>
      </c>
      <c r="K557" s="70" t="s">
        <v>120</v>
      </c>
      <c r="L557" s="70"/>
      <c r="M557" s="70" t="s">
        <v>888</v>
      </c>
      <c r="N557" s="70" t="s">
        <v>6</v>
      </c>
      <c r="O557" s="70" t="s">
        <v>7</v>
      </c>
      <c r="P557" s="73" t="s">
        <v>889</v>
      </c>
      <c r="Q557" s="73" t="s">
        <v>890</v>
      </c>
    </row>
    <row r="558" spans="2:17" ht="35.25" hidden="1" customHeight="1">
      <c r="B558" s="63" t="str">
        <f t="shared" si="16"/>
        <v>No555</v>
      </c>
      <c r="C558" s="63" t="str">
        <f t="shared" si="17"/>
        <v>202603</v>
      </c>
      <c r="D558" s="70" t="s">
        <v>142</v>
      </c>
      <c r="E558" s="70" t="s">
        <v>747</v>
      </c>
      <c r="F558" s="71">
        <v>46111.381944444453</v>
      </c>
      <c r="G558" s="64">
        <v>46111.402777777781</v>
      </c>
      <c r="H558" s="70">
        <f>IF(F558="", "", NETWORKDAYS.INTL(F558, G558, 11,祝日シート!A:A))</f>
        <v>1</v>
      </c>
      <c r="I558" s="72">
        <v>0.3888888888888889</v>
      </c>
      <c r="J558" s="70" t="s">
        <v>119</v>
      </c>
      <c r="K558" s="70" t="s">
        <v>26</v>
      </c>
      <c r="L558" s="70"/>
      <c r="M558" s="70"/>
      <c r="N558" s="70" t="s">
        <v>6</v>
      </c>
      <c r="O558" s="70" t="s">
        <v>7</v>
      </c>
      <c r="P558" s="73" t="s">
        <v>891</v>
      </c>
      <c r="Q558" s="73" t="s">
        <v>892</v>
      </c>
    </row>
    <row r="559" spans="2:17" ht="35.25" hidden="1" customHeight="1">
      <c r="B559" s="63" t="str">
        <f t="shared" si="16"/>
        <v>No556</v>
      </c>
      <c r="C559" s="63" t="str">
        <f t="shared" si="17"/>
        <v>202603</v>
      </c>
      <c r="D559" s="70" t="s">
        <v>3</v>
      </c>
      <c r="E559" s="70" t="s">
        <v>747</v>
      </c>
      <c r="F559" s="71">
        <v>46111.493055555547</v>
      </c>
      <c r="G559" s="64">
        <v>46111.5625</v>
      </c>
      <c r="H559" s="70">
        <f>IF(F559="", "", NETWORKDAYS.INTL(F559, G559, 11,祝日シート!A:A))</f>
        <v>1</v>
      </c>
      <c r="I559" s="72">
        <v>6.9444444444444448E-2</v>
      </c>
      <c r="J559" s="70" t="s">
        <v>20</v>
      </c>
      <c r="K559" s="70" t="s">
        <v>143</v>
      </c>
      <c r="L559" s="70"/>
      <c r="M559" s="70" t="s">
        <v>893</v>
      </c>
      <c r="N559" s="70" t="s">
        <v>6</v>
      </c>
      <c r="O559" s="70" t="s">
        <v>7</v>
      </c>
      <c r="P559" s="73" t="s">
        <v>894</v>
      </c>
      <c r="Q559" s="73" t="s">
        <v>895</v>
      </c>
    </row>
    <row r="560" spans="2:17" ht="35.25" hidden="1" customHeight="1">
      <c r="B560" s="63" t="str">
        <f t="shared" si="16"/>
        <v>No557</v>
      </c>
      <c r="C560" s="63" t="str">
        <f t="shared" si="17"/>
        <v>202604</v>
      </c>
      <c r="D560" s="63" t="s">
        <v>3</v>
      </c>
      <c r="E560" s="67" t="s">
        <v>116</v>
      </c>
      <c r="F560" s="68">
        <v>46112.393750000003</v>
      </c>
      <c r="G560" s="64">
        <v>46113.384027777778</v>
      </c>
      <c r="H560" s="67">
        <f>IF(F560="", "", NETWORKDAYS.INTL(F560, G560, 11,祝日シート!A:A))</f>
        <v>2</v>
      </c>
      <c r="I560" s="75">
        <v>0.125</v>
      </c>
      <c r="J560" s="63" t="s">
        <v>143</v>
      </c>
      <c r="K560" s="67" t="s">
        <v>159</v>
      </c>
      <c r="L560" s="67" t="s">
        <v>896</v>
      </c>
      <c r="M560" s="67" t="s">
        <v>339</v>
      </c>
      <c r="N560" s="67" t="s">
        <v>117</v>
      </c>
      <c r="O560" s="63" t="s">
        <v>7</v>
      </c>
      <c r="P560" s="77" t="s">
        <v>897</v>
      </c>
      <c r="Q560" s="66" t="s">
        <v>898</v>
      </c>
    </row>
    <row r="561" spans="2:17" ht="35.25" hidden="1" customHeight="1">
      <c r="B561" s="63" t="str">
        <f t="shared" si="16"/>
        <v>No558</v>
      </c>
      <c r="C561" s="63" t="str">
        <f t="shared" si="17"/>
        <v>202604</v>
      </c>
      <c r="D561" s="63" t="s">
        <v>142</v>
      </c>
      <c r="E561" s="67" t="s">
        <v>116</v>
      </c>
      <c r="F561" s="68">
        <v>46112.690972222219</v>
      </c>
      <c r="G561" s="64">
        <v>46113.666666666657</v>
      </c>
      <c r="H561" s="67">
        <f>IF(F561="", "", NETWORKDAYS.INTL(F561, G561, 11,祝日シート!A:A))</f>
        <v>2</v>
      </c>
      <c r="I561" s="75">
        <v>2.0833333333333329E-2</v>
      </c>
      <c r="J561" s="63" t="s">
        <v>197</v>
      </c>
      <c r="K561" s="67" t="s">
        <v>41</v>
      </c>
      <c r="L561" s="67" t="s">
        <v>899</v>
      </c>
      <c r="M561" s="67" t="s">
        <v>217</v>
      </c>
      <c r="N561" s="63" t="s">
        <v>6</v>
      </c>
      <c r="O561" s="63" t="s">
        <v>7</v>
      </c>
      <c r="P561" s="77" t="s">
        <v>900</v>
      </c>
      <c r="Q561" s="66" t="s">
        <v>200</v>
      </c>
    </row>
    <row r="562" spans="2:17" ht="35.25" hidden="1" customHeight="1">
      <c r="B562" s="63" t="str">
        <f t="shared" si="16"/>
        <v>No559</v>
      </c>
      <c r="C562" s="63" t="str">
        <f t="shared" si="17"/>
        <v>202604</v>
      </c>
      <c r="D562" s="70" t="s">
        <v>142</v>
      </c>
      <c r="E562" s="70" t="s">
        <v>747</v>
      </c>
      <c r="F562" s="71">
        <v>46113.458333333343</v>
      </c>
      <c r="G562" s="64">
        <v>46113.75</v>
      </c>
      <c r="H562" s="70">
        <f>IF(F562="", "", NETWORKDAYS.INTL(F562, G562, 11,祝日シート!A:A))</f>
        <v>1</v>
      </c>
      <c r="I562" s="72">
        <v>0.29166666666666669</v>
      </c>
      <c r="J562" s="70" t="s">
        <v>40</v>
      </c>
      <c r="K562" s="70" t="s">
        <v>21</v>
      </c>
      <c r="L562" s="70"/>
      <c r="M562" s="70" t="s">
        <v>136</v>
      </c>
      <c r="N562" s="70" t="s">
        <v>6</v>
      </c>
      <c r="O562" s="70" t="s">
        <v>7</v>
      </c>
      <c r="P562" s="73" t="s">
        <v>901</v>
      </c>
      <c r="Q562" s="73" t="s">
        <v>902</v>
      </c>
    </row>
    <row r="563" spans="2:17" ht="35.25" hidden="1" customHeight="1">
      <c r="B563" s="63" t="str">
        <f t="shared" si="16"/>
        <v>No560</v>
      </c>
      <c r="C563" s="63" t="str">
        <f t="shared" si="17"/>
        <v>202604</v>
      </c>
      <c r="D563" s="63" t="s">
        <v>142</v>
      </c>
      <c r="E563" s="67" t="s">
        <v>155</v>
      </c>
      <c r="F563" s="68">
        <v>46113.555555555547</v>
      </c>
      <c r="G563" s="68">
        <v>46113.586111111108</v>
      </c>
      <c r="H563" s="67">
        <f>IF(F563="", "", NETWORKDAYS.INTL(F563, G563, 11,祝日シート!A:A))</f>
        <v>1</v>
      </c>
      <c r="I563" s="75">
        <v>3.472222222222222E-3</v>
      </c>
      <c r="J563" s="67" t="s">
        <v>20</v>
      </c>
      <c r="K563" s="67" t="s">
        <v>41</v>
      </c>
      <c r="L563" s="67" t="s">
        <v>903</v>
      </c>
      <c r="M563" s="67" t="s">
        <v>112</v>
      </c>
      <c r="N563" s="70" t="s">
        <v>6</v>
      </c>
      <c r="O563" s="70" t="s">
        <v>7</v>
      </c>
      <c r="P563" s="77" t="s">
        <v>904</v>
      </c>
      <c r="Q563" s="69" t="s">
        <v>905</v>
      </c>
    </row>
    <row r="564" spans="2:17" ht="35.25" hidden="1" customHeight="1">
      <c r="B564" s="63" t="str">
        <f t="shared" si="16"/>
        <v>No561</v>
      </c>
      <c r="C564" s="63" t="str">
        <f t="shared" si="17"/>
        <v>202604</v>
      </c>
      <c r="D564" s="63" t="s">
        <v>142</v>
      </c>
      <c r="E564" s="67" t="s">
        <v>155</v>
      </c>
      <c r="F564" s="68">
        <v>46113.770833333343</v>
      </c>
      <c r="G564" s="68">
        <v>46113.791666666657</v>
      </c>
      <c r="H564" s="67">
        <f>IF(F564="", "", NETWORKDAYS.INTL(F564, G564, 11,祝日シート!A:A))</f>
        <v>1</v>
      </c>
      <c r="I564" s="75">
        <v>1.041666666666667E-2</v>
      </c>
      <c r="J564" s="67" t="s">
        <v>20</v>
      </c>
      <c r="K564" s="67" t="s">
        <v>120</v>
      </c>
      <c r="L564" s="67" t="s">
        <v>906</v>
      </c>
      <c r="M564" s="67" t="s">
        <v>907</v>
      </c>
      <c r="N564" s="67" t="s">
        <v>117</v>
      </c>
      <c r="O564" s="70" t="s">
        <v>7</v>
      </c>
      <c r="P564" s="77" t="s">
        <v>908</v>
      </c>
      <c r="Q564" s="69" t="s">
        <v>909</v>
      </c>
    </row>
    <row r="565" spans="2:17" ht="35.25" hidden="1" customHeight="1">
      <c r="B565" s="63" t="str">
        <f t="shared" si="16"/>
        <v>No562</v>
      </c>
      <c r="C565" s="63" t="str">
        <f t="shared" si="17"/>
        <v>202604</v>
      </c>
      <c r="D565" s="70" t="s">
        <v>142</v>
      </c>
      <c r="E565" s="70" t="s">
        <v>747</v>
      </c>
      <c r="F565" s="71">
        <v>46114.375</v>
      </c>
      <c r="G565" s="64">
        <v>46114.447916666657</v>
      </c>
      <c r="H565" s="70">
        <f>IF(F565="", "", NETWORKDAYS.INTL(F565, G565, 11,祝日シート!A:A))</f>
        <v>1</v>
      </c>
      <c r="I565" s="72">
        <v>7.2916666666666671E-2</v>
      </c>
      <c r="J565" s="70" t="s">
        <v>45</v>
      </c>
      <c r="K565" s="70" t="s">
        <v>21</v>
      </c>
      <c r="L565" s="70"/>
      <c r="M565" s="70" t="s">
        <v>193</v>
      </c>
      <c r="N565" s="70" t="s">
        <v>6</v>
      </c>
      <c r="O565" s="70" t="s">
        <v>7</v>
      </c>
      <c r="P565" s="73" t="s">
        <v>910</v>
      </c>
      <c r="Q565" s="73" t="s">
        <v>911</v>
      </c>
    </row>
    <row r="566" spans="2:17" ht="35.25" hidden="1" customHeight="1">
      <c r="B566" s="63" t="str">
        <f t="shared" si="16"/>
        <v>No563</v>
      </c>
      <c r="C566" s="63" t="str">
        <f t="shared" si="17"/>
        <v>202604</v>
      </c>
      <c r="D566" s="70" t="s">
        <v>3</v>
      </c>
      <c r="E566" s="67" t="s">
        <v>155</v>
      </c>
      <c r="F566" s="68">
        <v>46114.385416666657</v>
      </c>
      <c r="G566" s="68">
        <v>46114.645138888889</v>
      </c>
      <c r="H566" s="67">
        <f>IF(F566="", "", NETWORKDAYS.INTL(F566, G566, 11,祝日シート!A:A))</f>
        <v>1</v>
      </c>
      <c r="I566" s="75">
        <v>1.041666666666667E-2</v>
      </c>
      <c r="J566" s="67" t="s">
        <v>20</v>
      </c>
      <c r="K566" s="67" t="s">
        <v>26</v>
      </c>
      <c r="L566" s="67" t="s">
        <v>912</v>
      </c>
      <c r="M566" s="67" t="s">
        <v>332</v>
      </c>
      <c r="N566" s="70" t="s">
        <v>6</v>
      </c>
      <c r="O566" s="70" t="s">
        <v>7</v>
      </c>
      <c r="P566" s="77" t="s">
        <v>913</v>
      </c>
      <c r="Q566" s="69" t="s">
        <v>914</v>
      </c>
    </row>
    <row r="567" spans="2:17" ht="35.25" hidden="1" customHeight="1">
      <c r="B567" s="63" t="str">
        <f t="shared" si="16"/>
        <v>No564</v>
      </c>
      <c r="C567" s="63" t="str">
        <f t="shared" si="17"/>
        <v>202604</v>
      </c>
      <c r="D567" s="63" t="s">
        <v>142</v>
      </c>
      <c r="E567" s="67" t="s">
        <v>155</v>
      </c>
      <c r="F567" s="68">
        <v>46114.445833333331</v>
      </c>
      <c r="G567" s="64">
        <v>46114.500694444447</v>
      </c>
      <c r="H567" s="67">
        <f>IF(F567="", "", NETWORKDAYS.INTL(F567, G567, 11,祝日シート!A:A))</f>
        <v>1</v>
      </c>
      <c r="I567" s="75">
        <v>3.472222222222222E-3</v>
      </c>
      <c r="J567" s="63" t="s">
        <v>119</v>
      </c>
      <c r="K567" s="67" t="s">
        <v>21</v>
      </c>
      <c r="L567" s="67" t="s">
        <v>915</v>
      </c>
      <c r="M567" s="67" t="s">
        <v>217</v>
      </c>
      <c r="N567" s="63" t="s">
        <v>122</v>
      </c>
      <c r="O567" s="63" t="s">
        <v>7</v>
      </c>
      <c r="P567" s="77" t="s">
        <v>593</v>
      </c>
      <c r="Q567" s="66" t="s">
        <v>158</v>
      </c>
    </row>
    <row r="568" spans="2:17" ht="35.25" hidden="1" customHeight="1">
      <c r="B568" s="63" t="str">
        <f t="shared" si="16"/>
        <v>No565</v>
      </c>
      <c r="C568" s="63" t="str">
        <f t="shared" si="17"/>
        <v>202604</v>
      </c>
      <c r="D568" s="63" t="s">
        <v>142</v>
      </c>
      <c r="E568" s="67" t="s">
        <v>155</v>
      </c>
      <c r="F568" s="68">
        <v>46114.447916666657</v>
      </c>
      <c r="G568" s="64">
        <v>46114.45</v>
      </c>
      <c r="H568" s="67">
        <f>IF(F568="", "", NETWORKDAYS.INTL(F568, G568, 11,祝日シート!A:A))</f>
        <v>1</v>
      </c>
      <c r="I568" s="75">
        <v>3.472222222222222E-3</v>
      </c>
      <c r="J568" s="63" t="s">
        <v>119</v>
      </c>
      <c r="K568" s="67" t="s">
        <v>21</v>
      </c>
      <c r="L568" s="67" t="s">
        <v>916</v>
      </c>
      <c r="M568" s="67" t="s">
        <v>917</v>
      </c>
      <c r="N568" s="63" t="s">
        <v>122</v>
      </c>
      <c r="O568" s="63" t="s">
        <v>7</v>
      </c>
      <c r="P568" s="77" t="s">
        <v>918</v>
      </c>
      <c r="Q568" s="66" t="s">
        <v>200</v>
      </c>
    </row>
    <row r="569" spans="2:17" ht="35.25" hidden="1" customHeight="1">
      <c r="B569" s="63" t="str">
        <f t="shared" si="16"/>
        <v>No566</v>
      </c>
      <c r="C569" s="63" t="str">
        <f t="shared" si="17"/>
        <v>202604</v>
      </c>
      <c r="D569" s="70" t="s">
        <v>104</v>
      </c>
      <c r="E569" s="70" t="s">
        <v>747</v>
      </c>
      <c r="F569" s="71">
        <v>46114.583333333343</v>
      </c>
      <c r="G569" s="64">
        <v>46114.625</v>
      </c>
      <c r="H569" s="70">
        <f>IF(F569="", "", NETWORKDAYS.INTL(F569, G569, 11,祝日シート!A:A))</f>
        <v>1</v>
      </c>
      <c r="I569" s="72">
        <v>4.1666666666666657E-2</v>
      </c>
      <c r="J569" s="70" t="s">
        <v>20</v>
      </c>
      <c r="K569" s="70" t="s">
        <v>21</v>
      </c>
      <c r="L569" s="70"/>
      <c r="M569" s="70" t="s">
        <v>420</v>
      </c>
      <c r="N569" s="70" t="s">
        <v>6</v>
      </c>
      <c r="O569" s="70" t="s">
        <v>7</v>
      </c>
      <c r="P569" s="73" t="s">
        <v>919</v>
      </c>
      <c r="Q569" s="73" t="s">
        <v>920</v>
      </c>
    </row>
    <row r="570" spans="2:17" ht="30.75" customHeight="1">
      <c r="B570" s="63" t="str">
        <f t="shared" si="16"/>
        <v>No567</v>
      </c>
      <c r="C570" s="63" t="str">
        <f t="shared" si="17"/>
        <v>202604</v>
      </c>
      <c r="D570" s="70" t="s">
        <v>104</v>
      </c>
      <c r="E570" s="70" t="s">
        <v>747</v>
      </c>
      <c r="F570" s="71">
        <v>46114.625</v>
      </c>
      <c r="G570" s="64">
        <v>46114.75</v>
      </c>
      <c r="H570" s="70">
        <f>IF(F570="", "", NETWORKDAYS.INTL(F570, G570, 11,祝日シート!A:A))</f>
        <v>1</v>
      </c>
      <c r="I570" s="72">
        <v>0.125</v>
      </c>
      <c r="J570" s="70" t="s">
        <v>20</v>
      </c>
      <c r="K570" s="70" t="s">
        <v>21</v>
      </c>
      <c r="L570" s="70"/>
      <c r="M570" s="70" t="s">
        <v>420</v>
      </c>
      <c r="N570" s="70" t="s">
        <v>6</v>
      </c>
      <c r="O570" s="70" t="s">
        <v>7</v>
      </c>
      <c r="P570" s="73" t="s">
        <v>921</v>
      </c>
      <c r="Q570" s="73" t="s">
        <v>922</v>
      </c>
    </row>
    <row r="571" spans="2:17" ht="37.5" customHeight="1">
      <c r="B571" s="63" t="str">
        <f t="shared" si="16"/>
        <v>No568</v>
      </c>
      <c r="C571" s="63" t="str">
        <f t="shared" si="17"/>
        <v>202604</v>
      </c>
      <c r="D571" s="63" t="s">
        <v>104</v>
      </c>
      <c r="E571" s="67" t="s">
        <v>116</v>
      </c>
      <c r="F571" s="68">
        <v>46114.643750000003</v>
      </c>
      <c r="G571" s="64">
        <v>46114.681944444441</v>
      </c>
      <c r="H571" s="67">
        <f>IF(F571="", "", NETWORKDAYS.INTL(F571, G571, 11,祝日シート!A:A))</f>
        <v>1</v>
      </c>
      <c r="I571" s="75">
        <v>2.0833333333333329E-2</v>
      </c>
      <c r="J571" s="63" t="s">
        <v>197</v>
      </c>
      <c r="K571" s="67" t="s">
        <v>923</v>
      </c>
      <c r="L571" s="67" t="s">
        <v>906</v>
      </c>
      <c r="M571" s="67" t="s">
        <v>924</v>
      </c>
      <c r="N571" s="63" t="s">
        <v>117</v>
      </c>
      <c r="O571" s="63" t="s">
        <v>7</v>
      </c>
      <c r="P571" s="77" t="s">
        <v>925</v>
      </c>
      <c r="Q571" s="66" t="s">
        <v>926</v>
      </c>
    </row>
    <row r="572" spans="2:17" ht="32.25" customHeight="1">
      <c r="B572" s="63" t="str">
        <f t="shared" si="16"/>
        <v>No569</v>
      </c>
      <c r="C572" s="63" t="str">
        <f t="shared" si="17"/>
        <v>202604</v>
      </c>
      <c r="D572" s="70" t="s">
        <v>142</v>
      </c>
      <c r="E572" s="70" t="s">
        <v>747</v>
      </c>
      <c r="F572" s="71">
        <v>46115.416666666657</v>
      </c>
      <c r="G572" s="64">
        <v>46115.583333333343</v>
      </c>
      <c r="H572" s="70">
        <f>IF(F572="", "", NETWORKDAYS.INTL(F572, G572, 11,祝日シート!A:A))</f>
        <v>1</v>
      </c>
      <c r="I572" s="72">
        <v>0.16666666666666671</v>
      </c>
      <c r="J572" s="70" t="s">
        <v>45</v>
      </c>
      <c r="K572" s="70" t="s">
        <v>41</v>
      </c>
      <c r="L572" s="70"/>
      <c r="M572" s="70" t="s">
        <v>112</v>
      </c>
      <c r="N572" s="70" t="s">
        <v>6</v>
      </c>
      <c r="O572" s="70" t="s">
        <v>7</v>
      </c>
      <c r="P572" s="73" t="s">
        <v>927</v>
      </c>
      <c r="Q572" s="73" t="s">
        <v>928</v>
      </c>
    </row>
    <row r="573" spans="2:17" ht="29.25" customHeight="1">
      <c r="B573" s="63" t="str">
        <f t="shared" si="16"/>
        <v>No570</v>
      </c>
      <c r="C573" s="63" t="str">
        <f t="shared" si="17"/>
        <v>202604</v>
      </c>
      <c r="D573" s="63" t="s">
        <v>142</v>
      </c>
      <c r="E573" s="67" t="s">
        <v>116</v>
      </c>
      <c r="F573" s="68">
        <v>46115.452777777777</v>
      </c>
      <c r="G573" s="64">
        <v>46120.40625</v>
      </c>
      <c r="H573" s="67">
        <f>IF(F573="", "", NETWORKDAYS.INTL(F573, G573, 11,祝日シート!A:A))</f>
        <v>5</v>
      </c>
      <c r="I573" s="75">
        <v>4.1666666666666657E-2</v>
      </c>
      <c r="J573" s="63" t="s">
        <v>197</v>
      </c>
      <c r="K573" s="67" t="s">
        <v>159</v>
      </c>
      <c r="L573" s="67" t="s">
        <v>929</v>
      </c>
      <c r="M573" s="67" t="s">
        <v>288</v>
      </c>
      <c r="N573" s="63" t="s">
        <v>122</v>
      </c>
      <c r="O573" s="63" t="s">
        <v>7</v>
      </c>
      <c r="P573" s="77" t="s">
        <v>930</v>
      </c>
      <c r="Q573" s="66" t="s">
        <v>200</v>
      </c>
    </row>
    <row r="574" spans="2:17" ht="18.75" customHeight="1">
      <c r="B574" s="63" t="str">
        <f t="shared" si="16"/>
        <v>No571</v>
      </c>
      <c r="C574" s="63" t="str">
        <f t="shared" si="17"/>
        <v>202604</v>
      </c>
      <c r="D574" s="63" t="s">
        <v>142</v>
      </c>
      <c r="E574" s="67" t="s">
        <v>155</v>
      </c>
      <c r="F574" s="68">
        <v>46115.519444444442</v>
      </c>
      <c r="G574" s="64">
        <v>46115.566666666673</v>
      </c>
      <c r="H574" s="67">
        <f>IF(F574="", "", NETWORKDAYS.INTL(F574, G574, 11,祝日シート!A:A))</f>
        <v>1</v>
      </c>
      <c r="I574" s="75">
        <v>3.472222222222222E-3</v>
      </c>
      <c r="J574" s="63" t="s">
        <v>119</v>
      </c>
      <c r="K574" s="67" t="s">
        <v>931</v>
      </c>
      <c r="L574" s="67" t="s">
        <v>932</v>
      </c>
      <c r="M574" s="67" t="s">
        <v>229</v>
      </c>
      <c r="N574" s="63" t="s">
        <v>122</v>
      </c>
      <c r="O574" s="63" t="s">
        <v>7</v>
      </c>
      <c r="P574" s="77" t="s">
        <v>482</v>
      </c>
      <c r="Q574" s="66" t="s">
        <v>158</v>
      </c>
    </row>
    <row r="575" spans="2:17" ht="18.75" customHeight="1">
      <c r="B575" s="63" t="str">
        <f t="shared" si="16"/>
        <v>No572</v>
      </c>
      <c r="C575" s="63" t="str">
        <f t="shared" si="17"/>
        <v>202604</v>
      </c>
      <c r="D575" s="63" t="s">
        <v>142</v>
      </c>
      <c r="E575" s="67" t="s">
        <v>155</v>
      </c>
      <c r="F575" s="68">
        <v>46115.756944444453</v>
      </c>
      <c r="G575" s="68">
        <v>46118.637499999997</v>
      </c>
      <c r="H575" s="67">
        <f>IF(F575="", "", NETWORKDAYS.INTL(F575, G575, 11,祝日シート!A:A))</f>
        <v>3</v>
      </c>
      <c r="I575" s="75">
        <v>3.472222222222222E-3</v>
      </c>
      <c r="J575" s="67" t="s">
        <v>20</v>
      </c>
      <c r="K575" s="67" t="s">
        <v>41</v>
      </c>
      <c r="L575" s="67" t="s">
        <v>903</v>
      </c>
      <c r="M575" s="67" t="s">
        <v>112</v>
      </c>
      <c r="N575" s="70" t="s">
        <v>6</v>
      </c>
      <c r="O575" s="70" t="s">
        <v>7</v>
      </c>
      <c r="P575" s="77" t="s">
        <v>904</v>
      </c>
      <c r="Q575" s="69" t="s">
        <v>933</v>
      </c>
    </row>
    <row r="576" spans="2:17" ht="18.75" customHeight="1">
      <c r="B576" s="63" t="str">
        <f t="shared" si="16"/>
        <v>No573</v>
      </c>
      <c r="C576" s="63" t="str">
        <f t="shared" si="17"/>
        <v>202604</v>
      </c>
      <c r="D576" s="70" t="s">
        <v>104</v>
      </c>
      <c r="E576" s="70" t="s">
        <v>747</v>
      </c>
      <c r="F576" s="71">
        <v>46118.416666666657</v>
      </c>
      <c r="G576" s="64">
        <v>46118.5</v>
      </c>
      <c r="H576" s="70">
        <f>IF(F576="", "", NETWORKDAYS.INTL(F576, G576, 11,祝日シート!A:A))</f>
        <v>1</v>
      </c>
      <c r="I576" s="72">
        <v>8.3333333333333329E-2</v>
      </c>
      <c r="J576" s="70" t="s">
        <v>20</v>
      </c>
      <c r="K576" s="70" t="s">
        <v>21</v>
      </c>
      <c r="L576" s="70"/>
      <c r="M576" s="70" t="s">
        <v>133</v>
      </c>
      <c r="N576" s="70" t="s">
        <v>6</v>
      </c>
      <c r="O576" s="70" t="s">
        <v>7</v>
      </c>
      <c r="P576" s="73" t="s">
        <v>934</v>
      </c>
      <c r="Q576" s="73" t="s">
        <v>935</v>
      </c>
    </row>
    <row r="577" spans="2:17" ht="18.75" customHeight="1">
      <c r="B577" s="63" t="str">
        <f t="shared" si="16"/>
        <v>No574</v>
      </c>
      <c r="C577" s="63" t="str">
        <f t="shared" si="17"/>
        <v>202604</v>
      </c>
      <c r="D577" s="70" t="s">
        <v>104</v>
      </c>
      <c r="E577" s="70" t="s">
        <v>747</v>
      </c>
      <c r="F577" s="71">
        <v>46118.416666666657</v>
      </c>
      <c r="G577" s="64">
        <v>46118.708333333343</v>
      </c>
      <c r="H577" s="70">
        <f>IF(F577="", "", NETWORKDAYS.INTL(F577, G577, 11,祝日シート!A:A))</f>
        <v>1</v>
      </c>
      <c r="I577" s="72">
        <v>0.29166666666666669</v>
      </c>
      <c r="J577" s="70" t="s">
        <v>20</v>
      </c>
      <c r="K577" s="70" t="s">
        <v>21</v>
      </c>
      <c r="L577" s="70"/>
      <c r="M577" s="70" t="s">
        <v>420</v>
      </c>
      <c r="N577" s="70" t="s">
        <v>6</v>
      </c>
      <c r="O577" s="70" t="s">
        <v>7</v>
      </c>
      <c r="P577" s="73" t="s">
        <v>936</v>
      </c>
      <c r="Q577" s="73" t="s">
        <v>937</v>
      </c>
    </row>
    <row r="578" spans="2:17" ht="18.75" customHeight="1">
      <c r="B578" s="63" t="str">
        <f t="shared" si="16"/>
        <v>No575</v>
      </c>
      <c r="C578" s="63" t="str">
        <f t="shared" si="17"/>
        <v>202604</v>
      </c>
      <c r="D578" s="63" t="s">
        <v>142</v>
      </c>
      <c r="E578" s="67" t="s">
        <v>155</v>
      </c>
      <c r="F578" s="68">
        <v>46118.572916666657</v>
      </c>
      <c r="G578" s="68">
        <v>46118.583333333343</v>
      </c>
      <c r="H578" s="67">
        <f>IF(F578="", "", NETWORKDAYS.INTL(F578, G578, 11,祝日シート!A:A))</f>
        <v>1</v>
      </c>
      <c r="I578" s="75">
        <v>1.041666666666667E-2</v>
      </c>
      <c r="J578" s="67" t="s">
        <v>20</v>
      </c>
      <c r="K578" s="67" t="s">
        <v>120</v>
      </c>
      <c r="L578" s="67" t="s">
        <v>938</v>
      </c>
      <c r="M578" s="67" t="s">
        <v>292</v>
      </c>
      <c r="N578" s="67" t="s">
        <v>122</v>
      </c>
      <c r="O578" s="70" t="s">
        <v>7</v>
      </c>
      <c r="P578" s="77" t="s">
        <v>939</v>
      </c>
      <c r="Q578" s="69" t="s">
        <v>940</v>
      </c>
    </row>
    <row r="579" spans="2:17" ht="18.75" customHeight="1">
      <c r="B579" s="63" t="str">
        <f t="shared" si="16"/>
        <v>No576</v>
      </c>
      <c r="C579" s="63" t="str">
        <f t="shared" si="17"/>
        <v>202604</v>
      </c>
      <c r="D579" s="63" t="s">
        <v>142</v>
      </c>
      <c r="E579" s="67" t="s">
        <v>155</v>
      </c>
      <c r="F579" s="68">
        <v>46118.588888888888</v>
      </c>
      <c r="G579" s="64">
        <v>46118.611805555563</v>
      </c>
      <c r="H579" s="67">
        <f>IF(F579="", "", NETWORKDAYS.INTL(F579, G579, 11,祝日シート!A:A))</f>
        <v>1</v>
      </c>
      <c r="I579" s="75">
        <v>3.472222222222222E-3</v>
      </c>
      <c r="J579" s="63" t="s">
        <v>119</v>
      </c>
      <c r="K579" s="67" t="s">
        <v>21</v>
      </c>
      <c r="L579" s="67" t="s">
        <v>915</v>
      </c>
      <c r="M579" s="67" t="s">
        <v>941</v>
      </c>
      <c r="N579" s="63" t="s">
        <v>122</v>
      </c>
      <c r="O579" s="63" t="s">
        <v>7</v>
      </c>
      <c r="P579" s="77" t="s">
        <v>942</v>
      </c>
      <c r="Q579" s="66" t="s">
        <v>200</v>
      </c>
    </row>
    <row r="580" spans="2:17" ht="18.75" customHeight="1">
      <c r="B580" s="63" t="str">
        <f t="shared" si="16"/>
        <v>No577</v>
      </c>
      <c r="C580" s="63" t="str">
        <f t="shared" si="17"/>
        <v>202604</v>
      </c>
      <c r="D580" s="63" t="s">
        <v>142</v>
      </c>
      <c r="E580" s="67" t="s">
        <v>116</v>
      </c>
      <c r="F580" s="68">
        <v>46118.602777777778</v>
      </c>
      <c r="G580" s="64">
        <v>46118.684027777781</v>
      </c>
      <c r="H580" s="67">
        <f>IF(F580="", "", NETWORKDAYS.INTL(F580, G580, 11,祝日シート!A:A))</f>
        <v>1</v>
      </c>
      <c r="I580" s="75">
        <v>3.472222222222222E-3</v>
      </c>
      <c r="J580" s="63" t="s">
        <v>119</v>
      </c>
      <c r="K580" s="67" t="s">
        <v>41</v>
      </c>
      <c r="L580" s="67" t="s">
        <v>899</v>
      </c>
      <c r="M580" s="67" t="s">
        <v>217</v>
      </c>
      <c r="N580" s="63" t="s">
        <v>122</v>
      </c>
      <c r="O580" s="63" t="s">
        <v>7</v>
      </c>
      <c r="P580" s="77" t="s">
        <v>943</v>
      </c>
      <c r="Q580" s="66" t="s">
        <v>158</v>
      </c>
    </row>
    <row r="581" spans="2:17" ht="18.75" customHeight="1">
      <c r="B581" s="63" t="str">
        <f t="shared" si="16"/>
        <v>No578</v>
      </c>
      <c r="C581" s="63" t="str">
        <f t="shared" si="17"/>
        <v>202604</v>
      </c>
      <c r="D581" s="70" t="s">
        <v>166</v>
      </c>
      <c r="E581" s="70" t="s">
        <v>747</v>
      </c>
      <c r="F581" s="71">
        <v>46118.625</v>
      </c>
      <c r="G581" s="64">
        <v>46118.75</v>
      </c>
      <c r="H581" s="70">
        <f>IF(F581="", "", NETWORKDAYS.INTL(F581, G581, 11,祝日シート!A:A))</f>
        <v>1</v>
      </c>
      <c r="I581" s="72">
        <v>0.125</v>
      </c>
      <c r="J581" s="70" t="s">
        <v>20</v>
      </c>
      <c r="K581" s="70" t="s">
        <v>26</v>
      </c>
      <c r="L581" s="70"/>
      <c r="M581" s="70"/>
      <c r="N581" s="70" t="s">
        <v>6</v>
      </c>
      <c r="O581" s="70" t="s">
        <v>7</v>
      </c>
      <c r="P581" s="73" t="s">
        <v>944</v>
      </c>
      <c r="Q581" s="73" t="s">
        <v>945</v>
      </c>
    </row>
    <row r="582" spans="2:17" ht="18.75" customHeight="1">
      <c r="B582" s="63" t="str">
        <f t="shared" si="16"/>
        <v>No579</v>
      </c>
      <c r="C582" s="63" t="str">
        <f t="shared" si="17"/>
        <v>202604</v>
      </c>
      <c r="D582" s="63" t="s">
        <v>142</v>
      </c>
      <c r="E582" s="67" t="s">
        <v>155</v>
      </c>
      <c r="F582" s="68">
        <v>46118.647916666669</v>
      </c>
      <c r="G582" s="64">
        <v>46120.436805555553</v>
      </c>
      <c r="H582" s="67">
        <f>IF(F582="", "", NETWORKDAYS.INTL(F582, G582, 11,祝日シート!A:A))</f>
        <v>3</v>
      </c>
      <c r="I582" s="75">
        <v>3.472222222222222E-3</v>
      </c>
      <c r="J582" s="63" t="s">
        <v>119</v>
      </c>
      <c r="K582" s="67" t="s">
        <v>41</v>
      </c>
      <c r="L582" s="67" t="s">
        <v>903</v>
      </c>
      <c r="M582" s="67" t="s">
        <v>277</v>
      </c>
      <c r="N582" s="63" t="s">
        <v>122</v>
      </c>
      <c r="O582" s="63" t="s">
        <v>7</v>
      </c>
      <c r="P582" s="77" t="s">
        <v>946</v>
      </c>
      <c r="Q582" s="66" t="s">
        <v>158</v>
      </c>
    </row>
    <row r="583" spans="2:17" ht="18.75" customHeight="1">
      <c r="B583" s="63" t="str">
        <f t="shared" si="16"/>
        <v>No580</v>
      </c>
      <c r="C583" s="63" t="str">
        <f t="shared" si="17"/>
        <v>202604</v>
      </c>
      <c r="D583" s="63" t="s">
        <v>142</v>
      </c>
      <c r="E583" s="67" t="s">
        <v>116</v>
      </c>
      <c r="F583" s="68">
        <v>46118.657638888893</v>
      </c>
      <c r="G583" s="64">
        <v>46118.665972222218</v>
      </c>
      <c r="H583" s="67">
        <f>IF(F583="", "", NETWORKDAYS.INTL(F583, G583, 11,祝日シート!A:A))</f>
        <v>1</v>
      </c>
      <c r="I583" s="75">
        <v>2.0833333333333329E-2</v>
      </c>
      <c r="J583" s="63" t="s">
        <v>197</v>
      </c>
      <c r="K583" s="67" t="s">
        <v>159</v>
      </c>
      <c r="L583" s="67" t="s">
        <v>929</v>
      </c>
      <c r="M583" s="67" t="s">
        <v>187</v>
      </c>
      <c r="N583" s="63" t="s">
        <v>122</v>
      </c>
      <c r="O583" s="63" t="s">
        <v>7</v>
      </c>
      <c r="P583" s="77" t="s">
        <v>930</v>
      </c>
      <c r="Q583" s="66" t="s">
        <v>200</v>
      </c>
    </row>
    <row r="584" spans="2:17" ht="18.75" customHeight="1">
      <c r="B584" s="63" t="str">
        <f t="shared" si="16"/>
        <v>No581</v>
      </c>
      <c r="C584" s="63" t="str">
        <f t="shared" si="17"/>
        <v>202604</v>
      </c>
      <c r="D584" s="63" t="s">
        <v>142</v>
      </c>
      <c r="E584" s="67" t="s">
        <v>155</v>
      </c>
      <c r="F584" s="68">
        <v>46119.398611111108</v>
      </c>
      <c r="G584" s="64">
        <v>46120.401388888888</v>
      </c>
      <c r="H584" s="67">
        <f>IF(F584="", "", NETWORKDAYS.INTL(F584, G584, 11,祝日シート!A:A))</f>
        <v>2</v>
      </c>
      <c r="I584" s="75">
        <v>3.472222222222222E-3</v>
      </c>
      <c r="J584" s="63" t="s">
        <v>119</v>
      </c>
      <c r="K584" s="67" t="s">
        <v>21</v>
      </c>
      <c r="L584" s="67" t="s">
        <v>915</v>
      </c>
      <c r="M584" s="67" t="s">
        <v>198</v>
      </c>
      <c r="N584" s="63" t="s">
        <v>122</v>
      </c>
      <c r="O584" s="63" t="s">
        <v>7</v>
      </c>
      <c r="P584" s="77" t="s">
        <v>925</v>
      </c>
      <c r="Q584" s="66" t="s">
        <v>200</v>
      </c>
    </row>
    <row r="585" spans="2:17" ht="18.75" customHeight="1">
      <c r="B585" s="63" t="str">
        <f t="shared" si="16"/>
        <v>No582</v>
      </c>
      <c r="C585" s="63" t="str">
        <f t="shared" si="17"/>
        <v>202604</v>
      </c>
      <c r="D585" s="63" t="s">
        <v>142</v>
      </c>
      <c r="E585" s="67" t="s">
        <v>155</v>
      </c>
      <c r="F585" s="68">
        <v>46119.477777777778</v>
      </c>
      <c r="G585" s="64">
        <v>46119.618055555547</v>
      </c>
      <c r="H585" s="67">
        <f>IF(F585="", "", NETWORKDAYS.INTL(F585, G585, 11,祝日シート!A:A))</f>
        <v>1</v>
      </c>
      <c r="I585" s="75">
        <v>3.472222222222222E-3</v>
      </c>
      <c r="J585" s="63" t="s">
        <v>119</v>
      </c>
      <c r="K585" s="67" t="s">
        <v>21</v>
      </c>
      <c r="L585" s="67" t="s">
        <v>915</v>
      </c>
      <c r="M585" s="67" t="s">
        <v>217</v>
      </c>
      <c r="N585" s="63" t="s">
        <v>122</v>
      </c>
      <c r="O585" s="63" t="s">
        <v>7</v>
      </c>
      <c r="P585" s="77" t="s">
        <v>593</v>
      </c>
      <c r="Q585" s="66" t="s">
        <v>158</v>
      </c>
    </row>
    <row r="586" spans="2:17" ht="18.75" customHeight="1">
      <c r="B586" s="63" t="str">
        <f t="shared" si="16"/>
        <v>No583</v>
      </c>
      <c r="C586" s="63" t="str">
        <f t="shared" si="17"/>
        <v>202604</v>
      </c>
      <c r="D586" s="63" t="s">
        <v>142</v>
      </c>
      <c r="E586" s="67" t="s">
        <v>116</v>
      </c>
      <c r="F586" s="68">
        <v>46120.638888888891</v>
      </c>
      <c r="G586" s="64">
        <v>46120.740972222222</v>
      </c>
      <c r="H586" s="67">
        <f>IF(F586="", "", NETWORKDAYS.INTL(F586, G586, 11,祝日シート!A:A))</f>
        <v>1</v>
      </c>
      <c r="I586" s="75">
        <v>3.472222222222222E-3</v>
      </c>
      <c r="J586" s="63" t="s">
        <v>119</v>
      </c>
      <c r="K586" s="67" t="s">
        <v>159</v>
      </c>
      <c r="L586" s="67" t="s">
        <v>929</v>
      </c>
      <c r="M586" s="67" t="s">
        <v>288</v>
      </c>
      <c r="N586" s="63" t="s">
        <v>122</v>
      </c>
      <c r="O586" s="63" t="s">
        <v>7</v>
      </c>
      <c r="P586" s="77" t="s">
        <v>179</v>
      </c>
      <c r="Q586" s="66" t="s">
        <v>158</v>
      </c>
    </row>
    <row r="587" spans="2:17" ht="18.75" customHeight="1">
      <c r="B587" s="63" t="str">
        <f t="shared" si="16"/>
        <v>No584</v>
      </c>
      <c r="C587" s="63" t="str">
        <f t="shared" si="17"/>
        <v>202604</v>
      </c>
      <c r="D587" s="63" t="s">
        <v>142</v>
      </c>
      <c r="E587" s="67" t="s">
        <v>155</v>
      </c>
      <c r="F587" s="68">
        <v>46120.638888888891</v>
      </c>
      <c r="G587" s="64">
        <v>46121.371527777781</v>
      </c>
      <c r="H587" s="67">
        <f>IF(F587="", "", NETWORKDAYS.INTL(F587, G587, 11,祝日シート!A:A))</f>
        <v>2</v>
      </c>
      <c r="I587" s="75">
        <v>3.472222222222222E-3</v>
      </c>
      <c r="J587" s="63" t="s">
        <v>119</v>
      </c>
      <c r="K587" s="67" t="s">
        <v>159</v>
      </c>
      <c r="L587" s="67" t="s">
        <v>929</v>
      </c>
      <c r="M587" s="67" t="s">
        <v>288</v>
      </c>
      <c r="N587" s="63" t="s">
        <v>122</v>
      </c>
      <c r="O587" s="63" t="s">
        <v>7</v>
      </c>
      <c r="P587" s="77" t="s">
        <v>179</v>
      </c>
      <c r="Q587" s="66" t="s">
        <v>158</v>
      </c>
    </row>
    <row r="588" spans="2:17" ht="18.75" customHeight="1">
      <c r="B588" s="63" t="str">
        <f t="shared" si="16"/>
        <v>No585</v>
      </c>
      <c r="C588" s="63" t="str">
        <f t="shared" si="17"/>
        <v>202604</v>
      </c>
      <c r="D588" s="78" t="s">
        <v>3</v>
      </c>
      <c r="E588" s="78" t="s">
        <v>747</v>
      </c>
      <c r="F588" s="79">
        <v>46121.375</v>
      </c>
      <c r="G588" s="80">
        <v>46122.708333333343</v>
      </c>
      <c r="H588" s="78">
        <f>IF(F588="", "", NETWORKDAYS.INTL(F588, G588, 11,祝日シート!A:A))</f>
        <v>2</v>
      </c>
      <c r="I588" s="81" t="s">
        <v>947</v>
      </c>
      <c r="J588" s="78" t="s">
        <v>20</v>
      </c>
      <c r="K588" s="78" t="s">
        <v>311</v>
      </c>
      <c r="L588" s="78"/>
      <c r="M588" s="78" t="s">
        <v>562</v>
      </c>
      <c r="N588" s="63" t="s">
        <v>122</v>
      </c>
      <c r="O588" s="63" t="s">
        <v>7</v>
      </c>
      <c r="P588" s="82" t="s">
        <v>948</v>
      </c>
      <c r="Q588" s="82" t="s">
        <v>949</v>
      </c>
    </row>
    <row r="589" spans="2:17" ht="18.75" customHeight="1">
      <c r="B589" s="63" t="str">
        <f t="shared" si="16"/>
        <v>No586</v>
      </c>
      <c r="C589" s="63" t="str">
        <f t="shared" si="17"/>
        <v>202604</v>
      </c>
      <c r="D589" s="63" t="s">
        <v>142</v>
      </c>
      <c r="E589" s="67" t="s">
        <v>116</v>
      </c>
      <c r="F589" s="68">
        <v>46121.386805555558</v>
      </c>
      <c r="G589" s="68">
        <v>46121.415277777778</v>
      </c>
      <c r="H589" s="67">
        <f>IF(F589="", "", NETWORKDAYS.INTL(F589, G589, 11,祝日シート!A:A))</f>
        <v>1</v>
      </c>
      <c r="I589" s="75">
        <v>3.472222222222222E-3</v>
      </c>
      <c r="J589" s="63" t="s">
        <v>119</v>
      </c>
      <c r="K589" s="67" t="s">
        <v>159</v>
      </c>
      <c r="L589" s="67" t="s">
        <v>929</v>
      </c>
      <c r="M589" s="67" t="s">
        <v>187</v>
      </c>
      <c r="N589" s="63" t="s">
        <v>122</v>
      </c>
      <c r="O589" s="63" t="s">
        <v>7</v>
      </c>
      <c r="P589" s="77" t="s">
        <v>482</v>
      </c>
      <c r="Q589" s="66" t="s">
        <v>158</v>
      </c>
    </row>
    <row r="590" spans="2:17" ht="18.75" customHeight="1">
      <c r="B590" s="63" t="str">
        <f t="shared" si="16"/>
        <v>No587</v>
      </c>
      <c r="C590" s="63" t="str">
        <f t="shared" si="17"/>
        <v>202604</v>
      </c>
      <c r="D590" s="63" t="s">
        <v>142</v>
      </c>
      <c r="E590" s="67" t="s">
        <v>155</v>
      </c>
      <c r="F590" s="68">
        <v>46121.401388888888</v>
      </c>
      <c r="G590" s="64">
        <v>46121.404166666667</v>
      </c>
      <c r="H590" s="67">
        <f>IF(F590="", "", NETWORKDAYS.INTL(F590, G590, 11,祝日シート!A:A))</f>
        <v>1</v>
      </c>
      <c r="I590" s="75">
        <v>3.472222222222222E-3</v>
      </c>
      <c r="J590" s="63" t="s">
        <v>119</v>
      </c>
      <c r="K590" s="67" t="s">
        <v>159</v>
      </c>
      <c r="L590" s="67" t="s">
        <v>929</v>
      </c>
      <c r="M590" s="67" t="s">
        <v>160</v>
      </c>
      <c r="N590" s="63" t="s">
        <v>122</v>
      </c>
      <c r="O590" s="63" t="s">
        <v>7</v>
      </c>
      <c r="P590" s="77" t="s">
        <v>179</v>
      </c>
      <c r="Q590" s="66" t="s">
        <v>158</v>
      </c>
    </row>
    <row r="591" spans="2:17" ht="18.75" customHeight="1">
      <c r="B591" s="63" t="str">
        <f t="shared" si="16"/>
        <v>No588</v>
      </c>
      <c r="C591" s="63" t="str">
        <f t="shared" si="17"/>
        <v>202604</v>
      </c>
      <c r="D591" s="63" t="s">
        <v>142</v>
      </c>
      <c r="E591" s="67" t="s">
        <v>155</v>
      </c>
      <c r="F591" s="68">
        <v>46121.450694444437</v>
      </c>
      <c r="G591" s="64">
        <v>46121.467361111107</v>
      </c>
      <c r="H591" s="67">
        <f>IF(F591="", "", NETWORKDAYS.INTL(F591, G591, 11,祝日シート!A:A))</f>
        <v>1</v>
      </c>
      <c r="I591" s="75">
        <v>3.472222222222222E-3</v>
      </c>
      <c r="J591" s="63" t="s">
        <v>119</v>
      </c>
      <c r="K591" s="67" t="s">
        <v>21</v>
      </c>
      <c r="L591" s="67" t="s">
        <v>915</v>
      </c>
      <c r="M591" s="67" t="s">
        <v>217</v>
      </c>
      <c r="N591" s="67" t="s">
        <v>122</v>
      </c>
      <c r="O591" s="63" t="s">
        <v>7</v>
      </c>
      <c r="P591" s="77" t="s">
        <v>593</v>
      </c>
      <c r="Q591" s="66" t="s">
        <v>158</v>
      </c>
    </row>
    <row r="592" spans="2:17" ht="18.75" customHeight="1">
      <c r="B592" s="63" t="str">
        <f t="shared" si="16"/>
        <v>No589</v>
      </c>
      <c r="C592" s="63" t="str">
        <f t="shared" si="17"/>
        <v>202604</v>
      </c>
      <c r="D592" s="63" t="s">
        <v>142</v>
      </c>
      <c r="E592" s="67" t="s">
        <v>116</v>
      </c>
      <c r="F592" s="68">
        <v>46122.386805555558</v>
      </c>
      <c r="G592" s="64">
        <v>46122.413194444453</v>
      </c>
      <c r="H592" s="67">
        <f>IF(F592="", "", NETWORKDAYS.INTL(F592, G592, 11,祝日シート!A:A))</f>
        <v>1</v>
      </c>
      <c r="I592" s="75">
        <v>3.472222222222222E-3</v>
      </c>
      <c r="J592" s="63" t="s">
        <v>119</v>
      </c>
      <c r="K592" s="67" t="s">
        <v>159</v>
      </c>
      <c r="L592" s="67" t="s">
        <v>929</v>
      </c>
      <c r="M592" s="67" t="s">
        <v>187</v>
      </c>
      <c r="N592" s="67" t="s">
        <v>122</v>
      </c>
      <c r="O592" s="63" t="s">
        <v>7</v>
      </c>
      <c r="P592" s="77" t="s">
        <v>482</v>
      </c>
      <c r="Q592" s="66" t="s">
        <v>158</v>
      </c>
    </row>
    <row r="593" spans="2:17" ht="18.75" customHeight="1">
      <c r="B593" s="63" t="str">
        <f t="shared" si="16"/>
        <v>No590</v>
      </c>
      <c r="C593" s="63" t="str">
        <f t="shared" si="17"/>
        <v>202604</v>
      </c>
      <c r="D593" s="63" t="s">
        <v>142</v>
      </c>
      <c r="E593" s="67" t="s">
        <v>155</v>
      </c>
      <c r="F593" s="68">
        <v>46122.386805555558</v>
      </c>
      <c r="G593" s="64">
        <v>46122.570833333331</v>
      </c>
      <c r="H593" s="67">
        <f>IF(F593="", "", NETWORKDAYS.INTL(F593, G593, 11,祝日シート!A:A))</f>
        <v>1</v>
      </c>
      <c r="I593" s="75">
        <v>3.472222222222222E-3</v>
      </c>
      <c r="J593" s="63" t="s">
        <v>119</v>
      </c>
      <c r="K593" s="67" t="s">
        <v>21</v>
      </c>
      <c r="L593" s="67" t="s">
        <v>915</v>
      </c>
      <c r="M593" s="67" t="s">
        <v>211</v>
      </c>
      <c r="N593" s="63" t="s">
        <v>122</v>
      </c>
      <c r="O593" s="63" t="s">
        <v>7</v>
      </c>
      <c r="P593" s="77" t="s">
        <v>593</v>
      </c>
      <c r="Q593" s="66" t="s">
        <v>158</v>
      </c>
    </row>
    <row r="594" spans="2:17" ht="18.75" customHeight="1">
      <c r="B594" s="63" t="str">
        <f t="shared" si="16"/>
        <v>No591</v>
      </c>
      <c r="C594" s="63" t="str">
        <f t="shared" si="17"/>
        <v>202604</v>
      </c>
      <c r="D594" s="63" t="s">
        <v>142</v>
      </c>
      <c r="E594" s="67" t="s">
        <v>116</v>
      </c>
      <c r="F594" s="68">
        <v>46122.463888888888</v>
      </c>
      <c r="G594" s="64">
        <v>46122.478472222218</v>
      </c>
      <c r="H594" s="67">
        <f>IF(F594="", "", NETWORKDAYS.INTL(F594, G594, 11,祝日シート!A:A))</f>
        <v>1</v>
      </c>
      <c r="I594" s="75">
        <v>3.472222222222222E-3</v>
      </c>
      <c r="J594" s="63" t="s">
        <v>119</v>
      </c>
      <c r="K594" s="67" t="s">
        <v>159</v>
      </c>
      <c r="L594" s="67" t="s">
        <v>929</v>
      </c>
      <c r="M594" s="67" t="s">
        <v>187</v>
      </c>
      <c r="N594" s="63" t="s">
        <v>122</v>
      </c>
      <c r="O594" s="63" t="s">
        <v>7</v>
      </c>
      <c r="P594" s="77" t="s">
        <v>246</v>
      </c>
      <c r="Q594" s="66" t="s">
        <v>158</v>
      </c>
    </row>
    <row r="595" spans="2:17" ht="18.75" customHeight="1">
      <c r="B595" s="63" t="str">
        <f t="shared" si="16"/>
        <v>No592</v>
      </c>
      <c r="C595" s="63" t="str">
        <f t="shared" si="17"/>
        <v>202604</v>
      </c>
      <c r="D595" s="63" t="s">
        <v>142</v>
      </c>
      <c r="E595" s="67" t="s">
        <v>155</v>
      </c>
      <c r="F595" s="68">
        <v>46122.621527777781</v>
      </c>
      <c r="G595" s="64">
        <v>46122.655555555553</v>
      </c>
      <c r="H595" s="67">
        <f>IF(F595="", "", NETWORKDAYS.INTL(F595, G595, 11,祝日シート!A:A))</f>
        <v>1</v>
      </c>
      <c r="I595" s="75">
        <v>3.472222222222222E-3</v>
      </c>
      <c r="J595" s="63" t="s">
        <v>119</v>
      </c>
      <c r="K595" s="67" t="s">
        <v>159</v>
      </c>
      <c r="L595" s="67" t="s">
        <v>896</v>
      </c>
      <c r="M595" s="67" t="s">
        <v>207</v>
      </c>
      <c r="N595" s="63" t="s">
        <v>122</v>
      </c>
      <c r="O595" s="63" t="s">
        <v>7</v>
      </c>
      <c r="P595" s="77" t="s">
        <v>482</v>
      </c>
      <c r="Q595" s="66" t="s">
        <v>158</v>
      </c>
    </row>
    <row r="596" spans="2:17" ht="18.75" customHeight="1">
      <c r="B596" s="63" t="str">
        <f t="shared" si="16"/>
        <v>No593</v>
      </c>
      <c r="C596" s="63" t="str">
        <f t="shared" si="17"/>
        <v>202604</v>
      </c>
      <c r="D596" s="63" t="s">
        <v>142</v>
      </c>
      <c r="E596" s="67" t="s">
        <v>155</v>
      </c>
      <c r="F596" s="68">
        <v>46122.6875</v>
      </c>
      <c r="G596" s="68">
        <v>46122.693749999999</v>
      </c>
      <c r="H596" s="67">
        <f>IF(F596="", "", NETWORKDAYS.INTL(F596, G596, 11,祝日シート!A:A))</f>
        <v>1</v>
      </c>
      <c r="I596" s="75">
        <v>3.472222222222222E-3</v>
      </c>
      <c r="J596" s="70" t="s">
        <v>45</v>
      </c>
      <c r="K596" s="67" t="s">
        <v>120</v>
      </c>
      <c r="L596" s="67" t="s">
        <v>906</v>
      </c>
      <c r="M596" s="67" t="s">
        <v>250</v>
      </c>
      <c r="N596" s="70" t="s">
        <v>6</v>
      </c>
      <c r="O596" s="70" t="s">
        <v>7</v>
      </c>
      <c r="P596" s="77" t="s">
        <v>950</v>
      </c>
      <c r="Q596" s="69" t="s">
        <v>951</v>
      </c>
    </row>
    <row r="597" spans="2:17" ht="18.75" customHeight="1">
      <c r="B597" s="63" t="str">
        <f t="shared" si="16"/>
        <v>No594</v>
      </c>
      <c r="C597" s="63" t="str">
        <f t="shared" si="17"/>
        <v>202604</v>
      </c>
      <c r="D597" s="63" t="s">
        <v>142</v>
      </c>
      <c r="E597" s="67" t="s">
        <v>155</v>
      </c>
      <c r="F597" s="68">
        <v>46122.740277777782</v>
      </c>
      <c r="G597" s="64">
        <v>46125.38958333333</v>
      </c>
      <c r="H597" s="67">
        <f>IF(F597="", "", NETWORKDAYS.INTL(F597, G597, 11,祝日シート!A:A))</f>
        <v>3</v>
      </c>
      <c r="I597" s="75">
        <v>3.472222222222222E-3</v>
      </c>
      <c r="J597" s="63" t="s">
        <v>119</v>
      </c>
      <c r="K597" s="67" t="s">
        <v>159</v>
      </c>
      <c r="L597" s="67" t="s">
        <v>929</v>
      </c>
      <c r="M597" s="67" t="s">
        <v>160</v>
      </c>
      <c r="N597" s="63" t="s">
        <v>122</v>
      </c>
      <c r="O597" s="63" t="s">
        <v>7</v>
      </c>
      <c r="P597" s="77" t="s">
        <v>179</v>
      </c>
      <c r="Q597" s="66" t="s">
        <v>158</v>
      </c>
    </row>
    <row r="598" spans="2:17" ht="18.75" customHeight="1">
      <c r="B598" s="63" t="str">
        <f t="shared" si="16"/>
        <v>No595</v>
      </c>
      <c r="C598" s="63" t="str">
        <f t="shared" si="17"/>
        <v>202604</v>
      </c>
      <c r="D598" s="63" t="s">
        <v>142</v>
      </c>
      <c r="E598" s="67" t="s">
        <v>116</v>
      </c>
      <c r="F598" s="68">
        <v>46122.770833333343</v>
      </c>
      <c r="G598" s="64">
        <v>46122.777083333327</v>
      </c>
      <c r="H598" s="67">
        <f>IF(F598="", "", NETWORKDAYS.INTL(F598, G598, 11,祝日シート!A:A))</f>
        <v>1</v>
      </c>
      <c r="I598" s="75">
        <v>3.472222222222222E-3</v>
      </c>
      <c r="J598" s="63" t="s">
        <v>119</v>
      </c>
      <c r="K598" s="67" t="s">
        <v>21</v>
      </c>
      <c r="L598" s="67" t="s">
        <v>916</v>
      </c>
      <c r="M598" s="67" t="s">
        <v>144</v>
      </c>
      <c r="N598" s="63" t="s">
        <v>122</v>
      </c>
      <c r="O598" s="63" t="s">
        <v>7</v>
      </c>
      <c r="P598" s="77" t="s">
        <v>580</v>
      </c>
      <c r="Q598" s="66" t="s">
        <v>158</v>
      </c>
    </row>
    <row r="599" spans="2:17" ht="18.75" customHeight="1">
      <c r="B599" s="63" t="str">
        <f t="shared" ref="B599:B662" si="18">"No"&amp;ROW()-3</f>
        <v>No596</v>
      </c>
      <c r="C599" s="63" t="str">
        <f t="shared" ref="C599:C662" si="19">IFERROR(IF(G599&lt;&gt;"",TEXT(G599,"yyyymm"),""),"")</f>
        <v>202604</v>
      </c>
      <c r="D599" s="63" t="s">
        <v>142</v>
      </c>
      <c r="E599" s="67" t="s">
        <v>155</v>
      </c>
      <c r="F599" s="68">
        <v>46125.6875</v>
      </c>
      <c r="G599" s="68">
        <v>46125.690972222219</v>
      </c>
      <c r="H599" s="67">
        <f>IF(F599="", "", NETWORKDAYS.INTL(F599, G599, 11,祝日シート!A:A))</f>
        <v>1</v>
      </c>
      <c r="I599" s="75">
        <v>3.472222222222222E-3</v>
      </c>
      <c r="J599" s="67" t="s">
        <v>20</v>
      </c>
      <c r="K599" s="67" t="s">
        <v>26</v>
      </c>
      <c r="L599" s="67" t="s">
        <v>952</v>
      </c>
      <c r="M599" s="70" t="s">
        <v>116</v>
      </c>
      <c r="N599" s="67" t="s">
        <v>117</v>
      </c>
      <c r="O599" s="70" t="s">
        <v>7</v>
      </c>
      <c r="P599" s="77" t="s">
        <v>953</v>
      </c>
      <c r="Q599" s="66"/>
    </row>
    <row r="600" spans="2:17" ht="18.75" customHeight="1">
      <c r="B600" s="63" t="str">
        <f t="shared" si="18"/>
        <v>No597</v>
      </c>
      <c r="C600" s="63" t="str">
        <f t="shared" si="19"/>
        <v>202604</v>
      </c>
      <c r="D600" s="63" t="s">
        <v>142</v>
      </c>
      <c r="E600" s="67" t="s">
        <v>116</v>
      </c>
      <c r="F600" s="68">
        <v>46125.737500000003</v>
      </c>
      <c r="G600" s="64">
        <v>46125.759722222218</v>
      </c>
      <c r="H600" s="67">
        <f>IF(F600="", "", NETWORKDAYS.INTL(F600, G600, 11,祝日シート!A:A))</f>
        <v>1</v>
      </c>
      <c r="I600" s="75">
        <v>3.472222222222222E-3</v>
      </c>
      <c r="J600" s="63" t="s">
        <v>119</v>
      </c>
      <c r="K600" s="67" t="s">
        <v>41</v>
      </c>
      <c r="L600" s="67" t="s">
        <v>903</v>
      </c>
      <c r="M600" s="67" t="s">
        <v>112</v>
      </c>
      <c r="N600" s="63" t="s">
        <v>122</v>
      </c>
      <c r="O600" s="63" t="s">
        <v>7</v>
      </c>
      <c r="P600" s="77" t="s">
        <v>954</v>
      </c>
      <c r="Q600" s="66" t="s">
        <v>200</v>
      </c>
    </row>
    <row r="601" spans="2:17" ht="18.75" customHeight="1">
      <c r="B601" s="63" t="str">
        <f t="shared" si="18"/>
        <v>No598</v>
      </c>
      <c r="C601" s="63" t="str">
        <f t="shared" si="19"/>
        <v>202604</v>
      </c>
      <c r="D601" s="67" t="s">
        <v>104</v>
      </c>
      <c r="E601" s="67" t="s">
        <v>4</v>
      </c>
      <c r="F601" s="68">
        <v>46126.381944444453</v>
      </c>
      <c r="G601" s="68">
        <v>46126.385416666657</v>
      </c>
      <c r="H601" s="67">
        <f>IF(F601="", "", NETWORKDAYS.INTL(F601, G601, 11,祝日シート!A:A))</f>
        <v>1</v>
      </c>
      <c r="I601" s="75">
        <v>3.472222222222222E-3</v>
      </c>
      <c r="J601" s="67" t="s">
        <v>45</v>
      </c>
      <c r="K601" s="67" t="s">
        <v>21</v>
      </c>
      <c r="L601" s="67"/>
      <c r="M601" s="67" t="s">
        <v>941</v>
      </c>
      <c r="N601" s="63" t="s">
        <v>6</v>
      </c>
      <c r="O601" s="67" t="s">
        <v>7</v>
      </c>
      <c r="P601" s="77" t="s">
        <v>955</v>
      </c>
      <c r="Q601" s="69" t="s">
        <v>956</v>
      </c>
    </row>
    <row r="602" spans="2:17" ht="18.75" customHeight="1">
      <c r="B602" s="63" t="str">
        <f t="shared" si="18"/>
        <v>No599</v>
      </c>
      <c r="C602" s="63" t="str">
        <f t="shared" si="19"/>
        <v>202604</v>
      </c>
      <c r="D602" s="67" t="s">
        <v>104</v>
      </c>
      <c r="E602" s="67" t="s">
        <v>155</v>
      </c>
      <c r="F602" s="68">
        <v>46126.413194444453</v>
      </c>
      <c r="G602" s="68">
        <v>46126.434027777781</v>
      </c>
      <c r="H602" s="67">
        <f>IF(F602="", "", NETWORKDAYS.INTL(F602, G602, 11,祝日シート!A:A))</f>
        <v>1</v>
      </c>
      <c r="I602" s="75">
        <v>2.0833333333333329E-2</v>
      </c>
      <c r="J602" s="70" t="s">
        <v>45</v>
      </c>
      <c r="K602" s="67" t="s">
        <v>957</v>
      </c>
      <c r="L602" s="67" t="s">
        <v>958</v>
      </c>
      <c r="M602" s="67" t="s">
        <v>958</v>
      </c>
      <c r="N602" s="67" t="s">
        <v>117</v>
      </c>
      <c r="O602" s="70" t="s">
        <v>7</v>
      </c>
      <c r="P602" s="77" t="s">
        <v>959</v>
      </c>
      <c r="Q602" s="69" t="s">
        <v>960</v>
      </c>
    </row>
    <row r="603" spans="2:17" ht="18.75" customHeight="1">
      <c r="B603" s="63" t="str">
        <f t="shared" si="18"/>
        <v>No600</v>
      </c>
      <c r="C603" s="63" t="str">
        <f t="shared" si="19"/>
        <v>202604</v>
      </c>
      <c r="D603" s="63" t="s">
        <v>104</v>
      </c>
      <c r="E603" s="67" t="s">
        <v>4</v>
      </c>
      <c r="F603" s="68">
        <v>46126.458333333343</v>
      </c>
      <c r="G603" s="64">
        <v>46126.472222222219</v>
      </c>
      <c r="H603" s="67">
        <f>IF(F603="", "", NETWORKDAYS.INTL(F603, G603, 11,祝日シート!A:A))</f>
        <v>1</v>
      </c>
      <c r="I603" s="65">
        <v>1.388888888888889E-2</v>
      </c>
      <c r="J603" s="63" t="s">
        <v>20</v>
      </c>
      <c r="K603" s="67" t="s">
        <v>21</v>
      </c>
      <c r="L603" s="67"/>
      <c r="M603" s="67" t="s">
        <v>109</v>
      </c>
      <c r="N603" s="63" t="s">
        <v>6</v>
      </c>
      <c r="O603" s="63" t="s">
        <v>7</v>
      </c>
      <c r="P603" s="77" t="s">
        <v>961</v>
      </c>
      <c r="Q603" s="66" t="s">
        <v>962</v>
      </c>
    </row>
    <row r="604" spans="2:17" ht="18.75" customHeight="1">
      <c r="B604" s="63" t="str">
        <f t="shared" si="18"/>
        <v>No601</v>
      </c>
      <c r="C604" s="63" t="str">
        <f t="shared" si="19"/>
        <v>202604</v>
      </c>
      <c r="D604" s="63" t="s">
        <v>142</v>
      </c>
      <c r="E604" s="67" t="s">
        <v>155</v>
      </c>
      <c r="F604" s="68">
        <v>46126.49722222222</v>
      </c>
      <c r="G604" s="64">
        <v>46126.501388888893</v>
      </c>
      <c r="H604" s="67">
        <f>IF(F604="", "", NETWORKDAYS.INTL(F604, G604, 11,祝日シート!A:A))</f>
        <v>1</v>
      </c>
      <c r="I604" s="75">
        <v>3.472222222222222E-3</v>
      </c>
      <c r="J604" s="63" t="s">
        <v>119</v>
      </c>
      <c r="K604" s="67" t="s">
        <v>159</v>
      </c>
      <c r="L604" s="67" t="s">
        <v>929</v>
      </c>
      <c r="M604" s="67" t="s">
        <v>187</v>
      </c>
      <c r="N604" s="63" t="s">
        <v>122</v>
      </c>
      <c r="O604" s="63" t="s">
        <v>7</v>
      </c>
      <c r="P604" s="77" t="s">
        <v>482</v>
      </c>
      <c r="Q604" s="66" t="s">
        <v>158</v>
      </c>
    </row>
    <row r="605" spans="2:17" ht="18.75" customHeight="1">
      <c r="B605" s="63" t="str">
        <f t="shared" si="18"/>
        <v>No602</v>
      </c>
      <c r="C605" s="63" t="str">
        <f t="shared" si="19"/>
        <v>202604</v>
      </c>
      <c r="D605" s="63" t="s">
        <v>104</v>
      </c>
      <c r="E605" s="67" t="s">
        <v>4</v>
      </c>
      <c r="F605" s="68">
        <v>46126.552083333343</v>
      </c>
      <c r="G605" s="64">
        <v>46126.555555555547</v>
      </c>
      <c r="H605" s="67">
        <f>IF(F605="", "", NETWORKDAYS.INTL(F605, G605, 11,祝日シート!A:A))</f>
        <v>1</v>
      </c>
      <c r="I605" s="65">
        <v>3.472222222222222E-3</v>
      </c>
      <c r="J605" s="63" t="s">
        <v>45</v>
      </c>
      <c r="K605" s="67" t="s">
        <v>21</v>
      </c>
      <c r="L605" s="67"/>
      <c r="M605" s="67" t="s">
        <v>140</v>
      </c>
      <c r="N605" s="63"/>
      <c r="O605" s="63"/>
      <c r="P605" s="77" t="s">
        <v>963</v>
      </c>
      <c r="Q605" s="66" t="s">
        <v>964</v>
      </c>
    </row>
    <row r="606" spans="2:17" ht="18.75" customHeight="1">
      <c r="B606" s="63" t="str">
        <f t="shared" si="18"/>
        <v>No603</v>
      </c>
      <c r="C606" s="63" t="str">
        <f t="shared" si="19"/>
        <v>202604</v>
      </c>
      <c r="D606" s="63" t="s">
        <v>166</v>
      </c>
      <c r="E606" s="67" t="s">
        <v>4</v>
      </c>
      <c r="F606" s="68">
        <v>46126.604166666657</v>
      </c>
      <c r="G606" s="64">
        <v>46127.576388888891</v>
      </c>
      <c r="H606" s="67">
        <f>IF(F606="", "", NETWORKDAYS.INTL(F606, G606, 11,祝日シート!A:A))</f>
        <v>2</v>
      </c>
      <c r="I606" s="65">
        <v>0.97222222222222221</v>
      </c>
      <c r="J606" s="63" t="s">
        <v>20</v>
      </c>
      <c r="K606" s="67" t="s">
        <v>26</v>
      </c>
      <c r="L606" s="67"/>
      <c r="M606" s="67" t="s">
        <v>4</v>
      </c>
      <c r="N606" s="63" t="s">
        <v>6</v>
      </c>
      <c r="O606" s="63" t="s">
        <v>7</v>
      </c>
      <c r="P606" s="77" t="s">
        <v>965</v>
      </c>
      <c r="Q606" s="66" t="s">
        <v>966</v>
      </c>
    </row>
    <row r="607" spans="2:17" ht="18.75" customHeight="1">
      <c r="B607" s="63" t="str">
        <f t="shared" si="18"/>
        <v>No604</v>
      </c>
      <c r="C607" s="63" t="str">
        <f t="shared" si="19"/>
        <v>202604</v>
      </c>
      <c r="D607" s="63" t="s">
        <v>142</v>
      </c>
      <c r="E607" s="67" t="s">
        <v>155</v>
      </c>
      <c r="F607" s="68">
        <v>46126.707638888889</v>
      </c>
      <c r="G607" s="64">
        <v>46126.717361111107</v>
      </c>
      <c r="H607" s="67">
        <f>IF(F607="", "", NETWORKDAYS.INTL(F607, G607, 11,祝日シート!A:A))</f>
        <v>1</v>
      </c>
      <c r="I607" s="65">
        <v>1.388888888888889E-2</v>
      </c>
      <c r="J607" s="63" t="s">
        <v>119</v>
      </c>
      <c r="K607" s="67" t="s">
        <v>21</v>
      </c>
      <c r="L607" s="67" t="s">
        <v>916</v>
      </c>
      <c r="M607" s="67" t="s">
        <v>917</v>
      </c>
      <c r="N607" s="63" t="s">
        <v>122</v>
      </c>
      <c r="O607" s="63" t="s">
        <v>7</v>
      </c>
      <c r="P607" s="77" t="s">
        <v>580</v>
      </c>
      <c r="Q607" s="66" t="s">
        <v>158</v>
      </c>
    </row>
    <row r="608" spans="2:17" ht="18.75" customHeight="1">
      <c r="B608" s="63" t="str">
        <f t="shared" si="18"/>
        <v>No605</v>
      </c>
      <c r="C608" s="63" t="str">
        <f t="shared" si="19"/>
        <v>202604</v>
      </c>
      <c r="D608" s="63" t="s">
        <v>142</v>
      </c>
      <c r="E608" s="67" t="s">
        <v>116</v>
      </c>
      <c r="F608" s="68">
        <v>46126.752083333333</v>
      </c>
      <c r="G608" s="64">
        <v>46127.42083333333</v>
      </c>
      <c r="H608" s="67">
        <f>IF(F608="", "", NETWORKDAYS.INTL(F608, G608, 11,祝日シート!A:A))</f>
        <v>2</v>
      </c>
      <c r="I608" s="75">
        <v>3.472222222222222E-3</v>
      </c>
      <c r="J608" s="63" t="s">
        <v>119</v>
      </c>
      <c r="K608" s="67" t="s">
        <v>21</v>
      </c>
      <c r="L608" s="67" t="s">
        <v>915</v>
      </c>
      <c r="M608" s="67" t="s">
        <v>198</v>
      </c>
      <c r="N608" s="63" t="s">
        <v>122</v>
      </c>
      <c r="O608" s="63" t="s">
        <v>7</v>
      </c>
      <c r="P608" s="77" t="s">
        <v>593</v>
      </c>
      <c r="Q608" s="66" t="s">
        <v>158</v>
      </c>
    </row>
    <row r="609" spans="2:17" ht="18.75" customHeight="1">
      <c r="B609" s="63" t="str">
        <f t="shared" si="18"/>
        <v>No606</v>
      </c>
      <c r="C609" s="63" t="str">
        <f t="shared" si="19"/>
        <v>202604</v>
      </c>
      <c r="D609" s="63" t="s">
        <v>142</v>
      </c>
      <c r="E609" s="67" t="s">
        <v>155</v>
      </c>
      <c r="F609" s="68">
        <v>46127.411805555559</v>
      </c>
      <c r="G609" s="64">
        <v>46127.557638888888</v>
      </c>
      <c r="H609" s="67">
        <f>IF(F609="", "", NETWORKDAYS.INTL(F609, G609, 11,祝日シート!A:A))</f>
        <v>1</v>
      </c>
      <c r="I609" s="75">
        <v>3.472222222222222E-3</v>
      </c>
      <c r="J609" s="63" t="s">
        <v>119</v>
      </c>
      <c r="K609" s="67" t="s">
        <v>41</v>
      </c>
      <c r="L609" s="67" t="s">
        <v>903</v>
      </c>
      <c r="M609" s="67" t="s">
        <v>277</v>
      </c>
      <c r="N609" s="63" t="s">
        <v>122</v>
      </c>
      <c r="O609" s="63" t="s">
        <v>7</v>
      </c>
      <c r="P609" s="77" t="s">
        <v>946</v>
      </c>
      <c r="Q609" s="66" t="s">
        <v>158</v>
      </c>
    </row>
    <row r="610" spans="2:17" ht="18.75" customHeight="1">
      <c r="B610" s="63" t="str">
        <f t="shared" si="18"/>
        <v>No607</v>
      </c>
      <c r="C610" s="63" t="str">
        <f t="shared" si="19"/>
        <v>202604</v>
      </c>
      <c r="D610" s="63" t="s">
        <v>104</v>
      </c>
      <c r="E610" s="67" t="s">
        <v>4</v>
      </c>
      <c r="F610" s="68">
        <v>46127.583333333343</v>
      </c>
      <c r="G610" s="64">
        <v>46127.600694444453</v>
      </c>
      <c r="H610" s="67">
        <f>IF(F610="", "", NETWORKDAYS.INTL(F610, G610, 11,祝日シート!A:A))</f>
        <v>1</v>
      </c>
      <c r="I610" s="65">
        <v>1.7361111111111108E-2</v>
      </c>
      <c r="J610" s="63" t="s">
        <v>20</v>
      </c>
      <c r="K610" s="67" t="s">
        <v>21</v>
      </c>
      <c r="L610" s="67"/>
      <c r="M610" s="67" t="s">
        <v>99</v>
      </c>
      <c r="N610" s="63" t="s">
        <v>6</v>
      </c>
      <c r="O610" s="63" t="s">
        <v>7</v>
      </c>
      <c r="P610" s="77" t="s">
        <v>967</v>
      </c>
      <c r="Q610" s="66" t="s">
        <v>962</v>
      </c>
    </row>
    <row r="611" spans="2:17" ht="18.75" customHeight="1">
      <c r="B611" s="63" t="str">
        <f t="shared" si="18"/>
        <v>No608</v>
      </c>
      <c r="C611" s="63" t="str">
        <f t="shared" si="19"/>
        <v>202604</v>
      </c>
      <c r="D611" s="63" t="s">
        <v>142</v>
      </c>
      <c r="E611" s="67" t="s">
        <v>155</v>
      </c>
      <c r="F611" s="68">
        <v>46128.376388888893</v>
      </c>
      <c r="G611" s="68">
        <v>46128.386805555558</v>
      </c>
      <c r="H611" s="67">
        <f>IF(F611="", "", NETWORKDAYS.INTL(F611, G611, 11,祝日シート!A:A))</f>
        <v>1</v>
      </c>
      <c r="I611" s="75">
        <v>1.041666666666667E-2</v>
      </c>
      <c r="J611" s="67" t="s">
        <v>20</v>
      </c>
      <c r="K611" s="67" t="s">
        <v>26</v>
      </c>
      <c r="L611" s="67" t="s">
        <v>912</v>
      </c>
      <c r="M611" s="67" t="s">
        <v>968</v>
      </c>
      <c r="N611" s="67" t="s">
        <v>122</v>
      </c>
      <c r="O611" s="70" t="s">
        <v>7</v>
      </c>
      <c r="P611" s="77" t="s">
        <v>969</v>
      </c>
      <c r="Q611" s="69" t="s">
        <v>970</v>
      </c>
    </row>
    <row r="612" spans="2:17" ht="18.75" customHeight="1">
      <c r="B612" s="63" t="str">
        <f t="shared" si="18"/>
        <v>No609</v>
      </c>
      <c r="C612" s="63" t="str">
        <f t="shared" si="19"/>
        <v>202604</v>
      </c>
      <c r="D612" s="63" t="s">
        <v>166</v>
      </c>
      <c r="E612" s="67" t="s">
        <v>4</v>
      </c>
      <c r="F612" s="68">
        <v>46128.75</v>
      </c>
      <c r="G612" s="64">
        <v>46128.767361111109</v>
      </c>
      <c r="H612" s="67">
        <f>IF(F612="", "", NETWORKDAYS.INTL(F612, G612, 11,祝日シート!A:A))</f>
        <v>1</v>
      </c>
      <c r="I612" s="65">
        <v>1.7361111111111108E-2</v>
      </c>
      <c r="J612" s="63" t="s">
        <v>20</v>
      </c>
      <c r="K612" s="67" t="s">
        <v>26</v>
      </c>
      <c r="L612" s="67"/>
      <c r="M612" s="67" t="s">
        <v>4</v>
      </c>
      <c r="N612" s="63" t="s">
        <v>6</v>
      </c>
      <c r="O612" s="63" t="s">
        <v>7</v>
      </c>
      <c r="P612" s="77" t="s">
        <v>971</v>
      </c>
      <c r="Q612" s="66" t="s">
        <v>972</v>
      </c>
    </row>
    <row r="613" spans="2:17" ht="18.75" customHeight="1">
      <c r="B613" s="63" t="str">
        <f t="shared" si="18"/>
        <v>No610</v>
      </c>
      <c r="C613" s="63" t="str">
        <f t="shared" si="19"/>
        <v>202604</v>
      </c>
      <c r="D613" s="63" t="s">
        <v>142</v>
      </c>
      <c r="E613" s="67" t="s">
        <v>155</v>
      </c>
      <c r="F613" s="68">
        <v>46128.777777777781</v>
      </c>
      <c r="G613" s="64">
        <v>46129.45416666667</v>
      </c>
      <c r="H613" s="67">
        <f>IF(F613="", "", NETWORKDAYS.INTL(F613, G613, 11,祝日シート!A:A))</f>
        <v>2</v>
      </c>
      <c r="I613" s="75">
        <v>3.472222222222222E-3</v>
      </c>
      <c r="J613" s="63" t="s">
        <v>119</v>
      </c>
      <c r="K613" s="67" t="s">
        <v>21</v>
      </c>
      <c r="L613" s="67" t="s">
        <v>915</v>
      </c>
      <c r="M613" s="67" t="s">
        <v>211</v>
      </c>
      <c r="N613" s="63" t="s">
        <v>122</v>
      </c>
      <c r="O613" s="63" t="s">
        <v>7</v>
      </c>
      <c r="P613" s="77" t="s">
        <v>593</v>
      </c>
      <c r="Q613" s="66" t="s">
        <v>158</v>
      </c>
    </row>
    <row r="614" spans="2:17" ht="18.75" customHeight="1">
      <c r="B614" s="63" t="str">
        <f t="shared" si="18"/>
        <v>No611</v>
      </c>
      <c r="C614" s="63" t="str">
        <f t="shared" si="19"/>
        <v>202604</v>
      </c>
      <c r="D614" s="63" t="s">
        <v>142</v>
      </c>
      <c r="E614" s="67" t="s">
        <v>155</v>
      </c>
      <c r="F614" s="68">
        <v>46129.459027777782</v>
      </c>
      <c r="G614" s="64">
        <v>46129.690972222219</v>
      </c>
      <c r="H614" s="67">
        <f>IF(F614="", "", NETWORKDAYS.INTL(F614, G614, 11,祝日シート!A:A))</f>
        <v>1</v>
      </c>
      <c r="I614" s="75">
        <v>3.472222222222222E-3</v>
      </c>
      <c r="J614" s="63" t="s">
        <v>119</v>
      </c>
      <c r="K614" s="67" t="s">
        <v>21</v>
      </c>
      <c r="L614" s="67" t="s">
        <v>915</v>
      </c>
      <c r="M614" s="67" t="s">
        <v>217</v>
      </c>
      <c r="N614" s="63" t="s">
        <v>122</v>
      </c>
      <c r="O614" s="63" t="s">
        <v>7</v>
      </c>
      <c r="P614" s="77" t="s">
        <v>593</v>
      </c>
      <c r="Q614" s="66" t="s">
        <v>158</v>
      </c>
    </row>
    <row r="615" spans="2:17" ht="18.75" customHeight="1">
      <c r="B615" s="63" t="str">
        <f t="shared" si="18"/>
        <v>No612</v>
      </c>
      <c r="C615" s="63" t="str">
        <f t="shared" si="19"/>
        <v>202604</v>
      </c>
      <c r="D615" s="63" t="s">
        <v>142</v>
      </c>
      <c r="E615" s="67" t="s">
        <v>4</v>
      </c>
      <c r="F615" s="68">
        <v>46129.479166666657</v>
      </c>
      <c r="G615" s="64">
        <v>46129.5</v>
      </c>
      <c r="H615" s="67">
        <f>IF(F615="", "", NETWORKDAYS.INTL(F615, G615, 11,祝日シート!A:A))</f>
        <v>1</v>
      </c>
      <c r="I615" s="65">
        <v>2.0833333333333329E-2</v>
      </c>
      <c r="J615" s="63" t="s">
        <v>20</v>
      </c>
      <c r="K615" s="67" t="s">
        <v>21</v>
      </c>
      <c r="L615" s="67"/>
      <c r="M615" s="67" t="s">
        <v>133</v>
      </c>
      <c r="N615" s="63" t="s">
        <v>6</v>
      </c>
      <c r="O615" s="63" t="s">
        <v>7</v>
      </c>
      <c r="P615" s="77" t="s">
        <v>973</v>
      </c>
      <c r="Q615" s="66" t="s">
        <v>974</v>
      </c>
    </row>
    <row r="616" spans="2:17" ht="18.75" customHeight="1">
      <c r="B616" s="63" t="str">
        <f t="shared" si="18"/>
        <v>No613</v>
      </c>
      <c r="C616" s="63" t="str">
        <f t="shared" si="19"/>
        <v>202604</v>
      </c>
      <c r="D616" s="63" t="s">
        <v>142</v>
      </c>
      <c r="E616" s="67" t="s">
        <v>116</v>
      </c>
      <c r="F616" s="68">
        <v>46129.537499999999</v>
      </c>
      <c r="G616" s="64">
        <v>46129.538888888892</v>
      </c>
      <c r="H616" s="67">
        <f>IF(F616="", "", NETWORKDAYS.INTL(F616, G616, 11,祝日シート!A:A))</f>
        <v>1</v>
      </c>
      <c r="I616" s="75">
        <v>3.472222222222222E-3</v>
      </c>
      <c r="J616" s="63" t="s">
        <v>119</v>
      </c>
      <c r="K616" s="67" t="s">
        <v>159</v>
      </c>
      <c r="L616" s="67" t="s">
        <v>929</v>
      </c>
      <c r="M616" s="67" t="s">
        <v>187</v>
      </c>
      <c r="N616" s="63" t="s">
        <v>122</v>
      </c>
      <c r="O616" s="63" t="s">
        <v>7</v>
      </c>
      <c r="P616" s="77" t="s">
        <v>482</v>
      </c>
      <c r="Q616" s="66" t="s">
        <v>158</v>
      </c>
    </row>
    <row r="617" spans="2:17" ht="18.75" customHeight="1">
      <c r="B617" s="63" t="str">
        <f t="shared" si="18"/>
        <v>No614</v>
      </c>
      <c r="C617" s="63" t="str">
        <f t="shared" si="19"/>
        <v>202604</v>
      </c>
      <c r="D617" s="63" t="s">
        <v>142</v>
      </c>
      <c r="E617" s="67" t="s">
        <v>116</v>
      </c>
      <c r="F617" s="68">
        <v>46129.554861111108</v>
      </c>
      <c r="G617" s="64">
        <v>46129.576388888891</v>
      </c>
      <c r="H617" s="67">
        <f>IF(F617="", "", NETWORKDAYS.INTL(F617, G617, 11,祝日シート!A:A))</f>
        <v>1</v>
      </c>
      <c r="I617" s="75">
        <v>3.472222222222222E-3</v>
      </c>
      <c r="J617" s="63" t="s">
        <v>119</v>
      </c>
      <c r="K617" s="67" t="s">
        <v>931</v>
      </c>
      <c r="L617" s="67" t="s">
        <v>975</v>
      </c>
      <c r="M617" s="67" t="s">
        <v>215</v>
      </c>
      <c r="N617" s="63" t="s">
        <v>122</v>
      </c>
      <c r="O617" s="63" t="s">
        <v>7</v>
      </c>
      <c r="P617" s="77" t="s">
        <v>976</v>
      </c>
      <c r="Q617" s="66" t="s">
        <v>158</v>
      </c>
    </row>
    <row r="618" spans="2:17" ht="18.75" customHeight="1">
      <c r="B618" s="63" t="str">
        <f t="shared" si="18"/>
        <v>No615</v>
      </c>
      <c r="C618" s="63" t="str">
        <f t="shared" si="19"/>
        <v>202604</v>
      </c>
      <c r="D618" s="63" t="s">
        <v>142</v>
      </c>
      <c r="E618" s="67" t="s">
        <v>116</v>
      </c>
      <c r="F618" s="68">
        <v>46129.568749999999</v>
      </c>
      <c r="G618" s="64">
        <v>46132.425000000003</v>
      </c>
      <c r="H618" s="67">
        <f>IF(F618="", "", NETWORKDAYS.INTL(F618, G618, 11,祝日シート!A:A))</f>
        <v>3</v>
      </c>
      <c r="I618" s="75">
        <v>3.472222222222222E-3</v>
      </c>
      <c r="J618" s="63" t="s">
        <v>119</v>
      </c>
      <c r="K618" s="67" t="s">
        <v>41</v>
      </c>
      <c r="L618" s="67" t="s">
        <v>903</v>
      </c>
      <c r="M618" s="67" t="s">
        <v>112</v>
      </c>
      <c r="N618" s="63" t="s">
        <v>122</v>
      </c>
      <c r="O618" s="63" t="s">
        <v>7</v>
      </c>
      <c r="P618" s="77" t="s">
        <v>954</v>
      </c>
      <c r="Q618" s="66" t="s">
        <v>200</v>
      </c>
    </row>
    <row r="619" spans="2:17" ht="18.75" customHeight="1">
      <c r="B619" s="63" t="str">
        <f t="shared" si="18"/>
        <v>No616</v>
      </c>
      <c r="C619" s="63" t="str">
        <f t="shared" si="19"/>
        <v>202604</v>
      </c>
      <c r="D619" s="63" t="s">
        <v>142</v>
      </c>
      <c r="E619" s="67" t="s">
        <v>116</v>
      </c>
      <c r="F619" s="68">
        <v>46129.743750000001</v>
      </c>
      <c r="G619" s="64">
        <v>46129.747916666667</v>
      </c>
      <c r="H619" s="67">
        <f>IF(F619="", "", NETWORKDAYS.INTL(F619, G619, 11,祝日シート!A:A))</f>
        <v>1</v>
      </c>
      <c r="I619" s="75">
        <v>3.472222222222222E-3</v>
      </c>
      <c r="J619" s="63" t="s">
        <v>119</v>
      </c>
      <c r="K619" s="67" t="s">
        <v>931</v>
      </c>
      <c r="L619" s="67" t="s">
        <v>975</v>
      </c>
      <c r="M619" s="67" t="s">
        <v>215</v>
      </c>
      <c r="N619" s="63" t="s">
        <v>122</v>
      </c>
      <c r="O619" s="63" t="s">
        <v>7</v>
      </c>
      <c r="P619" s="77" t="s">
        <v>976</v>
      </c>
      <c r="Q619" s="66" t="s">
        <v>158</v>
      </c>
    </row>
    <row r="620" spans="2:17" ht="18.75" customHeight="1">
      <c r="B620" s="63" t="str">
        <f t="shared" si="18"/>
        <v>No617</v>
      </c>
      <c r="C620" s="63" t="str">
        <f t="shared" si="19"/>
        <v>202604</v>
      </c>
      <c r="D620" s="63" t="s">
        <v>142</v>
      </c>
      <c r="E620" s="67" t="s">
        <v>4</v>
      </c>
      <c r="F620" s="68">
        <v>46132.413194444453</v>
      </c>
      <c r="G620" s="64">
        <v>46132.618055555547</v>
      </c>
      <c r="H620" s="67">
        <f>IF(F620="", "", NETWORKDAYS.INTL(F620, G620, 11,祝日シート!A:A))</f>
        <v>1</v>
      </c>
      <c r="I620" s="65">
        <v>0.2048611111111111</v>
      </c>
      <c r="J620" s="63" t="s">
        <v>40</v>
      </c>
      <c r="K620" s="67" t="s">
        <v>41</v>
      </c>
      <c r="L620" s="67"/>
      <c r="M620" s="67" t="s">
        <v>848</v>
      </c>
      <c r="N620" s="63" t="s">
        <v>122</v>
      </c>
      <c r="O620" s="63" t="s">
        <v>7</v>
      </c>
      <c r="P620" s="77" t="s">
        <v>977</v>
      </c>
      <c r="Q620" s="66" t="s">
        <v>978</v>
      </c>
    </row>
    <row r="621" spans="2:17" ht="18.75" customHeight="1">
      <c r="B621" s="63" t="str">
        <f t="shared" si="18"/>
        <v>No618</v>
      </c>
      <c r="C621" s="63" t="str">
        <f t="shared" si="19"/>
        <v>202604</v>
      </c>
      <c r="D621" s="67" t="s">
        <v>104</v>
      </c>
      <c r="E621" s="67" t="s">
        <v>155</v>
      </c>
      <c r="F621" s="68">
        <v>46132.502083333333</v>
      </c>
      <c r="G621" s="68">
        <v>46132.708333333343</v>
      </c>
      <c r="H621" s="67">
        <f>IF(F621="", "", NETWORKDAYS.INTL(F621, G621, 11,祝日シート!A:A))</f>
        <v>1</v>
      </c>
      <c r="I621" s="75">
        <v>0.1041666666666667</v>
      </c>
      <c r="J621" s="70" t="s">
        <v>310</v>
      </c>
      <c r="K621" s="67" t="s">
        <v>26</v>
      </c>
      <c r="L621" s="67" t="s">
        <v>958</v>
      </c>
      <c r="M621" s="67" t="s">
        <v>626</v>
      </c>
      <c r="N621" s="67" t="s">
        <v>117</v>
      </c>
      <c r="O621" s="70" t="s">
        <v>7</v>
      </c>
      <c r="P621" s="77" t="s">
        <v>979</v>
      </c>
      <c r="Q621" s="69" t="s">
        <v>980</v>
      </c>
    </row>
    <row r="622" spans="2:17" ht="18.75" customHeight="1">
      <c r="B622" s="63" t="str">
        <f t="shared" si="18"/>
        <v>No619</v>
      </c>
      <c r="C622" s="63" t="str">
        <f t="shared" si="19"/>
        <v>202604</v>
      </c>
      <c r="D622" s="67" t="s">
        <v>104</v>
      </c>
      <c r="E622" s="67" t="s">
        <v>155</v>
      </c>
      <c r="F622" s="68">
        <v>46132.708333333343</v>
      </c>
      <c r="G622" s="68">
        <v>46132.708333333343</v>
      </c>
      <c r="H622" s="67">
        <f>IF(F622="", "", NETWORKDAYS.INTL(F622, G622, 11,祝日シート!A:A))</f>
        <v>1</v>
      </c>
      <c r="I622" s="75">
        <v>0.1041666666666667</v>
      </c>
      <c r="J622" s="70" t="s">
        <v>310</v>
      </c>
      <c r="K622" s="67" t="s">
        <v>26</v>
      </c>
      <c r="L622" s="67" t="s">
        <v>952</v>
      </c>
      <c r="M622" s="67" t="s">
        <v>155</v>
      </c>
      <c r="N622" s="67" t="s">
        <v>117</v>
      </c>
      <c r="O622" s="70" t="s">
        <v>7</v>
      </c>
      <c r="P622" s="77" t="s">
        <v>981</v>
      </c>
      <c r="Q622" s="69" t="s">
        <v>980</v>
      </c>
    </row>
    <row r="623" spans="2:17" ht="18.75" customHeight="1">
      <c r="B623" s="63" t="str">
        <f t="shared" si="18"/>
        <v>No620</v>
      </c>
      <c r="C623" s="63" t="str">
        <f t="shared" si="19"/>
        <v>202604</v>
      </c>
      <c r="D623" s="63" t="s">
        <v>142</v>
      </c>
      <c r="E623" s="67" t="s">
        <v>116</v>
      </c>
      <c r="F623" s="68">
        <v>46132.744444444441</v>
      </c>
      <c r="G623" s="64">
        <v>46132.747916666667</v>
      </c>
      <c r="H623" s="67">
        <f>IF(F623="", "", NETWORKDAYS.INTL(F623, G623, 11,祝日シート!A:A))</f>
        <v>1</v>
      </c>
      <c r="I623" s="75">
        <v>3.472222222222222E-3</v>
      </c>
      <c r="J623" s="63" t="s">
        <v>119</v>
      </c>
      <c r="K623" s="67" t="s">
        <v>159</v>
      </c>
      <c r="L623" s="67" t="s">
        <v>929</v>
      </c>
      <c r="M623" s="67" t="s">
        <v>314</v>
      </c>
      <c r="N623" s="63" t="s">
        <v>122</v>
      </c>
      <c r="O623" s="63" t="s">
        <v>7</v>
      </c>
      <c r="P623" s="77" t="s">
        <v>482</v>
      </c>
      <c r="Q623" s="66" t="s">
        <v>158</v>
      </c>
    </row>
    <row r="624" spans="2:17" ht="18.75" customHeight="1">
      <c r="B624" s="63" t="str">
        <f t="shared" si="18"/>
        <v>No621</v>
      </c>
      <c r="C624" s="63" t="str">
        <f t="shared" si="19"/>
        <v>202604</v>
      </c>
      <c r="D624" s="63" t="s">
        <v>142</v>
      </c>
      <c r="E624" s="67" t="s">
        <v>155</v>
      </c>
      <c r="F624" s="68">
        <v>46133.824305555558</v>
      </c>
      <c r="G624" s="64">
        <v>46134.418749999997</v>
      </c>
      <c r="H624" s="67">
        <f>IF(F624="", "", NETWORKDAYS.INTL(F624, G624, 11,祝日シート!A:A))</f>
        <v>2</v>
      </c>
      <c r="I624" s="75">
        <v>3.472222222222222E-3</v>
      </c>
      <c r="J624" s="63" t="s">
        <v>119</v>
      </c>
      <c r="K624" s="67" t="s">
        <v>931</v>
      </c>
      <c r="L624" s="67" t="s">
        <v>975</v>
      </c>
      <c r="M624" s="67" t="s">
        <v>339</v>
      </c>
      <c r="N624" s="63" t="s">
        <v>122</v>
      </c>
      <c r="O624" s="63" t="s">
        <v>7</v>
      </c>
      <c r="P624" s="77" t="s">
        <v>246</v>
      </c>
      <c r="Q624" s="66" t="s">
        <v>158</v>
      </c>
    </row>
    <row r="625" spans="2:17" ht="18.75" customHeight="1">
      <c r="B625" s="63" t="str">
        <f t="shared" si="18"/>
        <v>No622</v>
      </c>
      <c r="C625" s="63" t="str">
        <f t="shared" si="19"/>
        <v>202604</v>
      </c>
      <c r="D625" s="63" t="s">
        <v>166</v>
      </c>
      <c r="E625" s="67" t="s">
        <v>4</v>
      </c>
      <c r="F625" s="68">
        <v>46134.458333333343</v>
      </c>
      <c r="G625" s="64">
        <v>46134.625</v>
      </c>
      <c r="H625" s="67">
        <f>IF(F625="", "", NETWORKDAYS.INTL(F625, G625, 11,祝日シート!A:A))</f>
        <v>1</v>
      </c>
      <c r="I625" s="65">
        <v>0.16666666666666671</v>
      </c>
      <c r="J625" s="63" t="s">
        <v>20</v>
      </c>
      <c r="K625" s="67" t="s">
        <v>41</v>
      </c>
      <c r="L625" s="67"/>
      <c r="M625" s="67" t="s">
        <v>848</v>
      </c>
      <c r="N625" s="63" t="s">
        <v>122</v>
      </c>
      <c r="O625" s="63" t="s">
        <v>7</v>
      </c>
      <c r="P625" s="77" t="s">
        <v>982</v>
      </c>
      <c r="Q625" s="66" t="s">
        <v>983</v>
      </c>
    </row>
    <row r="626" spans="2:17" ht="18.75" customHeight="1">
      <c r="B626" s="63" t="str">
        <f t="shared" si="18"/>
        <v>No623</v>
      </c>
      <c r="C626" s="63" t="str">
        <f t="shared" si="19"/>
        <v>202604</v>
      </c>
      <c r="D626" s="63" t="s">
        <v>142</v>
      </c>
      <c r="E626" s="67" t="s">
        <v>155</v>
      </c>
      <c r="F626" s="68">
        <v>46134.583333333343</v>
      </c>
      <c r="G626" s="64">
        <v>46134.624305555553</v>
      </c>
      <c r="H626" s="67">
        <f>IF(F626="", "", NETWORKDAYS.INTL(F626, G626, 11,祝日シート!A:A))</f>
        <v>1</v>
      </c>
      <c r="I626" s="75">
        <v>3.472222222222222E-3</v>
      </c>
      <c r="J626" s="63" t="s">
        <v>119</v>
      </c>
      <c r="K626" s="67" t="s">
        <v>931</v>
      </c>
      <c r="L626" s="67" t="s">
        <v>975</v>
      </c>
      <c r="M626" s="67" t="s">
        <v>215</v>
      </c>
      <c r="N626" s="63" t="s">
        <v>122</v>
      </c>
      <c r="O626" s="63" t="s">
        <v>7</v>
      </c>
      <c r="P626" s="77" t="s">
        <v>984</v>
      </c>
      <c r="Q626" s="66" t="s">
        <v>200</v>
      </c>
    </row>
    <row r="627" spans="2:17" ht="18.75" customHeight="1">
      <c r="B627" s="63" t="str">
        <f t="shared" si="18"/>
        <v>No624</v>
      </c>
      <c r="C627" s="63" t="str">
        <f t="shared" si="19"/>
        <v>202604</v>
      </c>
      <c r="D627" s="63" t="s">
        <v>142</v>
      </c>
      <c r="E627" s="67" t="s">
        <v>116</v>
      </c>
      <c r="F627" s="68">
        <v>46134.734027777777</v>
      </c>
      <c r="G627" s="64">
        <v>46134.738888888889</v>
      </c>
      <c r="H627" s="67">
        <f>IF(F627="", "", NETWORKDAYS.INTL(F627, G627, 11,祝日シート!A:A))</f>
        <v>1</v>
      </c>
      <c r="I627" s="65">
        <v>1.388888888888889E-2</v>
      </c>
      <c r="J627" s="63" t="s">
        <v>119</v>
      </c>
      <c r="K627" s="67" t="s">
        <v>21</v>
      </c>
      <c r="L627" s="67" t="s">
        <v>916</v>
      </c>
      <c r="M627" s="67" t="s">
        <v>140</v>
      </c>
      <c r="N627" s="63" t="s">
        <v>122</v>
      </c>
      <c r="O627" s="63" t="s">
        <v>7</v>
      </c>
      <c r="P627" s="77" t="s">
        <v>580</v>
      </c>
      <c r="Q627" s="66" t="s">
        <v>158</v>
      </c>
    </row>
    <row r="628" spans="2:17" ht="18.75" customHeight="1">
      <c r="B628" s="63" t="str">
        <f t="shared" si="18"/>
        <v>No625</v>
      </c>
      <c r="C628" s="63" t="str">
        <f t="shared" si="19"/>
        <v>202604</v>
      </c>
      <c r="D628" s="63" t="s">
        <v>166</v>
      </c>
      <c r="E628" s="67" t="s">
        <v>4</v>
      </c>
      <c r="F628" s="68">
        <v>46135.416666666657</v>
      </c>
      <c r="G628" s="64">
        <v>46135.541666666657</v>
      </c>
      <c r="H628" s="67">
        <f>IF(F628="", "", NETWORKDAYS.INTL(F628, G628, 11,祝日シート!A:A))</f>
        <v>1</v>
      </c>
      <c r="I628" s="65">
        <v>0.125</v>
      </c>
      <c r="J628" s="63" t="s">
        <v>20</v>
      </c>
      <c r="K628" s="67" t="s">
        <v>41</v>
      </c>
      <c r="L628" s="67"/>
      <c r="M628" s="67" t="s">
        <v>848</v>
      </c>
      <c r="N628" s="63" t="s">
        <v>122</v>
      </c>
      <c r="O628" s="63" t="s">
        <v>7</v>
      </c>
      <c r="P628" s="77" t="s">
        <v>982</v>
      </c>
      <c r="Q628" s="66" t="s">
        <v>985</v>
      </c>
    </row>
    <row r="629" spans="2:17" ht="18.75" customHeight="1">
      <c r="B629" s="63" t="str">
        <f t="shared" si="18"/>
        <v>No626</v>
      </c>
      <c r="C629" s="63" t="str">
        <f t="shared" si="19"/>
        <v>202604</v>
      </c>
      <c r="D629" s="63" t="s">
        <v>142</v>
      </c>
      <c r="E629" s="67" t="s">
        <v>155</v>
      </c>
      <c r="F629" s="68">
        <v>46135.611805555563</v>
      </c>
      <c r="G629" s="64">
        <v>46135.626388888893</v>
      </c>
      <c r="H629" s="67">
        <f>IF(F629="", "", NETWORKDAYS.INTL(F629, G629, 11,祝日シート!A:A))</f>
        <v>1</v>
      </c>
      <c r="I629" s="75">
        <v>3.472222222222222E-3</v>
      </c>
      <c r="J629" s="63" t="s">
        <v>119</v>
      </c>
      <c r="K629" s="67" t="s">
        <v>931</v>
      </c>
      <c r="L629" s="67" t="s">
        <v>975</v>
      </c>
      <c r="M629" s="67" t="s">
        <v>215</v>
      </c>
      <c r="N629" s="63" t="s">
        <v>122</v>
      </c>
      <c r="O629" s="63" t="s">
        <v>7</v>
      </c>
      <c r="P629" s="77" t="s">
        <v>246</v>
      </c>
      <c r="Q629" s="66" t="s">
        <v>158</v>
      </c>
    </row>
    <row r="630" spans="2:17" ht="18.75" customHeight="1">
      <c r="B630" s="63" t="str">
        <f t="shared" si="18"/>
        <v>No627</v>
      </c>
      <c r="C630" s="63" t="str">
        <f t="shared" si="19"/>
        <v>202604</v>
      </c>
      <c r="D630" s="63" t="s">
        <v>166</v>
      </c>
      <c r="E630" s="67" t="s">
        <v>4</v>
      </c>
      <c r="F630" s="68">
        <v>46136.375</v>
      </c>
      <c r="G630" s="64">
        <v>46136.694444444453</v>
      </c>
      <c r="H630" s="67">
        <f>IF(F630="", "", NETWORKDAYS.INTL(F630, G630, 11,祝日シート!A:A))</f>
        <v>1</v>
      </c>
      <c r="I630" s="65">
        <v>0.31944444444444442</v>
      </c>
      <c r="J630" s="63" t="s">
        <v>20</v>
      </c>
      <c r="K630" s="67" t="s">
        <v>26</v>
      </c>
      <c r="L630" s="67"/>
      <c r="M630" s="67" t="s">
        <v>4</v>
      </c>
      <c r="N630" s="63" t="s">
        <v>122</v>
      </c>
      <c r="O630" s="63" t="s">
        <v>7</v>
      </c>
      <c r="P630" s="77" t="s">
        <v>986</v>
      </c>
      <c r="Q630" s="66" t="s">
        <v>985</v>
      </c>
    </row>
    <row r="631" spans="2:17" ht="18.75" customHeight="1">
      <c r="B631" s="63" t="str">
        <f t="shared" si="18"/>
        <v>No628</v>
      </c>
      <c r="C631" s="63" t="str">
        <f t="shared" si="19"/>
        <v>202604</v>
      </c>
      <c r="D631" s="63" t="s">
        <v>142</v>
      </c>
      <c r="E631" s="67" t="s">
        <v>4</v>
      </c>
      <c r="F631" s="68">
        <v>46136.375</v>
      </c>
      <c r="G631" s="64">
        <v>46136.541666666657</v>
      </c>
      <c r="H631" s="67">
        <f>IF(F631="", "", NETWORKDAYS.INTL(F631, G631, 11,祝日シート!A:A))</f>
        <v>1</v>
      </c>
      <c r="I631" s="65">
        <v>0.16666666666666671</v>
      </c>
      <c r="J631" s="63" t="s">
        <v>20</v>
      </c>
      <c r="K631" s="67" t="s">
        <v>26</v>
      </c>
      <c r="L631" s="67"/>
      <c r="M631" s="67" t="s">
        <v>4</v>
      </c>
      <c r="N631" s="63" t="s">
        <v>6</v>
      </c>
      <c r="O631" s="63" t="s">
        <v>7</v>
      </c>
      <c r="P631" s="77" t="s">
        <v>987</v>
      </c>
      <c r="Q631" s="66" t="s">
        <v>988</v>
      </c>
    </row>
    <row r="632" spans="2:17" ht="18.75" customHeight="1">
      <c r="B632" s="63" t="str">
        <f t="shared" si="18"/>
        <v>No629</v>
      </c>
      <c r="C632" s="63" t="str">
        <f t="shared" si="19"/>
        <v>202604</v>
      </c>
      <c r="D632" s="63" t="s">
        <v>142</v>
      </c>
      <c r="E632" s="67" t="s">
        <v>155</v>
      </c>
      <c r="F632" s="68">
        <v>46136.479861111111</v>
      </c>
      <c r="G632" s="64">
        <v>46136.495833333327</v>
      </c>
      <c r="H632" s="67">
        <f>IF(F632="", "", NETWORKDAYS.INTL(F632, G632, 11,祝日シート!A:A))</f>
        <v>1</v>
      </c>
      <c r="I632" s="75">
        <v>3.472222222222222E-3</v>
      </c>
      <c r="J632" s="63" t="s">
        <v>119</v>
      </c>
      <c r="K632" s="67" t="s">
        <v>21</v>
      </c>
      <c r="L632" s="67" t="s">
        <v>915</v>
      </c>
      <c r="M632" s="67" t="s">
        <v>217</v>
      </c>
      <c r="N632" s="63" t="s">
        <v>122</v>
      </c>
      <c r="O632" s="63" t="s">
        <v>7</v>
      </c>
      <c r="P632" s="77" t="s">
        <v>593</v>
      </c>
      <c r="Q632" s="66" t="s">
        <v>158</v>
      </c>
    </row>
    <row r="633" spans="2:17" ht="18.75" customHeight="1">
      <c r="B633" s="63" t="str">
        <f t="shared" si="18"/>
        <v>No630</v>
      </c>
      <c r="C633" s="63" t="str">
        <f t="shared" si="19"/>
        <v>202604</v>
      </c>
      <c r="D633" s="63" t="s">
        <v>142</v>
      </c>
      <c r="E633" s="67" t="s">
        <v>155</v>
      </c>
      <c r="F633" s="68">
        <v>46136.498611111107</v>
      </c>
      <c r="G633" s="64">
        <v>46136.684027777781</v>
      </c>
      <c r="H633" s="67">
        <f>IF(F633="", "", NETWORKDAYS.INTL(F633, G633, 11,祝日シート!A:A))</f>
        <v>1</v>
      </c>
      <c r="I633" s="75">
        <v>3.472222222222222E-3</v>
      </c>
      <c r="J633" s="63" t="s">
        <v>119</v>
      </c>
      <c r="K633" s="67" t="s">
        <v>923</v>
      </c>
      <c r="L633" s="67" t="s">
        <v>906</v>
      </c>
      <c r="M633" s="67" t="s">
        <v>156</v>
      </c>
      <c r="N633" s="63" t="s">
        <v>122</v>
      </c>
      <c r="O633" s="63" t="s">
        <v>7</v>
      </c>
      <c r="P633" s="77" t="s">
        <v>617</v>
      </c>
      <c r="Q633" s="66" t="s">
        <v>158</v>
      </c>
    </row>
    <row r="634" spans="2:17" ht="18.75" customHeight="1">
      <c r="B634" s="63" t="str">
        <f t="shared" si="18"/>
        <v>No631</v>
      </c>
      <c r="C634" s="63" t="str">
        <f t="shared" si="19"/>
        <v>202604</v>
      </c>
      <c r="D634" s="63" t="s">
        <v>142</v>
      </c>
      <c r="E634" s="67" t="s">
        <v>116</v>
      </c>
      <c r="F634" s="68">
        <v>46136.597916666673</v>
      </c>
      <c r="G634" s="64">
        <v>46137.48333333333</v>
      </c>
      <c r="H634" s="67">
        <f>IF(F634="", "", NETWORKDAYS.INTL(F634, G634, 11,祝日シート!A:A))</f>
        <v>2</v>
      </c>
      <c r="I634" s="75">
        <v>3.472222222222222E-3</v>
      </c>
      <c r="J634" s="63" t="s">
        <v>119</v>
      </c>
      <c r="K634" s="67" t="s">
        <v>923</v>
      </c>
      <c r="L634" s="67" t="s">
        <v>906</v>
      </c>
      <c r="M634" s="67" t="s">
        <v>250</v>
      </c>
      <c r="N634" s="63" t="s">
        <v>122</v>
      </c>
      <c r="O634" s="63" t="s">
        <v>7</v>
      </c>
      <c r="P634" s="77" t="s">
        <v>989</v>
      </c>
      <c r="Q634" s="66" t="s">
        <v>158</v>
      </c>
    </row>
    <row r="635" spans="2:17" ht="18.75" customHeight="1">
      <c r="B635" s="63" t="str">
        <f t="shared" si="18"/>
        <v>No632</v>
      </c>
      <c r="C635" s="63" t="str">
        <f t="shared" si="19"/>
        <v>202604</v>
      </c>
      <c r="D635" s="63" t="s">
        <v>142</v>
      </c>
      <c r="E635" s="67" t="s">
        <v>116</v>
      </c>
      <c r="F635" s="68">
        <v>46136.729166666657</v>
      </c>
      <c r="G635" s="64">
        <v>46136.731249999997</v>
      </c>
      <c r="H635" s="67">
        <f>IF(F635="", "", NETWORKDAYS.INTL(F635, G635, 11,祝日シート!A:A))</f>
        <v>1</v>
      </c>
      <c r="I635" s="75">
        <v>3.472222222222222E-3</v>
      </c>
      <c r="J635" s="63" t="s">
        <v>119</v>
      </c>
      <c r="K635" s="67" t="s">
        <v>159</v>
      </c>
      <c r="L635" s="67" t="s">
        <v>929</v>
      </c>
      <c r="M635" s="67" t="s">
        <v>314</v>
      </c>
      <c r="N635" s="63" t="s">
        <v>122</v>
      </c>
      <c r="O635" s="63" t="s">
        <v>7</v>
      </c>
      <c r="P635" s="77" t="s">
        <v>482</v>
      </c>
      <c r="Q635" s="66" t="s">
        <v>158</v>
      </c>
    </row>
    <row r="636" spans="2:17" ht="18.75" customHeight="1">
      <c r="B636" s="63" t="str">
        <f t="shared" si="18"/>
        <v>No633</v>
      </c>
      <c r="C636" s="63" t="str">
        <f t="shared" si="19"/>
        <v>202604</v>
      </c>
      <c r="D636" s="63" t="s">
        <v>142</v>
      </c>
      <c r="E636" s="67" t="s">
        <v>116</v>
      </c>
      <c r="F636" s="68">
        <v>46136.739583333343</v>
      </c>
      <c r="G636" s="64">
        <v>46136.745833333327</v>
      </c>
      <c r="H636" s="67">
        <f>IF(F636="", "", NETWORKDAYS.INTL(F636, G636, 11,祝日シート!A:A))</f>
        <v>1</v>
      </c>
      <c r="I636" s="75">
        <v>3.472222222222222E-3</v>
      </c>
      <c r="J636" s="63" t="s">
        <v>119</v>
      </c>
      <c r="K636" s="67" t="s">
        <v>159</v>
      </c>
      <c r="L636" s="67" t="s">
        <v>929</v>
      </c>
      <c r="M636" s="67" t="s">
        <v>187</v>
      </c>
      <c r="N636" s="63" t="s">
        <v>122</v>
      </c>
      <c r="O636" s="63" t="s">
        <v>7</v>
      </c>
      <c r="P636" s="77" t="s">
        <v>179</v>
      </c>
      <c r="Q636" s="66" t="s">
        <v>158</v>
      </c>
    </row>
    <row r="637" spans="2:17" ht="18.75" customHeight="1">
      <c r="B637" s="63" t="str">
        <f t="shared" si="18"/>
        <v>No634</v>
      </c>
      <c r="C637" s="63" t="str">
        <f t="shared" si="19"/>
        <v>202604</v>
      </c>
      <c r="D637" s="63" t="s">
        <v>142</v>
      </c>
      <c r="E637" s="67" t="s">
        <v>155</v>
      </c>
      <c r="F637" s="68">
        <v>46139.60833333333</v>
      </c>
      <c r="G637" s="64">
        <v>46139.622916666667</v>
      </c>
      <c r="H637" s="67">
        <f>IF(F637="", "", NETWORKDAYS.INTL(F637, G637, 11,祝日シート!A:A))</f>
        <v>1</v>
      </c>
      <c r="I637" s="75">
        <v>3.472222222222222E-3</v>
      </c>
      <c r="J637" s="63" t="s">
        <v>119</v>
      </c>
      <c r="K637" s="67" t="s">
        <v>159</v>
      </c>
      <c r="L637" s="67" t="s">
        <v>929</v>
      </c>
      <c r="M637" s="67" t="s">
        <v>288</v>
      </c>
      <c r="N637" s="63" t="s">
        <v>122</v>
      </c>
      <c r="O637" s="63" t="s">
        <v>7</v>
      </c>
      <c r="P637" s="77" t="s">
        <v>179</v>
      </c>
      <c r="Q637" s="66" t="s">
        <v>158</v>
      </c>
    </row>
    <row r="638" spans="2:17" ht="18.75" customHeight="1">
      <c r="B638" s="63" t="str">
        <f t="shared" si="18"/>
        <v>No635</v>
      </c>
      <c r="C638" s="63" t="str">
        <f t="shared" si="19"/>
        <v>202604</v>
      </c>
      <c r="D638" s="63" t="s">
        <v>142</v>
      </c>
      <c r="E638" s="67" t="s">
        <v>4</v>
      </c>
      <c r="F638" s="68">
        <v>46139.729166666657</v>
      </c>
      <c r="G638" s="64">
        <v>46139.743055555547</v>
      </c>
      <c r="H638" s="67">
        <f>IF(F638="", "", NETWORKDAYS.INTL(F638, G638, 11,祝日シート!A:A))</f>
        <v>1</v>
      </c>
      <c r="I638" s="65">
        <v>1.388888888888889E-2</v>
      </c>
      <c r="J638" s="63" t="s">
        <v>20</v>
      </c>
      <c r="K638" s="67" t="s">
        <v>41</v>
      </c>
      <c r="L638" s="67"/>
      <c r="M638" s="67" t="s">
        <v>217</v>
      </c>
      <c r="N638" s="63" t="s">
        <v>6</v>
      </c>
      <c r="O638" s="63" t="s">
        <v>7</v>
      </c>
      <c r="P638" s="77" t="s">
        <v>990</v>
      </c>
      <c r="Q638" s="66" t="s">
        <v>991</v>
      </c>
    </row>
    <row r="639" spans="2:17" ht="18.75" customHeight="1">
      <c r="B639" s="63" t="str">
        <f t="shared" si="18"/>
        <v>No636</v>
      </c>
      <c r="C639" s="63" t="str">
        <f t="shared" si="19"/>
        <v>202604</v>
      </c>
      <c r="D639" s="63" t="s">
        <v>142</v>
      </c>
      <c r="E639" s="67" t="s">
        <v>155</v>
      </c>
      <c r="F639" s="68">
        <v>46140.42291666667</v>
      </c>
      <c r="G639" s="64">
        <v>46140.427777777782</v>
      </c>
      <c r="H639" s="67">
        <f>IF(F639="", "", NETWORKDAYS.INTL(F639, G639, 11,祝日シート!A:A))</f>
        <v>1</v>
      </c>
      <c r="I639" s="75">
        <v>3.472222222222222E-3</v>
      </c>
      <c r="J639" s="63" t="s">
        <v>119</v>
      </c>
      <c r="K639" s="67" t="s">
        <v>931</v>
      </c>
      <c r="L639" s="67" t="s">
        <v>932</v>
      </c>
      <c r="M639" s="67" t="s">
        <v>229</v>
      </c>
      <c r="N639" s="63" t="s">
        <v>122</v>
      </c>
      <c r="O639" s="63" t="s">
        <v>7</v>
      </c>
      <c r="P639" s="77" t="s">
        <v>482</v>
      </c>
      <c r="Q639" s="66" t="s">
        <v>158</v>
      </c>
    </row>
    <row r="640" spans="2:17" ht="18.75" customHeight="1">
      <c r="B640" s="63" t="str">
        <f t="shared" si="18"/>
        <v>No637</v>
      </c>
      <c r="C640" s="63" t="str">
        <f t="shared" si="19"/>
        <v>202604</v>
      </c>
      <c r="D640" s="63" t="s">
        <v>142</v>
      </c>
      <c r="E640" s="67" t="s">
        <v>155</v>
      </c>
      <c r="F640" s="68">
        <v>46142.436111111107</v>
      </c>
      <c r="G640" s="64">
        <v>46142.438194444447</v>
      </c>
      <c r="H640" s="67">
        <f>IF(F640="", "", NETWORKDAYS.INTL(F640, G640, 11,祝日シート!A:A))</f>
        <v>1</v>
      </c>
      <c r="I640" s="75">
        <v>3.472222222222222E-3</v>
      </c>
      <c r="J640" s="63" t="s">
        <v>119</v>
      </c>
      <c r="K640" s="67" t="s">
        <v>931</v>
      </c>
      <c r="L640" s="67" t="s">
        <v>932</v>
      </c>
      <c r="M640" s="67" t="s">
        <v>229</v>
      </c>
      <c r="N640" s="63" t="s">
        <v>122</v>
      </c>
      <c r="O640" s="63" t="s">
        <v>7</v>
      </c>
      <c r="P640" s="77" t="s">
        <v>482</v>
      </c>
      <c r="Q640" s="66" t="s">
        <v>158</v>
      </c>
    </row>
    <row r="641" spans="2:17" ht="18.75" customHeight="1">
      <c r="B641" s="63" t="str">
        <f t="shared" si="18"/>
        <v>No638</v>
      </c>
      <c r="C641" s="63" t="str">
        <f t="shared" si="19"/>
        <v>202604</v>
      </c>
      <c r="D641" s="63" t="s">
        <v>142</v>
      </c>
      <c r="E641" s="67" t="s">
        <v>155</v>
      </c>
      <c r="F641" s="68">
        <v>46142.44027777778</v>
      </c>
      <c r="G641" s="64">
        <v>46142.441666666673</v>
      </c>
      <c r="H641" s="67">
        <f>IF(F641="", "", NETWORKDAYS.INTL(F641, G641, 11,祝日シート!A:A))</f>
        <v>1</v>
      </c>
      <c r="I641" s="75">
        <v>3.472222222222222E-3</v>
      </c>
      <c r="J641" s="63" t="s">
        <v>119</v>
      </c>
      <c r="K641" s="67" t="s">
        <v>931</v>
      </c>
      <c r="L641" s="67" t="s">
        <v>932</v>
      </c>
      <c r="M641" s="67" t="s">
        <v>229</v>
      </c>
      <c r="N641" s="63" t="s">
        <v>122</v>
      </c>
      <c r="O641" s="63" t="s">
        <v>7</v>
      </c>
      <c r="P641" s="77" t="s">
        <v>482</v>
      </c>
      <c r="Q641" s="66" t="s">
        <v>158</v>
      </c>
    </row>
    <row r="642" spans="2:17" ht="18.75" customHeight="1">
      <c r="B642" s="63" t="str">
        <f t="shared" si="18"/>
        <v>No639</v>
      </c>
      <c r="C642" s="63" t="str">
        <f t="shared" si="19"/>
        <v>202604</v>
      </c>
      <c r="D642" s="63" t="s">
        <v>142</v>
      </c>
      <c r="E642" s="67" t="s">
        <v>155</v>
      </c>
      <c r="F642" s="68">
        <v>46142.615277777782</v>
      </c>
      <c r="G642" s="64">
        <v>46142.714583333327</v>
      </c>
      <c r="H642" s="67">
        <f>IF(F642="", "", NETWORKDAYS.INTL(F642, G642, 11,祝日シート!A:A))</f>
        <v>1</v>
      </c>
      <c r="I642" s="75">
        <v>2.0833333333333329E-2</v>
      </c>
      <c r="J642" s="63" t="s">
        <v>119</v>
      </c>
      <c r="K642" s="67" t="s">
        <v>21</v>
      </c>
      <c r="L642" s="67" t="s">
        <v>916</v>
      </c>
      <c r="M642" s="67" t="s">
        <v>144</v>
      </c>
      <c r="N642" s="63" t="s">
        <v>122</v>
      </c>
      <c r="O642" s="63" t="s">
        <v>7</v>
      </c>
      <c r="P642" s="77" t="s">
        <v>992</v>
      </c>
      <c r="Q642" s="66" t="s">
        <v>158</v>
      </c>
    </row>
    <row r="643" spans="2:17" ht="18.75" customHeight="1">
      <c r="B643" s="63" t="str">
        <f t="shared" si="18"/>
        <v>No640</v>
      </c>
      <c r="C643" s="63" t="str">
        <f t="shared" si="19"/>
        <v>202604</v>
      </c>
      <c r="D643" s="63" t="s">
        <v>142</v>
      </c>
      <c r="E643" s="67" t="s">
        <v>155</v>
      </c>
      <c r="F643" s="68">
        <v>46142.697916666657</v>
      </c>
      <c r="G643" s="64">
        <v>46142.702777777777</v>
      </c>
      <c r="H643" s="67">
        <f>IF(F643="", "", NETWORKDAYS.INTL(F643, G643, 11,祝日シート!A:A))</f>
        <v>1</v>
      </c>
      <c r="I643" s="75">
        <v>3.472222222222222E-3</v>
      </c>
      <c r="J643" s="63" t="s">
        <v>119</v>
      </c>
      <c r="K643" s="67" t="s">
        <v>931</v>
      </c>
      <c r="L643" s="67" t="s">
        <v>975</v>
      </c>
      <c r="M643" s="67" t="s">
        <v>253</v>
      </c>
      <c r="N643" s="63" t="s">
        <v>122</v>
      </c>
      <c r="O643" s="63" t="s">
        <v>7</v>
      </c>
      <c r="P643" s="77" t="s">
        <v>246</v>
      </c>
      <c r="Q643" s="66" t="s">
        <v>158</v>
      </c>
    </row>
    <row r="644" spans="2:17" ht="18.75" customHeight="1">
      <c r="B644" s="63" t="str">
        <f t="shared" si="18"/>
        <v>No641</v>
      </c>
      <c r="C644" s="63" t="str">
        <f t="shared" si="19"/>
        <v>202605</v>
      </c>
      <c r="D644" s="67" t="s">
        <v>142</v>
      </c>
      <c r="E644" s="67" t="s">
        <v>116</v>
      </c>
      <c r="F644" s="68">
        <v>46143.60833333333</v>
      </c>
      <c r="G644" s="64">
        <v>46143.723611111112</v>
      </c>
      <c r="H644" s="67">
        <f>IF(F644="", "", NETWORKDAYS.INTL(F644, G644, 11,祝日シート!A:A))</f>
        <v>1</v>
      </c>
      <c r="I644" s="75">
        <v>3.472222222222222E-3</v>
      </c>
      <c r="J644" s="63" t="s">
        <v>119</v>
      </c>
      <c r="K644" s="67" t="s">
        <v>21</v>
      </c>
      <c r="L644" s="67" t="s">
        <v>993</v>
      </c>
      <c r="M644" s="67" t="s">
        <v>539</v>
      </c>
      <c r="N644" s="63" t="s">
        <v>122</v>
      </c>
      <c r="O644" s="63" t="s">
        <v>7</v>
      </c>
      <c r="P644" s="77" t="s">
        <v>580</v>
      </c>
      <c r="Q644" s="66" t="s">
        <v>158</v>
      </c>
    </row>
    <row r="645" spans="2:17" ht="18.75" customHeight="1">
      <c r="B645" s="63" t="str">
        <f t="shared" si="18"/>
        <v>No642</v>
      </c>
      <c r="C645" s="63" t="str">
        <f t="shared" si="19"/>
        <v>202605</v>
      </c>
      <c r="D645" s="70" t="s">
        <v>186</v>
      </c>
      <c r="E645" s="67" t="s">
        <v>155</v>
      </c>
      <c r="F645" s="68">
        <v>46149.364583333343</v>
      </c>
      <c r="G645" s="64">
        <v>46149.375</v>
      </c>
      <c r="H645" s="67">
        <f>IF(F645="", "", NETWORKDAYS.INTL(F645, G645, 11,祝日シート!A:A))</f>
        <v>1</v>
      </c>
      <c r="I645" s="75">
        <v>1.041666666666667E-2</v>
      </c>
      <c r="J645" s="70" t="s">
        <v>45</v>
      </c>
      <c r="K645" s="67" t="s">
        <v>931</v>
      </c>
      <c r="L645" s="67" t="s">
        <v>975</v>
      </c>
      <c r="M645" s="67" t="s">
        <v>339</v>
      </c>
      <c r="N645" s="70" t="s">
        <v>6</v>
      </c>
      <c r="O645" s="70" t="s">
        <v>7</v>
      </c>
      <c r="P645" s="77" t="s">
        <v>994</v>
      </c>
      <c r="Q645" s="77" t="s">
        <v>995</v>
      </c>
    </row>
    <row r="646" spans="2:17" ht="18.75" customHeight="1">
      <c r="B646" s="63" t="str">
        <f t="shared" si="18"/>
        <v>No643</v>
      </c>
      <c r="C646" s="63" t="str">
        <f t="shared" si="19"/>
        <v>202605</v>
      </c>
      <c r="D646" s="63" t="s">
        <v>142</v>
      </c>
      <c r="E646" s="67" t="s">
        <v>155</v>
      </c>
      <c r="F646" s="68">
        <v>46149.538194444453</v>
      </c>
      <c r="G646" s="68">
        <v>46149.545138888891</v>
      </c>
      <c r="H646" s="67">
        <f>IF(F646="", "", NETWORKDAYS.INTL(F646, G646, 11,祝日シート!A:A))</f>
        <v>1</v>
      </c>
      <c r="I646" s="75">
        <v>6.9444444444444441E-3</v>
      </c>
      <c r="J646" s="63" t="s">
        <v>119</v>
      </c>
      <c r="K646" s="67" t="s">
        <v>931</v>
      </c>
      <c r="L646" s="67" t="s">
        <v>975</v>
      </c>
      <c r="M646" s="67" t="s">
        <v>245</v>
      </c>
      <c r="N646" s="67" t="s">
        <v>122</v>
      </c>
      <c r="O646" s="70" t="s">
        <v>7</v>
      </c>
      <c r="P646" s="77" t="s">
        <v>246</v>
      </c>
      <c r="Q646" s="66" t="s">
        <v>158</v>
      </c>
    </row>
    <row r="647" spans="2:17" ht="18.75" customHeight="1">
      <c r="B647" s="63" t="str">
        <f t="shared" si="18"/>
        <v>No644</v>
      </c>
      <c r="C647" s="63" t="str">
        <f t="shared" si="19"/>
        <v>202605</v>
      </c>
      <c r="D647" s="67" t="s">
        <v>104</v>
      </c>
      <c r="E647" s="67" t="s">
        <v>116</v>
      </c>
      <c r="F647" s="68">
        <v>46149.583333333343</v>
      </c>
      <c r="G647" s="64">
        <v>46149.620138888888</v>
      </c>
      <c r="H647" s="67">
        <f>IF(F647="", "", NETWORKDAYS.INTL(F647, G647, 11,祝日シート!A:A))</f>
        <v>1</v>
      </c>
      <c r="I647" s="75">
        <v>2.0833333333333329E-2</v>
      </c>
      <c r="J647" s="63" t="s">
        <v>95</v>
      </c>
      <c r="K647" s="67" t="s">
        <v>35</v>
      </c>
      <c r="L647" s="67" t="s">
        <v>996</v>
      </c>
      <c r="M647" s="67" t="s">
        <v>269</v>
      </c>
      <c r="N647" s="63" t="s">
        <v>117</v>
      </c>
      <c r="O647" s="63" t="s">
        <v>7</v>
      </c>
      <c r="P647" s="77" t="s">
        <v>997</v>
      </c>
      <c r="Q647" s="69" t="s">
        <v>998</v>
      </c>
    </row>
    <row r="648" spans="2:17" ht="18.75" customHeight="1">
      <c r="B648" s="63" t="str">
        <f t="shared" si="18"/>
        <v>No645</v>
      </c>
      <c r="C648" s="63" t="str">
        <f t="shared" si="19"/>
        <v>202605</v>
      </c>
      <c r="D648" s="63" t="s">
        <v>142</v>
      </c>
      <c r="E648" s="67" t="s">
        <v>155</v>
      </c>
      <c r="F648" s="68">
        <v>46149.604166666657</v>
      </c>
      <c r="G648" s="64">
        <v>46149.711805555547</v>
      </c>
      <c r="H648" s="67">
        <f>IF(F648="", "", NETWORKDAYS.INTL(F648, G648, 11,祝日シート!A:A))</f>
        <v>1</v>
      </c>
      <c r="I648" s="65">
        <v>1.041666666666667E-2</v>
      </c>
      <c r="J648" s="63" t="s">
        <v>119</v>
      </c>
      <c r="K648" s="67" t="s">
        <v>21</v>
      </c>
      <c r="L648" s="67" t="s">
        <v>916</v>
      </c>
      <c r="M648" s="67" t="s">
        <v>539</v>
      </c>
      <c r="N648" s="63" t="s">
        <v>117</v>
      </c>
      <c r="O648" s="63" t="s">
        <v>7</v>
      </c>
      <c r="P648" s="77" t="s">
        <v>445</v>
      </c>
      <c r="Q648" s="66" t="s">
        <v>158</v>
      </c>
    </row>
    <row r="649" spans="2:17" ht="18.75" customHeight="1">
      <c r="B649" s="63" t="str">
        <f t="shared" si="18"/>
        <v>No646</v>
      </c>
      <c r="C649" s="63" t="str">
        <f t="shared" si="19"/>
        <v>202605</v>
      </c>
      <c r="D649" s="70" t="s">
        <v>3</v>
      </c>
      <c r="E649" s="67" t="s">
        <v>155</v>
      </c>
      <c r="F649" s="68">
        <v>46149.663194444453</v>
      </c>
      <c r="G649" s="64">
        <v>46149.684027777781</v>
      </c>
      <c r="H649" s="67">
        <f>IF(F649="", "", NETWORKDAYS.INTL(F649, G649, 11,祝日シート!A:A))</f>
        <v>1</v>
      </c>
      <c r="I649" s="75">
        <v>2.0833333333333329E-2</v>
      </c>
      <c r="J649" s="70" t="s">
        <v>143</v>
      </c>
      <c r="K649" s="67" t="s">
        <v>159</v>
      </c>
      <c r="L649" s="67" t="s">
        <v>929</v>
      </c>
      <c r="M649" s="67" t="s">
        <v>187</v>
      </c>
      <c r="N649" s="67" t="s">
        <v>122</v>
      </c>
      <c r="O649" s="70" t="s">
        <v>7</v>
      </c>
      <c r="P649" s="77" t="s">
        <v>999</v>
      </c>
      <c r="Q649" s="77" t="s">
        <v>1000</v>
      </c>
    </row>
    <row r="650" spans="2:17" ht="18.75" customHeight="1">
      <c r="B650" s="63" t="str">
        <f t="shared" si="18"/>
        <v>No647</v>
      </c>
      <c r="C650" s="63" t="str">
        <f t="shared" si="19"/>
        <v>202605</v>
      </c>
      <c r="D650" s="67" t="s">
        <v>142</v>
      </c>
      <c r="E650" s="67" t="s">
        <v>116</v>
      </c>
      <c r="F650" s="68">
        <v>46150.600694444453</v>
      </c>
      <c r="G650" s="64">
        <v>46150.609722222223</v>
      </c>
      <c r="H650" s="67">
        <f>IF(F650="", "", NETWORKDAYS.INTL(F650, G650, 11,祝日シート!A:A))</f>
        <v>1</v>
      </c>
      <c r="I650" s="75">
        <v>3.472222222222222E-3</v>
      </c>
      <c r="J650" s="63" t="s">
        <v>119</v>
      </c>
      <c r="K650" s="67" t="s">
        <v>931</v>
      </c>
      <c r="L650" s="67" t="s">
        <v>975</v>
      </c>
      <c r="M650" s="67" t="s">
        <v>253</v>
      </c>
      <c r="N650" s="63" t="s">
        <v>122</v>
      </c>
      <c r="O650" s="63" t="s">
        <v>7</v>
      </c>
      <c r="P650" s="77" t="s">
        <v>976</v>
      </c>
      <c r="Q650" s="66" t="s">
        <v>158</v>
      </c>
    </row>
    <row r="651" spans="2:17" ht="18.75" customHeight="1">
      <c r="B651" s="63" t="str">
        <f t="shared" si="18"/>
        <v>No648</v>
      </c>
      <c r="C651" s="63" t="str">
        <f t="shared" si="19"/>
        <v>202605</v>
      </c>
      <c r="D651" s="63" t="s">
        <v>142</v>
      </c>
      <c r="E651" s="67" t="s">
        <v>155</v>
      </c>
      <c r="F651" s="68">
        <v>46153.377083333333</v>
      </c>
      <c r="G651" s="68">
        <v>46153.674305555563</v>
      </c>
      <c r="H651" s="67">
        <f>IF(F651="", "", NETWORKDAYS.INTL(F651, G651, 11,祝日シート!A:A))</f>
        <v>1</v>
      </c>
      <c r="I651" s="75">
        <v>6.25E-2</v>
      </c>
      <c r="J651" s="70" t="s">
        <v>310</v>
      </c>
      <c r="K651" s="67" t="s">
        <v>26</v>
      </c>
      <c r="L651" s="67" t="s">
        <v>958</v>
      </c>
      <c r="M651" s="67" t="s">
        <v>626</v>
      </c>
      <c r="N651" s="67" t="s">
        <v>117</v>
      </c>
      <c r="O651" s="70" t="s">
        <v>7</v>
      </c>
      <c r="P651" s="77" t="s">
        <v>1001</v>
      </c>
      <c r="Q651" s="69" t="s">
        <v>1002</v>
      </c>
    </row>
    <row r="652" spans="2:17" ht="18.75" customHeight="1">
      <c r="B652" s="63" t="str">
        <f t="shared" si="18"/>
        <v>No649</v>
      </c>
      <c r="C652" s="63" t="str">
        <f t="shared" si="19"/>
        <v>202605</v>
      </c>
      <c r="D652" s="63" t="s">
        <v>104</v>
      </c>
      <c r="E652" s="67" t="s">
        <v>4</v>
      </c>
      <c r="F652" s="68">
        <v>46153.420138888891</v>
      </c>
      <c r="G652" s="64">
        <v>46153.427083333343</v>
      </c>
      <c r="H652" s="67">
        <f>IF(F652="", "", NETWORKDAYS.INTL(F652, G652, 11,祝日シート!A:A))</f>
        <v>1</v>
      </c>
      <c r="I652" s="65">
        <v>6.9444444444444441E-3</v>
      </c>
      <c r="J652" s="63" t="s">
        <v>20</v>
      </c>
      <c r="K652" s="67" t="s">
        <v>41</v>
      </c>
      <c r="L652" s="67"/>
      <c r="M652" s="67" t="s">
        <v>1003</v>
      </c>
      <c r="N652" s="63" t="s">
        <v>6</v>
      </c>
      <c r="O652" s="63" t="s">
        <v>7</v>
      </c>
      <c r="P652" s="77" t="s">
        <v>1004</v>
      </c>
      <c r="Q652" s="66" t="s">
        <v>1005</v>
      </c>
    </row>
    <row r="653" spans="2:17" ht="18.75" customHeight="1">
      <c r="B653" s="63" t="str">
        <f t="shared" si="18"/>
        <v>No650</v>
      </c>
      <c r="C653" s="63" t="str">
        <f t="shared" si="19"/>
        <v>202605</v>
      </c>
      <c r="D653" s="63" t="s">
        <v>142</v>
      </c>
      <c r="E653" s="67" t="s">
        <v>155</v>
      </c>
      <c r="F653" s="68">
        <v>46153.4375</v>
      </c>
      <c r="G653" s="68">
        <v>46153.490972222222</v>
      </c>
      <c r="H653" s="67">
        <f>IF(F653="", "", NETWORKDAYS.INTL(F653, G653, 11,祝日シート!A:A))</f>
        <v>1</v>
      </c>
      <c r="I653" s="75">
        <v>3.472222222222222E-3</v>
      </c>
      <c r="J653" s="63" t="s">
        <v>119</v>
      </c>
      <c r="K653" s="67" t="s">
        <v>159</v>
      </c>
      <c r="L653" s="67" t="s">
        <v>929</v>
      </c>
      <c r="M653" s="67" t="s">
        <v>1006</v>
      </c>
      <c r="N653" s="67" t="s">
        <v>122</v>
      </c>
      <c r="O653" s="70" t="s">
        <v>7</v>
      </c>
      <c r="P653" s="77" t="s">
        <v>482</v>
      </c>
      <c r="Q653" s="66" t="s">
        <v>158</v>
      </c>
    </row>
    <row r="654" spans="2:17" ht="18.75" customHeight="1">
      <c r="B654" s="63" t="str">
        <f t="shared" si="18"/>
        <v>No651</v>
      </c>
      <c r="C654" s="63" t="str">
        <f t="shared" si="19"/>
        <v>202605</v>
      </c>
      <c r="D654" s="67" t="s">
        <v>104</v>
      </c>
      <c r="E654" s="67" t="s">
        <v>116</v>
      </c>
      <c r="F654" s="68">
        <v>46153.590277777781</v>
      </c>
      <c r="G654" s="68">
        <v>46153.591666666667</v>
      </c>
      <c r="H654" s="67">
        <f>IF(F654="", "", NETWORKDAYS.INTL(F654, G654, 11,祝日シート!A:A))</f>
        <v>1</v>
      </c>
      <c r="I654" s="75">
        <v>1.3888888888888889E-3</v>
      </c>
      <c r="J654" s="67" t="s">
        <v>20</v>
      </c>
      <c r="K654" s="67" t="s">
        <v>931</v>
      </c>
      <c r="L654" s="67" t="s">
        <v>932</v>
      </c>
      <c r="M654" s="67" t="s">
        <v>229</v>
      </c>
      <c r="N654" s="63" t="s">
        <v>122</v>
      </c>
      <c r="O654" s="67" t="s">
        <v>7</v>
      </c>
      <c r="P654" s="77" t="s">
        <v>1007</v>
      </c>
      <c r="Q654" s="69" t="s">
        <v>1008</v>
      </c>
    </row>
    <row r="655" spans="2:17" ht="18.75" customHeight="1">
      <c r="B655" s="63" t="str">
        <f t="shared" si="18"/>
        <v>No652</v>
      </c>
      <c r="C655" s="63" t="str">
        <f t="shared" si="19"/>
        <v>202605</v>
      </c>
      <c r="D655" s="63" t="s">
        <v>142</v>
      </c>
      <c r="E655" s="67" t="s">
        <v>116</v>
      </c>
      <c r="F655" s="68">
        <v>46153.747916666667</v>
      </c>
      <c r="G655" s="68">
        <v>46153.76666666667</v>
      </c>
      <c r="H655" s="67">
        <f>IF(F655="", "", NETWORKDAYS.INTL(F655, G655, 11,祝日シート!A:A))</f>
        <v>1</v>
      </c>
      <c r="I655" s="75">
        <v>6.9444444444444441E-3</v>
      </c>
      <c r="J655" s="63" t="s">
        <v>119</v>
      </c>
      <c r="K655" s="67" t="s">
        <v>21</v>
      </c>
      <c r="L655" s="67" t="s">
        <v>916</v>
      </c>
      <c r="M655" s="67" t="s">
        <v>144</v>
      </c>
      <c r="N655" s="63" t="s">
        <v>122</v>
      </c>
      <c r="O655" s="63" t="s">
        <v>7</v>
      </c>
      <c r="P655" s="77" t="s">
        <v>580</v>
      </c>
      <c r="Q655" s="66" t="s">
        <v>158</v>
      </c>
    </row>
    <row r="656" spans="2:17" ht="18.75" customHeight="1">
      <c r="B656" s="63" t="str">
        <f t="shared" si="18"/>
        <v>No653</v>
      </c>
      <c r="C656" s="63" t="str">
        <f t="shared" si="19"/>
        <v>202605</v>
      </c>
      <c r="D656" s="67" t="s">
        <v>142</v>
      </c>
      <c r="E656" s="67" t="s">
        <v>116</v>
      </c>
      <c r="F656" s="68">
        <v>46153.747916666667</v>
      </c>
      <c r="G656" s="64">
        <v>46153.752083333333</v>
      </c>
      <c r="H656" s="67">
        <f>IF(F656="", "", NETWORKDAYS.INTL(F656, G656, 11,祝日シート!A:A))</f>
        <v>1</v>
      </c>
      <c r="I656" s="75">
        <v>3.472222222222222E-3</v>
      </c>
      <c r="J656" s="63" t="s">
        <v>119</v>
      </c>
      <c r="K656" s="67" t="s">
        <v>21</v>
      </c>
      <c r="L656" s="67" t="s">
        <v>916</v>
      </c>
      <c r="M656" s="67" t="s">
        <v>144</v>
      </c>
      <c r="N656" s="63" t="s">
        <v>122</v>
      </c>
      <c r="O656" s="63" t="s">
        <v>7</v>
      </c>
      <c r="P656" s="77" t="s">
        <v>580</v>
      </c>
      <c r="Q656" s="66" t="s">
        <v>158</v>
      </c>
    </row>
    <row r="657" spans="2:17" ht="18.75" customHeight="1">
      <c r="B657" s="63" t="str">
        <f t="shared" si="18"/>
        <v>No654</v>
      </c>
      <c r="C657" s="63" t="str">
        <f t="shared" si="19"/>
        <v>202605</v>
      </c>
      <c r="D657" s="63" t="s">
        <v>142</v>
      </c>
      <c r="E657" s="67" t="s">
        <v>155</v>
      </c>
      <c r="F657" s="68">
        <v>46154.538194444453</v>
      </c>
      <c r="G657" s="68">
        <v>46154.576388888891</v>
      </c>
      <c r="H657" s="67">
        <f>IF(F657="", "", NETWORKDAYS.INTL(F657, G657, 11,祝日シート!A:A))</f>
        <v>1</v>
      </c>
      <c r="I657" s="75">
        <v>3.472222222222222E-3</v>
      </c>
      <c r="J657" s="63" t="s">
        <v>119</v>
      </c>
      <c r="K657" s="67" t="s">
        <v>159</v>
      </c>
      <c r="L657" s="67" t="s">
        <v>896</v>
      </c>
      <c r="M657" s="67" t="s">
        <v>207</v>
      </c>
      <c r="N657" s="63" t="s">
        <v>122</v>
      </c>
      <c r="O657" s="63" t="s">
        <v>7</v>
      </c>
      <c r="P657" s="77" t="s">
        <v>482</v>
      </c>
      <c r="Q657" s="66" t="s">
        <v>158</v>
      </c>
    </row>
    <row r="658" spans="2:17" ht="18.75" customHeight="1">
      <c r="B658" s="63" t="str">
        <f t="shared" si="18"/>
        <v>No655</v>
      </c>
      <c r="C658" s="63" t="str">
        <f t="shared" si="19"/>
        <v>202605</v>
      </c>
      <c r="D658" s="63" t="s">
        <v>142</v>
      </c>
      <c r="E658" s="67" t="s">
        <v>155</v>
      </c>
      <c r="F658" s="68">
        <v>46154.563888888893</v>
      </c>
      <c r="G658" s="68">
        <v>46154.57916666667</v>
      </c>
      <c r="H658" s="67">
        <f>IF(F658="", "", NETWORKDAYS.INTL(F658, G658, 11,祝日シート!A:A))</f>
        <v>1</v>
      </c>
      <c r="I658" s="75">
        <v>3.472222222222222E-3</v>
      </c>
      <c r="J658" s="63" t="s">
        <v>119</v>
      </c>
      <c r="K658" s="67" t="s">
        <v>21</v>
      </c>
      <c r="L658" s="67" t="s">
        <v>993</v>
      </c>
      <c r="M658" s="67" t="s">
        <v>198</v>
      </c>
      <c r="N658" s="63" t="s">
        <v>122</v>
      </c>
      <c r="O658" s="63" t="s">
        <v>7</v>
      </c>
      <c r="P658" s="77" t="s">
        <v>593</v>
      </c>
      <c r="Q658" s="66" t="s">
        <v>158</v>
      </c>
    </row>
    <row r="659" spans="2:17" ht="18.75" customHeight="1">
      <c r="B659" s="63" t="str">
        <f t="shared" si="18"/>
        <v>No656</v>
      </c>
      <c r="C659" s="63" t="str">
        <f t="shared" si="19"/>
        <v>202605</v>
      </c>
      <c r="D659" s="70" t="s">
        <v>3</v>
      </c>
      <c r="E659" s="67" t="s">
        <v>4</v>
      </c>
      <c r="F659" s="68">
        <v>46155.458333333343</v>
      </c>
      <c r="G659" s="68">
        <v>46157.583333333343</v>
      </c>
      <c r="H659" s="67">
        <f>IF(F659="", "", NETWORKDAYS.INTL(F659, G659, 11,祝日シート!A:A))</f>
        <v>3</v>
      </c>
      <c r="I659" s="75">
        <v>0.16666666666666671</v>
      </c>
      <c r="J659" s="63" t="s">
        <v>119</v>
      </c>
      <c r="K659" s="67" t="s">
        <v>21</v>
      </c>
      <c r="L659" s="67" t="s">
        <v>915</v>
      </c>
      <c r="M659" s="67" t="s">
        <v>109</v>
      </c>
      <c r="N659" s="63" t="s">
        <v>122</v>
      </c>
      <c r="O659" s="63" t="s">
        <v>7</v>
      </c>
      <c r="P659" s="77" t="s">
        <v>1009</v>
      </c>
      <c r="Q659" s="69" t="s">
        <v>1010</v>
      </c>
    </row>
    <row r="660" spans="2:17" ht="18.75" customHeight="1">
      <c r="B660" s="63" t="str">
        <f t="shared" si="18"/>
        <v>No657</v>
      </c>
      <c r="C660" s="63" t="str">
        <f t="shared" si="19"/>
        <v>202605</v>
      </c>
      <c r="D660" s="67" t="s">
        <v>142</v>
      </c>
      <c r="E660" s="67" t="s">
        <v>116</v>
      </c>
      <c r="F660" s="68">
        <v>46155.556944444441</v>
      </c>
      <c r="G660" s="68">
        <v>46155.559027777781</v>
      </c>
      <c r="H660" s="67">
        <f>IF(F660="", "", NETWORKDAYS.INTL(F660, G660, 11,祝日シート!A:A))</f>
        <v>1</v>
      </c>
      <c r="I660" s="75">
        <v>2.0833333333333329E-3</v>
      </c>
      <c r="J660" s="63" t="s">
        <v>61</v>
      </c>
      <c r="K660" s="67" t="s">
        <v>26</v>
      </c>
      <c r="L660" s="67" t="s">
        <v>952</v>
      </c>
      <c r="M660" s="67" t="s">
        <v>155</v>
      </c>
      <c r="N660" s="67" t="s">
        <v>122</v>
      </c>
      <c r="O660" s="63" t="s">
        <v>7</v>
      </c>
      <c r="P660" s="77" t="s">
        <v>1011</v>
      </c>
      <c r="Q660" s="69" t="s">
        <v>1012</v>
      </c>
    </row>
    <row r="661" spans="2:17" ht="18.75" customHeight="1">
      <c r="B661" s="63" t="str">
        <f t="shared" si="18"/>
        <v>No658</v>
      </c>
      <c r="C661" s="63" t="str">
        <f t="shared" si="19"/>
        <v>202605</v>
      </c>
      <c r="D661" s="67" t="s">
        <v>142</v>
      </c>
      <c r="E661" s="67" t="s">
        <v>155</v>
      </c>
      <c r="F661" s="68">
        <v>46155.728472222218</v>
      </c>
      <c r="G661" s="68">
        <v>46156.679166666669</v>
      </c>
      <c r="H661" s="67">
        <f>IF(F661="", "", NETWORKDAYS.INTL(F661, G661, 11,祝日シート!A:A))</f>
        <v>2</v>
      </c>
      <c r="I661" s="75">
        <v>2.777777777777778E-2</v>
      </c>
      <c r="J661" s="63" t="s">
        <v>119</v>
      </c>
      <c r="K661" s="67" t="s">
        <v>159</v>
      </c>
      <c r="L661" s="67" t="s">
        <v>929</v>
      </c>
      <c r="M661" s="67" t="s">
        <v>160</v>
      </c>
      <c r="N661" s="63" t="s">
        <v>122</v>
      </c>
      <c r="O661" s="63" t="s">
        <v>7</v>
      </c>
      <c r="P661" s="77" t="s">
        <v>1013</v>
      </c>
      <c r="Q661" s="66" t="s">
        <v>158</v>
      </c>
    </row>
    <row r="662" spans="2:17" ht="18.75" customHeight="1">
      <c r="B662" s="63" t="str">
        <f t="shared" si="18"/>
        <v>No659</v>
      </c>
      <c r="C662" s="63" t="str">
        <f t="shared" si="19"/>
        <v>202605</v>
      </c>
      <c r="D662" s="70" t="s">
        <v>3</v>
      </c>
      <c r="E662" s="67" t="s">
        <v>4</v>
      </c>
      <c r="F662" s="68">
        <v>46155.729166666657</v>
      </c>
      <c r="G662" s="68">
        <v>46155.75</v>
      </c>
      <c r="H662" s="67">
        <f>IF(F662="", "", NETWORKDAYS.INTL(F662, G662, 11,祝日シート!A:A))</f>
        <v>1</v>
      </c>
      <c r="I662" s="75">
        <v>1.388888888888889E-2</v>
      </c>
      <c r="J662" s="63" t="s">
        <v>119</v>
      </c>
      <c r="K662" s="67" t="s">
        <v>41</v>
      </c>
      <c r="L662" s="67" t="s">
        <v>899</v>
      </c>
      <c r="M662" s="67" t="s">
        <v>217</v>
      </c>
      <c r="N662" s="70" t="s">
        <v>6</v>
      </c>
      <c r="O662" s="63" t="s">
        <v>7</v>
      </c>
      <c r="P662" s="77" t="s">
        <v>1014</v>
      </c>
      <c r="Q662" s="69" t="s">
        <v>1015</v>
      </c>
    </row>
    <row r="663" spans="2:17" ht="18.75" customHeight="1">
      <c r="B663" s="63" t="str">
        <f t="shared" ref="B663:B726" si="20">"No"&amp;ROW()-3</f>
        <v>No660</v>
      </c>
      <c r="C663" s="63" t="str">
        <f t="shared" ref="C663:C693" si="21">IFERROR(IF(G663&lt;&gt;"",TEXT(G663,"yyyymm"),""),"")</f>
        <v>202605</v>
      </c>
      <c r="D663" s="67" t="s">
        <v>142</v>
      </c>
      <c r="E663" s="67" t="s">
        <v>116</v>
      </c>
      <c r="F663" s="68">
        <v>46156.622916666667</v>
      </c>
      <c r="G663" s="68">
        <v>46156.629166666673</v>
      </c>
      <c r="H663" s="67">
        <f>IF(F663="", "", NETWORKDAYS.INTL(F663, G663, 11,祝日シート!A:A))</f>
        <v>1</v>
      </c>
      <c r="I663" s="75">
        <v>4.1666666666666666E-3</v>
      </c>
      <c r="J663" s="63" t="s">
        <v>119</v>
      </c>
      <c r="K663" s="67" t="s">
        <v>931</v>
      </c>
      <c r="L663" s="67" t="s">
        <v>975</v>
      </c>
      <c r="M663" s="67" t="s">
        <v>253</v>
      </c>
      <c r="N663" s="63" t="s">
        <v>122</v>
      </c>
      <c r="O663" s="63" t="s">
        <v>7</v>
      </c>
      <c r="P663" s="77" t="s">
        <v>976</v>
      </c>
      <c r="Q663" s="66" t="s">
        <v>158</v>
      </c>
    </row>
    <row r="664" spans="2:17" ht="18.75" customHeight="1">
      <c r="B664" s="63" t="str">
        <f t="shared" si="20"/>
        <v>No661</v>
      </c>
      <c r="C664" s="63" t="str">
        <f t="shared" si="21"/>
        <v>202605</v>
      </c>
      <c r="D664" s="67" t="s">
        <v>142</v>
      </c>
      <c r="E664" s="67" t="s">
        <v>116</v>
      </c>
      <c r="F664" s="68">
        <v>46156.625</v>
      </c>
      <c r="G664" s="68">
        <v>46156.708333333343</v>
      </c>
      <c r="H664" s="67">
        <f>IF(F664="", "", NETWORKDAYS.INTL(F664, G664, 11,祝日シート!A:A))</f>
        <v>1</v>
      </c>
      <c r="I664" s="75">
        <v>8.3333333333333329E-2</v>
      </c>
      <c r="J664" s="67" t="s">
        <v>197</v>
      </c>
      <c r="K664" s="67" t="s">
        <v>21</v>
      </c>
      <c r="L664" s="67" t="s">
        <v>915</v>
      </c>
      <c r="M664" s="67" t="s">
        <v>211</v>
      </c>
      <c r="N664" s="63" t="s">
        <v>122</v>
      </c>
      <c r="O664" s="63" t="s">
        <v>7</v>
      </c>
      <c r="P664" s="77" t="s">
        <v>1016</v>
      </c>
      <c r="Q664" s="69" t="s">
        <v>1017</v>
      </c>
    </row>
    <row r="665" spans="2:17" ht="18.75" customHeight="1">
      <c r="B665" s="63" t="str">
        <f t="shared" si="20"/>
        <v>No662</v>
      </c>
      <c r="C665" s="63" t="str">
        <f t="shared" si="21"/>
        <v>202605</v>
      </c>
      <c r="D665" s="67" t="s">
        <v>142</v>
      </c>
      <c r="E665" s="67" t="s">
        <v>155</v>
      </c>
      <c r="F665" s="68">
        <v>46156.655555555553</v>
      </c>
      <c r="G665" s="68">
        <v>46156.662499999999</v>
      </c>
      <c r="H665" s="67">
        <f>IF(F665="", "", NETWORKDAYS.INTL(F665, G665, 11,祝日シート!A:A))</f>
        <v>1</v>
      </c>
      <c r="I665" s="75">
        <v>6.9444444444444441E-3</v>
      </c>
      <c r="J665" s="63" t="s">
        <v>119</v>
      </c>
      <c r="K665" s="67" t="s">
        <v>931</v>
      </c>
      <c r="L665" s="67" t="s">
        <v>975</v>
      </c>
      <c r="M665" s="67" t="s">
        <v>253</v>
      </c>
      <c r="N665" s="63" t="s">
        <v>122</v>
      </c>
      <c r="O665" s="63" t="s">
        <v>7</v>
      </c>
      <c r="P665" s="77" t="s">
        <v>976</v>
      </c>
      <c r="Q665" s="66" t="s">
        <v>158</v>
      </c>
    </row>
    <row r="666" spans="2:17" ht="18.75" customHeight="1">
      <c r="B666" s="63" t="str">
        <f t="shared" si="20"/>
        <v>No663</v>
      </c>
      <c r="C666" s="63" t="str">
        <f t="shared" si="21"/>
        <v>202605</v>
      </c>
      <c r="D666" s="67" t="s">
        <v>142</v>
      </c>
      <c r="E666" s="67" t="s">
        <v>155</v>
      </c>
      <c r="F666" s="68">
        <v>46156.671527777777</v>
      </c>
      <c r="G666" s="68">
        <v>46156.681250000001</v>
      </c>
      <c r="H666" s="67">
        <f>IF(F666="", "", NETWORKDAYS.INTL(F666, G666, 11,祝日シート!A:A))</f>
        <v>1</v>
      </c>
      <c r="I666" s="75">
        <v>6.9444444444444441E-3</v>
      </c>
      <c r="J666" s="63" t="s">
        <v>119</v>
      </c>
      <c r="K666" s="67" t="s">
        <v>931</v>
      </c>
      <c r="L666" s="67" t="s">
        <v>975</v>
      </c>
      <c r="M666" s="67" t="s">
        <v>215</v>
      </c>
      <c r="N666" s="63" t="s">
        <v>122</v>
      </c>
      <c r="O666" s="63" t="s">
        <v>7</v>
      </c>
      <c r="P666" s="77" t="s">
        <v>976</v>
      </c>
      <c r="Q666" s="66" t="s">
        <v>158</v>
      </c>
    </row>
    <row r="667" spans="2:17" ht="18.75" customHeight="1">
      <c r="B667" s="63" t="str">
        <f t="shared" si="20"/>
        <v>No664</v>
      </c>
      <c r="C667" s="63" t="str">
        <f t="shared" si="21"/>
        <v>202605</v>
      </c>
      <c r="D667" s="67" t="s">
        <v>142</v>
      </c>
      <c r="E667" s="67" t="s">
        <v>116</v>
      </c>
      <c r="F667" s="68">
        <v>46156.740972222222</v>
      </c>
      <c r="G667" s="68">
        <v>46156.751388888893</v>
      </c>
      <c r="H667" s="67">
        <f>IF(F667="", "", NETWORKDAYS.INTL(F667, G667, 11,祝日シート!A:A))</f>
        <v>1</v>
      </c>
      <c r="I667" s="75">
        <v>3.472222222222222E-3</v>
      </c>
      <c r="J667" s="63" t="s">
        <v>119</v>
      </c>
      <c r="K667" s="67" t="s">
        <v>21</v>
      </c>
      <c r="L667" s="67" t="s">
        <v>916</v>
      </c>
      <c r="M667" s="67" t="s">
        <v>144</v>
      </c>
      <c r="N667" s="63" t="s">
        <v>122</v>
      </c>
      <c r="O667" s="63" t="s">
        <v>7</v>
      </c>
      <c r="P667" s="77" t="s">
        <v>580</v>
      </c>
      <c r="Q667" s="66" t="s">
        <v>158</v>
      </c>
    </row>
    <row r="668" spans="2:17" ht="18.75" customHeight="1">
      <c r="B668" s="63" t="str">
        <f t="shared" si="20"/>
        <v>No665</v>
      </c>
      <c r="C668" s="63" t="str">
        <f t="shared" si="21"/>
        <v>202605</v>
      </c>
      <c r="D668" s="67" t="s">
        <v>142</v>
      </c>
      <c r="E668" s="67" t="s">
        <v>116</v>
      </c>
      <c r="F668" s="68">
        <v>46158.613194444442</v>
      </c>
      <c r="G668" s="68">
        <v>46158.618750000001</v>
      </c>
      <c r="H668" s="67">
        <f>IF(F668="", "", NETWORKDAYS.INTL(F668, G668, 11,祝日シート!A:A))</f>
        <v>1</v>
      </c>
      <c r="I668" s="75">
        <v>3.472222222222222E-3</v>
      </c>
      <c r="J668" s="63" t="s">
        <v>119</v>
      </c>
      <c r="K668" s="67" t="s">
        <v>931</v>
      </c>
      <c r="L668" s="67" t="s">
        <v>975</v>
      </c>
      <c r="M668" s="67" t="s">
        <v>253</v>
      </c>
      <c r="N668" s="63" t="s">
        <v>122</v>
      </c>
      <c r="O668" s="63" t="s">
        <v>7</v>
      </c>
      <c r="P668" s="77" t="s">
        <v>976</v>
      </c>
      <c r="Q668" s="66" t="s">
        <v>158</v>
      </c>
    </row>
    <row r="669" spans="2:17" ht="18.75" customHeight="1">
      <c r="B669" s="63" t="str">
        <f t="shared" si="20"/>
        <v>No666</v>
      </c>
      <c r="C669" s="63" t="str">
        <f t="shared" si="21"/>
        <v>202605</v>
      </c>
      <c r="D669" s="67" t="s">
        <v>142</v>
      </c>
      <c r="E669" s="67" t="s">
        <v>116</v>
      </c>
      <c r="F669" s="68">
        <v>46158.657638888893</v>
      </c>
      <c r="G669" s="68">
        <v>46158.682638888888</v>
      </c>
      <c r="H669" s="67">
        <f>IF(F669="", "", NETWORKDAYS.INTL(F669, G669, 11,祝日シート!A:A))</f>
        <v>1</v>
      </c>
      <c r="I669" s="75">
        <v>3.472222222222222E-3</v>
      </c>
      <c r="J669" s="63" t="s">
        <v>119</v>
      </c>
      <c r="K669" s="67" t="s">
        <v>159</v>
      </c>
      <c r="L669" s="67" t="s">
        <v>929</v>
      </c>
      <c r="M669" s="67" t="s">
        <v>288</v>
      </c>
      <c r="N669" s="63" t="s">
        <v>122</v>
      </c>
      <c r="O669" s="63" t="s">
        <v>7</v>
      </c>
      <c r="P669" s="77" t="s">
        <v>179</v>
      </c>
      <c r="Q669" s="66" t="s">
        <v>158</v>
      </c>
    </row>
    <row r="670" spans="2:17" ht="18.75" customHeight="1">
      <c r="B670" s="63" t="str">
        <f t="shared" si="20"/>
        <v>No667</v>
      </c>
      <c r="C670" s="63" t="str">
        <f t="shared" si="21"/>
        <v>202605</v>
      </c>
      <c r="D670" s="67" t="s">
        <v>104</v>
      </c>
      <c r="E670" s="67" t="s">
        <v>116</v>
      </c>
      <c r="F670" s="68">
        <v>46160.453599537039</v>
      </c>
      <c r="G670" s="68">
        <v>46160.463888888888</v>
      </c>
      <c r="H670" s="67">
        <f>IF(F670="", "", NETWORKDAYS.INTL(F670, G670, 11,祝日シート!A:A))</f>
        <v>1</v>
      </c>
      <c r="I670" s="75">
        <v>1.041666666666667E-2</v>
      </c>
      <c r="J670" s="67" t="s">
        <v>20</v>
      </c>
      <c r="K670" s="67" t="s">
        <v>923</v>
      </c>
      <c r="L670" s="67" t="s">
        <v>906</v>
      </c>
      <c r="M670" s="67" t="s">
        <v>907</v>
      </c>
      <c r="N670" s="67" t="s">
        <v>117</v>
      </c>
      <c r="O670" s="67" t="s">
        <v>7</v>
      </c>
      <c r="P670" s="77" t="s">
        <v>1018</v>
      </c>
      <c r="Q670" s="69" t="s">
        <v>1019</v>
      </c>
    </row>
    <row r="671" spans="2:17" ht="18.75" customHeight="1">
      <c r="B671" s="63" t="str">
        <f t="shared" si="20"/>
        <v>No668</v>
      </c>
      <c r="C671" s="63" t="str">
        <f t="shared" si="21"/>
        <v>202605</v>
      </c>
      <c r="D671" s="67" t="s">
        <v>142</v>
      </c>
      <c r="E671" s="67" t="s">
        <v>155</v>
      </c>
      <c r="F671" s="68">
        <v>46161.416666666657</v>
      </c>
      <c r="G671" s="68">
        <v>46161.458333333343</v>
      </c>
      <c r="H671" s="67">
        <f>IF(F671="", "", NETWORKDAYS.INTL(F671, G671, 11,祝日シート!A:A))</f>
        <v>1</v>
      </c>
      <c r="I671" s="75">
        <v>4.1666666666666657E-2</v>
      </c>
      <c r="J671" s="70" t="s">
        <v>310</v>
      </c>
      <c r="K671" s="70" t="s">
        <v>26</v>
      </c>
      <c r="L671" s="67"/>
      <c r="M671" s="67" t="s">
        <v>626</v>
      </c>
      <c r="N671" s="63" t="s">
        <v>122</v>
      </c>
      <c r="O671" s="67" t="s">
        <v>7</v>
      </c>
      <c r="P671" s="77" t="s">
        <v>1020</v>
      </c>
      <c r="Q671" s="69" t="s">
        <v>1021</v>
      </c>
    </row>
    <row r="672" spans="2:17" ht="18.75" customHeight="1">
      <c r="B672" s="63" t="str">
        <f t="shared" si="20"/>
        <v>No669</v>
      </c>
      <c r="C672" s="63" t="str">
        <f t="shared" si="21"/>
        <v>202605</v>
      </c>
      <c r="D672" s="67" t="s">
        <v>104</v>
      </c>
      <c r="E672" s="67" t="s">
        <v>155</v>
      </c>
      <c r="F672" s="68">
        <v>46161.416666666657</v>
      </c>
      <c r="G672" s="68">
        <v>46164.729166666657</v>
      </c>
      <c r="H672" s="67">
        <f>IF(F672="", "", NETWORKDAYS.INTL(F672, G672, 11,祝日シート!A:A))</f>
        <v>4</v>
      </c>
      <c r="I672" s="75">
        <v>0.5</v>
      </c>
      <c r="J672" s="63" t="s">
        <v>310</v>
      </c>
      <c r="K672" s="67" t="s">
        <v>26</v>
      </c>
      <c r="L672" s="67" t="s">
        <v>952</v>
      </c>
      <c r="M672" s="67" t="s">
        <v>155</v>
      </c>
      <c r="N672" s="63" t="s">
        <v>122</v>
      </c>
      <c r="O672" s="63" t="s">
        <v>7</v>
      </c>
      <c r="P672" s="77" t="s">
        <v>1022</v>
      </c>
      <c r="Q672" s="69" t="s">
        <v>1023</v>
      </c>
    </row>
    <row r="673" spans="2:17" ht="18.75" customHeight="1">
      <c r="B673" s="63" t="str">
        <f t="shared" si="20"/>
        <v>No670</v>
      </c>
      <c r="C673" s="63" t="str">
        <f t="shared" si="21"/>
        <v>202605</v>
      </c>
      <c r="D673" s="67" t="s">
        <v>142</v>
      </c>
      <c r="E673" s="67" t="s">
        <v>155</v>
      </c>
      <c r="F673" s="68">
        <v>46161.6875</v>
      </c>
      <c r="G673" s="68">
        <v>46161.708333333343</v>
      </c>
      <c r="H673" s="67">
        <f>IF(F673="", "", NETWORKDAYS.INTL(F673, G673, 11,祝日シート!A:A))</f>
        <v>1</v>
      </c>
      <c r="I673" s="75">
        <v>6.9444444444444441E-3</v>
      </c>
      <c r="J673" s="70" t="s">
        <v>45</v>
      </c>
      <c r="K673" s="67" t="s">
        <v>21</v>
      </c>
      <c r="L673" s="67" t="s">
        <v>993</v>
      </c>
      <c r="M673" s="67" t="s">
        <v>238</v>
      </c>
      <c r="N673" s="63" t="s">
        <v>122</v>
      </c>
      <c r="O673" s="67" t="s">
        <v>7</v>
      </c>
      <c r="P673" s="77" t="s">
        <v>1024</v>
      </c>
      <c r="Q673" s="69" t="s">
        <v>1025</v>
      </c>
    </row>
    <row r="674" spans="2:17" ht="18.75" customHeight="1">
      <c r="B674" s="63" t="str">
        <f t="shared" si="20"/>
        <v>No671</v>
      </c>
      <c r="C674" s="63" t="str">
        <f t="shared" si="21"/>
        <v>202605</v>
      </c>
      <c r="D674" s="67" t="s">
        <v>142</v>
      </c>
      <c r="E674" s="67" t="s">
        <v>155</v>
      </c>
      <c r="F674" s="68">
        <v>46161.75277777778</v>
      </c>
      <c r="G674" s="68">
        <v>46161.759722222218</v>
      </c>
      <c r="H674" s="67">
        <f>IF(F674="", "", NETWORKDAYS.INTL(F674, G674, 11,祝日シート!A:A))</f>
        <v>1</v>
      </c>
      <c r="I674" s="75">
        <v>6.9444444444444441E-3</v>
      </c>
      <c r="J674" s="63" t="s">
        <v>119</v>
      </c>
      <c r="K674" s="67" t="s">
        <v>21</v>
      </c>
      <c r="L674" s="67" t="s">
        <v>916</v>
      </c>
      <c r="M674" s="67" t="s">
        <v>144</v>
      </c>
      <c r="N674" s="63" t="s">
        <v>122</v>
      </c>
      <c r="O674" s="63" t="s">
        <v>7</v>
      </c>
      <c r="P674" s="77" t="s">
        <v>580</v>
      </c>
      <c r="Q674" s="66" t="s">
        <v>158</v>
      </c>
    </row>
    <row r="675" spans="2:17" ht="18.75" customHeight="1">
      <c r="B675" s="63" t="str">
        <f t="shared" si="20"/>
        <v>No672</v>
      </c>
      <c r="C675" s="63" t="str">
        <f t="shared" si="21"/>
        <v>202605</v>
      </c>
      <c r="D675" s="67" t="s">
        <v>142</v>
      </c>
      <c r="E675" s="67" t="s">
        <v>155</v>
      </c>
      <c r="F675" s="68">
        <v>46162.413194444453</v>
      </c>
      <c r="G675" s="68">
        <v>46162.423611111109</v>
      </c>
      <c r="H675" s="67">
        <f>IF(F675="", "", NETWORKDAYS.INTL(F675, G675, 11,祝日シート!A:A))</f>
        <v>1</v>
      </c>
      <c r="I675" s="75">
        <v>1.041666666666667E-2</v>
      </c>
      <c r="J675" s="70" t="s">
        <v>45</v>
      </c>
      <c r="K675" s="67" t="s">
        <v>931</v>
      </c>
      <c r="L675" s="67" t="s">
        <v>975</v>
      </c>
      <c r="M675" s="67" t="s">
        <v>215</v>
      </c>
      <c r="N675" s="67" t="s">
        <v>117</v>
      </c>
      <c r="O675" s="67" t="s">
        <v>7</v>
      </c>
      <c r="P675" s="77" t="s">
        <v>1026</v>
      </c>
      <c r="Q675" s="69" t="s">
        <v>1027</v>
      </c>
    </row>
    <row r="676" spans="2:17" ht="18.75" customHeight="1">
      <c r="B676" s="63" t="str">
        <f t="shared" si="20"/>
        <v>No673</v>
      </c>
      <c r="C676" s="63" t="str">
        <f t="shared" si="21"/>
        <v>202605</v>
      </c>
      <c r="D676" s="67" t="s">
        <v>142</v>
      </c>
      <c r="E676" s="67" t="s">
        <v>4</v>
      </c>
      <c r="F676" s="68">
        <v>46162.416666666657</v>
      </c>
      <c r="G676" s="68">
        <v>46162.625</v>
      </c>
      <c r="H676" s="67">
        <f>IF(F676="", "", NETWORKDAYS.INTL(F676, G676, 11,祝日シート!A:A))</f>
        <v>1</v>
      </c>
      <c r="I676" s="67" t="s">
        <v>1028</v>
      </c>
      <c r="J676" s="67" t="s">
        <v>20</v>
      </c>
      <c r="K676" s="67" t="s">
        <v>26</v>
      </c>
      <c r="L676" s="67" t="s">
        <v>952</v>
      </c>
      <c r="M676" s="67" t="s">
        <v>4</v>
      </c>
      <c r="N676" s="70" t="s">
        <v>6</v>
      </c>
      <c r="O676" s="63" t="s">
        <v>7</v>
      </c>
      <c r="P676" s="77" t="s">
        <v>1029</v>
      </c>
      <c r="Q676" s="69" t="s">
        <v>1030</v>
      </c>
    </row>
    <row r="677" spans="2:17" ht="18.75" customHeight="1">
      <c r="B677" s="63" t="str">
        <f t="shared" si="20"/>
        <v>No674</v>
      </c>
      <c r="C677" s="63" t="str">
        <f t="shared" si="21"/>
        <v>202605</v>
      </c>
      <c r="D677" s="63" t="s">
        <v>142</v>
      </c>
      <c r="E677" s="67" t="s">
        <v>4</v>
      </c>
      <c r="F677" s="68">
        <v>46162.427083333343</v>
      </c>
      <c r="G677" s="68">
        <v>46162.4375</v>
      </c>
      <c r="H677" s="67">
        <f>IF(F677="", "", NETWORKDAYS.INTL(F677, G677, 11,祝日シート!A:A))</f>
        <v>1</v>
      </c>
      <c r="I677" s="75">
        <v>1.041666666666667E-2</v>
      </c>
      <c r="J677" s="67" t="s">
        <v>20</v>
      </c>
      <c r="K677" s="67" t="s">
        <v>120</v>
      </c>
      <c r="L677" s="67"/>
      <c r="M677" s="67" t="s">
        <v>152</v>
      </c>
      <c r="N677" s="70" t="s">
        <v>6</v>
      </c>
      <c r="O677" s="63" t="s">
        <v>7</v>
      </c>
      <c r="P677" s="77" t="s">
        <v>1031</v>
      </c>
      <c r="Q677" s="69" t="s">
        <v>158</v>
      </c>
    </row>
    <row r="678" spans="2:17" ht="18.75" customHeight="1">
      <c r="B678" s="63" t="str">
        <f t="shared" si="20"/>
        <v>No675</v>
      </c>
      <c r="C678" s="63" t="str">
        <f t="shared" si="21"/>
        <v>202605</v>
      </c>
      <c r="D678" s="67" t="s">
        <v>142</v>
      </c>
      <c r="E678" s="67" t="s">
        <v>116</v>
      </c>
      <c r="F678" s="68">
        <v>46162.638888888891</v>
      </c>
      <c r="G678" s="68">
        <v>46162.688888888893</v>
      </c>
      <c r="H678" s="67">
        <f>IF(F678="", "", NETWORKDAYS.INTL(F678, G678, 11,祝日シート!A:A))</f>
        <v>1</v>
      </c>
      <c r="I678" s="75">
        <v>3.472222222222222E-3</v>
      </c>
      <c r="J678" s="63" t="s">
        <v>119</v>
      </c>
      <c r="K678" s="67" t="s">
        <v>159</v>
      </c>
      <c r="L678" s="67" t="s">
        <v>929</v>
      </c>
      <c r="M678" s="67" t="s">
        <v>160</v>
      </c>
      <c r="N678" s="63" t="s">
        <v>122</v>
      </c>
      <c r="O678" s="63" t="s">
        <v>7</v>
      </c>
      <c r="P678" s="77" t="s">
        <v>1032</v>
      </c>
      <c r="Q678" s="66" t="s">
        <v>158</v>
      </c>
    </row>
    <row r="679" spans="2:17" ht="18.75" customHeight="1">
      <c r="B679" s="63" t="str">
        <f t="shared" si="20"/>
        <v>No676</v>
      </c>
      <c r="C679" s="63" t="str">
        <f t="shared" si="21"/>
        <v>202605</v>
      </c>
      <c r="D679" s="67" t="s">
        <v>142</v>
      </c>
      <c r="E679" s="67" t="s">
        <v>116</v>
      </c>
      <c r="F679" s="68">
        <v>46162.724305555559</v>
      </c>
      <c r="G679" s="68">
        <v>46162.727777777778</v>
      </c>
      <c r="H679" s="67">
        <f>IF(F679="", "", NETWORKDAYS.INTL(F679, G679, 11,祝日シート!A:A))</f>
        <v>1</v>
      </c>
      <c r="I679" s="75">
        <v>3.472222222222222E-3</v>
      </c>
      <c r="J679" s="63" t="s">
        <v>119</v>
      </c>
      <c r="K679" s="67" t="s">
        <v>931</v>
      </c>
      <c r="L679" s="67" t="s">
        <v>975</v>
      </c>
      <c r="M679" s="67" t="s">
        <v>215</v>
      </c>
      <c r="N679" s="63" t="s">
        <v>122</v>
      </c>
      <c r="O679" s="63" t="s">
        <v>7</v>
      </c>
      <c r="P679" s="77" t="s">
        <v>976</v>
      </c>
      <c r="Q679" s="66" t="s">
        <v>158</v>
      </c>
    </row>
    <row r="680" spans="2:17" ht="18.75" customHeight="1">
      <c r="B680" s="63" t="str">
        <f t="shared" si="20"/>
        <v>No677</v>
      </c>
      <c r="C680" s="63" t="str">
        <f t="shared" si="21"/>
        <v>202605</v>
      </c>
      <c r="D680" s="67" t="s">
        <v>142</v>
      </c>
      <c r="E680" s="67" t="s">
        <v>116</v>
      </c>
      <c r="F680" s="68">
        <v>46162.736805555563</v>
      </c>
      <c r="G680" s="68">
        <v>46163.458333333343</v>
      </c>
      <c r="H680" s="67">
        <f>IF(F680="", "", NETWORKDAYS.INTL(F680, G680, 11,祝日シート!A:A))</f>
        <v>2</v>
      </c>
      <c r="I680" s="75">
        <v>4.1666666666666657E-2</v>
      </c>
      <c r="J680" s="67" t="s">
        <v>197</v>
      </c>
      <c r="K680" s="67" t="s">
        <v>21</v>
      </c>
      <c r="L680" s="67" t="s">
        <v>915</v>
      </c>
      <c r="M680" s="67" t="s">
        <v>429</v>
      </c>
      <c r="N680" s="67" t="s">
        <v>117</v>
      </c>
      <c r="O680" s="67" t="s">
        <v>7</v>
      </c>
      <c r="P680" s="77" t="s">
        <v>1033</v>
      </c>
      <c r="Q680" s="69" t="s">
        <v>1034</v>
      </c>
    </row>
    <row r="681" spans="2:17" ht="18.75" customHeight="1">
      <c r="B681" s="63" t="str">
        <f t="shared" si="20"/>
        <v>No678</v>
      </c>
      <c r="C681" s="63" t="str">
        <f t="shared" si="21"/>
        <v>202605</v>
      </c>
      <c r="D681" s="67" t="s">
        <v>142</v>
      </c>
      <c r="E681" s="67" t="s">
        <v>116</v>
      </c>
      <c r="F681" s="68">
        <v>46164.408333333333</v>
      </c>
      <c r="G681" s="68">
        <v>46164.4375</v>
      </c>
      <c r="H681" s="67">
        <f>IF(F681="", "", NETWORKDAYS.INTL(F681, G681, 11,祝日シート!A:A))</f>
        <v>1</v>
      </c>
      <c r="I681" s="75">
        <v>3.125E-2</v>
      </c>
      <c r="J681" s="67" t="s">
        <v>197</v>
      </c>
      <c r="K681" s="67" t="s">
        <v>21</v>
      </c>
      <c r="L681" s="67" t="s">
        <v>915</v>
      </c>
      <c r="M681" s="67" t="s">
        <v>429</v>
      </c>
      <c r="N681" s="67" t="s">
        <v>117</v>
      </c>
      <c r="O681" s="67" t="s">
        <v>7</v>
      </c>
      <c r="P681" s="77" t="s">
        <v>1035</v>
      </c>
      <c r="Q681" s="69" t="s">
        <v>1036</v>
      </c>
    </row>
    <row r="682" spans="2:17" ht="18.75" customHeight="1">
      <c r="B682" s="63" t="str">
        <f t="shared" si="20"/>
        <v>No679</v>
      </c>
      <c r="C682" s="63" t="str">
        <f t="shared" si="21"/>
        <v>202605</v>
      </c>
      <c r="D682" s="67" t="s">
        <v>142</v>
      </c>
      <c r="E682" s="67" t="s">
        <v>116</v>
      </c>
      <c r="F682" s="68">
        <v>46164.4375</v>
      </c>
      <c r="G682" s="68">
        <v>46165.407638888893</v>
      </c>
      <c r="H682" s="67">
        <f>IF(F682="", "", NETWORKDAYS.INTL(F682, G682, 11,祝日シート!A:A))</f>
        <v>2</v>
      </c>
      <c r="I682" s="75">
        <v>4.1666666666666657E-2</v>
      </c>
      <c r="J682" s="67" t="s">
        <v>20</v>
      </c>
      <c r="K682" s="67" t="s">
        <v>923</v>
      </c>
      <c r="L682" s="67" t="s">
        <v>906</v>
      </c>
      <c r="M682" s="67" t="s">
        <v>332</v>
      </c>
      <c r="N682" s="67" t="s">
        <v>117</v>
      </c>
      <c r="O682" s="67" t="s">
        <v>7</v>
      </c>
      <c r="P682" s="77" t="s">
        <v>1037</v>
      </c>
      <c r="Q682" s="69" t="s">
        <v>1038</v>
      </c>
    </row>
    <row r="683" spans="2:17" ht="18.75" customHeight="1">
      <c r="B683" s="63" t="str">
        <f t="shared" si="20"/>
        <v>No680</v>
      </c>
      <c r="C683" s="63" t="str">
        <f t="shared" si="21"/>
        <v>202605</v>
      </c>
      <c r="D683" s="67" t="s">
        <v>142</v>
      </c>
      <c r="E683" s="67" t="s">
        <v>116</v>
      </c>
      <c r="F683" s="68">
        <v>46164.445833333331</v>
      </c>
      <c r="G683" s="68">
        <v>46164.447916666657</v>
      </c>
      <c r="H683" s="67">
        <f>IF(F683="", "", NETWORKDAYS.INTL(F683, G683, 11,祝日シート!A:A))</f>
        <v>1</v>
      </c>
      <c r="I683" s="75">
        <v>2.0833333333333329E-3</v>
      </c>
      <c r="J683" s="70" t="s">
        <v>45</v>
      </c>
      <c r="K683" s="67" t="s">
        <v>21</v>
      </c>
      <c r="L683" s="67" t="s">
        <v>915</v>
      </c>
      <c r="M683" s="67" t="s">
        <v>133</v>
      </c>
      <c r="N683" s="67" t="s">
        <v>122</v>
      </c>
      <c r="O683" s="67" t="s">
        <v>7</v>
      </c>
      <c r="P683" s="77" t="s">
        <v>1039</v>
      </c>
      <c r="Q683" s="69" t="s">
        <v>1040</v>
      </c>
    </row>
    <row r="684" spans="2:17" ht="18.75" customHeight="1">
      <c r="B684" s="63" t="str">
        <f t="shared" si="20"/>
        <v>No681</v>
      </c>
      <c r="C684" s="63" t="str">
        <f t="shared" si="21"/>
        <v>202605</v>
      </c>
      <c r="D684" s="67" t="s">
        <v>142</v>
      </c>
      <c r="E684" s="67" t="s">
        <v>116</v>
      </c>
      <c r="F684" s="68">
        <v>46164.468055555553</v>
      </c>
      <c r="G684" s="68">
        <v>46164.472222222219</v>
      </c>
      <c r="H684" s="67">
        <f>IF(F684="", "", NETWORKDAYS.INTL(F684, G684, 11,祝日シート!A:A))</f>
        <v>1</v>
      </c>
      <c r="I684" s="75">
        <v>3.472222222222222E-3</v>
      </c>
      <c r="J684" s="63" t="s">
        <v>119</v>
      </c>
      <c r="K684" s="67" t="s">
        <v>923</v>
      </c>
      <c r="L684" s="67" t="s">
        <v>906</v>
      </c>
      <c r="M684" s="67" t="s">
        <v>156</v>
      </c>
      <c r="N684" s="63" t="s">
        <v>122</v>
      </c>
      <c r="O684" s="63" t="s">
        <v>7</v>
      </c>
      <c r="P684" s="77" t="s">
        <v>1041</v>
      </c>
      <c r="Q684" s="66" t="s">
        <v>158</v>
      </c>
    </row>
    <row r="685" spans="2:17" ht="18.75" customHeight="1">
      <c r="B685" s="63" t="str">
        <f t="shared" si="20"/>
        <v>No682</v>
      </c>
      <c r="C685" s="63" t="str">
        <f t="shared" si="21"/>
        <v>202605</v>
      </c>
      <c r="D685" s="67" t="s">
        <v>142</v>
      </c>
      <c r="E685" s="67" t="s">
        <v>116</v>
      </c>
      <c r="F685" s="68">
        <v>46164.53197916667</v>
      </c>
      <c r="G685" s="68">
        <v>46164.60976175926</v>
      </c>
      <c r="H685" s="67">
        <f>IF(F685="", "", NETWORKDAYS.INTL(F685, G685, 11,祝日シート!A:A))</f>
        <v>1</v>
      </c>
      <c r="I685" s="75">
        <v>2.0833333333333329E-2</v>
      </c>
      <c r="J685" s="67" t="s">
        <v>20</v>
      </c>
      <c r="K685" s="67" t="s">
        <v>923</v>
      </c>
      <c r="L685" s="67" t="s">
        <v>906</v>
      </c>
      <c r="M685" s="67" t="s">
        <v>156</v>
      </c>
      <c r="N685" s="67" t="s">
        <v>122</v>
      </c>
      <c r="O685" s="67" t="s">
        <v>7</v>
      </c>
      <c r="P685" s="77" t="s">
        <v>1042</v>
      </c>
      <c r="Q685" s="69" t="s">
        <v>1043</v>
      </c>
    </row>
    <row r="686" spans="2:17" ht="18.75" customHeight="1">
      <c r="B686" s="63" t="str">
        <f t="shared" si="20"/>
        <v>No683</v>
      </c>
      <c r="C686" s="63" t="str">
        <f t="shared" si="21"/>
        <v>202605</v>
      </c>
      <c r="D686" s="67" t="s">
        <v>142</v>
      </c>
      <c r="E686" s="67" t="s">
        <v>116</v>
      </c>
      <c r="F686" s="68">
        <v>46164.665451388893</v>
      </c>
      <c r="G686" s="64">
        <v>46164.729369432869</v>
      </c>
      <c r="H686" s="67">
        <f>IF(F686="", "", NETWORKDAYS.INTL(F686, G686, 11,祝日シート!A:A))</f>
        <v>1</v>
      </c>
      <c r="I686" s="65">
        <v>6.9444444444444441E-3</v>
      </c>
      <c r="J686" s="63" t="s">
        <v>119</v>
      </c>
      <c r="K686" s="67" t="s">
        <v>931</v>
      </c>
      <c r="L686" s="67" t="s">
        <v>975</v>
      </c>
      <c r="M686" s="67" t="s">
        <v>245</v>
      </c>
      <c r="N686" s="63" t="s">
        <v>122</v>
      </c>
      <c r="O686" s="63" t="s">
        <v>7</v>
      </c>
      <c r="P686" s="77" t="s">
        <v>246</v>
      </c>
      <c r="Q686" s="69" t="s">
        <v>1044</v>
      </c>
    </row>
    <row r="687" spans="2:17" ht="18.75" customHeight="1">
      <c r="B687" s="63" t="str">
        <f t="shared" si="20"/>
        <v>No684</v>
      </c>
      <c r="C687" s="63" t="str">
        <f t="shared" si="21"/>
        <v>202605</v>
      </c>
      <c r="D687" s="70" t="s">
        <v>3</v>
      </c>
      <c r="E687" s="67" t="s">
        <v>4</v>
      </c>
      <c r="F687" s="68">
        <v>46167.395833333343</v>
      </c>
      <c r="G687" s="68">
        <v>46171.458333333343</v>
      </c>
      <c r="H687" s="67">
        <f>IF(F687="", "", NETWORKDAYS.INTL(F687, G687, 11,祝日シート!A:A))</f>
        <v>5</v>
      </c>
      <c r="I687" s="67" t="s">
        <v>1045</v>
      </c>
      <c r="J687" s="70" t="s">
        <v>40</v>
      </c>
      <c r="K687" s="67" t="s">
        <v>41</v>
      </c>
      <c r="L687" s="67" t="s">
        <v>903</v>
      </c>
      <c r="M687" s="67" t="s">
        <v>201</v>
      </c>
      <c r="N687" s="70" t="s">
        <v>6</v>
      </c>
      <c r="O687" s="63" t="s">
        <v>7</v>
      </c>
      <c r="P687" s="77" t="s">
        <v>1046</v>
      </c>
      <c r="Q687" s="69" t="s">
        <v>1047</v>
      </c>
    </row>
    <row r="688" spans="2:17" ht="18.75" customHeight="1">
      <c r="B688" s="63" t="str">
        <f t="shared" si="20"/>
        <v>No685</v>
      </c>
      <c r="C688" s="63" t="str">
        <f t="shared" si="21"/>
        <v>202605</v>
      </c>
      <c r="D688" s="63" t="s">
        <v>142</v>
      </c>
      <c r="E688" s="67" t="s">
        <v>4</v>
      </c>
      <c r="F688" s="68">
        <v>46167.395833333343</v>
      </c>
      <c r="G688" s="68">
        <v>46167.402777777781</v>
      </c>
      <c r="H688" s="67">
        <f>IF(F688="", "", NETWORKDAYS.INTL(F688, G688, 11,祝日シート!A:A))</f>
        <v>1</v>
      </c>
      <c r="I688" s="75">
        <v>6.9444444444444441E-3</v>
      </c>
      <c r="J688" s="63" t="s">
        <v>119</v>
      </c>
      <c r="K688" s="67" t="s">
        <v>41</v>
      </c>
      <c r="L688" s="67" t="s">
        <v>903</v>
      </c>
      <c r="M688" s="67" t="s">
        <v>645</v>
      </c>
      <c r="N688" s="70" t="s">
        <v>6</v>
      </c>
      <c r="O688" s="63" t="s">
        <v>7</v>
      </c>
      <c r="P688" s="77" t="s">
        <v>1048</v>
      </c>
      <c r="Q688" s="69" t="s">
        <v>1049</v>
      </c>
    </row>
    <row r="689" spans="2:17" ht="18.75" customHeight="1">
      <c r="B689" s="63" t="str">
        <f t="shared" si="20"/>
        <v>No686</v>
      </c>
      <c r="C689" s="63" t="str">
        <f t="shared" si="21"/>
        <v>202605</v>
      </c>
      <c r="D689" s="67" t="s">
        <v>142</v>
      </c>
      <c r="E689" s="67" t="s">
        <v>155</v>
      </c>
      <c r="F689" s="68">
        <v>46168.375</v>
      </c>
      <c r="G689" s="68">
        <v>46168.378472222219</v>
      </c>
      <c r="H689" s="67">
        <f>IF(F689="", "", NETWORKDAYS.INTL(F689, G689, 11,祝日シート!A:A))</f>
        <v>1</v>
      </c>
      <c r="I689" s="75">
        <v>3.472222222222222E-3</v>
      </c>
      <c r="J689" s="63" t="s">
        <v>119</v>
      </c>
      <c r="K689" s="67" t="s">
        <v>159</v>
      </c>
      <c r="L689" s="67" t="s">
        <v>929</v>
      </c>
      <c r="M689" s="67" t="s">
        <v>187</v>
      </c>
      <c r="N689" s="67" t="s">
        <v>122</v>
      </c>
      <c r="O689" s="67" t="s">
        <v>7</v>
      </c>
      <c r="P689" s="77" t="s">
        <v>246</v>
      </c>
      <c r="Q689" s="69" t="s">
        <v>158</v>
      </c>
    </row>
    <row r="690" spans="2:17" ht="18.75" customHeight="1">
      <c r="B690" s="63" t="str">
        <f t="shared" si="20"/>
        <v>No687</v>
      </c>
      <c r="C690" s="63" t="str">
        <f t="shared" si="21"/>
        <v>202605</v>
      </c>
      <c r="D690" s="67" t="s">
        <v>104</v>
      </c>
      <c r="E690" s="67" t="s">
        <v>155</v>
      </c>
      <c r="F690" s="68">
        <v>46168.416666666657</v>
      </c>
      <c r="G690" s="68">
        <v>46168.729166666657</v>
      </c>
      <c r="H690" s="67">
        <f>IF(F690="", "", NETWORKDAYS.INTL(F690, G690, 11,祝日シート!A:A))</f>
        <v>1</v>
      </c>
      <c r="I690" s="75">
        <v>0.125</v>
      </c>
      <c r="J690" s="70" t="s">
        <v>310</v>
      </c>
      <c r="K690" s="67" t="s">
        <v>26</v>
      </c>
      <c r="L690" s="67" t="s">
        <v>912</v>
      </c>
      <c r="M690" s="67" t="s">
        <v>626</v>
      </c>
      <c r="N690" s="67" t="s">
        <v>117</v>
      </c>
      <c r="O690" s="67" t="s">
        <v>7</v>
      </c>
      <c r="P690" s="77" t="s">
        <v>1050</v>
      </c>
      <c r="Q690" s="69" t="s">
        <v>1051</v>
      </c>
    </row>
    <row r="691" spans="2:17" ht="18.75" customHeight="1">
      <c r="B691" s="63" t="str">
        <f t="shared" si="20"/>
        <v>No688</v>
      </c>
      <c r="C691" s="63" t="str">
        <f t="shared" si="21"/>
        <v>202605</v>
      </c>
      <c r="D691" s="67" t="s">
        <v>142</v>
      </c>
      <c r="E691" s="67" t="s">
        <v>155</v>
      </c>
      <c r="F691" s="68">
        <v>46168.541666666657</v>
      </c>
      <c r="G691" s="68">
        <v>46168.545138888891</v>
      </c>
      <c r="H691" s="67">
        <f>IF(F691="", "", NETWORKDAYS.INTL(F691, G691, 11,祝日シート!A:A))</f>
        <v>1</v>
      </c>
      <c r="I691" s="75">
        <v>3.472222222222222E-3</v>
      </c>
      <c r="J691" s="63" t="s">
        <v>119</v>
      </c>
      <c r="K691" s="67" t="s">
        <v>923</v>
      </c>
      <c r="L691" s="67" t="s">
        <v>906</v>
      </c>
      <c r="M691" s="67" t="s">
        <v>156</v>
      </c>
      <c r="N691" s="67" t="s">
        <v>122</v>
      </c>
      <c r="O691" s="67" t="s">
        <v>7</v>
      </c>
      <c r="P691" s="77" t="s">
        <v>1052</v>
      </c>
      <c r="Q691" s="69" t="s">
        <v>158</v>
      </c>
    </row>
    <row r="692" spans="2:17" ht="18.75" customHeight="1">
      <c r="B692" s="63" t="str">
        <f t="shared" si="20"/>
        <v>No689</v>
      </c>
      <c r="C692" s="63" t="str">
        <f t="shared" si="21"/>
        <v>202605</v>
      </c>
      <c r="D692" s="67" t="s">
        <v>142</v>
      </c>
      <c r="E692" s="67" t="s">
        <v>155</v>
      </c>
      <c r="F692" s="68">
        <v>46168.583333333343</v>
      </c>
      <c r="G692" s="68">
        <v>46168.597222222219</v>
      </c>
      <c r="H692" s="67">
        <f>IF(F692="", "", NETWORKDAYS.INTL(F692, G692, 11,祝日シート!A:A))</f>
        <v>1</v>
      </c>
      <c r="I692" s="75">
        <v>1.388888888888889E-2</v>
      </c>
      <c r="J692" s="67" t="s">
        <v>45</v>
      </c>
      <c r="K692" s="67" t="s">
        <v>21</v>
      </c>
      <c r="L692" s="67" t="s">
        <v>916</v>
      </c>
      <c r="M692" s="67" t="s">
        <v>144</v>
      </c>
      <c r="N692" s="67" t="s">
        <v>122</v>
      </c>
      <c r="O692" s="67" t="s">
        <v>7</v>
      </c>
      <c r="P692" s="77" t="s">
        <v>1053</v>
      </c>
      <c r="Q692" s="69" t="s">
        <v>1054</v>
      </c>
    </row>
    <row r="693" spans="2:17" ht="18.75" customHeight="1">
      <c r="B693" s="63" t="str">
        <f t="shared" si="20"/>
        <v>No690</v>
      </c>
      <c r="C693" s="63" t="str">
        <f t="shared" si="21"/>
        <v>202605</v>
      </c>
      <c r="D693" s="63" t="s">
        <v>142</v>
      </c>
      <c r="E693" s="67" t="s">
        <v>155</v>
      </c>
      <c r="F693" s="68">
        <v>46168.604166666657</v>
      </c>
      <c r="G693" s="68">
        <v>46168.607638888891</v>
      </c>
      <c r="H693" s="67">
        <f>IF(F693="", "", NETWORKDAYS.INTL(F693, G693, 11,祝日シート!A:A))</f>
        <v>1</v>
      </c>
      <c r="I693" s="65">
        <v>3.472222222222222E-3</v>
      </c>
      <c r="J693" s="67" t="s">
        <v>143</v>
      </c>
      <c r="K693" s="67" t="s">
        <v>931</v>
      </c>
      <c r="L693" s="67" t="s">
        <v>932</v>
      </c>
      <c r="M693" s="67" t="s">
        <v>173</v>
      </c>
      <c r="N693" s="63" t="s">
        <v>122</v>
      </c>
      <c r="O693" s="63" t="s">
        <v>7</v>
      </c>
      <c r="P693" s="77" t="s">
        <v>1055</v>
      </c>
      <c r="Q693" s="69" t="s">
        <v>1056</v>
      </c>
    </row>
    <row r="694" spans="2:17" ht="18.75" customHeight="1">
      <c r="B694" s="63" t="str">
        <f t="shared" si="20"/>
        <v>No691</v>
      </c>
      <c r="C694" s="63" t="s">
        <v>1057</v>
      </c>
      <c r="D694" s="63" t="s">
        <v>142</v>
      </c>
      <c r="E694" s="67" t="s">
        <v>155</v>
      </c>
      <c r="F694" s="68">
        <v>46168.666666666657</v>
      </c>
      <c r="G694" s="64">
        <v>46168.670138888891</v>
      </c>
      <c r="H694" s="67">
        <f>IF(F694="", "", NETWORKDAYS.INTL(F694, G694, 11,祝日シート!A:A))</f>
        <v>1</v>
      </c>
      <c r="I694" s="65">
        <v>3.472222222222222E-3</v>
      </c>
      <c r="J694" s="63" t="s">
        <v>119</v>
      </c>
      <c r="K694" s="67" t="s">
        <v>159</v>
      </c>
      <c r="L694" s="67" t="s">
        <v>929</v>
      </c>
      <c r="M694" s="67" t="s">
        <v>187</v>
      </c>
      <c r="N694" s="63" t="s">
        <v>122</v>
      </c>
      <c r="O694" s="63" t="s">
        <v>7</v>
      </c>
      <c r="P694" s="77" t="s">
        <v>246</v>
      </c>
      <c r="Q694" s="66" t="s">
        <v>158</v>
      </c>
    </row>
    <row r="695" spans="2:17" ht="18.75" customHeight="1">
      <c r="B695" s="63" t="str">
        <f t="shared" si="20"/>
        <v>No692</v>
      </c>
      <c r="C695" s="63" t="str">
        <f t="shared" ref="C695:C726" si="22">IFERROR(IF(G695&lt;&gt;"",TEXT(G695,"yyyymm"),""),"")</f>
        <v>202605</v>
      </c>
      <c r="D695" s="70" t="s">
        <v>3</v>
      </c>
      <c r="E695" s="67" t="s">
        <v>4</v>
      </c>
      <c r="F695" s="68">
        <v>46169.395833333343</v>
      </c>
      <c r="G695" s="68">
        <v>46169.479166666657</v>
      </c>
      <c r="H695" s="67">
        <f>IF(F695="", "", NETWORKDAYS.INTL(F695, G695, 11,祝日シート!A:A))</f>
        <v>1</v>
      </c>
      <c r="I695" s="75">
        <v>8.3333333333333329E-2</v>
      </c>
      <c r="J695" s="67" t="s">
        <v>20</v>
      </c>
      <c r="K695" s="67" t="s">
        <v>561</v>
      </c>
      <c r="L695" s="67"/>
      <c r="M695" s="67" t="s">
        <v>562</v>
      </c>
      <c r="N695" s="63" t="s">
        <v>122</v>
      </c>
      <c r="O695" s="63" t="s">
        <v>7</v>
      </c>
      <c r="P695" s="77" t="s">
        <v>1058</v>
      </c>
      <c r="Q695" s="69" t="s">
        <v>1059</v>
      </c>
    </row>
    <row r="696" spans="2:17" ht="18.75" customHeight="1">
      <c r="B696" s="63" t="str">
        <f t="shared" si="20"/>
        <v>No693</v>
      </c>
      <c r="C696" s="63" t="str">
        <f t="shared" si="22"/>
        <v>202605</v>
      </c>
      <c r="D696" s="67" t="s">
        <v>104</v>
      </c>
      <c r="E696" s="67" t="s">
        <v>4</v>
      </c>
      <c r="F696" s="68">
        <v>46169.458333333343</v>
      </c>
      <c r="G696" s="68">
        <v>46169.461805555547</v>
      </c>
      <c r="H696" s="67">
        <f>IF(F696="", "", NETWORKDAYS.INTL(F696, G696, 11,祝日シート!A:A))</f>
        <v>1</v>
      </c>
      <c r="I696" s="75">
        <v>3.472222222222222E-3</v>
      </c>
      <c r="J696" s="67" t="s">
        <v>20</v>
      </c>
      <c r="K696" s="67" t="s">
        <v>21</v>
      </c>
      <c r="L696" s="67" t="s">
        <v>915</v>
      </c>
      <c r="M696" s="67" t="s">
        <v>109</v>
      </c>
      <c r="N696" s="70" t="s">
        <v>6</v>
      </c>
      <c r="O696" s="63" t="s">
        <v>7</v>
      </c>
      <c r="P696" s="77" t="s">
        <v>1060</v>
      </c>
      <c r="Q696" s="69" t="s">
        <v>1061</v>
      </c>
    </row>
    <row r="697" spans="2:17" ht="18.75" customHeight="1">
      <c r="B697" s="63" t="str">
        <f t="shared" si="20"/>
        <v>No694</v>
      </c>
      <c r="C697" s="63" t="str">
        <f t="shared" si="22"/>
        <v>202605</v>
      </c>
      <c r="D697" s="67" t="s">
        <v>142</v>
      </c>
      <c r="E697" s="67" t="s">
        <v>4</v>
      </c>
      <c r="F697" s="68">
        <v>46169.458333333343</v>
      </c>
      <c r="G697" s="68">
        <v>46169.472222222219</v>
      </c>
      <c r="H697" s="67">
        <f>IF(F697="", "", NETWORKDAYS.INTL(F697, G697, 11,祝日シート!A:A))</f>
        <v>1</v>
      </c>
      <c r="I697" s="67" t="s">
        <v>1062</v>
      </c>
      <c r="J697" s="63" t="s">
        <v>119</v>
      </c>
      <c r="K697" s="67" t="s">
        <v>26</v>
      </c>
      <c r="L697" s="67" t="s">
        <v>952</v>
      </c>
      <c r="M697" s="67" t="s">
        <v>155</v>
      </c>
      <c r="N697" s="70" t="s">
        <v>6</v>
      </c>
      <c r="O697" s="63" t="s">
        <v>7</v>
      </c>
      <c r="P697" s="77" t="s">
        <v>1063</v>
      </c>
      <c r="Q697" s="69" t="s">
        <v>1064</v>
      </c>
    </row>
    <row r="698" spans="2:17" ht="18.75" customHeight="1">
      <c r="B698" s="63" t="str">
        <f t="shared" si="20"/>
        <v>No695</v>
      </c>
      <c r="C698" s="63" t="str">
        <f t="shared" si="22"/>
        <v>202605</v>
      </c>
      <c r="D698" s="63" t="s">
        <v>142</v>
      </c>
      <c r="E698" s="67" t="s">
        <v>155</v>
      </c>
      <c r="F698" s="68">
        <v>46169.461805555547</v>
      </c>
      <c r="G698" s="68">
        <v>46169.465277777781</v>
      </c>
      <c r="H698" s="67">
        <f>IF(F698="", "", NETWORKDAYS.INTL(F698, G698, 11,祝日シート!A:A))</f>
        <v>1</v>
      </c>
      <c r="I698" s="65">
        <v>3.472222222222222E-3</v>
      </c>
      <c r="J698" s="63" t="s">
        <v>119</v>
      </c>
      <c r="K698" s="67" t="s">
        <v>159</v>
      </c>
      <c r="L698" s="67" t="s">
        <v>929</v>
      </c>
      <c r="M698" s="67" t="s">
        <v>288</v>
      </c>
      <c r="N698" s="63" t="s">
        <v>122</v>
      </c>
      <c r="O698" s="63" t="s">
        <v>7</v>
      </c>
      <c r="P698" s="77" t="s">
        <v>482</v>
      </c>
      <c r="Q698" s="66" t="s">
        <v>158</v>
      </c>
    </row>
    <row r="699" spans="2:17" ht="18.75" customHeight="1">
      <c r="B699" s="63" t="str">
        <f t="shared" si="20"/>
        <v>No696</v>
      </c>
      <c r="C699" s="63" t="str">
        <f t="shared" si="22"/>
        <v>202605</v>
      </c>
      <c r="D699" s="63" t="s">
        <v>142</v>
      </c>
      <c r="E699" s="67" t="s">
        <v>155</v>
      </c>
      <c r="F699" s="68">
        <v>46169.510416666657</v>
      </c>
      <c r="G699" s="68">
        <v>46169.520833333343</v>
      </c>
      <c r="H699" s="67">
        <f>IF(F699="", "", NETWORKDAYS.INTL(F699, G699, 11,祝日シート!A:A))</f>
        <v>1</v>
      </c>
      <c r="I699" s="65">
        <v>6.9444444444444441E-3</v>
      </c>
      <c r="J699" s="63" t="s">
        <v>119</v>
      </c>
      <c r="K699" s="67" t="s">
        <v>21</v>
      </c>
      <c r="L699" s="67" t="s">
        <v>915</v>
      </c>
      <c r="M699" s="67" t="s">
        <v>217</v>
      </c>
      <c r="N699" s="63" t="s">
        <v>122</v>
      </c>
      <c r="O699" s="63" t="s">
        <v>7</v>
      </c>
      <c r="P699" s="77" t="s">
        <v>212</v>
      </c>
      <c r="Q699" s="69" t="s">
        <v>158</v>
      </c>
    </row>
    <row r="700" spans="2:17" ht="18.75" customHeight="1">
      <c r="B700" s="63" t="str">
        <f t="shared" si="20"/>
        <v>No697</v>
      </c>
      <c r="C700" s="63" t="str">
        <f t="shared" si="22"/>
        <v>202605</v>
      </c>
      <c r="D700" s="67" t="s">
        <v>142</v>
      </c>
      <c r="E700" s="67" t="s">
        <v>116</v>
      </c>
      <c r="F700" s="68">
        <v>46169.589583333327</v>
      </c>
      <c r="G700" s="68">
        <v>46169.602777777778</v>
      </c>
      <c r="H700" s="67">
        <f>IF(F700="", "", NETWORKDAYS.INTL(F700, G700, 11,祝日シート!A:A))</f>
        <v>1</v>
      </c>
      <c r="I700" s="75">
        <v>1.041666666666667E-2</v>
      </c>
      <c r="J700" s="67" t="s">
        <v>197</v>
      </c>
      <c r="K700" s="67" t="s">
        <v>159</v>
      </c>
      <c r="L700" s="67" t="s">
        <v>896</v>
      </c>
      <c r="M700" s="67" t="s">
        <v>339</v>
      </c>
      <c r="N700" s="67" t="s">
        <v>117</v>
      </c>
      <c r="O700" s="67" t="s">
        <v>7</v>
      </c>
      <c r="P700" s="77" t="s">
        <v>1065</v>
      </c>
      <c r="Q700" s="69" t="s">
        <v>1066</v>
      </c>
    </row>
    <row r="701" spans="2:17" ht="18.75" customHeight="1">
      <c r="B701" s="63" t="str">
        <f t="shared" si="20"/>
        <v>No698</v>
      </c>
      <c r="C701" s="63" t="str">
        <f t="shared" si="22"/>
        <v>202605</v>
      </c>
      <c r="D701" s="67" t="s">
        <v>142</v>
      </c>
      <c r="E701" s="67" t="s">
        <v>116</v>
      </c>
      <c r="F701" s="68">
        <v>46169.745138888888</v>
      </c>
      <c r="G701" s="68">
        <v>46169.756249999999</v>
      </c>
      <c r="H701" s="67">
        <f>IF(F701="", "", NETWORKDAYS.INTL(F701, G701, 11,祝日シート!A:A))</f>
        <v>1</v>
      </c>
      <c r="I701" s="75">
        <v>1.041666666666667E-2</v>
      </c>
      <c r="J701" s="63" t="s">
        <v>119</v>
      </c>
      <c r="K701" s="67" t="s">
        <v>21</v>
      </c>
      <c r="L701" s="67" t="s">
        <v>916</v>
      </c>
      <c r="M701" s="67" t="s">
        <v>539</v>
      </c>
      <c r="N701" s="63" t="s">
        <v>117</v>
      </c>
      <c r="O701" s="63" t="s">
        <v>7</v>
      </c>
      <c r="P701" s="77" t="s">
        <v>580</v>
      </c>
      <c r="Q701" s="66" t="s">
        <v>158</v>
      </c>
    </row>
    <row r="702" spans="2:17" ht="18.75" customHeight="1">
      <c r="B702" s="63" t="str">
        <f t="shared" si="20"/>
        <v>No699</v>
      </c>
      <c r="C702" s="63" t="str">
        <f t="shared" si="22"/>
        <v>202605</v>
      </c>
      <c r="D702" s="63" t="s">
        <v>142</v>
      </c>
      <c r="E702" s="67" t="s">
        <v>116</v>
      </c>
      <c r="F702" s="68">
        <v>46170.4375</v>
      </c>
      <c r="G702" s="68">
        <v>46171.775000000001</v>
      </c>
      <c r="H702" s="67">
        <f>IF(F702="", "", NETWORKDAYS.INTL(F702, G702, 11,祝日シート!A:A))</f>
        <v>2</v>
      </c>
      <c r="I702" s="75">
        <v>1.041666666666667E-2</v>
      </c>
      <c r="J702" s="63" t="s">
        <v>119</v>
      </c>
      <c r="K702" s="67" t="s">
        <v>41</v>
      </c>
      <c r="L702" s="67" t="s">
        <v>899</v>
      </c>
      <c r="M702" s="67" t="s">
        <v>217</v>
      </c>
      <c r="N702" s="63" t="s">
        <v>122</v>
      </c>
      <c r="O702" s="63" t="s">
        <v>7</v>
      </c>
      <c r="P702" s="77" t="s">
        <v>1067</v>
      </c>
      <c r="Q702" s="66" t="s">
        <v>158</v>
      </c>
    </row>
    <row r="703" spans="2:17" ht="18.75" customHeight="1">
      <c r="B703" s="63" t="str">
        <f t="shared" si="20"/>
        <v>No700</v>
      </c>
      <c r="C703" s="63" t="str">
        <f t="shared" si="22"/>
        <v>202605</v>
      </c>
      <c r="D703" s="67" t="s">
        <v>142</v>
      </c>
      <c r="E703" s="67" t="s">
        <v>4</v>
      </c>
      <c r="F703" s="68">
        <v>46170.458333333343</v>
      </c>
      <c r="G703" s="68">
        <v>46170.46875</v>
      </c>
      <c r="H703" s="67">
        <f>IF(F703="", "", NETWORKDAYS.INTL(F703, G703, 11,祝日シート!A:A))</f>
        <v>1</v>
      </c>
      <c r="I703" s="67" t="s">
        <v>1062</v>
      </c>
      <c r="J703" s="67" t="s">
        <v>143</v>
      </c>
      <c r="K703" s="67" t="s">
        <v>159</v>
      </c>
      <c r="L703" s="67" t="s">
        <v>896</v>
      </c>
      <c r="M703" s="67" t="s">
        <v>339</v>
      </c>
      <c r="N703" s="70" t="s">
        <v>6</v>
      </c>
      <c r="O703" s="63" t="s">
        <v>7</v>
      </c>
      <c r="P703" s="77" t="s">
        <v>1068</v>
      </c>
      <c r="Q703" s="69" t="s">
        <v>1069</v>
      </c>
    </row>
    <row r="704" spans="2:17" ht="18.75" customHeight="1">
      <c r="B704" s="63" t="str">
        <f t="shared" si="20"/>
        <v>No701</v>
      </c>
      <c r="C704" s="63" t="str">
        <f t="shared" si="22"/>
        <v>202605</v>
      </c>
      <c r="D704" s="67" t="s">
        <v>3</v>
      </c>
      <c r="E704" s="67" t="s">
        <v>155</v>
      </c>
      <c r="F704" s="68">
        <v>46170.556032962973</v>
      </c>
      <c r="G704" s="68">
        <v>46170.583807870367</v>
      </c>
      <c r="H704" s="67">
        <f>IF(F704="", "", NETWORKDAYS.INTL(F704, G704, 11,祝日シート!A:A))</f>
        <v>1</v>
      </c>
      <c r="I704" s="75">
        <v>2.777777777777778E-2</v>
      </c>
      <c r="J704" s="67" t="s">
        <v>20</v>
      </c>
      <c r="K704" s="67" t="s">
        <v>111</v>
      </c>
      <c r="L704" s="67" t="s">
        <v>932</v>
      </c>
      <c r="M704" s="67" t="s">
        <v>1070</v>
      </c>
      <c r="N704" s="70" t="s">
        <v>6</v>
      </c>
      <c r="O704" s="63" t="s">
        <v>7</v>
      </c>
      <c r="P704" s="77" t="s">
        <v>1071</v>
      </c>
      <c r="Q704" s="69" t="s">
        <v>1072</v>
      </c>
    </row>
    <row r="705" spans="2:17" ht="18.75" customHeight="1">
      <c r="B705" s="63" t="str">
        <f t="shared" si="20"/>
        <v>No702</v>
      </c>
      <c r="C705" s="63" t="str">
        <f t="shared" si="22"/>
        <v>202605</v>
      </c>
      <c r="D705" s="67" t="s">
        <v>142</v>
      </c>
      <c r="E705" s="67" t="s">
        <v>155</v>
      </c>
      <c r="F705" s="68">
        <v>46171.375</v>
      </c>
      <c r="G705" s="68">
        <v>46171.385416666657</v>
      </c>
      <c r="H705" s="67">
        <f>IF(F705="", "", NETWORKDAYS.INTL(F705, G705, 11,祝日シート!A:A))</f>
        <v>1</v>
      </c>
      <c r="I705" s="75">
        <v>1.041666666666667E-2</v>
      </c>
      <c r="J705" s="67" t="s">
        <v>20</v>
      </c>
      <c r="K705" s="67" t="s">
        <v>21</v>
      </c>
      <c r="L705" s="67" t="s">
        <v>915</v>
      </c>
      <c r="M705" s="67" t="s">
        <v>372</v>
      </c>
      <c r="N705" s="63" t="s">
        <v>117</v>
      </c>
      <c r="O705" s="63" t="s">
        <v>7</v>
      </c>
      <c r="P705" s="77" t="s">
        <v>1073</v>
      </c>
      <c r="Q705" s="69" t="s">
        <v>1074</v>
      </c>
    </row>
    <row r="706" spans="2:17" ht="18.75" customHeight="1">
      <c r="B706" s="63" t="str">
        <f t="shared" si="20"/>
        <v>No703</v>
      </c>
      <c r="C706" s="63" t="str">
        <f t="shared" si="22"/>
        <v>202605</v>
      </c>
      <c r="D706" s="67" t="s">
        <v>142</v>
      </c>
      <c r="E706" s="67" t="s">
        <v>155</v>
      </c>
      <c r="F706" s="68">
        <v>46171.400847106481</v>
      </c>
      <c r="G706" s="64">
        <v>46171.404239560186</v>
      </c>
      <c r="H706" s="67">
        <f>IF(F706="", "", NETWORKDAYS.INTL(F706, G706, 11,祝日シート!A:A))</f>
        <v>1</v>
      </c>
      <c r="I706" s="75">
        <v>3.472222222222222E-3</v>
      </c>
      <c r="J706" s="63" t="s">
        <v>119</v>
      </c>
      <c r="K706" s="67" t="s">
        <v>111</v>
      </c>
      <c r="L706" s="67" t="s">
        <v>932</v>
      </c>
      <c r="M706" s="67" t="s">
        <v>272</v>
      </c>
      <c r="N706" s="63" t="s">
        <v>117</v>
      </c>
      <c r="O706" s="63" t="s">
        <v>7</v>
      </c>
      <c r="P706" s="77" t="s">
        <v>482</v>
      </c>
      <c r="Q706" s="66" t="s">
        <v>158</v>
      </c>
    </row>
    <row r="707" spans="2:17" ht="18.75" customHeight="1">
      <c r="B707" s="63" t="str">
        <f t="shared" si="20"/>
        <v>No704</v>
      </c>
      <c r="C707" s="63" t="str">
        <f t="shared" si="22"/>
        <v>202605</v>
      </c>
      <c r="D707" s="67" t="s">
        <v>142</v>
      </c>
      <c r="E707" s="67" t="s">
        <v>155</v>
      </c>
      <c r="F707" s="68">
        <v>46171.40625</v>
      </c>
      <c r="G707" s="68">
        <v>46171.417361111111</v>
      </c>
      <c r="H707" s="67">
        <f>IF(F707="", "", NETWORKDAYS.INTL(F707, G707, 11,祝日シート!A:A))</f>
        <v>1</v>
      </c>
      <c r="I707" s="75">
        <v>3.472222222222222E-3</v>
      </c>
      <c r="J707" s="63" t="s">
        <v>119</v>
      </c>
      <c r="K707" s="67" t="s">
        <v>931</v>
      </c>
      <c r="L707" s="67" t="s">
        <v>975</v>
      </c>
      <c r="M707" s="67" t="s">
        <v>215</v>
      </c>
      <c r="N707" s="63" t="s">
        <v>122</v>
      </c>
      <c r="O707" s="63" t="s">
        <v>7</v>
      </c>
      <c r="P707" s="77" t="s">
        <v>976</v>
      </c>
      <c r="Q707" s="66" t="s">
        <v>158</v>
      </c>
    </row>
    <row r="708" spans="2:17" ht="18.75" customHeight="1">
      <c r="B708" s="63" t="str">
        <f t="shared" si="20"/>
        <v>No705</v>
      </c>
      <c r="C708" s="63" t="str">
        <f t="shared" si="22"/>
        <v>202605</v>
      </c>
      <c r="D708" s="63" t="s">
        <v>142</v>
      </c>
      <c r="E708" s="67" t="s">
        <v>116</v>
      </c>
      <c r="F708" s="68">
        <v>46171.406944444447</v>
      </c>
      <c r="G708" s="68">
        <v>46172.456250000003</v>
      </c>
      <c r="H708" s="67">
        <f>IF(F708="", "", NETWORKDAYS.INTL(F708, G708, 11,祝日シート!A:A))</f>
        <v>2</v>
      </c>
      <c r="I708" s="75">
        <v>2.0833333333333329E-2</v>
      </c>
      <c r="J708" s="63" t="s">
        <v>45</v>
      </c>
      <c r="K708" s="67" t="s">
        <v>41</v>
      </c>
      <c r="L708" s="67" t="s">
        <v>903</v>
      </c>
      <c r="M708" s="67" t="s">
        <v>112</v>
      </c>
      <c r="N708" s="63" t="s">
        <v>122</v>
      </c>
      <c r="O708" s="63" t="s">
        <v>7</v>
      </c>
      <c r="P708" s="77" t="s">
        <v>1075</v>
      </c>
      <c r="Q708" s="69" t="s">
        <v>1076</v>
      </c>
    </row>
    <row r="709" spans="2:17" ht="18.75" customHeight="1">
      <c r="B709" s="63" t="str">
        <f t="shared" si="20"/>
        <v>No706</v>
      </c>
      <c r="C709" s="63" t="str">
        <f t="shared" si="22"/>
        <v>202605</v>
      </c>
      <c r="D709" s="67" t="s">
        <v>104</v>
      </c>
      <c r="E709" s="67" t="s">
        <v>4</v>
      </c>
      <c r="F709" s="68">
        <v>46171.416666666657</v>
      </c>
      <c r="G709" s="68">
        <v>46171.427083333343</v>
      </c>
      <c r="H709" s="67">
        <f>IF(F709="", "", NETWORKDAYS.INTL(F709, G709, 11,祝日シート!A:A))</f>
        <v>1</v>
      </c>
      <c r="I709" s="75">
        <v>1.041666666666667E-2</v>
      </c>
      <c r="J709" s="67" t="s">
        <v>20</v>
      </c>
      <c r="K709" s="67" t="s">
        <v>26</v>
      </c>
      <c r="L709" s="67" t="s">
        <v>952</v>
      </c>
      <c r="M709" s="67" t="s">
        <v>4</v>
      </c>
      <c r="N709" s="67" t="s">
        <v>6</v>
      </c>
      <c r="O709" s="63" t="s">
        <v>7</v>
      </c>
      <c r="P709" s="77" t="s">
        <v>1077</v>
      </c>
      <c r="Q709" s="66" t="s">
        <v>158</v>
      </c>
    </row>
    <row r="710" spans="2:17" ht="18.75" customHeight="1">
      <c r="B710" s="63" t="str">
        <f t="shared" si="20"/>
        <v>No707</v>
      </c>
      <c r="C710" s="63" t="str">
        <f t="shared" si="22"/>
        <v>202605</v>
      </c>
      <c r="D710" s="67" t="s">
        <v>142</v>
      </c>
      <c r="E710" s="67" t="s">
        <v>116</v>
      </c>
      <c r="F710" s="68">
        <v>46171.419971319447</v>
      </c>
      <c r="G710" s="64">
        <v>46171.419971319447</v>
      </c>
      <c r="H710" s="67">
        <f>IF(F710="", "", NETWORKDAYS.INTL(F710, G710, 11,祝日シート!A:A))</f>
        <v>1</v>
      </c>
      <c r="I710" s="75">
        <v>3.472222222222222E-3</v>
      </c>
      <c r="J710" s="63" t="s">
        <v>119</v>
      </c>
      <c r="K710" s="67" t="s">
        <v>159</v>
      </c>
      <c r="L710" s="67" t="s">
        <v>929</v>
      </c>
      <c r="M710" s="67" t="s">
        <v>314</v>
      </c>
      <c r="N710" s="63" t="s">
        <v>122</v>
      </c>
      <c r="O710" s="63" t="s">
        <v>7</v>
      </c>
      <c r="P710" s="77" t="s">
        <v>482</v>
      </c>
      <c r="Q710" s="66" t="s">
        <v>158</v>
      </c>
    </row>
    <row r="711" spans="2:17" ht="18.75" customHeight="1">
      <c r="B711" s="63" t="str">
        <f t="shared" si="20"/>
        <v>No708</v>
      </c>
      <c r="C711" s="63" t="str">
        <f t="shared" si="22"/>
        <v>202605</v>
      </c>
      <c r="D711" s="67" t="s">
        <v>142</v>
      </c>
      <c r="E711" s="67" t="s">
        <v>116</v>
      </c>
      <c r="F711" s="68">
        <v>46171.448611111111</v>
      </c>
      <c r="G711" s="68">
        <v>46171.445138888892</v>
      </c>
      <c r="H711" s="67">
        <f>IF(F711="", "", NETWORKDAYS.INTL(F711, G711, 11,祝日シート!A:A))</f>
        <v>1</v>
      </c>
      <c r="I711" s="75">
        <v>3.472222222222222E-3</v>
      </c>
      <c r="J711" s="63" t="s">
        <v>119</v>
      </c>
      <c r="K711" s="67" t="s">
        <v>159</v>
      </c>
      <c r="L711" s="67" t="s">
        <v>929</v>
      </c>
      <c r="M711" s="67" t="s">
        <v>187</v>
      </c>
      <c r="N711" s="63" t="s">
        <v>122</v>
      </c>
      <c r="O711" s="63" t="s">
        <v>7</v>
      </c>
      <c r="P711" s="77" t="s">
        <v>482</v>
      </c>
      <c r="Q711" s="66" t="s">
        <v>158</v>
      </c>
    </row>
    <row r="712" spans="2:17" ht="18.75" customHeight="1">
      <c r="B712" s="63" t="str">
        <f t="shared" si="20"/>
        <v>No709</v>
      </c>
      <c r="C712" s="63" t="str">
        <f t="shared" si="22"/>
        <v>202605</v>
      </c>
      <c r="D712" s="67" t="s">
        <v>104</v>
      </c>
      <c r="E712" s="67" t="s">
        <v>4</v>
      </c>
      <c r="F712" s="68">
        <v>46171.458333333343</v>
      </c>
      <c r="G712" s="68">
        <v>46171.5</v>
      </c>
      <c r="H712" s="67">
        <f>IF(F712="", "", NETWORKDAYS.INTL(F712, G712, 11,祝日シート!A:A))</f>
        <v>1</v>
      </c>
      <c r="I712" s="75">
        <v>1.388888888888889E-2</v>
      </c>
      <c r="J712" s="67" t="s">
        <v>20</v>
      </c>
      <c r="K712" s="67" t="s">
        <v>21</v>
      </c>
      <c r="L712" s="67" t="s">
        <v>915</v>
      </c>
      <c r="M712" s="67" t="s">
        <v>136</v>
      </c>
      <c r="N712" s="67" t="s">
        <v>6</v>
      </c>
      <c r="O712" s="63" t="s">
        <v>7</v>
      </c>
      <c r="P712" s="77" t="s">
        <v>1078</v>
      </c>
      <c r="Q712" s="69" t="s">
        <v>1079</v>
      </c>
    </row>
    <row r="713" spans="2:17" ht="18.75" customHeight="1">
      <c r="B713" s="63" t="str">
        <f t="shared" si="20"/>
        <v>No710</v>
      </c>
      <c r="C713" s="63" t="str">
        <f t="shared" si="22"/>
        <v>202605</v>
      </c>
      <c r="D713" s="63" t="s">
        <v>142</v>
      </c>
      <c r="E713" s="67" t="s">
        <v>155</v>
      </c>
      <c r="F713" s="68">
        <v>46171.475694444453</v>
      </c>
      <c r="G713" s="68">
        <v>46171.490277777782</v>
      </c>
      <c r="H713" s="67">
        <f>IF(F713="", "", NETWORKDAYS.INTL(F713, G713, 11,祝日シート!A:A))</f>
        <v>1</v>
      </c>
      <c r="I713" s="75">
        <v>1.041666666666667E-2</v>
      </c>
      <c r="J713" s="63" t="s">
        <v>119</v>
      </c>
      <c r="K713" s="67" t="s">
        <v>931</v>
      </c>
      <c r="L713" s="67" t="s">
        <v>975</v>
      </c>
      <c r="M713" s="67" t="s">
        <v>215</v>
      </c>
      <c r="N713" s="63" t="s">
        <v>122</v>
      </c>
      <c r="O713" s="63" t="s">
        <v>7</v>
      </c>
      <c r="P713" s="77" t="s">
        <v>976</v>
      </c>
      <c r="Q713" s="66" t="s">
        <v>158</v>
      </c>
    </row>
    <row r="714" spans="2:17" ht="18.75" customHeight="1">
      <c r="B714" s="63" t="str">
        <f t="shared" si="20"/>
        <v>No711</v>
      </c>
      <c r="C714" s="63" t="str">
        <f t="shared" si="22"/>
        <v>202605</v>
      </c>
      <c r="D714" s="63" t="s">
        <v>142</v>
      </c>
      <c r="E714" s="67" t="s">
        <v>4</v>
      </c>
      <c r="F714" s="68">
        <v>46171.479166666657</v>
      </c>
      <c r="G714" s="68">
        <v>46171.583333333343</v>
      </c>
      <c r="H714" s="67">
        <f>IF(F714="", "", NETWORKDAYS.INTL(F714, G714, 11,祝日シート!A:A))</f>
        <v>1</v>
      </c>
      <c r="I714" s="75">
        <v>2.0833333333333329E-2</v>
      </c>
      <c r="J714" s="67" t="s">
        <v>20</v>
      </c>
      <c r="K714" s="67" t="s">
        <v>21</v>
      </c>
      <c r="L714" s="67" t="s">
        <v>915</v>
      </c>
      <c r="M714" s="67" t="s">
        <v>420</v>
      </c>
      <c r="N714" s="67" t="s">
        <v>6</v>
      </c>
      <c r="O714" s="63" t="s">
        <v>7</v>
      </c>
      <c r="P714" s="77" t="s">
        <v>1080</v>
      </c>
      <c r="Q714" s="69" t="s">
        <v>1081</v>
      </c>
    </row>
    <row r="715" spans="2:17" ht="18.75" customHeight="1">
      <c r="B715" s="63" t="str">
        <f t="shared" si="20"/>
        <v>No712</v>
      </c>
      <c r="C715" s="63" t="str">
        <f t="shared" si="22"/>
        <v>202605</v>
      </c>
      <c r="D715" s="63" t="s">
        <v>142</v>
      </c>
      <c r="E715" s="67" t="s">
        <v>116</v>
      </c>
      <c r="F715" s="68">
        <v>46171.544444444437</v>
      </c>
      <c r="G715" s="68">
        <v>46171.720138888893</v>
      </c>
      <c r="H715" s="67">
        <f>IF(F715="", "", NETWORKDAYS.INTL(F715, G715, 11,祝日シート!A:A))</f>
        <v>1</v>
      </c>
      <c r="I715" s="75">
        <v>2.0833333333333329E-2</v>
      </c>
      <c r="J715" s="63" t="s">
        <v>197</v>
      </c>
      <c r="K715" s="67" t="s">
        <v>41</v>
      </c>
      <c r="L715" s="67" t="s">
        <v>903</v>
      </c>
      <c r="M715" s="67" t="s">
        <v>277</v>
      </c>
      <c r="N715" s="63" t="s">
        <v>122</v>
      </c>
      <c r="O715" s="67" t="s">
        <v>7</v>
      </c>
      <c r="P715" s="77" t="s">
        <v>1082</v>
      </c>
      <c r="Q715" s="69" t="s">
        <v>1083</v>
      </c>
    </row>
    <row r="716" spans="2:17" ht="18.75" customHeight="1">
      <c r="B716" s="63" t="str">
        <f t="shared" si="20"/>
        <v>No713</v>
      </c>
      <c r="C716" s="63" t="str">
        <f t="shared" si="22"/>
        <v>202605</v>
      </c>
      <c r="D716" s="63" t="s">
        <v>142</v>
      </c>
      <c r="E716" s="67" t="s">
        <v>116</v>
      </c>
      <c r="F716" s="68">
        <v>46171.633333333331</v>
      </c>
      <c r="G716" s="68">
        <v>46171.651388888888</v>
      </c>
      <c r="H716" s="67">
        <f>IF(F716="", "", NETWORKDAYS.INTL(F716, G716, 11,祝日シート!A:A))</f>
        <v>1</v>
      </c>
      <c r="I716" s="75">
        <v>6.9444444444444441E-3</v>
      </c>
      <c r="J716" s="63" t="s">
        <v>119</v>
      </c>
      <c r="K716" s="67" t="s">
        <v>21</v>
      </c>
      <c r="L716" s="67" t="s">
        <v>916</v>
      </c>
      <c r="M716" s="67" t="s">
        <v>539</v>
      </c>
      <c r="N716" s="63" t="s">
        <v>117</v>
      </c>
      <c r="O716" s="63" t="s">
        <v>7</v>
      </c>
      <c r="P716" s="77" t="s">
        <v>1084</v>
      </c>
      <c r="Q716" s="66" t="s">
        <v>158</v>
      </c>
    </row>
    <row r="717" spans="2:17" ht="18.75" customHeight="1">
      <c r="B717" s="63" t="str">
        <f t="shared" si="20"/>
        <v>No714</v>
      </c>
      <c r="C717" s="63" t="str">
        <f t="shared" si="22"/>
        <v>202605</v>
      </c>
      <c r="D717" s="63" t="s">
        <v>142</v>
      </c>
      <c r="E717" s="67" t="s">
        <v>116</v>
      </c>
      <c r="F717" s="68">
        <v>46171.633333333331</v>
      </c>
      <c r="G717" s="68">
        <v>46171.746527777781</v>
      </c>
      <c r="H717" s="67">
        <f>IF(F717="", "", NETWORKDAYS.INTL(F717, G717, 11,祝日シート!A:A))</f>
        <v>1</v>
      </c>
      <c r="I717" s="75">
        <v>3.472222222222222E-3</v>
      </c>
      <c r="J717" s="63" t="s">
        <v>119</v>
      </c>
      <c r="K717" s="67" t="s">
        <v>21</v>
      </c>
      <c r="L717" s="67" t="s">
        <v>916</v>
      </c>
      <c r="M717" s="67" t="s">
        <v>539</v>
      </c>
      <c r="N717" s="63" t="s">
        <v>117</v>
      </c>
      <c r="O717" s="63" t="s">
        <v>7</v>
      </c>
      <c r="P717" s="77" t="s">
        <v>580</v>
      </c>
      <c r="Q717" s="66" t="s">
        <v>158</v>
      </c>
    </row>
    <row r="718" spans="2:17" ht="18.75" customHeight="1">
      <c r="B718" s="63" t="str">
        <f t="shared" si="20"/>
        <v>No715</v>
      </c>
      <c r="C718" s="63" t="str">
        <f t="shared" si="22"/>
        <v>202605</v>
      </c>
      <c r="D718" s="63" t="s">
        <v>142</v>
      </c>
      <c r="E718" s="67" t="s">
        <v>155</v>
      </c>
      <c r="F718" s="68">
        <v>46171.645138888889</v>
      </c>
      <c r="G718" s="68">
        <v>46171.658333333333</v>
      </c>
      <c r="H718" s="67">
        <f>IF(F718="", "", NETWORKDAYS.INTL(F718, G718, 11,祝日シート!A:A))</f>
        <v>1</v>
      </c>
      <c r="I718" s="75">
        <v>6.9444444444444441E-3</v>
      </c>
      <c r="J718" s="63" t="s">
        <v>119</v>
      </c>
      <c r="K718" s="67" t="s">
        <v>931</v>
      </c>
      <c r="L718" s="67" t="s">
        <v>975</v>
      </c>
      <c r="M718" s="67" t="s">
        <v>253</v>
      </c>
      <c r="N718" s="63" t="s">
        <v>122</v>
      </c>
      <c r="O718" s="63" t="s">
        <v>7</v>
      </c>
      <c r="P718" s="77" t="s">
        <v>976</v>
      </c>
      <c r="Q718" s="66" t="s">
        <v>158</v>
      </c>
    </row>
    <row r="719" spans="2:17" ht="18.75" customHeight="1">
      <c r="B719" s="63" t="str">
        <f t="shared" si="20"/>
        <v>No716</v>
      </c>
      <c r="C719" s="63" t="str">
        <f t="shared" si="22"/>
        <v>202605</v>
      </c>
      <c r="D719" s="63" t="s">
        <v>142</v>
      </c>
      <c r="E719" s="67" t="s">
        <v>155</v>
      </c>
      <c r="F719" s="68">
        <v>46171.683333333327</v>
      </c>
      <c r="G719" s="68">
        <v>46171.686805555553</v>
      </c>
      <c r="H719" s="67">
        <f>IF(F719="", "", NETWORKDAYS.INTL(F719, G719, 11,祝日シート!A:A))</f>
        <v>1</v>
      </c>
      <c r="I719" s="75">
        <v>3.472222222222222E-3</v>
      </c>
      <c r="J719" s="63" t="s">
        <v>119</v>
      </c>
      <c r="K719" s="67" t="s">
        <v>931</v>
      </c>
      <c r="L719" s="67" t="s">
        <v>975</v>
      </c>
      <c r="M719" s="67" t="s">
        <v>245</v>
      </c>
      <c r="N719" s="63" t="s">
        <v>122</v>
      </c>
      <c r="O719" s="63" t="s">
        <v>7</v>
      </c>
      <c r="P719" s="77" t="s">
        <v>976</v>
      </c>
      <c r="Q719" s="66" t="s">
        <v>158</v>
      </c>
    </row>
    <row r="720" spans="2:17" ht="18.75" customHeight="1">
      <c r="B720" s="63" t="str">
        <f t="shared" si="20"/>
        <v>No717</v>
      </c>
      <c r="C720" s="63" t="str">
        <f t="shared" si="22"/>
        <v>202605</v>
      </c>
      <c r="D720" s="63" t="s">
        <v>142</v>
      </c>
      <c r="E720" s="67" t="s">
        <v>155</v>
      </c>
      <c r="F720" s="68">
        <v>46171.696527777778</v>
      </c>
      <c r="G720" s="68">
        <v>46171.703472222223</v>
      </c>
      <c r="H720" s="67">
        <f>IF(F720="", "", NETWORKDAYS.INTL(F720, G720, 11,祝日シート!A:A))</f>
        <v>1</v>
      </c>
      <c r="I720" s="75">
        <v>3.472222222222222E-3</v>
      </c>
      <c r="J720" s="63" t="s">
        <v>119</v>
      </c>
      <c r="K720" s="67" t="s">
        <v>931</v>
      </c>
      <c r="L720" s="67" t="s">
        <v>975</v>
      </c>
      <c r="M720" s="67" t="s">
        <v>215</v>
      </c>
      <c r="N720" s="63" t="s">
        <v>122</v>
      </c>
      <c r="O720" s="63" t="s">
        <v>7</v>
      </c>
      <c r="P720" s="77" t="s">
        <v>976</v>
      </c>
      <c r="Q720" s="66" t="s">
        <v>158</v>
      </c>
    </row>
    <row r="721" spans="2:17" ht="18.75" customHeight="1">
      <c r="B721" s="63" t="str">
        <f t="shared" si="20"/>
        <v>No718</v>
      </c>
      <c r="C721" s="63" t="str">
        <f t="shared" si="22"/>
        <v>202605</v>
      </c>
      <c r="D721" s="63" t="s">
        <v>142</v>
      </c>
      <c r="E721" s="67" t="s">
        <v>4</v>
      </c>
      <c r="F721" s="68">
        <v>46171.708333333343</v>
      </c>
      <c r="G721" s="68">
        <v>46171.75</v>
      </c>
      <c r="H721" s="67">
        <f>IF(F721="", "", NETWORKDAYS.INTL(F721, G721, 11,祝日シート!A:A))</f>
        <v>1</v>
      </c>
      <c r="I721" s="75">
        <v>1.388888888888889E-2</v>
      </c>
      <c r="J721" s="67" t="s">
        <v>20</v>
      </c>
      <c r="K721" s="67" t="s">
        <v>21</v>
      </c>
      <c r="L721" s="67" t="s">
        <v>915</v>
      </c>
      <c r="M721" s="67" t="s">
        <v>183</v>
      </c>
      <c r="N721" s="63" t="s">
        <v>122</v>
      </c>
      <c r="O721" s="63" t="s">
        <v>7</v>
      </c>
      <c r="P721" s="77" t="s">
        <v>1085</v>
      </c>
      <c r="Q721" s="66" t="s">
        <v>158</v>
      </c>
    </row>
    <row r="722" spans="2:17" ht="18.75" customHeight="1">
      <c r="B722" s="63" t="str">
        <f t="shared" si="20"/>
        <v>No719</v>
      </c>
      <c r="C722" s="63" t="str">
        <f t="shared" si="22"/>
        <v>202605</v>
      </c>
      <c r="D722" s="63" t="s">
        <v>142</v>
      </c>
      <c r="E722" s="67" t="s">
        <v>116</v>
      </c>
      <c r="F722" s="68">
        <v>46171.729861111111</v>
      </c>
      <c r="G722" s="68">
        <v>46171.738888888889</v>
      </c>
      <c r="H722" s="67">
        <f>IF(F722="", "", NETWORKDAYS.INTL(F722, G722, 11,祝日シート!A:A))</f>
        <v>1</v>
      </c>
      <c r="I722" s="65">
        <v>6.9444444444444441E-3</v>
      </c>
      <c r="J722" s="63" t="s">
        <v>119</v>
      </c>
      <c r="K722" s="67" t="s">
        <v>931</v>
      </c>
      <c r="L722" s="67" t="s">
        <v>975</v>
      </c>
      <c r="M722" s="67" t="s">
        <v>253</v>
      </c>
      <c r="N722" s="63" t="s">
        <v>122</v>
      </c>
      <c r="O722" s="63" t="s">
        <v>7</v>
      </c>
      <c r="P722" s="77" t="s">
        <v>976</v>
      </c>
      <c r="Q722" s="66" t="s">
        <v>158</v>
      </c>
    </row>
    <row r="723" spans="2:17" ht="18.75" customHeight="1">
      <c r="B723" s="63" t="str">
        <f t="shared" si="20"/>
        <v>No720</v>
      </c>
      <c r="C723" s="63" t="str">
        <f t="shared" si="22"/>
        <v>202606</v>
      </c>
      <c r="D723" s="67" t="s">
        <v>1086</v>
      </c>
      <c r="E723" s="67" t="s">
        <v>116</v>
      </c>
      <c r="F723" s="68">
        <v>46174.375</v>
      </c>
      <c r="G723" s="68">
        <v>46174.416666666657</v>
      </c>
      <c r="H723" s="67">
        <f>IF(F723="", "", NETWORKDAYS.INTL(F723, G723, 11,祝日シート!A:A))</f>
        <v>1</v>
      </c>
      <c r="I723" s="75">
        <v>4.1666666666666657E-2</v>
      </c>
      <c r="J723" s="67" t="s">
        <v>143</v>
      </c>
      <c r="K723" s="67" t="s">
        <v>923</v>
      </c>
      <c r="L723" s="67" t="s">
        <v>906</v>
      </c>
      <c r="M723" s="67" t="s">
        <v>102</v>
      </c>
      <c r="N723" s="67" t="s">
        <v>117</v>
      </c>
      <c r="O723" s="63" t="s">
        <v>7</v>
      </c>
      <c r="P723" s="77" t="s">
        <v>1087</v>
      </c>
      <c r="Q723" s="69" t="s">
        <v>1088</v>
      </c>
    </row>
    <row r="724" spans="2:17" ht="18.75" customHeight="1">
      <c r="B724" s="63" t="str">
        <f t="shared" si="20"/>
        <v>No721</v>
      </c>
      <c r="C724" s="63" t="str">
        <f t="shared" si="22"/>
        <v>202606</v>
      </c>
      <c r="D724" s="63" t="s">
        <v>142</v>
      </c>
      <c r="E724" s="67" t="s">
        <v>4</v>
      </c>
      <c r="F724" s="68">
        <v>46174.375</v>
      </c>
      <c r="G724" s="68">
        <v>46174.388888888891</v>
      </c>
      <c r="H724" s="67">
        <f>IF(F724="", "", NETWORKDAYS.INTL(F724, G724, 11,祝日シート!A:A))</f>
        <v>1</v>
      </c>
      <c r="I724" s="75">
        <v>1.388888888888889E-2</v>
      </c>
      <c r="J724" s="67" t="s">
        <v>20</v>
      </c>
      <c r="K724" s="67" t="s">
        <v>21</v>
      </c>
      <c r="L724" s="67" t="s">
        <v>915</v>
      </c>
      <c r="M724" s="67" t="s">
        <v>420</v>
      </c>
      <c r="N724" s="67" t="s">
        <v>6</v>
      </c>
      <c r="O724" s="63" t="s">
        <v>7</v>
      </c>
      <c r="P724" s="77" t="s">
        <v>1089</v>
      </c>
      <c r="Q724" s="66" t="s">
        <v>158</v>
      </c>
    </row>
    <row r="725" spans="2:17" ht="18.75" customHeight="1">
      <c r="B725" s="63" t="str">
        <f t="shared" si="20"/>
        <v>No722</v>
      </c>
      <c r="C725" s="63" t="str">
        <f t="shared" si="22"/>
        <v>202606</v>
      </c>
      <c r="D725" s="63" t="s">
        <v>142</v>
      </c>
      <c r="E725" s="67" t="s">
        <v>4</v>
      </c>
      <c r="F725" s="68">
        <v>46174.458333333343</v>
      </c>
      <c r="G725" s="68">
        <v>46174.583333333343</v>
      </c>
      <c r="H725" s="67">
        <f>IF(F725="", "", NETWORKDAYS.INTL(F725, G725, 11,祝日シート!A:A))</f>
        <v>1</v>
      </c>
      <c r="I725" s="75">
        <v>6.25E-2</v>
      </c>
      <c r="J725" s="67" t="s">
        <v>20</v>
      </c>
      <c r="K725" s="67" t="s">
        <v>26</v>
      </c>
      <c r="L725" s="67" t="s">
        <v>952</v>
      </c>
      <c r="M725" s="67" t="s">
        <v>4</v>
      </c>
      <c r="N725" s="67" t="s">
        <v>6</v>
      </c>
      <c r="O725" s="63" t="s">
        <v>7</v>
      </c>
      <c r="P725" s="77" t="s">
        <v>1090</v>
      </c>
      <c r="Q725" s="69" t="s">
        <v>1091</v>
      </c>
    </row>
    <row r="726" spans="2:17" ht="18.75" customHeight="1">
      <c r="B726" s="63" t="str">
        <f t="shared" si="20"/>
        <v>No723</v>
      </c>
      <c r="C726" s="63" t="str">
        <f t="shared" si="22"/>
        <v>202606</v>
      </c>
      <c r="D726" s="67" t="s">
        <v>1086</v>
      </c>
      <c r="E726" s="67" t="s">
        <v>116</v>
      </c>
      <c r="F726" s="68">
        <v>46174.48541666667</v>
      </c>
      <c r="G726" s="68">
        <v>46174.55</v>
      </c>
      <c r="H726" s="67">
        <f>IF(F726="", "", NETWORKDAYS.INTL(F726, G726, 11,祝日シート!A:A))</f>
        <v>1</v>
      </c>
      <c r="I726" s="75">
        <v>4.1666666666666657E-2</v>
      </c>
      <c r="J726" s="67" t="s">
        <v>143</v>
      </c>
      <c r="K726" s="67" t="s">
        <v>21</v>
      </c>
      <c r="L726" s="67" t="s">
        <v>915</v>
      </c>
      <c r="M726" s="67" t="s">
        <v>133</v>
      </c>
      <c r="N726" s="63" t="s">
        <v>122</v>
      </c>
      <c r="O726" s="63" t="s">
        <v>7</v>
      </c>
      <c r="P726" s="77" t="s">
        <v>1092</v>
      </c>
      <c r="Q726" s="69" t="s">
        <v>1093</v>
      </c>
    </row>
    <row r="727" spans="2:17" ht="18.75" customHeight="1">
      <c r="B727" s="63" t="str">
        <f t="shared" ref="B727:B790" si="23">"No"&amp;ROW()-3</f>
        <v>No724</v>
      </c>
      <c r="C727" s="63" t="str">
        <f t="shared" ref="C727:C745" si="24">IFERROR(IF(G727&lt;&gt;"",TEXT(G727,"yyyymm"),""),"")</f>
        <v>202606</v>
      </c>
      <c r="D727" s="67" t="s">
        <v>1086</v>
      </c>
      <c r="E727" s="67" t="s">
        <v>116</v>
      </c>
      <c r="F727" s="68">
        <v>46174.652083333327</v>
      </c>
      <c r="G727" s="68">
        <v>46174.659722222219</v>
      </c>
      <c r="H727" s="67">
        <f>IF(F727="", "", NETWORKDAYS.INTL(F727, G727, 11,祝日シート!A:A))</f>
        <v>1</v>
      </c>
      <c r="I727" s="75">
        <v>3.472222222222222E-3</v>
      </c>
      <c r="J727" s="63" t="s">
        <v>143</v>
      </c>
      <c r="K727" s="67" t="s">
        <v>923</v>
      </c>
      <c r="L727" s="67" t="s">
        <v>906</v>
      </c>
      <c r="M727" s="67" t="s">
        <v>332</v>
      </c>
      <c r="N727" s="67" t="s">
        <v>122</v>
      </c>
      <c r="O727" s="63" t="s">
        <v>7</v>
      </c>
      <c r="P727" s="77" t="s">
        <v>1094</v>
      </c>
      <c r="Q727" s="69" t="s">
        <v>1095</v>
      </c>
    </row>
    <row r="728" spans="2:17" ht="18.75" customHeight="1">
      <c r="B728" s="63" t="str">
        <f t="shared" si="23"/>
        <v>No725</v>
      </c>
      <c r="C728" s="63" t="str">
        <f t="shared" si="24"/>
        <v>202606</v>
      </c>
      <c r="D728" s="63" t="s">
        <v>142</v>
      </c>
      <c r="E728" s="67" t="s">
        <v>155</v>
      </c>
      <c r="F728" s="68">
        <v>46174.666666666657</v>
      </c>
      <c r="G728" s="68">
        <v>46174.677083333343</v>
      </c>
      <c r="H728" s="67">
        <f>IF(F728="", "", NETWORKDAYS.INTL(F728, G728, 11,祝日シート!A:A))</f>
        <v>1</v>
      </c>
      <c r="I728" s="75">
        <v>1.041666666666667E-2</v>
      </c>
      <c r="J728" s="67" t="s">
        <v>20</v>
      </c>
      <c r="K728" s="67" t="s">
        <v>21</v>
      </c>
      <c r="L728" s="67" t="s">
        <v>915</v>
      </c>
      <c r="M728" s="67" t="s">
        <v>183</v>
      </c>
      <c r="N728" s="63" t="s">
        <v>122</v>
      </c>
      <c r="O728" s="63" t="s">
        <v>7</v>
      </c>
      <c r="P728" s="77" t="s">
        <v>1096</v>
      </c>
      <c r="Q728" s="69" t="s">
        <v>1097</v>
      </c>
    </row>
    <row r="729" spans="2:17" ht="18.75" customHeight="1">
      <c r="B729" s="63" t="str">
        <f t="shared" si="23"/>
        <v>No726</v>
      </c>
      <c r="C729" s="63" t="str">
        <f t="shared" si="24"/>
        <v>202606</v>
      </c>
      <c r="D729" s="63" t="s">
        <v>142</v>
      </c>
      <c r="E729" s="67" t="s">
        <v>116</v>
      </c>
      <c r="F729" s="68">
        <v>46174.674340277779</v>
      </c>
      <c r="G729" s="64">
        <v>46174.695203414347</v>
      </c>
      <c r="H729" s="67">
        <f>IF(F729="", "", NETWORKDAYS.INTL(F729, G729, 11,祝日シート!A:A))</f>
        <v>1</v>
      </c>
      <c r="I729" s="75">
        <v>3.472222222222222E-3</v>
      </c>
      <c r="J729" s="67" t="s">
        <v>119</v>
      </c>
      <c r="K729" s="67" t="s">
        <v>931</v>
      </c>
      <c r="L729" s="67" t="s">
        <v>975</v>
      </c>
      <c r="M729" s="67" t="s">
        <v>253</v>
      </c>
      <c r="N729" s="63" t="s">
        <v>122</v>
      </c>
      <c r="O729" s="63" t="s">
        <v>7</v>
      </c>
      <c r="P729" s="77" t="s">
        <v>976</v>
      </c>
      <c r="Q729" s="66" t="s">
        <v>158</v>
      </c>
    </row>
    <row r="730" spans="2:17" ht="18.75" customHeight="1">
      <c r="B730" s="63" t="str">
        <f t="shared" si="23"/>
        <v>No727</v>
      </c>
      <c r="C730" s="63" t="str">
        <f t="shared" si="24"/>
        <v>202606</v>
      </c>
      <c r="D730" s="63" t="s">
        <v>142</v>
      </c>
      <c r="E730" s="67" t="s">
        <v>155</v>
      </c>
      <c r="F730" s="68">
        <v>46175.402777777781</v>
      </c>
      <c r="G730" s="68">
        <v>46175.409722222219</v>
      </c>
      <c r="H730" s="67">
        <f>IF(F730="", "", NETWORKDAYS.INTL(F730, G730, 11,祝日シート!A:A))</f>
        <v>1</v>
      </c>
      <c r="I730" s="65">
        <v>3.472222222222222E-3</v>
      </c>
      <c r="J730" s="63" t="s">
        <v>119</v>
      </c>
      <c r="K730" s="67" t="s">
        <v>159</v>
      </c>
      <c r="L730" s="67" t="s">
        <v>929</v>
      </c>
      <c r="M730" s="67" t="s">
        <v>187</v>
      </c>
      <c r="N730" s="63" t="s">
        <v>122</v>
      </c>
      <c r="O730" s="63" t="s">
        <v>7</v>
      </c>
      <c r="P730" s="77" t="s">
        <v>482</v>
      </c>
      <c r="Q730" s="66" t="s">
        <v>158</v>
      </c>
    </row>
    <row r="731" spans="2:17" ht="18.75" customHeight="1">
      <c r="B731" s="63" t="str">
        <f t="shared" si="23"/>
        <v>No728</v>
      </c>
      <c r="C731" s="63" t="str">
        <f t="shared" si="24"/>
        <v>202606</v>
      </c>
      <c r="D731" s="70" t="s">
        <v>186</v>
      </c>
      <c r="E731" s="67" t="s">
        <v>155</v>
      </c>
      <c r="F731" s="68">
        <v>46175.541666666657</v>
      </c>
      <c r="G731" s="68">
        <v>46175.545138888891</v>
      </c>
      <c r="H731" s="67">
        <f>IF(F731="", "", NETWORKDAYS.INTL(F731, G731, 11,祝日シート!A:A))</f>
        <v>1</v>
      </c>
      <c r="I731" s="65">
        <v>3.472222222222222E-3</v>
      </c>
      <c r="J731" s="63" t="s">
        <v>143</v>
      </c>
      <c r="K731" s="67" t="s">
        <v>41</v>
      </c>
      <c r="L731" s="67" t="s">
        <v>903</v>
      </c>
      <c r="M731" s="67" t="s">
        <v>292</v>
      </c>
      <c r="N731" s="63" t="s">
        <v>122</v>
      </c>
      <c r="O731" s="63" t="s">
        <v>7</v>
      </c>
      <c r="P731" s="77" t="s">
        <v>1098</v>
      </c>
      <c r="Q731" s="69" t="s">
        <v>1099</v>
      </c>
    </row>
    <row r="732" spans="2:17" ht="18.75" customHeight="1">
      <c r="B732" s="63" t="str">
        <f t="shared" si="23"/>
        <v>No729</v>
      </c>
      <c r="C732" s="63" t="str">
        <f t="shared" si="24"/>
        <v>202606</v>
      </c>
      <c r="D732" s="63" t="s">
        <v>142</v>
      </c>
      <c r="E732" s="67" t="s">
        <v>4</v>
      </c>
      <c r="F732" s="68">
        <v>46175.5625</v>
      </c>
      <c r="G732" s="68">
        <v>46175.6875</v>
      </c>
      <c r="H732" s="67">
        <f>IF(F732="", "", NETWORKDAYS.INTL(F732, G732, 11,祝日シート!A:A))</f>
        <v>1</v>
      </c>
      <c r="I732" s="75">
        <v>0.125</v>
      </c>
      <c r="J732" s="67" t="s">
        <v>20</v>
      </c>
      <c r="K732" s="67" t="s">
        <v>41</v>
      </c>
      <c r="L732" s="67" t="s">
        <v>561</v>
      </c>
      <c r="M732" s="67" t="s">
        <v>848</v>
      </c>
      <c r="N732" s="67" t="s">
        <v>6</v>
      </c>
      <c r="O732" s="63" t="s">
        <v>7</v>
      </c>
      <c r="P732" s="77" t="s">
        <v>1100</v>
      </c>
      <c r="Q732" s="69" t="s">
        <v>1101</v>
      </c>
    </row>
    <row r="733" spans="2:17" ht="18.75" customHeight="1">
      <c r="B733" s="63" t="str">
        <f t="shared" si="23"/>
        <v>No730</v>
      </c>
      <c r="C733" s="63" t="str">
        <f t="shared" si="24"/>
        <v>202606</v>
      </c>
      <c r="D733" s="63" t="s">
        <v>142</v>
      </c>
      <c r="E733" s="67" t="s">
        <v>4</v>
      </c>
      <c r="F733" s="68">
        <v>46175.645833333343</v>
      </c>
      <c r="G733" s="68">
        <v>46175.659722222219</v>
      </c>
      <c r="H733" s="67">
        <f>IF(F733="", "", NETWORKDAYS.INTL(F733, G733, 11,祝日シート!A:A))</f>
        <v>1</v>
      </c>
      <c r="I733" s="75">
        <v>1.388888888888889E-2</v>
      </c>
      <c r="J733" s="67" t="s">
        <v>20</v>
      </c>
      <c r="K733" s="67" t="s">
        <v>21</v>
      </c>
      <c r="L733" s="67" t="s">
        <v>916</v>
      </c>
      <c r="M733" s="67" t="s">
        <v>1102</v>
      </c>
      <c r="N733" s="67" t="s">
        <v>6</v>
      </c>
      <c r="O733" s="63" t="s">
        <v>7</v>
      </c>
      <c r="P733" s="77" t="s">
        <v>1103</v>
      </c>
      <c r="Q733" s="69" t="s">
        <v>1104</v>
      </c>
    </row>
    <row r="734" spans="2:17" ht="18.75" customHeight="1">
      <c r="B734" s="63" t="str">
        <f t="shared" si="23"/>
        <v>No731</v>
      </c>
      <c r="C734" s="63" t="str">
        <f t="shared" si="24"/>
        <v>202606</v>
      </c>
      <c r="D734" s="63" t="s">
        <v>142</v>
      </c>
      <c r="E734" s="67" t="s">
        <v>155</v>
      </c>
      <c r="F734" s="68">
        <v>46176.402777777781</v>
      </c>
      <c r="G734" s="68">
        <v>46176.458333333343</v>
      </c>
      <c r="H734" s="67">
        <f>IF(F734="", "", NETWORKDAYS.INTL(F734, G734, 11,祝日シート!A:A))</f>
        <v>1</v>
      </c>
      <c r="I734" s="75">
        <v>5.5555555555555552E-2</v>
      </c>
      <c r="J734" s="63" t="s">
        <v>119</v>
      </c>
      <c r="K734" s="67" t="s">
        <v>41</v>
      </c>
      <c r="L734" s="67" t="s">
        <v>899</v>
      </c>
      <c r="M734" s="67" t="s">
        <v>217</v>
      </c>
      <c r="N734" s="67" t="s">
        <v>117</v>
      </c>
      <c r="O734" s="63" t="s">
        <v>7</v>
      </c>
      <c r="P734" s="77" t="s">
        <v>1105</v>
      </c>
      <c r="Q734" s="66" t="s">
        <v>158</v>
      </c>
    </row>
    <row r="735" spans="2:17" ht="18.75" customHeight="1">
      <c r="B735" s="63" t="str">
        <f t="shared" si="23"/>
        <v>No732</v>
      </c>
      <c r="C735" s="63" t="str">
        <f t="shared" si="24"/>
        <v>202606</v>
      </c>
      <c r="D735" s="63" t="s">
        <v>142</v>
      </c>
      <c r="E735" s="67" t="s">
        <v>155</v>
      </c>
      <c r="F735" s="68">
        <v>46176.458333333343</v>
      </c>
      <c r="G735" s="68">
        <v>46176.666666666657</v>
      </c>
      <c r="H735" s="67">
        <f>IF(F735="", "", NETWORKDAYS.INTL(F735, G735, 11,祝日シート!A:A))</f>
        <v>1</v>
      </c>
      <c r="I735" s="75">
        <v>2.0833333333333329E-2</v>
      </c>
      <c r="J735" s="63" t="s">
        <v>119</v>
      </c>
      <c r="K735" s="67" t="s">
        <v>41</v>
      </c>
      <c r="L735" s="67" t="s">
        <v>903</v>
      </c>
      <c r="M735" s="67" t="s">
        <v>277</v>
      </c>
      <c r="N735" s="63" t="s">
        <v>122</v>
      </c>
      <c r="O735" s="63" t="s">
        <v>7</v>
      </c>
      <c r="P735" s="77" t="s">
        <v>1106</v>
      </c>
      <c r="Q735" s="69" t="s">
        <v>1107</v>
      </c>
    </row>
    <row r="736" spans="2:17" ht="18.75" customHeight="1">
      <c r="B736" s="63" t="str">
        <f t="shared" si="23"/>
        <v>No733</v>
      </c>
      <c r="C736" s="63" t="str">
        <f t="shared" si="24"/>
        <v>202606</v>
      </c>
      <c r="D736" s="63" t="s">
        <v>142</v>
      </c>
      <c r="E736" s="67" t="s">
        <v>116</v>
      </c>
      <c r="F736" s="68">
        <v>46177.363888888889</v>
      </c>
      <c r="G736" s="68">
        <v>46177.75</v>
      </c>
      <c r="H736" s="67">
        <f>IF(F736="", "", NETWORKDAYS.INTL(F736, G736, 11,祝日シート!A:A))</f>
        <v>1</v>
      </c>
      <c r="I736" s="75">
        <v>6.9444444444444441E-3</v>
      </c>
      <c r="J736" s="67" t="s">
        <v>197</v>
      </c>
      <c r="K736" s="67" t="s">
        <v>923</v>
      </c>
      <c r="L736" s="67" t="s">
        <v>906</v>
      </c>
      <c r="M736" s="67" t="s">
        <v>924</v>
      </c>
      <c r="N736" s="67" t="s">
        <v>117</v>
      </c>
      <c r="O736" s="67" t="s">
        <v>7</v>
      </c>
      <c r="P736" s="77" t="s">
        <v>1108</v>
      </c>
      <c r="Q736" s="69"/>
    </row>
    <row r="737" spans="2:17" ht="18.75" customHeight="1">
      <c r="B737" s="63" t="str">
        <f t="shared" si="23"/>
        <v>No734</v>
      </c>
      <c r="C737" s="63" t="str">
        <f t="shared" si="24"/>
        <v>202606</v>
      </c>
      <c r="D737" s="67" t="s">
        <v>142</v>
      </c>
      <c r="E737" s="67" t="s">
        <v>4</v>
      </c>
      <c r="F737" s="68">
        <v>46177.375</v>
      </c>
      <c r="G737" s="68">
        <v>46177.5</v>
      </c>
      <c r="H737" s="67">
        <f>IF(F737="", "", NETWORKDAYS.INTL(F737, G737, 11,祝日シート!A:A))</f>
        <v>1</v>
      </c>
      <c r="I737" s="75">
        <v>0.125</v>
      </c>
      <c r="J737" s="67" t="s">
        <v>45</v>
      </c>
      <c r="K737" s="67" t="s">
        <v>21</v>
      </c>
      <c r="L737" s="67" t="s">
        <v>993</v>
      </c>
      <c r="M737" s="67" t="s">
        <v>238</v>
      </c>
      <c r="N737" s="67" t="s">
        <v>6</v>
      </c>
      <c r="O737" s="63" t="s">
        <v>7</v>
      </c>
      <c r="P737" s="77" t="s">
        <v>1109</v>
      </c>
      <c r="Q737" s="69" t="s">
        <v>1110</v>
      </c>
    </row>
    <row r="738" spans="2:17" ht="18.75" customHeight="1">
      <c r="B738" s="63" t="str">
        <f t="shared" si="23"/>
        <v>No735</v>
      </c>
      <c r="C738" s="63" t="str">
        <f t="shared" si="24"/>
        <v>202606</v>
      </c>
      <c r="D738" s="67" t="s">
        <v>142</v>
      </c>
      <c r="E738" s="67" t="s">
        <v>4</v>
      </c>
      <c r="F738" s="68">
        <v>46177.447916666657</v>
      </c>
      <c r="G738" s="68">
        <v>46177.458333333343</v>
      </c>
      <c r="H738" s="67">
        <f>IF(F738="", "", NETWORKDAYS.INTL(F738, G738, 11,祝日シート!A:A))</f>
        <v>1</v>
      </c>
      <c r="I738" s="75">
        <v>1.041666666666667E-2</v>
      </c>
      <c r="J738" s="67" t="s">
        <v>20</v>
      </c>
      <c r="K738" s="67" t="s">
        <v>21</v>
      </c>
      <c r="L738" s="67" t="s">
        <v>993</v>
      </c>
      <c r="M738" s="67" t="s">
        <v>198</v>
      </c>
      <c r="N738" s="67" t="s">
        <v>6</v>
      </c>
      <c r="O738" s="63" t="s">
        <v>7</v>
      </c>
      <c r="P738" s="77" t="s">
        <v>1111</v>
      </c>
      <c r="Q738" s="69" t="s">
        <v>158</v>
      </c>
    </row>
    <row r="739" spans="2:17" ht="18.75" customHeight="1">
      <c r="B739" s="63" t="str">
        <f t="shared" si="23"/>
        <v>No736</v>
      </c>
      <c r="C739" s="63" t="str">
        <f t="shared" si="24"/>
        <v>202606</v>
      </c>
      <c r="D739" s="63" t="s">
        <v>142</v>
      </c>
      <c r="E739" s="67" t="s">
        <v>116</v>
      </c>
      <c r="F739" s="68">
        <v>46177.482638888891</v>
      </c>
      <c r="G739" s="68">
        <v>46177.490277777782</v>
      </c>
      <c r="H739" s="67">
        <f>IF(F739="", "", NETWORKDAYS.INTL(F739, G739, 11,祝日シート!A:A))</f>
        <v>1</v>
      </c>
      <c r="I739" s="75">
        <v>3.472222222222222E-3</v>
      </c>
      <c r="J739" s="63" t="s">
        <v>119</v>
      </c>
      <c r="K739" s="67" t="s">
        <v>931</v>
      </c>
      <c r="L739" s="67" t="s">
        <v>975</v>
      </c>
      <c r="M739" s="67" t="s">
        <v>215</v>
      </c>
      <c r="N739" s="63" t="s">
        <v>122</v>
      </c>
      <c r="O739" s="63" t="s">
        <v>7</v>
      </c>
      <c r="P739" s="77" t="s">
        <v>246</v>
      </c>
      <c r="Q739" s="66" t="s">
        <v>158</v>
      </c>
    </row>
    <row r="740" spans="2:17" ht="18.75" customHeight="1">
      <c r="B740" s="63" t="str">
        <f t="shared" si="23"/>
        <v>No737</v>
      </c>
      <c r="C740" s="63" t="str">
        <f t="shared" si="24"/>
        <v>202606</v>
      </c>
      <c r="D740" s="63" t="s">
        <v>142</v>
      </c>
      <c r="E740" s="67" t="s">
        <v>155</v>
      </c>
      <c r="F740" s="68">
        <v>46177.488888888889</v>
      </c>
      <c r="G740" s="68">
        <v>46177.50277777778</v>
      </c>
      <c r="H740" s="67">
        <f>IF(F740="", "", NETWORKDAYS.INTL(F740, G740, 11,祝日シート!A:A))</f>
        <v>1</v>
      </c>
      <c r="I740" s="75">
        <v>1.388888888888889E-2</v>
      </c>
      <c r="J740" s="67" t="s">
        <v>119</v>
      </c>
      <c r="K740" s="67" t="s">
        <v>931</v>
      </c>
      <c r="L740" s="67" t="s">
        <v>975</v>
      </c>
      <c r="M740" s="67" t="s">
        <v>215</v>
      </c>
      <c r="N740" s="63" t="s">
        <v>122</v>
      </c>
      <c r="O740" s="63" t="s">
        <v>7</v>
      </c>
      <c r="P740" s="77" t="s">
        <v>246</v>
      </c>
      <c r="Q740" s="69" t="s">
        <v>158</v>
      </c>
    </row>
    <row r="741" spans="2:17" ht="18.75" customHeight="1">
      <c r="B741" s="63" t="str">
        <f t="shared" si="23"/>
        <v>No738</v>
      </c>
      <c r="C741" s="63" t="str">
        <f t="shared" si="24"/>
        <v>202606</v>
      </c>
      <c r="D741" s="67" t="s">
        <v>142</v>
      </c>
      <c r="E741" s="67" t="s">
        <v>4</v>
      </c>
      <c r="F741" s="68">
        <v>46177.489583333343</v>
      </c>
      <c r="G741" s="68">
        <v>46177.496527777781</v>
      </c>
      <c r="H741" s="67">
        <f>IF(F741="", "", NETWORKDAYS.INTL(F741, G741, 11,祝日シート!A:A))</f>
        <v>1</v>
      </c>
      <c r="I741" s="75">
        <v>6.9444444444444441E-3</v>
      </c>
      <c r="J741" s="67" t="s">
        <v>20</v>
      </c>
      <c r="K741" s="63" t="s">
        <v>159</v>
      </c>
      <c r="L741" s="67"/>
      <c r="M741" s="67" t="s">
        <v>675</v>
      </c>
      <c r="N741" s="67" t="s">
        <v>6</v>
      </c>
      <c r="O741" s="63" t="s">
        <v>7</v>
      </c>
      <c r="P741" s="77" t="s">
        <v>1112</v>
      </c>
      <c r="Q741" s="69" t="s">
        <v>1113</v>
      </c>
    </row>
    <row r="742" spans="2:17" ht="18.75" customHeight="1">
      <c r="B742" s="63" t="str">
        <f t="shared" si="23"/>
        <v>No739</v>
      </c>
      <c r="C742" s="63" t="str">
        <f t="shared" si="24"/>
        <v>202606</v>
      </c>
      <c r="D742" s="63" t="s">
        <v>142</v>
      </c>
      <c r="E742" s="67" t="s">
        <v>155</v>
      </c>
      <c r="F742" s="68">
        <v>46177.541666666657</v>
      </c>
      <c r="G742" s="68">
        <v>46178.75</v>
      </c>
      <c r="H742" s="67">
        <f>IF(F742="", "", NETWORKDAYS.INTL(F742, G742, 11,祝日シート!A:A))</f>
        <v>2</v>
      </c>
      <c r="I742" s="75">
        <v>8.3333333333333329E-2</v>
      </c>
      <c r="J742" s="67" t="s">
        <v>20</v>
      </c>
      <c r="K742" s="67" t="s">
        <v>21</v>
      </c>
      <c r="L742" s="67" t="s">
        <v>916</v>
      </c>
      <c r="M742" s="67" t="s">
        <v>1114</v>
      </c>
      <c r="N742" s="63" t="s">
        <v>122</v>
      </c>
      <c r="O742" s="63" t="s">
        <v>7</v>
      </c>
      <c r="P742" s="77" t="s">
        <v>1115</v>
      </c>
      <c r="Q742" s="69" t="s">
        <v>1116</v>
      </c>
    </row>
    <row r="743" spans="2:17" ht="18.75" customHeight="1">
      <c r="B743" s="63" t="str">
        <f t="shared" si="23"/>
        <v>No740</v>
      </c>
      <c r="C743" s="63" t="str">
        <f t="shared" si="24"/>
        <v>202606</v>
      </c>
      <c r="D743" s="63" t="s">
        <v>142</v>
      </c>
      <c r="E743" s="67" t="s">
        <v>155</v>
      </c>
      <c r="F743" s="68">
        <v>46177.55</v>
      </c>
      <c r="G743" s="68">
        <v>46177.593055555553</v>
      </c>
      <c r="H743" s="67">
        <f>IF(F743="", "", NETWORKDAYS.INTL(F743, G743, 11,祝日シート!A:A))</f>
        <v>1</v>
      </c>
      <c r="I743" s="75">
        <v>3.472222222222222E-3</v>
      </c>
      <c r="J743" s="63" t="s">
        <v>119</v>
      </c>
      <c r="K743" s="67" t="s">
        <v>21</v>
      </c>
      <c r="L743" s="67" t="s">
        <v>915</v>
      </c>
      <c r="M743" s="67" t="s">
        <v>217</v>
      </c>
      <c r="N743" s="63" t="s">
        <v>122</v>
      </c>
      <c r="O743" s="63" t="s">
        <v>7</v>
      </c>
      <c r="P743" s="77" t="s">
        <v>212</v>
      </c>
      <c r="Q743" s="69" t="s">
        <v>158</v>
      </c>
    </row>
    <row r="744" spans="2:17" ht="18.75" customHeight="1">
      <c r="B744" s="63" t="str">
        <f t="shared" si="23"/>
        <v>No741</v>
      </c>
      <c r="C744" s="63" t="str">
        <f t="shared" si="24"/>
        <v>202606</v>
      </c>
      <c r="D744" s="63" t="s">
        <v>142</v>
      </c>
      <c r="E744" s="67" t="s">
        <v>155</v>
      </c>
      <c r="F744" s="68">
        <v>46177.583333333343</v>
      </c>
      <c r="G744" s="68">
        <v>46177.59375</v>
      </c>
      <c r="H744" s="67">
        <f>IF(F744="", "", NETWORKDAYS.INTL(F744, G744, 11,祝日シート!A:A))</f>
        <v>1</v>
      </c>
      <c r="I744" s="75">
        <v>1.041666666666667E-2</v>
      </c>
      <c r="J744" s="67" t="s">
        <v>20</v>
      </c>
      <c r="K744" s="67" t="s">
        <v>931</v>
      </c>
      <c r="L744" s="67" t="s">
        <v>975</v>
      </c>
      <c r="M744" s="67" t="s">
        <v>215</v>
      </c>
      <c r="N744" s="63" t="s">
        <v>122</v>
      </c>
      <c r="O744" s="63" t="s">
        <v>7</v>
      </c>
      <c r="P744" s="77" t="s">
        <v>1117</v>
      </c>
      <c r="Q744" s="69" t="s">
        <v>1118</v>
      </c>
    </row>
    <row r="745" spans="2:17" ht="18.75" customHeight="1">
      <c r="B745" s="63" t="str">
        <f t="shared" si="23"/>
        <v>No742</v>
      </c>
      <c r="C745" s="63" t="str">
        <f t="shared" si="24"/>
        <v>202606</v>
      </c>
      <c r="D745" s="63" t="s">
        <v>142</v>
      </c>
      <c r="E745" s="67" t="s">
        <v>116</v>
      </c>
      <c r="F745" s="68">
        <v>46177.586111111108</v>
      </c>
      <c r="G745" s="68">
        <v>46177.722916666673</v>
      </c>
      <c r="H745" s="67">
        <f>IF(F745="", "", NETWORKDAYS.INTL(F745, G745, 11,祝日シート!A:A))</f>
        <v>1</v>
      </c>
      <c r="I745" s="75">
        <v>6.9444444444444441E-3</v>
      </c>
      <c r="J745" s="63" t="s">
        <v>119</v>
      </c>
      <c r="K745" s="67" t="s">
        <v>21</v>
      </c>
      <c r="L745" s="67" t="s">
        <v>916</v>
      </c>
      <c r="M745" s="67" t="s">
        <v>917</v>
      </c>
      <c r="N745" s="63" t="s">
        <v>122</v>
      </c>
      <c r="O745" s="63" t="s">
        <v>7</v>
      </c>
      <c r="P745" s="77" t="s">
        <v>580</v>
      </c>
      <c r="Q745" s="66" t="s">
        <v>158</v>
      </c>
    </row>
    <row r="746" spans="2:17" ht="18.75" customHeight="1">
      <c r="B746" s="63" t="str">
        <f t="shared" si="23"/>
        <v>No743</v>
      </c>
      <c r="C746" s="63" t="s">
        <v>2</v>
      </c>
      <c r="D746" s="63" t="s">
        <v>142</v>
      </c>
      <c r="E746" s="67" t="s">
        <v>116</v>
      </c>
      <c r="F746" s="68">
        <v>46177.636111111111</v>
      </c>
      <c r="G746" s="68">
        <v>46177.70416666667</v>
      </c>
      <c r="H746" s="67">
        <f>IF(F746="", "", NETWORKDAYS.INTL(F746, G746, 11,祝日シート!A:A))</f>
        <v>1</v>
      </c>
      <c r="I746" s="75">
        <v>2.0833333333333329E-2</v>
      </c>
      <c r="J746" s="63" t="s">
        <v>143</v>
      </c>
      <c r="K746" s="67" t="s">
        <v>159</v>
      </c>
      <c r="L746" s="67" t="s">
        <v>896</v>
      </c>
      <c r="M746" s="67" t="s">
        <v>339</v>
      </c>
      <c r="N746" s="63" t="s">
        <v>117</v>
      </c>
      <c r="O746" s="63" t="s">
        <v>7</v>
      </c>
      <c r="P746" s="77" t="s">
        <v>897</v>
      </c>
      <c r="Q746" s="66" t="s">
        <v>898</v>
      </c>
    </row>
    <row r="747" spans="2:17" ht="18.75" customHeight="1">
      <c r="B747" s="63" t="str">
        <f t="shared" si="23"/>
        <v>No744</v>
      </c>
      <c r="C747" s="63" t="str">
        <f>IFERROR(IF(G747&lt;&gt;"",TEXT(G747,"yyyymm"),""),"")</f>
        <v>202606</v>
      </c>
      <c r="D747" s="63" t="s">
        <v>142</v>
      </c>
      <c r="E747" s="67" t="s">
        <v>155</v>
      </c>
      <c r="F747" s="68">
        <v>46177.665972222218</v>
      </c>
      <c r="G747" s="68">
        <v>46177.669444444437</v>
      </c>
      <c r="H747" s="67">
        <f>IF(F747="", "", NETWORKDAYS.INTL(F747, G747, 11,祝日シート!A:A))</f>
        <v>1</v>
      </c>
      <c r="I747" s="65">
        <v>3.472222222222222E-3</v>
      </c>
      <c r="J747" s="63" t="s">
        <v>119</v>
      </c>
      <c r="K747" s="67" t="s">
        <v>159</v>
      </c>
      <c r="L747" s="67" t="s">
        <v>929</v>
      </c>
      <c r="M747" s="67" t="s">
        <v>187</v>
      </c>
      <c r="N747" s="63" t="s">
        <v>122</v>
      </c>
      <c r="O747" s="63" t="s">
        <v>7</v>
      </c>
      <c r="P747" s="77" t="s">
        <v>482</v>
      </c>
      <c r="Q747" s="66" t="s">
        <v>158</v>
      </c>
    </row>
    <row r="748" spans="2:17" ht="18.75" customHeight="1">
      <c r="B748" s="63" t="str">
        <f t="shared" si="23"/>
        <v>No745</v>
      </c>
      <c r="C748" s="63" t="str">
        <f>IFERROR(IF(G748&lt;&gt;"",TEXT(G748,"yyyymm"),""),"")</f>
        <v>202606</v>
      </c>
      <c r="D748" s="63" t="s">
        <v>142</v>
      </c>
      <c r="E748" s="67" t="s">
        <v>155</v>
      </c>
      <c r="F748" s="68">
        <v>46178.666666666657</v>
      </c>
      <c r="G748" s="68">
        <v>46178.702777777777</v>
      </c>
      <c r="H748" s="67">
        <f>IF(F748="", "", NETWORKDAYS.INTL(F748, G748, 11,祝日シート!A:A))</f>
        <v>1</v>
      </c>
      <c r="I748" s="75">
        <v>1.041666666666667E-2</v>
      </c>
      <c r="J748" s="63" t="s">
        <v>45</v>
      </c>
      <c r="K748" s="67" t="s">
        <v>21</v>
      </c>
      <c r="L748" s="67" t="s">
        <v>916</v>
      </c>
      <c r="M748" s="67" t="s">
        <v>144</v>
      </c>
      <c r="N748" s="67" t="s">
        <v>122</v>
      </c>
      <c r="O748" s="67" t="s">
        <v>7</v>
      </c>
      <c r="P748" s="77" t="s">
        <v>1119</v>
      </c>
      <c r="Q748" s="69" t="s">
        <v>1097</v>
      </c>
    </row>
    <row r="749" spans="2:17" ht="18.75" customHeight="1">
      <c r="B749" s="63" t="str">
        <f t="shared" si="23"/>
        <v>No746</v>
      </c>
      <c r="C749" s="63" t="s">
        <v>2</v>
      </c>
      <c r="D749" s="63" t="s">
        <v>142</v>
      </c>
      <c r="E749" s="67" t="s">
        <v>116</v>
      </c>
      <c r="F749" s="68">
        <v>46178.70416666667</v>
      </c>
      <c r="G749" s="64">
        <v>46178.723611111112</v>
      </c>
      <c r="H749" s="67">
        <f>IF(F749="", "", NETWORKDAYS.INTL(F749, G749, 11,祝日シート!A:A))</f>
        <v>1</v>
      </c>
      <c r="I749" s="75">
        <v>6.9444444444444441E-3</v>
      </c>
      <c r="J749" s="63" t="s">
        <v>119</v>
      </c>
      <c r="K749" s="67" t="s">
        <v>21</v>
      </c>
      <c r="L749" s="67" t="s">
        <v>916</v>
      </c>
      <c r="M749" s="67" t="s">
        <v>917</v>
      </c>
      <c r="N749" s="63" t="s">
        <v>122</v>
      </c>
      <c r="O749" s="63" t="s">
        <v>7</v>
      </c>
      <c r="P749" s="77" t="s">
        <v>580</v>
      </c>
      <c r="Q749" s="66" t="s">
        <v>158</v>
      </c>
    </row>
    <row r="750" spans="2:17" ht="18.75" customHeight="1">
      <c r="B750" s="63" t="str">
        <f t="shared" si="23"/>
        <v>No747</v>
      </c>
      <c r="C750" s="63" t="str">
        <f>IFERROR(IF(G750&lt;&gt;"",TEXT(G750,"yyyymm"),""),"")</f>
        <v>202606</v>
      </c>
      <c r="D750" s="67" t="s">
        <v>104</v>
      </c>
      <c r="E750" s="67" t="s">
        <v>155</v>
      </c>
      <c r="F750" s="68">
        <v>46179.385416666657</v>
      </c>
      <c r="G750" s="68">
        <v>46179.40625</v>
      </c>
      <c r="H750" s="67">
        <f>IF(F750="", "", NETWORKDAYS.INTL(F750, G750, 11,祝日シート!A:A))</f>
        <v>1</v>
      </c>
      <c r="I750" s="75">
        <v>2.0833333333333329E-2</v>
      </c>
      <c r="J750" s="67" t="s">
        <v>20</v>
      </c>
      <c r="K750" s="67" t="s">
        <v>159</v>
      </c>
      <c r="L750" s="67" t="s">
        <v>896</v>
      </c>
      <c r="M750" s="67" t="s">
        <v>402</v>
      </c>
      <c r="N750" s="63" t="s">
        <v>117</v>
      </c>
      <c r="O750" s="63" t="s">
        <v>7</v>
      </c>
      <c r="P750" s="77" t="s">
        <v>1120</v>
      </c>
      <c r="Q750" s="69" t="s">
        <v>1121</v>
      </c>
    </row>
    <row r="751" spans="2:17" ht="21.75" customHeight="1">
      <c r="B751" s="63" t="str">
        <f t="shared" si="23"/>
        <v>No748</v>
      </c>
      <c r="C751" s="63" t="s">
        <v>2</v>
      </c>
      <c r="D751" s="63" t="s">
        <v>142</v>
      </c>
      <c r="E751" s="67" t="s">
        <v>116</v>
      </c>
      <c r="F751" s="68">
        <v>46179.614583333343</v>
      </c>
      <c r="G751" s="68">
        <v>46179.616666666669</v>
      </c>
      <c r="H751" s="67">
        <f>IF(F751="", "", NETWORKDAYS.INTL(F751, G751, 11,祝日シート!A:A))</f>
        <v>1</v>
      </c>
      <c r="I751" s="65">
        <v>3.472222222222222E-3</v>
      </c>
      <c r="J751" s="63" t="s">
        <v>119</v>
      </c>
      <c r="K751" s="67" t="s">
        <v>931</v>
      </c>
      <c r="L751" s="67" t="s">
        <v>975</v>
      </c>
      <c r="M751" s="67" t="s">
        <v>215</v>
      </c>
      <c r="N751" s="63" t="s">
        <v>122</v>
      </c>
      <c r="O751" s="63" t="s">
        <v>7</v>
      </c>
      <c r="P751" s="77" t="s">
        <v>246</v>
      </c>
      <c r="Q751" s="66" t="s">
        <v>158</v>
      </c>
    </row>
    <row r="752" spans="2:17" ht="18.75" customHeight="1">
      <c r="B752" s="63" t="str">
        <f t="shared" si="23"/>
        <v>No749</v>
      </c>
      <c r="C752" s="63" t="str">
        <f t="shared" ref="C752:C783" si="25">IFERROR(IF(G752&lt;&gt;"",TEXT(G752,"yyyymm"),""),"")</f>
        <v>202606</v>
      </c>
      <c r="D752" s="63" t="s">
        <v>142</v>
      </c>
      <c r="E752" s="67" t="s">
        <v>155</v>
      </c>
      <c r="F752" s="68">
        <v>46181.416666666657</v>
      </c>
      <c r="G752" s="68">
        <v>46181.4375</v>
      </c>
      <c r="H752" s="67">
        <f>IF(F752="", "", NETWORKDAYS.INTL(F752, G752, 11,祝日シート!A:A))</f>
        <v>1</v>
      </c>
      <c r="I752" s="75">
        <v>2.0833333333333329E-2</v>
      </c>
      <c r="J752" s="67" t="s">
        <v>20</v>
      </c>
      <c r="K752" s="67" t="s">
        <v>931</v>
      </c>
      <c r="L752" s="67" t="s">
        <v>975</v>
      </c>
      <c r="M752" s="67" t="s">
        <v>339</v>
      </c>
      <c r="N752" s="63" t="s">
        <v>117</v>
      </c>
      <c r="O752" s="63" t="s">
        <v>7</v>
      </c>
      <c r="P752" s="77" t="s">
        <v>1122</v>
      </c>
      <c r="Q752" s="69" t="s">
        <v>1123</v>
      </c>
    </row>
    <row r="753" spans="2:17" ht="18.75" customHeight="1">
      <c r="B753" s="63" t="str">
        <f t="shared" si="23"/>
        <v>No750</v>
      </c>
      <c r="C753" s="63" t="str">
        <f t="shared" si="25"/>
        <v>202606</v>
      </c>
      <c r="D753" s="63" t="s">
        <v>142</v>
      </c>
      <c r="E753" s="67" t="s">
        <v>155</v>
      </c>
      <c r="F753" s="68">
        <v>46181.54791666667</v>
      </c>
      <c r="G753" s="68">
        <v>46181.598611111112</v>
      </c>
      <c r="H753" s="67">
        <f>IF(F753="", "", NETWORKDAYS.INTL(F753, G753, 11,祝日シート!A:A))</f>
        <v>1</v>
      </c>
      <c r="I753" s="65">
        <v>3.472222222222222E-3</v>
      </c>
      <c r="J753" s="67" t="s">
        <v>119</v>
      </c>
      <c r="K753" s="67" t="s">
        <v>21</v>
      </c>
      <c r="L753" s="67" t="s">
        <v>915</v>
      </c>
      <c r="M753" s="67" t="s">
        <v>217</v>
      </c>
      <c r="N753" s="63" t="s">
        <v>122</v>
      </c>
      <c r="O753" s="63" t="s">
        <v>7</v>
      </c>
      <c r="P753" s="77" t="s">
        <v>212</v>
      </c>
      <c r="Q753" s="66" t="s">
        <v>158</v>
      </c>
    </row>
    <row r="754" spans="2:17" ht="18.75" customHeight="1">
      <c r="B754" s="63" t="str">
        <f t="shared" si="23"/>
        <v>No751</v>
      </c>
      <c r="C754" s="63" t="str">
        <f t="shared" si="25"/>
        <v>202606</v>
      </c>
      <c r="D754" s="67" t="s">
        <v>186</v>
      </c>
      <c r="E754" s="67" t="s">
        <v>116</v>
      </c>
      <c r="F754" s="68">
        <v>46181.583333333343</v>
      </c>
      <c r="G754" s="68">
        <v>46181.590277777781</v>
      </c>
      <c r="H754" s="67">
        <f>IF(F754="", "", NETWORKDAYS.INTL(F754, G754, 11,祝日シート!A:A))</f>
        <v>1</v>
      </c>
      <c r="I754" s="65">
        <v>3.472222222222222E-3</v>
      </c>
      <c r="J754" s="67" t="s">
        <v>143</v>
      </c>
      <c r="K754" s="67" t="s">
        <v>159</v>
      </c>
      <c r="L754" s="67" t="s">
        <v>896</v>
      </c>
      <c r="M754" s="67" t="s">
        <v>339</v>
      </c>
      <c r="N754" s="63" t="s">
        <v>122</v>
      </c>
      <c r="O754" s="63" t="s">
        <v>7</v>
      </c>
      <c r="P754" s="77" t="s">
        <v>1124</v>
      </c>
      <c r="Q754" s="69" t="s">
        <v>1125</v>
      </c>
    </row>
    <row r="755" spans="2:17" ht="18.75" customHeight="1">
      <c r="B755" s="63" t="str">
        <f t="shared" si="23"/>
        <v>No752</v>
      </c>
      <c r="C755" s="63" t="str">
        <f t="shared" si="25"/>
        <v>202606</v>
      </c>
      <c r="D755" s="63" t="s">
        <v>142</v>
      </c>
      <c r="E755" s="67" t="s">
        <v>155</v>
      </c>
      <c r="F755" s="68">
        <v>46181.791666666657</v>
      </c>
      <c r="G755" s="68">
        <v>46182.720138888893</v>
      </c>
      <c r="H755" s="67">
        <f>IF(F755="", "", NETWORKDAYS.INTL(F755, G755, 11,祝日シート!A:A))</f>
        <v>2</v>
      </c>
      <c r="I755" s="75">
        <v>0.125</v>
      </c>
      <c r="J755" s="67" t="s">
        <v>310</v>
      </c>
      <c r="K755" s="67" t="s">
        <v>26</v>
      </c>
      <c r="L755" s="67" t="s">
        <v>912</v>
      </c>
      <c r="M755" s="67" t="s">
        <v>626</v>
      </c>
      <c r="N755" s="63" t="s">
        <v>122</v>
      </c>
      <c r="O755" s="63" t="s">
        <v>7</v>
      </c>
      <c r="P755" s="77" t="s">
        <v>1126</v>
      </c>
      <c r="Q755" s="69" t="s">
        <v>1127</v>
      </c>
    </row>
    <row r="756" spans="2:17" ht="18.75" customHeight="1">
      <c r="B756" s="63" t="str">
        <f t="shared" si="23"/>
        <v>No753</v>
      </c>
      <c r="C756" s="63" t="str">
        <f t="shared" si="25"/>
        <v>202606</v>
      </c>
      <c r="D756" s="67" t="s">
        <v>142</v>
      </c>
      <c r="E756" s="67" t="s">
        <v>155</v>
      </c>
      <c r="F756" s="68">
        <v>46182.375</v>
      </c>
      <c r="G756" s="68">
        <v>46182.78125</v>
      </c>
      <c r="H756" s="67">
        <f>IF(F756="", "", NETWORKDAYS.INTL(F756, G756, 11,祝日シート!A:A))</f>
        <v>1</v>
      </c>
      <c r="I756" s="75">
        <v>2.0833333333333329E-2</v>
      </c>
      <c r="J756" s="63" t="s">
        <v>20</v>
      </c>
      <c r="K756" s="67" t="s">
        <v>21</v>
      </c>
      <c r="L756" s="67" t="s">
        <v>915</v>
      </c>
      <c r="M756" s="67" t="s">
        <v>238</v>
      </c>
      <c r="N756" s="63" t="s">
        <v>117</v>
      </c>
      <c r="O756" s="63" t="s">
        <v>7</v>
      </c>
      <c r="P756" s="77" t="s">
        <v>1128</v>
      </c>
      <c r="Q756" s="69" t="s">
        <v>1129</v>
      </c>
    </row>
    <row r="757" spans="2:17" ht="18.75" customHeight="1">
      <c r="B757" s="63" t="str">
        <f t="shared" si="23"/>
        <v>No754</v>
      </c>
      <c r="C757" s="63" t="str">
        <f t="shared" si="25"/>
        <v>202606</v>
      </c>
      <c r="D757" s="63" t="s">
        <v>104</v>
      </c>
      <c r="E757" s="67" t="s">
        <v>155</v>
      </c>
      <c r="F757" s="68">
        <v>46182.541666666657</v>
      </c>
      <c r="G757" s="64">
        <v>46182.555555555547</v>
      </c>
      <c r="H757" s="67">
        <v>1</v>
      </c>
      <c r="I757" s="65">
        <v>1.388888888888889E-2</v>
      </c>
      <c r="J757" s="63" t="s">
        <v>20</v>
      </c>
      <c r="K757" s="67" t="s">
        <v>931</v>
      </c>
      <c r="L757" s="67" t="s">
        <v>975</v>
      </c>
      <c r="M757" s="67" t="s">
        <v>253</v>
      </c>
      <c r="N757" s="63" t="s">
        <v>117</v>
      </c>
      <c r="O757" s="63" t="s">
        <v>7</v>
      </c>
      <c r="P757" s="77" t="s">
        <v>1130</v>
      </c>
      <c r="Q757" s="66" t="s">
        <v>1131</v>
      </c>
    </row>
    <row r="758" spans="2:17" ht="18.75" customHeight="1">
      <c r="B758" s="63" t="str">
        <f t="shared" si="23"/>
        <v>No755</v>
      </c>
      <c r="C758" s="63" t="str">
        <f t="shared" si="25"/>
        <v>202606</v>
      </c>
      <c r="D758" s="63" t="s">
        <v>104</v>
      </c>
      <c r="E758" s="67" t="s">
        <v>155</v>
      </c>
      <c r="F758" s="68">
        <v>46182.5625</v>
      </c>
      <c r="G758" s="64">
        <v>46182.583333333343</v>
      </c>
      <c r="H758" s="67">
        <v>1</v>
      </c>
      <c r="I758" s="65">
        <v>2.0833333333333329E-2</v>
      </c>
      <c r="J758" s="63" t="s">
        <v>20</v>
      </c>
      <c r="K758" s="67" t="s">
        <v>41</v>
      </c>
      <c r="L758" s="67" t="s">
        <v>903</v>
      </c>
      <c r="M758" s="67" t="s">
        <v>1132</v>
      </c>
      <c r="N758" s="63" t="s">
        <v>117</v>
      </c>
      <c r="O758" s="63" t="s">
        <v>7</v>
      </c>
      <c r="P758" s="77" t="s">
        <v>1133</v>
      </c>
      <c r="Q758" s="66" t="s">
        <v>1134</v>
      </c>
    </row>
    <row r="759" spans="2:17" ht="18.75" customHeight="1">
      <c r="B759" s="63" t="str">
        <f t="shared" si="23"/>
        <v>No756</v>
      </c>
      <c r="C759" s="63" t="str">
        <f t="shared" si="25"/>
        <v>202606</v>
      </c>
      <c r="D759" s="67" t="s">
        <v>186</v>
      </c>
      <c r="E759" s="67" t="s">
        <v>155</v>
      </c>
      <c r="F759" s="68">
        <v>46182.618055555547</v>
      </c>
      <c r="G759" s="68">
        <v>46182.666666666657</v>
      </c>
      <c r="H759" s="67">
        <f>IF(F759="", "", NETWORKDAYS.INTL(F759, G759, 11,祝日シート!A:A))</f>
        <v>1</v>
      </c>
      <c r="I759" s="75">
        <v>6.9444444444444441E-3</v>
      </c>
      <c r="J759" s="63" t="s">
        <v>20</v>
      </c>
      <c r="K759" s="67" t="s">
        <v>21</v>
      </c>
      <c r="L759" s="67" t="s">
        <v>916</v>
      </c>
      <c r="M759" s="67" t="s">
        <v>460</v>
      </c>
      <c r="N759" s="67" t="s">
        <v>6</v>
      </c>
      <c r="O759" s="63" t="s">
        <v>7</v>
      </c>
      <c r="P759" s="77" t="s">
        <v>1135</v>
      </c>
      <c r="Q759" s="69" t="s">
        <v>1136</v>
      </c>
    </row>
    <row r="760" spans="2:17" ht="18.75" customHeight="1">
      <c r="B760" s="63" t="str">
        <f t="shared" si="23"/>
        <v>No757</v>
      </c>
      <c r="C760" s="63" t="str">
        <f t="shared" si="25"/>
        <v>202606</v>
      </c>
      <c r="D760" s="67" t="s">
        <v>142</v>
      </c>
      <c r="E760" s="67" t="s">
        <v>155</v>
      </c>
      <c r="F760" s="68">
        <v>46182.666666666657</v>
      </c>
      <c r="G760" s="68">
        <v>46183.375</v>
      </c>
      <c r="H760" s="67">
        <f>IF(F760="", "", NETWORKDAYS.INTL(F760, G760, 11,祝日シート!A:A))</f>
        <v>2</v>
      </c>
      <c r="I760" s="65">
        <v>1.388888888888889E-2</v>
      </c>
      <c r="J760" s="63" t="s">
        <v>20</v>
      </c>
      <c r="K760" s="67" t="s">
        <v>931</v>
      </c>
      <c r="L760" s="67" t="s">
        <v>975</v>
      </c>
      <c r="M760" s="67" t="s">
        <v>215</v>
      </c>
      <c r="N760" s="63" t="s">
        <v>122</v>
      </c>
      <c r="O760" s="63" t="s">
        <v>7</v>
      </c>
      <c r="P760" s="77" t="s">
        <v>1137</v>
      </c>
      <c r="Q760" s="69" t="s">
        <v>1138</v>
      </c>
    </row>
    <row r="761" spans="2:17" ht="18.75" customHeight="1">
      <c r="B761" s="63" t="str">
        <f t="shared" si="23"/>
        <v>No758</v>
      </c>
      <c r="C761" s="63" t="str">
        <f t="shared" si="25"/>
        <v>202606</v>
      </c>
      <c r="D761" s="63" t="s">
        <v>142</v>
      </c>
      <c r="E761" s="67" t="s">
        <v>155</v>
      </c>
      <c r="F761" s="68">
        <v>46183.630555555559</v>
      </c>
      <c r="G761" s="68">
        <v>46183.667361111111</v>
      </c>
      <c r="H761" s="67">
        <f>IF(F761="", "", NETWORKDAYS.INTL(F761, G761, 11,祝日シート!A:A))</f>
        <v>1</v>
      </c>
      <c r="I761" s="75">
        <v>6.9444444444444441E-3</v>
      </c>
      <c r="J761" s="63" t="s">
        <v>119</v>
      </c>
      <c r="K761" s="67" t="s">
        <v>159</v>
      </c>
      <c r="L761" s="67" t="s">
        <v>929</v>
      </c>
      <c r="M761" s="67" t="s">
        <v>288</v>
      </c>
      <c r="N761" s="63" t="s">
        <v>122</v>
      </c>
      <c r="O761" s="63" t="s">
        <v>7</v>
      </c>
      <c r="P761" s="77" t="s">
        <v>482</v>
      </c>
      <c r="Q761" s="66" t="s">
        <v>158</v>
      </c>
    </row>
    <row r="762" spans="2:17" ht="18.75" customHeight="1">
      <c r="B762" s="63" t="str">
        <f t="shared" si="23"/>
        <v>No759</v>
      </c>
      <c r="C762" s="63" t="str">
        <f t="shared" si="25"/>
        <v>202606</v>
      </c>
      <c r="D762" s="63" t="s">
        <v>142</v>
      </c>
      <c r="E762" s="67" t="s">
        <v>4</v>
      </c>
      <c r="F762" s="68">
        <v>46183.666666666657</v>
      </c>
      <c r="G762" s="68">
        <v>46183.666666666657</v>
      </c>
      <c r="H762" s="67">
        <f>IF(F762="", "", NETWORKDAYS.INTL(F762, G762, 11,祝日シート!A:A))</f>
        <v>1</v>
      </c>
      <c r="I762" s="67" t="s">
        <v>1062</v>
      </c>
      <c r="J762" s="63" t="s">
        <v>20</v>
      </c>
      <c r="K762" s="67" t="s">
        <v>159</v>
      </c>
      <c r="L762" s="67" t="s">
        <v>896</v>
      </c>
      <c r="M762" s="67" t="s">
        <v>339</v>
      </c>
      <c r="N762" s="67" t="s">
        <v>6</v>
      </c>
      <c r="O762" s="63" t="s">
        <v>7</v>
      </c>
      <c r="P762" s="77" t="s">
        <v>1139</v>
      </c>
      <c r="Q762" s="69" t="s">
        <v>1140</v>
      </c>
    </row>
    <row r="763" spans="2:17" ht="18.75" customHeight="1">
      <c r="B763" s="63" t="str">
        <f t="shared" si="23"/>
        <v>No760</v>
      </c>
      <c r="C763" s="63" t="str">
        <f t="shared" si="25"/>
        <v>202606</v>
      </c>
      <c r="D763" s="63" t="s">
        <v>142</v>
      </c>
      <c r="E763" s="67" t="s">
        <v>155</v>
      </c>
      <c r="F763" s="68">
        <v>46183.690972222219</v>
      </c>
      <c r="G763" s="68">
        <v>46183.709027777782</v>
      </c>
      <c r="H763" s="67">
        <f>IF(F763="", "", NETWORKDAYS.INTL(F763, G763, 11,祝日シート!A:A))</f>
        <v>1</v>
      </c>
      <c r="I763" s="65">
        <v>1.041666666666667E-2</v>
      </c>
      <c r="J763" s="63" t="s">
        <v>119</v>
      </c>
      <c r="K763" s="67" t="s">
        <v>21</v>
      </c>
      <c r="L763" s="67" t="s">
        <v>916</v>
      </c>
      <c r="M763" s="67" t="s">
        <v>140</v>
      </c>
      <c r="N763" s="63" t="s">
        <v>117</v>
      </c>
      <c r="O763" s="63" t="s">
        <v>7</v>
      </c>
      <c r="P763" s="77" t="s">
        <v>580</v>
      </c>
      <c r="Q763" s="66" t="s">
        <v>158</v>
      </c>
    </row>
    <row r="764" spans="2:17" ht="18.75" customHeight="1">
      <c r="B764" s="63" t="str">
        <f t="shared" si="23"/>
        <v>No761</v>
      </c>
      <c r="C764" s="63" t="str">
        <f t="shared" si="25"/>
        <v>202606</v>
      </c>
      <c r="D764" s="63" t="s">
        <v>142</v>
      </c>
      <c r="E764" s="67" t="s">
        <v>4</v>
      </c>
      <c r="F764" s="68">
        <v>46183.708333333343</v>
      </c>
      <c r="G764" s="68">
        <v>46183.75</v>
      </c>
      <c r="H764" s="67">
        <f>IF(F764="", "", NETWORKDAYS.INTL(F764, G764, 11,祝日シート!A:A))</f>
        <v>1</v>
      </c>
      <c r="I764" s="67" t="s">
        <v>1141</v>
      </c>
      <c r="J764" s="63" t="s">
        <v>20</v>
      </c>
      <c r="K764" s="67" t="s">
        <v>111</v>
      </c>
      <c r="L764" s="67" t="s">
        <v>932</v>
      </c>
      <c r="M764" s="67" t="s">
        <v>114</v>
      </c>
      <c r="N764" s="67" t="s">
        <v>6</v>
      </c>
      <c r="O764" s="63" t="s">
        <v>7</v>
      </c>
      <c r="P764" s="77" t="s">
        <v>1142</v>
      </c>
      <c r="Q764" s="69" t="s">
        <v>1143</v>
      </c>
    </row>
    <row r="765" spans="2:17" ht="18.75" customHeight="1">
      <c r="B765" s="63" t="str">
        <f t="shared" si="23"/>
        <v>No762</v>
      </c>
      <c r="C765" s="63" t="str">
        <f t="shared" si="25"/>
        <v>202606</v>
      </c>
      <c r="D765" s="63" t="s">
        <v>142</v>
      </c>
      <c r="E765" s="67" t="s">
        <v>4</v>
      </c>
      <c r="F765" s="68">
        <v>46184.416666666657</v>
      </c>
      <c r="G765" s="68">
        <v>46184.430555555547</v>
      </c>
      <c r="H765" s="67">
        <f>IF(F765="", "", NETWORKDAYS.INTL(F765, G765, 11,祝日シート!A:A))</f>
        <v>1</v>
      </c>
      <c r="I765" s="67" t="s">
        <v>1062</v>
      </c>
      <c r="J765" s="70" t="s">
        <v>40</v>
      </c>
      <c r="K765" s="67" t="s">
        <v>120</v>
      </c>
      <c r="L765" s="67"/>
      <c r="M765" s="67" t="s">
        <v>193</v>
      </c>
      <c r="N765" s="63" t="s">
        <v>122</v>
      </c>
      <c r="O765" s="63" t="s">
        <v>7</v>
      </c>
      <c r="P765" s="77" t="s">
        <v>1144</v>
      </c>
      <c r="Q765" s="69" t="s">
        <v>1145</v>
      </c>
    </row>
    <row r="766" spans="2:17" ht="18.75" customHeight="1">
      <c r="B766" s="63" t="str">
        <f t="shared" si="23"/>
        <v>No763</v>
      </c>
      <c r="C766" s="63" t="str">
        <f t="shared" si="25"/>
        <v>202606</v>
      </c>
      <c r="D766" s="67" t="s">
        <v>142</v>
      </c>
      <c r="E766" s="67" t="s">
        <v>116</v>
      </c>
      <c r="F766" s="68">
        <v>46184.425000000003</v>
      </c>
      <c r="G766" s="68">
        <v>46184.434272719911</v>
      </c>
      <c r="H766" s="67">
        <f>IF(F766="", "", NETWORKDAYS.INTL(F766, G766, 11,祝日シート!A:A))</f>
        <v>1</v>
      </c>
      <c r="I766" s="75">
        <v>3.472222222222222E-3</v>
      </c>
      <c r="J766" s="63" t="s">
        <v>119</v>
      </c>
      <c r="K766" s="67" t="s">
        <v>931</v>
      </c>
      <c r="L766" s="67" t="s">
        <v>975</v>
      </c>
      <c r="M766" s="67" t="s">
        <v>215</v>
      </c>
      <c r="N766" s="63" t="s">
        <v>122</v>
      </c>
      <c r="O766" s="63" t="s">
        <v>7</v>
      </c>
      <c r="P766" s="77" t="s">
        <v>246</v>
      </c>
      <c r="Q766" s="66" t="s">
        <v>158</v>
      </c>
    </row>
    <row r="767" spans="2:17" ht="18.75" customHeight="1">
      <c r="B767" s="63" t="str">
        <f t="shared" si="23"/>
        <v>No764</v>
      </c>
      <c r="C767" s="63" t="str">
        <f t="shared" si="25"/>
        <v>202606</v>
      </c>
      <c r="D767" s="63" t="s">
        <v>142</v>
      </c>
      <c r="E767" s="67" t="s">
        <v>4</v>
      </c>
      <c r="F767" s="68">
        <v>46184.583333333343</v>
      </c>
      <c r="G767" s="68">
        <v>46184.625</v>
      </c>
      <c r="H767" s="67">
        <f>IF(F767="", "", NETWORKDAYS.INTL(F767, G767, 11,祝日シート!A:A))</f>
        <v>1</v>
      </c>
      <c r="I767" s="67" t="s">
        <v>1141</v>
      </c>
      <c r="J767" s="63" t="s">
        <v>20</v>
      </c>
      <c r="K767" s="67" t="s">
        <v>41</v>
      </c>
      <c r="L767" s="67"/>
      <c r="M767" s="67" t="s">
        <v>848</v>
      </c>
      <c r="N767" s="63" t="s">
        <v>122</v>
      </c>
      <c r="O767" s="67" t="s">
        <v>1146</v>
      </c>
      <c r="P767" s="77" t="s">
        <v>1147</v>
      </c>
      <c r="Q767" s="69" t="s">
        <v>1148</v>
      </c>
    </row>
    <row r="768" spans="2:17" ht="18.75" customHeight="1">
      <c r="B768" s="63" t="str">
        <f t="shared" si="23"/>
        <v>No765</v>
      </c>
      <c r="C768" s="63" t="str">
        <f t="shared" si="25"/>
        <v>202606</v>
      </c>
      <c r="D768" s="63" t="s">
        <v>104</v>
      </c>
      <c r="E768" s="67" t="s">
        <v>4</v>
      </c>
      <c r="F768" s="68">
        <v>46184.607638888891</v>
      </c>
      <c r="G768" s="68">
        <v>46184.729166666657</v>
      </c>
      <c r="H768" s="67">
        <f>IF(F768="", "", NETWORKDAYS.INTL(F768, G768, 11,祝日シート!A:A))</f>
        <v>1</v>
      </c>
      <c r="I768" s="67" t="s">
        <v>1028</v>
      </c>
      <c r="J768" s="63" t="s">
        <v>20</v>
      </c>
      <c r="K768" s="67" t="s">
        <v>77</v>
      </c>
      <c r="L768" s="67"/>
      <c r="M768" s="67" t="s">
        <v>202</v>
      </c>
      <c r="N768" s="67" t="s">
        <v>6</v>
      </c>
      <c r="O768" s="63" t="s">
        <v>7</v>
      </c>
      <c r="P768" s="77" t="s">
        <v>1149</v>
      </c>
      <c r="Q768" s="69" t="s">
        <v>1150</v>
      </c>
    </row>
    <row r="769" spans="2:17" ht="18.75" customHeight="1">
      <c r="B769" s="63" t="str">
        <f t="shared" si="23"/>
        <v>No766</v>
      </c>
      <c r="C769" s="63" t="str">
        <f t="shared" si="25"/>
        <v>202606</v>
      </c>
      <c r="D769" s="67" t="s">
        <v>142</v>
      </c>
      <c r="E769" s="67" t="s">
        <v>155</v>
      </c>
      <c r="F769" s="68">
        <v>46184.6875</v>
      </c>
      <c r="G769" s="68">
        <v>46185.614583333343</v>
      </c>
      <c r="H769" s="67">
        <f>IF(F769="", "", NETWORKDAYS.INTL(F769, G769, 11,祝日シート!A:A))</f>
        <v>2</v>
      </c>
      <c r="I769" s="75">
        <v>4.1666666666666657E-2</v>
      </c>
      <c r="J769" s="63" t="s">
        <v>20</v>
      </c>
      <c r="K769" s="67" t="s">
        <v>120</v>
      </c>
      <c r="L769" s="67" t="s">
        <v>1151</v>
      </c>
      <c r="M769" s="67" t="s">
        <v>1152</v>
      </c>
      <c r="N769" s="63" t="s">
        <v>122</v>
      </c>
      <c r="O769" s="67" t="s">
        <v>7</v>
      </c>
      <c r="P769" s="77" t="s">
        <v>1153</v>
      </c>
      <c r="Q769" s="66" t="s">
        <v>158</v>
      </c>
    </row>
    <row r="770" spans="2:17" ht="18.75" customHeight="1">
      <c r="B770" s="63" t="str">
        <f t="shared" si="23"/>
        <v>No767</v>
      </c>
      <c r="C770" s="63" t="str">
        <f t="shared" si="25"/>
        <v>202606</v>
      </c>
      <c r="D770" s="63" t="s">
        <v>142</v>
      </c>
      <c r="E770" s="67" t="s">
        <v>4</v>
      </c>
      <c r="F770" s="68">
        <v>46184.708333333343</v>
      </c>
      <c r="G770" s="68">
        <v>46185.5</v>
      </c>
      <c r="H770" s="67">
        <f>IF(F770="", "", NETWORKDAYS.INTL(F770, G770, 11,祝日シート!A:A))</f>
        <v>2</v>
      </c>
      <c r="I770" s="75">
        <v>1.388888888888889E-2</v>
      </c>
      <c r="J770" s="63" t="s">
        <v>45</v>
      </c>
      <c r="K770" s="67" t="s">
        <v>21</v>
      </c>
      <c r="L770" s="67" t="s">
        <v>915</v>
      </c>
      <c r="M770" s="67" t="s">
        <v>183</v>
      </c>
      <c r="N770" s="63" t="s">
        <v>122</v>
      </c>
      <c r="O770" s="63" t="s">
        <v>7</v>
      </c>
      <c r="P770" s="77" t="s">
        <v>1154</v>
      </c>
      <c r="Q770" s="69" t="s">
        <v>1155</v>
      </c>
    </row>
    <row r="771" spans="2:17" ht="18.75" customHeight="1">
      <c r="B771" s="63" t="str">
        <f t="shared" si="23"/>
        <v>No768</v>
      </c>
      <c r="C771" s="63" t="str">
        <f t="shared" si="25"/>
        <v>202606</v>
      </c>
      <c r="D771" s="67" t="s">
        <v>142</v>
      </c>
      <c r="E771" s="67" t="s">
        <v>155</v>
      </c>
      <c r="F771" s="68">
        <v>46185.375</v>
      </c>
      <c r="G771" s="68">
        <v>46185.378472222219</v>
      </c>
      <c r="H771" s="67">
        <f>IF(F771="", "", NETWORKDAYS.INTL(F771, G771, 11,祝日シート!A:A))</f>
        <v>1</v>
      </c>
      <c r="I771" s="75">
        <v>3.472222222222222E-3</v>
      </c>
      <c r="J771" s="67" t="s">
        <v>119</v>
      </c>
      <c r="K771" s="67" t="s">
        <v>159</v>
      </c>
      <c r="L771" s="67" t="s">
        <v>929</v>
      </c>
      <c r="M771" s="67" t="s">
        <v>187</v>
      </c>
      <c r="N771" s="63" t="s">
        <v>122</v>
      </c>
      <c r="O771" s="67" t="s">
        <v>7</v>
      </c>
      <c r="P771" s="77" t="s">
        <v>246</v>
      </c>
      <c r="Q771" s="66" t="s">
        <v>158</v>
      </c>
    </row>
    <row r="772" spans="2:17" ht="18.75" customHeight="1">
      <c r="B772" s="63" t="str">
        <f t="shared" si="23"/>
        <v>No769</v>
      </c>
      <c r="C772" s="63" t="str">
        <f t="shared" si="25"/>
        <v>202606</v>
      </c>
      <c r="D772" s="63" t="s">
        <v>142</v>
      </c>
      <c r="E772" s="67" t="s">
        <v>155</v>
      </c>
      <c r="F772" s="68">
        <v>46185.416666666657</v>
      </c>
      <c r="G772" s="68">
        <v>46185.427083333343</v>
      </c>
      <c r="H772" s="67">
        <v>1</v>
      </c>
      <c r="I772" s="75">
        <v>1.041666666666667E-2</v>
      </c>
      <c r="J772" s="63" t="s">
        <v>20</v>
      </c>
      <c r="K772" s="67" t="s">
        <v>159</v>
      </c>
      <c r="L772" s="67" t="s">
        <v>929</v>
      </c>
      <c r="M772" s="67" t="s">
        <v>187</v>
      </c>
      <c r="N772" s="63" t="s">
        <v>122</v>
      </c>
      <c r="O772" s="67" t="s">
        <v>7</v>
      </c>
      <c r="P772" s="77" t="s">
        <v>1156</v>
      </c>
      <c r="Q772" s="69" t="s">
        <v>1157</v>
      </c>
    </row>
    <row r="773" spans="2:17" ht="18.75" customHeight="1">
      <c r="B773" s="63" t="str">
        <f t="shared" si="23"/>
        <v>No770</v>
      </c>
      <c r="C773" s="63" t="str">
        <f t="shared" si="25"/>
        <v>202606</v>
      </c>
      <c r="D773" s="63" t="s">
        <v>104</v>
      </c>
      <c r="E773" s="67" t="s">
        <v>4</v>
      </c>
      <c r="F773" s="68">
        <v>46185.440972222219</v>
      </c>
      <c r="G773" s="68">
        <v>46185.451388888891</v>
      </c>
      <c r="H773" s="67">
        <f>IF(F773="", "", NETWORKDAYS.INTL(F773, G773, 11,祝日シート!A:A))</f>
        <v>1</v>
      </c>
      <c r="I773" s="67" t="s">
        <v>1158</v>
      </c>
      <c r="J773" s="63" t="s">
        <v>20</v>
      </c>
      <c r="K773" s="67" t="s">
        <v>120</v>
      </c>
      <c r="L773" s="67"/>
      <c r="M773" s="67" t="s">
        <v>152</v>
      </c>
      <c r="N773" s="67" t="s">
        <v>6</v>
      </c>
      <c r="O773" s="63" t="s">
        <v>7</v>
      </c>
      <c r="P773" s="77" t="s">
        <v>1159</v>
      </c>
      <c r="Q773" s="69" t="s">
        <v>1160</v>
      </c>
    </row>
    <row r="774" spans="2:17" ht="18.75" customHeight="1">
      <c r="B774" s="63" t="str">
        <f t="shared" si="23"/>
        <v>No771</v>
      </c>
      <c r="C774" s="63" t="str">
        <f t="shared" si="25"/>
        <v>202606</v>
      </c>
      <c r="D774" s="63" t="s">
        <v>142</v>
      </c>
      <c r="E774" s="67" t="s">
        <v>155</v>
      </c>
      <c r="F774" s="68">
        <v>46185.590277777781</v>
      </c>
      <c r="G774" s="68">
        <v>46185.59375</v>
      </c>
      <c r="H774" s="67">
        <v>1</v>
      </c>
      <c r="I774" s="65">
        <v>3.472222222222222E-3</v>
      </c>
      <c r="J774" s="67" t="s">
        <v>119</v>
      </c>
      <c r="K774" s="67" t="s">
        <v>159</v>
      </c>
      <c r="L774" s="67" t="s">
        <v>929</v>
      </c>
      <c r="M774" s="67" t="s">
        <v>187</v>
      </c>
      <c r="N774" s="63" t="s">
        <v>122</v>
      </c>
      <c r="O774" s="63" t="s">
        <v>7</v>
      </c>
      <c r="P774" s="77" t="s">
        <v>482</v>
      </c>
      <c r="Q774" s="66" t="s">
        <v>158</v>
      </c>
    </row>
    <row r="775" spans="2:17" ht="18.75" customHeight="1">
      <c r="B775" s="63" t="str">
        <f t="shared" si="23"/>
        <v>No772</v>
      </c>
      <c r="C775" s="63" t="str">
        <f t="shared" si="25"/>
        <v>202606</v>
      </c>
      <c r="D775" s="63" t="s">
        <v>104</v>
      </c>
      <c r="E775" s="67" t="s">
        <v>4</v>
      </c>
      <c r="F775" s="68">
        <v>46185.618055555547</v>
      </c>
      <c r="G775" s="68">
        <v>46185.625</v>
      </c>
      <c r="H775" s="67">
        <f>IF(F775="", "", NETWORKDAYS.INTL(F775, G775, 11,祝日シート!A:A))</f>
        <v>1</v>
      </c>
      <c r="I775" s="75">
        <v>6.9444444444444441E-3</v>
      </c>
      <c r="J775" s="63" t="s">
        <v>20</v>
      </c>
      <c r="K775" s="67" t="s">
        <v>21</v>
      </c>
      <c r="L775" s="67" t="s">
        <v>916</v>
      </c>
      <c r="M775" s="67" t="s">
        <v>539</v>
      </c>
      <c r="N775" s="67" t="s">
        <v>6</v>
      </c>
      <c r="O775" s="63" t="s">
        <v>7</v>
      </c>
      <c r="P775" s="77" t="s">
        <v>1161</v>
      </c>
      <c r="Q775" s="69" t="s">
        <v>1162</v>
      </c>
    </row>
    <row r="776" spans="2:17" ht="18.75" customHeight="1">
      <c r="B776" s="63" t="str">
        <f t="shared" si="23"/>
        <v>No773</v>
      </c>
      <c r="C776" s="63" t="str">
        <f t="shared" si="25"/>
        <v>202606</v>
      </c>
      <c r="D776" s="63" t="s">
        <v>142</v>
      </c>
      <c r="E776" s="67" t="s">
        <v>155</v>
      </c>
      <c r="F776" s="68">
        <v>46185.652777777781</v>
      </c>
      <c r="G776" s="68">
        <v>46185.71875</v>
      </c>
      <c r="H776" s="67">
        <f>IF(F776="", "", NETWORKDAYS.INTL(F776, G776, 11,祝日シート!A:A))</f>
        <v>1</v>
      </c>
      <c r="I776" s="65">
        <v>6.9444444444444441E-3</v>
      </c>
      <c r="J776" s="67" t="s">
        <v>119</v>
      </c>
      <c r="K776" s="67" t="s">
        <v>21</v>
      </c>
      <c r="L776" s="67" t="s">
        <v>916</v>
      </c>
      <c r="M776" s="67" t="s">
        <v>539</v>
      </c>
      <c r="N776" s="67" t="s">
        <v>117</v>
      </c>
      <c r="O776" s="63" t="s">
        <v>7</v>
      </c>
      <c r="P776" s="77" t="s">
        <v>580</v>
      </c>
      <c r="Q776" s="66" t="s">
        <v>158</v>
      </c>
    </row>
    <row r="777" spans="2:17" ht="18.75" customHeight="1">
      <c r="B777" s="63" t="str">
        <f t="shared" si="23"/>
        <v>No774</v>
      </c>
      <c r="C777" s="63" t="str">
        <f t="shared" si="25"/>
        <v>202606</v>
      </c>
      <c r="D777" s="63" t="s">
        <v>142</v>
      </c>
      <c r="E777" s="67" t="s">
        <v>116</v>
      </c>
      <c r="F777" s="68">
        <v>46185.657638888893</v>
      </c>
      <c r="G777" s="68">
        <v>46185.695833333331</v>
      </c>
      <c r="H777" s="67">
        <f>IF(F777="", "", NETWORKDAYS.INTL(F777, G777, 11,祝日シート!A:A))</f>
        <v>1</v>
      </c>
      <c r="I777" s="75">
        <v>2.0833333333333329E-2</v>
      </c>
      <c r="J777" s="63" t="s">
        <v>143</v>
      </c>
      <c r="K777" s="67" t="s">
        <v>159</v>
      </c>
      <c r="L777" s="67" t="s">
        <v>896</v>
      </c>
      <c r="M777" s="67" t="s">
        <v>339</v>
      </c>
      <c r="N777" s="63" t="s">
        <v>117</v>
      </c>
      <c r="O777" s="63" t="s">
        <v>7</v>
      </c>
      <c r="P777" s="77" t="s">
        <v>897</v>
      </c>
      <c r="Q777" s="66" t="s">
        <v>898</v>
      </c>
    </row>
    <row r="778" spans="2:17" ht="18.75" customHeight="1">
      <c r="B778" s="63" t="str">
        <f t="shared" si="23"/>
        <v>No775</v>
      </c>
      <c r="C778" s="63" t="str">
        <f t="shared" si="25"/>
        <v>202606</v>
      </c>
      <c r="D778" s="63" t="s">
        <v>142</v>
      </c>
      <c r="E778" s="67" t="s">
        <v>155</v>
      </c>
      <c r="F778" s="68">
        <v>46185.689583333333</v>
      </c>
      <c r="G778" s="68">
        <v>46185.693055555559</v>
      </c>
      <c r="H778" s="67">
        <v>1</v>
      </c>
      <c r="I778" s="75">
        <v>3.472222222222222E-3</v>
      </c>
      <c r="J778" s="67" t="s">
        <v>119</v>
      </c>
      <c r="K778" s="67" t="s">
        <v>21</v>
      </c>
      <c r="L778" s="67" t="s">
        <v>916</v>
      </c>
      <c r="M778" s="67" t="s">
        <v>1163</v>
      </c>
      <c r="N778" s="63" t="s">
        <v>122</v>
      </c>
      <c r="O778" s="63" t="s">
        <v>7</v>
      </c>
      <c r="P778" s="77" t="s">
        <v>322</v>
      </c>
      <c r="Q778" s="66" t="s">
        <v>158</v>
      </c>
    </row>
    <row r="779" spans="2:17" ht="18.75" customHeight="1">
      <c r="B779" s="63" t="str">
        <f t="shared" si="23"/>
        <v>No776</v>
      </c>
      <c r="C779" s="63" t="str">
        <f t="shared" si="25"/>
        <v>202606</v>
      </c>
      <c r="D779" s="63" t="s">
        <v>142</v>
      </c>
      <c r="E779" s="67" t="s">
        <v>155</v>
      </c>
      <c r="F779" s="68">
        <v>46185.694444444453</v>
      </c>
      <c r="G779" s="64">
        <v>46185.704861111109</v>
      </c>
      <c r="H779" s="67">
        <v>1</v>
      </c>
      <c r="I779" s="65">
        <v>6.9444444444444441E-3</v>
      </c>
      <c r="J779" s="63" t="s">
        <v>119</v>
      </c>
      <c r="K779" s="67" t="s">
        <v>923</v>
      </c>
      <c r="L779" s="67" t="s">
        <v>906</v>
      </c>
      <c r="M779" s="67" t="s">
        <v>907</v>
      </c>
      <c r="N779" s="63" t="s">
        <v>122</v>
      </c>
      <c r="O779" s="63" t="s">
        <v>7</v>
      </c>
      <c r="P779" s="77" t="s">
        <v>1052</v>
      </c>
      <c r="Q779" s="66" t="s">
        <v>158</v>
      </c>
    </row>
    <row r="780" spans="2:17" ht="18.75" customHeight="1">
      <c r="B780" s="63" t="str">
        <f t="shared" si="23"/>
        <v>No777</v>
      </c>
      <c r="C780" s="63" t="str">
        <f t="shared" si="25"/>
        <v>202606</v>
      </c>
      <c r="D780" s="63" t="s">
        <v>142</v>
      </c>
      <c r="E780" s="67" t="s">
        <v>155</v>
      </c>
      <c r="F780" s="68">
        <v>46185.71875</v>
      </c>
      <c r="G780" s="68">
        <v>46188.625</v>
      </c>
      <c r="H780" s="67">
        <f>IF(F780="", "", NETWORKDAYS.INTL(F780, G780, 11,祝日シート!A:A))</f>
        <v>3</v>
      </c>
      <c r="I780" s="65">
        <v>2.0833333333333329E-2</v>
      </c>
      <c r="J780" s="63" t="s">
        <v>119</v>
      </c>
      <c r="K780" s="67" t="s">
        <v>159</v>
      </c>
      <c r="L780" s="67" t="s">
        <v>929</v>
      </c>
      <c r="M780" s="67" t="s">
        <v>160</v>
      </c>
      <c r="N780" s="63" t="s">
        <v>122</v>
      </c>
      <c r="O780" s="63" t="s">
        <v>7</v>
      </c>
      <c r="P780" s="77" t="s">
        <v>1013</v>
      </c>
      <c r="Q780" s="66" t="s">
        <v>158</v>
      </c>
    </row>
    <row r="781" spans="2:17" ht="18.75" customHeight="1">
      <c r="B781" s="63" t="str">
        <f t="shared" si="23"/>
        <v>No778</v>
      </c>
      <c r="C781" s="63" t="str">
        <f t="shared" si="25"/>
        <v>202606</v>
      </c>
      <c r="D781" s="63" t="s">
        <v>142</v>
      </c>
      <c r="E781" s="67" t="s">
        <v>116</v>
      </c>
      <c r="F781" s="68">
        <v>46186.395833333343</v>
      </c>
      <c r="G781" s="68">
        <v>46186.402777777781</v>
      </c>
      <c r="H781" s="67">
        <f>IF(F781="", "", NETWORKDAYS.INTL(F781, G781, 11,祝日シート!A:A))</f>
        <v>1</v>
      </c>
      <c r="I781" s="75">
        <v>3.472222222222222E-3</v>
      </c>
      <c r="J781" s="63" t="s">
        <v>119</v>
      </c>
      <c r="K781" s="67" t="s">
        <v>931</v>
      </c>
      <c r="L781" s="67" t="s">
        <v>975</v>
      </c>
      <c r="M781" s="67" t="s">
        <v>339</v>
      </c>
      <c r="N781" s="63" t="s">
        <v>122</v>
      </c>
      <c r="O781" s="63" t="s">
        <v>7</v>
      </c>
      <c r="P781" s="77" t="s">
        <v>246</v>
      </c>
      <c r="Q781" s="66" t="s">
        <v>158</v>
      </c>
    </row>
    <row r="782" spans="2:17" ht="18.75" customHeight="1">
      <c r="B782" s="63" t="str">
        <f t="shared" si="23"/>
        <v>No779</v>
      </c>
      <c r="C782" s="63" t="str">
        <f t="shared" si="25"/>
        <v>202606</v>
      </c>
      <c r="D782" s="63" t="s">
        <v>104</v>
      </c>
      <c r="E782" s="67" t="s">
        <v>4</v>
      </c>
      <c r="F782" s="68">
        <v>46188.447916666657</v>
      </c>
      <c r="G782" s="68">
        <v>46188.572916666657</v>
      </c>
      <c r="H782" s="67">
        <f>IF(F782="", "", NETWORKDAYS.INTL(F782, G782, 11,祝日シート!A:A))</f>
        <v>1</v>
      </c>
      <c r="I782" s="75">
        <v>0.125</v>
      </c>
      <c r="J782" s="63" t="s">
        <v>20</v>
      </c>
      <c r="K782" s="67" t="s">
        <v>159</v>
      </c>
      <c r="L782" s="67" t="s">
        <v>896</v>
      </c>
      <c r="M782" s="67" t="s">
        <v>675</v>
      </c>
      <c r="N782" s="67" t="s">
        <v>6</v>
      </c>
      <c r="O782" s="63" t="s">
        <v>7</v>
      </c>
      <c r="P782" s="77" t="s">
        <v>1164</v>
      </c>
      <c r="Q782" s="69" t="s">
        <v>1165</v>
      </c>
    </row>
    <row r="783" spans="2:17" ht="18.75" customHeight="1">
      <c r="B783" s="63" t="str">
        <f t="shared" si="23"/>
        <v>No780</v>
      </c>
      <c r="C783" s="63" t="str">
        <f t="shared" si="25"/>
        <v>202606</v>
      </c>
      <c r="D783" s="63" t="s">
        <v>142</v>
      </c>
      <c r="E783" s="67" t="s">
        <v>155</v>
      </c>
      <c r="F783" s="68">
        <v>46188.458333333343</v>
      </c>
      <c r="G783" s="68">
        <v>46188.472222222219</v>
      </c>
      <c r="H783" s="67">
        <f>IF(F783="", "", NETWORKDAYS.INTL(F783, G783, 11,祝日シート!A:A))</f>
        <v>1</v>
      </c>
      <c r="I783" s="65">
        <v>3.472222222222222E-3</v>
      </c>
      <c r="J783" s="63" t="s">
        <v>119</v>
      </c>
      <c r="K783" s="67" t="s">
        <v>21</v>
      </c>
      <c r="L783" s="67" t="s">
        <v>915</v>
      </c>
      <c r="M783" s="67" t="s">
        <v>217</v>
      </c>
      <c r="N783" s="63" t="s">
        <v>122</v>
      </c>
      <c r="O783" s="63" t="s">
        <v>7</v>
      </c>
      <c r="P783" s="77" t="s">
        <v>212</v>
      </c>
      <c r="Q783" s="66" t="s">
        <v>158</v>
      </c>
    </row>
    <row r="784" spans="2:17" ht="18.75" customHeight="1">
      <c r="B784" s="63" t="str">
        <f t="shared" si="23"/>
        <v>No781</v>
      </c>
      <c r="C784" s="63" t="str">
        <f t="shared" ref="C784:C815" si="26">IFERROR(IF(G784&lt;&gt;"",TEXT(G784,"yyyymm"),""),"")</f>
        <v>202606</v>
      </c>
      <c r="D784" s="63" t="s">
        <v>104</v>
      </c>
      <c r="E784" s="67" t="s">
        <v>4</v>
      </c>
      <c r="F784" s="68">
        <v>46188.604166666657</v>
      </c>
      <c r="G784" s="68">
        <v>46188.729166666657</v>
      </c>
      <c r="H784" s="67">
        <f>IF(F784="", "", NETWORKDAYS.INTL(F784, G784, 11,祝日シート!A:A))</f>
        <v>1</v>
      </c>
      <c r="I784" s="75">
        <v>4.1666666666666657E-2</v>
      </c>
      <c r="J784" s="63" t="s">
        <v>61</v>
      </c>
      <c r="K784" s="67" t="s">
        <v>26</v>
      </c>
      <c r="L784" s="67" t="s">
        <v>952</v>
      </c>
      <c r="M784" s="67" t="s">
        <v>4</v>
      </c>
      <c r="N784" s="67" t="s">
        <v>6</v>
      </c>
      <c r="O784" s="67" t="s">
        <v>1166</v>
      </c>
      <c r="P784" s="77" t="s">
        <v>1167</v>
      </c>
      <c r="Q784" s="69" t="s">
        <v>1168</v>
      </c>
    </row>
    <row r="785" spans="2:17" ht="18.75" customHeight="1">
      <c r="B785" s="63" t="str">
        <f t="shared" si="23"/>
        <v>No782</v>
      </c>
      <c r="C785" s="63" t="str">
        <f t="shared" si="26"/>
        <v>202606</v>
      </c>
      <c r="D785" s="63" t="s">
        <v>142</v>
      </c>
      <c r="E785" s="67" t="s">
        <v>155</v>
      </c>
      <c r="F785" s="68">
        <v>46188.63958333333</v>
      </c>
      <c r="G785" s="68">
        <v>46188.658333333333</v>
      </c>
      <c r="H785" s="67">
        <f>IF(F785="", "", NETWORKDAYS.INTL(F785, G785, 11,祝日シート!A:A))</f>
        <v>1</v>
      </c>
      <c r="I785" s="65">
        <v>6.9444444444444441E-3</v>
      </c>
      <c r="J785" s="63" t="s">
        <v>119</v>
      </c>
      <c r="K785" s="67" t="s">
        <v>931</v>
      </c>
      <c r="L785" s="67" t="s">
        <v>975</v>
      </c>
      <c r="M785" s="67" t="s">
        <v>215</v>
      </c>
      <c r="N785" s="63" t="s">
        <v>122</v>
      </c>
      <c r="O785" s="63" t="s">
        <v>7</v>
      </c>
      <c r="P785" s="77" t="s">
        <v>246</v>
      </c>
      <c r="Q785" s="66" t="s">
        <v>158</v>
      </c>
    </row>
    <row r="786" spans="2:17" ht="18.75" customHeight="1">
      <c r="B786" s="63" t="str">
        <f t="shared" si="23"/>
        <v>No783</v>
      </c>
      <c r="C786" s="63" t="str">
        <f t="shared" si="26"/>
        <v>202606</v>
      </c>
      <c r="D786" s="63" t="s">
        <v>142</v>
      </c>
      <c r="E786" s="67" t="s">
        <v>155</v>
      </c>
      <c r="F786" s="68">
        <v>46188.688888888893</v>
      </c>
      <c r="G786" s="68">
        <v>46188.724305555559</v>
      </c>
      <c r="H786" s="67">
        <f>IF(F786="", "", NETWORKDAYS.INTL(F786, G786, 11,祝日シート!A:A))</f>
        <v>1</v>
      </c>
      <c r="I786" s="75">
        <v>1.041666666666667E-2</v>
      </c>
      <c r="J786" s="63" t="s">
        <v>119</v>
      </c>
      <c r="K786" s="67" t="s">
        <v>931</v>
      </c>
      <c r="L786" s="67" t="s">
        <v>975</v>
      </c>
      <c r="M786" s="67" t="s">
        <v>215</v>
      </c>
      <c r="N786" s="63" t="s">
        <v>122</v>
      </c>
      <c r="O786" s="63" t="s">
        <v>7</v>
      </c>
      <c r="P786" s="77" t="s">
        <v>246</v>
      </c>
      <c r="Q786" s="66" t="s">
        <v>158</v>
      </c>
    </row>
    <row r="787" spans="2:17" ht="18.75" customHeight="1">
      <c r="B787" s="63" t="str">
        <f t="shared" si="23"/>
        <v>No784</v>
      </c>
      <c r="C787" s="63" t="str">
        <f t="shared" si="26"/>
        <v>202606</v>
      </c>
      <c r="D787" s="63" t="s">
        <v>142</v>
      </c>
      <c r="E787" s="67" t="s">
        <v>155</v>
      </c>
      <c r="F787" s="68">
        <v>46188.7</v>
      </c>
      <c r="G787" s="68">
        <v>46188.704861111109</v>
      </c>
      <c r="H787" s="67">
        <f>IF(F787="", "", NETWORKDAYS.INTL(F787, G787, 11,祝日シート!A:A))</f>
        <v>1</v>
      </c>
      <c r="I787" s="65">
        <v>3.472222222222222E-3</v>
      </c>
      <c r="J787" s="63" t="s">
        <v>119</v>
      </c>
      <c r="K787" s="67" t="s">
        <v>931</v>
      </c>
      <c r="L787" s="67" t="s">
        <v>975</v>
      </c>
      <c r="M787" s="67" t="s">
        <v>215</v>
      </c>
      <c r="N787" s="63" t="s">
        <v>122</v>
      </c>
      <c r="O787" s="63" t="s">
        <v>7</v>
      </c>
      <c r="P787" s="77" t="s">
        <v>246</v>
      </c>
      <c r="Q787" s="66" t="s">
        <v>158</v>
      </c>
    </row>
    <row r="788" spans="2:17" ht="18.75" customHeight="1">
      <c r="B788" s="63" t="str">
        <f t="shared" si="23"/>
        <v>No785</v>
      </c>
      <c r="C788" s="63" t="str">
        <f t="shared" si="26"/>
        <v>202606</v>
      </c>
      <c r="D788" s="63" t="s">
        <v>142</v>
      </c>
      <c r="E788" s="67" t="s">
        <v>155</v>
      </c>
      <c r="F788" s="68">
        <v>46188.726388888892</v>
      </c>
      <c r="G788" s="68">
        <v>46188.73333333333</v>
      </c>
      <c r="H788" s="67">
        <f>IF(F788="", "", NETWORKDAYS.INTL(F788, G788, 11,祝日シート!A:A))</f>
        <v>1</v>
      </c>
      <c r="I788" s="65">
        <v>6.9444444444444441E-3</v>
      </c>
      <c r="J788" s="63" t="s">
        <v>119</v>
      </c>
      <c r="K788" s="67" t="s">
        <v>21</v>
      </c>
      <c r="L788" s="67" t="s">
        <v>916</v>
      </c>
      <c r="M788" s="67" t="s">
        <v>539</v>
      </c>
      <c r="N788" s="63" t="s">
        <v>117</v>
      </c>
      <c r="O788" s="63" t="s">
        <v>7</v>
      </c>
      <c r="P788" s="77" t="s">
        <v>580</v>
      </c>
      <c r="Q788" s="66" t="s">
        <v>158</v>
      </c>
    </row>
    <row r="789" spans="2:17" ht="18.75" customHeight="1">
      <c r="B789" s="63" t="str">
        <f t="shared" si="23"/>
        <v>No786</v>
      </c>
      <c r="C789" s="63" t="str">
        <f t="shared" si="26"/>
        <v>202606</v>
      </c>
      <c r="D789" s="63" t="s">
        <v>142</v>
      </c>
      <c r="E789" s="67" t="s">
        <v>155</v>
      </c>
      <c r="F789" s="68">
        <v>46189.416666666657</v>
      </c>
      <c r="G789" s="68">
        <v>46189.423611111109</v>
      </c>
      <c r="H789" s="67">
        <v>1</v>
      </c>
      <c r="I789" s="65">
        <v>6.9444444444444441E-3</v>
      </c>
      <c r="J789" s="63" t="s">
        <v>119</v>
      </c>
      <c r="K789" s="67" t="s">
        <v>21</v>
      </c>
      <c r="L789" s="67" t="s">
        <v>916</v>
      </c>
      <c r="M789" s="67" t="s">
        <v>917</v>
      </c>
      <c r="N789" s="63" t="s">
        <v>122</v>
      </c>
      <c r="O789" s="63" t="s">
        <v>7</v>
      </c>
      <c r="P789" s="77" t="s">
        <v>1169</v>
      </c>
      <c r="Q789" s="69" t="s">
        <v>1170</v>
      </c>
    </row>
    <row r="790" spans="2:17" ht="18.75" customHeight="1">
      <c r="B790" s="63" t="str">
        <f t="shared" si="23"/>
        <v>No787</v>
      </c>
      <c r="C790" s="63" t="str">
        <f t="shared" si="26"/>
        <v>202606</v>
      </c>
      <c r="D790" s="63" t="s">
        <v>104</v>
      </c>
      <c r="E790" s="67" t="s">
        <v>4</v>
      </c>
      <c r="F790" s="68">
        <v>46189.489583333343</v>
      </c>
      <c r="G790" s="68">
        <v>46189.496527777781</v>
      </c>
      <c r="H790" s="67">
        <f>IF(F790="", "", NETWORKDAYS.INTL(F790, G790, 11,祝日シート!A:A))</f>
        <v>1</v>
      </c>
      <c r="I790" s="75">
        <v>6.9444444444444441E-3</v>
      </c>
      <c r="J790" s="63" t="s">
        <v>20</v>
      </c>
      <c r="K790" s="67" t="s">
        <v>41</v>
      </c>
      <c r="L790" s="67" t="s">
        <v>1171</v>
      </c>
      <c r="M790" s="67" t="s">
        <v>292</v>
      </c>
      <c r="N790" s="67" t="s">
        <v>6</v>
      </c>
      <c r="O790" s="63" t="s">
        <v>7</v>
      </c>
      <c r="P790" s="77" t="s">
        <v>1172</v>
      </c>
      <c r="Q790" s="69" t="s">
        <v>1173</v>
      </c>
    </row>
    <row r="791" spans="2:17" ht="18.75" customHeight="1">
      <c r="B791" s="63" t="str">
        <f t="shared" ref="B791:B854" si="27">"No"&amp;ROW()-3</f>
        <v>No788</v>
      </c>
      <c r="C791" s="63" t="str">
        <f t="shared" si="26"/>
        <v>202606</v>
      </c>
      <c r="D791" s="63" t="s">
        <v>142</v>
      </c>
      <c r="E791" s="67" t="s">
        <v>155</v>
      </c>
      <c r="F791" s="68">
        <v>46189.600694444453</v>
      </c>
      <c r="G791" s="64">
        <v>46189.625694444447</v>
      </c>
      <c r="H791" s="67">
        <v>1</v>
      </c>
      <c r="I791" s="65">
        <v>1.041666666666667E-2</v>
      </c>
      <c r="J791" s="63" t="s">
        <v>119</v>
      </c>
      <c r="K791" s="67" t="s">
        <v>931</v>
      </c>
      <c r="L791" s="67" t="s">
        <v>975</v>
      </c>
      <c r="M791" s="67" t="s">
        <v>215</v>
      </c>
      <c r="N791" s="63" t="s">
        <v>122</v>
      </c>
      <c r="O791" s="63" t="s">
        <v>7</v>
      </c>
      <c r="P791" s="77" t="s">
        <v>246</v>
      </c>
      <c r="Q791" s="66" t="s">
        <v>158</v>
      </c>
    </row>
    <row r="792" spans="2:17" ht="18.75" customHeight="1">
      <c r="B792" s="63" t="str">
        <f t="shared" si="27"/>
        <v>No789</v>
      </c>
      <c r="C792" s="63" t="str">
        <f t="shared" si="26"/>
        <v>202606</v>
      </c>
      <c r="D792" s="67" t="s">
        <v>104</v>
      </c>
      <c r="E792" s="67" t="s">
        <v>4</v>
      </c>
      <c r="F792" s="68">
        <v>46190.479166666657</v>
      </c>
      <c r="G792" s="68">
        <v>46190.645833333343</v>
      </c>
      <c r="H792" s="67">
        <f>IF(F792="", "", NETWORKDAYS.INTL(F792, G792, 11,祝日シート!A:A))</f>
        <v>1</v>
      </c>
      <c r="I792" s="75">
        <v>0.125</v>
      </c>
      <c r="J792" s="63" t="s">
        <v>20</v>
      </c>
      <c r="K792" s="67" t="s">
        <v>159</v>
      </c>
      <c r="L792" s="67" t="s">
        <v>896</v>
      </c>
      <c r="M792" s="67" t="s">
        <v>675</v>
      </c>
      <c r="N792" s="67" t="s">
        <v>6</v>
      </c>
      <c r="O792" s="63" t="s">
        <v>7</v>
      </c>
      <c r="P792" s="77" t="s">
        <v>1164</v>
      </c>
      <c r="Q792" s="69" t="s">
        <v>1174</v>
      </c>
    </row>
    <row r="793" spans="2:17" ht="18.75" customHeight="1">
      <c r="B793" s="63" t="str">
        <f t="shared" si="27"/>
        <v>No790</v>
      </c>
      <c r="C793" s="63" t="str">
        <f t="shared" si="26"/>
        <v>202606</v>
      </c>
      <c r="D793" s="63" t="s">
        <v>142</v>
      </c>
      <c r="E793" s="67" t="s">
        <v>4</v>
      </c>
      <c r="F793" s="68">
        <v>46190.479166666657</v>
      </c>
      <c r="G793" s="68">
        <v>46190.645833333343</v>
      </c>
      <c r="H793" s="67">
        <f>IF(F793="", "", NETWORKDAYS.INTL(F793, G793, 11,祝日シート!A:A))</f>
        <v>1</v>
      </c>
      <c r="I793" s="75">
        <v>0.125</v>
      </c>
      <c r="J793" s="63" t="s">
        <v>20</v>
      </c>
      <c r="K793" s="67" t="s">
        <v>26</v>
      </c>
      <c r="L793" s="67" t="s">
        <v>1175</v>
      </c>
      <c r="M793" s="67" t="s">
        <v>321</v>
      </c>
      <c r="N793" s="63" t="s">
        <v>122</v>
      </c>
      <c r="O793" s="63" t="s">
        <v>7</v>
      </c>
      <c r="P793" s="77" t="s">
        <v>1176</v>
      </c>
      <c r="Q793" s="69" t="s">
        <v>1177</v>
      </c>
    </row>
    <row r="794" spans="2:17" ht="18.75" customHeight="1">
      <c r="B794" s="63" t="str">
        <f t="shared" si="27"/>
        <v>No791</v>
      </c>
      <c r="C794" s="63" t="str">
        <f t="shared" si="26"/>
        <v>202606</v>
      </c>
      <c r="D794" s="63" t="s">
        <v>142</v>
      </c>
      <c r="E794" s="67" t="s">
        <v>116</v>
      </c>
      <c r="F794" s="68">
        <v>46190.479166666657</v>
      </c>
      <c r="G794" s="64">
        <v>46190.479166666657</v>
      </c>
      <c r="H794" s="67">
        <f>IF(F794="", "", NETWORKDAYS.INTL(F794, G794, 11,祝日シート!A:A))</f>
        <v>1</v>
      </c>
      <c r="I794" s="75">
        <v>3.472222222222222E-3</v>
      </c>
      <c r="J794" s="63" t="s">
        <v>119</v>
      </c>
      <c r="K794" s="67" t="s">
        <v>931</v>
      </c>
      <c r="L794" s="67" t="s">
        <v>975</v>
      </c>
      <c r="M794" s="67" t="s">
        <v>215</v>
      </c>
      <c r="N794" s="63" t="s">
        <v>122</v>
      </c>
      <c r="O794" s="63" t="s">
        <v>7</v>
      </c>
      <c r="P794" s="77" t="s">
        <v>246</v>
      </c>
      <c r="Q794" s="66" t="s">
        <v>158</v>
      </c>
    </row>
    <row r="795" spans="2:17" ht="18.75" customHeight="1">
      <c r="B795" s="63" t="str">
        <f t="shared" si="27"/>
        <v>No792</v>
      </c>
      <c r="C795" s="63" t="str">
        <f t="shared" si="26"/>
        <v>202606</v>
      </c>
      <c r="D795" s="67" t="s">
        <v>104</v>
      </c>
      <c r="E795" s="67" t="s">
        <v>4</v>
      </c>
      <c r="F795" s="68">
        <v>46191.458333333343</v>
      </c>
      <c r="G795" s="68">
        <v>46191.46875</v>
      </c>
      <c r="H795" s="67">
        <f>IF(F795="", "", NETWORKDAYS.INTL(F795, G795, 11,祝日シート!A:A))</f>
        <v>1</v>
      </c>
      <c r="I795" s="75">
        <v>1.041666666666667E-2</v>
      </c>
      <c r="J795" s="63" t="s">
        <v>20</v>
      </c>
      <c r="K795" s="67" t="s">
        <v>35</v>
      </c>
      <c r="L795" s="67" t="s">
        <v>1178</v>
      </c>
      <c r="M795" s="67" t="s">
        <v>280</v>
      </c>
      <c r="N795" s="67" t="s">
        <v>6</v>
      </c>
      <c r="O795" s="63" t="s">
        <v>7</v>
      </c>
      <c r="P795" s="77" t="s">
        <v>1179</v>
      </c>
      <c r="Q795" s="69" t="s">
        <v>1180</v>
      </c>
    </row>
    <row r="796" spans="2:17" ht="18.75" customHeight="1">
      <c r="B796" s="63" t="str">
        <f t="shared" si="27"/>
        <v>No793</v>
      </c>
      <c r="C796" s="63" t="str">
        <f t="shared" si="26"/>
        <v>202606</v>
      </c>
      <c r="D796" s="63" t="s">
        <v>142</v>
      </c>
      <c r="E796" s="67" t="s">
        <v>116</v>
      </c>
      <c r="F796" s="68">
        <v>46191.542361111111</v>
      </c>
      <c r="G796" s="68">
        <v>46191.580555555563</v>
      </c>
      <c r="H796" s="67">
        <f>IF(F796="", "", NETWORKDAYS.INTL(F796, G796, 11,祝日シート!A:A))</f>
        <v>1</v>
      </c>
      <c r="I796" s="75">
        <v>2.0833333333333329E-2</v>
      </c>
      <c r="J796" s="63" t="s">
        <v>1181</v>
      </c>
      <c r="K796" s="67" t="s">
        <v>21</v>
      </c>
      <c r="L796" s="67" t="s">
        <v>916</v>
      </c>
      <c r="M796" s="67" t="s">
        <v>144</v>
      </c>
      <c r="N796" s="63" t="s">
        <v>122</v>
      </c>
      <c r="O796" s="63" t="s">
        <v>7</v>
      </c>
      <c r="P796" s="77" t="s">
        <v>1182</v>
      </c>
      <c r="Q796" s="69" t="s">
        <v>1183</v>
      </c>
    </row>
    <row r="797" spans="2:17" ht="18.75" customHeight="1">
      <c r="B797" s="63" t="str">
        <f t="shared" si="27"/>
        <v>No794</v>
      </c>
      <c r="C797" s="63" t="str">
        <f t="shared" si="26"/>
        <v>202606</v>
      </c>
      <c r="D797" s="67" t="s">
        <v>104</v>
      </c>
      <c r="E797" s="67" t="s">
        <v>4</v>
      </c>
      <c r="F797" s="68">
        <v>46191.583333333343</v>
      </c>
      <c r="G797" s="68">
        <v>46191.597222222219</v>
      </c>
      <c r="H797" s="67">
        <f>IF(F797="", "", NETWORKDAYS.INTL(F797, G797, 11,祝日シート!A:A))</f>
        <v>1</v>
      </c>
      <c r="I797" s="75">
        <v>1.388888888888889E-2</v>
      </c>
      <c r="J797" s="63" t="s">
        <v>143</v>
      </c>
      <c r="K797" s="67" t="s">
        <v>111</v>
      </c>
      <c r="L797" s="67" t="s">
        <v>932</v>
      </c>
      <c r="M797" s="67" t="s">
        <v>114</v>
      </c>
      <c r="N797" s="67" t="s">
        <v>6</v>
      </c>
      <c r="O797" s="63" t="s">
        <v>7</v>
      </c>
      <c r="P797" s="77" t="s">
        <v>1184</v>
      </c>
      <c r="Q797" s="69" t="s">
        <v>1185</v>
      </c>
    </row>
    <row r="798" spans="2:17" ht="18.75" customHeight="1">
      <c r="B798" s="63" t="str">
        <f t="shared" si="27"/>
        <v>No795</v>
      </c>
      <c r="C798" s="63" t="str">
        <f t="shared" si="26"/>
        <v>202606</v>
      </c>
      <c r="D798" s="63" t="s">
        <v>142</v>
      </c>
      <c r="E798" s="67" t="s">
        <v>116</v>
      </c>
      <c r="F798" s="68">
        <v>46191.845833333333</v>
      </c>
      <c r="G798" s="68">
        <v>46192.397222222222</v>
      </c>
      <c r="H798" s="67">
        <f>IF(F798="", "", NETWORKDAYS.INTL(F798, G798, 11,祝日シート!A:A))</f>
        <v>2</v>
      </c>
      <c r="I798" s="75">
        <v>3.472222222222222E-3</v>
      </c>
      <c r="J798" s="63" t="s">
        <v>119</v>
      </c>
      <c r="K798" s="67" t="s">
        <v>21</v>
      </c>
      <c r="L798" s="67" t="s">
        <v>916</v>
      </c>
      <c r="M798" s="67" t="s">
        <v>99</v>
      </c>
      <c r="N798" s="63" t="s">
        <v>122</v>
      </c>
      <c r="O798" s="63" t="s">
        <v>7</v>
      </c>
      <c r="P798" s="77" t="s">
        <v>1186</v>
      </c>
      <c r="Q798" s="66" t="s">
        <v>158</v>
      </c>
    </row>
    <row r="799" spans="2:17" ht="18.75" customHeight="1">
      <c r="B799" s="63" t="str">
        <f t="shared" si="27"/>
        <v>No796</v>
      </c>
      <c r="C799" s="63" t="str">
        <f t="shared" si="26"/>
        <v>202606</v>
      </c>
      <c r="D799" s="63" t="s">
        <v>142</v>
      </c>
      <c r="E799" s="67" t="s">
        <v>116</v>
      </c>
      <c r="F799" s="68">
        <v>46192.375</v>
      </c>
      <c r="G799" s="68">
        <v>46192.43472222222</v>
      </c>
      <c r="H799" s="67">
        <f>IF(F799="", "", NETWORKDAYS.INTL(F799, G799, 11,祝日シート!A:A))</f>
        <v>1</v>
      </c>
      <c r="I799" s="75">
        <v>3.125E-2</v>
      </c>
      <c r="J799" s="67" t="s">
        <v>197</v>
      </c>
      <c r="K799" s="67" t="s">
        <v>159</v>
      </c>
      <c r="L799" s="67" t="s">
        <v>929</v>
      </c>
      <c r="M799" s="67" t="s">
        <v>187</v>
      </c>
      <c r="N799" s="63" t="s">
        <v>122</v>
      </c>
      <c r="O799" s="63" t="s">
        <v>7</v>
      </c>
      <c r="P799" s="77" t="s">
        <v>1187</v>
      </c>
      <c r="Q799" s="69" t="s">
        <v>1188</v>
      </c>
    </row>
    <row r="800" spans="2:17" ht="18.75" customHeight="1">
      <c r="B800" s="63" t="str">
        <f t="shared" si="27"/>
        <v>No797</v>
      </c>
      <c r="C800" s="63" t="str">
        <f t="shared" si="26"/>
        <v>202606</v>
      </c>
      <c r="D800" s="63" t="s">
        <v>142</v>
      </c>
      <c r="E800" s="67" t="s">
        <v>116</v>
      </c>
      <c r="F800" s="68">
        <v>46192.536805555559</v>
      </c>
      <c r="G800" s="68">
        <v>46192.555555555547</v>
      </c>
      <c r="H800" s="67">
        <f>IF(F800="", "", NETWORKDAYS.INTL(F800, G800, 11,祝日シート!A:A))</f>
        <v>1</v>
      </c>
      <c r="I800" s="75">
        <v>6.9444444444444441E-3</v>
      </c>
      <c r="J800" s="67" t="s">
        <v>95</v>
      </c>
      <c r="K800" s="67" t="s">
        <v>41</v>
      </c>
      <c r="L800" s="67" t="s">
        <v>903</v>
      </c>
      <c r="M800" s="67" t="s">
        <v>112</v>
      </c>
      <c r="N800" s="67" t="s">
        <v>117</v>
      </c>
      <c r="O800" s="63" t="s">
        <v>7</v>
      </c>
      <c r="P800" s="77" t="s">
        <v>1189</v>
      </c>
      <c r="Q800" s="69" t="s">
        <v>1190</v>
      </c>
    </row>
    <row r="801" spans="2:17" ht="18.75" customHeight="1">
      <c r="B801" s="63" t="str">
        <f t="shared" si="27"/>
        <v>No798</v>
      </c>
      <c r="C801" s="63" t="str">
        <f t="shared" si="26"/>
        <v>202606</v>
      </c>
      <c r="D801" s="63" t="s">
        <v>142</v>
      </c>
      <c r="E801" s="67" t="s">
        <v>116</v>
      </c>
      <c r="F801" s="68">
        <v>46192.645833333343</v>
      </c>
      <c r="G801" s="68">
        <v>46192.6875</v>
      </c>
      <c r="H801" s="67">
        <f>IF(F801="", "", NETWORKDAYS.INTL(F801, G801, 11,祝日シート!A:A))</f>
        <v>1</v>
      </c>
      <c r="I801" s="75">
        <v>4.1666666666666657E-2</v>
      </c>
      <c r="J801" s="67" t="s">
        <v>1181</v>
      </c>
      <c r="K801" s="67" t="s">
        <v>21</v>
      </c>
      <c r="L801" s="67" t="s">
        <v>916</v>
      </c>
      <c r="M801" s="67" t="s">
        <v>917</v>
      </c>
      <c r="N801" s="63" t="s">
        <v>122</v>
      </c>
      <c r="O801" s="63" t="s">
        <v>7</v>
      </c>
      <c r="P801" s="77" t="s">
        <v>1191</v>
      </c>
      <c r="Q801" s="69" t="s">
        <v>1192</v>
      </c>
    </row>
    <row r="802" spans="2:17" ht="18.75" customHeight="1">
      <c r="B802" s="63" t="str">
        <f t="shared" si="27"/>
        <v>No799</v>
      </c>
      <c r="C802" s="63" t="str">
        <f t="shared" si="26"/>
        <v>202606</v>
      </c>
      <c r="D802" s="67" t="s">
        <v>104</v>
      </c>
      <c r="E802" s="67" t="s">
        <v>4</v>
      </c>
      <c r="F802" s="68">
        <v>46192.666666666657</v>
      </c>
      <c r="G802" s="68">
        <v>46192.673611111109</v>
      </c>
      <c r="H802" s="67">
        <f>IF(F802="", "", NETWORKDAYS.INTL(F802, G802, 11,祝日シート!A:A))</f>
        <v>1</v>
      </c>
      <c r="I802" s="75">
        <v>6.9444444444444441E-3</v>
      </c>
      <c r="J802" s="63" t="s">
        <v>20</v>
      </c>
      <c r="K802" s="67" t="s">
        <v>21</v>
      </c>
      <c r="L802" s="67" t="s">
        <v>916</v>
      </c>
      <c r="M802" s="67" t="s">
        <v>140</v>
      </c>
      <c r="N802" s="67" t="s">
        <v>6</v>
      </c>
      <c r="O802" s="63" t="s">
        <v>7</v>
      </c>
      <c r="P802" s="77" t="s">
        <v>1193</v>
      </c>
      <c r="Q802" s="69" t="s">
        <v>1194</v>
      </c>
    </row>
    <row r="803" spans="2:17" ht="18.75" customHeight="1">
      <c r="B803" s="63" t="str">
        <f t="shared" si="27"/>
        <v>No800</v>
      </c>
      <c r="C803" s="63" t="str">
        <f t="shared" si="26"/>
        <v>202606</v>
      </c>
      <c r="D803" s="67" t="s">
        <v>104</v>
      </c>
      <c r="E803" s="67" t="s">
        <v>4</v>
      </c>
      <c r="F803" s="68">
        <v>46192.715277777781</v>
      </c>
      <c r="G803" s="68">
        <v>46192.722222222219</v>
      </c>
      <c r="H803" s="67">
        <f>IF(F803="", "", NETWORKDAYS.INTL(F803, G803, 11,祝日シート!A:A))</f>
        <v>1</v>
      </c>
      <c r="I803" s="75">
        <v>6.9444444444444441E-3</v>
      </c>
      <c r="J803" s="63" t="s">
        <v>20</v>
      </c>
      <c r="K803" s="67" t="s">
        <v>21</v>
      </c>
      <c r="L803" s="67" t="s">
        <v>915</v>
      </c>
      <c r="M803" s="67" t="s">
        <v>109</v>
      </c>
      <c r="N803" s="67" t="s">
        <v>6</v>
      </c>
      <c r="O803" s="63" t="s">
        <v>7</v>
      </c>
      <c r="P803" s="77" t="s">
        <v>1195</v>
      </c>
      <c r="Q803" s="69" t="s">
        <v>1196</v>
      </c>
    </row>
    <row r="804" spans="2:17" ht="18.75" customHeight="1">
      <c r="B804" s="63" t="str">
        <f t="shared" si="27"/>
        <v>No801</v>
      </c>
      <c r="C804" s="63" t="str">
        <f t="shared" si="26"/>
        <v>202606</v>
      </c>
      <c r="D804" s="67" t="s">
        <v>104</v>
      </c>
      <c r="E804" s="67" t="s">
        <v>4</v>
      </c>
      <c r="F804" s="68">
        <v>46192.746527777781</v>
      </c>
      <c r="G804" s="68">
        <v>46192.756944444453</v>
      </c>
      <c r="H804" s="67">
        <f>IF(F804="", "", NETWORKDAYS.INTL(F804, G804, 11,祝日シート!A:A))</f>
        <v>1</v>
      </c>
      <c r="I804" s="75">
        <v>1.041666666666667E-2</v>
      </c>
      <c r="J804" s="63" t="s">
        <v>20</v>
      </c>
      <c r="K804" s="67" t="s">
        <v>21</v>
      </c>
      <c r="L804" s="67" t="s">
        <v>915</v>
      </c>
      <c r="M804" s="67" t="s">
        <v>109</v>
      </c>
      <c r="N804" s="67" t="s">
        <v>6</v>
      </c>
      <c r="O804" s="63" t="s">
        <v>7</v>
      </c>
      <c r="P804" s="77" t="s">
        <v>1197</v>
      </c>
      <c r="Q804" s="69" t="s">
        <v>1198</v>
      </c>
    </row>
    <row r="805" spans="2:17" ht="18.75" customHeight="1">
      <c r="B805" s="63" t="str">
        <f t="shared" si="27"/>
        <v>No802</v>
      </c>
      <c r="C805" s="63" t="str">
        <f t="shared" si="26"/>
        <v>202606</v>
      </c>
      <c r="D805" s="63" t="s">
        <v>142</v>
      </c>
      <c r="E805" s="67" t="s">
        <v>116</v>
      </c>
      <c r="F805" s="68">
        <v>46192.754861111112</v>
      </c>
      <c r="G805" s="68">
        <v>46192.770138888889</v>
      </c>
      <c r="H805" s="67">
        <f>IF(F805="", "", NETWORKDAYS.INTL(F805, G805, 11,祝日シート!A:A))</f>
        <v>1</v>
      </c>
      <c r="I805" s="75">
        <v>1.041666666666667E-2</v>
      </c>
      <c r="J805" s="63" t="s">
        <v>119</v>
      </c>
      <c r="K805" s="67" t="s">
        <v>21</v>
      </c>
      <c r="L805" s="67" t="s">
        <v>916</v>
      </c>
      <c r="M805" s="67" t="s">
        <v>99</v>
      </c>
      <c r="N805" s="63" t="s">
        <v>122</v>
      </c>
      <c r="O805" s="63" t="s">
        <v>7</v>
      </c>
      <c r="P805" s="77" t="s">
        <v>580</v>
      </c>
      <c r="Q805" s="66" t="s">
        <v>158</v>
      </c>
    </row>
    <row r="806" spans="2:17" ht="18.75" customHeight="1">
      <c r="B806" s="63" t="str">
        <f t="shared" si="27"/>
        <v>No803</v>
      </c>
      <c r="C806" s="63" t="str">
        <f t="shared" si="26"/>
        <v>202606</v>
      </c>
      <c r="D806" s="63" t="s">
        <v>142</v>
      </c>
      <c r="E806" s="67" t="s">
        <v>116</v>
      </c>
      <c r="F806" s="68">
        <v>46193.475694444453</v>
      </c>
      <c r="G806" s="68">
        <v>46193.489583333343</v>
      </c>
      <c r="H806" s="67">
        <f>IF(F806="", "", NETWORKDAYS.INTL(F806, G806, 11,祝日シート!A:A))</f>
        <v>1</v>
      </c>
      <c r="I806" s="75">
        <v>1.388888888888889E-2</v>
      </c>
      <c r="J806" s="63" t="s">
        <v>119</v>
      </c>
      <c r="K806" s="67" t="s">
        <v>931</v>
      </c>
      <c r="L806" s="67" t="s">
        <v>975</v>
      </c>
      <c r="M806" s="67" t="s">
        <v>253</v>
      </c>
      <c r="N806" s="63" t="s">
        <v>117</v>
      </c>
      <c r="O806" s="63" t="s">
        <v>7</v>
      </c>
      <c r="P806" s="77" t="s">
        <v>1199</v>
      </c>
      <c r="Q806" s="69" t="s">
        <v>1200</v>
      </c>
    </row>
    <row r="807" spans="2:17" ht="18.75" customHeight="1">
      <c r="B807" s="63" t="str">
        <f t="shared" si="27"/>
        <v>No804</v>
      </c>
      <c r="C807" s="63" t="str">
        <f t="shared" si="26"/>
        <v>202606</v>
      </c>
      <c r="D807" s="63" t="s">
        <v>142</v>
      </c>
      <c r="E807" s="67" t="s">
        <v>116</v>
      </c>
      <c r="F807" s="68">
        <v>46193.595138888893</v>
      </c>
      <c r="G807" s="68">
        <v>46193.602083333331</v>
      </c>
      <c r="H807" s="67">
        <f>IF(F807="", "", NETWORKDAYS.INTL(F807, G807, 11,祝日シート!A:A))</f>
        <v>1</v>
      </c>
      <c r="I807" s="75">
        <v>3.472222222222222E-3</v>
      </c>
      <c r="J807" s="63" t="s">
        <v>119</v>
      </c>
      <c r="K807" s="67" t="s">
        <v>931</v>
      </c>
      <c r="L807" s="67" t="s">
        <v>975</v>
      </c>
      <c r="M807" s="67" t="s">
        <v>253</v>
      </c>
      <c r="N807" s="63" t="s">
        <v>122</v>
      </c>
      <c r="O807" s="63" t="s">
        <v>7</v>
      </c>
      <c r="P807" s="77" t="s">
        <v>246</v>
      </c>
      <c r="Q807" s="66" t="s">
        <v>158</v>
      </c>
    </row>
    <row r="808" spans="2:17" ht="18.75" customHeight="1">
      <c r="B808" s="63" t="str">
        <f t="shared" si="27"/>
        <v>No805</v>
      </c>
      <c r="C808" s="63" t="str">
        <f t="shared" si="26"/>
        <v>202606</v>
      </c>
      <c r="D808" s="63" t="s">
        <v>142</v>
      </c>
      <c r="E808" s="67" t="s">
        <v>155</v>
      </c>
      <c r="F808" s="68">
        <v>46196.590277777781</v>
      </c>
      <c r="G808" s="68">
        <v>46196.715277777781</v>
      </c>
      <c r="H808" s="67">
        <f>IF(F808="", "", NETWORKDAYS.INTL(F808, G808, 11,祝日シート!A:A))</f>
        <v>1</v>
      </c>
      <c r="I808" s="75">
        <v>3.472222222222222E-3</v>
      </c>
      <c r="J808" s="63" t="s">
        <v>119</v>
      </c>
      <c r="K808" s="67" t="s">
        <v>931</v>
      </c>
      <c r="L808" s="67" t="s">
        <v>975</v>
      </c>
      <c r="M808" s="67" t="s">
        <v>253</v>
      </c>
      <c r="N808" s="63" t="s">
        <v>122</v>
      </c>
      <c r="O808" s="63" t="s">
        <v>7</v>
      </c>
      <c r="P808" s="77" t="s">
        <v>246</v>
      </c>
      <c r="Q808" s="69" t="s">
        <v>1201</v>
      </c>
    </row>
    <row r="809" spans="2:17" ht="18.75" customHeight="1">
      <c r="B809" s="63" t="str">
        <f t="shared" si="27"/>
        <v>No806</v>
      </c>
      <c r="C809" s="63" t="str">
        <f t="shared" si="26"/>
        <v>202606</v>
      </c>
      <c r="D809" s="63" t="s">
        <v>142</v>
      </c>
      <c r="E809" s="67" t="s">
        <v>155</v>
      </c>
      <c r="F809" s="68">
        <v>46196.618055555547</v>
      </c>
      <c r="G809" s="68">
        <v>46196.715277777781</v>
      </c>
      <c r="H809" s="67">
        <f>IF(F809="", "", NETWORKDAYS.INTL(F809, G809, 11,祝日シート!A:A))</f>
        <v>1</v>
      </c>
      <c r="I809" s="75">
        <v>3.472222222222222E-3</v>
      </c>
      <c r="J809" s="63" t="s">
        <v>119</v>
      </c>
      <c r="K809" s="67" t="s">
        <v>931</v>
      </c>
      <c r="L809" s="67" t="s">
        <v>975</v>
      </c>
      <c r="M809" s="67" t="s">
        <v>253</v>
      </c>
      <c r="N809" s="63" t="s">
        <v>122</v>
      </c>
      <c r="O809" s="63" t="s">
        <v>7</v>
      </c>
      <c r="P809" s="77" t="s">
        <v>246</v>
      </c>
      <c r="Q809" s="66" t="s">
        <v>158</v>
      </c>
    </row>
    <row r="810" spans="2:17" ht="18.75" customHeight="1">
      <c r="B810" s="63" t="str">
        <f t="shared" si="27"/>
        <v>No807</v>
      </c>
      <c r="C810" s="63" t="str">
        <f t="shared" si="26"/>
        <v>202606</v>
      </c>
      <c r="D810" s="63" t="s">
        <v>142</v>
      </c>
      <c r="E810" s="67" t="s">
        <v>155</v>
      </c>
      <c r="F810" s="68">
        <v>46196.720138888893</v>
      </c>
      <c r="G810" s="68">
        <v>46196.723611111112</v>
      </c>
      <c r="H810" s="67">
        <f>IF(F810="", "", NETWORKDAYS.INTL(F810, G810, 11,祝日シート!A:A))</f>
        <v>1</v>
      </c>
      <c r="I810" s="75">
        <v>3.472222222222222E-3</v>
      </c>
      <c r="J810" s="63" t="s">
        <v>119</v>
      </c>
      <c r="K810" s="67" t="s">
        <v>931</v>
      </c>
      <c r="L810" s="67" t="s">
        <v>975</v>
      </c>
      <c r="M810" s="67" t="s">
        <v>215</v>
      </c>
      <c r="N810" s="63" t="s">
        <v>122</v>
      </c>
      <c r="O810" s="63" t="s">
        <v>7</v>
      </c>
      <c r="P810" s="77" t="s">
        <v>246</v>
      </c>
      <c r="Q810" s="66" t="s">
        <v>158</v>
      </c>
    </row>
    <row r="811" spans="2:17" ht="18.75" customHeight="1">
      <c r="B811" s="63" t="str">
        <f t="shared" si="27"/>
        <v>No808</v>
      </c>
      <c r="C811" s="63" t="str">
        <f t="shared" si="26"/>
        <v>202606</v>
      </c>
      <c r="D811" s="63" t="s">
        <v>142</v>
      </c>
      <c r="E811" s="67" t="s">
        <v>155</v>
      </c>
      <c r="F811" s="68">
        <v>46196.722222222219</v>
      </c>
      <c r="G811" s="68">
        <v>46196.729166666657</v>
      </c>
      <c r="H811" s="67">
        <f>IF(F811="", "", NETWORKDAYS.INTL(F811, G811, 11,祝日シート!A:A))</f>
        <v>1</v>
      </c>
      <c r="I811" s="75">
        <v>6.9444444444444441E-3</v>
      </c>
      <c r="J811" s="63" t="s">
        <v>119</v>
      </c>
      <c r="K811" s="67" t="s">
        <v>21</v>
      </c>
      <c r="L811" s="67" t="s">
        <v>916</v>
      </c>
      <c r="M811" s="67" t="s">
        <v>144</v>
      </c>
      <c r="N811" s="67" t="s">
        <v>117</v>
      </c>
      <c r="O811" s="63" t="s">
        <v>7</v>
      </c>
      <c r="P811" s="77" t="s">
        <v>580</v>
      </c>
      <c r="Q811" s="66" t="s">
        <v>158</v>
      </c>
    </row>
    <row r="812" spans="2:17" ht="18.75" customHeight="1">
      <c r="B812" s="63" t="str">
        <f t="shared" si="27"/>
        <v>No809</v>
      </c>
      <c r="C812" s="63" t="str">
        <f t="shared" si="26"/>
        <v>202606</v>
      </c>
      <c r="D812" s="63" t="s">
        <v>142</v>
      </c>
      <c r="E812" s="67" t="s">
        <v>155</v>
      </c>
      <c r="F812" s="68">
        <v>46197.384722222218</v>
      </c>
      <c r="G812" s="68">
        <v>46197.395138888889</v>
      </c>
      <c r="H812" s="67">
        <f>IF(F812="", "", NETWORKDAYS.INTL(F812, G812, 11,祝日シート!A:A))</f>
        <v>1</v>
      </c>
      <c r="I812" s="75">
        <v>1.041666666666667E-2</v>
      </c>
      <c r="J812" s="63" t="s">
        <v>119</v>
      </c>
      <c r="K812" s="67" t="s">
        <v>931</v>
      </c>
      <c r="L812" s="67" t="s">
        <v>975</v>
      </c>
      <c r="M812" s="67" t="s">
        <v>215</v>
      </c>
      <c r="N812" s="63" t="s">
        <v>122</v>
      </c>
      <c r="O812" s="63" t="s">
        <v>7</v>
      </c>
      <c r="P812" s="77" t="s">
        <v>246</v>
      </c>
      <c r="Q812" s="66" t="s">
        <v>158</v>
      </c>
    </row>
    <row r="813" spans="2:17" ht="18.75" customHeight="1">
      <c r="B813" s="63" t="str">
        <f t="shared" si="27"/>
        <v>No810</v>
      </c>
      <c r="C813" s="63" t="str">
        <f t="shared" si="26"/>
        <v>202606</v>
      </c>
      <c r="D813" s="67" t="s">
        <v>3</v>
      </c>
      <c r="E813" s="67" t="s">
        <v>4</v>
      </c>
      <c r="F813" s="68">
        <v>46197.416666666657</v>
      </c>
      <c r="G813" s="68">
        <v>46197.75</v>
      </c>
      <c r="H813" s="67">
        <f>IF(F813="", "", NETWORKDAYS.INTL(F813, G813, 11,祝日シート!A:A))</f>
        <v>1</v>
      </c>
      <c r="I813" s="75">
        <v>0.125</v>
      </c>
      <c r="J813" s="67" t="s">
        <v>40</v>
      </c>
      <c r="K813" s="67" t="s">
        <v>1202</v>
      </c>
      <c r="L813" s="67"/>
      <c r="M813" s="67" t="s">
        <v>848</v>
      </c>
      <c r="N813" s="67" t="s">
        <v>122</v>
      </c>
      <c r="O813" s="67" t="s">
        <v>7</v>
      </c>
      <c r="P813" s="77" t="s">
        <v>1203</v>
      </c>
      <c r="Q813" s="69" t="s">
        <v>1204</v>
      </c>
    </row>
    <row r="814" spans="2:17" ht="18.75" customHeight="1">
      <c r="B814" s="63" t="str">
        <f t="shared" si="27"/>
        <v>No811</v>
      </c>
      <c r="C814" s="63" t="str">
        <f t="shared" si="26"/>
        <v>202606</v>
      </c>
      <c r="D814" s="67" t="s">
        <v>104</v>
      </c>
      <c r="E814" s="67" t="s">
        <v>4</v>
      </c>
      <c r="F814" s="68">
        <v>46198.385416666657</v>
      </c>
      <c r="G814" s="68">
        <v>46198.427083333343</v>
      </c>
      <c r="H814" s="67">
        <f>IF(F814="", "", NETWORKDAYS.INTL(F814, G814, 11,祝日シート!A:A))</f>
        <v>1</v>
      </c>
      <c r="I814" s="67" t="s">
        <v>1141</v>
      </c>
      <c r="J814" s="67" t="s">
        <v>45</v>
      </c>
      <c r="K814" s="67" t="s">
        <v>120</v>
      </c>
      <c r="L814" s="67" t="s">
        <v>1205</v>
      </c>
      <c r="M814" s="67" t="s">
        <v>924</v>
      </c>
      <c r="N814" s="67" t="s">
        <v>6</v>
      </c>
      <c r="O814" s="67" t="s">
        <v>7</v>
      </c>
      <c r="P814" s="77" t="s">
        <v>1206</v>
      </c>
      <c r="Q814" s="69" t="s">
        <v>1207</v>
      </c>
    </row>
    <row r="815" spans="2:17" ht="18.75" customHeight="1">
      <c r="B815" s="63" t="str">
        <f t="shared" si="27"/>
        <v>No812</v>
      </c>
      <c r="C815" s="63" t="str">
        <f t="shared" si="26"/>
        <v>202606</v>
      </c>
      <c r="D815" s="63" t="s">
        <v>142</v>
      </c>
      <c r="E815" s="67" t="s">
        <v>155</v>
      </c>
      <c r="F815" s="68">
        <v>46198.399305555547</v>
      </c>
      <c r="G815" s="68">
        <v>46198.402777777781</v>
      </c>
      <c r="H815" s="67">
        <f>IF(F815="", "", NETWORKDAYS.INTL(F815, G815, 11,祝日シート!A:A))</f>
        <v>1</v>
      </c>
      <c r="I815" s="75">
        <v>3.472222222222222E-3</v>
      </c>
      <c r="J815" s="63" t="s">
        <v>119</v>
      </c>
      <c r="K815" s="67" t="s">
        <v>931</v>
      </c>
      <c r="L815" s="67" t="s">
        <v>932</v>
      </c>
      <c r="M815" s="67" t="s">
        <v>229</v>
      </c>
      <c r="N815" s="67" t="s">
        <v>122</v>
      </c>
      <c r="O815" s="67" t="s">
        <v>7</v>
      </c>
      <c r="P815" s="77" t="s">
        <v>208</v>
      </c>
      <c r="Q815" s="69" t="s">
        <v>158</v>
      </c>
    </row>
    <row r="816" spans="2:17" ht="59.25" customHeight="1">
      <c r="B816" s="63" t="str">
        <f t="shared" si="27"/>
        <v>No813</v>
      </c>
      <c r="C816" s="63" t="str">
        <f t="shared" ref="C816:C847" si="28">IFERROR(IF(G816&lt;&gt;"",TEXT(G816,"yyyymm"),""),"")</f>
        <v>202606</v>
      </c>
      <c r="D816" s="67" t="s">
        <v>3</v>
      </c>
      <c r="E816" s="67" t="s">
        <v>4</v>
      </c>
      <c r="F816" s="68">
        <v>46198.416666666657</v>
      </c>
      <c r="G816" s="68">
        <v>46198.430555555547</v>
      </c>
      <c r="H816" s="67">
        <f>IF(F816="", "", NETWORKDAYS.INTL(F816, G816, 11,祝日シート!A:A))</f>
        <v>1</v>
      </c>
      <c r="I816" s="65">
        <v>1.041666666666667E-2</v>
      </c>
      <c r="J816" s="67" t="s">
        <v>40</v>
      </c>
      <c r="K816" s="67" t="s">
        <v>120</v>
      </c>
      <c r="L816" s="67"/>
      <c r="M816" s="67" t="s">
        <v>888</v>
      </c>
      <c r="N816" s="67" t="s">
        <v>6</v>
      </c>
      <c r="O816" s="67" t="s">
        <v>7</v>
      </c>
      <c r="P816" s="77" t="s">
        <v>1208</v>
      </c>
      <c r="Q816" s="69" t="s">
        <v>1209</v>
      </c>
    </row>
    <row r="817" spans="2:17" ht="70.5" customHeight="1">
      <c r="B817" s="63" t="str">
        <f t="shared" si="27"/>
        <v>No814</v>
      </c>
      <c r="C817" s="63" t="str">
        <f t="shared" si="28"/>
        <v>202606</v>
      </c>
      <c r="D817" s="63" t="s">
        <v>142</v>
      </c>
      <c r="E817" s="67" t="s">
        <v>155</v>
      </c>
      <c r="F817" s="68">
        <v>46198.458333333343</v>
      </c>
      <c r="G817" s="68">
        <v>46199.708333333343</v>
      </c>
      <c r="H817" s="67">
        <f>IF(F817="", "", NETWORKDAYS.INTL(F817, G817, 11,祝日シート!A:A))</f>
        <v>2</v>
      </c>
      <c r="I817" s="75">
        <v>3.125E-2</v>
      </c>
      <c r="J817" s="63" t="s">
        <v>20</v>
      </c>
      <c r="K817" s="67" t="s">
        <v>41</v>
      </c>
      <c r="L817" s="67" t="s">
        <v>899</v>
      </c>
      <c r="M817" s="67" t="s">
        <v>217</v>
      </c>
      <c r="N817" s="67" t="s">
        <v>122</v>
      </c>
      <c r="O817" s="67" t="s">
        <v>7</v>
      </c>
      <c r="P817" s="77" t="s">
        <v>1210</v>
      </c>
      <c r="Q817" s="83" t="s">
        <v>1211</v>
      </c>
    </row>
    <row r="818" spans="2:17" ht="18.75" customHeight="1">
      <c r="B818" s="63" t="str">
        <f t="shared" si="27"/>
        <v>No815</v>
      </c>
      <c r="C818" s="63" t="str">
        <f t="shared" si="28"/>
        <v>202606</v>
      </c>
      <c r="D818" s="63" t="s">
        <v>142</v>
      </c>
      <c r="E818" s="67" t="s">
        <v>116</v>
      </c>
      <c r="F818" s="68">
        <v>46199.46597222222</v>
      </c>
      <c r="G818" s="68">
        <v>46199.469444444447</v>
      </c>
      <c r="H818" s="67">
        <f>IF(F818="", "", NETWORKDAYS.INTL(F818, G818, 11,祝日シート!A:A))</f>
        <v>1</v>
      </c>
      <c r="I818" s="75">
        <v>3.472222222222222E-3</v>
      </c>
      <c r="J818" s="63" t="s">
        <v>119</v>
      </c>
      <c r="K818" s="67" t="s">
        <v>21</v>
      </c>
      <c r="L818" s="67" t="s">
        <v>916</v>
      </c>
      <c r="M818" s="67" t="s">
        <v>144</v>
      </c>
      <c r="N818" s="63" t="s">
        <v>117</v>
      </c>
      <c r="O818" s="63" t="s">
        <v>7</v>
      </c>
      <c r="P818" s="77" t="s">
        <v>1212</v>
      </c>
      <c r="Q818" s="66" t="s">
        <v>158</v>
      </c>
    </row>
    <row r="819" spans="2:17" ht="18.75" customHeight="1">
      <c r="B819" s="63" t="str">
        <f t="shared" si="27"/>
        <v>No816</v>
      </c>
      <c r="C819" s="63" t="str">
        <f t="shared" si="28"/>
        <v>202606</v>
      </c>
      <c r="D819" s="63" t="s">
        <v>142</v>
      </c>
      <c r="E819" s="67" t="s">
        <v>155</v>
      </c>
      <c r="F819" s="68">
        <v>46199.604166666657</v>
      </c>
      <c r="G819" s="68">
        <v>46199.625</v>
      </c>
      <c r="H819" s="67">
        <f>IF(F819="", "", NETWORKDAYS.INTL(F819, G819, 11,祝日シート!A:A))</f>
        <v>1</v>
      </c>
      <c r="I819" s="75">
        <v>1.041666666666667E-2</v>
      </c>
      <c r="J819" s="63" t="s">
        <v>119</v>
      </c>
      <c r="K819" s="67" t="s">
        <v>931</v>
      </c>
      <c r="L819" s="67" t="s">
        <v>975</v>
      </c>
      <c r="M819" s="67" t="s">
        <v>253</v>
      </c>
      <c r="N819" s="63" t="s">
        <v>122</v>
      </c>
      <c r="O819" s="63" t="s">
        <v>7</v>
      </c>
      <c r="P819" s="77" t="s">
        <v>246</v>
      </c>
      <c r="Q819" s="66" t="s">
        <v>158</v>
      </c>
    </row>
    <row r="820" spans="2:17" ht="18.75" customHeight="1">
      <c r="B820" s="63" t="str">
        <f t="shared" si="27"/>
        <v>No817</v>
      </c>
      <c r="C820" s="63" t="str">
        <f t="shared" si="28"/>
        <v>202606</v>
      </c>
      <c r="D820" s="63" t="s">
        <v>142</v>
      </c>
      <c r="E820" s="67" t="s">
        <v>155</v>
      </c>
      <c r="F820" s="68">
        <v>46199.666666666657</v>
      </c>
      <c r="G820" s="68">
        <v>46199.694444444453</v>
      </c>
      <c r="H820" s="67">
        <f>IF(F820="", "", NETWORKDAYS.INTL(F820, G820, 11,祝日シート!A:A))</f>
        <v>1</v>
      </c>
      <c r="I820" s="65">
        <v>3.472222222222222E-3</v>
      </c>
      <c r="J820" s="63" t="s">
        <v>119</v>
      </c>
      <c r="K820" s="67" t="s">
        <v>931</v>
      </c>
      <c r="L820" s="67" t="s">
        <v>975</v>
      </c>
      <c r="M820" s="67" t="s">
        <v>215</v>
      </c>
      <c r="N820" s="63" t="s">
        <v>122</v>
      </c>
      <c r="O820" s="63" t="s">
        <v>7</v>
      </c>
      <c r="P820" s="77" t="s">
        <v>246</v>
      </c>
      <c r="Q820" s="66" t="s">
        <v>158</v>
      </c>
    </row>
    <row r="821" spans="2:17" ht="18.75" customHeight="1">
      <c r="B821" s="63" t="str">
        <f t="shared" si="27"/>
        <v>No818</v>
      </c>
      <c r="C821" s="63" t="str">
        <f t="shared" si="28"/>
        <v>202606</v>
      </c>
      <c r="D821" s="63" t="s">
        <v>142</v>
      </c>
      <c r="E821" s="67" t="s">
        <v>116</v>
      </c>
      <c r="F821" s="68">
        <v>46199.742361111108</v>
      </c>
      <c r="G821" s="68">
        <v>46199.752083333333</v>
      </c>
      <c r="H821" s="67">
        <f>IF(F821="", "", NETWORKDAYS.INTL(F821, G821, 11,祝日シート!A:A))</f>
        <v>1</v>
      </c>
      <c r="I821" s="75">
        <v>3.472222222222222E-3</v>
      </c>
      <c r="J821" s="63" t="s">
        <v>119</v>
      </c>
      <c r="K821" s="67" t="s">
        <v>21</v>
      </c>
      <c r="L821" s="67" t="s">
        <v>916</v>
      </c>
      <c r="M821" s="67" t="s">
        <v>144</v>
      </c>
      <c r="N821" s="63" t="s">
        <v>117</v>
      </c>
      <c r="O821" s="63" t="s">
        <v>7</v>
      </c>
      <c r="P821" s="77" t="s">
        <v>580</v>
      </c>
      <c r="Q821" s="66" t="s">
        <v>158</v>
      </c>
    </row>
    <row r="822" spans="2:17" ht="18.75" customHeight="1">
      <c r="B822" s="63" t="str">
        <f t="shared" si="27"/>
        <v>No819</v>
      </c>
      <c r="C822" s="63" t="str">
        <f t="shared" si="28"/>
        <v>202606</v>
      </c>
      <c r="D822" s="67" t="s">
        <v>142</v>
      </c>
      <c r="E822" s="67" t="s">
        <v>116</v>
      </c>
      <c r="F822" s="68">
        <v>46202.486805555563</v>
      </c>
      <c r="G822" s="68">
        <v>46202.611111111109</v>
      </c>
      <c r="H822" s="67">
        <f>IF(F822="", "", NETWORKDAYS.INTL(F822, G822, 11,祝日シート!A:A))</f>
        <v>1</v>
      </c>
      <c r="I822" s="75">
        <v>3.472222222222222E-3</v>
      </c>
      <c r="J822" s="63" t="s">
        <v>119</v>
      </c>
      <c r="K822" s="67" t="s">
        <v>21</v>
      </c>
      <c r="L822" s="67" t="s">
        <v>915</v>
      </c>
      <c r="M822" s="67" t="s">
        <v>217</v>
      </c>
      <c r="N822" s="63" t="s">
        <v>122</v>
      </c>
      <c r="O822" s="63" t="s">
        <v>7</v>
      </c>
      <c r="P822" s="77" t="s">
        <v>212</v>
      </c>
      <c r="Q822" s="66" t="s">
        <v>158</v>
      </c>
    </row>
    <row r="823" spans="2:17" ht="18.75" customHeight="1">
      <c r="B823" s="63" t="str">
        <f t="shared" si="27"/>
        <v>No820</v>
      </c>
      <c r="C823" s="63" t="str">
        <f t="shared" si="28"/>
        <v>202606</v>
      </c>
      <c r="D823" s="67" t="s">
        <v>142</v>
      </c>
      <c r="E823" s="67" t="s">
        <v>116</v>
      </c>
      <c r="F823" s="68">
        <v>46202.525000000001</v>
      </c>
      <c r="G823" s="68">
        <v>46202.602777777778</v>
      </c>
      <c r="H823" s="67">
        <f>IF(F823="", "", NETWORKDAYS.INTL(F823, G823, 11,祝日シート!A:A))</f>
        <v>1</v>
      </c>
      <c r="I823" s="75">
        <v>3.472222222222222E-3</v>
      </c>
      <c r="J823" s="63" t="s">
        <v>119</v>
      </c>
      <c r="K823" s="67" t="s">
        <v>931</v>
      </c>
      <c r="L823" s="67" t="s">
        <v>975</v>
      </c>
      <c r="M823" s="67" t="s">
        <v>321</v>
      </c>
      <c r="N823" s="67" t="s">
        <v>122</v>
      </c>
      <c r="O823" s="67" t="s">
        <v>7</v>
      </c>
      <c r="P823" s="77" t="s">
        <v>246</v>
      </c>
      <c r="Q823" s="66" t="s">
        <v>158</v>
      </c>
    </row>
    <row r="824" spans="2:17" ht="18.75" customHeight="1">
      <c r="B824" s="63" t="str">
        <f t="shared" si="27"/>
        <v>No821</v>
      </c>
      <c r="C824" s="63" t="str">
        <f t="shared" si="28"/>
        <v>202606</v>
      </c>
      <c r="D824" s="67" t="s">
        <v>142</v>
      </c>
      <c r="E824" s="67" t="s">
        <v>116</v>
      </c>
      <c r="F824" s="68">
        <v>46202.768055555563</v>
      </c>
      <c r="G824" s="68">
        <v>46202.771527777782</v>
      </c>
      <c r="H824" s="67">
        <f>IF(F824="", "", NETWORKDAYS.INTL(F824, G824, 11,祝日シート!A:A))</f>
        <v>1</v>
      </c>
      <c r="I824" s="75">
        <v>3.472222222222222E-3</v>
      </c>
      <c r="J824" s="63" t="s">
        <v>119</v>
      </c>
      <c r="K824" s="67" t="s">
        <v>21</v>
      </c>
      <c r="L824" s="67" t="s">
        <v>916</v>
      </c>
      <c r="M824" s="67" t="s">
        <v>144</v>
      </c>
      <c r="N824" s="63" t="s">
        <v>117</v>
      </c>
      <c r="O824" s="63" t="s">
        <v>7</v>
      </c>
      <c r="P824" s="77" t="s">
        <v>1212</v>
      </c>
      <c r="Q824" s="66" t="s">
        <v>158</v>
      </c>
    </row>
    <row r="825" spans="2:17" ht="18.75" customHeight="1">
      <c r="B825" s="63" t="str">
        <f t="shared" si="27"/>
        <v>No822</v>
      </c>
      <c r="C825" s="63" t="str">
        <f t="shared" si="28"/>
        <v>202606</v>
      </c>
      <c r="D825" s="63" t="s">
        <v>142</v>
      </c>
      <c r="E825" s="67" t="s">
        <v>155</v>
      </c>
      <c r="F825" s="68">
        <v>46203.541666666657</v>
      </c>
      <c r="G825" s="68">
        <v>46203.708333333343</v>
      </c>
      <c r="H825" s="67">
        <f>IF(F825="", "", NETWORKDAYS.INTL(F825, G825, 11,祝日シート!A:A))</f>
        <v>1</v>
      </c>
      <c r="I825" s="75">
        <v>1.388888888888889E-2</v>
      </c>
      <c r="J825" s="67" t="s">
        <v>45</v>
      </c>
      <c r="K825" s="67" t="s">
        <v>21</v>
      </c>
      <c r="L825" s="67" t="s">
        <v>916</v>
      </c>
      <c r="M825" s="67" t="s">
        <v>144</v>
      </c>
      <c r="N825" s="67" t="s">
        <v>122</v>
      </c>
      <c r="O825" s="67" t="s">
        <v>7</v>
      </c>
      <c r="P825" s="77" t="s">
        <v>1213</v>
      </c>
      <c r="Q825" s="66" t="s">
        <v>158</v>
      </c>
    </row>
    <row r="826" spans="2:17" ht="18.75" customHeight="1">
      <c r="B826" s="63" t="str">
        <f t="shared" si="27"/>
        <v>No823</v>
      </c>
      <c r="C826" s="63" t="str">
        <f t="shared" si="28"/>
        <v>202606</v>
      </c>
      <c r="D826" s="63" t="s">
        <v>142</v>
      </c>
      <c r="E826" s="67" t="s">
        <v>116</v>
      </c>
      <c r="F826" s="68">
        <v>46203.57916666667</v>
      </c>
      <c r="G826" s="68">
        <v>46203.585416666669</v>
      </c>
      <c r="H826" s="67">
        <f>IF(F826="", "", NETWORKDAYS.INTL(F826, G826, 11,祝日シート!A:A))</f>
        <v>1</v>
      </c>
      <c r="I826" s="75">
        <v>3.472222222222222E-3</v>
      </c>
      <c r="J826" s="63" t="s">
        <v>119</v>
      </c>
      <c r="K826" s="67" t="s">
        <v>21</v>
      </c>
      <c r="L826" s="67" t="s">
        <v>915</v>
      </c>
      <c r="M826" s="67" t="s">
        <v>211</v>
      </c>
      <c r="N826" s="63" t="s">
        <v>122</v>
      </c>
      <c r="O826" s="63" t="s">
        <v>7</v>
      </c>
      <c r="P826" s="77" t="s">
        <v>212</v>
      </c>
      <c r="Q826" s="66" t="s">
        <v>158</v>
      </c>
    </row>
    <row r="827" spans="2:17" ht="18.75" customHeight="1">
      <c r="B827" s="63" t="str">
        <f t="shared" si="27"/>
        <v>No824</v>
      </c>
      <c r="C827" s="63" t="str">
        <f t="shared" si="28"/>
        <v>202606</v>
      </c>
      <c r="D827" s="63" t="s">
        <v>142</v>
      </c>
      <c r="E827" s="67" t="s">
        <v>155</v>
      </c>
      <c r="F827" s="68">
        <v>46203.708333333343</v>
      </c>
      <c r="G827" s="68">
        <v>46203.763888888891</v>
      </c>
      <c r="H827" s="67">
        <v>1</v>
      </c>
      <c r="I827" s="65">
        <v>3.472222222222222E-3</v>
      </c>
      <c r="J827" s="63" t="s">
        <v>119</v>
      </c>
      <c r="K827" s="67" t="s">
        <v>923</v>
      </c>
      <c r="L827" s="67" t="s">
        <v>906</v>
      </c>
      <c r="M827" s="67" t="s">
        <v>156</v>
      </c>
      <c r="N827" s="63" t="s">
        <v>122</v>
      </c>
      <c r="O827" s="63" t="s">
        <v>7</v>
      </c>
      <c r="P827" s="77" t="s">
        <v>1052</v>
      </c>
      <c r="Q827" s="66" t="s">
        <v>158</v>
      </c>
    </row>
    <row r="828" spans="2:17" ht="18.75" customHeight="1">
      <c r="B828" s="63" t="str">
        <f t="shared" si="27"/>
        <v>No825</v>
      </c>
      <c r="C828" s="63" t="str">
        <f t="shared" si="28"/>
        <v>202606</v>
      </c>
      <c r="D828" s="67" t="s">
        <v>142</v>
      </c>
      <c r="E828" s="67" t="s">
        <v>155</v>
      </c>
      <c r="F828" s="68">
        <v>46203.736111111109</v>
      </c>
      <c r="G828" s="68">
        <v>46203.743055555547</v>
      </c>
      <c r="H828" s="67">
        <v>1</v>
      </c>
      <c r="I828" s="65">
        <v>3.472222222222222E-3</v>
      </c>
      <c r="J828" s="67" t="s">
        <v>119</v>
      </c>
      <c r="K828" s="67" t="s">
        <v>931</v>
      </c>
      <c r="L828" s="67" t="s">
        <v>975</v>
      </c>
      <c r="M828" s="67" t="s">
        <v>215</v>
      </c>
      <c r="N828" s="67" t="s">
        <v>122</v>
      </c>
      <c r="O828" s="67" t="s">
        <v>7</v>
      </c>
      <c r="P828" s="77" t="s">
        <v>246</v>
      </c>
      <c r="Q828" s="69" t="s">
        <v>158</v>
      </c>
    </row>
    <row r="829" spans="2:17" ht="18.75" customHeight="1">
      <c r="B829" s="63" t="str">
        <f t="shared" si="27"/>
        <v>No826</v>
      </c>
      <c r="C829" s="63" t="str">
        <f t="shared" si="28"/>
        <v>202606</v>
      </c>
      <c r="D829" s="63" t="s">
        <v>186</v>
      </c>
      <c r="E829" s="67" t="s">
        <v>155</v>
      </c>
      <c r="F829" s="68">
        <v>46203.739583333343</v>
      </c>
      <c r="G829" s="68">
        <v>46203.78125</v>
      </c>
      <c r="H829" s="67">
        <v>1</v>
      </c>
      <c r="I829" s="65">
        <v>1.041666666666667E-2</v>
      </c>
      <c r="J829" s="63" t="s">
        <v>20</v>
      </c>
      <c r="K829" s="67" t="s">
        <v>931</v>
      </c>
      <c r="L829" s="67" t="s">
        <v>932</v>
      </c>
      <c r="M829" s="67" t="s">
        <v>272</v>
      </c>
      <c r="N829" s="63" t="s">
        <v>122</v>
      </c>
      <c r="O829" s="63" t="s">
        <v>7</v>
      </c>
      <c r="P829" s="77" t="s">
        <v>1214</v>
      </c>
      <c r="Q829" s="66" t="s">
        <v>1215</v>
      </c>
    </row>
    <row r="830" spans="2:17" ht="18.75" customHeight="1">
      <c r="B830" s="63" t="str">
        <f t="shared" si="27"/>
        <v>No827</v>
      </c>
      <c r="C830" s="63" t="str">
        <f t="shared" si="28"/>
        <v>202607</v>
      </c>
      <c r="D830" s="67" t="s">
        <v>142</v>
      </c>
      <c r="E830" s="67" t="s">
        <v>155</v>
      </c>
      <c r="F830" s="68">
        <v>46204.423611111109</v>
      </c>
      <c r="G830" s="68">
        <v>46204.427083333343</v>
      </c>
      <c r="H830" s="67">
        <v>1</v>
      </c>
      <c r="I830" s="65">
        <v>3.472222222222222E-3</v>
      </c>
      <c r="J830" s="67" t="s">
        <v>119</v>
      </c>
      <c r="K830" s="67" t="s">
        <v>159</v>
      </c>
      <c r="L830" s="67" t="s">
        <v>929</v>
      </c>
      <c r="M830" s="67" t="s">
        <v>187</v>
      </c>
      <c r="N830" s="63" t="s">
        <v>122</v>
      </c>
      <c r="O830" s="63" t="s">
        <v>7</v>
      </c>
      <c r="P830" s="77" t="s">
        <v>482</v>
      </c>
      <c r="Q830" s="69" t="s">
        <v>158</v>
      </c>
    </row>
    <row r="831" spans="2:17" ht="18.75" customHeight="1">
      <c r="B831" s="63" t="str">
        <f t="shared" si="27"/>
        <v>No828</v>
      </c>
      <c r="C831" s="63" t="str">
        <f t="shared" si="28"/>
        <v>202607</v>
      </c>
      <c r="D831" s="63" t="s">
        <v>104</v>
      </c>
      <c r="E831" s="67" t="s">
        <v>155</v>
      </c>
      <c r="F831" s="68">
        <v>46204.465277777781</v>
      </c>
      <c r="G831" s="68">
        <v>46204.5</v>
      </c>
      <c r="H831" s="67">
        <v>1</v>
      </c>
      <c r="I831" s="65">
        <v>1.041666666666667E-2</v>
      </c>
      <c r="J831" s="63" t="s">
        <v>45</v>
      </c>
      <c r="K831" s="67" t="s">
        <v>35</v>
      </c>
      <c r="L831" s="67" t="s">
        <v>996</v>
      </c>
      <c r="M831" s="67" t="s">
        <v>329</v>
      </c>
      <c r="N831" s="63" t="s">
        <v>122</v>
      </c>
      <c r="O831" s="63" t="s">
        <v>7</v>
      </c>
      <c r="P831" s="77" t="s">
        <v>1216</v>
      </c>
      <c r="Q831" s="69" t="s">
        <v>1217</v>
      </c>
    </row>
    <row r="832" spans="2:17" ht="18.75" customHeight="1">
      <c r="B832" s="63" t="str">
        <f t="shared" si="27"/>
        <v>No829</v>
      </c>
      <c r="C832" s="63" t="str">
        <f t="shared" si="28"/>
        <v>202607</v>
      </c>
      <c r="D832" s="63" t="s">
        <v>142</v>
      </c>
      <c r="E832" s="67" t="s">
        <v>155</v>
      </c>
      <c r="F832" s="68">
        <v>46204.506944444453</v>
      </c>
      <c r="G832" s="68">
        <v>46204.568055555559</v>
      </c>
      <c r="H832" s="67">
        <v>1</v>
      </c>
      <c r="I832" s="65">
        <v>1.041666666666667E-2</v>
      </c>
      <c r="J832" s="63" t="s">
        <v>119</v>
      </c>
      <c r="K832" s="67" t="s">
        <v>159</v>
      </c>
      <c r="L832" s="67" t="s">
        <v>929</v>
      </c>
      <c r="M832" s="67" t="s">
        <v>187</v>
      </c>
      <c r="N832" s="67" t="s">
        <v>122</v>
      </c>
      <c r="O832" s="63" t="s">
        <v>7</v>
      </c>
      <c r="P832" s="77" t="s">
        <v>1218</v>
      </c>
      <c r="Q832" s="69" t="s">
        <v>1219</v>
      </c>
    </row>
    <row r="833" spans="2:17" ht="18.75" customHeight="1">
      <c r="B833" s="63" t="str">
        <f t="shared" si="27"/>
        <v>No830</v>
      </c>
      <c r="C833" s="63" t="str">
        <f t="shared" si="28"/>
        <v>202607</v>
      </c>
      <c r="D833" s="63" t="s">
        <v>142</v>
      </c>
      <c r="E833" s="67" t="s">
        <v>155</v>
      </c>
      <c r="F833" s="68">
        <v>46204.645833333343</v>
      </c>
      <c r="G833" s="68">
        <v>46204.71875</v>
      </c>
      <c r="H833" s="67">
        <v>1</v>
      </c>
      <c r="I833" s="75">
        <v>6.9444444444444441E-3</v>
      </c>
      <c r="J833" s="63" t="s">
        <v>119</v>
      </c>
      <c r="K833" s="67" t="s">
        <v>21</v>
      </c>
      <c r="L833" s="67" t="s">
        <v>916</v>
      </c>
      <c r="M833" s="67" t="s">
        <v>539</v>
      </c>
      <c r="N833" s="63" t="s">
        <v>117</v>
      </c>
      <c r="O833" s="63" t="s">
        <v>7</v>
      </c>
      <c r="P833" s="77" t="s">
        <v>580</v>
      </c>
      <c r="Q833" s="66" t="s">
        <v>158</v>
      </c>
    </row>
    <row r="834" spans="2:17" ht="18.75" customHeight="1">
      <c r="B834" s="63" t="str">
        <f t="shared" si="27"/>
        <v>No831</v>
      </c>
      <c r="C834" s="63" t="str">
        <f t="shared" si="28"/>
        <v>202607</v>
      </c>
      <c r="D834" s="63" t="s">
        <v>104</v>
      </c>
      <c r="E834" s="67" t="s">
        <v>155</v>
      </c>
      <c r="F834" s="68">
        <v>46204.673611111109</v>
      </c>
      <c r="G834" s="68">
        <v>46204.677083333343</v>
      </c>
      <c r="H834" s="67">
        <v>1</v>
      </c>
      <c r="I834" s="65">
        <v>3.472222222222222E-3</v>
      </c>
      <c r="J834" s="63" t="s">
        <v>45</v>
      </c>
      <c r="K834" s="67" t="s">
        <v>26</v>
      </c>
      <c r="L834" s="67" t="s">
        <v>912</v>
      </c>
      <c r="M834" s="67" t="s">
        <v>611</v>
      </c>
      <c r="N834" s="63" t="s">
        <v>117</v>
      </c>
      <c r="O834" s="63" t="s">
        <v>7</v>
      </c>
      <c r="P834" s="77" t="s">
        <v>1220</v>
      </c>
      <c r="Q834" s="66" t="s">
        <v>1221</v>
      </c>
    </row>
    <row r="835" spans="2:17" ht="18.75" customHeight="1">
      <c r="B835" s="63" t="str">
        <f t="shared" si="27"/>
        <v>No832</v>
      </c>
      <c r="C835" s="63" t="str">
        <f t="shared" si="28"/>
        <v>202607</v>
      </c>
      <c r="D835" s="63" t="s">
        <v>142</v>
      </c>
      <c r="E835" s="67" t="s">
        <v>155</v>
      </c>
      <c r="F835" s="68">
        <v>46205.416666666657</v>
      </c>
      <c r="G835" s="68">
        <v>46205.583333333343</v>
      </c>
      <c r="H835" s="67">
        <v>1</v>
      </c>
      <c r="I835" s="75">
        <v>1.388888888888889E-2</v>
      </c>
      <c r="J835" s="63" t="s">
        <v>45</v>
      </c>
      <c r="K835" s="67" t="s">
        <v>21</v>
      </c>
      <c r="L835" s="67" t="s">
        <v>915</v>
      </c>
      <c r="M835" s="67" t="s">
        <v>917</v>
      </c>
      <c r="N835" s="67" t="s">
        <v>122</v>
      </c>
      <c r="O835" s="63" t="s">
        <v>7</v>
      </c>
      <c r="P835" s="77" t="s">
        <v>1222</v>
      </c>
      <c r="Q835" s="66" t="s">
        <v>158</v>
      </c>
    </row>
    <row r="836" spans="2:17" ht="18.75" customHeight="1">
      <c r="B836" s="63" t="str">
        <f t="shared" si="27"/>
        <v>No833</v>
      </c>
      <c r="C836" s="63" t="str">
        <f t="shared" si="28"/>
        <v>202607</v>
      </c>
      <c r="D836" s="63" t="s">
        <v>142</v>
      </c>
      <c r="E836" s="67" t="s">
        <v>155</v>
      </c>
      <c r="F836" s="68">
        <v>46205.46875</v>
      </c>
      <c r="G836" s="68">
        <v>46205.482638888891</v>
      </c>
      <c r="H836" s="67">
        <v>1</v>
      </c>
      <c r="I836" s="65">
        <v>1.388888888888889E-2</v>
      </c>
      <c r="J836" s="63" t="s">
        <v>119</v>
      </c>
      <c r="K836" s="67" t="s">
        <v>931</v>
      </c>
      <c r="L836" s="67" t="s">
        <v>975</v>
      </c>
      <c r="M836" s="67" t="s">
        <v>253</v>
      </c>
      <c r="N836" s="63" t="s">
        <v>117</v>
      </c>
      <c r="O836" s="63" t="s">
        <v>7</v>
      </c>
      <c r="P836" s="77" t="s">
        <v>1223</v>
      </c>
      <c r="Q836" s="66" t="s">
        <v>158</v>
      </c>
    </row>
    <row r="837" spans="2:17" ht="18.75" customHeight="1">
      <c r="B837" s="63" t="str">
        <f t="shared" si="27"/>
        <v>No834</v>
      </c>
      <c r="C837" s="63" t="str">
        <f t="shared" si="28"/>
        <v>202607</v>
      </c>
      <c r="D837" s="63" t="s">
        <v>142</v>
      </c>
      <c r="E837" s="67" t="s">
        <v>155</v>
      </c>
      <c r="F837" s="68">
        <v>46205.5</v>
      </c>
      <c r="G837" s="64">
        <v>46205.506944444453</v>
      </c>
      <c r="H837" s="67">
        <v>1</v>
      </c>
      <c r="I837" s="65">
        <v>6.9444444444444441E-3</v>
      </c>
      <c r="J837" s="63" t="s">
        <v>119</v>
      </c>
      <c r="K837" s="67" t="s">
        <v>931</v>
      </c>
      <c r="L837" s="67" t="s">
        <v>975</v>
      </c>
      <c r="M837" s="67" t="s">
        <v>253</v>
      </c>
      <c r="N837" s="63" t="s">
        <v>117</v>
      </c>
      <c r="O837" s="63" t="s">
        <v>7</v>
      </c>
      <c r="P837" s="77" t="s">
        <v>1223</v>
      </c>
      <c r="Q837" s="66" t="s">
        <v>158</v>
      </c>
    </row>
    <row r="838" spans="2:17" ht="18.75" customHeight="1">
      <c r="B838" s="63" t="str">
        <f t="shared" si="27"/>
        <v>No835</v>
      </c>
      <c r="C838" s="63" t="str">
        <f t="shared" si="28"/>
        <v>202607</v>
      </c>
      <c r="D838" s="63" t="s">
        <v>142</v>
      </c>
      <c r="E838" s="67" t="s">
        <v>116</v>
      </c>
      <c r="F838" s="68">
        <v>46205.702777777777</v>
      </c>
      <c r="G838" s="68">
        <v>46205.736111111109</v>
      </c>
      <c r="H838" s="67">
        <f>IF(F838="", "", NETWORKDAYS.INTL(F838, G838, 11,祝日シート!A:A))</f>
        <v>1</v>
      </c>
      <c r="I838" s="75">
        <v>3.472222222222222E-3</v>
      </c>
      <c r="J838" s="63" t="s">
        <v>119</v>
      </c>
      <c r="K838" s="67" t="s">
        <v>21</v>
      </c>
      <c r="L838" s="67" t="s">
        <v>916</v>
      </c>
      <c r="M838" s="67" t="s">
        <v>539</v>
      </c>
      <c r="N838" s="63" t="s">
        <v>117</v>
      </c>
      <c r="O838" s="63" t="s">
        <v>7</v>
      </c>
      <c r="P838" s="77" t="s">
        <v>580</v>
      </c>
      <c r="Q838" s="66" t="s">
        <v>158</v>
      </c>
    </row>
    <row r="839" spans="2:17" ht="18.75" customHeight="1">
      <c r="B839" s="63" t="str">
        <f t="shared" si="27"/>
        <v>No836</v>
      </c>
      <c r="C839" s="63" t="str">
        <f t="shared" si="28"/>
        <v>202607</v>
      </c>
      <c r="D839" s="63" t="s">
        <v>142</v>
      </c>
      <c r="E839" s="67" t="s">
        <v>155</v>
      </c>
      <c r="F839" s="68">
        <v>46206.368055555547</v>
      </c>
      <c r="G839" s="68">
        <v>46206.371527777781</v>
      </c>
      <c r="H839" s="67">
        <f>IF(F839="", "", NETWORKDAYS.INTL(F839, G839, 11,祝日シート!A:A))</f>
        <v>1</v>
      </c>
      <c r="I839" s="65">
        <v>3.472222222222222E-3</v>
      </c>
      <c r="J839" s="67" t="s">
        <v>20</v>
      </c>
      <c r="K839" s="67" t="s">
        <v>35</v>
      </c>
      <c r="L839" s="67" t="s">
        <v>996</v>
      </c>
      <c r="M839" s="67" t="s">
        <v>280</v>
      </c>
      <c r="N839" s="63" t="s">
        <v>122</v>
      </c>
      <c r="O839" s="63" t="s">
        <v>7</v>
      </c>
      <c r="P839" s="77" t="s">
        <v>1224</v>
      </c>
      <c r="Q839" s="69" t="s">
        <v>1225</v>
      </c>
    </row>
    <row r="840" spans="2:17" ht="18.75" customHeight="1">
      <c r="B840" s="63" t="str">
        <f t="shared" si="27"/>
        <v>No837</v>
      </c>
      <c r="C840" s="63" t="str">
        <f t="shared" si="28"/>
        <v>202607</v>
      </c>
      <c r="D840" s="63" t="s">
        <v>142</v>
      </c>
      <c r="E840" s="67" t="s">
        <v>116</v>
      </c>
      <c r="F840" s="68">
        <v>46206.709027777782</v>
      </c>
      <c r="G840" s="68">
        <v>46206.712500000001</v>
      </c>
      <c r="H840" s="67">
        <f>IF(F840="", "", NETWORKDAYS.INTL(F840, G840, 11,祝日シート!A:A))</f>
        <v>1</v>
      </c>
      <c r="I840" s="75">
        <v>3.472222222222222E-3</v>
      </c>
      <c r="J840" s="63" t="s">
        <v>119</v>
      </c>
      <c r="K840" s="67" t="s">
        <v>21</v>
      </c>
      <c r="L840" s="67" t="s">
        <v>916</v>
      </c>
      <c r="M840" s="67" t="s">
        <v>99</v>
      </c>
      <c r="N840" s="63" t="s">
        <v>117</v>
      </c>
      <c r="O840" s="63" t="s">
        <v>7</v>
      </c>
      <c r="P840" s="77" t="s">
        <v>580</v>
      </c>
      <c r="Q840" s="66" t="s">
        <v>158</v>
      </c>
    </row>
    <row r="841" spans="2:17" ht="18.75" customHeight="1">
      <c r="B841" s="63" t="str">
        <f t="shared" si="27"/>
        <v>No838</v>
      </c>
      <c r="C841" s="63" t="str">
        <f t="shared" si="28"/>
        <v>202607</v>
      </c>
      <c r="D841" s="63" t="s">
        <v>142</v>
      </c>
      <c r="E841" s="67" t="s">
        <v>155</v>
      </c>
      <c r="F841" s="68">
        <v>46209.364583333343</v>
      </c>
      <c r="G841" s="68">
        <v>46209.447916666657</v>
      </c>
      <c r="H841" s="67">
        <f>IF(F841="", "", NETWORKDAYS.INTL(F841, G841, 11,祝日シート!A:A))</f>
        <v>1</v>
      </c>
      <c r="I841" s="65">
        <v>1.041666666666667E-2</v>
      </c>
      <c r="J841" s="63" t="s">
        <v>119</v>
      </c>
      <c r="K841" s="67" t="s">
        <v>923</v>
      </c>
      <c r="L841" s="67" t="s">
        <v>906</v>
      </c>
      <c r="M841" s="67" t="s">
        <v>156</v>
      </c>
      <c r="N841" s="63" t="s">
        <v>122</v>
      </c>
      <c r="O841" s="63" t="s">
        <v>7</v>
      </c>
      <c r="P841" s="77" t="s">
        <v>1052</v>
      </c>
      <c r="Q841" s="66" t="s">
        <v>158</v>
      </c>
    </row>
    <row r="842" spans="2:17" ht="18.75" customHeight="1">
      <c r="B842" s="63" t="str">
        <f t="shared" si="27"/>
        <v>No839</v>
      </c>
      <c r="C842" s="63" t="str">
        <f t="shared" si="28"/>
        <v>202607</v>
      </c>
      <c r="D842" s="63" t="s">
        <v>142</v>
      </c>
      <c r="E842" s="67" t="s">
        <v>155</v>
      </c>
      <c r="F842" s="68">
        <v>46209.461111111108</v>
      </c>
      <c r="G842" s="68">
        <v>46209.50277777778</v>
      </c>
      <c r="H842" s="67">
        <f>IF(F842="", "", NETWORKDAYS.INTL(F842, G842, 11,祝日シート!A:A))</f>
        <v>1</v>
      </c>
      <c r="I842" s="65">
        <v>1.041666666666667E-2</v>
      </c>
      <c r="J842" s="67" t="s">
        <v>45</v>
      </c>
      <c r="K842" s="67" t="s">
        <v>26</v>
      </c>
      <c r="L842" s="67" t="s">
        <v>912</v>
      </c>
      <c r="M842" s="67" t="s">
        <v>167</v>
      </c>
      <c r="N842" s="63" t="s">
        <v>122</v>
      </c>
      <c r="O842" s="63" t="s">
        <v>7</v>
      </c>
      <c r="P842" s="77" t="s">
        <v>1226</v>
      </c>
      <c r="Q842" s="69" t="s">
        <v>1227</v>
      </c>
    </row>
    <row r="843" spans="2:17" ht="18.75" customHeight="1">
      <c r="B843" s="63" t="str">
        <f t="shared" si="27"/>
        <v>No840</v>
      </c>
      <c r="C843" s="63" t="str">
        <f t="shared" si="28"/>
        <v>202607</v>
      </c>
      <c r="D843" s="63" t="s">
        <v>142</v>
      </c>
      <c r="E843" s="67" t="s">
        <v>116</v>
      </c>
      <c r="F843" s="68">
        <v>46209.479166666657</v>
      </c>
      <c r="G843" s="68">
        <v>46209.486111111109</v>
      </c>
      <c r="H843" s="67">
        <f>IF(F843="", "", NETWORKDAYS.INTL(F843, G843, 11,祝日シート!A:A))</f>
        <v>1</v>
      </c>
      <c r="I843" s="75">
        <v>1.041666666666667E-2</v>
      </c>
      <c r="J843" s="63" t="s">
        <v>119</v>
      </c>
      <c r="K843" s="67" t="s">
        <v>41</v>
      </c>
      <c r="L843" s="67" t="s">
        <v>903</v>
      </c>
      <c r="M843" s="67" t="s">
        <v>112</v>
      </c>
      <c r="N843" s="63" t="s">
        <v>117</v>
      </c>
      <c r="O843" s="63" t="s">
        <v>7</v>
      </c>
      <c r="P843" s="77" t="s">
        <v>1223</v>
      </c>
      <c r="Q843" s="66" t="s">
        <v>158</v>
      </c>
    </row>
    <row r="844" spans="2:17" ht="18.75" customHeight="1">
      <c r="B844" s="63" t="str">
        <f t="shared" si="27"/>
        <v>No841</v>
      </c>
      <c r="C844" s="63" t="str">
        <f t="shared" si="28"/>
        <v>202607</v>
      </c>
      <c r="D844" s="63" t="s">
        <v>142</v>
      </c>
      <c r="E844" s="67" t="s">
        <v>155</v>
      </c>
      <c r="F844" s="68">
        <v>46209.50277777778</v>
      </c>
      <c r="G844" s="64">
        <v>46209.578472222223</v>
      </c>
      <c r="H844" s="67">
        <v>1</v>
      </c>
      <c r="I844" s="65">
        <v>6.9444444444444441E-3</v>
      </c>
      <c r="J844" s="63" t="s">
        <v>119</v>
      </c>
      <c r="K844" s="67" t="s">
        <v>159</v>
      </c>
      <c r="L844" s="67" t="s">
        <v>929</v>
      </c>
      <c r="M844" s="67" t="s">
        <v>187</v>
      </c>
      <c r="N844" s="63" t="s">
        <v>122</v>
      </c>
      <c r="O844" s="63" t="s">
        <v>7</v>
      </c>
      <c r="P844" s="77" t="s">
        <v>179</v>
      </c>
      <c r="Q844" s="66" t="s">
        <v>158</v>
      </c>
    </row>
    <row r="845" spans="2:17" ht="18.75" customHeight="1">
      <c r="B845" s="63" t="str">
        <f t="shared" si="27"/>
        <v>No842</v>
      </c>
      <c r="C845" s="63" t="str">
        <f t="shared" si="28"/>
        <v>202607</v>
      </c>
      <c r="D845" s="63" t="s">
        <v>142</v>
      </c>
      <c r="E845" s="67" t="s">
        <v>116</v>
      </c>
      <c r="F845" s="68">
        <v>46209.662499999999</v>
      </c>
      <c r="G845" s="68">
        <v>46209.692361111112</v>
      </c>
      <c r="H845" s="67">
        <f>IF(F845="", "", NETWORKDAYS.INTL(F845, G845, 11,祝日シート!A:A))</f>
        <v>1</v>
      </c>
      <c r="I845" s="75">
        <v>2.0833333333333329E-2</v>
      </c>
      <c r="J845" s="63" t="s">
        <v>119</v>
      </c>
      <c r="K845" s="67" t="s">
        <v>21</v>
      </c>
      <c r="L845" s="67" t="s">
        <v>915</v>
      </c>
      <c r="M845" s="67" t="s">
        <v>917</v>
      </c>
      <c r="N845" s="63" t="s">
        <v>122</v>
      </c>
      <c r="O845" s="63" t="s">
        <v>7</v>
      </c>
      <c r="P845" s="77" t="s">
        <v>1228</v>
      </c>
      <c r="Q845" s="66" t="s">
        <v>158</v>
      </c>
    </row>
    <row r="846" spans="2:17" ht="18.75" customHeight="1">
      <c r="B846" s="63" t="str">
        <f t="shared" si="27"/>
        <v>No843</v>
      </c>
      <c r="C846" s="63" t="str">
        <f t="shared" si="28"/>
        <v>202607</v>
      </c>
      <c r="D846" s="63" t="s">
        <v>142</v>
      </c>
      <c r="E846" s="67" t="s">
        <v>155</v>
      </c>
      <c r="F846" s="68">
        <v>46209.683333333327</v>
      </c>
      <c r="G846" s="68">
        <v>46209.69027777778</v>
      </c>
      <c r="H846" s="67">
        <f>IF(F846="", "", NETWORKDAYS.INTL(F846, G846, 11,祝日シート!A:A))</f>
        <v>1</v>
      </c>
      <c r="I846" s="65">
        <v>6.9444444444444441E-3</v>
      </c>
      <c r="J846" s="63" t="s">
        <v>119</v>
      </c>
      <c r="K846" s="67" t="s">
        <v>21</v>
      </c>
      <c r="L846" s="67" t="s">
        <v>916</v>
      </c>
      <c r="M846" s="67" t="s">
        <v>144</v>
      </c>
      <c r="N846" s="63" t="s">
        <v>117</v>
      </c>
      <c r="O846" s="63" t="s">
        <v>7</v>
      </c>
      <c r="P846" s="77" t="s">
        <v>1212</v>
      </c>
      <c r="Q846" s="66" t="s">
        <v>158</v>
      </c>
    </row>
    <row r="847" spans="2:17" ht="18.75" customHeight="1">
      <c r="B847" s="63" t="str">
        <f t="shared" si="27"/>
        <v>No844</v>
      </c>
      <c r="C847" s="63" t="str">
        <f t="shared" si="28"/>
        <v>202607</v>
      </c>
      <c r="D847" s="63" t="s">
        <v>142</v>
      </c>
      <c r="E847" s="67" t="s">
        <v>155</v>
      </c>
      <c r="F847" s="68">
        <v>46209.697222222218</v>
      </c>
      <c r="G847" s="68">
        <v>46209.714583333327</v>
      </c>
      <c r="H847" s="67">
        <f>IF(F847="", "", NETWORKDAYS.INTL(F847, G847, 11,祝日シート!A:A))</f>
        <v>1</v>
      </c>
      <c r="I847" s="75">
        <v>1.041666666666667E-2</v>
      </c>
      <c r="J847" s="63" t="s">
        <v>119</v>
      </c>
      <c r="K847" s="67" t="s">
        <v>931</v>
      </c>
      <c r="L847" s="67" t="s">
        <v>975</v>
      </c>
      <c r="M847" s="67" t="s">
        <v>215</v>
      </c>
      <c r="N847" s="67" t="s">
        <v>117</v>
      </c>
      <c r="O847" s="67" t="s">
        <v>7</v>
      </c>
      <c r="P847" s="77" t="s">
        <v>1229</v>
      </c>
      <c r="Q847" s="69" t="s">
        <v>1230</v>
      </c>
    </row>
    <row r="848" spans="2:17" ht="18.75" customHeight="1">
      <c r="B848" s="63" t="str">
        <f t="shared" si="27"/>
        <v>No845</v>
      </c>
      <c r="C848" s="63" t="str">
        <f t="shared" ref="C848:C857" si="29">IFERROR(IF(G848&lt;&gt;"",TEXT(G848,"yyyymm"),""),"")</f>
        <v>202607</v>
      </c>
      <c r="D848" s="63" t="s">
        <v>142</v>
      </c>
      <c r="E848" s="67" t="s">
        <v>155</v>
      </c>
      <c r="F848" s="68">
        <v>46210.746527777781</v>
      </c>
      <c r="G848" s="68">
        <v>46210.754166666673</v>
      </c>
      <c r="H848" s="67">
        <v>1</v>
      </c>
      <c r="I848" s="65">
        <v>6.9444444444444441E-3</v>
      </c>
      <c r="J848" s="63" t="s">
        <v>119</v>
      </c>
      <c r="K848" s="67" t="s">
        <v>21</v>
      </c>
      <c r="L848" s="67" t="s">
        <v>916</v>
      </c>
      <c r="M848" s="67" t="s">
        <v>144</v>
      </c>
      <c r="N848" s="63" t="s">
        <v>117</v>
      </c>
      <c r="O848" s="63" t="s">
        <v>7</v>
      </c>
      <c r="P848" s="77" t="s">
        <v>580</v>
      </c>
      <c r="Q848" s="66" t="s">
        <v>158</v>
      </c>
    </row>
    <row r="849" spans="2:17" ht="18.75" customHeight="1">
      <c r="B849" s="63" t="str">
        <f t="shared" si="27"/>
        <v>No846</v>
      </c>
      <c r="C849" s="63" t="str">
        <f t="shared" si="29"/>
        <v>202607</v>
      </c>
      <c r="D849" s="63" t="s">
        <v>142</v>
      </c>
      <c r="E849" s="67" t="s">
        <v>116</v>
      </c>
      <c r="F849" s="68">
        <v>46211.412499999999</v>
      </c>
      <c r="G849" s="68">
        <v>46211.472916666673</v>
      </c>
      <c r="H849" s="67">
        <f>IF(F849="", "", NETWORKDAYS.INTL(F849, G849, 11,祝日シート!A:A))</f>
        <v>1</v>
      </c>
      <c r="I849" s="75">
        <v>1.041666666666667E-2</v>
      </c>
      <c r="J849" s="63" t="s">
        <v>95</v>
      </c>
      <c r="K849" s="67" t="s">
        <v>931</v>
      </c>
      <c r="L849" s="67" t="s">
        <v>975</v>
      </c>
      <c r="M849" s="67" t="s">
        <v>245</v>
      </c>
      <c r="N849" s="63" t="s">
        <v>117</v>
      </c>
      <c r="O849" s="63" t="s">
        <v>7</v>
      </c>
      <c r="P849" s="77" t="s">
        <v>246</v>
      </c>
      <c r="Q849" s="69" t="s">
        <v>1231</v>
      </c>
    </row>
    <row r="850" spans="2:17" ht="18.75" customHeight="1">
      <c r="B850" s="63" t="str">
        <f t="shared" si="27"/>
        <v>No847</v>
      </c>
      <c r="C850" s="63" t="str">
        <f t="shared" si="29"/>
        <v>202607</v>
      </c>
      <c r="D850" s="63" t="s">
        <v>142</v>
      </c>
      <c r="E850" s="67" t="s">
        <v>116</v>
      </c>
      <c r="F850" s="68">
        <v>46211.474999999999</v>
      </c>
      <c r="G850" s="68">
        <v>46211.491666666669</v>
      </c>
      <c r="H850" s="67">
        <f>IF(F850="", "", NETWORKDAYS.INTL(F850, G850, 11,祝日シート!A:A))</f>
        <v>1</v>
      </c>
      <c r="I850" s="75">
        <v>3.472222222222222E-3</v>
      </c>
      <c r="J850" s="63" t="s">
        <v>119</v>
      </c>
      <c r="K850" s="67" t="s">
        <v>931</v>
      </c>
      <c r="L850" s="67" t="s">
        <v>975</v>
      </c>
      <c r="M850" s="67" t="s">
        <v>253</v>
      </c>
      <c r="N850" s="63" t="s">
        <v>117</v>
      </c>
      <c r="O850" s="63" t="s">
        <v>7</v>
      </c>
      <c r="P850" s="77" t="s">
        <v>246</v>
      </c>
      <c r="Q850" s="66" t="s">
        <v>158</v>
      </c>
    </row>
    <row r="851" spans="2:17" ht="18.75" customHeight="1">
      <c r="B851" s="63" t="str">
        <f t="shared" si="27"/>
        <v>No848</v>
      </c>
      <c r="C851" s="63" t="str">
        <f t="shared" si="29"/>
        <v>202607</v>
      </c>
      <c r="D851" s="63" t="s">
        <v>142</v>
      </c>
      <c r="E851" s="67" t="s">
        <v>155</v>
      </c>
      <c r="F851" s="68">
        <v>46211.493055555547</v>
      </c>
      <c r="G851" s="68">
        <v>46211.497916666667</v>
      </c>
      <c r="H851" s="67">
        <f>IF(F851="", "", NETWORKDAYS.INTL(F851, G851, 11,祝日シート!A:A))</f>
        <v>1</v>
      </c>
      <c r="I851" s="65">
        <v>3.472222222222222E-3</v>
      </c>
      <c r="J851" s="63" t="s">
        <v>119</v>
      </c>
      <c r="K851" s="67" t="s">
        <v>931</v>
      </c>
      <c r="L851" s="67" t="s">
        <v>975</v>
      </c>
      <c r="M851" s="67" t="s">
        <v>215</v>
      </c>
      <c r="N851" s="63" t="s">
        <v>122</v>
      </c>
      <c r="O851" s="63" t="s">
        <v>7</v>
      </c>
      <c r="P851" s="77" t="s">
        <v>246</v>
      </c>
      <c r="Q851" s="66" t="s">
        <v>158</v>
      </c>
    </row>
    <row r="852" spans="2:17" ht="18.75" customHeight="1">
      <c r="B852" s="63" t="str">
        <f t="shared" si="27"/>
        <v>No849</v>
      </c>
      <c r="C852" s="63" t="str">
        <f t="shared" si="29"/>
        <v>202607</v>
      </c>
      <c r="D852" s="63" t="s">
        <v>142</v>
      </c>
      <c r="E852" s="67" t="s">
        <v>116</v>
      </c>
      <c r="F852" s="68">
        <v>46211.54791666667</v>
      </c>
      <c r="G852" s="68">
        <v>46211.567361111112</v>
      </c>
      <c r="H852" s="67">
        <f>IF(F852="", "", NETWORKDAYS.INTL(F852, G852, 11,祝日シート!A:A))</f>
        <v>1</v>
      </c>
      <c r="I852" s="75">
        <v>6.9444444444444441E-3</v>
      </c>
      <c r="J852" s="63" t="s">
        <v>143</v>
      </c>
      <c r="K852" s="67" t="s">
        <v>159</v>
      </c>
      <c r="L852" s="67" t="s">
        <v>896</v>
      </c>
      <c r="M852" s="67" t="s">
        <v>339</v>
      </c>
      <c r="N852" s="63" t="s">
        <v>117</v>
      </c>
      <c r="O852" s="63" t="s">
        <v>7</v>
      </c>
      <c r="P852" s="77" t="s">
        <v>1232</v>
      </c>
      <c r="Q852" s="69" t="s">
        <v>1233</v>
      </c>
    </row>
    <row r="853" spans="2:17" ht="18.75" customHeight="1">
      <c r="B853" s="63" t="str">
        <f t="shared" si="27"/>
        <v>No850</v>
      </c>
      <c r="C853" s="63" t="str">
        <f t="shared" si="29"/>
        <v>202607</v>
      </c>
      <c r="D853" s="63" t="s">
        <v>142</v>
      </c>
      <c r="E853" s="67" t="s">
        <v>116</v>
      </c>
      <c r="F853" s="68">
        <v>46211.737500000003</v>
      </c>
      <c r="G853" s="68">
        <v>46211.745833333327</v>
      </c>
      <c r="H853" s="67">
        <f>IF(F853="", "", NETWORKDAYS.INTL(F853, G853, 11,祝日シート!A:A))</f>
        <v>1</v>
      </c>
      <c r="I853" s="75">
        <v>3.472222222222222E-3</v>
      </c>
      <c r="J853" s="63" t="s">
        <v>119</v>
      </c>
      <c r="K853" s="67" t="s">
        <v>21</v>
      </c>
      <c r="L853" s="67" t="s">
        <v>916</v>
      </c>
      <c r="M853" s="67" t="s">
        <v>99</v>
      </c>
      <c r="N853" s="63" t="s">
        <v>117</v>
      </c>
      <c r="O853" s="63" t="s">
        <v>7</v>
      </c>
      <c r="P853" s="77" t="s">
        <v>580</v>
      </c>
      <c r="Q853" s="66" t="s">
        <v>158</v>
      </c>
    </row>
    <row r="854" spans="2:17" ht="18.75" customHeight="1">
      <c r="B854" s="63" t="str">
        <f t="shared" si="27"/>
        <v>No851</v>
      </c>
      <c r="C854" s="63" t="str">
        <f t="shared" si="29"/>
        <v>202607</v>
      </c>
      <c r="D854" s="63" t="s">
        <v>142</v>
      </c>
      <c r="E854" s="67" t="s">
        <v>116</v>
      </c>
      <c r="F854" s="68">
        <v>46212.470833333333</v>
      </c>
      <c r="G854" s="68">
        <v>46212.477777777778</v>
      </c>
      <c r="H854" s="67">
        <f>IF(F854="", "", NETWORKDAYS.INTL(F854, G854, 11,祝日シート!A:A))</f>
        <v>1</v>
      </c>
      <c r="I854" s="75">
        <v>6.9444444444444441E-3</v>
      </c>
      <c r="J854" s="63" t="s">
        <v>119</v>
      </c>
      <c r="K854" s="67" t="s">
        <v>931</v>
      </c>
      <c r="L854" s="67" t="s">
        <v>975</v>
      </c>
      <c r="M854" s="67" t="s">
        <v>245</v>
      </c>
      <c r="N854" s="63" t="s">
        <v>117</v>
      </c>
      <c r="O854" s="63" t="s">
        <v>7</v>
      </c>
      <c r="P854" s="77" t="s">
        <v>246</v>
      </c>
      <c r="Q854" s="66" t="s">
        <v>158</v>
      </c>
    </row>
    <row r="855" spans="2:17" ht="18.75" customHeight="1">
      <c r="B855" s="63" t="str">
        <f t="shared" ref="B855:B857" si="30">"No"&amp;ROW()-3</f>
        <v>No852</v>
      </c>
      <c r="C855" s="63" t="str">
        <f t="shared" si="29"/>
        <v>202607</v>
      </c>
      <c r="D855" s="63" t="s">
        <v>142</v>
      </c>
      <c r="E855" s="67" t="s">
        <v>116</v>
      </c>
      <c r="F855" s="68">
        <v>46212.706944444442</v>
      </c>
      <c r="G855" s="68">
        <v>46212.712500000001</v>
      </c>
      <c r="H855" s="67">
        <f>IF(F855="", "", NETWORKDAYS.INTL(F855, G855, 11,祝日シート!A:A))</f>
        <v>1</v>
      </c>
      <c r="I855" s="75">
        <v>3.472222222222222E-3</v>
      </c>
      <c r="J855" s="63" t="s">
        <v>119</v>
      </c>
      <c r="K855" s="67" t="s">
        <v>21</v>
      </c>
      <c r="L855" s="67" t="s">
        <v>916</v>
      </c>
      <c r="M855" s="67" t="s">
        <v>99</v>
      </c>
      <c r="N855" s="63" t="s">
        <v>117</v>
      </c>
      <c r="O855" s="63" t="s">
        <v>7</v>
      </c>
      <c r="P855" s="77" t="s">
        <v>1212</v>
      </c>
      <c r="Q855" s="66" t="s">
        <v>158</v>
      </c>
    </row>
    <row r="856" spans="2:17" ht="18.75" customHeight="1">
      <c r="B856" s="63" t="str">
        <f t="shared" si="30"/>
        <v>No853</v>
      </c>
      <c r="C856" s="63" t="str">
        <f t="shared" si="29"/>
        <v>202607</v>
      </c>
      <c r="D856" s="63" t="s">
        <v>142</v>
      </c>
      <c r="E856" s="67" t="s">
        <v>116</v>
      </c>
      <c r="F856" s="68">
        <v>46212.727777777778</v>
      </c>
      <c r="G856" s="68">
        <v>46212.736805555563</v>
      </c>
      <c r="H856" s="67">
        <f>IF(F856="", "", NETWORKDAYS.INTL(F856, G856, 11,祝日シート!A:A))</f>
        <v>1</v>
      </c>
      <c r="I856" s="75">
        <v>3.472222222222222E-3</v>
      </c>
      <c r="J856" s="63" t="s">
        <v>119</v>
      </c>
      <c r="K856" s="67" t="s">
        <v>21</v>
      </c>
      <c r="L856" s="67" t="s">
        <v>916</v>
      </c>
      <c r="M856" s="67" t="s">
        <v>99</v>
      </c>
      <c r="N856" s="63" t="s">
        <v>117</v>
      </c>
      <c r="O856" s="63" t="s">
        <v>7</v>
      </c>
      <c r="P856" s="77" t="s">
        <v>580</v>
      </c>
      <c r="Q856" s="66" t="s">
        <v>158</v>
      </c>
    </row>
    <row r="857" spans="2:17" ht="18.75" customHeight="1">
      <c r="B857" s="63" t="str">
        <f t="shared" si="30"/>
        <v>No854</v>
      </c>
      <c r="C857" s="63" t="str">
        <f t="shared" si="29"/>
        <v>202607</v>
      </c>
      <c r="D857" s="63" t="s">
        <v>142</v>
      </c>
      <c r="E857" s="67" t="s">
        <v>116</v>
      </c>
      <c r="F857" s="68">
        <v>46214.674305555563</v>
      </c>
      <c r="G857" s="68">
        <v>46214.681250000001</v>
      </c>
      <c r="H857" s="67">
        <f>IF(F857="", "", NETWORKDAYS.INTL(F857, G857, 11,祝日シート!A:A))</f>
        <v>1</v>
      </c>
      <c r="I857" s="75">
        <v>3.472222222222222E-3</v>
      </c>
      <c r="J857" s="63" t="s">
        <v>95</v>
      </c>
      <c r="K857" s="67" t="s">
        <v>931</v>
      </c>
      <c r="L857" s="67" t="s">
        <v>975</v>
      </c>
      <c r="M857" s="67" t="s">
        <v>339</v>
      </c>
      <c r="N857" s="63" t="s">
        <v>117</v>
      </c>
      <c r="O857" s="63" t="s">
        <v>7</v>
      </c>
      <c r="P857" s="77" t="s">
        <v>1234</v>
      </c>
      <c r="Q857" s="66" t="s">
        <v>158</v>
      </c>
    </row>
    <row r="858" spans="2:17" ht="18.75">
      <c r="B858" s="63" t="str">
        <f>"No"&amp;ROW()-3</f>
        <v>No855</v>
      </c>
      <c r="C858" s="63" t="s">
        <v>2</v>
      </c>
      <c r="D858" s="63" t="s">
        <v>3</v>
      </c>
      <c r="E858" s="67" t="s">
        <v>4</v>
      </c>
      <c r="F858" s="68">
        <v>46202.451388888891</v>
      </c>
      <c r="G858" s="64">
        <v>46202.461805555547</v>
      </c>
      <c r="H858" s="67">
        <f>IF(F858="", "", NETWORKDAYS.INTL(F858, G858, 11,祝日シート!A:A))</f>
        <v>1</v>
      </c>
      <c r="I858" s="65"/>
      <c r="J858" s="63" t="s">
        <v>2021</v>
      </c>
      <c r="K858" s="121" t="s">
        <v>923</v>
      </c>
      <c r="L858" s="121" t="s">
        <v>2027</v>
      </c>
      <c r="M858" s="120" t="s">
        <v>907</v>
      </c>
      <c r="N858" s="63" t="s">
        <v>6</v>
      </c>
      <c r="O858" s="63" t="s">
        <v>7</v>
      </c>
      <c r="P858" s="123" t="s">
        <v>1981</v>
      </c>
      <c r="Q858" s="66" t="s">
        <v>1983</v>
      </c>
    </row>
    <row r="859" spans="2:17" ht="37.5">
      <c r="B859" s="63" t="str">
        <f>"No"&amp;ROW()-3</f>
        <v>No856</v>
      </c>
      <c r="C859" s="63" t="s">
        <v>2</v>
      </c>
      <c r="D859" s="63" t="s">
        <v>3</v>
      </c>
      <c r="E859" s="67" t="s">
        <v>4</v>
      </c>
      <c r="F859" s="68">
        <v>46202.547222222223</v>
      </c>
      <c r="G859" s="64">
        <v>46202.557638888888</v>
      </c>
      <c r="H859" s="67">
        <f>IF(F859="", "", NETWORKDAYS.INTL(F859, G859, 11,祝日シート!A:A))</f>
        <v>1</v>
      </c>
      <c r="I859" s="65"/>
      <c r="J859" s="67" t="s">
        <v>45</v>
      </c>
      <c r="K859" s="67" t="s">
        <v>923</v>
      </c>
      <c r="L859" s="67" t="s">
        <v>906</v>
      </c>
      <c r="M859" s="120" t="s">
        <v>144</v>
      </c>
      <c r="N859" s="63" t="s">
        <v>6</v>
      </c>
      <c r="O859" s="63" t="s">
        <v>7</v>
      </c>
      <c r="P859" s="77" t="s">
        <v>1235</v>
      </c>
      <c r="Q859" s="66" t="s">
        <v>1236</v>
      </c>
    </row>
    <row r="860" spans="2:17" ht="56.25">
      <c r="B860" s="63" t="str">
        <f>"No"&amp;ROW()-3</f>
        <v>No857</v>
      </c>
      <c r="C860" s="63" t="s">
        <v>2</v>
      </c>
      <c r="D860" s="63" t="s">
        <v>3</v>
      </c>
      <c r="E860" s="67" t="s">
        <v>4</v>
      </c>
      <c r="F860" s="68">
        <v>46202.554166666669</v>
      </c>
      <c r="G860" s="64">
        <v>46202.564583333333</v>
      </c>
      <c r="H860" s="67">
        <f>IF(F860="", "", NETWORKDAYS.INTL(F860, G860, 11,祝日シート!A:A))</f>
        <v>1</v>
      </c>
      <c r="I860" s="65"/>
      <c r="J860" s="63" t="s">
        <v>2021</v>
      </c>
      <c r="K860" s="121" t="s">
        <v>41</v>
      </c>
      <c r="L860" s="121"/>
      <c r="M860" s="120" t="s">
        <v>180</v>
      </c>
      <c r="N860" s="63" t="s">
        <v>6</v>
      </c>
      <c r="O860" s="63" t="s">
        <v>7</v>
      </c>
      <c r="P860" s="122" t="s">
        <v>1982</v>
      </c>
      <c r="Q860" s="66" t="s">
        <v>1237</v>
      </c>
    </row>
    <row r="861" spans="2:17" ht="56.25">
      <c r="B861" s="63" t="str">
        <f>"No"&amp;ROW()-3</f>
        <v>No858</v>
      </c>
      <c r="C861" s="63" t="s">
        <v>2</v>
      </c>
      <c r="D861" s="63" t="s">
        <v>3</v>
      </c>
      <c r="E861" s="67" t="s">
        <v>4</v>
      </c>
      <c r="F861" s="68">
        <v>46203.605555555558</v>
      </c>
      <c r="G861" s="64">
        <v>46203.615972222222</v>
      </c>
      <c r="H861" s="67">
        <f>IF(F861="", "", NETWORKDAYS.INTL(F861, G861, 11,祝日シート!A:A))</f>
        <v>1</v>
      </c>
      <c r="I861" s="65"/>
      <c r="J861" s="63" t="s">
        <v>2021</v>
      </c>
      <c r="K861" s="121" t="s">
        <v>923</v>
      </c>
      <c r="L861" s="67" t="s">
        <v>906</v>
      </c>
      <c r="M861" s="120" t="s">
        <v>907</v>
      </c>
      <c r="N861" s="63" t="s">
        <v>6</v>
      </c>
      <c r="O861" s="63" t="s">
        <v>7</v>
      </c>
      <c r="P861" s="77" t="s">
        <v>66</v>
      </c>
      <c r="Q861" s="66" t="s">
        <v>1984</v>
      </c>
    </row>
    <row r="862" spans="2:17" ht="18.75">
      <c r="B862" s="124" t="str">
        <f>"No"&amp;ROW()-3</f>
        <v>No859</v>
      </c>
      <c r="C862" s="63" t="s">
        <v>2</v>
      </c>
      <c r="D862" s="124" t="s">
        <v>3</v>
      </c>
      <c r="E862" s="125" t="s">
        <v>4</v>
      </c>
      <c r="F862" s="126">
        <v>46204.40902777778</v>
      </c>
      <c r="G862" s="127">
        <v>46204.419444444437</v>
      </c>
      <c r="H862" s="125">
        <f>IF(F862="", "", NETWORKDAYS.INTL(F862, G862, 11,祝日シート!A:A))</f>
        <v>1</v>
      </c>
      <c r="I862" s="128"/>
      <c r="J862" s="124" t="s">
        <v>2022</v>
      </c>
      <c r="K862" s="158" t="s">
        <v>41</v>
      </c>
      <c r="L862" s="158" t="s">
        <v>2024</v>
      </c>
      <c r="M862" s="136" t="s">
        <v>645</v>
      </c>
      <c r="N862" s="124" t="s">
        <v>6</v>
      </c>
      <c r="O862" s="124" t="s">
        <v>7</v>
      </c>
      <c r="P862" s="138" t="s">
        <v>1238</v>
      </c>
      <c r="Q862" s="129" t="s">
        <v>72</v>
      </c>
    </row>
    <row r="863" spans="2:17" ht="15" customHeight="1">
      <c r="B863" s="130"/>
      <c r="C863" s="63" t="s">
        <v>2</v>
      </c>
      <c r="D863" s="168" t="s">
        <v>2030</v>
      </c>
      <c r="E863" s="133" t="s">
        <v>4</v>
      </c>
      <c r="F863" s="159">
        <v>46210.75</v>
      </c>
      <c r="G863" s="161">
        <v>46210.770833333336</v>
      </c>
      <c r="H863" s="130"/>
      <c r="I863" s="130"/>
      <c r="J863" s="133" t="s">
        <v>45</v>
      </c>
      <c r="K863" s="134" t="s">
        <v>923</v>
      </c>
      <c r="L863" s="134" t="s">
        <v>2027</v>
      </c>
      <c r="M863" s="135" t="s">
        <v>907</v>
      </c>
      <c r="N863" s="132" t="s">
        <v>6</v>
      </c>
      <c r="O863" s="132" t="s">
        <v>7</v>
      </c>
      <c r="P863" s="137" t="s">
        <v>2029</v>
      </c>
      <c r="Q863" s="160" t="s">
        <v>2028</v>
      </c>
    </row>
    <row r="864" spans="2:17" ht="15" customHeight="1">
      <c r="B864" s="130"/>
      <c r="C864" s="63" t="s">
        <v>2</v>
      </c>
      <c r="D864" s="168" t="s">
        <v>2030</v>
      </c>
      <c r="E864" s="133" t="s">
        <v>4</v>
      </c>
      <c r="F864" s="159">
        <v>46211.75</v>
      </c>
      <c r="G864" s="161">
        <v>46212.625</v>
      </c>
      <c r="H864" s="130"/>
      <c r="I864" s="130"/>
      <c r="J864" s="132" t="s">
        <v>2023</v>
      </c>
      <c r="K864" s="134" t="s">
        <v>2031</v>
      </c>
      <c r="L864" s="162" t="s">
        <v>938</v>
      </c>
      <c r="M864" s="135" t="s">
        <v>2032</v>
      </c>
      <c r="N864" s="132" t="s">
        <v>6</v>
      </c>
      <c r="O864" s="132" t="s">
        <v>7</v>
      </c>
      <c r="P864" s="160" t="s">
        <v>2033</v>
      </c>
      <c r="Q864" s="160" t="s">
        <v>2034</v>
      </c>
    </row>
    <row r="865" spans="2:17" ht="15" customHeight="1">
      <c r="B865" s="130"/>
      <c r="C865" s="63" t="s">
        <v>2</v>
      </c>
      <c r="D865" s="168" t="s">
        <v>2030</v>
      </c>
      <c r="E865" s="133" t="s">
        <v>4</v>
      </c>
      <c r="F865" s="159">
        <v>46211.760416666664</v>
      </c>
      <c r="G865" s="159">
        <v>46211.84375</v>
      </c>
      <c r="H865" s="130"/>
      <c r="I865" s="130"/>
      <c r="J865" s="132" t="s">
        <v>2023</v>
      </c>
      <c r="K865" s="168" t="s">
        <v>2035</v>
      </c>
      <c r="L865" s="160" t="s">
        <v>2024</v>
      </c>
      <c r="M865" s="160" t="s">
        <v>2036</v>
      </c>
      <c r="N865" s="132" t="s">
        <v>6</v>
      </c>
      <c r="O865" s="132" t="s">
        <v>7</v>
      </c>
      <c r="P865" s="137" t="s">
        <v>2037</v>
      </c>
      <c r="Q865" s="160" t="s">
        <v>2038</v>
      </c>
    </row>
    <row r="866" spans="2:17" ht="15" customHeight="1">
      <c r="B866" s="130"/>
      <c r="C866" s="63" t="s">
        <v>2</v>
      </c>
      <c r="D866" s="132" t="s">
        <v>3</v>
      </c>
      <c r="E866" s="133" t="s">
        <v>4</v>
      </c>
      <c r="F866" s="159">
        <v>46212.708333333336</v>
      </c>
      <c r="G866" s="159">
        <v>46212.722222222219</v>
      </c>
      <c r="H866" s="130"/>
      <c r="I866" s="130"/>
      <c r="J866" s="132" t="s">
        <v>2023</v>
      </c>
      <c r="K866" s="168" t="s">
        <v>2031</v>
      </c>
      <c r="L866" s="162" t="s">
        <v>938</v>
      </c>
      <c r="M866" s="160" t="s">
        <v>2043</v>
      </c>
      <c r="N866" s="132" t="s">
        <v>6</v>
      </c>
      <c r="O866" s="132" t="s">
        <v>7</v>
      </c>
      <c r="P866" s="163" t="s">
        <v>2044</v>
      </c>
      <c r="Q866" s="163" t="s">
        <v>2045</v>
      </c>
    </row>
    <row r="867" spans="2:17" ht="15" customHeight="1">
      <c r="B867" s="130"/>
      <c r="C867" s="63" t="s">
        <v>2</v>
      </c>
      <c r="D867" s="132" t="s">
        <v>3</v>
      </c>
      <c r="E867" s="133" t="s">
        <v>4</v>
      </c>
      <c r="F867" s="159">
        <v>46213.541666666664</v>
      </c>
      <c r="G867" s="159">
        <v>46213.552083333336</v>
      </c>
      <c r="H867" s="130"/>
      <c r="I867" s="130"/>
      <c r="J867" s="132" t="s">
        <v>2023</v>
      </c>
      <c r="K867" s="168" t="s">
        <v>2031</v>
      </c>
      <c r="L867" s="160" t="s">
        <v>938</v>
      </c>
      <c r="M867" s="160" t="s">
        <v>2046</v>
      </c>
      <c r="N867" s="132" t="s">
        <v>6</v>
      </c>
      <c r="O867" s="132" t="s">
        <v>7</v>
      </c>
      <c r="P867" s="163" t="s">
        <v>2047</v>
      </c>
      <c r="Q867" s="163" t="s">
        <v>2045</v>
      </c>
    </row>
    <row r="868" spans="2:17" ht="15" customHeight="1">
      <c r="B868" s="130"/>
      <c r="C868" s="63" t="s">
        <v>2</v>
      </c>
      <c r="D868" s="132" t="s">
        <v>3</v>
      </c>
      <c r="E868" s="133" t="s">
        <v>4</v>
      </c>
      <c r="F868" s="159">
        <v>46216.625</v>
      </c>
      <c r="G868" s="159">
        <v>46216.635416666664</v>
      </c>
      <c r="H868" s="130"/>
      <c r="I868" s="130"/>
      <c r="J868" s="132" t="s">
        <v>2023</v>
      </c>
      <c r="K868" s="134" t="s">
        <v>41</v>
      </c>
      <c r="L868" s="134" t="s">
        <v>2024</v>
      </c>
      <c r="M868" s="135" t="s">
        <v>645</v>
      </c>
      <c r="N868" s="132" t="s">
        <v>6</v>
      </c>
      <c r="O868" s="132" t="s">
        <v>7</v>
      </c>
      <c r="P868" s="160" t="s">
        <v>2025</v>
      </c>
      <c r="Q868" s="139" t="s">
        <v>2026</v>
      </c>
    </row>
    <row r="869" spans="2:17" ht="15" customHeight="1">
      <c r="F869" s="156"/>
      <c r="P869" s="157"/>
    </row>
    <row r="870" spans="2:17" ht="15" customHeight="1">
      <c r="F870" s="156"/>
    </row>
  </sheetData>
  <autoFilter ref="B3:Q569" xr:uid="{00000000-0009-0000-0000-000001000000}">
    <filterColumn colId="3">
      <filters>
        <filter val="伊藤"/>
      </filters>
    </filterColumn>
    <sortState xmlns:xlrd2="http://schemas.microsoft.com/office/spreadsheetml/2017/richdata2" ref="B3:Q569">
      <sortCondition ref="F3:F569"/>
      <sortCondition ref="B3:B569"/>
      <sortCondition ref="E3:E569"/>
    </sortState>
  </autoFilter>
  <sortState xmlns:xlrd2="http://schemas.microsoft.com/office/spreadsheetml/2017/richdata2" ref="C859:Q868">
    <sortCondition ref="F859:F868"/>
    <sortCondition ref="G859:G868"/>
  </sortState>
  <phoneticPr fontId="27"/>
  <hyperlinks>
    <hyperlink ref="Q817" r:id="rId1" xr:uid="{00000000-0004-0000-0100-000000000000}"/>
  </hyperlinks>
  <pageMargins left="0.7" right="0.7" top="0.75" bottom="0.75" header="0" footer="0"/>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C74CA"/>
    <pageSetUpPr fitToPage="1"/>
  </sheetPr>
  <dimension ref="A1:Z1000"/>
  <sheetViews>
    <sheetView tabSelected="1" topLeftCell="D1" zoomScale="85" zoomScaleNormal="85" workbookViewId="0">
      <pane ySplit="3" topLeftCell="A28" activePane="bottomLeft" state="frozen"/>
      <selection activeCell="C1" sqref="C1"/>
      <selection pane="bottomLeft" activeCell="F31" sqref="F31"/>
    </sheetView>
  </sheetViews>
  <sheetFormatPr defaultColWidth="14.42578125" defaultRowHeight="15" customHeight="1"/>
  <cols>
    <col min="1" max="1" width="3" style="119" customWidth="1"/>
    <col min="2" max="2" width="7.28515625" style="119" customWidth="1"/>
    <col min="3" max="3" width="49" style="119" customWidth="1"/>
    <col min="4" max="4" width="95.140625" style="119" customWidth="1"/>
    <col min="5" max="5" width="95.7109375" style="119" customWidth="1"/>
    <col min="6" max="6" width="28.140625" style="119" customWidth="1"/>
    <col min="7" max="7" width="20" style="119" customWidth="1"/>
    <col min="8" max="8" width="66.7109375" style="119" customWidth="1"/>
    <col min="9" max="9" width="75" style="119" customWidth="1"/>
    <col min="10" max="10" width="9.140625" style="119" customWidth="1"/>
    <col min="11" max="26" width="8.7109375" style="119" customWidth="1"/>
  </cols>
  <sheetData>
    <row r="1" spans="1:10" ht="15.75" customHeight="1">
      <c r="A1" s="37"/>
      <c r="B1" s="54" t="s">
        <v>1836</v>
      </c>
      <c r="C1" s="38"/>
      <c r="D1" s="35"/>
      <c r="E1" s="84"/>
      <c r="F1" s="40"/>
      <c r="G1" s="37"/>
      <c r="H1" s="38"/>
      <c r="I1" s="38"/>
      <c r="J1" s="48"/>
    </row>
    <row r="2" spans="1:10" ht="15.75" customHeight="1">
      <c r="A2" s="37"/>
      <c r="B2" s="52"/>
      <c r="C2" s="38"/>
      <c r="D2" s="35"/>
      <c r="E2" s="84"/>
      <c r="F2" s="40"/>
      <c r="G2" s="37"/>
      <c r="H2" s="38"/>
      <c r="I2" s="38"/>
      <c r="J2" s="48"/>
    </row>
    <row r="3" spans="1:10" ht="33.75" customHeight="1">
      <c r="A3" s="37"/>
      <c r="B3" s="85" t="s">
        <v>1242</v>
      </c>
      <c r="C3" s="86" t="s">
        <v>1244</v>
      </c>
      <c r="D3" s="86" t="s">
        <v>1837</v>
      </c>
      <c r="E3" s="87" t="s">
        <v>1246</v>
      </c>
      <c r="F3" s="88" t="s">
        <v>1247</v>
      </c>
      <c r="G3" s="89" t="s">
        <v>1248</v>
      </c>
      <c r="H3" s="90" t="s">
        <v>1249</v>
      </c>
      <c r="I3" s="90" t="s">
        <v>1250</v>
      </c>
    </row>
    <row r="4" spans="1:10" ht="293.25" customHeight="1">
      <c r="A4" s="91"/>
      <c r="B4" s="52">
        <f t="shared" ref="B4:B11" si="0">ROW()-3</f>
        <v>1</v>
      </c>
      <c r="C4" s="38" t="s">
        <v>1838</v>
      </c>
      <c r="D4" s="35" t="s">
        <v>1839</v>
      </c>
      <c r="E4" s="92" t="s">
        <v>1840</v>
      </c>
      <c r="F4" s="93">
        <v>45777</v>
      </c>
      <c r="G4" s="37" t="s">
        <v>7</v>
      </c>
      <c r="H4" s="35" t="s">
        <v>1841</v>
      </c>
      <c r="I4" s="94" t="s">
        <v>1842</v>
      </c>
    </row>
    <row r="5" spans="1:10" ht="198" customHeight="1">
      <c r="A5" s="91"/>
      <c r="B5" s="52">
        <f t="shared" si="0"/>
        <v>2</v>
      </c>
      <c r="C5" s="37" t="s">
        <v>1843</v>
      </c>
      <c r="D5" s="35" t="s">
        <v>1844</v>
      </c>
      <c r="E5" s="92" t="s">
        <v>1845</v>
      </c>
      <c r="F5" s="40" t="s">
        <v>1846</v>
      </c>
      <c r="G5" s="37" t="s">
        <v>7</v>
      </c>
      <c r="H5" s="35" t="s">
        <v>1847</v>
      </c>
      <c r="I5" s="35" t="s">
        <v>1848</v>
      </c>
    </row>
    <row r="6" spans="1:10" ht="191.25" customHeight="1">
      <c r="A6" s="91"/>
      <c r="B6" s="52">
        <f t="shared" si="0"/>
        <v>3</v>
      </c>
      <c r="C6" s="38" t="s">
        <v>1849</v>
      </c>
      <c r="D6" s="35" t="s">
        <v>1850</v>
      </c>
      <c r="E6" s="92" t="s">
        <v>1851</v>
      </c>
      <c r="F6" s="40">
        <v>45842</v>
      </c>
      <c r="G6" s="37" t="s">
        <v>7</v>
      </c>
      <c r="H6" s="35" t="s">
        <v>1852</v>
      </c>
      <c r="I6" s="35" t="s">
        <v>1853</v>
      </c>
    </row>
    <row r="7" spans="1:10" ht="264" customHeight="1">
      <c r="A7" s="91"/>
      <c r="B7" s="52">
        <f t="shared" si="0"/>
        <v>4</v>
      </c>
      <c r="C7" s="38" t="s">
        <v>1854</v>
      </c>
      <c r="D7" s="35" t="s">
        <v>1855</v>
      </c>
      <c r="E7" s="92" t="s">
        <v>1856</v>
      </c>
      <c r="F7" s="40" t="s">
        <v>1378</v>
      </c>
      <c r="G7" s="37" t="s">
        <v>614</v>
      </c>
      <c r="H7" s="35" t="s">
        <v>1857</v>
      </c>
      <c r="I7" s="35" t="s">
        <v>1858</v>
      </c>
    </row>
    <row r="8" spans="1:10" ht="159" customHeight="1">
      <c r="A8" s="91" t="s">
        <v>1646</v>
      </c>
      <c r="B8" s="52">
        <f t="shared" si="0"/>
        <v>5</v>
      </c>
      <c r="C8" s="37" t="s">
        <v>1859</v>
      </c>
      <c r="D8" s="35" t="s">
        <v>1860</v>
      </c>
      <c r="E8" s="92" t="s">
        <v>1861</v>
      </c>
      <c r="F8" s="40">
        <v>45944</v>
      </c>
      <c r="G8" s="37" t="s">
        <v>614</v>
      </c>
      <c r="H8" s="35" t="s">
        <v>1862</v>
      </c>
      <c r="I8" s="35" t="s">
        <v>1863</v>
      </c>
    </row>
    <row r="9" spans="1:10" ht="131.25" customHeight="1">
      <c r="A9" s="91" t="s">
        <v>1646</v>
      </c>
      <c r="B9" s="52">
        <f t="shared" si="0"/>
        <v>6</v>
      </c>
      <c r="C9" s="37" t="s">
        <v>1864</v>
      </c>
      <c r="D9" s="35" t="s">
        <v>1865</v>
      </c>
      <c r="E9" s="92" t="s">
        <v>1866</v>
      </c>
      <c r="F9" s="40">
        <v>45944</v>
      </c>
      <c r="G9" s="37" t="s">
        <v>7</v>
      </c>
      <c r="H9" s="35"/>
      <c r="I9" s="35" t="s">
        <v>1867</v>
      </c>
    </row>
    <row r="10" spans="1:10" ht="96" customHeight="1">
      <c r="A10" s="91" t="s">
        <v>1646</v>
      </c>
      <c r="B10" s="52">
        <f t="shared" si="0"/>
        <v>7</v>
      </c>
      <c r="C10" s="37" t="s">
        <v>1868</v>
      </c>
      <c r="D10" s="35" t="s">
        <v>1869</v>
      </c>
      <c r="E10" s="92" t="s">
        <v>1870</v>
      </c>
      <c r="F10" s="40" t="s">
        <v>1871</v>
      </c>
      <c r="G10" s="37" t="s">
        <v>7</v>
      </c>
      <c r="H10" s="35"/>
      <c r="I10" s="35" t="s">
        <v>1872</v>
      </c>
    </row>
    <row r="11" spans="1:10" ht="102" customHeight="1">
      <c r="A11" s="36"/>
      <c r="B11" s="52">
        <f t="shared" si="0"/>
        <v>8</v>
      </c>
      <c r="C11" s="38" t="s">
        <v>1873</v>
      </c>
      <c r="D11" s="35" t="s">
        <v>1874</v>
      </c>
      <c r="E11" s="92" t="s">
        <v>1875</v>
      </c>
      <c r="F11" s="40" t="s">
        <v>1871</v>
      </c>
      <c r="G11" s="37" t="s">
        <v>7</v>
      </c>
      <c r="H11" s="35"/>
      <c r="I11" s="35"/>
    </row>
    <row r="12" spans="1:10" ht="98.25" customHeight="1">
      <c r="A12" s="91"/>
      <c r="B12" s="52">
        <v>9</v>
      </c>
      <c r="C12" s="38" t="s">
        <v>1876</v>
      </c>
      <c r="D12" s="35" t="s">
        <v>1877</v>
      </c>
      <c r="E12" s="92" t="s">
        <v>1878</v>
      </c>
      <c r="F12" s="40">
        <v>46064</v>
      </c>
      <c r="G12" s="37" t="s">
        <v>614</v>
      </c>
      <c r="H12" s="35"/>
      <c r="I12" s="35" t="s">
        <v>1879</v>
      </c>
    </row>
    <row r="13" spans="1:10" ht="97.5" customHeight="1">
      <c r="A13" s="91"/>
      <c r="B13" s="52">
        <v>10</v>
      </c>
      <c r="C13" s="38" t="s">
        <v>1880</v>
      </c>
      <c r="D13" s="35" t="s">
        <v>1881</v>
      </c>
      <c r="E13" s="35" t="s">
        <v>1882</v>
      </c>
      <c r="F13" s="37" t="s">
        <v>1378</v>
      </c>
      <c r="G13" s="37" t="s">
        <v>7</v>
      </c>
      <c r="H13" s="35"/>
      <c r="I13" s="35" t="s">
        <v>1883</v>
      </c>
    </row>
    <row r="14" spans="1:10" ht="113.25" customHeight="1">
      <c r="A14" s="36"/>
      <c r="B14" s="52">
        <v>11</v>
      </c>
      <c r="C14" s="38" t="s">
        <v>1884</v>
      </c>
      <c r="D14" s="35" t="s">
        <v>1885</v>
      </c>
      <c r="E14" s="92" t="s">
        <v>1886</v>
      </c>
      <c r="F14" s="37" t="s">
        <v>1378</v>
      </c>
      <c r="G14" s="37" t="s">
        <v>614</v>
      </c>
      <c r="H14" s="95" t="s">
        <v>1887</v>
      </c>
      <c r="I14" s="35" t="s">
        <v>1888</v>
      </c>
    </row>
    <row r="15" spans="1:10" ht="111" customHeight="1">
      <c r="A15" s="36"/>
      <c r="B15" s="52">
        <v>12</v>
      </c>
      <c r="C15" s="38" t="s">
        <v>1889</v>
      </c>
      <c r="D15" s="35" t="s">
        <v>1890</v>
      </c>
      <c r="E15" s="35" t="s">
        <v>1891</v>
      </c>
      <c r="F15" s="37" t="s">
        <v>1378</v>
      </c>
      <c r="G15" s="37" t="s">
        <v>7</v>
      </c>
      <c r="H15" s="35"/>
      <c r="I15" s="35" t="s">
        <v>1892</v>
      </c>
    </row>
    <row r="16" spans="1:10" ht="110.25" customHeight="1">
      <c r="A16" s="36"/>
      <c r="B16" s="52">
        <v>13</v>
      </c>
      <c r="C16" s="38" t="s">
        <v>1893</v>
      </c>
      <c r="D16" s="35" t="s">
        <v>1894</v>
      </c>
      <c r="E16" s="35" t="s">
        <v>1895</v>
      </c>
      <c r="F16" s="37" t="s">
        <v>1896</v>
      </c>
      <c r="G16" s="37" t="s">
        <v>614</v>
      </c>
      <c r="H16" s="35"/>
      <c r="I16" s="35" t="s">
        <v>1897</v>
      </c>
    </row>
    <row r="17" spans="1:9" ht="105.75" customHeight="1">
      <c r="A17" s="36"/>
      <c r="B17" s="52">
        <v>14</v>
      </c>
      <c r="C17" s="38" t="s">
        <v>1898</v>
      </c>
      <c r="D17" s="35" t="s">
        <v>1899</v>
      </c>
      <c r="E17" s="92" t="s">
        <v>1900</v>
      </c>
      <c r="F17" s="37" t="s">
        <v>958</v>
      </c>
      <c r="G17" s="37" t="s">
        <v>614</v>
      </c>
      <c r="H17" s="35"/>
      <c r="I17" s="35" t="s">
        <v>1901</v>
      </c>
    </row>
    <row r="18" spans="1:9" ht="80.25" customHeight="1">
      <c r="A18" s="36"/>
      <c r="B18" s="52">
        <v>15</v>
      </c>
      <c r="C18" s="38" t="s">
        <v>1902</v>
      </c>
      <c r="D18" s="35" t="s">
        <v>1903</v>
      </c>
      <c r="E18" s="92" t="s">
        <v>1904</v>
      </c>
      <c r="F18" s="37" t="s">
        <v>958</v>
      </c>
      <c r="G18" s="37" t="s">
        <v>7</v>
      </c>
      <c r="H18" s="35"/>
      <c r="I18" s="35"/>
    </row>
    <row r="19" spans="1:9" ht="72.75" customHeight="1">
      <c r="A19" s="36"/>
      <c r="B19" s="52">
        <v>16</v>
      </c>
      <c r="C19" s="38" t="s">
        <v>1905</v>
      </c>
      <c r="D19" s="35" t="s">
        <v>1906</v>
      </c>
      <c r="E19" s="35" t="s">
        <v>1907</v>
      </c>
      <c r="F19" s="37" t="s">
        <v>958</v>
      </c>
      <c r="G19" s="37" t="s">
        <v>7</v>
      </c>
      <c r="H19" s="35"/>
      <c r="I19" s="35"/>
    </row>
    <row r="20" spans="1:9" ht="126.75" customHeight="1">
      <c r="A20" s="36"/>
      <c r="B20" s="52">
        <v>17</v>
      </c>
      <c r="C20" s="38" t="s">
        <v>1908</v>
      </c>
      <c r="D20" s="35" t="s">
        <v>1909</v>
      </c>
      <c r="E20" s="140" t="s">
        <v>1910</v>
      </c>
      <c r="F20" s="37" t="s">
        <v>958</v>
      </c>
      <c r="G20" s="37" t="s">
        <v>614</v>
      </c>
      <c r="H20" s="35"/>
      <c r="I20" s="35" t="s">
        <v>1911</v>
      </c>
    </row>
    <row r="21" spans="1:9" ht="99.75" customHeight="1">
      <c r="A21" s="36"/>
      <c r="B21" s="52">
        <v>18</v>
      </c>
      <c r="C21" s="38" t="s">
        <v>1912</v>
      </c>
      <c r="D21" s="35" t="s">
        <v>1913</v>
      </c>
      <c r="E21" s="92" t="s">
        <v>1914</v>
      </c>
      <c r="F21" s="37" t="s">
        <v>958</v>
      </c>
      <c r="G21" s="37" t="s">
        <v>614</v>
      </c>
      <c r="H21" s="35"/>
      <c r="I21" s="35" t="s">
        <v>1915</v>
      </c>
    </row>
    <row r="22" spans="1:9" ht="95.25" customHeight="1">
      <c r="A22" s="36"/>
      <c r="B22" s="52">
        <v>19</v>
      </c>
      <c r="C22" s="38" t="s">
        <v>1916</v>
      </c>
      <c r="D22" s="35" t="s">
        <v>1917</v>
      </c>
      <c r="E22" s="140" t="s">
        <v>1918</v>
      </c>
      <c r="F22" s="37" t="s">
        <v>958</v>
      </c>
      <c r="G22" s="37" t="s">
        <v>7</v>
      </c>
      <c r="H22" s="35" t="s">
        <v>1919</v>
      </c>
      <c r="I22" s="35"/>
    </row>
    <row r="23" spans="1:9" ht="126.75" customHeight="1">
      <c r="A23" s="36"/>
      <c r="B23" s="52">
        <v>20</v>
      </c>
      <c r="C23" s="38" t="s">
        <v>1920</v>
      </c>
      <c r="D23" s="35" t="s">
        <v>1921</v>
      </c>
      <c r="E23" s="140" t="s">
        <v>1922</v>
      </c>
      <c r="F23" s="40">
        <v>46174</v>
      </c>
      <c r="G23" s="37" t="s">
        <v>7</v>
      </c>
      <c r="H23" s="35" t="s">
        <v>1923</v>
      </c>
      <c r="I23" s="35"/>
    </row>
    <row r="24" spans="1:9" ht="56.25">
      <c r="A24" s="36"/>
      <c r="B24" s="52">
        <v>21</v>
      </c>
      <c r="C24" s="38" t="s">
        <v>1924</v>
      </c>
      <c r="D24" s="35" t="s">
        <v>1925</v>
      </c>
      <c r="E24" s="140" t="s">
        <v>1926</v>
      </c>
      <c r="F24" s="40">
        <v>46185</v>
      </c>
      <c r="G24" s="37" t="s">
        <v>7</v>
      </c>
      <c r="H24" s="35" t="s">
        <v>1927</v>
      </c>
      <c r="I24" s="35"/>
    </row>
    <row r="25" spans="1:9" ht="75">
      <c r="A25" s="36"/>
      <c r="B25" s="52">
        <v>22</v>
      </c>
      <c r="C25" s="38" t="s">
        <v>1928</v>
      </c>
      <c r="D25" s="35" t="s">
        <v>1929</v>
      </c>
      <c r="E25" s="140" t="s">
        <v>1930</v>
      </c>
      <c r="F25" s="40">
        <v>46202</v>
      </c>
      <c r="G25" s="37" t="s">
        <v>7</v>
      </c>
      <c r="H25" s="35" t="s">
        <v>1931</v>
      </c>
      <c r="I25" s="35"/>
    </row>
    <row r="26" spans="1:9" ht="72" customHeight="1">
      <c r="A26" s="36"/>
      <c r="B26" s="52"/>
      <c r="C26" s="146" t="s">
        <v>2006</v>
      </c>
      <c r="D26" s="147" t="s">
        <v>1987</v>
      </c>
      <c r="E26" s="131" t="s">
        <v>1239</v>
      </c>
      <c r="F26" s="148">
        <v>46213</v>
      </c>
      <c r="G26" s="149" t="s">
        <v>7</v>
      </c>
      <c r="H26" s="145"/>
      <c r="I26" s="35"/>
    </row>
    <row r="27" spans="1:9" ht="110.25" customHeight="1">
      <c r="A27" s="36"/>
      <c r="B27" s="52"/>
      <c r="C27" s="146" t="s">
        <v>2007</v>
      </c>
      <c r="D27" s="147" t="s">
        <v>1988</v>
      </c>
      <c r="E27" s="150" t="s">
        <v>1994</v>
      </c>
      <c r="F27" s="148">
        <v>46204</v>
      </c>
      <c r="G27" s="149" t="s">
        <v>7</v>
      </c>
      <c r="H27" s="147"/>
      <c r="I27" s="35"/>
    </row>
    <row r="28" spans="1:9" ht="101.25" customHeight="1">
      <c r="A28" s="36"/>
      <c r="B28" s="52"/>
      <c r="C28" s="146" t="s">
        <v>2008</v>
      </c>
      <c r="D28" s="147" t="s">
        <v>1989</v>
      </c>
      <c r="E28" s="151" t="s">
        <v>1995</v>
      </c>
      <c r="F28" s="148">
        <v>46206</v>
      </c>
      <c r="G28" s="149" t="s">
        <v>7</v>
      </c>
      <c r="H28" s="147"/>
      <c r="I28" s="35"/>
    </row>
    <row r="29" spans="1:9" ht="56.25">
      <c r="A29" s="36"/>
      <c r="B29" s="52"/>
      <c r="C29" s="146" t="s">
        <v>2013</v>
      </c>
      <c r="D29" s="147" t="s">
        <v>1997</v>
      </c>
      <c r="E29" s="151" t="s">
        <v>1996</v>
      </c>
      <c r="F29" s="148">
        <v>46211</v>
      </c>
      <c r="G29" s="149" t="s">
        <v>1980</v>
      </c>
      <c r="H29" s="147"/>
      <c r="I29" s="35"/>
    </row>
    <row r="30" spans="1:9" ht="81" customHeight="1">
      <c r="A30" s="36"/>
      <c r="B30" s="52"/>
      <c r="C30" s="146" t="s">
        <v>2009</v>
      </c>
      <c r="D30" s="147" t="s">
        <v>1990</v>
      </c>
      <c r="E30" s="152" t="s">
        <v>1998</v>
      </c>
      <c r="F30" s="153">
        <v>46202.613888888889</v>
      </c>
      <c r="G30" s="149" t="s">
        <v>1980</v>
      </c>
      <c r="H30" s="154"/>
      <c r="I30" s="35"/>
    </row>
    <row r="31" spans="1:9" ht="81" customHeight="1">
      <c r="A31" s="36"/>
      <c r="B31" s="52"/>
      <c r="C31" s="146" t="s">
        <v>2010</v>
      </c>
      <c r="D31" s="147" t="s">
        <v>1991</v>
      </c>
      <c r="E31" s="150" t="s">
        <v>1999</v>
      </c>
      <c r="F31" s="153">
        <v>46203.376388888893</v>
      </c>
      <c r="G31" s="149" t="s">
        <v>1986</v>
      </c>
      <c r="H31" s="154" t="s">
        <v>2000</v>
      </c>
      <c r="I31" s="35"/>
    </row>
    <row r="32" spans="1:9" ht="15.75" customHeight="1">
      <c r="A32" s="36"/>
      <c r="B32" s="52"/>
      <c r="C32" s="146" t="s">
        <v>2011</v>
      </c>
      <c r="D32" s="147" t="s">
        <v>2012</v>
      </c>
      <c r="E32" s="155" t="s">
        <v>2002</v>
      </c>
      <c r="F32" s="153">
        <v>46217.376388888886</v>
      </c>
      <c r="G32" s="149" t="s">
        <v>1986</v>
      </c>
      <c r="H32" s="147"/>
      <c r="I32" s="94"/>
    </row>
    <row r="33" spans="1:10" ht="37.5">
      <c r="A33" s="36"/>
      <c r="B33" s="52"/>
      <c r="C33" s="146" t="s">
        <v>2014</v>
      </c>
      <c r="D33" s="147" t="s">
        <v>2001</v>
      </c>
      <c r="E33" s="147" t="s">
        <v>1985</v>
      </c>
      <c r="F33" s="153">
        <v>46217.376388888886</v>
      </c>
      <c r="G33" s="149" t="s">
        <v>1986</v>
      </c>
      <c r="H33" s="147" t="s">
        <v>2019</v>
      </c>
      <c r="I33" s="35"/>
      <c r="J33" s="48"/>
    </row>
    <row r="34" spans="1:10" ht="66" customHeight="1">
      <c r="A34" s="36"/>
      <c r="B34" s="52"/>
      <c r="C34" s="146" t="s">
        <v>2015</v>
      </c>
      <c r="D34" s="147" t="s">
        <v>1993</v>
      </c>
      <c r="E34" s="155" t="s">
        <v>2005</v>
      </c>
      <c r="F34" s="148">
        <v>46216</v>
      </c>
      <c r="G34" s="149" t="s">
        <v>1980</v>
      </c>
      <c r="H34" s="147" t="s">
        <v>2018</v>
      </c>
      <c r="I34" s="35"/>
      <c r="J34" s="48"/>
    </row>
    <row r="35" spans="1:10" ht="46.5" customHeight="1">
      <c r="A35" s="36"/>
      <c r="B35" s="52"/>
      <c r="C35" s="146" t="s">
        <v>2015</v>
      </c>
      <c r="D35" s="147" t="s">
        <v>1993</v>
      </c>
      <c r="E35" s="151" t="s">
        <v>2003</v>
      </c>
      <c r="F35" s="148">
        <v>46219</v>
      </c>
      <c r="G35" s="149" t="s">
        <v>1986</v>
      </c>
      <c r="H35" s="147" t="s">
        <v>2017</v>
      </c>
      <c r="I35" s="35"/>
      <c r="J35" s="48"/>
    </row>
    <row r="36" spans="1:10" ht="15.75" customHeight="1">
      <c r="A36" s="36"/>
      <c r="B36" s="52"/>
      <c r="C36" s="146" t="s">
        <v>2016</v>
      </c>
      <c r="D36" s="147" t="s">
        <v>1992</v>
      </c>
      <c r="E36" s="151" t="s">
        <v>2004</v>
      </c>
      <c r="F36" s="148">
        <v>46219</v>
      </c>
      <c r="G36" s="149" t="s">
        <v>1986</v>
      </c>
      <c r="H36" s="147" t="s">
        <v>2020</v>
      </c>
      <c r="I36" s="35"/>
      <c r="J36" s="48"/>
    </row>
    <row r="37" spans="1:10" ht="15.75" customHeight="1">
      <c r="A37" s="36"/>
      <c r="B37" s="52"/>
      <c r="C37" s="38" t="s">
        <v>2039</v>
      </c>
      <c r="D37" s="35" t="s">
        <v>2042</v>
      </c>
      <c r="E37" s="140" t="s">
        <v>2040</v>
      </c>
      <c r="F37" s="40">
        <v>46219</v>
      </c>
      <c r="G37" s="149" t="s">
        <v>1986</v>
      </c>
      <c r="H37" s="35" t="s">
        <v>2041</v>
      </c>
      <c r="I37" s="35"/>
      <c r="J37" s="48"/>
    </row>
    <row r="38" spans="1:10" ht="15.75" customHeight="1">
      <c r="A38" s="36"/>
      <c r="B38" s="52"/>
      <c r="C38" s="38"/>
      <c r="D38" s="35"/>
      <c r="E38" s="92"/>
      <c r="F38" s="40"/>
      <c r="G38" s="37"/>
      <c r="H38" s="35"/>
      <c r="I38" s="35"/>
      <c r="J38" s="48"/>
    </row>
    <row r="39" spans="1:10" ht="53.25" customHeight="1">
      <c r="A39" s="36"/>
      <c r="B39" s="52"/>
      <c r="C39" s="38"/>
      <c r="D39" s="35"/>
      <c r="E39" s="92"/>
      <c r="F39" s="40"/>
      <c r="G39" s="37"/>
      <c r="H39" s="35"/>
      <c r="I39" s="35"/>
      <c r="J39" s="48"/>
    </row>
    <row r="40" spans="1:10" ht="15.75" customHeight="1">
      <c r="A40" s="36"/>
      <c r="B40" s="52"/>
      <c r="C40" s="38"/>
      <c r="D40" s="35"/>
      <c r="E40" s="92"/>
      <c r="F40" s="40"/>
      <c r="G40" s="37"/>
      <c r="H40" s="35"/>
      <c r="I40" s="35"/>
      <c r="J40" s="48"/>
    </row>
    <row r="41" spans="1:10" ht="15.75" customHeight="1">
      <c r="A41" s="36"/>
      <c r="B41" s="52"/>
      <c r="C41" s="38"/>
      <c r="D41" s="35"/>
      <c r="E41" s="92"/>
      <c r="F41" s="40"/>
      <c r="G41" s="37"/>
      <c r="H41" s="35"/>
      <c r="I41" s="35"/>
      <c r="J41" s="48"/>
    </row>
    <row r="42" spans="1:10" ht="15.75" customHeight="1">
      <c r="A42" s="36"/>
      <c r="B42" s="52"/>
      <c r="C42" s="38"/>
      <c r="D42" s="35"/>
      <c r="E42" s="92"/>
      <c r="F42" s="40"/>
      <c r="G42" s="37"/>
      <c r="H42" s="35"/>
      <c r="I42" s="35"/>
      <c r="J42" s="48"/>
    </row>
    <row r="43" spans="1:10" ht="43.5" customHeight="1">
      <c r="A43" s="36"/>
      <c r="B43" s="52"/>
      <c r="C43" s="38"/>
      <c r="D43" s="35"/>
      <c r="E43" s="92"/>
      <c r="F43" s="40"/>
      <c r="G43" s="37"/>
      <c r="H43" s="35"/>
      <c r="I43" s="35"/>
      <c r="J43" s="48"/>
    </row>
    <row r="44" spans="1:10" ht="15.75" customHeight="1">
      <c r="A44" s="36"/>
      <c r="B44" s="52"/>
      <c r="C44" s="38"/>
      <c r="D44" s="35"/>
      <c r="E44" s="92"/>
      <c r="F44" s="40"/>
      <c r="G44" s="37"/>
      <c r="H44" s="94"/>
      <c r="I44" s="94"/>
      <c r="J44" s="48"/>
    </row>
    <row r="45" spans="1:10" ht="76.5" customHeight="1">
      <c r="A45" s="36"/>
      <c r="B45" s="52"/>
      <c r="C45" s="38"/>
      <c r="D45" s="35"/>
      <c r="E45" s="92"/>
      <c r="F45" s="40"/>
      <c r="G45" s="37"/>
      <c r="H45" s="35"/>
      <c r="I45" s="35"/>
      <c r="J45" s="48"/>
    </row>
    <row r="46" spans="1:10" ht="15.75" customHeight="1">
      <c r="A46" s="36"/>
      <c r="B46" s="52"/>
      <c r="C46" s="38"/>
      <c r="D46" s="35"/>
      <c r="E46" s="92"/>
      <c r="F46" s="40"/>
      <c r="G46" s="37"/>
      <c r="H46" s="35"/>
      <c r="I46" s="35"/>
      <c r="J46" s="48"/>
    </row>
    <row r="47" spans="1:10" ht="15.75" customHeight="1">
      <c r="A47" s="36"/>
      <c r="B47" s="52"/>
      <c r="C47" s="38"/>
      <c r="D47" s="35"/>
      <c r="E47" s="92"/>
      <c r="F47" s="40"/>
      <c r="G47" s="37"/>
      <c r="H47" s="35"/>
      <c r="I47" s="35"/>
      <c r="J47" s="48"/>
    </row>
    <row r="48" spans="1:10" ht="15.75" customHeight="1">
      <c r="A48" s="36"/>
      <c r="B48" s="52"/>
      <c r="C48" s="38"/>
      <c r="D48" s="35"/>
      <c r="E48" s="92"/>
      <c r="F48" s="40"/>
      <c r="G48" s="37"/>
      <c r="H48" s="35"/>
      <c r="I48" s="35"/>
      <c r="J48" s="48"/>
    </row>
    <row r="49" spans="1:10" ht="163.5" customHeight="1">
      <c r="A49" s="36"/>
      <c r="B49" s="52"/>
      <c r="C49" s="38"/>
      <c r="D49" s="35"/>
      <c r="E49" s="92"/>
      <c r="F49" s="40"/>
      <c r="G49" s="37"/>
      <c r="H49" s="35"/>
      <c r="I49" s="35"/>
      <c r="J49" s="48"/>
    </row>
    <row r="50" spans="1:10" ht="15.75" customHeight="1">
      <c r="A50" s="36"/>
      <c r="B50" s="52"/>
      <c r="C50" s="38"/>
      <c r="D50" s="35"/>
      <c r="E50" s="92"/>
      <c r="F50" s="40"/>
      <c r="G50" s="37"/>
      <c r="H50" s="35"/>
      <c r="I50" s="35"/>
      <c r="J50" s="48"/>
    </row>
    <row r="51" spans="1:10" ht="15.75" customHeight="1">
      <c r="A51" s="36"/>
      <c r="B51" s="52"/>
      <c r="C51" s="38"/>
      <c r="D51" s="35"/>
      <c r="E51" s="92"/>
      <c r="F51" s="40"/>
      <c r="G51" s="37"/>
      <c r="H51" s="35"/>
      <c r="I51" s="35"/>
      <c r="J51" s="48"/>
    </row>
    <row r="52" spans="1:10" ht="15.75" customHeight="1">
      <c r="A52" s="36"/>
      <c r="B52" s="52"/>
      <c r="C52" s="38"/>
      <c r="D52" s="35"/>
      <c r="E52" s="92"/>
      <c r="F52" s="40"/>
      <c r="G52" s="37"/>
      <c r="H52" s="35"/>
      <c r="I52" s="35"/>
      <c r="J52" s="48"/>
    </row>
    <row r="53" spans="1:10" ht="15.75" customHeight="1">
      <c r="A53" s="36"/>
      <c r="B53" s="52"/>
      <c r="C53" s="38"/>
      <c r="D53" s="35"/>
      <c r="E53" s="92"/>
      <c r="F53" s="40"/>
      <c r="G53" s="37"/>
      <c r="H53" s="35"/>
      <c r="I53" s="35"/>
      <c r="J53" s="48"/>
    </row>
    <row r="54" spans="1:10" ht="15.75" customHeight="1">
      <c r="A54" s="36"/>
      <c r="B54" s="52"/>
      <c r="C54" s="38"/>
      <c r="D54" s="35"/>
      <c r="E54" s="92"/>
      <c r="F54" s="40"/>
      <c r="G54" s="37"/>
      <c r="H54" s="35"/>
      <c r="I54" s="35"/>
      <c r="J54" s="48"/>
    </row>
    <row r="55" spans="1:10" ht="76.5" customHeight="1">
      <c r="A55" s="36"/>
      <c r="B55" s="52"/>
      <c r="C55" s="38"/>
      <c r="D55" s="35"/>
      <c r="E55" s="92"/>
      <c r="F55" s="40"/>
      <c r="G55" s="37"/>
      <c r="H55" s="35"/>
      <c r="I55" s="35"/>
      <c r="J55" s="48"/>
    </row>
    <row r="56" spans="1:10" ht="108" customHeight="1">
      <c r="A56" s="36"/>
      <c r="B56" s="52"/>
      <c r="C56" s="38"/>
      <c r="D56" s="35"/>
      <c r="E56" s="92"/>
      <c r="F56" s="40"/>
      <c r="G56" s="37"/>
      <c r="H56" s="35"/>
      <c r="I56" s="35"/>
      <c r="J56" s="48"/>
    </row>
    <row r="57" spans="1:10" ht="69" customHeight="1">
      <c r="A57" s="36"/>
      <c r="B57" s="52"/>
      <c r="C57" s="38"/>
      <c r="D57" s="35"/>
      <c r="E57" s="92"/>
      <c r="F57" s="40"/>
      <c r="G57" s="37"/>
      <c r="H57" s="94"/>
      <c r="I57" s="94"/>
      <c r="J57" s="48"/>
    </row>
    <row r="58" spans="1:10" ht="100.5" customHeight="1">
      <c r="A58" s="36"/>
      <c r="B58" s="52"/>
      <c r="C58" s="38"/>
      <c r="D58" s="35"/>
      <c r="E58" s="92"/>
      <c r="F58" s="40"/>
      <c r="G58" s="37"/>
      <c r="H58" s="35"/>
      <c r="I58" s="35"/>
      <c r="J58" s="48"/>
    </row>
    <row r="59" spans="1:10" ht="83.25" customHeight="1">
      <c r="A59" s="37" t="s">
        <v>1646</v>
      </c>
      <c r="B59" s="52"/>
      <c r="C59" s="38"/>
      <c r="D59" s="35"/>
      <c r="E59" s="92"/>
      <c r="F59" s="96"/>
      <c r="G59" s="37"/>
      <c r="H59" s="35"/>
      <c r="I59" s="35"/>
      <c r="J59" s="48"/>
    </row>
    <row r="60" spans="1:10" ht="35.25" customHeight="1">
      <c r="A60" s="36"/>
      <c r="B60" s="52"/>
      <c r="C60" s="38"/>
      <c r="D60" s="35"/>
      <c r="E60" s="92"/>
      <c r="F60" s="40"/>
      <c r="G60" s="37"/>
      <c r="H60" s="35"/>
      <c r="I60" s="35"/>
      <c r="J60" s="48"/>
    </row>
    <row r="61" spans="1:10" ht="54.75" customHeight="1">
      <c r="A61" s="36"/>
      <c r="B61" s="52"/>
      <c r="C61" s="38"/>
      <c r="D61" s="35"/>
      <c r="E61" s="92"/>
      <c r="F61" s="40"/>
      <c r="G61" s="37"/>
      <c r="H61" s="35"/>
      <c r="I61" s="35"/>
      <c r="J61" s="48"/>
    </row>
    <row r="62" spans="1:10" ht="42" customHeight="1">
      <c r="A62" s="36"/>
      <c r="B62" s="52"/>
      <c r="C62" s="38"/>
      <c r="D62" s="35"/>
      <c r="E62" s="92"/>
      <c r="F62" s="40"/>
      <c r="G62" s="37"/>
      <c r="H62" s="35"/>
      <c r="I62" s="35"/>
      <c r="J62" s="48"/>
    </row>
    <row r="63" spans="1:10" ht="62.25" customHeight="1">
      <c r="A63" s="37"/>
      <c r="B63" s="52"/>
      <c r="C63" s="38"/>
      <c r="D63" s="35"/>
      <c r="E63" s="92"/>
      <c r="F63" s="40"/>
      <c r="G63" s="37"/>
      <c r="H63" s="35"/>
      <c r="I63" s="35"/>
      <c r="J63" s="48"/>
    </row>
    <row r="64" spans="1:10" ht="63.75" customHeight="1">
      <c r="A64" s="37"/>
      <c r="B64" s="52"/>
      <c r="C64" s="38"/>
      <c r="D64" s="35"/>
      <c r="E64" s="92"/>
      <c r="F64" s="40"/>
      <c r="G64" s="37"/>
      <c r="H64" s="35"/>
      <c r="I64" s="35"/>
      <c r="J64" s="48"/>
    </row>
    <row r="65" spans="1:10" ht="43.5" customHeight="1">
      <c r="A65" s="37"/>
      <c r="B65" s="52"/>
      <c r="C65" s="38"/>
      <c r="D65" s="35"/>
      <c r="E65" s="92"/>
      <c r="F65" s="40"/>
      <c r="G65" s="37"/>
      <c r="H65" s="35"/>
      <c r="I65" s="35"/>
      <c r="J65" s="48"/>
    </row>
    <row r="66" spans="1:10" ht="40.5" customHeight="1">
      <c r="A66" s="37"/>
      <c r="B66" s="52"/>
      <c r="C66" s="38"/>
      <c r="D66" s="35"/>
      <c r="E66" s="92"/>
      <c r="F66" s="40"/>
      <c r="G66" s="37"/>
      <c r="H66" s="35"/>
      <c r="I66" s="35"/>
      <c r="J66" s="48"/>
    </row>
    <row r="67" spans="1:10" ht="15.75" customHeight="1">
      <c r="A67" s="37"/>
      <c r="B67" s="52"/>
      <c r="C67" s="38"/>
      <c r="D67" s="35"/>
      <c r="E67" s="92"/>
      <c r="F67" s="40"/>
      <c r="G67" s="37"/>
      <c r="H67" s="35"/>
      <c r="I67" s="35"/>
      <c r="J67" s="48"/>
    </row>
    <row r="68" spans="1:10" ht="70.5" customHeight="1">
      <c r="A68" s="37"/>
      <c r="B68" s="52"/>
      <c r="C68" s="38"/>
      <c r="D68" s="35"/>
      <c r="E68" s="92"/>
      <c r="F68" s="40"/>
      <c r="G68" s="37"/>
      <c r="H68" s="35"/>
      <c r="I68" s="35"/>
      <c r="J68" s="48"/>
    </row>
    <row r="69" spans="1:10" ht="108" customHeight="1">
      <c r="A69" s="37"/>
      <c r="B69" s="52"/>
      <c r="C69" s="38"/>
      <c r="D69" s="35"/>
      <c r="E69" s="92"/>
      <c r="F69" s="40"/>
      <c r="G69" s="37"/>
      <c r="H69" s="35"/>
      <c r="I69" s="35"/>
      <c r="J69" s="48"/>
    </row>
    <row r="70" spans="1:10" ht="303" customHeight="1">
      <c r="A70" s="37"/>
      <c r="B70" s="52"/>
      <c r="C70" s="38"/>
      <c r="D70" s="35"/>
      <c r="E70" s="92"/>
      <c r="F70" s="40"/>
      <c r="G70" s="37"/>
      <c r="H70" s="35"/>
      <c r="I70" s="35"/>
      <c r="J70" s="48"/>
    </row>
    <row r="71" spans="1:10" ht="114" customHeight="1">
      <c r="A71" s="37"/>
      <c r="B71" s="52"/>
      <c r="C71" s="38"/>
      <c r="D71" s="35"/>
      <c r="E71" s="92"/>
      <c r="F71" s="40"/>
      <c r="G71" s="37"/>
      <c r="H71" s="35"/>
      <c r="I71" s="35"/>
      <c r="J71" s="48"/>
    </row>
    <row r="72" spans="1:10" ht="15.75" customHeight="1">
      <c r="A72" s="37"/>
      <c r="B72" s="52"/>
      <c r="C72" s="38"/>
      <c r="D72" s="35"/>
      <c r="E72" s="92"/>
      <c r="F72" s="40"/>
      <c r="G72" s="37"/>
      <c r="H72" s="35"/>
      <c r="I72" s="35"/>
      <c r="J72" s="48"/>
    </row>
    <row r="73" spans="1:10" ht="15.75" customHeight="1">
      <c r="A73" s="37"/>
      <c r="B73" s="52"/>
      <c r="C73" s="38"/>
      <c r="D73" s="35"/>
      <c r="E73" s="92"/>
      <c r="F73" s="40"/>
      <c r="G73" s="37"/>
      <c r="H73" s="35"/>
      <c r="I73" s="35"/>
      <c r="J73" s="48"/>
    </row>
    <row r="74" spans="1:10" ht="15.75" customHeight="1">
      <c r="A74" s="37"/>
      <c r="B74" s="52"/>
      <c r="C74" s="38"/>
      <c r="D74" s="35"/>
      <c r="E74" s="92"/>
      <c r="F74" s="40"/>
      <c r="G74" s="37"/>
      <c r="H74" s="35"/>
      <c r="I74" s="35"/>
      <c r="J74" s="48"/>
    </row>
    <row r="75" spans="1:10" ht="15.75" customHeight="1">
      <c r="A75" s="37"/>
      <c r="B75" s="52"/>
      <c r="C75" s="38"/>
      <c r="D75" s="35"/>
      <c r="E75" s="92"/>
      <c r="F75" s="40"/>
      <c r="G75" s="37"/>
      <c r="H75" s="35"/>
      <c r="I75" s="35"/>
      <c r="J75" s="48"/>
    </row>
    <row r="76" spans="1:10" ht="15.75" customHeight="1">
      <c r="A76" s="37"/>
      <c r="B76" s="52"/>
      <c r="C76" s="38"/>
      <c r="D76" s="35"/>
      <c r="E76" s="92"/>
      <c r="F76" s="40"/>
      <c r="G76" s="37"/>
      <c r="H76" s="35"/>
      <c r="I76" s="35"/>
      <c r="J76" s="48"/>
    </row>
    <row r="77" spans="1:10" ht="15.75" customHeight="1">
      <c r="A77" s="37"/>
      <c r="B77" s="52"/>
      <c r="C77" s="38"/>
      <c r="D77" s="35"/>
      <c r="E77" s="92"/>
      <c r="F77" s="40"/>
      <c r="G77" s="37"/>
      <c r="H77" s="35"/>
      <c r="I77" s="35"/>
      <c r="J77" s="48"/>
    </row>
    <row r="78" spans="1:10" ht="15.75" customHeight="1">
      <c r="A78" s="37"/>
      <c r="B78" s="52"/>
      <c r="C78" s="38"/>
      <c r="D78" s="35"/>
      <c r="E78" s="92"/>
      <c r="F78" s="40"/>
      <c r="G78" s="37"/>
      <c r="H78" s="35"/>
      <c r="I78" s="35"/>
      <c r="J78" s="48"/>
    </row>
    <row r="79" spans="1:10" ht="15.75" customHeight="1">
      <c r="A79" s="37"/>
      <c r="B79" s="52"/>
      <c r="C79" s="38"/>
      <c r="D79" s="35"/>
      <c r="E79" s="92"/>
      <c r="F79" s="40"/>
      <c r="G79" s="37"/>
      <c r="H79" s="35"/>
      <c r="I79" s="35"/>
      <c r="J79" s="48"/>
    </row>
    <row r="80" spans="1:10" ht="15.75" customHeight="1">
      <c r="A80" s="37"/>
      <c r="B80" s="52"/>
      <c r="C80" s="38"/>
      <c r="D80" s="35"/>
      <c r="E80" s="92"/>
      <c r="F80" s="40"/>
      <c r="G80" s="37"/>
      <c r="H80" s="35"/>
      <c r="I80" s="35"/>
      <c r="J80" s="48"/>
    </row>
    <row r="81" spans="1:10" ht="15.75" customHeight="1">
      <c r="A81" s="37"/>
      <c r="B81" s="52"/>
      <c r="C81" s="38"/>
      <c r="D81" s="35"/>
      <c r="E81" s="92"/>
      <c r="F81" s="40"/>
      <c r="G81" s="37"/>
      <c r="H81" s="35"/>
      <c r="I81" s="35"/>
      <c r="J81" s="48"/>
    </row>
    <row r="82" spans="1:10" ht="15.75" customHeight="1">
      <c r="A82" s="37"/>
      <c r="B82" s="52"/>
      <c r="C82" s="38"/>
      <c r="D82" s="35"/>
      <c r="E82" s="92"/>
      <c r="F82" s="40"/>
      <c r="G82" s="37"/>
      <c r="H82" s="35"/>
      <c r="I82" s="35"/>
      <c r="J82" s="48"/>
    </row>
    <row r="83" spans="1:10" ht="15.75" customHeight="1">
      <c r="A83" s="37"/>
      <c r="B83" s="52"/>
      <c r="C83" s="38"/>
      <c r="D83" s="35"/>
      <c r="E83" s="92"/>
      <c r="F83" s="40"/>
      <c r="G83" s="37"/>
      <c r="H83" s="35"/>
      <c r="I83" s="35"/>
      <c r="J83" s="48"/>
    </row>
    <row r="84" spans="1:10" ht="15.75" customHeight="1">
      <c r="A84" s="37"/>
      <c r="B84" s="52"/>
      <c r="C84" s="38"/>
      <c r="D84" s="35"/>
      <c r="E84" s="92"/>
      <c r="F84" s="40"/>
      <c r="G84" s="37"/>
      <c r="H84" s="35"/>
      <c r="I84" s="35"/>
      <c r="J84" s="48"/>
    </row>
    <row r="85" spans="1:10" ht="15.75" customHeight="1">
      <c r="A85" s="37"/>
      <c r="B85" s="52"/>
      <c r="C85" s="38"/>
      <c r="D85" s="35"/>
      <c r="E85" s="92"/>
      <c r="F85" s="40"/>
      <c r="G85" s="37"/>
      <c r="H85" s="35"/>
      <c r="I85" s="35"/>
      <c r="J85" s="48"/>
    </row>
    <row r="86" spans="1:10" ht="15.75" customHeight="1">
      <c r="A86" s="37"/>
      <c r="B86" s="52"/>
      <c r="C86" s="38"/>
      <c r="D86" s="35"/>
      <c r="E86" s="92"/>
      <c r="F86" s="40"/>
      <c r="G86" s="37"/>
      <c r="H86" s="35"/>
      <c r="I86" s="35"/>
      <c r="J86" s="48"/>
    </row>
    <row r="87" spans="1:10" ht="15.75" customHeight="1">
      <c r="A87" s="37"/>
      <c r="B87" s="52"/>
      <c r="C87" s="38"/>
      <c r="D87" s="35"/>
      <c r="E87" s="92"/>
      <c r="F87" s="40"/>
      <c r="G87" s="37"/>
      <c r="H87" s="35"/>
      <c r="I87" s="35"/>
      <c r="J87" s="48"/>
    </row>
    <row r="88" spans="1:10" ht="15.75" customHeight="1">
      <c r="A88" s="37"/>
      <c r="B88" s="52"/>
      <c r="C88" s="38"/>
      <c r="D88" s="35"/>
      <c r="E88" s="92"/>
      <c r="F88" s="40"/>
      <c r="G88" s="37"/>
      <c r="H88" s="35"/>
      <c r="I88" s="35"/>
      <c r="J88" s="48"/>
    </row>
    <row r="89" spans="1:10" ht="15.75" customHeight="1">
      <c r="A89" s="37"/>
      <c r="B89" s="52"/>
      <c r="C89" s="38"/>
      <c r="D89" s="35"/>
      <c r="E89" s="92"/>
      <c r="F89" s="40"/>
      <c r="G89" s="37"/>
      <c r="H89" s="35"/>
      <c r="I89" s="35"/>
      <c r="J89" s="48"/>
    </row>
    <row r="90" spans="1:10" ht="15.75" customHeight="1">
      <c r="A90" s="37"/>
      <c r="B90" s="52"/>
      <c r="C90" s="38"/>
      <c r="D90" s="35"/>
      <c r="E90" s="92"/>
      <c r="F90" s="40"/>
      <c r="G90" s="37"/>
      <c r="H90" s="35"/>
      <c r="I90" s="35"/>
      <c r="J90" s="48"/>
    </row>
    <row r="91" spans="1:10" ht="15.75" customHeight="1">
      <c r="A91" s="37"/>
      <c r="B91" s="52"/>
      <c r="C91" s="38"/>
      <c r="D91" s="35"/>
      <c r="E91" s="92"/>
      <c r="F91" s="40"/>
      <c r="G91" s="37"/>
      <c r="H91" s="35"/>
      <c r="I91" s="35"/>
      <c r="J91" s="48"/>
    </row>
    <row r="92" spans="1:10" ht="15.75" customHeight="1">
      <c r="A92" s="37"/>
      <c r="B92" s="52"/>
      <c r="C92" s="38"/>
      <c r="D92" s="35"/>
      <c r="E92" s="92"/>
      <c r="F92" s="40"/>
      <c r="G92" s="37"/>
      <c r="H92" s="35"/>
      <c r="I92" s="35"/>
      <c r="J92" s="48"/>
    </row>
    <row r="93" spans="1:10" ht="15.75" customHeight="1">
      <c r="A93" s="37"/>
      <c r="B93" s="52"/>
      <c r="C93" s="38"/>
      <c r="D93" s="35"/>
      <c r="E93" s="92"/>
      <c r="F93" s="40"/>
      <c r="G93" s="37"/>
      <c r="H93" s="35"/>
      <c r="I93" s="35"/>
      <c r="J93" s="48"/>
    </row>
    <row r="94" spans="1:10" ht="15.75" customHeight="1">
      <c r="A94" s="37"/>
      <c r="B94" s="52"/>
      <c r="C94" s="38"/>
      <c r="D94" s="35"/>
      <c r="E94" s="92"/>
      <c r="F94" s="40"/>
      <c r="G94" s="37"/>
      <c r="H94" s="35"/>
      <c r="I94" s="35"/>
      <c r="J94" s="48"/>
    </row>
    <row r="95" spans="1:10" ht="15.75" customHeight="1">
      <c r="A95" s="37"/>
      <c r="B95" s="52"/>
      <c r="C95" s="38"/>
      <c r="D95" s="35"/>
      <c r="E95" s="92"/>
      <c r="F95" s="40"/>
      <c r="G95" s="37"/>
      <c r="H95" s="35"/>
      <c r="I95" s="35"/>
      <c r="J95" s="48"/>
    </row>
    <row r="96" spans="1:10" ht="15.75" customHeight="1">
      <c r="A96" s="37"/>
      <c r="B96" s="52"/>
      <c r="C96" s="38"/>
      <c r="D96" s="35"/>
      <c r="E96" s="92"/>
      <c r="F96" s="40"/>
      <c r="G96" s="37"/>
      <c r="H96" s="35"/>
      <c r="I96" s="35"/>
      <c r="J96" s="48"/>
    </row>
    <row r="97" spans="1:10" ht="15.75" customHeight="1">
      <c r="A97" s="37"/>
      <c r="B97" s="52"/>
      <c r="C97" s="38"/>
      <c r="D97" s="35"/>
      <c r="E97" s="92"/>
      <c r="F97" s="40"/>
      <c r="G97" s="37"/>
      <c r="H97" s="35"/>
      <c r="I97" s="35"/>
      <c r="J97" s="48"/>
    </row>
    <row r="98" spans="1:10" ht="15.75" customHeight="1">
      <c r="A98" s="37"/>
      <c r="B98" s="52"/>
      <c r="C98" s="38"/>
      <c r="D98" s="35"/>
      <c r="E98" s="92"/>
      <c r="F98" s="40"/>
      <c r="G98" s="37"/>
      <c r="H98" s="35"/>
      <c r="I98" s="35"/>
      <c r="J98" s="48"/>
    </row>
    <row r="99" spans="1:10" ht="15.75" customHeight="1">
      <c r="A99" s="37"/>
      <c r="B99" s="52"/>
      <c r="C99" s="38"/>
      <c r="D99" s="35"/>
      <c r="E99" s="92"/>
      <c r="F99" s="40"/>
      <c r="G99" s="37"/>
      <c r="H99" s="35"/>
      <c r="I99" s="35"/>
      <c r="J99" s="48"/>
    </row>
    <row r="100" spans="1:10" ht="15.75" customHeight="1">
      <c r="A100" s="37"/>
      <c r="B100" s="52"/>
      <c r="C100" s="38"/>
      <c r="D100" s="35"/>
      <c r="E100" s="92"/>
      <c r="F100" s="40"/>
      <c r="G100" s="37"/>
      <c r="H100" s="35"/>
      <c r="I100" s="35"/>
      <c r="J100" s="48"/>
    </row>
    <row r="101" spans="1:10" ht="15.75" customHeight="1">
      <c r="A101" s="37"/>
      <c r="B101" s="52"/>
      <c r="C101" s="38"/>
      <c r="D101" s="35"/>
      <c r="E101" s="92"/>
      <c r="F101" s="40"/>
      <c r="G101" s="37"/>
      <c r="H101" s="35"/>
      <c r="I101" s="35"/>
      <c r="J101" s="48"/>
    </row>
    <row r="102" spans="1:10" ht="15.75" customHeight="1">
      <c r="A102" s="37"/>
      <c r="B102" s="52"/>
      <c r="C102" s="38"/>
      <c r="D102" s="35"/>
      <c r="E102" s="92"/>
      <c r="F102" s="40"/>
      <c r="G102" s="37"/>
      <c r="H102" s="35"/>
      <c r="I102" s="35"/>
      <c r="J102" s="48"/>
    </row>
    <row r="103" spans="1:10" ht="15.75" customHeight="1">
      <c r="A103" s="37"/>
      <c r="B103" s="52"/>
      <c r="C103" s="38"/>
      <c r="D103" s="35"/>
      <c r="E103" s="92"/>
      <c r="F103" s="40"/>
      <c r="G103" s="37"/>
      <c r="H103" s="35"/>
      <c r="I103" s="35"/>
      <c r="J103" s="48"/>
    </row>
    <row r="104" spans="1:10" ht="15.75" customHeight="1">
      <c r="A104" s="37"/>
      <c r="B104" s="52"/>
      <c r="C104" s="38"/>
      <c r="D104" s="35"/>
      <c r="E104" s="92"/>
      <c r="F104" s="40"/>
      <c r="G104" s="37"/>
      <c r="H104" s="35"/>
      <c r="I104" s="35"/>
      <c r="J104" s="48"/>
    </row>
    <row r="105" spans="1:10" ht="15.75" customHeight="1">
      <c r="A105" s="37"/>
      <c r="B105" s="52"/>
      <c r="C105" s="38"/>
      <c r="D105" s="35"/>
      <c r="E105" s="92"/>
      <c r="F105" s="40"/>
      <c r="G105" s="37"/>
      <c r="H105" s="35"/>
      <c r="I105" s="35"/>
      <c r="J105" s="48"/>
    </row>
    <row r="106" spans="1:10" ht="15.75" customHeight="1">
      <c r="A106" s="37"/>
      <c r="B106" s="52"/>
      <c r="C106" s="38"/>
      <c r="D106" s="35"/>
      <c r="E106" s="92"/>
      <c r="F106" s="40"/>
      <c r="G106" s="37"/>
      <c r="H106" s="35"/>
      <c r="I106" s="35"/>
      <c r="J106" s="48"/>
    </row>
    <row r="107" spans="1:10" ht="15.75" customHeight="1">
      <c r="A107" s="37"/>
      <c r="B107" s="52"/>
      <c r="C107" s="38"/>
      <c r="D107" s="35"/>
      <c r="E107" s="92"/>
      <c r="F107" s="40"/>
      <c r="G107" s="37"/>
      <c r="H107" s="35"/>
      <c r="I107" s="35"/>
      <c r="J107" s="48"/>
    </row>
    <row r="108" spans="1:10" ht="15.75" customHeight="1">
      <c r="A108" s="37"/>
      <c r="B108" s="52"/>
      <c r="C108" s="38"/>
      <c r="D108" s="35"/>
      <c r="E108" s="92"/>
      <c r="F108" s="40"/>
      <c r="G108" s="37"/>
      <c r="H108" s="35"/>
      <c r="I108" s="35"/>
      <c r="J108" s="48"/>
    </row>
    <row r="109" spans="1:10" ht="15.75" customHeight="1">
      <c r="A109" s="37"/>
      <c r="B109" s="52"/>
      <c r="C109" s="38"/>
      <c r="D109" s="35"/>
      <c r="E109" s="92"/>
      <c r="F109" s="40"/>
      <c r="G109" s="37"/>
      <c r="H109" s="35"/>
      <c r="I109" s="35"/>
      <c r="J109" s="48"/>
    </row>
    <row r="110" spans="1:10" ht="15.75" customHeight="1">
      <c r="A110" s="37"/>
      <c r="B110" s="52"/>
      <c r="C110" s="38"/>
      <c r="D110" s="35"/>
      <c r="E110" s="92"/>
      <c r="F110" s="40"/>
      <c r="G110" s="37"/>
      <c r="H110" s="35"/>
      <c r="I110" s="35"/>
      <c r="J110" s="48"/>
    </row>
    <row r="111" spans="1:10" ht="15.75" customHeight="1">
      <c r="A111" s="37"/>
      <c r="B111" s="52"/>
      <c r="C111" s="38"/>
      <c r="D111" s="35"/>
      <c r="E111" s="92"/>
      <c r="F111" s="40"/>
      <c r="G111" s="37"/>
      <c r="H111" s="35"/>
      <c r="I111" s="35"/>
      <c r="J111" s="48"/>
    </row>
    <row r="112" spans="1:10" ht="15.75" customHeight="1">
      <c r="A112" s="37"/>
      <c r="B112" s="52"/>
      <c r="C112" s="38"/>
      <c r="D112" s="35"/>
      <c r="E112" s="92"/>
      <c r="F112" s="40"/>
      <c r="G112" s="37"/>
      <c r="H112" s="35"/>
      <c r="I112" s="35"/>
      <c r="J112" s="48"/>
    </row>
    <row r="113" spans="1:10" ht="15.75" customHeight="1">
      <c r="A113" s="37"/>
      <c r="B113" s="52"/>
      <c r="C113" s="38"/>
      <c r="D113" s="35"/>
      <c r="E113" s="92"/>
      <c r="F113" s="40"/>
      <c r="G113" s="37"/>
      <c r="H113" s="35"/>
      <c r="I113" s="35"/>
      <c r="J113" s="48"/>
    </row>
    <row r="114" spans="1:10" ht="15.75" customHeight="1">
      <c r="A114" s="37"/>
      <c r="B114" s="52"/>
      <c r="C114" s="38"/>
      <c r="D114" s="35"/>
      <c r="E114" s="92"/>
      <c r="F114" s="40"/>
      <c r="G114" s="37"/>
      <c r="H114" s="35"/>
      <c r="I114" s="35"/>
      <c r="J114" s="48"/>
    </row>
    <row r="115" spans="1:10" ht="15.75" customHeight="1">
      <c r="A115" s="37"/>
      <c r="B115" s="52"/>
      <c r="C115" s="38"/>
      <c r="D115" s="35"/>
      <c r="E115" s="92"/>
      <c r="F115" s="40"/>
      <c r="G115" s="37"/>
      <c r="H115" s="35"/>
      <c r="I115" s="35"/>
      <c r="J115" s="48"/>
    </row>
    <row r="116" spans="1:10" ht="15.75" customHeight="1">
      <c r="A116" s="37"/>
      <c r="B116" s="52"/>
      <c r="C116" s="38"/>
      <c r="D116" s="35"/>
      <c r="E116" s="92"/>
      <c r="F116" s="40"/>
      <c r="G116" s="37"/>
      <c r="H116" s="35"/>
      <c r="I116" s="35"/>
      <c r="J116" s="48"/>
    </row>
    <row r="117" spans="1:10" ht="15.75" customHeight="1">
      <c r="A117" s="37"/>
      <c r="B117" s="52"/>
      <c r="C117" s="38"/>
      <c r="D117" s="35"/>
      <c r="E117" s="92"/>
      <c r="F117" s="40"/>
      <c r="G117" s="37"/>
      <c r="H117" s="35"/>
      <c r="I117" s="35"/>
      <c r="J117" s="48"/>
    </row>
    <row r="118" spans="1:10" ht="15.75" customHeight="1">
      <c r="A118" s="37"/>
      <c r="B118" s="52"/>
      <c r="C118" s="38"/>
      <c r="D118" s="35"/>
      <c r="E118" s="92"/>
      <c r="F118" s="40"/>
      <c r="G118" s="37"/>
      <c r="H118" s="35"/>
      <c r="I118" s="35"/>
      <c r="J118" s="48"/>
    </row>
    <row r="119" spans="1:10" ht="15.75" customHeight="1">
      <c r="A119" s="37"/>
      <c r="B119" s="52"/>
      <c r="C119" s="38"/>
      <c r="D119" s="35"/>
      <c r="E119" s="92"/>
      <c r="F119" s="40"/>
      <c r="G119" s="37"/>
      <c r="H119" s="35"/>
      <c r="I119" s="35"/>
      <c r="J119" s="48"/>
    </row>
    <row r="120" spans="1:10" ht="15.75" customHeight="1">
      <c r="A120" s="37"/>
      <c r="B120" s="52"/>
      <c r="C120" s="38"/>
      <c r="D120" s="35"/>
      <c r="E120" s="92"/>
      <c r="F120" s="40"/>
      <c r="G120" s="37"/>
      <c r="H120" s="35"/>
      <c r="I120" s="35"/>
      <c r="J120" s="48"/>
    </row>
    <row r="121" spans="1:10" ht="15.75" customHeight="1">
      <c r="A121" s="37"/>
      <c r="B121" s="52"/>
      <c r="C121" s="38"/>
      <c r="D121" s="35"/>
      <c r="E121" s="92"/>
      <c r="F121" s="40"/>
      <c r="G121" s="37"/>
      <c r="H121" s="35"/>
      <c r="I121" s="35"/>
      <c r="J121" s="48"/>
    </row>
    <row r="122" spans="1:10" ht="15.75" customHeight="1">
      <c r="A122" s="37"/>
      <c r="B122" s="52"/>
      <c r="C122" s="38"/>
      <c r="D122" s="35"/>
      <c r="E122" s="92"/>
      <c r="F122" s="40"/>
      <c r="G122" s="37"/>
      <c r="H122" s="35"/>
      <c r="I122" s="35"/>
      <c r="J122" s="48"/>
    </row>
    <row r="123" spans="1:10" ht="15.75" customHeight="1">
      <c r="A123" s="37"/>
      <c r="B123" s="52"/>
      <c r="C123" s="38"/>
      <c r="D123" s="35"/>
      <c r="E123" s="92"/>
      <c r="F123" s="40"/>
      <c r="G123" s="37"/>
      <c r="H123" s="35"/>
      <c r="I123" s="35"/>
      <c r="J123" s="48"/>
    </row>
    <row r="124" spans="1:10" ht="15.75" customHeight="1">
      <c r="A124" s="37"/>
      <c r="B124" s="52"/>
      <c r="C124" s="38"/>
      <c r="D124" s="35"/>
      <c r="E124" s="92"/>
      <c r="F124" s="40"/>
      <c r="G124" s="37"/>
      <c r="H124" s="35"/>
      <c r="I124" s="35"/>
      <c r="J124" s="48"/>
    </row>
    <row r="125" spans="1:10" ht="15.75" customHeight="1">
      <c r="A125" s="37"/>
      <c r="B125" s="52"/>
      <c r="C125" s="38"/>
      <c r="D125" s="35"/>
      <c r="E125" s="92"/>
      <c r="F125" s="40"/>
      <c r="G125" s="37"/>
      <c r="H125" s="35"/>
      <c r="I125" s="35"/>
      <c r="J125" s="48"/>
    </row>
    <row r="126" spans="1:10" ht="15.75" customHeight="1">
      <c r="A126" s="37"/>
      <c r="B126" s="52"/>
      <c r="C126" s="38"/>
      <c r="D126" s="35"/>
      <c r="E126" s="92"/>
      <c r="F126" s="40"/>
      <c r="G126" s="37"/>
      <c r="H126" s="35"/>
      <c r="I126" s="35"/>
      <c r="J126" s="48"/>
    </row>
    <row r="127" spans="1:10" ht="15.75" customHeight="1">
      <c r="A127" s="37"/>
      <c r="B127" s="52"/>
      <c r="C127" s="38"/>
      <c r="D127" s="35"/>
      <c r="E127" s="92"/>
      <c r="F127" s="40"/>
      <c r="G127" s="37"/>
      <c r="H127" s="35"/>
      <c r="I127" s="35"/>
      <c r="J127" s="48"/>
    </row>
    <row r="128" spans="1:10" ht="15.75" customHeight="1">
      <c r="A128" s="37"/>
      <c r="B128" s="52"/>
      <c r="C128" s="38"/>
      <c r="D128" s="35"/>
      <c r="E128" s="92"/>
      <c r="F128" s="40"/>
      <c r="G128" s="37"/>
      <c r="H128" s="35"/>
      <c r="I128" s="35"/>
      <c r="J128" s="48"/>
    </row>
    <row r="129" spans="1:10" ht="15.75" customHeight="1">
      <c r="A129" s="37"/>
      <c r="B129" s="52"/>
      <c r="C129" s="38"/>
      <c r="D129" s="35"/>
      <c r="E129" s="92"/>
      <c r="F129" s="40"/>
      <c r="G129" s="37"/>
      <c r="H129" s="35"/>
      <c r="I129" s="35"/>
      <c r="J129" s="48"/>
    </row>
    <row r="130" spans="1:10" ht="15.75" customHeight="1">
      <c r="A130" s="37"/>
      <c r="B130" s="52"/>
      <c r="C130" s="38"/>
      <c r="D130" s="35"/>
      <c r="E130" s="92"/>
      <c r="F130" s="40"/>
      <c r="G130" s="37"/>
      <c r="H130" s="35"/>
      <c r="I130" s="35"/>
      <c r="J130" s="48"/>
    </row>
    <row r="131" spans="1:10" ht="15.75" customHeight="1">
      <c r="A131" s="37"/>
      <c r="B131" s="52"/>
      <c r="C131" s="38"/>
      <c r="D131" s="35"/>
      <c r="E131" s="92"/>
      <c r="F131" s="40"/>
      <c r="G131" s="37"/>
      <c r="H131" s="35"/>
      <c r="I131" s="35"/>
      <c r="J131" s="48"/>
    </row>
    <row r="132" spans="1:10" ht="15.75" customHeight="1">
      <c r="A132" s="37"/>
      <c r="B132" s="52"/>
      <c r="C132" s="38"/>
      <c r="D132" s="35"/>
      <c r="E132" s="92"/>
      <c r="F132" s="40"/>
      <c r="G132" s="37"/>
      <c r="H132" s="35"/>
      <c r="I132" s="35"/>
      <c r="J132" s="48"/>
    </row>
    <row r="133" spans="1:10" ht="15.75" customHeight="1">
      <c r="A133" s="37"/>
      <c r="B133" s="52"/>
      <c r="C133" s="38"/>
      <c r="D133" s="35"/>
      <c r="E133" s="92"/>
      <c r="F133" s="40"/>
      <c r="G133" s="37"/>
      <c r="H133" s="35"/>
      <c r="I133" s="35"/>
      <c r="J133" s="48"/>
    </row>
    <row r="134" spans="1:10" ht="15.75" customHeight="1">
      <c r="A134" s="37"/>
      <c r="B134" s="52"/>
      <c r="C134" s="38"/>
      <c r="D134" s="35"/>
      <c r="E134" s="92"/>
      <c r="F134" s="40"/>
      <c r="G134" s="37"/>
      <c r="H134" s="35"/>
      <c r="I134" s="35"/>
      <c r="J134" s="48"/>
    </row>
    <row r="135" spans="1:10" ht="15.75" customHeight="1">
      <c r="A135" s="37"/>
      <c r="B135" s="52"/>
      <c r="C135" s="38"/>
      <c r="D135" s="35"/>
      <c r="E135" s="92"/>
      <c r="F135" s="40"/>
      <c r="G135" s="37"/>
      <c r="H135" s="35"/>
      <c r="I135" s="35"/>
      <c r="J135" s="48"/>
    </row>
    <row r="136" spans="1:10" ht="15.75" customHeight="1">
      <c r="A136" s="37"/>
      <c r="B136" s="52"/>
      <c r="C136" s="38"/>
      <c r="D136" s="35"/>
      <c r="E136" s="92"/>
      <c r="F136" s="40"/>
      <c r="G136" s="37"/>
      <c r="H136" s="35"/>
      <c r="I136" s="35"/>
      <c r="J136" s="48"/>
    </row>
    <row r="137" spans="1:10" ht="15.75" customHeight="1">
      <c r="A137" s="37"/>
      <c r="B137" s="52"/>
      <c r="C137" s="38"/>
      <c r="D137" s="35"/>
      <c r="E137" s="92"/>
      <c r="F137" s="40"/>
      <c r="G137" s="37"/>
      <c r="H137" s="35"/>
      <c r="I137" s="35"/>
      <c r="J137" s="48"/>
    </row>
    <row r="138" spans="1:10" ht="15.75" customHeight="1">
      <c r="A138" s="37"/>
      <c r="B138" s="52"/>
      <c r="C138" s="38"/>
      <c r="D138" s="35"/>
      <c r="E138" s="92"/>
      <c r="F138" s="40"/>
      <c r="G138" s="37"/>
      <c r="H138" s="35"/>
      <c r="I138" s="35"/>
      <c r="J138" s="48"/>
    </row>
    <row r="139" spans="1:10" ht="15.75" customHeight="1">
      <c r="A139" s="37"/>
      <c r="B139" s="52"/>
      <c r="C139" s="38"/>
      <c r="D139" s="35"/>
      <c r="E139" s="92"/>
      <c r="F139" s="40"/>
      <c r="G139" s="37"/>
      <c r="H139" s="35"/>
      <c r="I139" s="35"/>
      <c r="J139" s="48"/>
    </row>
    <row r="140" spans="1:10" ht="15.75" customHeight="1">
      <c r="A140" s="37"/>
      <c r="B140" s="52"/>
      <c r="C140" s="38"/>
      <c r="D140" s="35"/>
      <c r="E140" s="92"/>
      <c r="F140" s="40"/>
      <c r="G140" s="37"/>
      <c r="H140" s="35"/>
      <c r="I140" s="35"/>
      <c r="J140" s="48"/>
    </row>
    <row r="141" spans="1:10" ht="15.75" customHeight="1">
      <c r="A141" s="37"/>
      <c r="B141" s="52"/>
      <c r="C141" s="38"/>
      <c r="D141" s="35"/>
      <c r="E141" s="92"/>
      <c r="F141" s="40"/>
      <c r="G141" s="37"/>
      <c r="H141" s="35"/>
      <c r="I141" s="35"/>
      <c r="J141" s="48"/>
    </row>
    <row r="142" spans="1:10" ht="15.75" customHeight="1">
      <c r="A142" s="37"/>
      <c r="B142" s="52"/>
      <c r="C142" s="38"/>
      <c r="D142" s="35"/>
      <c r="E142" s="92"/>
      <c r="F142" s="40"/>
      <c r="G142" s="37"/>
      <c r="H142" s="35"/>
      <c r="I142" s="35"/>
      <c r="J142" s="48"/>
    </row>
    <row r="143" spans="1:10" ht="15.75" customHeight="1">
      <c r="A143" s="37"/>
      <c r="B143" s="52"/>
      <c r="C143" s="38"/>
      <c r="D143" s="35"/>
      <c r="E143" s="92"/>
      <c r="F143" s="40"/>
      <c r="G143" s="37"/>
      <c r="H143" s="35"/>
      <c r="I143" s="35"/>
      <c r="J143" s="48"/>
    </row>
    <row r="144" spans="1:10" ht="15.75" customHeight="1">
      <c r="A144" s="37"/>
      <c r="B144" s="52"/>
      <c r="C144" s="38"/>
      <c r="D144" s="35"/>
      <c r="E144" s="92"/>
      <c r="F144" s="40"/>
      <c r="G144" s="37"/>
      <c r="H144" s="35"/>
      <c r="I144" s="35"/>
      <c r="J144" s="48"/>
    </row>
    <row r="145" spans="1:10" ht="15.75" customHeight="1">
      <c r="A145" s="37"/>
      <c r="B145" s="52"/>
      <c r="C145" s="38"/>
      <c r="D145" s="35"/>
      <c r="E145" s="92"/>
      <c r="F145" s="40"/>
      <c r="G145" s="37"/>
      <c r="H145" s="35"/>
      <c r="I145" s="35"/>
      <c r="J145" s="48"/>
    </row>
    <row r="146" spans="1:10" ht="15.75" customHeight="1">
      <c r="A146" s="37"/>
      <c r="B146" s="52"/>
      <c r="C146" s="38"/>
      <c r="D146" s="35"/>
      <c r="E146" s="92"/>
      <c r="F146" s="40"/>
      <c r="G146" s="37"/>
      <c r="H146" s="35"/>
      <c r="I146" s="35"/>
      <c r="J146" s="48"/>
    </row>
    <row r="147" spans="1:10" ht="15.75" customHeight="1">
      <c r="A147" s="37"/>
      <c r="B147" s="52"/>
      <c r="C147" s="38"/>
      <c r="D147" s="35"/>
      <c r="E147" s="92"/>
      <c r="F147" s="40"/>
      <c r="G147" s="37"/>
      <c r="H147" s="35"/>
      <c r="I147" s="35"/>
      <c r="J147" s="48"/>
    </row>
    <row r="148" spans="1:10" ht="15.75" customHeight="1">
      <c r="A148" s="37"/>
      <c r="B148" s="52"/>
      <c r="C148" s="38"/>
      <c r="D148" s="35"/>
      <c r="E148" s="92"/>
      <c r="F148" s="40"/>
      <c r="G148" s="37"/>
      <c r="H148" s="35"/>
      <c r="I148" s="35"/>
      <c r="J148" s="48"/>
    </row>
    <row r="149" spans="1:10" ht="15.75" customHeight="1">
      <c r="A149" s="37"/>
      <c r="B149" s="52"/>
      <c r="C149" s="38"/>
      <c r="D149" s="35"/>
      <c r="E149" s="92"/>
      <c r="F149" s="40"/>
      <c r="G149" s="37"/>
      <c r="H149" s="35"/>
      <c r="I149" s="35"/>
      <c r="J149" s="48"/>
    </row>
    <row r="150" spans="1:10" ht="15.75" customHeight="1">
      <c r="A150" s="37"/>
      <c r="B150" s="52"/>
      <c r="C150" s="38"/>
      <c r="D150" s="35"/>
      <c r="E150" s="92"/>
      <c r="F150" s="40"/>
      <c r="G150" s="37"/>
      <c r="H150" s="35"/>
      <c r="I150" s="35"/>
      <c r="J150" s="48"/>
    </row>
    <row r="151" spans="1:10" ht="15.75" customHeight="1">
      <c r="A151" s="37"/>
      <c r="B151" s="52"/>
      <c r="C151" s="38"/>
      <c r="D151" s="35"/>
      <c r="E151" s="92"/>
      <c r="F151" s="40"/>
      <c r="G151" s="37"/>
      <c r="H151" s="35"/>
      <c r="I151" s="35"/>
      <c r="J151" s="48"/>
    </row>
    <row r="152" spans="1:10" ht="15.75" customHeight="1">
      <c r="A152" s="37"/>
      <c r="B152" s="52"/>
      <c r="C152" s="38"/>
      <c r="D152" s="35"/>
      <c r="E152" s="92"/>
      <c r="F152" s="40"/>
      <c r="G152" s="37"/>
      <c r="H152" s="35"/>
      <c r="I152" s="35"/>
      <c r="J152" s="48"/>
    </row>
    <row r="153" spans="1:10" ht="15.75" customHeight="1">
      <c r="A153" s="37"/>
      <c r="B153" s="52"/>
      <c r="C153" s="38"/>
      <c r="D153" s="35"/>
      <c r="E153" s="92"/>
      <c r="F153" s="40"/>
      <c r="G153" s="37"/>
      <c r="H153" s="35"/>
      <c r="I153" s="35"/>
      <c r="J153" s="48"/>
    </row>
    <row r="154" spans="1:10" ht="15.75" customHeight="1">
      <c r="A154" s="37"/>
      <c r="B154" s="52"/>
      <c r="C154" s="38"/>
      <c r="D154" s="35"/>
      <c r="E154" s="92"/>
      <c r="F154" s="40"/>
      <c r="G154" s="37"/>
      <c r="H154" s="35"/>
      <c r="I154" s="35"/>
      <c r="J154" s="48"/>
    </row>
    <row r="155" spans="1:10" ht="15.75" customHeight="1">
      <c r="A155" s="37"/>
      <c r="B155" s="52"/>
      <c r="C155" s="38"/>
      <c r="D155" s="35"/>
      <c r="E155" s="92"/>
      <c r="F155" s="40"/>
      <c r="G155" s="37"/>
      <c r="H155" s="35"/>
      <c r="I155" s="35"/>
      <c r="J155" s="48"/>
    </row>
    <row r="156" spans="1:10" ht="15.75" customHeight="1">
      <c r="A156" s="37"/>
      <c r="B156" s="52"/>
      <c r="C156" s="38"/>
      <c r="D156" s="35"/>
      <c r="E156" s="92"/>
      <c r="F156" s="40"/>
      <c r="G156" s="37"/>
      <c r="H156" s="35"/>
      <c r="I156" s="35"/>
      <c r="J156" s="48"/>
    </row>
    <row r="157" spans="1:10" ht="15.75" customHeight="1">
      <c r="A157" s="37"/>
      <c r="B157" s="52"/>
      <c r="C157" s="38"/>
      <c r="D157" s="35"/>
      <c r="E157" s="92"/>
      <c r="F157" s="40"/>
      <c r="G157" s="37"/>
      <c r="H157" s="35"/>
      <c r="I157" s="35"/>
      <c r="J157" s="48"/>
    </row>
    <row r="158" spans="1:10" ht="15.75" customHeight="1">
      <c r="A158" s="37"/>
      <c r="B158" s="52"/>
      <c r="C158" s="38"/>
      <c r="D158" s="35"/>
      <c r="E158" s="92"/>
      <c r="F158" s="40"/>
      <c r="G158" s="37"/>
      <c r="H158" s="35"/>
      <c r="I158" s="35"/>
      <c r="J158" s="48"/>
    </row>
    <row r="159" spans="1:10" ht="15.75" customHeight="1">
      <c r="A159" s="37"/>
      <c r="B159" s="52"/>
      <c r="C159" s="38"/>
      <c r="D159" s="35"/>
      <c r="E159" s="92"/>
      <c r="F159" s="40"/>
      <c r="G159" s="37"/>
      <c r="H159" s="35"/>
      <c r="I159" s="35"/>
      <c r="J159" s="48"/>
    </row>
    <row r="160" spans="1:10" ht="15.75" customHeight="1">
      <c r="A160" s="37"/>
      <c r="B160" s="52"/>
      <c r="C160" s="38"/>
      <c r="D160" s="35"/>
      <c r="E160" s="92"/>
      <c r="F160" s="40"/>
      <c r="G160" s="37"/>
      <c r="H160" s="35"/>
      <c r="I160" s="35"/>
      <c r="J160" s="48"/>
    </row>
    <row r="161" spans="1:10" ht="15.75" customHeight="1">
      <c r="A161" s="37"/>
      <c r="B161" s="52"/>
      <c r="C161" s="38"/>
      <c r="D161" s="35"/>
      <c r="E161" s="92"/>
      <c r="F161" s="40"/>
      <c r="G161" s="37"/>
      <c r="H161" s="35"/>
      <c r="I161" s="35"/>
      <c r="J161" s="48"/>
    </row>
    <row r="162" spans="1:10" ht="15.75" customHeight="1">
      <c r="A162" s="37"/>
      <c r="B162" s="52"/>
      <c r="C162" s="38"/>
      <c r="D162" s="35"/>
      <c r="E162" s="92"/>
      <c r="F162" s="40"/>
      <c r="G162" s="37"/>
      <c r="H162" s="35"/>
      <c r="I162" s="35"/>
      <c r="J162" s="48"/>
    </row>
    <row r="163" spans="1:10" ht="15.75" customHeight="1">
      <c r="A163" s="37"/>
      <c r="B163" s="52"/>
      <c r="C163" s="38"/>
      <c r="D163" s="35"/>
      <c r="E163" s="92"/>
      <c r="F163" s="40"/>
      <c r="G163" s="37"/>
      <c r="H163" s="35"/>
      <c r="I163" s="35"/>
      <c r="J163" s="48"/>
    </row>
    <row r="164" spans="1:10" ht="15.75" customHeight="1">
      <c r="A164" s="37"/>
      <c r="B164" s="52"/>
      <c r="C164" s="38"/>
      <c r="D164" s="35"/>
      <c r="E164" s="92"/>
      <c r="F164" s="40"/>
      <c r="G164" s="37"/>
      <c r="H164" s="35"/>
      <c r="I164" s="35"/>
      <c r="J164" s="48"/>
    </row>
    <row r="165" spans="1:10" ht="15.75" customHeight="1">
      <c r="A165" s="37"/>
      <c r="B165" s="52"/>
      <c r="C165" s="38"/>
      <c r="D165" s="35"/>
      <c r="E165" s="92"/>
      <c r="F165" s="40"/>
      <c r="G165" s="37"/>
      <c r="H165" s="35"/>
      <c r="I165" s="35"/>
      <c r="J165" s="48"/>
    </row>
    <row r="166" spans="1:10" ht="15.75" customHeight="1">
      <c r="A166" s="37"/>
      <c r="B166" s="52"/>
      <c r="C166" s="38"/>
      <c r="D166" s="35"/>
      <c r="E166" s="92"/>
      <c r="F166" s="40"/>
      <c r="G166" s="37"/>
      <c r="H166" s="35"/>
      <c r="I166" s="35"/>
      <c r="J166" s="48"/>
    </row>
    <row r="167" spans="1:10" ht="15.75" customHeight="1">
      <c r="A167" s="37"/>
      <c r="B167" s="52"/>
      <c r="C167" s="38"/>
      <c r="D167" s="35"/>
      <c r="E167" s="92"/>
      <c r="F167" s="40"/>
      <c r="G167" s="37"/>
      <c r="H167" s="35"/>
      <c r="I167" s="35"/>
      <c r="J167" s="48"/>
    </row>
    <row r="168" spans="1:10" ht="15.75" customHeight="1">
      <c r="A168" s="37"/>
      <c r="B168" s="52"/>
      <c r="C168" s="38"/>
      <c r="D168" s="35"/>
      <c r="E168" s="92"/>
      <c r="F168" s="40"/>
      <c r="G168" s="37"/>
      <c r="H168" s="35"/>
      <c r="I168" s="35"/>
      <c r="J168" s="48"/>
    </row>
    <row r="169" spans="1:10" ht="15.75" customHeight="1">
      <c r="A169" s="37"/>
      <c r="B169" s="52"/>
      <c r="C169" s="38"/>
      <c r="D169" s="35"/>
      <c r="E169" s="92"/>
      <c r="F169" s="40"/>
      <c r="G169" s="37"/>
      <c r="H169" s="35"/>
      <c r="I169" s="35"/>
      <c r="J169" s="48"/>
    </row>
    <row r="170" spans="1:10" ht="15.75" customHeight="1">
      <c r="A170" s="37"/>
      <c r="B170" s="52"/>
      <c r="C170" s="38"/>
      <c r="D170" s="35"/>
      <c r="E170" s="92"/>
      <c r="F170" s="40"/>
      <c r="G170" s="37"/>
      <c r="H170" s="35"/>
      <c r="I170" s="35"/>
      <c r="J170" s="48"/>
    </row>
    <row r="171" spans="1:10" ht="15.75" customHeight="1">
      <c r="A171" s="37"/>
      <c r="B171" s="52"/>
      <c r="C171" s="38"/>
      <c r="D171" s="35"/>
      <c r="E171" s="92"/>
      <c r="F171" s="40"/>
      <c r="G171" s="37"/>
      <c r="H171" s="35"/>
      <c r="I171" s="35"/>
      <c r="J171" s="48"/>
    </row>
    <row r="172" spans="1:10" ht="15.75" customHeight="1">
      <c r="A172" s="37"/>
      <c r="B172" s="52"/>
      <c r="C172" s="38"/>
      <c r="D172" s="35"/>
      <c r="E172" s="92"/>
      <c r="F172" s="40"/>
      <c r="G172" s="37"/>
      <c r="H172" s="35"/>
      <c r="I172" s="35"/>
      <c r="J172" s="48"/>
    </row>
    <row r="173" spans="1:10" ht="15.75" customHeight="1">
      <c r="A173" s="37"/>
      <c r="B173" s="52"/>
      <c r="C173" s="38"/>
      <c r="D173" s="35"/>
      <c r="E173" s="92"/>
      <c r="F173" s="40"/>
      <c r="G173" s="37"/>
      <c r="H173" s="35"/>
      <c r="I173" s="35"/>
      <c r="J173" s="48"/>
    </row>
    <row r="174" spans="1:10" ht="15.75" customHeight="1">
      <c r="A174" s="37"/>
      <c r="B174" s="52"/>
      <c r="C174" s="38"/>
      <c r="D174" s="35"/>
      <c r="E174" s="92"/>
      <c r="F174" s="40"/>
      <c r="G174" s="37"/>
      <c r="H174" s="35"/>
      <c r="I174" s="35"/>
      <c r="J174" s="48"/>
    </row>
    <row r="175" spans="1:10" ht="15.75" customHeight="1">
      <c r="A175" s="37"/>
      <c r="B175" s="52"/>
      <c r="C175" s="38"/>
      <c r="D175" s="35"/>
      <c r="E175" s="92"/>
      <c r="F175" s="40"/>
      <c r="G175" s="37"/>
      <c r="H175" s="35"/>
      <c r="I175" s="35"/>
      <c r="J175" s="48"/>
    </row>
    <row r="176" spans="1:10" ht="15.75" customHeight="1">
      <c r="A176" s="37"/>
      <c r="B176" s="52"/>
      <c r="C176" s="38"/>
      <c r="D176" s="35"/>
      <c r="E176" s="92"/>
      <c r="F176" s="40"/>
      <c r="G176" s="37"/>
      <c r="H176" s="35"/>
      <c r="I176" s="35"/>
      <c r="J176" s="48"/>
    </row>
    <row r="177" spans="1:10" ht="15.75" customHeight="1">
      <c r="A177" s="37"/>
      <c r="B177" s="52"/>
      <c r="C177" s="38"/>
      <c r="D177" s="35"/>
      <c r="E177" s="92"/>
      <c r="F177" s="40"/>
      <c r="G177" s="37"/>
      <c r="H177" s="35"/>
      <c r="I177" s="35"/>
      <c r="J177" s="48"/>
    </row>
    <row r="178" spans="1:10" ht="15.75" customHeight="1">
      <c r="A178" s="37"/>
      <c r="B178" s="52"/>
      <c r="C178" s="38"/>
      <c r="D178" s="35"/>
      <c r="E178" s="92"/>
      <c r="F178" s="40"/>
      <c r="G178" s="37"/>
      <c r="H178" s="35"/>
      <c r="I178" s="35"/>
      <c r="J178" s="48"/>
    </row>
    <row r="179" spans="1:10" ht="15.75" customHeight="1">
      <c r="A179" s="37"/>
      <c r="B179" s="52"/>
      <c r="C179" s="38"/>
      <c r="D179" s="35"/>
      <c r="E179" s="92"/>
      <c r="F179" s="40"/>
      <c r="G179" s="37"/>
      <c r="H179" s="35"/>
      <c r="I179" s="35"/>
      <c r="J179" s="48"/>
    </row>
    <row r="180" spans="1:10" ht="15.75" customHeight="1">
      <c r="A180" s="37"/>
      <c r="B180" s="52"/>
      <c r="C180" s="38"/>
      <c r="D180" s="35"/>
      <c r="E180" s="92"/>
      <c r="F180" s="40"/>
      <c r="G180" s="37"/>
      <c r="H180" s="35"/>
      <c r="I180" s="35"/>
      <c r="J180" s="48"/>
    </row>
    <row r="181" spans="1:10" ht="15.75" customHeight="1">
      <c r="A181" s="37"/>
      <c r="B181" s="52"/>
      <c r="C181" s="38"/>
      <c r="D181" s="35"/>
      <c r="E181" s="92"/>
      <c r="F181" s="40"/>
      <c r="G181" s="37"/>
      <c r="H181" s="35"/>
      <c r="I181" s="35"/>
      <c r="J181" s="48"/>
    </row>
    <row r="182" spans="1:10" ht="15.75" customHeight="1">
      <c r="A182" s="37"/>
      <c r="B182" s="52"/>
      <c r="C182" s="38"/>
      <c r="D182" s="35"/>
      <c r="E182" s="92"/>
      <c r="F182" s="40"/>
      <c r="G182" s="37"/>
      <c r="H182" s="35"/>
      <c r="I182" s="35"/>
      <c r="J182" s="48"/>
    </row>
    <row r="183" spans="1:10" ht="15.75" customHeight="1">
      <c r="A183" s="37"/>
      <c r="B183" s="52"/>
      <c r="C183" s="38"/>
      <c r="D183" s="35"/>
      <c r="E183" s="92"/>
      <c r="F183" s="40"/>
      <c r="G183" s="37"/>
      <c r="H183" s="35"/>
      <c r="I183" s="35"/>
      <c r="J183" s="48"/>
    </row>
    <row r="184" spans="1:10" ht="15.75" customHeight="1">
      <c r="A184" s="37"/>
      <c r="B184" s="52"/>
      <c r="C184" s="38"/>
      <c r="D184" s="35"/>
      <c r="E184" s="92"/>
      <c r="F184" s="40"/>
      <c r="G184" s="37"/>
      <c r="H184" s="35"/>
      <c r="I184" s="35"/>
      <c r="J184" s="48"/>
    </row>
    <row r="185" spans="1:10" ht="15.75" customHeight="1">
      <c r="A185" s="37"/>
      <c r="B185" s="52"/>
      <c r="C185" s="38"/>
      <c r="D185" s="35"/>
      <c r="E185" s="92"/>
      <c r="F185" s="40"/>
      <c r="G185" s="37"/>
      <c r="H185" s="35"/>
      <c r="I185" s="35"/>
      <c r="J185" s="48"/>
    </row>
    <row r="186" spans="1:10" ht="15.75" customHeight="1">
      <c r="A186" s="37"/>
      <c r="B186" s="52"/>
      <c r="C186" s="38"/>
      <c r="D186" s="35"/>
      <c r="E186" s="92"/>
      <c r="F186" s="40"/>
      <c r="G186" s="37"/>
      <c r="H186" s="35"/>
      <c r="I186" s="35"/>
      <c r="J186" s="48"/>
    </row>
    <row r="187" spans="1:10" ht="15.75" customHeight="1">
      <c r="A187" s="37"/>
      <c r="B187" s="52"/>
      <c r="C187" s="38"/>
      <c r="D187" s="35"/>
      <c r="E187" s="92"/>
      <c r="F187" s="40"/>
      <c r="G187" s="37"/>
      <c r="H187" s="35"/>
      <c r="I187" s="35"/>
      <c r="J187" s="48"/>
    </row>
    <row r="188" spans="1:10" ht="15.75" customHeight="1">
      <c r="A188" s="37"/>
      <c r="B188" s="52"/>
      <c r="C188" s="38"/>
      <c r="D188" s="35"/>
      <c r="E188" s="92"/>
      <c r="F188" s="40"/>
      <c r="G188" s="37"/>
      <c r="H188" s="35"/>
      <c r="I188" s="35"/>
      <c r="J188" s="48"/>
    </row>
    <row r="189" spans="1:10" ht="15.75" customHeight="1">
      <c r="A189" s="37"/>
      <c r="B189" s="52"/>
      <c r="C189" s="38"/>
      <c r="D189" s="35"/>
      <c r="E189" s="92"/>
      <c r="F189" s="40"/>
      <c r="G189" s="37"/>
      <c r="H189" s="35"/>
      <c r="I189" s="35"/>
      <c r="J189" s="48"/>
    </row>
    <row r="190" spans="1:10" ht="15.75" customHeight="1">
      <c r="A190" s="37"/>
      <c r="B190" s="52"/>
      <c r="C190" s="38"/>
      <c r="D190" s="35"/>
      <c r="E190" s="92"/>
      <c r="F190" s="40"/>
      <c r="G190" s="37"/>
      <c r="H190" s="35"/>
      <c r="I190" s="35"/>
      <c r="J190" s="48"/>
    </row>
    <row r="191" spans="1:10" ht="15.75" customHeight="1">
      <c r="A191" s="37"/>
      <c r="B191" s="52"/>
      <c r="C191" s="38"/>
      <c r="D191" s="35"/>
      <c r="E191" s="92"/>
      <c r="F191" s="40"/>
      <c r="G191" s="37"/>
      <c r="H191" s="35"/>
      <c r="I191" s="35"/>
      <c r="J191" s="48"/>
    </row>
    <row r="192" spans="1:10" ht="15.75" customHeight="1">
      <c r="A192" s="37"/>
      <c r="B192" s="52"/>
      <c r="C192" s="38"/>
      <c r="D192" s="35"/>
      <c r="E192" s="92"/>
      <c r="F192" s="40"/>
      <c r="G192" s="37"/>
      <c r="H192" s="35"/>
      <c r="I192" s="35"/>
      <c r="J192" s="48"/>
    </row>
    <row r="193" spans="1:10" ht="15.75" customHeight="1">
      <c r="A193" s="37"/>
      <c r="B193" s="52"/>
      <c r="C193" s="38"/>
      <c r="D193" s="35"/>
      <c r="E193" s="92"/>
      <c r="F193" s="40"/>
      <c r="G193" s="37"/>
      <c r="H193" s="35"/>
      <c r="I193" s="35"/>
      <c r="J193" s="48"/>
    </row>
    <row r="194" spans="1:10" ht="15.75" customHeight="1">
      <c r="A194" s="37"/>
      <c r="B194" s="52"/>
      <c r="C194" s="38"/>
      <c r="D194" s="35"/>
      <c r="E194" s="92"/>
      <c r="F194" s="40"/>
      <c r="G194" s="37"/>
      <c r="H194" s="35"/>
      <c r="I194" s="35"/>
      <c r="J194" s="48"/>
    </row>
    <row r="195" spans="1:10" ht="15.75" customHeight="1">
      <c r="A195" s="37"/>
      <c r="B195" s="52"/>
      <c r="C195" s="38"/>
      <c r="D195" s="35"/>
      <c r="E195" s="92"/>
      <c r="F195" s="40"/>
      <c r="G195" s="37"/>
      <c r="H195" s="35"/>
      <c r="I195" s="35"/>
      <c r="J195" s="48"/>
    </row>
    <row r="196" spans="1:10" ht="15.75" customHeight="1">
      <c r="A196" s="37"/>
      <c r="B196" s="52"/>
      <c r="C196" s="38"/>
      <c r="D196" s="35"/>
      <c r="E196" s="92"/>
      <c r="F196" s="40"/>
      <c r="G196" s="37"/>
      <c r="H196" s="35"/>
      <c r="I196" s="35"/>
      <c r="J196" s="48"/>
    </row>
    <row r="197" spans="1:10" ht="15.75" customHeight="1">
      <c r="A197" s="37"/>
      <c r="B197" s="52"/>
      <c r="C197" s="38"/>
      <c r="D197" s="35"/>
      <c r="E197" s="92"/>
      <c r="F197" s="40"/>
      <c r="G197" s="37"/>
      <c r="H197" s="35"/>
      <c r="I197" s="35"/>
      <c r="J197" s="48"/>
    </row>
    <row r="198" spans="1:10" ht="15.75" customHeight="1">
      <c r="A198" s="37"/>
      <c r="B198" s="52"/>
      <c r="C198" s="38"/>
      <c r="D198" s="35"/>
      <c r="E198" s="92"/>
      <c r="F198" s="40"/>
      <c r="G198" s="37"/>
      <c r="H198" s="35"/>
      <c r="I198" s="35"/>
      <c r="J198" s="48"/>
    </row>
    <row r="199" spans="1:10" ht="15.75" customHeight="1">
      <c r="A199" s="37"/>
      <c r="B199" s="52"/>
      <c r="C199" s="38"/>
      <c r="D199" s="35"/>
      <c r="E199" s="92"/>
      <c r="F199" s="40"/>
      <c r="G199" s="37"/>
      <c r="H199" s="35"/>
      <c r="I199" s="35"/>
      <c r="J199" s="48"/>
    </row>
    <row r="200" spans="1:10" ht="15.75" customHeight="1">
      <c r="A200" s="37"/>
      <c r="B200" s="52"/>
      <c r="C200" s="38"/>
      <c r="D200" s="35"/>
      <c r="E200" s="92"/>
      <c r="F200" s="40"/>
      <c r="G200" s="37"/>
      <c r="H200" s="35"/>
      <c r="I200" s="35"/>
      <c r="J200" s="48"/>
    </row>
    <row r="201" spans="1:10" ht="15.75" customHeight="1">
      <c r="A201" s="37"/>
      <c r="B201" s="52"/>
      <c r="C201" s="38"/>
      <c r="D201" s="35"/>
      <c r="E201" s="92"/>
      <c r="F201" s="40"/>
      <c r="G201" s="37"/>
      <c r="H201" s="35"/>
      <c r="I201" s="35"/>
      <c r="J201" s="48"/>
    </row>
    <row r="202" spans="1:10" ht="15.75" customHeight="1">
      <c r="A202" s="37"/>
      <c r="B202" s="52"/>
      <c r="C202" s="38"/>
      <c r="D202" s="35"/>
      <c r="E202" s="92"/>
      <c r="F202" s="40"/>
      <c r="G202" s="37"/>
      <c r="H202" s="35"/>
      <c r="I202" s="35"/>
      <c r="J202" s="48"/>
    </row>
    <row r="203" spans="1:10" ht="15.75" customHeight="1">
      <c r="A203" s="37"/>
      <c r="B203" s="52"/>
      <c r="C203" s="38"/>
      <c r="D203" s="35"/>
      <c r="E203" s="92"/>
      <c r="F203" s="40"/>
      <c r="G203" s="37"/>
      <c r="H203" s="35"/>
      <c r="I203" s="35"/>
      <c r="J203" s="48"/>
    </row>
    <row r="204" spans="1:10" ht="15.75" customHeight="1">
      <c r="A204" s="37"/>
      <c r="B204" s="52"/>
      <c r="C204" s="38"/>
      <c r="D204" s="35"/>
      <c r="E204" s="92"/>
      <c r="F204" s="40"/>
      <c r="G204" s="37"/>
      <c r="H204" s="35"/>
      <c r="I204" s="35"/>
      <c r="J204" s="48"/>
    </row>
    <row r="205" spans="1:10" ht="15.75" customHeight="1">
      <c r="A205" s="37"/>
      <c r="B205" s="52"/>
      <c r="C205" s="38"/>
      <c r="D205" s="35"/>
      <c r="E205" s="92"/>
      <c r="F205" s="40"/>
      <c r="G205" s="37"/>
      <c r="H205" s="35"/>
      <c r="I205" s="35"/>
      <c r="J205" s="48"/>
    </row>
    <row r="206" spans="1:10" ht="15.75" customHeight="1">
      <c r="A206" s="37"/>
      <c r="B206" s="52"/>
      <c r="C206" s="38"/>
      <c r="D206" s="35"/>
      <c r="E206" s="92"/>
      <c r="F206" s="40"/>
      <c r="G206" s="37"/>
      <c r="H206" s="35"/>
      <c r="I206" s="35"/>
      <c r="J206" s="48"/>
    </row>
    <row r="207" spans="1:10" ht="15.75" customHeight="1">
      <c r="A207" s="37"/>
      <c r="B207" s="52"/>
      <c r="C207" s="38"/>
      <c r="D207" s="35"/>
      <c r="E207" s="92"/>
      <c r="F207" s="40"/>
      <c r="G207" s="37"/>
      <c r="H207" s="35"/>
      <c r="I207" s="35"/>
      <c r="J207" s="48"/>
    </row>
    <row r="208" spans="1:10" ht="15.75" customHeight="1">
      <c r="A208" s="37"/>
      <c r="B208" s="52"/>
      <c r="C208" s="38"/>
      <c r="D208" s="35"/>
      <c r="E208" s="92"/>
      <c r="F208" s="40"/>
      <c r="G208" s="37"/>
      <c r="H208" s="35"/>
      <c r="I208" s="35"/>
      <c r="J208" s="48"/>
    </row>
    <row r="209" spans="1:10" ht="15.75" customHeight="1">
      <c r="A209" s="37"/>
      <c r="B209" s="52"/>
      <c r="C209" s="38"/>
      <c r="D209" s="35"/>
      <c r="E209" s="92"/>
      <c r="F209" s="40"/>
      <c r="G209" s="37"/>
      <c r="H209" s="35"/>
      <c r="I209" s="35"/>
      <c r="J209" s="48"/>
    </row>
    <row r="210" spans="1:10" ht="15.75" customHeight="1">
      <c r="A210" s="37"/>
      <c r="B210" s="52"/>
      <c r="C210" s="38"/>
      <c r="D210" s="35"/>
      <c r="E210" s="92"/>
      <c r="F210" s="40"/>
      <c r="G210" s="37"/>
      <c r="H210" s="35"/>
      <c r="I210" s="35"/>
      <c r="J210" s="48"/>
    </row>
    <row r="211" spans="1:10" ht="15.75" customHeight="1">
      <c r="A211" s="37"/>
      <c r="B211" s="52"/>
      <c r="C211" s="38"/>
      <c r="D211" s="35"/>
      <c r="E211" s="92"/>
      <c r="F211" s="40"/>
      <c r="G211" s="37"/>
      <c r="H211" s="35"/>
      <c r="I211" s="35"/>
      <c r="J211" s="48"/>
    </row>
    <row r="212" spans="1:10" ht="15.75" customHeight="1">
      <c r="A212" s="37"/>
      <c r="B212" s="52"/>
      <c r="C212" s="38"/>
      <c r="D212" s="35"/>
      <c r="E212" s="92"/>
      <c r="F212" s="40"/>
      <c r="G212" s="37"/>
      <c r="H212" s="35"/>
      <c r="I212" s="35"/>
      <c r="J212" s="48"/>
    </row>
    <row r="213" spans="1:10" ht="15.75" customHeight="1">
      <c r="A213" s="37"/>
      <c r="B213" s="52"/>
      <c r="C213" s="38"/>
      <c r="D213" s="35"/>
      <c r="E213" s="92"/>
      <c r="F213" s="40"/>
      <c r="G213" s="37"/>
      <c r="H213" s="35"/>
      <c r="I213" s="35"/>
      <c r="J213" s="48"/>
    </row>
    <row r="214" spans="1:10" ht="15.75" customHeight="1">
      <c r="A214" s="37"/>
      <c r="B214" s="52"/>
      <c r="C214" s="38"/>
      <c r="D214" s="35"/>
      <c r="E214" s="92"/>
      <c r="F214" s="40"/>
      <c r="G214" s="37"/>
      <c r="H214" s="35"/>
      <c r="I214" s="35"/>
      <c r="J214" s="48"/>
    </row>
    <row r="215" spans="1:10" ht="15.75" customHeight="1">
      <c r="A215" s="37"/>
      <c r="B215" s="52"/>
      <c r="C215" s="38"/>
      <c r="D215" s="35"/>
      <c r="E215" s="92"/>
      <c r="F215" s="40"/>
      <c r="G215" s="37"/>
      <c r="H215" s="35"/>
      <c r="I215" s="35"/>
      <c r="J215" s="48"/>
    </row>
    <row r="216" spans="1:10" ht="15.75" customHeight="1">
      <c r="A216" s="37"/>
      <c r="B216" s="52"/>
      <c r="C216" s="38"/>
      <c r="D216" s="35"/>
      <c r="E216" s="92"/>
      <c r="F216" s="40"/>
      <c r="G216" s="37"/>
      <c r="H216" s="35"/>
      <c r="I216" s="35"/>
      <c r="J216" s="48"/>
    </row>
    <row r="217" spans="1:10" ht="15.75" customHeight="1">
      <c r="A217" s="37"/>
      <c r="B217" s="52"/>
      <c r="C217" s="38"/>
      <c r="D217" s="35"/>
      <c r="E217" s="92"/>
      <c r="F217" s="40"/>
      <c r="G217" s="37"/>
      <c r="H217" s="35"/>
      <c r="I217" s="35"/>
      <c r="J217" s="48"/>
    </row>
    <row r="218" spans="1:10" ht="15.75" customHeight="1">
      <c r="A218" s="37"/>
      <c r="B218" s="52"/>
      <c r="C218" s="38"/>
      <c r="D218" s="35"/>
      <c r="E218" s="92"/>
      <c r="F218" s="40"/>
      <c r="G218" s="37"/>
      <c r="H218" s="35"/>
      <c r="I218" s="35"/>
      <c r="J218" s="48"/>
    </row>
    <row r="219" spans="1:10" ht="15.75" customHeight="1">
      <c r="A219" s="37"/>
      <c r="B219" s="52"/>
      <c r="C219" s="38"/>
      <c r="D219" s="35"/>
      <c r="E219" s="92"/>
      <c r="F219" s="40"/>
      <c r="G219" s="37"/>
      <c r="H219" s="35"/>
      <c r="I219" s="35"/>
      <c r="J219" s="48"/>
    </row>
    <row r="220" spans="1:10" ht="15.75" customHeight="1">
      <c r="A220" s="37"/>
      <c r="B220" s="52"/>
      <c r="C220" s="38"/>
      <c r="D220" s="35"/>
      <c r="E220" s="92"/>
      <c r="F220" s="40"/>
      <c r="G220" s="37"/>
      <c r="H220" s="35"/>
      <c r="I220" s="35"/>
      <c r="J220" s="48"/>
    </row>
    <row r="221" spans="1:10" ht="15.75" customHeight="1">
      <c r="A221" s="37"/>
      <c r="B221" s="52"/>
      <c r="C221" s="38"/>
      <c r="D221" s="35"/>
      <c r="E221" s="92"/>
      <c r="F221" s="40"/>
      <c r="G221" s="37"/>
      <c r="H221" s="35"/>
      <c r="I221" s="35"/>
      <c r="J221" s="48"/>
    </row>
    <row r="222" spans="1:10" ht="15.75" customHeight="1">
      <c r="A222" s="37"/>
      <c r="B222" s="52"/>
      <c r="C222" s="38"/>
      <c r="D222" s="35"/>
      <c r="E222" s="92"/>
      <c r="F222" s="40"/>
      <c r="G222" s="37"/>
      <c r="H222" s="35"/>
      <c r="I222" s="35"/>
      <c r="J222" s="48"/>
    </row>
    <row r="223" spans="1:10" ht="15.75" customHeight="1">
      <c r="A223" s="37"/>
      <c r="B223" s="52"/>
      <c r="C223" s="38"/>
      <c r="D223" s="35"/>
      <c r="E223" s="92"/>
      <c r="F223" s="40"/>
      <c r="G223" s="37"/>
      <c r="H223" s="35"/>
      <c r="I223" s="35"/>
      <c r="J223" s="48"/>
    </row>
    <row r="224" spans="1:10" ht="15.75" customHeight="1">
      <c r="A224" s="37"/>
      <c r="B224" s="52"/>
      <c r="C224" s="38"/>
      <c r="D224" s="35"/>
      <c r="E224" s="92"/>
      <c r="F224" s="40"/>
      <c r="G224" s="37"/>
      <c r="H224" s="35"/>
      <c r="I224" s="35"/>
      <c r="J224" s="48"/>
    </row>
    <row r="225" spans="1:10" ht="15.75" customHeight="1">
      <c r="A225" s="37"/>
      <c r="B225" s="52"/>
      <c r="C225" s="38"/>
      <c r="D225" s="35"/>
      <c r="E225" s="92"/>
      <c r="F225" s="40"/>
      <c r="G225" s="37"/>
      <c r="H225" s="35"/>
      <c r="I225" s="35"/>
      <c r="J225" s="48"/>
    </row>
    <row r="226" spans="1:10" ht="15.75" customHeight="1">
      <c r="A226" s="37"/>
      <c r="B226" s="52"/>
      <c r="C226" s="38"/>
      <c r="D226" s="35"/>
      <c r="E226" s="92"/>
      <c r="F226" s="40"/>
      <c r="G226" s="37"/>
      <c r="H226" s="35"/>
      <c r="I226" s="35"/>
      <c r="J226" s="48"/>
    </row>
    <row r="227" spans="1:10" ht="15.75" customHeight="1">
      <c r="A227" s="37"/>
      <c r="B227" s="52"/>
      <c r="C227" s="38"/>
      <c r="D227" s="35"/>
      <c r="E227" s="92"/>
      <c r="F227" s="40"/>
      <c r="G227" s="37"/>
      <c r="H227" s="35"/>
      <c r="I227" s="35"/>
      <c r="J227" s="48"/>
    </row>
    <row r="228" spans="1:10" ht="15.75" customHeight="1">
      <c r="A228" s="37"/>
      <c r="B228" s="52"/>
      <c r="C228" s="38"/>
      <c r="D228" s="35"/>
      <c r="E228" s="92"/>
      <c r="F228" s="40"/>
      <c r="G228" s="37"/>
      <c r="H228" s="35"/>
      <c r="I228" s="35"/>
      <c r="J228" s="48"/>
    </row>
    <row r="229" spans="1:10" ht="15.75" customHeight="1">
      <c r="A229" s="37"/>
      <c r="B229" s="52"/>
      <c r="C229" s="38"/>
      <c r="D229" s="35"/>
      <c r="E229" s="92"/>
      <c r="F229" s="40"/>
      <c r="G229" s="37"/>
      <c r="H229" s="35"/>
      <c r="I229" s="35"/>
      <c r="J229" s="48"/>
    </row>
    <row r="230" spans="1:10" ht="15.75" customHeight="1">
      <c r="A230" s="37"/>
      <c r="B230" s="52"/>
      <c r="C230" s="38"/>
      <c r="D230" s="35"/>
      <c r="E230" s="92"/>
      <c r="F230" s="40"/>
      <c r="G230" s="37"/>
      <c r="H230" s="35"/>
      <c r="I230" s="35"/>
      <c r="J230" s="48"/>
    </row>
    <row r="231" spans="1:10" ht="15.75" customHeight="1">
      <c r="A231" s="37"/>
      <c r="B231" s="52"/>
      <c r="C231" s="38"/>
      <c r="D231" s="35"/>
      <c r="E231" s="92"/>
      <c r="F231" s="40"/>
      <c r="G231" s="37"/>
      <c r="H231" s="35"/>
      <c r="I231" s="35"/>
      <c r="J231" s="48"/>
    </row>
    <row r="232" spans="1:10" ht="15.75" customHeight="1">
      <c r="A232" s="37"/>
      <c r="B232" s="52"/>
      <c r="C232" s="38"/>
      <c r="D232" s="35"/>
      <c r="E232" s="92"/>
      <c r="F232" s="40"/>
      <c r="G232" s="37"/>
      <c r="H232" s="35"/>
      <c r="I232" s="35"/>
      <c r="J232" s="48"/>
    </row>
    <row r="233" spans="1:10" ht="15.75" customHeight="1">
      <c r="A233" s="37"/>
      <c r="B233" s="52"/>
      <c r="C233" s="38"/>
      <c r="D233" s="35"/>
      <c r="E233" s="92"/>
      <c r="F233" s="40"/>
      <c r="G233" s="37"/>
      <c r="H233" s="35"/>
      <c r="I233" s="35"/>
      <c r="J233" s="48"/>
    </row>
    <row r="234" spans="1:10" ht="15.75" customHeight="1">
      <c r="A234" s="37"/>
      <c r="B234" s="52"/>
      <c r="C234" s="38"/>
      <c r="D234" s="35"/>
      <c r="E234" s="92"/>
      <c r="F234" s="40"/>
      <c r="G234" s="37"/>
      <c r="H234" s="35"/>
      <c r="I234" s="35"/>
      <c r="J234" s="48"/>
    </row>
    <row r="235" spans="1:10" ht="15.75" customHeight="1">
      <c r="A235" s="37"/>
      <c r="B235" s="52"/>
      <c r="C235" s="38"/>
      <c r="D235" s="35"/>
      <c r="E235" s="92"/>
      <c r="F235" s="40"/>
      <c r="G235" s="37"/>
      <c r="H235" s="35"/>
      <c r="I235" s="35"/>
      <c r="J235" s="48"/>
    </row>
    <row r="236" spans="1:10" ht="15.75" customHeight="1">
      <c r="A236" s="37"/>
      <c r="B236" s="52"/>
      <c r="C236" s="38"/>
      <c r="D236" s="35"/>
      <c r="E236" s="92"/>
      <c r="F236" s="40"/>
      <c r="G236" s="37"/>
      <c r="H236" s="35"/>
      <c r="I236" s="35"/>
      <c r="J236" s="48"/>
    </row>
    <row r="237" spans="1:10" ht="15.75" customHeight="1">
      <c r="A237" s="37"/>
      <c r="B237" s="52"/>
      <c r="C237" s="38"/>
      <c r="D237" s="35"/>
      <c r="E237" s="92"/>
      <c r="F237" s="40"/>
      <c r="G237" s="37"/>
      <c r="H237" s="35"/>
      <c r="I237" s="35"/>
      <c r="J237" s="48"/>
    </row>
    <row r="238" spans="1:10" ht="15.75" customHeight="1">
      <c r="A238" s="37"/>
      <c r="B238" s="52"/>
      <c r="C238" s="38"/>
      <c r="D238" s="35"/>
      <c r="E238" s="92"/>
      <c r="F238" s="40"/>
      <c r="G238" s="37"/>
      <c r="H238" s="35"/>
      <c r="I238" s="35"/>
      <c r="J238" s="48"/>
    </row>
    <row r="239" spans="1:10" ht="15.75" customHeight="1">
      <c r="A239" s="37"/>
      <c r="B239" s="52"/>
      <c r="C239" s="38"/>
      <c r="D239" s="35"/>
      <c r="E239" s="92"/>
      <c r="F239" s="40"/>
      <c r="G239" s="37"/>
      <c r="H239" s="35"/>
      <c r="I239" s="35"/>
      <c r="J239" s="48"/>
    </row>
    <row r="240" spans="1:10" ht="15.75" customHeight="1">
      <c r="A240" s="37"/>
      <c r="B240" s="52"/>
      <c r="C240" s="38"/>
      <c r="D240" s="35"/>
      <c r="E240" s="92"/>
      <c r="F240" s="40"/>
      <c r="G240" s="37"/>
      <c r="H240" s="35"/>
      <c r="I240" s="35"/>
      <c r="J240" s="48"/>
    </row>
    <row r="241" spans="1:10" ht="15.75" customHeight="1">
      <c r="A241" s="37"/>
      <c r="B241" s="52"/>
      <c r="C241" s="38"/>
      <c r="D241" s="35"/>
      <c r="E241" s="92"/>
      <c r="F241" s="40"/>
      <c r="G241" s="37"/>
      <c r="H241" s="35"/>
      <c r="I241" s="35"/>
      <c r="J241" s="48"/>
    </row>
    <row r="242" spans="1:10" ht="15.75" customHeight="1">
      <c r="A242" s="37"/>
      <c r="B242" s="52"/>
      <c r="C242" s="38"/>
      <c r="D242" s="35"/>
      <c r="E242" s="92"/>
      <c r="F242" s="40"/>
      <c r="G242" s="37"/>
      <c r="H242" s="35"/>
      <c r="I242" s="35"/>
      <c r="J242" s="48"/>
    </row>
    <row r="243" spans="1:10" ht="15.75" customHeight="1">
      <c r="A243" s="37"/>
      <c r="B243" s="52"/>
      <c r="C243" s="38"/>
      <c r="D243" s="35"/>
      <c r="E243" s="92"/>
      <c r="F243" s="40"/>
      <c r="G243" s="37"/>
      <c r="H243" s="35"/>
      <c r="I243" s="35"/>
      <c r="J243" s="48"/>
    </row>
    <row r="244" spans="1:10" ht="15.75" customHeight="1">
      <c r="A244" s="37"/>
      <c r="B244" s="52"/>
      <c r="C244" s="38"/>
      <c r="D244" s="35"/>
      <c r="E244" s="92"/>
      <c r="F244" s="40"/>
      <c r="G244" s="37"/>
      <c r="H244" s="35"/>
      <c r="I244" s="35"/>
      <c r="J244" s="48"/>
    </row>
    <row r="245" spans="1:10" ht="15.75" customHeight="1">
      <c r="A245" s="37"/>
      <c r="B245" s="52"/>
      <c r="C245" s="38"/>
      <c r="D245" s="35"/>
      <c r="E245" s="92"/>
      <c r="F245" s="40"/>
      <c r="G245" s="37"/>
      <c r="H245" s="35"/>
      <c r="I245" s="35"/>
      <c r="J245" s="48"/>
    </row>
    <row r="246" spans="1:10" ht="15.75" customHeight="1">
      <c r="A246" s="37"/>
      <c r="B246" s="52"/>
      <c r="C246" s="38"/>
      <c r="D246" s="35"/>
      <c r="E246" s="92"/>
      <c r="F246" s="40"/>
      <c r="G246" s="37"/>
      <c r="H246" s="35"/>
      <c r="I246" s="35"/>
      <c r="J246" s="48"/>
    </row>
    <row r="247" spans="1:10" ht="15.75" customHeight="1">
      <c r="A247" s="37"/>
      <c r="B247" s="52"/>
      <c r="C247" s="38"/>
      <c r="D247" s="35"/>
      <c r="E247" s="92"/>
      <c r="F247" s="40"/>
      <c r="G247" s="37"/>
      <c r="H247" s="35"/>
      <c r="I247" s="35"/>
      <c r="J247" s="48"/>
    </row>
    <row r="248" spans="1:10" ht="15.75" customHeight="1">
      <c r="A248" s="37"/>
      <c r="B248" s="52"/>
      <c r="C248" s="38"/>
      <c r="D248" s="35"/>
      <c r="E248" s="92"/>
      <c r="F248" s="40"/>
      <c r="G248" s="37"/>
      <c r="H248" s="35"/>
      <c r="I248" s="35"/>
      <c r="J248" s="48"/>
    </row>
    <row r="249" spans="1:10" ht="15.75" customHeight="1">
      <c r="A249" s="37"/>
      <c r="B249" s="52"/>
      <c r="C249" s="38"/>
      <c r="D249" s="35"/>
      <c r="E249" s="92"/>
      <c r="F249" s="40"/>
      <c r="G249" s="37"/>
      <c r="H249" s="35"/>
      <c r="I249" s="35"/>
      <c r="J249" s="48"/>
    </row>
    <row r="250" spans="1:10" ht="15.75" customHeight="1">
      <c r="A250" s="37"/>
      <c r="B250" s="52"/>
      <c r="C250" s="38"/>
      <c r="D250" s="35"/>
      <c r="E250" s="92"/>
      <c r="F250" s="40"/>
      <c r="G250" s="37"/>
      <c r="H250" s="35"/>
      <c r="I250" s="35"/>
      <c r="J250" s="48"/>
    </row>
    <row r="251" spans="1:10" ht="15.75" customHeight="1">
      <c r="A251" s="37"/>
      <c r="B251" s="52"/>
      <c r="C251" s="38"/>
      <c r="D251" s="35"/>
      <c r="E251" s="92"/>
      <c r="F251" s="40"/>
      <c r="G251" s="37"/>
      <c r="H251" s="35"/>
      <c r="I251" s="35"/>
      <c r="J251" s="48"/>
    </row>
    <row r="252" spans="1:10" ht="15.75" customHeight="1">
      <c r="A252" s="37"/>
      <c r="B252" s="52"/>
      <c r="C252" s="38"/>
      <c r="D252" s="35"/>
      <c r="E252" s="92"/>
      <c r="F252" s="40"/>
      <c r="G252" s="37"/>
      <c r="H252" s="35"/>
      <c r="I252" s="35"/>
      <c r="J252" s="48"/>
    </row>
    <row r="253" spans="1:10" ht="15.75" customHeight="1">
      <c r="A253" s="37"/>
      <c r="B253" s="52"/>
      <c r="C253" s="38"/>
      <c r="D253" s="35"/>
      <c r="E253" s="92"/>
      <c r="F253" s="40"/>
      <c r="G253" s="37"/>
      <c r="H253" s="35"/>
      <c r="I253" s="35"/>
      <c r="J253" s="48"/>
    </row>
    <row r="254" spans="1:10" ht="15.75" customHeight="1">
      <c r="A254" s="37"/>
      <c r="B254" s="52"/>
      <c r="C254" s="38"/>
      <c r="D254" s="35"/>
      <c r="E254" s="92"/>
      <c r="F254" s="40"/>
      <c r="G254" s="37"/>
      <c r="H254" s="35"/>
      <c r="I254" s="35"/>
      <c r="J254" s="48"/>
    </row>
    <row r="255" spans="1:10" ht="15.75" customHeight="1">
      <c r="A255" s="37"/>
      <c r="B255" s="52"/>
      <c r="C255" s="38"/>
      <c r="D255" s="35"/>
      <c r="E255" s="92"/>
      <c r="F255" s="40"/>
      <c r="G255" s="37"/>
      <c r="H255" s="35"/>
      <c r="I255" s="35"/>
      <c r="J255" s="48"/>
    </row>
    <row r="256" spans="1:10" ht="15.75" customHeight="1">
      <c r="A256" s="37"/>
      <c r="B256" s="52"/>
      <c r="C256" s="38"/>
      <c r="D256" s="35"/>
      <c r="E256" s="92"/>
      <c r="F256" s="40"/>
      <c r="G256" s="37"/>
      <c r="H256" s="35"/>
      <c r="I256" s="35"/>
      <c r="J256" s="48"/>
    </row>
    <row r="257" spans="1:10" ht="15.75" customHeight="1">
      <c r="A257" s="37"/>
      <c r="B257" s="52"/>
      <c r="C257" s="38"/>
      <c r="D257" s="35"/>
      <c r="E257" s="92"/>
      <c r="F257" s="40"/>
      <c r="G257" s="37"/>
      <c r="H257" s="35"/>
      <c r="I257" s="35"/>
      <c r="J257" s="48"/>
    </row>
    <row r="258" spans="1:10" ht="15.75" customHeight="1">
      <c r="A258" s="37"/>
      <c r="B258" s="52"/>
      <c r="C258" s="38"/>
      <c r="D258" s="35"/>
      <c r="E258" s="92"/>
      <c r="F258" s="40"/>
      <c r="G258" s="37"/>
      <c r="H258" s="35"/>
      <c r="I258" s="35"/>
      <c r="J258" s="48"/>
    </row>
    <row r="259" spans="1:10" ht="15.75" customHeight="1">
      <c r="A259" s="37"/>
      <c r="B259" s="52"/>
      <c r="C259" s="38"/>
      <c r="D259" s="35"/>
      <c r="E259" s="92"/>
      <c r="F259" s="40"/>
      <c r="G259" s="37"/>
      <c r="H259" s="35"/>
      <c r="I259" s="35"/>
      <c r="J259" s="48"/>
    </row>
    <row r="260" spans="1:10" ht="15.75" customHeight="1">
      <c r="A260" s="37"/>
      <c r="B260" s="52"/>
      <c r="C260" s="38"/>
      <c r="D260" s="35"/>
      <c r="E260" s="92"/>
      <c r="F260" s="40"/>
      <c r="G260" s="37"/>
      <c r="H260" s="35"/>
      <c r="I260" s="35"/>
      <c r="J260" s="48"/>
    </row>
    <row r="261" spans="1:10" ht="15.75" customHeight="1">
      <c r="A261" s="37"/>
      <c r="B261" s="52"/>
      <c r="C261" s="38"/>
      <c r="D261" s="35"/>
      <c r="E261" s="92"/>
      <c r="F261" s="40"/>
      <c r="G261" s="37"/>
      <c r="H261" s="35"/>
      <c r="I261" s="35"/>
      <c r="J261" s="48"/>
    </row>
    <row r="262" spans="1:10" ht="15.75" customHeight="1">
      <c r="A262" s="37"/>
      <c r="B262" s="52"/>
      <c r="C262" s="38"/>
      <c r="D262" s="35"/>
      <c r="E262" s="92"/>
      <c r="F262" s="40"/>
      <c r="G262" s="37"/>
      <c r="H262" s="35"/>
      <c r="I262" s="35"/>
      <c r="J262" s="48"/>
    </row>
    <row r="263" spans="1:10" ht="15.75" customHeight="1">
      <c r="A263" s="37"/>
      <c r="B263" s="52"/>
      <c r="C263" s="38"/>
      <c r="D263" s="35"/>
      <c r="E263" s="92"/>
      <c r="F263" s="40"/>
      <c r="G263" s="37"/>
      <c r="H263" s="35"/>
      <c r="I263" s="35"/>
      <c r="J263" s="48"/>
    </row>
    <row r="264" spans="1:10" ht="15.75" customHeight="1">
      <c r="A264" s="37"/>
      <c r="B264" s="52"/>
      <c r="C264" s="38"/>
      <c r="D264" s="35"/>
      <c r="E264" s="92"/>
      <c r="F264" s="40"/>
      <c r="G264" s="37"/>
      <c r="H264" s="35"/>
      <c r="I264" s="35"/>
      <c r="J264" s="48"/>
    </row>
    <row r="265" spans="1:10" ht="15.75" customHeight="1">
      <c r="A265" s="37"/>
      <c r="B265" s="52"/>
      <c r="C265" s="38"/>
      <c r="D265" s="35"/>
      <c r="E265" s="92"/>
      <c r="F265" s="40"/>
      <c r="G265" s="37"/>
      <c r="H265" s="35"/>
      <c r="I265" s="35"/>
      <c r="J265" s="48"/>
    </row>
    <row r="266" spans="1:10" ht="15.75" customHeight="1">
      <c r="A266" s="37"/>
      <c r="B266" s="52"/>
      <c r="C266" s="38"/>
      <c r="D266" s="35"/>
      <c r="E266" s="92"/>
      <c r="F266" s="40"/>
      <c r="G266" s="37"/>
      <c r="H266" s="35"/>
      <c r="I266" s="35"/>
      <c r="J266" s="48"/>
    </row>
    <row r="267" spans="1:10" ht="15.75" customHeight="1">
      <c r="A267" s="37"/>
      <c r="B267" s="52"/>
      <c r="C267" s="38"/>
      <c r="D267" s="35"/>
      <c r="E267" s="92"/>
      <c r="F267" s="40"/>
      <c r="G267" s="37"/>
      <c r="H267" s="35"/>
      <c r="I267" s="35"/>
      <c r="J267" s="48"/>
    </row>
    <row r="268" spans="1:10" ht="15.75" customHeight="1">
      <c r="A268" s="37"/>
      <c r="B268" s="52"/>
      <c r="C268" s="38"/>
      <c r="D268" s="35"/>
      <c r="E268" s="92"/>
      <c r="F268" s="40"/>
      <c r="G268" s="37"/>
      <c r="H268" s="35"/>
      <c r="I268" s="35"/>
      <c r="J268" s="48"/>
    </row>
    <row r="269" spans="1:10" ht="15.75" customHeight="1">
      <c r="A269" s="37"/>
      <c r="B269" s="52"/>
      <c r="C269" s="38"/>
      <c r="D269" s="35"/>
      <c r="E269" s="92"/>
      <c r="F269" s="40"/>
      <c r="G269" s="37"/>
      <c r="H269" s="35"/>
      <c r="I269" s="35"/>
      <c r="J269" s="48"/>
    </row>
    <row r="270" spans="1:10" ht="15.75" customHeight="1">
      <c r="A270" s="37"/>
      <c r="B270" s="52"/>
      <c r="C270" s="38"/>
      <c r="D270" s="35"/>
      <c r="E270" s="92"/>
      <c r="F270" s="40"/>
      <c r="G270" s="37"/>
      <c r="H270" s="35"/>
      <c r="I270" s="35"/>
      <c r="J270" s="48"/>
    </row>
    <row r="271" spans="1:10" ht="15.75" customHeight="1">
      <c r="A271" s="37"/>
      <c r="B271" s="52"/>
      <c r="C271" s="38"/>
      <c r="D271" s="35"/>
      <c r="E271" s="92"/>
      <c r="F271" s="40"/>
      <c r="G271" s="37"/>
      <c r="H271" s="35"/>
      <c r="I271" s="35"/>
      <c r="J271" s="48"/>
    </row>
    <row r="272" spans="1:10" ht="15.75" customHeight="1">
      <c r="A272" s="37"/>
      <c r="B272" s="52"/>
      <c r="C272" s="38"/>
      <c r="D272" s="35"/>
      <c r="E272" s="92"/>
      <c r="F272" s="40"/>
      <c r="G272" s="37"/>
      <c r="H272" s="35"/>
      <c r="I272" s="35"/>
      <c r="J272" s="48"/>
    </row>
    <row r="273" spans="1:10" ht="15.75" customHeight="1">
      <c r="A273" s="37"/>
      <c r="B273" s="52"/>
      <c r="C273" s="38"/>
      <c r="D273" s="35"/>
      <c r="E273" s="92"/>
      <c r="F273" s="40"/>
      <c r="G273" s="37"/>
      <c r="H273" s="35"/>
      <c r="I273" s="35"/>
      <c r="J273" s="48"/>
    </row>
    <row r="274" spans="1:10" ht="15.75" customHeight="1">
      <c r="A274" s="37"/>
      <c r="B274" s="52"/>
      <c r="C274" s="38"/>
      <c r="D274" s="35"/>
      <c r="E274" s="92"/>
      <c r="F274" s="40"/>
      <c r="G274" s="37"/>
      <c r="H274" s="35"/>
      <c r="I274" s="35"/>
      <c r="J274" s="48"/>
    </row>
    <row r="275" spans="1:10" ht="15.75" customHeight="1">
      <c r="A275" s="37"/>
      <c r="B275" s="52"/>
      <c r="C275" s="38"/>
      <c r="D275" s="35"/>
      <c r="E275" s="92"/>
      <c r="F275" s="40"/>
      <c r="G275" s="37"/>
      <c r="H275" s="35"/>
      <c r="I275" s="35"/>
      <c r="J275" s="48"/>
    </row>
    <row r="276" spans="1:10" ht="15.75" customHeight="1">
      <c r="A276" s="37"/>
      <c r="B276" s="52"/>
      <c r="C276" s="38"/>
      <c r="D276" s="35"/>
      <c r="E276" s="92"/>
      <c r="F276" s="40"/>
      <c r="G276" s="37"/>
      <c r="H276" s="35"/>
      <c r="I276" s="35"/>
      <c r="J276" s="48"/>
    </row>
    <row r="277" spans="1:10" ht="15.75" customHeight="1">
      <c r="A277" s="37"/>
      <c r="B277" s="52"/>
      <c r="C277" s="38"/>
      <c r="D277" s="35"/>
      <c r="E277" s="92"/>
      <c r="F277" s="40"/>
      <c r="G277" s="37"/>
      <c r="H277" s="35"/>
      <c r="I277" s="35"/>
      <c r="J277" s="48"/>
    </row>
    <row r="278" spans="1:10" ht="15.75" customHeight="1">
      <c r="A278" s="37"/>
      <c r="B278" s="52"/>
      <c r="C278" s="38"/>
      <c r="D278" s="35"/>
      <c r="E278" s="92"/>
      <c r="F278" s="40"/>
      <c r="G278" s="37"/>
      <c r="H278" s="35"/>
      <c r="I278" s="35"/>
      <c r="J278" s="48"/>
    </row>
    <row r="279" spans="1:10" ht="15.75" customHeight="1">
      <c r="A279" s="37"/>
      <c r="B279" s="52"/>
      <c r="C279" s="38"/>
      <c r="D279" s="35"/>
      <c r="E279" s="92"/>
      <c r="F279" s="40"/>
      <c r="G279" s="37"/>
      <c r="H279" s="35"/>
      <c r="I279" s="35"/>
      <c r="J279" s="48"/>
    </row>
    <row r="280" spans="1:10" ht="15.75" customHeight="1">
      <c r="A280" s="37"/>
      <c r="B280" s="52"/>
      <c r="C280" s="38"/>
      <c r="D280" s="35"/>
      <c r="E280" s="92"/>
      <c r="F280" s="40"/>
      <c r="G280" s="37"/>
      <c r="H280" s="35"/>
      <c r="I280" s="35"/>
      <c r="J280" s="48"/>
    </row>
    <row r="281" spans="1:10" ht="15.75" customHeight="1">
      <c r="A281" s="37"/>
      <c r="B281" s="52"/>
      <c r="C281" s="38"/>
      <c r="D281" s="35"/>
      <c r="E281" s="92"/>
      <c r="F281" s="40"/>
      <c r="G281" s="37"/>
      <c r="H281" s="35"/>
      <c r="I281" s="35"/>
      <c r="J281" s="48"/>
    </row>
    <row r="282" spans="1:10" ht="15.75" customHeight="1">
      <c r="A282" s="37"/>
      <c r="B282" s="52"/>
      <c r="C282" s="38"/>
      <c r="D282" s="35"/>
      <c r="E282" s="92"/>
      <c r="F282" s="40"/>
      <c r="G282" s="37"/>
      <c r="H282" s="35"/>
      <c r="I282" s="35"/>
      <c r="J282" s="48"/>
    </row>
    <row r="283" spans="1:10" ht="15.75" customHeight="1">
      <c r="A283" s="37"/>
      <c r="B283" s="52"/>
      <c r="C283" s="38"/>
      <c r="D283" s="35"/>
      <c r="E283" s="92"/>
      <c r="F283" s="40"/>
      <c r="G283" s="37"/>
      <c r="H283" s="35"/>
      <c r="I283" s="35"/>
      <c r="J283" s="48"/>
    </row>
    <row r="284" spans="1:10" ht="15.75" customHeight="1">
      <c r="A284" s="37"/>
      <c r="B284" s="52"/>
      <c r="C284" s="38"/>
      <c r="D284" s="35"/>
      <c r="E284" s="92"/>
      <c r="F284" s="40"/>
      <c r="G284" s="37"/>
      <c r="H284" s="35"/>
      <c r="I284" s="35"/>
      <c r="J284" s="48"/>
    </row>
    <row r="285" spans="1:10" ht="15.75" customHeight="1">
      <c r="A285" s="37"/>
      <c r="B285" s="52"/>
      <c r="C285" s="38"/>
      <c r="D285" s="35"/>
      <c r="E285" s="92"/>
      <c r="F285" s="40"/>
      <c r="G285" s="37"/>
      <c r="H285" s="35"/>
      <c r="I285" s="35"/>
      <c r="J285" s="48"/>
    </row>
    <row r="286" spans="1:10" ht="15.75" customHeight="1">
      <c r="A286" s="37"/>
      <c r="B286" s="52"/>
      <c r="C286" s="38"/>
      <c r="D286" s="35"/>
      <c r="E286" s="92"/>
      <c r="F286" s="40"/>
      <c r="G286" s="37"/>
      <c r="H286" s="35"/>
      <c r="I286" s="35"/>
      <c r="J286" s="48"/>
    </row>
    <row r="287" spans="1:10" ht="15.75" customHeight="1">
      <c r="A287" s="37"/>
      <c r="B287" s="52"/>
      <c r="C287" s="38"/>
      <c r="D287" s="35"/>
      <c r="E287" s="92"/>
      <c r="F287" s="40"/>
      <c r="G287" s="37"/>
      <c r="H287" s="35"/>
      <c r="I287" s="35"/>
      <c r="J287" s="48"/>
    </row>
    <row r="288" spans="1:10" ht="15.75" customHeight="1">
      <c r="A288" s="37"/>
      <c r="B288" s="52"/>
      <c r="C288" s="38"/>
      <c r="D288" s="35"/>
      <c r="E288" s="92"/>
      <c r="F288" s="40"/>
      <c r="G288" s="37"/>
      <c r="H288" s="35"/>
      <c r="I288" s="35"/>
      <c r="J288" s="48"/>
    </row>
    <row r="289" spans="1:10" ht="15.75" customHeight="1">
      <c r="A289" s="37"/>
      <c r="B289" s="52"/>
      <c r="C289" s="38"/>
      <c r="D289" s="35"/>
      <c r="E289" s="92"/>
      <c r="F289" s="40"/>
      <c r="G289" s="37"/>
      <c r="H289" s="35"/>
      <c r="I289" s="35"/>
      <c r="J289" s="48"/>
    </row>
    <row r="290" spans="1:10" ht="15.75" customHeight="1">
      <c r="A290" s="37"/>
      <c r="B290" s="52"/>
      <c r="C290" s="38"/>
      <c r="D290" s="35"/>
      <c r="E290" s="92"/>
      <c r="F290" s="40"/>
      <c r="G290" s="37"/>
      <c r="H290" s="35"/>
      <c r="I290" s="35"/>
      <c r="J290" s="48"/>
    </row>
    <row r="291" spans="1:10" ht="15.75" customHeight="1">
      <c r="A291" s="37"/>
      <c r="B291" s="52"/>
      <c r="C291" s="38"/>
      <c r="D291" s="35"/>
      <c r="E291" s="92"/>
      <c r="F291" s="40"/>
      <c r="G291" s="37"/>
      <c r="H291" s="35"/>
      <c r="I291" s="35"/>
      <c r="J291" s="48"/>
    </row>
    <row r="292" spans="1:10" ht="15.75" customHeight="1">
      <c r="A292" s="37"/>
      <c r="B292" s="52"/>
      <c r="C292" s="38"/>
      <c r="D292" s="35"/>
      <c r="E292" s="92"/>
      <c r="F292" s="40"/>
      <c r="G292" s="37"/>
      <c r="H292" s="35"/>
      <c r="I292" s="35"/>
      <c r="J292" s="48"/>
    </row>
    <row r="293" spans="1:10" ht="15.75" customHeight="1">
      <c r="A293" s="37"/>
      <c r="B293" s="52"/>
      <c r="C293" s="38"/>
      <c r="D293" s="35"/>
      <c r="E293" s="92"/>
      <c r="F293" s="40"/>
      <c r="G293" s="37"/>
      <c r="H293" s="35"/>
      <c r="I293" s="35"/>
      <c r="J293" s="48"/>
    </row>
    <row r="294" spans="1:10" ht="15.75" customHeight="1">
      <c r="A294" s="37"/>
      <c r="B294" s="52"/>
      <c r="C294" s="38"/>
      <c r="D294" s="35"/>
      <c r="E294" s="92"/>
      <c r="F294" s="40"/>
      <c r="G294" s="37"/>
      <c r="H294" s="35"/>
      <c r="I294" s="35"/>
      <c r="J294" s="48"/>
    </row>
    <row r="295" spans="1:10" ht="15.75" customHeight="1">
      <c r="A295" s="37"/>
      <c r="B295" s="52"/>
      <c r="C295" s="38"/>
      <c r="D295" s="35"/>
      <c r="E295" s="92"/>
      <c r="F295" s="40"/>
      <c r="G295" s="37"/>
      <c r="H295" s="35"/>
      <c r="I295" s="35"/>
      <c r="J295" s="48"/>
    </row>
    <row r="296" spans="1:10" ht="15.75" customHeight="1">
      <c r="A296" s="37"/>
      <c r="B296" s="52"/>
      <c r="C296" s="38"/>
      <c r="D296" s="35"/>
      <c r="E296" s="92"/>
      <c r="F296" s="40"/>
      <c r="G296" s="37"/>
      <c r="H296" s="35"/>
      <c r="I296" s="35"/>
      <c r="J296" s="48"/>
    </row>
    <row r="297" spans="1:10" ht="15.75" customHeight="1">
      <c r="A297" s="37"/>
      <c r="B297" s="52"/>
      <c r="C297" s="38"/>
      <c r="D297" s="35"/>
      <c r="E297" s="92"/>
      <c r="F297" s="40"/>
      <c r="G297" s="37"/>
      <c r="H297" s="35"/>
      <c r="I297" s="35"/>
      <c r="J297" s="48"/>
    </row>
    <row r="298" spans="1:10" ht="15.75" customHeight="1">
      <c r="A298" s="37"/>
      <c r="B298" s="52"/>
      <c r="C298" s="38"/>
      <c r="D298" s="35"/>
      <c r="E298" s="92"/>
      <c r="F298" s="40"/>
      <c r="G298" s="37"/>
      <c r="H298" s="35"/>
      <c r="I298" s="35"/>
      <c r="J298" s="48"/>
    </row>
    <row r="299" spans="1:10" ht="15.75" customHeight="1">
      <c r="A299" s="37"/>
      <c r="B299" s="52"/>
      <c r="C299" s="38"/>
      <c r="D299" s="35"/>
      <c r="E299" s="92"/>
      <c r="F299" s="40"/>
      <c r="G299" s="37"/>
      <c r="H299" s="35"/>
      <c r="I299" s="35"/>
      <c r="J299" s="48"/>
    </row>
    <row r="300" spans="1:10" ht="15.75" customHeight="1">
      <c r="A300" s="37"/>
      <c r="B300" s="52"/>
      <c r="C300" s="38"/>
      <c r="D300" s="35"/>
      <c r="E300" s="92"/>
      <c r="F300" s="40"/>
      <c r="G300" s="37"/>
      <c r="H300" s="35"/>
      <c r="I300" s="35"/>
      <c r="J300" s="48"/>
    </row>
    <row r="301" spans="1:10" ht="15.75" customHeight="1">
      <c r="A301" s="37"/>
      <c r="B301" s="52"/>
      <c r="C301" s="38"/>
      <c r="D301" s="35"/>
      <c r="E301" s="92"/>
      <c r="F301" s="40"/>
      <c r="G301" s="37"/>
      <c r="H301" s="35"/>
      <c r="I301" s="35"/>
      <c r="J301" s="48"/>
    </row>
    <row r="302" spans="1:10" ht="15.75" customHeight="1">
      <c r="A302" s="37"/>
      <c r="B302" s="52"/>
      <c r="C302" s="38"/>
      <c r="D302" s="35"/>
      <c r="E302" s="92"/>
      <c r="F302" s="40"/>
      <c r="G302" s="37"/>
      <c r="H302" s="35"/>
      <c r="I302" s="35"/>
      <c r="J302" s="48"/>
    </row>
    <row r="303" spans="1:10" ht="15.75" customHeight="1">
      <c r="A303" s="37"/>
      <c r="B303" s="52"/>
      <c r="C303" s="38"/>
      <c r="D303" s="35"/>
      <c r="E303" s="92"/>
      <c r="F303" s="40"/>
      <c r="G303" s="37"/>
      <c r="H303" s="35"/>
      <c r="I303" s="35"/>
      <c r="J303" s="48"/>
    </row>
    <row r="304" spans="1:10" ht="15.75" customHeight="1">
      <c r="A304" s="37"/>
      <c r="B304" s="52"/>
      <c r="C304" s="38"/>
      <c r="D304" s="35"/>
      <c r="E304" s="92"/>
      <c r="F304" s="40"/>
      <c r="G304" s="37"/>
      <c r="H304" s="35"/>
      <c r="I304" s="35"/>
      <c r="J304" s="48"/>
    </row>
    <row r="305" spans="1:10" ht="15.75" customHeight="1">
      <c r="A305" s="37"/>
      <c r="B305" s="52"/>
      <c r="C305" s="38"/>
      <c r="D305" s="35"/>
      <c r="E305" s="92"/>
      <c r="F305" s="40"/>
      <c r="G305" s="37"/>
      <c r="H305" s="35"/>
      <c r="I305" s="35"/>
      <c r="J305" s="48"/>
    </row>
    <row r="306" spans="1:10" ht="15.75" customHeight="1">
      <c r="A306" s="37"/>
      <c r="B306" s="52"/>
      <c r="C306" s="38"/>
      <c r="D306" s="35"/>
      <c r="E306" s="92"/>
      <c r="F306" s="40"/>
      <c r="G306" s="37"/>
      <c r="H306" s="35"/>
      <c r="I306" s="35"/>
      <c r="J306" s="48"/>
    </row>
    <row r="307" spans="1:10" ht="15.75" customHeight="1">
      <c r="A307" s="37"/>
      <c r="B307" s="52"/>
      <c r="C307" s="38"/>
      <c r="D307" s="35"/>
      <c r="E307" s="92"/>
      <c r="F307" s="40"/>
      <c r="G307" s="37"/>
      <c r="H307" s="35"/>
      <c r="I307" s="35"/>
      <c r="J307" s="48"/>
    </row>
    <row r="308" spans="1:10" ht="15.75" customHeight="1">
      <c r="A308" s="37"/>
      <c r="B308" s="52"/>
      <c r="C308" s="38"/>
      <c r="D308" s="35"/>
      <c r="E308" s="92"/>
      <c r="F308" s="40"/>
      <c r="G308" s="37"/>
      <c r="H308" s="35"/>
      <c r="I308" s="35"/>
      <c r="J308" s="48"/>
    </row>
    <row r="309" spans="1:10" ht="15.75" customHeight="1">
      <c r="A309" s="37"/>
      <c r="B309" s="52"/>
      <c r="C309" s="38"/>
      <c r="D309" s="35"/>
      <c r="E309" s="92"/>
      <c r="F309" s="40"/>
      <c r="G309" s="37"/>
      <c r="H309" s="35"/>
      <c r="I309" s="35"/>
      <c r="J309" s="48"/>
    </row>
    <row r="310" spans="1:10" ht="15.75" customHeight="1">
      <c r="A310" s="37"/>
      <c r="B310" s="52"/>
      <c r="C310" s="38"/>
      <c r="D310" s="35"/>
      <c r="E310" s="92"/>
      <c r="F310" s="40"/>
      <c r="G310" s="37"/>
      <c r="H310" s="35"/>
      <c r="I310" s="35"/>
      <c r="J310" s="48"/>
    </row>
    <row r="311" spans="1:10" ht="15.75" customHeight="1">
      <c r="A311" s="37"/>
      <c r="B311" s="52"/>
      <c r="C311" s="38"/>
      <c r="D311" s="35"/>
      <c r="E311" s="92"/>
      <c r="F311" s="40"/>
      <c r="G311" s="37"/>
      <c r="H311" s="35"/>
      <c r="I311" s="35"/>
      <c r="J311" s="48"/>
    </row>
    <row r="312" spans="1:10" ht="15.75" customHeight="1">
      <c r="A312" s="37"/>
      <c r="B312" s="52"/>
      <c r="C312" s="38"/>
      <c r="D312" s="35"/>
      <c r="E312" s="92"/>
      <c r="F312" s="40"/>
      <c r="G312" s="37"/>
      <c r="H312" s="35"/>
      <c r="I312" s="35"/>
      <c r="J312" s="48"/>
    </row>
    <row r="313" spans="1:10" ht="15.75" customHeight="1">
      <c r="A313" s="37"/>
      <c r="B313" s="52"/>
      <c r="C313" s="38"/>
      <c r="D313" s="35"/>
      <c r="E313" s="92"/>
      <c r="F313" s="40"/>
      <c r="G313" s="37"/>
      <c r="H313" s="35"/>
      <c r="I313" s="35"/>
      <c r="J313" s="48"/>
    </row>
    <row r="314" spans="1:10" ht="15.75" customHeight="1">
      <c r="A314" s="37"/>
      <c r="B314" s="52"/>
      <c r="C314" s="38"/>
      <c r="D314" s="35"/>
      <c r="E314" s="92"/>
      <c r="F314" s="40"/>
      <c r="G314" s="37"/>
      <c r="H314" s="35"/>
      <c r="I314" s="35"/>
      <c r="J314" s="48"/>
    </row>
    <row r="315" spans="1:10" ht="15.75" customHeight="1">
      <c r="A315" s="37"/>
      <c r="B315" s="52"/>
      <c r="C315" s="38"/>
      <c r="D315" s="35"/>
      <c r="E315" s="92"/>
      <c r="F315" s="40"/>
      <c r="G315" s="37"/>
      <c r="H315" s="35"/>
      <c r="I315" s="35"/>
      <c r="J315" s="48"/>
    </row>
    <row r="316" spans="1:10" ht="15.75" customHeight="1">
      <c r="A316" s="37"/>
      <c r="B316" s="52"/>
      <c r="C316" s="38"/>
      <c r="D316" s="35"/>
      <c r="E316" s="92"/>
      <c r="F316" s="40"/>
      <c r="G316" s="37"/>
      <c r="H316" s="35"/>
      <c r="I316" s="35"/>
      <c r="J316" s="48"/>
    </row>
    <row r="317" spans="1:10" ht="15.75" customHeight="1">
      <c r="A317" s="37"/>
      <c r="B317" s="52"/>
      <c r="C317" s="38"/>
      <c r="D317" s="35"/>
      <c r="E317" s="92"/>
      <c r="F317" s="40"/>
      <c r="G317" s="37"/>
      <c r="H317" s="35"/>
      <c r="I317" s="35"/>
      <c r="J317" s="48"/>
    </row>
    <row r="318" spans="1:10" ht="15.75" customHeight="1">
      <c r="A318" s="37"/>
      <c r="B318" s="52"/>
      <c r="C318" s="38"/>
      <c r="D318" s="35"/>
      <c r="E318" s="92"/>
      <c r="F318" s="40"/>
      <c r="G318" s="37"/>
      <c r="H318" s="35"/>
      <c r="I318" s="35"/>
      <c r="J318" s="48"/>
    </row>
    <row r="319" spans="1:10" ht="15.75" customHeight="1">
      <c r="A319" s="37"/>
      <c r="B319" s="52"/>
      <c r="C319" s="38"/>
      <c r="D319" s="35"/>
      <c r="E319" s="92"/>
      <c r="F319" s="40"/>
      <c r="G319" s="37"/>
      <c r="H319" s="35"/>
      <c r="I319" s="35"/>
      <c r="J319" s="48"/>
    </row>
    <row r="320" spans="1:10" ht="15.75" customHeight="1">
      <c r="A320" s="37"/>
      <c r="B320" s="52"/>
      <c r="C320" s="38"/>
      <c r="D320" s="35"/>
      <c r="E320" s="92"/>
      <c r="F320" s="40"/>
      <c r="G320" s="37"/>
      <c r="H320" s="35"/>
      <c r="I320" s="35"/>
      <c r="J320" s="48"/>
    </row>
    <row r="321" spans="1:10" ht="15.75" customHeight="1">
      <c r="A321" s="37"/>
      <c r="B321" s="52"/>
      <c r="C321" s="38"/>
      <c r="D321" s="35"/>
      <c r="E321" s="92"/>
      <c r="F321" s="40"/>
      <c r="G321" s="37"/>
      <c r="H321" s="35"/>
      <c r="I321" s="35"/>
      <c r="J321" s="48"/>
    </row>
    <row r="322" spans="1:10" ht="15.75" customHeight="1">
      <c r="A322" s="37"/>
      <c r="B322" s="52"/>
      <c r="C322" s="38"/>
      <c r="D322" s="35"/>
      <c r="E322" s="92"/>
      <c r="F322" s="40"/>
      <c r="G322" s="37"/>
      <c r="H322" s="35"/>
      <c r="I322" s="35"/>
      <c r="J322" s="48"/>
    </row>
    <row r="323" spans="1:10" ht="15.75" customHeight="1">
      <c r="A323" s="37"/>
      <c r="B323" s="52"/>
      <c r="C323" s="38"/>
      <c r="D323" s="35"/>
      <c r="E323" s="92"/>
      <c r="F323" s="40"/>
      <c r="G323" s="37"/>
      <c r="H323" s="35"/>
      <c r="I323" s="35"/>
      <c r="J323" s="48"/>
    </row>
    <row r="324" spans="1:10" ht="15.75" customHeight="1">
      <c r="A324" s="37"/>
      <c r="B324" s="52"/>
      <c r="C324" s="38"/>
      <c r="D324" s="35"/>
      <c r="E324" s="92"/>
      <c r="F324" s="40"/>
      <c r="G324" s="37"/>
      <c r="H324" s="35"/>
      <c r="I324" s="35"/>
      <c r="J324" s="48"/>
    </row>
    <row r="325" spans="1:10" ht="15.75" customHeight="1">
      <c r="A325" s="37"/>
      <c r="B325" s="52"/>
      <c r="C325" s="38"/>
      <c r="D325" s="35"/>
      <c r="E325" s="92"/>
      <c r="F325" s="40"/>
      <c r="G325" s="37"/>
      <c r="H325" s="35"/>
      <c r="I325" s="35"/>
      <c r="J325" s="48"/>
    </row>
    <row r="326" spans="1:10" ht="15.75" customHeight="1">
      <c r="A326" s="37"/>
      <c r="B326" s="52"/>
      <c r="C326" s="38"/>
      <c r="D326" s="35"/>
      <c r="E326" s="92"/>
      <c r="F326" s="40"/>
      <c r="G326" s="37"/>
      <c r="H326" s="35"/>
      <c r="I326" s="35"/>
      <c r="J326" s="48"/>
    </row>
    <row r="327" spans="1:10" ht="15.75" customHeight="1">
      <c r="A327" s="37"/>
      <c r="B327" s="52"/>
      <c r="C327" s="38"/>
      <c r="D327" s="35"/>
      <c r="E327" s="92"/>
      <c r="F327" s="40"/>
      <c r="G327" s="37"/>
      <c r="H327" s="35"/>
      <c r="I327" s="35"/>
      <c r="J327" s="48"/>
    </row>
    <row r="328" spans="1:10" ht="15.75" customHeight="1">
      <c r="A328" s="37"/>
      <c r="B328" s="52"/>
      <c r="C328" s="38"/>
      <c r="D328" s="35"/>
      <c r="E328" s="92"/>
      <c r="F328" s="40"/>
      <c r="G328" s="37"/>
      <c r="H328" s="35"/>
      <c r="I328" s="35"/>
      <c r="J328" s="48"/>
    </row>
    <row r="329" spans="1:10" ht="15.75" customHeight="1">
      <c r="A329" s="37"/>
      <c r="B329" s="52"/>
      <c r="C329" s="38"/>
      <c r="D329" s="35"/>
      <c r="E329" s="92"/>
      <c r="F329" s="40"/>
      <c r="G329" s="37"/>
      <c r="H329" s="35"/>
      <c r="I329" s="35"/>
      <c r="J329" s="48"/>
    </row>
    <row r="330" spans="1:10" ht="15.75" customHeight="1">
      <c r="A330" s="37"/>
      <c r="B330" s="52"/>
      <c r="C330" s="38"/>
      <c r="D330" s="35"/>
      <c r="E330" s="92"/>
      <c r="F330" s="40"/>
      <c r="G330" s="37"/>
      <c r="H330" s="35"/>
      <c r="I330" s="35"/>
      <c r="J330" s="48"/>
    </row>
    <row r="331" spans="1:10" ht="15.75" customHeight="1">
      <c r="A331" s="37"/>
      <c r="B331" s="52"/>
      <c r="C331" s="38"/>
      <c r="D331" s="35"/>
      <c r="E331" s="92"/>
      <c r="F331" s="40"/>
      <c r="G331" s="37"/>
      <c r="H331" s="35"/>
      <c r="I331" s="35"/>
      <c r="J331" s="48"/>
    </row>
    <row r="332" spans="1:10" ht="15.75" customHeight="1">
      <c r="A332" s="37"/>
      <c r="B332" s="52"/>
      <c r="C332" s="38"/>
      <c r="D332" s="35"/>
      <c r="E332" s="92"/>
      <c r="F332" s="40"/>
      <c r="G332" s="37"/>
      <c r="H332" s="35"/>
      <c r="I332" s="35"/>
      <c r="J332" s="48"/>
    </row>
    <row r="333" spans="1:10" ht="15.75" customHeight="1">
      <c r="A333" s="37"/>
      <c r="B333" s="52"/>
      <c r="C333" s="38"/>
      <c r="D333" s="35"/>
      <c r="E333" s="92"/>
      <c r="F333" s="40"/>
      <c r="G333" s="37"/>
      <c r="H333" s="35"/>
      <c r="I333" s="35"/>
      <c r="J333" s="48"/>
    </row>
    <row r="334" spans="1:10" ht="15.75" customHeight="1">
      <c r="A334" s="37"/>
      <c r="B334" s="52"/>
      <c r="C334" s="38"/>
      <c r="D334" s="35"/>
      <c r="E334" s="92"/>
      <c r="F334" s="40"/>
      <c r="G334" s="37"/>
      <c r="H334" s="35"/>
      <c r="I334" s="35"/>
      <c r="J334" s="48"/>
    </row>
    <row r="335" spans="1:10" ht="15.75" customHeight="1">
      <c r="A335" s="37"/>
      <c r="B335" s="52"/>
      <c r="C335" s="38"/>
      <c r="D335" s="35"/>
      <c r="E335" s="92"/>
      <c r="F335" s="40"/>
      <c r="G335" s="37"/>
      <c r="H335" s="35"/>
      <c r="I335" s="35"/>
      <c r="J335" s="48"/>
    </row>
    <row r="336" spans="1:10" ht="15.75" customHeight="1">
      <c r="A336" s="37"/>
      <c r="B336" s="52"/>
      <c r="C336" s="38"/>
      <c r="D336" s="35"/>
      <c r="E336" s="92"/>
      <c r="F336" s="40"/>
      <c r="G336" s="37"/>
      <c r="H336" s="35"/>
      <c r="I336" s="35"/>
      <c r="J336" s="48"/>
    </row>
    <row r="337" spans="1:10" ht="15.75" customHeight="1">
      <c r="A337" s="37"/>
      <c r="B337" s="52"/>
      <c r="C337" s="38"/>
      <c r="D337" s="35"/>
      <c r="E337" s="92"/>
      <c r="F337" s="40"/>
      <c r="G337" s="37"/>
      <c r="H337" s="35"/>
      <c r="I337" s="35"/>
      <c r="J337" s="48"/>
    </row>
    <row r="338" spans="1:10" ht="15.75" customHeight="1">
      <c r="A338" s="37"/>
      <c r="B338" s="52"/>
      <c r="C338" s="38"/>
      <c r="D338" s="35"/>
      <c r="E338" s="92"/>
      <c r="F338" s="40"/>
      <c r="G338" s="37"/>
      <c r="H338" s="35"/>
      <c r="I338" s="35"/>
      <c r="J338" s="48"/>
    </row>
    <row r="339" spans="1:10" ht="15.75" customHeight="1">
      <c r="A339" s="37"/>
      <c r="B339" s="52"/>
      <c r="C339" s="38"/>
      <c r="D339" s="35"/>
      <c r="E339" s="92"/>
      <c r="F339" s="40"/>
      <c r="G339" s="37"/>
      <c r="H339" s="35"/>
      <c r="I339" s="35"/>
      <c r="J339" s="48"/>
    </row>
    <row r="340" spans="1:10" ht="15.75" customHeight="1">
      <c r="A340" s="37"/>
      <c r="B340" s="52"/>
      <c r="C340" s="38"/>
      <c r="D340" s="35"/>
      <c r="E340" s="92"/>
      <c r="F340" s="40"/>
      <c r="G340" s="37"/>
      <c r="H340" s="35"/>
      <c r="I340" s="35"/>
      <c r="J340" s="48"/>
    </row>
    <row r="341" spans="1:10" ht="15.75" customHeight="1">
      <c r="A341" s="37"/>
      <c r="B341" s="52"/>
      <c r="C341" s="38"/>
      <c r="D341" s="35"/>
      <c r="E341" s="92"/>
      <c r="F341" s="40"/>
      <c r="G341" s="37"/>
      <c r="H341" s="35"/>
      <c r="I341" s="35"/>
      <c r="J341" s="48"/>
    </row>
    <row r="342" spans="1:10" ht="15.75" customHeight="1">
      <c r="A342" s="37"/>
      <c r="B342" s="52"/>
      <c r="C342" s="38"/>
      <c r="D342" s="35"/>
      <c r="E342" s="92"/>
      <c r="F342" s="40"/>
      <c r="G342" s="37"/>
      <c r="H342" s="35"/>
      <c r="I342" s="35"/>
      <c r="J342" s="48"/>
    </row>
    <row r="343" spans="1:10" ht="15.75" customHeight="1">
      <c r="A343" s="37"/>
      <c r="B343" s="52"/>
      <c r="C343" s="38"/>
      <c r="D343" s="35"/>
      <c r="E343" s="92"/>
      <c r="F343" s="40"/>
      <c r="G343" s="37"/>
      <c r="H343" s="35"/>
      <c r="I343" s="35"/>
      <c r="J343" s="48"/>
    </row>
    <row r="344" spans="1:10" ht="15.75" customHeight="1">
      <c r="A344" s="37"/>
      <c r="B344" s="52"/>
      <c r="C344" s="38"/>
      <c r="D344" s="35"/>
      <c r="E344" s="92"/>
      <c r="F344" s="40"/>
      <c r="G344" s="37"/>
      <c r="H344" s="35"/>
      <c r="I344" s="35"/>
      <c r="J344" s="48"/>
    </row>
    <row r="345" spans="1:10" ht="15.75" customHeight="1">
      <c r="A345" s="37"/>
      <c r="B345" s="52"/>
      <c r="C345" s="38"/>
      <c r="D345" s="35"/>
      <c r="E345" s="92"/>
      <c r="F345" s="40"/>
      <c r="G345" s="37"/>
      <c r="H345" s="35"/>
      <c r="I345" s="35"/>
      <c r="J345" s="48"/>
    </row>
    <row r="346" spans="1:10" ht="15.75" customHeight="1">
      <c r="A346" s="37"/>
      <c r="B346" s="52"/>
      <c r="C346" s="38"/>
      <c r="D346" s="35"/>
      <c r="E346" s="92"/>
      <c r="F346" s="40"/>
      <c r="G346" s="37"/>
      <c r="H346" s="35"/>
      <c r="I346" s="35"/>
      <c r="J346" s="48"/>
    </row>
    <row r="347" spans="1:10" ht="15.75" customHeight="1">
      <c r="A347" s="37"/>
      <c r="B347" s="52"/>
      <c r="C347" s="38"/>
      <c r="D347" s="35"/>
      <c r="E347" s="92"/>
      <c r="F347" s="40"/>
      <c r="G347" s="37"/>
      <c r="H347" s="35"/>
      <c r="I347" s="35"/>
      <c r="J347" s="48"/>
    </row>
    <row r="348" spans="1:10" ht="15.75" customHeight="1">
      <c r="A348" s="37"/>
      <c r="B348" s="52"/>
      <c r="C348" s="38"/>
      <c r="D348" s="35"/>
      <c r="E348" s="92"/>
      <c r="F348" s="40"/>
      <c r="G348" s="37"/>
      <c r="H348" s="35"/>
      <c r="I348" s="35"/>
      <c r="J348" s="48"/>
    </row>
    <row r="349" spans="1:10" ht="15.75" customHeight="1">
      <c r="A349" s="37"/>
      <c r="B349" s="52"/>
      <c r="C349" s="38"/>
      <c r="D349" s="35"/>
      <c r="E349" s="92"/>
      <c r="F349" s="40"/>
      <c r="G349" s="37"/>
      <c r="H349" s="35"/>
      <c r="I349" s="35"/>
      <c r="J349" s="48"/>
    </row>
    <row r="350" spans="1:10" ht="15.75" customHeight="1">
      <c r="A350" s="37"/>
      <c r="B350" s="52"/>
      <c r="C350" s="38"/>
      <c r="D350" s="35"/>
      <c r="E350" s="92"/>
      <c r="F350" s="40"/>
      <c r="G350" s="37"/>
      <c r="H350" s="35"/>
      <c r="I350" s="35"/>
      <c r="J350" s="48"/>
    </row>
    <row r="351" spans="1:10" ht="15.75" customHeight="1">
      <c r="A351" s="37"/>
      <c r="B351" s="52"/>
      <c r="C351" s="38"/>
      <c r="D351" s="35"/>
      <c r="E351" s="92"/>
      <c r="F351" s="40"/>
      <c r="G351" s="37"/>
      <c r="H351" s="35"/>
      <c r="I351" s="35"/>
      <c r="J351" s="48"/>
    </row>
    <row r="352" spans="1:10" ht="15.75" customHeight="1">
      <c r="A352" s="37"/>
      <c r="B352" s="52"/>
      <c r="C352" s="38"/>
      <c r="D352" s="35"/>
      <c r="E352" s="92"/>
      <c r="F352" s="40"/>
      <c r="G352" s="37"/>
      <c r="H352" s="35"/>
      <c r="I352" s="35"/>
      <c r="J352" s="48"/>
    </row>
    <row r="353" spans="1:10" ht="15.75" customHeight="1">
      <c r="A353" s="37"/>
      <c r="B353" s="52"/>
      <c r="C353" s="38"/>
      <c r="D353" s="35"/>
      <c r="E353" s="92"/>
      <c r="F353" s="40"/>
      <c r="G353" s="37"/>
      <c r="H353" s="35"/>
      <c r="I353" s="35"/>
      <c r="J353" s="48"/>
    </row>
    <row r="354" spans="1:10" ht="15.75" customHeight="1">
      <c r="A354" s="37"/>
      <c r="B354" s="52"/>
      <c r="C354" s="38"/>
      <c r="D354" s="35"/>
      <c r="E354" s="92"/>
      <c r="F354" s="40"/>
      <c r="G354" s="37"/>
      <c r="H354" s="35"/>
      <c r="I354" s="35"/>
      <c r="J354" s="48"/>
    </row>
    <row r="355" spans="1:10" ht="15.75" customHeight="1">
      <c r="A355" s="37"/>
      <c r="B355" s="52"/>
      <c r="C355" s="38"/>
      <c r="D355" s="35"/>
      <c r="E355" s="92"/>
      <c r="F355" s="40"/>
      <c r="G355" s="37"/>
      <c r="H355" s="35"/>
      <c r="I355" s="35"/>
      <c r="J355" s="48"/>
    </row>
    <row r="356" spans="1:10" ht="15.75" customHeight="1">
      <c r="A356" s="37"/>
      <c r="B356" s="52"/>
      <c r="C356" s="38"/>
      <c r="D356" s="35"/>
      <c r="E356" s="92"/>
      <c r="F356" s="40"/>
      <c r="G356" s="37"/>
      <c r="H356" s="35"/>
      <c r="I356" s="35"/>
      <c r="J356" s="48"/>
    </row>
    <row r="357" spans="1:10" ht="15.75" customHeight="1">
      <c r="A357" s="37"/>
      <c r="B357" s="52"/>
      <c r="C357" s="38"/>
      <c r="D357" s="35"/>
      <c r="E357" s="92"/>
      <c r="F357" s="40"/>
      <c r="G357" s="37"/>
      <c r="H357" s="35"/>
      <c r="I357" s="35"/>
      <c r="J357" s="48"/>
    </row>
    <row r="358" spans="1:10" ht="15.75" customHeight="1">
      <c r="A358" s="37"/>
      <c r="B358" s="52"/>
      <c r="C358" s="38"/>
      <c r="D358" s="35"/>
      <c r="E358" s="92"/>
      <c r="F358" s="40"/>
      <c r="G358" s="37"/>
      <c r="H358" s="35"/>
      <c r="I358" s="35"/>
      <c r="J358" s="48"/>
    </row>
    <row r="359" spans="1:10" ht="15.75" customHeight="1">
      <c r="A359" s="37"/>
      <c r="B359" s="52"/>
      <c r="C359" s="38"/>
      <c r="D359" s="35"/>
      <c r="E359" s="92"/>
      <c r="F359" s="40"/>
      <c r="G359" s="37"/>
      <c r="H359" s="35"/>
      <c r="I359" s="35"/>
      <c r="J359" s="48"/>
    </row>
    <row r="360" spans="1:10" ht="15.75" customHeight="1">
      <c r="A360" s="37"/>
      <c r="B360" s="52"/>
      <c r="C360" s="38"/>
      <c r="D360" s="35"/>
      <c r="E360" s="92"/>
      <c r="F360" s="40"/>
      <c r="G360" s="37"/>
      <c r="H360" s="35"/>
      <c r="I360" s="35"/>
      <c r="J360" s="48"/>
    </row>
    <row r="361" spans="1:10" ht="15.75" customHeight="1">
      <c r="A361" s="37"/>
      <c r="B361" s="52"/>
      <c r="C361" s="38"/>
      <c r="D361" s="35"/>
      <c r="E361" s="92"/>
      <c r="F361" s="40"/>
      <c r="G361" s="37"/>
      <c r="H361" s="35"/>
      <c r="I361" s="35"/>
      <c r="J361" s="48"/>
    </row>
    <row r="362" spans="1:10" ht="15.75" customHeight="1">
      <c r="A362" s="37"/>
      <c r="B362" s="52"/>
      <c r="C362" s="38"/>
      <c r="D362" s="35"/>
      <c r="E362" s="92"/>
      <c r="F362" s="40"/>
      <c r="G362" s="37"/>
      <c r="H362" s="35"/>
      <c r="I362" s="35"/>
      <c r="J362" s="48"/>
    </row>
    <row r="363" spans="1:10" ht="15.75" customHeight="1">
      <c r="A363" s="37"/>
      <c r="B363" s="52"/>
      <c r="C363" s="38"/>
      <c r="D363" s="35"/>
      <c r="E363" s="92"/>
      <c r="F363" s="40"/>
      <c r="G363" s="37"/>
      <c r="H363" s="35"/>
      <c r="I363" s="35"/>
      <c r="J363" s="48"/>
    </row>
    <row r="364" spans="1:10" ht="15.75" customHeight="1">
      <c r="A364" s="37"/>
      <c r="B364" s="52"/>
      <c r="C364" s="38"/>
      <c r="D364" s="35"/>
      <c r="E364" s="92"/>
      <c r="F364" s="40"/>
      <c r="G364" s="37"/>
      <c r="H364" s="35"/>
      <c r="I364" s="35"/>
      <c r="J364" s="48"/>
    </row>
    <row r="365" spans="1:10" ht="15.75" customHeight="1">
      <c r="A365" s="37"/>
      <c r="B365" s="52"/>
      <c r="C365" s="38"/>
      <c r="D365" s="35"/>
      <c r="E365" s="92"/>
      <c r="F365" s="40"/>
      <c r="G365" s="37"/>
      <c r="H365" s="35"/>
      <c r="I365" s="35"/>
      <c r="J365" s="48"/>
    </row>
    <row r="366" spans="1:10" ht="15.75" customHeight="1">
      <c r="A366" s="37"/>
      <c r="B366" s="52"/>
      <c r="C366" s="38"/>
      <c r="D366" s="35"/>
      <c r="E366" s="92"/>
      <c r="F366" s="40"/>
      <c r="G366" s="37"/>
      <c r="H366" s="35"/>
      <c r="I366" s="35"/>
      <c r="J366" s="48"/>
    </row>
    <row r="367" spans="1:10" ht="15.75" customHeight="1">
      <c r="A367" s="37"/>
      <c r="B367" s="52"/>
      <c r="C367" s="38"/>
      <c r="D367" s="35"/>
      <c r="E367" s="92"/>
      <c r="F367" s="40"/>
      <c r="G367" s="37"/>
      <c r="H367" s="35"/>
      <c r="I367" s="35"/>
      <c r="J367" s="48"/>
    </row>
    <row r="368" spans="1:10" ht="15.75" customHeight="1">
      <c r="A368" s="37"/>
      <c r="B368" s="52"/>
      <c r="C368" s="38"/>
      <c r="D368" s="35"/>
      <c r="E368" s="92"/>
      <c r="F368" s="40"/>
      <c r="G368" s="37"/>
      <c r="H368" s="35"/>
      <c r="I368" s="35"/>
      <c r="J368" s="48"/>
    </row>
    <row r="369" spans="1:10" ht="15.75" customHeight="1">
      <c r="A369" s="37"/>
      <c r="B369" s="52"/>
      <c r="C369" s="38"/>
      <c r="D369" s="35"/>
      <c r="E369" s="92"/>
      <c r="F369" s="40"/>
      <c r="G369" s="37"/>
      <c r="H369" s="35"/>
      <c r="I369" s="35"/>
      <c r="J369" s="48"/>
    </row>
    <row r="370" spans="1:10" ht="15.75" customHeight="1">
      <c r="A370" s="37"/>
      <c r="B370" s="52"/>
      <c r="C370" s="38"/>
      <c r="D370" s="35"/>
      <c r="E370" s="92"/>
      <c r="F370" s="40"/>
      <c r="G370" s="37"/>
      <c r="H370" s="35"/>
      <c r="I370" s="35"/>
      <c r="J370" s="48"/>
    </row>
    <row r="371" spans="1:10" ht="15.75" customHeight="1">
      <c r="A371" s="37"/>
      <c r="B371" s="52"/>
      <c r="C371" s="38"/>
      <c r="D371" s="35"/>
      <c r="E371" s="92"/>
      <c r="F371" s="40"/>
      <c r="G371" s="37"/>
      <c r="H371" s="35"/>
      <c r="I371" s="35"/>
      <c r="J371" s="48"/>
    </row>
    <row r="372" spans="1:10" ht="15.75" customHeight="1">
      <c r="A372" s="37"/>
      <c r="B372" s="52"/>
      <c r="C372" s="38"/>
      <c r="D372" s="35"/>
      <c r="E372" s="92"/>
      <c r="F372" s="40"/>
      <c r="G372" s="37"/>
      <c r="H372" s="35"/>
      <c r="I372" s="35"/>
      <c r="J372" s="48"/>
    </row>
    <row r="373" spans="1:10" ht="15.75" customHeight="1">
      <c r="A373" s="37"/>
      <c r="B373" s="52"/>
      <c r="C373" s="38"/>
      <c r="D373" s="35"/>
      <c r="E373" s="92"/>
      <c r="F373" s="40"/>
      <c r="G373" s="37"/>
      <c r="H373" s="35"/>
      <c r="I373" s="35"/>
      <c r="J373" s="48"/>
    </row>
    <row r="374" spans="1:10" ht="15.75" customHeight="1">
      <c r="A374" s="37"/>
      <c r="B374" s="52"/>
      <c r="C374" s="38"/>
      <c r="D374" s="35"/>
      <c r="E374" s="92"/>
      <c r="F374" s="40"/>
      <c r="G374" s="37"/>
      <c r="H374" s="35"/>
      <c r="I374" s="35"/>
      <c r="J374" s="48"/>
    </row>
    <row r="375" spans="1:10" ht="15.75" customHeight="1">
      <c r="A375" s="37"/>
      <c r="B375" s="52"/>
      <c r="C375" s="38"/>
      <c r="D375" s="35"/>
      <c r="E375" s="92"/>
      <c r="F375" s="40"/>
      <c r="G375" s="37"/>
      <c r="H375" s="35"/>
      <c r="I375" s="35"/>
      <c r="J375" s="48"/>
    </row>
    <row r="376" spans="1:10" ht="15.75" customHeight="1">
      <c r="A376" s="37"/>
      <c r="B376" s="52"/>
      <c r="C376" s="38"/>
      <c r="D376" s="35"/>
      <c r="E376" s="92"/>
      <c r="F376" s="40"/>
      <c r="G376" s="37"/>
      <c r="H376" s="35"/>
      <c r="I376" s="35"/>
      <c r="J376" s="48"/>
    </row>
    <row r="377" spans="1:10" ht="15.75" customHeight="1">
      <c r="A377" s="37"/>
      <c r="B377" s="52"/>
      <c r="C377" s="38"/>
      <c r="D377" s="35"/>
      <c r="E377" s="92"/>
      <c r="F377" s="40"/>
      <c r="G377" s="37"/>
      <c r="H377" s="35"/>
      <c r="I377" s="35"/>
      <c r="J377" s="48"/>
    </row>
    <row r="378" spans="1:10" ht="15.75" customHeight="1">
      <c r="A378" s="37"/>
      <c r="B378" s="52"/>
      <c r="C378" s="38"/>
      <c r="D378" s="35"/>
      <c r="E378" s="92"/>
      <c r="F378" s="40"/>
      <c r="G378" s="37"/>
      <c r="H378" s="35"/>
      <c r="I378" s="35"/>
      <c r="J378" s="48"/>
    </row>
    <row r="379" spans="1:10" ht="15.75" customHeight="1">
      <c r="A379" s="37"/>
      <c r="B379" s="52"/>
      <c r="C379" s="38"/>
      <c r="D379" s="35"/>
      <c r="E379" s="92"/>
      <c r="F379" s="40"/>
      <c r="G379" s="37"/>
      <c r="H379" s="35"/>
      <c r="I379" s="35"/>
      <c r="J379" s="48"/>
    </row>
    <row r="380" spans="1:10" ht="15.75" customHeight="1">
      <c r="A380" s="37"/>
      <c r="B380" s="52"/>
      <c r="C380" s="38"/>
      <c r="D380" s="35"/>
      <c r="E380" s="92"/>
      <c r="F380" s="40"/>
      <c r="G380" s="37"/>
      <c r="H380" s="35"/>
      <c r="I380" s="35"/>
      <c r="J380" s="48"/>
    </row>
    <row r="381" spans="1:10" ht="15.75" customHeight="1">
      <c r="A381" s="37"/>
      <c r="B381" s="52"/>
      <c r="C381" s="38"/>
      <c r="D381" s="35"/>
      <c r="E381" s="92"/>
      <c r="F381" s="40"/>
      <c r="G381" s="37"/>
      <c r="H381" s="35"/>
      <c r="I381" s="35"/>
      <c r="J381" s="48"/>
    </row>
    <row r="382" spans="1:10" ht="15.75" customHeight="1">
      <c r="A382" s="37"/>
      <c r="B382" s="52"/>
      <c r="C382" s="38"/>
      <c r="D382" s="35"/>
      <c r="E382" s="92"/>
      <c r="F382" s="40"/>
      <c r="G382" s="37"/>
      <c r="H382" s="35"/>
      <c r="I382" s="35"/>
      <c r="J382" s="48"/>
    </row>
    <row r="383" spans="1:10" ht="15.75" customHeight="1">
      <c r="A383" s="37"/>
      <c r="B383" s="52"/>
      <c r="C383" s="38"/>
      <c r="D383" s="35"/>
      <c r="E383" s="92"/>
      <c r="F383" s="40"/>
      <c r="G383" s="37"/>
      <c r="H383" s="35"/>
      <c r="I383" s="35"/>
      <c r="J383" s="48"/>
    </row>
    <row r="384" spans="1:10" ht="15.75" customHeight="1">
      <c r="A384" s="37"/>
      <c r="B384" s="52"/>
      <c r="C384" s="38"/>
      <c r="D384" s="35"/>
      <c r="E384" s="92"/>
      <c r="F384" s="40"/>
      <c r="G384" s="37"/>
      <c r="H384" s="35"/>
      <c r="I384" s="35"/>
      <c r="J384" s="48"/>
    </row>
    <row r="385" spans="1:10" ht="15.75" customHeight="1">
      <c r="A385" s="37"/>
      <c r="B385" s="52"/>
      <c r="C385" s="38"/>
      <c r="D385" s="35"/>
      <c r="E385" s="92"/>
      <c r="F385" s="40"/>
      <c r="G385" s="37"/>
      <c r="H385" s="35"/>
      <c r="I385" s="35"/>
      <c r="J385" s="48"/>
    </row>
    <row r="386" spans="1:10" ht="15.75" customHeight="1">
      <c r="A386" s="37"/>
      <c r="B386" s="52"/>
      <c r="C386" s="38"/>
      <c r="D386" s="35"/>
      <c r="E386" s="92"/>
      <c r="F386" s="40"/>
      <c r="G386" s="37"/>
      <c r="H386" s="35"/>
      <c r="I386" s="35"/>
      <c r="J386" s="48"/>
    </row>
    <row r="387" spans="1:10" ht="15.75" customHeight="1">
      <c r="A387" s="37"/>
      <c r="B387" s="52"/>
      <c r="C387" s="38"/>
      <c r="D387" s="35"/>
      <c r="E387" s="92"/>
      <c r="F387" s="40"/>
      <c r="G387" s="37"/>
      <c r="H387" s="35"/>
      <c r="I387" s="35"/>
      <c r="J387" s="48"/>
    </row>
    <row r="388" spans="1:10" ht="15.75" customHeight="1">
      <c r="A388" s="37"/>
      <c r="B388" s="52"/>
      <c r="C388" s="38"/>
      <c r="D388" s="35"/>
      <c r="E388" s="92"/>
      <c r="F388" s="40"/>
      <c r="G388" s="37"/>
      <c r="H388" s="35"/>
      <c r="I388" s="35"/>
      <c r="J388" s="48"/>
    </row>
    <row r="389" spans="1:10" ht="15.75" customHeight="1">
      <c r="A389" s="37"/>
      <c r="B389" s="52"/>
      <c r="C389" s="38"/>
      <c r="D389" s="35"/>
      <c r="E389" s="92"/>
      <c r="F389" s="40"/>
      <c r="G389" s="37"/>
      <c r="H389" s="35"/>
      <c r="I389" s="35"/>
      <c r="J389" s="48"/>
    </row>
    <row r="390" spans="1:10" ht="15.75" customHeight="1">
      <c r="A390" s="37"/>
      <c r="B390" s="52"/>
      <c r="C390" s="38"/>
      <c r="D390" s="35"/>
      <c r="E390" s="92"/>
      <c r="F390" s="40"/>
      <c r="G390" s="37"/>
      <c r="H390" s="35"/>
      <c r="I390" s="35"/>
      <c r="J390" s="48"/>
    </row>
    <row r="391" spans="1:10" ht="15.75" customHeight="1">
      <c r="A391" s="37"/>
      <c r="B391" s="52"/>
      <c r="C391" s="38"/>
      <c r="D391" s="35"/>
      <c r="E391" s="92"/>
      <c r="F391" s="40"/>
      <c r="G391" s="37"/>
      <c r="H391" s="35"/>
      <c r="I391" s="35"/>
      <c r="J391" s="48"/>
    </row>
    <row r="392" spans="1:10" ht="15.75" customHeight="1">
      <c r="A392" s="37"/>
      <c r="B392" s="52"/>
      <c r="C392" s="38"/>
      <c r="D392" s="35"/>
      <c r="E392" s="92"/>
      <c r="F392" s="40"/>
      <c r="G392" s="37"/>
      <c r="H392" s="35"/>
      <c r="I392" s="35"/>
      <c r="J392" s="48"/>
    </row>
    <row r="393" spans="1:10" ht="15.75" customHeight="1">
      <c r="A393" s="37"/>
      <c r="B393" s="52"/>
      <c r="C393" s="38"/>
      <c r="D393" s="35"/>
      <c r="E393" s="92"/>
      <c r="F393" s="40"/>
      <c r="G393" s="37"/>
      <c r="H393" s="35"/>
      <c r="I393" s="35"/>
      <c r="J393" s="48"/>
    </row>
    <row r="394" spans="1:10" ht="15.75" customHeight="1">
      <c r="A394" s="37"/>
      <c r="B394" s="52"/>
      <c r="C394" s="38"/>
      <c r="D394" s="35"/>
      <c r="E394" s="92"/>
      <c r="F394" s="40"/>
      <c r="G394" s="37"/>
      <c r="H394" s="35"/>
      <c r="I394" s="35"/>
      <c r="J394" s="48"/>
    </row>
    <row r="395" spans="1:10" ht="15.75" customHeight="1">
      <c r="A395" s="37"/>
      <c r="B395" s="52"/>
      <c r="C395" s="38"/>
      <c r="D395" s="35"/>
      <c r="E395" s="92"/>
      <c r="F395" s="40"/>
      <c r="G395" s="37"/>
      <c r="H395" s="35"/>
      <c r="I395" s="35"/>
      <c r="J395" s="48"/>
    </row>
    <row r="396" spans="1:10" ht="15.75" customHeight="1">
      <c r="A396" s="37"/>
      <c r="B396" s="52"/>
      <c r="C396" s="38"/>
      <c r="D396" s="35"/>
      <c r="E396" s="92"/>
      <c r="F396" s="40"/>
      <c r="G396" s="37"/>
      <c r="H396" s="35"/>
      <c r="I396" s="35"/>
      <c r="J396" s="48"/>
    </row>
    <row r="397" spans="1:10" ht="15.75" customHeight="1">
      <c r="A397" s="37"/>
      <c r="B397" s="52"/>
      <c r="C397" s="38"/>
      <c r="D397" s="35"/>
      <c r="E397" s="92"/>
      <c r="F397" s="40"/>
      <c r="G397" s="37"/>
      <c r="H397" s="35"/>
      <c r="I397" s="35"/>
      <c r="J397" s="48"/>
    </row>
    <row r="398" spans="1:10" ht="15.75" customHeight="1">
      <c r="A398" s="37"/>
      <c r="B398" s="52"/>
      <c r="C398" s="38"/>
      <c r="D398" s="35"/>
      <c r="E398" s="92"/>
      <c r="F398" s="40"/>
      <c r="G398" s="37"/>
      <c r="H398" s="35"/>
      <c r="I398" s="35"/>
      <c r="J398" s="48"/>
    </row>
    <row r="399" spans="1:10" ht="15.75" customHeight="1">
      <c r="A399" s="37"/>
      <c r="B399" s="52"/>
      <c r="C399" s="38"/>
      <c r="D399" s="35"/>
      <c r="E399" s="92"/>
      <c r="F399" s="40"/>
      <c r="G399" s="37"/>
      <c r="H399" s="35"/>
      <c r="I399" s="35"/>
      <c r="J399" s="48"/>
    </row>
    <row r="400" spans="1:10" ht="15.75" customHeight="1">
      <c r="A400" s="37"/>
      <c r="B400" s="52"/>
      <c r="C400" s="38"/>
      <c r="D400" s="35"/>
      <c r="E400" s="92"/>
      <c r="F400" s="40"/>
      <c r="G400" s="37"/>
      <c r="H400" s="35"/>
      <c r="I400" s="35"/>
      <c r="J400" s="48"/>
    </row>
    <row r="401" spans="1:10" ht="15.75" customHeight="1">
      <c r="A401" s="37"/>
      <c r="B401" s="52"/>
      <c r="C401" s="38"/>
      <c r="D401" s="35"/>
      <c r="E401" s="92"/>
      <c r="F401" s="40"/>
      <c r="G401" s="37"/>
      <c r="H401" s="35"/>
      <c r="I401" s="35"/>
      <c r="J401" s="48"/>
    </row>
    <row r="402" spans="1:10" ht="15.75" customHeight="1">
      <c r="A402" s="37"/>
      <c r="B402" s="52"/>
      <c r="C402" s="38"/>
      <c r="D402" s="35"/>
      <c r="E402" s="92"/>
      <c r="F402" s="40"/>
      <c r="G402" s="37"/>
      <c r="H402" s="35"/>
      <c r="I402" s="35"/>
      <c r="J402" s="48"/>
    </row>
    <row r="403" spans="1:10" ht="15.75" customHeight="1">
      <c r="A403" s="37"/>
      <c r="B403" s="52"/>
      <c r="C403" s="38"/>
      <c r="D403" s="35"/>
      <c r="E403" s="92"/>
      <c r="F403" s="40"/>
      <c r="G403" s="37"/>
      <c r="H403" s="35"/>
      <c r="I403" s="35"/>
      <c r="J403" s="48"/>
    </row>
    <row r="404" spans="1:10" ht="15.75" customHeight="1">
      <c r="A404" s="37"/>
      <c r="B404" s="52"/>
      <c r="C404" s="38"/>
      <c r="D404" s="35"/>
      <c r="E404" s="92"/>
      <c r="F404" s="40"/>
      <c r="G404" s="37"/>
      <c r="H404" s="35"/>
      <c r="I404" s="35"/>
      <c r="J404" s="48"/>
    </row>
    <row r="405" spans="1:10" ht="15.75" customHeight="1">
      <c r="A405" s="37"/>
      <c r="B405" s="52"/>
      <c r="C405" s="38"/>
      <c r="D405" s="35"/>
      <c r="E405" s="92"/>
      <c r="F405" s="40"/>
      <c r="G405" s="37"/>
      <c r="H405" s="35"/>
      <c r="I405" s="35"/>
      <c r="J405" s="48"/>
    </row>
    <row r="406" spans="1:10" ht="15.75" customHeight="1">
      <c r="A406" s="37"/>
      <c r="B406" s="52"/>
      <c r="C406" s="38"/>
      <c r="D406" s="35"/>
      <c r="E406" s="92"/>
      <c r="F406" s="40"/>
      <c r="G406" s="37"/>
      <c r="H406" s="35"/>
      <c r="I406" s="35"/>
      <c r="J406" s="48"/>
    </row>
    <row r="407" spans="1:10" ht="15.75" customHeight="1">
      <c r="A407" s="37"/>
      <c r="B407" s="52"/>
      <c r="C407" s="38"/>
      <c r="D407" s="35"/>
      <c r="E407" s="92"/>
      <c r="F407" s="40"/>
      <c r="G407" s="37"/>
      <c r="H407" s="35"/>
      <c r="I407" s="35"/>
      <c r="J407" s="48"/>
    </row>
    <row r="408" spans="1:10" ht="15.75" customHeight="1">
      <c r="A408" s="37"/>
      <c r="B408" s="52"/>
      <c r="C408" s="38"/>
      <c r="D408" s="35"/>
      <c r="E408" s="92"/>
      <c r="F408" s="40"/>
      <c r="G408" s="37"/>
      <c r="H408" s="35"/>
      <c r="I408" s="35"/>
      <c r="J408" s="48"/>
    </row>
    <row r="409" spans="1:10" ht="15.75" customHeight="1">
      <c r="A409" s="37"/>
      <c r="B409" s="52"/>
      <c r="C409" s="38"/>
      <c r="D409" s="35"/>
      <c r="E409" s="92"/>
      <c r="F409" s="40"/>
      <c r="G409" s="37"/>
      <c r="H409" s="35"/>
      <c r="I409" s="35"/>
      <c r="J409" s="48"/>
    </row>
    <row r="410" spans="1:10" ht="15.75" customHeight="1">
      <c r="A410" s="37"/>
      <c r="B410" s="52"/>
      <c r="C410" s="38"/>
      <c r="D410" s="35"/>
      <c r="E410" s="92"/>
      <c r="F410" s="40"/>
      <c r="G410" s="37"/>
      <c r="H410" s="35"/>
      <c r="I410" s="35"/>
      <c r="J410" s="48"/>
    </row>
    <row r="411" spans="1:10" ht="15.75" customHeight="1">
      <c r="A411" s="37"/>
      <c r="B411" s="52"/>
      <c r="C411" s="38"/>
      <c r="D411" s="35"/>
      <c r="E411" s="92"/>
      <c r="F411" s="40"/>
      <c r="G411" s="37"/>
      <c r="H411" s="35"/>
      <c r="I411" s="35"/>
      <c r="J411" s="48"/>
    </row>
    <row r="412" spans="1:10" ht="15.75" customHeight="1">
      <c r="A412" s="37"/>
      <c r="B412" s="52"/>
      <c r="C412" s="38"/>
      <c r="D412" s="35"/>
      <c r="E412" s="92"/>
      <c r="F412" s="40"/>
      <c r="G412" s="37"/>
      <c r="H412" s="35"/>
      <c r="I412" s="35"/>
      <c r="J412" s="48"/>
    </row>
    <row r="413" spans="1:10" ht="15.75" customHeight="1">
      <c r="A413" s="37"/>
      <c r="B413" s="52"/>
      <c r="C413" s="38"/>
      <c r="D413" s="35"/>
      <c r="E413" s="92"/>
      <c r="F413" s="40"/>
      <c r="G413" s="37"/>
      <c r="H413" s="35"/>
      <c r="I413" s="35"/>
      <c r="J413" s="48"/>
    </row>
    <row r="414" spans="1:10" ht="15.75" customHeight="1">
      <c r="A414" s="37"/>
      <c r="B414" s="52"/>
      <c r="C414" s="38"/>
      <c r="D414" s="35"/>
      <c r="E414" s="92"/>
      <c r="F414" s="40"/>
      <c r="G414" s="37"/>
      <c r="H414" s="35"/>
      <c r="I414" s="35"/>
      <c r="J414" s="48"/>
    </row>
    <row r="415" spans="1:10" ht="15.75" customHeight="1">
      <c r="A415" s="37"/>
      <c r="B415" s="52"/>
      <c r="C415" s="38"/>
      <c r="D415" s="35"/>
      <c r="E415" s="92"/>
      <c r="F415" s="40"/>
      <c r="G415" s="37"/>
      <c r="H415" s="35"/>
      <c r="I415" s="35"/>
      <c r="J415" s="48"/>
    </row>
    <row r="416" spans="1:10" ht="15.75" customHeight="1">
      <c r="A416" s="37"/>
      <c r="B416" s="52"/>
      <c r="C416" s="38"/>
      <c r="D416" s="35"/>
      <c r="E416" s="92"/>
      <c r="F416" s="40"/>
      <c r="G416" s="37"/>
      <c r="H416" s="35"/>
      <c r="I416" s="35"/>
      <c r="J416" s="48"/>
    </row>
    <row r="417" spans="1:10" ht="15.75" customHeight="1">
      <c r="A417" s="37"/>
      <c r="B417" s="52"/>
      <c r="C417" s="38"/>
      <c r="D417" s="35"/>
      <c r="E417" s="92"/>
      <c r="F417" s="40"/>
      <c r="G417" s="37"/>
      <c r="H417" s="35"/>
      <c r="I417" s="35"/>
      <c r="J417" s="48"/>
    </row>
    <row r="418" spans="1:10" ht="15.75" customHeight="1">
      <c r="A418" s="37"/>
      <c r="B418" s="52"/>
      <c r="C418" s="38"/>
      <c r="D418" s="35"/>
      <c r="E418" s="92"/>
      <c r="F418" s="40"/>
      <c r="G418" s="37"/>
      <c r="H418" s="35"/>
      <c r="I418" s="35"/>
      <c r="J418" s="48"/>
    </row>
    <row r="419" spans="1:10" ht="15.75" customHeight="1">
      <c r="A419" s="37"/>
      <c r="B419" s="52"/>
      <c r="C419" s="38"/>
      <c r="D419" s="35"/>
      <c r="E419" s="92"/>
      <c r="F419" s="40"/>
      <c r="G419" s="37"/>
      <c r="H419" s="35"/>
      <c r="I419" s="35"/>
      <c r="J419" s="48"/>
    </row>
    <row r="420" spans="1:10" ht="15.75" customHeight="1">
      <c r="A420" s="37"/>
      <c r="B420" s="52"/>
      <c r="C420" s="38"/>
      <c r="D420" s="35"/>
      <c r="E420" s="92"/>
      <c r="F420" s="40"/>
      <c r="G420" s="37"/>
      <c r="H420" s="35"/>
      <c r="I420" s="35"/>
      <c r="J420" s="48"/>
    </row>
    <row r="421" spans="1:10" ht="15.75" customHeight="1">
      <c r="A421" s="37"/>
      <c r="B421" s="52"/>
      <c r="C421" s="38"/>
      <c r="D421" s="35"/>
      <c r="E421" s="92"/>
      <c r="F421" s="40"/>
      <c r="G421" s="37"/>
      <c r="H421" s="35"/>
      <c r="I421" s="35"/>
      <c r="J421" s="48"/>
    </row>
    <row r="422" spans="1:10" ht="15.75" customHeight="1">
      <c r="A422" s="37"/>
      <c r="B422" s="52"/>
      <c r="C422" s="38"/>
      <c r="D422" s="35"/>
      <c r="E422" s="92"/>
      <c r="F422" s="40"/>
      <c r="G422" s="37"/>
      <c r="H422" s="35"/>
      <c r="I422" s="35"/>
      <c r="J422" s="48"/>
    </row>
    <row r="423" spans="1:10" ht="15.75" customHeight="1">
      <c r="A423" s="37"/>
      <c r="B423" s="52"/>
      <c r="C423" s="38"/>
      <c r="D423" s="35"/>
      <c r="E423" s="92"/>
      <c r="F423" s="40"/>
      <c r="G423" s="37"/>
      <c r="H423" s="35"/>
      <c r="I423" s="35"/>
      <c r="J423" s="48"/>
    </row>
    <row r="424" spans="1:10" ht="15.75" customHeight="1">
      <c r="A424" s="37"/>
      <c r="B424" s="52"/>
      <c r="C424" s="38"/>
      <c r="D424" s="35"/>
      <c r="E424" s="92"/>
      <c r="F424" s="40"/>
      <c r="G424" s="37"/>
      <c r="H424" s="35"/>
      <c r="I424" s="35"/>
      <c r="J424" s="48"/>
    </row>
    <row r="425" spans="1:10" ht="15.75" customHeight="1">
      <c r="A425" s="37"/>
      <c r="B425" s="52"/>
      <c r="C425" s="38"/>
      <c r="D425" s="35"/>
      <c r="E425" s="92"/>
      <c r="F425" s="40"/>
      <c r="G425" s="37"/>
      <c r="H425" s="35"/>
      <c r="I425" s="35"/>
      <c r="J425" s="48"/>
    </row>
    <row r="426" spans="1:10" ht="15.75" customHeight="1">
      <c r="A426" s="37"/>
      <c r="B426" s="52"/>
      <c r="C426" s="38"/>
      <c r="D426" s="35"/>
      <c r="E426" s="92"/>
      <c r="F426" s="40"/>
      <c r="G426" s="37"/>
      <c r="H426" s="35"/>
      <c r="I426" s="35"/>
      <c r="J426" s="48"/>
    </row>
    <row r="427" spans="1:10" ht="15.75" customHeight="1">
      <c r="A427" s="37"/>
      <c r="B427" s="52"/>
      <c r="C427" s="38"/>
      <c r="D427" s="35"/>
      <c r="E427" s="92"/>
      <c r="F427" s="40"/>
      <c r="G427" s="37"/>
      <c r="H427" s="35"/>
      <c r="I427" s="35"/>
      <c r="J427" s="48"/>
    </row>
    <row r="428" spans="1:10" ht="15.75" customHeight="1">
      <c r="A428" s="37"/>
      <c r="B428" s="52"/>
      <c r="C428" s="38"/>
      <c r="D428" s="35"/>
      <c r="E428" s="92"/>
      <c r="F428" s="40"/>
      <c r="G428" s="37"/>
      <c r="H428" s="35"/>
      <c r="I428" s="35"/>
      <c r="J428" s="48"/>
    </row>
    <row r="429" spans="1:10" ht="15.75" customHeight="1">
      <c r="A429" s="37"/>
      <c r="B429" s="52"/>
      <c r="C429" s="38"/>
      <c r="D429" s="35"/>
      <c r="E429" s="92"/>
      <c r="F429" s="40"/>
      <c r="G429" s="37"/>
      <c r="H429" s="35"/>
      <c r="I429" s="35"/>
      <c r="J429" s="48"/>
    </row>
    <row r="430" spans="1:10" ht="15.75" customHeight="1">
      <c r="A430" s="37"/>
      <c r="B430" s="52"/>
      <c r="C430" s="38"/>
      <c r="D430" s="35"/>
      <c r="E430" s="92"/>
      <c r="F430" s="40"/>
      <c r="G430" s="37"/>
      <c r="H430" s="35"/>
      <c r="I430" s="35"/>
      <c r="J430" s="48"/>
    </row>
    <row r="431" spans="1:10" ht="15.75" customHeight="1">
      <c r="A431" s="37"/>
      <c r="B431" s="52"/>
      <c r="C431" s="38"/>
      <c r="D431" s="35"/>
      <c r="E431" s="92"/>
      <c r="F431" s="40"/>
      <c r="G431" s="37"/>
      <c r="H431" s="35"/>
      <c r="I431" s="35"/>
      <c r="J431" s="48"/>
    </row>
    <row r="432" spans="1:10" ht="15.75" customHeight="1">
      <c r="A432" s="37"/>
      <c r="B432" s="52"/>
      <c r="C432" s="38"/>
      <c r="D432" s="35"/>
      <c r="E432" s="92"/>
      <c r="F432" s="40"/>
      <c r="G432" s="37"/>
      <c r="H432" s="35"/>
      <c r="I432" s="35"/>
      <c r="J432" s="48"/>
    </row>
    <row r="433" spans="1:10" ht="15.75" customHeight="1">
      <c r="A433" s="37"/>
      <c r="B433" s="52"/>
      <c r="C433" s="38"/>
      <c r="D433" s="35"/>
      <c r="E433" s="92"/>
      <c r="F433" s="40"/>
      <c r="G433" s="37"/>
      <c r="H433" s="35"/>
      <c r="I433" s="35"/>
      <c r="J433" s="48"/>
    </row>
    <row r="434" spans="1:10" ht="15.75" customHeight="1">
      <c r="A434" s="37"/>
      <c r="B434" s="52"/>
      <c r="C434" s="38"/>
      <c r="D434" s="35"/>
      <c r="E434" s="92"/>
      <c r="F434" s="40"/>
      <c r="G434" s="37"/>
      <c r="H434" s="35"/>
      <c r="I434" s="35"/>
      <c r="J434" s="48"/>
    </row>
    <row r="435" spans="1:10" ht="15.75" customHeight="1">
      <c r="A435" s="37"/>
      <c r="B435" s="52"/>
      <c r="C435" s="38"/>
      <c r="D435" s="35"/>
      <c r="E435" s="92"/>
      <c r="F435" s="40"/>
      <c r="G435" s="37"/>
      <c r="H435" s="35"/>
      <c r="I435" s="35"/>
      <c r="J435" s="48"/>
    </row>
    <row r="436" spans="1:10" ht="15.75" customHeight="1">
      <c r="A436" s="37"/>
      <c r="B436" s="52"/>
      <c r="C436" s="38"/>
      <c r="D436" s="35"/>
      <c r="E436" s="92"/>
      <c r="F436" s="40"/>
      <c r="G436" s="37"/>
      <c r="H436" s="35"/>
      <c r="I436" s="35"/>
      <c r="J436" s="48"/>
    </row>
    <row r="437" spans="1:10" ht="15.75" customHeight="1">
      <c r="A437" s="37"/>
      <c r="B437" s="52"/>
      <c r="C437" s="38"/>
      <c r="D437" s="35"/>
      <c r="E437" s="92"/>
      <c r="F437" s="40"/>
      <c r="G437" s="37"/>
      <c r="H437" s="35"/>
      <c r="I437" s="35"/>
      <c r="J437" s="48"/>
    </row>
    <row r="438" spans="1:10" ht="15.75" customHeight="1">
      <c r="A438" s="37"/>
      <c r="B438" s="52"/>
      <c r="C438" s="38"/>
      <c r="D438" s="35"/>
      <c r="E438" s="92"/>
      <c r="F438" s="40"/>
      <c r="G438" s="37"/>
      <c r="H438" s="35"/>
      <c r="I438" s="35"/>
      <c r="J438" s="48"/>
    </row>
    <row r="439" spans="1:10" ht="15.75" customHeight="1">
      <c r="A439" s="37"/>
      <c r="B439" s="52"/>
      <c r="C439" s="38"/>
      <c r="D439" s="35"/>
      <c r="E439" s="92"/>
      <c r="F439" s="40"/>
      <c r="G439" s="37"/>
      <c r="H439" s="35"/>
      <c r="I439" s="35"/>
      <c r="J439" s="48"/>
    </row>
    <row r="440" spans="1:10" ht="15.75" customHeight="1">
      <c r="A440" s="37"/>
      <c r="B440" s="52"/>
      <c r="C440" s="38"/>
      <c r="D440" s="35"/>
      <c r="E440" s="92"/>
      <c r="F440" s="40"/>
      <c r="G440" s="37"/>
      <c r="H440" s="35"/>
      <c r="I440" s="35"/>
      <c r="J440" s="48"/>
    </row>
    <row r="441" spans="1:10" ht="15.75" customHeight="1">
      <c r="A441" s="37"/>
      <c r="B441" s="52"/>
      <c r="C441" s="38"/>
      <c r="D441" s="35"/>
      <c r="E441" s="92"/>
      <c r="F441" s="40"/>
      <c r="G441" s="37"/>
      <c r="H441" s="35"/>
      <c r="I441" s="35"/>
      <c r="J441" s="48"/>
    </row>
    <row r="442" spans="1:10" ht="15.75" customHeight="1">
      <c r="A442" s="37"/>
      <c r="B442" s="52"/>
      <c r="C442" s="38"/>
      <c r="D442" s="35"/>
      <c r="E442" s="92"/>
      <c r="F442" s="40"/>
      <c r="G442" s="37"/>
      <c r="H442" s="35"/>
      <c r="I442" s="35"/>
      <c r="J442" s="48"/>
    </row>
    <row r="443" spans="1:10" ht="15.75" customHeight="1">
      <c r="A443" s="37"/>
      <c r="B443" s="52"/>
      <c r="C443" s="38"/>
      <c r="D443" s="35"/>
      <c r="E443" s="92"/>
      <c r="F443" s="40"/>
      <c r="G443" s="37"/>
      <c r="H443" s="35"/>
      <c r="I443" s="35"/>
      <c r="J443" s="48"/>
    </row>
    <row r="444" spans="1:10" ht="15.75" customHeight="1">
      <c r="A444" s="37"/>
      <c r="B444" s="52"/>
      <c r="C444" s="38"/>
      <c r="D444" s="35"/>
      <c r="E444" s="92"/>
      <c r="F444" s="40"/>
      <c r="G444" s="37"/>
      <c r="H444" s="35"/>
      <c r="I444" s="35"/>
      <c r="J444" s="48"/>
    </row>
    <row r="445" spans="1:10" ht="15.75" customHeight="1">
      <c r="A445" s="37"/>
      <c r="B445" s="52"/>
      <c r="C445" s="38"/>
      <c r="D445" s="35"/>
      <c r="E445" s="92"/>
      <c r="F445" s="40"/>
      <c r="G445" s="37"/>
      <c r="H445" s="35"/>
      <c r="I445" s="35"/>
      <c r="J445" s="48"/>
    </row>
    <row r="446" spans="1:10" ht="15.75" customHeight="1">
      <c r="A446" s="37"/>
      <c r="B446" s="52"/>
      <c r="C446" s="38"/>
      <c r="D446" s="35"/>
      <c r="E446" s="92"/>
      <c r="F446" s="40"/>
      <c r="G446" s="37"/>
      <c r="H446" s="35"/>
      <c r="I446" s="35"/>
      <c r="J446" s="48"/>
    </row>
    <row r="447" spans="1:10" ht="15.75" customHeight="1">
      <c r="A447" s="37"/>
      <c r="B447" s="52"/>
      <c r="C447" s="38"/>
      <c r="D447" s="35"/>
      <c r="E447" s="92"/>
      <c r="F447" s="40"/>
      <c r="G447" s="37"/>
      <c r="H447" s="35"/>
      <c r="I447" s="35"/>
      <c r="J447" s="48"/>
    </row>
    <row r="448" spans="1:10" ht="15.75" customHeight="1">
      <c r="A448" s="37"/>
      <c r="B448" s="52"/>
      <c r="C448" s="38"/>
      <c r="D448" s="35"/>
      <c r="E448" s="92"/>
      <c r="F448" s="40"/>
      <c r="G448" s="37"/>
      <c r="H448" s="35"/>
      <c r="I448" s="35"/>
      <c r="J448" s="48"/>
    </row>
    <row r="449" spans="1:10" ht="15.75" customHeight="1">
      <c r="A449" s="37"/>
      <c r="B449" s="52"/>
      <c r="C449" s="38"/>
      <c r="D449" s="35"/>
      <c r="E449" s="92"/>
      <c r="F449" s="40"/>
      <c r="G449" s="37"/>
      <c r="H449" s="35"/>
      <c r="I449" s="35"/>
      <c r="J449" s="48"/>
    </row>
    <row r="450" spans="1:10" ht="15.75" customHeight="1">
      <c r="A450" s="37"/>
      <c r="B450" s="52"/>
      <c r="C450" s="38"/>
      <c r="D450" s="35"/>
      <c r="E450" s="92"/>
      <c r="F450" s="40"/>
      <c r="G450" s="37"/>
      <c r="H450" s="35"/>
      <c r="I450" s="35"/>
      <c r="J450" s="48"/>
    </row>
    <row r="451" spans="1:10" ht="15.75" customHeight="1">
      <c r="A451" s="37"/>
      <c r="B451" s="52"/>
      <c r="C451" s="38"/>
      <c r="D451" s="35"/>
      <c r="E451" s="92"/>
      <c r="F451" s="40"/>
      <c r="G451" s="37"/>
      <c r="H451" s="35"/>
      <c r="I451" s="35"/>
      <c r="J451" s="48"/>
    </row>
    <row r="452" spans="1:10" ht="15.75" customHeight="1">
      <c r="A452" s="37"/>
      <c r="B452" s="52"/>
      <c r="C452" s="38"/>
      <c r="D452" s="35"/>
      <c r="E452" s="92"/>
      <c r="F452" s="40"/>
      <c r="G452" s="37"/>
      <c r="H452" s="35"/>
      <c r="I452" s="35"/>
      <c r="J452" s="48"/>
    </row>
    <row r="453" spans="1:10" ht="15.75" customHeight="1">
      <c r="A453" s="37"/>
      <c r="B453" s="52"/>
      <c r="C453" s="38"/>
      <c r="D453" s="35"/>
      <c r="E453" s="92"/>
      <c r="F453" s="40"/>
      <c r="G453" s="37"/>
      <c r="H453" s="35"/>
      <c r="I453" s="35"/>
      <c r="J453" s="48"/>
    </row>
    <row r="454" spans="1:10" ht="15.75" customHeight="1">
      <c r="A454" s="37"/>
      <c r="B454" s="52"/>
      <c r="C454" s="38"/>
      <c r="D454" s="35"/>
      <c r="E454" s="92"/>
      <c r="F454" s="40"/>
      <c r="G454" s="37"/>
      <c r="H454" s="35"/>
      <c r="I454" s="35"/>
      <c r="J454" s="48"/>
    </row>
    <row r="455" spans="1:10" ht="15.75" customHeight="1">
      <c r="A455" s="37"/>
      <c r="B455" s="52"/>
      <c r="C455" s="38"/>
      <c r="D455" s="35"/>
      <c r="E455" s="92"/>
      <c r="F455" s="40"/>
      <c r="G455" s="37"/>
      <c r="H455" s="35"/>
      <c r="I455" s="35"/>
      <c r="J455" s="48"/>
    </row>
    <row r="456" spans="1:10" ht="15.75" customHeight="1">
      <c r="A456" s="37"/>
      <c r="B456" s="52"/>
      <c r="C456" s="38"/>
      <c r="D456" s="35"/>
      <c r="E456" s="92"/>
      <c r="F456" s="40"/>
      <c r="G456" s="37"/>
      <c r="H456" s="35"/>
      <c r="I456" s="35"/>
      <c r="J456" s="48"/>
    </row>
    <row r="457" spans="1:10" ht="15.75" customHeight="1">
      <c r="A457" s="37"/>
      <c r="B457" s="52"/>
      <c r="C457" s="38"/>
      <c r="D457" s="35"/>
      <c r="E457" s="92"/>
      <c r="F457" s="40"/>
      <c r="G457" s="37"/>
      <c r="H457" s="35"/>
      <c r="I457" s="35"/>
      <c r="J457" s="48"/>
    </row>
    <row r="458" spans="1:10" ht="15.75" customHeight="1">
      <c r="A458" s="37"/>
      <c r="B458" s="52"/>
      <c r="C458" s="38"/>
      <c r="D458" s="35"/>
      <c r="E458" s="92"/>
      <c r="F458" s="40"/>
      <c r="G458" s="37"/>
      <c r="H458" s="35"/>
      <c r="I458" s="35"/>
      <c r="J458" s="48"/>
    </row>
    <row r="459" spans="1:10" ht="15.75" customHeight="1">
      <c r="A459" s="37"/>
      <c r="B459" s="52"/>
      <c r="C459" s="38"/>
      <c r="D459" s="35"/>
      <c r="E459" s="92"/>
      <c r="F459" s="40"/>
      <c r="G459" s="37"/>
      <c r="H459" s="35"/>
      <c r="I459" s="35"/>
      <c r="J459" s="48"/>
    </row>
    <row r="460" spans="1:10" ht="15.75" customHeight="1">
      <c r="A460" s="37"/>
      <c r="B460" s="52"/>
      <c r="C460" s="38"/>
      <c r="D460" s="35"/>
      <c r="E460" s="92"/>
      <c r="F460" s="40"/>
      <c r="G460" s="37"/>
      <c r="H460" s="35"/>
      <c r="I460" s="35"/>
      <c r="J460" s="48"/>
    </row>
    <row r="461" spans="1:10" ht="15.75" customHeight="1">
      <c r="A461" s="37"/>
      <c r="B461" s="52"/>
      <c r="C461" s="38"/>
      <c r="D461" s="35"/>
      <c r="E461" s="92"/>
      <c r="F461" s="40"/>
      <c r="G461" s="37"/>
      <c r="H461" s="35"/>
      <c r="I461" s="35"/>
      <c r="J461" s="48"/>
    </row>
    <row r="462" spans="1:10" ht="15.75" customHeight="1">
      <c r="A462" s="37"/>
      <c r="B462" s="52"/>
      <c r="C462" s="38"/>
      <c r="D462" s="35"/>
      <c r="E462" s="92"/>
      <c r="F462" s="40"/>
      <c r="G462" s="37"/>
      <c r="H462" s="35"/>
      <c r="I462" s="35"/>
      <c r="J462" s="48"/>
    </row>
    <row r="463" spans="1:10" ht="15.75" customHeight="1">
      <c r="A463" s="37"/>
      <c r="B463" s="52"/>
      <c r="C463" s="38"/>
      <c r="D463" s="35"/>
      <c r="E463" s="92"/>
      <c r="F463" s="40"/>
      <c r="G463" s="37"/>
      <c r="H463" s="35"/>
      <c r="I463" s="35"/>
      <c r="J463" s="48"/>
    </row>
    <row r="464" spans="1:10" ht="15.75" customHeight="1">
      <c r="A464" s="37"/>
      <c r="B464" s="52"/>
      <c r="C464" s="38"/>
      <c r="D464" s="35"/>
      <c r="E464" s="92"/>
      <c r="F464" s="40"/>
      <c r="G464" s="37"/>
      <c r="H464" s="35"/>
      <c r="I464" s="35"/>
      <c r="J464" s="48"/>
    </row>
    <row r="465" spans="1:10" ht="15.75" customHeight="1">
      <c r="A465" s="37"/>
      <c r="B465" s="52"/>
      <c r="C465" s="38"/>
      <c r="D465" s="35"/>
      <c r="E465" s="92"/>
      <c r="F465" s="40"/>
      <c r="G465" s="37"/>
      <c r="H465" s="35"/>
      <c r="I465" s="35"/>
      <c r="J465" s="48"/>
    </row>
    <row r="466" spans="1:10" ht="15.75" customHeight="1">
      <c r="A466" s="37"/>
      <c r="B466" s="52"/>
      <c r="C466" s="38"/>
      <c r="D466" s="35"/>
      <c r="E466" s="92"/>
      <c r="F466" s="40"/>
      <c r="G466" s="37"/>
      <c r="H466" s="35"/>
      <c r="I466" s="35"/>
      <c r="J466" s="48"/>
    </row>
    <row r="467" spans="1:10" ht="15.75" customHeight="1">
      <c r="A467" s="37"/>
      <c r="B467" s="52"/>
      <c r="C467" s="38"/>
      <c r="D467" s="35"/>
      <c r="E467" s="92"/>
      <c r="F467" s="40"/>
      <c r="G467" s="37"/>
      <c r="H467" s="35"/>
      <c r="I467" s="35"/>
      <c r="J467" s="48"/>
    </row>
    <row r="468" spans="1:10" ht="15.75" customHeight="1">
      <c r="A468" s="37"/>
      <c r="B468" s="52"/>
      <c r="C468" s="38"/>
      <c r="D468" s="35"/>
      <c r="E468" s="92"/>
      <c r="F468" s="40"/>
      <c r="G468" s="37"/>
      <c r="H468" s="35"/>
      <c r="I468" s="35"/>
      <c r="J468" s="48"/>
    </row>
    <row r="469" spans="1:10" ht="15.75" customHeight="1">
      <c r="A469" s="37"/>
      <c r="B469" s="52"/>
      <c r="C469" s="38"/>
      <c r="D469" s="35"/>
      <c r="E469" s="92"/>
      <c r="F469" s="40"/>
      <c r="G469" s="37"/>
      <c r="H469" s="35"/>
      <c r="I469" s="35"/>
      <c r="J469" s="48"/>
    </row>
    <row r="470" spans="1:10" ht="15.75" customHeight="1">
      <c r="A470" s="37"/>
      <c r="B470" s="52"/>
      <c r="C470" s="38"/>
      <c r="D470" s="35"/>
      <c r="E470" s="92"/>
      <c r="F470" s="40"/>
      <c r="G470" s="37"/>
      <c r="H470" s="35"/>
      <c r="I470" s="35"/>
      <c r="J470" s="48"/>
    </row>
    <row r="471" spans="1:10" ht="15.75" customHeight="1">
      <c r="A471" s="37"/>
      <c r="B471" s="52"/>
      <c r="C471" s="38"/>
      <c r="D471" s="35"/>
      <c r="E471" s="92"/>
      <c r="F471" s="40"/>
      <c r="G471" s="37"/>
      <c r="H471" s="35"/>
      <c r="I471" s="35"/>
      <c r="J471" s="48"/>
    </row>
    <row r="472" spans="1:10" ht="15.75" customHeight="1">
      <c r="A472" s="37"/>
      <c r="B472" s="52"/>
      <c r="C472" s="38"/>
      <c r="D472" s="35"/>
      <c r="E472" s="92"/>
      <c r="F472" s="40"/>
      <c r="G472" s="37"/>
      <c r="H472" s="35"/>
      <c r="I472" s="35"/>
      <c r="J472" s="48"/>
    </row>
    <row r="473" spans="1:10" ht="15.75" customHeight="1">
      <c r="A473" s="37"/>
      <c r="B473" s="52"/>
      <c r="C473" s="38"/>
      <c r="D473" s="35"/>
      <c r="E473" s="92"/>
      <c r="F473" s="40"/>
      <c r="G473" s="37"/>
      <c r="H473" s="35"/>
      <c r="I473" s="35"/>
      <c r="J473" s="48"/>
    </row>
    <row r="474" spans="1:10" ht="15.75" customHeight="1">
      <c r="A474" s="37"/>
      <c r="B474" s="52"/>
      <c r="C474" s="38"/>
      <c r="D474" s="35"/>
      <c r="E474" s="92"/>
      <c r="F474" s="40"/>
      <c r="G474" s="37"/>
      <c r="H474" s="35"/>
      <c r="I474" s="35"/>
      <c r="J474" s="48"/>
    </row>
    <row r="475" spans="1:10" ht="15.75" customHeight="1">
      <c r="A475" s="37"/>
      <c r="B475" s="52"/>
      <c r="C475" s="38"/>
      <c r="D475" s="35"/>
      <c r="E475" s="92"/>
      <c r="F475" s="40"/>
      <c r="G475" s="37"/>
      <c r="H475" s="35"/>
      <c r="I475" s="35"/>
      <c r="J475" s="48"/>
    </row>
    <row r="476" spans="1:10" ht="15.75" customHeight="1">
      <c r="A476" s="37"/>
      <c r="B476" s="52"/>
      <c r="C476" s="38"/>
      <c r="D476" s="35"/>
      <c r="E476" s="92"/>
      <c r="F476" s="40"/>
      <c r="G476" s="37"/>
      <c r="H476" s="35"/>
      <c r="I476" s="35"/>
      <c r="J476" s="48"/>
    </row>
    <row r="477" spans="1:10" ht="15.75" customHeight="1">
      <c r="A477" s="37"/>
      <c r="B477" s="52"/>
      <c r="C477" s="38"/>
      <c r="D477" s="35"/>
      <c r="E477" s="92"/>
      <c r="F477" s="40"/>
      <c r="G477" s="37"/>
      <c r="H477" s="35"/>
      <c r="I477" s="35"/>
      <c r="J477" s="48"/>
    </row>
    <row r="478" spans="1:10" ht="15.75" customHeight="1">
      <c r="A478" s="37"/>
      <c r="B478" s="52"/>
      <c r="C478" s="38"/>
      <c r="D478" s="35"/>
      <c r="E478" s="92"/>
      <c r="F478" s="40"/>
      <c r="G478" s="37"/>
      <c r="H478" s="35"/>
      <c r="I478" s="35"/>
      <c r="J478" s="48"/>
    </row>
    <row r="479" spans="1:10" ht="15.75" customHeight="1">
      <c r="A479" s="37"/>
      <c r="B479" s="52"/>
      <c r="C479" s="38"/>
      <c r="D479" s="35"/>
      <c r="E479" s="92"/>
      <c r="F479" s="40"/>
      <c r="G479" s="37"/>
      <c r="H479" s="35"/>
      <c r="I479" s="35"/>
      <c r="J479" s="48"/>
    </row>
    <row r="480" spans="1:10" ht="15.75" customHeight="1">
      <c r="A480" s="37"/>
      <c r="B480" s="52"/>
      <c r="C480" s="38"/>
      <c r="D480" s="35"/>
      <c r="E480" s="92"/>
      <c r="F480" s="40"/>
      <c r="G480" s="37"/>
      <c r="H480" s="35"/>
      <c r="I480" s="35"/>
      <c r="J480" s="48"/>
    </row>
    <row r="481" spans="1:10" ht="15.75" customHeight="1">
      <c r="A481" s="37"/>
      <c r="B481" s="52"/>
      <c r="C481" s="38"/>
      <c r="D481" s="35"/>
      <c r="E481" s="92"/>
      <c r="F481" s="40"/>
      <c r="G481" s="37"/>
      <c r="H481" s="35"/>
      <c r="I481" s="35"/>
      <c r="J481" s="48"/>
    </row>
    <row r="482" spans="1:10" ht="15.75" customHeight="1">
      <c r="A482" s="37"/>
      <c r="B482" s="52"/>
      <c r="C482" s="38"/>
      <c r="D482" s="35"/>
      <c r="E482" s="92"/>
      <c r="F482" s="40"/>
      <c r="G482" s="37"/>
      <c r="H482" s="35"/>
      <c r="I482" s="35"/>
      <c r="J482" s="48"/>
    </row>
    <row r="483" spans="1:10" ht="15.75" customHeight="1">
      <c r="A483" s="37"/>
      <c r="B483" s="52"/>
      <c r="C483" s="38"/>
      <c r="D483" s="35"/>
      <c r="E483" s="92"/>
      <c r="F483" s="40"/>
      <c r="G483" s="37"/>
      <c r="H483" s="35"/>
      <c r="I483" s="35"/>
      <c r="J483" s="48"/>
    </row>
    <row r="484" spans="1:10" ht="15.75" customHeight="1">
      <c r="A484" s="37"/>
      <c r="B484" s="52"/>
      <c r="C484" s="38"/>
      <c r="D484" s="35"/>
      <c r="E484" s="92"/>
      <c r="F484" s="40"/>
      <c r="G484" s="37"/>
      <c r="H484" s="35"/>
      <c r="I484" s="35"/>
      <c r="J484" s="48"/>
    </row>
    <row r="485" spans="1:10" ht="15.75" customHeight="1">
      <c r="A485" s="37"/>
      <c r="B485" s="52"/>
      <c r="C485" s="38"/>
      <c r="D485" s="35"/>
      <c r="E485" s="92"/>
      <c r="F485" s="40"/>
      <c r="G485" s="37"/>
      <c r="H485" s="35"/>
      <c r="I485" s="35"/>
      <c r="J485" s="48"/>
    </row>
    <row r="486" spans="1:10" ht="15.75" customHeight="1">
      <c r="A486" s="37"/>
      <c r="B486" s="52"/>
      <c r="C486" s="38"/>
      <c r="D486" s="35"/>
      <c r="E486" s="92"/>
      <c r="F486" s="40"/>
      <c r="G486" s="37"/>
      <c r="H486" s="35"/>
      <c r="I486" s="35"/>
      <c r="J486" s="48"/>
    </row>
    <row r="487" spans="1:10" ht="15.75" customHeight="1">
      <c r="A487" s="37"/>
      <c r="B487" s="52"/>
      <c r="C487" s="38"/>
      <c r="D487" s="35"/>
      <c r="E487" s="92"/>
      <c r="F487" s="40"/>
      <c r="G487" s="37"/>
      <c r="H487" s="35"/>
      <c r="I487" s="35"/>
      <c r="J487" s="48"/>
    </row>
    <row r="488" spans="1:10" ht="15.75" customHeight="1">
      <c r="A488" s="37"/>
      <c r="B488" s="52"/>
      <c r="C488" s="38"/>
      <c r="D488" s="35"/>
      <c r="E488" s="92"/>
      <c r="F488" s="40"/>
      <c r="G488" s="37"/>
      <c r="H488" s="35"/>
      <c r="I488" s="35"/>
      <c r="J488" s="48"/>
    </row>
    <row r="489" spans="1:10" ht="15.75" customHeight="1">
      <c r="A489" s="37"/>
      <c r="B489" s="52"/>
      <c r="C489" s="38"/>
      <c r="D489" s="35"/>
      <c r="E489" s="92"/>
      <c r="F489" s="40"/>
      <c r="G489" s="37"/>
      <c r="H489" s="35"/>
      <c r="I489" s="35"/>
      <c r="J489" s="48"/>
    </row>
    <row r="490" spans="1:10" ht="15.75" customHeight="1">
      <c r="A490" s="37"/>
      <c r="B490" s="52"/>
      <c r="C490" s="38"/>
      <c r="D490" s="35"/>
      <c r="E490" s="92"/>
      <c r="F490" s="40"/>
      <c r="G490" s="37"/>
      <c r="H490" s="35"/>
      <c r="I490" s="35"/>
      <c r="J490" s="48"/>
    </row>
    <row r="491" spans="1:10" ht="15.75" customHeight="1">
      <c r="A491" s="37"/>
      <c r="B491" s="52"/>
      <c r="C491" s="38"/>
      <c r="D491" s="35"/>
      <c r="E491" s="92"/>
      <c r="F491" s="40"/>
      <c r="G491" s="37"/>
      <c r="H491" s="35"/>
      <c r="I491" s="35"/>
      <c r="J491" s="48"/>
    </row>
    <row r="492" spans="1:10" ht="15.75" customHeight="1">
      <c r="A492" s="37"/>
      <c r="B492" s="52"/>
      <c r="C492" s="38"/>
      <c r="D492" s="35"/>
      <c r="E492" s="92"/>
      <c r="F492" s="40"/>
      <c r="G492" s="37"/>
      <c r="H492" s="35"/>
      <c r="I492" s="35"/>
      <c r="J492" s="48"/>
    </row>
    <row r="493" spans="1:10" ht="15.75" customHeight="1">
      <c r="A493" s="37"/>
      <c r="B493" s="52"/>
      <c r="C493" s="38"/>
      <c r="D493" s="35"/>
      <c r="E493" s="92"/>
      <c r="F493" s="40"/>
      <c r="G493" s="37"/>
      <c r="H493" s="35"/>
      <c r="I493" s="35"/>
      <c r="J493" s="48"/>
    </row>
    <row r="494" spans="1:10" ht="15.75" customHeight="1">
      <c r="A494" s="37"/>
      <c r="B494" s="52"/>
      <c r="C494" s="38"/>
      <c r="D494" s="35"/>
      <c r="E494" s="92"/>
      <c r="F494" s="40"/>
      <c r="G494" s="37"/>
      <c r="H494" s="35"/>
      <c r="I494" s="35"/>
      <c r="J494" s="48"/>
    </row>
    <row r="495" spans="1:10" ht="15.75" customHeight="1">
      <c r="A495" s="37"/>
      <c r="B495" s="52"/>
      <c r="C495" s="38"/>
      <c r="D495" s="35"/>
      <c r="E495" s="92"/>
      <c r="F495" s="40"/>
      <c r="G495" s="37"/>
      <c r="H495" s="35"/>
      <c r="I495" s="35"/>
      <c r="J495" s="48"/>
    </row>
    <row r="496" spans="1:10" ht="15.75" customHeight="1">
      <c r="A496" s="37"/>
      <c r="B496" s="52"/>
      <c r="C496" s="38"/>
      <c r="D496" s="35"/>
      <c r="E496" s="92"/>
      <c r="F496" s="40"/>
      <c r="G496" s="37"/>
      <c r="H496" s="35"/>
      <c r="I496" s="35"/>
      <c r="J496" s="48"/>
    </row>
    <row r="497" spans="1:10" ht="15.75" customHeight="1">
      <c r="A497" s="37"/>
      <c r="B497" s="52"/>
      <c r="C497" s="38"/>
      <c r="D497" s="35"/>
      <c r="E497" s="92"/>
      <c r="F497" s="40"/>
      <c r="G497" s="37"/>
      <c r="H497" s="35"/>
      <c r="I497" s="35"/>
      <c r="J497" s="48"/>
    </row>
    <row r="498" spans="1:10" ht="15.75" customHeight="1">
      <c r="A498" s="37"/>
      <c r="B498" s="52"/>
      <c r="C498" s="38"/>
      <c r="D498" s="35"/>
      <c r="E498" s="92"/>
      <c r="F498" s="40"/>
      <c r="G498" s="37"/>
      <c r="H498" s="35"/>
      <c r="I498" s="35"/>
      <c r="J498" s="48"/>
    </row>
    <row r="499" spans="1:10" ht="15.75" customHeight="1">
      <c r="A499" s="37"/>
      <c r="B499" s="52"/>
      <c r="C499" s="38"/>
      <c r="D499" s="35"/>
      <c r="E499" s="92"/>
      <c r="F499" s="40"/>
      <c r="G499" s="37"/>
      <c r="H499" s="35"/>
      <c r="I499" s="35"/>
      <c r="J499" s="48"/>
    </row>
    <row r="500" spans="1:10" ht="15.75" customHeight="1">
      <c r="A500" s="37"/>
      <c r="B500" s="52"/>
      <c r="C500" s="38"/>
      <c r="D500" s="35"/>
      <c r="E500" s="92"/>
      <c r="F500" s="40"/>
      <c r="G500" s="37"/>
      <c r="H500" s="35"/>
      <c r="I500" s="35"/>
      <c r="J500" s="48"/>
    </row>
    <row r="501" spans="1:10" ht="15.75" customHeight="1">
      <c r="A501" s="37"/>
      <c r="B501" s="52"/>
      <c r="C501" s="38"/>
      <c r="D501" s="35"/>
      <c r="E501" s="92"/>
      <c r="F501" s="40"/>
      <c r="G501" s="37"/>
      <c r="H501" s="35"/>
      <c r="I501" s="35"/>
      <c r="J501" s="48"/>
    </row>
    <row r="502" spans="1:10" ht="15.75" customHeight="1">
      <c r="A502" s="37"/>
      <c r="B502" s="52"/>
      <c r="C502" s="38"/>
      <c r="D502" s="35"/>
      <c r="E502" s="92"/>
      <c r="F502" s="40"/>
      <c r="G502" s="37"/>
      <c r="H502" s="35"/>
      <c r="I502" s="35"/>
      <c r="J502" s="48"/>
    </row>
    <row r="503" spans="1:10" ht="15.75" customHeight="1">
      <c r="A503" s="37"/>
      <c r="B503" s="52"/>
      <c r="C503" s="38"/>
      <c r="D503" s="35"/>
      <c r="E503" s="92"/>
      <c r="F503" s="40"/>
      <c r="G503" s="37"/>
      <c r="H503" s="35"/>
      <c r="I503" s="35"/>
      <c r="J503" s="48"/>
    </row>
    <row r="504" spans="1:10" ht="15.75" customHeight="1">
      <c r="A504" s="37"/>
      <c r="B504" s="52"/>
      <c r="C504" s="38"/>
      <c r="D504" s="35"/>
      <c r="E504" s="92"/>
      <c r="F504" s="40"/>
      <c r="G504" s="37"/>
      <c r="H504" s="35"/>
      <c r="I504" s="35"/>
      <c r="J504" s="48"/>
    </row>
    <row r="505" spans="1:10" ht="15.75" customHeight="1">
      <c r="A505" s="37"/>
      <c r="B505" s="52"/>
      <c r="C505" s="38"/>
      <c r="D505" s="35"/>
      <c r="E505" s="92"/>
      <c r="F505" s="40"/>
      <c r="G505" s="37"/>
      <c r="H505" s="35"/>
      <c r="I505" s="35"/>
      <c r="J505" s="48"/>
    </row>
    <row r="506" spans="1:10" ht="15.75" customHeight="1">
      <c r="A506" s="37"/>
      <c r="B506" s="52"/>
      <c r="C506" s="38"/>
      <c r="D506" s="35"/>
      <c r="E506" s="92"/>
      <c r="F506" s="40"/>
      <c r="G506" s="37"/>
      <c r="H506" s="35"/>
      <c r="I506" s="35"/>
      <c r="J506" s="48"/>
    </row>
    <row r="507" spans="1:10" ht="15.75" customHeight="1">
      <c r="A507" s="37"/>
      <c r="B507" s="52"/>
      <c r="C507" s="38"/>
      <c r="D507" s="35"/>
      <c r="E507" s="92"/>
      <c r="F507" s="40"/>
      <c r="G507" s="37"/>
      <c r="H507" s="35"/>
      <c r="I507" s="35"/>
      <c r="J507" s="48"/>
    </row>
    <row r="508" spans="1:10" ht="15.75" customHeight="1">
      <c r="A508" s="37"/>
      <c r="B508" s="52"/>
      <c r="C508" s="38"/>
      <c r="D508" s="35"/>
      <c r="E508" s="92"/>
      <c r="F508" s="40"/>
      <c r="G508" s="37"/>
      <c r="H508" s="35"/>
      <c r="I508" s="35"/>
      <c r="J508" s="48"/>
    </row>
    <row r="509" spans="1:10" ht="15.75" customHeight="1">
      <c r="A509" s="37"/>
      <c r="B509" s="52"/>
      <c r="C509" s="38"/>
      <c r="D509" s="35"/>
      <c r="E509" s="92"/>
      <c r="F509" s="40"/>
      <c r="G509" s="37"/>
      <c r="H509" s="35"/>
      <c r="I509" s="35"/>
      <c r="J509" s="48"/>
    </row>
    <row r="510" spans="1:10" ht="15.75" customHeight="1">
      <c r="A510" s="37"/>
      <c r="B510" s="52"/>
      <c r="C510" s="38"/>
      <c r="D510" s="35"/>
      <c r="E510" s="92"/>
      <c r="F510" s="40"/>
      <c r="G510" s="37"/>
      <c r="H510" s="35"/>
      <c r="I510" s="35"/>
      <c r="J510" s="48"/>
    </row>
    <row r="511" spans="1:10" ht="15.75" customHeight="1">
      <c r="A511" s="37"/>
      <c r="B511" s="52"/>
      <c r="C511" s="38"/>
      <c r="D511" s="35"/>
      <c r="E511" s="92"/>
      <c r="F511" s="40"/>
      <c r="G511" s="37"/>
      <c r="H511" s="35"/>
      <c r="I511" s="35"/>
      <c r="J511" s="48"/>
    </row>
    <row r="512" spans="1:10" ht="15.75" customHeight="1">
      <c r="A512" s="37"/>
      <c r="B512" s="52"/>
      <c r="C512" s="38"/>
      <c r="D512" s="35"/>
      <c r="E512" s="92"/>
      <c r="F512" s="40"/>
      <c r="G512" s="37"/>
      <c r="H512" s="35"/>
      <c r="I512" s="35"/>
      <c r="J512" s="48"/>
    </row>
    <row r="513" spans="1:10" ht="15.75" customHeight="1">
      <c r="A513" s="37"/>
      <c r="B513" s="52"/>
      <c r="C513" s="38"/>
      <c r="D513" s="35"/>
      <c r="E513" s="92"/>
      <c r="F513" s="40"/>
      <c r="G513" s="37"/>
      <c r="H513" s="35"/>
      <c r="I513" s="35"/>
      <c r="J513" s="48"/>
    </row>
    <row r="514" spans="1:10" ht="15.75" customHeight="1">
      <c r="A514" s="37"/>
      <c r="B514" s="52"/>
      <c r="C514" s="38"/>
      <c r="D514" s="35"/>
      <c r="E514" s="92"/>
      <c r="F514" s="40"/>
      <c r="G514" s="37"/>
      <c r="H514" s="35"/>
      <c r="I514" s="35"/>
      <c r="J514" s="48"/>
    </row>
    <row r="515" spans="1:10" ht="15.75" customHeight="1">
      <c r="A515" s="37"/>
      <c r="B515" s="52"/>
      <c r="C515" s="38"/>
      <c r="D515" s="35"/>
      <c r="E515" s="92"/>
      <c r="F515" s="40"/>
      <c r="G515" s="37"/>
      <c r="H515" s="35"/>
      <c r="I515" s="35"/>
      <c r="J515" s="48"/>
    </row>
    <row r="516" spans="1:10" ht="15.75" customHeight="1">
      <c r="A516" s="37"/>
      <c r="B516" s="52"/>
      <c r="C516" s="38"/>
      <c r="D516" s="35"/>
      <c r="E516" s="92"/>
      <c r="F516" s="40"/>
      <c r="G516" s="37"/>
      <c r="H516" s="35"/>
      <c r="I516" s="35"/>
      <c r="J516" s="48"/>
    </row>
    <row r="517" spans="1:10" ht="15.75" customHeight="1">
      <c r="A517" s="37"/>
      <c r="B517" s="52"/>
      <c r="C517" s="38"/>
      <c r="D517" s="35"/>
      <c r="E517" s="92"/>
      <c r="F517" s="40"/>
      <c r="G517" s="37"/>
      <c r="H517" s="35"/>
      <c r="I517" s="35"/>
      <c r="J517" s="48"/>
    </row>
    <row r="518" spans="1:10" ht="15.75" customHeight="1">
      <c r="A518" s="37"/>
      <c r="B518" s="52"/>
      <c r="C518" s="38"/>
      <c r="D518" s="35"/>
      <c r="E518" s="92"/>
      <c r="F518" s="40"/>
      <c r="G518" s="37"/>
      <c r="H518" s="35"/>
      <c r="I518" s="35"/>
      <c r="J518" s="48"/>
    </row>
    <row r="519" spans="1:10" ht="15.75" customHeight="1">
      <c r="A519" s="37"/>
      <c r="B519" s="52"/>
      <c r="C519" s="38"/>
      <c r="D519" s="35"/>
      <c r="E519" s="92"/>
      <c r="F519" s="40"/>
      <c r="G519" s="37"/>
      <c r="H519" s="35"/>
      <c r="I519" s="35"/>
      <c r="J519" s="48"/>
    </row>
    <row r="520" spans="1:10" ht="15.75" customHeight="1">
      <c r="A520" s="37"/>
      <c r="B520" s="52"/>
      <c r="C520" s="38"/>
      <c r="D520" s="35"/>
      <c r="E520" s="92"/>
      <c r="F520" s="40"/>
      <c r="G520" s="37"/>
      <c r="H520" s="35"/>
      <c r="I520" s="35"/>
      <c r="J520" s="48"/>
    </row>
    <row r="521" spans="1:10" ht="15.75" customHeight="1">
      <c r="A521" s="37"/>
      <c r="B521" s="52"/>
      <c r="C521" s="38"/>
      <c r="D521" s="35"/>
      <c r="E521" s="92"/>
      <c r="F521" s="40"/>
      <c r="G521" s="37"/>
      <c r="H521" s="35"/>
      <c r="I521" s="35"/>
      <c r="J521" s="48"/>
    </row>
    <row r="522" spans="1:10" ht="15.75" customHeight="1">
      <c r="A522" s="37"/>
      <c r="B522" s="52"/>
      <c r="C522" s="38"/>
      <c r="D522" s="35"/>
      <c r="E522" s="92"/>
      <c r="F522" s="40"/>
      <c r="G522" s="37"/>
      <c r="H522" s="35"/>
      <c r="I522" s="35"/>
      <c r="J522" s="48"/>
    </row>
    <row r="523" spans="1:10" ht="15.75" customHeight="1">
      <c r="A523" s="37"/>
      <c r="B523" s="52"/>
      <c r="C523" s="38"/>
      <c r="D523" s="35"/>
      <c r="E523" s="92"/>
      <c r="F523" s="40"/>
      <c r="G523" s="37"/>
      <c r="H523" s="35"/>
      <c r="I523" s="35"/>
      <c r="J523" s="48"/>
    </row>
    <row r="524" spans="1:10" ht="15.75" customHeight="1">
      <c r="A524" s="37"/>
      <c r="B524" s="52"/>
      <c r="C524" s="38"/>
      <c r="D524" s="35"/>
      <c r="E524" s="92"/>
      <c r="F524" s="40"/>
      <c r="G524" s="37"/>
      <c r="H524" s="35"/>
      <c r="I524" s="35"/>
      <c r="J524" s="48"/>
    </row>
    <row r="525" spans="1:10" ht="15.75" customHeight="1">
      <c r="A525" s="37"/>
      <c r="B525" s="52"/>
      <c r="C525" s="38"/>
      <c r="D525" s="35"/>
      <c r="E525" s="92"/>
      <c r="F525" s="40"/>
      <c r="G525" s="37"/>
      <c r="H525" s="35"/>
      <c r="I525" s="35"/>
      <c r="J525" s="48"/>
    </row>
    <row r="526" spans="1:10" ht="15.75" customHeight="1">
      <c r="A526" s="37"/>
      <c r="B526" s="52"/>
      <c r="C526" s="38"/>
      <c r="D526" s="35"/>
      <c r="E526" s="92"/>
      <c r="F526" s="40"/>
      <c r="G526" s="37"/>
      <c r="H526" s="35"/>
      <c r="I526" s="35"/>
      <c r="J526" s="48"/>
    </row>
    <row r="527" spans="1:10" ht="15.75" customHeight="1">
      <c r="A527" s="37"/>
      <c r="B527" s="52"/>
      <c r="C527" s="38"/>
      <c r="D527" s="35"/>
      <c r="E527" s="92"/>
      <c r="F527" s="40"/>
      <c r="G527" s="37"/>
      <c r="H527" s="35"/>
      <c r="I527" s="35"/>
      <c r="J527" s="48"/>
    </row>
    <row r="528" spans="1:10" ht="15.75" customHeight="1">
      <c r="A528" s="37"/>
      <c r="B528" s="52"/>
      <c r="C528" s="38"/>
      <c r="D528" s="35"/>
      <c r="E528" s="92"/>
      <c r="F528" s="40"/>
      <c r="G528" s="37"/>
      <c r="H528" s="35"/>
      <c r="I528" s="35"/>
      <c r="J528" s="48"/>
    </row>
    <row r="529" spans="1:10" ht="15.75" customHeight="1">
      <c r="A529" s="37"/>
      <c r="B529" s="52"/>
      <c r="C529" s="38"/>
      <c r="D529" s="35"/>
      <c r="E529" s="92"/>
      <c r="F529" s="40"/>
      <c r="G529" s="37"/>
      <c r="H529" s="35"/>
      <c r="I529" s="35"/>
      <c r="J529" s="48"/>
    </row>
    <row r="530" spans="1:10" ht="15.75" customHeight="1">
      <c r="A530" s="37"/>
      <c r="B530" s="52"/>
      <c r="C530" s="38"/>
      <c r="D530" s="35"/>
      <c r="E530" s="92"/>
      <c r="F530" s="40"/>
      <c r="G530" s="37"/>
      <c r="H530" s="35"/>
      <c r="I530" s="35"/>
      <c r="J530" s="48"/>
    </row>
    <row r="531" spans="1:10" ht="15.75" customHeight="1">
      <c r="A531" s="37"/>
      <c r="B531" s="52"/>
      <c r="C531" s="38"/>
      <c r="D531" s="35"/>
      <c r="E531" s="92"/>
      <c r="F531" s="40"/>
      <c r="G531" s="37"/>
      <c r="H531" s="35"/>
      <c r="I531" s="35"/>
      <c r="J531" s="48"/>
    </row>
    <row r="532" spans="1:10" ht="15.75" customHeight="1">
      <c r="A532" s="37"/>
      <c r="B532" s="52"/>
      <c r="C532" s="38"/>
      <c r="D532" s="35"/>
      <c r="E532" s="92"/>
      <c r="F532" s="40"/>
      <c r="G532" s="37"/>
      <c r="H532" s="35"/>
      <c r="I532" s="35"/>
      <c r="J532" s="48"/>
    </row>
    <row r="533" spans="1:10" ht="15.75" customHeight="1">
      <c r="A533" s="37"/>
      <c r="B533" s="52"/>
      <c r="C533" s="38"/>
      <c r="D533" s="35"/>
      <c r="E533" s="92"/>
      <c r="F533" s="40"/>
      <c r="G533" s="37"/>
      <c r="H533" s="35"/>
      <c r="I533" s="35"/>
      <c r="J533" s="48"/>
    </row>
    <row r="534" spans="1:10" ht="15.75" customHeight="1">
      <c r="A534" s="37"/>
      <c r="B534" s="52"/>
      <c r="C534" s="38"/>
      <c r="D534" s="35"/>
      <c r="E534" s="92"/>
      <c r="F534" s="40"/>
      <c r="G534" s="37"/>
      <c r="H534" s="35"/>
      <c r="I534" s="35"/>
      <c r="J534" s="48"/>
    </row>
    <row r="535" spans="1:10" ht="15.75" customHeight="1">
      <c r="A535" s="37"/>
      <c r="B535" s="52"/>
      <c r="C535" s="38"/>
      <c r="D535" s="35"/>
      <c r="E535" s="92"/>
      <c r="F535" s="40"/>
      <c r="G535" s="37"/>
      <c r="H535" s="35"/>
      <c r="I535" s="35"/>
      <c r="J535" s="48"/>
    </row>
    <row r="536" spans="1:10" ht="15.75" customHeight="1">
      <c r="A536" s="37"/>
      <c r="B536" s="52"/>
      <c r="C536" s="38"/>
      <c r="D536" s="35"/>
      <c r="E536" s="92"/>
      <c r="F536" s="40"/>
      <c r="G536" s="37"/>
      <c r="H536" s="35"/>
      <c r="I536" s="35"/>
      <c r="J536" s="48"/>
    </row>
    <row r="537" spans="1:10" ht="15.75" customHeight="1">
      <c r="A537" s="37"/>
      <c r="B537" s="52"/>
      <c r="C537" s="38"/>
      <c r="D537" s="35"/>
      <c r="E537" s="92"/>
      <c r="F537" s="40"/>
      <c r="G537" s="37"/>
      <c r="H537" s="35"/>
      <c r="I537" s="35"/>
      <c r="J537" s="48"/>
    </row>
    <row r="538" spans="1:10" ht="15.75" customHeight="1">
      <c r="A538" s="37"/>
      <c r="B538" s="52"/>
      <c r="C538" s="38"/>
      <c r="D538" s="35"/>
      <c r="E538" s="92"/>
      <c r="F538" s="40"/>
      <c r="G538" s="37"/>
      <c r="H538" s="35"/>
      <c r="I538" s="35"/>
      <c r="J538" s="48"/>
    </row>
    <row r="539" spans="1:10" ht="15.75" customHeight="1">
      <c r="A539" s="37"/>
      <c r="B539" s="52"/>
      <c r="C539" s="38"/>
      <c r="D539" s="35"/>
      <c r="E539" s="92"/>
      <c r="F539" s="40"/>
      <c r="G539" s="37"/>
      <c r="H539" s="35"/>
      <c r="I539" s="35"/>
      <c r="J539" s="48"/>
    </row>
    <row r="540" spans="1:10" ht="15.75" customHeight="1">
      <c r="A540" s="37"/>
      <c r="B540" s="52"/>
      <c r="C540" s="38"/>
      <c r="D540" s="35"/>
      <c r="E540" s="92"/>
      <c r="F540" s="40"/>
      <c r="G540" s="37"/>
      <c r="H540" s="35"/>
      <c r="I540" s="35"/>
      <c r="J540" s="48"/>
    </row>
    <row r="541" spans="1:10" ht="15.75" customHeight="1">
      <c r="A541" s="37"/>
      <c r="B541" s="52"/>
      <c r="C541" s="38"/>
      <c r="D541" s="35"/>
      <c r="E541" s="92"/>
      <c r="F541" s="40"/>
      <c r="G541" s="37"/>
      <c r="H541" s="35"/>
      <c r="I541" s="35"/>
      <c r="J541" s="48"/>
    </row>
    <row r="542" spans="1:10" ht="15.75" customHeight="1">
      <c r="A542" s="37"/>
      <c r="B542" s="52"/>
      <c r="C542" s="38"/>
      <c r="D542" s="35"/>
      <c r="E542" s="92"/>
      <c r="F542" s="40"/>
      <c r="G542" s="37"/>
      <c r="H542" s="35"/>
      <c r="I542" s="35"/>
      <c r="J542" s="48"/>
    </row>
    <row r="543" spans="1:10" ht="15.75" customHeight="1">
      <c r="A543" s="37"/>
      <c r="B543" s="52"/>
      <c r="C543" s="38"/>
      <c r="D543" s="35"/>
      <c r="E543" s="92"/>
      <c r="F543" s="40"/>
      <c r="G543" s="37"/>
      <c r="H543" s="35"/>
      <c r="I543" s="35"/>
      <c r="J543" s="48"/>
    </row>
    <row r="544" spans="1:10" ht="15.75" customHeight="1">
      <c r="A544" s="37"/>
      <c r="B544" s="52"/>
      <c r="C544" s="38"/>
      <c r="D544" s="35"/>
      <c r="E544" s="92"/>
      <c r="F544" s="40"/>
      <c r="G544" s="37"/>
      <c r="H544" s="35"/>
      <c r="I544" s="35"/>
      <c r="J544" s="48"/>
    </row>
    <row r="545" spans="1:10" ht="15.75" customHeight="1">
      <c r="A545" s="37"/>
      <c r="B545" s="52"/>
      <c r="C545" s="38"/>
      <c r="D545" s="35"/>
      <c r="E545" s="92"/>
      <c r="F545" s="40"/>
      <c r="G545" s="37"/>
      <c r="H545" s="35"/>
      <c r="I545" s="35"/>
      <c r="J545" s="48"/>
    </row>
    <row r="546" spans="1:10" ht="15.75" customHeight="1">
      <c r="A546" s="37"/>
      <c r="B546" s="52"/>
      <c r="C546" s="38"/>
      <c r="D546" s="35"/>
      <c r="E546" s="92"/>
      <c r="F546" s="40"/>
      <c r="G546" s="37"/>
      <c r="H546" s="35"/>
      <c r="I546" s="35"/>
      <c r="J546" s="48"/>
    </row>
    <row r="547" spans="1:10" ht="15.75" customHeight="1">
      <c r="A547" s="37"/>
      <c r="B547" s="52"/>
      <c r="C547" s="38"/>
      <c r="D547" s="35"/>
      <c r="E547" s="92"/>
      <c r="F547" s="40"/>
      <c r="G547" s="37"/>
      <c r="H547" s="35"/>
      <c r="I547" s="35"/>
      <c r="J547" s="48"/>
    </row>
    <row r="548" spans="1:10" ht="15.75" customHeight="1">
      <c r="A548" s="37"/>
      <c r="B548" s="52"/>
      <c r="C548" s="38"/>
      <c r="D548" s="35"/>
      <c r="E548" s="92"/>
      <c r="F548" s="40"/>
      <c r="G548" s="37"/>
      <c r="H548" s="35"/>
      <c r="I548" s="35"/>
      <c r="J548" s="48"/>
    </row>
    <row r="549" spans="1:10" ht="15.75" customHeight="1">
      <c r="A549" s="37"/>
      <c r="B549" s="52"/>
      <c r="C549" s="38"/>
      <c r="D549" s="35"/>
      <c r="E549" s="92"/>
      <c r="F549" s="40"/>
      <c r="G549" s="37"/>
      <c r="H549" s="35"/>
      <c r="I549" s="35"/>
      <c r="J549" s="48"/>
    </row>
    <row r="550" spans="1:10" ht="15.75" customHeight="1">
      <c r="A550" s="37"/>
      <c r="B550" s="52"/>
      <c r="C550" s="38"/>
      <c r="D550" s="35"/>
      <c r="E550" s="92"/>
      <c r="F550" s="40"/>
      <c r="G550" s="37"/>
      <c r="H550" s="35"/>
      <c r="I550" s="35"/>
      <c r="J550" s="48"/>
    </row>
    <row r="551" spans="1:10" ht="15.75" customHeight="1">
      <c r="A551" s="37"/>
      <c r="B551" s="52"/>
      <c r="C551" s="38"/>
      <c r="D551" s="35"/>
      <c r="E551" s="92"/>
      <c r="F551" s="40"/>
      <c r="G551" s="37"/>
      <c r="H551" s="35"/>
      <c r="I551" s="35"/>
      <c r="J551" s="48"/>
    </row>
    <row r="552" spans="1:10" ht="15.75" customHeight="1">
      <c r="A552" s="37"/>
      <c r="B552" s="52"/>
      <c r="C552" s="38"/>
      <c r="D552" s="35"/>
      <c r="E552" s="92"/>
      <c r="F552" s="40"/>
      <c r="G552" s="37"/>
      <c r="H552" s="35"/>
      <c r="I552" s="35"/>
      <c r="J552" s="48"/>
    </row>
    <row r="553" spans="1:10" ht="15.75" customHeight="1">
      <c r="A553" s="37"/>
      <c r="B553" s="52"/>
      <c r="C553" s="38"/>
      <c r="D553" s="35"/>
      <c r="E553" s="92"/>
      <c r="F553" s="40"/>
      <c r="G553" s="37"/>
      <c r="H553" s="35"/>
      <c r="I553" s="35"/>
      <c r="J553" s="48"/>
    </row>
    <row r="554" spans="1:10" ht="15.75" customHeight="1">
      <c r="A554" s="37"/>
      <c r="B554" s="52"/>
      <c r="C554" s="38"/>
      <c r="D554" s="35"/>
      <c r="E554" s="92"/>
      <c r="F554" s="40"/>
      <c r="G554" s="37"/>
      <c r="H554" s="35"/>
      <c r="I554" s="35"/>
      <c r="J554" s="48"/>
    </row>
    <row r="555" spans="1:10" ht="15.75" customHeight="1">
      <c r="A555" s="37"/>
      <c r="B555" s="52"/>
      <c r="C555" s="38"/>
      <c r="D555" s="35"/>
      <c r="E555" s="92"/>
      <c r="F555" s="40"/>
      <c r="G555" s="37"/>
      <c r="H555" s="35"/>
      <c r="I555" s="35"/>
      <c r="J555" s="48"/>
    </row>
    <row r="556" spans="1:10" ht="15.75" customHeight="1">
      <c r="A556" s="37"/>
      <c r="B556" s="52"/>
      <c r="C556" s="38"/>
      <c r="D556" s="35"/>
      <c r="E556" s="92"/>
      <c r="F556" s="40"/>
      <c r="G556" s="37"/>
      <c r="H556" s="35"/>
      <c r="I556" s="35"/>
      <c r="J556" s="48"/>
    </row>
    <row r="557" spans="1:10" ht="15.75" customHeight="1">
      <c r="A557" s="37"/>
      <c r="B557" s="52"/>
      <c r="C557" s="38"/>
      <c r="D557" s="35"/>
      <c r="E557" s="92"/>
      <c r="F557" s="40"/>
      <c r="G557" s="37"/>
      <c r="H557" s="35"/>
      <c r="I557" s="35"/>
      <c r="J557" s="48"/>
    </row>
    <row r="558" spans="1:10" ht="15.75" customHeight="1">
      <c r="A558" s="37"/>
      <c r="B558" s="52"/>
      <c r="C558" s="38"/>
      <c r="D558" s="35"/>
      <c r="E558" s="92"/>
      <c r="F558" s="40"/>
      <c r="G558" s="37"/>
      <c r="H558" s="35"/>
      <c r="I558" s="35"/>
      <c r="J558" s="48"/>
    </row>
    <row r="559" spans="1:10" ht="15.75" customHeight="1">
      <c r="A559" s="37"/>
      <c r="B559" s="52"/>
      <c r="C559" s="38"/>
      <c r="D559" s="35"/>
      <c r="E559" s="92"/>
      <c r="F559" s="40"/>
      <c r="G559" s="37"/>
      <c r="H559" s="35"/>
      <c r="I559" s="35"/>
      <c r="J559" s="48"/>
    </row>
    <row r="560" spans="1:10" ht="15.75" customHeight="1">
      <c r="A560" s="37"/>
      <c r="B560" s="52"/>
      <c r="C560" s="38"/>
      <c r="D560" s="35"/>
      <c r="E560" s="92"/>
      <c r="F560" s="40"/>
      <c r="G560" s="37"/>
      <c r="H560" s="35"/>
      <c r="I560" s="35"/>
      <c r="J560" s="48"/>
    </row>
    <row r="561" spans="1:10" ht="15.75" customHeight="1">
      <c r="A561" s="37"/>
      <c r="B561" s="52"/>
      <c r="C561" s="38"/>
      <c r="D561" s="35"/>
      <c r="E561" s="92"/>
      <c r="F561" s="40"/>
      <c r="G561" s="37"/>
      <c r="H561" s="35"/>
      <c r="I561" s="35"/>
      <c r="J561" s="48"/>
    </row>
    <row r="562" spans="1:10" ht="15.75" customHeight="1">
      <c r="A562" s="37"/>
      <c r="B562" s="52"/>
      <c r="C562" s="38"/>
      <c r="D562" s="35"/>
      <c r="E562" s="92"/>
      <c r="F562" s="40"/>
      <c r="G562" s="37"/>
      <c r="H562" s="35"/>
      <c r="I562" s="35"/>
      <c r="J562" s="48"/>
    </row>
    <row r="563" spans="1:10" ht="15.75" customHeight="1">
      <c r="A563" s="37"/>
      <c r="B563" s="52"/>
      <c r="C563" s="38"/>
      <c r="D563" s="35"/>
      <c r="E563" s="92"/>
      <c r="F563" s="40"/>
      <c r="G563" s="37"/>
      <c r="H563" s="35"/>
      <c r="I563" s="35"/>
      <c r="J563" s="48"/>
    </row>
    <row r="564" spans="1:10" ht="15.75" customHeight="1">
      <c r="A564" s="37"/>
      <c r="B564" s="52"/>
      <c r="C564" s="38"/>
      <c r="D564" s="35"/>
      <c r="E564" s="92"/>
      <c r="F564" s="40"/>
      <c r="G564" s="37"/>
      <c r="H564" s="35"/>
      <c r="I564" s="35"/>
      <c r="J564" s="48"/>
    </row>
    <row r="565" spans="1:10" ht="15.75" customHeight="1">
      <c r="A565" s="37"/>
      <c r="B565" s="52"/>
      <c r="C565" s="38"/>
      <c r="D565" s="35"/>
      <c r="E565" s="92"/>
      <c r="F565" s="40"/>
      <c r="G565" s="37"/>
      <c r="H565" s="35"/>
      <c r="I565" s="35"/>
      <c r="J565" s="48"/>
    </row>
    <row r="566" spans="1:10" ht="15.75" customHeight="1">
      <c r="A566" s="37"/>
      <c r="B566" s="52"/>
      <c r="C566" s="38"/>
      <c r="D566" s="35"/>
      <c r="E566" s="92"/>
      <c r="F566" s="40"/>
      <c r="G566" s="37"/>
      <c r="H566" s="35"/>
      <c r="I566" s="35"/>
      <c r="J566" s="48"/>
    </row>
    <row r="567" spans="1:10" ht="15.75" customHeight="1">
      <c r="A567" s="37"/>
      <c r="B567" s="52"/>
      <c r="C567" s="38"/>
      <c r="D567" s="35"/>
      <c r="E567" s="92"/>
      <c r="F567" s="40"/>
      <c r="G567" s="37"/>
      <c r="H567" s="35"/>
      <c r="I567" s="35"/>
      <c r="J567" s="48"/>
    </row>
    <row r="568" spans="1:10" ht="15.75" customHeight="1">
      <c r="A568" s="37"/>
      <c r="B568" s="52"/>
      <c r="C568" s="38"/>
      <c r="D568" s="35"/>
      <c r="E568" s="92"/>
      <c r="F568" s="40"/>
      <c r="G568" s="37"/>
      <c r="H568" s="35"/>
      <c r="I568" s="35"/>
      <c r="J568" s="48"/>
    </row>
    <row r="569" spans="1:10" ht="15.75" customHeight="1">
      <c r="A569" s="37"/>
      <c r="B569" s="52"/>
      <c r="C569" s="38"/>
      <c r="D569" s="35"/>
      <c r="E569" s="92"/>
      <c r="F569" s="40"/>
      <c r="G569" s="37"/>
      <c r="H569" s="35"/>
      <c r="I569" s="35"/>
      <c r="J569" s="48"/>
    </row>
    <row r="570" spans="1:10" ht="15.75" customHeight="1">
      <c r="A570" s="37"/>
      <c r="B570" s="52"/>
      <c r="C570" s="38"/>
      <c r="D570" s="35"/>
      <c r="E570" s="92"/>
      <c r="F570" s="40"/>
      <c r="G570" s="37"/>
      <c r="H570" s="35"/>
      <c r="I570" s="35"/>
      <c r="J570" s="48"/>
    </row>
    <row r="571" spans="1:10" ht="15.75" customHeight="1">
      <c r="A571" s="37"/>
      <c r="B571" s="52"/>
      <c r="C571" s="38"/>
      <c r="D571" s="35"/>
      <c r="E571" s="92"/>
      <c r="F571" s="40"/>
      <c r="G571" s="37"/>
      <c r="H571" s="35"/>
      <c r="I571" s="35"/>
      <c r="J571" s="48"/>
    </row>
    <row r="572" spans="1:10" ht="15.75" customHeight="1">
      <c r="A572" s="37"/>
      <c r="B572" s="52"/>
      <c r="C572" s="38"/>
      <c r="D572" s="35"/>
      <c r="E572" s="92"/>
      <c r="F572" s="40"/>
      <c r="G572" s="37"/>
      <c r="H572" s="35"/>
      <c r="I572" s="35"/>
      <c r="J572" s="48"/>
    </row>
    <row r="573" spans="1:10" ht="15.75" customHeight="1">
      <c r="A573" s="37"/>
      <c r="B573" s="52"/>
      <c r="C573" s="38"/>
      <c r="D573" s="35"/>
      <c r="E573" s="92"/>
      <c r="F573" s="40"/>
      <c r="G573" s="37"/>
      <c r="H573" s="35"/>
      <c r="I573" s="35"/>
      <c r="J573" s="48"/>
    </row>
    <row r="574" spans="1:10" ht="15.75" customHeight="1">
      <c r="A574" s="37"/>
      <c r="B574" s="52"/>
      <c r="C574" s="38"/>
      <c r="D574" s="35"/>
      <c r="E574" s="92"/>
      <c r="F574" s="40"/>
      <c r="G574" s="37"/>
      <c r="H574" s="35"/>
      <c r="I574" s="35"/>
      <c r="J574" s="48"/>
    </row>
    <row r="575" spans="1:10" ht="15.75" customHeight="1">
      <c r="A575" s="37"/>
      <c r="B575" s="52"/>
      <c r="C575" s="38"/>
      <c r="D575" s="35"/>
      <c r="E575" s="92"/>
      <c r="F575" s="40"/>
      <c r="G575" s="37"/>
      <c r="H575" s="35"/>
      <c r="I575" s="35"/>
      <c r="J575" s="48"/>
    </row>
    <row r="576" spans="1:10" ht="15.75" customHeight="1">
      <c r="A576" s="37"/>
      <c r="B576" s="52"/>
      <c r="C576" s="38"/>
      <c r="D576" s="35"/>
      <c r="E576" s="92"/>
      <c r="F576" s="40"/>
      <c r="G576" s="37"/>
      <c r="H576" s="35"/>
      <c r="I576" s="35"/>
      <c r="J576" s="48"/>
    </row>
    <row r="577" spans="1:10" ht="15.75" customHeight="1">
      <c r="A577" s="37"/>
      <c r="B577" s="52"/>
      <c r="C577" s="38"/>
      <c r="D577" s="35"/>
      <c r="E577" s="92"/>
      <c r="F577" s="40"/>
      <c r="G577" s="37"/>
      <c r="H577" s="35"/>
      <c r="I577" s="35"/>
      <c r="J577" s="48"/>
    </row>
    <row r="578" spans="1:10" ht="15.75" customHeight="1">
      <c r="A578" s="37"/>
      <c r="B578" s="52"/>
      <c r="C578" s="38"/>
      <c r="D578" s="35"/>
      <c r="E578" s="92"/>
      <c r="F578" s="40"/>
      <c r="G578" s="37"/>
      <c r="H578" s="35"/>
      <c r="I578" s="35"/>
      <c r="J578" s="48"/>
    </row>
    <row r="579" spans="1:10" ht="15.75" customHeight="1">
      <c r="A579" s="37"/>
      <c r="B579" s="52"/>
      <c r="C579" s="38"/>
      <c r="D579" s="35"/>
      <c r="E579" s="92"/>
      <c r="F579" s="40"/>
      <c r="G579" s="37"/>
      <c r="H579" s="35"/>
      <c r="I579" s="35"/>
      <c r="J579" s="48"/>
    </row>
    <row r="580" spans="1:10" ht="15.75" customHeight="1">
      <c r="A580" s="37"/>
      <c r="B580" s="52"/>
      <c r="C580" s="38"/>
      <c r="D580" s="35"/>
      <c r="E580" s="92"/>
      <c r="F580" s="40"/>
      <c r="G580" s="37"/>
      <c r="H580" s="35"/>
      <c r="I580" s="35"/>
      <c r="J580" s="48"/>
    </row>
    <row r="581" spans="1:10" ht="15.75" customHeight="1">
      <c r="A581" s="37"/>
      <c r="B581" s="52"/>
      <c r="C581" s="38"/>
      <c r="D581" s="35"/>
      <c r="E581" s="92"/>
      <c r="F581" s="40"/>
      <c r="G581" s="37"/>
      <c r="H581" s="35"/>
      <c r="I581" s="35"/>
      <c r="J581" s="48"/>
    </row>
    <row r="582" spans="1:10" ht="15.75" customHeight="1">
      <c r="A582" s="37"/>
      <c r="B582" s="52"/>
      <c r="C582" s="38"/>
      <c r="D582" s="35"/>
      <c r="E582" s="92"/>
      <c r="F582" s="40"/>
      <c r="G582" s="37"/>
      <c r="H582" s="35"/>
      <c r="I582" s="35"/>
      <c r="J582" s="48"/>
    </row>
    <row r="583" spans="1:10" ht="15.75" customHeight="1">
      <c r="A583" s="37"/>
      <c r="B583" s="52"/>
      <c r="C583" s="38"/>
      <c r="D583" s="35"/>
      <c r="E583" s="92"/>
      <c r="F583" s="40"/>
      <c r="G583" s="37"/>
      <c r="H583" s="35"/>
      <c r="I583" s="35"/>
      <c r="J583" s="48"/>
    </row>
    <row r="584" spans="1:10" ht="15.75" customHeight="1">
      <c r="A584" s="37"/>
      <c r="B584" s="52"/>
      <c r="C584" s="38"/>
      <c r="D584" s="35"/>
      <c r="E584" s="92"/>
      <c r="F584" s="40"/>
      <c r="G584" s="37"/>
      <c r="H584" s="35"/>
      <c r="I584" s="35"/>
      <c r="J584" s="48"/>
    </row>
    <row r="585" spans="1:10" ht="15.75" customHeight="1">
      <c r="A585" s="37"/>
      <c r="B585" s="52"/>
      <c r="C585" s="38"/>
      <c r="D585" s="35"/>
      <c r="E585" s="92"/>
      <c r="F585" s="40"/>
      <c r="G585" s="37"/>
      <c r="H585" s="35"/>
      <c r="I585" s="35"/>
      <c r="J585" s="48"/>
    </row>
    <row r="586" spans="1:10" ht="15.75" customHeight="1">
      <c r="A586" s="37"/>
      <c r="B586" s="52"/>
      <c r="C586" s="38"/>
      <c r="D586" s="35"/>
      <c r="E586" s="92"/>
      <c r="F586" s="40"/>
      <c r="G586" s="37"/>
      <c r="H586" s="35"/>
      <c r="I586" s="35"/>
      <c r="J586" s="48"/>
    </row>
    <row r="587" spans="1:10" ht="15.75" customHeight="1">
      <c r="A587" s="37"/>
      <c r="B587" s="52"/>
      <c r="C587" s="38"/>
      <c r="D587" s="35"/>
      <c r="E587" s="92"/>
      <c r="F587" s="40"/>
      <c r="G587" s="37"/>
      <c r="H587" s="35"/>
      <c r="I587" s="35"/>
      <c r="J587" s="48"/>
    </row>
    <row r="588" spans="1:10" ht="15.75" customHeight="1">
      <c r="A588" s="37"/>
      <c r="B588" s="52"/>
      <c r="C588" s="38"/>
      <c r="D588" s="35"/>
      <c r="E588" s="92"/>
      <c r="F588" s="40"/>
      <c r="G588" s="37"/>
      <c r="H588" s="35"/>
      <c r="I588" s="35"/>
      <c r="J588" s="48"/>
    </row>
    <row r="589" spans="1:10" ht="15.75" customHeight="1">
      <c r="A589" s="37"/>
      <c r="B589" s="52"/>
      <c r="C589" s="38"/>
      <c r="D589" s="35"/>
      <c r="E589" s="92"/>
      <c r="F589" s="40"/>
      <c r="G589" s="37"/>
      <c r="H589" s="35"/>
      <c r="I589" s="35"/>
      <c r="J589" s="48"/>
    </row>
    <row r="590" spans="1:10" ht="15.75" customHeight="1">
      <c r="A590" s="37"/>
      <c r="B590" s="52"/>
      <c r="C590" s="38"/>
      <c r="D590" s="35"/>
      <c r="E590" s="92"/>
      <c r="F590" s="40"/>
      <c r="G590" s="37"/>
      <c r="H590" s="35"/>
      <c r="I590" s="35"/>
      <c r="J590" s="48"/>
    </row>
    <row r="591" spans="1:10" ht="15.75" customHeight="1">
      <c r="A591" s="37"/>
      <c r="B591" s="52"/>
      <c r="C591" s="38"/>
      <c r="D591" s="35"/>
      <c r="E591" s="92"/>
      <c r="F591" s="40"/>
      <c r="G591" s="37"/>
      <c r="H591" s="35"/>
      <c r="I591" s="35"/>
      <c r="J591" s="48"/>
    </row>
    <row r="592" spans="1:10" ht="15.75" customHeight="1">
      <c r="A592" s="37"/>
      <c r="B592" s="52"/>
      <c r="C592" s="38"/>
      <c r="D592" s="35"/>
      <c r="E592" s="92"/>
      <c r="F592" s="40"/>
      <c r="G592" s="37"/>
      <c r="H592" s="35"/>
      <c r="I592" s="35"/>
      <c r="J592" s="48"/>
    </row>
    <row r="593" spans="1:10" ht="15.75" customHeight="1">
      <c r="A593" s="37"/>
      <c r="B593" s="52"/>
      <c r="C593" s="38"/>
      <c r="D593" s="35"/>
      <c r="E593" s="92"/>
      <c r="F593" s="40"/>
      <c r="G593" s="37"/>
      <c r="H593" s="35"/>
      <c r="I593" s="35"/>
      <c r="J593" s="48"/>
    </row>
    <row r="594" spans="1:10" ht="15.75" customHeight="1">
      <c r="A594" s="37"/>
      <c r="B594" s="52"/>
      <c r="C594" s="38"/>
      <c r="D594" s="35"/>
      <c r="E594" s="92"/>
      <c r="F594" s="40"/>
      <c r="G594" s="37"/>
      <c r="H594" s="35"/>
      <c r="I594" s="35"/>
      <c r="J594" s="48"/>
    </row>
    <row r="595" spans="1:10" ht="15.75" customHeight="1">
      <c r="A595" s="37"/>
      <c r="B595" s="52"/>
      <c r="C595" s="38"/>
      <c r="D595" s="35"/>
      <c r="E595" s="92"/>
      <c r="F595" s="40"/>
      <c r="G595" s="37"/>
      <c r="H595" s="35"/>
      <c r="I595" s="35"/>
      <c r="J595" s="48"/>
    </row>
    <row r="596" spans="1:10" ht="15.75" customHeight="1">
      <c r="A596" s="37"/>
      <c r="B596" s="52"/>
      <c r="C596" s="38"/>
      <c r="D596" s="35"/>
      <c r="E596" s="92"/>
      <c r="F596" s="40"/>
      <c r="G596" s="37"/>
      <c r="H596" s="35"/>
      <c r="I596" s="35"/>
      <c r="J596" s="48"/>
    </row>
    <row r="597" spans="1:10" ht="15.75" customHeight="1">
      <c r="A597" s="37"/>
      <c r="B597" s="52"/>
      <c r="C597" s="38"/>
      <c r="D597" s="35"/>
      <c r="E597" s="92"/>
      <c r="F597" s="40"/>
      <c r="G597" s="37"/>
      <c r="H597" s="35"/>
      <c r="I597" s="35"/>
      <c r="J597" s="48"/>
    </row>
    <row r="598" spans="1:10" ht="15.75" customHeight="1">
      <c r="A598" s="37"/>
      <c r="B598" s="52"/>
      <c r="C598" s="38"/>
      <c r="D598" s="35"/>
      <c r="E598" s="92"/>
      <c r="F598" s="40"/>
      <c r="G598" s="37"/>
      <c r="H598" s="35"/>
      <c r="I598" s="35"/>
      <c r="J598" s="48"/>
    </row>
    <row r="599" spans="1:10" ht="15.75" customHeight="1">
      <c r="A599" s="37"/>
      <c r="B599" s="52"/>
      <c r="C599" s="38"/>
      <c r="D599" s="35"/>
      <c r="E599" s="92"/>
      <c r="F599" s="40"/>
      <c r="G599" s="37"/>
      <c r="H599" s="35"/>
      <c r="I599" s="35"/>
      <c r="J599" s="48"/>
    </row>
    <row r="600" spans="1:10" ht="15.75" customHeight="1">
      <c r="A600" s="37"/>
      <c r="B600" s="52"/>
      <c r="C600" s="38"/>
      <c r="D600" s="35"/>
      <c r="E600" s="92"/>
      <c r="F600" s="40"/>
      <c r="G600" s="37"/>
      <c r="H600" s="35"/>
      <c r="I600" s="35"/>
      <c r="J600" s="48"/>
    </row>
    <row r="601" spans="1:10" ht="15.75" customHeight="1">
      <c r="A601" s="37"/>
      <c r="B601" s="52"/>
      <c r="C601" s="38"/>
      <c r="D601" s="35"/>
      <c r="E601" s="92"/>
      <c r="F601" s="40"/>
      <c r="G601" s="37"/>
      <c r="H601" s="35"/>
      <c r="I601" s="35"/>
      <c r="J601" s="48"/>
    </row>
    <row r="602" spans="1:10" ht="15.75" customHeight="1">
      <c r="A602" s="37"/>
      <c r="B602" s="52"/>
      <c r="C602" s="38"/>
      <c r="D602" s="35"/>
      <c r="E602" s="92"/>
      <c r="F602" s="40"/>
      <c r="G602" s="37"/>
      <c r="H602" s="35"/>
      <c r="I602" s="35"/>
      <c r="J602" s="48"/>
    </row>
    <row r="603" spans="1:10" ht="15.75" customHeight="1">
      <c r="A603" s="37"/>
      <c r="B603" s="52"/>
      <c r="C603" s="38"/>
      <c r="D603" s="35"/>
      <c r="E603" s="92"/>
      <c r="F603" s="40"/>
      <c r="G603" s="37"/>
      <c r="H603" s="35"/>
      <c r="I603" s="35"/>
      <c r="J603" s="48"/>
    </row>
    <row r="604" spans="1:10" ht="15.75" customHeight="1">
      <c r="A604" s="37"/>
      <c r="B604" s="52"/>
      <c r="C604" s="38"/>
      <c r="D604" s="35"/>
      <c r="E604" s="92"/>
      <c r="F604" s="40"/>
      <c r="G604" s="37"/>
      <c r="H604" s="35"/>
      <c r="I604" s="35"/>
      <c r="J604" s="48"/>
    </row>
    <row r="605" spans="1:10" ht="15.75" customHeight="1">
      <c r="A605" s="37"/>
      <c r="B605" s="52"/>
      <c r="C605" s="38"/>
      <c r="D605" s="35"/>
      <c r="E605" s="92"/>
      <c r="F605" s="40"/>
      <c r="G605" s="37"/>
      <c r="H605" s="35"/>
      <c r="I605" s="35"/>
      <c r="J605" s="48"/>
    </row>
    <row r="606" spans="1:10" ht="15.75" customHeight="1">
      <c r="A606" s="37"/>
      <c r="B606" s="52"/>
      <c r="C606" s="38"/>
      <c r="D606" s="35"/>
      <c r="E606" s="92"/>
      <c r="F606" s="40"/>
      <c r="G606" s="37"/>
      <c r="H606" s="35"/>
      <c r="I606" s="35"/>
      <c r="J606" s="48"/>
    </row>
    <row r="607" spans="1:10" ht="15.75" customHeight="1">
      <c r="A607" s="37"/>
      <c r="B607" s="52"/>
      <c r="C607" s="38"/>
      <c r="D607" s="35"/>
      <c r="E607" s="92"/>
      <c r="F607" s="40"/>
      <c r="G607" s="37"/>
      <c r="H607" s="35"/>
      <c r="I607" s="35"/>
      <c r="J607" s="48"/>
    </row>
    <row r="608" spans="1:10" ht="15.75" customHeight="1">
      <c r="A608" s="37"/>
      <c r="B608" s="52"/>
      <c r="C608" s="38"/>
      <c r="D608" s="35"/>
      <c r="E608" s="92"/>
      <c r="F608" s="40"/>
      <c r="G608" s="37"/>
      <c r="H608" s="35"/>
      <c r="I608" s="35"/>
      <c r="J608" s="48"/>
    </row>
    <row r="609" spans="1:10" ht="15.75" customHeight="1">
      <c r="A609" s="37"/>
      <c r="B609" s="52"/>
      <c r="C609" s="38"/>
      <c r="D609" s="35"/>
      <c r="E609" s="92"/>
      <c r="F609" s="40"/>
      <c r="G609" s="37"/>
      <c r="H609" s="35"/>
      <c r="I609" s="35"/>
      <c r="J609" s="48"/>
    </row>
    <row r="610" spans="1:10" ht="15.75" customHeight="1">
      <c r="A610" s="37"/>
      <c r="B610" s="52"/>
      <c r="C610" s="38"/>
      <c r="D610" s="35"/>
      <c r="E610" s="92"/>
      <c r="F610" s="40"/>
      <c r="G610" s="37"/>
      <c r="H610" s="35"/>
      <c r="I610" s="35"/>
      <c r="J610" s="48"/>
    </row>
    <row r="611" spans="1:10" ht="15.75" customHeight="1">
      <c r="A611" s="37"/>
      <c r="B611" s="52"/>
      <c r="C611" s="38"/>
      <c r="D611" s="35"/>
      <c r="E611" s="92"/>
      <c r="F611" s="40"/>
      <c r="G611" s="37"/>
      <c r="H611" s="35"/>
      <c r="I611" s="35"/>
      <c r="J611" s="48"/>
    </row>
    <row r="612" spans="1:10" ht="15.75" customHeight="1">
      <c r="A612" s="37"/>
      <c r="B612" s="52"/>
      <c r="C612" s="38"/>
      <c r="D612" s="35"/>
      <c r="E612" s="92"/>
      <c r="F612" s="40"/>
      <c r="G612" s="37"/>
      <c r="H612" s="35"/>
      <c r="I612" s="35"/>
      <c r="J612" s="48"/>
    </row>
    <row r="613" spans="1:10" ht="15.75" customHeight="1">
      <c r="A613" s="37"/>
      <c r="B613" s="52"/>
      <c r="C613" s="38"/>
      <c r="D613" s="35"/>
      <c r="E613" s="92"/>
      <c r="F613" s="40"/>
      <c r="G613" s="37"/>
      <c r="H613" s="35"/>
      <c r="I613" s="35"/>
      <c r="J613" s="48"/>
    </row>
    <row r="614" spans="1:10" ht="15.75" customHeight="1">
      <c r="A614" s="37"/>
      <c r="B614" s="52"/>
      <c r="C614" s="38"/>
      <c r="D614" s="35"/>
      <c r="E614" s="92"/>
      <c r="F614" s="40"/>
      <c r="G614" s="37"/>
      <c r="H614" s="35"/>
      <c r="I614" s="35"/>
      <c r="J614" s="48"/>
    </row>
    <row r="615" spans="1:10" ht="15.75" customHeight="1">
      <c r="A615" s="37"/>
      <c r="B615" s="52"/>
      <c r="C615" s="38"/>
      <c r="D615" s="35"/>
      <c r="E615" s="92"/>
      <c r="F615" s="40"/>
      <c r="G615" s="37"/>
      <c r="H615" s="35"/>
      <c r="I615" s="35"/>
      <c r="J615" s="48"/>
    </row>
    <row r="616" spans="1:10" ht="15.75" customHeight="1">
      <c r="A616" s="37"/>
      <c r="B616" s="52"/>
      <c r="C616" s="38"/>
      <c r="D616" s="35"/>
      <c r="E616" s="92"/>
      <c r="F616" s="40"/>
      <c r="G616" s="37"/>
      <c r="H616" s="35"/>
      <c r="I616" s="35"/>
      <c r="J616" s="48"/>
    </row>
    <row r="617" spans="1:10" ht="15.75" customHeight="1">
      <c r="A617" s="37"/>
      <c r="B617" s="52"/>
      <c r="C617" s="38"/>
      <c r="D617" s="35"/>
      <c r="E617" s="92"/>
      <c r="F617" s="40"/>
      <c r="G617" s="37"/>
      <c r="H617" s="35"/>
      <c r="I617" s="35"/>
      <c r="J617" s="48"/>
    </row>
    <row r="618" spans="1:10" ht="15.75" customHeight="1">
      <c r="A618" s="37"/>
      <c r="B618" s="52"/>
      <c r="C618" s="38"/>
      <c r="D618" s="35"/>
      <c r="E618" s="92"/>
      <c r="F618" s="40"/>
      <c r="G618" s="37"/>
      <c r="H618" s="35"/>
      <c r="I618" s="35"/>
      <c r="J618" s="48"/>
    </row>
    <row r="619" spans="1:10" ht="15.75" customHeight="1">
      <c r="A619" s="37"/>
      <c r="B619" s="52"/>
      <c r="C619" s="38"/>
      <c r="D619" s="35"/>
      <c r="E619" s="92"/>
      <c r="F619" s="40"/>
      <c r="G619" s="37"/>
      <c r="H619" s="35"/>
      <c r="I619" s="35"/>
      <c r="J619" s="48"/>
    </row>
    <row r="620" spans="1:10" ht="15.75" customHeight="1">
      <c r="A620" s="37"/>
      <c r="B620" s="52"/>
      <c r="C620" s="38"/>
      <c r="D620" s="35"/>
      <c r="E620" s="92"/>
      <c r="F620" s="40"/>
      <c r="G620" s="37"/>
      <c r="H620" s="35"/>
      <c r="I620" s="35"/>
      <c r="J620" s="48"/>
    </row>
    <row r="621" spans="1:10" ht="15.75" customHeight="1">
      <c r="A621" s="37"/>
      <c r="B621" s="52"/>
      <c r="C621" s="38"/>
      <c r="D621" s="35"/>
      <c r="E621" s="92"/>
      <c r="F621" s="40"/>
      <c r="G621" s="37"/>
      <c r="H621" s="35"/>
      <c r="I621" s="35"/>
      <c r="J621" s="48"/>
    </row>
    <row r="622" spans="1:10" ht="15.75" customHeight="1">
      <c r="A622" s="37"/>
      <c r="B622" s="52"/>
      <c r="C622" s="38"/>
      <c r="D622" s="35"/>
      <c r="E622" s="92"/>
      <c r="F622" s="40"/>
      <c r="G622" s="37"/>
      <c r="H622" s="35"/>
      <c r="I622" s="35"/>
      <c r="J622" s="48"/>
    </row>
    <row r="623" spans="1:10" ht="15.75" customHeight="1">
      <c r="A623" s="37"/>
      <c r="B623" s="52"/>
      <c r="C623" s="38"/>
      <c r="D623" s="35"/>
      <c r="E623" s="92"/>
      <c r="F623" s="40"/>
      <c r="G623" s="37"/>
      <c r="H623" s="35"/>
      <c r="I623" s="35"/>
      <c r="J623" s="48"/>
    </row>
    <row r="624" spans="1:10" ht="15.75" customHeight="1">
      <c r="A624" s="37"/>
      <c r="B624" s="52"/>
      <c r="C624" s="38"/>
      <c r="D624" s="35"/>
      <c r="E624" s="92"/>
      <c r="F624" s="40"/>
      <c r="G624" s="37"/>
      <c r="H624" s="35"/>
      <c r="I624" s="35"/>
      <c r="J624" s="48"/>
    </row>
    <row r="625" spans="1:10" ht="15.75" customHeight="1">
      <c r="A625" s="37"/>
      <c r="B625" s="52"/>
      <c r="C625" s="38"/>
      <c r="D625" s="35"/>
      <c r="E625" s="92"/>
      <c r="F625" s="40"/>
      <c r="G625" s="37"/>
      <c r="H625" s="35"/>
      <c r="I625" s="35"/>
      <c r="J625" s="48"/>
    </row>
    <row r="626" spans="1:10" ht="15.75" customHeight="1">
      <c r="A626" s="37"/>
      <c r="B626" s="52"/>
      <c r="C626" s="38"/>
      <c r="D626" s="35"/>
      <c r="E626" s="92"/>
      <c r="F626" s="40"/>
      <c r="G626" s="37"/>
      <c r="H626" s="35"/>
      <c r="I626" s="35"/>
      <c r="J626" s="48"/>
    </row>
    <row r="627" spans="1:10" ht="15.75" customHeight="1">
      <c r="A627" s="37"/>
      <c r="B627" s="52"/>
      <c r="C627" s="38"/>
      <c r="D627" s="35"/>
      <c r="E627" s="92"/>
      <c r="F627" s="40"/>
      <c r="G627" s="37"/>
      <c r="H627" s="35"/>
      <c r="I627" s="35"/>
      <c r="J627" s="48"/>
    </row>
    <row r="628" spans="1:10" ht="15.75" customHeight="1">
      <c r="A628" s="37"/>
      <c r="B628" s="52"/>
      <c r="C628" s="38"/>
      <c r="D628" s="35"/>
      <c r="E628" s="92"/>
      <c r="F628" s="40"/>
      <c r="G628" s="37"/>
      <c r="H628" s="35"/>
      <c r="I628" s="35"/>
      <c r="J628" s="48"/>
    </row>
    <row r="629" spans="1:10" ht="15.75" customHeight="1">
      <c r="A629" s="37"/>
      <c r="B629" s="52"/>
      <c r="C629" s="38"/>
      <c r="D629" s="35"/>
      <c r="E629" s="92"/>
      <c r="F629" s="40"/>
      <c r="G629" s="37"/>
      <c r="H629" s="35"/>
      <c r="I629" s="35"/>
      <c r="J629" s="48"/>
    </row>
    <row r="630" spans="1:10" ht="15.75" customHeight="1">
      <c r="A630" s="37"/>
      <c r="B630" s="52"/>
      <c r="C630" s="38"/>
      <c r="D630" s="35"/>
      <c r="E630" s="92"/>
      <c r="F630" s="40"/>
      <c r="G630" s="37"/>
      <c r="H630" s="35"/>
      <c r="I630" s="35"/>
      <c r="J630" s="48"/>
    </row>
    <row r="631" spans="1:10" ht="15.75" customHeight="1">
      <c r="A631" s="37"/>
      <c r="B631" s="52"/>
      <c r="C631" s="38"/>
      <c r="D631" s="35"/>
      <c r="E631" s="92"/>
      <c r="F631" s="40"/>
      <c r="G631" s="37"/>
      <c r="H631" s="35"/>
      <c r="I631" s="35"/>
      <c r="J631" s="48"/>
    </row>
    <row r="632" spans="1:10" ht="15.75" customHeight="1">
      <c r="A632" s="37"/>
      <c r="B632" s="52"/>
      <c r="C632" s="38"/>
      <c r="D632" s="35"/>
      <c r="E632" s="92"/>
      <c r="F632" s="40"/>
      <c r="G632" s="37"/>
      <c r="H632" s="35"/>
      <c r="I632" s="35"/>
      <c r="J632" s="48"/>
    </row>
    <row r="633" spans="1:10" ht="15.75" customHeight="1">
      <c r="A633" s="37"/>
      <c r="B633" s="52"/>
      <c r="C633" s="38"/>
      <c r="D633" s="35"/>
      <c r="E633" s="92"/>
      <c r="F633" s="40"/>
      <c r="G633" s="37"/>
      <c r="H633" s="35"/>
      <c r="I633" s="35"/>
      <c r="J633" s="48"/>
    </row>
    <row r="634" spans="1:10" ht="15.75" customHeight="1">
      <c r="A634" s="37"/>
      <c r="B634" s="52"/>
      <c r="C634" s="38"/>
      <c r="D634" s="35"/>
      <c r="E634" s="92"/>
      <c r="F634" s="40"/>
      <c r="G634" s="37"/>
      <c r="H634" s="35"/>
      <c r="I634" s="35"/>
      <c r="J634" s="48"/>
    </row>
    <row r="635" spans="1:10" ht="15.75" customHeight="1">
      <c r="A635" s="37"/>
      <c r="B635" s="52"/>
      <c r="C635" s="38"/>
      <c r="D635" s="35"/>
      <c r="E635" s="92"/>
      <c r="F635" s="40"/>
      <c r="G635" s="37"/>
      <c r="H635" s="35"/>
      <c r="I635" s="35"/>
      <c r="J635" s="48"/>
    </row>
    <row r="636" spans="1:10" ht="15.75" customHeight="1">
      <c r="A636" s="37"/>
      <c r="B636" s="52"/>
      <c r="C636" s="38"/>
      <c r="D636" s="35"/>
      <c r="E636" s="92"/>
      <c r="F636" s="40"/>
      <c r="G636" s="37"/>
      <c r="H636" s="35"/>
      <c r="I636" s="35"/>
      <c r="J636" s="48"/>
    </row>
    <row r="637" spans="1:10" ht="15.75" customHeight="1">
      <c r="A637" s="37"/>
      <c r="B637" s="52"/>
      <c r="C637" s="38"/>
      <c r="D637" s="35"/>
      <c r="E637" s="92"/>
      <c r="F637" s="40"/>
      <c r="G637" s="37"/>
      <c r="H637" s="35"/>
      <c r="I637" s="35"/>
      <c r="J637" s="48"/>
    </row>
    <row r="638" spans="1:10" ht="15.75" customHeight="1">
      <c r="A638" s="37"/>
      <c r="B638" s="52"/>
      <c r="C638" s="38"/>
      <c r="D638" s="35"/>
      <c r="E638" s="92"/>
      <c r="F638" s="40"/>
      <c r="G638" s="37"/>
      <c r="H638" s="35"/>
      <c r="I638" s="35"/>
      <c r="J638" s="48"/>
    </row>
    <row r="639" spans="1:10" ht="15.75" customHeight="1">
      <c r="A639" s="37"/>
      <c r="B639" s="52"/>
      <c r="C639" s="38"/>
      <c r="D639" s="35"/>
      <c r="E639" s="92"/>
      <c r="F639" s="40"/>
      <c r="G639" s="37"/>
      <c r="H639" s="35"/>
      <c r="I639" s="35"/>
      <c r="J639" s="48"/>
    </row>
    <row r="640" spans="1:10" ht="15.75" customHeight="1">
      <c r="A640" s="37"/>
      <c r="B640" s="52"/>
      <c r="C640" s="38"/>
      <c r="D640" s="35"/>
      <c r="E640" s="92"/>
      <c r="F640" s="40"/>
      <c r="G640" s="37"/>
      <c r="H640" s="35"/>
      <c r="I640" s="35"/>
      <c r="J640" s="48"/>
    </row>
    <row r="641" spans="1:10" ht="15.75" customHeight="1">
      <c r="A641" s="37"/>
      <c r="B641" s="52"/>
      <c r="C641" s="38"/>
      <c r="D641" s="35"/>
      <c r="E641" s="92"/>
      <c r="F641" s="40"/>
      <c r="G641" s="37"/>
      <c r="H641" s="35"/>
      <c r="I641" s="35"/>
      <c r="J641" s="48"/>
    </row>
    <row r="642" spans="1:10" ht="15.75" customHeight="1">
      <c r="A642" s="37"/>
      <c r="B642" s="52"/>
      <c r="C642" s="38"/>
      <c r="D642" s="35"/>
      <c r="E642" s="92"/>
      <c r="F642" s="40"/>
      <c r="G642" s="37"/>
      <c r="H642" s="35"/>
      <c r="I642" s="35"/>
      <c r="J642" s="48"/>
    </row>
    <row r="643" spans="1:10" ht="15.75" customHeight="1">
      <c r="A643" s="37"/>
      <c r="B643" s="52"/>
      <c r="C643" s="38"/>
      <c r="D643" s="35"/>
      <c r="E643" s="92"/>
      <c r="F643" s="40"/>
      <c r="G643" s="37"/>
      <c r="H643" s="35"/>
      <c r="I643" s="35"/>
      <c r="J643" s="48"/>
    </row>
    <row r="644" spans="1:10" ht="15.75" customHeight="1">
      <c r="A644" s="37"/>
      <c r="B644" s="52"/>
      <c r="C644" s="38"/>
      <c r="D644" s="35"/>
      <c r="E644" s="92"/>
      <c r="F644" s="40"/>
      <c r="G644" s="37"/>
      <c r="H644" s="35"/>
      <c r="I644" s="35"/>
      <c r="J644" s="48"/>
    </row>
    <row r="645" spans="1:10" ht="15.75" customHeight="1">
      <c r="A645" s="37"/>
      <c r="B645" s="52"/>
      <c r="C645" s="38"/>
      <c r="D645" s="35"/>
      <c r="E645" s="92"/>
      <c r="F645" s="40"/>
      <c r="G645" s="37"/>
      <c r="H645" s="35"/>
      <c r="I645" s="35"/>
      <c r="J645" s="48"/>
    </row>
    <row r="646" spans="1:10" ht="15.75" customHeight="1">
      <c r="A646" s="37"/>
      <c r="B646" s="52"/>
      <c r="C646" s="38"/>
      <c r="D646" s="35"/>
      <c r="E646" s="92"/>
      <c r="F646" s="40"/>
      <c r="G646" s="37"/>
      <c r="H646" s="35"/>
      <c r="I646" s="35"/>
      <c r="J646" s="48"/>
    </row>
    <row r="647" spans="1:10" ht="15.75" customHeight="1">
      <c r="A647" s="37"/>
      <c r="B647" s="52"/>
      <c r="C647" s="38"/>
      <c r="D647" s="35"/>
      <c r="E647" s="92"/>
      <c r="F647" s="40"/>
      <c r="G647" s="37"/>
      <c r="H647" s="35"/>
      <c r="I647" s="35"/>
      <c r="J647" s="48"/>
    </row>
    <row r="648" spans="1:10" ht="15.75" customHeight="1">
      <c r="A648" s="37"/>
      <c r="B648" s="52"/>
      <c r="C648" s="38"/>
      <c r="D648" s="35"/>
      <c r="E648" s="92"/>
      <c r="F648" s="40"/>
      <c r="G648" s="37"/>
      <c r="H648" s="35"/>
      <c r="I648" s="35"/>
      <c r="J648" s="48"/>
    </row>
    <row r="649" spans="1:10" ht="15.75" customHeight="1">
      <c r="A649" s="37"/>
      <c r="B649" s="52"/>
      <c r="C649" s="38"/>
      <c r="D649" s="35"/>
      <c r="E649" s="92"/>
      <c r="F649" s="40"/>
      <c r="G649" s="37"/>
      <c r="H649" s="35"/>
      <c r="I649" s="35"/>
      <c r="J649" s="48"/>
    </row>
    <row r="650" spans="1:10" ht="15.75" customHeight="1">
      <c r="A650" s="37"/>
      <c r="B650" s="52"/>
      <c r="C650" s="38"/>
      <c r="D650" s="35"/>
      <c r="E650" s="92"/>
      <c r="F650" s="40"/>
      <c r="G650" s="37"/>
      <c r="H650" s="35"/>
      <c r="I650" s="35"/>
      <c r="J650" s="48"/>
    </row>
    <row r="651" spans="1:10" ht="15.75" customHeight="1">
      <c r="A651" s="37"/>
      <c r="B651" s="52"/>
      <c r="C651" s="38"/>
      <c r="D651" s="35"/>
      <c r="E651" s="92"/>
      <c r="F651" s="40"/>
      <c r="G651" s="37"/>
      <c r="H651" s="35"/>
      <c r="I651" s="35"/>
      <c r="J651" s="48"/>
    </row>
    <row r="652" spans="1:10" ht="15.75" customHeight="1">
      <c r="A652" s="37"/>
      <c r="B652" s="52"/>
      <c r="C652" s="38"/>
      <c r="D652" s="35"/>
      <c r="E652" s="92"/>
      <c r="F652" s="40"/>
      <c r="G652" s="37"/>
      <c r="H652" s="35"/>
      <c r="I652" s="35"/>
      <c r="J652" s="48"/>
    </row>
    <row r="653" spans="1:10" ht="15.75" customHeight="1">
      <c r="A653" s="37"/>
      <c r="B653" s="52"/>
      <c r="C653" s="38"/>
      <c r="D653" s="35"/>
      <c r="E653" s="92"/>
      <c r="F653" s="40"/>
      <c r="G653" s="37"/>
      <c r="H653" s="35"/>
      <c r="I653" s="35"/>
      <c r="J653" s="48"/>
    </row>
    <row r="654" spans="1:10" ht="15.75" customHeight="1">
      <c r="A654" s="37"/>
      <c r="B654" s="52"/>
      <c r="C654" s="38"/>
      <c r="D654" s="35"/>
      <c r="E654" s="92"/>
      <c r="F654" s="40"/>
      <c r="G654" s="37"/>
      <c r="H654" s="35"/>
      <c r="I654" s="35"/>
      <c r="J654" s="48"/>
    </row>
    <row r="655" spans="1:10" ht="15.75" customHeight="1">
      <c r="A655" s="37"/>
      <c r="B655" s="52"/>
      <c r="C655" s="38"/>
      <c r="D655" s="35"/>
      <c r="E655" s="92"/>
      <c r="F655" s="40"/>
      <c r="G655" s="37"/>
      <c r="H655" s="35"/>
      <c r="I655" s="35"/>
      <c r="J655" s="48"/>
    </row>
    <row r="656" spans="1:10" ht="15.75" customHeight="1">
      <c r="A656" s="37"/>
      <c r="B656" s="52"/>
      <c r="C656" s="38"/>
      <c r="D656" s="35"/>
      <c r="E656" s="92"/>
      <c r="F656" s="40"/>
      <c r="G656" s="37"/>
      <c r="H656" s="35"/>
      <c r="I656" s="35"/>
      <c r="J656" s="48"/>
    </row>
    <row r="657" spans="1:10" ht="15.75" customHeight="1">
      <c r="A657" s="37"/>
      <c r="B657" s="52"/>
      <c r="C657" s="38"/>
      <c r="D657" s="35"/>
      <c r="E657" s="92"/>
      <c r="F657" s="40"/>
      <c r="G657" s="37"/>
      <c r="H657" s="35"/>
      <c r="I657" s="35"/>
      <c r="J657" s="48"/>
    </row>
    <row r="658" spans="1:10" ht="15.75" customHeight="1">
      <c r="A658" s="37"/>
      <c r="B658" s="52"/>
      <c r="C658" s="38"/>
      <c r="D658" s="35"/>
      <c r="E658" s="92"/>
      <c r="F658" s="40"/>
      <c r="G658" s="37"/>
      <c r="H658" s="35"/>
      <c r="I658" s="35"/>
      <c r="J658" s="48"/>
    </row>
    <row r="659" spans="1:10" ht="15.75" customHeight="1">
      <c r="A659" s="37"/>
      <c r="B659" s="52"/>
      <c r="C659" s="38"/>
      <c r="D659" s="35"/>
      <c r="E659" s="92"/>
      <c r="F659" s="40"/>
      <c r="G659" s="37"/>
      <c r="H659" s="35"/>
      <c r="I659" s="35"/>
      <c r="J659" s="48"/>
    </row>
    <row r="660" spans="1:10" ht="15.75" customHeight="1">
      <c r="A660" s="37"/>
      <c r="B660" s="52"/>
      <c r="C660" s="38"/>
      <c r="D660" s="35"/>
      <c r="E660" s="92"/>
      <c r="F660" s="40"/>
      <c r="G660" s="37"/>
      <c r="H660" s="35"/>
      <c r="I660" s="35"/>
      <c r="J660" s="48"/>
    </row>
    <row r="661" spans="1:10" ht="15.75" customHeight="1">
      <c r="A661" s="37"/>
      <c r="B661" s="52"/>
      <c r="C661" s="38"/>
      <c r="D661" s="35"/>
      <c r="E661" s="92"/>
      <c r="F661" s="40"/>
      <c r="G661" s="37"/>
      <c r="H661" s="35"/>
      <c r="I661" s="35"/>
      <c r="J661" s="48"/>
    </row>
    <row r="662" spans="1:10" ht="15.75" customHeight="1">
      <c r="A662" s="37"/>
      <c r="B662" s="52"/>
      <c r="C662" s="38"/>
      <c r="D662" s="35"/>
      <c r="E662" s="92"/>
      <c r="F662" s="40"/>
      <c r="G662" s="37"/>
      <c r="H662" s="35"/>
      <c r="I662" s="35"/>
      <c r="J662" s="48"/>
    </row>
    <row r="663" spans="1:10" ht="15.75" customHeight="1">
      <c r="A663" s="37"/>
      <c r="B663" s="52"/>
      <c r="C663" s="38"/>
      <c r="D663" s="35"/>
      <c r="E663" s="92"/>
      <c r="F663" s="40"/>
      <c r="G663" s="37"/>
      <c r="H663" s="35"/>
      <c r="I663" s="35"/>
      <c r="J663" s="48"/>
    </row>
    <row r="664" spans="1:10" ht="15.75" customHeight="1">
      <c r="A664" s="37"/>
      <c r="B664" s="52"/>
      <c r="C664" s="38"/>
      <c r="D664" s="35"/>
      <c r="E664" s="92"/>
      <c r="F664" s="40"/>
      <c r="G664" s="37"/>
      <c r="H664" s="35"/>
      <c r="I664" s="35"/>
      <c r="J664" s="48"/>
    </row>
    <row r="665" spans="1:10" ht="15.75" customHeight="1">
      <c r="A665" s="37"/>
      <c r="B665" s="52"/>
      <c r="C665" s="38"/>
      <c r="D665" s="35"/>
      <c r="E665" s="92"/>
      <c r="F665" s="40"/>
      <c r="G665" s="37"/>
      <c r="H665" s="35"/>
      <c r="I665" s="35"/>
      <c r="J665" s="48"/>
    </row>
    <row r="666" spans="1:10" ht="15.75" customHeight="1">
      <c r="A666" s="37"/>
      <c r="B666" s="52"/>
      <c r="C666" s="38"/>
      <c r="D666" s="35"/>
      <c r="E666" s="92"/>
      <c r="F666" s="40"/>
      <c r="G666" s="37"/>
      <c r="H666" s="35"/>
      <c r="I666" s="35"/>
      <c r="J666" s="48"/>
    </row>
    <row r="667" spans="1:10" ht="15.75" customHeight="1">
      <c r="A667" s="37"/>
      <c r="B667" s="52"/>
      <c r="C667" s="38"/>
      <c r="D667" s="35"/>
      <c r="E667" s="92"/>
      <c r="F667" s="40"/>
      <c r="G667" s="37"/>
      <c r="H667" s="35"/>
      <c r="I667" s="35"/>
      <c r="J667" s="48"/>
    </row>
    <row r="668" spans="1:10" ht="15.75" customHeight="1">
      <c r="A668" s="37"/>
      <c r="B668" s="52"/>
      <c r="C668" s="38"/>
      <c r="D668" s="35"/>
      <c r="E668" s="92"/>
      <c r="F668" s="40"/>
      <c r="G668" s="37"/>
      <c r="H668" s="35"/>
      <c r="I668" s="35"/>
      <c r="J668" s="48"/>
    </row>
    <row r="669" spans="1:10" ht="15.75" customHeight="1">
      <c r="A669" s="37"/>
      <c r="B669" s="52"/>
      <c r="C669" s="38"/>
      <c r="D669" s="35"/>
      <c r="E669" s="92"/>
      <c r="F669" s="40"/>
      <c r="G669" s="37"/>
      <c r="H669" s="35"/>
      <c r="I669" s="35"/>
      <c r="J669" s="48"/>
    </row>
    <row r="670" spans="1:10" ht="15.75" customHeight="1">
      <c r="A670" s="37"/>
      <c r="B670" s="52"/>
      <c r="C670" s="38"/>
      <c r="D670" s="35"/>
      <c r="E670" s="92"/>
      <c r="F670" s="40"/>
      <c r="G670" s="37"/>
      <c r="H670" s="35"/>
      <c r="I670" s="35"/>
      <c r="J670" s="48"/>
    </row>
    <row r="671" spans="1:10" ht="15.75" customHeight="1">
      <c r="A671" s="37"/>
      <c r="B671" s="52"/>
      <c r="C671" s="38"/>
      <c r="D671" s="35"/>
      <c r="E671" s="92"/>
      <c r="F671" s="40"/>
      <c r="G671" s="37"/>
      <c r="H671" s="35"/>
      <c r="I671" s="35"/>
      <c r="J671" s="48"/>
    </row>
    <row r="672" spans="1:10" ht="15.75" customHeight="1">
      <c r="A672" s="37"/>
      <c r="B672" s="52"/>
      <c r="C672" s="38"/>
      <c r="D672" s="35"/>
      <c r="E672" s="92"/>
      <c r="F672" s="40"/>
      <c r="G672" s="37"/>
      <c r="H672" s="35"/>
      <c r="I672" s="35"/>
      <c r="J672" s="48"/>
    </row>
    <row r="673" spans="1:10" ht="15.75" customHeight="1">
      <c r="A673" s="37"/>
      <c r="B673" s="52"/>
      <c r="C673" s="38"/>
      <c r="D673" s="35"/>
      <c r="E673" s="92"/>
      <c r="F673" s="40"/>
      <c r="G673" s="37"/>
      <c r="H673" s="35"/>
      <c r="I673" s="35"/>
      <c r="J673" s="48"/>
    </row>
    <row r="674" spans="1:10" ht="15.75" customHeight="1">
      <c r="A674" s="37"/>
      <c r="B674" s="52"/>
      <c r="C674" s="38"/>
      <c r="D674" s="35"/>
      <c r="E674" s="92"/>
      <c r="F674" s="40"/>
      <c r="G674" s="37"/>
      <c r="H674" s="35"/>
      <c r="I674" s="35"/>
      <c r="J674" s="48"/>
    </row>
    <row r="675" spans="1:10" ht="15.75" customHeight="1">
      <c r="A675" s="37"/>
      <c r="B675" s="52"/>
      <c r="C675" s="38"/>
      <c r="D675" s="35"/>
      <c r="E675" s="92"/>
      <c r="F675" s="40"/>
      <c r="G675" s="37"/>
      <c r="H675" s="35"/>
      <c r="I675" s="35"/>
      <c r="J675" s="48"/>
    </row>
    <row r="676" spans="1:10" ht="15.75" customHeight="1">
      <c r="A676" s="37"/>
      <c r="B676" s="52"/>
      <c r="C676" s="38"/>
      <c r="D676" s="35"/>
      <c r="E676" s="92"/>
      <c r="F676" s="40"/>
      <c r="G676" s="37"/>
      <c r="H676" s="35"/>
      <c r="I676" s="35"/>
      <c r="J676" s="48"/>
    </row>
    <row r="677" spans="1:10" ht="15.75" customHeight="1">
      <c r="A677" s="37"/>
      <c r="B677" s="52"/>
      <c r="C677" s="38"/>
      <c r="D677" s="35"/>
      <c r="E677" s="92"/>
      <c r="F677" s="40"/>
      <c r="G677" s="37"/>
      <c r="H677" s="35"/>
      <c r="I677" s="35"/>
      <c r="J677" s="48"/>
    </row>
    <row r="678" spans="1:10" ht="15.75" customHeight="1">
      <c r="A678" s="37"/>
      <c r="B678" s="52"/>
      <c r="C678" s="38"/>
      <c r="D678" s="35"/>
      <c r="E678" s="92"/>
      <c r="F678" s="40"/>
      <c r="G678" s="37"/>
      <c r="H678" s="35"/>
      <c r="I678" s="35"/>
      <c r="J678" s="48"/>
    </row>
    <row r="679" spans="1:10" ht="15.75" customHeight="1">
      <c r="A679" s="37"/>
      <c r="B679" s="52"/>
      <c r="C679" s="38"/>
      <c r="D679" s="35"/>
      <c r="E679" s="92"/>
      <c r="F679" s="40"/>
      <c r="G679" s="37"/>
      <c r="H679" s="35"/>
      <c r="I679" s="35"/>
      <c r="J679" s="48"/>
    </row>
    <row r="680" spans="1:10" ht="15.75" customHeight="1">
      <c r="A680" s="37"/>
      <c r="B680" s="52"/>
      <c r="C680" s="38"/>
      <c r="D680" s="35"/>
      <c r="E680" s="92"/>
      <c r="F680" s="40"/>
      <c r="G680" s="37"/>
      <c r="H680" s="35"/>
      <c r="I680" s="35"/>
      <c r="J680" s="48"/>
    </row>
    <row r="681" spans="1:10" ht="15.75" customHeight="1">
      <c r="A681" s="37"/>
      <c r="B681" s="52"/>
      <c r="C681" s="38"/>
      <c r="D681" s="35"/>
      <c r="E681" s="92"/>
      <c r="F681" s="40"/>
      <c r="G681" s="37"/>
      <c r="H681" s="35"/>
      <c r="I681" s="35"/>
      <c r="J681" s="48"/>
    </row>
    <row r="682" spans="1:10" ht="15.75" customHeight="1">
      <c r="A682" s="37"/>
      <c r="B682" s="52"/>
      <c r="C682" s="38"/>
      <c r="D682" s="35"/>
      <c r="E682" s="92"/>
      <c r="F682" s="40"/>
      <c r="G682" s="37"/>
      <c r="H682" s="35"/>
      <c r="I682" s="35"/>
      <c r="J682" s="48"/>
    </row>
    <row r="683" spans="1:10" ht="15.75" customHeight="1">
      <c r="A683" s="37"/>
      <c r="B683" s="52"/>
      <c r="C683" s="38"/>
      <c r="D683" s="35"/>
      <c r="E683" s="92"/>
      <c r="F683" s="40"/>
      <c r="G683" s="37"/>
      <c r="H683" s="35"/>
      <c r="I683" s="35"/>
      <c r="J683" s="48"/>
    </row>
    <row r="684" spans="1:10" ht="15.75" customHeight="1">
      <c r="A684" s="37"/>
      <c r="B684" s="52"/>
      <c r="C684" s="38"/>
      <c r="D684" s="35"/>
      <c r="E684" s="92"/>
      <c r="F684" s="40"/>
      <c r="G684" s="37"/>
      <c r="H684" s="35"/>
      <c r="I684" s="35"/>
      <c r="J684" s="48"/>
    </row>
    <row r="685" spans="1:10" ht="15.75" customHeight="1">
      <c r="A685" s="37"/>
      <c r="B685" s="52"/>
      <c r="C685" s="38"/>
      <c r="D685" s="35"/>
      <c r="E685" s="92"/>
      <c r="F685" s="40"/>
      <c r="G685" s="37"/>
      <c r="H685" s="35"/>
      <c r="I685" s="35"/>
      <c r="J685" s="48"/>
    </row>
    <row r="686" spans="1:10" ht="15.75" customHeight="1">
      <c r="A686" s="37"/>
      <c r="B686" s="52"/>
      <c r="C686" s="38"/>
      <c r="D686" s="35"/>
      <c r="E686" s="92"/>
      <c r="F686" s="40"/>
      <c r="G686" s="37"/>
      <c r="H686" s="35"/>
      <c r="I686" s="35"/>
      <c r="J686" s="48"/>
    </row>
    <row r="687" spans="1:10" ht="15.75" customHeight="1">
      <c r="A687" s="37"/>
      <c r="B687" s="52"/>
      <c r="C687" s="38"/>
      <c r="D687" s="35"/>
      <c r="E687" s="92"/>
      <c r="F687" s="40"/>
      <c r="G687" s="37"/>
      <c r="H687" s="35"/>
      <c r="I687" s="35"/>
      <c r="J687" s="48"/>
    </row>
    <row r="688" spans="1:10" ht="15.75" customHeight="1">
      <c r="A688" s="37"/>
      <c r="B688" s="52"/>
      <c r="C688" s="38"/>
      <c r="D688" s="35"/>
      <c r="E688" s="92"/>
      <c r="F688" s="40"/>
      <c r="G688" s="37"/>
      <c r="H688" s="35"/>
      <c r="I688" s="35"/>
      <c r="J688" s="48"/>
    </row>
    <row r="689" spans="1:10" ht="15.75" customHeight="1">
      <c r="A689" s="37"/>
      <c r="B689" s="52"/>
      <c r="C689" s="38"/>
      <c r="D689" s="35"/>
      <c r="E689" s="92"/>
      <c r="F689" s="40"/>
      <c r="G689" s="37"/>
      <c r="H689" s="35"/>
      <c r="I689" s="35"/>
      <c r="J689" s="48"/>
    </row>
    <row r="690" spans="1:10" ht="15.75" customHeight="1">
      <c r="A690" s="37"/>
      <c r="B690" s="52"/>
      <c r="C690" s="38"/>
      <c r="D690" s="35"/>
      <c r="E690" s="92"/>
      <c r="F690" s="40"/>
      <c r="G690" s="37"/>
      <c r="H690" s="35"/>
      <c r="I690" s="35"/>
      <c r="J690" s="48"/>
    </row>
    <row r="691" spans="1:10" ht="15.75" customHeight="1">
      <c r="A691" s="37"/>
      <c r="B691" s="52"/>
      <c r="C691" s="38"/>
      <c r="D691" s="35"/>
      <c r="E691" s="92"/>
      <c r="F691" s="40"/>
      <c r="G691" s="37"/>
      <c r="H691" s="35"/>
      <c r="I691" s="35"/>
      <c r="J691" s="48"/>
    </row>
    <row r="692" spans="1:10" ht="15.75" customHeight="1">
      <c r="A692" s="37"/>
      <c r="B692" s="52"/>
      <c r="C692" s="38"/>
      <c r="D692" s="35"/>
      <c r="E692" s="92"/>
      <c r="F692" s="40"/>
      <c r="G692" s="37"/>
      <c r="H692" s="35"/>
      <c r="I692" s="35"/>
      <c r="J692" s="48"/>
    </row>
    <row r="693" spans="1:10" ht="15.75" customHeight="1">
      <c r="A693" s="37"/>
      <c r="B693" s="52"/>
      <c r="C693" s="38"/>
      <c r="D693" s="35"/>
      <c r="E693" s="92"/>
      <c r="F693" s="40"/>
      <c r="G693" s="37"/>
      <c r="H693" s="35"/>
      <c r="I693" s="35"/>
      <c r="J693" s="48"/>
    </row>
    <row r="694" spans="1:10" ht="15.75" customHeight="1">
      <c r="A694" s="37"/>
      <c r="B694" s="52"/>
      <c r="C694" s="38"/>
      <c r="D694" s="35"/>
      <c r="E694" s="92"/>
      <c r="F694" s="40"/>
      <c r="G694" s="37"/>
      <c r="H694" s="35"/>
      <c r="I694" s="35"/>
      <c r="J694" s="48"/>
    </row>
    <row r="695" spans="1:10" ht="15.75" customHeight="1">
      <c r="A695" s="37"/>
      <c r="B695" s="52"/>
      <c r="C695" s="38"/>
      <c r="D695" s="35"/>
      <c r="E695" s="92"/>
      <c r="F695" s="40"/>
      <c r="G695" s="37"/>
      <c r="H695" s="35"/>
      <c r="I695" s="35"/>
      <c r="J695" s="48"/>
    </row>
    <row r="696" spans="1:10" ht="15.75" customHeight="1">
      <c r="A696" s="37"/>
      <c r="B696" s="52"/>
      <c r="C696" s="38"/>
      <c r="D696" s="35"/>
      <c r="E696" s="92"/>
      <c r="F696" s="40"/>
      <c r="G696" s="37"/>
      <c r="H696" s="35"/>
      <c r="I696" s="35"/>
      <c r="J696" s="48"/>
    </row>
    <row r="697" spans="1:10" ht="15.75" customHeight="1">
      <c r="A697" s="37"/>
      <c r="B697" s="52"/>
      <c r="C697" s="38"/>
      <c r="D697" s="35"/>
      <c r="E697" s="92"/>
      <c r="F697" s="40"/>
      <c r="G697" s="37"/>
      <c r="H697" s="35"/>
      <c r="I697" s="35"/>
      <c r="J697" s="48"/>
    </row>
    <row r="698" spans="1:10" ht="15.75" customHeight="1">
      <c r="A698" s="37"/>
      <c r="B698" s="52"/>
      <c r="C698" s="38"/>
      <c r="D698" s="35"/>
      <c r="E698" s="92"/>
      <c r="F698" s="40"/>
      <c r="G698" s="37"/>
      <c r="H698" s="35"/>
      <c r="I698" s="35"/>
      <c r="J698" s="48"/>
    </row>
    <row r="699" spans="1:10" ht="15.75" customHeight="1">
      <c r="A699" s="37"/>
      <c r="B699" s="52"/>
      <c r="C699" s="38"/>
      <c r="D699" s="35"/>
      <c r="E699" s="92"/>
      <c r="F699" s="40"/>
      <c r="G699" s="37"/>
      <c r="H699" s="35"/>
      <c r="I699" s="35"/>
      <c r="J699" s="48"/>
    </row>
    <row r="700" spans="1:10" ht="15.75" customHeight="1">
      <c r="A700" s="37"/>
      <c r="B700" s="52"/>
      <c r="C700" s="38"/>
      <c r="D700" s="35"/>
      <c r="E700" s="92"/>
      <c r="F700" s="40"/>
      <c r="G700" s="37"/>
      <c r="H700" s="35"/>
      <c r="I700" s="35"/>
      <c r="J700" s="48"/>
    </row>
    <row r="701" spans="1:10" ht="15.75" customHeight="1">
      <c r="A701" s="37"/>
      <c r="B701" s="52"/>
      <c r="C701" s="38"/>
      <c r="D701" s="35"/>
      <c r="E701" s="92"/>
      <c r="F701" s="40"/>
      <c r="G701" s="37"/>
      <c r="H701" s="35"/>
      <c r="I701" s="35"/>
      <c r="J701" s="48"/>
    </row>
    <row r="702" spans="1:10" ht="15.75" customHeight="1">
      <c r="A702" s="37"/>
      <c r="B702" s="52"/>
      <c r="C702" s="38"/>
      <c r="D702" s="35"/>
      <c r="E702" s="92"/>
      <c r="F702" s="40"/>
      <c r="G702" s="37"/>
      <c r="H702" s="35"/>
      <c r="I702" s="35"/>
      <c r="J702" s="48"/>
    </row>
    <row r="703" spans="1:10" ht="15.75" customHeight="1">
      <c r="A703" s="37"/>
      <c r="B703" s="52"/>
      <c r="C703" s="38"/>
      <c r="D703" s="35"/>
      <c r="E703" s="92"/>
      <c r="F703" s="40"/>
      <c r="G703" s="37"/>
      <c r="H703" s="35"/>
      <c r="I703" s="35"/>
      <c r="J703" s="48"/>
    </row>
    <row r="704" spans="1:10" ht="15.75" customHeight="1">
      <c r="A704" s="37"/>
      <c r="B704" s="52"/>
      <c r="C704" s="38"/>
      <c r="D704" s="35"/>
      <c r="E704" s="92"/>
      <c r="F704" s="40"/>
      <c r="G704" s="37"/>
      <c r="H704" s="35"/>
      <c r="I704" s="35"/>
      <c r="J704" s="48"/>
    </row>
    <row r="705" spans="1:10" ht="15.75" customHeight="1">
      <c r="A705" s="37"/>
      <c r="B705" s="52"/>
      <c r="C705" s="38"/>
      <c r="D705" s="35"/>
      <c r="E705" s="92"/>
      <c r="F705" s="40"/>
      <c r="G705" s="37"/>
      <c r="H705" s="35"/>
      <c r="I705" s="35"/>
      <c r="J705" s="48"/>
    </row>
    <row r="706" spans="1:10" ht="15.75" customHeight="1">
      <c r="A706" s="37"/>
      <c r="B706" s="52"/>
      <c r="C706" s="38"/>
      <c r="D706" s="35"/>
      <c r="E706" s="92"/>
      <c r="F706" s="40"/>
      <c r="G706" s="37"/>
      <c r="H706" s="35"/>
      <c r="I706" s="35"/>
      <c r="J706" s="48"/>
    </row>
    <row r="707" spans="1:10" ht="15.75" customHeight="1">
      <c r="A707" s="37"/>
      <c r="B707" s="52"/>
      <c r="C707" s="38"/>
      <c r="D707" s="35"/>
      <c r="E707" s="92"/>
      <c r="F707" s="40"/>
      <c r="G707" s="37"/>
      <c r="H707" s="35"/>
      <c r="I707" s="35"/>
      <c r="J707" s="48"/>
    </row>
    <row r="708" spans="1:10" ht="15.75" customHeight="1">
      <c r="A708" s="37"/>
      <c r="B708" s="52"/>
      <c r="C708" s="38"/>
      <c r="D708" s="35"/>
      <c r="E708" s="92"/>
      <c r="F708" s="40"/>
      <c r="G708" s="37"/>
      <c r="H708" s="35"/>
      <c r="I708" s="35"/>
      <c r="J708" s="48"/>
    </row>
    <row r="709" spans="1:10" ht="15.75" customHeight="1">
      <c r="A709" s="37"/>
      <c r="B709" s="52"/>
      <c r="C709" s="38"/>
      <c r="D709" s="35"/>
      <c r="E709" s="92"/>
      <c r="F709" s="40"/>
      <c r="G709" s="37"/>
      <c r="H709" s="35"/>
      <c r="I709" s="35"/>
      <c r="J709" s="48"/>
    </row>
    <row r="710" spans="1:10" ht="15.75" customHeight="1">
      <c r="A710" s="37"/>
      <c r="B710" s="52"/>
      <c r="C710" s="38"/>
      <c r="D710" s="35"/>
      <c r="E710" s="92"/>
      <c r="F710" s="40"/>
      <c r="G710" s="37"/>
      <c r="H710" s="35"/>
      <c r="I710" s="35"/>
      <c r="J710" s="48"/>
    </row>
    <row r="711" spans="1:10" ht="15.75" customHeight="1">
      <c r="A711" s="37"/>
      <c r="B711" s="52"/>
      <c r="C711" s="38"/>
      <c r="D711" s="35"/>
      <c r="E711" s="92"/>
      <c r="F711" s="40"/>
      <c r="G711" s="37"/>
      <c r="H711" s="35"/>
      <c r="I711" s="35"/>
      <c r="J711" s="48"/>
    </row>
    <row r="712" spans="1:10" ht="15.75" customHeight="1">
      <c r="A712" s="37"/>
      <c r="B712" s="52"/>
      <c r="C712" s="38"/>
      <c r="D712" s="35"/>
      <c r="E712" s="92"/>
      <c r="F712" s="40"/>
      <c r="G712" s="37"/>
      <c r="H712" s="35"/>
      <c r="I712" s="35"/>
      <c r="J712" s="48"/>
    </row>
    <row r="713" spans="1:10" ht="15.75" customHeight="1">
      <c r="A713" s="37"/>
      <c r="B713" s="52"/>
      <c r="C713" s="38"/>
      <c r="D713" s="35"/>
      <c r="E713" s="92"/>
      <c r="F713" s="40"/>
      <c r="G713" s="37"/>
      <c r="H713" s="35"/>
      <c r="I713" s="35"/>
      <c r="J713" s="48"/>
    </row>
    <row r="714" spans="1:10" ht="15.75" customHeight="1">
      <c r="A714" s="37"/>
      <c r="B714" s="52"/>
      <c r="C714" s="38"/>
      <c r="D714" s="35"/>
      <c r="E714" s="92"/>
      <c r="F714" s="40"/>
      <c r="G714" s="37"/>
      <c r="H714" s="35"/>
      <c r="I714" s="35"/>
      <c r="J714" s="48"/>
    </row>
    <row r="715" spans="1:10" ht="15.75" customHeight="1">
      <c r="A715" s="37"/>
      <c r="B715" s="52"/>
      <c r="C715" s="38"/>
      <c r="D715" s="35"/>
      <c r="E715" s="92"/>
      <c r="F715" s="40"/>
      <c r="G715" s="37"/>
      <c r="H715" s="35"/>
      <c r="I715" s="35"/>
      <c r="J715" s="48"/>
    </row>
    <row r="716" spans="1:10" ht="15.75" customHeight="1">
      <c r="A716" s="37"/>
      <c r="B716" s="52"/>
      <c r="C716" s="38"/>
      <c r="D716" s="35"/>
      <c r="E716" s="92"/>
      <c r="F716" s="40"/>
      <c r="G716" s="37"/>
      <c r="H716" s="35"/>
      <c r="I716" s="35"/>
      <c r="J716" s="48"/>
    </row>
    <row r="717" spans="1:10" ht="15.75" customHeight="1">
      <c r="A717" s="37"/>
      <c r="B717" s="52"/>
      <c r="C717" s="38"/>
      <c r="D717" s="35"/>
      <c r="E717" s="92"/>
      <c r="F717" s="40"/>
      <c r="G717" s="37"/>
      <c r="H717" s="35"/>
      <c r="I717" s="35"/>
      <c r="J717" s="48"/>
    </row>
    <row r="718" spans="1:10" ht="15.75" customHeight="1">
      <c r="A718" s="37"/>
      <c r="B718" s="52"/>
      <c r="C718" s="38"/>
      <c r="D718" s="35"/>
      <c r="E718" s="92"/>
      <c r="F718" s="40"/>
      <c r="G718" s="37"/>
      <c r="H718" s="35"/>
      <c r="I718" s="35"/>
      <c r="J718" s="48"/>
    </row>
    <row r="719" spans="1:10" ht="15.75" customHeight="1">
      <c r="A719" s="37"/>
      <c r="B719" s="52"/>
      <c r="C719" s="38"/>
      <c r="D719" s="35"/>
      <c r="E719" s="92"/>
      <c r="F719" s="40"/>
      <c r="G719" s="37"/>
      <c r="H719" s="35"/>
      <c r="I719" s="35"/>
      <c r="J719" s="48"/>
    </row>
    <row r="720" spans="1:10" ht="15.75" customHeight="1">
      <c r="A720" s="37"/>
      <c r="B720" s="52"/>
      <c r="C720" s="38"/>
      <c r="D720" s="35"/>
      <c r="E720" s="92"/>
      <c r="F720" s="40"/>
      <c r="G720" s="37"/>
      <c r="H720" s="35"/>
      <c r="I720" s="35"/>
      <c r="J720" s="48"/>
    </row>
    <row r="721" spans="1:10" ht="15.75" customHeight="1">
      <c r="A721" s="37"/>
      <c r="B721" s="52"/>
      <c r="C721" s="38"/>
      <c r="D721" s="35"/>
      <c r="E721" s="92"/>
      <c r="F721" s="40"/>
      <c r="G721" s="37"/>
      <c r="H721" s="35"/>
      <c r="I721" s="35"/>
      <c r="J721" s="48"/>
    </row>
    <row r="722" spans="1:10" ht="15.75" customHeight="1">
      <c r="A722" s="37"/>
      <c r="B722" s="52"/>
      <c r="C722" s="38"/>
      <c r="D722" s="35"/>
      <c r="E722" s="92"/>
      <c r="F722" s="40"/>
      <c r="G722" s="37"/>
      <c r="H722" s="35"/>
      <c r="I722" s="35"/>
      <c r="J722" s="48"/>
    </row>
    <row r="723" spans="1:10" ht="15.75" customHeight="1">
      <c r="A723" s="37"/>
      <c r="B723" s="52"/>
      <c r="C723" s="38"/>
      <c r="D723" s="35"/>
      <c r="E723" s="92"/>
      <c r="F723" s="40"/>
      <c r="G723" s="37"/>
      <c r="H723" s="35"/>
      <c r="I723" s="35"/>
      <c r="J723" s="48"/>
    </row>
    <row r="724" spans="1:10" ht="15.75" customHeight="1">
      <c r="A724" s="37"/>
      <c r="B724" s="52"/>
      <c r="C724" s="38"/>
      <c r="D724" s="35"/>
      <c r="E724" s="92"/>
      <c r="F724" s="40"/>
      <c r="G724" s="37"/>
      <c r="H724" s="35"/>
      <c r="I724" s="35"/>
      <c r="J724" s="48"/>
    </row>
    <row r="725" spans="1:10" ht="15.75" customHeight="1">
      <c r="A725" s="37"/>
      <c r="B725" s="52"/>
      <c r="C725" s="38"/>
      <c r="D725" s="35"/>
      <c r="E725" s="92"/>
      <c r="F725" s="40"/>
      <c r="G725" s="37"/>
      <c r="H725" s="35"/>
      <c r="I725" s="35"/>
      <c r="J725" s="48"/>
    </row>
    <row r="726" spans="1:10" ht="15.75" customHeight="1">
      <c r="A726" s="37"/>
      <c r="B726" s="52"/>
      <c r="C726" s="38"/>
      <c r="D726" s="35"/>
      <c r="E726" s="92"/>
      <c r="F726" s="40"/>
      <c r="G726" s="37"/>
      <c r="H726" s="35"/>
      <c r="I726" s="35"/>
      <c r="J726" s="48"/>
    </row>
    <row r="727" spans="1:10" ht="15.75" customHeight="1">
      <c r="A727" s="37"/>
      <c r="B727" s="52"/>
      <c r="C727" s="38"/>
      <c r="D727" s="35"/>
      <c r="E727" s="92"/>
      <c r="F727" s="40"/>
      <c r="G727" s="37"/>
      <c r="H727" s="35"/>
      <c r="I727" s="35"/>
      <c r="J727" s="48"/>
    </row>
    <row r="728" spans="1:10" ht="15.75" customHeight="1">
      <c r="A728" s="37"/>
      <c r="B728" s="52"/>
      <c r="C728" s="38"/>
      <c r="D728" s="35"/>
      <c r="E728" s="92"/>
      <c r="F728" s="40"/>
      <c r="G728" s="37"/>
      <c r="H728" s="35"/>
      <c r="I728" s="35"/>
      <c r="J728" s="48"/>
    </row>
    <row r="729" spans="1:10" ht="15.75" customHeight="1">
      <c r="A729" s="37"/>
      <c r="B729" s="52"/>
      <c r="C729" s="38"/>
      <c r="D729" s="35"/>
      <c r="E729" s="92"/>
      <c r="F729" s="40"/>
      <c r="G729" s="37"/>
      <c r="H729" s="35"/>
      <c r="I729" s="35"/>
      <c r="J729" s="48"/>
    </row>
    <row r="730" spans="1:10" ht="15.75" customHeight="1">
      <c r="A730" s="37"/>
      <c r="B730" s="52"/>
      <c r="C730" s="38"/>
      <c r="D730" s="35"/>
      <c r="E730" s="92"/>
      <c r="F730" s="40"/>
      <c r="G730" s="37"/>
      <c r="H730" s="35"/>
      <c r="I730" s="35"/>
      <c r="J730" s="48"/>
    </row>
    <row r="731" spans="1:10" ht="15.75" customHeight="1">
      <c r="A731" s="37"/>
      <c r="B731" s="52"/>
      <c r="C731" s="38"/>
      <c r="D731" s="35"/>
      <c r="E731" s="92"/>
      <c r="F731" s="40"/>
      <c r="G731" s="37"/>
      <c r="H731" s="35"/>
      <c r="I731" s="35"/>
      <c r="J731" s="48"/>
    </row>
    <row r="732" spans="1:10" ht="15.75" customHeight="1">
      <c r="A732" s="37"/>
      <c r="B732" s="52"/>
      <c r="C732" s="38"/>
      <c r="D732" s="35"/>
      <c r="E732" s="92"/>
      <c r="F732" s="40"/>
      <c r="G732" s="37"/>
      <c r="H732" s="35"/>
      <c r="I732" s="35"/>
      <c r="J732" s="48"/>
    </row>
    <row r="733" spans="1:10" ht="15.75" customHeight="1">
      <c r="A733" s="37"/>
      <c r="B733" s="52"/>
      <c r="C733" s="38"/>
      <c r="D733" s="35"/>
      <c r="E733" s="92"/>
      <c r="F733" s="40"/>
      <c r="G733" s="37"/>
      <c r="H733" s="35"/>
      <c r="I733" s="35"/>
      <c r="J733" s="48"/>
    </row>
    <row r="734" spans="1:10" ht="15.75" customHeight="1">
      <c r="A734" s="37"/>
      <c r="B734" s="52"/>
      <c r="C734" s="38"/>
      <c r="D734" s="35"/>
      <c r="E734" s="92"/>
      <c r="F734" s="40"/>
      <c r="G734" s="37"/>
      <c r="H734" s="35"/>
      <c r="I734" s="35"/>
      <c r="J734" s="48"/>
    </row>
    <row r="735" spans="1:10" ht="15.75" customHeight="1">
      <c r="A735" s="37"/>
      <c r="B735" s="52"/>
      <c r="C735" s="38"/>
      <c r="D735" s="35"/>
      <c r="E735" s="92"/>
      <c r="F735" s="40"/>
      <c r="G735" s="37"/>
      <c r="H735" s="35"/>
      <c r="I735" s="35"/>
      <c r="J735" s="48"/>
    </row>
    <row r="736" spans="1:10" ht="15.75" customHeight="1">
      <c r="A736" s="37"/>
      <c r="B736" s="52"/>
      <c r="C736" s="38"/>
      <c r="D736" s="35"/>
      <c r="E736" s="92"/>
      <c r="F736" s="40"/>
      <c r="G736" s="37"/>
      <c r="H736" s="35"/>
      <c r="I736" s="35"/>
      <c r="J736" s="48"/>
    </row>
    <row r="737" spans="1:10" ht="15.75" customHeight="1">
      <c r="A737" s="37"/>
      <c r="B737" s="52"/>
      <c r="C737" s="38"/>
      <c r="D737" s="35"/>
      <c r="E737" s="92"/>
      <c r="F737" s="40"/>
      <c r="G737" s="37"/>
      <c r="H737" s="35"/>
      <c r="I737" s="35"/>
      <c r="J737" s="48"/>
    </row>
    <row r="738" spans="1:10" ht="15.75" customHeight="1">
      <c r="A738" s="37"/>
      <c r="B738" s="52"/>
      <c r="C738" s="38"/>
      <c r="D738" s="35"/>
      <c r="E738" s="92"/>
      <c r="F738" s="40"/>
      <c r="G738" s="37"/>
      <c r="H738" s="35"/>
      <c r="I738" s="35"/>
      <c r="J738" s="48"/>
    </row>
    <row r="739" spans="1:10" ht="15.75" customHeight="1">
      <c r="A739" s="37"/>
      <c r="B739" s="52"/>
      <c r="C739" s="38"/>
      <c r="D739" s="35"/>
      <c r="E739" s="92"/>
      <c r="F739" s="40"/>
      <c r="G739" s="37"/>
      <c r="H739" s="35"/>
      <c r="I739" s="35"/>
      <c r="J739" s="48"/>
    </row>
    <row r="740" spans="1:10" ht="15.75" customHeight="1">
      <c r="A740" s="37"/>
      <c r="B740" s="52"/>
      <c r="C740" s="38"/>
      <c r="D740" s="35"/>
      <c r="E740" s="92"/>
      <c r="F740" s="40"/>
      <c r="G740" s="37"/>
      <c r="H740" s="35"/>
      <c r="I740" s="35"/>
      <c r="J740" s="48"/>
    </row>
    <row r="741" spans="1:10" ht="15.75" customHeight="1">
      <c r="A741" s="37"/>
      <c r="B741" s="52"/>
      <c r="C741" s="38"/>
      <c r="D741" s="35"/>
      <c r="E741" s="92"/>
      <c r="F741" s="40"/>
      <c r="G741" s="37"/>
      <c r="H741" s="35"/>
      <c r="I741" s="35"/>
      <c r="J741" s="48"/>
    </row>
    <row r="742" spans="1:10" ht="15.75" customHeight="1">
      <c r="A742" s="37"/>
      <c r="B742" s="52"/>
      <c r="C742" s="38"/>
      <c r="D742" s="35"/>
      <c r="E742" s="92"/>
      <c r="F742" s="40"/>
      <c r="G742" s="37"/>
      <c r="H742" s="35"/>
      <c r="I742" s="35"/>
      <c r="J742" s="48"/>
    </row>
    <row r="743" spans="1:10" ht="15.75" customHeight="1">
      <c r="A743" s="37"/>
      <c r="B743" s="52"/>
      <c r="C743" s="38"/>
      <c r="D743" s="35"/>
      <c r="E743" s="92"/>
      <c r="F743" s="40"/>
      <c r="G743" s="37"/>
      <c r="H743" s="35"/>
      <c r="I743" s="35"/>
      <c r="J743" s="48"/>
    </row>
    <row r="744" spans="1:10" ht="15.75" customHeight="1">
      <c r="A744" s="37"/>
      <c r="B744" s="52"/>
      <c r="C744" s="38"/>
      <c r="D744" s="35"/>
      <c r="E744" s="92"/>
      <c r="F744" s="40"/>
      <c r="G744" s="37"/>
      <c r="H744" s="35"/>
      <c r="I744" s="35"/>
      <c r="J744" s="48"/>
    </row>
    <row r="745" spans="1:10" ht="15.75" customHeight="1">
      <c r="A745" s="37"/>
      <c r="B745" s="52"/>
      <c r="C745" s="38"/>
      <c r="D745" s="35"/>
      <c r="E745" s="92"/>
      <c r="F745" s="40"/>
      <c r="G745" s="37"/>
      <c r="H745" s="35"/>
      <c r="I745" s="35"/>
      <c r="J745" s="48"/>
    </row>
    <row r="746" spans="1:10" ht="15.75" customHeight="1">
      <c r="A746" s="37"/>
      <c r="B746" s="52"/>
      <c r="C746" s="38"/>
      <c r="D746" s="35"/>
      <c r="E746" s="92"/>
      <c r="F746" s="40"/>
      <c r="G746" s="37"/>
      <c r="H746" s="35"/>
      <c r="I746" s="35"/>
      <c r="J746" s="48"/>
    </row>
    <row r="747" spans="1:10" ht="15.75" customHeight="1">
      <c r="A747" s="37"/>
      <c r="B747" s="52"/>
      <c r="C747" s="38"/>
      <c r="D747" s="35"/>
      <c r="E747" s="92"/>
      <c r="F747" s="40"/>
      <c r="G747" s="37"/>
      <c r="H747" s="35"/>
      <c r="I747" s="35"/>
      <c r="J747" s="48"/>
    </row>
    <row r="748" spans="1:10" ht="15.75" customHeight="1">
      <c r="A748" s="37"/>
      <c r="B748" s="52"/>
      <c r="C748" s="38"/>
      <c r="D748" s="35"/>
      <c r="E748" s="92"/>
      <c r="F748" s="40"/>
      <c r="G748" s="37"/>
      <c r="H748" s="35"/>
      <c r="I748" s="35"/>
      <c r="J748" s="48"/>
    </row>
    <row r="749" spans="1:10" ht="15.75" customHeight="1">
      <c r="A749" s="37"/>
      <c r="B749" s="52"/>
      <c r="C749" s="38"/>
      <c r="D749" s="35"/>
      <c r="E749" s="92"/>
      <c r="F749" s="40"/>
      <c r="G749" s="37"/>
      <c r="H749" s="35"/>
      <c r="I749" s="35"/>
      <c r="J749" s="48"/>
    </row>
    <row r="750" spans="1:10" ht="15.75" customHeight="1">
      <c r="A750" s="37"/>
      <c r="B750" s="52"/>
      <c r="C750" s="38"/>
      <c r="D750" s="35"/>
      <c r="E750" s="92"/>
      <c r="F750" s="40"/>
      <c r="G750" s="37"/>
      <c r="H750" s="35"/>
      <c r="I750" s="35"/>
      <c r="J750" s="48"/>
    </row>
    <row r="751" spans="1:10" ht="15.75" customHeight="1">
      <c r="A751" s="37"/>
      <c r="B751" s="52"/>
      <c r="C751" s="38"/>
      <c r="D751" s="35"/>
      <c r="E751" s="92"/>
      <c r="F751" s="40"/>
      <c r="G751" s="37"/>
      <c r="H751" s="35"/>
      <c r="I751" s="35"/>
      <c r="J751" s="48"/>
    </row>
    <row r="752" spans="1:10" ht="15.75" customHeight="1">
      <c r="A752" s="37"/>
      <c r="B752" s="52"/>
      <c r="C752" s="38"/>
      <c r="D752" s="35"/>
      <c r="E752" s="92"/>
      <c r="F752" s="40"/>
      <c r="G752" s="37"/>
      <c r="H752" s="35"/>
      <c r="I752" s="35"/>
      <c r="J752" s="48"/>
    </row>
    <row r="753" spans="1:10" ht="15.75" customHeight="1">
      <c r="A753" s="37"/>
      <c r="B753" s="52"/>
      <c r="C753" s="38"/>
      <c r="D753" s="35"/>
      <c r="E753" s="92"/>
      <c r="F753" s="40"/>
      <c r="G753" s="37"/>
      <c r="H753" s="35"/>
      <c r="I753" s="35"/>
      <c r="J753" s="48"/>
    </row>
    <row r="754" spans="1:10" ht="15.75" customHeight="1">
      <c r="A754" s="37"/>
      <c r="B754" s="52"/>
      <c r="C754" s="38"/>
      <c r="D754" s="35"/>
      <c r="E754" s="92"/>
      <c r="F754" s="40"/>
      <c r="G754" s="37"/>
      <c r="H754" s="35"/>
      <c r="I754" s="35"/>
      <c r="J754" s="48"/>
    </row>
    <row r="755" spans="1:10" ht="15.75" customHeight="1">
      <c r="A755" s="37"/>
      <c r="B755" s="52"/>
      <c r="C755" s="38"/>
      <c r="D755" s="35"/>
      <c r="E755" s="92"/>
      <c r="F755" s="40"/>
      <c r="G755" s="37"/>
      <c r="H755" s="35"/>
      <c r="I755" s="35"/>
      <c r="J755" s="48"/>
    </row>
    <row r="756" spans="1:10" ht="15.75" customHeight="1">
      <c r="A756" s="37"/>
      <c r="B756" s="52"/>
      <c r="C756" s="38"/>
      <c r="D756" s="35"/>
      <c r="E756" s="92"/>
      <c r="F756" s="40"/>
      <c r="G756" s="37"/>
      <c r="H756" s="35"/>
      <c r="I756" s="35"/>
      <c r="J756" s="48"/>
    </row>
    <row r="757" spans="1:10" ht="15.75" customHeight="1">
      <c r="A757" s="37"/>
      <c r="B757" s="52"/>
      <c r="C757" s="38"/>
      <c r="D757" s="35"/>
      <c r="E757" s="92"/>
      <c r="F757" s="40"/>
      <c r="G757" s="37"/>
      <c r="H757" s="35"/>
      <c r="I757" s="35"/>
      <c r="J757" s="48"/>
    </row>
    <row r="758" spans="1:10" ht="15.75" customHeight="1">
      <c r="A758" s="37"/>
      <c r="B758" s="52"/>
      <c r="C758" s="38"/>
      <c r="D758" s="35"/>
      <c r="E758" s="92"/>
      <c r="F758" s="40"/>
      <c r="G758" s="37"/>
      <c r="H758" s="35"/>
      <c r="I758" s="35"/>
      <c r="J758" s="48"/>
    </row>
    <row r="759" spans="1:10" ht="15.75" customHeight="1">
      <c r="A759" s="37"/>
      <c r="B759" s="52"/>
      <c r="C759" s="38"/>
      <c r="D759" s="35"/>
      <c r="E759" s="92"/>
      <c r="F759" s="40"/>
      <c r="G759" s="37"/>
      <c r="H759" s="35"/>
      <c r="I759" s="35"/>
      <c r="J759" s="48"/>
    </row>
    <row r="760" spans="1:10" ht="15.75" customHeight="1">
      <c r="A760" s="37"/>
      <c r="B760" s="52"/>
      <c r="C760" s="38"/>
      <c r="D760" s="35"/>
      <c r="E760" s="92"/>
      <c r="F760" s="40"/>
      <c r="G760" s="37"/>
      <c r="H760" s="35"/>
      <c r="I760" s="35"/>
      <c r="J760" s="48"/>
    </row>
    <row r="761" spans="1:10" ht="15.75" customHeight="1">
      <c r="A761" s="37"/>
      <c r="B761" s="52"/>
      <c r="C761" s="38"/>
      <c r="D761" s="35"/>
      <c r="E761" s="92"/>
      <c r="F761" s="40"/>
      <c r="G761" s="37"/>
      <c r="H761" s="35"/>
      <c r="I761" s="35"/>
      <c r="J761" s="48"/>
    </row>
    <row r="762" spans="1:10" ht="15.75" customHeight="1">
      <c r="A762" s="37"/>
      <c r="B762" s="52"/>
      <c r="C762" s="38"/>
      <c r="D762" s="35"/>
      <c r="E762" s="92"/>
      <c r="F762" s="40"/>
      <c r="G762" s="37"/>
      <c r="H762" s="35"/>
      <c r="I762" s="35"/>
      <c r="J762" s="48"/>
    </row>
    <row r="763" spans="1:10" ht="15.75" customHeight="1">
      <c r="A763" s="37"/>
      <c r="B763" s="52"/>
      <c r="C763" s="38"/>
      <c r="D763" s="35"/>
      <c r="E763" s="92"/>
      <c r="F763" s="40"/>
      <c r="G763" s="37"/>
      <c r="H763" s="35"/>
      <c r="I763" s="35"/>
      <c r="J763" s="48"/>
    </row>
    <row r="764" spans="1:10" ht="15.75" customHeight="1">
      <c r="A764" s="37"/>
      <c r="B764" s="52"/>
      <c r="C764" s="38"/>
      <c r="D764" s="35"/>
      <c r="E764" s="92"/>
      <c r="F764" s="40"/>
      <c r="G764" s="37"/>
      <c r="H764" s="35"/>
      <c r="I764" s="35"/>
      <c r="J764" s="48"/>
    </row>
    <row r="765" spans="1:10" ht="15.75" customHeight="1">
      <c r="A765" s="37"/>
      <c r="B765" s="52"/>
      <c r="C765" s="38"/>
      <c r="D765" s="35"/>
      <c r="E765" s="92"/>
      <c r="F765" s="40"/>
      <c r="G765" s="37"/>
      <c r="H765" s="35"/>
      <c r="I765" s="35"/>
      <c r="J765" s="48"/>
    </row>
    <row r="766" spans="1:10" ht="15.75" customHeight="1">
      <c r="A766" s="37"/>
      <c r="B766" s="52"/>
      <c r="C766" s="38"/>
      <c r="D766" s="35"/>
      <c r="E766" s="92"/>
      <c r="F766" s="40"/>
      <c r="G766" s="37"/>
      <c r="H766" s="35"/>
      <c r="I766" s="35"/>
      <c r="J766" s="48"/>
    </row>
    <row r="767" spans="1:10" ht="15.75" customHeight="1">
      <c r="A767" s="37"/>
      <c r="B767" s="52"/>
      <c r="C767" s="38"/>
      <c r="D767" s="35"/>
      <c r="E767" s="92"/>
      <c r="F767" s="40"/>
      <c r="G767" s="37"/>
      <c r="H767" s="35"/>
      <c r="I767" s="35"/>
      <c r="J767" s="48"/>
    </row>
    <row r="768" spans="1:10" ht="15.75" customHeight="1">
      <c r="A768" s="37"/>
      <c r="B768" s="52"/>
      <c r="C768" s="38"/>
      <c r="D768" s="35"/>
      <c r="E768" s="92"/>
      <c r="F768" s="40"/>
      <c r="G768" s="37"/>
      <c r="H768" s="35"/>
      <c r="I768" s="35"/>
      <c r="J768" s="48"/>
    </row>
    <row r="769" spans="1:10" ht="15.75" customHeight="1">
      <c r="A769" s="37"/>
      <c r="B769" s="52"/>
      <c r="C769" s="38"/>
      <c r="D769" s="35"/>
      <c r="E769" s="92"/>
      <c r="F769" s="40"/>
      <c r="G769" s="37"/>
      <c r="H769" s="35"/>
      <c r="I769" s="35"/>
      <c r="J769" s="48"/>
    </row>
    <row r="770" spans="1:10" ht="15.75" customHeight="1">
      <c r="A770" s="37"/>
      <c r="B770" s="52"/>
      <c r="C770" s="38"/>
      <c r="D770" s="35"/>
      <c r="E770" s="92"/>
      <c r="F770" s="40"/>
      <c r="G770" s="37"/>
      <c r="H770" s="35"/>
      <c r="I770" s="35"/>
      <c r="J770" s="48"/>
    </row>
    <row r="771" spans="1:10" ht="15.75" customHeight="1">
      <c r="A771" s="37"/>
      <c r="B771" s="52"/>
      <c r="C771" s="38"/>
      <c r="D771" s="35"/>
      <c r="E771" s="92"/>
      <c r="F771" s="40"/>
      <c r="G771" s="37"/>
      <c r="H771" s="35"/>
      <c r="I771" s="35"/>
      <c r="J771" s="48"/>
    </row>
    <row r="772" spans="1:10" ht="15.75" customHeight="1">
      <c r="A772" s="37"/>
      <c r="B772" s="52"/>
      <c r="C772" s="38"/>
      <c r="D772" s="35"/>
      <c r="E772" s="92"/>
      <c r="F772" s="40"/>
      <c r="G772" s="37"/>
      <c r="H772" s="35"/>
      <c r="I772" s="35"/>
      <c r="J772" s="48"/>
    </row>
    <row r="773" spans="1:10" ht="15.75" customHeight="1">
      <c r="A773" s="37"/>
      <c r="B773" s="52"/>
      <c r="C773" s="38"/>
      <c r="D773" s="35"/>
      <c r="E773" s="92"/>
      <c r="F773" s="40"/>
      <c r="G773" s="37"/>
      <c r="H773" s="35"/>
      <c r="I773" s="35"/>
      <c r="J773" s="48"/>
    </row>
    <row r="774" spans="1:10" ht="15.75" customHeight="1">
      <c r="A774" s="37"/>
      <c r="B774" s="52"/>
      <c r="C774" s="38"/>
      <c r="D774" s="35"/>
      <c r="E774" s="92"/>
      <c r="F774" s="40"/>
      <c r="G774" s="37"/>
      <c r="H774" s="35"/>
      <c r="I774" s="35"/>
      <c r="J774" s="48"/>
    </row>
    <row r="775" spans="1:10" ht="15.75" customHeight="1">
      <c r="A775" s="37"/>
      <c r="B775" s="52"/>
      <c r="C775" s="38"/>
      <c r="D775" s="35"/>
      <c r="E775" s="92"/>
      <c r="F775" s="40"/>
      <c r="G775" s="37"/>
      <c r="H775" s="35"/>
      <c r="I775" s="35"/>
      <c r="J775" s="48"/>
    </row>
    <row r="776" spans="1:10" ht="15.75" customHeight="1">
      <c r="A776" s="37"/>
      <c r="B776" s="52"/>
      <c r="C776" s="38"/>
      <c r="D776" s="35"/>
      <c r="E776" s="92"/>
      <c r="F776" s="40"/>
      <c r="G776" s="37"/>
      <c r="H776" s="35"/>
      <c r="I776" s="35"/>
      <c r="J776" s="48"/>
    </row>
    <row r="777" spans="1:10" ht="15.75" customHeight="1">
      <c r="A777" s="37"/>
      <c r="B777" s="52"/>
      <c r="C777" s="38"/>
      <c r="D777" s="35"/>
      <c r="E777" s="92"/>
      <c r="F777" s="40"/>
      <c r="G777" s="37"/>
      <c r="H777" s="35"/>
      <c r="I777" s="35"/>
      <c r="J777" s="48"/>
    </row>
    <row r="778" spans="1:10" ht="15.75" customHeight="1">
      <c r="A778" s="37"/>
      <c r="B778" s="52"/>
      <c r="C778" s="38"/>
      <c r="D778" s="35"/>
      <c r="E778" s="92"/>
      <c r="F778" s="40"/>
      <c r="G778" s="37"/>
      <c r="H778" s="35"/>
      <c r="I778" s="35"/>
      <c r="J778" s="48"/>
    </row>
    <row r="779" spans="1:10" ht="15.75" customHeight="1">
      <c r="A779" s="37"/>
      <c r="B779" s="52"/>
      <c r="C779" s="38"/>
      <c r="D779" s="35"/>
      <c r="E779" s="92"/>
      <c r="F779" s="40"/>
      <c r="G779" s="37"/>
      <c r="H779" s="35"/>
      <c r="I779" s="35"/>
      <c r="J779" s="48"/>
    </row>
    <row r="780" spans="1:10" ht="15.75" customHeight="1">
      <c r="A780" s="37"/>
      <c r="B780" s="52"/>
      <c r="C780" s="38"/>
      <c r="D780" s="35"/>
      <c r="E780" s="92"/>
      <c r="F780" s="40"/>
      <c r="G780" s="37"/>
      <c r="H780" s="35"/>
      <c r="I780" s="35"/>
      <c r="J780" s="48"/>
    </row>
    <row r="781" spans="1:10" ht="15.75" customHeight="1">
      <c r="A781" s="37"/>
      <c r="B781" s="52"/>
      <c r="C781" s="38"/>
      <c r="D781" s="35"/>
      <c r="E781" s="92"/>
      <c r="F781" s="40"/>
      <c r="G781" s="37"/>
      <c r="H781" s="35"/>
      <c r="I781" s="35"/>
      <c r="J781" s="48"/>
    </row>
    <row r="782" spans="1:10" ht="15.75" customHeight="1">
      <c r="A782" s="37"/>
      <c r="B782" s="52"/>
      <c r="C782" s="38"/>
      <c r="D782" s="35"/>
      <c r="E782" s="92"/>
      <c r="F782" s="40"/>
      <c r="G782" s="37"/>
      <c r="H782" s="35"/>
      <c r="I782" s="35"/>
      <c r="J782" s="48"/>
    </row>
    <row r="783" spans="1:10" ht="15.75" customHeight="1">
      <c r="A783" s="37"/>
      <c r="B783" s="52"/>
      <c r="C783" s="38"/>
      <c r="D783" s="35"/>
      <c r="E783" s="92"/>
      <c r="F783" s="40"/>
      <c r="G783" s="37"/>
      <c r="H783" s="35"/>
      <c r="I783" s="35"/>
      <c r="J783" s="48"/>
    </row>
    <row r="784" spans="1:10" ht="15.75" customHeight="1">
      <c r="A784" s="37"/>
      <c r="B784" s="52"/>
      <c r="C784" s="38"/>
      <c r="D784" s="35"/>
      <c r="E784" s="92"/>
      <c r="F784" s="40"/>
      <c r="G784" s="37"/>
      <c r="H784" s="35"/>
      <c r="I784" s="35"/>
      <c r="J784" s="48"/>
    </row>
    <row r="785" spans="1:10" ht="15.75" customHeight="1">
      <c r="A785" s="37"/>
      <c r="B785" s="52"/>
      <c r="C785" s="38"/>
      <c r="D785" s="35"/>
      <c r="E785" s="92"/>
      <c r="F785" s="40"/>
      <c r="G785" s="37"/>
      <c r="H785" s="35"/>
      <c r="I785" s="35"/>
      <c r="J785" s="48"/>
    </row>
    <row r="786" spans="1:10" ht="15.75" customHeight="1">
      <c r="A786" s="37"/>
      <c r="B786" s="52"/>
      <c r="C786" s="38"/>
      <c r="D786" s="35"/>
      <c r="E786" s="92"/>
      <c r="F786" s="40"/>
      <c r="G786" s="37"/>
      <c r="H786" s="35"/>
      <c r="I786" s="35"/>
      <c r="J786" s="48"/>
    </row>
    <row r="787" spans="1:10" ht="15.75" customHeight="1">
      <c r="A787" s="37"/>
      <c r="B787" s="52"/>
      <c r="C787" s="38"/>
      <c r="D787" s="35"/>
      <c r="E787" s="92"/>
      <c r="F787" s="40"/>
      <c r="G787" s="37"/>
      <c r="H787" s="35"/>
      <c r="I787" s="35"/>
      <c r="J787" s="48"/>
    </row>
    <row r="788" spans="1:10" ht="15.75" customHeight="1">
      <c r="A788" s="37"/>
      <c r="B788" s="52"/>
      <c r="C788" s="38"/>
      <c r="D788" s="35"/>
      <c r="E788" s="92"/>
      <c r="F788" s="40"/>
      <c r="G788" s="37"/>
      <c r="H788" s="35"/>
      <c r="I788" s="35"/>
      <c r="J788" s="48"/>
    </row>
    <row r="789" spans="1:10" ht="15.75" customHeight="1">
      <c r="A789" s="37"/>
      <c r="B789" s="52"/>
      <c r="C789" s="38"/>
      <c r="D789" s="35"/>
      <c r="E789" s="92"/>
      <c r="F789" s="40"/>
      <c r="G789" s="37"/>
      <c r="H789" s="35"/>
      <c r="I789" s="35"/>
      <c r="J789" s="48"/>
    </row>
    <row r="790" spans="1:10" ht="15.75" customHeight="1">
      <c r="A790" s="37"/>
      <c r="B790" s="52"/>
      <c r="C790" s="38"/>
      <c r="D790" s="35"/>
      <c r="E790" s="92"/>
      <c r="F790" s="40"/>
      <c r="G790" s="37"/>
      <c r="H790" s="35"/>
      <c r="I790" s="35"/>
      <c r="J790" s="48"/>
    </row>
    <row r="791" spans="1:10" ht="15.75" customHeight="1">
      <c r="A791" s="37"/>
      <c r="B791" s="52"/>
      <c r="C791" s="38"/>
      <c r="D791" s="35"/>
      <c r="E791" s="92"/>
      <c r="F791" s="40"/>
      <c r="G791" s="37"/>
      <c r="H791" s="35"/>
      <c r="I791" s="35"/>
      <c r="J791" s="48"/>
    </row>
    <row r="792" spans="1:10" ht="15.75" customHeight="1">
      <c r="A792" s="37"/>
      <c r="B792" s="52"/>
      <c r="C792" s="38"/>
      <c r="D792" s="35"/>
      <c r="E792" s="92"/>
      <c r="F792" s="40"/>
      <c r="G792" s="37"/>
      <c r="H792" s="35"/>
      <c r="I792" s="35"/>
      <c r="J792" s="48"/>
    </row>
    <row r="793" spans="1:10" ht="15.75" customHeight="1">
      <c r="A793" s="37"/>
      <c r="B793" s="52"/>
      <c r="C793" s="38"/>
      <c r="D793" s="35"/>
      <c r="E793" s="92"/>
      <c r="F793" s="40"/>
      <c r="G793" s="37"/>
      <c r="H793" s="35"/>
      <c r="I793" s="35"/>
      <c r="J793" s="48"/>
    </row>
    <row r="794" spans="1:10" ht="15.75" customHeight="1">
      <c r="A794" s="37"/>
      <c r="B794" s="52"/>
      <c r="C794" s="38"/>
      <c r="D794" s="35"/>
      <c r="E794" s="92"/>
      <c r="F794" s="40"/>
      <c r="G794" s="37"/>
      <c r="H794" s="35"/>
      <c r="I794" s="35"/>
      <c r="J794" s="48"/>
    </row>
    <row r="795" spans="1:10" ht="15.75" customHeight="1">
      <c r="A795" s="37"/>
      <c r="B795" s="52"/>
      <c r="C795" s="38"/>
      <c r="D795" s="35"/>
      <c r="E795" s="92"/>
      <c r="F795" s="40"/>
      <c r="G795" s="37"/>
      <c r="H795" s="35"/>
      <c r="I795" s="35"/>
      <c r="J795" s="48"/>
    </row>
    <row r="796" spans="1:10" ht="15.75" customHeight="1">
      <c r="A796" s="37"/>
      <c r="B796" s="52"/>
      <c r="C796" s="38"/>
      <c r="D796" s="35"/>
      <c r="E796" s="92"/>
      <c r="F796" s="40"/>
      <c r="G796" s="37"/>
      <c r="H796" s="35"/>
      <c r="I796" s="35"/>
      <c r="J796" s="48"/>
    </row>
    <row r="797" spans="1:10" ht="15.75" customHeight="1">
      <c r="A797" s="37"/>
      <c r="B797" s="52"/>
      <c r="C797" s="38"/>
      <c r="D797" s="35"/>
      <c r="E797" s="92"/>
      <c r="F797" s="40"/>
      <c r="G797" s="37"/>
      <c r="H797" s="35"/>
      <c r="I797" s="35"/>
      <c r="J797" s="48"/>
    </row>
    <row r="798" spans="1:10" ht="15.75" customHeight="1">
      <c r="A798" s="37"/>
      <c r="B798" s="52"/>
      <c r="C798" s="38"/>
      <c r="D798" s="35"/>
      <c r="E798" s="92"/>
      <c r="F798" s="40"/>
      <c r="G798" s="37"/>
      <c r="H798" s="35"/>
      <c r="I798" s="35"/>
      <c r="J798" s="48"/>
    </row>
    <row r="799" spans="1:10" ht="15.75" customHeight="1">
      <c r="A799" s="37"/>
      <c r="B799" s="52"/>
      <c r="C799" s="38"/>
      <c r="D799" s="35"/>
      <c r="E799" s="92"/>
      <c r="F799" s="40"/>
      <c r="G799" s="37"/>
      <c r="H799" s="35"/>
      <c r="I799" s="35"/>
      <c r="J799" s="48"/>
    </row>
    <row r="800" spans="1:10" ht="15.75" customHeight="1">
      <c r="A800" s="37"/>
      <c r="B800" s="52"/>
      <c r="C800" s="38"/>
      <c r="D800" s="35"/>
      <c r="E800" s="92"/>
      <c r="F800" s="40"/>
      <c r="G800" s="37"/>
      <c r="H800" s="35"/>
      <c r="I800" s="35"/>
      <c r="J800" s="48"/>
    </row>
    <row r="801" spans="1:10" ht="15.75" customHeight="1">
      <c r="A801" s="37"/>
      <c r="B801" s="52"/>
      <c r="C801" s="38"/>
      <c r="D801" s="35"/>
      <c r="E801" s="92"/>
      <c r="F801" s="40"/>
      <c r="G801" s="37"/>
      <c r="H801" s="35"/>
      <c r="I801" s="35"/>
      <c r="J801" s="48"/>
    </row>
    <row r="802" spans="1:10" ht="15.75" customHeight="1">
      <c r="A802" s="37"/>
      <c r="B802" s="52"/>
      <c r="C802" s="38"/>
      <c r="D802" s="35"/>
      <c r="E802" s="92"/>
      <c r="F802" s="40"/>
      <c r="G802" s="37"/>
      <c r="H802" s="35"/>
      <c r="I802" s="35"/>
      <c r="J802" s="48"/>
    </row>
    <row r="803" spans="1:10" ht="15.75" customHeight="1">
      <c r="A803" s="37"/>
      <c r="B803" s="52"/>
      <c r="C803" s="38"/>
      <c r="D803" s="35"/>
      <c r="E803" s="92"/>
      <c r="F803" s="40"/>
      <c r="G803" s="37"/>
      <c r="H803" s="35"/>
      <c r="I803" s="35"/>
      <c r="J803" s="48"/>
    </row>
    <row r="804" spans="1:10" ht="15.75" customHeight="1">
      <c r="A804" s="37"/>
      <c r="B804" s="52"/>
      <c r="C804" s="38"/>
      <c r="D804" s="35"/>
      <c r="E804" s="92"/>
      <c r="F804" s="40"/>
      <c r="G804" s="37"/>
      <c r="H804" s="35"/>
      <c r="I804" s="35"/>
      <c r="J804" s="48"/>
    </row>
    <row r="805" spans="1:10" ht="15.75" customHeight="1">
      <c r="A805" s="37"/>
      <c r="B805" s="52"/>
      <c r="C805" s="38"/>
      <c r="D805" s="35"/>
      <c r="E805" s="92"/>
      <c r="F805" s="40"/>
      <c r="G805" s="37"/>
      <c r="H805" s="35"/>
      <c r="I805" s="35"/>
      <c r="J805" s="48"/>
    </row>
    <row r="806" spans="1:10" ht="15.75" customHeight="1">
      <c r="A806" s="37"/>
      <c r="B806" s="52"/>
      <c r="C806" s="38"/>
      <c r="D806" s="35"/>
      <c r="E806" s="92"/>
      <c r="F806" s="40"/>
      <c r="G806" s="37"/>
      <c r="H806" s="35"/>
      <c r="I806" s="35"/>
      <c r="J806" s="48"/>
    </row>
    <row r="807" spans="1:10" ht="15.75" customHeight="1">
      <c r="A807" s="37"/>
      <c r="B807" s="52"/>
      <c r="C807" s="38"/>
      <c r="D807" s="35"/>
      <c r="E807" s="92"/>
      <c r="F807" s="40"/>
      <c r="G807" s="37"/>
      <c r="H807" s="35"/>
      <c r="I807" s="35"/>
      <c r="J807" s="48"/>
    </row>
    <row r="808" spans="1:10" ht="15.75" customHeight="1">
      <c r="A808" s="37"/>
      <c r="B808" s="52"/>
      <c r="C808" s="38"/>
      <c r="D808" s="35"/>
      <c r="E808" s="92"/>
      <c r="F808" s="40"/>
      <c r="G808" s="37"/>
      <c r="H808" s="35"/>
      <c r="I808" s="35"/>
      <c r="J808" s="48"/>
    </row>
    <row r="809" spans="1:10" ht="15.75" customHeight="1">
      <c r="A809" s="37"/>
      <c r="B809" s="52"/>
      <c r="C809" s="38"/>
      <c r="D809" s="35"/>
      <c r="E809" s="92"/>
      <c r="F809" s="40"/>
      <c r="G809" s="37"/>
      <c r="H809" s="35"/>
      <c r="I809" s="35"/>
      <c r="J809" s="48"/>
    </row>
    <row r="810" spans="1:10" ht="15.75" customHeight="1">
      <c r="A810" s="37"/>
      <c r="B810" s="52"/>
      <c r="C810" s="38"/>
      <c r="D810" s="35"/>
      <c r="E810" s="92"/>
      <c r="F810" s="40"/>
      <c r="G810" s="37"/>
      <c r="H810" s="35"/>
      <c r="I810" s="35"/>
      <c r="J810" s="48"/>
    </row>
    <row r="811" spans="1:10" ht="15.75" customHeight="1">
      <c r="A811" s="37"/>
      <c r="B811" s="52"/>
      <c r="C811" s="38"/>
      <c r="D811" s="35"/>
      <c r="E811" s="92"/>
      <c r="F811" s="40"/>
      <c r="G811" s="37"/>
      <c r="H811" s="35"/>
      <c r="I811" s="35"/>
      <c r="J811" s="48"/>
    </row>
    <row r="812" spans="1:10" ht="15.75" customHeight="1">
      <c r="A812" s="37"/>
      <c r="B812" s="52"/>
      <c r="C812" s="38"/>
      <c r="D812" s="35"/>
      <c r="E812" s="92"/>
      <c r="F812" s="40"/>
      <c r="G812" s="37"/>
      <c r="H812" s="35"/>
      <c r="I812" s="35"/>
      <c r="J812" s="48"/>
    </row>
    <row r="813" spans="1:10" ht="15.75" customHeight="1">
      <c r="A813" s="37"/>
      <c r="B813" s="52"/>
      <c r="C813" s="38"/>
      <c r="D813" s="35"/>
      <c r="E813" s="92"/>
      <c r="F813" s="40"/>
      <c r="G813" s="37"/>
      <c r="H813" s="35"/>
      <c r="I813" s="35"/>
      <c r="J813" s="48"/>
    </row>
    <row r="814" spans="1:10" ht="15.75" customHeight="1">
      <c r="A814" s="37"/>
      <c r="B814" s="52"/>
      <c r="C814" s="38"/>
      <c r="D814" s="35"/>
      <c r="E814" s="92"/>
      <c r="F814" s="40"/>
      <c r="G814" s="37"/>
      <c r="H814" s="35"/>
      <c r="I814" s="35"/>
      <c r="J814" s="48"/>
    </row>
    <row r="815" spans="1:10" ht="15.75" customHeight="1">
      <c r="A815" s="37"/>
      <c r="B815" s="52"/>
      <c r="C815" s="38"/>
      <c r="D815" s="35"/>
      <c r="E815" s="92"/>
      <c r="F815" s="40"/>
      <c r="G815" s="37"/>
      <c r="H815" s="35"/>
      <c r="I815" s="35"/>
      <c r="J815" s="48"/>
    </row>
    <row r="816" spans="1:10" ht="15.75" customHeight="1">
      <c r="A816" s="37"/>
      <c r="B816" s="52"/>
      <c r="C816" s="38"/>
      <c r="D816" s="35"/>
      <c r="E816" s="92"/>
      <c r="F816" s="40"/>
      <c r="G816" s="37"/>
      <c r="H816" s="35"/>
      <c r="I816" s="35"/>
      <c r="J816" s="48"/>
    </row>
    <row r="817" spans="1:10" ht="15.75" customHeight="1">
      <c r="A817" s="37"/>
      <c r="B817" s="52"/>
      <c r="C817" s="38"/>
      <c r="D817" s="35"/>
      <c r="E817" s="92"/>
      <c r="F817" s="40"/>
      <c r="G817" s="37"/>
      <c r="H817" s="35"/>
      <c r="I817" s="35"/>
      <c r="J817" s="48"/>
    </row>
    <row r="818" spans="1:10" ht="15.75" customHeight="1">
      <c r="A818" s="37"/>
      <c r="B818" s="52"/>
      <c r="C818" s="38"/>
      <c r="D818" s="35"/>
      <c r="E818" s="92"/>
      <c r="F818" s="40"/>
      <c r="G818" s="37"/>
      <c r="H818" s="35"/>
      <c r="I818" s="35"/>
      <c r="J818" s="48"/>
    </row>
    <row r="819" spans="1:10" ht="15.75" customHeight="1">
      <c r="A819" s="37"/>
      <c r="B819" s="52"/>
      <c r="C819" s="38"/>
      <c r="D819" s="35"/>
      <c r="E819" s="92"/>
      <c r="F819" s="40"/>
      <c r="G819" s="37"/>
      <c r="H819" s="35"/>
      <c r="I819" s="35"/>
      <c r="J819" s="48"/>
    </row>
    <row r="820" spans="1:10" ht="15.75" customHeight="1">
      <c r="A820" s="37"/>
      <c r="B820" s="52"/>
      <c r="C820" s="38"/>
      <c r="D820" s="35"/>
      <c r="E820" s="92"/>
      <c r="F820" s="40"/>
      <c r="G820" s="37"/>
      <c r="H820" s="35"/>
      <c r="I820" s="35"/>
      <c r="J820" s="48"/>
    </row>
    <row r="821" spans="1:10" ht="15.75" customHeight="1">
      <c r="A821" s="37"/>
      <c r="B821" s="52"/>
      <c r="C821" s="38"/>
      <c r="D821" s="35"/>
      <c r="E821" s="92"/>
      <c r="F821" s="40"/>
      <c r="G821" s="37"/>
      <c r="H821" s="35"/>
      <c r="I821" s="35"/>
      <c r="J821" s="48"/>
    </row>
    <row r="822" spans="1:10" ht="15.75" customHeight="1">
      <c r="A822" s="37"/>
      <c r="B822" s="52"/>
      <c r="C822" s="38"/>
      <c r="D822" s="35"/>
      <c r="E822" s="92"/>
      <c r="F822" s="40"/>
      <c r="G822" s="37"/>
      <c r="H822" s="35"/>
      <c r="I822" s="35"/>
      <c r="J822" s="48"/>
    </row>
    <row r="823" spans="1:10" ht="15.75" customHeight="1">
      <c r="A823" s="37"/>
      <c r="B823" s="52"/>
      <c r="C823" s="38"/>
      <c r="D823" s="35"/>
      <c r="E823" s="92"/>
      <c r="F823" s="40"/>
      <c r="G823" s="37"/>
      <c r="H823" s="35"/>
      <c r="I823" s="35"/>
      <c r="J823" s="48"/>
    </row>
    <row r="824" spans="1:10" ht="15.75" customHeight="1">
      <c r="A824" s="37"/>
      <c r="B824" s="52"/>
      <c r="C824" s="38"/>
      <c r="D824" s="35"/>
      <c r="E824" s="92"/>
      <c r="F824" s="40"/>
      <c r="G824" s="37"/>
      <c r="H824" s="35"/>
      <c r="I824" s="35"/>
      <c r="J824" s="48"/>
    </row>
    <row r="825" spans="1:10" ht="15.75" customHeight="1">
      <c r="A825" s="37"/>
      <c r="B825" s="52"/>
      <c r="C825" s="38"/>
      <c r="D825" s="35"/>
      <c r="E825" s="92"/>
      <c r="F825" s="40"/>
      <c r="G825" s="37"/>
      <c r="H825" s="35"/>
      <c r="I825" s="35"/>
      <c r="J825" s="48"/>
    </row>
    <row r="826" spans="1:10" ht="15.75" customHeight="1">
      <c r="A826" s="37"/>
      <c r="B826" s="52"/>
      <c r="C826" s="38"/>
      <c r="D826" s="35"/>
      <c r="E826" s="92"/>
      <c r="F826" s="40"/>
      <c r="G826" s="37"/>
      <c r="H826" s="35"/>
      <c r="I826" s="35"/>
      <c r="J826" s="48"/>
    </row>
    <row r="827" spans="1:10" ht="15.75" customHeight="1">
      <c r="A827" s="37"/>
      <c r="B827" s="52"/>
      <c r="C827" s="38"/>
      <c r="D827" s="35"/>
      <c r="E827" s="92"/>
      <c r="F827" s="40"/>
      <c r="G827" s="37"/>
      <c r="H827" s="35"/>
      <c r="I827" s="35"/>
      <c r="J827" s="48"/>
    </row>
    <row r="828" spans="1:10" ht="15.75" customHeight="1">
      <c r="A828" s="37"/>
      <c r="B828" s="52"/>
      <c r="C828" s="38"/>
      <c r="D828" s="35"/>
      <c r="E828" s="92"/>
      <c r="F828" s="40"/>
      <c r="G828" s="37"/>
      <c r="H828" s="35"/>
      <c r="I828" s="35"/>
      <c r="J828" s="48"/>
    </row>
    <row r="829" spans="1:10" ht="15.75" customHeight="1">
      <c r="A829" s="37"/>
      <c r="B829" s="52"/>
      <c r="C829" s="38"/>
      <c r="D829" s="35"/>
      <c r="E829" s="92"/>
      <c r="F829" s="40"/>
      <c r="G829" s="37"/>
      <c r="H829" s="35"/>
      <c r="I829" s="35"/>
      <c r="J829" s="48"/>
    </row>
    <row r="830" spans="1:10" ht="15.75" customHeight="1">
      <c r="A830" s="37"/>
      <c r="B830" s="52"/>
      <c r="C830" s="38"/>
      <c r="D830" s="35"/>
      <c r="E830" s="92"/>
      <c r="F830" s="40"/>
      <c r="G830" s="37"/>
      <c r="H830" s="35"/>
      <c r="I830" s="35"/>
      <c r="J830" s="48"/>
    </row>
    <row r="831" spans="1:10" ht="15.75" customHeight="1">
      <c r="A831" s="37"/>
      <c r="B831" s="52"/>
      <c r="C831" s="38"/>
      <c r="D831" s="35"/>
      <c r="E831" s="92"/>
      <c r="F831" s="40"/>
      <c r="G831" s="37"/>
      <c r="H831" s="35"/>
      <c r="I831" s="35"/>
      <c r="J831" s="48"/>
    </row>
    <row r="832" spans="1:10" ht="15.75" customHeight="1">
      <c r="A832" s="37"/>
      <c r="B832" s="52"/>
      <c r="C832" s="38"/>
      <c r="D832" s="35"/>
      <c r="E832" s="92"/>
      <c r="F832" s="40"/>
      <c r="G832" s="37"/>
      <c r="H832" s="35"/>
      <c r="I832" s="35"/>
      <c r="J832" s="48"/>
    </row>
    <row r="833" spans="1:10" ht="15.75" customHeight="1">
      <c r="A833" s="37"/>
      <c r="B833" s="52"/>
      <c r="C833" s="38"/>
      <c r="D833" s="35"/>
      <c r="E833" s="92"/>
      <c r="F833" s="40"/>
      <c r="G833" s="37"/>
      <c r="H833" s="35"/>
      <c r="I833" s="35"/>
      <c r="J833" s="48"/>
    </row>
    <row r="834" spans="1:10" ht="15.75" customHeight="1">
      <c r="A834" s="37"/>
      <c r="B834" s="52"/>
      <c r="C834" s="38"/>
      <c r="D834" s="35"/>
      <c r="E834" s="92"/>
      <c r="F834" s="40"/>
      <c r="G834" s="37"/>
      <c r="H834" s="35"/>
      <c r="I834" s="35"/>
      <c r="J834" s="48"/>
    </row>
    <row r="835" spans="1:10" ht="15.75" customHeight="1">
      <c r="A835" s="37"/>
      <c r="B835" s="52"/>
      <c r="C835" s="38"/>
      <c r="D835" s="35"/>
      <c r="E835" s="92"/>
      <c r="F835" s="40"/>
      <c r="G835" s="37"/>
      <c r="H835" s="35"/>
      <c r="I835" s="35"/>
      <c r="J835" s="48"/>
    </row>
    <row r="836" spans="1:10" ht="15.75" customHeight="1">
      <c r="A836" s="37"/>
      <c r="B836" s="52"/>
      <c r="C836" s="38"/>
      <c r="D836" s="35"/>
      <c r="E836" s="92"/>
      <c r="F836" s="40"/>
      <c r="G836" s="37"/>
      <c r="H836" s="35"/>
      <c r="I836" s="35"/>
      <c r="J836" s="48"/>
    </row>
    <row r="837" spans="1:10" ht="15.75" customHeight="1">
      <c r="A837" s="37"/>
      <c r="B837" s="52"/>
      <c r="C837" s="38"/>
      <c r="D837" s="35"/>
      <c r="E837" s="92"/>
      <c r="F837" s="40"/>
      <c r="G837" s="37"/>
      <c r="H837" s="35"/>
      <c r="I837" s="35"/>
      <c r="J837" s="48"/>
    </row>
    <row r="838" spans="1:10" ht="15.75" customHeight="1">
      <c r="A838" s="37"/>
      <c r="B838" s="52"/>
      <c r="C838" s="38"/>
      <c r="D838" s="35"/>
      <c r="E838" s="92"/>
      <c r="F838" s="40"/>
      <c r="G838" s="37"/>
      <c r="H838" s="35"/>
      <c r="I838" s="35"/>
      <c r="J838" s="48"/>
    </row>
    <row r="839" spans="1:10" ht="15.75" customHeight="1">
      <c r="A839" s="37"/>
      <c r="B839" s="52"/>
      <c r="C839" s="38"/>
      <c r="D839" s="35"/>
      <c r="E839" s="92"/>
      <c r="F839" s="40"/>
      <c r="G839" s="37"/>
      <c r="H839" s="35"/>
      <c r="I839" s="35"/>
      <c r="J839" s="48"/>
    </row>
    <row r="840" spans="1:10" ht="15.75" customHeight="1">
      <c r="A840" s="37"/>
      <c r="B840" s="52"/>
      <c r="C840" s="38"/>
      <c r="D840" s="35"/>
      <c r="E840" s="92"/>
      <c r="F840" s="40"/>
      <c r="G840" s="37"/>
      <c r="H840" s="35"/>
      <c r="I840" s="35"/>
      <c r="J840" s="48"/>
    </row>
    <row r="841" spans="1:10" ht="15.75" customHeight="1">
      <c r="A841" s="37"/>
      <c r="B841" s="52"/>
      <c r="C841" s="38"/>
      <c r="D841" s="35"/>
      <c r="E841" s="92"/>
      <c r="F841" s="40"/>
      <c r="G841" s="37"/>
      <c r="H841" s="35"/>
      <c r="I841" s="35"/>
      <c r="J841" s="48"/>
    </row>
    <row r="842" spans="1:10" ht="15.75" customHeight="1">
      <c r="A842" s="37"/>
      <c r="B842" s="52"/>
      <c r="C842" s="38"/>
      <c r="D842" s="35"/>
      <c r="E842" s="92"/>
      <c r="F842" s="40"/>
      <c r="G842" s="37"/>
      <c r="H842" s="35"/>
      <c r="I842" s="35"/>
      <c r="J842" s="48"/>
    </row>
    <row r="843" spans="1:10" ht="15.75" customHeight="1">
      <c r="A843" s="37"/>
      <c r="B843" s="52"/>
      <c r="C843" s="38"/>
      <c r="D843" s="35"/>
      <c r="E843" s="92"/>
      <c r="F843" s="40"/>
      <c r="G843" s="37"/>
      <c r="H843" s="35"/>
      <c r="I843" s="35"/>
      <c r="J843" s="48"/>
    </row>
    <row r="844" spans="1:10" ht="15.75" customHeight="1">
      <c r="A844" s="37"/>
      <c r="B844" s="52"/>
      <c r="C844" s="38"/>
      <c r="D844" s="35"/>
      <c r="E844" s="92"/>
      <c r="F844" s="40"/>
      <c r="G844" s="37"/>
      <c r="H844" s="35"/>
      <c r="I844" s="35"/>
      <c r="J844" s="48"/>
    </row>
    <row r="845" spans="1:10" ht="15.75" customHeight="1">
      <c r="A845" s="37"/>
      <c r="B845" s="52"/>
      <c r="C845" s="38"/>
      <c r="D845" s="35"/>
      <c r="E845" s="92"/>
      <c r="F845" s="40"/>
      <c r="G845" s="37"/>
      <c r="H845" s="35"/>
      <c r="I845" s="35"/>
      <c r="J845" s="48"/>
    </row>
    <row r="846" spans="1:10" ht="15.75" customHeight="1">
      <c r="A846" s="37"/>
      <c r="B846" s="52"/>
      <c r="C846" s="38"/>
      <c r="D846" s="35"/>
      <c r="E846" s="92"/>
      <c r="F846" s="40"/>
      <c r="G846" s="37"/>
      <c r="H846" s="35"/>
      <c r="I846" s="35"/>
      <c r="J846" s="48"/>
    </row>
    <row r="847" spans="1:10" ht="15.75" customHeight="1">
      <c r="A847" s="37"/>
      <c r="B847" s="52"/>
      <c r="C847" s="38"/>
      <c r="D847" s="35"/>
      <c r="E847" s="92"/>
      <c r="F847" s="40"/>
      <c r="G847" s="37"/>
      <c r="H847" s="35"/>
      <c r="I847" s="35"/>
      <c r="J847" s="48"/>
    </row>
    <row r="848" spans="1:10" ht="15.75" customHeight="1">
      <c r="A848" s="37"/>
      <c r="B848" s="52"/>
      <c r="C848" s="38"/>
      <c r="D848" s="35"/>
      <c r="E848" s="92"/>
      <c r="F848" s="40"/>
      <c r="G848" s="37"/>
      <c r="H848" s="35"/>
      <c r="I848" s="35"/>
      <c r="J848" s="48"/>
    </row>
    <row r="849" spans="1:10" ht="15.75" customHeight="1">
      <c r="A849" s="37"/>
      <c r="B849" s="52"/>
      <c r="C849" s="38"/>
      <c r="D849" s="35"/>
      <c r="E849" s="92"/>
      <c r="F849" s="40"/>
      <c r="G849" s="37"/>
      <c r="H849" s="35"/>
      <c r="I849" s="35"/>
      <c r="J849" s="48"/>
    </row>
    <row r="850" spans="1:10" ht="15.75" customHeight="1">
      <c r="A850" s="37"/>
      <c r="B850" s="52"/>
      <c r="C850" s="38"/>
      <c r="D850" s="35"/>
      <c r="E850" s="92"/>
      <c r="F850" s="40"/>
      <c r="G850" s="37"/>
      <c r="H850" s="35"/>
      <c r="I850" s="35"/>
      <c r="J850" s="48"/>
    </row>
    <row r="851" spans="1:10" ht="15.75" customHeight="1">
      <c r="A851" s="37"/>
      <c r="B851" s="52"/>
      <c r="C851" s="38"/>
      <c r="D851" s="35"/>
      <c r="E851" s="92"/>
      <c r="F851" s="40"/>
      <c r="G851" s="37"/>
      <c r="H851" s="35"/>
      <c r="I851" s="35"/>
      <c r="J851" s="48"/>
    </row>
    <row r="852" spans="1:10" ht="15.75" customHeight="1">
      <c r="A852" s="37"/>
      <c r="B852" s="52"/>
      <c r="C852" s="38"/>
      <c r="D852" s="35"/>
      <c r="E852" s="92"/>
      <c r="F852" s="40"/>
      <c r="G852" s="37"/>
      <c r="H852" s="35"/>
      <c r="I852" s="35"/>
      <c r="J852" s="48"/>
    </row>
    <row r="853" spans="1:10" ht="15.75" customHeight="1">
      <c r="A853" s="37"/>
      <c r="B853" s="52"/>
      <c r="C853" s="38"/>
      <c r="D853" s="35"/>
      <c r="E853" s="92"/>
      <c r="F853" s="40"/>
      <c r="G853" s="37"/>
      <c r="H853" s="35"/>
      <c r="I853" s="35"/>
      <c r="J853" s="48"/>
    </row>
    <row r="854" spans="1:10" ht="15.75" customHeight="1">
      <c r="A854" s="37"/>
      <c r="B854" s="52"/>
      <c r="C854" s="38"/>
      <c r="D854" s="35"/>
      <c r="E854" s="92"/>
      <c r="F854" s="40"/>
      <c r="G854" s="37"/>
      <c r="H854" s="35"/>
      <c r="I854" s="35"/>
      <c r="J854" s="48"/>
    </row>
    <row r="855" spans="1:10" ht="15.75" customHeight="1">
      <c r="A855" s="37"/>
      <c r="B855" s="52"/>
      <c r="C855" s="38"/>
      <c r="D855" s="35"/>
      <c r="E855" s="92"/>
      <c r="F855" s="40"/>
      <c r="G855" s="37"/>
      <c r="H855" s="35"/>
      <c r="I855" s="35"/>
      <c r="J855" s="48"/>
    </row>
    <row r="856" spans="1:10" ht="15.75" customHeight="1">
      <c r="A856" s="37"/>
      <c r="B856" s="52"/>
      <c r="C856" s="38"/>
      <c r="D856" s="35"/>
      <c r="E856" s="92"/>
      <c r="F856" s="40"/>
      <c r="G856" s="37"/>
      <c r="H856" s="35"/>
      <c r="I856" s="35"/>
      <c r="J856" s="48"/>
    </row>
    <row r="857" spans="1:10" ht="15.75" customHeight="1">
      <c r="A857" s="37"/>
      <c r="B857" s="52"/>
      <c r="C857" s="38"/>
      <c r="D857" s="35"/>
      <c r="E857" s="92"/>
      <c r="F857" s="40"/>
      <c r="G857" s="37"/>
      <c r="H857" s="35"/>
      <c r="I857" s="35"/>
      <c r="J857" s="48"/>
    </row>
    <row r="858" spans="1:10" ht="15.75" customHeight="1">
      <c r="A858" s="37"/>
      <c r="B858" s="52"/>
      <c r="C858" s="38"/>
      <c r="D858" s="35"/>
      <c r="E858" s="92"/>
      <c r="F858" s="40"/>
      <c r="G858" s="37"/>
      <c r="H858" s="35"/>
      <c r="I858" s="35"/>
      <c r="J858" s="48"/>
    </row>
    <row r="859" spans="1:10" ht="15.75" customHeight="1">
      <c r="A859" s="37"/>
      <c r="B859" s="52"/>
      <c r="C859" s="38"/>
      <c r="D859" s="35"/>
      <c r="E859" s="92"/>
      <c r="F859" s="40"/>
      <c r="G859" s="37"/>
      <c r="H859" s="35"/>
      <c r="I859" s="35"/>
      <c r="J859" s="48"/>
    </row>
    <row r="860" spans="1:10" ht="15.75" customHeight="1">
      <c r="A860" s="37"/>
      <c r="B860" s="52"/>
      <c r="C860" s="38"/>
      <c r="D860" s="35"/>
      <c r="E860" s="92"/>
      <c r="F860" s="40"/>
      <c r="G860" s="37"/>
      <c r="H860" s="35"/>
      <c r="I860" s="35"/>
      <c r="J860" s="48"/>
    </row>
    <row r="861" spans="1:10" ht="15.75" customHeight="1">
      <c r="A861" s="37"/>
      <c r="B861" s="52"/>
      <c r="C861" s="38"/>
      <c r="D861" s="35"/>
      <c r="E861" s="92"/>
      <c r="F861" s="40"/>
      <c r="G861" s="37"/>
      <c r="H861" s="35"/>
      <c r="I861" s="35"/>
      <c r="J861" s="48"/>
    </row>
    <row r="862" spans="1:10" ht="15.75" customHeight="1">
      <c r="A862" s="37"/>
      <c r="B862" s="52"/>
      <c r="C862" s="38"/>
      <c r="D862" s="35"/>
      <c r="E862" s="92"/>
      <c r="F862" s="40"/>
      <c r="G862" s="37"/>
      <c r="H862" s="35"/>
      <c r="I862" s="35"/>
      <c r="J862" s="48"/>
    </row>
    <row r="863" spans="1:10" ht="15.75" customHeight="1">
      <c r="A863" s="37"/>
      <c r="B863" s="52"/>
      <c r="C863" s="38"/>
      <c r="D863" s="35"/>
      <c r="E863" s="92"/>
      <c r="F863" s="40"/>
      <c r="G863" s="37"/>
      <c r="H863" s="35"/>
      <c r="I863" s="35"/>
      <c r="J863" s="48"/>
    </row>
    <row r="864" spans="1:10" ht="15.75" customHeight="1">
      <c r="A864" s="37"/>
      <c r="B864" s="52"/>
      <c r="C864" s="38"/>
      <c r="D864" s="35"/>
      <c r="E864" s="92"/>
      <c r="F864" s="40"/>
      <c r="G864" s="37"/>
      <c r="H864" s="35"/>
      <c r="I864" s="35"/>
      <c r="J864" s="48"/>
    </row>
    <row r="865" spans="1:10" ht="15.75" customHeight="1">
      <c r="A865" s="37"/>
      <c r="B865" s="52"/>
      <c r="C865" s="38"/>
      <c r="D865" s="35"/>
      <c r="E865" s="92"/>
      <c r="F865" s="40"/>
      <c r="G865" s="37"/>
      <c r="H865" s="35"/>
      <c r="I865" s="35"/>
      <c r="J865" s="48"/>
    </row>
    <row r="866" spans="1:10" ht="15.75" customHeight="1">
      <c r="A866" s="37"/>
      <c r="B866" s="52"/>
      <c r="C866" s="38"/>
      <c r="D866" s="35"/>
      <c r="E866" s="92"/>
      <c r="F866" s="40"/>
      <c r="G866" s="37"/>
      <c r="H866" s="35"/>
      <c r="I866" s="35"/>
      <c r="J866" s="48"/>
    </row>
    <row r="867" spans="1:10" ht="15.75" customHeight="1">
      <c r="A867" s="37"/>
      <c r="B867" s="52"/>
      <c r="C867" s="38"/>
      <c r="D867" s="35"/>
      <c r="E867" s="92"/>
      <c r="F867" s="40"/>
      <c r="G867" s="37"/>
      <c r="H867" s="35"/>
      <c r="I867" s="35"/>
      <c r="J867" s="48"/>
    </row>
    <row r="868" spans="1:10" ht="15.75" customHeight="1">
      <c r="A868" s="37"/>
      <c r="B868" s="52"/>
      <c r="C868" s="38"/>
      <c r="D868" s="35"/>
      <c r="E868" s="92"/>
      <c r="F868" s="40"/>
      <c r="G868" s="37"/>
      <c r="H868" s="35"/>
      <c r="I868" s="35"/>
      <c r="J868" s="48"/>
    </row>
    <row r="869" spans="1:10" ht="15.75" customHeight="1">
      <c r="A869" s="37"/>
      <c r="B869" s="52"/>
      <c r="C869" s="38"/>
      <c r="D869" s="35"/>
      <c r="E869" s="92"/>
      <c r="F869" s="40"/>
      <c r="G869" s="37"/>
      <c r="H869" s="35"/>
      <c r="I869" s="35"/>
      <c r="J869" s="48"/>
    </row>
    <row r="870" spans="1:10" ht="15.75" customHeight="1">
      <c r="A870" s="37"/>
      <c r="B870" s="52"/>
      <c r="C870" s="38"/>
      <c r="D870" s="35"/>
      <c r="E870" s="92"/>
      <c r="F870" s="40"/>
      <c r="G870" s="37"/>
      <c r="H870" s="35"/>
      <c r="I870" s="35"/>
      <c r="J870" s="48"/>
    </row>
    <row r="871" spans="1:10" ht="15.75" customHeight="1">
      <c r="A871" s="37"/>
      <c r="B871" s="52"/>
      <c r="C871" s="38"/>
      <c r="D871" s="35"/>
      <c r="E871" s="92"/>
      <c r="F871" s="40"/>
      <c r="G871" s="37"/>
      <c r="H871" s="35"/>
      <c r="I871" s="35"/>
      <c r="J871" s="48"/>
    </row>
    <row r="872" spans="1:10" ht="15.75" customHeight="1">
      <c r="A872" s="37"/>
      <c r="B872" s="52"/>
      <c r="C872" s="38"/>
      <c r="D872" s="35"/>
      <c r="E872" s="92"/>
      <c r="F872" s="40"/>
      <c r="G872" s="37"/>
      <c r="H872" s="35"/>
      <c r="I872" s="35"/>
      <c r="J872" s="48"/>
    </row>
    <row r="873" spans="1:10" ht="15.75" customHeight="1">
      <c r="A873" s="37"/>
      <c r="B873" s="52"/>
      <c r="C873" s="38"/>
      <c r="D873" s="35"/>
      <c r="E873" s="92"/>
      <c r="F873" s="40"/>
      <c r="G873" s="37"/>
      <c r="H873" s="35"/>
      <c r="I873" s="35"/>
      <c r="J873" s="48"/>
    </row>
    <row r="874" spans="1:10" ht="15.75" customHeight="1">
      <c r="A874" s="37"/>
      <c r="B874" s="52"/>
      <c r="C874" s="38"/>
      <c r="D874" s="35"/>
      <c r="E874" s="92"/>
      <c r="F874" s="40"/>
      <c r="G874" s="37"/>
      <c r="H874" s="35"/>
      <c r="I874" s="35"/>
      <c r="J874" s="48"/>
    </row>
    <row r="875" spans="1:10" ht="15.75" customHeight="1">
      <c r="A875" s="37"/>
      <c r="B875" s="52"/>
      <c r="C875" s="38"/>
      <c r="D875" s="35"/>
      <c r="E875" s="92"/>
      <c r="F875" s="40"/>
      <c r="G875" s="37"/>
      <c r="H875" s="35"/>
      <c r="I875" s="35"/>
      <c r="J875" s="48"/>
    </row>
    <row r="876" spans="1:10" ht="15.75" customHeight="1">
      <c r="A876" s="37"/>
      <c r="B876" s="52"/>
      <c r="C876" s="38"/>
      <c r="D876" s="35"/>
      <c r="E876" s="92"/>
      <c r="F876" s="40"/>
      <c r="G876" s="37"/>
      <c r="H876" s="35"/>
      <c r="I876" s="35"/>
      <c r="J876" s="48"/>
    </row>
    <row r="877" spans="1:10" ht="15.75" customHeight="1">
      <c r="A877" s="37"/>
      <c r="B877" s="52"/>
      <c r="C877" s="38"/>
      <c r="D877" s="35"/>
      <c r="E877" s="92"/>
      <c r="F877" s="40"/>
      <c r="G877" s="37"/>
      <c r="H877" s="35"/>
      <c r="I877" s="35"/>
      <c r="J877" s="48"/>
    </row>
    <row r="878" spans="1:10" ht="15.75" customHeight="1">
      <c r="A878" s="37"/>
      <c r="B878" s="52"/>
      <c r="C878" s="38"/>
      <c r="D878" s="35"/>
      <c r="E878" s="92"/>
      <c r="F878" s="40"/>
      <c r="G878" s="37"/>
      <c r="H878" s="35"/>
      <c r="I878" s="35"/>
      <c r="J878" s="48"/>
    </row>
    <row r="879" spans="1:10" ht="15.75" customHeight="1">
      <c r="A879" s="37"/>
      <c r="B879" s="52"/>
      <c r="C879" s="38"/>
      <c r="D879" s="35"/>
      <c r="E879" s="92"/>
      <c r="F879" s="40"/>
      <c r="G879" s="37"/>
      <c r="H879" s="35"/>
      <c r="I879" s="35"/>
      <c r="J879" s="48"/>
    </row>
    <row r="880" spans="1:10" ht="15.75" customHeight="1">
      <c r="A880" s="37"/>
      <c r="B880" s="52"/>
      <c r="C880" s="38"/>
      <c r="D880" s="35"/>
      <c r="E880" s="92"/>
      <c r="F880" s="40"/>
      <c r="G880" s="37"/>
      <c r="H880" s="35"/>
      <c r="I880" s="35"/>
      <c r="J880" s="48"/>
    </row>
    <row r="881" spans="1:10" ht="15.75" customHeight="1">
      <c r="A881" s="37"/>
      <c r="B881" s="52"/>
      <c r="C881" s="38"/>
      <c r="D881" s="35"/>
      <c r="E881" s="92"/>
      <c r="F881" s="40"/>
      <c r="G881" s="37"/>
      <c r="H881" s="35"/>
      <c r="I881" s="35"/>
      <c r="J881" s="48"/>
    </row>
    <row r="882" spans="1:10" ht="15.75" customHeight="1">
      <c r="A882" s="37"/>
      <c r="B882" s="52"/>
      <c r="C882" s="38"/>
      <c r="D882" s="35"/>
      <c r="E882" s="92"/>
      <c r="F882" s="40"/>
      <c r="G882" s="37"/>
      <c r="H882" s="35"/>
      <c r="I882" s="35"/>
      <c r="J882" s="48"/>
    </row>
    <row r="883" spans="1:10" ht="15.75" customHeight="1">
      <c r="A883" s="37"/>
      <c r="B883" s="52"/>
      <c r="C883" s="38"/>
      <c r="D883" s="35"/>
      <c r="E883" s="92"/>
      <c r="F883" s="40"/>
      <c r="G883" s="37"/>
      <c r="H883" s="35"/>
      <c r="I883" s="35"/>
      <c r="J883" s="48"/>
    </row>
    <row r="884" spans="1:10" ht="15.75" customHeight="1">
      <c r="A884" s="37"/>
      <c r="B884" s="52"/>
      <c r="C884" s="38"/>
      <c r="D884" s="35"/>
      <c r="E884" s="92"/>
      <c r="F884" s="40"/>
      <c r="G884" s="37"/>
      <c r="H884" s="35"/>
      <c r="I884" s="35"/>
      <c r="J884" s="48"/>
    </row>
    <row r="885" spans="1:10" ht="15.75" customHeight="1">
      <c r="A885" s="37"/>
      <c r="B885" s="52"/>
      <c r="C885" s="38"/>
      <c r="D885" s="35"/>
      <c r="E885" s="92"/>
      <c r="F885" s="40"/>
      <c r="G885" s="37"/>
      <c r="H885" s="35"/>
      <c r="I885" s="35"/>
      <c r="J885" s="48"/>
    </row>
    <row r="886" spans="1:10" ht="15.75" customHeight="1">
      <c r="A886" s="37"/>
      <c r="B886" s="52"/>
      <c r="C886" s="38"/>
      <c r="D886" s="35"/>
      <c r="E886" s="92"/>
      <c r="F886" s="40"/>
      <c r="G886" s="37"/>
      <c r="H886" s="35"/>
      <c r="I886" s="35"/>
      <c r="J886" s="48"/>
    </row>
    <row r="887" spans="1:10" ht="15.75" customHeight="1">
      <c r="A887" s="37"/>
      <c r="B887" s="52"/>
      <c r="C887" s="38"/>
      <c r="D887" s="35"/>
      <c r="E887" s="92"/>
      <c r="F887" s="40"/>
      <c r="G887" s="37"/>
      <c r="H887" s="35"/>
      <c r="I887" s="35"/>
      <c r="J887" s="48"/>
    </row>
    <row r="888" spans="1:10" ht="15.75" customHeight="1">
      <c r="A888" s="37"/>
      <c r="B888" s="52"/>
      <c r="C888" s="38"/>
      <c r="D888" s="35"/>
      <c r="E888" s="92"/>
      <c r="F888" s="40"/>
      <c r="G888" s="37"/>
      <c r="H888" s="35"/>
      <c r="I888" s="35"/>
      <c r="J888" s="48"/>
    </row>
    <row r="889" spans="1:10" ht="15.75" customHeight="1">
      <c r="A889" s="37"/>
      <c r="B889" s="52"/>
      <c r="C889" s="38"/>
      <c r="D889" s="35"/>
      <c r="E889" s="92"/>
      <c r="F889" s="40"/>
      <c r="G889" s="37"/>
      <c r="H889" s="35"/>
      <c r="I889" s="35"/>
      <c r="J889" s="48"/>
    </row>
    <row r="890" spans="1:10" ht="15.75" customHeight="1">
      <c r="A890" s="37"/>
      <c r="B890" s="52"/>
      <c r="C890" s="38"/>
      <c r="D890" s="35"/>
      <c r="E890" s="92"/>
      <c r="F890" s="40"/>
      <c r="G890" s="37"/>
      <c r="H890" s="35"/>
      <c r="I890" s="35"/>
      <c r="J890" s="48"/>
    </row>
    <row r="891" spans="1:10" ht="15.75" customHeight="1">
      <c r="A891" s="37"/>
      <c r="B891" s="52"/>
      <c r="C891" s="38"/>
      <c r="D891" s="35"/>
      <c r="E891" s="92"/>
      <c r="F891" s="40"/>
      <c r="G891" s="37"/>
      <c r="H891" s="35"/>
      <c r="I891" s="35"/>
      <c r="J891" s="48"/>
    </row>
    <row r="892" spans="1:10" ht="15.75" customHeight="1">
      <c r="A892" s="37"/>
      <c r="B892" s="52"/>
      <c r="C892" s="38"/>
      <c r="D892" s="35"/>
      <c r="E892" s="92"/>
      <c r="F892" s="40"/>
      <c r="G892" s="37"/>
      <c r="H892" s="35"/>
      <c r="I892" s="35"/>
      <c r="J892" s="48"/>
    </row>
    <row r="893" spans="1:10" ht="15.75" customHeight="1">
      <c r="A893" s="37"/>
      <c r="B893" s="52"/>
      <c r="C893" s="38"/>
      <c r="D893" s="35"/>
      <c r="E893" s="92"/>
      <c r="F893" s="40"/>
      <c r="G893" s="37"/>
      <c r="H893" s="35"/>
      <c r="I893" s="35"/>
      <c r="J893" s="48"/>
    </row>
    <row r="894" spans="1:10" ht="15.75" customHeight="1">
      <c r="A894" s="37"/>
      <c r="B894" s="52"/>
      <c r="C894" s="38"/>
      <c r="D894" s="35"/>
      <c r="E894" s="92"/>
      <c r="F894" s="40"/>
      <c r="G894" s="37"/>
      <c r="H894" s="35"/>
      <c r="I894" s="35"/>
      <c r="J894" s="48"/>
    </row>
    <row r="895" spans="1:10" ht="15.75" customHeight="1">
      <c r="A895" s="37"/>
      <c r="B895" s="52"/>
      <c r="C895" s="38"/>
      <c r="D895" s="35"/>
      <c r="E895" s="92"/>
      <c r="F895" s="40"/>
      <c r="G895" s="37"/>
      <c r="H895" s="35"/>
      <c r="I895" s="35"/>
      <c r="J895" s="48"/>
    </row>
    <row r="896" spans="1:10" ht="15.75" customHeight="1">
      <c r="A896" s="37"/>
      <c r="B896" s="52"/>
      <c r="C896" s="38"/>
      <c r="D896" s="35"/>
      <c r="E896" s="92"/>
      <c r="F896" s="40"/>
      <c r="G896" s="37"/>
      <c r="H896" s="35"/>
      <c r="I896" s="35"/>
      <c r="J896" s="48"/>
    </row>
    <row r="897" spans="1:10" ht="15.75" customHeight="1">
      <c r="A897" s="37"/>
      <c r="B897" s="52"/>
      <c r="C897" s="38"/>
      <c r="D897" s="35"/>
      <c r="E897" s="92"/>
      <c r="F897" s="40"/>
      <c r="G897" s="37"/>
      <c r="H897" s="35"/>
      <c r="I897" s="35"/>
      <c r="J897" s="48"/>
    </row>
    <row r="898" spans="1:10" ht="15.75" customHeight="1">
      <c r="A898" s="37"/>
      <c r="B898" s="52"/>
      <c r="C898" s="38"/>
      <c r="D898" s="35"/>
      <c r="E898" s="92"/>
      <c r="F898" s="40"/>
      <c r="G898" s="37"/>
      <c r="H898" s="35"/>
      <c r="I898" s="35"/>
      <c r="J898" s="48"/>
    </row>
    <row r="899" spans="1:10" ht="15.75" customHeight="1">
      <c r="A899" s="37"/>
      <c r="B899" s="52"/>
      <c r="C899" s="38"/>
      <c r="D899" s="35"/>
      <c r="E899" s="92"/>
      <c r="F899" s="40"/>
      <c r="G899" s="37"/>
      <c r="H899" s="35"/>
      <c r="I899" s="35"/>
      <c r="J899" s="48"/>
    </row>
    <row r="900" spans="1:10" ht="15.75" customHeight="1">
      <c r="A900" s="37"/>
      <c r="B900" s="52"/>
      <c r="C900" s="38"/>
      <c r="D900" s="35"/>
      <c r="E900" s="92"/>
      <c r="F900" s="40"/>
      <c r="G900" s="37"/>
      <c r="H900" s="35"/>
      <c r="I900" s="35"/>
      <c r="J900" s="48"/>
    </row>
    <row r="901" spans="1:10" ht="15.75" customHeight="1">
      <c r="A901" s="37"/>
      <c r="B901" s="52"/>
      <c r="C901" s="38"/>
      <c r="D901" s="35"/>
      <c r="E901" s="92"/>
      <c r="F901" s="40"/>
      <c r="G901" s="37"/>
      <c r="H901" s="35"/>
      <c r="I901" s="35"/>
      <c r="J901" s="48"/>
    </row>
    <row r="902" spans="1:10" ht="15.75" customHeight="1">
      <c r="A902" s="37"/>
      <c r="B902" s="52"/>
      <c r="C902" s="38"/>
      <c r="D902" s="35"/>
      <c r="E902" s="92"/>
      <c r="F902" s="40"/>
      <c r="G902" s="37"/>
      <c r="H902" s="35"/>
      <c r="I902" s="35"/>
      <c r="J902" s="48"/>
    </row>
    <row r="903" spans="1:10" ht="15.75" customHeight="1">
      <c r="A903" s="37"/>
      <c r="B903" s="52"/>
      <c r="C903" s="38"/>
      <c r="D903" s="35"/>
      <c r="E903" s="92"/>
      <c r="F903" s="40"/>
      <c r="G903" s="37"/>
      <c r="H903" s="35"/>
      <c r="I903" s="35"/>
      <c r="J903" s="48"/>
    </row>
    <row r="904" spans="1:10" ht="15.75" customHeight="1">
      <c r="A904" s="37"/>
      <c r="B904" s="52"/>
      <c r="C904" s="38"/>
      <c r="D904" s="35"/>
      <c r="E904" s="92"/>
      <c r="F904" s="40"/>
      <c r="G904" s="37"/>
      <c r="H904" s="35"/>
      <c r="I904" s="35"/>
      <c r="J904" s="48"/>
    </row>
    <row r="905" spans="1:10" ht="15.75" customHeight="1">
      <c r="A905" s="37"/>
      <c r="B905" s="52"/>
      <c r="C905" s="38"/>
      <c r="D905" s="35"/>
      <c r="E905" s="92"/>
      <c r="F905" s="40"/>
      <c r="G905" s="37"/>
      <c r="H905" s="35"/>
      <c r="I905" s="35"/>
      <c r="J905" s="48"/>
    </row>
    <row r="906" spans="1:10" ht="15.75" customHeight="1">
      <c r="A906" s="37"/>
      <c r="B906" s="52"/>
      <c r="C906" s="38"/>
      <c r="D906" s="35"/>
      <c r="E906" s="92"/>
      <c r="F906" s="40"/>
      <c r="G906" s="37"/>
      <c r="H906" s="35"/>
      <c r="I906" s="35"/>
      <c r="J906" s="48"/>
    </row>
    <row r="907" spans="1:10" ht="15.75" customHeight="1">
      <c r="A907" s="37"/>
      <c r="B907" s="52"/>
      <c r="C907" s="38"/>
      <c r="D907" s="35"/>
      <c r="E907" s="92"/>
      <c r="F907" s="40"/>
      <c r="G907" s="37"/>
      <c r="H907" s="35"/>
      <c r="I907" s="35"/>
      <c r="J907" s="48"/>
    </row>
    <row r="908" spans="1:10" ht="15.75" customHeight="1">
      <c r="A908" s="37"/>
      <c r="B908" s="52"/>
      <c r="C908" s="38"/>
      <c r="D908" s="35"/>
      <c r="E908" s="92"/>
      <c r="F908" s="40"/>
      <c r="G908" s="37"/>
      <c r="H908" s="35"/>
      <c r="I908" s="35"/>
      <c r="J908" s="48"/>
    </row>
    <row r="909" spans="1:10" ht="15.75" customHeight="1">
      <c r="A909" s="37"/>
      <c r="B909" s="52"/>
      <c r="C909" s="38"/>
      <c r="D909" s="35"/>
      <c r="E909" s="92"/>
      <c r="F909" s="40"/>
      <c r="G909" s="37"/>
      <c r="H909" s="35"/>
      <c r="I909" s="35"/>
      <c r="J909" s="48"/>
    </row>
    <row r="910" spans="1:10" ht="15.75" customHeight="1">
      <c r="A910" s="37"/>
      <c r="B910" s="52"/>
      <c r="C910" s="38"/>
      <c r="D910" s="35"/>
      <c r="E910" s="92"/>
      <c r="F910" s="40"/>
      <c r="G910" s="37"/>
      <c r="H910" s="35"/>
      <c r="I910" s="35"/>
      <c r="J910" s="48"/>
    </row>
    <row r="911" spans="1:10" ht="15.75" customHeight="1">
      <c r="A911" s="37"/>
      <c r="B911" s="52"/>
      <c r="C911" s="38"/>
      <c r="D911" s="35"/>
      <c r="E911" s="92"/>
      <c r="F911" s="40"/>
      <c r="G911" s="37"/>
      <c r="H911" s="35"/>
      <c r="I911" s="35"/>
      <c r="J911" s="48"/>
    </row>
    <row r="912" spans="1:10" ht="15.75" customHeight="1">
      <c r="A912" s="37"/>
      <c r="B912" s="52"/>
      <c r="C912" s="38"/>
      <c r="D912" s="35"/>
      <c r="E912" s="92"/>
      <c r="F912" s="40"/>
      <c r="G912" s="37"/>
      <c r="H912" s="35"/>
      <c r="I912" s="35"/>
      <c r="J912" s="48"/>
    </row>
    <row r="913" spans="1:10" ht="15.75" customHeight="1">
      <c r="A913" s="37"/>
      <c r="B913" s="52"/>
      <c r="C913" s="38"/>
      <c r="D913" s="35"/>
      <c r="E913" s="92"/>
      <c r="F913" s="40"/>
      <c r="G913" s="37"/>
      <c r="H913" s="35"/>
      <c r="I913" s="35"/>
      <c r="J913" s="48"/>
    </row>
    <row r="914" spans="1:10" ht="15.75" customHeight="1">
      <c r="A914" s="37"/>
      <c r="B914" s="52"/>
      <c r="C914" s="38"/>
      <c r="D914" s="35"/>
      <c r="E914" s="92"/>
      <c r="F914" s="40"/>
      <c r="G914" s="37"/>
      <c r="H914" s="35"/>
      <c r="I914" s="35"/>
      <c r="J914" s="48"/>
    </row>
    <row r="915" spans="1:10" ht="15.75" customHeight="1">
      <c r="A915" s="37"/>
      <c r="B915" s="52"/>
      <c r="C915" s="38"/>
      <c r="D915" s="35"/>
      <c r="E915" s="92"/>
      <c r="F915" s="40"/>
      <c r="G915" s="37"/>
      <c r="H915" s="35"/>
      <c r="I915" s="35"/>
      <c r="J915" s="48"/>
    </row>
    <row r="916" spans="1:10" ht="15.75" customHeight="1">
      <c r="A916" s="37"/>
      <c r="B916" s="52"/>
      <c r="C916" s="38"/>
      <c r="D916" s="35"/>
      <c r="E916" s="92"/>
      <c r="F916" s="40"/>
      <c r="G916" s="37"/>
      <c r="H916" s="35"/>
      <c r="I916" s="35"/>
      <c r="J916" s="48"/>
    </row>
    <row r="917" spans="1:10" ht="15.75" customHeight="1">
      <c r="A917" s="37"/>
      <c r="B917" s="52"/>
      <c r="C917" s="38"/>
      <c r="D917" s="35"/>
      <c r="E917" s="92"/>
      <c r="F917" s="40"/>
      <c r="G917" s="37"/>
      <c r="H917" s="35"/>
      <c r="I917" s="35"/>
      <c r="J917" s="48"/>
    </row>
    <row r="918" spans="1:10" ht="15.75" customHeight="1">
      <c r="A918" s="37"/>
      <c r="B918" s="52"/>
      <c r="C918" s="38"/>
      <c r="D918" s="35"/>
      <c r="E918" s="92"/>
      <c r="F918" s="40"/>
      <c r="G918" s="37"/>
      <c r="H918" s="35"/>
      <c r="I918" s="35"/>
      <c r="J918" s="48"/>
    </row>
    <row r="919" spans="1:10" ht="15.75" customHeight="1">
      <c r="A919" s="37"/>
      <c r="B919" s="52"/>
      <c r="C919" s="38"/>
      <c r="D919" s="35"/>
      <c r="E919" s="92"/>
      <c r="F919" s="40"/>
      <c r="G919" s="37"/>
      <c r="H919" s="35"/>
      <c r="I919" s="35"/>
      <c r="J919" s="48"/>
    </row>
    <row r="920" spans="1:10" ht="15.75" customHeight="1">
      <c r="A920" s="37"/>
      <c r="B920" s="52"/>
      <c r="C920" s="38"/>
      <c r="D920" s="35"/>
      <c r="E920" s="92"/>
      <c r="F920" s="40"/>
      <c r="G920" s="37"/>
      <c r="H920" s="35"/>
      <c r="I920" s="35"/>
      <c r="J920" s="48"/>
    </row>
    <row r="921" spans="1:10" ht="15.75" customHeight="1">
      <c r="A921" s="37"/>
      <c r="B921" s="52"/>
      <c r="C921" s="38"/>
      <c r="D921" s="35"/>
      <c r="E921" s="92"/>
      <c r="F921" s="40"/>
      <c r="G921" s="37"/>
      <c r="H921" s="35"/>
      <c r="I921" s="35"/>
      <c r="J921" s="48"/>
    </row>
    <row r="922" spans="1:10" ht="15.75" customHeight="1">
      <c r="A922" s="37"/>
      <c r="B922" s="52"/>
      <c r="C922" s="38"/>
      <c r="D922" s="35"/>
      <c r="E922" s="92"/>
      <c r="F922" s="40"/>
      <c r="G922" s="37"/>
      <c r="H922" s="35"/>
      <c r="I922" s="35"/>
      <c r="J922" s="48"/>
    </row>
    <row r="923" spans="1:10" ht="15.75" customHeight="1">
      <c r="A923" s="37"/>
      <c r="B923" s="52"/>
      <c r="C923" s="38"/>
      <c r="D923" s="35"/>
      <c r="E923" s="92"/>
      <c r="F923" s="40"/>
      <c r="G923" s="37"/>
      <c r="H923" s="35"/>
      <c r="I923" s="35"/>
      <c r="J923" s="48"/>
    </row>
    <row r="924" spans="1:10" ht="15.75" customHeight="1">
      <c r="A924" s="37"/>
      <c r="B924" s="52"/>
      <c r="C924" s="38"/>
      <c r="D924" s="35"/>
      <c r="E924" s="92"/>
      <c r="F924" s="40"/>
      <c r="G924" s="37"/>
      <c r="H924" s="35"/>
      <c r="I924" s="35"/>
      <c r="J924" s="48"/>
    </row>
    <row r="925" spans="1:10" ht="15.75" customHeight="1">
      <c r="A925" s="37"/>
      <c r="B925" s="52"/>
      <c r="C925" s="38"/>
      <c r="D925" s="35"/>
      <c r="E925" s="92"/>
      <c r="F925" s="40"/>
      <c r="G925" s="37"/>
      <c r="H925" s="35"/>
      <c r="I925" s="35"/>
      <c r="J925" s="48"/>
    </row>
    <row r="926" spans="1:10" ht="15.75" customHeight="1">
      <c r="A926" s="37"/>
      <c r="B926" s="52"/>
      <c r="C926" s="38"/>
      <c r="D926" s="35"/>
      <c r="E926" s="92"/>
      <c r="F926" s="40"/>
      <c r="G926" s="37"/>
      <c r="H926" s="35"/>
      <c r="I926" s="35"/>
      <c r="J926" s="48"/>
    </row>
    <row r="927" spans="1:10" ht="15.75" customHeight="1">
      <c r="A927" s="37"/>
      <c r="B927" s="52"/>
      <c r="C927" s="38"/>
      <c r="D927" s="35"/>
      <c r="E927" s="92"/>
      <c r="F927" s="40"/>
      <c r="G927" s="37"/>
      <c r="H927" s="35"/>
      <c r="I927" s="35"/>
      <c r="J927" s="48"/>
    </row>
    <row r="928" spans="1:10" ht="15.75" customHeight="1">
      <c r="A928" s="37"/>
      <c r="B928" s="52"/>
      <c r="C928" s="38"/>
      <c r="D928" s="35"/>
      <c r="E928" s="92"/>
      <c r="F928" s="40"/>
      <c r="G928" s="37"/>
      <c r="H928" s="35"/>
      <c r="I928" s="35"/>
      <c r="J928" s="48"/>
    </row>
    <row r="929" spans="1:10" ht="15.75" customHeight="1">
      <c r="A929" s="37"/>
      <c r="B929" s="52"/>
      <c r="C929" s="38"/>
      <c r="D929" s="35"/>
      <c r="E929" s="92"/>
      <c r="F929" s="40"/>
      <c r="G929" s="37"/>
      <c r="H929" s="35"/>
      <c r="I929" s="35"/>
      <c r="J929" s="48"/>
    </row>
    <row r="930" spans="1:10" ht="15.75" customHeight="1">
      <c r="A930" s="37"/>
      <c r="B930" s="52"/>
      <c r="C930" s="38"/>
      <c r="D930" s="35"/>
      <c r="E930" s="92"/>
      <c r="F930" s="40"/>
      <c r="G930" s="37"/>
      <c r="H930" s="35"/>
      <c r="I930" s="35"/>
      <c r="J930" s="48"/>
    </row>
    <row r="931" spans="1:10" ht="15.75" customHeight="1">
      <c r="A931" s="37"/>
      <c r="B931" s="52"/>
      <c r="C931" s="38"/>
      <c r="D931" s="35"/>
      <c r="E931" s="92"/>
      <c r="F931" s="40"/>
      <c r="G931" s="37"/>
      <c r="H931" s="35"/>
      <c r="I931" s="35"/>
      <c r="J931" s="48"/>
    </row>
    <row r="932" spans="1:10" ht="15.75" customHeight="1">
      <c r="A932" s="37"/>
      <c r="B932" s="52"/>
      <c r="C932" s="38"/>
      <c r="D932" s="35"/>
      <c r="E932" s="92"/>
      <c r="F932" s="40"/>
      <c r="G932" s="37"/>
      <c r="H932" s="35"/>
      <c r="I932" s="35"/>
      <c r="J932" s="48"/>
    </row>
    <row r="933" spans="1:10" ht="15.75" customHeight="1">
      <c r="A933" s="37"/>
      <c r="B933" s="52"/>
      <c r="C933" s="38"/>
      <c r="D933" s="35"/>
      <c r="E933" s="92"/>
      <c r="F933" s="40"/>
      <c r="G933" s="37"/>
      <c r="H933" s="35"/>
      <c r="I933" s="35"/>
      <c r="J933" s="48"/>
    </row>
    <row r="934" spans="1:10" ht="15.75" customHeight="1">
      <c r="A934" s="37"/>
      <c r="B934" s="52"/>
      <c r="C934" s="38"/>
      <c r="D934" s="35"/>
      <c r="E934" s="92"/>
      <c r="F934" s="40"/>
      <c r="G934" s="37"/>
      <c r="H934" s="35"/>
      <c r="I934" s="35"/>
      <c r="J934" s="48"/>
    </row>
    <row r="935" spans="1:10" ht="15.75" customHeight="1">
      <c r="A935" s="37"/>
      <c r="B935" s="52"/>
      <c r="C935" s="38"/>
      <c r="D935" s="35"/>
      <c r="E935" s="92"/>
      <c r="F935" s="40"/>
      <c r="G935" s="37"/>
      <c r="H935" s="35"/>
      <c r="I935" s="35"/>
      <c r="J935" s="48"/>
    </row>
    <row r="936" spans="1:10" ht="15.75" customHeight="1">
      <c r="A936" s="37"/>
      <c r="B936" s="52"/>
      <c r="C936" s="38"/>
      <c r="D936" s="35"/>
      <c r="E936" s="92"/>
      <c r="F936" s="40"/>
      <c r="G936" s="37"/>
      <c r="H936" s="35"/>
      <c r="I936" s="35"/>
      <c r="J936" s="48"/>
    </row>
    <row r="937" spans="1:10" ht="15.75" customHeight="1">
      <c r="A937" s="37"/>
      <c r="B937" s="52"/>
      <c r="C937" s="38"/>
      <c r="D937" s="35"/>
      <c r="E937" s="92"/>
      <c r="F937" s="40"/>
      <c r="G937" s="37"/>
      <c r="H937" s="35"/>
      <c r="I937" s="35"/>
      <c r="J937" s="48"/>
    </row>
    <row r="938" spans="1:10" ht="15.75" customHeight="1">
      <c r="A938" s="37"/>
      <c r="B938" s="52"/>
      <c r="C938" s="38"/>
      <c r="D938" s="35"/>
      <c r="E938" s="92"/>
      <c r="F938" s="40"/>
      <c r="G938" s="37"/>
      <c r="H938" s="35"/>
      <c r="I938" s="35"/>
      <c r="J938" s="48"/>
    </row>
    <row r="939" spans="1:10" ht="15.75" customHeight="1">
      <c r="A939" s="37"/>
      <c r="B939" s="52"/>
      <c r="C939" s="38"/>
      <c r="D939" s="35"/>
      <c r="E939" s="92"/>
      <c r="F939" s="40"/>
      <c r="G939" s="37"/>
      <c r="H939" s="35"/>
      <c r="I939" s="35"/>
      <c r="J939" s="48"/>
    </row>
    <row r="940" spans="1:10" ht="15.75" customHeight="1">
      <c r="A940" s="37"/>
      <c r="B940" s="52"/>
      <c r="C940" s="38"/>
      <c r="D940" s="35"/>
      <c r="E940" s="92"/>
      <c r="F940" s="40"/>
      <c r="G940" s="37"/>
      <c r="H940" s="35"/>
      <c r="I940" s="35"/>
      <c r="J940" s="48"/>
    </row>
    <row r="941" spans="1:10" ht="15.75" customHeight="1">
      <c r="A941" s="37"/>
      <c r="B941" s="52"/>
      <c r="C941" s="38"/>
      <c r="D941" s="35"/>
      <c r="E941" s="92"/>
      <c r="F941" s="40"/>
      <c r="G941" s="37"/>
      <c r="H941" s="35"/>
      <c r="I941" s="35"/>
      <c r="J941" s="48"/>
    </row>
    <row r="942" spans="1:10" ht="15.75" customHeight="1">
      <c r="A942" s="37"/>
      <c r="B942" s="52"/>
      <c r="C942" s="38"/>
      <c r="D942" s="35"/>
      <c r="E942" s="92"/>
      <c r="F942" s="40"/>
      <c r="G942" s="37"/>
      <c r="H942" s="35"/>
      <c r="I942" s="35"/>
      <c r="J942" s="48"/>
    </row>
    <row r="943" spans="1:10" ht="15.75" customHeight="1">
      <c r="A943" s="37"/>
      <c r="B943" s="52"/>
      <c r="C943" s="38"/>
      <c r="D943" s="35"/>
      <c r="E943" s="92"/>
      <c r="F943" s="40"/>
      <c r="G943" s="37"/>
      <c r="H943" s="35"/>
      <c r="I943" s="35"/>
      <c r="J943" s="48"/>
    </row>
    <row r="944" spans="1:10" ht="15.75" customHeight="1">
      <c r="A944" s="37"/>
      <c r="B944" s="52"/>
      <c r="C944" s="38"/>
      <c r="D944" s="35"/>
      <c r="E944" s="92"/>
      <c r="F944" s="40"/>
      <c r="G944" s="37"/>
      <c r="H944" s="35"/>
      <c r="I944" s="35"/>
      <c r="J944" s="48"/>
    </row>
    <row r="945" spans="1:10" ht="15.75" customHeight="1">
      <c r="A945" s="37"/>
      <c r="B945" s="52"/>
      <c r="C945" s="38"/>
      <c r="D945" s="35"/>
      <c r="E945" s="92"/>
      <c r="F945" s="40"/>
      <c r="G945" s="37"/>
      <c r="H945" s="35"/>
      <c r="I945" s="35"/>
      <c r="J945" s="48"/>
    </row>
    <row r="946" spans="1:10" ht="15.75" customHeight="1">
      <c r="A946" s="37"/>
      <c r="B946" s="52"/>
      <c r="C946" s="38"/>
      <c r="D946" s="35"/>
      <c r="E946" s="92"/>
      <c r="F946" s="40"/>
      <c r="G946" s="37"/>
      <c r="H946" s="35"/>
      <c r="I946" s="35"/>
      <c r="J946" s="48"/>
    </row>
    <row r="947" spans="1:10" ht="15.75" customHeight="1">
      <c r="A947" s="37"/>
      <c r="B947" s="52"/>
      <c r="C947" s="38"/>
      <c r="D947" s="35"/>
      <c r="E947" s="92"/>
      <c r="F947" s="40"/>
      <c r="G947" s="37"/>
      <c r="H947" s="35"/>
      <c r="I947" s="35"/>
      <c r="J947" s="48"/>
    </row>
    <row r="948" spans="1:10" ht="15.75" customHeight="1">
      <c r="A948" s="37"/>
      <c r="B948" s="52"/>
      <c r="C948" s="38"/>
      <c r="D948" s="35"/>
      <c r="E948" s="92"/>
      <c r="F948" s="40"/>
      <c r="G948" s="37"/>
      <c r="H948" s="35"/>
      <c r="I948" s="35"/>
      <c r="J948" s="48"/>
    </row>
    <row r="949" spans="1:10" ht="15.75" customHeight="1">
      <c r="A949" s="37"/>
      <c r="B949" s="52"/>
      <c r="C949" s="38"/>
      <c r="D949" s="35"/>
      <c r="E949" s="92"/>
      <c r="F949" s="40"/>
      <c r="G949" s="37"/>
      <c r="H949" s="35"/>
      <c r="I949" s="35"/>
      <c r="J949" s="48"/>
    </row>
    <row r="950" spans="1:10" ht="15.75" customHeight="1">
      <c r="A950" s="37"/>
      <c r="B950" s="52"/>
      <c r="C950" s="38"/>
      <c r="D950" s="35"/>
      <c r="E950" s="92"/>
      <c r="F950" s="40"/>
      <c r="G950" s="37"/>
      <c r="H950" s="35"/>
      <c r="I950" s="35"/>
      <c r="J950" s="48"/>
    </row>
    <row r="951" spans="1:10" ht="15.75" customHeight="1">
      <c r="A951" s="37"/>
      <c r="B951" s="52"/>
      <c r="C951" s="38"/>
      <c r="D951" s="35"/>
      <c r="E951" s="92"/>
      <c r="F951" s="40"/>
      <c r="G951" s="37"/>
      <c r="H951" s="35"/>
      <c r="I951" s="35"/>
      <c r="J951" s="48"/>
    </row>
    <row r="952" spans="1:10" ht="15.75" customHeight="1">
      <c r="A952" s="37"/>
      <c r="B952" s="52"/>
      <c r="C952" s="38"/>
      <c r="D952" s="35"/>
      <c r="E952" s="92"/>
      <c r="F952" s="40"/>
      <c r="G952" s="37"/>
      <c r="H952" s="35"/>
      <c r="I952" s="35"/>
      <c r="J952" s="48"/>
    </row>
    <row r="953" spans="1:10" ht="15.75" customHeight="1">
      <c r="A953" s="37"/>
      <c r="B953" s="52"/>
      <c r="C953" s="38"/>
      <c r="D953" s="35"/>
      <c r="E953" s="92"/>
      <c r="F953" s="40"/>
      <c r="G953" s="37"/>
      <c r="H953" s="35"/>
      <c r="I953" s="35"/>
      <c r="J953" s="48"/>
    </row>
    <row r="954" spans="1:10" ht="15.75" customHeight="1">
      <c r="A954" s="37"/>
      <c r="B954" s="52"/>
      <c r="C954" s="38"/>
      <c r="D954" s="35"/>
      <c r="E954" s="92"/>
      <c r="F954" s="40"/>
      <c r="G954" s="37"/>
      <c r="H954" s="35"/>
      <c r="I954" s="35"/>
      <c r="J954" s="48"/>
    </row>
    <row r="955" spans="1:10" ht="15.75" customHeight="1">
      <c r="A955" s="37"/>
      <c r="B955" s="52"/>
      <c r="C955" s="38"/>
      <c r="D955" s="35"/>
      <c r="E955" s="92"/>
      <c r="F955" s="40"/>
      <c r="G955" s="37"/>
      <c r="H955" s="35"/>
      <c r="I955" s="35"/>
      <c r="J955" s="48"/>
    </row>
    <row r="956" spans="1:10" ht="15.75" customHeight="1">
      <c r="A956" s="37"/>
      <c r="B956" s="52"/>
      <c r="C956" s="38"/>
      <c r="D956" s="35"/>
      <c r="E956" s="92"/>
      <c r="F956" s="40"/>
      <c r="G956" s="37"/>
      <c r="H956" s="35"/>
      <c r="I956" s="35"/>
      <c r="J956" s="48"/>
    </row>
    <row r="957" spans="1:10" ht="15.75" customHeight="1">
      <c r="A957" s="37"/>
      <c r="B957" s="52"/>
      <c r="C957" s="38"/>
      <c r="D957" s="35"/>
      <c r="E957" s="92"/>
      <c r="F957" s="40"/>
      <c r="G957" s="37"/>
      <c r="H957" s="35"/>
      <c r="I957" s="35"/>
      <c r="J957" s="48"/>
    </row>
    <row r="958" spans="1:10" ht="15.75" customHeight="1">
      <c r="A958" s="37"/>
      <c r="B958" s="52"/>
      <c r="C958" s="38"/>
      <c r="D958" s="35"/>
      <c r="E958" s="92"/>
      <c r="F958" s="40"/>
      <c r="G958" s="37"/>
      <c r="H958" s="35"/>
      <c r="I958" s="35"/>
      <c r="J958" s="48"/>
    </row>
    <row r="959" spans="1:10" ht="15.75" customHeight="1">
      <c r="A959" s="37"/>
      <c r="B959" s="52"/>
      <c r="C959" s="38"/>
      <c r="D959" s="35"/>
      <c r="E959" s="92"/>
      <c r="F959" s="40"/>
      <c r="G959" s="37"/>
      <c r="H959" s="35"/>
      <c r="I959" s="35"/>
      <c r="J959" s="48"/>
    </row>
    <row r="960" spans="1:10" ht="15.75" customHeight="1">
      <c r="A960" s="37"/>
      <c r="B960" s="52"/>
      <c r="C960" s="38"/>
      <c r="D960" s="35"/>
      <c r="E960" s="92"/>
      <c r="F960" s="40"/>
      <c r="G960" s="37"/>
      <c r="H960" s="35"/>
      <c r="I960" s="35"/>
      <c r="J960" s="48"/>
    </row>
    <row r="961" spans="1:10" ht="15.75" customHeight="1">
      <c r="A961" s="37"/>
      <c r="B961" s="52"/>
      <c r="C961" s="38"/>
      <c r="D961" s="35"/>
      <c r="E961" s="92"/>
      <c r="F961" s="40"/>
      <c r="G961" s="37"/>
      <c r="H961" s="35"/>
      <c r="I961" s="35"/>
      <c r="J961" s="48"/>
    </row>
    <row r="962" spans="1:10" ht="15.75" customHeight="1">
      <c r="A962" s="37"/>
      <c r="B962" s="52"/>
      <c r="C962" s="38"/>
      <c r="D962" s="35"/>
      <c r="E962" s="92"/>
      <c r="F962" s="40"/>
      <c r="G962" s="37"/>
      <c r="H962" s="35"/>
      <c r="I962" s="35"/>
      <c r="J962" s="48"/>
    </row>
    <row r="963" spans="1:10" ht="15.75" customHeight="1">
      <c r="A963" s="37"/>
      <c r="B963" s="52"/>
      <c r="C963" s="38"/>
      <c r="D963" s="35"/>
      <c r="E963" s="92"/>
      <c r="F963" s="40"/>
      <c r="G963" s="37"/>
      <c r="H963" s="35"/>
      <c r="I963" s="35"/>
      <c r="J963" s="48"/>
    </row>
    <row r="964" spans="1:10" ht="15.75" customHeight="1">
      <c r="A964" s="37"/>
      <c r="B964" s="52"/>
      <c r="C964" s="38"/>
      <c r="D964" s="35"/>
      <c r="E964" s="92"/>
      <c r="F964" s="40"/>
      <c r="G964" s="37"/>
      <c r="H964" s="35"/>
      <c r="I964" s="35"/>
      <c r="J964" s="48"/>
    </row>
    <row r="965" spans="1:10" ht="15.75" customHeight="1">
      <c r="A965" s="37"/>
      <c r="B965" s="52"/>
      <c r="C965" s="38"/>
      <c r="D965" s="35"/>
      <c r="E965" s="92"/>
      <c r="F965" s="40"/>
      <c r="G965" s="37"/>
      <c r="H965" s="35"/>
      <c r="I965" s="35"/>
      <c r="J965" s="48"/>
    </row>
    <row r="966" spans="1:10" ht="15.75" customHeight="1">
      <c r="A966" s="37"/>
      <c r="B966" s="52"/>
      <c r="C966" s="38"/>
      <c r="D966" s="35"/>
      <c r="E966" s="92"/>
      <c r="F966" s="40"/>
      <c r="G966" s="37"/>
      <c r="H966" s="35"/>
      <c r="I966" s="35"/>
      <c r="J966" s="48"/>
    </row>
    <row r="967" spans="1:10" ht="15.75" customHeight="1">
      <c r="A967" s="37"/>
      <c r="B967" s="52"/>
      <c r="C967" s="38"/>
      <c r="D967" s="35"/>
      <c r="E967" s="92"/>
      <c r="F967" s="40"/>
      <c r="G967" s="37"/>
      <c r="H967" s="35"/>
      <c r="I967" s="35"/>
      <c r="J967" s="48"/>
    </row>
    <row r="968" spans="1:10" ht="15.75" customHeight="1">
      <c r="A968" s="37"/>
      <c r="B968" s="52"/>
      <c r="C968" s="38"/>
      <c r="D968" s="35"/>
      <c r="E968" s="92"/>
      <c r="F968" s="40"/>
      <c r="G968" s="37"/>
      <c r="H968" s="35"/>
      <c r="I968" s="35"/>
      <c r="J968" s="48"/>
    </row>
    <row r="969" spans="1:10" ht="15.75" customHeight="1">
      <c r="A969" s="37"/>
      <c r="B969" s="52"/>
      <c r="C969" s="38"/>
      <c r="D969" s="35"/>
      <c r="E969" s="92"/>
      <c r="F969" s="40"/>
      <c r="G969" s="37"/>
      <c r="H969" s="35"/>
      <c r="I969" s="35"/>
      <c r="J969" s="48"/>
    </row>
    <row r="970" spans="1:10" ht="15.75" customHeight="1">
      <c r="A970" s="37"/>
      <c r="B970" s="52"/>
      <c r="C970" s="38"/>
      <c r="D970" s="35"/>
      <c r="E970" s="92"/>
      <c r="F970" s="40"/>
      <c r="G970" s="37"/>
      <c r="H970" s="35"/>
      <c r="I970" s="35"/>
      <c r="J970" s="48"/>
    </row>
    <row r="971" spans="1:10" ht="15.75" customHeight="1">
      <c r="A971" s="37"/>
      <c r="B971" s="52"/>
      <c r="C971" s="38"/>
      <c r="D971" s="35"/>
      <c r="E971" s="92"/>
      <c r="F971" s="40"/>
      <c r="G971" s="37"/>
      <c r="H971" s="35"/>
      <c r="I971" s="35"/>
      <c r="J971" s="48"/>
    </row>
    <row r="972" spans="1:10" ht="15.75" customHeight="1">
      <c r="A972" s="37"/>
      <c r="B972" s="52"/>
      <c r="C972" s="38"/>
      <c r="D972" s="35"/>
      <c r="E972" s="92"/>
      <c r="F972" s="40"/>
      <c r="G972" s="37"/>
      <c r="H972" s="35"/>
      <c r="I972" s="35"/>
      <c r="J972" s="48"/>
    </row>
    <row r="973" spans="1:10" ht="15.75" customHeight="1">
      <c r="A973" s="37"/>
      <c r="B973" s="52"/>
      <c r="C973" s="38"/>
      <c r="D973" s="35"/>
      <c r="E973" s="92"/>
      <c r="F973" s="40"/>
      <c r="G973" s="37"/>
      <c r="H973" s="35"/>
      <c r="I973" s="35"/>
      <c r="J973" s="48"/>
    </row>
    <row r="974" spans="1:10" ht="15.75" customHeight="1">
      <c r="A974" s="37"/>
      <c r="B974" s="52"/>
      <c r="C974" s="38"/>
      <c r="D974" s="35"/>
      <c r="E974" s="92"/>
      <c r="F974" s="40"/>
      <c r="G974" s="37"/>
      <c r="H974" s="35"/>
      <c r="I974" s="35"/>
      <c r="J974" s="48"/>
    </row>
    <row r="975" spans="1:10" ht="15.75" customHeight="1">
      <c r="A975" s="37"/>
      <c r="B975" s="52"/>
      <c r="C975" s="38"/>
      <c r="D975" s="35"/>
      <c r="E975" s="92"/>
      <c r="F975" s="40"/>
      <c r="G975" s="37"/>
      <c r="H975" s="35"/>
      <c r="I975" s="35"/>
      <c r="J975" s="48"/>
    </row>
    <row r="976" spans="1:10" ht="15.75" customHeight="1">
      <c r="A976" s="37"/>
      <c r="B976" s="52"/>
      <c r="C976" s="38"/>
      <c r="D976" s="35"/>
      <c r="E976" s="92"/>
      <c r="F976" s="40"/>
      <c r="G976" s="37"/>
      <c r="H976" s="35"/>
      <c r="I976" s="35"/>
      <c r="J976" s="48"/>
    </row>
    <row r="977" spans="1:10" ht="15.75" customHeight="1">
      <c r="A977" s="37"/>
      <c r="B977" s="52"/>
      <c r="C977" s="38"/>
      <c r="D977" s="35"/>
      <c r="E977" s="92"/>
      <c r="F977" s="40"/>
      <c r="G977" s="37"/>
      <c r="H977" s="35"/>
      <c r="I977" s="35"/>
      <c r="J977" s="48"/>
    </row>
    <row r="978" spans="1:10" ht="15.75" customHeight="1">
      <c r="A978" s="37"/>
      <c r="B978" s="52"/>
      <c r="C978" s="38"/>
      <c r="D978" s="35"/>
      <c r="E978" s="92"/>
      <c r="F978" s="40"/>
      <c r="G978" s="37"/>
      <c r="H978" s="35"/>
      <c r="I978" s="35"/>
      <c r="J978" s="48"/>
    </row>
    <row r="979" spans="1:10" ht="15.75" customHeight="1">
      <c r="A979" s="37"/>
      <c r="B979" s="52"/>
      <c r="C979" s="38"/>
      <c r="D979" s="35"/>
      <c r="E979" s="92"/>
      <c r="F979" s="40"/>
      <c r="G979" s="37"/>
      <c r="H979" s="35"/>
      <c r="I979" s="35"/>
      <c r="J979" s="48"/>
    </row>
    <row r="980" spans="1:10" ht="15.75" customHeight="1">
      <c r="A980" s="37"/>
      <c r="B980" s="52"/>
      <c r="C980" s="38"/>
      <c r="D980" s="35"/>
      <c r="E980" s="92"/>
      <c r="F980" s="40"/>
      <c r="G980" s="37"/>
      <c r="H980" s="35"/>
      <c r="I980" s="35"/>
      <c r="J980" s="48"/>
    </row>
    <row r="981" spans="1:10" ht="15.75" customHeight="1">
      <c r="A981" s="37"/>
      <c r="B981" s="52"/>
      <c r="C981" s="38"/>
      <c r="D981" s="35"/>
      <c r="E981" s="92"/>
      <c r="F981" s="40"/>
      <c r="G981" s="37"/>
      <c r="H981" s="35"/>
      <c r="I981" s="35"/>
      <c r="J981" s="48"/>
    </row>
    <row r="982" spans="1:10" ht="15.75" customHeight="1">
      <c r="A982" s="37"/>
      <c r="B982" s="52"/>
      <c r="C982" s="38"/>
      <c r="D982" s="35"/>
      <c r="E982" s="92"/>
      <c r="F982" s="40"/>
      <c r="G982" s="37"/>
      <c r="H982" s="35"/>
      <c r="I982" s="35"/>
      <c r="J982" s="48"/>
    </row>
    <row r="983" spans="1:10" ht="15.75" customHeight="1">
      <c r="A983" s="37"/>
      <c r="B983" s="52"/>
      <c r="C983" s="38"/>
      <c r="D983" s="35"/>
      <c r="E983" s="92"/>
      <c r="F983" s="40"/>
      <c r="G983" s="37"/>
      <c r="H983" s="35"/>
      <c r="I983" s="35"/>
      <c r="J983" s="48"/>
    </row>
    <row r="984" spans="1:10" ht="15.75" customHeight="1">
      <c r="A984" s="37"/>
      <c r="B984" s="52"/>
      <c r="C984" s="38"/>
      <c r="D984" s="35"/>
      <c r="E984" s="92"/>
      <c r="F984" s="40"/>
      <c r="G984" s="37"/>
      <c r="H984" s="35"/>
      <c r="I984" s="35"/>
      <c r="J984" s="48"/>
    </row>
    <row r="985" spans="1:10" ht="15.75" customHeight="1">
      <c r="A985" s="37"/>
      <c r="B985" s="52"/>
      <c r="C985" s="38"/>
      <c r="D985" s="35"/>
      <c r="E985" s="92"/>
      <c r="F985" s="40"/>
      <c r="G985" s="37"/>
      <c r="H985" s="35"/>
      <c r="I985" s="35"/>
      <c r="J985" s="48"/>
    </row>
    <row r="986" spans="1:10" ht="15.75" customHeight="1">
      <c r="A986" s="37"/>
      <c r="B986" s="52"/>
      <c r="C986" s="38"/>
      <c r="D986" s="35"/>
      <c r="E986" s="92"/>
      <c r="F986" s="40"/>
      <c r="G986" s="37"/>
      <c r="H986" s="35"/>
      <c r="I986" s="35"/>
      <c r="J986" s="48"/>
    </row>
    <row r="987" spans="1:10" ht="15.75" customHeight="1">
      <c r="A987" s="37"/>
      <c r="B987" s="52"/>
      <c r="C987" s="38"/>
      <c r="D987" s="35"/>
      <c r="E987" s="92"/>
      <c r="F987" s="40"/>
      <c r="G987" s="37"/>
      <c r="H987" s="35"/>
      <c r="I987" s="35"/>
      <c r="J987" s="48"/>
    </row>
    <row r="988" spans="1:10" ht="15.75" customHeight="1">
      <c r="A988" s="37"/>
      <c r="B988" s="52"/>
      <c r="C988" s="38"/>
      <c r="D988" s="35"/>
      <c r="E988" s="92"/>
      <c r="F988" s="40"/>
      <c r="G988" s="37"/>
      <c r="H988" s="35"/>
      <c r="I988" s="35"/>
      <c r="J988" s="48"/>
    </row>
    <row r="989" spans="1:10" ht="15.75" customHeight="1">
      <c r="A989" s="37"/>
      <c r="B989" s="52"/>
      <c r="C989" s="38"/>
      <c r="D989" s="35"/>
      <c r="E989" s="92"/>
      <c r="F989" s="40"/>
      <c r="G989" s="37"/>
      <c r="H989" s="35"/>
      <c r="I989" s="35"/>
      <c r="J989" s="48"/>
    </row>
    <row r="990" spans="1:10" ht="15.75" customHeight="1">
      <c r="A990" s="37"/>
      <c r="B990" s="52"/>
      <c r="C990" s="38"/>
      <c r="D990" s="35"/>
      <c r="E990" s="92"/>
      <c r="F990" s="40"/>
      <c r="G990" s="37"/>
      <c r="H990" s="35"/>
      <c r="I990" s="35"/>
      <c r="J990" s="48"/>
    </row>
    <row r="991" spans="1:10" ht="15.75" customHeight="1">
      <c r="A991" s="37"/>
      <c r="B991" s="52"/>
      <c r="C991" s="38"/>
      <c r="D991" s="35"/>
      <c r="E991" s="92"/>
      <c r="F991" s="40"/>
      <c r="G991" s="37"/>
      <c r="H991" s="35"/>
      <c r="I991" s="35"/>
      <c r="J991" s="48"/>
    </row>
    <row r="992" spans="1:10" ht="15.75" customHeight="1">
      <c r="A992" s="37"/>
      <c r="B992" s="52"/>
      <c r="C992" s="38"/>
      <c r="D992" s="35"/>
      <c r="E992" s="92"/>
      <c r="F992" s="40"/>
      <c r="G992" s="37"/>
      <c r="H992" s="35"/>
      <c r="I992" s="35"/>
      <c r="J992" s="48"/>
    </row>
    <row r="993" spans="1:10" ht="15.75" customHeight="1">
      <c r="A993" s="37"/>
      <c r="B993" s="52"/>
      <c r="C993" s="38"/>
      <c r="D993" s="35"/>
      <c r="E993" s="92"/>
      <c r="F993" s="40"/>
      <c r="G993" s="37"/>
      <c r="H993" s="35"/>
      <c r="I993" s="35"/>
      <c r="J993" s="48"/>
    </row>
    <row r="994" spans="1:10" ht="15.75" customHeight="1">
      <c r="A994" s="37"/>
      <c r="B994" s="52"/>
      <c r="C994" s="38"/>
      <c r="D994" s="35"/>
      <c r="E994" s="92"/>
      <c r="F994" s="40"/>
      <c r="G994" s="37"/>
      <c r="H994" s="35"/>
      <c r="I994" s="35"/>
      <c r="J994" s="48"/>
    </row>
    <row r="995" spans="1:10" ht="15.75" customHeight="1">
      <c r="A995" s="37"/>
      <c r="B995" s="52"/>
      <c r="C995" s="38"/>
      <c r="D995" s="35"/>
      <c r="E995" s="92"/>
      <c r="F995" s="40"/>
      <c r="G995" s="37"/>
      <c r="H995" s="35"/>
      <c r="I995" s="35"/>
      <c r="J995" s="48"/>
    </row>
    <row r="996" spans="1:10" ht="15.75" customHeight="1">
      <c r="A996" s="37"/>
      <c r="B996" s="52"/>
      <c r="C996" s="38"/>
      <c r="D996" s="35"/>
      <c r="E996" s="92"/>
      <c r="F996" s="40"/>
      <c r="G996" s="37"/>
      <c r="H996" s="35"/>
      <c r="I996" s="35"/>
      <c r="J996" s="48"/>
    </row>
    <row r="997" spans="1:10" ht="15.75" customHeight="1">
      <c r="A997" s="37"/>
      <c r="B997" s="52"/>
      <c r="C997" s="38"/>
      <c r="D997" s="35"/>
      <c r="E997" s="92"/>
      <c r="F997" s="40"/>
      <c r="G997" s="37"/>
      <c r="H997" s="35"/>
      <c r="I997" s="35"/>
      <c r="J997" s="48"/>
    </row>
    <row r="998" spans="1:10" ht="15.75" customHeight="1">
      <c r="A998" s="37"/>
      <c r="B998" s="52"/>
      <c r="C998" s="38"/>
      <c r="D998" s="35"/>
      <c r="E998" s="92"/>
      <c r="F998" s="40"/>
      <c r="G998" s="37"/>
      <c r="H998" s="35"/>
      <c r="I998" s="35"/>
      <c r="J998" s="48"/>
    </row>
    <row r="999" spans="1:10" ht="15.75" customHeight="1">
      <c r="A999" s="37"/>
      <c r="B999" s="52"/>
      <c r="C999" s="38"/>
      <c r="D999" s="35"/>
      <c r="E999" s="92"/>
      <c r="F999" s="40"/>
      <c r="G999" s="37"/>
      <c r="H999" s="35"/>
      <c r="I999" s="35"/>
      <c r="J999" s="48"/>
    </row>
    <row r="1000" spans="1:10" ht="15.75" customHeight="1">
      <c r="A1000" s="37"/>
      <c r="B1000" s="52"/>
      <c r="C1000" s="38"/>
      <c r="D1000" s="35"/>
      <c r="E1000" s="92"/>
      <c r="F1000" s="40"/>
      <c r="G1000" s="37"/>
      <c r="H1000" s="35"/>
      <c r="I1000" s="35"/>
      <c r="J1000" s="48"/>
    </row>
  </sheetData>
  <autoFilter ref="A3:H71" xr:uid="{00000000-0009-0000-0000-000002000000}"/>
  <phoneticPr fontId="27"/>
  <conditionalFormatting sqref="B21">
    <cfRule type="expression" dxfId="16" priority="7">
      <formula>IF(AND($B21&lt;&gt;"",$G32="完了"),TRUE,FALSE)</formula>
    </cfRule>
    <cfRule type="expression" dxfId="15" priority="8">
      <formula>IF($B21&lt;&gt;"",TRUE,FALSE)</formula>
    </cfRule>
  </conditionalFormatting>
  <conditionalFormatting sqref="B42">
    <cfRule type="expression" dxfId="14" priority="3">
      <formula>IF(AND($B42&lt;&gt;"",$G43="完了"),TRUE,FALSE)</formula>
    </cfRule>
  </conditionalFormatting>
  <conditionalFormatting sqref="B42:B1000">
    <cfRule type="expression" dxfId="13" priority="4">
      <formula>IF($B42&lt;&gt;"",TRUE,FALSE)</formula>
    </cfRule>
  </conditionalFormatting>
  <conditionalFormatting sqref="B43:B44">
    <cfRule type="expression" dxfId="12" priority="5">
      <formula>IF(AND($B43&lt;&gt;"",$G42="完了"),TRUE,FALSE)</formula>
    </cfRule>
  </conditionalFormatting>
  <conditionalFormatting sqref="C21:E21 H21:I21 F21:F22 G21:G23">
    <cfRule type="expression" dxfId="11" priority="1">
      <formula>IF(AND(#REF!&lt;&gt;"",$G21="完了"),TRUE,FALSE)</formula>
    </cfRule>
    <cfRule type="expression" dxfId="10" priority="2">
      <formula>IF(#REF!&lt;&gt;"",TRUE,FALSE)</formula>
    </cfRule>
  </conditionalFormatting>
  <conditionalFormatting sqref="C42:I42">
    <cfRule type="expression" dxfId="9" priority="11">
      <formula>IF(AND($B43&lt;&gt;"",$G42="完了"),TRUE,FALSE)</formula>
    </cfRule>
    <cfRule type="expression" dxfId="8" priority="12">
      <formula>IF($B43&lt;&gt;"",TRUE,FALSE)</formula>
    </cfRule>
  </conditionalFormatting>
  <conditionalFormatting sqref="C43:I43 E44">
    <cfRule type="expression" dxfId="7" priority="13">
      <formula>IF(AND($B42&lt;&gt;"",$G43="完了"),TRUE,FALSE)</formula>
    </cfRule>
    <cfRule type="expression" dxfId="6" priority="14">
      <formula>IF($B42&lt;&gt;"",TRUE,FALSE)</formula>
    </cfRule>
  </conditionalFormatting>
  <conditionalFormatting sqref="H4:H8 I4:I41 C44:D1000 F44:I1000 B45:B1000 E45:E1000 H11:H41 B4:G41">
    <cfRule type="expression" dxfId="5" priority="9">
      <formula>IF(AND($B4&lt;&gt;"",$G4="完了"),TRUE,FALSE)</formula>
    </cfRule>
  </conditionalFormatting>
  <conditionalFormatting sqref="H4:H8 I4:I41 C44:D1000 F44:I1000 E45:E1000 H11:H41 B4:G41">
    <cfRule type="expression" dxfId="4" priority="10">
      <formula>IF($B4&lt;&gt;"",TRUE,FALSE)</formula>
    </cfRule>
  </conditionalFormatting>
  <conditionalFormatting sqref="H9:H10">
    <cfRule type="expression" dxfId="3" priority="15">
      <formula>IF(AND($B10&lt;&gt;"",$G10="完了"),TRUE,FALSE)</formula>
    </cfRule>
    <cfRule type="expression" dxfId="2" priority="16">
      <formula>IF($B10&lt;&gt;"",TRUE,FALSE)</formula>
    </cfRule>
  </conditionalFormatting>
  <hyperlinks>
    <hyperlink ref="H14" r:id="rId1" location="gid=1292048900" xr:uid="{00000000-0004-0000-0200-000000000000}"/>
  </hyperlinks>
  <pageMargins left="0.11811023622047249" right="0.11811023622047249" top="0.94488188976377963" bottom="0.35433070866141742" header="0" footer="0"/>
  <pageSetup paperSize="9"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7B7B7"/>
  </sheetPr>
  <dimension ref="A1:AA896"/>
  <sheetViews>
    <sheetView workbookViewId="0"/>
  </sheetViews>
  <sheetFormatPr defaultColWidth="14.42578125" defaultRowHeight="15" customHeight="1"/>
  <cols>
    <col min="1" max="1" width="4" style="119" customWidth="1"/>
    <col min="2" max="2" width="8" style="119" customWidth="1"/>
    <col min="3" max="11" width="12.42578125" style="119" customWidth="1"/>
    <col min="12" max="12" width="17.42578125" style="119" customWidth="1"/>
    <col min="13" max="13" width="17.5703125" style="119" customWidth="1"/>
    <col min="14" max="14" width="13.140625" style="119" customWidth="1"/>
    <col min="15" max="15" width="12.42578125" style="119" customWidth="1"/>
    <col min="16" max="16" width="17" style="119" customWidth="1"/>
    <col min="17" max="17" width="47" style="119" customWidth="1"/>
    <col min="18" max="18" width="70.140625" style="119" customWidth="1"/>
    <col min="19" max="27" width="8.7109375" style="119" customWidth="1"/>
  </cols>
  <sheetData>
    <row r="1" spans="2:18" ht="18.75" customHeight="1">
      <c r="B1" s="53"/>
      <c r="C1" s="54" t="s">
        <v>0</v>
      </c>
      <c r="D1" s="53"/>
      <c r="E1" s="53"/>
      <c r="F1" s="53"/>
      <c r="G1" s="53"/>
      <c r="H1" s="53"/>
      <c r="I1" s="53"/>
      <c r="J1" s="53"/>
      <c r="K1" s="53"/>
      <c r="L1" s="53"/>
      <c r="M1" s="53"/>
      <c r="N1" s="53"/>
      <c r="O1" s="53"/>
      <c r="P1" s="53"/>
      <c r="Q1" s="97"/>
    </row>
    <row r="2" spans="2:18" ht="18.75" customHeight="1">
      <c r="B2" s="37"/>
      <c r="C2" s="37"/>
      <c r="D2" s="37"/>
      <c r="E2" s="37"/>
      <c r="F2" s="37"/>
      <c r="G2" s="37"/>
      <c r="H2" s="37"/>
      <c r="I2" s="37"/>
      <c r="J2" s="37"/>
      <c r="K2" s="37"/>
      <c r="L2" s="37"/>
      <c r="M2" s="37"/>
      <c r="N2" s="37"/>
      <c r="O2" s="37"/>
      <c r="P2" s="37"/>
    </row>
    <row r="3" spans="2:18" ht="18.75" customHeight="1">
      <c r="B3" s="58" t="s">
        <v>1932</v>
      </c>
      <c r="C3" s="98" t="s">
        <v>1933</v>
      </c>
      <c r="D3" s="98" t="s">
        <v>1934</v>
      </c>
      <c r="E3" s="98" t="s">
        <v>1935</v>
      </c>
      <c r="F3" s="99" t="s">
        <v>1936</v>
      </c>
      <c r="G3" s="99" t="s">
        <v>1937</v>
      </c>
      <c r="H3" s="98" t="s">
        <v>1938</v>
      </c>
      <c r="I3" s="98" t="s">
        <v>1939</v>
      </c>
      <c r="J3" s="98" t="s">
        <v>1940</v>
      </c>
      <c r="K3" s="99" t="s">
        <v>1941</v>
      </c>
      <c r="L3" s="99" t="s">
        <v>1942</v>
      </c>
      <c r="M3" s="61" t="s">
        <v>1943</v>
      </c>
      <c r="N3" s="61" t="s">
        <v>1944</v>
      </c>
      <c r="O3" s="59" t="s">
        <v>1945</v>
      </c>
      <c r="P3" s="61" t="s">
        <v>1946</v>
      </c>
      <c r="Q3" s="100" t="s">
        <v>1947</v>
      </c>
      <c r="R3" s="100" t="s">
        <v>1948</v>
      </c>
    </row>
    <row r="4" spans="2:18" ht="18.75" customHeight="1">
      <c r="B4" s="63" t="str">
        <f t="shared" ref="B4:B67" si="0">"No"&amp;ROW()-3</f>
        <v>No1</v>
      </c>
      <c r="C4" s="63" t="s">
        <v>104</v>
      </c>
      <c r="D4" s="63" t="s">
        <v>4</v>
      </c>
      <c r="E4" s="101">
        <v>45778</v>
      </c>
      <c r="F4" s="65">
        <v>0.375</v>
      </c>
      <c r="G4" s="65">
        <v>0.37847222222222221</v>
      </c>
      <c r="H4" s="65">
        <v>3.472222222222222E-3</v>
      </c>
      <c r="I4" s="101">
        <v>45778</v>
      </c>
      <c r="J4" s="101">
        <v>45778</v>
      </c>
      <c r="K4" s="63" t="s">
        <v>20</v>
      </c>
      <c r="L4" s="63" t="s">
        <v>159</v>
      </c>
      <c r="M4" s="63"/>
      <c r="N4" s="67" t="s">
        <v>160</v>
      </c>
      <c r="O4" s="63" t="s">
        <v>6</v>
      </c>
      <c r="P4" s="63" t="s">
        <v>7</v>
      </c>
      <c r="Q4" s="66" t="s">
        <v>161</v>
      </c>
      <c r="R4" s="66" t="s">
        <v>162</v>
      </c>
    </row>
    <row r="5" spans="2:18" ht="18.75" customHeight="1">
      <c r="B5" s="63" t="str">
        <f t="shared" si="0"/>
        <v>No2</v>
      </c>
      <c r="C5" s="63" t="s">
        <v>104</v>
      </c>
      <c r="D5" s="63" t="s">
        <v>4</v>
      </c>
      <c r="E5" s="101">
        <v>45772</v>
      </c>
      <c r="F5" s="65">
        <v>0.33333333333333331</v>
      </c>
      <c r="G5" s="65">
        <v>0.375</v>
      </c>
      <c r="H5" s="65">
        <v>0.16666666666666671</v>
      </c>
      <c r="I5" s="101">
        <v>45778</v>
      </c>
      <c r="J5" s="101">
        <v>45778</v>
      </c>
      <c r="K5" s="63" t="s">
        <v>20</v>
      </c>
      <c r="L5" s="63" t="s">
        <v>120</v>
      </c>
      <c r="M5" s="63"/>
      <c r="N5" s="63" t="s">
        <v>152</v>
      </c>
      <c r="O5" s="63" t="s">
        <v>122</v>
      </c>
      <c r="P5" s="63" t="s">
        <v>7</v>
      </c>
      <c r="Q5" s="66" t="s">
        <v>153</v>
      </c>
      <c r="R5" s="66" t="s">
        <v>154</v>
      </c>
    </row>
    <row r="6" spans="2:18" ht="39" customHeight="1">
      <c r="B6" s="63" t="str">
        <f t="shared" si="0"/>
        <v>No3</v>
      </c>
      <c r="C6" s="63" t="s">
        <v>142</v>
      </c>
      <c r="D6" s="63" t="s">
        <v>4</v>
      </c>
      <c r="E6" s="101">
        <v>45778</v>
      </c>
      <c r="F6" s="65">
        <v>0.375</v>
      </c>
      <c r="G6" s="65">
        <v>0.38194444444444442</v>
      </c>
      <c r="H6" s="65">
        <v>6.9444444444444441E-3</v>
      </c>
      <c r="I6" s="101">
        <v>45778</v>
      </c>
      <c r="J6" s="101">
        <v>45778</v>
      </c>
      <c r="K6" s="63" t="s">
        <v>40</v>
      </c>
      <c r="L6" s="63" t="s">
        <v>41</v>
      </c>
      <c r="M6" s="63"/>
      <c r="N6" s="63" t="s">
        <v>163</v>
      </c>
      <c r="O6" s="63" t="s">
        <v>6</v>
      </c>
      <c r="P6" s="63" t="s">
        <v>7</v>
      </c>
      <c r="Q6" s="66" t="s">
        <v>164</v>
      </c>
      <c r="R6" s="66" t="s">
        <v>165</v>
      </c>
    </row>
    <row r="7" spans="2:18" ht="18.75" customHeight="1">
      <c r="B7" s="63" t="str">
        <f t="shared" si="0"/>
        <v>No4</v>
      </c>
      <c r="C7" s="63" t="s">
        <v>104</v>
      </c>
      <c r="D7" s="63" t="s">
        <v>4</v>
      </c>
      <c r="E7" s="101">
        <v>45778</v>
      </c>
      <c r="F7" s="65">
        <v>0.47916666666666669</v>
      </c>
      <c r="G7" s="65">
        <v>0.70486111111111116</v>
      </c>
      <c r="H7" s="65">
        <v>3.125E-2</v>
      </c>
      <c r="I7" s="101">
        <v>45778</v>
      </c>
      <c r="J7" s="101">
        <v>45778</v>
      </c>
      <c r="K7" s="63" t="s">
        <v>20</v>
      </c>
      <c r="L7" s="63" t="s">
        <v>176</v>
      </c>
      <c r="M7" s="63"/>
      <c r="N7" s="63" t="s">
        <v>156</v>
      </c>
      <c r="O7" s="63" t="s">
        <v>122</v>
      </c>
      <c r="P7" s="63" t="s">
        <v>7</v>
      </c>
      <c r="Q7" s="66" t="s">
        <v>177</v>
      </c>
      <c r="R7" s="66" t="s">
        <v>178</v>
      </c>
    </row>
    <row r="8" spans="2:18" ht="18.75" customHeight="1">
      <c r="B8" s="63" t="str">
        <f t="shared" si="0"/>
        <v>No5</v>
      </c>
      <c r="C8" s="63" t="s">
        <v>142</v>
      </c>
      <c r="D8" s="63" t="s">
        <v>155</v>
      </c>
      <c r="E8" s="101">
        <v>45778</v>
      </c>
      <c r="F8" s="65">
        <v>0.41666666666666669</v>
      </c>
      <c r="G8" s="65">
        <v>0.625</v>
      </c>
      <c r="H8" s="65">
        <v>4.1666666666666657E-2</v>
      </c>
      <c r="I8" s="101">
        <v>45786</v>
      </c>
      <c r="J8" s="101">
        <v>45792</v>
      </c>
      <c r="K8" s="63" t="s">
        <v>20</v>
      </c>
      <c r="L8" s="63" t="s">
        <v>111</v>
      </c>
      <c r="M8" s="63"/>
      <c r="N8" s="63" t="s">
        <v>170</v>
      </c>
      <c r="O8" s="63" t="s">
        <v>6</v>
      </c>
      <c r="P8" s="63" t="s">
        <v>7</v>
      </c>
      <c r="Q8" s="66" t="s">
        <v>171</v>
      </c>
      <c r="R8" s="66" t="s">
        <v>172</v>
      </c>
    </row>
    <row r="9" spans="2:18" ht="18.75" customHeight="1">
      <c r="B9" s="63" t="str">
        <f t="shared" si="0"/>
        <v>No6</v>
      </c>
      <c r="C9" s="63" t="s">
        <v>104</v>
      </c>
      <c r="D9" s="63" t="s">
        <v>155</v>
      </c>
      <c r="E9" s="101">
        <v>45778</v>
      </c>
      <c r="F9" s="65">
        <v>0.4375</v>
      </c>
      <c r="G9" s="65">
        <v>0.70833333333333337</v>
      </c>
      <c r="H9" s="65" t="s">
        <v>121</v>
      </c>
      <c r="I9" s="101">
        <v>45779</v>
      </c>
      <c r="J9" s="101" t="s">
        <v>121</v>
      </c>
      <c r="K9" s="63" t="s">
        <v>143</v>
      </c>
      <c r="L9" s="63" t="s">
        <v>111</v>
      </c>
      <c r="M9" s="63"/>
      <c r="N9" s="63" t="s">
        <v>173</v>
      </c>
      <c r="O9" s="63" t="s">
        <v>122</v>
      </c>
      <c r="P9" s="63" t="s">
        <v>7</v>
      </c>
      <c r="Q9" s="66" t="s">
        <v>174</v>
      </c>
      <c r="R9" s="66" t="s">
        <v>175</v>
      </c>
    </row>
    <row r="10" spans="2:18" ht="18.75" customHeight="1">
      <c r="B10" s="63" t="str">
        <f t="shared" si="0"/>
        <v>No7</v>
      </c>
      <c r="C10" s="63" t="s">
        <v>3</v>
      </c>
      <c r="D10" s="63" t="s">
        <v>4</v>
      </c>
      <c r="E10" s="101">
        <v>45778</v>
      </c>
      <c r="F10" s="65">
        <v>0.70833333333333337</v>
      </c>
      <c r="G10" s="65">
        <v>0.72222222222222221</v>
      </c>
      <c r="H10" s="65">
        <v>1.388888888888889E-2</v>
      </c>
      <c r="I10" s="101">
        <v>45778</v>
      </c>
      <c r="J10" s="101">
        <v>45778</v>
      </c>
      <c r="K10" s="63" t="s">
        <v>40</v>
      </c>
      <c r="L10" s="63" t="s">
        <v>41</v>
      </c>
      <c r="M10" s="63"/>
      <c r="N10" s="63" t="s">
        <v>180</v>
      </c>
      <c r="O10" s="63" t="s">
        <v>122</v>
      </c>
      <c r="P10" s="63" t="s">
        <v>7</v>
      </c>
      <c r="Q10" s="66" t="s">
        <v>181</v>
      </c>
      <c r="R10" s="66" t="s">
        <v>182</v>
      </c>
    </row>
    <row r="11" spans="2:18" ht="39.75" customHeight="1">
      <c r="B11" s="63" t="str">
        <f t="shared" si="0"/>
        <v>No8</v>
      </c>
      <c r="C11" s="63" t="s">
        <v>3</v>
      </c>
      <c r="D11" s="63" t="s">
        <v>4</v>
      </c>
      <c r="E11" s="101">
        <v>45778</v>
      </c>
      <c r="F11" s="65">
        <v>0.72222222222222221</v>
      </c>
      <c r="G11" s="65">
        <v>0.72916666666666663</v>
      </c>
      <c r="H11" s="65">
        <v>6.9444444444444441E-3</v>
      </c>
      <c r="I11" s="101">
        <v>45778</v>
      </c>
      <c r="J11" s="101">
        <v>45778</v>
      </c>
      <c r="K11" s="63" t="s">
        <v>143</v>
      </c>
      <c r="L11" s="63" t="s">
        <v>77</v>
      </c>
      <c r="M11" s="63"/>
      <c r="N11" s="63" t="s">
        <v>183</v>
      </c>
      <c r="O11" s="63" t="s">
        <v>6</v>
      </c>
      <c r="P11" s="63" t="s">
        <v>7</v>
      </c>
      <c r="Q11" s="66" t="s">
        <v>184</v>
      </c>
      <c r="R11" s="69" t="s">
        <v>185</v>
      </c>
    </row>
    <row r="12" spans="2:18" ht="39.75" customHeight="1">
      <c r="B12" s="63" t="str">
        <f t="shared" si="0"/>
        <v>No9</v>
      </c>
      <c r="C12" s="63" t="s">
        <v>166</v>
      </c>
      <c r="D12" s="63" t="s">
        <v>4</v>
      </c>
      <c r="E12" s="101">
        <v>45778</v>
      </c>
      <c r="F12" s="65">
        <v>0.41666666666666669</v>
      </c>
      <c r="G12" s="65">
        <v>0.4375</v>
      </c>
      <c r="H12" s="65">
        <v>2.0833333333333329E-2</v>
      </c>
      <c r="I12" s="101">
        <v>45778</v>
      </c>
      <c r="J12" s="101">
        <v>45778</v>
      </c>
      <c r="K12" s="63" t="s">
        <v>143</v>
      </c>
      <c r="L12" s="63" t="s">
        <v>26</v>
      </c>
      <c r="M12" s="63"/>
      <c r="N12" s="63" t="s">
        <v>167</v>
      </c>
      <c r="O12" s="63" t="s">
        <v>6</v>
      </c>
      <c r="P12" s="63" t="s">
        <v>7</v>
      </c>
      <c r="Q12" s="66" t="s">
        <v>168</v>
      </c>
      <c r="R12" s="66" t="s">
        <v>169</v>
      </c>
    </row>
    <row r="13" spans="2:18" ht="18.75" customHeight="1">
      <c r="B13" s="63" t="str">
        <f t="shared" si="0"/>
        <v>No10</v>
      </c>
      <c r="C13" s="63" t="s">
        <v>186</v>
      </c>
      <c r="D13" s="63" t="s">
        <v>116</v>
      </c>
      <c r="E13" s="101">
        <v>45778</v>
      </c>
      <c r="F13" s="65">
        <v>0.72916666666666663</v>
      </c>
      <c r="G13" s="65">
        <v>0.73611111111111116</v>
      </c>
      <c r="H13" s="65">
        <v>6.9444444444444441E-3</v>
      </c>
      <c r="I13" s="101">
        <v>45778</v>
      </c>
      <c r="J13" s="101">
        <v>45778</v>
      </c>
      <c r="K13" s="63" t="s">
        <v>143</v>
      </c>
      <c r="L13" s="63" t="s">
        <v>159</v>
      </c>
      <c r="M13" s="63"/>
      <c r="N13" s="63" t="s">
        <v>187</v>
      </c>
      <c r="O13" s="63" t="s">
        <v>122</v>
      </c>
      <c r="P13" s="63" t="s">
        <v>7</v>
      </c>
      <c r="Q13" s="66" t="s">
        <v>188</v>
      </c>
      <c r="R13" s="66" t="s">
        <v>189</v>
      </c>
    </row>
    <row r="14" spans="2:18" ht="18.75" customHeight="1">
      <c r="B14" s="63" t="str">
        <f t="shared" si="0"/>
        <v>No11</v>
      </c>
      <c r="C14" s="63" t="s">
        <v>186</v>
      </c>
      <c r="D14" s="63" t="s">
        <v>155</v>
      </c>
      <c r="E14" s="101">
        <v>45779</v>
      </c>
      <c r="F14" s="65">
        <v>0.59375</v>
      </c>
      <c r="G14" s="65">
        <v>0.60416666666666663</v>
      </c>
      <c r="H14" s="65">
        <v>1.041666666666667E-2</v>
      </c>
      <c r="I14" s="101">
        <v>45779</v>
      </c>
      <c r="J14" s="101">
        <v>45779</v>
      </c>
      <c r="K14" s="63" t="s">
        <v>45</v>
      </c>
      <c r="L14" s="63" t="s">
        <v>120</v>
      </c>
      <c r="M14" s="63"/>
      <c r="N14" s="63" t="s">
        <v>193</v>
      </c>
      <c r="O14" s="63" t="s">
        <v>122</v>
      </c>
      <c r="P14" s="63" t="s">
        <v>7</v>
      </c>
      <c r="Q14" s="66" t="s">
        <v>194</v>
      </c>
      <c r="R14" s="66" t="s">
        <v>195</v>
      </c>
    </row>
    <row r="15" spans="2:18" ht="37.5" customHeight="1">
      <c r="B15" s="63" t="str">
        <f t="shared" si="0"/>
        <v>No12</v>
      </c>
      <c r="C15" s="63" t="s">
        <v>142</v>
      </c>
      <c r="D15" s="63" t="s">
        <v>155</v>
      </c>
      <c r="E15" s="101">
        <v>45779</v>
      </c>
      <c r="F15" s="65">
        <v>0.54166666666666663</v>
      </c>
      <c r="G15" s="65">
        <v>0.55208333333333337</v>
      </c>
      <c r="H15" s="65">
        <v>1.041666666666667E-2</v>
      </c>
      <c r="I15" s="101">
        <v>45779</v>
      </c>
      <c r="J15" s="101">
        <v>45779</v>
      </c>
      <c r="K15" s="63" t="s">
        <v>20</v>
      </c>
      <c r="L15" s="63" t="s">
        <v>120</v>
      </c>
      <c r="M15" s="63"/>
      <c r="N15" s="63" t="s">
        <v>190</v>
      </c>
      <c r="O15" s="63" t="s">
        <v>122</v>
      </c>
      <c r="P15" s="63" t="s">
        <v>7</v>
      </c>
      <c r="Q15" s="66" t="s">
        <v>191</v>
      </c>
      <c r="R15" s="66" t="s">
        <v>192</v>
      </c>
    </row>
    <row r="16" spans="2:18" ht="37.5" customHeight="1">
      <c r="B16" s="63" t="str">
        <f t="shared" si="0"/>
        <v>No13</v>
      </c>
      <c r="C16" s="63" t="s">
        <v>3</v>
      </c>
      <c r="D16" s="63" t="s">
        <v>196</v>
      </c>
      <c r="E16" s="101">
        <v>45779</v>
      </c>
      <c r="F16" s="65">
        <v>0.79166666666666663</v>
      </c>
      <c r="G16" s="65">
        <v>0.75</v>
      </c>
      <c r="H16" s="65">
        <v>0.33333333333333331</v>
      </c>
      <c r="I16" s="101">
        <v>45786</v>
      </c>
      <c r="J16" s="101">
        <v>45786</v>
      </c>
      <c r="K16" s="63" t="s">
        <v>197</v>
      </c>
      <c r="L16" s="63" t="s">
        <v>111</v>
      </c>
      <c r="M16" s="63"/>
      <c r="N16" s="63" t="s">
        <v>198</v>
      </c>
      <c r="O16" s="63" t="s">
        <v>122</v>
      </c>
      <c r="P16" s="63" t="s">
        <v>7</v>
      </c>
      <c r="Q16" s="66" t="s">
        <v>199</v>
      </c>
      <c r="R16" s="66" t="s">
        <v>200</v>
      </c>
    </row>
    <row r="17" spans="2:18" ht="18.75" customHeight="1">
      <c r="B17" s="63" t="str">
        <f t="shared" si="0"/>
        <v>No14</v>
      </c>
      <c r="C17" s="63" t="s">
        <v>3</v>
      </c>
      <c r="D17" s="63" t="s">
        <v>116</v>
      </c>
      <c r="E17" s="101">
        <v>45784</v>
      </c>
      <c r="F17" s="65">
        <v>0.65625</v>
      </c>
      <c r="G17" s="65">
        <v>0.76041666666666663</v>
      </c>
      <c r="H17" s="65">
        <v>0.1041666666666667</v>
      </c>
      <c r="I17" s="101">
        <v>45784</v>
      </c>
      <c r="J17" s="101">
        <v>45784</v>
      </c>
      <c r="K17" s="63" t="s">
        <v>143</v>
      </c>
      <c r="L17" s="63" t="s">
        <v>21</v>
      </c>
      <c r="M17" s="63"/>
      <c r="N17" s="63" t="s">
        <v>136</v>
      </c>
      <c r="O17" s="63" t="s">
        <v>117</v>
      </c>
      <c r="P17" s="63" t="s">
        <v>7</v>
      </c>
      <c r="Q17" s="66" t="s">
        <v>209</v>
      </c>
      <c r="R17" s="66" t="s">
        <v>210</v>
      </c>
    </row>
    <row r="18" spans="2:18" ht="18.75" customHeight="1">
      <c r="B18" s="63" t="str">
        <f t="shared" si="0"/>
        <v>No15</v>
      </c>
      <c r="C18" s="63" t="s">
        <v>104</v>
      </c>
      <c r="D18" s="63" t="s">
        <v>4</v>
      </c>
      <c r="E18" s="101">
        <v>45784</v>
      </c>
      <c r="F18" s="65">
        <v>0.375</v>
      </c>
      <c r="G18" s="65">
        <v>0.38194444444444442</v>
      </c>
      <c r="H18" s="65">
        <v>6.9444444444444441E-3</v>
      </c>
      <c r="I18" s="101">
        <v>45784</v>
      </c>
      <c r="J18" s="101">
        <v>45784</v>
      </c>
      <c r="K18" s="63" t="s">
        <v>20</v>
      </c>
      <c r="L18" s="63" t="s">
        <v>111</v>
      </c>
      <c r="M18" s="63"/>
      <c r="N18" s="63" t="s">
        <v>201</v>
      </c>
      <c r="O18" s="63" t="s">
        <v>6</v>
      </c>
      <c r="P18" s="63" t="s">
        <v>7</v>
      </c>
      <c r="Q18" s="66" t="s">
        <v>161</v>
      </c>
      <c r="R18" s="66" t="s">
        <v>162</v>
      </c>
    </row>
    <row r="19" spans="2:18" ht="18.75" customHeight="1">
      <c r="B19" s="63" t="str">
        <f t="shared" si="0"/>
        <v>No16</v>
      </c>
      <c r="C19" s="63" t="s">
        <v>104</v>
      </c>
      <c r="D19" s="63" t="s">
        <v>155</v>
      </c>
      <c r="E19" s="101">
        <v>45786</v>
      </c>
      <c r="F19" s="65">
        <v>0.35416666666666669</v>
      </c>
      <c r="G19" s="65">
        <v>0.3611111111111111</v>
      </c>
      <c r="H19" s="65">
        <v>6.9444444444444441E-3</v>
      </c>
      <c r="I19" s="101">
        <v>45786</v>
      </c>
      <c r="J19" s="101">
        <v>45786</v>
      </c>
      <c r="K19" s="63" t="s">
        <v>20</v>
      </c>
      <c r="L19" s="63" t="s">
        <v>111</v>
      </c>
      <c r="M19" s="63"/>
      <c r="N19" s="63" t="s">
        <v>173</v>
      </c>
      <c r="O19" s="63" t="s">
        <v>6</v>
      </c>
      <c r="P19" s="63" t="s">
        <v>7</v>
      </c>
      <c r="Q19" s="66" t="s">
        <v>161</v>
      </c>
      <c r="R19" s="66" t="s">
        <v>162</v>
      </c>
    </row>
    <row r="20" spans="2:18" ht="18.75" customHeight="1">
      <c r="B20" s="63" t="str">
        <f t="shared" si="0"/>
        <v>No17</v>
      </c>
      <c r="C20" s="63" t="s">
        <v>166</v>
      </c>
      <c r="D20" s="63" t="s">
        <v>155</v>
      </c>
      <c r="E20" s="101">
        <v>45786</v>
      </c>
      <c r="F20" s="65">
        <v>0.35416666666666669</v>
      </c>
      <c r="G20" s="65">
        <v>0.41666666666666669</v>
      </c>
      <c r="H20" s="65">
        <v>4.1666666666666657E-2</v>
      </c>
      <c r="I20" s="101">
        <v>45786</v>
      </c>
      <c r="J20" s="101">
        <v>45786</v>
      </c>
      <c r="K20" s="63" t="s">
        <v>197</v>
      </c>
      <c r="L20" s="63" t="s">
        <v>111</v>
      </c>
      <c r="M20" s="63"/>
      <c r="N20" s="63" t="s">
        <v>112</v>
      </c>
      <c r="O20" s="63" t="s">
        <v>117</v>
      </c>
      <c r="P20" s="63" t="s">
        <v>7</v>
      </c>
      <c r="Q20" s="66" t="s">
        <v>213</v>
      </c>
      <c r="R20" s="66" t="s">
        <v>214</v>
      </c>
    </row>
    <row r="21" spans="2:18" ht="41.25" customHeight="1">
      <c r="B21" s="63" t="str">
        <f t="shared" si="0"/>
        <v>No18</v>
      </c>
      <c r="C21" s="63" t="s">
        <v>186</v>
      </c>
      <c r="D21" s="63" t="s">
        <v>116</v>
      </c>
      <c r="E21" s="101">
        <v>45789</v>
      </c>
      <c r="F21" s="65">
        <v>0.43055555555555558</v>
      </c>
      <c r="G21" s="65">
        <v>0.4375</v>
      </c>
      <c r="H21" s="65">
        <v>6.9444444444444441E-3</v>
      </c>
      <c r="I21" s="101">
        <v>45789</v>
      </c>
      <c r="J21" s="101">
        <v>45789</v>
      </c>
      <c r="K21" s="63" t="s">
        <v>20</v>
      </c>
      <c r="L21" s="63" t="s">
        <v>120</v>
      </c>
      <c r="M21" s="63"/>
      <c r="N21" s="63" t="s">
        <v>193</v>
      </c>
      <c r="O21" s="63" t="s">
        <v>122</v>
      </c>
      <c r="P21" s="63" t="s">
        <v>7</v>
      </c>
      <c r="Q21" s="66" t="s">
        <v>219</v>
      </c>
      <c r="R21" s="66" t="s">
        <v>220</v>
      </c>
    </row>
    <row r="22" spans="2:18" ht="41.25" customHeight="1">
      <c r="B22" s="63" t="str">
        <f t="shared" si="0"/>
        <v>No19</v>
      </c>
      <c r="C22" s="63" t="s">
        <v>104</v>
      </c>
      <c r="D22" s="63" t="s">
        <v>4</v>
      </c>
      <c r="E22" s="101">
        <v>45789</v>
      </c>
      <c r="F22" s="65">
        <v>0.54166666666666663</v>
      </c>
      <c r="G22" s="65">
        <v>0.55555555555555558</v>
      </c>
      <c r="H22" s="65">
        <v>1.388888888888889E-2</v>
      </c>
      <c r="I22" s="101">
        <v>45789</v>
      </c>
      <c r="J22" s="101">
        <v>45789</v>
      </c>
      <c r="K22" s="63" t="s">
        <v>45</v>
      </c>
      <c r="L22" s="63" t="s">
        <v>77</v>
      </c>
      <c r="M22" s="63"/>
      <c r="N22" s="63" t="s">
        <v>144</v>
      </c>
      <c r="O22" s="63" t="s">
        <v>6</v>
      </c>
      <c r="P22" s="63" t="s">
        <v>7</v>
      </c>
      <c r="Q22" s="66" t="s">
        <v>221</v>
      </c>
      <c r="R22" s="66" t="s">
        <v>222</v>
      </c>
    </row>
    <row r="23" spans="2:18" ht="18.75" customHeight="1">
      <c r="B23" s="63" t="str">
        <f t="shared" si="0"/>
        <v>No20</v>
      </c>
      <c r="C23" s="63" t="s">
        <v>104</v>
      </c>
      <c r="D23" s="63" t="s">
        <v>4</v>
      </c>
      <c r="E23" s="101">
        <v>45786</v>
      </c>
      <c r="F23" s="65">
        <v>0.375</v>
      </c>
      <c r="G23" s="65">
        <v>0.37847222222222221</v>
      </c>
      <c r="H23" s="65">
        <v>3.472222222222222E-3</v>
      </c>
      <c r="I23" s="101">
        <v>45786</v>
      </c>
      <c r="J23" s="101">
        <v>45786</v>
      </c>
      <c r="K23" s="63" t="s">
        <v>20</v>
      </c>
      <c r="L23" s="63" t="s">
        <v>111</v>
      </c>
      <c r="M23" s="63"/>
      <c r="N23" s="63" t="s">
        <v>201</v>
      </c>
      <c r="O23" s="63" t="s">
        <v>6</v>
      </c>
      <c r="P23" s="63" t="s">
        <v>7</v>
      </c>
      <c r="Q23" s="66" t="s">
        <v>161</v>
      </c>
      <c r="R23" s="66" t="s">
        <v>162</v>
      </c>
    </row>
    <row r="24" spans="2:18" ht="18.75" customHeight="1">
      <c r="B24" s="63" t="str">
        <f t="shared" si="0"/>
        <v>No21</v>
      </c>
      <c r="C24" s="63" t="s">
        <v>104</v>
      </c>
      <c r="D24" s="63" t="s">
        <v>4</v>
      </c>
      <c r="E24" s="101">
        <v>45786</v>
      </c>
      <c r="F24" s="65">
        <v>0.66666666666666663</v>
      </c>
      <c r="G24" s="65">
        <v>0.67013888888888884</v>
      </c>
      <c r="H24" s="65">
        <v>3.472222222222222E-3</v>
      </c>
      <c r="I24" s="101">
        <v>45786</v>
      </c>
      <c r="J24" s="101">
        <v>45786</v>
      </c>
      <c r="K24" s="63" t="s">
        <v>20</v>
      </c>
      <c r="L24" s="63" t="s">
        <v>41</v>
      </c>
      <c r="M24" s="63"/>
      <c r="N24" s="63" t="s">
        <v>217</v>
      </c>
      <c r="O24" s="63" t="s">
        <v>6</v>
      </c>
      <c r="P24" s="63" t="s">
        <v>7</v>
      </c>
      <c r="Q24" s="66" t="s">
        <v>161</v>
      </c>
      <c r="R24" s="66" t="s">
        <v>162</v>
      </c>
    </row>
    <row r="25" spans="2:18" ht="18.75" customHeight="1">
      <c r="B25" s="63" t="str">
        <f t="shared" si="0"/>
        <v>No22</v>
      </c>
      <c r="C25" s="63" t="s">
        <v>142</v>
      </c>
      <c r="D25" s="63" t="s">
        <v>155</v>
      </c>
      <c r="E25" s="101">
        <v>45790</v>
      </c>
      <c r="F25" s="65">
        <v>0.35416666666666669</v>
      </c>
      <c r="G25" s="65">
        <v>0.3576388888888889</v>
      </c>
      <c r="H25" s="65">
        <v>3.472222222222222E-3</v>
      </c>
      <c r="I25" s="101">
        <v>45790</v>
      </c>
      <c r="J25" s="101">
        <v>45790</v>
      </c>
      <c r="K25" s="63" t="s">
        <v>20</v>
      </c>
      <c r="L25" s="63" t="s">
        <v>21</v>
      </c>
      <c r="M25" s="63"/>
      <c r="N25" s="63" t="s">
        <v>223</v>
      </c>
      <c r="O25" s="63" t="s">
        <v>6</v>
      </c>
      <c r="P25" s="63" t="s">
        <v>7</v>
      </c>
      <c r="Q25" s="66" t="s">
        <v>161</v>
      </c>
      <c r="R25" s="66" t="s">
        <v>162</v>
      </c>
    </row>
    <row r="26" spans="2:18" ht="18.75" customHeight="1">
      <c r="B26" s="63" t="str">
        <f t="shared" si="0"/>
        <v>No23</v>
      </c>
      <c r="C26" s="63" t="s">
        <v>142</v>
      </c>
      <c r="D26" s="63" t="s">
        <v>155</v>
      </c>
      <c r="E26" s="101">
        <v>45790</v>
      </c>
      <c r="F26" s="65">
        <v>0.375</v>
      </c>
      <c r="G26" s="65">
        <v>0.40625</v>
      </c>
      <c r="H26" s="65">
        <v>3.125E-2</v>
      </c>
      <c r="I26" s="101">
        <v>45790</v>
      </c>
      <c r="J26" s="101">
        <v>45790</v>
      </c>
      <c r="K26" s="63" t="s">
        <v>40</v>
      </c>
      <c r="L26" s="63" t="s">
        <v>41</v>
      </c>
      <c r="M26" s="63"/>
      <c r="N26" s="63" t="s">
        <v>180</v>
      </c>
      <c r="O26" s="63" t="s">
        <v>122</v>
      </c>
      <c r="P26" s="63" t="s">
        <v>7</v>
      </c>
      <c r="Q26" s="66" t="s">
        <v>224</v>
      </c>
      <c r="R26" s="66" t="s">
        <v>225</v>
      </c>
    </row>
    <row r="27" spans="2:18" ht="41.25" customHeight="1">
      <c r="B27" s="63" t="str">
        <f t="shared" si="0"/>
        <v>No24</v>
      </c>
      <c r="C27" s="63" t="s">
        <v>142</v>
      </c>
      <c r="D27" s="63" t="s">
        <v>155</v>
      </c>
      <c r="E27" s="101">
        <v>45778</v>
      </c>
      <c r="F27" s="65">
        <v>0.36458333333333331</v>
      </c>
      <c r="G27" s="65">
        <v>0.375</v>
      </c>
      <c r="H27" s="65">
        <v>1.041666666666667E-2</v>
      </c>
      <c r="I27" s="101">
        <v>45778</v>
      </c>
      <c r="J27" s="101">
        <v>45778</v>
      </c>
      <c r="K27" s="63" t="s">
        <v>119</v>
      </c>
      <c r="L27" s="63" t="s">
        <v>120</v>
      </c>
      <c r="M27" s="63"/>
      <c r="N27" s="63" t="s">
        <v>156</v>
      </c>
      <c r="O27" s="63" t="s">
        <v>122</v>
      </c>
      <c r="P27" s="63" t="s">
        <v>7</v>
      </c>
      <c r="Q27" s="66" t="s">
        <v>157</v>
      </c>
      <c r="R27" s="66" t="s">
        <v>158</v>
      </c>
    </row>
    <row r="28" spans="2:18" ht="41.25" customHeight="1">
      <c r="B28" s="63" t="str">
        <f t="shared" si="0"/>
        <v>No25</v>
      </c>
      <c r="C28" s="63" t="s">
        <v>142</v>
      </c>
      <c r="D28" s="63" t="s">
        <v>155</v>
      </c>
      <c r="E28" s="101">
        <v>45778</v>
      </c>
      <c r="F28" s="65">
        <v>0.55208333333333337</v>
      </c>
      <c r="G28" s="65">
        <v>0.55555555555555558</v>
      </c>
      <c r="H28" s="65">
        <v>3.472222222222222E-3</v>
      </c>
      <c r="I28" s="101">
        <v>45778</v>
      </c>
      <c r="J28" s="101">
        <v>45778</v>
      </c>
      <c r="K28" s="63" t="s">
        <v>119</v>
      </c>
      <c r="L28" s="63" t="s">
        <v>159</v>
      </c>
      <c r="M28" s="63"/>
      <c r="N28" s="63" t="s">
        <v>160</v>
      </c>
      <c r="O28" s="63" t="s">
        <v>122</v>
      </c>
      <c r="P28" s="63" t="s">
        <v>7</v>
      </c>
      <c r="Q28" s="66" t="s">
        <v>179</v>
      </c>
      <c r="R28" s="66" t="s">
        <v>158</v>
      </c>
    </row>
    <row r="29" spans="2:18" ht="41.25" customHeight="1">
      <c r="B29" s="63" t="str">
        <f t="shared" si="0"/>
        <v>No26</v>
      </c>
      <c r="C29" s="63" t="s">
        <v>142</v>
      </c>
      <c r="D29" s="63" t="s">
        <v>155</v>
      </c>
      <c r="E29" s="101">
        <v>45784</v>
      </c>
      <c r="F29" s="65">
        <v>0.38541666666666669</v>
      </c>
      <c r="G29" s="65">
        <v>0.42708333333333331</v>
      </c>
      <c r="H29" s="65">
        <v>4.1666666666666657E-2</v>
      </c>
      <c r="I29" s="101">
        <v>45784</v>
      </c>
      <c r="J29" s="101">
        <v>45784</v>
      </c>
      <c r="K29" s="63" t="s">
        <v>119</v>
      </c>
      <c r="L29" s="63" t="s">
        <v>77</v>
      </c>
      <c r="M29" s="63"/>
      <c r="N29" s="63" t="s">
        <v>202</v>
      </c>
      <c r="O29" s="63" t="s">
        <v>122</v>
      </c>
      <c r="P29" s="63" t="s">
        <v>7</v>
      </c>
      <c r="Q29" s="66" t="s">
        <v>203</v>
      </c>
      <c r="R29" s="66" t="s">
        <v>204</v>
      </c>
    </row>
    <row r="30" spans="2:18" ht="41.25" customHeight="1">
      <c r="B30" s="63" t="str">
        <f t="shared" si="0"/>
        <v>No27</v>
      </c>
      <c r="C30" s="63" t="s">
        <v>142</v>
      </c>
      <c r="D30" s="63" t="s">
        <v>155</v>
      </c>
      <c r="E30" s="101">
        <v>45784</v>
      </c>
      <c r="F30" s="65">
        <v>0.38541666666666669</v>
      </c>
      <c r="G30" s="65">
        <v>0.42708333333333331</v>
      </c>
      <c r="H30" s="65">
        <v>4.1666666666666657E-2</v>
      </c>
      <c r="I30" s="101">
        <v>45784</v>
      </c>
      <c r="J30" s="101">
        <v>45784</v>
      </c>
      <c r="K30" s="63" t="s">
        <v>119</v>
      </c>
      <c r="L30" s="63" t="s">
        <v>111</v>
      </c>
      <c r="M30" s="63"/>
      <c r="N30" s="63" t="s">
        <v>205</v>
      </c>
      <c r="O30" s="63" t="s">
        <v>122</v>
      </c>
      <c r="P30" s="63" t="s">
        <v>7</v>
      </c>
      <c r="Q30" s="66" t="s">
        <v>206</v>
      </c>
      <c r="R30" s="66" t="s">
        <v>204</v>
      </c>
    </row>
    <row r="31" spans="2:18" ht="41.25" customHeight="1">
      <c r="B31" s="63" t="str">
        <f t="shared" si="0"/>
        <v>No28</v>
      </c>
      <c r="C31" s="63" t="s">
        <v>142</v>
      </c>
      <c r="D31" s="63" t="s">
        <v>155</v>
      </c>
      <c r="E31" s="101">
        <v>45784</v>
      </c>
      <c r="F31" s="65">
        <v>0.51041666666666663</v>
      </c>
      <c r="G31" s="65">
        <v>0.51388888888888884</v>
      </c>
      <c r="H31" s="65">
        <v>3.472222222222222E-3</v>
      </c>
      <c r="I31" s="101">
        <v>45784</v>
      </c>
      <c r="J31" s="101">
        <v>45784</v>
      </c>
      <c r="K31" s="63" t="s">
        <v>119</v>
      </c>
      <c r="L31" s="63" t="s">
        <v>159</v>
      </c>
      <c r="M31" s="63"/>
      <c r="N31" s="63" t="s">
        <v>207</v>
      </c>
      <c r="O31" s="63" t="s">
        <v>122</v>
      </c>
      <c r="P31" s="63" t="s">
        <v>7</v>
      </c>
      <c r="Q31" s="66" t="s">
        <v>208</v>
      </c>
      <c r="R31" s="66" t="s">
        <v>158</v>
      </c>
    </row>
    <row r="32" spans="2:18" ht="41.25" customHeight="1">
      <c r="B32" s="63" t="str">
        <f t="shared" si="0"/>
        <v>No29</v>
      </c>
      <c r="C32" s="63" t="s">
        <v>142</v>
      </c>
      <c r="D32" s="63" t="s">
        <v>155</v>
      </c>
      <c r="E32" s="101">
        <v>45784</v>
      </c>
      <c r="F32" s="65">
        <v>0.65277777777777779</v>
      </c>
      <c r="G32" s="65">
        <v>0.65625</v>
      </c>
      <c r="H32" s="65">
        <v>3.472222222222222E-3</v>
      </c>
      <c r="I32" s="101">
        <v>45784</v>
      </c>
      <c r="J32" s="101">
        <v>45784</v>
      </c>
      <c r="K32" s="63" t="s">
        <v>119</v>
      </c>
      <c r="L32" s="63" t="s">
        <v>159</v>
      </c>
      <c r="M32" s="63"/>
      <c r="N32" s="63" t="s">
        <v>160</v>
      </c>
      <c r="O32" s="63" t="s">
        <v>122</v>
      </c>
      <c r="P32" s="63" t="s">
        <v>7</v>
      </c>
      <c r="Q32" s="66" t="s">
        <v>179</v>
      </c>
      <c r="R32" s="66" t="s">
        <v>158</v>
      </c>
    </row>
    <row r="33" spans="2:18" ht="41.25" customHeight="1">
      <c r="B33" s="63" t="str">
        <f t="shared" si="0"/>
        <v>No30</v>
      </c>
      <c r="C33" s="63" t="s">
        <v>142</v>
      </c>
      <c r="D33" s="63" t="s">
        <v>155</v>
      </c>
      <c r="E33" s="101">
        <v>45785</v>
      </c>
      <c r="F33" s="65">
        <v>0.4375</v>
      </c>
      <c r="G33" s="65">
        <v>0.58333333333333337</v>
      </c>
      <c r="H33" s="65">
        <v>6.9444444444444441E-3</v>
      </c>
      <c r="I33" s="101">
        <v>45785</v>
      </c>
      <c r="J33" s="101">
        <v>45785</v>
      </c>
      <c r="K33" s="63" t="s">
        <v>119</v>
      </c>
      <c r="L33" s="63" t="s">
        <v>77</v>
      </c>
      <c r="M33" s="63"/>
      <c r="N33" s="63" t="s">
        <v>211</v>
      </c>
      <c r="O33" s="63" t="s">
        <v>122</v>
      </c>
      <c r="P33" s="63" t="s">
        <v>7</v>
      </c>
      <c r="Q33" s="66" t="s">
        <v>212</v>
      </c>
      <c r="R33" s="66" t="s">
        <v>158</v>
      </c>
    </row>
    <row r="34" spans="2:18" ht="30.75" customHeight="1">
      <c r="B34" s="63" t="str">
        <f t="shared" si="0"/>
        <v>No31</v>
      </c>
      <c r="C34" s="63" t="s">
        <v>142</v>
      </c>
      <c r="D34" s="63" t="s">
        <v>155</v>
      </c>
      <c r="E34" s="101">
        <v>45786</v>
      </c>
      <c r="F34" s="65">
        <v>0.55208333333333337</v>
      </c>
      <c r="G34" s="65">
        <v>0.58333333333333337</v>
      </c>
      <c r="H34" s="65">
        <v>1.388888888888889E-2</v>
      </c>
      <c r="I34" s="101">
        <v>45786</v>
      </c>
      <c r="J34" s="101">
        <v>45786</v>
      </c>
      <c r="K34" s="63" t="s">
        <v>119</v>
      </c>
      <c r="L34" s="63" t="s">
        <v>111</v>
      </c>
      <c r="M34" s="63"/>
      <c r="N34" s="63" t="s">
        <v>215</v>
      </c>
      <c r="O34" s="63" t="s">
        <v>122</v>
      </c>
      <c r="P34" s="63" t="s">
        <v>7</v>
      </c>
      <c r="Q34" s="66" t="s">
        <v>216</v>
      </c>
      <c r="R34" s="66" t="s">
        <v>158</v>
      </c>
    </row>
    <row r="35" spans="2:18" ht="18.75" customHeight="1">
      <c r="B35" s="63" t="str">
        <f t="shared" si="0"/>
        <v>No32</v>
      </c>
      <c r="C35" s="63" t="s">
        <v>142</v>
      </c>
      <c r="D35" s="63" t="s">
        <v>155</v>
      </c>
      <c r="E35" s="101">
        <v>45786</v>
      </c>
      <c r="F35" s="65">
        <v>0.68055555555555558</v>
      </c>
      <c r="G35" s="65">
        <v>0.72222222222222221</v>
      </c>
      <c r="H35" s="65">
        <v>3.125E-2</v>
      </c>
      <c r="I35" s="101">
        <v>45786</v>
      </c>
      <c r="J35" s="101">
        <v>45786</v>
      </c>
      <c r="K35" s="63" t="s">
        <v>119</v>
      </c>
      <c r="L35" s="63" t="s">
        <v>111</v>
      </c>
      <c r="M35" s="63"/>
      <c r="N35" s="63" t="s">
        <v>198</v>
      </c>
      <c r="O35" s="63" t="s">
        <v>122</v>
      </c>
      <c r="P35" s="63" t="s">
        <v>7</v>
      </c>
      <c r="Q35" s="66" t="s">
        <v>216</v>
      </c>
      <c r="R35" s="66" t="s">
        <v>218</v>
      </c>
    </row>
    <row r="36" spans="2:18" ht="37.5" customHeight="1">
      <c r="B36" s="63" t="str">
        <f t="shared" si="0"/>
        <v>No33</v>
      </c>
      <c r="C36" s="63" t="s">
        <v>142</v>
      </c>
      <c r="D36" s="63" t="s">
        <v>155</v>
      </c>
      <c r="E36" s="101">
        <v>45789</v>
      </c>
      <c r="F36" s="65">
        <v>0.3888888888888889</v>
      </c>
      <c r="G36" s="65">
        <v>0.4236111111111111</v>
      </c>
      <c r="H36" s="65">
        <v>6.9444444444444441E-3</v>
      </c>
      <c r="I36" s="101">
        <v>45789</v>
      </c>
      <c r="J36" s="101">
        <v>45789</v>
      </c>
      <c r="K36" s="63" t="s">
        <v>119</v>
      </c>
      <c r="L36" s="63" t="s">
        <v>77</v>
      </c>
      <c r="M36" s="63"/>
      <c r="N36" s="63" t="s">
        <v>211</v>
      </c>
      <c r="O36" s="63" t="s">
        <v>122</v>
      </c>
      <c r="P36" s="63" t="s">
        <v>7</v>
      </c>
      <c r="Q36" s="66" t="s">
        <v>212</v>
      </c>
      <c r="R36" s="66" t="s">
        <v>158</v>
      </c>
    </row>
    <row r="37" spans="2:18" ht="37.5" customHeight="1">
      <c r="B37" s="63" t="str">
        <f t="shared" si="0"/>
        <v>No34</v>
      </c>
      <c r="C37" s="63" t="s">
        <v>142</v>
      </c>
      <c r="D37" s="63" t="s">
        <v>155</v>
      </c>
      <c r="E37" s="101">
        <v>45789</v>
      </c>
      <c r="F37" s="65">
        <v>0.59027777777777779</v>
      </c>
      <c r="G37" s="65">
        <v>0.59375</v>
      </c>
      <c r="H37" s="65">
        <v>3.472222222222222E-3</v>
      </c>
      <c r="I37" s="101">
        <v>45789</v>
      </c>
      <c r="J37" s="101">
        <v>45789</v>
      </c>
      <c r="K37" s="63" t="s">
        <v>119</v>
      </c>
      <c r="L37" s="63" t="s">
        <v>159</v>
      </c>
      <c r="M37" s="63"/>
      <c r="N37" s="63" t="s">
        <v>187</v>
      </c>
      <c r="O37" s="63" t="s">
        <v>117</v>
      </c>
      <c r="P37" s="63" t="s">
        <v>7</v>
      </c>
      <c r="Q37" s="66" t="s">
        <v>208</v>
      </c>
      <c r="R37" s="66" t="s">
        <v>158</v>
      </c>
    </row>
    <row r="38" spans="2:18" ht="37.5" customHeight="1">
      <c r="B38" s="63" t="str">
        <f t="shared" si="0"/>
        <v>No35</v>
      </c>
      <c r="C38" s="63" t="s">
        <v>142</v>
      </c>
      <c r="D38" s="63" t="s">
        <v>155</v>
      </c>
      <c r="E38" s="101">
        <v>45790</v>
      </c>
      <c r="F38" s="65">
        <v>0.43402777777777779</v>
      </c>
      <c r="G38" s="65">
        <v>0.44444444444444442</v>
      </c>
      <c r="H38" s="65">
        <v>1.041666666666667E-2</v>
      </c>
      <c r="I38" s="101">
        <v>45790</v>
      </c>
      <c r="J38" s="101">
        <v>45790</v>
      </c>
      <c r="K38" s="63" t="s">
        <v>119</v>
      </c>
      <c r="L38" s="63" t="s">
        <v>159</v>
      </c>
      <c r="M38" s="63"/>
      <c r="N38" s="63" t="s">
        <v>187</v>
      </c>
      <c r="O38" s="63" t="s">
        <v>117</v>
      </c>
      <c r="P38" s="63" t="s">
        <v>7</v>
      </c>
      <c r="Q38" s="66" t="s">
        <v>226</v>
      </c>
      <c r="R38" s="66" t="s">
        <v>227</v>
      </c>
    </row>
    <row r="39" spans="2:18" ht="37.5" customHeight="1">
      <c r="B39" s="63" t="str">
        <f t="shared" si="0"/>
        <v>No36</v>
      </c>
      <c r="C39" s="63" t="s">
        <v>142</v>
      </c>
      <c r="D39" s="63" t="s">
        <v>155</v>
      </c>
      <c r="E39" s="101">
        <v>45790</v>
      </c>
      <c r="F39" s="65">
        <v>0.54166666666666663</v>
      </c>
      <c r="G39" s="65">
        <v>0.4375</v>
      </c>
      <c r="H39" s="65">
        <v>6.25E-2</v>
      </c>
      <c r="I39" s="101">
        <v>45791</v>
      </c>
      <c r="J39" s="101">
        <v>45791</v>
      </c>
      <c r="K39" s="63" t="s">
        <v>119</v>
      </c>
      <c r="L39" s="63" t="s">
        <v>159</v>
      </c>
      <c r="M39" s="63"/>
      <c r="N39" s="63" t="s">
        <v>187</v>
      </c>
      <c r="O39" s="63" t="s">
        <v>122</v>
      </c>
      <c r="P39" s="63" t="s">
        <v>7</v>
      </c>
      <c r="Q39" s="66" t="s">
        <v>228</v>
      </c>
      <c r="R39" s="66" t="s">
        <v>158</v>
      </c>
    </row>
    <row r="40" spans="2:18" ht="37.5" customHeight="1">
      <c r="B40" s="63" t="str">
        <f t="shared" si="0"/>
        <v>No37</v>
      </c>
      <c r="C40" s="63" t="s">
        <v>142</v>
      </c>
      <c r="D40" s="63" t="s">
        <v>155</v>
      </c>
      <c r="E40" s="101">
        <v>45791</v>
      </c>
      <c r="F40" s="65">
        <v>0.44444444444444442</v>
      </c>
      <c r="G40" s="65">
        <v>0.4548611111111111</v>
      </c>
      <c r="H40" s="65">
        <v>3.472222222222222E-3</v>
      </c>
      <c r="I40" s="101">
        <v>45791</v>
      </c>
      <c r="J40" s="101">
        <v>45791</v>
      </c>
      <c r="K40" s="63" t="s">
        <v>119</v>
      </c>
      <c r="L40" s="63" t="s">
        <v>111</v>
      </c>
      <c r="M40" s="63"/>
      <c r="N40" s="63" t="s">
        <v>229</v>
      </c>
      <c r="O40" s="63" t="s">
        <v>122</v>
      </c>
      <c r="P40" s="63" t="s">
        <v>7</v>
      </c>
      <c r="Q40" s="66" t="s">
        <v>208</v>
      </c>
      <c r="R40" s="66" t="s">
        <v>158</v>
      </c>
    </row>
    <row r="41" spans="2:18" ht="18.75" customHeight="1">
      <c r="B41" s="63" t="str">
        <f t="shared" si="0"/>
        <v>No38</v>
      </c>
      <c r="C41" s="63" t="s">
        <v>142</v>
      </c>
      <c r="D41" s="63" t="s">
        <v>4</v>
      </c>
      <c r="E41" s="101">
        <v>45426</v>
      </c>
      <c r="F41" s="65">
        <v>0.41666666666666669</v>
      </c>
      <c r="G41" s="65">
        <v>0.75</v>
      </c>
      <c r="H41" s="65">
        <v>0.16666666666666671</v>
      </c>
      <c r="I41" s="101">
        <v>45792</v>
      </c>
      <c r="J41" s="101">
        <v>45792</v>
      </c>
      <c r="K41" s="63" t="s">
        <v>20</v>
      </c>
      <c r="L41" s="63" t="s">
        <v>21</v>
      </c>
      <c r="M41" s="63"/>
      <c r="N41" s="63" t="s">
        <v>136</v>
      </c>
      <c r="O41" s="63" t="s">
        <v>122</v>
      </c>
      <c r="P41" s="63" t="s">
        <v>7</v>
      </c>
      <c r="Q41" s="66" t="s">
        <v>1949</v>
      </c>
      <c r="R41" s="66" t="s">
        <v>1950</v>
      </c>
    </row>
    <row r="42" spans="2:18" ht="27.75" customHeight="1">
      <c r="B42" s="63" t="str">
        <f t="shared" si="0"/>
        <v>No39</v>
      </c>
      <c r="C42" s="63" t="s">
        <v>142</v>
      </c>
      <c r="D42" s="63" t="s">
        <v>155</v>
      </c>
      <c r="E42" s="101">
        <v>45791</v>
      </c>
      <c r="F42" s="65">
        <v>0.58333333333333337</v>
      </c>
      <c r="G42" s="65">
        <v>0.59027777777777779</v>
      </c>
      <c r="H42" s="65">
        <v>6.9444444444444441E-3</v>
      </c>
      <c r="I42" s="101">
        <v>45791</v>
      </c>
      <c r="J42" s="101">
        <v>45791</v>
      </c>
      <c r="K42" s="63" t="s">
        <v>119</v>
      </c>
      <c r="L42" s="63" t="s">
        <v>159</v>
      </c>
      <c r="M42" s="63"/>
      <c r="N42" s="63" t="s">
        <v>160</v>
      </c>
      <c r="O42" s="63" t="s">
        <v>122</v>
      </c>
      <c r="P42" s="63" t="s">
        <v>7</v>
      </c>
      <c r="Q42" s="66" t="s">
        <v>179</v>
      </c>
      <c r="R42" s="66" t="s">
        <v>158</v>
      </c>
    </row>
    <row r="43" spans="2:18" ht="18.75" customHeight="1">
      <c r="B43" s="63" t="str">
        <f t="shared" si="0"/>
        <v>No40</v>
      </c>
      <c r="C43" s="63" t="s">
        <v>142</v>
      </c>
      <c r="D43" s="63" t="s">
        <v>155</v>
      </c>
      <c r="E43" s="101">
        <v>45791</v>
      </c>
      <c r="F43" s="65">
        <v>0.69791666666666663</v>
      </c>
      <c r="G43" s="65">
        <v>0.71875</v>
      </c>
      <c r="H43" s="65">
        <v>1.041666666666667E-2</v>
      </c>
      <c r="I43" s="101">
        <v>45791</v>
      </c>
      <c r="J43" s="101">
        <v>45791</v>
      </c>
      <c r="K43" s="63" t="s">
        <v>40</v>
      </c>
      <c r="L43" s="63" t="s">
        <v>41</v>
      </c>
      <c r="M43" s="63"/>
      <c r="N43" s="63" t="s">
        <v>180</v>
      </c>
      <c r="O43" s="63" t="s">
        <v>122</v>
      </c>
      <c r="P43" s="63" t="s">
        <v>7</v>
      </c>
      <c r="Q43" s="66" t="s">
        <v>230</v>
      </c>
      <c r="R43" s="66" t="s">
        <v>231</v>
      </c>
    </row>
    <row r="44" spans="2:18" ht="33" customHeight="1">
      <c r="B44" s="63" t="str">
        <f t="shared" si="0"/>
        <v>No41</v>
      </c>
      <c r="C44" s="63" t="s">
        <v>142</v>
      </c>
      <c r="D44" s="63" t="s">
        <v>155</v>
      </c>
      <c r="E44" s="101">
        <v>45791</v>
      </c>
      <c r="F44" s="65">
        <v>0.41666666666666669</v>
      </c>
      <c r="G44" s="65">
        <v>0.4375</v>
      </c>
      <c r="H44" s="65">
        <v>6.9444444444444441E-3</v>
      </c>
      <c r="I44" s="101">
        <v>45791</v>
      </c>
      <c r="J44" s="101">
        <v>45791</v>
      </c>
      <c r="K44" s="63" t="s">
        <v>119</v>
      </c>
      <c r="L44" s="63" t="s">
        <v>159</v>
      </c>
      <c r="M44" s="63"/>
      <c r="N44" s="63" t="s">
        <v>160</v>
      </c>
      <c r="O44" s="63" t="s">
        <v>122</v>
      </c>
      <c r="P44" s="63" t="s">
        <v>7</v>
      </c>
      <c r="Q44" s="66" t="s">
        <v>179</v>
      </c>
      <c r="R44" s="66" t="s">
        <v>158</v>
      </c>
    </row>
    <row r="45" spans="2:18" ht="33" customHeight="1">
      <c r="B45" s="63" t="str">
        <f t="shared" si="0"/>
        <v>No42</v>
      </c>
      <c r="C45" s="63" t="s">
        <v>142</v>
      </c>
      <c r="D45" s="63" t="s">
        <v>155</v>
      </c>
      <c r="E45" s="101">
        <v>45791</v>
      </c>
      <c r="F45" s="65">
        <v>0.64930555555555558</v>
      </c>
      <c r="G45" s="65">
        <v>0.65625</v>
      </c>
      <c r="H45" s="65">
        <v>6.9444444444444441E-3</v>
      </c>
      <c r="I45" s="101">
        <v>45791</v>
      </c>
      <c r="J45" s="101">
        <v>45791</v>
      </c>
      <c r="K45" s="63" t="s">
        <v>119</v>
      </c>
      <c r="L45" s="63" t="s">
        <v>159</v>
      </c>
      <c r="M45" s="63"/>
      <c r="N45" s="63" t="s">
        <v>160</v>
      </c>
      <c r="O45" s="63" t="s">
        <v>122</v>
      </c>
      <c r="P45" s="63" t="s">
        <v>7</v>
      </c>
      <c r="Q45" s="66" t="s">
        <v>179</v>
      </c>
      <c r="R45" s="66" t="s">
        <v>158</v>
      </c>
    </row>
    <row r="46" spans="2:18" ht="18.75" customHeight="1">
      <c r="B46" s="63" t="str">
        <f t="shared" si="0"/>
        <v>No43</v>
      </c>
      <c r="C46" s="63" t="s">
        <v>142</v>
      </c>
      <c r="D46" s="63" t="s">
        <v>4</v>
      </c>
      <c r="E46" s="101">
        <v>45792</v>
      </c>
      <c r="F46" s="65">
        <v>0.58333333333333337</v>
      </c>
      <c r="G46" s="65">
        <v>0.59722222222222221</v>
      </c>
      <c r="H46" s="65">
        <v>1.388888888888889E-2</v>
      </c>
      <c r="I46" s="101">
        <v>45792</v>
      </c>
      <c r="J46" s="101">
        <v>45792</v>
      </c>
      <c r="K46" s="63" t="s">
        <v>20</v>
      </c>
      <c r="L46" s="63" t="s">
        <v>105</v>
      </c>
      <c r="M46" s="63"/>
      <c r="N46" s="63" t="s">
        <v>106</v>
      </c>
      <c r="O46" s="63" t="s">
        <v>6</v>
      </c>
      <c r="P46" s="63" t="s">
        <v>7</v>
      </c>
      <c r="Q46" s="66" t="s">
        <v>232</v>
      </c>
      <c r="R46" s="66" t="s">
        <v>233</v>
      </c>
    </row>
    <row r="47" spans="2:18" ht="18.75" customHeight="1">
      <c r="B47" s="63" t="str">
        <f t="shared" si="0"/>
        <v>No44</v>
      </c>
      <c r="C47" s="63" t="s">
        <v>142</v>
      </c>
      <c r="D47" s="63" t="s">
        <v>4</v>
      </c>
      <c r="E47" s="101">
        <v>45792</v>
      </c>
      <c r="F47" s="65">
        <v>0.625</v>
      </c>
      <c r="G47" s="65">
        <v>0.64583333333333337</v>
      </c>
      <c r="H47" s="65">
        <f>G47-F47</f>
        <v>2.083333333333337E-2</v>
      </c>
      <c r="I47" s="101" t="s">
        <v>121</v>
      </c>
      <c r="J47" s="101" t="s">
        <v>121</v>
      </c>
      <c r="K47" s="63" t="s">
        <v>45</v>
      </c>
      <c r="L47" s="63" t="s">
        <v>120</v>
      </c>
      <c r="M47" s="63"/>
      <c r="N47" s="63" t="s">
        <v>152</v>
      </c>
      <c r="O47" s="63" t="s">
        <v>6</v>
      </c>
      <c r="P47" s="63" t="s">
        <v>7</v>
      </c>
      <c r="Q47" s="66" t="s">
        <v>234</v>
      </c>
      <c r="R47" s="66" t="s">
        <v>235</v>
      </c>
    </row>
    <row r="48" spans="2:18" ht="37.5" customHeight="1">
      <c r="B48" s="63" t="str">
        <f t="shared" si="0"/>
        <v>No45</v>
      </c>
      <c r="C48" s="63" t="s">
        <v>142</v>
      </c>
      <c r="D48" s="63" t="s">
        <v>116</v>
      </c>
      <c r="E48" s="101">
        <v>45793</v>
      </c>
      <c r="F48" s="65">
        <v>0.3888888888888889</v>
      </c>
      <c r="G48" s="65">
        <v>0.39930555555555558</v>
      </c>
      <c r="H48" s="65">
        <v>1.041666666666667E-2</v>
      </c>
      <c r="I48" s="101">
        <v>45793</v>
      </c>
      <c r="J48" s="101">
        <v>45793</v>
      </c>
      <c r="K48" s="63" t="s">
        <v>45</v>
      </c>
      <c r="L48" s="63" t="s">
        <v>77</v>
      </c>
      <c r="M48" s="63"/>
      <c r="N48" s="63" t="s">
        <v>238</v>
      </c>
      <c r="O48" s="63" t="s">
        <v>6</v>
      </c>
      <c r="P48" s="63" t="s">
        <v>7</v>
      </c>
      <c r="Q48" s="66" t="s">
        <v>239</v>
      </c>
      <c r="R48" s="66" t="s">
        <v>240</v>
      </c>
    </row>
    <row r="49" spans="2:18" ht="37.5" customHeight="1">
      <c r="B49" s="63" t="str">
        <f t="shared" si="0"/>
        <v>No46</v>
      </c>
      <c r="C49" s="63" t="s">
        <v>104</v>
      </c>
      <c r="D49" s="63" t="s">
        <v>116</v>
      </c>
      <c r="E49" s="101">
        <v>45793</v>
      </c>
      <c r="F49" s="65">
        <v>0.40138888888888891</v>
      </c>
      <c r="G49" s="65">
        <v>0.40277777777777779</v>
      </c>
      <c r="H49" s="65">
        <v>3.472222222222222E-3</v>
      </c>
      <c r="I49" s="101">
        <v>45793</v>
      </c>
      <c r="J49" s="101">
        <v>45793</v>
      </c>
      <c r="K49" s="63" t="s">
        <v>20</v>
      </c>
      <c r="L49" s="63" t="s">
        <v>77</v>
      </c>
      <c r="M49" s="63"/>
      <c r="N49" s="63" t="s">
        <v>211</v>
      </c>
      <c r="O49" s="63" t="s">
        <v>6</v>
      </c>
      <c r="P49" s="63" t="s">
        <v>7</v>
      </c>
      <c r="Q49" s="66" t="s">
        <v>241</v>
      </c>
      <c r="R49" s="66" t="s">
        <v>242</v>
      </c>
    </row>
    <row r="50" spans="2:18" ht="27.75" customHeight="1">
      <c r="B50" s="63" t="str">
        <f t="shared" si="0"/>
        <v>No47</v>
      </c>
      <c r="C50" s="63" t="s">
        <v>142</v>
      </c>
      <c r="D50" s="63" t="s">
        <v>155</v>
      </c>
      <c r="E50" s="101">
        <v>45793</v>
      </c>
      <c r="F50" s="65">
        <v>0.46875</v>
      </c>
      <c r="G50" s="65">
        <v>0.47916666666666669</v>
      </c>
      <c r="H50" s="65">
        <v>6.9444444444444441E-3</v>
      </c>
      <c r="I50" s="101">
        <v>45793</v>
      </c>
      <c r="J50" s="101">
        <v>45793</v>
      </c>
      <c r="K50" s="63" t="s">
        <v>119</v>
      </c>
      <c r="L50" s="63" t="s">
        <v>111</v>
      </c>
      <c r="M50" s="63"/>
      <c r="N50" s="63" t="s">
        <v>245</v>
      </c>
      <c r="O50" s="63" t="s">
        <v>122</v>
      </c>
      <c r="P50" s="63" t="s">
        <v>7</v>
      </c>
      <c r="Q50" s="66" t="s">
        <v>246</v>
      </c>
      <c r="R50" s="66" t="s">
        <v>158</v>
      </c>
    </row>
    <row r="51" spans="2:18" ht="27.75" customHeight="1">
      <c r="B51" s="63" t="str">
        <f t="shared" si="0"/>
        <v>No48</v>
      </c>
      <c r="C51" s="63" t="s">
        <v>142</v>
      </c>
      <c r="D51" s="63" t="s">
        <v>155</v>
      </c>
      <c r="E51" s="101">
        <v>45793</v>
      </c>
      <c r="F51" s="65">
        <v>0.4826388888888889</v>
      </c>
      <c r="G51" s="65">
        <v>0.48958333333333331</v>
      </c>
      <c r="H51" s="65">
        <v>3.472222222222222E-3</v>
      </c>
      <c r="I51" s="101">
        <v>45793</v>
      </c>
      <c r="J51" s="101">
        <v>45793</v>
      </c>
      <c r="K51" s="63" t="s">
        <v>119</v>
      </c>
      <c r="L51" s="63" t="s">
        <v>159</v>
      </c>
      <c r="M51" s="63"/>
      <c r="N51" s="63" t="s">
        <v>160</v>
      </c>
      <c r="O51" s="63" t="s">
        <v>122</v>
      </c>
      <c r="P51" s="63" t="s">
        <v>7</v>
      </c>
      <c r="Q51" s="66" t="s">
        <v>179</v>
      </c>
      <c r="R51" s="66" t="s">
        <v>158</v>
      </c>
    </row>
    <row r="52" spans="2:18" ht="18.75" customHeight="1">
      <c r="B52" s="63" t="str">
        <f t="shared" si="0"/>
        <v>No49</v>
      </c>
      <c r="C52" s="63" t="s">
        <v>142</v>
      </c>
      <c r="D52" s="63" t="s">
        <v>155</v>
      </c>
      <c r="E52" s="101">
        <v>45793</v>
      </c>
      <c r="F52" s="65">
        <v>0.55208333333333337</v>
      </c>
      <c r="G52" s="65">
        <v>0.55902777777777779</v>
      </c>
      <c r="H52" s="65">
        <v>6.9444444444444441E-3</v>
      </c>
      <c r="I52" s="101">
        <v>45793</v>
      </c>
      <c r="J52" s="101">
        <v>45793</v>
      </c>
      <c r="K52" s="63" t="s">
        <v>119</v>
      </c>
      <c r="L52" s="63" t="s">
        <v>159</v>
      </c>
      <c r="M52" s="63"/>
      <c r="N52" s="63" t="s">
        <v>187</v>
      </c>
      <c r="O52" s="63" t="s">
        <v>122</v>
      </c>
      <c r="P52" s="63" t="s">
        <v>7</v>
      </c>
      <c r="Q52" s="66" t="s">
        <v>247</v>
      </c>
      <c r="R52" s="66" t="s">
        <v>248</v>
      </c>
    </row>
    <row r="53" spans="2:18" ht="18.75" customHeight="1">
      <c r="B53" s="63" t="str">
        <f t="shared" si="0"/>
        <v>No50</v>
      </c>
      <c r="C53" s="63" t="s">
        <v>3</v>
      </c>
      <c r="D53" s="63" t="s">
        <v>116</v>
      </c>
      <c r="E53" s="101">
        <v>45794</v>
      </c>
      <c r="F53" s="65">
        <v>0.52777777777777779</v>
      </c>
      <c r="G53" s="65">
        <v>0.54861111111111116</v>
      </c>
      <c r="H53" s="65">
        <v>2.0833333333333329E-2</v>
      </c>
      <c r="I53" s="101">
        <v>45794</v>
      </c>
      <c r="J53" s="101">
        <v>45794</v>
      </c>
      <c r="K53" s="63" t="s">
        <v>249</v>
      </c>
      <c r="L53" s="63" t="s">
        <v>176</v>
      </c>
      <c r="M53" s="63"/>
      <c r="N53" s="63" t="s">
        <v>250</v>
      </c>
      <c r="O53" s="63" t="s">
        <v>117</v>
      </c>
      <c r="P53" s="63" t="s">
        <v>7</v>
      </c>
      <c r="Q53" s="66" t="s">
        <v>251</v>
      </c>
      <c r="R53" s="66" t="s">
        <v>252</v>
      </c>
    </row>
    <row r="54" spans="2:18" ht="18.75" customHeight="1">
      <c r="B54" s="63" t="str">
        <f t="shared" si="0"/>
        <v>No51</v>
      </c>
      <c r="C54" s="63" t="s">
        <v>142</v>
      </c>
      <c r="D54" s="63" t="s">
        <v>4</v>
      </c>
      <c r="E54" s="101">
        <v>45793</v>
      </c>
      <c r="F54" s="65">
        <v>0.375</v>
      </c>
      <c r="G54" s="65">
        <v>0.66666666666666663</v>
      </c>
      <c r="H54" s="65">
        <v>8.3333333333333329E-2</v>
      </c>
      <c r="I54" s="101">
        <v>45799</v>
      </c>
      <c r="J54" s="101">
        <v>45793</v>
      </c>
      <c r="K54" s="63" t="s">
        <v>20</v>
      </c>
      <c r="L54" s="63" t="s">
        <v>21</v>
      </c>
      <c r="M54" s="63"/>
      <c r="N54" s="63" t="s">
        <v>133</v>
      </c>
      <c r="O54" s="63" t="s">
        <v>6</v>
      </c>
      <c r="P54" s="63" t="s">
        <v>7</v>
      </c>
      <c r="Q54" s="66" t="s">
        <v>236</v>
      </c>
      <c r="R54" s="66" t="s">
        <v>237</v>
      </c>
    </row>
    <row r="55" spans="2:18" ht="18.75" customHeight="1">
      <c r="B55" s="63" t="str">
        <f t="shared" si="0"/>
        <v>No52</v>
      </c>
      <c r="C55" s="63" t="s">
        <v>166</v>
      </c>
      <c r="D55" s="63" t="s">
        <v>4</v>
      </c>
      <c r="E55" s="101">
        <v>45793</v>
      </c>
      <c r="F55" s="65">
        <v>0.45833333333333331</v>
      </c>
      <c r="G55" s="65">
        <v>0.47916666666666669</v>
      </c>
      <c r="H55" s="65">
        <v>2.0833333333333329E-2</v>
      </c>
      <c r="I55" s="101">
        <v>45793</v>
      </c>
      <c r="J55" s="101">
        <v>45793</v>
      </c>
      <c r="K55" s="63" t="s">
        <v>40</v>
      </c>
      <c r="L55" s="63" t="s">
        <v>41</v>
      </c>
      <c r="M55" s="63"/>
      <c r="N55" s="63" t="s">
        <v>180</v>
      </c>
      <c r="O55" s="63" t="s">
        <v>122</v>
      </c>
      <c r="P55" s="63" t="s">
        <v>7</v>
      </c>
      <c r="Q55" s="66" t="s">
        <v>243</v>
      </c>
      <c r="R55" s="66" t="s">
        <v>244</v>
      </c>
    </row>
    <row r="56" spans="2:18" ht="18.75" customHeight="1">
      <c r="B56" s="63" t="str">
        <f t="shared" si="0"/>
        <v>No53</v>
      </c>
      <c r="C56" s="63" t="s">
        <v>186</v>
      </c>
      <c r="D56" s="63" t="s">
        <v>116</v>
      </c>
      <c r="E56" s="101">
        <v>45796</v>
      </c>
      <c r="F56" s="65">
        <v>0.67013888888888884</v>
      </c>
      <c r="G56" s="65">
        <v>0.67708333333333337</v>
      </c>
      <c r="H56" s="65">
        <v>6.9444444444444441E-3</v>
      </c>
      <c r="I56" s="101">
        <v>45796</v>
      </c>
      <c r="J56" s="101" t="s">
        <v>121</v>
      </c>
      <c r="K56" s="63" t="s">
        <v>20</v>
      </c>
      <c r="L56" s="63" t="s">
        <v>41</v>
      </c>
      <c r="M56" s="63"/>
      <c r="N56" s="63" t="s">
        <v>260</v>
      </c>
      <c r="O56" s="63" t="s">
        <v>6</v>
      </c>
      <c r="P56" s="63" t="s">
        <v>7</v>
      </c>
      <c r="Q56" s="66" t="s">
        <v>261</v>
      </c>
      <c r="R56" s="66" t="s">
        <v>262</v>
      </c>
    </row>
    <row r="57" spans="2:18" ht="40.5" customHeight="1">
      <c r="B57" s="63" t="str">
        <f t="shared" si="0"/>
        <v>No54</v>
      </c>
      <c r="C57" s="63" t="s">
        <v>142</v>
      </c>
      <c r="D57" s="63" t="s">
        <v>155</v>
      </c>
      <c r="E57" s="101">
        <v>45796</v>
      </c>
      <c r="F57" s="65">
        <v>0.41319444444444442</v>
      </c>
      <c r="G57" s="65">
        <v>0.4201388888888889</v>
      </c>
      <c r="H57" s="65">
        <v>6.9444444444444441E-3</v>
      </c>
      <c r="I57" s="101">
        <v>45796</v>
      </c>
      <c r="J57" s="101">
        <v>45796</v>
      </c>
      <c r="K57" s="63" t="s">
        <v>119</v>
      </c>
      <c r="L57" s="63" t="s">
        <v>111</v>
      </c>
      <c r="M57" s="63"/>
      <c r="N57" s="63" t="s">
        <v>253</v>
      </c>
      <c r="O57" s="63" t="s">
        <v>122</v>
      </c>
      <c r="P57" s="63" t="s">
        <v>7</v>
      </c>
      <c r="Q57" s="66" t="s">
        <v>254</v>
      </c>
      <c r="R57" s="66" t="s">
        <v>255</v>
      </c>
    </row>
    <row r="58" spans="2:18" ht="40.5" customHeight="1">
      <c r="B58" s="63" t="str">
        <f t="shared" si="0"/>
        <v>No55</v>
      </c>
      <c r="C58" s="63" t="s">
        <v>142</v>
      </c>
      <c r="D58" s="63" t="s">
        <v>155</v>
      </c>
      <c r="E58" s="101">
        <v>45796</v>
      </c>
      <c r="F58" s="65">
        <v>0.45833333333333331</v>
      </c>
      <c r="G58" s="65">
        <v>0.46527777777777779</v>
      </c>
      <c r="H58" s="65">
        <v>6.9444444444444441E-3</v>
      </c>
      <c r="I58" s="101">
        <v>45796</v>
      </c>
      <c r="J58" s="101">
        <v>45796</v>
      </c>
      <c r="K58" s="63" t="s">
        <v>119</v>
      </c>
      <c r="L58" s="63" t="s">
        <v>77</v>
      </c>
      <c r="M58" s="63"/>
      <c r="N58" s="63" t="s">
        <v>211</v>
      </c>
      <c r="O58" s="63" t="s">
        <v>122</v>
      </c>
      <c r="P58" s="63" t="s">
        <v>7</v>
      </c>
      <c r="Q58" s="66" t="s">
        <v>212</v>
      </c>
      <c r="R58" s="66" t="s">
        <v>158</v>
      </c>
    </row>
    <row r="59" spans="2:18" ht="40.5" customHeight="1">
      <c r="B59" s="63" t="str">
        <f t="shared" si="0"/>
        <v>No56</v>
      </c>
      <c r="C59" s="63" t="s">
        <v>142</v>
      </c>
      <c r="D59" s="63" t="s">
        <v>155</v>
      </c>
      <c r="E59" s="101">
        <v>45798</v>
      </c>
      <c r="F59" s="65">
        <v>0.39583333333333331</v>
      </c>
      <c r="G59" s="65">
        <v>0.41666666666666669</v>
      </c>
      <c r="H59" s="65">
        <v>6.9444444444444441E-3</v>
      </c>
      <c r="I59" s="101">
        <v>45798</v>
      </c>
      <c r="J59" s="101">
        <v>45798</v>
      </c>
      <c r="K59" s="63" t="s">
        <v>119</v>
      </c>
      <c r="L59" s="63" t="s">
        <v>159</v>
      </c>
      <c r="M59" s="63"/>
      <c r="N59" s="63" t="s">
        <v>160</v>
      </c>
      <c r="O59" s="63" t="s">
        <v>122</v>
      </c>
      <c r="P59" s="63" t="s">
        <v>7</v>
      </c>
      <c r="Q59" s="66" t="s">
        <v>179</v>
      </c>
      <c r="R59" s="66" t="s">
        <v>158</v>
      </c>
    </row>
    <row r="60" spans="2:18" ht="40.5" customHeight="1">
      <c r="B60" s="63" t="str">
        <f t="shared" si="0"/>
        <v>No57</v>
      </c>
      <c r="C60" s="63" t="s">
        <v>142</v>
      </c>
      <c r="D60" s="63" t="s">
        <v>155</v>
      </c>
      <c r="E60" s="101">
        <v>45798</v>
      </c>
      <c r="F60" s="65">
        <v>0.40625</v>
      </c>
      <c r="G60" s="65">
        <v>0.47916666666666669</v>
      </c>
      <c r="H60" s="65">
        <v>6.9444444444444441E-3</v>
      </c>
      <c r="I60" s="101">
        <v>45798</v>
      </c>
      <c r="J60" s="101">
        <v>45798</v>
      </c>
      <c r="K60" s="63" t="s">
        <v>119</v>
      </c>
      <c r="L60" s="63" t="s">
        <v>77</v>
      </c>
      <c r="M60" s="63"/>
      <c r="N60" s="63" t="s">
        <v>211</v>
      </c>
      <c r="O60" s="63" t="s">
        <v>122</v>
      </c>
      <c r="P60" s="63" t="s">
        <v>7</v>
      </c>
      <c r="Q60" s="66" t="s">
        <v>212</v>
      </c>
      <c r="R60" s="66" t="s">
        <v>158</v>
      </c>
    </row>
    <row r="61" spans="2:18" ht="40.5" customHeight="1">
      <c r="B61" s="63" t="str">
        <f t="shared" si="0"/>
        <v>No58</v>
      </c>
      <c r="C61" s="63" t="s">
        <v>142</v>
      </c>
      <c r="D61" s="63" t="s">
        <v>155</v>
      </c>
      <c r="E61" s="101">
        <v>45798</v>
      </c>
      <c r="F61" s="65">
        <v>0.45833333333333331</v>
      </c>
      <c r="G61" s="65">
        <v>0.46180555555555558</v>
      </c>
      <c r="H61" s="65">
        <v>3.472222222222222E-3</v>
      </c>
      <c r="I61" s="101">
        <v>45791</v>
      </c>
      <c r="J61" s="101">
        <v>45791</v>
      </c>
      <c r="K61" s="63" t="s">
        <v>119</v>
      </c>
      <c r="L61" s="63" t="s">
        <v>159</v>
      </c>
      <c r="M61" s="63"/>
      <c r="N61" s="63" t="s">
        <v>187</v>
      </c>
      <c r="O61" s="63" t="s">
        <v>122</v>
      </c>
      <c r="P61" s="63" t="s">
        <v>7</v>
      </c>
      <c r="Q61" s="66" t="s">
        <v>208</v>
      </c>
      <c r="R61" s="66" t="s">
        <v>158</v>
      </c>
    </row>
    <row r="62" spans="2:18" ht="18.75" customHeight="1">
      <c r="B62" s="63" t="str">
        <f t="shared" si="0"/>
        <v>No59</v>
      </c>
      <c r="C62" s="63" t="s">
        <v>166</v>
      </c>
      <c r="D62" s="63" t="s">
        <v>4</v>
      </c>
      <c r="E62" s="101">
        <v>45798</v>
      </c>
      <c r="F62" s="65">
        <v>0.72916666666666663</v>
      </c>
      <c r="G62" s="65">
        <v>0.79166666666666663</v>
      </c>
      <c r="H62" s="65">
        <v>6.25E-2</v>
      </c>
      <c r="I62" s="101">
        <v>45804</v>
      </c>
      <c r="J62" s="101" t="s">
        <v>121</v>
      </c>
      <c r="K62" s="63" t="s">
        <v>119</v>
      </c>
      <c r="L62" s="63" t="s">
        <v>26</v>
      </c>
      <c r="M62" s="63"/>
      <c r="N62" s="63" t="s">
        <v>121</v>
      </c>
      <c r="O62" s="63" t="s">
        <v>117</v>
      </c>
      <c r="P62" s="63" t="s">
        <v>7</v>
      </c>
      <c r="Q62" s="66" t="s">
        <v>264</v>
      </c>
      <c r="R62" s="66" t="s">
        <v>265</v>
      </c>
    </row>
    <row r="63" spans="2:18" ht="18.75" customHeight="1">
      <c r="B63" s="76" t="str">
        <f t="shared" si="0"/>
        <v>No60</v>
      </c>
      <c r="C63" s="76" t="s">
        <v>166</v>
      </c>
      <c r="D63" s="76" t="s">
        <v>4</v>
      </c>
      <c r="E63" s="102">
        <v>45799</v>
      </c>
      <c r="F63" s="103">
        <v>0.375</v>
      </c>
      <c r="G63" s="103" t="s">
        <v>121</v>
      </c>
      <c r="H63" s="103" t="s">
        <v>121</v>
      </c>
      <c r="I63" s="102" t="s">
        <v>121</v>
      </c>
      <c r="J63" s="102" t="s">
        <v>121</v>
      </c>
      <c r="K63" s="76" t="s">
        <v>119</v>
      </c>
      <c r="L63" s="76" t="s">
        <v>26</v>
      </c>
      <c r="M63" s="76"/>
      <c r="N63" s="76" t="s">
        <v>121</v>
      </c>
      <c r="O63" s="76" t="s">
        <v>117</v>
      </c>
      <c r="P63" s="76" t="s">
        <v>614</v>
      </c>
      <c r="Q63" s="104" t="s">
        <v>1951</v>
      </c>
      <c r="R63" s="104" t="s">
        <v>121</v>
      </c>
    </row>
    <row r="64" spans="2:18" ht="18.75" customHeight="1">
      <c r="B64" s="63" t="str">
        <f t="shared" si="0"/>
        <v>No61</v>
      </c>
      <c r="C64" s="63" t="s">
        <v>166</v>
      </c>
      <c r="D64" s="63" t="s">
        <v>4</v>
      </c>
      <c r="E64" s="101">
        <v>45798</v>
      </c>
      <c r="F64" s="65">
        <v>0.41666666666666669</v>
      </c>
      <c r="G64" s="65">
        <v>0.43055555555555558</v>
      </c>
      <c r="H64" s="65">
        <v>1.388888888888889E-2</v>
      </c>
      <c r="I64" s="101">
        <v>45798</v>
      </c>
      <c r="J64" s="101">
        <v>45798</v>
      </c>
      <c r="K64" s="63" t="s">
        <v>40</v>
      </c>
      <c r="L64" s="63" t="s">
        <v>121</v>
      </c>
      <c r="M64" s="63"/>
      <c r="N64" s="63" t="s">
        <v>121</v>
      </c>
      <c r="O64" s="63" t="s">
        <v>6</v>
      </c>
      <c r="P64" s="63" t="s">
        <v>7</v>
      </c>
      <c r="Q64" s="66" t="s">
        <v>263</v>
      </c>
      <c r="R64" s="66" t="s">
        <v>158</v>
      </c>
    </row>
    <row r="65" spans="2:18" ht="27" customHeight="1">
      <c r="B65" s="63" t="str">
        <f t="shared" si="0"/>
        <v>No62</v>
      </c>
      <c r="C65" s="63" t="s">
        <v>142</v>
      </c>
      <c r="D65" s="63" t="s">
        <v>155</v>
      </c>
      <c r="E65" s="101">
        <v>45799</v>
      </c>
      <c r="F65" s="65">
        <v>0.43402777777777779</v>
      </c>
      <c r="G65" s="65">
        <v>0.44444444444444442</v>
      </c>
      <c r="H65" s="65">
        <v>1.041666666666667E-2</v>
      </c>
      <c r="I65" s="101">
        <v>45799</v>
      </c>
      <c r="J65" s="101">
        <v>45799</v>
      </c>
      <c r="K65" s="63" t="s">
        <v>119</v>
      </c>
      <c r="L65" s="63" t="s">
        <v>111</v>
      </c>
      <c r="M65" s="63"/>
      <c r="N65" s="63" t="s">
        <v>201</v>
      </c>
      <c r="O65" s="63" t="s">
        <v>122</v>
      </c>
      <c r="P65" s="63" t="s">
        <v>7</v>
      </c>
      <c r="Q65" s="66" t="s">
        <v>246</v>
      </c>
      <c r="R65" s="66" t="s">
        <v>158</v>
      </c>
    </row>
    <row r="66" spans="2:18" ht="27" customHeight="1">
      <c r="B66" s="63" t="str">
        <f t="shared" si="0"/>
        <v>No63</v>
      </c>
      <c r="C66" s="63" t="s">
        <v>142</v>
      </c>
      <c r="D66" s="63" t="s">
        <v>155</v>
      </c>
      <c r="E66" s="101">
        <v>45799</v>
      </c>
      <c r="F66" s="65">
        <v>0.44444444444444442</v>
      </c>
      <c r="G66" s="65">
        <v>0.44791666666666669</v>
      </c>
      <c r="H66" s="65">
        <v>3.472222222222222E-3</v>
      </c>
      <c r="I66" s="101">
        <v>45799</v>
      </c>
      <c r="J66" s="101">
        <v>45799</v>
      </c>
      <c r="K66" s="63" t="s">
        <v>119</v>
      </c>
      <c r="L66" s="63" t="s">
        <v>159</v>
      </c>
      <c r="M66" s="63"/>
      <c r="N66" s="63" t="s">
        <v>160</v>
      </c>
      <c r="O66" s="63" t="s">
        <v>122</v>
      </c>
      <c r="P66" s="63" t="s">
        <v>7</v>
      </c>
      <c r="Q66" s="66" t="s">
        <v>179</v>
      </c>
      <c r="R66" s="66" t="s">
        <v>158</v>
      </c>
    </row>
    <row r="67" spans="2:18" ht="18.75" customHeight="1">
      <c r="B67" s="63" t="str">
        <f t="shared" si="0"/>
        <v>No64</v>
      </c>
      <c r="C67" s="63" t="s">
        <v>142</v>
      </c>
      <c r="D67" s="63" t="s">
        <v>155</v>
      </c>
      <c r="E67" s="101">
        <v>45800</v>
      </c>
      <c r="F67" s="65">
        <v>0.46875</v>
      </c>
      <c r="G67" s="65">
        <v>0.58333333333333337</v>
      </c>
      <c r="H67" s="65">
        <v>2.0833333333333329E-2</v>
      </c>
      <c r="I67" s="101">
        <v>45800</v>
      </c>
      <c r="J67" s="101">
        <v>45800</v>
      </c>
      <c r="K67" s="63" t="s">
        <v>20</v>
      </c>
      <c r="L67" s="63" t="s">
        <v>111</v>
      </c>
      <c r="M67" s="63"/>
      <c r="N67" s="63" t="s">
        <v>173</v>
      </c>
      <c r="O67" s="63" t="s">
        <v>122</v>
      </c>
      <c r="P67" s="63" t="s">
        <v>7</v>
      </c>
      <c r="Q67" s="66" t="s">
        <v>266</v>
      </c>
      <c r="R67" s="66" t="s">
        <v>267</v>
      </c>
    </row>
    <row r="68" spans="2:18" ht="35.25" customHeight="1">
      <c r="B68" s="63" t="str">
        <f t="shared" ref="B68:B131" si="1">"No"&amp;ROW()-3</f>
        <v>No65</v>
      </c>
      <c r="C68" s="63" t="s">
        <v>142</v>
      </c>
      <c r="D68" s="63" t="s">
        <v>155</v>
      </c>
      <c r="E68" s="101">
        <v>45800</v>
      </c>
      <c r="F68" s="65">
        <v>0.47916666666666669</v>
      </c>
      <c r="G68" s="65">
        <v>0.4826388888888889</v>
      </c>
      <c r="H68" s="65">
        <v>3.472222222222222E-3</v>
      </c>
      <c r="I68" s="101">
        <v>45800</v>
      </c>
      <c r="J68" s="101">
        <v>45800</v>
      </c>
      <c r="K68" s="63" t="s">
        <v>119</v>
      </c>
      <c r="L68" s="63" t="s">
        <v>159</v>
      </c>
      <c r="M68" s="63"/>
      <c r="N68" s="63" t="s">
        <v>160</v>
      </c>
      <c r="O68" s="63" t="s">
        <v>122</v>
      </c>
      <c r="P68" s="63" t="s">
        <v>7</v>
      </c>
      <c r="Q68" s="66" t="s">
        <v>179</v>
      </c>
      <c r="R68" s="66" t="s">
        <v>158</v>
      </c>
    </row>
    <row r="69" spans="2:18" ht="35.25" customHeight="1">
      <c r="B69" s="63" t="str">
        <f t="shared" si="1"/>
        <v>No66</v>
      </c>
      <c r="C69" s="63" t="s">
        <v>142</v>
      </c>
      <c r="D69" s="63" t="s">
        <v>155</v>
      </c>
      <c r="E69" s="101">
        <v>45800</v>
      </c>
      <c r="F69" s="65">
        <v>0.64583333333333337</v>
      </c>
      <c r="G69" s="65">
        <v>0.65972222222222221</v>
      </c>
      <c r="H69" s="65">
        <v>6.9444444444444441E-3</v>
      </c>
      <c r="I69" s="101">
        <v>45800</v>
      </c>
      <c r="J69" s="101">
        <v>45800</v>
      </c>
      <c r="K69" s="63" t="s">
        <v>119</v>
      </c>
      <c r="L69" s="63" t="s">
        <v>159</v>
      </c>
      <c r="M69" s="63"/>
      <c r="N69" s="63" t="s">
        <v>160</v>
      </c>
      <c r="O69" s="63" t="s">
        <v>117</v>
      </c>
      <c r="P69" s="63" t="s">
        <v>7</v>
      </c>
      <c r="Q69" s="66" t="s">
        <v>268</v>
      </c>
      <c r="R69" s="66" t="s">
        <v>158</v>
      </c>
    </row>
    <row r="70" spans="2:18" ht="18.75" customHeight="1">
      <c r="B70" s="63" t="str">
        <f t="shared" si="1"/>
        <v>No67</v>
      </c>
      <c r="C70" s="63" t="s">
        <v>104</v>
      </c>
      <c r="D70" s="63" t="s">
        <v>256</v>
      </c>
      <c r="E70" s="101">
        <v>45796</v>
      </c>
      <c r="F70" s="65">
        <v>0.60416666666666663</v>
      </c>
      <c r="G70" s="65">
        <v>0.64583333333333337</v>
      </c>
      <c r="H70" s="65">
        <v>4.1666666666666657E-2</v>
      </c>
      <c r="I70" s="101">
        <v>45796</v>
      </c>
      <c r="J70" s="101">
        <v>45796</v>
      </c>
      <c r="K70" s="63" t="s">
        <v>45</v>
      </c>
      <c r="L70" s="63" t="s">
        <v>111</v>
      </c>
      <c r="M70" s="63"/>
      <c r="N70" s="63" t="s">
        <v>257</v>
      </c>
      <c r="O70" s="63" t="s">
        <v>122</v>
      </c>
      <c r="P70" s="63" t="s">
        <v>7</v>
      </c>
      <c r="Q70" s="66" t="s">
        <v>258</v>
      </c>
      <c r="R70" s="66" t="s">
        <v>259</v>
      </c>
    </row>
    <row r="71" spans="2:18" ht="18.75" customHeight="1">
      <c r="B71" s="63" t="str">
        <f t="shared" si="1"/>
        <v>No68</v>
      </c>
      <c r="C71" s="63" t="s">
        <v>142</v>
      </c>
      <c r="D71" s="63" t="s">
        <v>155</v>
      </c>
      <c r="E71" s="101">
        <v>45804</v>
      </c>
      <c r="F71" s="65">
        <v>0.375</v>
      </c>
      <c r="G71" s="65">
        <v>0.41666666666666669</v>
      </c>
      <c r="H71" s="65">
        <v>6.25E-2</v>
      </c>
      <c r="I71" s="101">
        <v>45804</v>
      </c>
      <c r="J71" s="101">
        <v>45805</v>
      </c>
      <c r="K71" s="63" t="s">
        <v>143</v>
      </c>
      <c r="L71" s="63" t="s">
        <v>35</v>
      </c>
      <c r="M71" s="63"/>
      <c r="N71" s="63" t="s">
        <v>269</v>
      </c>
      <c r="O71" s="63" t="s">
        <v>6</v>
      </c>
      <c r="P71" s="63" t="s">
        <v>7</v>
      </c>
      <c r="Q71" s="66" t="s">
        <v>270</v>
      </c>
      <c r="R71" s="66" t="s">
        <v>271</v>
      </c>
    </row>
    <row r="72" spans="2:18" ht="32.25" customHeight="1">
      <c r="B72" s="63" t="str">
        <f t="shared" si="1"/>
        <v>No69</v>
      </c>
      <c r="C72" s="63" t="s">
        <v>142</v>
      </c>
      <c r="D72" s="63" t="s">
        <v>155</v>
      </c>
      <c r="E72" s="101">
        <v>45804</v>
      </c>
      <c r="F72" s="65">
        <v>0.39583333333333331</v>
      </c>
      <c r="G72" s="65">
        <v>0.39930555555555558</v>
      </c>
      <c r="H72" s="65">
        <v>3.472222222222222E-3</v>
      </c>
      <c r="I72" s="101">
        <v>45804</v>
      </c>
      <c r="J72" s="101">
        <v>45804</v>
      </c>
      <c r="K72" s="63" t="s">
        <v>119</v>
      </c>
      <c r="L72" s="63" t="s">
        <v>111</v>
      </c>
      <c r="M72" s="63"/>
      <c r="N72" s="63" t="s">
        <v>272</v>
      </c>
      <c r="O72" s="63" t="s">
        <v>122</v>
      </c>
      <c r="P72" s="63" t="s">
        <v>7</v>
      </c>
      <c r="Q72" s="66" t="s">
        <v>208</v>
      </c>
      <c r="R72" s="66" t="s">
        <v>158</v>
      </c>
    </row>
    <row r="73" spans="2:18" ht="18.75" customHeight="1">
      <c r="B73" s="63" t="str">
        <f t="shared" si="1"/>
        <v>No70</v>
      </c>
      <c r="C73" s="63" t="s">
        <v>166</v>
      </c>
      <c r="D73" s="63" t="s">
        <v>155</v>
      </c>
      <c r="E73" s="101">
        <v>45804</v>
      </c>
      <c r="F73" s="65">
        <v>0.40625</v>
      </c>
      <c r="G73" s="65">
        <v>0.41319444444444442</v>
      </c>
      <c r="H73" s="65">
        <v>6.9444444444444441E-3</v>
      </c>
      <c r="I73" s="101">
        <v>45804</v>
      </c>
      <c r="J73" s="101">
        <v>45804</v>
      </c>
      <c r="K73" s="63" t="s">
        <v>95</v>
      </c>
      <c r="L73" s="63" t="s">
        <v>159</v>
      </c>
      <c r="M73" s="63"/>
      <c r="N73" s="63" t="s">
        <v>187</v>
      </c>
      <c r="O73" s="63" t="s">
        <v>122</v>
      </c>
      <c r="P73" s="63" t="s">
        <v>7</v>
      </c>
      <c r="Q73" s="66" t="s">
        <v>273</v>
      </c>
      <c r="R73" s="66" t="s">
        <v>274</v>
      </c>
    </row>
    <row r="74" spans="2:18" ht="18.75" customHeight="1">
      <c r="B74" s="63" t="str">
        <f t="shared" si="1"/>
        <v>No71</v>
      </c>
      <c r="C74" s="63" t="s">
        <v>104</v>
      </c>
      <c r="D74" s="63" t="s">
        <v>155</v>
      </c>
      <c r="E74" s="101">
        <v>45804</v>
      </c>
      <c r="F74" s="65">
        <v>0.41666666666666669</v>
      </c>
      <c r="G74" s="65">
        <v>0.58333333333333337</v>
      </c>
      <c r="H74" s="65">
        <v>1.041666666666667E-2</v>
      </c>
      <c r="I74" s="101">
        <v>45804</v>
      </c>
      <c r="J74" s="101">
        <v>45804</v>
      </c>
      <c r="K74" s="63" t="s">
        <v>45</v>
      </c>
      <c r="L74" s="63" t="s">
        <v>111</v>
      </c>
      <c r="M74" s="63"/>
      <c r="N74" s="63" t="s">
        <v>112</v>
      </c>
      <c r="O74" s="63" t="s">
        <v>117</v>
      </c>
      <c r="P74" s="63" t="s">
        <v>7</v>
      </c>
      <c r="Q74" s="66" t="s">
        <v>275</v>
      </c>
      <c r="R74" s="66" t="s">
        <v>276</v>
      </c>
    </row>
    <row r="75" spans="2:18" ht="18.75" customHeight="1">
      <c r="B75" s="63" t="str">
        <f t="shared" si="1"/>
        <v>No72</v>
      </c>
      <c r="C75" s="63" t="s">
        <v>142</v>
      </c>
      <c r="D75" s="63" t="s">
        <v>155</v>
      </c>
      <c r="E75" s="101">
        <v>45804</v>
      </c>
      <c r="F75" s="65">
        <v>0.42708333333333331</v>
      </c>
      <c r="G75" s="65">
        <v>0.43055555555555558</v>
      </c>
      <c r="H75" s="65">
        <v>3.472222222222222E-3</v>
      </c>
      <c r="I75" s="101">
        <v>45804</v>
      </c>
      <c r="J75" s="101">
        <v>45804</v>
      </c>
      <c r="K75" s="63" t="s">
        <v>20</v>
      </c>
      <c r="L75" s="63" t="s">
        <v>41</v>
      </c>
      <c r="M75" s="63"/>
      <c r="N75" s="63" t="s">
        <v>277</v>
      </c>
      <c r="O75" s="63" t="s">
        <v>6</v>
      </c>
      <c r="P75" s="63" t="s">
        <v>7</v>
      </c>
      <c r="Q75" s="66" t="s">
        <v>278</v>
      </c>
      <c r="R75" s="66" t="s">
        <v>279</v>
      </c>
    </row>
    <row r="76" spans="2:18" ht="18.75" customHeight="1">
      <c r="B76" s="63" t="str">
        <f t="shared" si="1"/>
        <v>No73</v>
      </c>
      <c r="C76" s="63" t="s">
        <v>166</v>
      </c>
      <c r="D76" s="63" t="s">
        <v>155</v>
      </c>
      <c r="E76" s="101">
        <v>45804</v>
      </c>
      <c r="F76" s="65">
        <v>0.4375</v>
      </c>
      <c r="G76" s="65">
        <v>0.66666666666666663</v>
      </c>
      <c r="H76" s="65">
        <v>2.0833333333333329E-2</v>
      </c>
      <c r="I76" s="101">
        <v>45804</v>
      </c>
      <c r="J76" s="101">
        <v>45804</v>
      </c>
      <c r="K76" s="63" t="s">
        <v>20</v>
      </c>
      <c r="L76" s="63" t="s">
        <v>35</v>
      </c>
      <c r="M76" s="63"/>
      <c r="N76" s="63" t="s">
        <v>280</v>
      </c>
      <c r="O76" s="63" t="s">
        <v>122</v>
      </c>
      <c r="P76" s="63" t="s">
        <v>7</v>
      </c>
      <c r="Q76" s="66" t="s">
        <v>281</v>
      </c>
      <c r="R76" s="66" t="s">
        <v>282</v>
      </c>
    </row>
    <row r="77" spans="2:18" ht="18.75" customHeight="1">
      <c r="B77" s="63" t="str">
        <f t="shared" si="1"/>
        <v>No74</v>
      </c>
      <c r="C77" s="63" t="s">
        <v>186</v>
      </c>
      <c r="D77" s="63" t="s">
        <v>155</v>
      </c>
      <c r="E77" s="101">
        <v>45804</v>
      </c>
      <c r="F77" s="65">
        <v>0.47916666666666669</v>
      </c>
      <c r="G77" s="65">
        <v>0.54166666666666663</v>
      </c>
      <c r="H77" s="65">
        <v>6.9444444444444441E-3</v>
      </c>
      <c r="I77" s="101">
        <v>45804</v>
      </c>
      <c r="J77" s="101">
        <v>45804</v>
      </c>
      <c r="K77" s="63" t="s">
        <v>283</v>
      </c>
      <c r="L77" s="63" t="s">
        <v>111</v>
      </c>
      <c r="M77" s="63"/>
      <c r="N77" s="63" t="s">
        <v>173</v>
      </c>
      <c r="O77" s="63" t="s">
        <v>122</v>
      </c>
      <c r="P77" s="63" t="s">
        <v>7</v>
      </c>
      <c r="Q77" s="66" t="s">
        <v>284</v>
      </c>
      <c r="R77" s="66" t="s">
        <v>285</v>
      </c>
    </row>
    <row r="78" spans="2:18" ht="18.75" customHeight="1">
      <c r="B78" s="63" t="str">
        <f t="shared" si="1"/>
        <v>No75</v>
      </c>
      <c r="C78" s="63" t="s">
        <v>166</v>
      </c>
      <c r="D78" s="63" t="s">
        <v>155</v>
      </c>
      <c r="E78" s="101">
        <v>45804</v>
      </c>
      <c r="F78" s="65">
        <v>0.49652777777777779</v>
      </c>
      <c r="G78" s="65">
        <v>0.70833333333333337</v>
      </c>
      <c r="H78" s="65">
        <v>8.3333333333333329E-2</v>
      </c>
      <c r="I78" s="101">
        <v>45804</v>
      </c>
      <c r="J78" s="101">
        <v>45804</v>
      </c>
      <c r="K78" s="63" t="s">
        <v>45</v>
      </c>
      <c r="L78" s="63" t="s">
        <v>77</v>
      </c>
      <c r="M78" s="63"/>
      <c r="N78" s="63" t="s">
        <v>140</v>
      </c>
      <c r="O78" s="63" t="s">
        <v>122</v>
      </c>
      <c r="P78" s="63" t="s">
        <v>7</v>
      </c>
      <c r="Q78" s="66" t="s">
        <v>286</v>
      </c>
      <c r="R78" s="66" t="s">
        <v>287</v>
      </c>
    </row>
    <row r="79" spans="2:18" ht="35.25" customHeight="1">
      <c r="B79" s="63" t="str">
        <f t="shared" si="1"/>
        <v>No76</v>
      </c>
      <c r="C79" s="63" t="s">
        <v>142</v>
      </c>
      <c r="D79" s="63" t="s">
        <v>155</v>
      </c>
      <c r="E79" s="101">
        <v>45804</v>
      </c>
      <c r="F79" s="65">
        <v>0.5625</v>
      </c>
      <c r="G79" s="65">
        <v>0.61458333333333337</v>
      </c>
      <c r="H79" s="65">
        <v>3.472222222222222E-3</v>
      </c>
      <c r="I79" s="101">
        <v>45804</v>
      </c>
      <c r="J79" s="101">
        <v>45804</v>
      </c>
      <c r="K79" s="63" t="s">
        <v>95</v>
      </c>
      <c r="L79" s="63" t="s">
        <v>159</v>
      </c>
      <c r="M79" s="63"/>
      <c r="N79" s="63" t="s">
        <v>288</v>
      </c>
      <c r="O79" s="63" t="s">
        <v>122</v>
      </c>
      <c r="P79" s="63" t="s">
        <v>7</v>
      </c>
      <c r="Q79" s="66" t="s">
        <v>179</v>
      </c>
      <c r="R79" s="66" t="s">
        <v>158</v>
      </c>
    </row>
    <row r="80" spans="2:18" ht="18.75" customHeight="1">
      <c r="B80" s="63" t="str">
        <f t="shared" si="1"/>
        <v>No77</v>
      </c>
      <c r="C80" s="63" t="s">
        <v>142</v>
      </c>
      <c r="D80" s="63" t="s">
        <v>155</v>
      </c>
      <c r="E80" s="101">
        <v>45804</v>
      </c>
      <c r="F80" s="65">
        <v>0.64583333333333337</v>
      </c>
      <c r="G80" s="65">
        <v>0.5</v>
      </c>
      <c r="H80" s="65">
        <v>4.1666666666666657E-2</v>
      </c>
      <c r="I80" s="101">
        <v>45806</v>
      </c>
      <c r="J80" s="101">
        <v>45806</v>
      </c>
      <c r="K80" s="63" t="s">
        <v>20</v>
      </c>
      <c r="L80" s="63" t="s">
        <v>77</v>
      </c>
      <c r="M80" s="63"/>
      <c r="N80" s="63" t="s">
        <v>289</v>
      </c>
      <c r="O80" s="63" t="s">
        <v>6</v>
      </c>
      <c r="P80" s="63" t="s">
        <v>7</v>
      </c>
      <c r="Q80" s="66" t="s">
        <v>290</v>
      </c>
      <c r="R80" s="66" t="s">
        <v>291</v>
      </c>
    </row>
    <row r="81" spans="2:18" ht="18.75" customHeight="1">
      <c r="B81" s="63" t="str">
        <f t="shared" si="1"/>
        <v>No78</v>
      </c>
      <c r="C81" s="63" t="s">
        <v>104</v>
      </c>
      <c r="D81" s="63" t="s">
        <v>155</v>
      </c>
      <c r="E81" s="101">
        <v>45805</v>
      </c>
      <c r="F81" s="65">
        <v>0.36458333333333331</v>
      </c>
      <c r="G81" s="65">
        <v>0.37152777777777779</v>
      </c>
      <c r="H81" s="65">
        <v>6.9444444444444441E-3</v>
      </c>
      <c r="I81" s="101">
        <v>45805</v>
      </c>
      <c r="J81" s="101">
        <v>45805</v>
      </c>
      <c r="K81" s="63" t="s">
        <v>20</v>
      </c>
      <c r="L81" s="63" t="s">
        <v>41</v>
      </c>
      <c r="M81" s="63"/>
      <c r="N81" s="63" t="s">
        <v>292</v>
      </c>
      <c r="O81" s="63" t="s">
        <v>6</v>
      </c>
      <c r="P81" s="63" t="s">
        <v>7</v>
      </c>
      <c r="Q81" s="66" t="s">
        <v>161</v>
      </c>
      <c r="R81" s="66" t="s">
        <v>162</v>
      </c>
    </row>
    <row r="82" spans="2:18" ht="18.75" customHeight="1">
      <c r="B82" s="63" t="str">
        <f t="shared" si="1"/>
        <v>No79</v>
      </c>
      <c r="C82" s="63" t="s">
        <v>186</v>
      </c>
      <c r="D82" s="63" t="s">
        <v>155</v>
      </c>
      <c r="E82" s="101">
        <v>45805</v>
      </c>
      <c r="F82" s="65">
        <v>0.4375</v>
      </c>
      <c r="G82" s="65">
        <v>0.45833333333333331</v>
      </c>
      <c r="H82" s="65">
        <v>1.041666666666667E-2</v>
      </c>
      <c r="I82" s="101">
        <v>45805</v>
      </c>
      <c r="J82" s="101">
        <v>45805</v>
      </c>
      <c r="K82" s="63" t="s">
        <v>45</v>
      </c>
      <c r="L82" s="63" t="s">
        <v>159</v>
      </c>
      <c r="M82" s="63"/>
      <c r="N82" s="63" t="s">
        <v>187</v>
      </c>
      <c r="O82" s="63" t="s">
        <v>6</v>
      </c>
      <c r="P82" s="63" t="s">
        <v>7</v>
      </c>
      <c r="Q82" s="66" t="s">
        <v>293</v>
      </c>
      <c r="R82" s="66" t="s">
        <v>294</v>
      </c>
    </row>
    <row r="83" spans="2:18" ht="29.25" customHeight="1">
      <c r="B83" s="63" t="str">
        <f t="shared" si="1"/>
        <v>No80</v>
      </c>
      <c r="C83" s="63" t="s">
        <v>142</v>
      </c>
      <c r="D83" s="63" t="s">
        <v>155</v>
      </c>
      <c r="E83" s="101">
        <v>45805</v>
      </c>
      <c r="F83" s="65">
        <v>0.46875</v>
      </c>
      <c r="G83" s="65">
        <v>0.47916666666666669</v>
      </c>
      <c r="H83" s="65">
        <v>6.9444444444444441E-3</v>
      </c>
      <c r="I83" s="101">
        <v>45805</v>
      </c>
      <c r="J83" s="101">
        <v>45805</v>
      </c>
      <c r="K83" s="63" t="s">
        <v>119</v>
      </c>
      <c r="L83" s="63" t="s">
        <v>159</v>
      </c>
      <c r="M83" s="63"/>
      <c r="N83" s="63" t="s">
        <v>160</v>
      </c>
      <c r="O83" s="63" t="s">
        <v>122</v>
      </c>
      <c r="P83" s="63" t="s">
        <v>7</v>
      </c>
      <c r="Q83" s="66" t="s">
        <v>179</v>
      </c>
      <c r="R83" s="66" t="s">
        <v>158</v>
      </c>
    </row>
    <row r="84" spans="2:18" ht="18.75" customHeight="1">
      <c r="B84" s="63" t="str">
        <f t="shared" si="1"/>
        <v>No81</v>
      </c>
      <c r="C84" s="63" t="s">
        <v>142</v>
      </c>
      <c r="D84" s="63" t="s">
        <v>4</v>
      </c>
      <c r="E84" s="101">
        <v>45806</v>
      </c>
      <c r="F84" s="65">
        <v>0.54166666666666663</v>
      </c>
      <c r="G84" s="65">
        <v>0.54861111111111116</v>
      </c>
      <c r="H84" s="65">
        <v>6.9444444444444441E-3</v>
      </c>
      <c r="I84" s="101">
        <v>45806</v>
      </c>
      <c r="J84" s="101">
        <v>45806</v>
      </c>
      <c r="K84" s="63" t="s">
        <v>95</v>
      </c>
      <c r="L84" s="63" t="s">
        <v>35</v>
      </c>
      <c r="M84" s="63"/>
      <c r="N84" s="63" t="s">
        <v>280</v>
      </c>
      <c r="O84" s="63" t="s">
        <v>6</v>
      </c>
      <c r="P84" s="63" t="s">
        <v>7</v>
      </c>
      <c r="Q84" s="66" t="s">
        <v>300</v>
      </c>
      <c r="R84" s="66" t="s">
        <v>301</v>
      </c>
    </row>
    <row r="85" spans="2:18" ht="18.75" customHeight="1">
      <c r="B85" s="63" t="str">
        <f t="shared" si="1"/>
        <v>No82</v>
      </c>
      <c r="C85" s="63" t="s">
        <v>142</v>
      </c>
      <c r="D85" s="63" t="s">
        <v>4</v>
      </c>
      <c r="E85" s="101">
        <v>45806</v>
      </c>
      <c r="F85" s="65">
        <v>0.66666666666666663</v>
      </c>
      <c r="G85" s="65">
        <v>0.68055555555555558</v>
      </c>
      <c r="H85" s="65">
        <v>1.388888888888889E-2</v>
      </c>
      <c r="I85" s="101">
        <v>45806</v>
      </c>
      <c r="J85" s="101">
        <v>45806</v>
      </c>
      <c r="K85" s="63" t="s">
        <v>20</v>
      </c>
      <c r="L85" s="63" t="s">
        <v>111</v>
      </c>
      <c r="M85" s="63"/>
      <c r="N85" s="63" t="s">
        <v>112</v>
      </c>
      <c r="O85" s="63" t="s">
        <v>6</v>
      </c>
      <c r="P85" s="63" t="s">
        <v>7</v>
      </c>
      <c r="Q85" s="66" t="s">
        <v>302</v>
      </c>
      <c r="R85" s="66" t="s">
        <v>303</v>
      </c>
    </row>
    <row r="86" spans="2:18" ht="45" customHeight="1">
      <c r="B86" s="63" t="str">
        <f t="shared" si="1"/>
        <v>No83</v>
      </c>
      <c r="C86" s="63" t="s">
        <v>142</v>
      </c>
      <c r="D86" s="63" t="s">
        <v>4</v>
      </c>
      <c r="E86" s="101">
        <v>45806</v>
      </c>
      <c r="F86" s="65">
        <v>0.375</v>
      </c>
      <c r="G86" s="65">
        <v>0.3888888888888889</v>
      </c>
      <c r="H86" s="65">
        <v>1.388888888888889E-2</v>
      </c>
      <c r="I86" s="101">
        <v>45806</v>
      </c>
      <c r="J86" s="101">
        <v>45806</v>
      </c>
      <c r="K86" s="63" t="s">
        <v>20</v>
      </c>
      <c r="L86" s="63" t="s">
        <v>35</v>
      </c>
      <c r="M86" s="63"/>
      <c r="N86" s="63" t="s">
        <v>269</v>
      </c>
      <c r="O86" s="63" t="s">
        <v>6</v>
      </c>
      <c r="P86" s="63" t="s">
        <v>7</v>
      </c>
      <c r="Q86" s="66" t="s">
        <v>295</v>
      </c>
      <c r="R86" s="66" t="s">
        <v>296</v>
      </c>
    </row>
    <row r="87" spans="2:18" ht="45" customHeight="1">
      <c r="B87" s="63" t="str">
        <f t="shared" si="1"/>
        <v>No84</v>
      </c>
      <c r="C87" s="63" t="s">
        <v>142</v>
      </c>
      <c r="D87" s="63" t="s">
        <v>4</v>
      </c>
      <c r="E87" s="101">
        <v>45806</v>
      </c>
      <c r="F87" s="65">
        <v>0.45833333333333331</v>
      </c>
      <c r="G87" s="65">
        <v>0.5</v>
      </c>
      <c r="H87" s="65">
        <v>4.1666666666666657E-2</v>
      </c>
      <c r="I87" s="101">
        <v>45806</v>
      </c>
      <c r="J87" s="101">
        <v>45806</v>
      </c>
      <c r="K87" s="63" t="s">
        <v>20</v>
      </c>
      <c r="L87" s="63" t="s">
        <v>21</v>
      </c>
      <c r="M87" s="63"/>
      <c r="N87" s="63" t="s">
        <v>297</v>
      </c>
      <c r="O87" s="63" t="s">
        <v>6</v>
      </c>
      <c r="P87" s="63" t="s">
        <v>7</v>
      </c>
      <c r="Q87" s="66" t="s">
        <v>298</v>
      </c>
      <c r="R87" s="66" t="s">
        <v>299</v>
      </c>
    </row>
    <row r="88" spans="2:18" ht="45" customHeight="1">
      <c r="B88" s="63" t="str">
        <f t="shared" si="1"/>
        <v>No85</v>
      </c>
      <c r="C88" s="63" t="s">
        <v>142</v>
      </c>
      <c r="D88" s="63" t="s">
        <v>155</v>
      </c>
      <c r="E88" s="101">
        <v>45806</v>
      </c>
      <c r="F88" s="65">
        <v>0.55555555555555558</v>
      </c>
      <c r="G88" s="65">
        <v>0.5625</v>
      </c>
      <c r="H88" s="65">
        <v>6.9444444444444441E-3</v>
      </c>
      <c r="I88" s="101">
        <v>45806</v>
      </c>
      <c r="J88" s="101">
        <v>45806</v>
      </c>
      <c r="K88" s="63" t="s">
        <v>119</v>
      </c>
      <c r="L88" s="63" t="s">
        <v>111</v>
      </c>
      <c r="M88" s="63"/>
      <c r="N88" s="63" t="s">
        <v>215</v>
      </c>
      <c r="O88" s="63" t="s">
        <v>122</v>
      </c>
      <c r="P88" s="63" t="s">
        <v>7</v>
      </c>
      <c r="Q88" s="66" t="s">
        <v>246</v>
      </c>
      <c r="R88" s="66" t="s">
        <v>158</v>
      </c>
    </row>
    <row r="89" spans="2:18" ht="45" customHeight="1">
      <c r="B89" s="63" t="str">
        <f t="shared" si="1"/>
        <v>No86</v>
      </c>
      <c r="C89" s="63" t="s">
        <v>142</v>
      </c>
      <c r="D89" s="63" t="s">
        <v>155</v>
      </c>
      <c r="E89" s="101">
        <v>45806</v>
      </c>
      <c r="F89" s="65">
        <v>0.66666666666666663</v>
      </c>
      <c r="G89" s="65">
        <v>0.68055555555555558</v>
      </c>
      <c r="H89" s="65">
        <v>6.9444444444444441E-3</v>
      </c>
      <c r="I89" s="101">
        <v>45806</v>
      </c>
      <c r="J89" s="101">
        <v>45806</v>
      </c>
      <c r="K89" s="63" t="s">
        <v>119</v>
      </c>
      <c r="L89" s="63" t="s">
        <v>159</v>
      </c>
      <c r="M89" s="63"/>
      <c r="N89" s="63" t="s">
        <v>160</v>
      </c>
      <c r="O89" s="63" t="s">
        <v>122</v>
      </c>
      <c r="P89" s="63" t="s">
        <v>7</v>
      </c>
      <c r="Q89" s="66" t="s">
        <v>179</v>
      </c>
      <c r="R89" s="66" t="s">
        <v>158</v>
      </c>
    </row>
    <row r="90" spans="2:18" ht="45" customHeight="1">
      <c r="B90" s="63" t="str">
        <f t="shared" si="1"/>
        <v>No87</v>
      </c>
      <c r="C90" s="63" t="s">
        <v>142</v>
      </c>
      <c r="D90" s="63" t="s">
        <v>155</v>
      </c>
      <c r="E90" s="101">
        <v>45806</v>
      </c>
      <c r="F90" s="65">
        <v>0.72222222222222221</v>
      </c>
      <c r="G90" s="65">
        <v>0.73263888888888884</v>
      </c>
      <c r="H90" s="65">
        <v>1.041666666666667E-2</v>
      </c>
      <c r="I90" s="101">
        <v>45806</v>
      </c>
      <c r="J90" s="101">
        <v>45806</v>
      </c>
      <c r="K90" s="63" t="s">
        <v>119</v>
      </c>
      <c r="L90" s="63" t="s">
        <v>111</v>
      </c>
      <c r="M90" s="63"/>
      <c r="N90" s="63" t="s">
        <v>201</v>
      </c>
      <c r="O90" s="63" t="s">
        <v>122</v>
      </c>
      <c r="P90" s="63" t="s">
        <v>7</v>
      </c>
      <c r="Q90" s="66" t="s">
        <v>246</v>
      </c>
      <c r="R90" s="66" t="s">
        <v>158</v>
      </c>
    </row>
    <row r="91" spans="2:18" ht="48.75" customHeight="1">
      <c r="B91" s="63" t="str">
        <f t="shared" si="1"/>
        <v>No88</v>
      </c>
      <c r="C91" s="63" t="s">
        <v>142</v>
      </c>
      <c r="D91" s="63" t="s">
        <v>304</v>
      </c>
      <c r="E91" s="101">
        <v>45807</v>
      </c>
      <c r="F91" s="65">
        <v>0.375</v>
      </c>
      <c r="G91" s="65">
        <v>0.71527777777777779</v>
      </c>
      <c r="H91" s="65">
        <v>4.1666666666666657E-2</v>
      </c>
      <c r="I91" s="101">
        <v>45807</v>
      </c>
      <c r="J91" s="101">
        <v>45807</v>
      </c>
      <c r="K91" s="63" t="s">
        <v>119</v>
      </c>
      <c r="L91" s="63" t="s">
        <v>77</v>
      </c>
      <c r="M91" s="63"/>
      <c r="N91" s="63" t="s">
        <v>99</v>
      </c>
      <c r="O91" s="63" t="s">
        <v>117</v>
      </c>
      <c r="P91" s="63" t="s">
        <v>7</v>
      </c>
      <c r="Q91" s="66" t="s">
        <v>305</v>
      </c>
      <c r="R91" s="66" t="s">
        <v>158</v>
      </c>
    </row>
    <row r="92" spans="2:18" ht="18.75" customHeight="1">
      <c r="B92" s="63" t="str">
        <f t="shared" si="1"/>
        <v>No89</v>
      </c>
      <c r="C92" s="63" t="s">
        <v>142</v>
      </c>
      <c r="D92" s="63" t="s">
        <v>4</v>
      </c>
      <c r="E92" s="101">
        <v>45810</v>
      </c>
      <c r="F92" s="65">
        <v>0.41666666666666669</v>
      </c>
      <c r="G92" s="65">
        <v>0.42708333333333331</v>
      </c>
      <c r="H92" s="65">
        <v>1.041666666666667E-2</v>
      </c>
      <c r="I92" s="101">
        <v>45810</v>
      </c>
      <c r="J92" s="101">
        <v>45810</v>
      </c>
      <c r="K92" s="63" t="s">
        <v>20</v>
      </c>
      <c r="L92" s="63" t="s">
        <v>159</v>
      </c>
      <c r="M92" s="63"/>
      <c r="N92" s="63" t="s">
        <v>314</v>
      </c>
      <c r="O92" s="63" t="s">
        <v>6</v>
      </c>
      <c r="P92" s="63" t="s">
        <v>7</v>
      </c>
      <c r="Q92" s="66" t="s">
        <v>315</v>
      </c>
      <c r="R92" s="66" t="s">
        <v>316</v>
      </c>
    </row>
    <row r="93" spans="2:18" ht="18.75" customHeight="1">
      <c r="B93" s="63" t="str">
        <f t="shared" si="1"/>
        <v>No90</v>
      </c>
      <c r="C93" s="63" t="s">
        <v>186</v>
      </c>
      <c r="D93" s="63" t="s">
        <v>196</v>
      </c>
      <c r="E93" s="101">
        <v>45810</v>
      </c>
      <c r="F93" s="65">
        <v>0.61458333333333337</v>
      </c>
      <c r="G93" s="65">
        <v>0.66666666666666663</v>
      </c>
      <c r="H93" s="65">
        <v>1.041666666666667E-2</v>
      </c>
      <c r="I93" s="101">
        <v>45810</v>
      </c>
      <c r="J93" s="101">
        <v>45810</v>
      </c>
      <c r="K93" s="63" t="s">
        <v>143</v>
      </c>
      <c r="L93" s="63" t="s">
        <v>21</v>
      </c>
      <c r="M93" s="63"/>
      <c r="N93" s="63" t="s">
        <v>136</v>
      </c>
      <c r="O93" s="63" t="s">
        <v>6</v>
      </c>
      <c r="P93" s="63" t="s">
        <v>7</v>
      </c>
      <c r="Q93" s="66" t="s">
        <v>323</v>
      </c>
      <c r="R93" s="66" t="s">
        <v>324</v>
      </c>
    </row>
    <row r="94" spans="2:18" ht="27" customHeight="1">
      <c r="B94" s="63" t="str">
        <f t="shared" si="1"/>
        <v>No91</v>
      </c>
      <c r="C94" s="63" t="s">
        <v>142</v>
      </c>
      <c r="D94" s="63" t="s">
        <v>116</v>
      </c>
      <c r="E94" s="101">
        <v>45813</v>
      </c>
      <c r="F94" s="65">
        <v>0.40277777777777779</v>
      </c>
      <c r="G94" s="65">
        <v>0.40625</v>
      </c>
      <c r="H94" s="65">
        <v>3.472222222222222E-3</v>
      </c>
      <c r="I94" s="101" t="s">
        <v>121</v>
      </c>
      <c r="J94" s="101">
        <v>45813</v>
      </c>
      <c r="K94" s="63" t="s">
        <v>119</v>
      </c>
      <c r="L94" s="63" t="s">
        <v>111</v>
      </c>
      <c r="M94" s="63"/>
      <c r="N94" s="63" t="s">
        <v>229</v>
      </c>
      <c r="O94" s="63" t="s">
        <v>122</v>
      </c>
      <c r="P94" s="63" t="s">
        <v>7</v>
      </c>
      <c r="Q94" s="66" t="s">
        <v>208</v>
      </c>
      <c r="R94" s="66" t="s">
        <v>158</v>
      </c>
    </row>
    <row r="95" spans="2:18" ht="27" customHeight="1">
      <c r="B95" s="63" t="str">
        <f t="shared" si="1"/>
        <v>No92</v>
      </c>
      <c r="C95" s="63" t="s">
        <v>142</v>
      </c>
      <c r="D95" s="63" t="s">
        <v>155</v>
      </c>
      <c r="E95" s="101">
        <v>45810</v>
      </c>
      <c r="F95" s="65">
        <v>0.375</v>
      </c>
      <c r="G95" s="65">
        <v>0.38194444444444442</v>
      </c>
      <c r="H95" s="65">
        <v>6.9444444444444441E-3</v>
      </c>
      <c r="I95" s="101">
        <v>45810</v>
      </c>
      <c r="J95" s="101">
        <v>45810</v>
      </c>
      <c r="K95" s="63" t="s">
        <v>20</v>
      </c>
      <c r="L95" s="63" t="s">
        <v>77</v>
      </c>
      <c r="M95" s="63"/>
      <c r="N95" s="63" t="s">
        <v>99</v>
      </c>
      <c r="O95" s="63" t="s">
        <v>6</v>
      </c>
      <c r="P95" s="63" t="s">
        <v>7</v>
      </c>
      <c r="Q95" s="66" t="s">
        <v>308</v>
      </c>
      <c r="R95" s="66" t="s">
        <v>309</v>
      </c>
    </row>
    <row r="96" spans="2:18" ht="18.75" customHeight="1">
      <c r="B96" s="63" t="str">
        <f t="shared" si="1"/>
        <v>No93</v>
      </c>
      <c r="C96" s="63" t="s">
        <v>104</v>
      </c>
      <c r="D96" s="63" t="s">
        <v>256</v>
      </c>
      <c r="E96" s="101">
        <v>45810</v>
      </c>
      <c r="F96" s="65">
        <v>0.41249999999999998</v>
      </c>
      <c r="G96" s="65">
        <v>0.4375</v>
      </c>
      <c r="H96" s="65">
        <v>2.5000000000000001E-2</v>
      </c>
      <c r="I96" s="101" t="s">
        <v>121</v>
      </c>
      <c r="J96" s="101" t="s">
        <v>121</v>
      </c>
      <c r="K96" s="63" t="s">
        <v>310</v>
      </c>
      <c r="L96" s="63" t="s">
        <v>311</v>
      </c>
      <c r="M96" s="63"/>
      <c r="N96" s="63" t="s">
        <v>245</v>
      </c>
      <c r="O96" s="63" t="s">
        <v>117</v>
      </c>
      <c r="P96" s="63" t="s">
        <v>7</v>
      </c>
      <c r="Q96" s="66" t="s">
        <v>312</v>
      </c>
      <c r="R96" s="66" t="s">
        <v>313</v>
      </c>
    </row>
    <row r="97" spans="2:18" ht="18.75" customHeight="1">
      <c r="B97" s="63" t="str">
        <f t="shared" si="1"/>
        <v>No94</v>
      </c>
      <c r="C97" s="63" t="s">
        <v>142</v>
      </c>
      <c r="D97" s="63" t="s">
        <v>4</v>
      </c>
      <c r="E97" s="101">
        <v>45811</v>
      </c>
      <c r="F97" s="65">
        <v>0.54166666666666663</v>
      </c>
      <c r="G97" s="65">
        <v>0.55902777777777779</v>
      </c>
      <c r="H97" s="65">
        <v>1.7361111111111108E-2</v>
      </c>
      <c r="I97" s="101">
        <v>45811</v>
      </c>
      <c r="J97" s="101">
        <v>45811</v>
      </c>
      <c r="K97" s="63" t="s">
        <v>95</v>
      </c>
      <c r="L97" s="63" t="s">
        <v>176</v>
      </c>
      <c r="M97" s="63"/>
      <c r="N97" s="63" t="s">
        <v>332</v>
      </c>
      <c r="O97" s="63" t="s">
        <v>6</v>
      </c>
      <c r="P97" s="63" t="s">
        <v>7</v>
      </c>
      <c r="Q97" s="66" t="s">
        <v>333</v>
      </c>
      <c r="R97" s="66" t="s">
        <v>334</v>
      </c>
    </row>
    <row r="98" spans="2:18" ht="29.25" customHeight="1">
      <c r="B98" s="63" t="str">
        <f t="shared" si="1"/>
        <v>No95</v>
      </c>
      <c r="C98" s="63" t="s">
        <v>142</v>
      </c>
      <c r="D98" s="63" t="s">
        <v>155</v>
      </c>
      <c r="E98" s="101">
        <v>45810</v>
      </c>
      <c r="F98" s="65">
        <v>0.54166666666666663</v>
      </c>
      <c r="G98" s="65">
        <v>0.55902777777777779</v>
      </c>
      <c r="H98" s="65">
        <v>6.9444444444444441E-3</v>
      </c>
      <c r="I98" s="101">
        <v>45810</v>
      </c>
      <c r="J98" s="101">
        <v>45810</v>
      </c>
      <c r="K98" s="63" t="s">
        <v>119</v>
      </c>
      <c r="L98" s="63" t="s">
        <v>77</v>
      </c>
      <c r="M98" s="63"/>
      <c r="N98" s="63" t="s">
        <v>321</v>
      </c>
      <c r="O98" s="63" t="s">
        <v>122</v>
      </c>
      <c r="P98" s="63" t="s">
        <v>7</v>
      </c>
      <c r="Q98" s="66" t="s">
        <v>322</v>
      </c>
      <c r="R98" s="66" t="s">
        <v>158</v>
      </c>
    </row>
    <row r="99" spans="2:18" ht="18.75" customHeight="1">
      <c r="B99" s="63" t="str">
        <f t="shared" si="1"/>
        <v>No96</v>
      </c>
      <c r="C99" s="63" t="s">
        <v>104</v>
      </c>
      <c r="D99" s="63" t="s">
        <v>116</v>
      </c>
      <c r="E99" s="101">
        <v>45810</v>
      </c>
      <c r="F99" s="65">
        <v>0.44444444444444442</v>
      </c>
      <c r="G99" s="65">
        <v>0.46527777777777779</v>
      </c>
      <c r="H99" s="65">
        <v>2.0833333333333329E-2</v>
      </c>
      <c r="I99" s="101" t="s">
        <v>121</v>
      </c>
      <c r="J99" s="101">
        <v>45810</v>
      </c>
      <c r="K99" s="63" t="s">
        <v>249</v>
      </c>
      <c r="L99" s="63" t="s">
        <v>176</v>
      </c>
      <c r="M99" s="63"/>
      <c r="N99" s="63" t="s">
        <v>156</v>
      </c>
      <c r="O99" s="63" t="s">
        <v>6</v>
      </c>
      <c r="P99" s="63" t="s">
        <v>7</v>
      </c>
      <c r="Q99" s="66" t="s">
        <v>319</v>
      </c>
      <c r="R99" s="66" t="s">
        <v>320</v>
      </c>
    </row>
    <row r="100" spans="2:18" ht="18.75" customHeight="1">
      <c r="B100" s="63" t="str">
        <f t="shared" si="1"/>
        <v>No97</v>
      </c>
      <c r="C100" s="63" t="s">
        <v>104</v>
      </c>
      <c r="D100" s="63" t="s">
        <v>155</v>
      </c>
      <c r="E100" s="101">
        <v>45812</v>
      </c>
      <c r="F100" s="65">
        <v>0.40277777777777779</v>
      </c>
      <c r="G100" s="65">
        <v>0.45833333333333331</v>
      </c>
      <c r="H100" s="65">
        <v>5.5555555555555552E-2</v>
      </c>
      <c r="I100" s="101">
        <v>45812</v>
      </c>
      <c r="J100" s="101">
        <v>45812</v>
      </c>
      <c r="K100" s="63" t="s">
        <v>20</v>
      </c>
      <c r="L100" s="63" t="s">
        <v>159</v>
      </c>
      <c r="M100" s="63"/>
      <c r="N100" s="63" t="s">
        <v>339</v>
      </c>
      <c r="O100" s="63" t="s">
        <v>117</v>
      </c>
      <c r="P100" s="63" t="s">
        <v>7</v>
      </c>
      <c r="Q100" s="66" t="s">
        <v>340</v>
      </c>
      <c r="R100" s="66" t="s">
        <v>341</v>
      </c>
    </row>
    <row r="101" spans="2:18" ht="18.75" customHeight="1">
      <c r="B101" s="63" t="str">
        <f t="shared" si="1"/>
        <v>No98</v>
      </c>
      <c r="C101" s="63" t="s">
        <v>186</v>
      </c>
      <c r="D101" s="63" t="s">
        <v>155</v>
      </c>
      <c r="E101" s="101">
        <v>45811</v>
      </c>
      <c r="F101" s="65">
        <v>0.54166666666666663</v>
      </c>
      <c r="G101" s="65">
        <v>0.55555555555555558</v>
      </c>
      <c r="H101" s="65">
        <v>1.388888888888889E-2</v>
      </c>
      <c r="I101" s="101">
        <v>45811</v>
      </c>
      <c r="J101" s="101">
        <v>45811</v>
      </c>
      <c r="K101" s="63" t="s">
        <v>143</v>
      </c>
      <c r="L101" s="63" t="s">
        <v>35</v>
      </c>
      <c r="M101" s="63"/>
      <c r="N101" s="63" t="s">
        <v>329</v>
      </c>
      <c r="O101" s="63" t="s">
        <v>122</v>
      </c>
      <c r="P101" s="63" t="s">
        <v>7</v>
      </c>
      <c r="Q101" s="66" t="s">
        <v>330</v>
      </c>
      <c r="R101" s="66" t="s">
        <v>331</v>
      </c>
    </row>
    <row r="102" spans="2:18" ht="23.25" customHeight="1">
      <c r="B102" s="63" t="str">
        <f t="shared" si="1"/>
        <v>No99</v>
      </c>
      <c r="C102" s="63" t="s">
        <v>142</v>
      </c>
      <c r="D102" s="63" t="s">
        <v>155</v>
      </c>
      <c r="E102" s="101">
        <v>45811</v>
      </c>
      <c r="F102" s="65">
        <v>0.46875</v>
      </c>
      <c r="G102" s="65">
        <v>0.55902777777777779</v>
      </c>
      <c r="H102" s="65">
        <v>6.9444444444444441E-3</v>
      </c>
      <c r="I102" s="101">
        <v>45811</v>
      </c>
      <c r="J102" s="101">
        <v>45811</v>
      </c>
      <c r="K102" s="63" t="s">
        <v>119</v>
      </c>
      <c r="L102" s="63" t="s">
        <v>111</v>
      </c>
      <c r="M102" s="63"/>
      <c r="N102" s="63" t="s">
        <v>187</v>
      </c>
      <c r="O102" s="63" t="s">
        <v>122</v>
      </c>
      <c r="P102" s="63" t="s">
        <v>7</v>
      </c>
      <c r="Q102" s="66" t="s">
        <v>179</v>
      </c>
      <c r="R102" s="66" t="s">
        <v>158</v>
      </c>
    </row>
    <row r="103" spans="2:18" ht="23.25" customHeight="1">
      <c r="B103" s="63" t="str">
        <f t="shared" si="1"/>
        <v>No100</v>
      </c>
      <c r="C103" s="63" t="s">
        <v>142</v>
      </c>
      <c r="D103" s="63" t="s">
        <v>155</v>
      </c>
      <c r="E103" s="101">
        <v>45811</v>
      </c>
      <c r="F103" s="65">
        <v>0.40277777777777779</v>
      </c>
      <c r="G103" s="65">
        <v>0.47916666666666669</v>
      </c>
      <c r="H103" s="65">
        <v>1.041666666666667E-2</v>
      </c>
      <c r="I103" s="101">
        <v>45811</v>
      </c>
      <c r="J103" s="101">
        <v>45811</v>
      </c>
      <c r="K103" s="63" t="s">
        <v>119</v>
      </c>
      <c r="L103" s="63" t="s">
        <v>77</v>
      </c>
      <c r="M103" s="63"/>
      <c r="N103" s="63" t="s">
        <v>211</v>
      </c>
      <c r="O103" s="63" t="s">
        <v>122</v>
      </c>
      <c r="P103" s="63" t="s">
        <v>7</v>
      </c>
      <c r="Q103" s="66" t="s">
        <v>212</v>
      </c>
      <c r="R103" s="66" t="s">
        <v>158</v>
      </c>
    </row>
    <row r="104" spans="2:18" ht="18.75" customHeight="1">
      <c r="B104" s="63" t="str">
        <f t="shared" si="1"/>
        <v>No101</v>
      </c>
      <c r="C104" s="63" t="s">
        <v>104</v>
      </c>
      <c r="D104" s="63" t="s">
        <v>155</v>
      </c>
      <c r="E104" s="101">
        <v>45810</v>
      </c>
      <c r="F104" s="65">
        <v>0.4375</v>
      </c>
      <c r="G104" s="65">
        <v>0.45833333333333331</v>
      </c>
      <c r="H104" s="65">
        <v>1.041666666666667E-2</v>
      </c>
      <c r="I104" s="101">
        <v>45810</v>
      </c>
      <c r="J104" s="101">
        <v>45810</v>
      </c>
      <c r="K104" s="63" t="s">
        <v>283</v>
      </c>
      <c r="L104" s="63" t="s">
        <v>111</v>
      </c>
      <c r="M104" s="63"/>
      <c r="N104" s="63" t="s">
        <v>173</v>
      </c>
      <c r="O104" s="63" t="s">
        <v>122</v>
      </c>
      <c r="P104" s="63" t="s">
        <v>7</v>
      </c>
      <c r="Q104" s="66" t="s">
        <v>317</v>
      </c>
      <c r="R104" s="66" t="s">
        <v>318</v>
      </c>
    </row>
    <row r="105" spans="2:18" ht="18.75" customHeight="1">
      <c r="B105" s="63" t="str">
        <f t="shared" si="1"/>
        <v>No102</v>
      </c>
      <c r="C105" s="63" t="s">
        <v>142</v>
      </c>
      <c r="D105" s="63" t="s">
        <v>4</v>
      </c>
      <c r="E105" s="101">
        <v>45811</v>
      </c>
      <c r="F105" s="65">
        <v>0.55902777777777779</v>
      </c>
      <c r="G105" s="65">
        <v>0.56597222222222221</v>
      </c>
      <c r="H105" s="65">
        <v>6.9444444444444441E-3</v>
      </c>
      <c r="I105" s="101">
        <v>45811</v>
      </c>
      <c r="J105" s="101">
        <v>45811</v>
      </c>
      <c r="K105" s="63" t="s">
        <v>95</v>
      </c>
      <c r="L105" s="63" t="s">
        <v>111</v>
      </c>
      <c r="M105" s="63"/>
      <c r="N105" s="63" t="s">
        <v>173</v>
      </c>
      <c r="O105" s="63" t="s">
        <v>6</v>
      </c>
      <c r="P105" s="63" t="s">
        <v>7</v>
      </c>
      <c r="Q105" s="66" t="s">
        <v>335</v>
      </c>
      <c r="R105" s="66" t="s">
        <v>334</v>
      </c>
    </row>
    <row r="106" spans="2:18" ht="18.75" customHeight="1">
      <c r="B106" s="63" t="str">
        <f t="shared" si="1"/>
        <v>No103</v>
      </c>
      <c r="C106" s="63" t="s">
        <v>104</v>
      </c>
      <c r="D106" s="63" t="s">
        <v>155</v>
      </c>
      <c r="E106" s="101">
        <v>45812</v>
      </c>
      <c r="F106" s="65">
        <v>0.66666666666666663</v>
      </c>
      <c r="G106" s="65">
        <v>0.6875</v>
      </c>
      <c r="H106" s="65">
        <v>2.0833333333333329E-2</v>
      </c>
      <c r="I106" s="101">
        <v>45812</v>
      </c>
      <c r="J106" s="101">
        <v>45812</v>
      </c>
      <c r="K106" s="63" t="s">
        <v>283</v>
      </c>
      <c r="L106" s="63" t="s">
        <v>111</v>
      </c>
      <c r="M106" s="63"/>
      <c r="N106" s="63" t="s">
        <v>173</v>
      </c>
      <c r="O106" s="63" t="s">
        <v>122</v>
      </c>
      <c r="P106" s="63" t="s">
        <v>7</v>
      </c>
      <c r="Q106" s="66" t="s">
        <v>345</v>
      </c>
      <c r="R106" s="66" t="s">
        <v>346</v>
      </c>
    </row>
    <row r="107" spans="2:18" ht="27.75" customHeight="1">
      <c r="B107" s="63" t="str">
        <f t="shared" si="1"/>
        <v>No104</v>
      </c>
      <c r="C107" s="63" t="s">
        <v>142</v>
      </c>
      <c r="D107" s="63" t="s">
        <v>155</v>
      </c>
      <c r="E107" s="101">
        <v>45810</v>
      </c>
      <c r="F107" s="65">
        <v>0.58333333333333337</v>
      </c>
      <c r="G107" s="65">
        <v>0.59722222222222221</v>
      </c>
      <c r="H107" s="65">
        <v>1.388888888888889E-2</v>
      </c>
      <c r="I107" s="101">
        <v>45810</v>
      </c>
      <c r="J107" s="101">
        <v>45810</v>
      </c>
      <c r="K107" s="63" t="s">
        <v>119</v>
      </c>
      <c r="L107" s="63" t="s">
        <v>111</v>
      </c>
      <c r="M107" s="63"/>
      <c r="N107" s="63" t="s">
        <v>215</v>
      </c>
      <c r="O107" s="63" t="s">
        <v>122</v>
      </c>
      <c r="P107" s="63" t="s">
        <v>7</v>
      </c>
      <c r="Q107" s="66" t="s">
        <v>246</v>
      </c>
      <c r="R107" s="66" t="s">
        <v>158</v>
      </c>
    </row>
    <row r="108" spans="2:18" ht="18.75" customHeight="1">
      <c r="B108" s="63" t="str">
        <f t="shared" si="1"/>
        <v>No105</v>
      </c>
      <c r="C108" s="63" t="s">
        <v>166</v>
      </c>
      <c r="D108" s="63" t="s">
        <v>116</v>
      </c>
      <c r="E108" s="101">
        <v>45809</v>
      </c>
      <c r="F108" s="65">
        <v>0.375</v>
      </c>
      <c r="G108" s="65">
        <v>0.75</v>
      </c>
      <c r="H108" s="65">
        <v>0.33333333333333331</v>
      </c>
      <c r="I108" s="101">
        <v>45809</v>
      </c>
      <c r="J108" s="101">
        <v>45809</v>
      </c>
      <c r="K108" s="63" t="s">
        <v>119</v>
      </c>
      <c r="L108" s="63" t="s">
        <v>111</v>
      </c>
      <c r="M108" s="63"/>
      <c r="N108" s="63" t="s">
        <v>121</v>
      </c>
      <c r="O108" s="63" t="s">
        <v>122</v>
      </c>
      <c r="P108" s="63" t="s">
        <v>7</v>
      </c>
      <c r="Q108" s="66" t="s">
        <v>306</v>
      </c>
      <c r="R108" s="66" t="s">
        <v>307</v>
      </c>
    </row>
    <row r="109" spans="2:18" ht="18.75" customHeight="1">
      <c r="B109" s="63" t="str">
        <f t="shared" si="1"/>
        <v>No106</v>
      </c>
      <c r="C109" s="63" t="s">
        <v>166</v>
      </c>
      <c r="D109" s="63" t="s">
        <v>155</v>
      </c>
      <c r="E109" s="101">
        <v>45809</v>
      </c>
      <c r="F109" s="65">
        <v>0.375</v>
      </c>
      <c r="G109" s="65">
        <v>0.75</v>
      </c>
      <c r="H109" s="65">
        <v>0.33333333333333331</v>
      </c>
      <c r="I109" s="101">
        <v>45809</v>
      </c>
      <c r="J109" s="101">
        <v>45809</v>
      </c>
      <c r="K109" s="63" t="s">
        <v>119</v>
      </c>
      <c r="L109" s="63" t="s">
        <v>111</v>
      </c>
      <c r="M109" s="63"/>
      <c r="N109" s="63" t="s">
        <v>121</v>
      </c>
      <c r="O109" s="63" t="s">
        <v>122</v>
      </c>
      <c r="P109" s="63" t="s">
        <v>7</v>
      </c>
      <c r="Q109" s="66" t="s">
        <v>306</v>
      </c>
      <c r="R109" s="66" t="s">
        <v>307</v>
      </c>
    </row>
    <row r="110" spans="2:18" ht="18.75" customHeight="1">
      <c r="B110" s="63" t="str">
        <f t="shared" si="1"/>
        <v>No107</v>
      </c>
      <c r="C110" s="63" t="s">
        <v>166</v>
      </c>
      <c r="D110" s="63" t="s">
        <v>4</v>
      </c>
      <c r="E110" s="101">
        <v>45809</v>
      </c>
      <c r="F110" s="65">
        <v>0.375</v>
      </c>
      <c r="G110" s="65">
        <v>0.75</v>
      </c>
      <c r="H110" s="65">
        <v>0.33333333333333331</v>
      </c>
      <c r="I110" s="101">
        <v>45809</v>
      </c>
      <c r="J110" s="101">
        <v>45809</v>
      </c>
      <c r="K110" s="63" t="s">
        <v>119</v>
      </c>
      <c r="L110" s="63" t="s">
        <v>111</v>
      </c>
      <c r="M110" s="63"/>
      <c r="N110" s="63" t="s">
        <v>121</v>
      </c>
      <c r="O110" s="63" t="s">
        <v>122</v>
      </c>
      <c r="P110" s="63" t="s">
        <v>7</v>
      </c>
      <c r="Q110" s="66" t="s">
        <v>306</v>
      </c>
      <c r="R110" s="66" t="s">
        <v>307</v>
      </c>
    </row>
    <row r="111" spans="2:18" ht="18.75" customHeight="1">
      <c r="B111" s="63" t="str">
        <f t="shared" si="1"/>
        <v>No108</v>
      </c>
      <c r="C111" s="63" t="s">
        <v>104</v>
      </c>
      <c r="D111" s="63" t="s">
        <v>4</v>
      </c>
      <c r="E111" s="101">
        <v>45810</v>
      </c>
      <c r="F111" s="65">
        <v>0.625</v>
      </c>
      <c r="G111" s="65">
        <v>0.63888888888888884</v>
      </c>
      <c r="H111" s="65">
        <v>1.388888888888889E-2</v>
      </c>
      <c r="I111" s="101">
        <v>45810</v>
      </c>
      <c r="J111" s="101">
        <v>45810</v>
      </c>
      <c r="K111" s="63" t="s">
        <v>61</v>
      </c>
      <c r="L111" s="63" t="s">
        <v>26</v>
      </c>
      <c r="M111" s="63"/>
      <c r="N111" s="63" t="s">
        <v>121</v>
      </c>
      <c r="O111" s="63" t="s">
        <v>122</v>
      </c>
      <c r="P111" s="63" t="s">
        <v>7</v>
      </c>
      <c r="Q111" s="66" t="s">
        <v>325</v>
      </c>
      <c r="R111" s="66" t="s">
        <v>326</v>
      </c>
    </row>
    <row r="112" spans="2:18" ht="18.75" customHeight="1">
      <c r="B112" s="63" t="str">
        <f t="shared" si="1"/>
        <v>No109</v>
      </c>
      <c r="C112" s="63" t="s">
        <v>3</v>
      </c>
      <c r="D112" s="63" t="s">
        <v>4</v>
      </c>
      <c r="E112" s="101">
        <v>45811</v>
      </c>
      <c r="F112" s="65">
        <v>0.45833333333333331</v>
      </c>
      <c r="G112" s="65">
        <v>0.47569444444444442</v>
      </c>
      <c r="H112" s="65">
        <v>1.7361111111111108E-2</v>
      </c>
      <c r="I112" s="101">
        <v>45811</v>
      </c>
      <c r="J112" s="101">
        <v>45811</v>
      </c>
      <c r="K112" s="63" t="s">
        <v>20</v>
      </c>
      <c r="L112" s="63" t="s">
        <v>311</v>
      </c>
      <c r="M112" s="63"/>
      <c r="N112" s="63" t="s">
        <v>121</v>
      </c>
      <c r="O112" s="63" t="s">
        <v>6</v>
      </c>
      <c r="P112" s="63" t="s">
        <v>7</v>
      </c>
      <c r="Q112" s="66" t="s">
        <v>327</v>
      </c>
      <c r="R112" s="66" t="s">
        <v>328</v>
      </c>
    </row>
    <row r="113" spans="2:18" ht="18.75" customHeight="1">
      <c r="B113" s="63" t="str">
        <f t="shared" si="1"/>
        <v>No110</v>
      </c>
      <c r="C113" s="63" t="s">
        <v>142</v>
      </c>
      <c r="D113" s="63" t="s">
        <v>4</v>
      </c>
      <c r="E113" s="101">
        <v>45811</v>
      </c>
      <c r="F113" s="65">
        <v>0.75</v>
      </c>
      <c r="G113" s="65">
        <v>0.83333333333333337</v>
      </c>
      <c r="H113" s="65">
        <v>8.3333333333333329E-2</v>
      </c>
      <c r="I113" s="101">
        <v>45811</v>
      </c>
      <c r="J113" s="101">
        <v>45811</v>
      </c>
      <c r="K113" s="63" t="s">
        <v>20</v>
      </c>
      <c r="L113" s="63" t="s">
        <v>176</v>
      </c>
      <c r="M113" s="63"/>
      <c r="N113" s="63" t="s">
        <v>336</v>
      </c>
      <c r="O113" s="63" t="s">
        <v>6</v>
      </c>
      <c r="P113" s="63" t="s">
        <v>7</v>
      </c>
      <c r="Q113" s="66" t="s">
        <v>337</v>
      </c>
      <c r="R113" s="66" t="s">
        <v>338</v>
      </c>
    </row>
    <row r="114" spans="2:18" ht="18.75" customHeight="1">
      <c r="B114" s="63" t="str">
        <f t="shared" si="1"/>
        <v>No111</v>
      </c>
      <c r="C114" s="63" t="s">
        <v>142</v>
      </c>
      <c r="D114" s="63" t="s">
        <v>4</v>
      </c>
      <c r="E114" s="101">
        <v>45813</v>
      </c>
      <c r="F114" s="65">
        <v>0.45833333333333331</v>
      </c>
      <c r="G114" s="65">
        <v>0.5</v>
      </c>
      <c r="H114" s="65">
        <v>4.1666666666666657E-2</v>
      </c>
      <c r="I114" s="101">
        <v>45813</v>
      </c>
      <c r="J114" s="101">
        <v>45813</v>
      </c>
      <c r="K114" s="63" t="s">
        <v>20</v>
      </c>
      <c r="L114" s="63" t="s">
        <v>176</v>
      </c>
      <c r="M114" s="63"/>
      <c r="N114" s="63" t="s">
        <v>336</v>
      </c>
      <c r="O114" s="63" t="s">
        <v>6</v>
      </c>
      <c r="P114" s="63" t="s">
        <v>7</v>
      </c>
      <c r="Q114" s="66" t="s">
        <v>337</v>
      </c>
      <c r="R114" s="66" t="s">
        <v>349</v>
      </c>
    </row>
    <row r="115" spans="2:18" ht="18.75" customHeight="1">
      <c r="B115" s="63" t="str">
        <f t="shared" si="1"/>
        <v>No112</v>
      </c>
      <c r="C115" s="63" t="s">
        <v>142</v>
      </c>
      <c r="D115" s="63" t="s">
        <v>155</v>
      </c>
      <c r="E115" s="101">
        <v>45814</v>
      </c>
      <c r="F115" s="65">
        <v>0.44791666666666669</v>
      </c>
      <c r="G115" s="65">
        <v>0.4548611111111111</v>
      </c>
      <c r="H115" s="65">
        <v>6.9444444444444441E-3</v>
      </c>
      <c r="I115" s="101">
        <v>45814</v>
      </c>
      <c r="J115" s="101">
        <v>45814</v>
      </c>
      <c r="K115" s="63" t="s">
        <v>20</v>
      </c>
      <c r="L115" s="63" t="s">
        <v>111</v>
      </c>
      <c r="M115" s="63"/>
      <c r="N115" s="63" t="s">
        <v>201</v>
      </c>
      <c r="O115" s="63" t="s">
        <v>6</v>
      </c>
      <c r="P115" s="63" t="s">
        <v>7</v>
      </c>
      <c r="Q115" s="66" t="s">
        <v>353</v>
      </c>
      <c r="R115" s="66" t="s">
        <v>354</v>
      </c>
    </row>
    <row r="116" spans="2:18" ht="18.75" customHeight="1">
      <c r="B116" s="63" t="str">
        <f t="shared" si="1"/>
        <v>No113</v>
      </c>
      <c r="C116" s="63" t="s">
        <v>104</v>
      </c>
      <c r="D116" s="63" t="s">
        <v>155</v>
      </c>
      <c r="E116" s="101">
        <v>45812</v>
      </c>
      <c r="F116" s="65">
        <v>0.70833333333333337</v>
      </c>
      <c r="G116" s="65">
        <v>0.71875</v>
      </c>
      <c r="H116" s="65">
        <v>1.041666666666667E-2</v>
      </c>
      <c r="I116" s="101">
        <v>45812</v>
      </c>
      <c r="J116" s="101">
        <v>45812</v>
      </c>
      <c r="K116" s="63" t="s">
        <v>283</v>
      </c>
      <c r="L116" s="63" t="s">
        <v>111</v>
      </c>
      <c r="M116" s="63"/>
      <c r="N116" s="63" t="s">
        <v>173</v>
      </c>
      <c r="O116" s="63" t="s">
        <v>122</v>
      </c>
      <c r="P116" s="63" t="s">
        <v>7</v>
      </c>
      <c r="Q116" s="66" t="s">
        <v>347</v>
      </c>
      <c r="R116" s="66" t="s">
        <v>348</v>
      </c>
    </row>
    <row r="117" spans="2:18" ht="39" customHeight="1">
      <c r="B117" s="63" t="str">
        <f t="shared" si="1"/>
        <v>No114</v>
      </c>
      <c r="C117" s="63" t="s">
        <v>142</v>
      </c>
      <c r="D117" s="63" t="s">
        <v>155</v>
      </c>
      <c r="E117" s="101">
        <v>45812</v>
      </c>
      <c r="F117" s="65">
        <v>0.38541666666666669</v>
      </c>
      <c r="G117" s="65">
        <v>0.3888888888888889</v>
      </c>
      <c r="H117" s="65">
        <v>3.472222222222222E-3</v>
      </c>
      <c r="I117" s="101">
        <v>45812</v>
      </c>
      <c r="J117" s="101">
        <v>45812</v>
      </c>
      <c r="K117" s="63" t="s">
        <v>119</v>
      </c>
      <c r="L117" s="63" t="s">
        <v>159</v>
      </c>
      <c r="M117" s="63"/>
      <c r="N117" s="63" t="s">
        <v>187</v>
      </c>
      <c r="O117" s="63" t="s">
        <v>122</v>
      </c>
      <c r="P117" s="63" t="s">
        <v>7</v>
      </c>
      <c r="Q117" s="66" t="s">
        <v>208</v>
      </c>
      <c r="R117" s="66" t="s">
        <v>158</v>
      </c>
    </row>
    <row r="118" spans="2:18" ht="18.75" customHeight="1">
      <c r="B118" s="63" t="str">
        <f t="shared" si="1"/>
        <v>No115</v>
      </c>
      <c r="C118" s="63" t="s">
        <v>104</v>
      </c>
      <c r="D118" s="63" t="s">
        <v>155</v>
      </c>
      <c r="E118" s="101">
        <v>45812</v>
      </c>
      <c r="F118" s="65">
        <v>0.60416666666666663</v>
      </c>
      <c r="G118" s="65">
        <v>0.625</v>
      </c>
      <c r="H118" s="65">
        <v>2.0833333333333329E-2</v>
      </c>
      <c r="I118" s="101">
        <v>45812</v>
      </c>
      <c r="J118" s="101">
        <v>45812</v>
      </c>
      <c r="K118" s="63" t="s">
        <v>20</v>
      </c>
      <c r="L118" s="63" t="s">
        <v>21</v>
      </c>
      <c r="M118" s="63"/>
      <c r="N118" s="63" t="s">
        <v>342</v>
      </c>
      <c r="O118" s="63" t="s">
        <v>122</v>
      </c>
      <c r="P118" s="63" t="s">
        <v>7</v>
      </c>
      <c r="Q118" s="66" t="s">
        <v>343</v>
      </c>
      <c r="R118" s="66" t="s">
        <v>344</v>
      </c>
    </row>
    <row r="119" spans="2:18" ht="35.25" customHeight="1">
      <c r="B119" s="63" t="str">
        <f t="shared" si="1"/>
        <v>No116</v>
      </c>
      <c r="C119" s="63" t="s">
        <v>104</v>
      </c>
      <c r="D119" s="63" t="s">
        <v>155</v>
      </c>
      <c r="E119" s="101">
        <v>45812</v>
      </c>
      <c r="F119" s="65">
        <v>0.625</v>
      </c>
      <c r="G119" s="65">
        <v>0.63194444444444442</v>
      </c>
      <c r="H119" s="65">
        <v>6.9444444444444441E-3</v>
      </c>
      <c r="I119" s="101">
        <v>45812</v>
      </c>
      <c r="J119" s="101">
        <v>45812</v>
      </c>
      <c r="K119" s="63" t="s">
        <v>119</v>
      </c>
      <c r="L119" s="63" t="s">
        <v>111</v>
      </c>
      <c r="M119" s="63"/>
      <c r="N119" s="63" t="s">
        <v>198</v>
      </c>
      <c r="O119" s="63" t="s">
        <v>122</v>
      </c>
      <c r="P119" s="63" t="s">
        <v>7</v>
      </c>
      <c r="Q119" s="66" t="s">
        <v>246</v>
      </c>
      <c r="R119" s="66" t="s">
        <v>158</v>
      </c>
    </row>
    <row r="120" spans="2:18" ht="35.25" customHeight="1">
      <c r="B120" s="63" t="str">
        <f t="shared" si="1"/>
        <v>No117</v>
      </c>
      <c r="C120" s="63" t="s">
        <v>3</v>
      </c>
      <c r="D120" s="63" t="s">
        <v>155</v>
      </c>
      <c r="E120" s="101">
        <v>45814</v>
      </c>
      <c r="F120" s="65">
        <v>0.58333333333333337</v>
      </c>
      <c r="G120" s="65">
        <v>0.60416666666666663</v>
      </c>
      <c r="H120" s="65">
        <v>2.0833333333333329E-2</v>
      </c>
      <c r="I120" s="101">
        <v>45814</v>
      </c>
      <c r="J120" s="101">
        <v>45814</v>
      </c>
      <c r="K120" s="63" t="s">
        <v>119</v>
      </c>
      <c r="L120" s="63" t="s">
        <v>77</v>
      </c>
      <c r="M120" s="63"/>
      <c r="N120" s="63" t="s">
        <v>99</v>
      </c>
      <c r="O120" s="63" t="s">
        <v>122</v>
      </c>
      <c r="P120" s="63" t="s">
        <v>7</v>
      </c>
      <c r="Q120" s="66" t="s">
        <v>359</v>
      </c>
      <c r="R120" s="66" t="s">
        <v>158</v>
      </c>
    </row>
    <row r="121" spans="2:18" ht="18.75" customHeight="1">
      <c r="B121" s="63" t="str">
        <f t="shared" si="1"/>
        <v>No118</v>
      </c>
      <c r="C121" s="63" t="s">
        <v>142</v>
      </c>
      <c r="D121" s="63" t="s">
        <v>4</v>
      </c>
      <c r="E121" s="101">
        <v>45814</v>
      </c>
      <c r="F121" s="65">
        <v>0.39583333333333331</v>
      </c>
      <c r="G121" s="65">
        <v>0.39583333333333331</v>
      </c>
      <c r="H121" s="65">
        <v>2.0833333333333329E-2</v>
      </c>
      <c r="I121" s="101">
        <v>45814</v>
      </c>
      <c r="J121" s="101">
        <v>45814</v>
      </c>
      <c r="K121" s="63" t="s">
        <v>40</v>
      </c>
      <c r="L121" s="63" t="s">
        <v>159</v>
      </c>
      <c r="M121" s="63"/>
      <c r="N121" s="63" t="s">
        <v>350</v>
      </c>
      <c r="O121" s="63" t="s">
        <v>122</v>
      </c>
      <c r="P121" s="63" t="s">
        <v>7</v>
      </c>
      <c r="Q121" s="66" t="s">
        <v>351</v>
      </c>
      <c r="R121" s="66" t="s">
        <v>352</v>
      </c>
    </row>
    <row r="122" spans="2:18" ht="18.75" customHeight="1">
      <c r="B122" s="63" t="str">
        <f t="shared" si="1"/>
        <v>No119</v>
      </c>
      <c r="C122" s="63" t="s">
        <v>142</v>
      </c>
      <c r="D122" s="63" t="s">
        <v>4</v>
      </c>
      <c r="E122" s="101">
        <v>45814</v>
      </c>
      <c r="F122" s="65">
        <v>0.45833333333333331</v>
      </c>
      <c r="G122" s="65">
        <v>0.47916666666666669</v>
      </c>
      <c r="H122" s="65">
        <v>2.0833333333333329E-2</v>
      </c>
      <c r="I122" s="101">
        <v>45814</v>
      </c>
      <c r="J122" s="101">
        <v>45814</v>
      </c>
      <c r="K122" s="63" t="s">
        <v>40</v>
      </c>
      <c r="L122" s="63" t="s">
        <v>26</v>
      </c>
      <c r="M122" s="63"/>
      <c r="N122" s="63" t="s">
        <v>155</v>
      </c>
      <c r="O122" s="63" t="s">
        <v>6</v>
      </c>
      <c r="P122" s="63" t="s">
        <v>7</v>
      </c>
      <c r="Q122" s="66" t="s">
        <v>355</v>
      </c>
      <c r="R122" s="66" t="s">
        <v>356</v>
      </c>
    </row>
    <row r="123" spans="2:18" ht="18.75" customHeight="1">
      <c r="B123" s="63" t="str">
        <f t="shared" si="1"/>
        <v>No120</v>
      </c>
      <c r="C123" s="63" t="s">
        <v>142</v>
      </c>
      <c r="D123" s="63" t="s">
        <v>4</v>
      </c>
      <c r="E123" s="101">
        <v>45814</v>
      </c>
      <c r="F123" s="65">
        <v>0.54166666666666663</v>
      </c>
      <c r="G123" s="65">
        <v>0.5625</v>
      </c>
      <c r="H123" s="65">
        <v>2.0833333333333329E-2</v>
      </c>
      <c r="I123" s="101">
        <v>45814</v>
      </c>
      <c r="J123" s="101">
        <v>45814</v>
      </c>
      <c r="K123" s="63" t="s">
        <v>45</v>
      </c>
      <c r="L123" s="63" t="s">
        <v>120</v>
      </c>
      <c r="M123" s="63"/>
      <c r="N123" s="63" t="s">
        <v>152</v>
      </c>
      <c r="O123" s="63" t="s">
        <v>6</v>
      </c>
      <c r="P123" s="63" t="s">
        <v>7</v>
      </c>
      <c r="Q123" s="66" t="s">
        <v>357</v>
      </c>
      <c r="R123" s="66" t="s">
        <v>358</v>
      </c>
    </row>
    <row r="124" spans="2:18" ht="36.75" customHeight="1">
      <c r="B124" s="63" t="str">
        <f t="shared" si="1"/>
        <v>No121</v>
      </c>
      <c r="C124" s="63" t="s">
        <v>142</v>
      </c>
      <c r="D124" s="63" t="s">
        <v>4</v>
      </c>
      <c r="E124" s="101">
        <v>45814</v>
      </c>
      <c r="F124" s="65">
        <v>0.66666666666666663</v>
      </c>
      <c r="G124" s="65">
        <v>0.6875</v>
      </c>
      <c r="H124" s="65">
        <v>2.0833333333333329E-2</v>
      </c>
      <c r="I124" s="101">
        <v>45814</v>
      </c>
      <c r="J124" s="101">
        <v>45814</v>
      </c>
      <c r="K124" s="63" t="s">
        <v>20</v>
      </c>
      <c r="L124" s="63" t="s">
        <v>111</v>
      </c>
      <c r="M124" s="63"/>
      <c r="N124" s="63" t="s">
        <v>112</v>
      </c>
      <c r="O124" s="63" t="s">
        <v>6</v>
      </c>
      <c r="P124" s="63" t="s">
        <v>7</v>
      </c>
      <c r="Q124" s="66" t="s">
        <v>362</v>
      </c>
      <c r="R124" s="66" t="s">
        <v>363</v>
      </c>
    </row>
    <row r="125" spans="2:18" ht="18.75" customHeight="1">
      <c r="B125" s="63" t="str">
        <f t="shared" si="1"/>
        <v>No122</v>
      </c>
      <c r="C125" s="63" t="s">
        <v>142</v>
      </c>
      <c r="D125" s="63" t="s">
        <v>4</v>
      </c>
      <c r="E125" s="101">
        <v>45814</v>
      </c>
      <c r="F125" s="65">
        <v>0.58333333333333337</v>
      </c>
      <c r="G125" s="65">
        <v>0.60416666666666663</v>
      </c>
      <c r="H125" s="65">
        <v>2.0833333333333329E-2</v>
      </c>
      <c r="I125" s="101">
        <v>45814</v>
      </c>
      <c r="J125" s="101">
        <v>45814</v>
      </c>
      <c r="K125" s="63" t="s">
        <v>20</v>
      </c>
      <c r="L125" s="63" t="s">
        <v>77</v>
      </c>
      <c r="M125" s="63"/>
      <c r="N125" s="63" t="s">
        <v>140</v>
      </c>
      <c r="O125" s="63" t="s">
        <v>6</v>
      </c>
      <c r="P125" s="63" t="s">
        <v>7</v>
      </c>
      <c r="Q125" s="66" t="s">
        <v>360</v>
      </c>
      <c r="R125" s="66" t="s">
        <v>361</v>
      </c>
    </row>
    <row r="126" spans="2:18" ht="18.75" customHeight="1">
      <c r="B126" s="63" t="str">
        <f t="shared" si="1"/>
        <v>No123</v>
      </c>
      <c r="C126" s="63" t="s">
        <v>142</v>
      </c>
      <c r="D126" s="63" t="s">
        <v>155</v>
      </c>
      <c r="E126" s="101">
        <v>45817</v>
      </c>
      <c r="F126" s="65">
        <v>0.37847222222222221</v>
      </c>
      <c r="G126" s="65">
        <v>0.38541666666666669</v>
      </c>
      <c r="H126" s="65">
        <v>6.9444444444444441E-3</v>
      </c>
      <c r="I126" s="101">
        <v>45817</v>
      </c>
      <c r="J126" s="101">
        <v>45817</v>
      </c>
      <c r="K126" s="63" t="s">
        <v>20</v>
      </c>
      <c r="L126" s="63" t="s">
        <v>35</v>
      </c>
      <c r="M126" s="63"/>
      <c r="N126" s="63" t="s">
        <v>280</v>
      </c>
      <c r="O126" s="63" t="s">
        <v>122</v>
      </c>
      <c r="P126" s="63" t="s">
        <v>7</v>
      </c>
      <c r="Q126" s="66" t="s">
        <v>364</v>
      </c>
      <c r="R126" s="66" t="s">
        <v>365</v>
      </c>
    </row>
    <row r="127" spans="2:18" ht="18.75" customHeight="1">
      <c r="B127" s="63" t="str">
        <f t="shared" si="1"/>
        <v>No124</v>
      </c>
      <c r="C127" s="63" t="s">
        <v>142</v>
      </c>
      <c r="D127" s="63" t="s">
        <v>155</v>
      </c>
      <c r="E127" s="101">
        <v>45818</v>
      </c>
      <c r="F127" s="65">
        <v>0.41666666666666669</v>
      </c>
      <c r="G127" s="65">
        <v>0.52083333333333337</v>
      </c>
      <c r="H127" s="65">
        <v>0.1041666666666667</v>
      </c>
      <c r="I127" s="101">
        <v>45818</v>
      </c>
      <c r="J127" s="101">
        <v>45818</v>
      </c>
      <c r="K127" s="63" t="s">
        <v>119</v>
      </c>
      <c r="L127" s="63" t="s">
        <v>77</v>
      </c>
      <c r="M127" s="63"/>
      <c r="N127" s="63" t="s">
        <v>372</v>
      </c>
      <c r="O127" s="63" t="s">
        <v>122</v>
      </c>
      <c r="P127" s="63" t="s">
        <v>7</v>
      </c>
      <c r="Q127" s="66" t="s">
        <v>373</v>
      </c>
      <c r="R127" s="66" t="s">
        <v>374</v>
      </c>
    </row>
    <row r="128" spans="2:18" ht="25.5" customHeight="1">
      <c r="B128" s="63" t="str">
        <f t="shared" si="1"/>
        <v>No125</v>
      </c>
      <c r="C128" s="63" t="s">
        <v>142</v>
      </c>
      <c r="D128" s="63" t="s">
        <v>155</v>
      </c>
      <c r="E128" s="101">
        <v>45818</v>
      </c>
      <c r="F128" s="65">
        <v>0.47222222222222221</v>
      </c>
      <c r="G128" s="65">
        <v>0.47916666666666669</v>
      </c>
      <c r="H128" s="65">
        <v>6.9444444444444441E-3</v>
      </c>
      <c r="I128" s="101">
        <v>45818</v>
      </c>
      <c r="J128" s="101">
        <v>45818</v>
      </c>
      <c r="K128" s="63" t="s">
        <v>119</v>
      </c>
      <c r="L128" s="63" t="s">
        <v>159</v>
      </c>
      <c r="M128" s="63"/>
      <c r="N128" s="63" t="s">
        <v>160</v>
      </c>
      <c r="O128" s="63" t="s">
        <v>122</v>
      </c>
      <c r="P128" s="63" t="s">
        <v>7</v>
      </c>
      <c r="Q128" s="66" t="s">
        <v>179</v>
      </c>
      <c r="R128" s="66" t="s">
        <v>158</v>
      </c>
    </row>
    <row r="129" spans="2:18" ht="25.5" customHeight="1">
      <c r="B129" s="63" t="str">
        <f t="shared" si="1"/>
        <v>No126</v>
      </c>
      <c r="C129" s="63" t="s">
        <v>142</v>
      </c>
      <c r="D129" s="63" t="s">
        <v>155</v>
      </c>
      <c r="E129" s="101">
        <v>45818</v>
      </c>
      <c r="F129" s="65">
        <v>0.5</v>
      </c>
      <c r="G129" s="65">
        <v>0.51041666666666663</v>
      </c>
      <c r="H129" s="65">
        <v>1.041666666666667E-2</v>
      </c>
      <c r="I129" s="101">
        <v>45818</v>
      </c>
      <c r="J129" s="101">
        <v>45818</v>
      </c>
      <c r="K129" s="63" t="s">
        <v>119</v>
      </c>
      <c r="L129" s="63" t="s">
        <v>77</v>
      </c>
      <c r="M129" s="63"/>
      <c r="N129" s="63" t="s">
        <v>99</v>
      </c>
      <c r="O129" s="63" t="s">
        <v>122</v>
      </c>
      <c r="P129" s="63" t="s">
        <v>7</v>
      </c>
      <c r="Q129" s="66" t="s">
        <v>375</v>
      </c>
      <c r="R129" s="66" t="s">
        <v>158</v>
      </c>
    </row>
    <row r="130" spans="2:18" ht="18.75" customHeight="1">
      <c r="B130" s="63" t="str">
        <f t="shared" si="1"/>
        <v>No127</v>
      </c>
      <c r="C130" s="63" t="s">
        <v>186</v>
      </c>
      <c r="D130" s="63" t="s">
        <v>4</v>
      </c>
      <c r="E130" s="101">
        <v>45817</v>
      </c>
      <c r="F130" s="65">
        <v>0.6875</v>
      </c>
      <c r="G130" s="65">
        <v>0.69791666666666663</v>
      </c>
      <c r="H130" s="65">
        <v>1.041666666666667E-2</v>
      </c>
      <c r="I130" s="101">
        <v>45817</v>
      </c>
      <c r="J130" s="101">
        <v>45817</v>
      </c>
      <c r="K130" s="63" t="s">
        <v>61</v>
      </c>
      <c r="L130" s="63" t="s">
        <v>143</v>
      </c>
      <c r="M130" s="63"/>
      <c r="N130" s="63" t="s">
        <v>229</v>
      </c>
      <c r="O130" s="63" t="s">
        <v>6</v>
      </c>
      <c r="P130" s="63" t="s">
        <v>7</v>
      </c>
      <c r="Q130" s="66" t="s">
        <v>366</v>
      </c>
      <c r="R130" s="66" t="s">
        <v>367</v>
      </c>
    </row>
    <row r="131" spans="2:18" ht="18.75" customHeight="1">
      <c r="B131" s="63" t="str">
        <f t="shared" si="1"/>
        <v>No128</v>
      </c>
      <c r="C131" s="63" t="s">
        <v>142</v>
      </c>
      <c r="D131" s="63" t="s">
        <v>4</v>
      </c>
      <c r="E131" s="101">
        <v>45818</v>
      </c>
      <c r="F131" s="65">
        <v>0.39583333333333331</v>
      </c>
      <c r="G131" s="65">
        <v>0.4375</v>
      </c>
      <c r="H131" s="65">
        <v>4.1666666666666657E-2</v>
      </c>
      <c r="I131" s="101">
        <v>45825</v>
      </c>
      <c r="J131" s="101" t="s">
        <v>121</v>
      </c>
      <c r="K131" s="63" t="s">
        <v>20</v>
      </c>
      <c r="L131" s="63" t="s">
        <v>111</v>
      </c>
      <c r="M131" s="63"/>
      <c r="N131" s="63" t="s">
        <v>114</v>
      </c>
      <c r="O131" s="63" t="s">
        <v>6</v>
      </c>
      <c r="P131" s="63" t="s">
        <v>7</v>
      </c>
      <c r="Q131" s="66" t="s">
        <v>368</v>
      </c>
      <c r="R131" s="66" t="s">
        <v>369</v>
      </c>
    </row>
    <row r="132" spans="2:18" ht="18.75" customHeight="1">
      <c r="B132" s="63" t="str">
        <f t="shared" ref="B132:B195" si="2">"No"&amp;ROW()-3</f>
        <v>No129</v>
      </c>
      <c r="C132" s="63" t="s">
        <v>166</v>
      </c>
      <c r="D132" s="63" t="s">
        <v>4</v>
      </c>
      <c r="E132" s="101">
        <v>45818</v>
      </c>
      <c r="F132" s="65">
        <v>0.41666666666666669</v>
      </c>
      <c r="G132" s="65">
        <v>0.58333333333333337</v>
      </c>
      <c r="H132" s="65">
        <v>0.16666666666666671</v>
      </c>
      <c r="I132" s="101">
        <v>45818</v>
      </c>
      <c r="J132" s="101">
        <v>45818</v>
      </c>
      <c r="K132" s="63" t="s">
        <v>20</v>
      </c>
      <c r="L132" s="63" t="s">
        <v>311</v>
      </c>
      <c r="M132" s="63"/>
      <c r="N132" s="63" t="s">
        <v>121</v>
      </c>
      <c r="O132" s="63" t="s">
        <v>122</v>
      </c>
      <c r="P132" s="63" t="s">
        <v>7</v>
      </c>
      <c r="Q132" s="66" t="s">
        <v>370</v>
      </c>
      <c r="R132" s="66" t="s">
        <v>371</v>
      </c>
    </row>
    <row r="133" spans="2:18" ht="18.75" customHeight="1">
      <c r="B133" s="63" t="str">
        <f t="shared" si="2"/>
        <v>No130</v>
      </c>
      <c r="C133" s="63" t="s">
        <v>142</v>
      </c>
      <c r="D133" s="63" t="s">
        <v>4</v>
      </c>
      <c r="E133" s="101">
        <v>45818</v>
      </c>
      <c r="F133" s="65" t="s">
        <v>121</v>
      </c>
      <c r="G133" s="65" t="s">
        <v>121</v>
      </c>
      <c r="H133" s="65" t="s">
        <v>121</v>
      </c>
      <c r="I133" s="101">
        <v>45825</v>
      </c>
      <c r="J133" s="101" t="s">
        <v>121</v>
      </c>
      <c r="K133" s="63" t="s">
        <v>45</v>
      </c>
      <c r="L133" s="63" t="s">
        <v>111</v>
      </c>
      <c r="M133" s="63"/>
      <c r="N133" s="63" t="s">
        <v>114</v>
      </c>
      <c r="O133" s="63" t="s">
        <v>6</v>
      </c>
      <c r="P133" s="63" t="s">
        <v>7</v>
      </c>
      <c r="Q133" s="66" t="s">
        <v>368</v>
      </c>
      <c r="R133" s="66" t="s">
        <v>369</v>
      </c>
    </row>
    <row r="134" spans="2:18" ht="18.75" customHeight="1">
      <c r="B134" s="63" t="str">
        <f t="shared" si="2"/>
        <v>No131</v>
      </c>
      <c r="C134" s="63" t="s">
        <v>166</v>
      </c>
      <c r="D134" s="63" t="s">
        <v>4</v>
      </c>
      <c r="E134" s="101">
        <v>45819</v>
      </c>
      <c r="F134" s="65">
        <v>0.41666666666666669</v>
      </c>
      <c r="G134" s="65">
        <v>0.70833333333333337</v>
      </c>
      <c r="H134" s="65">
        <v>0.125</v>
      </c>
      <c r="I134" s="101">
        <v>45819</v>
      </c>
      <c r="J134" s="101">
        <v>45819</v>
      </c>
      <c r="K134" s="63" t="s">
        <v>20</v>
      </c>
      <c r="L134" s="63" t="s">
        <v>311</v>
      </c>
      <c r="M134" s="63"/>
      <c r="N134" s="63" t="s">
        <v>121</v>
      </c>
      <c r="O134" s="63" t="s">
        <v>122</v>
      </c>
      <c r="P134" s="63" t="s">
        <v>7</v>
      </c>
      <c r="Q134" s="66" t="s">
        <v>376</v>
      </c>
      <c r="R134" s="66" t="s">
        <v>377</v>
      </c>
    </row>
    <row r="135" spans="2:18" ht="18.75" customHeight="1">
      <c r="B135" s="63" t="str">
        <f t="shared" si="2"/>
        <v>No132</v>
      </c>
      <c r="C135" s="63" t="s">
        <v>142</v>
      </c>
      <c r="D135" s="63" t="s">
        <v>4</v>
      </c>
      <c r="E135" s="101">
        <v>45819</v>
      </c>
      <c r="F135" s="65">
        <v>0.54166666666666663</v>
      </c>
      <c r="G135" s="65">
        <v>0.58333333333333337</v>
      </c>
      <c r="H135" s="65">
        <v>4.1666666666666657E-2</v>
      </c>
      <c r="I135" s="101">
        <v>45819</v>
      </c>
      <c r="J135" s="101">
        <v>45819</v>
      </c>
      <c r="K135" s="63" t="s">
        <v>40</v>
      </c>
      <c r="L135" s="63" t="s">
        <v>26</v>
      </c>
      <c r="M135" s="63"/>
      <c r="N135" s="63" t="s">
        <v>121</v>
      </c>
      <c r="O135" s="63" t="s">
        <v>6</v>
      </c>
      <c r="P135" s="63" t="s">
        <v>7</v>
      </c>
      <c r="Q135" s="66" t="s">
        <v>380</v>
      </c>
      <c r="R135" s="66" t="s">
        <v>381</v>
      </c>
    </row>
    <row r="136" spans="2:18" ht="18.75" customHeight="1">
      <c r="B136" s="63" t="str">
        <f t="shared" si="2"/>
        <v>No133</v>
      </c>
      <c r="C136" s="63" t="s">
        <v>166</v>
      </c>
      <c r="D136" s="63" t="s">
        <v>4</v>
      </c>
      <c r="E136" s="101">
        <v>45820</v>
      </c>
      <c r="F136" s="65">
        <v>0.41666666666666669</v>
      </c>
      <c r="G136" s="65">
        <v>0.45833333333333331</v>
      </c>
      <c r="H136" s="65">
        <v>4.1666666666666657E-2</v>
      </c>
      <c r="I136" s="101">
        <v>45820</v>
      </c>
      <c r="J136" s="101">
        <v>45820</v>
      </c>
      <c r="K136" s="63" t="s">
        <v>20</v>
      </c>
      <c r="L136" s="63" t="s">
        <v>311</v>
      </c>
      <c r="M136" s="63"/>
      <c r="N136" s="63" t="s">
        <v>121</v>
      </c>
      <c r="O136" s="63" t="s">
        <v>122</v>
      </c>
      <c r="P136" s="63" t="s">
        <v>7</v>
      </c>
      <c r="Q136" s="66" t="s">
        <v>383</v>
      </c>
      <c r="R136" s="66" t="s">
        <v>384</v>
      </c>
    </row>
    <row r="137" spans="2:18" ht="42" customHeight="1">
      <c r="B137" s="63" t="str">
        <f t="shared" si="2"/>
        <v>No134</v>
      </c>
      <c r="C137" s="63" t="s">
        <v>142</v>
      </c>
      <c r="D137" s="63" t="s">
        <v>116</v>
      </c>
      <c r="E137" s="101">
        <v>45819</v>
      </c>
      <c r="F137" s="65">
        <v>0.39930555555555558</v>
      </c>
      <c r="G137" s="65">
        <v>0.40277777777777779</v>
      </c>
      <c r="H137" s="65">
        <v>3.472222222222222E-3</v>
      </c>
      <c r="I137" s="101">
        <v>45819</v>
      </c>
      <c r="J137" s="101">
        <v>45819</v>
      </c>
      <c r="K137" s="63" t="s">
        <v>119</v>
      </c>
      <c r="L137" s="63" t="s">
        <v>111</v>
      </c>
      <c r="M137" s="63"/>
      <c r="N137" s="63" t="s">
        <v>229</v>
      </c>
      <c r="O137" s="63" t="s">
        <v>122</v>
      </c>
      <c r="P137" s="63" t="s">
        <v>7</v>
      </c>
      <c r="Q137" s="66" t="s">
        <v>208</v>
      </c>
      <c r="R137" s="66" t="s">
        <v>158</v>
      </c>
    </row>
    <row r="138" spans="2:18" ht="42" customHeight="1">
      <c r="B138" s="63" t="str">
        <f t="shared" si="2"/>
        <v>No135</v>
      </c>
      <c r="C138" s="63" t="s">
        <v>142</v>
      </c>
      <c r="D138" s="63" t="s">
        <v>155</v>
      </c>
      <c r="E138" s="101">
        <v>45819</v>
      </c>
      <c r="F138" s="65">
        <v>0.45833333333333331</v>
      </c>
      <c r="G138" s="65">
        <v>0.5</v>
      </c>
      <c r="H138" s="65">
        <v>2.0833333333333329E-2</v>
      </c>
      <c r="I138" s="101">
        <v>45819</v>
      </c>
      <c r="J138" s="101">
        <v>45819</v>
      </c>
      <c r="K138" s="63" t="s">
        <v>119</v>
      </c>
      <c r="L138" s="63" t="s">
        <v>77</v>
      </c>
      <c r="M138" s="63"/>
      <c r="N138" s="63" t="s">
        <v>211</v>
      </c>
      <c r="O138" s="63" t="s">
        <v>122</v>
      </c>
      <c r="P138" s="63" t="s">
        <v>7</v>
      </c>
      <c r="Q138" s="66" t="s">
        <v>378</v>
      </c>
      <c r="R138" s="66" t="s">
        <v>379</v>
      </c>
    </row>
    <row r="139" spans="2:18" ht="42" customHeight="1">
      <c r="B139" s="63" t="str">
        <f t="shared" si="2"/>
        <v>No136</v>
      </c>
      <c r="C139" s="63" t="s">
        <v>142</v>
      </c>
      <c r="D139" s="63" t="s">
        <v>155</v>
      </c>
      <c r="E139" s="101">
        <v>45819</v>
      </c>
      <c r="F139" s="65">
        <v>0.69791666666666663</v>
      </c>
      <c r="G139" s="65">
        <v>0.40277777777777779</v>
      </c>
      <c r="H139" s="65">
        <v>4.1666666666666657E-2</v>
      </c>
      <c r="I139" s="101">
        <v>45819</v>
      </c>
      <c r="J139" s="101">
        <v>45819</v>
      </c>
      <c r="K139" s="63" t="s">
        <v>119</v>
      </c>
      <c r="L139" s="63" t="s">
        <v>159</v>
      </c>
      <c r="M139" s="63"/>
      <c r="N139" s="63" t="s">
        <v>187</v>
      </c>
      <c r="O139" s="63" t="s">
        <v>122</v>
      </c>
      <c r="P139" s="63" t="s">
        <v>7</v>
      </c>
      <c r="Q139" s="66" t="s">
        <v>382</v>
      </c>
      <c r="R139" s="66" t="s">
        <v>158</v>
      </c>
    </row>
    <row r="140" spans="2:18" ht="42" customHeight="1">
      <c r="B140" s="63" t="str">
        <f t="shared" si="2"/>
        <v>No137</v>
      </c>
      <c r="C140" s="63" t="s">
        <v>142</v>
      </c>
      <c r="D140" s="63" t="s">
        <v>155</v>
      </c>
      <c r="E140" s="101">
        <v>45820</v>
      </c>
      <c r="F140" s="65">
        <v>0.45833333333333331</v>
      </c>
      <c r="G140" s="65">
        <v>0.46527777777777779</v>
      </c>
      <c r="H140" s="65">
        <v>6.9444444444444441E-3</v>
      </c>
      <c r="I140" s="101">
        <v>45820</v>
      </c>
      <c r="J140" s="101">
        <v>45820</v>
      </c>
      <c r="K140" s="63" t="s">
        <v>119</v>
      </c>
      <c r="L140" s="63" t="s">
        <v>41</v>
      </c>
      <c r="M140" s="63"/>
      <c r="N140" s="63" t="s">
        <v>277</v>
      </c>
      <c r="O140" s="63" t="s">
        <v>122</v>
      </c>
      <c r="P140" s="63" t="s">
        <v>7</v>
      </c>
      <c r="Q140" s="66" t="s">
        <v>385</v>
      </c>
      <c r="R140" s="66" t="s">
        <v>158</v>
      </c>
    </row>
    <row r="141" spans="2:18" ht="42" customHeight="1">
      <c r="B141" s="63" t="str">
        <f t="shared" si="2"/>
        <v>No138</v>
      </c>
      <c r="C141" s="63" t="s">
        <v>142</v>
      </c>
      <c r="D141" s="63" t="s">
        <v>155</v>
      </c>
      <c r="E141" s="101">
        <v>45820</v>
      </c>
      <c r="F141" s="65">
        <v>0.63888888888888884</v>
      </c>
      <c r="G141" s="65">
        <v>0.66666666666666663</v>
      </c>
      <c r="H141" s="65">
        <v>2.777777777777778E-2</v>
      </c>
      <c r="I141" s="101">
        <v>45820</v>
      </c>
      <c r="J141" s="101">
        <v>45820</v>
      </c>
      <c r="K141" s="63" t="s">
        <v>119</v>
      </c>
      <c r="L141" s="63" t="s">
        <v>77</v>
      </c>
      <c r="M141" s="63"/>
      <c r="N141" s="63" t="s">
        <v>144</v>
      </c>
      <c r="O141" s="63" t="s">
        <v>122</v>
      </c>
      <c r="P141" s="63" t="s">
        <v>7</v>
      </c>
      <c r="Q141" s="66" t="s">
        <v>386</v>
      </c>
      <c r="R141" s="66" t="s">
        <v>158</v>
      </c>
    </row>
    <row r="142" spans="2:18" ht="42" customHeight="1">
      <c r="B142" s="63" t="str">
        <f t="shared" si="2"/>
        <v>No139</v>
      </c>
      <c r="C142" s="63" t="s">
        <v>142</v>
      </c>
      <c r="D142" s="63" t="s">
        <v>155</v>
      </c>
      <c r="E142" s="101">
        <v>45820</v>
      </c>
      <c r="F142" s="65">
        <v>0.83333333333333337</v>
      </c>
      <c r="G142" s="65">
        <v>0.38541666666666669</v>
      </c>
      <c r="H142" s="65">
        <v>2.0833333333333329E-2</v>
      </c>
      <c r="I142" s="101">
        <v>45821</v>
      </c>
      <c r="J142" s="101">
        <v>45821</v>
      </c>
      <c r="K142" s="63" t="s">
        <v>119</v>
      </c>
      <c r="L142" s="63" t="s">
        <v>77</v>
      </c>
      <c r="M142" s="63"/>
      <c r="N142" s="63" t="s">
        <v>144</v>
      </c>
      <c r="O142" s="63" t="s">
        <v>122</v>
      </c>
      <c r="P142" s="63" t="s">
        <v>7</v>
      </c>
      <c r="Q142" s="66" t="s">
        <v>386</v>
      </c>
      <c r="R142" s="66" t="s">
        <v>158</v>
      </c>
    </row>
    <row r="143" spans="2:18" ht="42" customHeight="1">
      <c r="B143" s="63" t="str">
        <f t="shared" si="2"/>
        <v>No140</v>
      </c>
      <c r="C143" s="63" t="s">
        <v>142</v>
      </c>
      <c r="D143" s="63" t="s">
        <v>155</v>
      </c>
      <c r="E143" s="101">
        <v>45821</v>
      </c>
      <c r="F143" s="65">
        <v>0.41666666666666669</v>
      </c>
      <c r="G143" s="65">
        <v>0.4236111111111111</v>
      </c>
      <c r="H143" s="65">
        <v>6.9444444444444441E-3</v>
      </c>
      <c r="I143" s="101">
        <v>45821</v>
      </c>
      <c r="J143" s="101">
        <v>45821</v>
      </c>
      <c r="K143" s="63" t="s">
        <v>119</v>
      </c>
      <c r="L143" s="63" t="s">
        <v>159</v>
      </c>
      <c r="M143" s="63"/>
      <c r="N143" s="63" t="s">
        <v>160</v>
      </c>
      <c r="O143" s="63" t="s">
        <v>122</v>
      </c>
      <c r="P143" s="63" t="s">
        <v>7</v>
      </c>
      <c r="Q143" s="66" t="s">
        <v>179</v>
      </c>
      <c r="R143" s="66" t="s">
        <v>158</v>
      </c>
    </row>
    <row r="144" spans="2:18" ht="42" customHeight="1">
      <c r="B144" s="63" t="str">
        <f t="shared" si="2"/>
        <v>No141</v>
      </c>
      <c r="C144" s="63" t="s">
        <v>142</v>
      </c>
      <c r="D144" s="63" t="s">
        <v>155</v>
      </c>
      <c r="E144" s="101">
        <v>45821</v>
      </c>
      <c r="F144" s="65">
        <v>0.46180555555555558</v>
      </c>
      <c r="G144" s="65">
        <v>0.4826388888888889</v>
      </c>
      <c r="H144" s="65">
        <v>6.9444444444444441E-3</v>
      </c>
      <c r="I144" s="101">
        <v>45821</v>
      </c>
      <c r="J144" s="101">
        <v>45821</v>
      </c>
      <c r="K144" s="63" t="s">
        <v>119</v>
      </c>
      <c r="L144" s="63" t="s">
        <v>159</v>
      </c>
      <c r="M144" s="63"/>
      <c r="N144" s="63" t="s">
        <v>160</v>
      </c>
      <c r="O144" s="63" t="s">
        <v>122</v>
      </c>
      <c r="P144" s="63" t="s">
        <v>7</v>
      </c>
      <c r="Q144" s="66" t="s">
        <v>179</v>
      </c>
      <c r="R144" s="66" t="s">
        <v>158</v>
      </c>
    </row>
    <row r="145" spans="2:18" ht="42" customHeight="1">
      <c r="B145" s="63" t="str">
        <f t="shared" si="2"/>
        <v>No142</v>
      </c>
      <c r="C145" s="63" t="s">
        <v>142</v>
      </c>
      <c r="D145" s="63" t="s">
        <v>155</v>
      </c>
      <c r="E145" s="101">
        <v>45821</v>
      </c>
      <c r="F145" s="65">
        <v>0.52083333333333337</v>
      </c>
      <c r="G145" s="65">
        <v>0.75694444444444442</v>
      </c>
      <c r="H145" s="65">
        <v>2.0833333333333329E-2</v>
      </c>
      <c r="I145" s="101">
        <v>45821</v>
      </c>
      <c r="J145" s="101">
        <v>45821</v>
      </c>
      <c r="K145" s="63" t="s">
        <v>119</v>
      </c>
      <c r="L145" s="63" t="s">
        <v>77</v>
      </c>
      <c r="M145" s="63"/>
      <c r="N145" s="63" t="s">
        <v>144</v>
      </c>
      <c r="O145" s="63" t="s">
        <v>122</v>
      </c>
      <c r="P145" s="63" t="s">
        <v>7</v>
      </c>
      <c r="Q145" s="66" t="s">
        <v>386</v>
      </c>
      <c r="R145" s="66" t="s">
        <v>158</v>
      </c>
    </row>
    <row r="146" spans="2:18" ht="42" customHeight="1">
      <c r="B146" s="63" t="str">
        <f t="shared" si="2"/>
        <v>No143</v>
      </c>
      <c r="C146" s="63" t="s">
        <v>142</v>
      </c>
      <c r="D146" s="63" t="s">
        <v>155</v>
      </c>
      <c r="E146" s="101">
        <v>45825</v>
      </c>
      <c r="F146" s="65">
        <v>0.38194444444444442</v>
      </c>
      <c r="G146" s="65">
        <v>0.3888888888888889</v>
      </c>
      <c r="H146" s="65">
        <v>6.9444444444444441E-3</v>
      </c>
      <c r="I146" s="101">
        <v>45825</v>
      </c>
      <c r="J146" s="101">
        <v>45825</v>
      </c>
      <c r="K146" s="63" t="s">
        <v>119</v>
      </c>
      <c r="L146" s="63" t="s">
        <v>159</v>
      </c>
      <c r="M146" s="63"/>
      <c r="N146" s="63" t="s">
        <v>187</v>
      </c>
      <c r="O146" s="63" t="s">
        <v>122</v>
      </c>
      <c r="P146" s="63" t="s">
        <v>7</v>
      </c>
      <c r="Q146" s="66" t="s">
        <v>208</v>
      </c>
      <c r="R146" s="66" t="s">
        <v>158</v>
      </c>
    </row>
    <row r="147" spans="2:18" ht="42" customHeight="1">
      <c r="B147" s="63" t="str">
        <f t="shared" si="2"/>
        <v>No144</v>
      </c>
      <c r="C147" s="63" t="s">
        <v>142</v>
      </c>
      <c r="D147" s="63" t="s">
        <v>155</v>
      </c>
      <c r="E147" s="101">
        <v>45825</v>
      </c>
      <c r="F147" s="65">
        <v>0.48958333333333331</v>
      </c>
      <c r="G147" s="65">
        <v>0.49652777777777779</v>
      </c>
      <c r="H147" s="65">
        <v>6.9444444444444441E-3</v>
      </c>
      <c r="I147" s="101">
        <v>45825</v>
      </c>
      <c r="J147" s="101">
        <v>45825</v>
      </c>
      <c r="K147" s="63" t="s">
        <v>119</v>
      </c>
      <c r="L147" s="63" t="s">
        <v>77</v>
      </c>
      <c r="M147" s="63"/>
      <c r="N147" s="63" t="s">
        <v>140</v>
      </c>
      <c r="O147" s="63" t="s">
        <v>122</v>
      </c>
      <c r="P147" s="63" t="s">
        <v>7</v>
      </c>
      <c r="Q147" s="66" t="s">
        <v>322</v>
      </c>
      <c r="R147" s="66" t="s">
        <v>158</v>
      </c>
    </row>
    <row r="148" spans="2:18" ht="18.75" customHeight="1">
      <c r="B148" s="63" t="str">
        <f t="shared" si="2"/>
        <v>No145</v>
      </c>
      <c r="C148" s="63" t="s">
        <v>104</v>
      </c>
      <c r="D148" s="63" t="s">
        <v>155</v>
      </c>
      <c r="E148" s="101">
        <v>45825</v>
      </c>
      <c r="F148" s="65">
        <v>0.72222222222222221</v>
      </c>
      <c r="G148" s="65">
        <v>0.73611111111111116</v>
      </c>
      <c r="H148" s="65">
        <v>1.388888888888889E-2</v>
      </c>
      <c r="I148" s="101">
        <v>45825</v>
      </c>
      <c r="J148" s="101">
        <v>45825</v>
      </c>
      <c r="K148" s="63" t="s">
        <v>20</v>
      </c>
      <c r="L148" s="63" t="s">
        <v>77</v>
      </c>
      <c r="M148" s="63"/>
      <c r="N148" s="63" t="s">
        <v>402</v>
      </c>
      <c r="O148" s="63" t="s">
        <v>117</v>
      </c>
      <c r="P148" s="63" t="s">
        <v>7</v>
      </c>
      <c r="Q148" s="66" t="s">
        <v>403</v>
      </c>
      <c r="R148" s="66" t="s">
        <v>404</v>
      </c>
    </row>
    <row r="149" spans="2:18" ht="33" customHeight="1">
      <c r="B149" s="63" t="str">
        <f t="shared" si="2"/>
        <v>No146</v>
      </c>
      <c r="C149" s="63" t="s">
        <v>104</v>
      </c>
      <c r="D149" s="63" t="s">
        <v>155</v>
      </c>
      <c r="E149" s="101">
        <v>45826</v>
      </c>
      <c r="F149" s="65">
        <v>0.3611111111111111</v>
      </c>
      <c r="G149" s="65">
        <v>0.77083333333333337</v>
      </c>
      <c r="H149" s="65">
        <v>4.1666666666666657E-2</v>
      </c>
      <c r="I149" s="101">
        <v>45826</v>
      </c>
      <c r="J149" s="101">
        <v>45826</v>
      </c>
      <c r="K149" s="63" t="s">
        <v>143</v>
      </c>
      <c r="L149" s="63" t="s">
        <v>111</v>
      </c>
      <c r="M149" s="63"/>
      <c r="N149" s="63" t="s">
        <v>405</v>
      </c>
      <c r="O149" s="63" t="s">
        <v>122</v>
      </c>
      <c r="P149" s="63" t="s">
        <v>7</v>
      </c>
      <c r="Q149" s="66" t="s">
        <v>406</v>
      </c>
      <c r="R149" s="66" t="s">
        <v>407</v>
      </c>
    </row>
    <row r="150" spans="2:18" ht="18.75" customHeight="1">
      <c r="B150" s="63" t="str">
        <f t="shared" si="2"/>
        <v>No147</v>
      </c>
      <c r="C150" s="63" t="s">
        <v>142</v>
      </c>
      <c r="D150" s="63" t="s">
        <v>4</v>
      </c>
      <c r="E150" s="101">
        <v>45819</v>
      </c>
      <c r="F150" s="65">
        <v>0.54166666666666663</v>
      </c>
      <c r="G150" s="65">
        <v>0.58333333333333337</v>
      </c>
      <c r="H150" s="65">
        <v>4.1666666666666657E-2</v>
      </c>
      <c r="I150" s="101">
        <v>45819</v>
      </c>
      <c r="J150" s="101">
        <v>45819</v>
      </c>
      <c r="K150" s="63" t="s">
        <v>40</v>
      </c>
      <c r="L150" s="63" t="s">
        <v>26</v>
      </c>
      <c r="M150" s="63"/>
      <c r="N150" s="63" t="s">
        <v>121</v>
      </c>
      <c r="O150" s="63" t="s">
        <v>6</v>
      </c>
      <c r="P150" s="63" t="s">
        <v>7</v>
      </c>
      <c r="Q150" s="66" t="s">
        <v>380</v>
      </c>
      <c r="R150" s="66" t="s">
        <v>381</v>
      </c>
    </row>
    <row r="151" spans="2:18" ht="18.75" customHeight="1">
      <c r="B151" s="63" t="str">
        <f t="shared" si="2"/>
        <v>No148</v>
      </c>
      <c r="C151" s="63" t="s">
        <v>166</v>
      </c>
      <c r="D151" s="63" t="s">
        <v>4</v>
      </c>
      <c r="E151" s="101">
        <v>45820</v>
      </c>
      <c r="F151" s="65">
        <v>0.41666666666666669</v>
      </c>
      <c r="G151" s="65">
        <v>0.45833333333333331</v>
      </c>
      <c r="H151" s="65">
        <v>4.1666666666666657E-2</v>
      </c>
      <c r="I151" s="101">
        <v>45820</v>
      </c>
      <c r="J151" s="101">
        <v>45820</v>
      </c>
      <c r="K151" s="63" t="s">
        <v>20</v>
      </c>
      <c r="L151" s="63" t="s">
        <v>311</v>
      </c>
      <c r="M151" s="63"/>
      <c r="N151" s="63" t="s">
        <v>121</v>
      </c>
      <c r="O151" s="63" t="s">
        <v>122</v>
      </c>
      <c r="P151" s="63" t="s">
        <v>7</v>
      </c>
      <c r="Q151" s="66" t="s">
        <v>383</v>
      </c>
      <c r="R151" s="66" t="s">
        <v>384</v>
      </c>
    </row>
    <row r="152" spans="2:18" ht="18.75" customHeight="1">
      <c r="B152" s="63" t="str">
        <f t="shared" si="2"/>
        <v>No149</v>
      </c>
      <c r="C152" s="63" t="s">
        <v>3</v>
      </c>
      <c r="D152" s="63" t="s">
        <v>4</v>
      </c>
      <c r="E152" s="101">
        <v>45821</v>
      </c>
      <c r="F152" s="65">
        <v>0.39583333333333331</v>
      </c>
      <c r="G152" s="65">
        <v>0.40625</v>
      </c>
      <c r="H152" s="65">
        <v>1.041666666666667E-2</v>
      </c>
      <c r="I152" s="101">
        <v>45821</v>
      </c>
      <c r="J152" s="101">
        <v>45821</v>
      </c>
      <c r="K152" s="63" t="s">
        <v>45</v>
      </c>
      <c r="L152" s="63" t="s">
        <v>26</v>
      </c>
      <c r="M152" s="63"/>
      <c r="N152" s="63" t="s">
        <v>155</v>
      </c>
      <c r="O152" s="63" t="s">
        <v>6</v>
      </c>
      <c r="P152" s="63" t="s">
        <v>7</v>
      </c>
      <c r="Q152" s="66" t="s">
        <v>390</v>
      </c>
      <c r="R152" s="66" t="s">
        <v>391</v>
      </c>
    </row>
    <row r="153" spans="2:18" ht="18.75" customHeight="1">
      <c r="B153" s="63" t="str">
        <f t="shared" si="2"/>
        <v>No150</v>
      </c>
      <c r="C153" s="63" t="s">
        <v>104</v>
      </c>
      <c r="D153" s="63" t="s">
        <v>4</v>
      </c>
      <c r="E153" s="101">
        <v>45821</v>
      </c>
      <c r="F153" s="65">
        <v>0.375</v>
      </c>
      <c r="G153" s="65">
        <v>0.54166666666666663</v>
      </c>
      <c r="H153" s="65">
        <v>0.16666666666666671</v>
      </c>
      <c r="I153" s="101">
        <v>45821</v>
      </c>
      <c r="J153" s="101">
        <v>45821</v>
      </c>
      <c r="K153" s="63" t="s">
        <v>45</v>
      </c>
      <c r="L153" s="63" t="s">
        <v>120</v>
      </c>
      <c r="M153" s="63"/>
      <c r="N153" s="63" t="s">
        <v>387</v>
      </c>
      <c r="O153" s="63" t="s">
        <v>6</v>
      </c>
      <c r="P153" s="63" t="s">
        <v>7</v>
      </c>
      <c r="Q153" s="66" t="s">
        <v>388</v>
      </c>
      <c r="R153" s="66" t="s">
        <v>389</v>
      </c>
    </row>
    <row r="154" spans="2:18" ht="18.75" customHeight="1">
      <c r="B154" s="63" t="str">
        <f t="shared" si="2"/>
        <v>No151</v>
      </c>
      <c r="C154" s="63" t="s">
        <v>166</v>
      </c>
      <c r="D154" s="63" t="s">
        <v>4</v>
      </c>
      <c r="E154" s="101">
        <v>45824</v>
      </c>
      <c r="F154" s="65">
        <v>0.41666666666666669</v>
      </c>
      <c r="G154" s="65">
        <v>0.45833333333333331</v>
      </c>
      <c r="H154" s="65">
        <v>4.1666666666666657E-2</v>
      </c>
      <c r="I154" s="101">
        <v>45824</v>
      </c>
      <c r="J154" s="101">
        <v>45824</v>
      </c>
      <c r="K154" s="63" t="s">
        <v>45</v>
      </c>
      <c r="L154" s="63" t="s">
        <v>121</v>
      </c>
      <c r="M154" s="63"/>
      <c r="N154" s="63" t="s">
        <v>121</v>
      </c>
      <c r="O154" s="63" t="s">
        <v>6</v>
      </c>
      <c r="P154" s="63" t="s">
        <v>7</v>
      </c>
      <c r="Q154" s="66" t="s">
        <v>392</v>
      </c>
      <c r="R154" s="66" t="s">
        <v>393</v>
      </c>
    </row>
    <row r="155" spans="2:18" ht="18.75" customHeight="1">
      <c r="B155" s="63" t="str">
        <f t="shared" si="2"/>
        <v>No152</v>
      </c>
      <c r="C155" s="63" t="s">
        <v>3</v>
      </c>
      <c r="D155" s="63" t="s">
        <v>4</v>
      </c>
      <c r="E155" s="101">
        <v>45825</v>
      </c>
      <c r="F155" s="65">
        <v>0.39583333333333331</v>
      </c>
      <c r="G155" s="65">
        <v>0.41666666666666669</v>
      </c>
      <c r="H155" s="65">
        <v>2.0833333333333329E-2</v>
      </c>
      <c r="I155" s="101">
        <v>45825</v>
      </c>
      <c r="J155" s="101">
        <v>45825</v>
      </c>
      <c r="K155" s="63" t="s">
        <v>40</v>
      </c>
      <c r="L155" s="63" t="s">
        <v>121</v>
      </c>
      <c r="M155" s="63"/>
      <c r="N155" s="63" t="s">
        <v>121</v>
      </c>
      <c r="O155" s="63" t="s">
        <v>6</v>
      </c>
      <c r="P155" s="63" t="s">
        <v>7</v>
      </c>
      <c r="Q155" s="66" t="s">
        <v>394</v>
      </c>
      <c r="R155" s="66" t="s">
        <v>395</v>
      </c>
    </row>
    <row r="156" spans="2:18" ht="30" customHeight="1">
      <c r="B156" s="63" t="str">
        <f t="shared" si="2"/>
        <v>No153</v>
      </c>
      <c r="C156" s="63" t="s">
        <v>142</v>
      </c>
      <c r="D156" s="63" t="s">
        <v>4</v>
      </c>
      <c r="E156" s="101">
        <v>45825</v>
      </c>
      <c r="F156" s="65">
        <v>0.4375</v>
      </c>
      <c r="G156" s="65">
        <v>0.5</v>
      </c>
      <c r="H156" s="65">
        <v>6.25E-2</v>
      </c>
      <c r="I156" s="101">
        <v>45825</v>
      </c>
      <c r="J156" s="101">
        <v>45825</v>
      </c>
      <c r="K156" s="63" t="s">
        <v>45</v>
      </c>
      <c r="L156" s="63" t="s">
        <v>121</v>
      </c>
      <c r="M156" s="63"/>
      <c r="N156" s="63" t="s">
        <v>121</v>
      </c>
      <c r="O156" s="63" t="s">
        <v>6</v>
      </c>
      <c r="P156" s="63" t="s">
        <v>7</v>
      </c>
      <c r="Q156" s="66" t="s">
        <v>396</v>
      </c>
      <c r="R156" s="66" t="s">
        <v>397</v>
      </c>
    </row>
    <row r="157" spans="2:18" ht="30" customHeight="1">
      <c r="B157" s="63" t="str">
        <f t="shared" si="2"/>
        <v>No154</v>
      </c>
      <c r="C157" s="63" t="s">
        <v>3</v>
      </c>
      <c r="D157" s="63" t="s">
        <v>4</v>
      </c>
      <c r="E157" s="101">
        <v>45825</v>
      </c>
      <c r="F157" s="65">
        <v>0.45833333333333331</v>
      </c>
      <c r="G157" s="65">
        <v>0.47916666666666669</v>
      </c>
      <c r="H157" s="65">
        <v>2.0833333333333329E-2</v>
      </c>
      <c r="I157" s="101">
        <v>45825</v>
      </c>
      <c r="J157" s="101">
        <v>45825</v>
      </c>
      <c r="K157" s="63" t="s">
        <v>143</v>
      </c>
      <c r="L157" s="63" t="s">
        <v>121</v>
      </c>
      <c r="M157" s="63"/>
      <c r="N157" s="63" t="s">
        <v>121</v>
      </c>
      <c r="O157" s="63" t="s">
        <v>6</v>
      </c>
      <c r="P157" s="63" t="s">
        <v>7</v>
      </c>
      <c r="Q157" s="66" t="s">
        <v>398</v>
      </c>
      <c r="R157" s="66" t="s">
        <v>399</v>
      </c>
    </row>
    <row r="158" spans="2:18" ht="18.75" customHeight="1">
      <c r="B158" s="63" t="str">
        <f t="shared" si="2"/>
        <v>No155</v>
      </c>
      <c r="C158" s="63" t="s">
        <v>142</v>
      </c>
      <c r="D158" s="63" t="s">
        <v>4</v>
      </c>
      <c r="E158" s="101">
        <v>45825</v>
      </c>
      <c r="F158" s="65">
        <v>0.58333333333333337</v>
      </c>
      <c r="G158" s="65">
        <v>0.60416666666666663</v>
      </c>
      <c r="H158" s="65">
        <v>2.0833333333333329E-2</v>
      </c>
      <c r="I158" s="101">
        <v>45825</v>
      </c>
      <c r="J158" s="101">
        <v>45825</v>
      </c>
      <c r="K158" s="63" t="s">
        <v>143</v>
      </c>
      <c r="L158" s="63" t="s">
        <v>121</v>
      </c>
      <c r="M158" s="63"/>
      <c r="N158" s="63" t="s">
        <v>121</v>
      </c>
      <c r="O158" s="63" t="s">
        <v>6</v>
      </c>
      <c r="P158" s="63" t="s">
        <v>7</v>
      </c>
      <c r="Q158" s="66" t="s">
        <v>400</v>
      </c>
      <c r="R158" s="66" t="s">
        <v>401</v>
      </c>
    </row>
    <row r="159" spans="2:18" ht="18.75" customHeight="1">
      <c r="B159" s="63" t="str">
        <f t="shared" si="2"/>
        <v>No156</v>
      </c>
      <c r="C159" s="63" t="s">
        <v>166</v>
      </c>
      <c r="D159" s="63" t="s">
        <v>4</v>
      </c>
      <c r="E159" s="101">
        <v>45826</v>
      </c>
      <c r="F159" s="65">
        <v>0.41666666666666669</v>
      </c>
      <c r="G159" s="65">
        <v>0.45833333333333331</v>
      </c>
      <c r="H159" s="65">
        <v>4.1666666666666657E-2</v>
      </c>
      <c r="I159" s="101">
        <v>45826</v>
      </c>
      <c r="J159" s="101">
        <v>45826</v>
      </c>
      <c r="K159" s="63" t="s">
        <v>40</v>
      </c>
      <c r="L159" s="63" t="s">
        <v>21</v>
      </c>
      <c r="M159" s="63"/>
      <c r="N159" s="63" t="s">
        <v>314</v>
      </c>
      <c r="O159" s="63" t="s">
        <v>6</v>
      </c>
      <c r="P159" s="63" t="s">
        <v>7</v>
      </c>
      <c r="Q159" s="66" t="s">
        <v>408</v>
      </c>
      <c r="R159" s="66" t="s">
        <v>409</v>
      </c>
    </row>
    <row r="160" spans="2:18" ht="18.75" customHeight="1">
      <c r="B160" s="63" t="str">
        <f t="shared" si="2"/>
        <v>No157</v>
      </c>
      <c r="C160" s="63" t="s">
        <v>104</v>
      </c>
      <c r="D160" s="63" t="s">
        <v>4</v>
      </c>
      <c r="E160" s="101">
        <v>45826</v>
      </c>
      <c r="F160" s="65">
        <v>0.54166666666666663</v>
      </c>
      <c r="G160" s="65">
        <v>0.5625</v>
      </c>
      <c r="H160" s="65">
        <v>2.0833333333333329E-2</v>
      </c>
      <c r="I160" s="101">
        <v>45826</v>
      </c>
      <c r="J160" s="101">
        <v>45826</v>
      </c>
      <c r="K160" s="63" t="s">
        <v>20</v>
      </c>
      <c r="L160" s="63" t="s">
        <v>35</v>
      </c>
      <c r="M160" s="63"/>
      <c r="N160" s="63" t="s">
        <v>102</v>
      </c>
      <c r="O160" s="63" t="s">
        <v>6</v>
      </c>
      <c r="P160" s="63" t="s">
        <v>7</v>
      </c>
      <c r="Q160" s="66" t="s">
        <v>410</v>
      </c>
      <c r="R160" s="66" t="s">
        <v>411</v>
      </c>
    </row>
    <row r="161" spans="2:18" ht="18.75" customHeight="1">
      <c r="B161" s="63" t="str">
        <f t="shared" si="2"/>
        <v>No158</v>
      </c>
      <c r="C161" s="63" t="s">
        <v>142</v>
      </c>
      <c r="D161" s="63" t="s">
        <v>4</v>
      </c>
      <c r="E161" s="101">
        <v>45826</v>
      </c>
      <c r="F161" s="65">
        <v>0.58333333333333337</v>
      </c>
      <c r="G161" s="65">
        <v>0.60416666666666663</v>
      </c>
      <c r="H161" s="65">
        <v>2.0833333333333329E-2</v>
      </c>
      <c r="I161" s="101">
        <v>45826</v>
      </c>
      <c r="J161" s="101">
        <v>45826</v>
      </c>
      <c r="K161" s="63" t="s">
        <v>40</v>
      </c>
      <c r="L161" s="63" t="s">
        <v>35</v>
      </c>
      <c r="M161" s="63"/>
      <c r="N161" s="63" t="s">
        <v>102</v>
      </c>
      <c r="O161" s="63" t="s">
        <v>6</v>
      </c>
      <c r="P161" s="63" t="s">
        <v>7</v>
      </c>
      <c r="Q161" s="66" t="s">
        <v>412</v>
      </c>
      <c r="R161" s="66" t="s">
        <v>413</v>
      </c>
    </row>
    <row r="162" spans="2:18" ht="18.75" customHeight="1">
      <c r="B162" s="63" t="str">
        <f t="shared" si="2"/>
        <v>No159</v>
      </c>
      <c r="C162" s="63" t="s">
        <v>142</v>
      </c>
      <c r="D162" s="63" t="s">
        <v>4</v>
      </c>
      <c r="E162" s="101">
        <v>45826</v>
      </c>
      <c r="F162" s="65">
        <v>0.72916666666666663</v>
      </c>
      <c r="G162" s="65">
        <v>0.75</v>
      </c>
      <c r="H162" s="65">
        <v>2.0833333333333329E-2</v>
      </c>
      <c r="I162" s="101">
        <v>45826</v>
      </c>
      <c r="J162" s="101">
        <v>45826</v>
      </c>
      <c r="K162" s="63" t="s">
        <v>40</v>
      </c>
      <c r="L162" s="63" t="s">
        <v>21</v>
      </c>
      <c r="M162" s="63"/>
      <c r="N162" s="63" t="s">
        <v>136</v>
      </c>
      <c r="O162" s="63" t="s">
        <v>6</v>
      </c>
      <c r="P162" s="63" t="s">
        <v>7</v>
      </c>
      <c r="Q162" s="66" t="s">
        <v>414</v>
      </c>
      <c r="R162" s="66" t="s">
        <v>415</v>
      </c>
    </row>
    <row r="163" spans="2:18" ht="18.75" customHeight="1">
      <c r="B163" s="63" t="str">
        <f t="shared" si="2"/>
        <v>No160</v>
      </c>
      <c r="C163" s="63" t="s">
        <v>142</v>
      </c>
      <c r="D163" s="63" t="s">
        <v>4</v>
      </c>
      <c r="E163" s="101">
        <v>45826</v>
      </c>
      <c r="F163" s="65">
        <v>0.75</v>
      </c>
      <c r="G163" s="65">
        <v>0.8125</v>
      </c>
      <c r="H163" s="65">
        <v>6.25E-2</v>
      </c>
      <c r="I163" s="101">
        <v>45826</v>
      </c>
      <c r="J163" s="101">
        <v>45826</v>
      </c>
      <c r="K163" s="63" t="s">
        <v>20</v>
      </c>
      <c r="L163" s="63" t="s">
        <v>111</v>
      </c>
      <c r="M163" s="63"/>
      <c r="N163" s="63" t="s">
        <v>173</v>
      </c>
      <c r="O163" s="63" t="s">
        <v>6</v>
      </c>
      <c r="P163" s="63" t="s">
        <v>7</v>
      </c>
      <c r="Q163" s="66" t="s">
        <v>416</v>
      </c>
      <c r="R163" s="66" t="s">
        <v>417</v>
      </c>
    </row>
    <row r="164" spans="2:18" ht="31.5" customHeight="1">
      <c r="B164" s="63" t="str">
        <f t="shared" si="2"/>
        <v>No161</v>
      </c>
      <c r="C164" s="63" t="s">
        <v>142</v>
      </c>
      <c r="D164" s="63" t="s">
        <v>155</v>
      </c>
      <c r="E164" s="101">
        <v>45827</v>
      </c>
      <c r="F164" s="65">
        <v>0.42708333333333331</v>
      </c>
      <c r="G164" s="65">
        <v>0.4375</v>
      </c>
      <c r="H164" s="65">
        <v>1.041666666666667E-2</v>
      </c>
      <c r="I164" s="101">
        <v>45827</v>
      </c>
      <c r="J164" s="101">
        <v>45827</v>
      </c>
      <c r="K164" s="63" t="s">
        <v>119</v>
      </c>
      <c r="L164" s="63" t="s">
        <v>41</v>
      </c>
      <c r="M164" s="63"/>
      <c r="N164" s="63" t="s">
        <v>277</v>
      </c>
      <c r="O164" s="63" t="s">
        <v>122</v>
      </c>
      <c r="P164" s="63" t="s">
        <v>7</v>
      </c>
      <c r="Q164" s="66" t="s">
        <v>385</v>
      </c>
      <c r="R164" s="66" t="s">
        <v>158</v>
      </c>
    </row>
    <row r="165" spans="2:18" ht="31.5" customHeight="1">
      <c r="B165" s="63" t="str">
        <f t="shared" si="2"/>
        <v>No162</v>
      </c>
      <c r="C165" s="63" t="s">
        <v>142</v>
      </c>
      <c r="D165" s="63" t="s">
        <v>155</v>
      </c>
      <c r="E165" s="101">
        <v>45827</v>
      </c>
      <c r="F165" s="65">
        <v>0.46180555555555558</v>
      </c>
      <c r="G165" s="65">
        <v>0.47222222222222221</v>
      </c>
      <c r="H165" s="65">
        <v>1.041666666666667E-2</v>
      </c>
      <c r="I165" s="101">
        <v>45827</v>
      </c>
      <c r="J165" s="101">
        <v>45827</v>
      </c>
      <c r="K165" s="63" t="s">
        <v>119</v>
      </c>
      <c r="L165" s="63" t="s">
        <v>111</v>
      </c>
      <c r="M165" s="63"/>
      <c r="N165" s="63" t="s">
        <v>229</v>
      </c>
      <c r="O165" s="63" t="s">
        <v>122</v>
      </c>
      <c r="P165" s="63" t="s">
        <v>7</v>
      </c>
      <c r="Q165" s="66" t="s">
        <v>208</v>
      </c>
      <c r="R165" s="66" t="s">
        <v>158</v>
      </c>
    </row>
    <row r="166" spans="2:18" ht="18.75" customHeight="1">
      <c r="B166" s="63" t="str">
        <f t="shared" si="2"/>
        <v>No163</v>
      </c>
      <c r="C166" s="63" t="s">
        <v>142</v>
      </c>
      <c r="D166" s="63" t="s">
        <v>155</v>
      </c>
      <c r="E166" s="101">
        <v>45827</v>
      </c>
      <c r="F166" s="65">
        <v>0.5</v>
      </c>
      <c r="G166" s="65">
        <v>0.53125</v>
      </c>
      <c r="H166" s="65">
        <v>3.125E-2</v>
      </c>
      <c r="I166" s="101">
        <v>45827</v>
      </c>
      <c r="J166" s="101">
        <v>45827</v>
      </c>
      <c r="K166" s="63" t="s">
        <v>20</v>
      </c>
      <c r="L166" s="63" t="s">
        <v>41</v>
      </c>
      <c r="M166" s="63"/>
      <c r="N166" s="63" t="s">
        <v>277</v>
      </c>
      <c r="O166" s="63" t="s">
        <v>122</v>
      </c>
      <c r="P166" s="63" t="s">
        <v>7</v>
      </c>
      <c r="Q166" s="66" t="s">
        <v>418</v>
      </c>
      <c r="R166" s="66" t="s">
        <v>419</v>
      </c>
    </row>
    <row r="167" spans="2:18" ht="27.75" customHeight="1">
      <c r="B167" s="63" t="str">
        <f t="shared" si="2"/>
        <v>No164</v>
      </c>
      <c r="C167" s="63" t="s">
        <v>142</v>
      </c>
      <c r="D167" s="63" t="s">
        <v>155</v>
      </c>
      <c r="E167" s="101">
        <v>45828</v>
      </c>
      <c r="F167" s="65">
        <v>0.5</v>
      </c>
      <c r="G167" s="65">
        <v>0.54861111111111116</v>
      </c>
      <c r="H167" s="65">
        <v>6.9444444444444441E-3</v>
      </c>
      <c r="I167" s="101">
        <v>45828</v>
      </c>
      <c r="J167" s="101">
        <v>45828</v>
      </c>
      <c r="K167" s="63" t="s">
        <v>119</v>
      </c>
      <c r="L167" s="63" t="s">
        <v>159</v>
      </c>
      <c r="M167" s="63"/>
      <c r="N167" s="63" t="s">
        <v>160</v>
      </c>
      <c r="O167" s="63" t="s">
        <v>122</v>
      </c>
      <c r="P167" s="63" t="s">
        <v>7</v>
      </c>
      <c r="Q167" s="66" t="s">
        <v>179</v>
      </c>
      <c r="R167" s="66" t="s">
        <v>158</v>
      </c>
    </row>
    <row r="168" spans="2:18" ht="18.75" customHeight="1">
      <c r="B168" s="63" t="str">
        <f t="shared" si="2"/>
        <v>No165</v>
      </c>
      <c r="C168" s="63" t="s">
        <v>142</v>
      </c>
      <c r="D168" s="63" t="s">
        <v>155</v>
      </c>
      <c r="E168" s="101">
        <v>45831</v>
      </c>
      <c r="F168" s="65">
        <v>0.66666666666666663</v>
      </c>
      <c r="G168" s="65">
        <v>0.72916666666666663</v>
      </c>
      <c r="H168" s="65">
        <v>6.25E-2</v>
      </c>
      <c r="I168" s="101">
        <v>45831</v>
      </c>
      <c r="J168" s="101">
        <v>45831</v>
      </c>
      <c r="K168" s="63" t="s">
        <v>95</v>
      </c>
      <c r="L168" s="63" t="s">
        <v>159</v>
      </c>
      <c r="M168" s="63"/>
      <c r="N168" s="63" t="s">
        <v>187</v>
      </c>
      <c r="O168" s="63" t="s">
        <v>122</v>
      </c>
      <c r="P168" s="63" t="s">
        <v>7</v>
      </c>
      <c r="Q168" s="66" t="s">
        <v>427</v>
      </c>
      <c r="R168" s="66" t="s">
        <v>428</v>
      </c>
    </row>
    <row r="169" spans="2:18" ht="18.75" customHeight="1">
      <c r="B169" s="63" t="str">
        <f t="shared" si="2"/>
        <v>No166</v>
      </c>
      <c r="C169" s="63" t="s">
        <v>3</v>
      </c>
      <c r="D169" s="63" t="s">
        <v>4</v>
      </c>
      <c r="E169" s="101">
        <v>45831</v>
      </c>
      <c r="F169" s="65">
        <v>0.41666666666666669</v>
      </c>
      <c r="G169" s="65">
        <v>0.4375</v>
      </c>
      <c r="H169" s="65">
        <v>2.0833333333333329E-2</v>
      </c>
      <c r="I169" s="101">
        <v>45831</v>
      </c>
      <c r="J169" s="101">
        <v>45831</v>
      </c>
      <c r="K169" s="63" t="s">
        <v>20</v>
      </c>
      <c r="L169" s="63" t="s">
        <v>159</v>
      </c>
      <c r="M169" s="63"/>
      <c r="N169" s="63" t="s">
        <v>420</v>
      </c>
      <c r="O169" s="63" t="s">
        <v>6</v>
      </c>
      <c r="P169" s="63" t="s">
        <v>7</v>
      </c>
      <c r="Q169" s="66" t="s">
        <v>421</v>
      </c>
      <c r="R169" s="66" t="s">
        <v>422</v>
      </c>
    </row>
    <row r="170" spans="2:18" ht="18.75" customHeight="1">
      <c r="B170" s="63" t="str">
        <f t="shared" si="2"/>
        <v>No167</v>
      </c>
      <c r="C170" s="63" t="s">
        <v>142</v>
      </c>
      <c r="D170" s="63" t="s">
        <v>4</v>
      </c>
      <c r="E170" s="101">
        <v>45831</v>
      </c>
      <c r="F170" s="65">
        <v>0.41666666666666669</v>
      </c>
      <c r="G170" s="65">
        <v>0.58333333333333337</v>
      </c>
      <c r="H170" s="65">
        <v>0.16666666666666671</v>
      </c>
      <c r="I170" s="101">
        <v>45831</v>
      </c>
      <c r="J170" s="101">
        <v>45831</v>
      </c>
      <c r="K170" s="63" t="s">
        <v>143</v>
      </c>
      <c r="L170" s="63" t="s">
        <v>21</v>
      </c>
      <c r="M170" s="63"/>
      <c r="N170" s="63" t="s">
        <v>109</v>
      </c>
      <c r="O170" s="63" t="s">
        <v>6</v>
      </c>
      <c r="P170" s="63" t="s">
        <v>7</v>
      </c>
      <c r="Q170" s="66" t="s">
        <v>423</v>
      </c>
      <c r="R170" s="66" t="s">
        <v>424</v>
      </c>
    </row>
    <row r="171" spans="2:18" ht="18.75" customHeight="1">
      <c r="B171" s="63" t="str">
        <f t="shared" si="2"/>
        <v>No168</v>
      </c>
      <c r="C171" s="63" t="s">
        <v>142</v>
      </c>
      <c r="D171" s="63" t="s">
        <v>4</v>
      </c>
      <c r="E171" s="101">
        <v>45831</v>
      </c>
      <c r="F171" s="65">
        <v>0.45833333333333331</v>
      </c>
      <c r="G171" s="65">
        <v>0.5</v>
      </c>
      <c r="H171" s="65">
        <v>4.1666666666666657E-2</v>
      </c>
      <c r="I171" s="101">
        <v>45831</v>
      </c>
      <c r="J171" s="101">
        <v>45831</v>
      </c>
      <c r="K171" s="63" t="s">
        <v>20</v>
      </c>
      <c r="L171" s="63" t="s">
        <v>26</v>
      </c>
      <c r="M171" s="63"/>
      <c r="N171" s="63" t="s">
        <v>4</v>
      </c>
      <c r="O171" s="63" t="s">
        <v>6</v>
      </c>
      <c r="P171" s="63" t="s">
        <v>7</v>
      </c>
      <c r="Q171" s="66" t="s">
        <v>425</v>
      </c>
      <c r="R171" s="66" t="s">
        <v>426</v>
      </c>
    </row>
    <row r="172" spans="2:18" ht="18.75" customHeight="1">
      <c r="B172" s="63" t="str">
        <f t="shared" si="2"/>
        <v>No169</v>
      </c>
      <c r="C172" s="63" t="s">
        <v>142</v>
      </c>
      <c r="D172" s="63" t="s">
        <v>4</v>
      </c>
      <c r="E172" s="101">
        <v>45832</v>
      </c>
      <c r="F172" s="65">
        <v>0.54166666666666663</v>
      </c>
      <c r="G172" s="65">
        <v>0.625</v>
      </c>
      <c r="H172" s="65">
        <v>8.3333333333333329E-2</v>
      </c>
      <c r="I172" s="101">
        <v>45832</v>
      </c>
      <c r="J172" s="101">
        <v>45832</v>
      </c>
      <c r="K172" s="63" t="s">
        <v>143</v>
      </c>
      <c r="L172" s="63" t="s">
        <v>21</v>
      </c>
      <c r="M172" s="63"/>
      <c r="N172" s="63" t="s">
        <v>429</v>
      </c>
      <c r="O172" s="63" t="s">
        <v>6</v>
      </c>
      <c r="P172" s="63" t="s">
        <v>7</v>
      </c>
      <c r="Q172" s="66" t="s">
        <v>423</v>
      </c>
      <c r="R172" s="66" t="s">
        <v>424</v>
      </c>
    </row>
    <row r="173" spans="2:18" ht="18.75" customHeight="1">
      <c r="B173" s="63" t="str">
        <f t="shared" si="2"/>
        <v>No170</v>
      </c>
      <c r="C173" s="63" t="s">
        <v>104</v>
      </c>
      <c r="D173" s="63" t="s">
        <v>4</v>
      </c>
      <c r="E173" s="101">
        <v>45832</v>
      </c>
      <c r="F173" s="65">
        <v>0.66666666666666663</v>
      </c>
      <c r="G173" s="65">
        <v>0.75</v>
      </c>
      <c r="H173" s="65">
        <v>8.3333333333333329E-2</v>
      </c>
      <c r="I173" s="101">
        <v>45834</v>
      </c>
      <c r="J173" s="101">
        <v>45834</v>
      </c>
      <c r="K173" s="63" t="s">
        <v>95</v>
      </c>
      <c r="L173" s="63" t="s">
        <v>41</v>
      </c>
      <c r="M173" s="63"/>
      <c r="N173" s="63" t="s">
        <v>277</v>
      </c>
      <c r="O173" s="63" t="s">
        <v>122</v>
      </c>
      <c r="P173" s="63" t="s">
        <v>7</v>
      </c>
      <c r="Q173" s="66" t="s">
        <v>430</v>
      </c>
      <c r="R173" s="66" t="s">
        <v>431</v>
      </c>
    </row>
    <row r="174" spans="2:18" ht="18.75" customHeight="1">
      <c r="B174" s="63" t="str">
        <f t="shared" si="2"/>
        <v>No171</v>
      </c>
      <c r="C174" s="63" t="s">
        <v>3</v>
      </c>
      <c r="D174" s="63" t="s">
        <v>4</v>
      </c>
      <c r="E174" s="101">
        <v>45833</v>
      </c>
      <c r="F174" s="65">
        <v>0.33333333333333331</v>
      </c>
      <c r="G174" s="65">
        <v>0.39583333333333331</v>
      </c>
      <c r="H174" s="65">
        <v>6.25E-2</v>
      </c>
      <c r="I174" s="101">
        <v>45833</v>
      </c>
      <c r="J174" s="101">
        <v>45833</v>
      </c>
      <c r="K174" s="63" t="s">
        <v>20</v>
      </c>
      <c r="L174" s="63" t="s">
        <v>26</v>
      </c>
      <c r="M174" s="63"/>
      <c r="N174" s="63" t="s">
        <v>4</v>
      </c>
      <c r="O174" s="63" t="s">
        <v>6</v>
      </c>
      <c r="P174" s="63" t="s">
        <v>7</v>
      </c>
      <c r="Q174" s="66" t="s">
        <v>432</v>
      </c>
      <c r="R174" s="66" t="s">
        <v>433</v>
      </c>
    </row>
    <row r="175" spans="2:18" ht="18.75" customHeight="1">
      <c r="B175" s="63" t="str">
        <f t="shared" si="2"/>
        <v>No172</v>
      </c>
      <c r="C175" s="63" t="s">
        <v>142</v>
      </c>
      <c r="D175" s="63" t="s">
        <v>4</v>
      </c>
      <c r="E175" s="101">
        <v>45833</v>
      </c>
      <c r="F175" s="65">
        <v>0.54166666666666663</v>
      </c>
      <c r="G175" s="65">
        <v>0.58333333333333337</v>
      </c>
      <c r="H175" s="65">
        <v>4.1666666666666657E-2</v>
      </c>
      <c r="I175" s="101">
        <v>45833</v>
      </c>
      <c r="J175" s="101">
        <v>45833</v>
      </c>
      <c r="K175" s="63" t="s">
        <v>40</v>
      </c>
      <c r="L175" s="63" t="s">
        <v>26</v>
      </c>
      <c r="M175" s="63"/>
      <c r="N175" s="63" t="s">
        <v>4</v>
      </c>
      <c r="O175" s="63" t="s">
        <v>6</v>
      </c>
      <c r="P175" s="63" t="s">
        <v>7</v>
      </c>
      <c r="Q175" s="66" t="s">
        <v>434</v>
      </c>
      <c r="R175" s="66" t="s">
        <v>435</v>
      </c>
    </row>
    <row r="176" spans="2:18" ht="18.75" customHeight="1">
      <c r="B176" s="63" t="str">
        <f t="shared" si="2"/>
        <v>No173</v>
      </c>
      <c r="C176" s="63" t="s">
        <v>142</v>
      </c>
      <c r="D176" s="63" t="s">
        <v>4</v>
      </c>
      <c r="E176" s="101">
        <v>45833</v>
      </c>
      <c r="F176" s="65">
        <v>0.625</v>
      </c>
      <c r="G176" s="65">
        <v>0.66666666666666663</v>
      </c>
      <c r="H176" s="65">
        <v>4.1666666666666657E-2</v>
      </c>
      <c r="I176" s="101">
        <v>45833</v>
      </c>
      <c r="J176" s="101">
        <v>45833</v>
      </c>
      <c r="K176" s="63" t="s">
        <v>45</v>
      </c>
      <c r="L176" s="63" t="s">
        <v>120</v>
      </c>
      <c r="M176" s="63"/>
      <c r="N176" s="63" t="s">
        <v>152</v>
      </c>
      <c r="O176" s="63" t="s">
        <v>6</v>
      </c>
      <c r="P176" s="63" t="s">
        <v>7</v>
      </c>
      <c r="Q176" s="66" t="s">
        <v>436</v>
      </c>
      <c r="R176" s="66" t="s">
        <v>437</v>
      </c>
    </row>
    <row r="177" spans="2:18" ht="30.75" customHeight="1">
      <c r="B177" s="63" t="str">
        <f t="shared" si="2"/>
        <v>No174</v>
      </c>
      <c r="C177" s="63" t="s">
        <v>104</v>
      </c>
      <c r="D177" s="63" t="s">
        <v>4</v>
      </c>
      <c r="E177" s="101">
        <v>45834</v>
      </c>
      <c r="F177" s="65">
        <v>0.375</v>
      </c>
      <c r="G177" s="65">
        <v>0.38194444444444442</v>
      </c>
      <c r="H177" s="65">
        <v>6.9444444444444441E-3</v>
      </c>
      <c r="I177" s="101">
        <v>45834</v>
      </c>
      <c r="J177" s="101">
        <v>45834</v>
      </c>
      <c r="K177" s="63" t="s">
        <v>20</v>
      </c>
      <c r="L177" s="63" t="s">
        <v>41</v>
      </c>
      <c r="M177" s="63"/>
      <c r="N177" s="63" t="s">
        <v>438</v>
      </c>
      <c r="O177" s="63" t="s">
        <v>6</v>
      </c>
      <c r="P177" s="63" t="s">
        <v>7</v>
      </c>
      <c r="Q177" s="66" t="s">
        <v>439</v>
      </c>
      <c r="R177" s="66" t="s">
        <v>440</v>
      </c>
    </row>
    <row r="178" spans="2:18" ht="18.75" customHeight="1">
      <c r="B178" s="63" t="str">
        <f t="shared" si="2"/>
        <v>No175</v>
      </c>
      <c r="C178" s="63" t="s">
        <v>142</v>
      </c>
      <c r="D178" s="63" t="s">
        <v>155</v>
      </c>
      <c r="E178" s="101">
        <v>45834</v>
      </c>
      <c r="F178" s="65">
        <v>0.3888888888888889</v>
      </c>
      <c r="G178" s="65">
        <v>0.40277777777777779</v>
      </c>
      <c r="H178" s="65">
        <v>1.388888888888889E-2</v>
      </c>
      <c r="I178" s="101">
        <v>45834</v>
      </c>
      <c r="J178" s="101">
        <v>45834</v>
      </c>
      <c r="K178" s="63" t="s">
        <v>119</v>
      </c>
      <c r="L178" s="63" t="s">
        <v>111</v>
      </c>
      <c r="M178" s="63"/>
      <c r="N178" s="63" t="s">
        <v>205</v>
      </c>
      <c r="O178" s="63" t="s">
        <v>122</v>
      </c>
      <c r="P178" s="63" t="s">
        <v>7</v>
      </c>
      <c r="Q178" s="66" t="s">
        <v>208</v>
      </c>
      <c r="R178" s="66" t="s">
        <v>441</v>
      </c>
    </row>
    <row r="179" spans="2:18" ht="27.75" customHeight="1">
      <c r="B179" s="63" t="str">
        <f t="shared" si="2"/>
        <v>No176</v>
      </c>
      <c r="C179" s="63" t="s">
        <v>186</v>
      </c>
      <c r="D179" s="63" t="s">
        <v>155</v>
      </c>
      <c r="E179" s="101">
        <v>45838</v>
      </c>
      <c r="F179" s="65">
        <v>0.40277777777777779</v>
      </c>
      <c r="G179" s="65">
        <v>0.40625</v>
      </c>
      <c r="H179" s="65">
        <v>3.472222222222222E-3</v>
      </c>
      <c r="I179" s="101">
        <v>45838</v>
      </c>
      <c r="J179" s="101">
        <v>45838</v>
      </c>
      <c r="K179" s="63" t="s">
        <v>20</v>
      </c>
      <c r="L179" s="63" t="s">
        <v>111</v>
      </c>
      <c r="M179" s="63"/>
      <c r="N179" s="63" t="s">
        <v>201</v>
      </c>
      <c r="O179" s="63" t="s">
        <v>6</v>
      </c>
      <c r="P179" s="63" t="s">
        <v>7</v>
      </c>
      <c r="Q179" s="66" t="s">
        <v>442</v>
      </c>
      <c r="R179" s="66" t="s">
        <v>443</v>
      </c>
    </row>
    <row r="180" spans="2:18" ht="27.75" customHeight="1">
      <c r="B180" s="63" t="str">
        <f t="shared" si="2"/>
        <v>No177</v>
      </c>
      <c r="C180" s="63" t="s">
        <v>142</v>
      </c>
      <c r="D180" s="63" t="s">
        <v>155</v>
      </c>
      <c r="E180" s="101">
        <v>45838</v>
      </c>
      <c r="F180" s="65">
        <v>0.4375</v>
      </c>
      <c r="G180" s="65">
        <v>0.47916666666666669</v>
      </c>
      <c r="H180" s="65">
        <v>4.1666666666666657E-2</v>
      </c>
      <c r="I180" s="101">
        <v>45838</v>
      </c>
      <c r="J180" s="101">
        <v>45838</v>
      </c>
      <c r="K180" s="63" t="s">
        <v>119</v>
      </c>
      <c r="L180" s="63" t="s">
        <v>77</v>
      </c>
      <c r="M180" s="63"/>
      <c r="N180" s="63" t="s">
        <v>144</v>
      </c>
      <c r="O180" s="63" t="s">
        <v>6</v>
      </c>
      <c r="P180" s="63" t="s">
        <v>7</v>
      </c>
      <c r="Q180" s="66" t="s">
        <v>444</v>
      </c>
      <c r="R180" s="66" t="s">
        <v>158</v>
      </c>
    </row>
    <row r="181" spans="2:18" ht="27.75" customHeight="1">
      <c r="B181" s="63" t="str">
        <f t="shared" si="2"/>
        <v>No178</v>
      </c>
      <c r="C181" s="63" t="s">
        <v>142</v>
      </c>
      <c r="D181" s="63" t="s">
        <v>155</v>
      </c>
      <c r="E181" s="101">
        <v>45838</v>
      </c>
      <c r="F181" s="65">
        <v>0.4861111111111111</v>
      </c>
      <c r="G181" s="65">
        <v>0.49305555555555558</v>
      </c>
      <c r="H181" s="65">
        <v>6.9444444444444441E-3</v>
      </c>
      <c r="I181" s="101">
        <v>45838</v>
      </c>
      <c r="J181" s="101">
        <v>45838</v>
      </c>
      <c r="K181" s="63" t="s">
        <v>119</v>
      </c>
      <c r="L181" s="63" t="s">
        <v>159</v>
      </c>
      <c r="M181" s="63"/>
      <c r="N181" s="63" t="s">
        <v>288</v>
      </c>
      <c r="O181" s="63" t="s">
        <v>122</v>
      </c>
      <c r="P181" s="63" t="s">
        <v>7</v>
      </c>
      <c r="Q181" s="66" t="s">
        <v>246</v>
      </c>
      <c r="R181" s="66" t="s">
        <v>158</v>
      </c>
    </row>
    <row r="182" spans="2:18" ht="27.75" customHeight="1">
      <c r="B182" s="63" t="str">
        <f t="shared" si="2"/>
        <v>No179</v>
      </c>
      <c r="C182" s="63" t="s">
        <v>142</v>
      </c>
      <c r="D182" s="63" t="s">
        <v>155</v>
      </c>
      <c r="E182" s="101">
        <v>45838</v>
      </c>
      <c r="F182" s="65">
        <v>0.44444444444444442</v>
      </c>
      <c r="G182" s="65">
        <v>0.72916666666666663</v>
      </c>
      <c r="H182" s="65">
        <v>1.041666666666667E-2</v>
      </c>
      <c r="I182" s="101">
        <v>45838</v>
      </c>
      <c r="J182" s="101">
        <v>45838</v>
      </c>
      <c r="K182" s="63" t="s">
        <v>119</v>
      </c>
      <c r="L182" s="63" t="s">
        <v>77</v>
      </c>
      <c r="M182" s="63"/>
      <c r="N182" s="63" t="s">
        <v>99</v>
      </c>
      <c r="O182" s="63" t="s">
        <v>117</v>
      </c>
      <c r="P182" s="63" t="s">
        <v>7</v>
      </c>
      <c r="Q182" s="66" t="s">
        <v>445</v>
      </c>
      <c r="R182" s="66" t="s">
        <v>158</v>
      </c>
    </row>
    <row r="183" spans="2:18" ht="27.75" customHeight="1">
      <c r="B183" s="63" t="str">
        <f t="shared" si="2"/>
        <v>No180</v>
      </c>
      <c r="C183" s="63" t="s">
        <v>142</v>
      </c>
      <c r="D183" s="63" t="s">
        <v>116</v>
      </c>
      <c r="E183" s="101">
        <v>45838</v>
      </c>
      <c r="F183" s="65">
        <v>0.44444444444444442</v>
      </c>
      <c r="G183" s="65">
        <v>0.78125</v>
      </c>
      <c r="H183" s="65">
        <v>4.1666666666666657E-2</v>
      </c>
      <c r="I183" s="101">
        <v>45838</v>
      </c>
      <c r="J183" s="101">
        <v>45838</v>
      </c>
      <c r="K183" s="63" t="s">
        <v>119</v>
      </c>
      <c r="L183" s="63" t="s">
        <v>77</v>
      </c>
      <c r="M183" s="63"/>
      <c r="N183" s="63" t="s">
        <v>99</v>
      </c>
      <c r="O183" s="63" t="s">
        <v>117</v>
      </c>
      <c r="P183" s="63" t="s">
        <v>7</v>
      </c>
      <c r="Q183" s="66" t="s">
        <v>446</v>
      </c>
      <c r="R183" s="66" t="s">
        <v>158</v>
      </c>
    </row>
    <row r="184" spans="2:18" ht="18.75" customHeight="1">
      <c r="B184" s="63" t="str">
        <f t="shared" si="2"/>
        <v>No181</v>
      </c>
      <c r="C184" s="63" t="s">
        <v>142</v>
      </c>
      <c r="D184" s="63" t="s">
        <v>4</v>
      </c>
      <c r="E184" s="101">
        <v>45839</v>
      </c>
      <c r="F184" s="65">
        <v>0.41666666666666669</v>
      </c>
      <c r="G184" s="65">
        <v>0.45833333333333331</v>
      </c>
      <c r="H184" s="65">
        <v>4.1666666666666657E-2</v>
      </c>
      <c r="I184" s="101">
        <v>45839</v>
      </c>
      <c r="J184" s="101">
        <v>45839</v>
      </c>
      <c r="K184" s="63" t="s">
        <v>45</v>
      </c>
      <c r="L184" s="63" t="s">
        <v>77</v>
      </c>
      <c r="M184" s="63"/>
      <c r="N184" s="63" t="s">
        <v>198</v>
      </c>
      <c r="O184" s="63" t="s">
        <v>6</v>
      </c>
      <c r="P184" s="63" t="s">
        <v>7</v>
      </c>
      <c r="Q184" s="66" t="s">
        <v>449</v>
      </c>
      <c r="R184" s="66" t="s">
        <v>450</v>
      </c>
    </row>
    <row r="185" spans="2:18" ht="18.75" customHeight="1">
      <c r="B185" s="63" t="str">
        <f t="shared" si="2"/>
        <v>No182</v>
      </c>
      <c r="C185" s="63" t="s">
        <v>166</v>
      </c>
      <c r="D185" s="63" t="s">
        <v>4</v>
      </c>
      <c r="E185" s="101">
        <v>45839</v>
      </c>
      <c r="F185" s="65">
        <v>0.41666666666666669</v>
      </c>
      <c r="G185" s="65">
        <v>0.5</v>
      </c>
      <c r="H185" s="65">
        <v>8.3333333333333329E-2</v>
      </c>
      <c r="I185" s="101">
        <v>45839</v>
      </c>
      <c r="J185" s="101">
        <v>45839</v>
      </c>
      <c r="K185" s="63" t="s">
        <v>20</v>
      </c>
      <c r="L185" s="63" t="s">
        <v>311</v>
      </c>
      <c r="M185" s="63"/>
      <c r="N185" s="63" t="s">
        <v>121</v>
      </c>
      <c r="O185" s="63" t="s">
        <v>122</v>
      </c>
      <c r="P185" s="63" t="s">
        <v>7</v>
      </c>
      <c r="Q185" s="66" t="s">
        <v>447</v>
      </c>
      <c r="R185" s="66" t="s">
        <v>448</v>
      </c>
    </row>
    <row r="186" spans="2:18" ht="24" customHeight="1">
      <c r="B186" s="63" t="str">
        <f t="shared" si="2"/>
        <v>No183</v>
      </c>
      <c r="C186" s="63" t="s">
        <v>142</v>
      </c>
      <c r="D186" s="63" t="s">
        <v>155</v>
      </c>
      <c r="E186" s="101">
        <v>45839</v>
      </c>
      <c r="F186" s="65">
        <v>0.46527777777777779</v>
      </c>
      <c r="G186" s="65">
        <v>0.47916666666666669</v>
      </c>
      <c r="H186" s="65">
        <v>1.388888888888889E-2</v>
      </c>
      <c r="I186" s="101">
        <v>45839</v>
      </c>
      <c r="J186" s="101">
        <v>45839</v>
      </c>
      <c r="K186" s="63" t="s">
        <v>119</v>
      </c>
      <c r="L186" s="63" t="s">
        <v>159</v>
      </c>
      <c r="M186" s="63"/>
      <c r="N186" s="63" t="s">
        <v>160</v>
      </c>
      <c r="O186" s="63" t="s">
        <v>122</v>
      </c>
      <c r="P186" s="63" t="s">
        <v>7</v>
      </c>
      <c r="Q186" s="66" t="s">
        <v>208</v>
      </c>
      <c r="R186" s="66" t="s">
        <v>158</v>
      </c>
    </row>
    <row r="187" spans="2:18" ht="18.75" customHeight="1">
      <c r="B187" s="63" t="str">
        <f t="shared" si="2"/>
        <v>No184</v>
      </c>
      <c r="C187" s="63" t="s">
        <v>166</v>
      </c>
      <c r="D187" s="63" t="s">
        <v>4</v>
      </c>
      <c r="E187" s="101">
        <v>45839</v>
      </c>
      <c r="F187" s="65">
        <v>0.54166666666666663</v>
      </c>
      <c r="G187" s="65">
        <v>0.58333333333333337</v>
      </c>
      <c r="H187" s="65">
        <v>4.1666666666666657E-2</v>
      </c>
      <c r="I187" s="101">
        <v>45839</v>
      </c>
      <c r="J187" s="101">
        <v>45839</v>
      </c>
      <c r="K187" s="63" t="s">
        <v>45</v>
      </c>
      <c r="L187" s="63" t="s">
        <v>26</v>
      </c>
      <c r="M187" s="63"/>
      <c r="N187" s="63" t="s">
        <v>121</v>
      </c>
      <c r="O187" s="63" t="s">
        <v>6</v>
      </c>
      <c r="P187" s="63" t="s">
        <v>7</v>
      </c>
      <c r="Q187" s="66" t="s">
        <v>451</v>
      </c>
      <c r="R187" s="66" t="s">
        <v>452</v>
      </c>
    </row>
    <row r="188" spans="2:18" ht="18.75" customHeight="1">
      <c r="B188" s="63" t="str">
        <f t="shared" si="2"/>
        <v>No185</v>
      </c>
      <c r="C188" s="63" t="s">
        <v>142</v>
      </c>
      <c r="D188" s="63" t="s">
        <v>4</v>
      </c>
      <c r="E188" s="101">
        <v>45839</v>
      </c>
      <c r="F188" s="65">
        <v>0.58333333333333337</v>
      </c>
      <c r="G188" s="65">
        <v>0.60416666666666663</v>
      </c>
      <c r="H188" s="65">
        <v>2.0833333333333329E-2</v>
      </c>
      <c r="I188" s="101">
        <v>45839</v>
      </c>
      <c r="J188" s="101">
        <v>45839</v>
      </c>
      <c r="K188" s="63" t="s">
        <v>45</v>
      </c>
      <c r="L188" s="63" t="s">
        <v>77</v>
      </c>
      <c r="M188" s="63"/>
      <c r="N188" s="63" t="s">
        <v>198</v>
      </c>
      <c r="O188" s="63" t="s">
        <v>6</v>
      </c>
      <c r="P188" s="63" t="s">
        <v>7</v>
      </c>
      <c r="Q188" s="66" t="s">
        <v>453</v>
      </c>
      <c r="R188" s="66" t="s">
        <v>101</v>
      </c>
    </row>
    <row r="189" spans="2:18" ht="18.75" customHeight="1">
      <c r="B189" s="63" t="str">
        <f t="shared" si="2"/>
        <v>No186</v>
      </c>
      <c r="C189" s="63" t="s">
        <v>166</v>
      </c>
      <c r="D189" s="63" t="s">
        <v>4</v>
      </c>
      <c r="E189" s="101">
        <v>45839</v>
      </c>
      <c r="F189" s="65">
        <v>0.70833333333333337</v>
      </c>
      <c r="G189" s="65">
        <v>0.75</v>
      </c>
      <c r="H189" s="65">
        <v>4.1666666666666657E-2</v>
      </c>
      <c r="I189" s="101">
        <v>45839</v>
      </c>
      <c r="J189" s="101">
        <v>45839</v>
      </c>
      <c r="K189" s="63" t="s">
        <v>40</v>
      </c>
      <c r="L189" s="63" t="s">
        <v>26</v>
      </c>
      <c r="M189" s="63"/>
      <c r="N189" s="63" t="s">
        <v>121</v>
      </c>
      <c r="O189" s="63" t="s">
        <v>6</v>
      </c>
      <c r="P189" s="63" t="s">
        <v>7</v>
      </c>
      <c r="Q189" s="66" t="s">
        <v>454</v>
      </c>
      <c r="R189" s="66" t="s">
        <v>101</v>
      </c>
    </row>
    <row r="190" spans="2:18" ht="24" customHeight="1">
      <c r="B190" s="63" t="str">
        <f t="shared" si="2"/>
        <v>No187</v>
      </c>
      <c r="C190" s="63" t="s">
        <v>166</v>
      </c>
      <c r="D190" s="63" t="s">
        <v>4</v>
      </c>
      <c r="E190" s="101">
        <v>45839</v>
      </c>
      <c r="F190" s="65">
        <v>0.75</v>
      </c>
      <c r="G190" s="65">
        <v>0.79166666666666663</v>
      </c>
      <c r="H190" s="65">
        <v>4.1666666666666657E-2</v>
      </c>
      <c r="I190" s="101">
        <v>45839</v>
      </c>
      <c r="J190" s="101">
        <v>45839</v>
      </c>
      <c r="K190" s="63" t="s">
        <v>143</v>
      </c>
      <c r="L190" s="63" t="s">
        <v>159</v>
      </c>
      <c r="M190" s="63"/>
      <c r="N190" s="63" t="s">
        <v>420</v>
      </c>
      <c r="O190" s="63" t="s">
        <v>6</v>
      </c>
      <c r="P190" s="63" t="s">
        <v>7</v>
      </c>
      <c r="Q190" s="66" t="s">
        <v>455</v>
      </c>
      <c r="R190" s="66" t="s">
        <v>456</v>
      </c>
    </row>
    <row r="191" spans="2:18" ht="18.75" customHeight="1">
      <c r="B191" s="63" t="str">
        <f t="shared" si="2"/>
        <v>No188</v>
      </c>
      <c r="C191" s="63" t="s">
        <v>166</v>
      </c>
      <c r="D191" s="63" t="s">
        <v>4</v>
      </c>
      <c r="E191" s="101">
        <v>45840</v>
      </c>
      <c r="F191" s="65">
        <v>0.39583333333333331</v>
      </c>
      <c r="G191" s="65">
        <v>0.4375</v>
      </c>
      <c r="H191" s="65">
        <v>4.1666666666666657E-2</v>
      </c>
      <c r="I191" s="101">
        <v>45840</v>
      </c>
      <c r="J191" s="101">
        <v>45840</v>
      </c>
      <c r="K191" s="63" t="s">
        <v>20</v>
      </c>
      <c r="L191" s="63" t="s">
        <v>111</v>
      </c>
      <c r="M191" s="63"/>
      <c r="N191" s="63" t="s">
        <v>457</v>
      </c>
      <c r="O191" s="63" t="s">
        <v>6</v>
      </c>
      <c r="P191" s="63" t="s">
        <v>7</v>
      </c>
      <c r="Q191" s="66" t="s">
        <v>458</v>
      </c>
      <c r="R191" s="66" t="s">
        <v>459</v>
      </c>
    </row>
    <row r="192" spans="2:18" ht="24.75" customHeight="1">
      <c r="B192" s="63" t="str">
        <f t="shared" si="2"/>
        <v>No189</v>
      </c>
      <c r="C192" s="63" t="s">
        <v>104</v>
      </c>
      <c r="D192" s="63" t="s">
        <v>4</v>
      </c>
      <c r="E192" s="101">
        <v>45840</v>
      </c>
      <c r="F192" s="65">
        <v>0.41666666666666669</v>
      </c>
      <c r="G192" s="65">
        <v>0.42708333333333331</v>
      </c>
      <c r="H192" s="65">
        <v>1.041666666666667E-2</v>
      </c>
      <c r="I192" s="101">
        <v>45840</v>
      </c>
      <c r="J192" s="101">
        <v>45840</v>
      </c>
      <c r="K192" s="63" t="s">
        <v>20</v>
      </c>
      <c r="L192" s="63" t="s">
        <v>77</v>
      </c>
      <c r="M192" s="63"/>
      <c r="N192" s="63" t="s">
        <v>460</v>
      </c>
      <c r="O192" s="63" t="s">
        <v>6</v>
      </c>
      <c r="P192" s="63" t="s">
        <v>7</v>
      </c>
      <c r="Q192" s="66" t="s">
        <v>461</v>
      </c>
      <c r="R192" s="66" t="s">
        <v>462</v>
      </c>
    </row>
    <row r="193" spans="2:18" ht="24.75" customHeight="1">
      <c r="B193" s="63" t="str">
        <f t="shared" si="2"/>
        <v>No190</v>
      </c>
      <c r="C193" s="63" t="s">
        <v>142</v>
      </c>
      <c r="D193" s="63" t="s">
        <v>4</v>
      </c>
      <c r="E193" s="101">
        <v>45840</v>
      </c>
      <c r="F193" s="65">
        <v>0.4375</v>
      </c>
      <c r="G193" s="65">
        <v>0.625</v>
      </c>
      <c r="H193" s="65">
        <v>0.1875</v>
      </c>
      <c r="I193" s="101">
        <v>45840</v>
      </c>
      <c r="J193" s="101">
        <v>45840</v>
      </c>
      <c r="K193" s="63" t="s">
        <v>20</v>
      </c>
      <c r="L193" s="63" t="s">
        <v>35</v>
      </c>
      <c r="M193" s="63"/>
      <c r="N193" s="63" t="s">
        <v>121</v>
      </c>
      <c r="O193" s="63" t="s">
        <v>6</v>
      </c>
      <c r="P193" s="63" t="s">
        <v>7</v>
      </c>
      <c r="Q193" s="66" t="s">
        <v>463</v>
      </c>
      <c r="R193" s="66" t="s">
        <v>464</v>
      </c>
    </row>
    <row r="194" spans="2:18" ht="18.75" customHeight="1">
      <c r="B194" s="63" t="str">
        <f t="shared" si="2"/>
        <v>No191</v>
      </c>
      <c r="C194" s="63" t="s">
        <v>186</v>
      </c>
      <c r="D194" s="63" t="s">
        <v>116</v>
      </c>
      <c r="E194" s="101">
        <v>45840</v>
      </c>
      <c r="F194" s="65">
        <v>0.45833333333333331</v>
      </c>
      <c r="G194" s="65">
        <v>0.66666666666666663</v>
      </c>
      <c r="H194" s="65">
        <v>0.20833333333333329</v>
      </c>
      <c r="I194" s="101">
        <v>45840</v>
      </c>
      <c r="J194" s="101">
        <v>45841</v>
      </c>
      <c r="K194" s="63" t="s">
        <v>45</v>
      </c>
      <c r="L194" s="63" t="s">
        <v>77</v>
      </c>
      <c r="M194" s="63"/>
      <c r="N194" s="63" t="s">
        <v>198</v>
      </c>
      <c r="O194" s="63" t="s">
        <v>122</v>
      </c>
      <c r="P194" s="63" t="s">
        <v>7</v>
      </c>
      <c r="Q194" s="66" t="s">
        <v>465</v>
      </c>
      <c r="R194" s="66" t="s">
        <v>466</v>
      </c>
    </row>
    <row r="195" spans="2:18" ht="23.25" customHeight="1">
      <c r="B195" s="63" t="str">
        <f t="shared" si="2"/>
        <v>No192</v>
      </c>
      <c r="C195" s="63" t="s">
        <v>166</v>
      </c>
      <c r="D195" s="63" t="s">
        <v>4</v>
      </c>
      <c r="E195" s="101">
        <v>45840</v>
      </c>
      <c r="F195" s="65">
        <v>0.5625</v>
      </c>
      <c r="G195" s="65">
        <v>0.625</v>
      </c>
      <c r="H195" s="65">
        <v>6.25E-2</v>
      </c>
      <c r="I195" s="101">
        <v>45840</v>
      </c>
      <c r="J195" s="101">
        <v>45840</v>
      </c>
      <c r="K195" s="63" t="s">
        <v>40</v>
      </c>
      <c r="L195" s="63" t="s">
        <v>41</v>
      </c>
      <c r="M195" s="63"/>
      <c r="N195" s="63" t="s">
        <v>467</v>
      </c>
      <c r="O195" s="63" t="s">
        <v>6</v>
      </c>
      <c r="P195" s="63" t="s">
        <v>7</v>
      </c>
      <c r="Q195" s="66" t="s">
        <v>468</v>
      </c>
      <c r="R195" s="66" t="s">
        <v>469</v>
      </c>
    </row>
    <row r="196" spans="2:18" ht="23.25" customHeight="1">
      <c r="B196" s="63" t="str">
        <f t="shared" ref="B196:B259" si="3">"No"&amp;ROW()-3</f>
        <v>No193</v>
      </c>
      <c r="C196" s="63" t="s">
        <v>104</v>
      </c>
      <c r="D196" s="63" t="s">
        <v>4</v>
      </c>
      <c r="E196" s="101">
        <v>45840</v>
      </c>
      <c r="F196" s="65">
        <v>0.625</v>
      </c>
      <c r="G196" s="65">
        <v>0.63541666666666663</v>
      </c>
      <c r="H196" s="65">
        <v>1.041666666666667E-2</v>
      </c>
      <c r="I196" s="101">
        <v>45840</v>
      </c>
      <c r="J196" s="101">
        <v>45840</v>
      </c>
      <c r="K196" s="63" t="s">
        <v>20</v>
      </c>
      <c r="L196" s="63" t="s">
        <v>77</v>
      </c>
      <c r="M196" s="63"/>
      <c r="N196" s="63" t="s">
        <v>470</v>
      </c>
      <c r="O196" s="63" t="s">
        <v>6</v>
      </c>
      <c r="P196" s="63" t="s">
        <v>7</v>
      </c>
      <c r="Q196" s="66" t="s">
        <v>461</v>
      </c>
      <c r="R196" s="66" t="s">
        <v>471</v>
      </c>
    </row>
    <row r="197" spans="2:18" ht="18.75" customHeight="1">
      <c r="B197" s="63" t="str">
        <f t="shared" si="3"/>
        <v>No194</v>
      </c>
      <c r="C197" s="63" t="s">
        <v>142</v>
      </c>
      <c r="D197" s="63" t="s">
        <v>4</v>
      </c>
      <c r="E197" s="101">
        <v>45840</v>
      </c>
      <c r="F197" s="65">
        <v>0.625</v>
      </c>
      <c r="G197" s="65">
        <v>0.70833333333333337</v>
      </c>
      <c r="H197" s="65">
        <v>8.3333333333333329E-2</v>
      </c>
      <c r="I197" s="101">
        <v>45840</v>
      </c>
      <c r="J197" s="101">
        <v>45840</v>
      </c>
      <c r="K197" s="63" t="s">
        <v>45</v>
      </c>
      <c r="L197" s="63" t="s">
        <v>35</v>
      </c>
      <c r="M197" s="63"/>
      <c r="N197" s="63" t="s">
        <v>121</v>
      </c>
      <c r="O197" s="63" t="s">
        <v>6</v>
      </c>
      <c r="P197" s="63" t="s">
        <v>7</v>
      </c>
      <c r="Q197" s="66" t="s">
        <v>472</v>
      </c>
      <c r="R197" s="66" t="s">
        <v>464</v>
      </c>
    </row>
    <row r="198" spans="2:18" ht="28.5" customHeight="1">
      <c r="B198" s="63" t="str">
        <f t="shared" si="3"/>
        <v>No195</v>
      </c>
      <c r="C198" s="63" t="s">
        <v>142</v>
      </c>
      <c r="D198" s="63" t="s">
        <v>155</v>
      </c>
      <c r="E198" s="101">
        <v>45840</v>
      </c>
      <c r="F198" s="65">
        <v>0.66666666666666663</v>
      </c>
      <c r="G198" s="65">
        <v>0.70833333333333337</v>
      </c>
      <c r="H198" s="65">
        <v>6.9444444444444441E-3</v>
      </c>
      <c r="I198" s="101">
        <v>45840</v>
      </c>
      <c r="J198" s="101">
        <v>45841</v>
      </c>
      <c r="K198" s="63" t="s">
        <v>119</v>
      </c>
      <c r="L198" s="63" t="s">
        <v>41</v>
      </c>
      <c r="M198" s="63"/>
      <c r="N198" s="63" t="s">
        <v>277</v>
      </c>
      <c r="O198" s="63" t="s">
        <v>122</v>
      </c>
      <c r="P198" s="63" t="s">
        <v>7</v>
      </c>
      <c r="Q198" s="66" t="s">
        <v>385</v>
      </c>
      <c r="R198" s="66" t="s">
        <v>158</v>
      </c>
    </row>
    <row r="199" spans="2:18" ht="28.5" customHeight="1">
      <c r="B199" s="63" t="str">
        <f t="shared" si="3"/>
        <v>No196</v>
      </c>
      <c r="C199" s="63" t="s">
        <v>166</v>
      </c>
      <c r="D199" s="63" t="s">
        <v>4</v>
      </c>
      <c r="E199" s="101">
        <v>45840</v>
      </c>
      <c r="F199" s="65">
        <v>0.70833333333333337</v>
      </c>
      <c r="G199" s="65">
        <v>0.75</v>
      </c>
      <c r="H199" s="65">
        <v>4.1666666666666657E-2</v>
      </c>
      <c r="I199" s="101">
        <v>45840</v>
      </c>
      <c r="J199" s="101">
        <v>45840</v>
      </c>
      <c r="K199" s="63" t="s">
        <v>45</v>
      </c>
      <c r="L199" s="63" t="s">
        <v>111</v>
      </c>
      <c r="M199" s="63"/>
      <c r="N199" s="63" t="s">
        <v>473</v>
      </c>
      <c r="O199" s="63" t="s">
        <v>6</v>
      </c>
      <c r="P199" s="63" t="s">
        <v>7</v>
      </c>
      <c r="Q199" s="66" t="s">
        <v>474</v>
      </c>
      <c r="R199" s="66" t="s">
        <v>475</v>
      </c>
    </row>
    <row r="200" spans="2:18" ht="28.5" customHeight="1">
      <c r="B200" s="63" t="str">
        <f t="shared" si="3"/>
        <v>No197</v>
      </c>
      <c r="C200" s="63" t="s">
        <v>142</v>
      </c>
      <c r="D200" s="63" t="s">
        <v>155</v>
      </c>
      <c r="E200" s="101">
        <v>45842</v>
      </c>
      <c r="F200" s="65">
        <v>0.36458333333333331</v>
      </c>
      <c r="G200" s="65">
        <v>0.38194444444444442</v>
      </c>
      <c r="H200" s="65">
        <v>1.7361111111111108E-2</v>
      </c>
      <c r="I200" s="101">
        <v>45842</v>
      </c>
      <c r="J200" s="101">
        <v>45842</v>
      </c>
      <c r="K200" s="63" t="s">
        <v>119</v>
      </c>
      <c r="L200" s="63" t="s">
        <v>176</v>
      </c>
      <c r="M200" s="63"/>
      <c r="N200" s="63" t="s">
        <v>156</v>
      </c>
      <c r="O200" s="63" t="s">
        <v>122</v>
      </c>
      <c r="P200" s="63" t="s">
        <v>7</v>
      </c>
      <c r="Q200" s="66" t="s">
        <v>476</v>
      </c>
      <c r="R200" s="66" t="s">
        <v>158</v>
      </c>
    </row>
    <row r="201" spans="2:18" ht="28.5" customHeight="1">
      <c r="B201" s="63" t="str">
        <f t="shared" si="3"/>
        <v>No198</v>
      </c>
      <c r="C201" s="63" t="s">
        <v>142</v>
      </c>
      <c r="D201" s="63" t="s">
        <v>155</v>
      </c>
      <c r="E201" s="101">
        <v>45842</v>
      </c>
      <c r="F201" s="65">
        <v>0.47222222222222221</v>
      </c>
      <c r="G201" s="65">
        <v>0.47916666666666669</v>
      </c>
      <c r="H201" s="65">
        <v>6.9444444444444441E-3</v>
      </c>
      <c r="I201" s="101">
        <v>45842</v>
      </c>
      <c r="J201" s="101">
        <v>45842</v>
      </c>
      <c r="K201" s="63" t="s">
        <v>119</v>
      </c>
      <c r="L201" s="63" t="s">
        <v>77</v>
      </c>
      <c r="M201" s="63"/>
      <c r="N201" s="63" t="s">
        <v>211</v>
      </c>
      <c r="O201" s="63" t="s">
        <v>122</v>
      </c>
      <c r="P201" s="63" t="s">
        <v>7</v>
      </c>
      <c r="Q201" s="66" t="s">
        <v>212</v>
      </c>
      <c r="R201" s="66" t="s">
        <v>158</v>
      </c>
    </row>
    <row r="202" spans="2:18" ht="28.5" customHeight="1">
      <c r="B202" s="63" t="str">
        <f t="shared" si="3"/>
        <v>No199</v>
      </c>
      <c r="C202" s="63" t="s">
        <v>142</v>
      </c>
      <c r="D202" s="63" t="s">
        <v>155</v>
      </c>
      <c r="E202" s="101">
        <v>45842</v>
      </c>
      <c r="F202" s="65">
        <v>0.63541666666666663</v>
      </c>
      <c r="G202" s="65">
        <v>0.64236111111111116</v>
      </c>
      <c r="H202" s="65">
        <v>6.9444444444444441E-3</v>
      </c>
      <c r="I202" s="101">
        <v>45842</v>
      </c>
      <c r="J202" s="101">
        <v>45842</v>
      </c>
      <c r="K202" s="63" t="s">
        <v>119</v>
      </c>
      <c r="L202" s="63" t="s">
        <v>41</v>
      </c>
      <c r="M202" s="63"/>
      <c r="N202" s="63" t="s">
        <v>277</v>
      </c>
      <c r="O202" s="63" t="s">
        <v>122</v>
      </c>
      <c r="P202" s="63" t="s">
        <v>7</v>
      </c>
      <c r="Q202" s="66" t="s">
        <v>385</v>
      </c>
      <c r="R202" s="66" t="s">
        <v>158</v>
      </c>
    </row>
    <row r="203" spans="2:18" ht="28.5" customHeight="1">
      <c r="B203" s="63" t="str">
        <f t="shared" si="3"/>
        <v>No200</v>
      </c>
      <c r="C203" s="63" t="s">
        <v>142</v>
      </c>
      <c r="D203" s="63" t="s">
        <v>4</v>
      </c>
      <c r="E203" s="101">
        <v>45845</v>
      </c>
      <c r="F203" s="65">
        <v>0.41666666666666669</v>
      </c>
      <c r="G203" s="65">
        <v>0.60416666666666663</v>
      </c>
      <c r="H203" s="65">
        <v>0.1875</v>
      </c>
      <c r="I203" s="101">
        <v>45845</v>
      </c>
      <c r="J203" s="101">
        <v>45845</v>
      </c>
      <c r="K203" s="63" t="s">
        <v>40</v>
      </c>
      <c r="L203" s="63" t="s">
        <v>35</v>
      </c>
      <c r="M203" s="63"/>
      <c r="N203" s="63" t="s">
        <v>477</v>
      </c>
      <c r="O203" s="63" t="s">
        <v>6</v>
      </c>
      <c r="P203" s="63" t="s">
        <v>7</v>
      </c>
      <c r="Q203" s="66" t="s">
        <v>478</v>
      </c>
      <c r="R203" s="66" t="s">
        <v>464</v>
      </c>
    </row>
    <row r="204" spans="2:18" ht="28.5" customHeight="1">
      <c r="B204" s="63" t="str">
        <f t="shared" si="3"/>
        <v>No201</v>
      </c>
      <c r="C204" s="63" t="s">
        <v>142</v>
      </c>
      <c r="D204" s="63" t="s">
        <v>155</v>
      </c>
      <c r="E204" s="101">
        <v>45845</v>
      </c>
      <c r="F204" s="65">
        <v>0.59027777777777779</v>
      </c>
      <c r="G204" s="65">
        <v>0.59722222222222221</v>
      </c>
      <c r="H204" s="65">
        <v>6.9444444444444441E-3</v>
      </c>
      <c r="I204" s="101">
        <v>45845</v>
      </c>
      <c r="J204" s="101">
        <v>45845</v>
      </c>
      <c r="K204" s="63" t="s">
        <v>119</v>
      </c>
      <c r="L204" s="63" t="s">
        <v>159</v>
      </c>
      <c r="M204" s="63"/>
      <c r="N204" s="63" t="s">
        <v>288</v>
      </c>
      <c r="O204" s="63" t="s">
        <v>122</v>
      </c>
      <c r="P204" s="63" t="s">
        <v>7</v>
      </c>
      <c r="Q204" s="66" t="s">
        <v>246</v>
      </c>
      <c r="R204" s="66" t="s">
        <v>158</v>
      </c>
    </row>
    <row r="205" spans="2:18" ht="28.5" customHeight="1">
      <c r="B205" s="63" t="str">
        <f t="shared" si="3"/>
        <v>No202</v>
      </c>
      <c r="C205" s="63" t="s">
        <v>142</v>
      </c>
      <c r="D205" s="63" t="s">
        <v>4</v>
      </c>
      <c r="E205" s="101">
        <v>45845</v>
      </c>
      <c r="F205" s="65">
        <v>0.625</v>
      </c>
      <c r="G205" s="65">
        <v>0.66666666666666663</v>
      </c>
      <c r="H205" s="65">
        <v>4.1666666666666657E-2</v>
      </c>
      <c r="I205" s="101">
        <v>45845</v>
      </c>
      <c r="J205" s="101">
        <v>45845</v>
      </c>
      <c r="K205" s="63" t="s">
        <v>40</v>
      </c>
      <c r="L205" s="63" t="s">
        <v>35</v>
      </c>
      <c r="M205" s="63"/>
      <c r="N205" s="63" t="s">
        <v>477</v>
      </c>
      <c r="O205" s="63" t="s">
        <v>6</v>
      </c>
      <c r="P205" s="63" t="s">
        <v>7</v>
      </c>
      <c r="Q205" s="66" t="s">
        <v>479</v>
      </c>
      <c r="R205" s="66" t="s">
        <v>464</v>
      </c>
    </row>
    <row r="206" spans="2:18" ht="18.75" customHeight="1">
      <c r="B206" s="63" t="str">
        <f t="shared" si="3"/>
        <v>No203</v>
      </c>
      <c r="C206" s="63" t="s">
        <v>142</v>
      </c>
      <c r="D206" s="63" t="s">
        <v>155</v>
      </c>
      <c r="E206" s="101">
        <v>45845</v>
      </c>
      <c r="F206" s="65">
        <v>0.70833333333333337</v>
      </c>
      <c r="G206" s="65">
        <v>0.71875</v>
      </c>
      <c r="H206" s="65">
        <v>1.041666666666667E-2</v>
      </c>
      <c r="I206" s="101">
        <v>45845</v>
      </c>
      <c r="J206" s="101">
        <v>45845</v>
      </c>
      <c r="K206" s="63" t="s">
        <v>283</v>
      </c>
      <c r="L206" s="63" t="s">
        <v>26</v>
      </c>
      <c r="M206" s="63"/>
      <c r="N206" s="63" t="s">
        <v>167</v>
      </c>
      <c r="O206" s="63" t="s">
        <v>117</v>
      </c>
      <c r="P206" s="63" t="s">
        <v>7</v>
      </c>
      <c r="Q206" s="66" t="s">
        <v>480</v>
      </c>
      <c r="R206" s="66" t="s">
        <v>481</v>
      </c>
    </row>
    <row r="207" spans="2:18" ht="18.75" customHeight="1">
      <c r="B207" s="63" t="str">
        <f t="shared" si="3"/>
        <v>No204</v>
      </c>
      <c r="C207" s="63" t="s">
        <v>142</v>
      </c>
      <c r="D207" s="63" t="s">
        <v>155</v>
      </c>
      <c r="E207" s="101">
        <v>45846</v>
      </c>
      <c r="F207" s="65">
        <v>0.38194444444444442</v>
      </c>
      <c r="G207" s="65">
        <v>0.38541666666666669</v>
      </c>
      <c r="H207" s="65">
        <v>3.472222222222222E-3</v>
      </c>
      <c r="I207" s="101">
        <v>45846</v>
      </c>
      <c r="J207" s="101">
        <v>45846</v>
      </c>
      <c r="K207" s="63" t="s">
        <v>119</v>
      </c>
      <c r="L207" s="63" t="s">
        <v>111</v>
      </c>
      <c r="M207" s="63"/>
      <c r="N207" s="63" t="s">
        <v>205</v>
      </c>
      <c r="O207" s="63" t="s">
        <v>122</v>
      </c>
      <c r="P207" s="63" t="s">
        <v>7</v>
      </c>
      <c r="Q207" s="66" t="s">
        <v>482</v>
      </c>
      <c r="R207" s="66" t="s">
        <v>483</v>
      </c>
    </row>
    <row r="208" spans="2:18" ht="24.75" customHeight="1">
      <c r="B208" s="63" t="str">
        <f t="shared" si="3"/>
        <v>No205</v>
      </c>
      <c r="C208" s="63" t="s">
        <v>142</v>
      </c>
      <c r="D208" s="63" t="s">
        <v>155</v>
      </c>
      <c r="E208" s="101">
        <v>45846</v>
      </c>
      <c r="F208" s="65">
        <v>0.47916666666666669</v>
      </c>
      <c r="G208" s="65">
        <v>0.375</v>
      </c>
      <c r="H208" s="65">
        <v>1.041666666666667E-2</v>
      </c>
      <c r="I208" s="101">
        <v>45847</v>
      </c>
      <c r="J208" s="101">
        <v>45847</v>
      </c>
      <c r="K208" s="63" t="s">
        <v>119</v>
      </c>
      <c r="L208" s="63" t="s">
        <v>77</v>
      </c>
      <c r="M208" s="63"/>
      <c r="N208" s="63" t="s">
        <v>144</v>
      </c>
      <c r="O208" s="63" t="s">
        <v>122</v>
      </c>
      <c r="P208" s="63" t="s">
        <v>7</v>
      </c>
      <c r="Q208" s="66" t="s">
        <v>484</v>
      </c>
      <c r="R208" s="66" t="s">
        <v>158</v>
      </c>
    </row>
    <row r="209" spans="2:18" ht="24.75" customHeight="1">
      <c r="B209" s="63" t="str">
        <f t="shared" si="3"/>
        <v>No206</v>
      </c>
      <c r="C209" s="63" t="s">
        <v>142</v>
      </c>
      <c r="D209" s="63" t="s">
        <v>155</v>
      </c>
      <c r="E209" s="101">
        <v>45846</v>
      </c>
      <c r="F209" s="65">
        <v>0.4861111111111111</v>
      </c>
      <c r="G209" s="65">
        <v>0.49652777777777779</v>
      </c>
      <c r="H209" s="65">
        <v>1.041666666666667E-2</v>
      </c>
      <c r="I209" s="101">
        <v>45846</v>
      </c>
      <c r="J209" s="101">
        <v>45846</v>
      </c>
      <c r="K209" s="63" t="s">
        <v>119</v>
      </c>
      <c r="L209" s="63" t="s">
        <v>159</v>
      </c>
      <c r="M209" s="63"/>
      <c r="N209" s="63" t="s">
        <v>288</v>
      </c>
      <c r="O209" s="63" t="s">
        <v>122</v>
      </c>
      <c r="P209" s="63" t="s">
        <v>7</v>
      </c>
      <c r="Q209" s="66" t="s">
        <v>208</v>
      </c>
      <c r="R209" s="66" t="s">
        <v>158</v>
      </c>
    </row>
    <row r="210" spans="2:18" ht="24.75" customHeight="1">
      <c r="B210" s="63" t="str">
        <f t="shared" si="3"/>
        <v>No207</v>
      </c>
      <c r="C210" s="63" t="s">
        <v>166</v>
      </c>
      <c r="D210" s="63" t="s">
        <v>4</v>
      </c>
      <c r="E210" s="101">
        <v>45846</v>
      </c>
      <c r="F210" s="65">
        <v>0.54166666666666663</v>
      </c>
      <c r="G210" s="65">
        <v>0.5625</v>
      </c>
      <c r="H210" s="65">
        <v>2.0833333333333329E-2</v>
      </c>
      <c r="I210" s="101">
        <v>45846</v>
      </c>
      <c r="J210" s="101">
        <v>45846</v>
      </c>
      <c r="K210" s="63" t="s">
        <v>20</v>
      </c>
      <c r="L210" s="63" t="s">
        <v>26</v>
      </c>
      <c r="M210" s="63"/>
      <c r="N210" s="63" t="s">
        <v>121</v>
      </c>
      <c r="O210" s="63" t="s">
        <v>6</v>
      </c>
      <c r="P210" s="63" t="s">
        <v>7</v>
      </c>
      <c r="Q210" s="66" t="s">
        <v>485</v>
      </c>
      <c r="R210" s="66" t="s">
        <v>486</v>
      </c>
    </row>
    <row r="211" spans="2:18" ht="18.75" customHeight="1">
      <c r="B211" s="63" t="str">
        <f t="shared" si="3"/>
        <v>No208</v>
      </c>
      <c r="C211" s="63" t="s">
        <v>166</v>
      </c>
      <c r="D211" s="63" t="s">
        <v>4</v>
      </c>
      <c r="E211" s="101">
        <v>45846</v>
      </c>
      <c r="F211" s="65">
        <v>0.54166666666666663</v>
      </c>
      <c r="G211" s="65">
        <v>0.5625</v>
      </c>
      <c r="H211" s="65">
        <v>2.0833333333333329E-2</v>
      </c>
      <c r="I211" s="101">
        <v>45846</v>
      </c>
      <c r="J211" s="101">
        <v>45846</v>
      </c>
      <c r="K211" s="63" t="s">
        <v>40</v>
      </c>
      <c r="L211" s="63" t="s">
        <v>26</v>
      </c>
      <c r="M211" s="63"/>
      <c r="N211" s="63" t="s">
        <v>121</v>
      </c>
      <c r="O211" s="63" t="s">
        <v>6</v>
      </c>
      <c r="P211" s="63" t="s">
        <v>7</v>
      </c>
      <c r="Q211" s="66" t="s">
        <v>487</v>
      </c>
      <c r="R211" s="66" t="s">
        <v>488</v>
      </c>
    </row>
    <row r="212" spans="2:18" ht="18.75" customHeight="1">
      <c r="B212" s="63" t="str">
        <f t="shared" si="3"/>
        <v>No209</v>
      </c>
      <c r="C212" s="63" t="s">
        <v>166</v>
      </c>
      <c r="D212" s="63" t="s">
        <v>4</v>
      </c>
      <c r="E212" s="101">
        <v>45846</v>
      </c>
      <c r="F212" s="65">
        <v>0.60416666666666663</v>
      </c>
      <c r="G212" s="65">
        <v>0.61805555555555558</v>
      </c>
      <c r="H212" s="65">
        <v>1.388888888888889E-2</v>
      </c>
      <c r="I212" s="101">
        <v>45846</v>
      </c>
      <c r="J212" s="101">
        <v>45846</v>
      </c>
      <c r="K212" s="63" t="s">
        <v>40</v>
      </c>
      <c r="L212" s="63" t="s">
        <v>26</v>
      </c>
      <c r="M212" s="63"/>
      <c r="N212" s="63" t="s">
        <v>121</v>
      </c>
      <c r="O212" s="63" t="s">
        <v>6</v>
      </c>
      <c r="P212" s="63" t="s">
        <v>7</v>
      </c>
      <c r="Q212" s="66" t="s">
        <v>489</v>
      </c>
      <c r="R212" s="66" t="s">
        <v>490</v>
      </c>
    </row>
    <row r="213" spans="2:18" ht="24.75" customHeight="1">
      <c r="B213" s="63" t="str">
        <f t="shared" si="3"/>
        <v>No210</v>
      </c>
      <c r="C213" s="63" t="s">
        <v>104</v>
      </c>
      <c r="D213" s="63" t="s">
        <v>4</v>
      </c>
      <c r="E213" s="101">
        <v>45846</v>
      </c>
      <c r="F213" s="65">
        <v>0.625</v>
      </c>
      <c r="G213" s="65">
        <v>0.64583333333333337</v>
      </c>
      <c r="H213" s="65">
        <v>2.0833333333333329E-2</v>
      </c>
      <c r="I213" s="101">
        <v>45846</v>
      </c>
      <c r="J213" s="101">
        <v>45846</v>
      </c>
      <c r="K213" s="63" t="s">
        <v>20</v>
      </c>
      <c r="L213" s="63" t="s">
        <v>111</v>
      </c>
      <c r="M213" s="63"/>
      <c r="N213" s="63" t="s">
        <v>491</v>
      </c>
      <c r="O213" s="63" t="s">
        <v>6</v>
      </c>
      <c r="P213" s="63" t="s">
        <v>7</v>
      </c>
      <c r="Q213" s="66" t="s">
        <v>492</v>
      </c>
      <c r="R213" s="66" t="s">
        <v>493</v>
      </c>
    </row>
    <row r="214" spans="2:18" ht="24.75" customHeight="1">
      <c r="B214" s="63" t="str">
        <f t="shared" si="3"/>
        <v>No211</v>
      </c>
      <c r="C214" s="63" t="s">
        <v>142</v>
      </c>
      <c r="D214" s="63" t="s">
        <v>155</v>
      </c>
      <c r="E214" s="101">
        <v>45846</v>
      </c>
      <c r="F214" s="65">
        <v>0.6875</v>
      </c>
      <c r="G214" s="65">
        <v>0.75694444444444442</v>
      </c>
      <c r="H214" s="65">
        <v>1.388888888888889E-2</v>
      </c>
      <c r="I214" s="101">
        <v>45846</v>
      </c>
      <c r="J214" s="101">
        <v>45846</v>
      </c>
      <c r="K214" s="63" t="s">
        <v>119</v>
      </c>
      <c r="L214" s="63" t="s">
        <v>77</v>
      </c>
      <c r="M214" s="63"/>
      <c r="N214" s="63" t="s">
        <v>144</v>
      </c>
      <c r="O214" s="63" t="s">
        <v>117</v>
      </c>
      <c r="P214" s="63" t="s">
        <v>7</v>
      </c>
      <c r="Q214" s="66" t="s">
        <v>484</v>
      </c>
      <c r="R214" s="66" t="s">
        <v>158</v>
      </c>
    </row>
    <row r="215" spans="2:18" ht="18.75" customHeight="1">
      <c r="B215" s="63" t="str">
        <f t="shared" si="3"/>
        <v>No212</v>
      </c>
      <c r="C215" s="63" t="s">
        <v>142</v>
      </c>
      <c r="D215" s="63" t="s">
        <v>4</v>
      </c>
      <c r="E215" s="101">
        <v>45846</v>
      </c>
      <c r="F215" s="65">
        <v>0.70833333333333337</v>
      </c>
      <c r="G215" s="65">
        <v>0.72916666666666663</v>
      </c>
      <c r="H215" s="65">
        <v>2.0833333333333329E-2</v>
      </c>
      <c r="I215" s="101">
        <v>45846</v>
      </c>
      <c r="J215" s="101">
        <v>45846</v>
      </c>
      <c r="K215" s="63" t="s">
        <v>40</v>
      </c>
      <c r="L215" s="63" t="s">
        <v>159</v>
      </c>
      <c r="M215" s="63"/>
      <c r="N215" s="63" t="s">
        <v>494</v>
      </c>
      <c r="O215" s="63" t="s">
        <v>6</v>
      </c>
      <c r="P215" s="63" t="s">
        <v>7</v>
      </c>
      <c r="Q215" s="66" t="s">
        <v>495</v>
      </c>
      <c r="R215" s="66" t="s">
        <v>496</v>
      </c>
    </row>
    <row r="216" spans="2:18" ht="18.75" customHeight="1">
      <c r="B216" s="63" t="str">
        <f t="shared" si="3"/>
        <v>No213</v>
      </c>
      <c r="C216" s="63" t="s">
        <v>104</v>
      </c>
      <c r="D216" s="63" t="s">
        <v>4</v>
      </c>
      <c r="E216" s="101">
        <v>45846</v>
      </c>
      <c r="F216" s="65">
        <v>0.75</v>
      </c>
      <c r="G216" s="65">
        <v>0.76388888888888884</v>
      </c>
      <c r="H216" s="65">
        <v>1.388888888888889E-2</v>
      </c>
      <c r="I216" s="101">
        <v>45846</v>
      </c>
      <c r="J216" s="101">
        <v>45846</v>
      </c>
      <c r="K216" s="63" t="s">
        <v>20</v>
      </c>
      <c r="L216" s="63" t="s">
        <v>21</v>
      </c>
      <c r="M216" s="63"/>
      <c r="N216" s="63" t="s">
        <v>497</v>
      </c>
      <c r="O216" s="63" t="s">
        <v>6</v>
      </c>
      <c r="P216" s="63" t="s">
        <v>7</v>
      </c>
      <c r="Q216" s="66" t="s">
        <v>498</v>
      </c>
      <c r="R216" s="66" t="s">
        <v>499</v>
      </c>
    </row>
    <row r="217" spans="2:18" ht="27" customHeight="1">
      <c r="B217" s="63" t="str">
        <f t="shared" si="3"/>
        <v>No214</v>
      </c>
      <c r="C217" s="63" t="s">
        <v>142</v>
      </c>
      <c r="D217" s="63" t="s">
        <v>155</v>
      </c>
      <c r="E217" s="101">
        <v>45847</v>
      </c>
      <c r="F217" s="65">
        <v>0.60416666666666663</v>
      </c>
      <c r="G217" s="65">
        <v>0.375</v>
      </c>
      <c r="H217" s="65">
        <v>6.9444444444444441E-3</v>
      </c>
      <c r="I217" s="101">
        <v>45847</v>
      </c>
      <c r="J217" s="101">
        <v>45848</v>
      </c>
      <c r="K217" s="63" t="s">
        <v>45</v>
      </c>
      <c r="L217" s="63" t="s">
        <v>35</v>
      </c>
      <c r="M217" s="63"/>
      <c r="N217" s="63" t="s">
        <v>500</v>
      </c>
      <c r="O217" s="63" t="s">
        <v>122</v>
      </c>
      <c r="P217" s="63" t="s">
        <v>7</v>
      </c>
      <c r="Q217" s="66" t="s">
        <v>501</v>
      </c>
      <c r="R217" s="66" t="s">
        <v>158</v>
      </c>
    </row>
    <row r="218" spans="2:18" ht="27" customHeight="1">
      <c r="B218" s="63" t="str">
        <f t="shared" si="3"/>
        <v>No215</v>
      </c>
      <c r="C218" s="63" t="s">
        <v>142</v>
      </c>
      <c r="D218" s="63" t="s">
        <v>155</v>
      </c>
      <c r="E218" s="101">
        <v>45847</v>
      </c>
      <c r="F218" s="65">
        <v>0.60416666666666663</v>
      </c>
      <c r="G218" s="65">
        <v>0.375</v>
      </c>
      <c r="H218" s="65">
        <v>6.9444444444444441E-3</v>
      </c>
      <c r="I218" s="101">
        <v>45847</v>
      </c>
      <c r="J218" s="101">
        <v>45848</v>
      </c>
      <c r="K218" s="63" t="s">
        <v>45</v>
      </c>
      <c r="L218" s="63" t="s">
        <v>159</v>
      </c>
      <c r="M218" s="63"/>
      <c r="N218" s="63" t="s">
        <v>187</v>
      </c>
      <c r="O218" s="63" t="s">
        <v>122</v>
      </c>
      <c r="P218" s="63" t="s">
        <v>7</v>
      </c>
      <c r="Q218" s="66" t="s">
        <v>502</v>
      </c>
      <c r="R218" s="66" t="s">
        <v>158</v>
      </c>
    </row>
    <row r="219" spans="2:18" ht="27" customHeight="1">
      <c r="B219" s="63" t="str">
        <f t="shared" si="3"/>
        <v>No216</v>
      </c>
      <c r="C219" s="63" t="s">
        <v>142</v>
      </c>
      <c r="D219" s="63" t="s">
        <v>155</v>
      </c>
      <c r="E219" s="101">
        <v>45847</v>
      </c>
      <c r="F219" s="65">
        <v>0.60416666666666663</v>
      </c>
      <c r="G219" s="65">
        <v>0.375</v>
      </c>
      <c r="H219" s="65">
        <v>6.9444444444444441E-3</v>
      </c>
      <c r="I219" s="101">
        <v>45847</v>
      </c>
      <c r="J219" s="101">
        <v>45848</v>
      </c>
      <c r="K219" s="63" t="s">
        <v>45</v>
      </c>
      <c r="L219" s="63" t="s">
        <v>111</v>
      </c>
      <c r="M219" s="63"/>
      <c r="N219" s="63" t="s">
        <v>215</v>
      </c>
      <c r="O219" s="63" t="s">
        <v>122</v>
      </c>
      <c r="P219" s="63" t="s">
        <v>7</v>
      </c>
      <c r="Q219" s="66" t="s">
        <v>502</v>
      </c>
      <c r="R219" s="66" t="s">
        <v>158</v>
      </c>
    </row>
    <row r="220" spans="2:18" ht="18.75" customHeight="1">
      <c r="B220" s="63" t="str">
        <f t="shared" si="3"/>
        <v>No217</v>
      </c>
      <c r="C220" s="63" t="s">
        <v>142</v>
      </c>
      <c r="D220" s="63" t="s">
        <v>155</v>
      </c>
      <c r="E220" s="101">
        <v>45847</v>
      </c>
      <c r="F220" s="65">
        <v>0.625</v>
      </c>
      <c r="G220" s="65">
        <v>0.67708333333333337</v>
      </c>
      <c r="H220" s="65">
        <v>1.041666666666667E-2</v>
      </c>
      <c r="I220" s="101">
        <v>45847</v>
      </c>
      <c r="J220" s="101">
        <v>45847</v>
      </c>
      <c r="K220" s="63" t="s">
        <v>20</v>
      </c>
      <c r="L220" s="63" t="s">
        <v>111</v>
      </c>
      <c r="M220" s="63"/>
      <c r="N220" s="63" t="s">
        <v>339</v>
      </c>
      <c r="O220" s="63" t="s">
        <v>122</v>
      </c>
      <c r="P220" s="63" t="s">
        <v>7</v>
      </c>
      <c r="Q220" s="66" t="s">
        <v>503</v>
      </c>
      <c r="R220" s="66" t="s">
        <v>504</v>
      </c>
    </row>
    <row r="221" spans="2:18" ht="25.5" customHeight="1">
      <c r="B221" s="63" t="str">
        <f t="shared" si="3"/>
        <v>No218</v>
      </c>
      <c r="C221" s="63" t="s">
        <v>142</v>
      </c>
      <c r="D221" s="63" t="s">
        <v>155</v>
      </c>
      <c r="E221" s="101">
        <v>45847</v>
      </c>
      <c r="F221" s="65">
        <v>0.67708333333333337</v>
      </c>
      <c r="G221" s="65">
        <v>0.69097222222222221</v>
      </c>
      <c r="H221" s="65">
        <v>6.9444444444444441E-3</v>
      </c>
      <c r="I221" s="101">
        <v>45847</v>
      </c>
      <c r="J221" s="101">
        <v>45847</v>
      </c>
      <c r="K221" s="63" t="s">
        <v>119</v>
      </c>
      <c r="L221" s="63" t="s">
        <v>111</v>
      </c>
      <c r="M221" s="63"/>
      <c r="N221" s="63" t="s">
        <v>215</v>
      </c>
      <c r="O221" s="63" t="s">
        <v>122</v>
      </c>
      <c r="P221" s="63" t="s">
        <v>7</v>
      </c>
      <c r="Q221" s="66" t="s">
        <v>246</v>
      </c>
      <c r="R221" s="66" t="s">
        <v>158</v>
      </c>
    </row>
    <row r="222" spans="2:18" ht="25.5" customHeight="1">
      <c r="B222" s="63" t="str">
        <f t="shared" si="3"/>
        <v>No219</v>
      </c>
      <c r="C222" s="63" t="s">
        <v>186</v>
      </c>
      <c r="D222" s="63" t="s">
        <v>4</v>
      </c>
      <c r="E222" s="101">
        <v>45848</v>
      </c>
      <c r="F222" s="65">
        <v>0.58333333333333337</v>
      </c>
      <c r="G222" s="65">
        <v>0.59375</v>
      </c>
      <c r="H222" s="65">
        <v>1.041666666666667E-2</v>
      </c>
      <c r="I222" s="101">
        <v>45848</v>
      </c>
      <c r="J222" s="101">
        <v>45848</v>
      </c>
      <c r="K222" s="63" t="s">
        <v>20</v>
      </c>
      <c r="L222" s="63" t="s">
        <v>21</v>
      </c>
      <c r="M222" s="63"/>
      <c r="N222" s="63" t="s">
        <v>505</v>
      </c>
      <c r="O222" s="63" t="s">
        <v>6</v>
      </c>
      <c r="P222" s="63" t="s">
        <v>7</v>
      </c>
      <c r="Q222" s="66" t="s">
        <v>506</v>
      </c>
      <c r="R222" s="66" t="s">
        <v>507</v>
      </c>
    </row>
    <row r="223" spans="2:18" ht="25.5" customHeight="1">
      <c r="B223" s="63" t="str">
        <f t="shared" si="3"/>
        <v>No220</v>
      </c>
      <c r="C223" s="63" t="s">
        <v>142</v>
      </c>
      <c r="D223" s="63" t="s">
        <v>4</v>
      </c>
      <c r="E223" s="101">
        <v>45849</v>
      </c>
      <c r="F223" s="65">
        <v>0.41666666666666669</v>
      </c>
      <c r="G223" s="65">
        <v>0.42708333333333331</v>
      </c>
      <c r="H223" s="65">
        <v>1.041666666666667E-2</v>
      </c>
      <c r="I223" s="101">
        <v>45849</v>
      </c>
      <c r="J223" s="101">
        <v>45849</v>
      </c>
      <c r="K223" s="63" t="s">
        <v>40</v>
      </c>
      <c r="L223" s="63" t="s">
        <v>159</v>
      </c>
      <c r="M223" s="63"/>
      <c r="N223" s="63" t="s">
        <v>494</v>
      </c>
      <c r="O223" s="63" t="s">
        <v>6</v>
      </c>
      <c r="P223" s="63" t="s">
        <v>7</v>
      </c>
      <c r="Q223" s="66" t="s">
        <v>508</v>
      </c>
      <c r="R223" s="66" t="s">
        <v>509</v>
      </c>
    </row>
    <row r="224" spans="2:18" ht="18.75" customHeight="1">
      <c r="B224" s="63" t="str">
        <f t="shared" si="3"/>
        <v>No221</v>
      </c>
      <c r="C224" s="63" t="s">
        <v>142</v>
      </c>
      <c r="D224" s="63" t="s">
        <v>4</v>
      </c>
      <c r="E224" s="101">
        <v>45849</v>
      </c>
      <c r="F224" s="65">
        <v>0.41666666666666669</v>
      </c>
      <c r="G224" s="65">
        <v>0.58333333333333337</v>
      </c>
      <c r="H224" s="65">
        <v>0.16666666666666671</v>
      </c>
      <c r="I224" s="101">
        <v>45849</v>
      </c>
      <c r="J224" s="101">
        <v>45849</v>
      </c>
      <c r="K224" s="63" t="s">
        <v>20</v>
      </c>
      <c r="L224" s="63" t="s">
        <v>159</v>
      </c>
      <c r="M224" s="63"/>
      <c r="N224" s="63" t="s">
        <v>121</v>
      </c>
      <c r="O224" s="63" t="s">
        <v>6</v>
      </c>
      <c r="P224" s="63" t="s">
        <v>7</v>
      </c>
      <c r="Q224" s="66" t="s">
        <v>510</v>
      </c>
      <c r="R224" s="66" t="s">
        <v>511</v>
      </c>
    </row>
    <row r="225" spans="2:18" ht="24" customHeight="1">
      <c r="B225" s="63" t="str">
        <f t="shared" si="3"/>
        <v>No222</v>
      </c>
      <c r="C225" s="63" t="s">
        <v>142</v>
      </c>
      <c r="D225" s="63" t="s">
        <v>155</v>
      </c>
      <c r="E225" s="101">
        <v>45849</v>
      </c>
      <c r="F225" s="65">
        <v>0.46875</v>
      </c>
      <c r="G225" s="65">
        <v>0.44444444444444442</v>
      </c>
      <c r="H225" s="65">
        <v>4.1666666666666657E-2</v>
      </c>
      <c r="I225" s="101">
        <v>45852</v>
      </c>
      <c r="J225" s="101">
        <v>45852</v>
      </c>
      <c r="K225" s="63" t="s">
        <v>119</v>
      </c>
      <c r="L225" s="63" t="s">
        <v>159</v>
      </c>
      <c r="M225" s="63"/>
      <c r="N225" s="63" t="s">
        <v>187</v>
      </c>
      <c r="O225" s="63" t="s">
        <v>122</v>
      </c>
      <c r="P225" s="63" t="s">
        <v>7</v>
      </c>
      <c r="Q225" s="66" t="s">
        <v>512</v>
      </c>
      <c r="R225" s="66" t="s">
        <v>158</v>
      </c>
    </row>
    <row r="226" spans="2:18" ht="24" customHeight="1">
      <c r="B226" s="63" t="str">
        <f t="shared" si="3"/>
        <v>No223</v>
      </c>
      <c r="C226" s="63" t="s">
        <v>186</v>
      </c>
      <c r="D226" s="63" t="s">
        <v>4</v>
      </c>
      <c r="E226" s="101">
        <v>45849</v>
      </c>
      <c r="F226" s="65">
        <v>0.54166666666666663</v>
      </c>
      <c r="G226" s="65">
        <v>0.55555555555555558</v>
      </c>
      <c r="H226" s="65">
        <v>1.388888888888889E-2</v>
      </c>
      <c r="I226" s="101">
        <v>45849</v>
      </c>
      <c r="J226" s="101">
        <v>45849</v>
      </c>
      <c r="K226" s="63" t="s">
        <v>95</v>
      </c>
      <c r="L226" s="63" t="s">
        <v>35</v>
      </c>
      <c r="M226" s="63"/>
      <c r="N226" s="63" t="s">
        <v>477</v>
      </c>
      <c r="O226" s="63" t="s">
        <v>6</v>
      </c>
      <c r="P226" s="63" t="s">
        <v>7</v>
      </c>
      <c r="Q226" s="66" t="s">
        <v>513</v>
      </c>
      <c r="R226" s="66" t="s">
        <v>514</v>
      </c>
    </row>
    <row r="227" spans="2:18" ht="18.75" customHeight="1">
      <c r="B227" s="63" t="str">
        <f t="shared" si="3"/>
        <v>No224</v>
      </c>
      <c r="C227" s="63" t="s">
        <v>186</v>
      </c>
      <c r="D227" s="63" t="s">
        <v>4</v>
      </c>
      <c r="E227" s="101">
        <v>45849</v>
      </c>
      <c r="F227" s="65">
        <v>0.625</v>
      </c>
      <c r="G227" s="65">
        <v>0.64583333333333337</v>
      </c>
      <c r="H227" s="65">
        <v>2.0833333333333329E-2</v>
      </c>
      <c r="I227" s="101">
        <v>45849</v>
      </c>
      <c r="J227" s="101">
        <v>45849</v>
      </c>
      <c r="K227" s="63" t="s">
        <v>45</v>
      </c>
      <c r="L227" s="63" t="s">
        <v>35</v>
      </c>
      <c r="M227" s="63"/>
      <c r="N227" s="63" t="s">
        <v>515</v>
      </c>
      <c r="O227" s="63" t="s">
        <v>6</v>
      </c>
      <c r="P227" s="63" t="s">
        <v>7</v>
      </c>
      <c r="Q227" s="66" t="s">
        <v>516</v>
      </c>
      <c r="R227" s="66" t="s">
        <v>517</v>
      </c>
    </row>
    <row r="228" spans="2:18" ht="22.5" customHeight="1">
      <c r="B228" s="63" t="str">
        <f t="shared" si="3"/>
        <v>No225</v>
      </c>
      <c r="C228" s="63" t="s">
        <v>142</v>
      </c>
      <c r="D228" s="63" t="s">
        <v>155</v>
      </c>
      <c r="E228" s="101">
        <v>45849</v>
      </c>
      <c r="F228" s="65">
        <v>0.64583333333333337</v>
      </c>
      <c r="G228" s="65">
        <v>0.70833333333333337</v>
      </c>
      <c r="H228" s="65">
        <v>1.041666666666667E-2</v>
      </c>
      <c r="I228" s="101">
        <v>45849</v>
      </c>
      <c r="J228" s="101">
        <v>45849</v>
      </c>
      <c r="K228" s="63" t="s">
        <v>119</v>
      </c>
      <c r="L228" s="63" t="s">
        <v>77</v>
      </c>
      <c r="M228" s="63"/>
      <c r="N228" s="63" t="s">
        <v>211</v>
      </c>
      <c r="O228" s="63" t="s">
        <v>122</v>
      </c>
      <c r="P228" s="63" t="s">
        <v>7</v>
      </c>
      <c r="Q228" s="66" t="s">
        <v>212</v>
      </c>
      <c r="R228" s="66" t="s">
        <v>158</v>
      </c>
    </row>
    <row r="229" spans="2:18" ht="22.5" customHeight="1">
      <c r="B229" s="63" t="str">
        <f t="shared" si="3"/>
        <v>No226</v>
      </c>
      <c r="C229" s="63" t="s">
        <v>166</v>
      </c>
      <c r="D229" s="63" t="s">
        <v>4</v>
      </c>
      <c r="E229" s="101">
        <v>45850</v>
      </c>
      <c r="F229" s="65">
        <v>0.375</v>
      </c>
      <c r="G229" s="65">
        <v>0.39583333333333331</v>
      </c>
      <c r="H229" s="65">
        <v>2.0833333333333329E-2</v>
      </c>
      <c r="I229" s="101">
        <v>45850</v>
      </c>
      <c r="J229" s="101">
        <v>45850</v>
      </c>
      <c r="K229" s="63" t="s">
        <v>143</v>
      </c>
      <c r="L229" s="63" t="s">
        <v>26</v>
      </c>
      <c r="M229" s="63"/>
      <c r="N229" s="63" t="s">
        <v>121</v>
      </c>
      <c r="O229" s="63" t="s">
        <v>6</v>
      </c>
      <c r="P229" s="63" t="s">
        <v>7</v>
      </c>
      <c r="Q229" s="66" t="s">
        <v>518</v>
      </c>
      <c r="R229" s="66" t="s">
        <v>519</v>
      </c>
    </row>
    <row r="230" spans="2:18" ht="18.75" customHeight="1">
      <c r="B230" s="63" t="str">
        <f t="shared" si="3"/>
        <v>No227</v>
      </c>
      <c r="C230" s="63" t="s">
        <v>142</v>
      </c>
      <c r="D230" s="63" t="s">
        <v>4</v>
      </c>
      <c r="E230" s="101">
        <v>45850</v>
      </c>
      <c r="F230" s="65">
        <v>0.45833333333333331</v>
      </c>
      <c r="G230" s="65">
        <v>0.625</v>
      </c>
      <c r="H230" s="65">
        <v>0.16666666666666671</v>
      </c>
      <c r="I230" s="101">
        <v>45850</v>
      </c>
      <c r="J230" s="101">
        <v>45850</v>
      </c>
      <c r="K230" s="63" t="s">
        <v>20</v>
      </c>
      <c r="L230" s="63" t="s">
        <v>159</v>
      </c>
      <c r="M230" s="63"/>
      <c r="N230" s="63" t="s">
        <v>121</v>
      </c>
      <c r="O230" s="63" t="s">
        <v>6</v>
      </c>
      <c r="P230" s="63" t="s">
        <v>7</v>
      </c>
      <c r="Q230" s="66" t="s">
        <v>510</v>
      </c>
      <c r="R230" s="66" t="s">
        <v>520</v>
      </c>
    </row>
    <row r="231" spans="2:18" ht="29.25" customHeight="1">
      <c r="B231" s="63" t="str">
        <f t="shared" si="3"/>
        <v>No228</v>
      </c>
      <c r="C231" s="63" t="s">
        <v>3</v>
      </c>
      <c r="D231" s="63" t="s">
        <v>155</v>
      </c>
      <c r="E231" s="101">
        <v>45852</v>
      </c>
      <c r="F231" s="65">
        <v>0.375</v>
      </c>
      <c r="G231" s="65">
        <v>0.45833333333333331</v>
      </c>
      <c r="H231" s="65">
        <v>1.041666666666667E-2</v>
      </c>
      <c r="I231" s="101">
        <v>45852</v>
      </c>
      <c r="J231" s="101">
        <v>45852</v>
      </c>
      <c r="K231" s="63" t="s">
        <v>119</v>
      </c>
      <c r="L231" s="63" t="s">
        <v>77</v>
      </c>
      <c r="M231" s="63"/>
      <c r="N231" s="63" t="s">
        <v>321</v>
      </c>
      <c r="O231" s="63" t="s">
        <v>6</v>
      </c>
      <c r="P231" s="63" t="s">
        <v>7</v>
      </c>
      <c r="Q231" s="66" t="s">
        <v>521</v>
      </c>
      <c r="R231" s="66" t="s">
        <v>158</v>
      </c>
    </row>
    <row r="232" spans="2:18" ht="18.75" customHeight="1">
      <c r="B232" s="63" t="str">
        <f t="shared" si="3"/>
        <v>No229</v>
      </c>
      <c r="C232" s="63" t="s">
        <v>186</v>
      </c>
      <c r="D232" s="63" t="s">
        <v>4</v>
      </c>
      <c r="E232" s="101">
        <v>45852</v>
      </c>
      <c r="F232" s="65">
        <v>0.39583333333333331</v>
      </c>
      <c r="G232" s="65">
        <v>0.40625</v>
      </c>
      <c r="H232" s="65">
        <v>1.041666666666667E-2</v>
      </c>
      <c r="I232" s="101">
        <v>45852</v>
      </c>
      <c r="J232" s="101">
        <v>45852</v>
      </c>
      <c r="K232" s="63" t="s">
        <v>20</v>
      </c>
      <c r="L232" s="63" t="s">
        <v>111</v>
      </c>
      <c r="M232" s="63"/>
      <c r="N232" s="63" t="s">
        <v>522</v>
      </c>
      <c r="O232" s="63" t="s">
        <v>6</v>
      </c>
      <c r="P232" s="63" t="s">
        <v>7</v>
      </c>
      <c r="Q232" s="66" t="s">
        <v>523</v>
      </c>
      <c r="R232" s="66" t="s">
        <v>524</v>
      </c>
    </row>
    <row r="233" spans="2:18" ht="18.75" customHeight="1">
      <c r="B233" s="63" t="str">
        <f t="shared" si="3"/>
        <v>No230</v>
      </c>
      <c r="C233" s="63" t="s">
        <v>3</v>
      </c>
      <c r="D233" s="63" t="s">
        <v>155</v>
      </c>
      <c r="E233" s="101">
        <v>45852</v>
      </c>
      <c r="F233" s="65">
        <v>0.59375</v>
      </c>
      <c r="G233" s="65">
        <v>0.6875</v>
      </c>
      <c r="H233" s="65">
        <v>8.3333333333333329E-2</v>
      </c>
      <c r="I233" s="101">
        <v>45852</v>
      </c>
      <c r="J233" s="101">
        <v>45852</v>
      </c>
      <c r="K233" s="63" t="s">
        <v>197</v>
      </c>
      <c r="L233" s="63" t="s">
        <v>159</v>
      </c>
      <c r="M233" s="63"/>
      <c r="N233" s="63" t="s">
        <v>187</v>
      </c>
      <c r="O233" s="63" t="s">
        <v>117</v>
      </c>
      <c r="P233" s="63" t="s">
        <v>7</v>
      </c>
      <c r="Q233" s="66" t="s">
        <v>525</v>
      </c>
      <c r="R233" s="66" t="s">
        <v>526</v>
      </c>
    </row>
    <row r="234" spans="2:18" ht="28.5" customHeight="1">
      <c r="B234" s="63" t="str">
        <f t="shared" si="3"/>
        <v>No231</v>
      </c>
      <c r="C234" s="63" t="s">
        <v>142</v>
      </c>
      <c r="D234" s="63" t="s">
        <v>155</v>
      </c>
      <c r="E234" s="101">
        <v>45852</v>
      </c>
      <c r="F234" s="65">
        <v>0.65625</v>
      </c>
      <c r="G234" s="65">
        <v>0.76041666666666663</v>
      </c>
      <c r="H234" s="65">
        <v>3.125E-2</v>
      </c>
      <c r="I234" s="101">
        <v>45852</v>
      </c>
      <c r="J234" s="101">
        <v>45852</v>
      </c>
      <c r="K234" s="63" t="s">
        <v>119</v>
      </c>
      <c r="L234" s="63" t="s">
        <v>77</v>
      </c>
      <c r="M234" s="63"/>
      <c r="N234" s="63" t="s">
        <v>144</v>
      </c>
      <c r="O234" s="63" t="s">
        <v>117</v>
      </c>
      <c r="P234" s="63" t="s">
        <v>7</v>
      </c>
      <c r="Q234" s="66" t="s">
        <v>484</v>
      </c>
      <c r="R234" s="66" t="s">
        <v>158</v>
      </c>
    </row>
    <row r="235" spans="2:18" ht="28.5" customHeight="1">
      <c r="B235" s="63" t="str">
        <f t="shared" si="3"/>
        <v>No232</v>
      </c>
      <c r="C235" s="63" t="s">
        <v>142</v>
      </c>
      <c r="D235" s="63" t="s">
        <v>155</v>
      </c>
      <c r="E235" s="101">
        <v>45852</v>
      </c>
      <c r="F235" s="65">
        <v>0.71527777777777779</v>
      </c>
      <c r="G235" s="65">
        <v>0.72222222222222221</v>
      </c>
      <c r="H235" s="65">
        <v>6.9444444444444441E-3</v>
      </c>
      <c r="I235" s="101">
        <v>45852</v>
      </c>
      <c r="J235" s="101">
        <v>45852</v>
      </c>
      <c r="K235" s="63" t="s">
        <v>119</v>
      </c>
      <c r="L235" s="63" t="s">
        <v>41</v>
      </c>
      <c r="M235" s="63"/>
      <c r="N235" s="63" t="s">
        <v>277</v>
      </c>
      <c r="O235" s="63" t="s">
        <v>122</v>
      </c>
      <c r="P235" s="63" t="s">
        <v>7</v>
      </c>
      <c r="Q235" s="66" t="s">
        <v>385</v>
      </c>
      <c r="R235" s="66" t="s">
        <v>158</v>
      </c>
    </row>
    <row r="236" spans="2:18" ht="18.75" customHeight="1">
      <c r="B236" s="63" t="str">
        <f t="shared" si="3"/>
        <v>No233</v>
      </c>
      <c r="C236" s="63" t="s">
        <v>186</v>
      </c>
      <c r="D236" s="63" t="s">
        <v>155</v>
      </c>
      <c r="E236" s="101">
        <v>45853</v>
      </c>
      <c r="F236" s="65">
        <v>0.4236111111111111</v>
      </c>
      <c r="G236" s="65">
        <v>0.4375</v>
      </c>
      <c r="H236" s="65">
        <v>1.388888888888889E-2</v>
      </c>
      <c r="I236" s="101">
        <v>45853</v>
      </c>
      <c r="J236" s="101">
        <v>45853</v>
      </c>
      <c r="K236" s="63" t="s">
        <v>143</v>
      </c>
      <c r="L236" s="63" t="s">
        <v>111</v>
      </c>
      <c r="M236" s="63"/>
      <c r="N236" s="63" t="s">
        <v>201</v>
      </c>
      <c r="O236" s="63" t="s">
        <v>122</v>
      </c>
      <c r="P236" s="63" t="s">
        <v>7</v>
      </c>
      <c r="Q236" s="66" t="s">
        <v>527</v>
      </c>
      <c r="R236" s="66" t="s">
        <v>528</v>
      </c>
    </row>
    <row r="237" spans="2:18" ht="24.75" customHeight="1">
      <c r="B237" s="63" t="str">
        <f t="shared" si="3"/>
        <v>No234</v>
      </c>
      <c r="C237" s="63" t="s">
        <v>142</v>
      </c>
      <c r="D237" s="63" t="s">
        <v>155</v>
      </c>
      <c r="E237" s="101">
        <v>45855</v>
      </c>
      <c r="F237" s="65">
        <v>0.41666666666666669</v>
      </c>
      <c r="G237" s="65">
        <v>0.42708333333333331</v>
      </c>
      <c r="H237" s="65">
        <v>1.041666666666667E-2</v>
      </c>
      <c r="I237" s="101">
        <v>45855</v>
      </c>
      <c r="J237" s="101">
        <v>45855</v>
      </c>
      <c r="K237" s="63" t="s">
        <v>119</v>
      </c>
      <c r="L237" s="63" t="s">
        <v>111</v>
      </c>
      <c r="M237" s="63"/>
      <c r="N237" s="63" t="s">
        <v>245</v>
      </c>
      <c r="O237" s="63" t="s">
        <v>122</v>
      </c>
      <c r="P237" s="63" t="s">
        <v>7</v>
      </c>
      <c r="Q237" s="66" t="s">
        <v>246</v>
      </c>
      <c r="R237" s="66" t="s">
        <v>158</v>
      </c>
    </row>
    <row r="238" spans="2:18" ht="18.75" customHeight="1">
      <c r="B238" s="63" t="str">
        <f t="shared" si="3"/>
        <v>No235</v>
      </c>
      <c r="C238" s="63" t="s">
        <v>3</v>
      </c>
      <c r="D238" s="63" t="s">
        <v>155</v>
      </c>
      <c r="E238" s="101">
        <v>45855</v>
      </c>
      <c r="F238" s="65">
        <v>0.4375</v>
      </c>
      <c r="G238" s="65">
        <v>0.70833333333333337</v>
      </c>
      <c r="H238" s="65">
        <v>6.25E-2</v>
      </c>
      <c r="I238" s="101">
        <v>45855</v>
      </c>
      <c r="J238" s="101">
        <v>45855</v>
      </c>
      <c r="K238" s="63" t="s">
        <v>45</v>
      </c>
      <c r="L238" s="63" t="s">
        <v>111</v>
      </c>
      <c r="M238" s="63"/>
      <c r="N238" s="63" t="s">
        <v>112</v>
      </c>
      <c r="O238" s="63" t="s">
        <v>6</v>
      </c>
      <c r="P238" s="63" t="s">
        <v>7</v>
      </c>
      <c r="Q238" s="66" t="s">
        <v>529</v>
      </c>
      <c r="R238" s="66" t="s">
        <v>530</v>
      </c>
    </row>
    <row r="239" spans="2:18" ht="18.75" customHeight="1">
      <c r="B239" s="63" t="str">
        <f t="shared" si="3"/>
        <v>No236</v>
      </c>
      <c r="C239" s="63" t="s">
        <v>186</v>
      </c>
      <c r="D239" s="63" t="s">
        <v>155</v>
      </c>
      <c r="E239" s="101">
        <v>45856</v>
      </c>
      <c r="F239" s="65">
        <v>0.54166666666666663</v>
      </c>
      <c r="G239" s="65">
        <v>0.54861111111111116</v>
      </c>
      <c r="H239" s="65">
        <v>6.9444444444444441E-3</v>
      </c>
      <c r="I239" s="101">
        <v>45856</v>
      </c>
      <c r="J239" s="101">
        <v>45856</v>
      </c>
      <c r="K239" s="63" t="s">
        <v>20</v>
      </c>
      <c r="L239" s="63" t="s">
        <v>111</v>
      </c>
      <c r="M239" s="63"/>
      <c r="N239" s="63" t="s">
        <v>201</v>
      </c>
      <c r="O239" s="63" t="s">
        <v>122</v>
      </c>
      <c r="P239" s="63" t="s">
        <v>7</v>
      </c>
      <c r="Q239" s="66" t="s">
        <v>531</v>
      </c>
      <c r="R239" s="66" t="s">
        <v>532</v>
      </c>
    </row>
    <row r="240" spans="2:18" ht="24.75" customHeight="1">
      <c r="B240" s="63" t="str">
        <f t="shared" si="3"/>
        <v>No237</v>
      </c>
      <c r="C240" s="63" t="s">
        <v>3</v>
      </c>
      <c r="D240" s="63" t="s">
        <v>155</v>
      </c>
      <c r="E240" s="101">
        <v>45861</v>
      </c>
      <c r="F240" s="65">
        <v>0.375</v>
      </c>
      <c r="G240" s="65">
        <v>0.39583333333333331</v>
      </c>
      <c r="H240" s="65">
        <v>2.0833333333333329E-2</v>
      </c>
      <c r="I240" s="101">
        <v>45861</v>
      </c>
      <c r="J240" s="101">
        <v>45861</v>
      </c>
      <c r="K240" s="63" t="s">
        <v>119</v>
      </c>
      <c r="L240" s="63" t="s">
        <v>77</v>
      </c>
      <c r="M240" s="63"/>
      <c r="N240" s="63" t="s">
        <v>477</v>
      </c>
      <c r="O240" s="63" t="s">
        <v>6</v>
      </c>
      <c r="P240" s="63" t="s">
        <v>7</v>
      </c>
      <c r="Q240" s="66" t="s">
        <v>521</v>
      </c>
      <c r="R240" s="66" t="s">
        <v>158</v>
      </c>
    </row>
    <row r="241" spans="2:18" ht="24.75" customHeight="1">
      <c r="B241" s="63" t="str">
        <f t="shared" si="3"/>
        <v>No238</v>
      </c>
      <c r="C241" s="63" t="s">
        <v>142</v>
      </c>
      <c r="D241" s="63" t="s">
        <v>155</v>
      </c>
      <c r="E241" s="101">
        <v>45861</v>
      </c>
      <c r="F241" s="65">
        <v>0.54166666666666663</v>
      </c>
      <c r="G241" s="65">
        <v>0.70833333333333337</v>
      </c>
      <c r="H241" s="65">
        <v>1.041666666666667E-2</v>
      </c>
      <c r="I241" s="101">
        <v>45861</v>
      </c>
      <c r="J241" s="101">
        <v>45861</v>
      </c>
      <c r="K241" s="63" t="s">
        <v>249</v>
      </c>
      <c r="L241" s="63" t="s">
        <v>176</v>
      </c>
      <c r="M241" s="63"/>
      <c r="N241" s="63" t="s">
        <v>156</v>
      </c>
      <c r="O241" s="63" t="s">
        <v>122</v>
      </c>
      <c r="P241" s="63" t="s">
        <v>7</v>
      </c>
      <c r="Q241" s="66" t="s">
        <v>476</v>
      </c>
      <c r="R241" s="66" t="s">
        <v>158</v>
      </c>
    </row>
    <row r="242" spans="2:18" ht="18.75" customHeight="1">
      <c r="B242" s="63" t="str">
        <f t="shared" si="3"/>
        <v>No239</v>
      </c>
      <c r="C242" s="63" t="s">
        <v>104</v>
      </c>
      <c r="D242" s="63" t="s">
        <v>155</v>
      </c>
      <c r="E242" s="101">
        <v>45861</v>
      </c>
      <c r="F242" s="65">
        <v>0.45833333333333331</v>
      </c>
      <c r="G242" s="65">
        <v>0.39583333333333331</v>
      </c>
      <c r="H242" s="65">
        <v>2.0833333333333329E-2</v>
      </c>
      <c r="I242" s="101">
        <v>45862</v>
      </c>
      <c r="J242" s="101">
        <v>45862</v>
      </c>
      <c r="K242" s="63" t="s">
        <v>20</v>
      </c>
      <c r="L242" s="63" t="s">
        <v>111</v>
      </c>
      <c r="M242" s="63"/>
      <c r="N242" s="63" t="s">
        <v>339</v>
      </c>
      <c r="O242" s="63" t="s">
        <v>122</v>
      </c>
      <c r="P242" s="63" t="s">
        <v>7</v>
      </c>
      <c r="Q242" s="66" t="s">
        <v>533</v>
      </c>
      <c r="R242" s="66" t="s">
        <v>534</v>
      </c>
    </row>
    <row r="243" spans="2:18" ht="29.25" customHeight="1">
      <c r="B243" s="63" t="str">
        <f t="shared" si="3"/>
        <v>No240</v>
      </c>
      <c r="C243" s="63" t="s">
        <v>142</v>
      </c>
      <c r="D243" s="63" t="s">
        <v>155</v>
      </c>
      <c r="E243" s="101">
        <v>45862</v>
      </c>
      <c r="F243" s="65">
        <v>0.3888888888888889</v>
      </c>
      <c r="G243" s="65">
        <v>0.39583333333333331</v>
      </c>
      <c r="H243" s="65">
        <v>6.9444444444444441E-3</v>
      </c>
      <c r="I243" s="101">
        <v>45862</v>
      </c>
      <c r="J243" s="101">
        <v>45862</v>
      </c>
      <c r="K243" s="63" t="s">
        <v>119</v>
      </c>
      <c r="L243" s="63" t="s">
        <v>111</v>
      </c>
      <c r="M243" s="63"/>
      <c r="N243" s="63" t="s">
        <v>205</v>
      </c>
      <c r="O243" s="63" t="s">
        <v>122</v>
      </c>
      <c r="P243" s="63" t="s">
        <v>7</v>
      </c>
      <c r="Q243" s="66" t="s">
        <v>208</v>
      </c>
      <c r="R243" s="66" t="s">
        <v>158</v>
      </c>
    </row>
    <row r="244" spans="2:18" ht="18.75" customHeight="1">
      <c r="B244" s="63" t="str">
        <f t="shared" si="3"/>
        <v>No241</v>
      </c>
      <c r="C244" s="63" t="s">
        <v>104</v>
      </c>
      <c r="D244" s="63" t="s">
        <v>155</v>
      </c>
      <c r="E244" s="101">
        <v>45866</v>
      </c>
      <c r="F244" s="65">
        <v>0.4375</v>
      </c>
      <c r="G244" s="65">
        <v>0.70833333333333337</v>
      </c>
      <c r="H244" s="65">
        <v>8.3333333333333329E-2</v>
      </c>
      <c r="I244" s="101">
        <v>45866</v>
      </c>
      <c r="J244" s="101">
        <v>45866</v>
      </c>
      <c r="K244" s="63" t="s">
        <v>61</v>
      </c>
      <c r="L244" s="63" t="s">
        <v>120</v>
      </c>
      <c r="M244" s="63"/>
      <c r="N244" s="63" t="s">
        <v>193</v>
      </c>
      <c r="O244" s="63" t="s">
        <v>122</v>
      </c>
      <c r="P244" s="63" t="s">
        <v>7</v>
      </c>
      <c r="Q244" s="66" t="s">
        <v>535</v>
      </c>
      <c r="R244" s="66" t="s">
        <v>536</v>
      </c>
    </row>
    <row r="245" spans="2:18" ht="27" customHeight="1">
      <c r="B245" s="63" t="str">
        <f t="shared" si="3"/>
        <v>No242</v>
      </c>
      <c r="C245" s="63" t="s">
        <v>142</v>
      </c>
      <c r="D245" s="63" t="s">
        <v>155</v>
      </c>
      <c r="E245" s="101">
        <v>45866</v>
      </c>
      <c r="F245" s="65">
        <v>0.4375</v>
      </c>
      <c r="G245" s="65">
        <v>0.44791666666666669</v>
      </c>
      <c r="H245" s="65">
        <v>1.041666666666667E-2</v>
      </c>
      <c r="I245" s="101">
        <v>45866</v>
      </c>
      <c r="J245" s="101">
        <v>45866</v>
      </c>
      <c r="K245" s="63" t="s">
        <v>119</v>
      </c>
      <c r="L245" s="63" t="s">
        <v>159</v>
      </c>
      <c r="M245" s="63"/>
      <c r="N245" s="63" t="s">
        <v>160</v>
      </c>
      <c r="O245" s="63" t="s">
        <v>122</v>
      </c>
      <c r="P245" s="63" t="s">
        <v>7</v>
      </c>
      <c r="Q245" s="66" t="s">
        <v>208</v>
      </c>
      <c r="R245" s="66" t="s">
        <v>158</v>
      </c>
    </row>
    <row r="246" spans="2:18" ht="27" customHeight="1">
      <c r="B246" s="63" t="str">
        <f t="shared" si="3"/>
        <v>No243</v>
      </c>
      <c r="C246" s="63" t="s">
        <v>142</v>
      </c>
      <c r="D246" s="63" t="s">
        <v>155</v>
      </c>
      <c r="E246" s="101">
        <v>45866</v>
      </c>
      <c r="F246" s="65">
        <v>0.58333333333333337</v>
      </c>
      <c r="G246" s="65">
        <v>0.59027777777777779</v>
      </c>
      <c r="H246" s="65">
        <v>6.9444444444444441E-3</v>
      </c>
      <c r="I246" s="101">
        <v>45866</v>
      </c>
      <c r="J246" s="101">
        <v>45866</v>
      </c>
      <c r="K246" s="63" t="s">
        <v>283</v>
      </c>
      <c r="L246" s="63" t="s">
        <v>41</v>
      </c>
      <c r="M246" s="63"/>
      <c r="N246" s="63" t="s">
        <v>438</v>
      </c>
      <c r="O246" s="63" t="s">
        <v>122</v>
      </c>
      <c r="P246" s="63" t="s">
        <v>7</v>
      </c>
      <c r="Q246" s="66" t="s">
        <v>537</v>
      </c>
      <c r="R246" s="66" t="s">
        <v>538</v>
      </c>
    </row>
    <row r="247" spans="2:18" ht="27" customHeight="1">
      <c r="B247" s="63" t="str">
        <f t="shared" si="3"/>
        <v>No244</v>
      </c>
      <c r="C247" s="63" t="s">
        <v>3</v>
      </c>
      <c r="D247" s="63" t="s">
        <v>155</v>
      </c>
      <c r="E247" s="101">
        <v>45866</v>
      </c>
      <c r="F247" s="65">
        <v>0.66666666666666663</v>
      </c>
      <c r="G247" s="65">
        <v>0.6875</v>
      </c>
      <c r="H247" s="65">
        <v>2.0833333333333329E-2</v>
      </c>
      <c r="I247" s="101">
        <v>45866</v>
      </c>
      <c r="J247" s="101">
        <v>45866</v>
      </c>
      <c r="K247" s="63" t="s">
        <v>119</v>
      </c>
      <c r="L247" s="63" t="s">
        <v>77</v>
      </c>
      <c r="M247" s="63"/>
      <c r="N247" s="63" t="s">
        <v>539</v>
      </c>
      <c r="O247" s="63" t="s">
        <v>6</v>
      </c>
      <c r="P247" s="63" t="s">
        <v>7</v>
      </c>
      <c r="Q247" s="66" t="s">
        <v>521</v>
      </c>
      <c r="R247" s="66" t="s">
        <v>158</v>
      </c>
    </row>
    <row r="248" spans="2:18" ht="18.75" customHeight="1">
      <c r="B248" s="63" t="str">
        <f t="shared" si="3"/>
        <v>No245</v>
      </c>
      <c r="C248" s="63" t="s">
        <v>3</v>
      </c>
      <c r="D248" s="63" t="s">
        <v>4</v>
      </c>
      <c r="E248" s="101">
        <v>45867</v>
      </c>
      <c r="F248" s="65">
        <v>0.65625</v>
      </c>
      <c r="G248" s="65">
        <v>0.66666666666666663</v>
      </c>
      <c r="H248" s="65">
        <v>1.041666666666667E-2</v>
      </c>
      <c r="I248" s="101">
        <v>45867</v>
      </c>
      <c r="J248" s="101">
        <v>45867</v>
      </c>
      <c r="K248" s="63" t="s">
        <v>40</v>
      </c>
      <c r="L248" s="63" t="s">
        <v>542</v>
      </c>
      <c r="M248" s="63"/>
      <c r="N248" s="63" t="s">
        <v>163</v>
      </c>
      <c r="O248" s="63" t="s">
        <v>6</v>
      </c>
      <c r="P248" s="63" t="s">
        <v>7</v>
      </c>
      <c r="Q248" s="66" t="s">
        <v>543</v>
      </c>
      <c r="R248" s="66" t="s">
        <v>544</v>
      </c>
    </row>
    <row r="249" spans="2:18" ht="18.75" customHeight="1">
      <c r="B249" s="63" t="str">
        <f t="shared" si="3"/>
        <v>No246</v>
      </c>
      <c r="C249" s="63" t="s">
        <v>142</v>
      </c>
      <c r="D249" s="63" t="s">
        <v>4</v>
      </c>
      <c r="E249" s="101">
        <v>45867</v>
      </c>
      <c r="F249" s="65">
        <v>0.71180555555555558</v>
      </c>
      <c r="G249" s="65">
        <v>0.71875</v>
      </c>
      <c r="H249" s="65">
        <v>6.9444444444444441E-3</v>
      </c>
      <c r="I249" s="101">
        <v>45867</v>
      </c>
      <c r="J249" s="101">
        <v>45867</v>
      </c>
      <c r="K249" s="63" t="s">
        <v>40</v>
      </c>
      <c r="L249" s="63" t="s">
        <v>35</v>
      </c>
      <c r="M249" s="63"/>
      <c r="N249" s="63" t="s">
        <v>269</v>
      </c>
      <c r="O249" s="63" t="s">
        <v>6</v>
      </c>
      <c r="P249" s="63" t="s">
        <v>7</v>
      </c>
      <c r="Q249" s="66" t="s">
        <v>547</v>
      </c>
      <c r="R249" s="66" t="s">
        <v>101</v>
      </c>
    </row>
    <row r="250" spans="2:18" ht="26.25" customHeight="1">
      <c r="B250" s="63" t="str">
        <f t="shared" si="3"/>
        <v>No247</v>
      </c>
      <c r="C250" s="63" t="s">
        <v>104</v>
      </c>
      <c r="D250" s="63" t="s">
        <v>4</v>
      </c>
      <c r="E250" s="101">
        <v>45867</v>
      </c>
      <c r="F250" s="65">
        <v>0.71875</v>
      </c>
      <c r="G250" s="65">
        <v>0.72916666666666663</v>
      </c>
      <c r="H250" s="65">
        <v>1.041666666666667E-2</v>
      </c>
      <c r="I250" s="101">
        <v>45867</v>
      </c>
      <c r="J250" s="101">
        <v>45867</v>
      </c>
      <c r="K250" s="63" t="s">
        <v>20</v>
      </c>
      <c r="L250" s="63" t="s">
        <v>111</v>
      </c>
      <c r="M250" s="63"/>
      <c r="N250" s="63" t="s">
        <v>114</v>
      </c>
      <c r="O250" s="63" t="s">
        <v>6</v>
      </c>
      <c r="P250" s="63" t="s">
        <v>7</v>
      </c>
      <c r="Q250" s="66" t="s">
        <v>548</v>
      </c>
      <c r="R250" s="66" t="s">
        <v>549</v>
      </c>
    </row>
    <row r="251" spans="2:18" ht="18.75" customHeight="1">
      <c r="B251" s="63" t="str">
        <f t="shared" si="3"/>
        <v>No248</v>
      </c>
      <c r="C251" s="63" t="s">
        <v>104</v>
      </c>
      <c r="D251" s="63" t="s">
        <v>4</v>
      </c>
      <c r="E251" s="101">
        <v>45867</v>
      </c>
      <c r="F251" s="65">
        <v>0.48958333333333331</v>
      </c>
      <c r="G251" s="65">
        <v>0.5</v>
      </c>
      <c r="H251" s="65">
        <v>1.041666666666667E-2</v>
      </c>
      <c r="I251" s="101">
        <v>45867</v>
      </c>
      <c r="J251" s="101">
        <v>45867</v>
      </c>
      <c r="K251" s="63" t="s">
        <v>45</v>
      </c>
      <c r="L251" s="63" t="s">
        <v>35</v>
      </c>
      <c r="M251" s="63"/>
      <c r="N251" s="63" t="s">
        <v>539</v>
      </c>
      <c r="O251" s="63" t="s">
        <v>6</v>
      </c>
      <c r="P251" s="63" t="s">
        <v>7</v>
      </c>
      <c r="Q251" s="66" t="s">
        <v>540</v>
      </c>
      <c r="R251" s="66" t="s">
        <v>541</v>
      </c>
    </row>
    <row r="252" spans="2:18" ht="18.75" customHeight="1">
      <c r="B252" s="63" t="str">
        <f t="shared" si="3"/>
        <v>No249</v>
      </c>
      <c r="C252" s="63" t="s">
        <v>104</v>
      </c>
      <c r="D252" s="63" t="s">
        <v>4</v>
      </c>
      <c r="E252" s="101">
        <v>45867</v>
      </c>
      <c r="F252" s="65">
        <v>0.65972222222222221</v>
      </c>
      <c r="G252" s="65">
        <v>0.66666666666666663</v>
      </c>
      <c r="H252" s="65">
        <v>6.9444444444444441E-3</v>
      </c>
      <c r="I252" s="101">
        <v>45867</v>
      </c>
      <c r="J252" s="101">
        <v>45867</v>
      </c>
      <c r="K252" s="63" t="s">
        <v>40</v>
      </c>
      <c r="L252" s="63" t="s">
        <v>159</v>
      </c>
      <c r="M252" s="63"/>
      <c r="N252" s="63" t="s">
        <v>339</v>
      </c>
      <c r="O252" s="63" t="s">
        <v>6</v>
      </c>
      <c r="P252" s="63" t="s">
        <v>7</v>
      </c>
      <c r="Q252" s="66" t="s">
        <v>545</v>
      </c>
      <c r="R252" s="66" t="s">
        <v>546</v>
      </c>
    </row>
    <row r="253" spans="2:18" ht="25.5" customHeight="1">
      <c r="B253" s="63" t="str">
        <f t="shared" si="3"/>
        <v>No250</v>
      </c>
      <c r="C253" s="63" t="s">
        <v>166</v>
      </c>
      <c r="D253" s="63" t="s">
        <v>4</v>
      </c>
      <c r="E253" s="101">
        <v>45868</v>
      </c>
      <c r="F253" s="65">
        <v>0.41666666666666669</v>
      </c>
      <c r="G253" s="65">
        <v>0.5</v>
      </c>
      <c r="H253" s="65">
        <v>8.3333333333333329E-2</v>
      </c>
      <c r="I253" s="101">
        <v>45868</v>
      </c>
      <c r="J253" s="101">
        <v>45868</v>
      </c>
      <c r="K253" s="63" t="s">
        <v>40</v>
      </c>
      <c r="L253" s="63" t="s">
        <v>26</v>
      </c>
      <c r="M253" s="63"/>
      <c r="N253" s="63" t="s">
        <v>4</v>
      </c>
      <c r="O253" s="63" t="s">
        <v>122</v>
      </c>
      <c r="P253" s="63" t="s">
        <v>7</v>
      </c>
      <c r="Q253" s="66" t="s">
        <v>550</v>
      </c>
      <c r="R253" s="66" t="s">
        <v>101</v>
      </c>
    </row>
    <row r="254" spans="2:18" ht="25.5" customHeight="1">
      <c r="B254" s="63" t="str">
        <f t="shared" si="3"/>
        <v>No251</v>
      </c>
      <c r="C254" s="63" t="s">
        <v>166</v>
      </c>
      <c r="D254" s="63" t="s">
        <v>4</v>
      </c>
      <c r="E254" s="101">
        <v>45868</v>
      </c>
      <c r="F254" s="65">
        <v>0.54166666666666663</v>
      </c>
      <c r="G254" s="65">
        <v>0.5625</v>
      </c>
      <c r="H254" s="65">
        <v>2.0833333333333329E-2</v>
      </c>
      <c r="I254" s="101">
        <v>45868</v>
      </c>
      <c r="J254" s="101">
        <v>45868</v>
      </c>
      <c r="K254" s="63" t="s">
        <v>40</v>
      </c>
      <c r="L254" s="63" t="s">
        <v>111</v>
      </c>
      <c r="M254" s="63"/>
      <c r="N254" s="63" t="s">
        <v>114</v>
      </c>
      <c r="O254" s="63" t="s">
        <v>6</v>
      </c>
      <c r="P254" s="63" t="s">
        <v>7</v>
      </c>
      <c r="Q254" s="66" t="s">
        <v>551</v>
      </c>
      <c r="R254" s="66" t="s">
        <v>101</v>
      </c>
    </row>
    <row r="255" spans="2:18" ht="25.5" customHeight="1">
      <c r="B255" s="63" t="str">
        <f t="shared" si="3"/>
        <v>No252</v>
      </c>
      <c r="C255" s="63" t="s">
        <v>3</v>
      </c>
      <c r="D255" s="63" t="s">
        <v>4</v>
      </c>
      <c r="E255" s="101">
        <v>45868</v>
      </c>
      <c r="F255" s="65">
        <v>0.70833333333333337</v>
      </c>
      <c r="G255" s="65">
        <v>0.75</v>
      </c>
      <c r="H255" s="65">
        <v>4.1666666666666657E-2</v>
      </c>
      <c r="I255" s="101">
        <v>45868</v>
      </c>
      <c r="J255" s="101">
        <v>45868</v>
      </c>
      <c r="K255" s="63" t="s">
        <v>40</v>
      </c>
      <c r="L255" s="63" t="s">
        <v>35</v>
      </c>
      <c r="M255" s="63"/>
      <c r="N255" s="63" t="s">
        <v>102</v>
      </c>
      <c r="O255" s="63" t="s">
        <v>6</v>
      </c>
      <c r="P255" s="63" t="s">
        <v>7</v>
      </c>
      <c r="Q255" s="66" t="s">
        <v>552</v>
      </c>
      <c r="R255" s="66" t="s">
        <v>101</v>
      </c>
    </row>
    <row r="256" spans="2:18" ht="18.75" customHeight="1">
      <c r="B256" s="63" t="str">
        <f t="shared" si="3"/>
        <v>No253</v>
      </c>
      <c r="C256" s="63" t="s">
        <v>104</v>
      </c>
      <c r="D256" s="63" t="s">
        <v>4</v>
      </c>
      <c r="E256" s="101">
        <v>45869</v>
      </c>
      <c r="F256" s="65">
        <v>0.41666666666666669</v>
      </c>
      <c r="G256" s="65">
        <v>0.4375</v>
      </c>
      <c r="H256" s="65">
        <v>2.0833333333333329E-2</v>
      </c>
      <c r="I256" s="101">
        <v>45869</v>
      </c>
      <c r="J256" s="101">
        <v>45869</v>
      </c>
      <c r="K256" s="63" t="s">
        <v>95</v>
      </c>
      <c r="L256" s="63" t="s">
        <v>77</v>
      </c>
      <c r="M256" s="63"/>
      <c r="N256" s="63" t="s">
        <v>198</v>
      </c>
      <c r="O256" s="63" t="s">
        <v>6</v>
      </c>
      <c r="P256" s="63" t="s">
        <v>7</v>
      </c>
      <c r="Q256" s="66" t="s">
        <v>555</v>
      </c>
      <c r="R256" s="66" t="s">
        <v>556</v>
      </c>
    </row>
    <row r="257" spans="2:18" ht="18.75" customHeight="1">
      <c r="B257" s="63" t="str">
        <f t="shared" si="3"/>
        <v>No254</v>
      </c>
      <c r="C257" s="63" t="s">
        <v>3</v>
      </c>
      <c r="D257" s="63" t="s">
        <v>4</v>
      </c>
      <c r="E257" s="101">
        <v>45869</v>
      </c>
      <c r="F257" s="65">
        <v>0.54166666666666663</v>
      </c>
      <c r="G257" s="65">
        <v>0.70833333333333337</v>
      </c>
      <c r="H257" s="65">
        <v>0.16666666666666671</v>
      </c>
      <c r="I257" s="101">
        <v>45869</v>
      </c>
      <c r="J257" s="101">
        <v>45869</v>
      </c>
      <c r="K257" s="63" t="s">
        <v>20</v>
      </c>
      <c r="L257" s="63" t="s">
        <v>26</v>
      </c>
      <c r="M257" s="63"/>
      <c r="N257" s="63" t="s">
        <v>121</v>
      </c>
      <c r="O257" s="63" t="s">
        <v>6</v>
      </c>
      <c r="P257" s="63" t="s">
        <v>7</v>
      </c>
      <c r="Q257" s="66" t="s">
        <v>557</v>
      </c>
      <c r="R257" s="66" t="s">
        <v>558</v>
      </c>
    </row>
    <row r="258" spans="2:18" ht="18.75" customHeight="1">
      <c r="B258" s="63" t="str">
        <f t="shared" si="3"/>
        <v>No255</v>
      </c>
      <c r="C258" s="63" t="s">
        <v>104</v>
      </c>
      <c r="D258" s="63" t="s">
        <v>4</v>
      </c>
      <c r="E258" s="101">
        <v>45869</v>
      </c>
      <c r="F258" s="65">
        <v>0.39583333333333331</v>
      </c>
      <c r="G258" s="65">
        <v>0.40625</v>
      </c>
      <c r="H258" s="65">
        <v>1.041666666666667E-2</v>
      </c>
      <c r="I258" s="101">
        <v>45869</v>
      </c>
      <c r="J258" s="101">
        <v>45869</v>
      </c>
      <c r="K258" s="63" t="s">
        <v>61</v>
      </c>
      <c r="L258" s="63" t="s">
        <v>35</v>
      </c>
      <c r="M258" s="63"/>
      <c r="N258" s="63" t="s">
        <v>269</v>
      </c>
      <c r="O258" s="63" t="s">
        <v>6</v>
      </c>
      <c r="P258" s="63" t="s">
        <v>7</v>
      </c>
      <c r="Q258" s="66" t="s">
        <v>553</v>
      </c>
      <c r="R258" s="66" t="s">
        <v>554</v>
      </c>
    </row>
    <row r="259" spans="2:18" ht="24.75" customHeight="1">
      <c r="B259" s="63" t="str">
        <f t="shared" si="3"/>
        <v>No256</v>
      </c>
      <c r="C259" s="63" t="s">
        <v>142</v>
      </c>
      <c r="D259" s="63" t="s">
        <v>116</v>
      </c>
      <c r="E259" s="101">
        <v>45870</v>
      </c>
      <c r="F259" s="65">
        <v>0.39930555555555558</v>
      </c>
      <c r="G259" s="65">
        <v>0.40972222222222221</v>
      </c>
      <c r="H259" s="65">
        <v>1.041666666666667E-2</v>
      </c>
      <c r="I259" s="101">
        <v>45852</v>
      </c>
      <c r="J259" s="101">
        <v>45852</v>
      </c>
      <c r="K259" s="63" t="s">
        <v>119</v>
      </c>
      <c r="L259" s="63" t="s">
        <v>159</v>
      </c>
      <c r="M259" s="63"/>
      <c r="N259" s="63" t="s">
        <v>187</v>
      </c>
      <c r="O259" s="63" t="s">
        <v>122</v>
      </c>
      <c r="P259" s="63" t="s">
        <v>7</v>
      </c>
      <c r="Q259" s="66" t="s">
        <v>482</v>
      </c>
      <c r="R259" s="66" t="s">
        <v>158</v>
      </c>
    </row>
    <row r="260" spans="2:18" ht="24.75" customHeight="1">
      <c r="B260" s="63" t="str">
        <f t="shared" ref="B260:B323" si="4">"No"&amp;ROW()-3</f>
        <v>No257</v>
      </c>
      <c r="C260" s="63" t="s">
        <v>142</v>
      </c>
      <c r="D260" s="63" t="s">
        <v>116</v>
      </c>
      <c r="E260" s="101">
        <v>45870</v>
      </c>
      <c r="F260" s="65">
        <v>0.39930555555555558</v>
      </c>
      <c r="G260" s="65">
        <v>0.40972222222222221</v>
      </c>
      <c r="H260" s="65">
        <v>1.041666666666667E-2</v>
      </c>
      <c r="I260" s="101">
        <v>45852</v>
      </c>
      <c r="J260" s="101">
        <v>45852</v>
      </c>
      <c r="K260" s="63" t="s">
        <v>119</v>
      </c>
      <c r="L260" s="63" t="s">
        <v>111</v>
      </c>
      <c r="M260" s="63"/>
      <c r="N260" s="63" t="s">
        <v>215</v>
      </c>
      <c r="O260" s="63" t="s">
        <v>122</v>
      </c>
      <c r="P260" s="63" t="s">
        <v>7</v>
      </c>
      <c r="Q260" s="66" t="s">
        <v>246</v>
      </c>
      <c r="R260" s="66" t="s">
        <v>158</v>
      </c>
    </row>
    <row r="261" spans="2:18" ht="27" customHeight="1">
      <c r="B261" s="63" t="str">
        <f t="shared" si="4"/>
        <v>No258</v>
      </c>
      <c r="C261" s="63" t="s">
        <v>142</v>
      </c>
      <c r="D261" s="63" t="s">
        <v>155</v>
      </c>
      <c r="E261" s="101">
        <v>45870</v>
      </c>
      <c r="F261" s="65">
        <v>0.71527777777777779</v>
      </c>
      <c r="G261" s="65">
        <v>0.72222222222222221</v>
      </c>
      <c r="H261" s="65">
        <v>6.9444444444444441E-3</v>
      </c>
      <c r="I261" s="101">
        <v>45852</v>
      </c>
      <c r="J261" s="101">
        <v>45852</v>
      </c>
      <c r="K261" s="63" t="s">
        <v>119</v>
      </c>
      <c r="L261" s="63" t="s">
        <v>41</v>
      </c>
      <c r="M261" s="63"/>
      <c r="N261" s="63" t="s">
        <v>277</v>
      </c>
      <c r="O261" s="63" t="s">
        <v>122</v>
      </c>
      <c r="P261" s="63" t="s">
        <v>7</v>
      </c>
      <c r="Q261" s="66" t="s">
        <v>385</v>
      </c>
      <c r="R261" s="66" t="s">
        <v>158</v>
      </c>
    </row>
    <row r="262" spans="2:18" ht="18.75" customHeight="1">
      <c r="B262" s="63" t="str">
        <f t="shared" si="4"/>
        <v>No259</v>
      </c>
      <c r="C262" s="63" t="s">
        <v>104</v>
      </c>
      <c r="D262" s="63" t="s">
        <v>155</v>
      </c>
      <c r="E262" s="101">
        <v>45874</v>
      </c>
      <c r="F262" s="65">
        <v>0.47916666666666669</v>
      </c>
      <c r="G262" s="65">
        <v>0.5625</v>
      </c>
      <c r="H262" s="65">
        <v>4.1666666666666657E-2</v>
      </c>
      <c r="I262" s="101">
        <v>45874</v>
      </c>
      <c r="J262" s="101">
        <v>45874</v>
      </c>
      <c r="K262" s="63" t="s">
        <v>119</v>
      </c>
      <c r="L262" s="63" t="s">
        <v>311</v>
      </c>
      <c r="M262" s="63"/>
      <c r="N262" s="63" t="s">
        <v>121</v>
      </c>
      <c r="O262" s="63" t="s">
        <v>117</v>
      </c>
      <c r="P262" s="63" t="s">
        <v>7</v>
      </c>
      <c r="Q262" s="66" t="s">
        <v>570</v>
      </c>
      <c r="R262" s="66" t="s">
        <v>571</v>
      </c>
    </row>
    <row r="263" spans="2:18" ht="18.75" customHeight="1">
      <c r="B263" s="63" t="str">
        <f t="shared" si="4"/>
        <v>No260</v>
      </c>
      <c r="C263" s="63" t="s">
        <v>104</v>
      </c>
      <c r="D263" s="63" t="s">
        <v>155</v>
      </c>
      <c r="E263" s="101">
        <v>45874</v>
      </c>
      <c r="F263" s="65">
        <v>0.4861111111111111</v>
      </c>
      <c r="G263" s="65">
        <v>0.5</v>
      </c>
      <c r="H263" s="65">
        <v>1.388888888888889E-2</v>
      </c>
      <c r="I263" s="101">
        <v>45874</v>
      </c>
      <c r="J263" s="101">
        <v>45874</v>
      </c>
      <c r="K263" s="63" t="s">
        <v>119</v>
      </c>
      <c r="L263" s="63" t="s">
        <v>77</v>
      </c>
      <c r="M263" s="63"/>
      <c r="N263" s="63" t="s">
        <v>144</v>
      </c>
      <c r="O263" s="63" t="s">
        <v>122</v>
      </c>
      <c r="P263" s="63" t="s">
        <v>7</v>
      </c>
      <c r="Q263" s="66" t="s">
        <v>572</v>
      </c>
      <c r="R263" s="66" t="s">
        <v>573</v>
      </c>
    </row>
    <row r="264" spans="2:18" ht="24" customHeight="1">
      <c r="B264" s="63" t="str">
        <f t="shared" si="4"/>
        <v>No261</v>
      </c>
      <c r="C264" s="63" t="s">
        <v>142</v>
      </c>
      <c r="D264" s="63" t="s">
        <v>155</v>
      </c>
      <c r="E264" s="101">
        <v>45874</v>
      </c>
      <c r="F264" s="65">
        <v>0.41666666666666669</v>
      </c>
      <c r="G264" s="65">
        <v>0.54166666666666663</v>
      </c>
      <c r="H264" s="65">
        <v>2.0833333333333329E-2</v>
      </c>
      <c r="I264" s="101">
        <v>45874</v>
      </c>
      <c r="J264" s="101">
        <v>45874</v>
      </c>
      <c r="K264" s="63" t="s">
        <v>45</v>
      </c>
      <c r="L264" s="63" t="s">
        <v>21</v>
      </c>
      <c r="M264" s="63"/>
      <c r="N264" s="63" t="s">
        <v>568</v>
      </c>
      <c r="O264" s="63" t="s">
        <v>122</v>
      </c>
      <c r="P264" s="63" t="s">
        <v>7</v>
      </c>
      <c r="Q264" s="66" t="s">
        <v>569</v>
      </c>
      <c r="R264" s="66" t="s">
        <v>158</v>
      </c>
    </row>
    <row r="265" spans="2:18" ht="24" customHeight="1">
      <c r="B265" s="63" t="str">
        <f t="shared" si="4"/>
        <v>No262</v>
      </c>
      <c r="C265" s="63" t="s">
        <v>142</v>
      </c>
      <c r="D265" s="63" t="s">
        <v>155</v>
      </c>
      <c r="E265" s="101">
        <v>45874</v>
      </c>
      <c r="F265" s="65">
        <v>0.875</v>
      </c>
      <c r="G265" s="65">
        <v>0.36458333333333331</v>
      </c>
      <c r="H265" s="65">
        <v>1.388888888888889E-2</v>
      </c>
      <c r="I265" s="101">
        <v>45875</v>
      </c>
      <c r="J265" s="101">
        <v>45875</v>
      </c>
      <c r="K265" s="63" t="s">
        <v>119</v>
      </c>
      <c r="L265" s="63" t="s">
        <v>77</v>
      </c>
      <c r="M265" s="63"/>
      <c r="N265" s="63" t="s">
        <v>144</v>
      </c>
      <c r="O265" s="63" t="s">
        <v>122</v>
      </c>
      <c r="P265" s="63" t="s">
        <v>7</v>
      </c>
      <c r="Q265" s="66" t="s">
        <v>574</v>
      </c>
      <c r="R265" s="66" t="s">
        <v>158</v>
      </c>
    </row>
    <row r="266" spans="2:18" ht="24" customHeight="1">
      <c r="B266" s="63" t="str">
        <f t="shared" si="4"/>
        <v>No263</v>
      </c>
      <c r="C266" s="63" t="s">
        <v>142</v>
      </c>
      <c r="D266" s="63" t="s">
        <v>155</v>
      </c>
      <c r="E266" s="101">
        <v>45876</v>
      </c>
      <c r="F266" s="65">
        <v>0.39930555555555558</v>
      </c>
      <c r="G266" s="65">
        <v>0.40625</v>
      </c>
      <c r="H266" s="65">
        <v>1.041666666666667E-2</v>
      </c>
      <c r="I266" s="101">
        <v>45876</v>
      </c>
      <c r="J266" s="101">
        <v>45876</v>
      </c>
      <c r="K266" s="63" t="s">
        <v>119</v>
      </c>
      <c r="L266" s="63" t="s">
        <v>159</v>
      </c>
      <c r="M266" s="63"/>
      <c r="N266" s="63" t="s">
        <v>187</v>
      </c>
      <c r="O266" s="63" t="s">
        <v>122</v>
      </c>
      <c r="P266" s="63" t="s">
        <v>7</v>
      </c>
      <c r="Q266" s="66" t="s">
        <v>179</v>
      </c>
      <c r="R266" s="66" t="s">
        <v>158</v>
      </c>
    </row>
    <row r="267" spans="2:18" ht="24" customHeight="1">
      <c r="B267" s="63" t="str">
        <f t="shared" si="4"/>
        <v>No264</v>
      </c>
      <c r="C267" s="63" t="s">
        <v>142</v>
      </c>
      <c r="D267" s="63" t="s">
        <v>155</v>
      </c>
      <c r="E267" s="101">
        <v>45876</v>
      </c>
      <c r="F267" s="65">
        <v>0.63541666666666663</v>
      </c>
      <c r="G267" s="65">
        <v>0.65972222222222221</v>
      </c>
      <c r="H267" s="65">
        <v>6.9444444444444441E-3</v>
      </c>
      <c r="I267" s="101">
        <v>45876</v>
      </c>
      <c r="J267" s="101">
        <v>45876</v>
      </c>
      <c r="K267" s="63" t="s">
        <v>119</v>
      </c>
      <c r="L267" s="63" t="s">
        <v>159</v>
      </c>
      <c r="M267" s="63"/>
      <c r="N267" s="63" t="s">
        <v>160</v>
      </c>
      <c r="O267" s="63" t="s">
        <v>122</v>
      </c>
      <c r="P267" s="63" t="s">
        <v>7</v>
      </c>
      <c r="Q267" s="66" t="s">
        <v>179</v>
      </c>
      <c r="R267" s="66" t="s">
        <v>158</v>
      </c>
    </row>
    <row r="268" spans="2:18" ht="24" customHeight="1">
      <c r="B268" s="63" t="str">
        <f t="shared" si="4"/>
        <v>No265</v>
      </c>
      <c r="C268" s="63" t="s">
        <v>142</v>
      </c>
      <c r="D268" s="63" t="s">
        <v>155</v>
      </c>
      <c r="E268" s="101">
        <v>45876</v>
      </c>
      <c r="F268" s="65">
        <v>0.41666666666666669</v>
      </c>
      <c r="G268" s="65">
        <v>0.72916666666666663</v>
      </c>
      <c r="H268" s="65">
        <v>0.125</v>
      </c>
      <c r="I268" s="101">
        <v>45876</v>
      </c>
      <c r="J268" s="101">
        <v>45876</v>
      </c>
      <c r="K268" s="63" t="s">
        <v>119</v>
      </c>
      <c r="L268" s="63" t="s">
        <v>159</v>
      </c>
      <c r="M268" s="63"/>
      <c r="N268" s="63" t="s">
        <v>187</v>
      </c>
      <c r="O268" s="63" t="s">
        <v>122</v>
      </c>
      <c r="P268" s="63" t="s">
        <v>7</v>
      </c>
      <c r="Q268" s="66" t="s">
        <v>512</v>
      </c>
      <c r="R268" s="66" t="s">
        <v>158</v>
      </c>
    </row>
    <row r="269" spans="2:18" ht="18.75" customHeight="1">
      <c r="B269" s="63" t="str">
        <f t="shared" si="4"/>
        <v>No266</v>
      </c>
      <c r="C269" s="63" t="s">
        <v>142</v>
      </c>
      <c r="D269" s="63" t="s">
        <v>155</v>
      </c>
      <c r="E269" s="101">
        <v>45877</v>
      </c>
      <c r="F269" s="65">
        <v>0.625</v>
      </c>
      <c r="G269" s="65">
        <v>0.625</v>
      </c>
      <c r="H269" s="65">
        <v>0.20833333333333329</v>
      </c>
      <c r="I269" s="101">
        <v>45881</v>
      </c>
      <c r="J269" s="101">
        <v>45881</v>
      </c>
      <c r="K269" s="63" t="s">
        <v>197</v>
      </c>
      <c r="L269" s="63" t="s">
        <v>77</v>
      </c>
      <c r="M269" s="63"/>
      <c r="N269" s="63" t="s">
        <v>238</v>
      </c>
      <c r="O269" s="63" t="s">
        <v>122</v>
      </c>
      <c r="P269" s="63" t="s">
        <v>7</v>
      </c>
      <c r="Q269" s="66" t="s">
        <v>575</v>
      </c>
      <c r="R269" s="66" t="s">
        <v>576</v>
      </c>
    </row>
    <row r="270" spans="2:18" ht="26.25" customHeight="1">
      <c r="B270" s="63" t="str">
        <f t="shared" si="4"/>
        <v>No267</v>
      </c>
      <c r="C270" s="63" t="s">
        <v>142</v>
      </c>
      <c r="D270" s="63" t="s">
        <v>155</v>
      </c>
      <c r="E270" s="101">
        <v>45881</v>
      </c>
      <c r="F270" s="65">
        <v>0.4375</v>
      </c>
      <c r="G270" s="65">
        <v>0.44791666666666669</v>
      </c>
      <c r="H270" s="65">
        <v>1.041666666666667E-2</v>
      </c>
      <c r="I270" s="101">
        <v>45881</v>
      </c>
      <c r="J270" s="101">
        <v>45881</v>
      </c>
      <c r="K270" s="63" t="s">
        <v>119</v>
      </c>
      <c r="L270" s="63" t="s">
        <v>111</v>
      </c>
      <c r="M270" s="63"/>
      <c r="N270" s="63" t="s">
        <v>201</v>
      </c>
      <c r="O270" s="63" t="s">
        <v>122</v>
      </c>
      <c r="P270" s="63" t="s">
        <v>7</v>
      </c>
      <c r="Q270" s="66" t="s">
        <v>246</v>
      </c>
      <c r="R270" s="66" t="s">
        <v>158</v>
      </c>
    </row>
    <row r="271" spans="2:18" ht="18.75" customHeight="1">
      <c r="B271" s="63" t="str">
        <f t="shared" si="4"/>
        <v>No268</v>
      </c>
      <c r="C271" s="63" t="s">
        <v>104</v>
      </c>
      <c r="D271" s="63" t="s">
        <v>4</v>
      </c>
      <c r="E271" s="101">
        <v>45870</v>
      </c>
      <c r="F271" s="65">
        <v>0.41666666666666669</v>
      </c>
      <c r="G271" s="65">
        <v>0.4236111111111111</v>
      </c>
      <c r="H271" s="65">
        <v>6.9444444444444441E-3</v>
      </c>
      <c r="I271" s="101">
        <v>45870</v>
      </c>
      <c r="J271" s="101">
        <v>45870</v>
      </c>
      <c r="K271" s="63" t="s">
        <v>20</v>
      </c>
      <c r="L271" s="63" t="s">
        <v>21</v>
      </c>
      <c r="M271" s="63"/>
      <c r="N271" s="63" t="s">
        <v>109</v>
      </c>
      <c r="O271" s="63" t="s">
        <v>6</v>
      </c>
      <c r="P271" s="63" t="s">
        <v>7</v>
      </c>
      <c r="Q271" s="66" t="s">
        <v>560</v>
      </c>
      <c r="R271" s="66" t="s">
        <v>101</v>
      </c>
    </row>
    <row r="272" spans="2:18" ht="24.75" customHeight="1">
      <c r="B272" s="63" t="str">
        <f t="shared" si="4"/>
        <v>No269</v>
      </c>
      <c r="C272" s="63" t="s">
        <v>3</v>
      </c>
      <c r="D272" s="63" t="s">
        <v>4</v>
      </c>
      <c r="E272" s="101">
        <v>45870</v>
      </c>
      <c r="F272" s="65">
        <v>0.375</v>
      </c>
      <c r="G272" s="65">
        <v>0.45833333333333331</v>
      </c>
      <c r="H272" s="65">
        <v>8.3333333333333329E-2</v>
      </c>
      <c r="I272" s="101">
        <v>45870</v>
      </c>
      <c r="J272" s="101">
        <v>45870</v>
      </c>
      <c r="K272" s="63" t="s">
        <v>45</v>
      </c>
      <c r="L272" s="63" t="s">
        <v>26</v>
      </c>
      <c r="M272" s="63"/>
      <c r="N272" s="63" t="s">
        <v>121</v>
      </c>
      <c r="O272" s="63" t="s">
        <v>6</v>
      </c>
      <c r="P272" s="63" t="s">
        <v>7</v>
      </c>
      <c r="Q272" s="66" t="s">
        <v>559</v>
      </c>
      <c r="R272" s="66" t="s">
        <v>101</v>
      </c>
    </row>
    <row r="273" spans="2:18" ht="24.75" customHeight="1">
      <c r="B273" s="63" t="str">
        <f t="shared" si="4"/>
        <v>No270</v>
      </c>
      <c r="C273" s="63" t="s">
        <v>166</v>
      </c>
      <c r="D273" s="63" t="s">
        <v>4</v>
      </c>
      <c r="E273" s="101">
        <v>45870</v>
      </c>
      <c r="F273" s="65">
        <v>0.54166666666666663</v>
      </c>
      <c r="G273" s="65">
        <v>0.5625</v>
      </c>
      <c r="H273" s="65">
        <v>2.0833333333333329E-2</v>
      </c>
      <c r="I273" s="101">
        <v>45870</v>
      </c>
      <c r="J273" s="101">
        <v>45870</v>
      </c>
      <c r="K273" s="63" t="s">
        <v>40</v>
      </c>
      <c r="L273" s="63" t="s">
        <v>26</v>
      </c>
      <c r="M273" s="63"/>
      <c r="N273" s="63" t="s">
        <v>121</v>
      </c>
      <c r="O273" s="63" t="s">
        <v>6</v>
      </c>
      <c r="P273" s="63" t="s">
        <v>7</v>
      </c>
      <c r="Q273" s="66" t="s">
        <v>564</v>
      </c>
      <c r="R273" s="66" t="s">
        <v>101</v>
      </c>
    </row>
    <row r="274" spans="2:18" ht="24.75" customHeight="1">
      <c r="B274" s="63" t="str">
        <f t="shared" si="4"/>
        <v>No271</v>
      </c>
      <c r="C274" s="63" t="s">
        <v>104</v>
      </c>
      <c r="D274" s="63" t="s">
        <v>4</v>
      </c>
      <c r="E274" s="101">
        <v>45870</v>
      </c>
      <c r="F274" s="65">
        <v>0.54166666666666663</v>
      </c>
      <c r="G274" s="65">
        <v>0.55208333333333337</v>
      </c>
      <c r="H274" s="65">
        <v>1.041666666666667E-2</v>
      </c>
      <c r="I274" s="101">
        <v>45870</v>
      </c>
      <c r="J274" s="101">
        <v>45870</v>
      </c>
      <c r="K274" s="63" t="s">
        <v>45</v>
      </c>
      <c r="L274" s="63" t="s">
        <v>77</v>
      </c>
      <c r="M274" s="63"/>
      <c r="N274" s="63" t="s">
        <v>211</v>
      </c>
      <c r="O274" s="63" t="s">
        <v>6</v>
      </c>
      <c r="P274" s="63" t="s">
        <v>7</v>
      </c>
      <c r="Q274" s="66" t="s">
        <v>565</v>
      </c>
      <c r="R274" s="66" t="s">
        <v>101</v>
      </c>
    </row>
    <row r="275" spans="2:18" ht="24.75" customHeight="1">
      <c r="B275" s="63" t="str">
        <f t="shared" si="4"/>
        <v>No272</v>
      </c>
      <c r="C275" s="63" t="s">
        <v>98</v>
      </c>
      <c r="D275" s="63" t="s">
        <v>4</v>
      </c>
      <c r="E275" s="101">
        <v>45870</v>
      </c>
      <c r="F275" s="65">
        <v>0.71875</v>
      </c>
      <c r="G275" s="65">
        <v>0.72916666666666663</v>
      </c>
      <c r="H275" s="65">
        <v>1.041666666666667E-2</v>
      </c>
      <c r="I275" s="101">
        <v>45870</v>
      </c>
      <c r="J275" s="101">
        <v>45870</v>
      </c>
      <c r="K275" s="63" t="s">
        <v>95</v>
      </c>
      <c r="L275" s="63" t="s">
        <v>111</v>
      </c>
      <c r="M275" s="63"/>
      <c r="N275" s="63" t="s">
        <v>114</v>
      </c>
      <c r="O275" s="63" t="s">
        <v>6</v>
      </c>
      <c r="P275" s="63" t="s">
        <v>7</v>
      </c>
      <c r="Q275" s="66" t="s">
        <v>566</v>
      </c>
      <c r="R275" s="66" t="s">
        <v>101</v>
      </c>
    </row>
    <row r="276" spans="2:18" ht="24.75" customHeight="1">
      <c r="B276" s="63" t="str">
        <f t="shared" si="4"/>
        <v>No273</v>
      </c>
      <c r="C276" s="63" t="s">
        <v>104</v>
      </c>
      <c r="D276" s="63" t="s">
        <v>4</v>
      </c>
      <c r="E276" s="101">
        <v>45870</v>
      </c>
      <c r="F276" s="65">
        <v>0.45833333333333331</v>
      </c>
      <c r="G276" s="65">
        <v>0.46875</v>
      </c>
      <c r="H276" s="65">
        <v>1.041666666666667E-2</v>
      </c>
      <c r="I276" s="101">
        <v>45870</v>
      </c>
      <c r="J276" s="101">
        <v>45870</v>
      </c>
      <c r="K276" s="63" t="s">
        <v>40</v>
      </c>
      <c r="L276" s="63" t="s">
        <v>561</v>
      </c>
      <c r="M276" s="63"/>
      <c r="N276" s="63" t="s">
        <v>562</v>
      </c>
      <c r="O276" s="63" t="s">
        <v>6</v>
      </c>
      <c r="P276" s="63" t="s">
        <v>7</v>
      </c>
      <c r="Q276" s="66" t="s">
        <v>563</v>
      </c>
      <c r="R276" s="66" t="s">
        <v>101</v>
      </c>
    </row>
    <row r="277" spans="2:18" ht="24.75" customHeight="1">
      <c r="B277" s="63" t="str">
        <f t="shared" si="4"/>
        <v>No274</v>
      </c>
      <c r="C277" s="63" t="s">
        <v>3</v>
      </c>
      <c r="D277" s="63" t="s">
        <v>4</v>
      </c>
      <c r="E277" s="101">
        <v>45870</v>
      </c>
      <c r="F277" s="65">
        <v>0.72916666666666663</v>
      </c>
      <c r="G277" s="65">
        <v>0.75</v>
      </c>
      <c r="H277" s="65">
        <v>2.0833333333333329E-2</v>
      </c>
      <c r="I277" s="101">
        <v>45870</v>
      </c>
      <c r="J277" s="101">
        <v>45870</v>
      </c>
      <c r="K277" s="63" t="s">
        <v>20</v>
      </c>
      <c r="L277" s="63" t="s">
        <v>26</v>
      </c>
      <c r="M277" s="63"/>
      <c r="N277" s="63" t="s">
        <v>121</v>
      </c>
      <c r="O277" s="63" t="s">
        <v>6</v>
      </c>
      <c r="P277" s="63" t="s">
        <v>7</v>
      </c>
      <c r="Q277" s="66" t="s">
        <v>567</v>
      </c>
      <c r="R277" s="66" t="s">
        <v>101</v>
      </c>
    </row>
    <row r="278" spans="2:18" ht="24.75" customHeight="1">
      <c r="B278" s="63" t="str">
        <f t="shared" si="4"/>
        <v>No275</v>
      </c>
      <c r="C278" s="63" t="s">
        <v>3</v>
      </c>
      <c r="D278" s="63" t="s">
        <v>4</v>
      </c>
      <c r="E278" s="101">
        <v>45508</v>
      </c>
      <c r="F278" s="65">
        <v>0.41666666666666669</v>
      </c>
      <c r="G278" s="65">
        <v>0.5</v>
      </c>
      <c r="H278" s="65">
        <v>8.3333333333333329E-2</v>
      </c>
      <c r="I278" s="101">
        <v>45508</v>
      </c>
      <c r="J278" s="101">
        <v>45508</v>
      </c>
      <c r="K278" s="63" t="s">
        <v>20</v>
      </c>
      <c r="L278" s="63" t="s">
        <v>26</v>
      </c>
      <c r="M278" s="63"/>
      <c r="N278" s="63" t="s">
        <v>121</v>
      </c>
      <c r="O278" s="63" t="s">
        <v>6</v>
      </c>
      <c r="P278" s="63" t="s">
        <v>7</v>
      </c>
      <c r="Q278" s="66" t="s">
        <v>1952</v>
      </c>
      <c r="R278" s="66" t="s">
        <v>101</v>
      </c>
    </row>
    <row r="279" spans="2:18" ht="24.75" customHeight="1">
      <c r="B279" s="63" t="str">
        <f t="shared" si="4"/>
        <v>No276</v>
      </c>
      <c r="C279" s="63" t="s">
        <v>3</v>
      </c>
      <c r="D279" s="63" t="s">
        <v>4</v>
      </c>
      <c r="E279" s="101">
        <v>45508</v>
      </c>
      <c r="F279" s="65">
        <v>0.54166666666666663</v>
      </c>
      <c r="G279" s="65">
        <v>0.58333333333333337</v>
      </c>
      <c r="H279" s="65">
        <v>4.1666666666666657E-2</v>
      </c>
      <c r="I279" s="101">
        <v>45508</v>
      </c>
      <c r="J279" s="101">
        <v>45508</v>
      </c>
      <c r="K279" s="63" t="s">
        <v>20</v>
      </c>
      <c r="L279" s="63" t="s">
        <v>26</v>
      </c>
      <c r="M279" s="63"/>
      <c r="N279" s="63" t="s">
        <v>121</v>
      </c>
      <c r="O279" s="63" t="s">
        <v>6</v>
      </c>
      <c r="P279" s="63" t="s">
        <v>7</v>
      </c>
      <c r="Q279" s="66" t="s">
        <v>1953</v>
      </c>
      <c r="R279" s="66" t="s">
        <v>101</v>
      </c>
    </row>
    <row r="280" spans="2:18" ht="24.75" customHeight="1">
      <c r="B280" s="63" t="str">
        <f t="shared" si="4"/>
        <v>No277</v>
      </c>
      <c r="C280" s="63" t="s">
        <v>3</v>
      </c>
      <c r="D280" s="63" t="s">
        <v>4</v>
      </c>
      <c r="E280" s="101">
        <v>45509</v>
      </c>
      <c r="F280" s="65">
        <v>0.40625</v>
      </c>
      <c r="G280" s="65">
        <v>0.41666666666666669</v>
      </c>
      <c r="H280" s="65">
        <v>1.041666666666667E-2</v>
      </c>
      <c r="I280" s="101">
        <v>45509</v>
      </c>
      <c r="J280" s="101">
        <v>45509</v>
      </c>
      <c r="K280" s="63" t="s">
        <v>40</v>
      </c>
      <c r="L280" s="63" t="s">
        <v>41</v>
      </c>
      <c r="M280" s="63"/>
      <c r="N280" s="63" t="s">
        <v>163</v>
      </c>
      <c r="O280" s="63" t="s">
        <v>6</v>
      </c>
      <c r="P280" s="63" t="s">
        <v>7</v>
      </c>
      <c r="Q280" s="66" t="s">
        <v>1954</v>
      </c>
      <c r="R280" s="66" t="s">
        <v>101</v>
      </c>
    </row>
    <row r="281" spans="2:18" ht="18.75" customHeight="1">
      <c r="B281" s="63" t="str">
        <f t="shared" si="4"/>
        <v>No278</v>
      </c>
      <c r="C281" s="63" t="s">
        <v>104</v>
      </c>
      <c r="D281" s="63" t="s">
        <v>4</v>
      </c>
      <c r="E281" s="101">
        <v>45509</v>
      </c>
      <c r="F281" s="65">
        <v>0.375</v>
      </c>
      <c r="G281" s="65">
        <v>0.39583333333333331</v>
      </c>
      <c r="H281" s="65">
        <v>2.0833333333333329E-2</v>
      </c>
      <c r="I281" s="101">
        <v>45509</v>
      </c>
      <c r="J281" s="101">
        <v>45509</v>
      </c>
      <c r="K281" s="63" t="s">
        <v>20</v>
      </c>
      <c r="L281" s="63" t="s">
        <v>35</v>
      </c>
      <c r="M281" s="63"/>
      <c r="N281" s="63" t="s">
        <v>562</v>
      </c>
      <c r="O281" s="63" t="s">
        <v>6</v>
      </c>
      <c r="P281" s="63" t="s">
        <v>7</v>
      </c>
      <c r="Q281" s="66" t="s">
        <v>1955</v>
      </c>
      <c r="R281" s="66" t="s">
        <v>1956</v>
      </c>
    </row>
    <row r="282" spans="2:18" ht="27" customHeight="1">
      <c r="B282" s="63" t="str">
        <f t="shared" si="4"/>
        <v>No279</v>
      </c>
      <c r="C282" s="63" t="s">
        <v>3</v>
      </c>
      <c r="D282" s="63" t="s">
        <v>4</v>
      </c>
      <c r="E282" s="101">
        <v>45510</v>
      </c>
      <c r="F282" s="65">
        <v>0.39583333333333331</v>
      </c>
      <c r="G282" s="65">
        <v>0.40972222222222221</v>
      </c>
      <c r="H282" s="65">
        <v>1.388888888888889E-2</v>
      </c>
      <c r="I282" s="101">
        <v>45510</v>
      </c>
      <c r="J282" s="101">
        <v>45510</v>
      </c>
      <c r="K282" s="63" t="s">
        <v>45</v>
      </c>
      <c r="L282" s="63" t="s">
        <v>21</v>
      </c>
      <c r="M282" s="63"/>
      <c r="N282" s="63" t="s">
        <v>1957</v>
      </c>
      <c r="O282" s="63" t="s">
        <v>6</v>
      </c>
      <c r="P282" s="63" t="s">
        <v>7</v>
      </c>
      <c r="Q282" s="66" t="s">
        <v>1958</v>
      </c>
      <c r="R282" s="66" t="s">
        <v>101</v>
      </c>
    </row>
    <row r="283" spans="2:18" ht="18.75" customHeight="1">
      <c r="B283" s="63" t="str">
        <f t="shared" si="4"/>
        <v>No280</v>
      </c>
      <c r="C283" s="63" t="s">
        <v>3</v>
      </c>
      <c r="D283" s="63" t="s">
        <v>4</v>
      </c>
      <c r="E283" s="101">
        <v>45510</v>
      </c>
      <c r="F283" s="65">
        <v>0.39583333333333331</v>
      </c>
      <c r="G283" s="65">
        <v>0.40625</v>
      </c>
      <c r="H283" s="65">
        <v>1.041666666666667E-2</v>
      </c>
      <c r="I283" s="101">
        <v>45510</v>
      </c>
      <c r="J283" s="101">
        <v>45510</v>
      </c>
      <c r="K283" s="63" t="s">
        <v>45</v>
      </c>
      <c r="L283" s="63" t="s">
        <v>35</v>
      </c>
      <c r="M283" s="63"/>
      <c r="N283" s="63" t="s">
        <v>1959</v>
      </c>
      <c r="O283" s="63" t="s">
        <v>6</v>
      </c>
      <c r="P283" s="63" t="s">
        <v>7</v>
      </c>
      <c r="Q283" s="66" t="s">
        <v>1960</v>
      </c>
      <c r="R283" s="66" t="s">
        <v>101</v>
      </c>
    </row>
    <row r="284" spans="2:18" ht="30" customHeight="1">
      <c r="B284" s="63" t="str">
        <f t="shared" si="4"/>
        <v>No281</v>
      </c>
      <c r="C284" s="63" t="s">
        <v>3</v>
      </c>
      <c r="D284" s="63" t="s">
        <v>4</v>
      </c>
      <c r="E284" s="101">
        <v>45510</v>
      </c>
      <c r="F284" s="65">
        <v>0.39583333333333331</v>
      </c>
      <c r="G284" s="65">
        <v>0.40625</v>
      </c>
      <c r="H284" s="65">
        <v>1.041666666666667E-2</v>
      </c>
      <c r="I284" s="101">
        <v>45510</v>
      </c>
      <c r="J284" s="101">
        <v>45510</v>
      </c>
      <c r="K284" s="63" t="s">
        <v>45</v>
      </c>
      <c r="L284" s="63" t="s">
        <v>21</v>
      </c>
      <c r="M284" s="63"/>
      <c r="N284" s="63" t="s">
        <v>429</v>
      </c>
      <c r="O284" s="63" t="s">
        <v>6</v>
      </c>
      <c r="P284" s="63" t="s">
        <v>7</v>
      </c>
      <c r="Q284" s="66" t="s">
        <v>1961</v>
      </c>
      <c r="R284" s="66" t="s">
        <v>101</v>
      </c>
    </row>
    <row r="285" spans="2:18" ht="18.75" customHeight="1">
      <c r="B285" s="63" t="str">
        <f t="shared" si="4"/>
        <v>No282</v>
      </c>
      <c r="C285" s="63" t="s">
        <v>104</v>
      </c>
      <c r="D285" s="63" t="s">
        <v>4</v>
      </c>
      <c r="E285" s="101">
        <v>45510</v>
      </c>
      <c r="F285" s="65">
        <v>0.4375</v>
      </c>
      <c r="G285" s="65">
        <v>0.64583333333333337</v>
      </c>
      <c r="H285" s="65">
        <v>0.20833333333333329</v>
      </c>
      <c r="I285" s="101">
        <v>45510</v>
      </c>
      <c r="J285" s="101">
        <v>45510</v>
      </c>
      <c r="K285" s="63" t="s">
        <v>20</v>
      </c>
      <c r="L285" s="63" t="s">
        <v>35</v>
      </c>
      <c r="M285" s="63"/>
      <c r="N285" s="63" t="s">
        <v>102</v>
      </c>
      <c r="O285" s="63" t="s">
        <v>122</v>
      </c>
      <c r="P285" s="63" t="s">
        <v>7</v>
      </c>
      <c r="Q285" s="66" t="s">
        <v>1962</v>
      </c>
      <c r="R285" s="66" t="s">
        <v>101</v>
      </c>
    </row>
    <row r="286" spans="2:18" ht="27" customHeight="1">
      <c r="B286" s="63" t="str">
        <f t="shared" si="4"/>
        <v>No283</v>
      </c>
      <c r="C286" s="63" t="s">
        <v>3</v>
      </c>
      <c r="D286" s="63" t="s">
        <v>4</v>
      </c>
      <c r="E286" s="101">
        <v>45510</v>
      </c>
      <c r="F286" s="65">
        <v>0.54166666666666663</v>
      </c>
      <c r="G286" s="65">
        <v>0.8125</v>
      </c>
      <c r="H286" s="65">
        <v>0.27083333333333331</v>
      </c>
      <c r="I286" s="101">
        <v>45510</v>
      </c>
      <c r="J286" s="101">
        <v>45510</v>
      </c>
      <c r="K286" s="63" t="s">
        <v>61</v>
      </c>
      <c r="L286" s="63" t="s">
        <v>26</v>
      </c>
      <c r="M286" s="63"/>
      <c r="N286" s="63" t="s">
        <v>121</v>
      </c>
      <c r="O286" s="63" t="s">
        <v>122</v>
      </c>
      <c r="P286" s="63" t="s">
        <v>7</v>
      </c>
      <c r="Q286" s="66" t="s">
        <v>1963</v>
      </c>
      <c r="R286" s="66" t="s">
        <v>101</v>
      </c>
    </row>
    <row r="287" spans="2:18" ht="27" customHeight="1">
      <c r="B287" s="63" t="str">
        <f t="shared" si="4"/>
        <v>No284</v>
      </c>
      <c r="C287" s="63" t="s">
        <v>98</v>
      </c>
      <c r="D287" s="63" t="s">
        <v>4</v>
      </c>
      <c r="E287" s="101">
        <v>45511</v>
      </c>
      <c r="F287" s="65">
        <v>0.375</v>
      </c>
      <c r="G287" s="65">
        <v>0.5</v>
      </c>
      <c r="H287" s="65">
        <v>0.125</v>
      </c>
      <c r="I287" s="101">
        <v>45511</v>
      </c>
      <c r="J287" s="101">
        <v>45511</v>
      </c>
      <c r="K287" s="63" t="s">
        <v>40</v>
      </c>
      <c r="L287" s="63" t="s">
        <v>21</v>
      </c>
      <c r="M287" s="63"/>
      <c r="N287" s="63" t="s">
        <v>1964</v>
      </c>
      <c r="O287" s="63" t="s">
        <v>6</v>
      </c>
      <c r="P287" s="63" t="s">
        <v>7</v>
      </c>
      <c r="Q287" s="66" t="s">
        <v>1965</v>
      </c>
      <c r="R287" s="66" t="s">
        <v>101</v>
      </c>
    </row>
    <row r="288" spans="2:18" ht="27" customHeight="1">
      <c r="B288" s="63" t="str">
        <f t="shared" si="4"/>
        <v>No285</v>
      </c>
      <c r="C288" s="63" t="s">
        <v>98</v>
      </c>
      <c r="D288" s="63" t="s">
        <v>4</v>
      </c>
      <c r="E288" s="101">
        <v>45511</v>
      </c>
      <c r="F288" s="65">
        <v>0.45833333333333331</v>
      </c>
      <c r="G288" s="65">
        <v>0.46875</v>
      </c>
      <c r="H288" s="65">
        <v>1.041666666666667E-2</v>
      </c>
      <c r="I288" s="101">
        <v>45511</v>
      </c>
      <c r="J288" s="101">
        <v>45511</v>
      </c>
      <c r="K288" s="63" t="s">
        <v>40</v>
      </c>
      <c r="L288" s="63" t="s">
        <v>26</v>
      </c>
      <c r="M288" s="63"/>
      <c r="N288" s="63" t="s">
        <v>121</v>
      </c>
      <c r="O288" s="63" t="s">
        <v>6</v>
      </c>
      <c r="P288" s="63" t="s">
        <v>7</v>
      </c>
      <c r="Q288" s="66" t="s">
        <v>1966</v>
      </c>
      <c r="R288" s="66" t="s">
        <v>101</v>
      </c>
    </row>
    <row r="289" spans="2:18" ht="27" customHeight="1">
      <c r="B289" s="63" t="str">
        <f t="shared" si="4"/>
        <v>No286</v>
      </c>
      <c r="C289" s="63" t="s">
        <v>3</v>
      </c>
      <c r="D289" s="63" t="s">
        <v>4</v>
      </c>
      <c r="E289" s="101">
        <v>45511</v>
      </c>
      <c r="F289" s="65">
        <v>0.41666666666666669</v>
      </c>
      <c r="G289" s="65">
        <v>0.45833333333333331</v>
      </c>
      <c r="H289" s="65">
        <v>4.1666666666666657E-2</v>
      </c>
      <c r="I289" s="101">
        <v>45511</v>
      </c>
      <c r="J289" s="101">
        <v>45511</v>
      </c>
      <c r="K289" s="63" t="s">
        <v>20</v>
      </c>
      <c r="L289" s="63" t="s">
        <v>26</v>
      </c>
      <c r="M289" s="63"/>
      <c r="N289" s="63" t="s">
        <v>121</v>
      </c>
      <c r="O289" s="63" t="s">
        <v>6</v>
      </c>
      <c r="P289" s="63" t="s">
        <v>7</v>
      </c>
      <c r="Q289" s="66" t="s">
        <v>1967</v>
      </c>
      <c r="R289" s="66" t="s">
        <v>101</v>
      </c>
    </row>
    <row r="290" spans="2:18" ht="18.75" customHeight="1">
      <c r="B290" s="63" t="str">
        <f t="shared" si="4"/>
        <v>No287</v>
      </c>
      <c r="C290" s="63" t="s">
        <v>166</v>
      </c>
      <c r="D290" s="63" t="s">
        <v>4</v>
      </c>
      <c r="E290" s="101">
        <v>45511</v>
      </c>
      <c r="F290" s="65">
        <v>0.70833333333333337</v>
      </c>
      <c r="G290" s="65">
        <v>0.72916666666666663</v>
      </c>
      <c r="H290" s="65">
        <v>2.0833333333333329E-2</v>
      </c>
      <c r="I290" s="101">
        <v>45511</v>
      </c>
      <c r="J290" s="101">
        <v>45511</v>
      </c>
      <c r="K290" s="63" t="s">
        <v>61</v>
      </c>
      <c r="L290" s="63" t="s">
        <v>26</v>
      </c>
      <c r="M290" s="63"/>
      <c r="N290" s="63" t="s">
        <v>121</v>
      </c>
      <c r="O290" s="63" t="s">
        <v>122</v>
      </c>
      <c r="P290" s="63" t="s">
        <v>7</v>
      </c>
      <c r="Q290" s="66" t="s">
        <v>1968</v>
      </c>
      <c r="R290" s="66" t="s">
        <v>101</v>
      </c>
    </row>
    <row r="291" spans="2:18" ht="18.75" customHeight="1">
      <c r="B291" s="63" t="str">
        <f t="shared" si="4"/>
        <v>No288</v>
      </c>
      <c r="C291" s="63" t="s">
        <v>104</v>
      </c>
      <c r="D291" s="63" t="s">
        <v>4</v>
      </c>
      <c r="E291" s="101">
        <v>45511</v>
      </c>
      <c r="F291" s="65">
        <v>0.6875</v>
      </c>
      <c r="G291" s="65">
        <v>0.72916666666666663</v>
      </c>
      <c r="H291" s="65">
        <v>4.1666666666666657E-2</v>
      </c>
      <c r="I291" s="101">
        <v>45511</v>
      </c>
      <c r="J291" s="101">
        <v>45511</v>
      </c>
      <c r="K291" s="63" t="s">
        <v>20</v>
      </c>
      <c r="L291" s="63" t="s">
        <v>77</v>
      </c>
      <c r="M291" s="63"/>
      <c r="N291" s="63" t="s">
        <v>917</v>
      </c>
      <c r="O291" s="63" t="s">
        <v>6</v>
      </c>
      <c r="P291" s="63" t="s">
        <v>7</v>
      </c>
      <c r="Q291" s="66" t="s">
        <v>1969</v>
      </c>
      <c r="R291" s="66" t="s">
        <v>1970</v>
      </c>
    </row>
    <row r="292" spans="2:18" ht="18.75" customHeight="1">
      <c r="B292" s="63" t="str">
        <f t="shared" si="4"/>
        <v>No289</v>
      </c>
      <c r="C292" s="63" t="s">
        <v>104</v>
      </c>
      <c r="D292" s="63" t="s">
        <v>4</v>
      </c>
      <c r="E292" s="101">
        <v>45512</v>
      </c>
      <c r="F292" s="65">
        <v>0.3888888888888889</v>
      </c>
      <c r="G292" s="65">
        <v>0.39583333333333331</v>
      </c>
      <c r="H292" s="65">
        <v>6.9444444444444441E-3</v>
      </c>
      <c r="I292" s="101">
        <v>45512</v>
      </c>
      <c r="J292" s="101">
        <v>45512</v>
      </c>
      <c r="K292" s="63" t="s">
        <v>20</v>
      </c>
      <c r="L292" s="63" t="s">
        <v>77</v>
      </c>
      <c r="M292" s="63"/>
      <c r="N292" s="63" t="s">
        <v>1971</v>
      </c>
      <c r="O292" s="63" t="s">
        <v>6</v>
      </c>
      <c r="P292" s="63" t="s">
        <v>7</v>
      </c>
      <c r="Q292" s="66" t="s">
        <v>1972</v>
      </c>
      <c r="R292" s="66" t="s">
        <v>101</v>
      </c>
    </row>
    <row r="293" spans="2:18" ht="31.5" customHeight="1">
      <c r="B293" s="63" t="str">
        <f t="shared" si="4"/>
        <v>No290</v>
      </c>
      <c r="C293" s="63" t="s">
        <v>104</v>
      </c>
      <c r="D293" s="63" t="s">
        <v>4</v>
      </c>
      <c r="E293" s="101">
        <v>45512</v>
      </c>
      <c r="F293" s="65">
        <v>0.40972222222222221</v>
      </c>
      <c r="G293" s="65">
        <v>0.41666666666666669</v>
      </c>
      <c r="H293" s="65">
        <v>6.9444444444444441E-3</v>
      </c>
      <c r="I293" s="101">
        <v>45512</v>
      </c>
      <c r="J293" s="101">
        <v>45512</v>
      </c>
      <c r="K293" s="63" t="s">
        <v>40</v>
      </c>
      <c r="L293" s="63" t="s">
        <v>35</v>
      </c>
      <c r="M293" s="63"/>
      <c r="N293" s="63" t="s">
        <v>102</v>
      </c>
      <c r="O293" s="63" t="s">
        <v>6</v>
      </c>
      <c r="P293" s="63" t="s">
        <v>7</v>
      </c>
      <c r="Q293" s="66" t="s">
        <v>1973</v>
      </c>
      <c r="R293" s="66" t="s">
        <v>101</v>
      </c>
    </row>
    <row r="294" spans="2:18" ht="18.75" customHeight="1">
      <c r="B294" s="63" t="str">
        <f t="shared" si="4"/>
        <v>No291</v>
      </c>
      <c r="C294" s="63" t="s">
        <v>577</v>
      </c>
      <c r="D294" s="63" t="s">
        <v>4</v>
      </c>
      <c r="E294" s="101">
        <v>45881</v>
      </c>
      <c r="F294" s="65">
        <v>0.39583333333333331</v>
      </c>
      <c r="G294" s="65">
        <v>0.45833333333333331</v>
      </c>
      <c r="H294" s="65">
        <v>6.25E-2</v>
      </c>
      <c r="I294" s="101">
        <v>45881</v>
      </c>
      <c r="J294" s="101">
        <v>45881</v>
      </c>
      <c r="K294" s="63" t="s">
        <v>40</v>
      </c>
      <c r="L294" s="63" t="s">
        <v>26</v>
      </c>
      <c r="M294" s="63"/>
      <c r="N294" s="63" t="s">
        <v>121</v>
      </c>
      <c r="O294" s="63" t="s">
        <v>6</v>
      </c>
      <c r="P294" s="63" t="s">
        <v>7</v>
      </c>
      <c r="Q294" s="66" t="s">
        <v>578</v>
      </c>
      <c r="R294" s="66" t="s">
        <v>101</v>
      </c>
    </row>
    <row r="295" spans="2:18" ht="18.75" customHeight="1">
      <c r="B295" s="63" t="str">
        <f t="shared" si="4"/>
        <v>No292</v>
      </c>
      <c r="C295" s="63" t="s">
        <v>3</v>
      </c>
      <c r="D295" s="63" t="s">
        <v>4</v>
      </c>
      <c r="E295" s="101">
        <v>45512</v>
      </c>
      <c r="F295" s="65">
        <v>0.375</v>
      </c>
      <c r="G295" s="65">
        <v>0.41666666666666669</v>
      </c>
      <c r="H295" s="65">
        <v>4.1666666666666657E-2</v>
      </c>
      <c r="I295" s="101">
        <v>45512</v>
      </c>
      <c r="J295" s="101">
        <v>45512</v>
      </c>
      <c r="K295" s="63" t="s">
        <v>40</v>
      </c>
      <c r="L295" s="63" t="s">
        <v>41</v>
      </c>
      <c r="M295" s="63"/>
      <c r="N295" s="63" t="s">
        <v>121</v>
      </c>
      <c r="O295" s="63" t="s">
        <v>6</v>
      </c>
      <c r="P295" s="63" t="s">
        <v>7</v>
      </c>
      <c r="Q295" s="66" t="s">
        <v>1974</v>
      </c>
      <c r="R295" s="66" t="s">
        <v>101</v>
      </c>
    </row>
    <row r="296" spans="2:18" ht="18.75" customHeight="1">
      <c r="B296" s="63" t="str">
        <f t="shared" si="4"/>
        <v>No293</v>
      </c>
      <c r="C296" s="63" t="s">
        <v>98</v>
      </c>
      <c r="D296" s="63" t="s">
        <v>4</v>
      </c>
      <c r="E296" s="101">
        <v>45881</v>
      </c>
      <c r="F296" s="65">
        <v>0.41666666666666669</v>
      </c>
      <c r="G296" s="65">
        <v>0.625</v>
      </c>
      <c r="H296" s="65">
        <v>0.20833333333333329</v>
      </c>
      <c r="I296" s="101">
        <v>45881</v>
      </c>
      <c r="J296" s="101">
        <v>45881</v>
      </c>
      <c r="K296" s="63" t="s">
        <v>40</v>
      </c>
      <c r="L296" s="63" t="s">
        <v>21</v>
      </c>
      <c r="M296" s="63"/>
      <c r="N296" s="63" t="s">
        <v>99</v>
      </c>
      <c r="O296" s="63" t="s">
        <v>6</v>
      </c>
      <c r="P296" s="63" t="s">
        <v>7</v>
      </c>
      <c r="Q296" s="66" t="s">
        <v>579</v>
      </c>
      <c r="R296" s="66" t="s">
        <v>101</v>
      </c>
    </row>
    <row r="297" spans="2:18" ht="18.75" customHeight="1">
      <c r="B297" s="63" t="str">
        <f t="shared" si="4"/>
        <v>No294</v>
      </c>
      <c r="C297" s="63" t="s">
        <v>98</v>
      </c>
      <c r="D297" s="63" t="s">
        <v>4</v>
      </c>
      <c r="E297" s="101">
        <v>45522</v>
      </c>
      <c r="F297" s="65">
        <v>0.66666666666666663</v>
      </c>
      <c r="G297" s="65">
        <v>0.6875</v>
      </c>
      <c r="H297" s="65">
        <v>2.0833333333333329E-2</v>
      </c>
      <c r="I297" s="101">
        <v>45522</v>
      </c>
      <c r="J297" s="101">
        <v>45522</v>
      </c>
      <c r="K297" s="63" t="s">
        <v>40</v>
      </c>
      <c r="L297" s="63" t="s">
        <v>21</v>
      </c>
      <c r="M297" s="63"/>
      <c r="N297" s="63" t="s">
        <v>99</v>
      </c>
      <c r="O297" s="63" t="s">
        <v>6</v>
      </c>
      <c r="P297" s="63" t="s">
        <v>7</v>
      </c>
      <c r="Q297" s="66" t="s">
        <v>100</v>
      </c>
      <c r="R297" s="66" t="s">
        <v>101</v>
      </c>
    </row>
    <row r="298" spans="2:18" ht="18.75" customHeight="1">
      <c r="B298" s="63" t="str">
        <f t="shared" si="4"/>
        <v>No295</v>
      </c>
      <c r="C298" s="63" t="s">
        <v>3</v>
      </c>
      <c r="D298" s="63" t="s">
        <v>4</v>
      </c>
      <c r="E298" s="101">
        <v>45522</v>
      </c>
      <c r="F298" s="65">
        <v>0.41666666666666669</v>
      </c>
      <c r="G298" s="65">
        <v>0.47916666666666669</v>
      </c>
      <c r="H298" s="65">
        <v>6.25E-2</v>
      </c>
      <c r="I298" s="101">
        <v>45522</v>
      </c>
      <c r="J298" s="101">
        <v>45522</v>
      </c>
      <c r="K298" s="63" t="s">
        <v>95</v>
      </c>
      <c r="L298" s="63" t="s">
        <v>77</v>
      </c>
      <c r="M298" s="63"/>
      <c r="N298" s="63" t="s">
        <v>144</v>
      </c>
      <c r="O298" s="63" t="s">
        <v>6</v>
      </c>
      <c r="P298" s="63" t="s">
        <v>7</v>
      </c>
      <c r="Q298" s="66" t="s">
        <v>1975</v>
      </c>
      <c r="R298" s="66" t="s">
        <v>101</v>
      </c>
    </row>
    <row r="299" spans="2:18" ht="18.75" customHeight="1">
      <c r="B299" s="63" t="str">
        <f t="shared" si="4"/>
        <v>No296</v>
      </c>
      <c r="C299" s="63" t="s">
        <v>98</v>
      </c>
      <c r="D299" s="63" t="s">
        <v>4</v>
      </c>
      <c r="E299" s="101">
        <v>45529</v>
      </c>
      <c r="F299" s="65">
        <v>0.375</v>
      </c>
      <c r="G299" s="65">
        <v>0.70833333333333337</v>
      </c>
      <c r="H299" s="65">
        <v>0.33333333333333331</v>
      </c>
      <c r="I299" s="101">
        <v>45529</v>
      </c>
      <c r="J299" s="101">
        <v>45529</v>
      </c>
      <c r="K299" s="63" t="s">
        <v>40</v>
      </c>
      <c r="L299" s="63" t="s">
        <v>35</v>
      </c>
      <c r="M299" s="63"/>
      <c r="N299" s="63" t="s">
        <v>102</v>
      </c>
      <c r="O299" s="63" t="s">
        <v>6</v>
      </c>
      <c r="P299" s="63" t="s">
        <v>7</v>
      </c>
      <c r="Q299" s="66" t="s">
        <v>103</v>
      </c>
      <c r="R299" s="66" t="s">
        <v>101</v>
      </c>
    </row>
    <row r="300" spans="2:18" ht="18.75" customHeight="1">
      <c r="B300" s="63" t="str">
        <f t="shared" si="4"/>
        <v>No297</v>
      </c>
      <c r="C300" s="63" t="s">
        <v>104</v>
      </c>
      <c r="D300" s="63" t="s">
        <v>4</v>
      </c>
      <c r="E300" s="101">
        <v>45529</v>
      </c>
      <c r="F300" s="65">
        <v>0.45833333333333331</v>
      </c>
      <c r="G300" s="65">
        <v>0.46527777777777779</v>
      </c>
      <c r="H300" s="65">
        <v>6.9444444444444441E-3</v>
      </c>
      <c r="I300" s="101">
        <v>45529</v>
      </c>
      <c r="J300" s="101">
        <v>45529</v>
      </c>
      <c r="K300" s="63" t="s">
        <v>20</v>
      </c>
      <c r="L300" s="63" t="s">
        <v>105</v>
      </c>
      <c r="M300" s="63"/>
      <c r="N300" s="63" t="s">
        <v>106</v>
      </c>
      <c r="O300" s="63" t="s">
        <v>6</v>
      </c>
      <c r="P300" s="63" t="s">
        <v>7</v>
      </c>
      <c r="Q300" s="66" t="s">
        <v>107</v>
      </c>
      <c r="R300" s="66" t="s">
        <v>108</v>
      </c>
    </row>
    <row r="301" spans="2:18" ht="18.75" customHeight="1">
      <c r="B301" s="63" t="str">
        <f t="shared" si="4"/>
        <v>No298</v>
      </c>
      <c r="C301" s="63" t="s">
        <v>3</v>
      </c>
      <c r="D301" s="63" t="s">
        <v>4</v>
      </c>
      <c r="E301" s="101">
        <v>45529</v>
      </c>
      <c r="F301" s="65">
        <v>0.49305555555555558</v>
      </c>
      <c r="G301" s="65">
        <v>0.5</v>
      </c>
      <c r="H301" s="65">
        <v>6.9444444444444441E-3</v>
      </c>
      <c r="I301" s="101">
        <v>45529</v>
      </c>
      <c r="J301" s="101">
        <v>45529</v>
      </c>
      <c r="K301" s="63" t="s">
        <v>20</v>
      </c>
      <c r="L301" s="63" t="s">
        <v>21</v>
      </c>
      <c r="M301" s="63"/>
      <c r="N301" s="63" t="s">
        <v>109</v>
      </c>
      <c r="O301" s="63" t="s">
        <v>6</v>
      </c>
      <c r="P301" s="63" t="s">
        <v>7</v>
      </c>
      <c r="Q301" s="66" t="s">
        <v>110</v>
      </c>
      <c r="R301" s="66" t="s">
        <v>101</v>
      </c>
    </row>
    <row r="302" spans="2:18" ht="27.75" customHeight="1">
      <c r="B302" s="63" t="str">
        <f t="shared" si="4"/>
        <v>No299</v>
      </c>
      <c r="C302" s="63" t="s">
        <v>3</v>
      </c>
      <c r="D302" s="63" t="s">
        <v>4</v>
      </c>
      <c r="E302" s="101">
        <v>45529</v>
      </c>
      <c r="F302" s="65">
        <v>0.5625</v>
      </c>
      <c r="G302" s="65">
        <v>0.56944444444444442</v>
      </c>
      <c r="H302" s="65">
        <v>6.9444444444444441E-3</v>
      </c>
      <c r="I302" s="101">
        <v>45529</v>
      </c>
      <c r="J302" s="101">
        <v>45529</v>
      </c>
      <c r="K302" s="63" t="s">
        <v>20</v>
      </c>
      <c r="L302" s="63" t="s">
        <v>111</v>
      </c>
      <c r="M302" s="63"/>
      <c r="N302" s="63" t="s">
        <v>112</v>
      </c>
      <c r="O302" s="63" t="s">
        <v>6</v>
      </c>
      <c r="P302" s="63" t="s">
        <v>7</v>
      </c>
      <c r="Q302" s="66" t="s">
        <v>113</v>
      </c>
      <c r="R302" s="66" t="s">
        <v>101</v>
      </c>
    </row>
    <row r="303" spans="2:18" ht="18.75" customHeight="1">
      <c r="B303" s="63" t="str">
        <f t="shared" si="4"/>
        <v>No300</v>
      </c>
      <c r="C303" s="63" t="s">
        <v>98</v>
      </c>
      <c r="D303" s="63" t="s">
        <v>4</v>
      </c>
      <c r="E303" s="101">
        <v>45531</v>
      </c>
      <c r="F303" s="65">
        <v>0.375</v>
      </c>
      <c r="G303" s="65">
        <v>0.75</v>
      </c>
      <c r="H303" s="65">
        <v>0.375</v>
      </c>
      <c r="I303" s="101">
        <v>45531</v>
      </c>
      <c r="J303" s="101">
        <v>45531</v>
      </c>
      <c r="K303" s="63" t="s">
        <v>40</v>
      </c>
      <c r="L303" s="63" t="s">
        <v>111</v>
      </c>
      <c r="M303" s="63"/>
      <c r="N303" s="63" t="s">
        <v>114</v>
      </c>
      <c r="O303" s="63" t="s">
        <v>6</v>
      </c>
      <c r="P303" s="63" t="s">
        <v>7</v>
      </c>
      <c r="Q303" s="66" t="s">
        <v>115</v>
      </c>
      <c r="R303" s="66" t="s">
        <v>101</v>
      </c>
    </row>
    <row r="304" spans="2:18" ht="18.75" customHeight="1">
      <c r="B304" s="63" t="str">
        <f t="shared" si="4"/>
        <v>No301</v>
      </c>
      <c r="C304" s="63" t="s">
        <v>98</v>
      </c>
      <c r="D304" s="63" t="s">
        <v>4</v>
      </c>
      <c r="E304" s="101">
        <v>45531</v>
      </c>
      <c r="F304" s="65">
        <v>0.45833333333333331</v>
      </c>
      <c r="G304" s="65">
        <v>0.47916666666666669</v>
      </c>
      <c r="H304" s="65">
        <v>2.0833333333333329E-2</v>
      </c>
      <c r="I304" s="101">
        <v>45531</v>
      </c>
      <c r="J304" s="101">
        <v>45531</v>
      </c>
      <c r="K304" s="63" t="s">
        <v>40</v>
      </c>
      <c r="L304" s="63" t="s">
        <v>26</v>
      </c>
      <c r="M304" s="63"/>
      <c r="N304" s="63" t="s">
        <v>116</v>
      </c>
      <c r="O304" s="63" t="s">
        <v>117</v>
      </c>
      <c r="P304" s="63" t="s">
        <v>7</v>
      </c>
      <c r="Q304" s="66" t="s">
        <v>118</v>
      </c>
      <c r="R304" s="66" t="s">
        <v>101</v>
      </c>
    </row>
    <row r="305" spans="2:18" ht="18.75" customHeight="1">
      <c r="B305" s="63" t="str">
        <f t="shared" si="4"/>
        <v>No302</v>
      </c>
      <c r="C305" s="63" t="s">
        <v>3</v>
      </c>
      <c r="D305" s="63" t="s">
        <v>4</v>
      </c>
      <c r="E305" s="101">
        <v>45531</v>
      </c>
      <c r="F305" s="65">
        <v>0.5</v>
      </c>
      <c r="G305" s="65">
        <v>0.58333333333333337</v>
      </c>
      <c r="H305" s="65">
        <v>8.3333333333333329E-2</v>
      </c>
      <c r="I305" s="101">
        <v>45531</v>
      </c>
      <c r="J305" s="101">
        <v>45531</v>
      </c>
      <c r="K305" s="63" t="s">
        <v>119</v>
      </c>
      <c r="L305" s="63" t="s">
        <v>120</v>
      </c>
      <c r="M305" s="63"/>
      <c r="N305" s="63" t="s">
        <v>121</v>
      </c>
      <c r="O305" s="63" t="s">
        <v>122</v>
      </c>
      <c r="P305" s="63" t="s">
        <v>7</v>
      </c>
      <c r="Q305" s="66" t="s">
        <v>123</v>
      </c>
      <c r="R305" s="66" t="s">
        <v>101</v>
      </c>
    </row>
    <row r="306" spans="2:18" ht="18.75" customHeight="1">
      <c r="B306" s="63" t="str">
        <f t="shared" si="4"/>
        <v>No303</v>
      </c>
      <c r="C306" s="63" t="s">
        <v>3</v>
      </c>
      <c r="D306" s="63" t="s">
        <v>4</v>
      </c>
      <c r="E306" s="101">
        <v>45532</v>
      </c>
      <c r="F306" s="65">
        <v>0.375</v>
      </c>
      <c r="G306" s="65">
        <v>0.75</v>
      </c>
      <c r="H306" s="65">
        <v>0.375</v>
      </c>
      <c r="I306" s="101">
        <v>45532</v>
      </c>
      <c r="J306" s="101">
        <v>45532</v>
      </c>
      <c r="K306" s="63" t="s">
        <v>40</v>
      </c>
      <c r="L306" s="63" t="s">
        <v>111</v>
      </c>
      <c r="M306" s="63"/>
      <c r="N306" s="63" t="s">
        <v>114</v>
      </c>
      <c r="O306" s="63" t="s">
        <v>6</v>
      </c>
      <c r="P306" s="63" t="s">
        <v>7</v>
      </c>
      <c r="Q306" s="66" t="s">
        <v>115</v>
      </c>
      <c r="R306" s="66" t="s">
        <v>101</v>
      </c>
    </row>
    <row r="307" spans="2:18" ht="18.75" customHeight="1">
      <c r="B307" s="63" t="str">
        <f t="shared" si="4"/>
        <v>No304</v>
      </c>
      <c r="C307" s="63" t="s">
        <v>104</v>
      </c>
      <c r="D307" s="63" t="s">
        <v>4</v>
      </c>
      <c r="E307" s="101">
        <v>45532</v>
      </c>
      <c r="F307" s="65">
        <v>0.625</v>
      </c>
      <c r="G307" s="65">
        <v>0.64583333333333337</v>
      </c>
      <c r="H307" s="65">
        <v>2.0833333333333329E-2</v>
      </c>
      <c r="I307" s="101">
        <v>45532</v>
      </c>
      <c r="J307" s="101">
        <v>45532</v>
      </c>
      <c r="K307" s="63" t="s">
        <v>20</v>
      </c>
      <c r="L307" s="63" t="s">
        <v>21</v>
      </c>
      <c r="M307" s="63"/>
      <c r="N307" s="63" t="s">
        <v>109</v>
      </c>
      <c r="O307" s="63" t="s">
        <v>6</v>
      </c>
      <c r="P307" s="63" t="s">
        <v>7</v>
      </c>
      <c r="Q307" s="66" t="s">
        <v>125</v>
      </c>
      <c r="R307" s="66" t="s">
        <v>126</v>
      </c>
    </row>
    <row r="308" spans="2:18" ht="18.75" customHeight="1">
      <c r="B308" s="63" t="str">
        <f t="shared" si="4"/>
        <v>No305</v>
      </c>
      <c r="C308" s="63" t="s">
        <v>3</v>
      </c>
      <c r="D308" s="63" t="s">
        <v>4</v>
      </c>
      <c r="E308" s="101">
        <v>45532</v>
      </c>
      <c r="F308" s="65">
        <v>0.54166666666666663</v>
      </c>
      <c r="G308" s="65">
        <v>0.66666666666666663</v>
      </c>
      <c r="H308" s="65">
        <v>0.125</v>
      </c>
      <c r="I308" s="101">
        <v>45532</v>
      </c>
      <c r="J308" s="101">
        <v>45532</v>
      </c>
      <c r="K308" s="63" t="s">
        <v>119</v>
      </c>
      <c r="L308" s="63" t="s">
        <v>120</v>
      </c>
      <c r="M308" s="63"/>
      <c r="N308" s="63" t="s">
        <v>121</v>
      </c>
      <c r="O308" s="63" t="s">
        <v>122</v>
      </c>
      <c r="P308" s="63" t="s">
        <v>7</v>
      </c>
      <c r="Q308" s="66" t="s">
        <v>123</v>
      </c>
      <c r="R308" s="66" t="s">
        <v>124</v>
      </c>
    </row>
    <row r="309" spans="2:18" ht="18.75" customHeight="1">
      <c r="B309" s="63" t="str">
        <f t="shared" si="4"/>
        <v>No306</v>
      </c>
      <c r="C309" s="63" t="s">
        <v>98</v>
      </c>
      <c r="D309" s="63" t="s">
        <v>4</v>
      </c>
      <c r="E309" s="101">
        <v>45533</v>
      </c>
      <c r="F309" s="65">
        <v>0.375</v>
      </c>
      <c r="G309" s="65">
        <v>0.75</v>
      </c>
      <c r="H309" s="65">
        <v>0.375</v>
      </c>
      <c r="I309" s="101">
        <v>45533</v>
      </c>
      <c r="J309" s="101">
        <v>45533</v>
      </c>
      <c r="K309" s="63" t="s">
        <v>40</v>
      </c>
      <c r="L309" s="63" t="s">
        <v>111</v>
      </c>
      <c r="M309" s="63"/>
      <c r="N309" s="63" t="s">
        <v>114</v>
      </c>
      <c r="O309" s="63" t="s">
        <v>6</v>
      </c>
      <c r="P309" s="63" t="s">
        <v>7</v>
      </c>
      <c r="Q309" s="66" t="s">
        <v>115</v>
      </c>
      <c r="R309" s="66" t="s">
        <v>101</v>
      </c>
    </row>
    <row r="310" spans="2:18" ht="18.75" customHeight="1">
      <c r="B310" s="63" t="str">
        <f t="shared" si="4"/>
        <v>No307</v>
      </c>
      <c r="C310" s="63" t="s">
        <v>3</v>
      </c>
      <c r="D310" s="63" t="s">
        <v>4</v>
      </c>
      <c r="E310" s="101">
        <v>45533</v>
      </c>
      <c r="F310" s="65">
        <v>0.58333333333333337</v>
      </c>
      <c r="G310" s="65">
        <v>0.625</v>
      </c>
      <c r="H310" s="65">
        <v>4.1666666666666657E-2</v>
      </c>
      <c r="I310" s="101">
        <v>45533</v>
      </c>
      <c r="J310" s="101">
        <v>45533</v>
      </c>
      <c r="K310" s="63" t="s">
        <v>20</v>
      </c>
      <c r="L310" s="63" t="s">
        <v>26</v>
      </c>
      <c r="M310" s="63"/>
      <c r="N310" s="63" t="s">
        <v>121</v>
      </c>
      <c r="O310" s="63" t="s">
        <v>6</v>
      </c>
      <c r="P310" s="63" t="s">
        <v>7</v>
      </c>
      <c r="Q310" s="66" t="s">
        <v>127</v>
      </c>
      <c r="R310" s="66" t="s">
        <v>128</v>
      </c>
    </row>
    <row r="311" spans="2:18" ht="18.75" customHeight="1">
      <c r="B311" s="63" t="str">
        <f t="shared" si="4"/>
        <v>No308</v>
      </c>
      <c r="C311" s="63" t="s">
        <v>3</v>
      </c>
      <c r="D311" s="63" t="s">
        <v>4</v>
      </c>
      <c r="E311" s="101">
        <v>45533</v>
      </c>
      <c r="F311" s="65">
        <v>0.70833333333333337</v>
      </c>
      <c r="G311" s="65">
        <v>0.75</v>
      </c>
      <c r="H311" s="65">
        <v>4.1666666666666657E-2</v>
      </c>
      <c r="I311" s="101">
        <v>45533</v>
      </c>
      <c r="J311" s="101">
        <v>45533</v>
      </c>
      <c r="K311" s="63" t="s">
        <v>40</v>
      </c>
      <c r="L311" s="63" t="s">
        <v>111</v>
      </c>
      <c r="M311" s="63"/>
      <c r="N311" s="63" t="s">
        <v>112</v>
      </c>
      <c r="O311" s="63" t="s">
        <v>6</v>
      </c>
      <c r="P311" s="63" t="s">
        <v>7</v>
      </c>
      <c r="Q311" s="66" t="s">
        <v>129</v>
      </c>
      <c r="R311" s="66" t="s">
        <v>130</v>
      </c>
    </row>
    <row r="312" spans="2:18" ht="18.75" customHeight="1">
      <c r="B312" s="63" t="str">
        <f t="shared" si="4"/>
        <v>No309</v>
      </c>
      <c r="C312" s="63" t="s">
        <v>104</v>
      </c>
      <c r="D312" s="63" t="s">
        <v>4</v>
      </c>
      <c r="E312" s="101">
        <v>45536</v>
      </c>
      <c r="F312" s="65">
        <v>0.45833333333333331</v>
      </c>
      <c r="G312" s="65">
        <v>0.46875</v>
      </c>
      <c r="H312" s="65">
        <v>1.041666666666667E-2</v>
      </c>
      <c r="I312" s="101">
        <v>45536</v>
      </c>
      <c r="J312" s="101">
        <v>45536</v>
      </c>
      <c r="K312" s="63" t="s">
        <v>20</v>
      </c>
      <c r="L312" s="63" t="s">
        <v>21</v>
      </c>
      <c r="M312" s="63"/>
      <c r="N312" s="63" t="s">
        <v>133</v>
      </c>
      <c r="O312" s="63" t="s">
        <v>6</v>
      </c>
      <c r="P312" s="63" t="s">
        <v>7</v>
      </c>
      <c r="Q312" s="66" t="s">
        <v>134</v>
      </c>
      <c r="R312" s="66" t="s">
        <v>135</v>
      </c>
    </row>
    <row r="313" spans="2:18" ht="31.5" customHeight="1">
      <c r="B313" s="63" t="str">
        <f t="shared" si="4"/>
        <v>No310</v>
      </c>
      <c r="C313" s="63" t="s">
        <v>98</v>
      </c>
      <c r="D313" s="63" t="s">
        <v>4</v>
      </c>
      <c r="E313" s="101">
        <v>45536</v>
      </c>
      <c r="F313" s="65">
        <v>0.375</v>
      </c>
      <c r="G313" s="65">
        <v>0.75</v>
      </c>
      <c r="H313" s="65">
        <v>0.375</v>
      </c>
      <c r="I313" s="101">
        <v>45536</v>
      </c>
      <c r="J313" s="101">
        <v>45536</v>
      </c>
      <c r="K313" s="63" t="s">
        <v>40</v>
      </c>
      <c r="L313" s="63" t="s">
        <v>120</v>
      </c>
      <c r="M313" s="63"/>
      <c r="N313" s="63" t="s">
        <v>131</v>
      </c>
      <c r="O313" s="63" t="s">
        <v>6</v>
      </c>
      <c r="P313" s="63" t="s">
        <v>7</v>
      </c>
      <c r="Q313" s="66" t="s">
        <v>132</v>
      </c>
      <c r="R313" s="66" t="s">
        <v>101</v>
      </c>
    </row>
    <row r="314" spans="2:18" ht="18.75" customHeight="1">
      <c r="B314" s="63" t="str">
        <f t="shared" si="4"/>
        <v>No311</v>
      </c>
      <c r="C314" s="63" t="s">
        <v>104</v>
      </c>
      <c r="D314" s="63" t="s">
        <v>4</v>
      </c>
      <c r="E314" s="101">
        <v>45537</v>
      </c>
      <c r="F314" s="65">
        <v>0.5</v>
      </c>
      <c r="G314" s="65">
        <v>0.54166666666666663</v>
      </c>
      <c r="H314" s="65">
        <v>4.1666666666666657E-2</v>
      </c>
      <c r="I314" s="101">
        <v>45537</v>
      </c>
      <c r="J314" s="101">
        <v>45537</v>
      </c>
      <c r="K314" s="63" t="s">
        <v>95</v>
      </c>
      <c r="L314" s="63" t="s">
        <v>77</v>
      </c>
      <c r="M314" s="63"/>
      <c r="N314" s="63" t="s">
        <v>140</v>
      </c>
      <c r="O314" s="63" t="s">
        <v>6</v>
      </c>
      <c r="P314" s="63" t="s">
        <v>7</v>
      </c>
      <c r="Q314" s="66" t="s">
        <v>141</v>
      </c>
      <c r="R314" s="66" t="s">
        <v>101</v>
      </c>
    </row>
    <row r="315" spans="2:18" ht="27.75" customHeight="1">
      <c r="B315" s="63" t="str">
        <f t="shared" si="4"/>
        <v>No312</v>
      </c>
      <c r="C315" s="63" t="s">
        <v>98</v>
      </c>
      <c r="D315" s="63" t="s">
        <v>4</v>
      </c>
      <c r="E315" s="101">
        <v>45537</v>
      </c>
      <c r="F315" s="65">
        <v>0.375</v>
      </c>
      <c r="G315" s="65">
        <v>0.75</v>
      </c>
      <c r="H315" s="65">
        <v>0.375</v>
      </c>
      <c r="I315" s="101">
        <v>45537</v>
      </c>
      <c r="J315" s="101">
        <v>45537</v>
      </c>
      <c r="K315" s="63" t="s">
        <v>40</v>
      </c>
      <c r="L315" s="63" t="s">
        <v>120</v>
      </c>
      <c r="M315" s="63"/>
      <c r="N315" s="63" t="s">
        <v>131</v>
      </c>
      <c r="O315" s="63" t="s">
        <v>6</v>
      </c>
      <c r="P315" s="63" t="s">
        <v>7</v>
      </c>
      <c r="Q315" s="66" t="s">
        <v>132</v>
      </c>
      <c r="R315" s="66" t="s">
        <v>101</v>
      </c>
    </row>
    <row r="316" spans="2:18" ht="18.75" customHeight="1">
      <c r="B316" s="63" t="str">
        <f t="shared" si="4"/>
        <v>No313</v>
      </c>
      <c r="C316" s="63" t="s">
        <v>104</v>
      </c>
      <c r="D316" s="63" t="s">
        <v>4</v>
      </c>
      <c r="E316" s="101">
        <v>45537</v>
      </c>
      <c r="F316" s="65">
        <v>0.45833333333333331</v>
      </c>
      <c r="G316" s="65">
        <v>0.46527777777777779</v>
      </c>
      <c r="H316" s="65">
        <v>6.9444444444444441E-3</v>
      </c>
      <c r="I316" s="101">
        <v>45537</v>
      </c>
      <c r="J316" s="101">
        <v>45537</v>
      </c>
      <c r="K316" s="63" t="s">
        <v>45</v>
      </c>
      <c r="L316" s="63" t="s">
        <v>21</v>
      </c>
      <c r="M316" s="63"/>
      <c r="N316" s="63" t="s">
        <v>136</v>
      </c>
      <c r="O316" s="63" t="s">
        <v>6</v>
      </c>
      <c r="P316" s="63" t="s">
        <v>7</v>
      </c>
      <c r="Q316" s="66" t="s">
        <v>137</v>
      </c>
      <c r="R316" s="66" t="s">
        <v>138</v>
      </c>
    </row>
    <row r="317" spans="2:18" ht="18.75" customHeight="1">
      <c r="B317" s="63" t="str">
        <f t="shared" si="4"/>
        <v>No314</v>
      </c>
      <c r="C317" s="63" t="s">
        <v>104</v>
      </c>
      <c r="D317" s="63" t="s">
        <v>4</v>
      </c>
      <c r="E317" s="101">
        <v>45537</v>
      </c>
      <c r="F317" s="65">
        <v>0.45833333333333331</v>
      </c>
      <c r="G317" s="65">
        <v>0.5625</v>
      </c>
      <c r="H317" s="65">
        <v>0.1041666666666667</v>
      </c>
      <c r="I317" s="101">
        <v>45537</v>
      </c>
      <c r="J317" s="101">
        <v>45537</v>
      </c>
      <c r="K317" s="63" t="s">
        <v>20</v>
      </c>
      <c r="L317" s="63" t="s">
        <v>21</v>
      </c>
      <c r="M317" s="63"/>
      <c r="N317" s="63" t="s">
        <v>133</v>
      </c>
      <c r="O317" s="63" t="s">
        <v>6</v>
      </c>
      <c r="P317" s="63" t="s">
        <v>7</v>
      </c>
      <c r="Q317" s="66" t="s">
        <v>139</v>
      </c>
      <c r="R317" s="66" t="s">
        <v>135</v>
      </c>
    </row>
    <row r="318" spans="2:18" ht="18.75" customHeight="1">
      <c r="B318" s="63" t="str">
        <f t="shared" si="4"/>
        <v>No315</v>
      </c>
      <c r="C318" s="63" t="s">
        <v>142</v>
      </c>
      <c r="D318" s="63" t="s">
        <v>4</v>
      </c>
      <c r="E318" s="101">
        <v>45538</v>
      </c>
      <c r="F318" s="65">
        <v>0.5625</v>
      </c>
      <c r="G318" s="65">
        <v>0.56944444444444442</v>
      </c>
      <c r="H318" s="65">
        <v>6.9444444444444441E-3</v>
      </c>
      <c r="I318" s="101">
        <v>45538</v>
      </c>
      <c r="J318" s="101">
        <v>45538</v>
      </c>
      <c r="K318" s="63" t="s">
        <v>143</v>
      </c>
      <c r="L318" s="63" t="s">
        <v>77</v>
      </c>
      <c r="M318" s="63"/>
      <c r="N318" s="63" t="s">
        <v>144</v>
      </c>
      <c r="O318" s="63" t="s">
        <v>122</v>
      </c>
      <c r="P318" s="63" t="s">
        <v>7</v>
      </c>
      <c r="Q318" s="66" t="s">
        <v>150</v>
      </c>
      <c r="R318" s="66" t="s">
        <v>151</v>
      </c>
    </row>
    <row r="319" spans="2:18" ht="18.75" customHeight="1">
      <c r="B319" s="63" t="str">
        <f t="shared" si="4"/>
        <v>No316</v>
      </c>
      <c r="C319" s="63" t="s">
        <v>142</v>
      </c>
      <c r="D319" s="63" t="s">
        <v>4</v>
      </c>
      <c r="E319" s="101">
        <v>45538</v>
      </c>
      <c r="F319" s="65">
        <v>0.375</v>
      </c>
      <c r="G319" s="65">
        <v>0.75</v>
      </c>
      <c r="H319" s="65">
        <v>0.375</v>
      </c>
      <c r="I319" s="101">
        <v>45538</v>
      </c>
      <c r="J319" s="101">
        <v>45538</v>
      </c>
      <c r="K319" s="63" t="s">
        <v>143</v>
      </c>
      <c r="L319" s="63" t="s">
        <v>77</v>
      </c>
      <c r="M319" s="63"/>
      <c r="N319" s="63" t="s">
        <v>144</v>
      </c>
      <c r="O319" s="63" t="s">
        <v>122</v>
      </c>
      <c r="P319" s="63" t="s">
        <v>7</v>
      </c>
      <c r="Q319" s="66" t="s">
        <v>145</v>
      </c>
      <c r="R319" s="66" t="s">
        <v>101</v>
      </c>
    </row>
    <row r="320" spans="2:18" ht="47.25" customHeight="1">
      <c r="B320" s="63" t="str">
        <f t="shared" si="4"/>
        <v>No317</v>
      </c>
      <c r="C320" s="63" t="s">
        <v>3</v>
      </c>
      <c r="D320" s="63" t="s">
        <v>4</v>
      </c>
      <c r="E320" s="101">
        <v>45538</v>
      </c>
      <c r="F320" s="65">
        <v>0.45833333333333331</v>
      </c>
      <c r="G320" s="65">
        <v>0.47916666666666669</v>
      </c>
      <c r="H320" s="65">
        <v>2.0833333333333329E-2</v>
      </c>
      <c r="I320" s="101">
        <v>45538</v>
      </c>
      <c r="J320" s="101">
        <v>45538</v>
      </c>
      <c r="K320" s="63" t="s">
        <v>119</v>
      </c>
      <c r="L320" s="63" t="s">
        <v>120</v>
      </c>
      <c r="M320" s="63"/>
      <c r="N320" s="63" t="s">
        <v>121</v>
      </c>
      <c r="O320" s="63" t="s">
        <v>122</v>
      </c>
      <c r="P320" s="63" t="s">
        <v>7</v>
      </c>
      <c r="Q320" s="66" t="s">
        <v>146</v>
      </c>
      <c r="R320" s="66" t="s">
        <v>147</v>
      </c>
    </row>
    <row r="321" spans="2:18" ht="59.25" customHeight="1">
      <c r="B321" s="63" t="str">
        <f t="shared" si="4"/>
        <v>No318</v>
      </c>
      <c r="C321" s="63" t="s">
        <v>98</v>
      </c>
      <c r="D321" s="63" t="s">
        <v>4</v>
      </c>
      <c r="E321" s="101">
        <v>45538</v>
      </c>
      <c r="F321" s="65">
        <v>0.5</v>
      </c>
      <c r="G321" s="65">
        <v>0.58333333333333337</v>
      </c>
      <c r="H321" s="65">
        <v>8.3333333333333329E-2</v>
      </c>
      <c r="I321" s="101">
        <v>45538</v>
      </c>
      <c r="J321" s="101">
        <v>45538</v>
      </c>
      <c r="K321" s="63" t="s">
        <v>119</v>
      </c>
      <c r="L321" s="63" t="s">
        <v>26</v>
      </c>
      <c r="M321" s="63"/>
      <c r="N321" s="63" t="s">
        <v>121</v>
      </c>
      <c r="O321" s="63" t="s">
        <v>6</v>
      </c>
      <c r="P321" s="63" t="s">
        <v>7</v>
      </c>
      <c r="Q321" s="66" t="s">
        <v>148</v>
      </c>
      <c r="R321" s="66" t="s">
        <v>149</v>
      </c>
    </row>
    <row r="322" spans="2:18" ht="18.75" customHeight="1">
      <c r="B322" s="63" t="str">
        <f t="shared" si="4"/>
        <v>No319</v>
      </c>
      <c r="C322" s="63" t="s">
        <v>186</v>
      </c>
      <c r="D322" s="63" t="s">
        <v>4</v>
      </c>
      <c r="E322" s="101">
        <v>45904</v>
      </c>
      <c r="F322" s="65">
        <v>0.4375</v>
      </c>
      <c r="G322" s="65">
        <v>0.45833333333333331</v>
      </c>
      <c r="H322" s="65">
        <v>2.0833333333333329E-2</v>
      </c>
      <c r="I322" s="101">
        <v>45904</v>
      </c>
      <c r="J322" s="101">
        <v>45904</v>
      </c>
      <c r="K322" s="63" t="s">
        <v>40</v>
      </c>
      <c r="L322" s="63" t="s">
        <v>77</v>
      </c>
      <c r="M322" s="63"/>
      <c r="N322" s="63" t="s">
        <v>372</v>
      </c>
      <c r="O322" s="63" t="s">
        <v>6</v>
      </c>
      <c r="P322" s="63" t="s">
        <v>7</v>
      </c>
      <c r="Q322" s="66" t="s">
        <v>586</v>
      </c>
      <c r="R322" s="66" t="s">
        <v>587</v>
      </c>
    </row>
    <row r="323" spans="2:18" ht="66.75" customHeight="1">
      <c r="B323" s="63" t="str">
        <f t="shared" si="4"/>
        <v>No320</v>
      </c>
      <c r="C323" s="63" t="s">
        <v>3</v>
      </c>
      <c r="D323" s="63" t="s">
        <v>4</v>
      </c>
      <c r="E323" s="101">
        <v>45904</v>
      </c>
      <c r="F323" s="65">
        <v>0.58333333333333337</v>
      </c>
      <c r="G323" s="65">
        <v>0.66666666666666663</v>
      </c>
      <c r="H323" s="65">
        <v>8.3333333333333329E-2</v>
      </c>
      <c r="I323" s="101">
        <v>45904</v>
      </c>
      <c r="J323" s="101">
        <v>45904</v>
      </c>
      <c r="K323" s="63" t="s">
        <v>40</v>
      </c>
      <c r="L323" s="63" t="s">
        <v>120</v>
      </c>
      <c r="M323" s="63"/>
      <c r="N323" s="63" t="s">
        <v>190</v>
      </c>
      <c r="O323" s="63" t="s">
        <v>6</v>
      </c>
      <c r="P323" s="63" t="s">
        <v>7</v>
      </c>
      <c r="Q323" s="66" t="s">
        <v>588</v>
      </c>
      <c r="R323" s="66" t="s">
        <v>589</v>
      </c>
    </row>
    <row r="324" spans="2:18" ht="52.5" customHeight="1">
      <c r="B324" s="63" t="str">
        <f t="shared" ref="B324:B387" si="5">"No"&amp;ROW()-3</f>
        <v>No321</v>
      </c>
      <c r="C324" s="63" t="s">
        <v>166</v>
      </c>
      <c r="D324" s="63" t="s">
        <v>4</v>
      </c>
      <c r="E324" s="101">
        <v>45904</v>
      </c>
      <c r="F324" s="65">
        <v>0.375</v>
      </c>
      <c r="G324" s="65">
        <v>0.45833333333333331</v>
      </c>
      <c r="H324" s="65">
        <v>8.3333333333333329E-2</v>
      </c>
      <c r="I324" s="101">
        <v>45904</v>
      </c>
      <c r="J324" s="101">
        <v>45904</v>
      </c>
      <c r="K324" s="63" t="s">
        <v>119</v>
      </c>
      <c r="L324" s="63" t="s">
        <v>26</v>
      </c>
      <c r="M324" s="63"/>
      <c r="N324" s="63" t="s">
        <v>121</v>
      </c>
      <c r="O324" s="63" t="s">
        <v>6</v>
      </c>
      <c r="P324" s="63" t="s">
        <v>7</v>
      </c>
      <c r="Q324" s="66" t="s">
        <v>584</v>
      </c>
      <c r="R324" s="66" t="s">
        <v>585</v>
      </c>
    </row>
    <row r="325" spans="2:18" ht="18.75" customHeight="1">
      <c r="B325" s="63" t="str">
        <f t="shared" si="5"/>
        <v>No322</v>
      </c>
      <c r="C325" s="63" t="s">
        <v>166</v>
      </c>
      <c r="D325" s="63" t="s">
        <v>4</v>
      </c>
      <c r="E325" s="101">
        <v>45917</v>
      </c>
      <c r="F325" s="65">
        <v>0.39583333333333331</v>
      </c>
      <c r="G325" s="65">
        <v>0.40972222222222221</v>
      </c>
      <c r="H325" s="65">
        <v>1.388888888888889E-2</v>
      </c>
      <c r="I325" s="101">
        <v>45917</v>
      </c>
      <c r="J325" s="101">
        <v>45917</v>
      </c>
      <c r="K325" s="63" t="s">
        <v>40</v>
      </c>
      <c r="L325" s="63" t="s">
        <v>26</v>
      </c>
      <c r="M325" s="63"/>
      <c r="N325" s="63" t="s">
        <v>121</v>
      </c>
      <c r="O325" s="63" t="s">
        <v>6</v>
      </c>
      <c r="P325" s="63" t="s">
        <v>7</v>
      </c>
      <c r="Q325" s="66" t="s">
        <v>597</v>
      </c>
      <c r="R325" s="66" t="s">
        <v>598</v>
      </c>
    </row>
    <row r="326" spans="2:18" ht="18.75" customHeight="1">
      <c r="B326" s="63" t="str">
        <f t="shared" si="5"/>
        <v>No323</v>
      </c>
      <c r="C326" s="63" t="s">
        <v>166</v>
      </c>
      <c r="D326" s="63" t="s">
        <v>4</v>
      </c>
      <c r="E326" s="101">
        <v>45919</v>
      </c>
      <c r="F326" s="65">
        <v>0.69791666666666663</v>
      </c>
      <c r="G326" s="65">
        <v>0.70833333333333337</v>
      </c>
      <c r="H326" s="65">
        <v>1.041666666666667E-2</v>
      </c>
      <c r="I326" s="101">
        <v>45919</v>
      </c>
      <c r="J326" s="101">
        <v>45919</v>
      </c>
      <c r="K326" s="63" t="s">
        <v>20</v>
      </c>
      <c r="L326" s="63" t="s">
        <v>111</v>
      </c>
      <c r="M326" s="63"/>
      <c r="N326" s="63" t="s">
        <v>201</v>
      </c>
      <c r="O326" s="63" t="s">
        <v>6</v>
      </c>
      <c r="P326" s="63" t="s">
        <v>7</v>
      </c>
      <c r="Q326" s="66" t="s">
        <v>608</v>
      </c>
      <c r="R326" s="66" t="s">
        <v>609</v>
      </c>
    </row>
    <row r="327" spans="2:18" ht="18.75" customHeight="1">
      <c r="B327" s="63" t="str">
        <f t="shared" si="5"/>
        <v>No324</v>
      </c>
      <c r="C327" s="63" t="s">
        <v>166</v>
      </c>
      <c r="D327" s="63" t="s">
        <v>4</v>
      </c>
      <c r="E327" s="101">
        <v>45919</v>
      </c>
      <c r="F327" s="65">
        <v>0.70833333333333337</v>
      </c>
      <c r="G327" s="65">
        <v>0.71875</v>
      </c>
      <c r="H327" s="65">
        <v>1.041666666666667E-2</v>
      </c>
      <c r="I327" s="101">
        <v>45919</v>
      </c>
      <c r="J327" s="101">
        <v>45919</v>
      </c>
      <c r="K327" s="63" t="s">
        <v>20</v>
      </c>
      <c r="L327" s="63" t="s">
        <v>77</v>
      </c>
      <c r="M327" s="63"/>
      <c r="N327" s="63" t="s">
        <v>183</v>
      </c>
      <c r="O327" s="63" t="s">
        <v>6</v>
      </c>
      <c r="P327" s="63" t="s">
        <v>7</v>
      </c>
      <c r="Q327" s="66" t="s">
        <v>610</v>
      </c>
      <c r="R327" s="66" t="s">
        <v>609</v>
      </c>
    </row>
    <row r="328" spans="2:18" ht="18.75" customHeight="1">
      <c r="B328" s="63" t="str">
        <f t="shared" si="5"/>
        <v>No325</v>
      </c>
      <c r="C328" s="63" t="s">
        <v>104</v>
      </c>
      <c r="D328" s="63" t="s">
        <v>4</v>
      </c>
      <c r="E328" s="101">
        <v>45919</v>
      </c>
      <c r="F328" s="65">
        <v>0.375</v>
      </c>
      <c r="G328" s="65">
        <v>0.45833333333333331</v>
      </c>
      <c r="H328" s="65">
        <v>8.3333333333333329E-2</v>
      </c>
      <c r="I328" s="101">
        <v>45919</v>
      </c>
      <c r="J328" s="101">
        <v>45919</v>
      </c>
      <c r="K328" s="63" t="s">
        <v>20</v>
      </c>
      <c r="L328" s="63" t="s">
        <v>120</v>
      </c>
      <c r="M328" s="63"/>
      <c r="N328" s="63" t="s">
        <v>190</v>
      </c>
      <c r="O328" s="63" t="s">
        <v>122</v>
      </c>
      <c r="P328" s="63" t="s">
        <v>7</v>
      </c>
      <c r="Q328" s="66" t="s">
        <v>599</v>
      </c>
      <c r="R328" s="66" t="s">
        <v>600</v>
      </c>
    </row>
    <row r="329" spans="2:18" ht="18.75" customHeight="1">
      <c r="B329" s="63" t="str">
        <f t="shared" si="5"/>
        <v>No326</v>
      </c>
      <c r="C329" s="63" t="s">
        <v>104</v>
      </c>
      <c r="D329" s="63" t="s">
        <v>4</v>
      </c>
      <c r="E329" s="101">
        <v>45919</v>
      </c>
      <c r="F329" s="65">
        <v>0.375</v>
      </c>
      <c r="G329" s="65">
        <v>0.5</v>
      </c>
      <c r="H329" s="65">
        <v>0.125</v>
      </c>
      <c r="I329" s="101">
        <v>45919</v>
      </c>
      <c r="J329" s="101">
        <v>45919</v>
      </c>
      <c r="K329" s="63" t="s">
        <v>20</v>
      </c>
      <c r="L329" s="63" t="s">
        <v>35</v>
      </c>
      <c r="M329" s="63"/>
      <c r="N329" s="63" t="s">
        <v>102</v>
      </c>
      <c r="O329" s="63" t="s">
        <v>6</v>
      </c>
      <c r="P329" s="63" t="s">
        <v>7</v>
      </c>
      <c r="Q329" s="66" t="s">
        <v>601</v>
      </c>
      <c r="R329" s="66" t="s">
        <v>602</v>
      </c>
    </row>
    <row r="330" spans="2:18" ht="18.75" customHeight="1">
      <c r="B330" s="63" t="str">
        <f t="shared" si="5"/>
        <v>No327</v>
      </c>
      <c r="C330" s="63" t="s">
        <v>104</v>
      </c>
      <c r="D330" s="63" t="s">
        <v>4</v>
      </c>
      <c r="E330" s="101">
        <v>45919</v>
      </c>
      <c r="F330" s="65">
        <v>0.54166666666666663</v>
      </c>
      <c r="G330" s="65">
        <v>0.5625</v>
      </c>
      <c r="H330" s="65">
        <v>2.0833333333333329E-2</v>
      </c>
      <c r="I330" s="101">
        <v>45919</v>
      </c>
      <c r="J330" s="101">
        <v>45919</v>
      </c>
      <c r="K330" s="63" t="s">
        <v>20</v>
      </c>
      <c r="L330" s="63" t="s">
        <v>120</v>
      </c>
      <c r="M330" s="63"/>
      <c r="N330" s="63" t="s">
        <v>190</v>
      </c>
      <c r="O330" s="63" t="s">
        <v>6</v>
      </c>
      <c r="P330" s="63" t="s">
        <v>7</v>
      </c>
      <c r="Q330" s="66" t="s">
        <v>603</v>
      </c>
      <c r="R330" s="66" t="s">
        <v>604</v>
      </c>
    </row>
    <row r="331" spans="2:18" ht="18.75" customHeight="1">
      <c r="B331" s="63" t="str">
        <f t="shared" si="5"/>
        <v>No328</v>
      </c>
      <c r="C331" s="63" t="s">
        <v>104</v>
      </c>
      <c r="D331" s="63" t="s">
        <v>4</v>
      </c>
      <c r="E331" s="101">
        <v>45919</v>
      </c>
      <c r="F331" s="65">
        <v>0.58333333333333337</v>
      </c>
      <c r="G331" s="65">
        <v>0.625</v>
      </c>
      <c r="H331" s="65">
        <v>4.1666666666666657E-2</v>
      </c>
      <c r="I331" s="101">
        <v>45919</v>
      </c>
      <c r="J331" s="101">
        <v>45919</v>
      </c>
      <c r="K331" s="63" t="s">
        <v>45</v>
      </c>
      <c r="L331" s="63" t="s">
        <v>41</v>
      </c>
      <c r="M331" s="63"/>
      <c r="N331" s="63" t="s">
        <v>277</v>
      </c>
      <c r="O331" s="63" t="s">
        <v>6</v>
      </c>
      <c r="P331" s="63" t="s">
        <v>7</v>
      </c>
      <c r="Q331" s="66" t="s">
        <v>605</v>
      </c>
      <c r="R331" s="66" t="s">
        <v>606</v>
      </c>
    </row>
    <row r="332" spans="2:18" ht="83.25" customHeight="1">
      <c r="B332" s="63" t="str">
        <f t="shared" si="5"/>
        <v>No329</v>
      </c>
      <c r="C332" s="63" t="s">
        <v>104</v>
      </c>
      <c r="D332" s="63" t="s">
        <v>4</v>
      </c>
      <c r="E332" s="101">
        <v>45919</v>
      </c>
      <c r="F332" s="65">
        <v>0.74305555555555558</v>
      </c>
      <c r="G332" s="65">
        <v>0.75347222222222221</v>
      </c>
      <c r="H332" s="65">
        <v>1.041666666666667E-2</v>
      </c>
      <c r="I332" s="101">
        <v>45919</v>
      </c>
      <c r="J332" s="101">
        <v>45919</v>
      </c>
      <c r="K332" s="63" t="s">
        <v>45</v>
      </c>
      <c r="L332" s="63" t="s">
        <v>26</v>
      </c>
      <c r="M332" s="63"/>
      <c r="N332" s="63" t="s">
        <v>611</v>
      </c>
      <c r="O332" s="63" t="s">
        <v>6</v>
      </c>
      <c r="P332" s="63" t="s">
        <v>7</v>
      </c>
      <c r="Q332" s="66" t="s">
        <v>612</v>
      </c>
      <c r="R332" s="66" t="s">
        <v>613</v>
      </c>
    </row>
    <row r="333" spans="2:18" ht="18.75" customHeight="1">
      <c r="B333" s="63" t="str">
        <f t="shared" si="5"/>
        <v>No330</v>
      </c>
      <c r="C333" s="63" t="s">
        <v>142</v>
      </c>
      <c r="D333" s="63" t="s">
        <v>4</v>
      </c>
      <c r="E333" s="101">
        <v>45911</v>
      </c>
      <c r="F333" s="65">
        <v>0.45833333333333331</v>
      </c>
      <c r="G333" s="65">
        <v>0.5</v>
      </c>
      <c r="H333" s="65">
        <v>4.1666666666666657E-2</v>
      </c>
      <c r="I333" s="101">
        <v>45911</v>
      </c>
      <c r="J333" s="101">
        <v>45911</v>
      </c>
      <c r="K333" s="63" t="s">
        <v>119</v>
      </c>
      <c r="L333" s="63" t="s">
        <v>35</v>
      </c>
      <c r="M333" s="63"/>
      <c r="N333" s="63" t="s">
        <v>289</v>
      </c>
      <c r="O333" s="63" t="s">
        <v>122</v>
      </c>
      <c r="P333" s="63" t="s">
        <v>7</v>
      </c>
      <c r="Q333" s="66" t="s">
        <v>591</v>
      </c>
      <c r="R333" s="66" t="s">
        <v>592</v>
      </c>
    </row>
    <row r="334" spans="2:18" ht="74.25" customHeight="1">
      <c r="B334" s="63" t="str">
        <f t="shared" si="5"/>
        <v>No331</v>
      </c>
      <c r="C334" s="63" t="s">
        <v>142</v>
      </c>
      <c r="D334" s="63" t="s">
        <v>4</v>
      </c>
      <c r="E334" s="101">
        <v>45919</v>
      </c>
      <c r="F334" s="65">
        <v>0.625</v>
      </c>
      <c r="G334" s="65">
        <v>0.75</v>
      </c>
      <c r="H334" s="65">
        <v>0.125</v>
      </c>
      <c r="I334" s="101">
        <v>45919</v>
      </c>
      <c r="J334" s="101">
        <v>45919</v>
      </c>
      <c r="K334" s="63" t="s">
        <v>119</v>
      </c>
      <c r="L334" s="63" t="s">
        <v>35</v>
      </c>
      <c r="M334" s="63"/>
      <c r="N334" s="63" t="s">
        <v>289</v>
      </c>
      <c r="O334" s="63" t="s">
        <v>122</v>
      </c>
      <c r="P334" s="63" t="s">
        <v>7</v>
      </c>
      <c r="Q334" s="66" t="s">
        <v>591</v>
      </c>
      <c r="R334" s="66" t="s">
        <v>607</v>
      </c>
    </row>
    <row r="335" spans="2:18" ht="51.75" customHeight="1">
      <c r="B335" s="63" t="str">
        <f t="shared" si="5"/>
        <v>No332</v>
      </c>
      <c r="C335" s="63" t="s">
        <v>142</v>
      </c>
      <c r="D335" s="63" t="s">
        <v>4</v>
      </c>
      <c r="E335" s="101">
        <v>45922</v>
      </c>
      <c r="F335" s="65">
        <v>0.45833333333333331</v>
      </c>
      <c r="G335" s="65">
        <v>0.5</v>
      </c>
      <c r="H335" s="65">
        <v>4.1666666666666657E-2</v>
      </c>
      <c r="I335" s="101">
        <v>45925</v>
      </c>
      <c r="J335" s="101">
        <v>45925</v>
      </c>
      <c r="K335" s="63" t="s">
        <v>45</v>
      </c>
      <c r="L335" s="63" t="s">
        <v>111</v>
      </c>
      <c r="M335" s="63"/>
      <c r="N335" s="63" t="s">
        <v>229</v>
      </c>
      <c r="O335" s="63" t="s">
        <v>6</v>
      </c>
      <c r="P335" s="63" t="s">
        <v>614</v>
      </c>
      <c r="Q335" s="66" t="s">
        <v>615</v>
      </c>
      <c r="R335" s="66" t="s">
        <v>616</v>
      </c>
    </row>
    <row r="336" spans="2:18" ht="57" customHeight="1">
      <c r="B336" s="63" t="str">
        <f t="shared" si="5"/>
        <v>No333</v>
      </c>
      <c r="C336" s="63" t="s">
        <v>142</v>
      </c>
      <c r="D336" s="63" t="s">
        <v>4</v>
      </c>
      <c r="E336" s="101">
        <v>45925</v>
      </c>
      <c r="F336" s="65">
        <v>0.625</v>
      </c>
      <c r="G336" s="65">
        <v>0.70833333333333337</v>
      </c>
      <c r="H336" s="65">
        <v>8.3333333333333329E-2</v>
      </c>
      <c r="I336" s="101">
        <v>45925</v>
      </c>
      <c r="J336" s="101">
        <v>45925</v>
      </c>
      <c r="K336" s="63" t="s">
        <v>20</v>
      </c>
      <c r="L336" s="63" t="s">
        <v>159</v>
      </c>
      <c r="M336" s="63"/>
      <c r="N336" s="63" t="s">
        <v>187</v>
      </c>
      <c r="O336" s="63" t="s">
        <v>6</v>
      </c>
      <c r="P336" s="63" t="s">
        <v>614</v>
      </c>
      <c r="Q336" s="66" t="s">
        <v>621</v>
      </c>
      <c r="R336" s="66" t="s">
        <v>622</v>
      </c>
    </row>
    <row r="337" spans="2:18" ht="30.75" customHeight="1">
      <c r="B337" s="63" t="str">
        <f t="shared" si="5"/>
        <v>No334</v>
      </c>
      <c r="C337" s="63" t="s">
        <v>142</v>
      </c>
      <c r="D337" s="63" t="s">
        <v>155</v>
      </c>
      <c r="E337" s="101">
        <v>45901</v>
      </c>
      <c r="F337" s="65">
        <v>0.75</v>
      </c>
      <c r="G337" s="65">
        <v>0.77083333333333337</v>
      </c>
      <c r="H337" s="65">
        <v>2.0833333333333329E-2</v>
      </c>
      <c r="I337" s="101">
        <v>45901</v>
      </c>
      <c r="J337" s="101">
        <v>45901</v>
      </c>
      <c r="K337" s="63" t="s">
        <v>119</v>
      </c>
      <c r="L337" s="63" t="s">
        <v>77</v>
      </c>
      <c r="M337" s="63"/>
      <c r="N337" s="63" t="s">
        <v>144</v>
      </c>
      <c r="O337" s="63" t="s">
        <v>117</v>
      </c>
      <c r="P337" s="63" t="s">
        <v>7</v>
      </c>
      <c r="Q337" s="66" t="s">
        <v>580</v>
      </c>
      <c r="R337" s="66" t="s">
        <v>158</v>
      </c>
    </row>
    <row r="338" spans="2:18" ht="30.75" customHeight="1">
      <c r="B338" s="63" t="str">
        <f t="shared" si="5"/>
        <v>No335</v>
      </c>
      <c r="C338" s="63" t="s">
        <v>142</v>
      </c>
      <c r="D338" s="63" t="s">
        <v>155</v>
      </c>
      <c r="E338" s="101">
        <v>45902</v>
      </c>
      <c r="F338" s="65">
        <v>0.73958333333333337</v>
      </c>
      <c r="G338" s="65">
        <v>0.76041666666666663</v>
      </c>
      <c r="H338" s="65">
        <v>2.0833333333333329E-2</v>
      </c>
      <c r="I338" s="101">
        <v>45902</v>
      </c>
      <c r="J338" s="101">
        <v>45902</v>
      </c>
      <c r="K338" s="63" t="s">
        <v>119</v>
      </c>
      <c r="L338" s="63" t="s">
        <v>77</v>
      </c>
      <c r="M338" s="63"/>
      <c r="N338" s="63" t="s">
        <v>144</v>
      </c>
      <c r="O338" s="63" t="s">
        <v>117</v>
      </c>
      <c r="P338" s="63" t="s">
        <v>7</v>
      </c>
      <c r="Q338" s="66" t="s">
        <v>580</v>
      </c>
      <c r="R338" s="66" t="s">
        <v>158</v>
      </c>
    </row>
    <row r="339" spans="2:18" ht="30.75" customHeight="1">
      <c r="B339" s="63" t="str">
        <f t="shared" si="5"/>
        <v>No336</v>
      </c>
      <c r="C339" s="63" t="s">
        <v>186</v>
      </c>
      <c r="D339" s="63" t="s">
        <v>155</v>
      </c>
      <c r="E339" s="101">
        <v>45902</v>
      </c>
      <c r="F339" s="65">
        <v>0.78125</v>
      </c>
      <c r="G339" s="65">
        <v>0.36805555555555558</v>
      </c>
      <c r="H339" s="65">
        <v>1.041666666666667E-2</v>
      </c>
      <c r="I339" s="101">
        <v>45903</v>
      </c>
      <c r="J339" s="101">
        <v>45903</v>
      </c>
      <c r="K339" s="63" t="s">
        <v>45</v>
      </c>
      <c r="L339" s="63" t="s">
        <v>77</v>
      </c>
      <c r="M339" s="63"/>
      <c r="N339" s="63" t="s">
        <v>144</v>
      </c>
      <c r="O339" s="63" t="s">
        <v>117</v>
      </c>
      <c r="P339" s="63" t="s">
        <v>7</v>
      </c>
      <c r="Q339" s="66" t="s">
        <v>581</v>
      </c>
      <c r="R339" s="66" t="s">
        <v>582</v>
      </c>
    </row>
    <row r="340" spans="2:18" ht="30.75" customHeight="1">
      <c r="B340" s="63" t="str">
        <f t="shared" si="5"/>
        <v>No337</v>
      </c>
      <c r="C340" s="63" t="s">
        <v>142</v>
      </c>
      <c r="D340" s="63" t="s">
        <v>155</v>
      </c>
      <c r="E340" s="101">
        <v>45903</v>
      </c>
      <c r="F340" s="65">
        <v>0.625</v>
      </c>
      <c r="G340" s="65">
        <v>0.66666666666666663</v>
      </c>
      <c r="H340" s="65">
        <v>2.0833333333333329E-2</v>
      </c>
      <c r="I340" s="101">
        <v>45903</v>
      </c>
      <c r="J340" s="101">
        <v>45903</v>
      </c>
      <c r="K340" s="63" t="s">
        <v>119</v>
      </c>
      <c r="L340" s="63" t="s">
        <v>111</v>
      </c>
      <c r="M340" s="63"/>
      <c r="N340" s="63" t="s">
        <v>112</v>
      </c>
      <c r="O340" s="63" t="s">
        <v>122</v>
      </c>
      <c r="P340" s="63" t="s">
        <v>7</v>
      </c>
      <c r="Q340" s="66" t="s">
        <v>482</v>
      </c>
      <c r="R340" s="66" t="s">
        <v>583</v>
      </c>
    </row>
    <row r="341" spans="2:18" ht="30.75" customHeight="1">
      <c r="B341" s="63" t="str">
        <f t="shared" si="5"/>
        <v>No338</v>
      </c>
      <c r="C341" s="63" t="s">
        <v>142</v>
      </c>
      <c r="D341" s="63" t="s">
        <v>155</v>
      </c>
      <c r="E341" s="101">
        <v>45903</v>
      </c>
      <c r="F341" s="65">
        <v>0.69791666666666663</v>
      </c>
      <c r="G341" s="65">
        <v>0.71875</v>
      </c>
      <c r="H341" s="65">
        <v>2.0833333333333329E-2</v>
      </c>
      <c r="I341" s="101">
        <v>45903</v>
      </c>
      <c r="J341" s="101">
        <v>45903</v>
      </c>
      <c r="K341" s="63" t="s">
        <v>119</v>
      </c>
      <c r="L341" s="63" t="s">
        <v>77</v>
      </c>
      <c r="M341" s="63"/>
      <c r="N341" s="63" t="s">
        <v>539</v>
      </c>
      <c r="O341" s="63" t="s">
        <v>117</v>
      </c>
      <c r="P341" s="63" t="s">
        <v>7</v>
      </c>
      <c r="Q341" s="66" t="s">
        <v>580</v>
      </c>
      <c r="R341" s="66" t="s">
        <v>158</v>
      </c>
    </row>
    <row r="342" spans="2:18" ht="30.75" customHeight="1">
      <c r="B342" s="63" t="str">
        <f t="shared" si="5"/>
        <v>No339</v>
      </c>
      <c r="C342" s="63" t="s">
        <v>142</v>
      </c>
      <c r="D342" s="63" t="s">
        <v>155</v>
      </c>
      <c r="E342" s="101">
        <v>45904</v>
      </c>
      <c r="F342" s="65">
        <v>0.54166666666666663</v>
      </c>
      <c r="G342" s="65">
        <v>0.55208333333333337</v>
      </c>
      <c r="H342" s="65">
        <v>1.041666666666667E-2</v>
      </c>
      <c r="I342" s="101">
        <v>45903</v>
      </c>
      <c r="J342" s="101">
        <v>45903</v>
      </c>
      <c r="K342" s="63" t="s">
        <v>119</v>
      </c>
      <c r="L342" s="63" t="s">
        <v>159</v>
      </c>
      <c r="M342" s="63"/>
      <c r="N342" s="63" t="s">
        <v>207</v>
      </c>
      <c r="O342" s="63" t="s">
        <v>122</v>
      </c>
      <c r="P342" s="63" t="s">
        <v>7</v>
      </c>
      <c r="Q342" s="66" t="s">
        <v>482</v>
      </c>
      <c r="R342" s="66" t="s">
        <v>158</v>
      </c>
    </row>
    <row r="343" spans="2:18" ht="30.75" customHeight="1">
      <c r="B343" s="63" t="str">
        <f t="shared" si="5"/>
        <v>No340</v>
      </c>
      <c r="C343" s="63" t="s">
        <v>142</v>
      </c>
      <c r="D343" s="63" t="s">
        <v>155</v>
      </c>
      <c r="E343" s="101">
        <v>45908</v>
      </c>
      <c r="F343" s="65">
        <v>0.57638888888888884</v>
      </c>
      <c r="G343" s="65">
        <v>0.58333333333333337</v>
      </c>
      <c r="H343" s="65">
        <v>6.9444444444444441E-3</v>
      </c>
      <c r="I343" s="101">
        <v>45908</v>
      </c>
      <c r="J343" s="101">
        <v>45908</v>
      </c>
      <c r="K343" s="63" t="s">
        <v>119</v>
      </c>
      <c r="L343" s="63" t="s">
        <v>159</v>
      </c>
      <c r="M343" s="63"/>
      <c r="N343" s="63" t="s">
        <v>207</v>
      </c>
      <c r="O343" s="63" t="s">
        <v>122</v>
      </c>
      <c r="P343" s="63" t="s">
        <v>7</v>
      </c>
      <c r="Q343" s="66" t="s">
        <v>482</v>
      </c>
      <c r="R343" s="66" t="s">
        <v>158</v>
      </c>
    </row>
    <row r="344" spans="2:18" ht="30.75" customHeight="1">
      <c r="B344" s="63" t="str">
        <f t="shared" si="5"/>
        <v>No341</v>
      </c>
      <c r="C344" s="63" t="s">
        <v>142</v>
      </c>
      <c r="D344" s="63" t="s">
        <v>155</v>
      </c>
      <c r="E344" s="101">
        <v>45909</v>
      </c>
      <c r="F344" s="65">
        <v>0.70486111111111116</v>
      </c>
      <c r="G344" s="65">
        <v>0.71527777777777779</v>
      </c>
      <c r="H344" s="65">
        <v>1.041666666666667E-2</v>
      </c>
      <c r="I344" s="101">
        <v>45909</v>
      </c>
      <c r="J344" s="101">
        <v>45909</v>
      </c>
      <c r="K344" s="63" t="s">
        <v>119</v>
      </c>
      <c r="L344" s="63" t="s">
        <v>41</v>
      </c>
      <c r="M344" s="63"/>
      <c r="N344" s="63" t="s">
        <v>277</v>
      </c>
      <c r="O344" s="63" t="s">
        <v>122</v>
      </c>
      <c r="P344" s="63" t="s">
        <v>7</v>
      </c>
      <c r="Q344" s="66" t="s">
        <v>385</v>
      </c>
      <c r="R344" s="66" t="s">
        <v>158</v>
      </c>
    </row>
    <row r="345" spans="2:18" ht="30.75" customHeight="1">
      <c r="B345" s="63" t="str">
        <f t="shared" si="5"/>
        <v>No342</v>
      </c>
      <c r="C345" s="63" t="s">
        <v>142</v>
      </c>
      <c r="D345" s="63" t="s">
        <v>155</v>
      </c>
      <c r="E345" s="101">
        <v>45910</v>
      </c>
      <c r="F345" s="65">
        <v>0.56944444444444442</v>
      </c>
      <c r="G345" s="65">
        <v>0.57638888888888884</v>
      </c>
      <c r="H345" s="65">
        <v>6.9444444444444441E-3</v>
      </c>
      <c r="I345" s="101">
        <v>45910</v>
      </c>
      <c r="J345" s="101">
        <v>45910</v>
      </c>
      <c r="K345" s="63" t="s">
        <v>119</v>
      </c>
      <c r="L345" s="63" t="s">
        <v>159</v>
      </c>
      <c r="M345" s="63"/>
      <c r="N345" s="63" t="s">
        <v>288</v>
      </c>
      <c r="O345" s="63" t="s">
        <v>122</v>
      </c>
      <c r="P345" s="63" t="s">
        <v>7</v>
      </c>
      <c r="Q345" s="66" t="s">
        <v>482</v>
      </c>
      <c r="R345" s="66" t="s">
        <v>158</v>
      </c>
    </row>
    <row r="346" spans="2:18" ht="30.75" customHeight="1">
      <c r="B346" s="63" t="str">
        <f t="shared" si="5"/>
        <v>No343</v>
      </c>
      <c r="C346" s="63" t="s">
        <v>142</v>
      </c>
      <c r="D346" s="63" t="s">
        <v>155</v>
      </c>
      <c r="E346" s="101">
        <v>45910</v>
      </c>
      <c r="F346" s="65">
        <v>0.62847222222222221</v>
      </c>
      <c r="G346" s="65">
        <v>0.63541666666666663</v>
      </c>
      <c r="H346" s="65">
        <v>6.9444444444444441E-3</v>
      </c>
      <c r="I346" s="101">
        <v>45910</v>
      </c>
      <c r="J346" s="101">
        <v>45910</v>
      </c>
      <c r="K346" s="63" t="s">
        <v>119</v>
      </c>
      <c r="L346" s="63" t="s">
        <v>159</v>
      </c>
      <c r="M346" s="63"/>
      <c r="N346" s="63" t="s">
        <v>288</v>
      </c>
      <c r="O346" s="63" t="s">
        <v>122</v>
      </c>
      <c r="P346" s="63" t="s">
        <v>7</v>
      </c>
      <c r="Q346" s="66" t="s">
        <v>482</v>
      </c>
      <c r="R346" s="66" t="s">
        <v>158</v>
      </c>
    </row>
    <row r="347" spans="2:18" ht="30.75" customHeight="1">
      <c r="B347" s="63" t="str">
        <f t="shared" si="5"/>
        <v>No344</v>
      </c>
      <c r="C347" s="63" t="s">
        <v>142</v>
      </c>
      <c r="D347" s="63" t="s">
        <v>155</v>
      </c>
      <c r="E347" s="101">
        <v>45911</v>
      </c>
      <c r="F347" s="65">
        <v>0.40625</v>
      </c>
      <c r="G347" s="65">
        <v>0.42708333333333331</v>
      </c>
      <c r="H347" s="65">
        <v>2.0833333333333329E-2</v>
      </c>
      <c r="I347" s="101">
        <v>45911</v>
      </c>
      <c r="J347" s="101">
        <v>45911</v>
      </c>
      <c r="K347" s="63" t="s">
        <v>119</v>
      </c>
      <c r="L347" s="63" t="s">
        <v>77</v>
      </c>
      <c r="M347" s="63"/>
      <c r="N347" s="63" t="s">
        <v>144</v>
      </c>
      <c r="O347" s="63" t="s">
        <v>117</v>
      </c>
      <c r="P347" s="63" t="s">
        <v>7</v>
      </c>
      <c r="Q347" s="66" t="s">
        <v>590</v>
      </c>
      <c r="R347" s="66" t="s">
        <v>158</v>
      </c>
    </row>
    <row r="348" spans="2:18" ht="30.75" customHeight="1">
      <c r="B348" s="63" t="str">
        <f t="shared" si="5"/>
        <v>No345</v>
      </c>
      <c r="C348" s="63" t="s">
        <v>142</v>
      </c>
      <c r="D348" s="63" t="s">
        <v>155</v>
      </c>
      <c r="E348" s="101">
        <v>45911</v>
      </c>
      <c r="F348" s="65">
        <v>0.45833333333333331</v>
      </c>
      <c r="G348" s="65">
        <v>0.49305555555555558</v>
      </c>
      <c r="H348" s="65">
        <v>6.9444444444444441E-3</v>
      </c>
      <c r="I348" s="101">
        <v>45911</v>
      </c>
      <c r="J348" s="101">
        <v>45911</v>
      </c>
      <c r="K348" s="63" t="s">
        <v>119</v>
      </c>
      <c r="L348" s="63" t="s">
        <v>77</v>
      </c>
      <c r="M348" s="63"/>
      <c r="N348" s="63" t="s">
        <v>211</v>
      </c>
      <c r="O348" s="63" t="s">
        <v>122</v>
      </c>
      <c r="P348" s="63" t="s">
        <v>7</v>
      </c>
      <c r="Q348" s="66" t="s">
        <v>593</v>
      </c>
      <c r="R348" s="66" t="s">
        <v>158</v>
      </c>
    </row>
    <row r="349" spans="2:18" ht="30.75" customHeight="1">
      <c r="B349" s="63" t="str">
        <f t="shared" si="5"/>
        <v>No346</v>
      </c>
      <c r="C349" s="63" t="s">
        <v>142</v>
      </c>
      <c r="D349" s="63" t="s">
        <v>155</v>
      </c>
      <c r="E349" s="101">
        <v>45911</v>
      </c>
      <c r="F349" s="65">
        <v>0.71875</v>
      </c>
      <c r="G349" s="65">
        <v>0.42708333333333331</v>
      </c>
      <c r="H349" s="65">
        <v>8.3333333333333329E-2</v>
      </c>
      <c r="I349" s="101">
        <v>45912</v>
      </c>
      <c r="J349" s="101">
        <v>45912</v>
      </c>
      <c r="K349" s="63" t="s">
        <v>119</v>
      </c>
      <c r="L349" s="63" t="s">
        <v>159</v>
      </c>
      <c r="M349" s="63"/>
      <c r="N349" s="63" t="s">
        <v>187</v>
      </c>
      <c r="O349" s="63" t="s">
        <v>122</v>
      </c>
      <c r="P349" s="63" t="s">
        <v>7</v>
      </c>
      <c r="Q349" s="66" t="s">
        <v>512</v>
      </c>
      <c r="R349" s="66" t="s">
        <v>158</v>
      </c>
    </row>
    <row r="350" spans="2:18" ht="30.75" customHeight="1">
      <c r="B350" s="63" t="str">
        <f t="shared" si="5"/>
        <v>No347</v>
      </c>
      <c r="C350" s="63" t="s">
        <v>142</v>
      </c>
      <c r="D350" s="63" t="s">
        <v>155</v>
      </c>
      <c r="E350" s="101">
        <v>45912</v>
      </c>
      <c r="F350" s="65">
        <v>0.54166666666666663</v>
      </c>
      <c r="G350" s="65">
        <v>0.59375</v>
      </c>
      <c r="H350" s="65">
        <v>1.041666666666667E-2</v>
      </c>
      <c r="I350" s="101">
        <v>45912</v>
      </c>
      <c r="J350" s="101">
        <v>45912</v>
      </c>
      <c r="K350" s="63" t="s">
        <v>119</v>
      </c>
      <c r="L350" s="63" t="s">
        <v>77</v>
      </c>
      <c r="M350" s="63"/>
      <c r="N350" s="63" t="s">
        <v>321</v>
      </c>
      <c r="O350" s="63" t="s">
        <v>122</v>
      </c>
      <c r="P350" s="63" t="s">
        <v>7</v>
      </c>
      <c r="Q350" s="66" t="s">
        <v>322</v>
      </c>
      <c r="R350" s="66" t="s">
        <v>158</v>
      </c>
    </row>
    <row r="351" spans="2:18" ht="30.75" customHeight="1">
      <c r="B351" s="63" t="str">
        <f t="shared" si="5"/>
        <v>No348</v>
      </c>
      <c r="C351" s="63" t="s">
        <v>142</v>
      </c>
      <c r="D351" s="63" t="s">
        <v>155</v>
      </c>
      <c r="E351" s="101">
        <v>45912</v>
      </c>
      <c r="F351" s="65">
        <v>0.75</v>
      </c>
      <c r="G351" s="65">
        <v>0.60416666666666663</v>
      </c>
      <c r="H351" s="65">
        <v>4.1666666666666657E-2</v>
      </c>
      <c r="I351" s="101">
        <v>45916</v>
      </c>
      <c r="J351" s="101">
        <v>45916</v>
      </c>
      <c r="K351" s="63" t="s">
        <v>310</v>
      </c>
      <c r="L351" s="63" t="s">
        <v>26</v>
      </c>
      <c r="M351" s="63"/>
      <c r="N351" s="63" t="s">
        <v>594</v>
      </c>
      <c r="O351" s="63" t="s">
        <v>6</v>
      </c>
      <c r="P351" s="63" t="s">
        <v>7</v>
      </c>
      <c r="Q351" s="66" t="s">
        <v>595</v>
      </c>
      <c r="R351" s="66" t="s">
        <v>596</v>
      </c>
    </row>
    <row r="352" spans="2:18" ht="30.75" customHeight="1">
      <c r="B352" s="63" t="str">
        <f t="shared" si="5"/>
        <v>No349</v>
      </c>
      <c r="C352" s="63" t="s">
        <v>142</v>
      </c>
      <c r="D352" s="63" t="s">
        <v>155</v>
      </c>
      <c r="E352" s="101">
        <v>45916</v>
      </c>
      <c r="F352" s="65">
        <v>0.60416666666666663</v>
      </c>
      <c r="G352" s="65">
        <v>0.70833333333333337</v>
      </c>
      <c r="H352" s="65">
        <v>6.9444444444444441E-3</v>
      </c>
      <c r="I352" s="101">
        <v>45916</v>
      </c>
      <c r="J352" s="101">
        <v>45916</v>
      </c>
      <c r="K352" s="63" t="s">
        <v>119</v>
      </c>
      <c r="L352" s="63" t="s">
        <v>77</v>
      </c>
      <c r="M352" s="63"/>
      <c r="N352" s="63" t="s">
        <v>211</v>
      </c>
      <c r="O352" s="63" t="s">
        <v>122</v>
      </c>
      <c r="P352" s="63" t="s">
        <v>7</v>
      </c>
      <c r="Q352" s="66" t="s">
        <v>593</v>
      </c>
      <c r="R352" s="66" t="s">
        <v>158</v>
      </c>
    </row>
    <row r="353" spans="2:18" ht="30.75" customHeight="1">
      <c r="B353" s="63" t="str">
        <f t="shared" si="5"/>
        <v>No350</v>
      </c>
      <c r="C353" s="63" t="s">
        <v>142</v>
      </c>
      <c r="D353" s="63" t="s">
        <v>155</v>
      </c>
      <c r="E353" s="101">
        <v>45917</v>
      </c>
      <c r="F353" s="65">
        <v>0.39583333333333331</v>
      </c>
      <c r="G353" s="65">
        <v>0.4375</v>
      </c>
      <c r="H353" s="65">
        <v>1.041666666666667E-2</v>
      </c>
      <c r="I353" s="101">
        <v>45917</v>
      </c>
      <c r="J353" s="101">
        <v>45917</v>
      </c>
      <c r="K353" s="63" t="s">
        <v>119</v>
      </c>
      <c r="L353" s="63" t="s">
        <v>41</v>
      </c>
      <c r="M353" s="63"/>
      <c r="N353" s="63" t="s">
        <v>277</v>
      </c>
      <c r="O353" s="63" t="s">
        <v>122</v>
      </c>
      <c r="P353" s="63" t="s">
        <v>7</v>
      </c>
      <c r="Q353" s="66" t="s">
        <v>385</v>
      </c>
      <c r="R353" s="66" t="s">
        <v>158</v>
      </c>
    </row>
    <row r="354" spans="2:18" ht="30.75" customHeight="1">
      <c r="B354" s="63" t="str">
        <f t="shared" si="5"/>
        <v>No351</v>
      </c>
      <c r="C354" s="63" t="s">
        <v>142</v>
      </c>
      <c r="D354" s="63" t="s">
        <v>155</v>
      </c>
      <c r="E354" s="101">
        <v>45917</v>
      </c>
      <c r="F354" s="65">
        <v>0.39583333333333331</v>
      </c>
      <c r="G354" s="65">
        <v>0.4375</v>
      </c>
      <c r="H354" s="65">
        <v>1.041666666666667E-2</v>
      </c>
      <c r="I354" s="101">
        <v>45917</v>
      </c>
      <c r="J354" s="101">
        <v>45917</v>
      </c>
      <c r="K354" s="63" t="s">
        <v>119</v>
      </c>
      <c r="L354" s="63" t="s">
        <v>77</v>
      </c>
      <c r="M354" s="63"/>
      <c r="N354" s="63" t="s">
        <v>211</v>
      </c>
      <c r="O354" s="63" t="s">
        <v>122</v>
      </c>
      <c r="P354" s="63" t="s">
        <v>7</v>
      </c>
      <c r="Q354" s="66" t="s">
        <v>593</v>
      </c>
      <c r="R354" s="66" t="s">
        <v>158</v>
      </c>
    </row>
    <row r="355" spans="2:18" ht="30.75" customHeight="1">
      <c r="B355" s="63" t="str">
        <f t="shared" si="5"/>
        <v>No352</v>
      </c>
      <c r="C355" s="63" t="s">
        <v>142</v>
      </c>
      <c r="D355" s="63" t="s">
        <v>155</v>
      </c>
      <c r="E355" s="101">
        <v>45918</v>
      </c>
      <c r="F355" s="65">
        <v>0.48958333333333331</v>
      </c>
      <c r="G355" s="65">
        <v>0.5</v>
      </c>
      <c r="H355" s="65">
        <v>1.041666666666667E-2</v>
      </c>
      <c r="I355" s="101">
        <v>45918</v>
      </c>
      <c r="J355" s="101">
        <v>45918</v>
      </c>
      <c r="K355" s="63" t="s">
        <v>119</v>
      </c>
      <c r="L355" s="63" t="s">
        <v>159</v>
      </c>
      <c r="M355" s="63"/>
      <c r="N355" s="63" t="s">
        <v>187</v>
      </c>
      <c r="O355" s="63" t="s">
        <v>122</v>
      </c>
      <c r="P355" s="63" t="s">
        <v>7</v>
      </c>
      <c r="Q355" s="66" t="s">
        <v>482</v>
      </c>
      <c r="R355" s="66" t="s">
        <v>158</v>
      </c>
    </row>
    <row r="356" spans="2:18" ht="30.75" customHeight="1">
      <c r="B356" s="63" t="str">
        <f t="shared" si="5"/>
        <v>No353</v>
      </c>
      <c r="C356" s="63" t="s">
        <v>142</v>
      </c>
      <c r="D356" s="63" t="s">
        <v>155</v>
      </c>
      <c r="E356" s="101">
        <v>45919</v>
      </c>
      <c r="F356" s="65">
        <v>0.44097222222222221</v>
      </c>
      <c r="G356" s="65">
        <v>0.44791666666666669</v>
      </c>
      <c r="H356" s="65">
        <v>6.9444444444444441E-3</v>
      </c>
      <c r="I356" s="101">
        <v>45919</v>
      </c>
      <c r="J356" s="101">
        <v>45919</v>
      </c>
      <c r="K356" s="63" t="s">
        <v>119</v>
      </c>
      <c r="L356" s="63" t="s">
        <v>111</v>
      </c>
      <c r="M356" s="63"/>
      <c r="N356" s="63" t="s">
        <v>229</v>
      </c>
      <c r="O356" s="63" t="s">
        <v>122</v>
      </c>
      <c r="P356" s="63" t="s">
        <v>7</v>
      </c>
      <c r="Q356" s="66" t="s">
        <v>482</v>
      </c>
      <c r="R356" s="66" t="s">
        <v>158</v>
      </c>
    </row>
    <row r="357" spans="2:18" ht="30.75" customHeight="1">
      <c r="B357" s="63" t="str">
        <f t="shared" si="5"/>
        <v>No354</v>
      </c>
      <c r="C357" s="63" t="s">
        <v>142</v>
      </c>
      <c r="D357" s="63" t="s">
        <v>155</v>
      </c>
      <c r="E357" s="101">
        <v>45922</v>
      </c>
      <c r="F357" s="65">
        <v>0.46527777777777779</v>
      </c>
      <c r="G357" s="65">
        <v>0.47916666666666669</v>
      </c>
      <c r="H357" s="65">
        <v>1.388888888888889E-2</v>
      </c>
      <c r="I357" s="101">
        <v>45922</v>
      </c>
      <c r="J357" s="101">
        <v>45922</v>
      </c>
      <c r="K357" s="63" t="s">
        <v>119</v>
      </c>
      <c r="L357" s="63" t="s">
        <v>176</v>
      </c>
      <c r="M357" s="63"/>
      <c r="N357" s="63" t="s">
        <v>156</v>
      </c>
      <c r="O357" s="63" t="s">
        <v>122</v>
      </c>
      <c r="P357" s="63" t="s">
        <v>7</v>
      </c>
      <c r="Q357" s="66" t="s">
        <v>617</v>
      </c>
      <c r="R357" s="66" t="s">
        <v>158</v>
      </c>
    </row>
    <row r="358" spans="2:18" ht="30.75" customHeight="1">
      <c r="B358" s="63" t="str">
        <f t="shared" si="5"/>
        <v>No355</v>
      </c>
      <c r="C358" s="63" t="s">
        <v>142</v>
      </c>
      <c r="D358" s="63" t="s">
        <v>155</v>
      </c>
      <c r="E358" s="101">
        <v>45924</v>
      </c>
      <c r="F358" s="65">
        <v>0.54166666666666663</v>
      </c>
      <c r="G358" s="65">
        <v>0.54861111111111116</v>
      </c>
      <c r="H358" s="65">
        <v>6.9444444444444441E-3</v>
      </c>
      <c r="I358" s="101">
        <v>45924</v>
      </c>
      <c r="J358" s="101">
        <v>45924</v>
      </c>
      <c r="K358" s="63" t="s">
        <v>119</v>
      </c>
      <c r="L358" s="63" t="s">
        <v>111</v>
      </c>
      <c r="M358" s="63"/>
      <c r="N358" s="63" t="s">
        <v>215</v>
      </c>
      <c r="O358" s="63" t="s">
        <v>122</v>
      </c>
      <c r="P358" s="63" t="s">
        <v>7</v>
      </c>
      <c r="Q358" s="66" t="s">
        <v>482</v>
      </c>
      <c r="R358" s="66" t="s">
        <v>158</v>
      </c>
    </row>
    <row r="359" spans="2:18" ht="30.75" customHeight="1">
      <c r="B359" s="63" t="str">
        <f t="shared" si="5"/>
        <v>No356</v>
      </c>
      <c r="C359" s="63" t="s">
        <v>142</v>
      </c>
      <c r="D359" s="63" t="s">
        <v>155</v>
      </c>
      <c r="E359" s="101">
        <v>45924</v>
      </c>
      <c r="F359" s="65">
        <v>0.70833333333333337</v>
      </c>
      <c r="G359" s="65">
        <v>0.72916666666666663</v>
      </c>
      <c r="H359" s="65">
        <v>2.0833333333333329E-2</v>
      </c>
      <c r="I359" s="101">
        <v>45924</v>
      </c>
      <c r="J359" s="101">
        <v>45924</v>
      </c>
      <c r="K359" s="63" t="s">
        <v>45</v>
      </c>
      <c r="L359" s="63" t="s">
        <v>26</v>
      </c>
      <c r="M359" s="63"/>
      <c r="N359" s="63" t="s">
        <v>611</v>
      </c>
      <c r="O359" s="63" t="s">
        <v>122</v>
      </c>
      <c r="P359" s="63" t="s">
        <v>7</v>
      </c>
      <c r="Q359" s="66" t="s">
        <v>618</v>
      </c>
      <c r="R359" s="66" t="s">
        <v>619</v>
      </c>
    </row>
    <row r="360" spans="2:18" ht="30.75" customHeight="1">
      <c r="B360" s="63" t="str">
        <f t="shared" si="5"/>
        <v>No357</v>
      </c>
      <c r="C360" s="63" t="s">
        <v>142</v>
      </c>
      <c r="D360" s="63" t="s">
        <v>155</v>
      </c>
      <c r="E360" s="101">
        <v>45925</v>
      </c>
      <c r="F360" s="65">
        <v>0.40625</v>
      </c>
      <c r="G360" s="65">
        <v>0.44791666666666669</v>
      </c>
      <c r="H360" s="65">
        <v>2.0833333333333329E-2</v>
      </c>
      <c r="I360" s="101">
        <v>45925</v>
      </c>
      <c r="J360" s="101">
        <v>45925</v>
      </c>
      <c r="K360" s="63" t="s">
        <v>119</v>
      </c>
      <c r="L360" s="63" t="s">
        <v>159</v>
      </c>
      <c r="M360" s="63"/>
      <c r="N360" s="63" t="s">
        <v>187</v>
      </c>
      <c r="O360" s="63" t="s">
        <v>122</v>
      </c>
      <c r="P360" s="63" t="s">
        <v>7</v>
      </c>
      <c r="Q360" s="66" t="s">
        <v>482</v>
      </c>
      <c r="R360" s="66" t="s">
        <v>620</v>
      </c>
    </row>
    <row r="361" spans="2:18" ht="30.75" customHeight="1">
      <c r="B361" s="63" t="str">
        <f t="shared" si="5"/>
        <v>No358</v>
      </c>
      <c r="C361" s="63" t="s">
        <v>142</v>
      </c>
      <c r="D361" s="63" t="s">
        <v>155</v>
      </c>
      <c r="E361" s="101">
        <v>45925</v>
      </c>
      <c r="F361" s="65">
        <v>0.4375</v>
      </c>
      <c r="G361" s="65">
        <v>0.44791666666666669</v>
      </c>
      <c r="H361" s="65">
        <v>1.041666666666667E-2</v>
      </c>
      <c r="I361" s="101">
        <v>45925</v>
      </c>
      <c r="J361" s="101">
        <v>45925</v>
      </c>
      <c r="K361" s="63" t="s">
        <v>119</v>
      </c>
      <c r="L361" s="63" t="s">
        <v>41</v>
      </c>
      <c r="M361" s="63"/>
      <c r="N361" s="63" t="s">
        <v>277</v>
      </c>
      <c r="O361" s="63" t="s">
        <v>122</v>
      </c>
      <c r="P361" s="63" t="s">
        <v>7</v>
      </c>
      <c r="Q361" s="66" t="s">
        <v>385</v>
      </c>
      <c r="R361" s="66" t="s">
        <v>158</v>
      </c>
    </row>
    <row r="362" spans="2:18" ht="30.75" customHeight="1">
      <c r="B362" s="63" t="str">
        <f t="shared" si="5"/>
        <v>No359</v>
      </c>
      <c r="C362" s="63" t="s">
        <v>142</v>
      </c>
      <c r="D362" s="63" t="s">
        <v>155</v>
      </c>
      <c r="E362" s="101">
        <v>45925</v>
      </c>
      <c r="F362" s="65">
        <v>0.625</v>
      </c>
      <c r="G362" s="65">
        <v>0.70833333333333337</v>
      </c>
      <c r="H362" s="65">
        <v>1.041666666666667E-2</v>
      </c>
      <c r="I362" s="101">
        <v>45925</v>
      </c>
      <c r="J362" s="101">
        <v>45925</v>
      </c>
      <c r="K362" s="63" t="s">
        <v>119</v>
      </c>
      <c r="L362" s="63" t="s">
        <v>77</v>
      </c>
      <c r="M362" s="63"/>
      <c r="N362" s="63" t="s">
        <v>211</v>
      </c>
      <c r="O362" s="63" t="s">
        <v>122</v>
      </c>
      <c r="P362" s="63" t="s">
        <v>7</v>
      </c>
      <c r="Q362" s="66" t="s">
        <v>593</v>
      </c>
      <c r="R362" s="66" t="s">
        <v>158</v>
      </c>
    </row>
    <row r="363" spans="2:18" ht="30.75" customHeight="1">
      <c r="B363" s="63" t="str">
        <f t="shared" si="5"/>
        <v>No360</v>
      </c>
      <c r="C363" s="63" t="s">
        <v>142</v>
      </c>
      <c r="D363" s="63" t="s">
        <v>155</v>
      </c>
      <c r="E363" s="101">
        <v>45925</v>
      </c>
      <c r="F363" s="65">
        <v>0.66666666666666663</v>
      </c>
      <c r="G363" s="65">
        <v>0.70833333333333337</v>
      </c>
      <c r="H363" s="65">
        <v>1.041666666666667E-2</v>
      </c>
      <c r="I363" s="101">
        <v>45925</v>
      </c>
      <c r="J363" s="101">
        <v>45925</v>
      </c>
      <c r="K363" s="63" t="s">
        <v>119</v>
      </c>
      <c r="L363" s="63" t="s">
        <v>77</v>
      </c>
      <c r="M363" s="63"/>
      <c r="N363" s="63" t="s">
        <v>238</v>
      </c>
      <c r="O363" s="63" t="s">
        <v>122</v>
      </c>
      <c r="P363" s="63" t="s">
        <v>7</v>
      </c>
      <c r="Q363" s="66" t="s">
        <v>593</v>
      </c>
      <c r="R363" s="66" t="s">
        <v>158</v>
      </c>
    </row>
    <row r="364" spans="2:18" ht="30.75" customHeight="1">
      <c r="B364" s="63" t="str">
        <f t="shared" si="5"/>
        <v>No361</v>
      </c>
      <c r="C364" s="63" t="s">
        <v>142</v>
      </c>
      <c r="D364" s="63" t="s">
        <v>155</v>
      </c>
      <c r="E364" s="101">
        <v>45925</v>
      </c>
      <c r="F364" s="65">
        <v>0.45833333333333331</v>
      </c>
      <c r="G364" s="65">
        <v>0.46875</v>
      </c>
      <c r="H364" s="65">
        <v>1.041666666666667E-2</v>
      </c>
      <c r="I364" s="101">
        <v>45925</v>
      </c>
      <c r="J364" s="101">
        <v>45925</v>
      </c>
      <c r="K364" s="63" t="s">
        <v>119</v>
      </c>
      <c r="L364" s="63" t="s">
        <v>77</v>
      </c>
      <c r="M364" s="63"/>
      <c r="N364" s="63" t="s">
        <v>211</v>
      </c>
      <c r="O364" s="63" t="s">
        <v>122</v>
      </c>
      <c r="P364" s="63" t="s">
        <v>7</v>
      </c>
      <c r="Q364" s="66" t="s">
        <v>593</v>
      </c>
      <c r="R364" s="66" t="s">
        <v>158</v>
      </c>
    </row>
    <row r="365" spans="2:18" ht="30.75" customHeight="1">
      <c r="B365" s="63" t="str">
        <f t="shared" si="5"/>
        <v>No362</v>
      </c>
      <c r="C365" s="63" t="s">
        <v>142</v>
      </c>
      <c r="D365" s="63" t="s">
        <v>155</v>
      </c>
      <c r="E365" s="101">
        <v>45929</v>
      </c>
      <c r="F365" s="65">
        <v>0.59375</v>
      </c>
      <c r="G365" s="65">
        <v>0.625</v>
      </c>
      <c r="H365" s="65">
        <v>6.9444444444444441E-3</v>
      </c>
      <c r="I365" s="101">
        <v>45929</v>
      </c>
      <c r="J365" s="101">
        <v>45929</v>
      </c>
      <c r="K365" s="63" t="s">
        <v>119</v>
      </c>
      <c r="L365" s="63" t="s">
        <v>159</v>
      </c>
      <c r="M365" s="63"/>
      <c r="N365" s="63" t="s">
        <v>288</v>
      </c>
      <c r="O365" s="63" t="s">
        <v>122</v>
      </c>
      <c r="P365" s="63" t="s">
        <v>7</v>
      </c>
      <c r="Q365" s="66" t="s">
        <v>482</v>
      </c>
      <c r="R365" s="66" t="s">
        <v>158</v>
      </c>
    </row>
    <row r="366" spans="2:18" ht="30.75" customHeight="1">
      <c r="B366" s="63" t="str">
        <f t="shared" si="5"/>
        <v>No363</v>
      </c>
      <c r="C366" s="63" t="s">
        <v>142</v>
      </c>
      <c r="D366" s="63" t="s">
        <v>155</v>
      </c>
      <c r="E366" s="101">
        <v>45929</v>
      </c>
      <c r="F366" s="65">
        <v>0.70833333333333337</v>
      </c>
      <c r="G366" s="65">
        <v>0.71875</v>
      </c>
      <c r="H366" s="65">
        <v>6.9444444444444441E-3</v>
      </c>
      <c r="I366" s="101">
        <v>45929</v>
      </c>
      <c r="J366" s="101">
        <v>45929</v>
      </c>
      <c r="K366" s="63" t="s">
        <v>119</v>
      </c>
      <c r="L366" s="63" t="s">
        <v>159</v>
      </c>
      <c r="M366" s="63"/>
      <c r="N366" s="63" t="s">
        <v>215</v>
      </c>
      <c r="O366" s="63" t="s">
        <v>122</v>
      </c>
      <c r="P366" s="63" t="s">
        <v>7</v>
      </c>
      <c r="Q366" s="66" t="s">
        <v>246</v>
      </c>
      <c r="R366" s="66" t="s">
        <v>158</v>
      </c>
    </row>
    <row r="367" spans="2:18" ht="30.75" customHeight="1">
      <c r="B367" s="63" t="str">
        <f t="shared" si="5"/>
        <v>No364</v>
      </c>
      <c r="C367" s="63" t="s">
        <v>142</v>
      </c>
      <c r="D367" s="63" t="s">
        <v>155</v>
      </c>
      <c r="E367" s="101">
        <v>45929</v>
      </c>
      <c r="F367" s="65">
        <v>0.70833333333333337</v>
      </c>
      <c r="G367" s="65">
        <v>0.72222222222222221</v>
      </c>
      <c r="H367" s="65">
        <v>6.9444444444444441E-3</v>
      </c>
      <c r="I367" s="101">
        <v>45925</v>
      </c>
      <c r="J367" s="101">
        <v>45925</v>
      </c>
      <c r="K367" s="63" t="s">
        <v>119</v>
      </c>
      <c r="L367" s="63" t="s">
        <v>41</v>
      </c>
      <c r="M367" s="63"/>
      <c r="N367" s="63" t="s">
        <v>277</v>
      </c>
      <c r="O367" s="63" t="s">
        <v>122</v>
      </c>
      <c r="P367" s="63" t="s">
        <v>7</v>
      </c>
      <c r="Q367" s="66" t="s">
        <v>385</v>
      </c>
      <c r="R367" s="66" t="s">
        <v>158</v>
      </c>
    </row>
    <row r="368" spans="2:18" ht="30.75" customHeight="1">
      <c r="B368" s="63" t="str">
        <f t="shared" si="5"/>
        <v>No365</v>
      </c>
      <c r="C368" s="63" t="s">
        <v>142</v>
      </c>
      <c r="D368" s="63" t="s">
        <v>155</v>
      </c>
      <c r="E368" s="101">
        <v>45930</v>
      </c>
      <c r="F368" s="65">
        <v>0.4861111111111111</v>
      </c>
      <c r="G368" s="65">
        <v>0.49305555555555558</v>
      </c>
      <c r="H368" s="65">
        <v>6.9444444444444441E-3</v>
      </c>
      <c r="I368" s="101">
        <v>45930</v>
      </c>
      <c r="J368" s="101">
        <v>45930</v>
      </c>
      <c r="K368" s="63" t="s">
        <v>119</v>
      </c>
      <c r="L368" s="63" t="s">
        <v>77</v>
      </c>
      <c r="M368" s="63"/>
      <c r="N368" s="63" t="s">
        <v>539</v>
      </c>
      <c r="O368" s="63" t="s">
        <v>122</v>
      </c>
      <c r="P368" s="63" t="s">
        <v>7</v>
      </c>
      <c r="Q368" s="66" t="s">
        <v>322</v>
      </c>
      <c r="R368" s="66" t="s">
        <v>158</v>
      </c>
    </row>
    <row r="369" spans="2:18" ht="30.75" customHeight="1">
      <c r="B369" s="63" t="str">
        <f t="shared" si="5"/>
        <v>No366</v>
      </c>
      <c r="C369" s="63" t="s">
        <v>142</v>
      </c>
      <c r="D369" s="63" t="s">
        <v>155</v>
      </c>
      <c r="E369" s="101">
        <v>45930</v>
      </c>
      <c r="F369" s="65">
        <v>0.5625</v>
      </c>
      <c r="G369" s="65">
        <v>0.76041666666666663</v>
      </c>
      <c r="H369" s="65">
        <v>4.1666666666666657E-2</v>
      </c>
      <c r="I369" s="101">
        <v>45930</v>
      </c>
      <c r="J369" s="101">
        <v>45930</v>
      </c>
      <c r="K369" s="63" t="s">
        <v>119</v>
      </c>
      <c r="L369" s="63" t="s">
        <v>77</v>
      </c>
      <c r="M369" s="63"/>
      <c r="N369" s="63" t="s">
        <v>144</v>
      </c>
      <c r="O369" s="63" t="s">
        <v>122</v>
      </c>
      <c r="P369" s="63" t="s">
        <v>7</v>
      </c>
      <c r="Q369" s="66" t="s">
        <v>623</v>
      </c>
      <c r="R369" s="66" t="s">
        <v>158</v>
      </c>
    </row>
    <row r="370" spans="2:18" ht="30.75" customHeight="1">
      <c r="B370" s="63" t="str">
        <f t="shared" si="5"/>
        <v>No367</v>
      </c>
      <c r="C370" s="63" t="s">
        <v>142</v>
      </c>
      <c r="D370" s="63" t="s">
        <v>155</v>
      </c>
      <c r="E370" s="101">
        <v>45930</v>
      </c>
      <c r="F370" s="65">
        <v>0.61111111111111116</v>
      </c>
      <c r="G370" s="65">
        <v>0.6875</v>
      </c>
      <c r="H370" s="65">
        <v>1.388888888888889E-2</v>
      </c>
      <c r="I370" s="101">
        <v>45930</v>
      </c>
      <c r="J370" s="101">
        <v>45930</v>
      </c>
      <c r="K370" s="63" t="s">
        <v>119</v>
      </c>
      <c r="L370" s="63" t="s">
        <v>176</v>
      </c>
      <c r="M370" s="63"/>
      <c r="N370" s="63" t="s">
        <v>156</v>
      </c>
      <c r="O370" s="63" t="s">
        <v>122</v>
      </c>
      <c r="P370" s="63" t="s">
        <v>7</v>
      </c>
      <c r="Q370" s="66" t="s">
        <v>617</v>
      </c>
      <c r="R370" s="66" t="s">
        <v>158</v>
      </c>
    </row>
    <row r="371" spans="2:18" ht="18.75" customHeight="1">
      <c r="B371" s="63" t="str">
        <f t="shared" si="5"/>
        <v>No368</v>
      </c>
      <c r="C371" s="63" t="s">
        <v>166</v>
      </c>
      <c r="D371" s="63" t="s">
        <v>4</v>
      </c>
      <c r="E371" s="101">
        <v>45933</v>
      </c>
      <c r="F371" s="65">
        <v>0.375</v>
      </c>
      <c r="G371" s="65">
        <v>0.5</v>
      </c>
      <c r="H371" s="65">
        <v>0.125</v>
      </c>
      <c r="I371" s="101">
        <v>45933</v>
      </c>
      <c r="J371" s="101">
        <v>45933</v>
      </c>
      <c r="K371" s="63" t="s">
        <v>61</v>
      </c>
      <c r="L371" s="63" t="s">
        <v>26</v>
      </c>
      <c r="M371" s="63"/>
      <c r="N371" s="63" t="s">
        <v>626</v>
      </c>
      <c r="O371" s="63" t="s">
        <v>122</v>
      </c>
      <c r="P371" s="63" t="s">
        <v>7</v>
      </c>
      <c r="Q371" s="66" t="s">
        <v>627</v>
      </c>
      <c r="R371" s="66" t="s">
        <v>628</v>
      </c>
    </row>
    <row r="372" spans="2:18" ht="18.75" customHeight="1">
      <c r="B372" s="63" t="str">
        <f t="shared" si="5"/>
        <v>No369</v>
      </c>
      <c r="C372" s="63" t="s">
        <v>3</v>
      </c>
      <c r="D372" s="63" t="s">
        <v>4</v>
      </c>
      <c r="E372" s="101">
        <v>45933</v>
      </c>
      <c r="F372" s="65">
        <v>0.41666666666666669</v>
      </c>
      <c r="G372" s="65">
        <v>0.58333333333333337</v>
      </c>
      <c r="H372" s="65">
        <v>0.16666666666666671</v>
      </c>
      <c r="I372" s="101">
        <v>45933</v>
      </c>
      <c r="J372" s="101">
        <v>45933</v>
      </c>
      <c r="K372" s="63" t="s">
        <v>40</v>
      </c>
      <c r="L372" s="63" t="s">
        <v>41</v>
      </c>
      <c r="M372" s="63"/>
      <c r="N372" s="63" t="s">
        <v>629</v>
      </c>
      <c r="O372" s="63" t="s">
        <v>6</v>
      </c>
      <c r="P372" s="63" t="s">
        <v>7</v>
      </c>
      <c r="Q372" s="66" t="s">
        <v>630</v>
      </c>
      <c r="R372" s="66" t="s">
        <v>631</v>
      </c>
    </row>
    <row r="373" spans="2:18" ht="25.5" customHeight="1">
      <c r="B373" s="63" t="str">
        <f t="shared" si="5"/>
        <v>No370</v>
      </c>
      <c r="C373" s="63" t="s">
        <v>166</v>
      </c>
      <c r="D373" s="63" t="s">
        <v>4</v>
      </c>
      <c r="E373" s="101">
        <v>45933</v>
      </c>
      <c r="F373" s="65">
        <v>0.78125</v>
      </c>
      <c r="G373" s="65">
        <v>0.83333333333333337</v>
      </c>
      <c r="H373" s="65">
        <v>5.2083333333333343E-2</v>
      </c>
      <c r="I373" s="101">
        <v>45933</v>
      </c>
      <c r="J373" s="101">
        <v>45933</v>
      </c>
      <c r="K373" s="63" t="s">
        <v>40</v>
      </c>
      <c r="L373" s="63" t="s">
        <v>26</v>
      </c>
      <c r="M373" s="63"/>
      <c r="N373" s="63"/>
      <c r="O373" s="63" t="s">
        <v>122</v>
      </c>
      <c r="P373" s="63" t="s">
        <v>7</v>
      </c>
      <c r="Q373" s="66" t="s">
        <v>632</v>
      </c>
      <c r="R373" s="66" t="s">
        <v>633</v>
      </c>
    </row>
    <row r="374" spans="2:18" ht="18.75" customHeight="1">
      <c r="B374" s="63" t="str">
        <f t="shared" si="5"/>
        <v>No371</v>
      </c>
      <c r="C374" s="63" t="s">
        <v>166</v>
      </c>
      <c r="D374" s="63" t="s">
        <v>4</v>
      </c>
      <c r="E374" s="101">
        <v>45934</v>
      </c>
      <c r="F374" s="65">
        <v>0.375</v>
      </c>
      <c r="G374" s="65">
        <v>0.75</v>
      </c>
      <c r="H374" s="65">
        <v>0.375</v>
      </c>
      <c r="I374" s="101">
        <v>45934</v>
      </c>
      <c r="J374" s="101">
        <v>45934</v>
      </c>
      <c r="K374" s="63" t="s">
        <v>20</v>
      </c>
      <c r="L374" s="63" t="s">
        <v>26</v>
      </c>
      <c r="M374" s="63"/>
      <c r="N374" s="63" t="s">
        <v>629</v>
      </c>
      <c r="O374" s="63" t="s">
        <v>6</v>
      </c>
      <c r="P374" s="63" t="s">
        <v>7</v>
      </c>
      <c r="Q374" s="66" t="s">
        <v>634</v>
      </c>
      <c r="R374" s="66" t="s">
        <v>635</v>
      </c>
    </row>
    <row r="375" spans="2:18" ht="18.75" customHeight="1">
      <c r="B375" s="63" t="str">
        <f t="shared" si="5"/>
        <v>No372</v>
      </c>
      <c r="C375" s="63" t="s">
        <v>104</v>
      </c>
      <c r="D375" s="63" t="s">
        <v>4</v>
      </c>
      <c r="E375" s="101">
        <v>45937</v>
      </c>
      <c r="F375" s="65">
        <v>0.375</v>
      </c>
      <c r="G375" s="65">
        <v>0.39583333333333331</v>
      </c>
      <c r="H375" s="65">
        <v>2.0833333333333329E-2</v>
      </c>
      <c r="I375" s="101">
        <v>45937</v>
      </c>
      <c r="J375" s="101">
        <v>45937</v>
      </c>
      <c r="K375" s="63" t="s">
        <v>20</v>
      </c>
      <c r="L375" s="63" t="s">
        <v>41</v>
      </c>
      <c r="M375" s="63"/>
      <c r="N375" s="63" t="s">
        <v>636</v>
      </c>
      <c r="O375" s="63" t="s">
        <v>6</v>
      </c>
      <c r="P375" s="63" t="s">
        <v>7</v>
      </c>
      <c r="Q375" s="66" t="s">
        <v>637</v>
      </c>
      <c r="R375" s="66" t="s">
        <v>638</v>
      </c>
    </row>
    <row r="376" spans="2:18" ht="18.75" customHeight="1">
      <c r="B376" s="63" t="str">
        <f t="shared" si="5"/>
        <v>No373</v>
      </c>
      <c r="C376" s="63" t="s">
        <v>3</v>
      </c>
      <c r="D376" s="63" t="s">
        <v>4</v>
      </c>
      <c r="E376" s="101">
        <v>45937</v>
      </c>
      <c r="F376" s="65">
        <v>0.70833333333333337</v>
      </c>
      <c r="G376" s="65">
        <v>0.71875</v>
      </c>
      <c r="H376" s="65">
        <v>1.041666666666667E-2</v>
      </c>
      <c r="I376" s="101">
        <v>45937</v>
      </c>
      <c r="J376" s="101">
        <v>45937</v>
      </c>
      <c r="K376" s="63" t="s">
        <v>20</v>
      </c>
      <c r="L376" s="63" t="s">
        <v>41</v>
      </c>
      <c r="M376" s="63"/>
      <c r="N376" s="63" t="s">
        <v>163</v>
      </c>
      <c r="O376" s="63" t="s">
        <v>6</v>
      </c>
      <c r="P376" s="63" t="s">
        <v>7</v>
      </c>
      <c r="Q376" s="66" t="s">
        <v>639</v>
      </c>
      <c r="R376" s="66" t="s">
        <v>640</v>
      </c>
    </row>
    <row r="377" spans="2:18" ht="18.75" customHeight="1">
      <c r="B377" s="63" t="str">
        <f t="shared" si="5"/>
        <v>No374</v>
      </c>
      <c r="C377" s="63" t="s">
        <v>166</v>
      </c>
      <c r="D377" s="63" t="s">
        <v>4</v>
      </c>
      <c r="E377" s="101">
        <v>45938</v>
      </c>
      <c r="F377" s="65">
        <v>0.41666666666666669</v>
      </c>
      <c r="G377" s="65">
        <v>0.45833333333333331</v>
      </c>
      <c r="H377" s="65">
        <v>4.1666666666666657E-2</v>
      </c>
      <c r="I377" s="101">
        <v>45938</v>
      </c>
      <c r="J377" s="101">
        <v>45938</v>
      </c>
      <c r="K377" s="63" t="s">
        <v>20</v>
      </c>
      <c r="L377" s="63"/>
      <c r="M377" s="63"/>
      <c r="N377" s="63"/>
      <c r="O377" s="63" t="s">
        <v>6</v>
      </c>
      <c r="P377" s="63" t="s">
        <v>7</v>
      </c>
      <c r="Q377" s="66" t="s">
        <v>641</v>
      </c>
      <c r="R377" s="66" t="s">
        <v>642</v>
      </c>
    </row>
    <row r="378" spans="2:18" ht="31.5" customHeight="1">
      <c r="B378" s="63" t="str">
        <f t="shared" si="5"/>
        <v>No375</v>
      </c>
      <c r="C378" s="63" t="s">
        <v>166</v>
      </c>
      <c r="D378" s="63" t="s">
        <v>4</v>
      </c>
      <c r="E378" s="101">
        <v>45938</v>
      </c>
      <c r="F378" s="65">
        <v>0.41666666666666669</v>
      </c>
      <c r="G378" s="65">
        <v>0.45833333333333331</v>
      </c>
      <c r="H378" s="65">
        <v>4.1666666666666657E-2</v>
      </c>
      <c r="I378" s="101">
        <v>45938</v>
      </c>
      <c r="J378" s="101">
        <v>45938</v>
      </c>
      <c r="K378" s="63" t="s">
        <v>20</v>
      </c>
      <c r="L378" s="63" t="s">
        <v>26</v>
      </c>
      <c r="M378" s="63"/>
      <c r="N378" s="63" t="s">
        <v>636</v>
      </c>
      <c r="O378" s="63" t="s">
        <v>6</v>
      </c>
      <c r="P378" s="63" t="s">
        <v>7</v>
      </c>
      <c r="Q378" s="66" t="s">
        <v>643</v>
      </c>
      <c r="R378" s="66" t="s">
        <v>644</v>
      </c>
    </row>
    <row r="379" spans="2:18" ht="27" customHeight="1">
      <c r="B379" s="63" t="str">
        <f t="shared" si="5"/>
        <v>No376</v>
      </c>
      <c r="C379" s="63" t="s">
        <v>142</v>
      </c>
      <c r="D379" s="63" t="s">
        <v>4</v>
      </c>
      <c r="E379" s="101">
        <v>45942</v>
      </c>
      <c r="F379" s="65">
        <v>0.39583333333333331</v>
      </c>
      <c r="G379" s="65">
        <v>0.5</v>
      </c>
      <c r="H379" s="65">
        <v>0.1041666666666667</v>
      </c>
      <c r="I379" s="101">
        <v>45942</v>
      </c>
      <c r="J379" s="101">
        <v>45942</v>
      </c>
      <c r="K379" s="63" t="s">
        <v>40</v>
      </c>
      <c r="L379" s="63" t="s">
        <v>41</v>
      </c>
      <c r="M379" s="63"/>
      <c r="N379" s="63" t="s">
        <v>645</v>
      </c>
      <c r="O379" s="63" t="s">
        <v>6</v>
      </c>
      <c r="P379" s="63" t="s">
        <v>7</v>
      </c>
      <c r="Q379" s="66" t="s">
        <v>646</v>
      </c>
      <c r="R379" s="66" t="s">
        <v>647</v>
      </c>
    </row>
    <row r="380" spans="2:18" ht="18.75" customHeight="1">
      <c r="B380" s="63" t="str">
        <f t="shared" si="5"/>
        <v>No377</v>
      </c>
      <c r="C380" s="63" t="s">
        <v>166</v>
      </c>
      <c r="D380" s="63" t="s">
        <v>4</v>
      </c>
      <c r="E380" s="101">
        <v>45944</v>
      </c>
      <c r="F380" s="65">
        <v>0.41666666666666669</v>
      </c>
      <c r="G380" s="65">
        <v>0.58333333333333337</v>
      </c>
      <c r="H380" s="65">
        <v>0.16666666666666671</v>
      </c>
      <c r="I380" s="101">
        <v>45944</v>
      </c>
      <c r="J380" s="101">
        <v>45944</v>
      </c>
      <c r="K380" s="63" t="s">
        <v>20</v>
      </c>
      <c r="L380" s="63" t="s">
        <v>311</v>
      </c>
      <c r="M380" s="63"/>
      <c r="N380" s="63" t="s">
        <v>626</v>
      </c>
      <c r="O380" s="63" t="s">
        <v>6</v>
      </c>
      <c r="P380" s="63" t="s">
        <v>7</v>
      </c>
      <c r="Q380" s="66" t="s">
        <v>648</v>
      </c>
      <c r="R380" s="66" t="s">
        <v>649</v>
      </c>
    </row>
    <row r="381" spans="2:18" ht="27" customHeight="1">
      <c r="B381" s="63" t="str">
        <f t="shared" si="5"/>
        <v>No378</v>
      </c>
      <c r="C381" s="63" t="s">
        <v>142</v>
      </c>
      <c r="D381" s="63" t="s">
        <v>4</v>
      </c>
      <c r="E381" s="101">
        <v>45946</v>
      </c>
      <c r="F381" s="65">
        <v>0.70833333333333337</v>
      </c>
      <c r="G381" s="65">
        <v>0.75</v>
      </c>
      <c r="H381" s="65">
        <v>4.1666666666666657E-2</v>
      </c>
      <c r="I381" s="101">
        <v>45946</v>
      </c>
      <c r="J381" s="101">
        <v>45946</v>
      </c>
      <c r="K381" s="63" t="s">
        <v>40</v>
      </c>
      <c r="L381" s="63" t="s">
        <v>41</v>
      </c>
      <c r="M381" s="63"/>
      <c r="N381" s="63" t="s">
        <v>645</v>
      </c>
      <c r="O381" s="63" t="s">
        <v>6</v>
      </c>
      <c r="P381" s="63" t="s">
        <v>7</v>
      </c>
      <c r="Q381" s="66" t="s">
        <v>650</v>
      </c>
      <c r="R381" s="66" t="s">
        <v>647</v>
      </c>
    </row>
    <row r="382" spans="2:18" ht="18.75" customHeight="1">
      <c r="B382" s="63" t="str">
        <f t="shared" si="5"/>
        <v>No379</v>
      </c>
      <c r="C382" s="63" t="s">
        <v>104</v>
      </c>
      <c r="D382" s="63" t="s">
        <v>4</v>
      </c>
      <c r="E382" s="101">
        <v>45947</v>
      </c>
      <c r="F382" s="65">
        <v>0.625</v>
      </c>
      <c r="G382" s="65">
        <v>0.75</v>
      </c>
      <c r="H382" s="65">
        <v>0.125</v>
      </c>
      <c r="I382" s="101">
        <v>45947</v>
      </c>
      <c r="J382" s="101">
        <v>45947</v>
      </c>
      <c r="K382" s="63" t="s">
        <v>20</v>
      </c>
      <c r="L382" s="63" t="s">
        <v>111</v>
      </c>
      <c r="M382" s="63"/>
      <c r="N382" s="63" t="s">
        <v>321</v>
      </c>
      <c r="O382" s="63" t="s">
        <v>6</v>
      </c>
      <c r="P382" s="63" t="s">
        <v>614</v>
      </c>
      <c r="Q382" s="66" t="s">
        <v>653</v>
      </c>
      <c r="R382" s="66" t="s">
        <v>654</v>
      </c>
    </row>
    <row r="383" spans="2:18" ht="18.75" customHeight="1">
      <c r="B383" s="63" t="str">
        <f t="shared" si="5"/>
        <v>No380</v>
      </c>
      <c r="C383" s="63" t="s">
        <v>3</v>
      </c>
      <c r="D383" s="63" t="s">
        <v>4</v>
      </c>
      <c r="E383" s="101">
        <v>45947</v>
      </c>
      <c r="F383" s="65">
        <v>0.625</v>
      </c>
      <c r="G383" s="65">
        <v>0.66666666666666663</v>
      </c>
      <c r="H383" s="65">
        <v>4.1666666666666657E-2</v>
      </c>
      <c r="I383" s="101">
        <v>45947</v>
      </c>
      <c r="J383" s="101">
        <v>45947</v>
      </c>
      <c r="K383" s="63" t="s">
        <v>20</v>
      </c>
      <c r="L383" s="63" t="s">
        <v>311</v>
      </c>
      <c r="M383" s="63"/>
      <c r="N383" s="63"/>
      <c r="O383" s="63" t="s">
        <v>6</v>
      </c>
      <c r="P383" s="63" t="s">
        <v>7</v>
      </c>
      <c r="Q383" s="66" t="s">
        <v>651</v>
      </c>
      <c r="R383" s="66" t="s">
        <v>652</v>
      </c>
    </row>
    <row r="384" spans="2:18" ht="18.75" customHeight="1">
      <c r="B384" s="63" t="str">
        <f t="shared" si="5"/>
        <v>No381</v>
      </c>
      <c r="C384" s="63" t="s">
        <v>166</v>
      </c>
      <c r="D384" s="63" t="s">
        <v>4</v>
      </c>
      <c r="E384" s="101">
        <v>45951</v>
      </c>
      <c r="F384" s="65">
        <v>0.58333333333333337</v>
      </c>
      <c r="G384" s="65">
        <v>0.66666666666666663</v>
      </c>
      <c r="H384" s="65">
        <v>8.3333333333333329E-2</v>
      </c>
      <c r="I384" s="101">
        <v>45951</v>
      </c>
      <c r="J384" s="101">
        <v>45951</v>
      </c>
      <c r="K384" s="63" t="s">
        <v>20</v>
      </c>
      <c r="L384" s="63" t="s">
        <v>26</v>
      </c>
      <c r="M384" s="63"/>
      <c r="N384" s="63"/>
      <c r="O384" s="63" t="s">
        <v>6</v>
      </c>
      <c r="P384" s="63" t="s">
        <v>7</v>
      </c>
      <c r="Q384" s="66" t="s">
        <v>655</v>
      </c>
      <c r="R384" s="66" t="s">
        <v>656</v>
      </c>
    </row>
    <row r="385" spans="2:18" ht="18.75" customHeight="1">
      <c r="B385" s="63" t="str">
        <f t="shared" si="5"/>
        <v>No382</v>
      </c>
      <c r="C385" s="63" t="s">
        <v>166</v>
      </c>
      <c r="D385" s="63" t="s">
        <v>4</v>
      </c>
      <c r="E385" s="101">
        <v>45952</v>
      </c>
      <c r="F385" s="65">
        <v>0.375</v>
      </c>
      <c r="G385" s="65">
        <v>0.39583333333333331</v>
      </c>
      <c r="H385" s="65">
        <v>2.0833333333333329E-2</v>
      </c>
      <c r="I385" s="101">
        <v>45952</v>
      </c>
      <c r="J385" s="101">
        <v>45952</v>
      </c>
      <c r="K385" s="63" t="s">
        <v>61</v>
      </c>
      <c r="L385" s="63" t="s">
        <v>26</v>
      </c>
      <c r="M385" s="63"/>
      <c r="N385" s="63" t="s">
        <v>155</v>
      </c>
      <c r="O385" s="63" t="s">
        <v>6</v>
      </c>
      <c r="P385" s="63" t="s">
        <v>7</v>
      </c>
      <c r="Q385" s="66" t="s">
        <v>657</v>
      </c>
      <c r="R385" s="66" t="s">
        <v>658</v>
      </c>
    </row>
    <row r="386" spans="2:18" ht="29.25" customHeight="1">
      <c r="B386" s="63" t="str">
        <f t="shared" si="5"/>
        <v>No383</v>
      </c>
      <c r="C386" s="63" t="s">
        <v>3</v>
      </c>
      <c r="D386" s="63" t="s">
        <v>4</v>
      </c>
      <c r="E386" s="101">
        <v>45952</v>
      </c>
      <c r="F386" s="65">
        <v>0.54166666666666663</v>
      </c>
      <c r="G386" s="65">
        <v>0.58333333333333337</v>
      </c>
      <c r="H386" s="65">
        <v>4.1666666666666657E-2</v>
      </c>
      <c r="I386" s="101">
        <v>45952</v>
      </c>
      <c r="J386" s="101">
        <v>45952</v>
      </c>
      <c r="K386" s="63" t="s">
        <v>20</v>
      </c>
      <c r="L386" s="63" t="s">
        <v>26</v>
      </c>
      <c r="M386" s="63"/>
      <c r="N386" s="63"/>
      <c r="O386" s="63" t="s">
        <v>6</v>
      </c>
      <c r="P386" s="63" t="s">
        <v>614</v>
      </c>
      <c r="Q386" s="66" t="s">
        <v>659</v>
      </c>
      <c r="R386" s="66" t="s">
        <v>660</v>
      </c>
    </row>
    <row r="387" spans="2:18" ht="18.75" customHeight="1">
      <c r="B387" s="63" t="str">
        <f t="shared" si="5"/>
        <v>No384</v>
      </c>
      <c r="C387" s="63" t="s">
        <v>3</v>
      </c>
      <c r="D387" s="63" t="s">
        <v>4</v>
      </c>
      <c r="E387" s="101">
        <v>45953</v>
      </c>
      <c r="F387" s="65">
        <v>0.375</v>
      </c>
      <c r="G387" s="65">
        <v>0.39583333333333331</v>
      </c>
      <c r="H387" s="65">
        <v>2.0833333333333329E-2</v>
      </c>
      <c r="I387" s="101">
        <v>45953</v>
      </c>
      <c r="J387" s="101">
        <v>45953</v>
      </c>
      <c r="K387" s="63" t="s">
        <v>20</v>
      </c>
      <c r="L387" s="63" t="s">
        <v>120</v>
      </c>
      <c r="M387" s="63"/>
      <c r="N387" s="63" t="s">
        <v>661</v>
      </c>
      <c r="O387" s="63" t="s">
        <v>6</v>
      </c>
      <c r="P387" s="63" t="s">
        <v>7</v>
      </c>
      <c r="Q387" s="66" t="s">
        <v>662</v>
      </c>
      <c r="R387" s="66" t="s">
        <v>663</v>
      </c>
    </row>
    <row r="388" spans="2:18" ht="18.75" customHeight="1">
      <c r="B388" s="63" t="str">
        <f t="shared" ref="B388:B451" si="6">"No"&amp;ROW()-3</f>
        <v>No385</v>
      </c>
      <c r="C388" s="63" t="s">
        <v>3</v>
      </c>
      <c r="D388" s="63" t="s">
        <v>4</v>
      </c>
      <c r="E388" s="101">
        <v>45953</v>
      </c>
      <c r="F388" s="65">
        <v>0.375</v>
      </c>
      <c r="G388" s="65">
        <v>0.625</v>
      </c>
      <c r="H388" s="65">
        <v>0.25</v>
      </c>
      <c r="I388" s="101">
        <v>45953</v>
      </c>
      <c r="J388" s="101">
        <v>45953</v>
      </c>
      <c r="K388" s="63" t="s">
        <v>20</v>
      </c>
      <c r="L388" s="63" t="s">
        <v>26</v>
      </c>
      <c r="M388" s="63"/>
      <c r="N388" s="63" t="s">
        <v>626</v>
      </c>
      <c r="O388" s="63" t="s">
        <v>6</v>
      </c>
      <c r="P388" s="63" t="s">
        <v>7</v>
      </c>
      <c r="Q388" s="66" t="s">
        <v>664</v>
      </c>
      <c r="R388" s="66" t="s">
        <v>665</v>
      </c>
    </row>
    <row r="389" spans="2:18" ht="18.75" customHeight="1">
      <c r="B389" s="63" t="str">
        <f t="shared" si="6"/>
        <v>No386</v>
      </c>
      <c r="C389" s="63" t="s">
        <v>166</v>
      </c>
      <c r="D389" s="63" t="s">
        <v>4</v>
      </c>
      <c r="E389" s="101">
        <v>45953</v>
      </c>
      <c r="F389" s="65">
        <v>0.41666666666666669</v>
      </c>
      <c r="G389" s="65">
        <v>0.58333333333333337</v>
      </c>
      <c r="H389" s="65">
        <v>0.16666666666666671</v>
      </c>
      <c r="I389" s="101">
        <v>45953</v>
      </c>
      <c r="J389" s="101">
        <v>45953</v>
      </c>
      <c r="K389" s="63" t="s">
        <v>119</v>
      </c>
      <c r="L389" s="63" t="s">
        <v>26</v>
      </c>
      <c r="M389" s="63"/>
      <c r="N389" s="63"/>
      <c r="O389" s="63" t="s">
        <v>122</v>
      </c>
      <c r="P389" s="63" t="s">
        <v>614</v>
      </c>
      <c r="Q389" s="66" t="s">
        <v>666</v>
      </c>
      <c r="R389" s="66" t="s">
        <v>667</v>
      </c>
    </row>
    <row r="390" spans="2:18" ht="35.25" customHeight="1">
      <c r="B390" s="63" t="str">
        <f t="shared" si="6"/>
        <v>No387</v>
      </c>
      <c r="C390" s="63" t="s">
        <v>104</v>
      </c>
      <c r="D390" s="63" t="s">
        <v>4</v>
      </c>
      <c r="E390" s="101">
        <v>45954</v>
      </c>
      <c r="F390" s="65">
        <v>0.64583333333333337</v>
      </c>
      <c r="G390" s="65">
        <v>0.65625</v>
      </c>
      <c r="H390" s="65">
        <v>1.041666666666667E-2</v>
      </c>
      <c r="I390" s="101">
        <v>45954</v>
      </c>
      <c r="J390" s="101">
        <v>45954</v>
      </c>
      <c r="K390" s="63" t="s">
        <v>61</v>
      </c>
      <c r="L390" s="63" t="s">
        <v>26</v>
      </c>
      <c r="M390" s="63"/>
      <c r="N390" s="63"/>
      <c r="O390" s="63" t="s">
        <v>122</v>
      </c>
      <c r="P390" s="63" t="s">
        <v>7</v>
      </c>
      <c r="Q390" s="66" t="s">
        <v>668</v>
      </c>
      <c r="R390" s="66" t="s">
        <v>669</v>
      </c>
    </row>
    <row r="391" spans="2:18" ht="18.75" customHeight="1">
      <c r="B391" s="63" t="str">
        <f t="shared" si="6"/>
        <v>No388</v>
      </c>
      <c r="C391" s="63" t="s">
        <v>166</v>
      </c>
      <c r="D391" s="63" t="s">
        <v>4</v>
      </c>
      <c r="E391" s="101">
        <v>45954</v>
      </c>
      <c r="F391" s="65">
        <v>0.66666666666666663</v>
      </c>
      <c r="G391" s="65">
        <v>0.70833333333333337</v>
      </c>
      <c r="H391" s="65">
        <v>4.1666666666666657E-2</v>
      </c>
      <c r="I391" s="101">
        <v>45954</v>
      </c>
      <c r="J391" s="101">
        <v>45954</v>
      </c>
      <c r="K391" s="63" t="s">
        <v>119</v>
      </c>
      <c r="L391" s="63" t="s">
        <v>26</v>
      </c>
      <c r="M391" s="63"/>
      <c r="N391" s="63"/>
      <c r="O391" s="63" t="s">
        <v>122</v>
      </c>
      <c r="P391" s="63" t="s">
        <v>614</v>
      </c>
      <c r="Q391" s="66" t="s">
        <v>670</v>
      </c>
      <c r="R391" s="66" t="s">
        <v>667</v>
      </c>
    </row>
    <row r="392" spans="2:18" ht="33.75" customHeight="1">
      <c r="B392" s="63" t="str">
        <f t="shared" si="6"/>
        <v>No389</v>
      </c>
      <c r="C392" s="63" t="s">
        <v>3</v>
      </c>
      <c r="D392" s="63" t="s">
        <v>4</v>
      </c>
      <c r="E392" s="101">
        <v>45954</v>
      </c>
      <c r="F392" s="65">
        <v>0.66666666666666663</v>
      </c>
      <c r="G392" s="65">
        <v>0.77083333333333337</v>
      </c>
      <c r="H392" s="65">
        <v>0.1041666666666667</v>
      </c>
      <c r="I392" s="101">
        <v>45954</v>
      </c>
      <c r="J392" s="101">
        <v>45954</v>
      </c>
      <c r="K392" s="63" t="s">
        <v>40</v>
      </c>
      <c r="L392" s="63" t="s">
        <v>41</v>
      </c>
      <c r="M392" s="63"/>
      <c r="N392" s="63"/>
      <c r="O392" s="63" t="s">
        <v>122</v>
      </c>
      <c r="P392" s="63" t="s">
        <v>7</v>
      </c>
      <c r="Q392" s="66" t="s">
        <v>671</v>
      </c>
      <c r="R392" s="66" t="s">
        <v>672</v>
      </c>
    </row>
    <row r="393" spans="2:18" ht="18.75" customHeight="1">
      <c r="B393" s="63" t="str">
        <f t="shared" si="6"/>
        <v>No390</v>
      </c>
      <c r="C393" s="63" t="s">
        <v>142</v>
      </c>
      <c r="D393" s="63" t="s">
        <v>4</v>
      </c>
      <c r="E393" s="101">
        <v>45956</v>
      </c>
      <c r="F393" s="65">
        <v>0.58333333333333337</v>
      </c>
      <c r="G393" s="65">
        <v>0.66666666666666663</v>
      </c>
      <c r="H393" s="65">
        <v>8.3333333333333329E-2</v>
      </c>
      <c r="I393" s="101">
        <v>45956</v>
      </c>
      <c r="J393" s="101">
        <v>45956</v>
      </c>
      <c r="K393" s="63" t="s">
        <v>20</v>
      </c>
      <c r="L393" s="63" t="s">
        <v>77</v>
      </c>
      <c r="M393" s="63"/>
      <c r="N393" s="63" t="s">
        <v>673</v>
      </c>
      <c r="O393" s="63" t="s">
        <v>6</v>
      </c>
      <c r="P393" s="63" t="s">
        <v>7</v>
      </c>
      <c r="Q393" s="66" t="s">
        <v>674</v>
      </c>
      <c r="R393" s="66" t="s">
        <v>101</v>
      </c>
    </row>
    <row r="394" spans="2:18" ht="18.75" customHeight="1">
      <c r="B394" s="63" t="str">
        <f t="shared" si="6"/>
        <v>No391</v>
      </c>
      <c r="C394" s="63" t="s">
        <v>3</v>
      </c>
      <c r="D394" s="63" t="s">
        <v>4</v>
      </c>
      <c r="E394" s="101">
        <v>45957</v>
      </c>
      <c r="F394" s="65">
        <v>0.41666666666666669</v>
      </c>
      <c r="G394" s="65">
        <v>0.5</v>
      </c>
      <c r="H394" s="65">
        <v>8.3333333333333329E-2</v>
      </c>
      <c r="I394" s="101">
        <v>45957</v>
      </c>
      <c r="J394" s="101">
        <v>45957</v>
      </c>
      <c r="K394" s="63" t="s">
        <v>119</v>
      </c>
      <c r="L394" s="63" t="s">
        <v>159</v>
      </c>
      <c r="M394" s="63"/>
      <c r="N394" s="63" t="s">
        <v>675</v>
      </c>
      <c r="O394" s="63" t="s">
        <v>122</v>
      </c>
      <c r="P394" s="63" t="s">
        <v>7</v>
      </c>
      <c r="Q394" s="66" t="s">
        <v>676</v>
      </c>
      <c r="R394" s="66" t="s">
        <v>677</v>
      </c>
    </row>
    <row r="395" spans="2:18" ht="18.75" customHeight="1">
      <c r="B395" s="63" t="str">
        <f t="shared" si="6"/>
        <v>No392</v>
      </c>
      <c r="C395" s="63" t="s">
        <v>166</v>
      </c>
      <c r="D395" s="63" t="s">
        <v>4</v>
      </c>
      <c r="E395" s="101">
        <v>45957</v>
      </c>
      <c r="F395" s="65">
        <v>0.58333333333333337</v>
      </c>
      <c r="G395" s="65">
        <v>0.625</v>
      </c>
      <c r="H395" s="65">
        <v>4.1666666666666657E-2</v>
      </c>
      <c r="I395" s="101">
        <v>45957</v>
      </c>
      <c r="J395" s="101">
        <v>45957</v>
      </c>
      <c r="K395" s="63" t="s">
        <v>119</v>
      </c>
      <c r="L395" s="63"/>
      <c r="M395" s="63"/>
      <c r="N395" s="63"/>
      <c r="O395" s="63" t="s">
        <v>122</v>
      </c>
      <c r="P395" s="63" t="s">
        <v>614</v>
      </c>
      <c r="Q395" s="66" t="s">
        <v>678</v>
      </c>
      <c r="R395" s="66" t="s">
        <v>667</v>
      </c>
    </row>
    <row r="396" spans="2:18" ht="18.75" customHeight="1">
      <c r="B396" s="63" t="str">
        <f t="shared" si="6"/>
        <v>No393</v>
      </c>
      <c r="C396" s="63" t="s">
        <v>3</v>
      </c>
      <c r="D396" s="63" t="s">
        <v>4</v>
      </c>
      <c r="E396" s="101">
        <v>45957</v>
      </c>
      <c r="F396" s="65">
        <v>0.66666666666666663</v>
      </c>
      <c r="G396" s="65">
        <v>0.77083333333333337</v>
      </c>
      <c r="H396" s="65">
        <v>0.1041666666666667</v>
      </c>
      <c r="I396" s="101">
        <v>45957</v>
      </c>
      <c r="J396" s="101">
        <v>45957</v>
      </c>
      <c r="K396" s="63" t="s">
        <v>119</v>
      </c>
      <c r="L396" s="63" t="s">
        <v>77</v>
      </c>
      <c r="M396" s="63"/>
      <c r="N396" s="63" t="s">
        <v>679</v>
      </c>
      <c r="O396" s="63" t="s">
        <v>6</v>
      </c>
      <c r="P396" s="63" t="s">
        <v>7</v>
      </c>
      <c r="Q396" s="66" t="s">
        <v>680</v>
      </c>
      <c r="R396" s="66" t="s">
        <v>677</v>
      </c>
    </row>
    <row r="397" spans="2:18" ht="18.75" customHeight="1">
      <c r="B397" s="63" t="str">
        <f t="shared" si="6"/>
        <v>No394</v>
      </c>
      <c r="C397" s="63" t="s">
        <v>142</v>
      </c>
      <c r="D397" s="63" t="s">
        <v>4</v>
      </c>
      <c r="E397" s="101">
        <v>45958</v>
      </c>
      <c r="F397" s="65">
        <v>0.375</v>
      </c>
      <c r="G397" s="65">
        <v>0.4375</v>
      </c>
      <c r="H397" s="65">
        <v>6.25E-2</v>
      </c>
      <c r="I397" s="101">
        <v>45958</v>
      </c>
      <c r="J397" s="101">
        <v>45958</v>
      </c>
      <c r="K397" s="63" t="s">
        <v>20</v>
      </c>
      <c r="L397" s="63" t="s">
        <v>77</v>
      </c>
      <c r="M397" s="63"/>
      <c r="N397" s="63" t="s">
        <v>679</v>
      </c>
      <c r="O397" s="63" t="s">
        <v>6</v>
      </c>
      <c r="P397" s="63" t="s">
        <v>7</v>
      </c>
      <c r="Q397" s="66" t="s">
        <v>681</v>
      </c>
      <c r="R397" s="66" t="s">
        <v>682</v>
      </c>
    </row>
    <row r="398" spans="2:18" ht="18.75" customHeight="1">
      <c r="B398" s="63" t="str">
        <f t="shared" si="6"/>
        <v>No395</v>
      </c>
      <c r="C398" s="63" t="s">
        <v>3</v>
      </c>
      <c r="D398" s="63" t="s">
        <v>4</v>
      </c>
      <c r="E398" s="101">
        <v>45958</v>
      </c>
      <c r="F398" s="65">
        <v>0.4375</v>
      </c>
      <c r="G398" s="65">
        <v>0.45833333333333331</v>
      </c>
      <c r="H398" s="65">
        <v>2.0833333333333329E-2</v>
      </c>
      <c r="I398" s="101">
        <v>45958</v>
      </c>
      <c r="J398" s="101">
        <v>45958</v>
      </c>
      <c r="K398" s="63" t="s">
        <v>119</v>
      </c>
      <c r="L398" s="63" t="s">
        <v>159</v>
      </c>
      <c r="M398" s="63"/>
      <c r="N398" s="63" t="s">
        <v>675</v>
      </c>
      <c r="O398" s="63" t="s">
        <v>122</v>
      </c>
      <c r="P398" s="63" t="s">
        <v>7</v>
      </c>
      <c r="Q398" s="66" t="s">
        <v>683</v>
      </c>
      <c r="R398" s="66" t="s">
        <v>677</v>
      </c>
    </row>
    <row r="399" spans="2:18" ht="18.75" customHeight="1">
      <c r="B399" s="63" t="str">
        <f t="shared" si="6"/>
        <v>No396</v>
      </c>
      <c r="C399" s="63" t="s">
        <v>3</v>
      </c>
      <c r="D399" s="63" t="s">
        <v>4</v>
      </c>
      <c r="E399" s="101">
        <v>45958</v>
      </c>
      <c r="F399" s="65">
        <v>0.54166666666666663</v>
      </c>
      <c r="G399" s="65">
        <v>0.58333333333333337</v>
      </c>
      <c r="H399" s="65">
        <v>4.1666666666666657E-2</v>
      </c>
      <c r="I399" s="101">
        <v>45958</v>
      </c>
      <c r="J399" s="101">
        <v>45958</v>
      </c>
      <c r="K399" s="63" t="s">
        <v>95</v>
      </c>
      <c r="L399" s="63" t="s">
        <v>21</v>
      </c>
      <c r="M399" s="63"/>
      <c r="N399" s="63" t="s">
        <v>568</v>
      </c>
      <c r="O399" s="63" t="s">
        <v>6</v>
      </c>
      <c r="P399" s="63" t="s">
        <v>7</v>
      </c>
      <c r="Q399" s="66" t="s">
        <v>684</v>
      </c>
      <c r="R399" s="66" t="s">
        <v>685</v>
      </c>
    </row>
    <row r="400" spans="2:18" ht="18.75" customHeight="1">
      <c r="B400" s="63" t="str">
        <f t="shared" si="6"/>
        <v>No397</v>
      </c>
      <c r="C400" s="63" t="s">
        <v>166</v>
      </c>
      <c r="D400" s="63" t="s">
        <v>4</v>
      </c>
      <c r="E400" s="101">
        <v>45958</v>
      </c>
      <c r="F400" s="65">
        <v>0.58333333333333337</v>
      </c>
      <c r="G400" s="65">
        <v>0.59027777777777779</v>
      </c>
      <c r="H400" s="65">
        <v>6.9444444444444441E-3</v>
      </c>
      <c r="I400" s="101">
        <v>45958</v>
      </c>
      <c r="J400" s="101">
        <v>45958</v>
      </c>
      <c r="K400" s="63" t="s">
        <v>143</v>
      </c>
      <c r="L400" s="63" t="s">
        <v>26</v>
      </c>
      <c r="M400" s="63"/>
      <c r="N400" s="63"/>
      <c r="O400" s="63" t="s">
        <v>6</v>
      </c>
      <c r="P400" s="63" t="s">
        <v>7</v>
      </c>
      <c r="Q400" s="66" t="s">
        <v>686</v>
      </c>
      <c r="R400" s="66" t="s">
        <v>687</v>
      </c>
    </row>
    <row r="401" spans="2:18" ht="18.75" customHeight="1">
      <c r="B401" s="63" t="str">
        <f t="shared" si="6"/>
        <v>No398</v>
      </c>
      <c r="C401" s="63" t="s">
        <v>186</v>
      </c>
      <c r="D401" s="63" t="s">
        <v>4</v>
      </c>
      <c r="E401" s="101">
        <v>45958</v>
      </c>
      <c r="F401" s="65">
        <v>0.58333333333333337</v>
      </c>
      <c r="G401" s="65">
        <v>0.59722222222222221</v>
      </c>
      <c r="H401" s="65">
        <v>1.388888888888889E-2</v>
      </c>
      <c r="I401" s="101">
        <v>45958</v>
      </c>
      <c r="J401" s="101">
        <v>45958</v>
      </c>
      <c r="K401" s="63" t="s">
        <v>20</v>
      </c>
      <c r="L401" s="63" t="s">
        <v>159</v>
      </c>
      <c r="M401" s="63"/>
      <c r="N401" s="63" t="s">
        <v>402</v>
      </c>
      <c r="O401" s="63" t="s">
        <v>6</v>
      </c>
      <c r="P401" s="63" t="s">
        <v>7</v>
      </c>
      <c r="Q401" s="66" t="s">
        <v>688</v>
      </c>
      <c r="R401" s="66" t="s">
        <v>689</v>
      </c>
    </row>
    <row r="402" spans="2:18" ht="18.75" customHeight="1">
      <c r="B402" s="63" t="str">
        <f t="shared" si="6"/>
        <v>No399</v>
      </c>
      <c r="C402" s="63" t="s">
        <v>166</v>
      </c>
      <c r="D402" s="63" t="s">
        <v>4</v>
      </c>
      <c r="E402" s="101">
        <v>45958</v>
      </c>
      <c r="F402" s="65">
        <v>0.66666666666666663</v>
      </c>
      <c r="G402" s="65">
        <v>0.70833333333333337</v>
      </c>
      <c r="H402" s="65">
        <v>4.1666666666666657E-2</v>
      </c>
      <c r="I402" s="101">
        <v>45958</v>
      </c>
      <c r="J402" s="101">
        <v>45958</v>
      </c>
      <c r="K402" s="63" t="s">
        <v>61</v>
      </c>
      <c r="L402" s="63" t="s">
        <v>26</v>
      </c>
      <c r="M402" s="63"/>
      <c r="N402" s="63"/>
      <c r="O402" s="63" t="s">
        <v>122</v>
      </c>
      <c r="P402" s="63" t="s">
        <v>7</v>
      </c>
      <c r="Q402" s="66" t="s">
        <v>690</v>
      </c>
      <c r="R402" s="66" t="s">
        <v>101</v>
      </c>
    </row>
    <row r="403" spans="2:18" ht="18.75" customHeight="1">
      <c r="B403" s="63" t="str">
        <f t="shared" si="6"/>
        <v>No400</v>
      </c>
      <c r="C403" s="63" t="s">
        <v>142</v>
      </c>
      <c r="D403" s="63" t="s">
        <v>4</v>
      </c>
      <c r="E403" s="101">
        <v>45959</v>
      </c>
      <c r="F403" s="65">
        <v>0.54166666666666663</v>
      </c>
      <c r="G403" s="65">
        <v>0.5625</v>
      </c>
      <c r="H403" s="65">
        <v>2.0833333333333329E-2</v>
      </c>
      <c r="I403" s="101">
        <v>45959</v>
      </c>
      <c r="J403" s="101">
        <v>45959</v>
      </c>
      <c r="K403" s="63" t="s">
        <v>119</v>
      </c>
      <c r="L403" s="63" t="s">
        <v>26</v>
      </c>
      <c r="M403" s="63"/>
      <c r="N403" s="63"/>
      <c r="O403" s="63" t="s">
        <v>6</v>
      </c>
      <c r="P403" s="63" t="s">
        <v>7</v>
      </c>
      <c r="Q403" s="66" t="s">
        <v>691</v>
      </c>
      <c r="R403" s="66" t="s">
        <v>692</v>
      </c>
    </row>
    <row r="404" spans="2:18" ht="39" customHeight="1">
      <c r="B404" s="63" t="str">
        <f t="shared" si="6"/>
        <v>No401</v>
      </c>
      <c r="C404" s="63" t="s">
        <v>142</v>
      </c>
      <c r="D404" s="63" t="s">
        <v>155</v>
      </c>
      <c r="E404" s="101">
        <v>45931</v>
      </c>
      <c r="F404" s="65">
        <v>0.4375</v>
      </c>
      <c r="G404" s="65">
        <v>0.45833333333333331</v>
      </c>
      <c r="H404" s="65">
        <v>1.041666666666667E-2</v>
      </c>
      <c r="I404" s="101">
        <v>45931</v>
      </c>
      <c r="J404" s="101">
        <v>45931</v>
      </c>
      <c r="K404" s="63" t="s">
        <v>119</v>
      </c>
      <c r="L404" s="63" t="s">
        <v>77</v>
      </c>
      <c r="M404" s="63"/>
      <c r="N404" s="63" t="s">
        <v>539</v>
      </c>
      <c r="O404" s="63" t="s">
        <v>122</v>
      </c>
      <c r="P404" s="63" t="s">
        <v>7</v>
      </c>
      <c r="Q404" s="66" t="s">
        <v>322</v>
      </c>
      <c r="R404" s="66" t="s">
        <v>158</v>
      </c>
    </row>
    <row r="405" spans="2:18" ht="39" customHeight="1">
      <c r="B405" s="63" t="str">
        <f t="shared" si="6"/>
        <v>No402</v>
      </c>
      <c r="C405" s="63" t="s">
        <v>142</v>
      </c>
      <c r="D405" s="63" t="s">
        <v>155</v>
      </c>
      <c r="E405" s="101">
        <v>45931</v>
      </c>
      <c r="F405" s="65">
        <v>0.66666666666666663</v>
      </c>
      <c r="G405" s="65">
        <v>0.67708333333333337</v>
      </c>
      <c r="H405" s="65">
        <v>6.9444444444444441E-3</v>
      </c>
      <c r="I405" s="101">
        <v>45931</v>
      </c>
      <c r="J405" s="101">
        <v>45931</v>
      </c>
      <c r="K405" s="63" t="s">
        <v>45</v>
      </c>
      <c r="L405" s="63" t="s">
        <v>111</v>
      </c>
      <c r="M405" s="63"/>
      <c r="N405" s="63" t="s">
        <v>229</v>
      </c>
      <c r="O405" s="63" t="s">
        <v>122</v>
      </c>
      <c r="P405" s="63" t="s">
        <v>7</v>
      </c>
      <c r="Q405" s="66" t="s">
        <v>624</v>
      </c>
      <c r="R405" s="66" t="s">
        <v>625</v>
      </c>
    </row>
    <row r="406" spans="2:18" ht="39" customHeight="1">
      <c r="B406" s="63" t="str">
        <f t="shared" si="6"/>
        <v>No403</v>
      </c>
      <c r="C406" s="63" t="s">
        <v>142</v>
      </c>
      <c r="D406" s="63" t="s">
        <v>155</v>
      </c>
      <c r="E406" s="101">
        <v>45932</v>
      </c>
      <c r="F406" s="65">
        <v>0.63888888888888884</v>
      </c>
      <c r="G406" s="65">
        <v>0.67361111111111116</v>
      </c>
      <c r="H406" s="65">
        <v>6.9444444444444441E-3</v>
      </c>
      <c r="I406" s="101">
        <v>45932</v>
      </c>
      <c r="J406" s="101">
        <v>45932</v>
      </c>
      <c r="K406" s="63" t="s">
        <v>119</v>
      </c>
      <c r="L406" s="63" t="s">
        <v>41</v>
      </c>
      <c r="M406" s="63"/>
      <c r="N406" s="63" t="s">
        <v>277</v>
      </c>
      <c r="O406" s="63" t="s">
        <v>122</v>
      </c>
      <c r="P406" s="63" t="s">
        <v>7</v>
      </c>
      <c r="Q406" s="66" t="s">
        <v>385</v>
      </c>
      <c r="R406" s="66" t="s">
        <v>158</v>
      </c>
    </row>
    <row r="407" spans="2:18" ht="39" customHeight="1">
      <c r="B407" s="63" t="str">
        <f t="shared" si="6"/>
        <v>No404</v>
      </c>
      <c r="C407" s="63" t="s">
        <v>142</v>
      </c>
      <c r="D407" s="63" t="s">
        <v>155</v>
      </c>
      <c r="E407" s="101">
        <v>45936</v>
      </c>
      <c r="F407" s="65">
        <v>0.44791666666666669</v>
      </c>
      <c r="G407" s="65">
        <v>0.45833333333333331</v>
      </c>
      <c r="H407" s="65">
        <v>1.041666666666667E-2</v>
      </c>
      <c r="I407" s="101">
        <v>45936</v>
      </c>
      <c r="J407" s="101">
        <v>45936</v>
      </c>
      <c r="K407" s="63" t="s">
        <v>119</v>
      </c>
      <c r="L407" s="63" t="s">
        <v>159</v>
      </c>
      <c r="M407" s="63"/>
      <c r="N407" s="63" t="s">
        <v>288</v>
      </c>
      <c r="O407" s="63" t="s">
        <v>122</v>
      </c>
      <c r="P407" s="63" t="s">
        <v>7</v>
      </c>
      <c r="Q407" s="66" t="s">
        <v>482</v>
      </c>
      <c r="R407" s="66" t="s">
        <v>158</v>
      </c>
    </row>
    <row r="408" spans="2:18" ht="39" customHeight="1">
      <c r="B408" s="63" t="str">
        <f t="shared" si="6"/>
        <v>No405</v>
      </c>
      <c r="C408" s="63" t="s">
        <v>142</v>
      </c>
      <c r="D408" s="63" t="s">
        <v>155</v>
      </c>
      <c r="E408" s="101">
        <v>45936</v>
      </c>
      <c r="F408" s="65">
        <v>0.52777777777777779</v>
      </c>
      <c r="G408" s="65">
        <v>0.64583333333333337</v>
      </c>
      <c r="H408" s="65">
        <v>2.0833333333333329E-2</v>
      </c>
      <c r="I408" s="101">
        <v>45936</v>
      </c>
      <c r="J408" s="101">
        <v>45936</v>
      </c>
      <c r="K408" s="63" t="s">
        <v>119</v>
      </c>
      <c r="L408" s="63" t="s">
        <v>159</v>
      </c>
      <c r="M408" s="63"/>
      <c r="N408" s="63" t="s">
        <v>215</v>
      </c>
      <c r="O408" s="63" t="s">
        <v>122</v>
      </c>
      <c r="P408" s="63" t="s">
        <v>7</v>
      </c>
      <c r="Q408" s="66" t="s">
        <v>246</v>
      </c>
      <c r="R408" s="66" t="s">
        <v>158</v>
      </c>
    </row>
    <row r="409" spans="2:18" ht="39" customHeight="1">
      <c r="B409" s="63" t="str">
        <f t="shared" si="6"/>
        <v>No406</v>
      </c>
      <c r="C409" s="63" t="s">
        <v>142</v>
      </c>
      <c r="D409" s="63" t="s">
        <v>155</v>
      </c>
      <c r="E409" s="101">
        <v>45937</v>
      </c>
      <c r="F409" s="65">
        <v>0.69791666666666663</v>
      </c>
      <c r="G409" s="65">
        <v>0.71875</v>
      </c>
      <c r="H409" s="65">
        <v>2.0833333333333329E-2</v>
      </c>
      <c r="I409" s="101">
        <v>45937</v>
      </c>
      <c r="J409" s="101">
        <v>45937</v>
      </c>
      <c r="K409" s="63" t="s">
        <v>119</v>
      </c>
      <c r="L409" s="63" t="s">
        <v>77</v>
      </c>
      <c r="M409" s="63"/>
      <c r="N409" s="63" t="s">
        <v>144</v>
      </c>
      <c r="O409" s="63" t="s">
        <v>117</v>
      </c>
      <c r="P409" s="63" t="s">
        <v>7</v>
      </c>
      <c r="Q409" s="66" t="s">
        <v>580</v>
      </c>
      <c r="R409" s="66" t="s">
        <v>158</v>
      </c>
    </row>
    <row r="410" spans="2:18" ht="39" customHeight="1">
      <c r="B410" s="63" t="str">
        <f t="shared" si="6"/>
        <v>No407</v>
      </c>
      <c r="C410" s="63" t="s">
        <v>142</v>
      </c>
      <c r="D410" s="63" t="s">
        <v>155</v>
      </c>
      <c r="E410" s="101">
        <v>45939</v>
      </c>
      <c r="F410" s="65">
        <v>0.5</v>
      </c>
      <c r="G410" s="65">
        <v>0.66666666666666663</v>
      </c>
      <c r="H410" s="65">
        <v>1.041666666666667E-2</v>
      </c>
      <c r="I410" s="101">
        <v>45939</v>
      </c>
      <c r="J410" s="101">
        <v>45939</v>
      </c>
      <c r="K410" s="63" t="s">
        <v>119</v>
      </c>
      <c r="L410" s="63" t="s">
        <v>159</v>
      </c>
      <c r="M410" s="63"/>
      <c r="N410" s="63" t="s">
        <v>160</v>
      </c>
      <c r="O410" s="63" t="s">
        <v>122</v>
      </c>
      <c r="P410" s="63" t="s">
        <v>7</v>
      </c>
      <c r="Q410" s="66" t="s">
        <v>179</v>
      </c>
      <c r="R410" s="66" t="s">
        <v>158</v>
      </c>
    </row>
    <row r="411" spans="2:18" ht="39" customHeight="1">
      <c r="B411" s="63" t="str">
        <f t="shared" si="6"/>
        <v>No408</v>
      </c>
      <c r="C411" s="63" t="s">
        <v>142</v>
      </c>
      <c r="D411" s="63" t="s">
        <v>155</v>
      </c>
      <c r="E411" s="101">
        <v>45939</v>
      </c>
      <c r="F411" s="65">
        <v>0.6875</v>
      </c>
      <c r="G411" s="65">
        <v>0.69791666666666663</v>
      </c>
      <c r="H411" s="65">
        <v>1.041666666666667E-2</v>
      </c>
      <c r="I411" s="101">
        <v>45939</v>
      </c>
      <c r="J411" s="101">
        <v>45939</v>
      </c>
      <c r="K411" s="63" t="s">
        <v>119</v>
      </c>
      <c r="L411" s="63" t="s">
        <v>77</v>
      </c>
      <c r="M411" s="63"/>
      <c r="N411" s="63" t="s">
        <v>211</v>
      </c>
      <c r="O411" s="63" t="s">
        <v>122</v>
      </c>
      <c r="P411" s="63" t="s">
        <v>7</v>
      </c>
      <c r="Q411" s="66" t="s">
        <v>593</v>
      </c>
      <c r="R411" s="66" t="s">
        <v>158</v>
      </c>
    </row>
    <row r="412" spans="2:18" ht="39" customHeight="1">
      <c r="B412" s="63" t="str">
        <f t="shared" si="6"/>
        <v>No409</v>
      </c>
      <c r="C412" s="63" t="s">
        <v>142</v>
      </c>
      <c r="D412" s="63" t="s">
        <v>155</v>
      </c>
      <c r="E412" s="101">
        <v>45940</v>
      </c>
      <c r="F412" s="65">
        <v>0.5</v>
      </c>
      <c r="G412" s="65">
        <v>0.55208333333333337</v>
      </c>
      <c r="H412" s="65">
        <v>1.041666666666667E-2</v>
      </c>
      <c r="I412" s="101">
        <v>45940</v>
      </c>
      <c r="J412" s="101">
        <v>45940</v>
      </c>
      <c r="K412" s="63" t="s">
        <v>119</v>
      </c>
      <c r="L412" s="63" t="s">
        <v>159</v>
      </c>
      <c r="M412" s="63"/>
      <c r="N412" s="63" t="s">
        <v>288</v>
      </c>
      <c r="O412" s="63" t="s">
        <v>122</v>
      </c>
      <c r="P412" s="63" t="s">
        <v>7</v>
      </c>
      <c r="Q412" s="66" t="s">
        <v>179</v>
      </c>
      <c r="R412" s="66" t="s">
        <v>158</v>
      </c>
    </row>
    <row r="413" spans="2:18" ht="39" customHeight="1">
      <c r="B413" s="63" t="str">
        <f t="shared" si="6"/>
        <v>No410</v>
      </c>
      <c r="C413" s="63" t="s">
        <v>142</v>
      </c>
      <c r="D413" s="63" t="s">
        <v>155</v>
      </c>
      <c r="E413" s="101">
        <v>45940</v>
      </c>
      <c r="F413" s="65">
        <v>0.63888888888888884</v>
      </c>
      <c r="G413" s="65">
        <v>0.64930555555555558</v>
      </c>
      <c r="H413" s="65">
        <v>1.041666666666667E-2</v>
      </c>
      <c r="I413" s="101">
        <v>45940</v>
      </c>
      <c r="J413" s="101">
        <v>45940</v>
      </c>
      <c r="K413" s="63" t="s">
        <v>119</v>
      </c>
      <c r="L413" s="63" t="s">
        <v>159</v>
      </c>
      <c r="M413" s="63"/>
      <c r="N413" s="63" t="s">
        <v>160</v>
      </c>
      <c r="O413" s="63" t="s">
        <v>122</v>
      </c>
      <c r="P413" s="63" t="s">
        <v>7</v>
      </c>
      <c r="Q413" s="66" t="s">
        <v>179</v>
      </c>
      <c r="R413" s="66" t="s">
        <v>158</v>
      </c>
    </row>
    <row r="414" spans="2:18" ht="39" customHeight="1">
      <c r="B414" s="63" t="str">
        <f t="shared" si="6"/>
        <v>No411</v>
      </c>
      <c r="C414" s="63" t="s">
        <v>142</v>
      </c>
      <c r="D414" s="63" t="s">
        <v>155</v>
      </c>
      <c r="E414" s="101">
        <v>45944</v>
      </c>
      <c r="F414" s="65">
        <v>0.51041666666666663</v>
      </c>
      <c r="G414" s="65">
        <v>0.57291666666666663</v>
      </c>
      <c r="H414" s="65">
        <v>1.041666666666667E-2</v>
      </c>
      <c r="I414" s="101">
        <v>45944</v>
      </c>
      <c r="J414" s="101">
        <v>45944</v>
      </c>
      <c r="K414" s="63" t="s">
        <v>119</v>
      </c>
      <c r="L414" s="63" t="s">
        <v>159</v>
      </c>
      <c r="M414" s="63"/>
      <c r="N414" s="63" t="s">
        <v>207</v>
      </c>
      <c r="O414" s="63" t="s">
        <v>122</v>
      </c>
      <c r="P414" s="63" t="s">
        <v>7</v>
      </c>
      <c r="Q414" s="66" t="s">
        <v>482</v>
      </c>
      <c r="R414" s="66" t="s">
        <v>158</v>
      </c>
    </row>
    <row r="415" spans="2:18" ht="39" customHeight="1">
      <c r="B415" s="63" t="str">
        <f t="shared" si="6"/>
        <v>No412</v>
      </c>
      <c r="C415" s="63" t="s">
        <v>142</v>
      </c>
      <c r="D415" s="63" t="s">
        <v>155</v>
      </c>
      <c r="E415" s="101">
        <v>45944</v>
      </c>
      <c r="F415" s="65">
        <v>0.52083333333333337</v>
      </c>
      <c r="G415" s="65">
        <v>0.57291666666666663</v>
      </c>
      <c r="H415" s="65">
        <v>1.041666666666667E-2</v>
      </c>
      <c r="I415" s="101">
        <v>45944</v>
      </c>
      <c r="J415" s="101">
        <v>45944</v>
      </c>
      <c r="K415" s="63" t="s">
        <v>119</v>
      </c>
      <c r="L415" s="63" t="s">
        <v>159</v>
      </c>
      <c r="M415" s="63"/>
      <c r="N415" s="63" t="s">
        <v>160</v>
      </c>
      <c r="O415" s="63" t="s">
        <v>122</v>
      </c>
      <c r="P415" s="63" t="s">
        <v>7</v>
      </c>
      <c r="Q415" s="66" t="s">
        <v>179</v>
      </c>
      <c r="R415" s="66" t="s">
        <v>158</v>
      </c>
    </row>
    <row r="416" spans="2:18" ht="39" customHeight="1">
      <c r="B416" s="63" t="str">
        <f t="shared" si="6"/>
        <v>No413</v>
      </c>
      <c r="C416" s="63" t="s">
        <v>142</v>
      </c>
      <c r="D416" s="63" t="s">
        <v>155</v>
      </c>
      <c r="E416" s="101">
        <v>45945</v>
      </c>
      <c r="F416" s="65">
        <v>0.45833333333333331</v>
      </c>
      <c r="G416" s="65">
        <v>0.46527777777777779</v>
      </c>
      <c r="H416" s="65">
        <v>6.9444444444444441E-3</v>
      </c>
      <c r="I416" s="101">
        <v>45945</v>
      </c>
      <c r="J416" s="101">
        <v>45945</v>
      </c>
      <c r="K416" s="63" t="s">
        <v>119</v>
      </c>
      <c r="L416" s="63" t="s">
        <v>77</v>
      </c>
      <c r="M416" s="63"/>
      <c r="N416" s="63" t="s">
        <v>211</v>
      </c>
      <c r="O416" s="63" t="s">
        <v>122</v>
      </c>
      <c r="P416" s="63" t="s">
        <v>7</v>
      </c>
      <c r="Q416" s="66" t="s">
        <v>593</v>
      </c>
      <c r="R416" s="66" t="s">
        <v>158</v>
      </c>
    </row>
    <row r="417" spans="2:18" ht="39" customHeight="1">
      <c r="B417" s="63" t="str">
        <f t="shared" si="6"/>
        <v>No414</v>
      </c>
      <c r="C417" s="63" t="s">
        <v>142</v>
      </c>
      <c r="D417" s="63" t="s">
        <v>155</v>
      </c>
      <c r="E417" s="101">
        <v>45945</v>
      </c>
      <c r="F417" s="65">
        <v>0.35416666666666669</v>
      </c>
      <c r="G417" s="65">
        <v>0.48958333333333331</v>
      </c>
      <c r="H417" s="65">
        <v>8.3333333333333329E-2</v>
      </c>
      <c r="I417" s="101">
        <v>45945</v>
      </c>
      <c r="J417" s="101">
        <v>45945</v>
      </c>
      <c r="K417" s="63" t="s">
        <v>119</v>
      </c>
      <c r="L417" s="63" t="s">
        <v>159</v>
      </c>
      <c r="M417" s="63"/>
      <c r="N417" s="63" t="s">
        <v>187</v>
      </c>
      <c r="O417" s="63" t="s">
        <v>122</v>
      </c>
      <c r="P417" s="63" t="s">
        <v>7</v>
      </c>
      <c r="Q417" s="66" t="s">
        <v>512</v>
      </c>
      <c r="R417" s="66" t="s">
        <v>158</v>
      </c>
    </row>
    <row r="418" spans="2:18" ht="39" customHeight="1">
      <c r="B418" s="63" t="str">
        <f t="shared" si="6"/>
        <v>No415</v>
      </c>
      <c r="C418" s="63" t="s">
        <v>142</v>
      </c>
      <c r="D418" s="63" t="s">
        <v>155</v>
      </c>
      <c r="E418" s="101">
        <v>45946</v>
      </c>
      <c r="F418" s="65">
        <v>0.55208333333333337</v>
      </c>
      <c r="G418" s="65">
        <v>0.57291666666666663</v>
      </c>
      <c r="H418" s="65">
        <v>1.041666666666667E-2</v>
      </c>
      <c r="I418" s="101">
        <v>45946</v>
      </c>
      <c r="J418" s="101">
        <v>45946</v>
      </c>
      <c r="K418" s="63" t="s">
        <v>119</v>
      </c>
      <c r="L418" s="63" t="s">
        <v>159</v>
      </c>
      <c r="M418" s="63"/>
      <c r="N418" s="63" t="s">
        <v>160</v>
      </c>
      <c r="O418" s="63" t="s">
        <v>122</v>
      </c>
      <c r="P418" s="63" t="s">
        <v>7</v>
      </c>
      <c r="Q418" s="66" t="s">
        <v>179</v>
      </c>
      <c r="R418" s="66" t="s">
        <v>158</v>
      </c>
    </row>
    <row r="419" spans="2:18" ht="39" customHeight="1">
      <c r="B419" s="63" t="str">
        <f t="shared" si="6"/>
        <v>No416</v>
      </c>
      <c r="C419" s="63" t="s">
        <v>142</v>
      </c>
      <c r="D419" s="63" t="s">
        <v>155</v>
      </c>
      <c r="E419" s="101">
        <v>45947</v>
      </c>
      <c r="F419" s="65">
        <v>0.52083333333333337</v>
      </c>
      <c r="G419" s="65">
        <v>0.58333333333333337</v>
      </c>
      <c r="H419" s="65">
        <v>1.041666666666667E-2</v>
      </c>
      <c r="I419" s="101">
        <v>45947</v>
      </c>
      <c r="J419" s="101">
        <v>45947</v>
      </c>
      <c r="K419" s="63" t="s">
        <v>119</v>
      </c>
      <c r="L419" s="63" t="s">
        <v>159</v>
      </c>
      <c r="M419" s="63"/>
      <c r="N419" s="63" t="s">
        <v>207</v>
      </c>
      <c r="O419" s="63" t="s">
        <v>122</v>
      </c>
      <c r="P419" s="63" t="s">
        <v>7</v>
      </c>
      <c r="Q419" s="66" t="s">
        <v>482</v>
      </c>
      <c r="R419" s="66" t="s">
        <v>158</v>
      </c>
    </row>
    <row r="420" spans="2:18" ht="39" customHeight="1">
      <c r="B420" s="63" t="str">
        <f t="shared" si="6"/>
        <v>No417</v>
      </c>
      <c r="C420" s="63" t="s">
        <v>142</v>
      </c>
      <c r="D420" s="63" t="s">
        <v>155</v>
      </c>
      <c r="E420" s="101">
        <v>45950</v>
      </c>
      <c r="F420" s="65">
        <v>0.39583333333333331</v>
      </c>
      <c r="G420" s="65">
        <v>0.46875</v>
      </c>
      <c r="H420" s="65">
        <v>2.0833333333333329E-2</v>
      </c>
      <c r="I420" s="101">
        <v>45950</v>
      </c>
      <c r="J420" s="101">
        <v>45950</v>
      </c>
      <c r="K420" s="63" t="s">
        <v>119</v>
      </c>
      <c r="L420" s="63" t="s">
        <v>159</v>
      </c>
      <c r="M420" s="63"/>
      <c r="N420" s="63" t="s">
        <v>160</v>
      </c>
      <c r="O420" s="63" t="s">
        <v>122</v>
      </c>
      <c r="P420" s="63" t="s">
        <v>7</v>
      </c>
      <c r="Q420" s="66" t="s">
        <v>179</v>
      </c>
      <c r="R420" s="66" t="s">
        <v>158</v>
      </c>
    </row>
    <row r="421" spans="2:18" ht="39" customHeight="1">
      <c r="B421" s="63" t="str">
        <f t="shared" si="6"/>
        <v>No418</v>
      </c>
      <c r="C421" s="63" t="s">
        <v>142</v>
      </c>
      <c r="D421" s="63" t="s">
        <v>155</v>
      </c>
      <c r="E421" s="101">
        <v>45950</v>
      </c>
      <c r="F421" s="65">
        <v>0.57291666666666663</v>
      </c>
      <c r="G421" s="65">
        <v>0.58680555555555558</v>
      </c>
      <c r="H421" s="65">
        <v>1.388888888888889E-2</v>
      </c>
      <c r="I421" s="101">
        <v>45950</v>
      </c>
      <c r="J421" s="101">
        <v>45950</v>
      </c>
      <c r="K421" s="63" t="s">
        <v>119</v>
      </c>
      <c r="L421" s="63" t="s">
        <v>77</v>
      </c>
      <c r="M421" s="63"/>
      <c r="N421" s="63" t="s">
        <v>144</v>
      </c>
      <c r="O421" s="63" t="s">
        <v>117</v>
      </c>
      <c r="P421" s="63" t="s">
        <v>7</v>
      </c>
      <c r="Q421" s="66" t="s">
        <v>580</v>
      </c>
      <c r="R421" s="66" t="s">
        <v>158</v>
      </c>
    </row>
    <row r="422" spans="2:18" ht="39" customHeight="1">
      <c r="B422" s="63" t="str">
        <f t="shared" si="6"/>
        <v>No419</v>
      </c>
      <c r="C422" s="63" t="s">
        <v>142</v>
      </c>
      <c r="D422" s="63" t="s">
        <v>155</v>
      </c>
      <c r="E422" s="101">
        <v>45950</v>
      </c>
      <c r="F422" s="65">
        <v>0.72222222222222221</v>
      </c>
      <c r="G422" s="65">
        <v>0.40972222222222221</v>
      </c>
      <c r="H422" s="65">
        <v>1.041666666666667E-2</v>
      </c>
      <c r="I422" s="101">
        <v>45951</v>
      </c>
      <c r="J422" s="101">
        <v>45951</v>
      </c>
      <c r="K422" s="63" t="s">
        <v>119</v>
      </c>
      <c r="L422" s="63" t="s">
        <v>77</v>
      </c>
      <c r="M422" s="63"/>
      <c r="N422" s="63" t="s">
        <v>144</v>
      </c>
      <c r="O422" s="63" t="s">
        <v>122</v>
      </c>
      <c r="P422" s="63" t="s">
        <v>7</v>
      </c>
      <c r="Q422" s="66" t="s">
        <v>322</v>
      </c>
      <c r="R422" s="66" t="s">
        <v>158</v>
      </c>
    </row>
    <row r="423" spans="2:18" ht="39" customHeight="1">
      <c r="B423" s="63" t="str">
        <f t="shared" si="6"/>
        <v>No420</v>
      </c>
      <c r="C423" s="63" t="s">
        <v>142</v>
      </c>
      <c r="D423" s="63" t="s">
        <v>155</v>
      </c>
      <c r="E423" s="101">
        <v>45951</v>
      </c>
      <c r="F423" s="65">
        <v>0.52083333333333337</v>
      </c>
      <c r="G423" s="65">
        <v>0.58333333333333337</v>
      </c>
      <c r="H423" s="65">
        <v>1.041666666666667E-2</v>
      </c>
      <c r="I423" s="101">
        <v>45951</v>
      </c>
      <c r="J423" s="101">
        <v>45951</v>
      </c>
      <c r="K423" s="63" t="s">
        <v>119</v>
      </c>
      <c r="L423" s="63" t="s">
        <v>159</v>
      </c>
      <c r="M423" s="63"/>
      <c r="N423" s="63" t="s">
        <v>207</v>
      </c>
      <c r="O423" s="63" t="s">
        <v>122</v>
      </c>
      <c r="P423" s="63" t="s">
        <v>7</v>
      </c>
      <c r="Q423" s="66" t="s">
        <v>482</v>
      </c>
      <c r="R423" s="66" t="s">
        <v>158</v>
      </c>
    </row>
    <row r="424" spans="2:18" ht="39" customHeight="1">
      <c r="B424" s="63" t="str">
        <f t="shared" si="6"/>
        <v>No421</v>
      </c>
      <c r="C424" s="63" t="s">
        <v>142</v>
      </c>
      <c r="D424" s="63" t="s">
        <v>155</v>
      </c>
      <c r="E424" s="101">
        <v>45952</v>
      </c>
      <c r="F424" s="65">
        <v>0.57638888888888884</v>
      </c>
      <c r="G424" s="65">
        <v>0.58333333333333337</v>
      </c>
      <c r="H424" s="65">
        <v>6.9444444444444441E-3</v>
      </c>
      <c r="I424" s="101">
        <v>45952</v>
      </c>
      <c r="J424" s="101">
        <v>45952</v>
      </c>
      <c r="K424" s="63" t="s">
        <v>119</v>
      </c>
      <c r="L424" s="63" t="s">
        <v>159</v>
      </c>
      <c r="M424" s="63"/>
      <c r="N424" s="63" t="s">
        <v>288</v>
      </c>
      <c r="O424" s="63" t="s">
        <v>122</v>
      </c>
      <c r="P424" s="63" t="s">
        <v>7</v>
      </c>
      <c r="Q424" s="66" t="s">
        <v>482</v>
      </c>
      <c r="R424" s="66" t="s">
        <v>158</v>
      </c>
    </row>
    <row r="425" spans="2:18" ht="39" customHeight="1">
      <c r="B425" s="63" t="str">
        <f t="shared" si="6"/>
        <v>No422</v>
      </c>
      <c r="C425" s="63" t="s">
        <v>142</v>
      </c>
      <c r="D425" s="63" t="s">
        <v>155</v>
      </c>
      <c r="E425" s="101">
        <v>45958</v>
      </c>
      <c r="F425" s="65">
        <v>0.39583333333333331</v>
      </c>
      <c r="G425" s="65">
        <v>0.41666666666666669</v>
      </c>
      <c r="H425" s="65">
        <v>1.041666666666667E-2</v>
      </c>
      <c r="I425" s="101">
        <v>45958</v>
      </c>
      <c r="J425" s="101">
        <v>45958</v>
      </c>
      <c r="K425" s="63" t="s">
        <v>119</v>
      </c>
      <c r="L425" s="63" t="s">
        <v>111</v>
      </c>
      <c r="M425" s="63"/>
      <c r="N425" s="63" t="s">
        <v>215</v>
      </c>
      <c r="O425" s="63" t="s">
        <v>122</v>
      </c>
      <c r="P425" s="63" t="s">
        <v>7</v>
      </c>
      <c r="Q425" s="66" t="s">
        <v>482</v>
      </c>
      <c r="R425" s="66" t="s">
        <v>158</v>
      </c>
    </row>
    <row r="426" spans="2:18" ht="39" customHeight="1">
      <c r="B426" s="63" t="str">
        <f t="shared" si="6"/>
        <v>No423</v>
      </c>
      <c r="C426" s="63" t="s">
        <v>142</v>
      </c>
      <c r="D426" s="63" t="s">
        <v>155</v>
      </c>
      <c r="E426" s="101">
        <v>45958</v>
      </c>
      <c r="F426" s="65">
        <v>0.69791666666666663</v>
      </c>
      <c r="G426" s="65">
        <v>0.72916666666666663</v>
      </c>
      <c r="H426" s="65">
        <v>1.041666666666667E-2</v>
      </c>
      <c r="I426" s="101">
        <v>45958</v>
      </c>
      <c r="J426" s="101">
        <v>45958</v>
      </c>
      <c r="K426" s="63" t="s">
        <v>119</v>
      </c>
      <c r="L426" s="63" t="s">
        <v>111</v>
      </c>
      <c r="M426" s="63"/>
      <c r="N426" s="63" t="s">
        <v>253</v>
      </c>
      <c r="O426" s="63" t="s">
        <v>122</v>
      </c>
      <c r="P426" s="63" t="s">
        <v>7</v>
      </c>
      <c r="Q426" s="66" t="s">
        <v>246</v>
      </c>
      <c r="R426" s="66" t="s">
        <v>158</v>
      </c>
    </row>
    <row r="427" spans="2:18" ht="39" customHeight="1">
      <c r="B427" s="63" t="str">
        <f t="shared" si="6"/>
        <v>No424</v>
      </c>
      <c r="C427" s="63" t="s">
        <v>142</v>
      </c>
      <c r="D427" s="63" t="s">
        <v>155</v>
      </c>
      <c r="E427" s="101">
        <v>45958</v>
      </c>
      <c r="F427" s="65">
        <v>0.74305555555555558</v>
      </c>
      <c r="G427" s="65">
        <v>0.75694444444444442</v>
      </c>
      <c r="H427" s="65">
        <v>1.388888888888889E-2</v>
      </c>
      <c r="I427" s="101">
        <v>45958</v>
      </c>
      <c r="J427" s="101">
        <v>45958</v>
      </c>
      <c r="K427" s="63" t="s">
        <v>119</v>
      </c>
      <c r="L427" s="63" t="s">
        <v>77</v>
      </c>
      <c r="M427" s="63"/>
      <c r="N427" s="63" t="s">
        <v>144</v>
      </c>
      <c r="O427" s="63" t="s">
        <v>117</v>
      </c>
      <c r="P427" s="63" t="s">
        <v>7</v>
      </c>
      <c r="Q427" s="66" t="s">
        <v>580</v>
      </c>
      <c r="R427" s="66" t="s">
        <v>158</v>
      </c>
    </row>
    <row r="428" spans="2:18" ht="39" customHeight="1">
      <c r="B428" s="63" t="str">
        <f t="shared" si="6"/>
        <v>No425</v>
      </c>
      <c r="C428" s="63" t="s">
        <v>142</v>
      </c>
      <c r="D428" s="63" t="s">
        <v>155</v>
      </c>
      <c r="E428" s="101">
        <v>45959</v>
      </c>
      <c r="F428" s="65">
        <v>0.54166666666666663</v>
      </c>
      <c r="G428" s="65">
        <v>0.56944444444444442</v>
      </c>
      <c r="H428" s="65">
        <v>1.388888888888889E-2</v>
      </c>
      <c r="I428" s="101">
        <v>45959</v>
      </c>
      <c r="J428" s="101">
        <v>45959</v>
      </c>
      <c r="K428" s="63" t="s">
        <v>119</v>
      </c>
      <c r="L428" s="63" t="s">
        <v>41</v>
      </c>
      <c r="M428" s="63"/>
      <c r="N428" s="63" t="s">
        <v>277</v>
      </c>
      <c r="O428" s="63" t="s">
        <v>122</v>
      </c>
      <c r="P428" s="63" t="s">
        <v>7</v>
      </c>
      <c r="Q428" s="66" t="s">
        <v>693</v>
      </c>
      <c r="R428" s="66" t="s">
        <v>158</v>
      </c>
    </row>
    <row r="429" spans="2:18" ht="39" customHeight="1">
      <c r="B429" s="63" t="str">
        <f t="shared" si="6"/>
        <v>No426</v>
      </c>
      <c r="C429" s="63" t="s">
        <v>142</v>
      </c>
      <c r="D429" s="63" t="s">
        <v>155</v>
      </c>
      <c r="E429" s="101">
        <v>45960</v>
      </c>
      <c r="F429" s="65">
        <v>0.64583333333333337</v>
      </c>
      <c r="G429" s="65">
        <v>0.69791666666666663</v>
      </c>
      <c r="H429" s="65">
        <v>1.041666666666667E-2</v>
      </c>
      <c r="I429" s="101">
        <v>45960</v>
      </c>
      <c r="J429" s="101">
        <v>45960</v>
      </c>
      <c r="K429" s="63" t="s">
        <v>119</v>
      </c>
      <c r="L429" s="63" t="s">
        <v>111</v>
      </c>
      <c r="M429" s="63"/>
      <c r="N429" s="63" t="s">
        <v>339</v>
      </c>
      <c r="O429" s="63" t="s">
        <v>122</v>
      </c>
      <c r="P429" s="63" t="s">
        <v>7</v>
      </c>
      <c r="Q429" s="66" t="s">
        <v>246</v>
      </c>
      <c r="R429" s="66" t="s">
        <v>158</v>
      </c>
    </row>
    <row r="430" spans="2:18" ht="39" customHeight="1">
      <c r="B430" s="63" t="str">
        <f t="shared" si="6"/>
        <v>No427</v>
      </c>
      <c r="C430" s="63" t="s">
        <v>142</v>
      </c>
      <c r="D430" s="63" t="s">
        <v>155</v>
      </c>
      <c r="E430" s="101">
        <v>45960</v>
      </c>
      <c r="F430" s="65">
        <v>0.69444444444444442</v>
      </c>
      <c r="G430" s="65">
        <v>0.70138888888888884</v>
      </c>
      <c r="H430" s="65">
        <v>6.9444444444444441E-3</v>
      </c>
      <c r="I430" s="101">
        <v>45960</v>
      </c>
      <c r="J430" s="101">
        <v>45960</v>
      </c>
      <c r="K430" s="63" t="s">
        <v>119</v>
      </c>
      <c r="L430" s="63" t="s">
        <v>159</v>
      </c>
      <c r="M430" s="63"/>
      <c r="N430" s="63" t="s">
        <v>187</v>
      </c>
      <c r="O430" s="63" t="s">
        <v>122</v>
      </c>
      <c r="P430" s="63" t="s">
        <v>7</v>
      </c>
      <c r="Q430" s="66" t="s">
        <v>482</v>
      </c>
      <c r="R430" s="66" t="s">
        <v>158</v>
      </c>
    </row>
    <row r="431" spans="2:18" ht="39" customHeight="1">
      <c r="B431" s="63" t="str">
        <f t="shared" si="6"/>
        <v>No428</v>
      </c>
      <c r="C431" s="63" t="s">
        <v>142</v>
      </c>
      <c r="D431" s="63" t="s">
        <v>155</v>
      </c>
      <c r="E431" s="101">
        <v>45961</v>
      </c>
      <c r="F431" s="65">
        <v>0.54861111111111116</v>
      </c>
      <c r="G431" s="65">
        <v>0.55555555555555558</v>
      </c>
      <c r="H431" s="65">
        <v>1.388888888888889E-2</v>
      </c>
      <c r="I431" s="101">
        <v>45961</v>
      </c>
      <c r="J431" s="101">
        <v>45961</v>
      </c>
      <c r="K431" s="63" t="s">
        <v>119</v>
      </c>
      <c r="L431" s="63" t="s">
        <v>41</v>
      </c>
      <c r="M431" s="63"/>
      <c r="N431" s="63" t="s">
        <v>277</v>
      </c>
      <c r="O431" s="63" t="s">
        <v>122</v>
      </c>
      <c r="P431" s="63" t="s">
        <v>7</v>
      </c>
      <c r="Q431" s="66" t="s">
        <v>693</v>
      </c>
      <c r="R431" s="66" t="s">
        <v>158</v>
      </c>
    </row>
    <row r="432" spans="2:18" ht="39" customHeight="1">
      <c r="B432" s="63" t="str">
        <f t="shared" si="6"/>
        <v>No429</v>
      </c>
      <c r="C432" s="63" t="s">
        <v>142</v>
      </c>
      <c r="D432" s="63" t="s">
        <v>155</v>
      </c>
      <c r="E432" s="101">
        <v>45961</v>
      </c>
      <c r="F432" s="65">
        <v>0.64583333333333337</v>
      </c>
      <c r="G432" s="65">
        <v>0.70833333333333337</v>
      </c>
      <c r="H432" s="65">
        <v>1.041666666666667E-2</v>
      </c>
      <c r="I432" s="101">
        <v>45961</v>
      </c>
      <c r="J432" s="101">
        <v>45961</v>
      </c>
      <c r="K432" s="63" t="s">
        <v>119</v>
      </c>
      <c r="L432" s="63" t="s">
        <v>111</v>
      </c>
      <c r="M432" s="63"/>
      <c r="N432" s="63" t="s">
        <v>245</v>
      </c>
      <c r="O432" s="63" t="s">
        <v>122</v>
      </c>
      <c r="P432" s="63" t="s">
        <v>7</v>
      </c>
      <c r="Q432" s="66" t="s">
        <v>246</v>
      </c>
      <c r="R432" s="66" t="s">
        <v>158</v>
      </c>
    </row>
    <row r="433" spans="2:18" ht="43.5" customHeight="1">
      <c r="B433" s="63" t="str">
        <f t="shared" si="6"/>
        <v>No430</v>
      </c>
      <c r="C433" s="63" t="s">
        <v>142</v>
      </c>
      <c r="D433" s="63" t="s">
        <v>155</v>
      </c>
      <c r="E433" s="101">
        <v>45968</v>
      </c>
      <c r="F433" s="65">
        <v>0.41319444444444442</v>
      </c>
      <c r="G433" s="65">
        <v>0.41666666666666669</v>
      </c>
      <c r="H433" s="65">
        <v>3.472222222222222E-3</v>
      </c>
      <c r="I433" s="101">
        <v>45968</v>
      </c>
      <c r="J433" s="101">
        <v>45968</v>
      </c>
      <c r="K433" s="63" t="s">
        <v>119</v>
      </c>
      <c r="L433" s="63" t="s">
        <v>111</v>
      </c>
      <c r="M433" s="63"/>
      <c r="N433" s="63" t="s">
        <v>215</v>
      </c>
      <c r="O433" s="63" t="s">
        <v>122</v>
      </c>
      <c r="P433" s="63" t="s">
        <v>7</v>
      </c>
      <c r="Q433" s="66" t="s">
        <v>482</v>
      </c>
      <c r="R433" s="66" t="s">
        <v>158</v>
      </c>
    </row>
    <row r="434" spans="2:18" ht="43.5" customHeight="1">
      <c r="B434" s="63" t="str">
        <f t="shared" si="6"/>
        <v>No431</v>
      </c>
      <c r="C434" s="63" t="s">
        <v>142</v>
      </c>
      <c r="D434" s="63" t="s">
        <v>155</v>
      </c>
      <c r="E434" s="101">
        <v>45972</v>
      </c>
      <c r="F434" s="65">
        <v>0.38194444444444442</v>
      </c>
      <c r="G434" s="65">
        <v>0.3923611111111111</v>
      </c>
      <c r="H434" s="65">
        <v>6.9444444444444441E-3</v>
      </c>
      <c r="I434" s="101">
        <v>45972</v>
      </c>
      <c r="J434" s="101">
        <v>45972</v>
      </c>
      <c r="K434" s="63" t="s">
        <v>119</v>
      </c>
      <c r="L434" s="63" t="s">
        <v>159</v>
      </c>
      <c r="M434" s="63"/>
      <c r="N434" s="63" t="s">
        <v>187</v>
      </c>
      <c r="O434" s="63" t="s">
        <v>122</v>
      </c>
      <c r="P434" s="63" t="s">
        <v>7</v>
      </c>
      <c r="Q434" s="66" t="s">
        <v>482</v>
      </c>
      <c r="R434" s="66" t="s">
        <v>158</v>
      </c>
    </row>
    <row r="435" spans="2:18" ht="43.5" customHeight="1">
      <c r="B435" s="63" t="str">
        <f t="shared" si="6"/>
        <v>No432</v>
      </c>
      <c r="C435" s="63" t="s">
        <v>142</v>
      </c>
      <c r="D435" s="63" t="s">
        <v>155</v>
      </c>
      <c r="E435" s="101">
        <v>45972</v>
      </c>
      <c r="F435" s="65">
        <v>0.3888888888888889</v>
      </c>
      <c r="G435" s="65">
        <v>0.39583333333333331</v>
      </c>
      <c r="H435" s="65">
        <v>6.9444444444444441E-3</v>
      </c>
      <c r="I435" s="101">
        <v>45972</v>
      </c>
      <c r="J435" s="101">
        <v>45972</v>
      </c>
      <c r="K435" s="63" t="s">
        <v>119</v>
      </c>
      <c r="L435" s="63" t="s">
        <v>159</v>
      </c>
      <c r="M435" s="63"/>
      <c r="N435" s="63" t="s">
        <v>288</v>
      </c>
      <c r="O435" s="63" t="s">
        <v>122</v>
      </c>
      <c r="P435" s="63" t="s">
        <v>7</v>
      </c>
      <c r="Q435" s="66" t="s">
        <v>482</v>
      </c>
      <c r="R435" s="66" t="s">
        <v>158</v>
      </c>
    </row>
    <row r="436" spans="2:18" ht="43.5" customHeight="1">
      <c r="B436" s="63" t="str">
        <f t="shared" si="6"/>
        <v>No433</v>
      </c>
      <c r="C436" s="63" t="s">
        <v>142</v>
      </c>
      <c r="D436" s="63" t="s">
        <v>155</v>
      </c>
      <c r="E436" s="101">
        <v>45973</v>
      </c>
      <c r="F436" s="65">
        <v>0.44791666666666669</v>
      </c>
      <c r="G436" s="65">
        <v>0.45833333333333331</v>
      </c>
      <c r="H436" s="65">
        <v>1.041666666666667E-2</v>
      </c>
      <c r="I436" s="101">
        <v>45973</v>
      </c>
      <c r="J436" s="101">
        <v>45973</v>
      </c>
      <c r="K436" s="63" t="s">
        <v>119</v>
      </c>
      <c r="L436" s="63" t="s">
        <v>111</v>
      </c>
      <c r="M436" s="63"/>
      <c r="N436" s="63" t="s">
        <v>215</v>
      </c>
      <c r="O436" s="63" t="s">
        <v>122</v>
      </c>
      <c r="P436" s="63" t="s">
        <v>7</v>
      </c>
      <c r="Q436" s="66" t="s">
        <v>246</v>
      </c>
      <c r="R436" s="66" t="s">
        <v>158</v>
      </c>
    </row>
    <row r="437" spans="2:18" ht="43.5" customHeight="1">
      <c r="B437" s="63" t="str">
        <f t="shared" si="6"/>
        <v>No434</v>
      </c>
      <c r="C437" s="63" t="s">
        <v>142</v>
      </c>
      <c r="D437" s="63" t="s">
        <v>155</v>
      </c>
      <c r="E437" s="101">
        <v>45973</v>
      </c>
      <c r="F437" s="65">
        <v>0.70833333333333337</v>
      </c>
      <c r="G437" s="65">
        <v>0.77777777777777779</v>
      </c>
      <c r="H437" s="65">
        <v>8.3333333333333329E-2</v>
      </c>
      <c r="I437" s="101">
        <v>45975</v>
      </c>
      <c r="J437" s="101">
        <v>45975</v>
      </c>
      <c r="K437" s="63" t="s">
        <v>119</v>
      </c>
      <c r="L437" s="63" t="s">
        <v>159</v>
      </c>
      <c r="M437" s="63"/>
      <c r="N437" s="63" t="s">
        <v>160</v>
      </c>
      <c r="O437" s="63" t="s">
        <v>122</v>
      </c>
      <c r="P437" s="63" t="s">
        <v>7</v>
      </c>
      <c r="Q437" s="66" t="s">
        <v>512</v>
      </c>
      <c r="R437" s="66" t="s">
        <v>158</v>
      </c>
    </row>
    <row r="438" spans="2:18" ht="43.5" customHeight="1">
      <c r="B438" s="63" t="str">
        <f t="shared" si="6"/>
        <v>No435</v>
      </c>
      <c r="C438" s="63" t="s">
        <v>142</v>
      </c>
      <c r="D438" s="63" t="s">
        <v>155</v>
      </c>
      <c r="E438" s="101">
        <v>45974</v>
      </c>
      <c r="F438" s="65">
        <v>0.5625</v>
      </c>
      <c r="G438" s="65">
        <v>0.36458333333333331</v>
      </c>
      <c r="H438" s="65">
        <v>1.041666666666667E-2</v>
      </c>
      <c r="I438" s="101">
        <v>45974</v>
      </c>
      <c r="J438" s="101">
        <v>45974</v>
      </c>
      <c r="K438" s="63" t="s">
        <v>119</v>
      </c>
      <c r="L438" s="63" t="s">
        <v>77</v>
      </c>
      <c r="M438" s="63"/>
      <c r="N438" s="63" t="s">
        <v>198</v>
      </c>
      <c r="O438" s="63" t="s">
        <v>122</v>
      </c>
      <c r="P438" s="63" t="s">
        <v>7</v>
      </c>
      <c r="Q438" s="66" t="s">
        <v>593</v>
      </c>
      <c r="R438" s="66" t="s">
        <v>158</v>
      </c>
    </row>
    <row r="439" spans="2:18" ht="43.5" customHeight="1">
      <c r="B439" s="63" t="str">
        <f t="shared" si="6"/>
        <v>No436</v>
      </c>
      <c r="C439" s="63" t="s">
        <v>142</v>
      </c>
      <c r="D439" s="63" t="s">
        <v>155</v>
      </c>
      <c r="E439" s="101">
        <v>45975</v>
      </c>
      <c r="F439" s="65">
        <v>0.70833333333333337</v>
      </c>
      <c r="G439" s="65">
        <v>0.75694444444444442</v>
      </c>
      <c r="H439" s="65">
        <v>1.388888888888889E-2</v>
      </c>
      <c r="I439" s="101">
        <v>45975</v>
      </c>
      <c r="J439" s="101">
        <v>45975</v>
      </c>
      <c r="K439" s="63" t="s">
        <v>119</v>
      </c>
      <c r="L439" s="63" t="s">
        <v>77</v>
      </c>
      <c r="M439" s="63"/>
      <c r="N439" s="63" t="s">
        <v>372</v>
      </c>
      <c r="O439" s="63" t="s">
        <v>117</v>
      </c>
      <c r="P439" s="63" t="s">
        <v>7</v>
      </c>
      <c r="Q439" s="66" t="s">
        <v>580</v>
      </c>
      <c r="R439" s="66" t="s">
        <v>158</v>
      </c>
    </row>
    <row r="440" spans="2:18" ht="43.5" customHeight="1">
      <c r="B440" s="63" t="str">
        <f t="shared" si="6"/>
        <v>No437</v>
      </c>
      <c r="C440" s="63" t="s">
        <v>142</v>
      </c>
      <c r="D440" s="63" t="s">
        <v>155</v>
      </c>
      <c r="E440" s="101">
        <v>45979</v>
      </c>
      <c r="F440" s="65">
        <v>0.3888888888888889</v>
      </c>
      <c r="G440" s="65">
        <v>0.39583333333333331</v>
      </c>
      <c r="H440" s="65">
        <v>6.9444444444444441E-3</v>
      </c>
      <c r="I440" s="101">
        <v>45979</v>
      </c>
      <c r="J440" s="101">
        <v>45979</v>
      </c>
      <c r="K440" s="63" t="s">
        <v>119</v>
      </c>
      <c r="L440" s="63" t="s">
        <v>111</v>
      </c>
      <c r="M440" s="63"/>
      <c r="N440" s="63" t="s">
        <v>215</v>
      </c>
      <c r="O440" s="63" t="s">
        <v>122</v>
      </c>
      <c r="P440" s="63" t="s">
        <v>7</v>
      </c>
      <c r="Q440" s="66" t="s">
        <v>482</v>
      </c>
      <c r="R440" s="66" t="s">
        <v>158</v>
      </c>
    </row>
    <row r="441" spans="2:18" ht="43.5" customHeight="1">
      <c r="B441" s="63" t="str">
        <f t="shared" si="6"/>
        <v>No438</v>
      </c>
      <c r="C441" s="63" t="s">
        <v>142</v>
      </c>
      <c r="D441" s="63" t="s">
        <v>155</v>
      </c>
      <c r="E441" s="101">
        <v>45979</v>
      </c>
      <c r="F441" s="65">
        <v>0.71875</v>
      </c>
      <c r="G441" s="65">
        <v>0.72916666666666663</v>
      </c>
      <c r="H441" s="65">
        <v>1.041666666666667E-2</v>
      </c>
      <c r="I441" s="101">
        <v>45979</v>
      </c>
      <c r="J441" s="101">
        <v>45979</v>
      </c>
      <c r="K441" s="63" t="s">
        <v>119</v>
      </c>
      <c r="L441" s="63" t="s">
        <v>77</v>
      </c>
      <c r="M441" s="63"/>
      <c r="N441" s="63" t="s">
        <v>144</v>
      </c>
      <c r="O441" s="63" t="s">
        <v>122</v>
      </c>
      <c r="P441" s="63" t="s">
        <v>7</v>
      </c>
      <c r="Q441" s="66" t="s">
        <v>322</v>
      </c>
      <c r="R441" s="66" t="s">
        <v>158</v>
      </c>
    </row>
    <row r="442" spans="2:18" ht="43.5" customHeight="1">
      <c r="B442" s="63" t="str">
        <f t="shared" si="6"/>
        <v>No439</v>
      </c>
      <c r="C442" s="63" t="s">
        <v>104</v>
      </c>
      <c r="D442" s="63" t="s">
        <v>155</v>
      </c>
      <c r="E442" s="101">
        <v>45977</v>
      </c>
      <c r="F442" s="65">
        <v>0.5625</v>
      </c>
      <c r="G442" s="65">
        <v>0.72916666666666663</v>
      </c>
      <c r="H442" s="65">
        <v>0.16666666666666671</v>
      </c>
      <c r="I442" s="101">
        <v>45977</v>
      </c>
      <c r="J442" s="101">
        <v>45977</v>
      </c>
      <c r="K442" s="63" t="s">
        <v>61</v>
      </c>
      <c r="L442" s="63" t="s">
        <v>26</v>
      </c>
      <c r="M442" s="63"/>
      <c r="N442" s="63"/>
      <c r="O442" s="63" t="s">
        <v>117</v>
      </c>
      <c r="P442" s="63" t="s">
        <v>7</v>
      </c>
      <c r="Q442" s="66" t="s">
        <v>694</v>
      </c>
      <c r="R442" s="66" t="s">
        <v>695</v>
      </c>
    </row>
    <row r="443" spans="2:18" ht="43.5" customHeight="1">
      <c r="B443" s="63" t="str">
        <f t="shared" si="6"/>
        <v>No440</v>
      </c>
      <c r="C443" s="63" t="s">
        <v>186</v>
      </c>
      <c r="D443" s="63" t="s">
        <v>155</v>
      </c>
      <c r="E443" s="101">
        <v>45979</v>
      </c>
      <c r="F443" s="65">
        <v>0.67708333333333337</v>
      </c>
      <c r="G443" s="65">
        <v>0.6875</v>
      </c>
      <c r="H443" s="65">
        <v>1.041666666666667E-2</v>
      </c>
      <c r="I443" s="101">
        <v>45979</v>
      </c>
      <c r="J443" s="101">
        <v>45979</v>
      </c>
      <c r="K443" s="63" t="s">
        <v>20</v>
      </c>
      <c r="L443" s="63" t="s">
        <v>41</v>
      </c>
      <c r="M443" s="63"/>
      <c r="N443" s="63" t="s">
        <v>645</v>
      </c>
      <c r="O443" s="63" t="s">
        <v>6</v>
      </c>
      <c r="P443" s="63" t="s">
        <v>7</v>
      </c>
      <c r="Q443" s="66" t="s">
        <v>696</v>
      </c>
      <c r="R443" s="66" t="s">
        <v>697</v>
      </c>
    </row>
    <row r="444" spans="2:18" ht="56.25" customHeight="1">
      <c r="B444" s="63" t="str">
        <f t="shared" si="6"/>
        <v>No441</v>
      </c>
      <c r="C444" s="63" t="s">
        <v>186</v>
      </c>
      <c r="D444" s="63" t="s">
        <v>155</v>
      </c>
      <c r="E444" s="101">
        <v>45980</v>
      </c>
      <c r="F444" s="65">
        <v>0.41666666666666669</v>
      </c>
      <c r="G444" s="65">
        <v>0.45833333333333331</v>
      </c>
      <c r="H444" s="65">
        <v>4.1666666666666657E-2</v>
      </c>
      <c r="I444" s="101">
        <v>45980</v>
      </c>
      <c r="J444" s="101">
        <v>45980</v>
      </c>
      <c r="K444" s="63" t="s">
        <v>45</v>
      </c>
      <c r="L444" s="63" t="s">
        <v>35</v>
      </c>
      <c r="M444" s="63"/>
      <c r="N444" s="63" t="s">
        <v>269</v>
      </c>
      <c r="O444" s="63" t="s">
        <v>6</v>
      </c>
      <c r="P444" s="63" t="s">
        <v>7</v>
      </c>
      <c r="Q444" s="66" t="s">
        <v>698</v>
      </c>
      <c r="R444" s="66" t="s">
        <v>699</v>
      </c>
    </row>
    <row r="445" spans="2:18" ht="37.5" customHeight="1">
      <c r="B445" s="63" t="str">
        <f t="shared" si="6"/>
        <v>No442</v>
      </c>
      <c r="C445" s="70" t="s">
        <v>142</v>
      </c>
      <c r="D445" s="70" t="s">
        <v>4</v>
      </c>
      <c r="E445" s="105">
        <v>45981</v>
      </c>
      <c r="F445" s="72">
        <v>0.375</v>
      </c>
      <c r="G445" s="72">
        <v>0.5</v>
      </c>
      <c r="H445" s="72">
        <v>0.125</v>
      </c>
      <c r="I445" s="105">
        <v>45981</v>
      </c>
      <c r="J445" s="105">
        <v>45981</v>
      </c>
      <c r="K445" s="70" t="s">
        <v>20</v>
      </c>
      <c r="L445" s="70" t="s">
        <v>159</v>
      </c>
      <c r="M445" s="70"/>
      <c r="N445" s="70" t="s">
        <v>675</v>
      </c>
      <c r="O445" s="70" t="s">
        <v>6</v>
      </c>
      <c r="P445" s="70" t="s">
        <v>7</v>
      </c>
      <c r="Q445" s="106" t="s">
        <v>700</v>
      </c>
      <c r="R445" s="107" t="s">
        <v>701</v>
      </c>
    </row>
    <row r="446" spans="2:18" ht="37.5" customHeight="1">
      <c r="B446" s="63" t="str">
        <f t="shared" si="6"/>
        <v>No443</v>
      </c>
      <c r="C446" s="70" t="s">
        <v>142</v>
      </c>
      <c r="D446" s="70" t="s">
        <v>4</v>
      </c>
      <c r="E446" s="105">
        <v>45981</v>
      </c>
      <c r="F446" s="72">
        <v>0.54166666666666663</v>
      </c>
      <c r="G446" s="72">
        <v>0.625</v>
      </c>
      <c r="H446" s="72">
        <v>8.3333333333333329E-2</v>
      </c>
      <c r="I446" s="105">
        <v>45981</v>
      </c>
      <c r="J446" s="105">
        <v>45981</v>
      </c>
      <c r="K446" s="70" t="s">
        <v>45</v>
      </c>
      <c r="L446" s="70" t="s">
        <v>159</v>
      </c>
      <c r="M446" s="70"/>
      <c r="N446" s="70" t="s">
        <v>675</v>
      </c>
      <c r="O446" s="70" t="s">
        <v>6</v>
      </c>
      <c r="P446" s="70" t="s">
        <v>7</v>
      </c>
      <c r="Q446" s="106" t="s">
        <v>700</v>
      </c>
      <c r="R446" s="107" t="s">
        <v>701</v>
      </c>
    </row>
    <row r="447" spans="2:18" ht="37.5" customHeight="1">
      <c r="B447" s="63" t="str">
        <f t="shared" si="6"/>
        <v>No444</v>
      </c>
      <c r="C447" s="70" t="s">
        <v>142</v>
      </c>
      <c r="D447" s="70" t="s">
        <v>155</v>
      </c>
      <c r="E447" s="105">
        <v>45981</v>
      </c>
      <c r="F447" s="72">
        <v>0.63541666666666663</v>
      </c>
      <c r="G447" s="72">
        <v>0.67708333333333337</v>
      </c>
      <c r="H447" s="72">
        <v>1.388888888888889E-2</v>
      </c>
      <c r="I447" s="105">
        <v>45981</v>
      </c>
      <c r="J447" s="105">
        <v>45981</v>
      </c>
      <c r="K447" s="70" t="s">
        <v>119</v>
      </c>
      <c r="L447" s="70" t="s">
        <v>159</v>
      </c>
      <c r="M447" s="70"/>
      <c r="N447" s="70" t="s">
        <v>160</v>
      </c>
      <c r="O447" s="70" t="s">
        <v>122</v>
      </c>
      <c r="P447" s="70" t="s">
        <v>7</v>
      </c>
      <c r="Q447" s="106" t="s">
        <v>179</v>
      </c>
      <c r="R447" s="106" t="s">
        <v>158</v>
      </c>
    </row>
    <row r="448" spans="2:18" ht="37.5" customHeight="1">
      <c r="B448" s="63" t="str">
        <f t="shared" si="6"/>
        <v>No445</v>
      </c>
      <c r="C448" s="70" t="s">
        <v>142</v>
      </c>
      <c r="D448" s="70" t="s">
        <v>155</v>
      </c>
      <c r="E448" s="105">
        <v>45981</v>
      </c>
      <c r="F448" s="72">
        <v>0.70833333333333337</v>
      </c>
      <c r="G448" s="72">
        <v>0.72916666666666663</v>
      </c>
      <c r="H448" s="72">
        <v>2.0833333333333329E-2</v>
      </c>
      <c r="I448" s="105">
        <v>45981</v>
      </c>
      <c r="J448" s="105">
        <v>45981</v>
      </c>
      <c r="K448" s="70" t="s">
        <v>119</v>
      </c>
      <c r="L448" s="70" t="s">
        <v>41</v>
      </c>
      <c r="M448" s="70"/>
      <c r="N448" s="70" t="s">
        <v>277</v>
      </c>
      <c r="O448" s="70" t="s">
        <v>122</v>
      </c>
      <c r="P448" s="70" t="s">
        <v>7</v>
      </c>
      <c r="Q448" s="106" t="s">
        <v>693</v>
      </c>
      <c r="R448" s="106" t="s">
        <v>158</v>
      </c>
    </row>
    <row r="449" spans="2:18" ht="37.5" customHeight="1">
      <c r="B449" s="63" t="str">
        <f t="shared" si="6"/>
        <v>No446</v>
      </c>
      <c r="C449" s="70" t="s">
        <v>142</v>
      </c>
      <c r="D449" s="70" t="s">
        <v>155</v>
      </c>
      <c r="E449" s="105">
        <v>45982</v>
      </c>
      <c r="F449" s="72">
        <v>0.41666666666666669</v>
      </c>
      <c r="G449" s="72">
        <v>0.4236111111111111</v>
      </c>
      <c r="H449" s="72">
        <v>6.9444444444444441E-3</v>
      </c>
      <c r="I449" s="105">
        <v>45982</v>
      </c>
      <c r="J449" s="105">
        <v>45982</v>
      </c>
      <c r="K449" s="70" t="s">
        <v>119</v>
      </c>
      <c r="L449" s="70" t="s">
        <v>111</v>
      </c>
      <c r="M449" s="70"/>
      <c r="N449" s="70" t="s">
        <v>215</v>
      </c>
      <c r="O449" s="70" t="s">
        <v>122</v>
      </c>
      <c r="P449" s="70" t="s">
        <v>7</v>
      </c>
      <c r="Q449" s="106" t="s">
        <v>246</v>
      </c>
      <c r="R449" s="106" t="s">
        <v>158</v>
      </c>
    </row>
    <row r="450" spans="2:18" ht="37.5" customHeight="1">
      <c r="B450" s="63" t="str">
        <f t="shared" si="6"/>
        <v>No447</v>
      </c>
      <c r="C450" s="70" t="s">
        <v>142</v>
      </c>
      <c r="D450" s="70" t="s">
        <v>155</v>
      </c>
      <c r="E450" s="105">
        <v>45982</v>
      </c>
      <c r="F450" s="72">
        <v>0.42708333333333331</v>
      </c>
      <c r="G450" s="72">
        <v>0.43402777777777779</v>
      </c>
      <c r="H450" s="72">
        <v>6.9444444444444441E-3</v>
      </c>
      <c r="I450" s="105">
        <v>45982</v>
      </c>
      <c r="J450" s="105">
        <v>45982</v>
      </c>
      <c r="K450" s="70" t="s">
        <v>119</v>
      </c>
      <c r="L450" s="70" t="s">
        <v>111</v>
      </c>
      <c r="M450" s="70"/>
      <c r="N450" s="70" t="s">
        <v>339</v>
      </c>
      <c r="O450" s="70" t="s">
        <v>122</v>
      </c>
      <c r="P450" s="70" t="s">
        <v>7</v>
      </c>
      <c r="Q450" s="106" t="s">
        <v>246</v>
      </c>
      <c r="R450" s="106" t="s">
        <v>158</v>
      </c>
    </row>
    <row r="451" spans="2:18" ht="37.5" customHeight="1">
      <c r="B451" s="63" t="str">
        <f t="shared" si="6"/>
        <v>No448</v>
      </c>
      <c r="C451" s="70" t="s">
        <v>142</v>
      </c>
      <c r="D451" s="70" t="s">
        <v>155</v>
      </c>
      <c r="E451" s="105">
        <v>45982</v>
      </c>
      <c r="F451" s="72">
        <v>0.58333333333333337</v>
      </c>
      <c r="G451" s="72">
        <v>0.59027777777777779</v>
      </c>
      <c r="H451" s="72">
        <v>6.9444444444444441E-3</v>
      </c>
      <c r="I451" s="105">
        <v>45982</v>
      </c>
      <c r="J451" s="105">
        <v>45982</v>
      </c>
      <c r="K451" s="70" t="s">
        <v>119</v>
      </c>
      <c r="L451" s="70" t="s">
        <v>111</v>
      </c>
      <c r="M451" s="70"/>
      <c r="N451" s="70" t="s">
        <v>339</v>
      </c>
      <c r="O451" s="70" t="s">
        <v>122</v>
      </c>
      <c r="P451" s="70" t="s">
        <v>7</v>
      </c>
      <c r="Q451" s="106" t="s">
        <v>246</v>
      </c>
      <c r="R451" s="106" t="s">
        <v>158</v>
      </c>
    </row>
    <row r="452" spans="2:18" ht="37.5" customHeight="1">
      <c r="B452" s="63" t="str">
        <f t="shared" ref="B452:B515" si="7">"No"&amp;ROW()-3</f>
        <v>No449</v>
      </c>
      <c r="C452" s="70" t="s">
        <v>3</v>
      </c>
      <c r="D452" s="70" t="s">
        <v>4</v>
      </c>
      <c r="E452" s="105">
        <v>45982</v>
      </c>
      <c r="F452" s="72">
        <v>0.625</v>
      </c>
      <c r="G452" s="72">
        <v>0.6875</v>
      </c>
      <c r="H452" s="72">
        <v>6.25E-2</v>
      </c>
      <c r="I452" s="105">
        <v>45982</v>
      </c>
      <c r="J452" s="105">
        <v>45982</v>
      </c>
      <c r="K452" s="70" t="s">
        <v>40</v>
      </c>
      <c r="L452" s="70" t="s">
        <v>41</v>
      </c>
      <c r="M452" s="70"/>
      <c r="N452" s="70" t="s">
        <v>180</v>
      </c>
      <c r="O452" s="70" t="s">
        <v>6</v>
      </c>
      <c r="P452" s="70" t="s">
        <v>7</v>
      </c>
      <c r="Q452" s="106" t="s">
        <v>702</v>
      </c>
      <c r="R452" s="106" t="s">
        <v>703</v>
      </c>
    </row>
    <row r="453" spans="2:18" ht="37.5" customHeight="1">
      <c r="B453" s="63" t="str">
        <f t="shared" si="7"/>
        <v>No450</v>
      </c>
      <c r="C453" s="70" t="s">
        <v>142</v>
      </c>
      <c r="D453" s="70" t="s">
        <v>155</v>
      </c>
      <c r="E453" s="105">
        <v>45982</v>
      </c>
      <c r="F453" s="72">
        <v>0.63541666666666663</v>
      </c>
      <c r="G453" s="72">
        <v>0.66666666666666663</v>
      </c>
      <c r="H453" s="72">
        <v>1.041666666666667E-2</v>
      </c>
      <c r="I453" s="105">
        <v>45982</v>
      </c>
      <c r="J453" s="105">
        <v>45982</v>
      </c>
      <c r="K453" s="70" t="s">
        <v>119</v>
      </c>
      <c r="L453" s="70" t="s">
        <v>77</v>
      </c>
      <c r="M453" s="70"/>
      <c r="N453" s="70" t="s">
        <v>144</v>
      </c>
      <c r="O453" s="70" t="s">
        <v>122</v>
      </c>
      <c r="P453" s="70" t="s">
        <v>7</v>
      </c>
      <c r="Q453" s="106" t="s">
        <v>704</v>
      </c>
      <c r="R453" s="106" t="s">
        <v>158</v>
      </c>
    </row>
    <row r="454" spans="2:18" ht="37.5" customHeight="1">
      <c r="B454" s="63" t="str">
        <f t="shared" si="7"/>
        <v>No451</v>
      </c>
      <c r="C454" s="70" t="s">
        <v>142</v>
      </c>
      <c r="D454" s="70" t="s">
        <v>155</v>
      </c>
      <c r="E454" s="105">
        <v>45982</v>
      </c>
      <c r="F454" s="72">
        <v>0.71180555555555558</v>
      </c>
      <c r="G454" s="72">
        <v>0.71875</v>
      </c>
      <c r="H454" s="72">
        <v>6.9444444444444441E-3</v>
      </c>
      <c r="I454" s="105">
        <v>45982</v>
      </c>
      <c r="J454" s="105">
        <v>45982</v>
      </c>
      <c r="K454" s="70" t="s">
        <v>119</v>
      </c>
      <c r="L454" s="70" t="s">
        <v>111</v>
      </c>
      <c r="M454" s="70"/>
      <c r="N454" s="70" t="s">
        <v>339</v>
      </c>
      <c r="O454" s="70" t="s">
        <v>122</v>
      </c>
      <c r="P454" s="70" t="s">
        <v>7</v>
      </c>
      <c r="Q454" s="106" t="s">
        <v>246</v>
      </c>
      <c r="R454" s="106" t="s">
        <v>158</v>
      </c>
    </row>
    <row r="455" spans="2:18" ht="37.5" customHeight="1">
      <c r="B455" s="63" t="str">
        <f t="shared" si="7"/>
        <v>No452</v>
      </c>
      <c r="C455" s="70" t="s">
        <v>142</v>
      </c>
      <c r="D455" s="70" t="s">
        <v>4</v>
      </c>
      <c r="E455" s="105">
        <v>45983</v>
      </c>
      <c r="F455" s="72">
        <v>0.375</v>
      </c>
      <c r="G455" s="72">
        <v>0.5</v>
      </c>
      <c r="H455" s="72">
        <v>0.125</v>
      </c>
      <c r="I455" s="105">
        <v>45983</v>
      </c>
      <c r="J455" s="105">
        <v>45983</v>
      </c>
      <c r="K455" s="70" t="s">
        <v>143</v>
      </c>
      <c r="L455" s="70" t="s">
        <v>176</v>
      </c>
      <c r="M455" s="70"/>
      <c r="N455" s="70" t="s">
        <v>332</v>
      </c>
      <c r="O455" s="70" t="s">
        <v>122</v>
      </c>
      <c r="P455" s="70" t="s">
        <v>7</v>
      </c>
      <c r="Q455" s="106" t="s">
        <v>705</v>
      </c>
      <c r="R455" s="106" t="s">
        <v>706</v>
      </c>
    </row>
    <row r="456" spans="2:18" ht="37.5" customHeight="1">
      <c r="B456" s="63" t="str">
        <f t="shared" si="7"/>
        <v>No453</v>
      </c>
      <c r="C456" s="70" t="s">
        <v>142</v>
      </c>
      <c r="D456" s="70" t="s">
        <v>4</v>
      </c>
      <c r="E456" s="105">
        <v>45984</v>
      </c>
      <c r="F456" s="72">
        <v>0.375</v>
      </c>
      <c r="G456" s="72">
        <v>0.58333333333333337</v>
      </c>
      <c r="H456" s="72">
        <v>0.20833333333333329</v>
      </c>
      <c r="I456" s="105">
        <v>45984</v>
      </c>
      <c r="J456" s="105">
        <v>45986</v>
      </c>
      <c r="K456" s="70" t="s">
        <v>40</v>
      </c>
      <c r="L456" s="70" t="s">
        <v>176</v>
      </c>
      <c r="M456" s="70"/>
      <c r="N456" s="70" t="s">
        <v>332</v>
      </c>
      <c r="O456" s="70" t="s">
        <v>122</v>
      </c>
      <c r="P456" s="70" t="s">
        <v>7</v>
      </c>
      <c r="Q456" s="106" t="s">
        <v>707</v>
      </c>
      <c r="R456" s="107" t="s">
        <v>708</v>
      </c>
    </row>
    <row r="457" spans="2:18" ht="37.5" customHeight="1">
      <c r="B457" s="63" t="str">
        <f t="shared" si="7"/>
        <v>No454</v>
      </c>
      <c r="C457" s="70" t="s">
        <v>142</v>
      </c>
      <c r="D457" s="70" t="s">
        <v>4</v>
      </c>
      <c r="E457" s="105">
        <v>45984</v>
      </c>
      <c r="F457" s="72">
        <v>0.375</v>
      </c>
      <c r="G457" s="72">
        <v>0.625</v>
      </c>
      <c r="H457" s="72">
        <v>0.25</v>
      </c>
      <c r="I457" s="105">
        <v>45984</v>
      </c>
      <c r="J457" s="105">
        <v>45984</v>
      </c>
      <c r="K457" s="70" t="s">
        <v>143</v>
      </c>
      <c r="L457" s="70" t="s">
        <v>176</v>
      </c>
      <c r="M457" s="70"/>
      <c r="N457" s="70" t="s">
        <v>332</v>
      </c>
      <c r="O457" s="70" t="s">
        <v>122</v>
      </c>
      <c r="P457" s="70" t="s">
        <v>7</v>
      </c>
      <c r="Q457" s="106" t="s">
        <v>705</v>
      </c>
      <c r="R457" s="106" t="s">
        <v>709</v>
      </c>
    </row>
    <row r="458" spans="2:18" ht="37.5" customHeight="1">
      <c r="B458" s="63" t="str">
        <f t="shared" si="7"/>
        <v>No455</v>
      </c>
      <c r="C458" s="70" t="s">
        <v>142</v>
      </c>
      <c r="D458" s="70" t="s">
        <v>4</v>
      </c>
      <c r="E458" s="105">
        <v>45985</v>
      </c>
      <c r="F458" s="72">
        <v>0.375</v>
      </c>
      <c r="G458" s="72">
        <v>0.625</v>
      </c>
      <c r="H458" s="72">
        <v>0.25</v>
      </c>
      <c r="I458" s="105">
        <v>45985</v>
      </c>
      <c r="J458" s="105">
        <v>45985</v>
      </c>
      <c r="K458" s="70" t="s">
        <v>143</v>
      </c>
      <c r="L458" s="70" t="s">
        <v>176</v>
      </c>
      <c r="M458" s="70"/>
      <c r="N458" s="70" t="s">
        <v>332</v>
      </c>
      <c r="O458" s="70" t="s">
        <v>122</v>
      </c>
      <c r="P458" s="70" t="s">
        <v>7</v>
      </c>
      <c r="Q458" s="106" t="s">
        <v>705</v>
      </c>
      <c r="R458" s="107" t="s">
        <v>710</v>
      </c>
    </row>
    <row r="459" spans="2:18" ht="37.5" customHeight="1">
      <c r="B459" s="63" t="str">
        <f t="shared" si="7"/>
        <v>No456</v>
      </c>
      <c r="C459" s="70" t="s">
        <v>142</v>
      </c>
      <c r="D459" s="70" t="s">
        <v>4</v>
      </c>
      <c r="E459" s="105">
        <v>45986</v>
      </c>
      <c r="F459" s="72">
        <v>0.375</v>
      </c>
      <c r="G459" s="72">
        <v>0.49305555555555558</v>
      </c>
      <c r="H459" s="72">
        <v>0.11805555555555559</v>
      </c>
      <c r="I459" s="105">
        <v>45986</v>
      </c>
      <c r="J459" s="105">
        <v>45986</v>
      </c>
      <c r="K459" s="70" t="s">
        <v>40</v>
      </c>
      <c r="L459" s="70" t="s">
        <v>176</v>
      </c>
      <c r="M459" s="70"/>
      <c r="N459" s="70" t="s">
        <v>332</v>
      </c>
      <c r="O459" s="70" t="s">
        <v>122</v>
      </c>
      <c r="P459" s="70" t="s">
        <v>7</v>
      </c>
      <c r="Q459" s="106" t="s">
        <v>707</v>
      </c>
      <c r="R459" s="106" t="s">
        <v>711</v>
      </c>
    </row>
    <row r="460" spans="2:18" ht="37.5" customHeight="1">
      <c r="B460" s="63" t="str">
        <f t="shared" si="7"/>
        <v>No457</v>
      </c>
      <c r="C460" s="70" t="s">
        <v>142</v>
      </c>
      <c r="D460" s="70" t="s">
        <v>4</v>
      </c>
      <c r="E460" s="105">
        <v>45986</v>
      </c>
      <c r="F460" s="72">
        <v>0.375</v>
      </c>
      <c r="G460" s="72">
        <v>0.5</v>
      </c>
      <c r="H460" s="72">
        <v>0.125</v>
      </c>
      <c r="I460" s="105">
        <v>45981</v>
      </c>
      <c r="J460" s="105">
        <v>45981</v>
      </c>
      <c r="K460" s="70" t="s">
        <v>20</v>
      </c>
      <c r="L460" s="70" t="s">
        <v>159</v>
      </c>
      <c r="M460" s="70"/>
      <c r="N460" s="70" t="s">
        <v>144</v>
      </c>
      <c r="O460" s="70" t="s">
        <v>6</v>
      </c>
      <c r="P460" s="70" t="s">
        <v>7</v>
      </c>
      <c r="Q460" s="106" t="s">
        <v>712</v>
      </c>
      <c r="R460" s="106" t="s">
        <v>701</v>
      </c>
    </row>
    <row r="461" spans="2:18" ht="37.5" customHeight="1">
      <c r="B461" s="63" t="str">
        <f t="shared" si="7"/>
        <v>No458</v>
      </c>
      <c r="C461" s="70" t="s">
        <v>142</v>
      </c>
      <c r="D461" s="70" t="s">
        <v>4</v>
      </c>
      <c r="E461" s="105">
        <v>45986</v>
      </c>
      <c r="F461" s="72">
        <v>0.375</v>
      </c>
      <c r="G461" s="72">
        <v>0.54166666666666663</v>
      </c>
      <c r="H461" s="72">
        <v>0.16666666666666671</v>
      </c>
      <c r="I461" s="105">
        <v>45986</v>
      </c>
      <c r="J461" s="105">
        <v>45986</v>
      </c>
      <c r="K461" s="70" t="s">
        <v>143</v>
      </c>
      <c r="L461" s="70" t="s">
        <v>176</v>
      </c>
      <c r="M461" s="70"/>
      <c r="N461" s="70" t="s">
        <v>332</v>
      </c>
      <c r="O461" s="70" t="s">
        <v>122</v>
      </c>
      <c r="P461" s="70" t="s">
        <v>7</v>
      </c>
      <c r="Q461" s="106" t="s">
        <v>705</v>
      </c>
      <c r="R461" s="106" t="s">
        <v>713</v>
      </c>
    </row>
    <row r="462" spans="2:18" ht="37.5" customHeight="1">
      <c r="B462" s="63" t="str">
        <f t="shared" si="7"/>
        <v>No459</v>
      </c>
      <c r="C462" s="70" t="s">
        <v>142</v>
      </c>
      <c r="D462" s="70" t="s">
        <v>155</v>
      </c>
      <c r="E462" s="105">
        <v>45986</v>
      </c>
      <c r="F462" s="72">
        <v>0.43055555555555558</v>
      </c>
      <c r="G462" s="72">
        <v>0.59375</v>
      </c>
      <c r="H462" s="72">
        <v>6.9444444444444441E-3</v>
      </c>
      <c r="I462" s="105">
        <v>45986</v>
      </c>
      <c r="J462" s="105">
        <v>45986</v>
      </c>
      <c r="K462" s="70" t="s">
        <v>119</v>
      </c>
      <c r="L462" s="70" t="s">
        <v>111</v>
      </c>
      <c r="M462" s="70"/>
      <c r="N462" s="70" t="s">
        <v>229</v>
      </c>
      <c r="O462" s="70" t="s">
        <v>122</v>
      </c>
      <c r="P462" s="70" t="s">
        <v>7</v>
      </c>
      <c r="Q462" s="106" t="s">
        <v>482</v>
      </c>
      <c r="R462" s="106" t="s">
        <v>158</v>
      </c>
    </row>
    <row r="463" spans="2:18" ht="37.5" customHeight="1">
      <c r="B463" s="63" t="str">
        <f t="shared" si="7"/>
        <v>No460</v>
      </c>
      <c r="C463" s="70" t="s">
        <v>3</v>
      </c>
      <c r="D463" s="70" t="s">
        <v>4</v>
      </c>
      <c r="E463" s="105">
        <v>45986</v>
      </c>
      <c r="F463" s="72">
        <v>0.45833333333333331</v>
      </c>
      <c r="G463" s="72">
        <v>0.5</v>
      </c>
      <c r="H463" s="72">
        <v>4.1666666666666657E-2</v>
      </c>
      <c r="I463" s="105">
        <v>45986</v>
      </c>
      <c r="J463" s="105">
        <v>45986</v>
      </c>
      <c r="K463" s="70" t="s">
        <v>45</v>
      </c>
      <c r="L463" s="70" t="s">
        <v>26</v>
      </c>
      <c r="M463" s="70"/>
      <c r="N463" s="70" t="s">
        <v>167</v>
      </c>
      <c r="O463" s="70" t="s">
        <v>122</v>
      </c>
      <c r="P463" s="70" t="s">
        <v>7</v>
      </c>
      <c r="Q463" s="106" t="s">
        <v>714</v>
      </c>
      <c r="R463" s="107" t="s">
        <v>715</v>
      </c>
    </row>
    <row r="464" spans="2:18" ht="37.5" customHeight="1">
      <c r="B464" s="63" t="str">
        <f t="shared" si="7"/>
        <v>No461</v>
      </c>
      <c r="C464" s="70" t="s">
        <v>142</v>
      </c>
      <c r="D464" s="70" t="s">
        <v>155</v>
      </c>
      <c r="E464" s="105">
        <v>45986</v>
      </c>
      <c r="F464" s="72">
        <v>0.48958333333333331</v>
      </c>
      <c r="G464" s="72">
        <v>0.59375</v>
      </c>
      <c r="H464" s="72">
        <v>6.9444444444444441E-3</v>
      </c>
      <c r="I464" s="105">
        <v>45986</v>
      </c>
      <c r="J464" s="105">
        <v>45986</v>
      </c>
      <c r="K464" s="70" t="s">
        <v>119</v>
      </c>
      <c r="L464" s="70" t="s">
        <v>111</v>
      </c>
      <c r="M464" s="70"/>
      <c r="N464" s="70" t="s">
        <v>245</v>
      </c>
      <c r="O464" s="70" t="s">
        <v>122</v>
      </c>
      <c r="P464" s="70" t="s">
        <v>7</v>
      </c>
      <c r="Q464" s="106" t="s">
        <v>246</v>
      </c>
      <c r="R464" s="106" t="s">
        <v>158</v>
      </c>
    </row>
    <row r="465" spans="2:18" ht="37.5" customHeight="1">
      <c r="B465" s="63" t="str">
        <f t="shared" si="7"/>
        <v>No462</v>
      </c>
      <c r="C465" s="70" t="s">
        <v>142</v>
      </c>
      <c r="D465" s="70" t="s">
        <v>4</v>
      </c>
      <c r="E465" s="105">
        <v>45986</v>
      </c>
      <c r="F465" s="72">
        <v>0.54166666666666663</v>
      </c>
      <c r="G465" s="72">
        <v>0.75</v>
      </c>
      <c r="H465" s="72">
        <v>0.20833333333333329</v>
      </c>
      <c r="I465" s="105">
        <v>45986</v>
      </c>
      <c r="J465" s="105">
        <v>45986</v>
      </c>
      <c r="K465" s="70" t="s">
        <v>20</v>
      </c>
      <c r="L465" s="70" t="s">
        <v>21</v>
      </c>
      <c r="M465" s="70"/>
      <c r="N465" s="70" t="s">
        <v>183</v>
      </c>
      <c r="O465" s="70" t="s">
        <v>6</v>
      </c>
      <c r="P465" s="70" t="s">
        <v>7</v>
      </c>
      <c r="Q465" s="106" t="s">
        <v>700</v>
      </c>
      <c r="R465" s="107" t="s">
        <v>701</v>
      </c>
    </row>
    <row r="466" spans="2:18" ht="37.5" customHeight="1">
      <c r="B466" s="63" t="str">
        <f t="shared" si="7"/>
        <v>No463</v>
      </c>
      <c r="C466" s="70" t="s">
        <v>142</v>
      </c>
      <c r="D466" s="70" t="s">
        <v>4</v>
      </c>
      <c r="E466" s="105">
        <v>45986</v>
      </c>
      <c r="F466" s="72">
        <v>0.58333333333333337</v>
      </c>
      <c r="G466" s="72">
        <v>0.6875</v>
      </c>
      <c r="H466" s="72">
        <v>0.1041666666666667</v>
      </c>
      <c r="I466" s="105">
        <v>45986</v>
      </c>
      <c r="J466" s="105">
        <v>45986</v>
      </c>
      <c r="K466" s="70" t="s">
        <v>45</v>
      </c>
      <c r="L466" s="70" t="s">
        <v>21</v>
      </c>
      <c r="M466" s="70"/>
      <c r="N466" s="70" t="s">
        <v>183</v>
      </c>
      <c r="O466" s="70" t="s">
        <v>6</v>
      </c>
      <c r="P466" s="70" t="s">
        <v>7</v>
      </c>
      <c r="Q466" s="106" t="s">
        <v>700</v>
      </c>
      <c r="R466" s="106" t="s">
        <v>701</v>
      </c>
    </row>
    <row r="467" spans="2:18" ht="37.5" customHeight="1">
      <c r="B467" s="63" t="str">
        <f t="shared" si="7"/>
        <v>No464</v>
      </c>
      <c r="C467" s="70" t="s">
        <v>142</v>
      </c>
      <c r="D467" s="70" t="s">
        <v>4</v>
      </c>
      <c r="E467" s="105">
        <v>45986</v>
      </c>
      <c r="F467" s="72">
        <v>0.625</v>
      </c>
      <c r="G467" s="72">
        <v>0.75</v>
      </c>
      <c r="H467" s="72">
        <v>0.125</v>
      </c>
      <c r="I467" s="105">
        <v>45981</v>
      </c>
      <c r="J467" s="105">
        <v>45981</v>
      </c>
      <c r="K467" s="70" t="s">
        <v>45</v>
      </c>
      <c r="L467" s="70" t="s">
        <v>159</v>
      </c>
      <c r="M467" s="70"/>
      <c r="N467" s="70" t="s">
        <v>144</v>
      </c>
      <c r="O467" s="70" t="s">
        <v>6</v>
      </c>
      <c r="P467" s="70" t="s">
        <v>7</v>
      </c>
      <c r="Q467" s="106" t="s">
        <v>712</v>
      </c>
      <c r="R467" s="106" t="s">
        <v>701</v>
      </c>
    </row>
    <row r="468" spans="2:18" ht="37.5" customHeight="1">
      <c r="B468" s="63" t="str">
        <f t="shared" si="7"/>
        <v>No465</v>
      </c>
      <c r="C468" s="70" t="s">
        <v>142</v>
      </c>
      <c r="D468" s="70" t="s">
        <v>155</v>
      </c>
      <c r="E468" s="105">
        <v>45986</v>
      </c>
      <c r="F468" s="72">
        <v>0.65972222222222221</v>
      </c>
      <c r="G468" s="72">
        <v>0.73958333333333337</v>
      </c>
      <c r="H468" s="72">
        <v>6.9444444444444441E-3</v>
      </c>
      <c r="I468" s="105">
        <v>45986</v>
      </c>
      <c r="J468" s="105">
        <v>45986</v>
      </c>
      <c r="K468" s="70" t="s">
        <v>119</v>
      </c>
      <c r="L468" s="70" t="s">
        <v>159</v>
      </c>
      <c r="M468" s="70"/>
      <c r="N468" s="70" t="s">
        <v>187</v>
      </c>
      <c r="O468" s="70" t="s">
        <v>122</v>
      </c>
      <c r="P468" s="70" t="s">
        <v>7</v>
      </c>
      <c r="Q468" s="106" t="s">
        <v>482</v>
      </c>
      <c r="R468" s="106" t="s">
        <v>158</v>
      </c>
    </row>
    <row r="469" spans="2:18" ht="37.5" customHeight="1">
      <c r="B469" s="63" t="str">
        <f t="shared" si="7"/>
        <v>No466</v>
      </c>
      <c r="C469" s="70" t="s">
        <v>142</v>
      </c>
      <c r="D469" s="70" t="s">
        <v>155</v>
      </c>
      <c r="E469" s="105">
        <v>45986</v>
      </c>
      <c r="F469" s="72">
        <v>0.69444444444444442</v>
      </c>
      <c r="G469" s="72">
        <v>0.74652777777777779</v>
      </c>
      <c r="H469" s="72">
        <v>6.9444444444444441E-3</v>
      </c>
      <c r="I469" s="105">
        <v>45986</v>
      </c>
      <c r="J469" s="105">
        <v>45986</v>
      </c>
      <c r="K469" s="70" t="s">
        <v>119</v>
      </c>
      <c r="L469" s="70" t="s">
        <v>111</v>
      </c>
      <c r="M469" s="70"/>
      <c r="N469" s="70" t="s">
        <v>215</v>
      </c>
      <c r="O469" s="70" t="s">
        <v>122</v>
      </c>
      <c r="P469" s="70" t="s">
        <v>7</v>
      </c>
      <c r="Q469" s="106" t="s">
        <v>246</v>
      </c>
      <c r="R469" s="106" t="s">
        <v>158</v>
      </c>
    </row>
    <row r="470" spans="2:18" ht="37.5" customHeight="1">
      <c r="B470" s="63" t="str">
        <f t="shared" si="7"/>
        <v>No467</v>
      </c>
      <c r="C470" s="70" t="s">
        <v>142</v>
      </c>
      <c r="D470" s="70" t="s">
        <v>155</v>
      </c>
      <c r="E470" s="105">
        <v>45986</v>
      </c>
      <c r="F470" s="72">
        <v>0.72916666666666663</v>
      </c>
      <c r="G470" s="72">
        <v>0.75</v>
      </c>
      <c r="H470" s="72">
        <v>6.9444444444444441E-3</v>
      </c>
      <c r="I470" s="105">
        <v>45986</v>
      </c>
      <c r="J470" s="105">
        <v>45986</v>
      </c>
      <c r="K470" s="70" t="s">
        <v>119</v>
      </c>
      <c r="L470" s="70" t="s">
        <v>111</v>
      </c>
      <c r="M470" s="70"/>
      <c r="N470" s="70" t="s">
        <v>205</v>
      </c>
      <c r="O470" s="70" t="s">
        <v>122</v>
      </c>
      <c r="P470" s="70" t="s">
        <v>7</v>
      </c>
      <c r="Q470" s="106" t="s">
        <v>482</v>
      </c>
      <c r="R470" s="106" t="s">
        <v>158</v>
      </c>
    </row>
    <row r="471" spans="2:18" ht="37.5" customHeight="1">
      <c r="B471" s="63" t="str">
        <f t="shared" si="7"/>
        <v>No468</v>
      </c>
      <c r="C471" s="70" t="s">
        <v>142</v>
      </c>
      <c r="D471" s="70" t="s">
        <v>155</v>
      </c>
      <c r="E471" s="105">
        <v>45986</v>
      </c>
      <c r="F471" s="72">
        <v>0.75694444444444442</v>
      </c>
      <c r="G471" s="72">
        <v>0.76388888888888884</v>
      </c>
      <c r="H471" s="72">
        <v>6.9444444444444441E-3</v>
      </c>
      <c r="I471" s="105">
        <v>45986</v>
      </c>
      <c r="J471" s="105">
        <v>45986</v>
      </c>
      <c r="K471" s="70" t="s">
        <v>119</v>
      </c>
      <c r="L471" s="70" t="s">
        <v>111</v>
      </c>
      <c r="M471" s="70"/>
      <c r="N471" s="70" t="s">
        <v>205</v>
      </c>
      <c r="O471" s="70" t="s">
        <v>122</v>
      </c>
      <c r="P471" s="70" t="s">
        <v>7</v>
      </c>
      <c r="Q471" s="106" t="s">
        <v>482</v>
      </c>
      <c r="R471" s="106" t="s">
        <v>158</v>
      </c>
    </row>
    <row r="472" spans="2:18" ht="37.5" customHeight="1">
      <c r="B472" s="63" t="str">
        <f t="shared" si="7"/>
        <v>No469</v>
      </c>
      <c r="C472" s="70" t="s">
        <v>142</v>
      </c>
      <c r="D472" s="70" t="s">
        <v>4</v>
      </c>
      <c r="E472" s="105">
        <v>45987</v>
      </c>
      <c r="F472" s="72">
        <v>0.41666666666666669</v>
      </c>
      <c r="G472" s="72">
        <v>0.79166666666666663</v>
      </c>
      <c r="H472" s="72">
        <v>0.375</v>
      </c>
      <c r="I472" s="105">
        <v>45987</v>
      </c>
      <c r="J472" s="105">
        <v>45987</v>
      </c>
      <c r="K472" s="70" t="s">
        <v>143</v>
      </c>
      <c r="L472" s="70" t="s">
        <v>120</v>
      </c>
      <c r="M472" s="70"/>
      <c r="N472" s="70" t="s">
        <v>332</v>
      </c>
      <c r="O472" s="70" t="s">
        <v>6</v>
      </c>
      <c r="P472" s="70" t="s">
        <v>7</v>
      </c>
      <c r="Q472" s="106" t="s">
        <v>716</v>
      </c>
      <c r="R472" s="106" t="s">
        <v>717</v>
      </c>
    </row>
    <row r="473" spans="2:18" ht="37.5" customHeight="1">
      <c r="B473" s="63" t="str">
        <f t="shared" si="7"/>
        <v>No470</v>
      </c>
      <c r="C473" s="70" t="s">
        <v>142</v>
      </c>
      <c r="D473" s="70" t="s">
        <v>155</v>
      </c>
      <c r="E473" s="105">
        <v>45987</v>
      </c>
      <c r="F473" s="72">
        <v>0.47916666666666669</v>
      </c>
      <c r="G473" s="72">
        <v>0.54166666666666663</v>
      </c>
      <c r="H473" s="72">
        <v>6.9444444444444441E-3</v>
      </c>
      <c r="I473" s="105">
        <v>45987</v>
      </c>
      <c r="J473" s="105">
        <v>45987</v>
      </c>
      <c r="K473" s="70" t="s">
        <v>119</v>
      </c>
      <c r="L473" s="70" t="s">
        <v>77</v>
      </c>
      <c r="M473" s="70"/>
      <c r="N473" s="70" t="s">
        <v>198</v>
      </c>
      <c r="O473" s="70" t="s">
        <v>122</v>
      </c>
      <c r="P473" s="70" t="s">
        <v>7</v>
      </c>
      <c r="Q473" s="106" t="s">
        <v>593</v>
      </c>
      <c r="R473" s="106" t="s">
        <v>158</v>
      </c>
    </row>
    <row r="474" spans="2:18" ht="37.5" customHeight="1">
      <c r="B474" s="63" t="str">
        <f t="shared" si="7"/>
        <v>No471</v>
      </c>
      <c r="C474" s="70" t="s">
        <v>142</v>
      </c>
      <c r="D474" s="70" t="s">
        <v>155</v>
      </c>
      <c r="E474" s="105">
        <v>45988</v>
      </c>
      <c r="F474" s="72">
        <v>0.3923611111111111</v>
      </c>
      <c r="G474" s="72">
        <v>0.39930555555555558</v>
      </c>
      <c r="H474" s="72">
        <v>6.9444444444444441E-3</v>
      </c>
      <c r="I474" s="105">
        <v>45988</v>
      </c>
      <c r="J474" s="105">
        <v>45988</v>
      </c>
      <c r="K474" s="70" t="s">
        <v>119</v>
      </c>
      <c r="L474" s="70" t="s">
        <v>77</v>
      </c>
      <c r="M474" s="70"/>
      <c r="N474" s="70" t="s">
        <v>402</v>
      </c>
      <c r="O474" s="70" t="s">
        <v>122</v>
      </c>
      <c r="P474" s="70" t="s">
        <v>7</v>
      </c>
      <c r="Q474" s="106" t="s">
        <v>482</v>
      </c>
      <c r="R474" s="106" t="s">
        <v>158</v>
      </c>
    </row>
    <row r="475" spans="2:18" ht="37.5" customHeight="1">
      <c r="B475" s="63" t="str">
        <f t="shared" si="7"/>
        <v>No472</v>
      </c>
      <c r="C475" s="70" t="s">
        <v>142</v>
      </c>
      <c r="D475" s="70" t="s">
        <v>155</v>
      </c>
      <c r="E475" s="105">
        <v>45988</v>
      </c>
      <c r="F475" s="72">
        <v>0.44791666666666669</v>
      </c>
      <c r="G475" s="72">
        <v>0.4548611111111111</v>
      </c>
      <c r="H475" s="72">
        <v>6.9444444444444441E-3</v>
      </c>
      <c r="I475" s="105">
        <v>45988</v>
      </c>
      <c r="J475" s="105">
        <v>45988</v>
      </c>
      <c r="K475" s="70" t="s">
        <v>119</v>
      </c>
      <c r="L475" s="70" t="s">
        <v>159</v>
      </c>
      <c r="M475" s="70"/>
      <c r="N475" s="70" t="s">
        <v>187</v>
      </c>
      <c r="O475" s="70" t="s">
        <v>122</v>
      </c>
      <c r="P475" s="70" t="s">
        <v>7</v>
      </c>
      <c r="Q475" s="106" t="s">
        <v>482</v>
      </c>
      <c r="R475" s="106" t="s">
        <v>158</v>
      </c>
    </row>
    <row r="476" spans="2:18" ht="37.5" customHeight="1">
      <c r="B476" s="63" t="str">
        <f t="shared" si="7"/>
        <v>No473</v>
      </c>
      <c r="C476" s="70" t="s">
        <v>142</v>
      </c>
      <c r="D476" s="70" t="s">
        <v>155</v>
      </c>
      <c r="E476" s="105">
        <v>45988</v>
      </c>
      <c r="F476" s="72">
        <v>0.4548611111111111</v>
      </c>
      <c r="G476" s="72">
        <v>0.5</v>
      </c>
      <c r="H476" s="72">
        <v>2.0833333333333329E-2</v>
      </c>
      <c r="I476" s="105">
        <v>45988</v>
      </c>
      <c r="J476" s="105">
        <v>45988</v>
      </c>
      <c r="K476" s="70" t="s">
        <v>119</v>
      </c>
      <c r="L476" s="70" t="s">
        <v>176</v>
      </c>
      <c r="M476" s="70"/>
      <c r="N476" s="70" t="s">
        <v>156</v>
      </c>
      <c r="O476" s="70" t="s">
        <v>122</v>
      </c>
      <c r="P476" s="70" t="s">
        <v>7</v>
      </c>
      <c r="Q476" s="106" t="s">
        <v>617</v>
      </c>
      <c r="R476" s="106" t="s">
        <v>158</v>
      </c>
    </row>
    <row r="477" spans="2:18" ht="37.5" customHeight="1">
      <c r="B477" s="63" t="str">
        <f t="shared" si="7"/>
        <v>No474</v>
      </c>
      <c r="C477" s="70" t="s">
        <v>142</v>
      </c>
      <c r="D477" s="70" t="s">
        <v>155</v>
      </c>
      <c r="E477" s="105">
        <v>45988</v>
      </c>
      <c r="F477" s="72">
        <v>0.54166666666666663</v>
      </c>
      <c r="G477" s="72">
        <v>0.57291666666666663</v>
      </c>
      <c r="H477" s="72">
        <v>1.041666666666667E-2</v>
      </c>
      <c r="I477" s="105">
        <v>45988</v>
      </c>
      <c r="J477" s="105">
        <v>45988</v>
      </c>
      <c r="K477" s="70" t="s">
        <v>119</v>
      </c>
      <c r="L477" s="70" t="s">
        <v>77</v>
      </c>
      <c r="M477" s="70"/>
      <c r="N477" s="70" t="s">
        <v>140</v>
      </c>
      <c r="O477" s="70" t="s">
        <v>122</v>
      </c>
      <c r="P477" s="70" t="s">
        <v>7</v>
      </c>
      <c r="Q477" s="106" t="s">
        <v>322</v>
      </c>
      <c r="R477" s="106" t="s">
        <v>158</v>
      </c>
    </row>
    <row r="478" spans="2:18" ht="37.5" customHeight="1">
      <c r="B478" s="63" t="str">
        <f t="shared" si="7"/>
        <v>No475</v>
      </c>
      <c r="C478" s="70" t="s">
        <v>142</v>
      </c>
      <c r="D478" s="70" t="s">
        <v>4</v>
      </c>
      <c r="E478" s="105">
        <v>45992</v>
      </c>
      <c r="F478" s="72">
        <v>0.375</v>
      </c>
      <c r="G478" s="72">
        <v>0.58333333333333337</v>
      </c>
      <c r="H478" s="72">
        <v>0.20833333333333329</v>
      </c>
      <c r="I478" s="105">
        <v>45992</v>
      </c>
      <c r="J478" s="105">
        <v>45992</v>
      </c>
      <c r="K478" s="70" t="s">
        <v>20</v>
      </c>
      <c r="L478" s="70" t="s">
        <v>21</v>
      </c>
      <c r="M478" s="70"/>
      <c r="N478" s="70" t="s">
        <v>183</v>
      </c>
      <c r="O478" s="70" t="s">
        <v>6</v>
      </c>
      <c r="P478" s="70" t="s">
        <v>7</v>
      </c>
      <c r="Q478" s="106" t="s">
        <v>718</v>
      </c>
      <c r="R478" s="106" t="s">
        <v>701</v>
      </c>
    </row>
    <row r="479" spans="2:18" ht="37.5" customHeight="1">
      <c r="B479" s="63" t="str">
        <f t="shared" si="7"/>
        <v>No476</v>
      </c>
      <c r="C479" s="70" t="s">
        <v>142</v>
      </c>
      <c r="D479" s="70" t="s">
        <v>155</v>
      </c>
      <c r="E479" s="105">
        <v>45992</v>
      </c>
      <c r="F479" s="72">
        <v>0.46875</v>
      </c>
      <c r="G479" s="72">
        <v>0.5</v>
      </c>
      <c r="H479" s="72">
        <v>6.9444444444444441E-3</v>
      </c>
      <c r="I479" s="105">
        <v>45992</v>
      </c>
      <c r="J479" s="105">
        <v>45992</v>
      </c>
      <c r="K479" s="70" t="s">
        <v>119</v>
      </c>
      <c r="L479" s="70" t="s">
        <v>21</v>
      </c>
      <c r="M479" s="70"/>
      <c r="N479" s="70" t="s">
        <v>198</v>
      </c>
      <c r="O479" s="70" t="s">
        <v>122</v>
      </c>
      <c r="P479" s="70" t="s">
        <v>7</v>
      </c>
      <c r="Q479" s="106" t="s">
        <v>593</v>
      </c>
      <c r="R479" s="106" t="s">
        <v>158</v>
      </c>
    </row>
    <row r="480" spans="2:18" ht="37.5" customHeight="1">
      <c r="B480" s="63" t="str">
        <f t="shared" si="7"/>
        <v>No477</v>
      </c>
      <c r="C480" s="70" t="s">
        <v>142</v>
      </c>
      <c r="D480" s="70" t="s">
        <v>155</v>
      </c>
      <c r="E480" s="105">
        <v>45992</v>
      </c>
      <c r="F480" s="72">
        <v>0.54166666666666663</v>
      </c>
      <c r="G480" s="72">
        <v>0.55208333333333337</v>
      </c>
      <c r="H480" s="72">
        <v>1.041666666666667E-2</v>
      </c>
      <c r="I480" s="105">
        <v>45992</v>
      </c>
      <c r="J480" s="105">
        <v>45992</v>
      </c>
      <c r="K480" s="70" t="s">
        <v>119</v>
      </c>
      <c r="L480" s="70" t="s">
        <v>111</v>
      </c>
      <c r="M480" s="70"/>
      <c r="N480" s="70" t="s">
        <v>112</v>
      </c>
      <c r="O480" s="70" t="s">
        <v>122</v>
      </c>
      <c r="P480" s="70" t="s">
        <v>7</v>
      </c>
      <c r="Q480" s="106" t="s">
        <v>482</v>
      </c>
      <c r="R480" s="106" t="s">
        <v>158</v>
      </c>
    </row>
    <row r="481" spans="2:18" ht="37.5" customHeight="1">
      <c r="B481" s="63" t="str">
        <f t="shared" si="7"/>
        <v>No478</v>
      </c>
      <c r="C481" s="70" t="s">
        <v>142</v>
      </c>
      <c r="D481" s="70" t="s">
        <v>155</v>
      </c>
      <c r="E481" s="105">
        <v>45992</v>
      </c>
      <c r="F481" s="72">
        <v>0.60416666666666663</v>
      </c>
      <c r="G481" s="72">
        <v>0.625</v>
      </c>
      <c r="H481" s="72">
        <v>2.0833333333333329E-2</v>
      </c>
      <c r="I481" s="105">
        <v>45992</v>
      </c>
      <c r="J481" s="105">
        <v>45992</v>
      </c>
      <c r="K481" s="70" t="s">
        <v>119</v>
      </c>
      <c r="L481" s="70" t="s">
        <v>21</v>
      </c>
      <c r="M481" s="70"/>
      <c r="N481" s="70" t="s">
        <v>402</v>
      </c>
      <c r="O481" s="70" t="s">
        <v>122</v>
      </c>
      <c r="P481" s="70" t="s">
        <v>7</v>
      </c>
      <c r="Q481" s="106" t="s">
        <v>719</v>
      </c>
      <c r="R481" s="106" t="s">
        <v>158</v>
      </c>
    </row>
    <row r="482" spans="2:18" ht="37.5" customHeight="1">
      <c r="B482" s="63" t="str">
        <f t="shared" si="7"/>
        <v>No479</v>
      </c>
      <c r="C482" s="70" t="s">
        <v>142</v>
      </c>
      <c r="D482" s="70" t="s">
        <v>155</v>
      </c>
      <c r="E482" s="105">
        <v>45992</v>
      </c>
      <c r="F482" s="72">
        <v>0.64583333333333337</v>
      </c>
      <c r="G482" s="72">
        <v>0.70833333333333337</v>
      </c>
      <c r="H482" s="72">
        <v>1.041666666666667E-2</v>
      </c>
      <c r="I482" s="105">
        <v>45992</v>
      </c>
      <c r="J482" s="105">
        <v>45992</v>
      </c>
      <c r="K482" s="70" t="s">
        <v>119</v>
      </c>
      <c r="L482" s="70" t="s">
        <v>77</v>
      </c>
      <c r="M482" s="70"/>
      <c r="N482" s="70" t="s">
        <v>539</v>
      </c>
      <c r="O482" s="70" t="s">
        <v>122</v>
      </c>
      <c r="P482" s="70" t="s">
        <v>7</v>
      </c>
      <c r="Q482" s="106" t="s">
        <v>322</v>
      </c>
      <c r="R482" s="106" t="s">
        <v>158</v>
      </c>
    </row>
    <row r="483" spans="2:18" ht="37.5" customHeight="1">
      <c r="B483" s="63" t="str">
        <f t="shared" si="7"/>
        <v>No480</v>
      </c>
      <c r="C483" s="70" t="s">
        <v>142</v>
      </c>
      <c r="D483" s="70" t="s">
        <v>155</v>
      </c>
      <c r="E483" s="105">
        <v>45993</v>
      </c>
      <c r="F483" s="72">
        <v>0.54166666666666663</v>
      </c>
      <c r="G483" s="72">
        <v>0.5625</v>
      </c>
      <c r="H483" s="72">
        <v>6.9444444444444441E-3</v>
      </c>
      <c r="I483" s="105">
        <v>45993</v>
      </c>
      <c r="J483" s="105">
        <v>45993</v>
      </c>
      <c r="K483" s="70" t="s">
        <v>119</v>
      </c>
      <c r="L483" s="70" t="s">
        <v>111</v>
      </c>
      <c r="M483" s="70"/>
      <c r="N483" s="70" t="s">
        <v>112</v>
      </c>
      <c r="O483" s="70" t="s">
        <v>122</v>
      </c>
      <c r="P483" s="70" t="s">
        <v>7</v>
      </c>
      <c r="Q483" s="106" t="s">
        <v>482</v>
      </c>
      <c r="R483" s="106" t="s">
        <v>158</v>
      </c>
    </row>
    <row r="484" spans="2:18" ht="37.5" customHeight="1">
      <c r="B484" s="63" t="str">
        <f t="shared" si="7"/>
        <v>No481</v>
      </c>
      <c r="C484" s="70" t="s">
        <v>142</v>
      </c>
      <c r="D484" s="70" t="s">
        <v>155</v>
      </c>
      <c r="E484" s="105">
        <v>45994</v>
      </c>
      <c r="F484" s="72">
        <v>0.66666666666666663</v>
      </c>
      <c r="G484" s="72">
        <v>0.67708333333333337</v>
      </c>
      <c r="H484" s="72">
        <v>1.041666666666667E-2</v>
      </c>
      <c r="I484" s="105">
        <v>45994</v>
      </c>
      <c r="J484" s="105">
        <v>45994</v>
      </c>
      <c r="K484" s="70" t="s">
        <v>119</v>
      </c>
      <c r="L484" s="70" t="s">
        <v>41</v>
      </c>
      <c r="M484" s="70"/>
      <c r="N484" s="70" t="s">
        <v>277</v>
      </c>
      <c r="O484" s="70" t="s">
        <v>122</v>
      </c>
      <c r="P484" s="70" t="s">
        <v>7</v>
      </c>
      <c r="Q484" s="106" t="s">
        <v>693</v>
      </c>
      <c r="R484" s="106" t="s">
        <v>158</v>
      </c>
    </row>
    <row r="485" spans="2:18" ht="37.5" customHeight="1">
      <c r="B485" s="63" t="str">
        <f t="shared" si="7"/>
        <v>No482</v>
      </c>
      <c r="C485" s="70" t="s">
        <v>3</v>
      </c>
      <c r="D485" s="70" t="s">
        <v>4</v>
      </c>
      <c r="E485" s="105">
        <v>45996</v>
      </c>
      <c r="F485" s="72">
        <v>0.625</v>
      </c>
      <c r="G485" s="72">
        <v>0.64583333333333337</v>
      </c>
      <c r="H485" s="72">
        <v>2.0833333333333329E-2</v>
      </c>
      <c r="I485" s="105">
        <v>45996</v>
      </c>
      <c r="J485" s="105">
        <v>45996</v>
      </c>
      <c r="K485" s="70" t="s">
        <v>20</v>
      </c>
      <c r="L485" s="70" t="s">
        <v>26</v>
      </c>
      <c r="M485" s="70"/>
      <c r="N485" s="70" t="s">
        <v>116</v>
      </c>
      <c r="O485" s="70" t="s">
        <v>6</v>
      </c>
      <c r="P485" s="70" t="s">
        <v>7</v>
      </c>
      <c r="Q485" s="106" t="s">
        <v>720</v>
      </c>
      <c r="R485" s="106" t="s">
        <v>721</v>
      </c>
    </row>
    <row r="486" spans="2:18" ht="37.5" customHeight="1">
      <c r="B486" s="63" t="str">
        <f t="shared" si="7"/>
        <v>No483</v>
      </c>
      <c r="C486" s="70" t="s">
        <v>166</v>
      </c>
      <c r="D486" s="70" t="s">
        <v>4</v>
      </c>
      <c r="E486" s="105">
        <v>45997</v>
      </c>
      <c r="F486" s="72">
        <v>0.54166666666666663</v>
      </c>
      <c r="G486" s="72">
        <v>0.75</v>
      </c>
      <c r="H486" s="72">
        <v>0.20833333333333329</v>
      </c>
      <c r="I486" s="105">
        <v>45997</v>
      </c>
      <c r="J486" s="105">
        <v>45997</v>
      </c>
      <c r="K486" s="70" t="s">
        <v>45</v>
      </c>
      <c r="L486" s="70" t="s">
        <v>26</v>
      </c>
      <c r="M486" s="70"/>
      <c r="N486" s="70" t="s">
        <v>167</v>
      </c>
      <c r="O486" s="70" t="s">
        <v>122</v>
      </c>
      <c r="P486" s="70" t="s">
        <v>7</v>
      </c>
      <c r="Q486" s="106" t="s">
        <v>722</v>
      </c>
      <c r="R486" s="106" t="s">
        <v>723</v>
      </c>
    </row>
    <row r="487" spans="2:18" ht="37.5" customHeight="1">
      <c r="B487" s="63" t="str">
        <f t="shared" si="7"/>
        <v>No484</v>
      </c>
      <c r="C487" s="70" t="s">
        <v>166</v>
      </c>
      <c r="D487" s="70" t="s">
        <v>4</v>
      </c>
      <c r="E487" s="105">
        <v>45998</v>
      </c>
      <c r="F487" s="72">
        <v>0.54166666666666663</v>
      </c>
      <c r="G487" s="72">
        <v>0.75</v>
      </c>
      <c r="H487" s="72">
        <v>0.20833333333333329</v>
      </c>
      <c r="I487" s="105">
        <v>45998</v>
      </c>
      <c r="J487" s="105">
        <v>45998</v>
      </c>
      <c r="K487" s="70" t="s">
        <v>45</v>
      </c>
      <c r="L487" s="70" t="s">
        <v>26</v>
      </c>
      <c r="M487" s="70"/>
      <c r="N487" s="70" t="s">
        <v>167</v>
      </c>
      <c r="O487" s="70" t="s">
        <v>122</v>
      </c>
      <c r="P487" s="70" t="s">
        <v>7</v>
      </c>
      <c r="Q487" s="106" t="s">
        <v>722</v>
      </c>
      <c r="R487" s="106" t="s">
        <v>723</v>
      </c>
    </row>
    <row r="488" spans="2:18" ht="37.5" customHeight="1">
      <c r="B488" s="63" t="str">
        <f t="shared" si="7"/>
        <v>No485</v>
      </c>
      <c r="C488" s="70" t="s">
        <v>3</v>
      </c>
      <c r="D488" s="70" t="s">
        <v>4</v>
      </c>
      <c r="E488" s="105">
        <v>45999</v>
      </c>
      <c r="F488" s="72">
        <v>0.39583333333333331</v>
      </c>
      <c r="G488" s="72">
        <v>0.40972222222222221</v>
      </c>
      <c r="H488" s="72">
        <v>1.388888888888889E-2</v>
      </c>
      <c r="I488" s="105">
        <v>45999</v>
      </c>
      <c r="J488" s="105">
        <v>45999</v>
      </c>
      <c r="K488" s="70" t="s">
        <v>143</v>
      </c>
      <c r="L488" s="70" t="s">
        <v>26</v>
      </c>
      <c r="M488" s="70"/>
      <c r="N488" s="70" t="s">
        <v>626</v>
      </c>
      <c r="O488" s="70" t="s">
        <v>6</v>
      </c>
      <c r="P488" s="70" t="s">
        <v>7</v>
      </c>
      <c r="Q488" s="106" t="s">
        <v>724</v>
      </c>
      <c r="R488" s="106" t="s">
        <v>725</v>
      </c>
    </row>
    <row r="489" spans="2:18" ht="37.5" customHeight="1">
      <c r="B489" s="63" t="str">
        <f t="shared" si="7"/>
        <v>No486</v>
      </c>
      <c r="C489" s="70" t="s">
        <v>3</v>
      </c>
      <c r="D489" s="70" t="s">
        <v>4</v>
      </c>
      <c r="E489" s="105">
        <v>45999</v>
      </c>
      <c r="F489" s="72">
        <v>0.41666666666666669</v>
      </c>
      <c r="G489" s="72">
        <v>0.60416666666666663</v>
      </c>
      <c r="H489" s="72">
        <v>0.1875</v>
      </c>
      <c r="I489" s="105">
        <v>45999</v>
      </c>
      <c r="J489" s="105">
        <v>45999</v>
      </c>
      <c r="K489" s="70" t="s">
        <v>20</v>
      </c>
      <c r="L489" s="70" t="s">
        <v>120</v>
      </c>
      <c r="M489" s="70"/>
      <c r="N489" s="70" t="s">
        <v>193</v>
      </c>
      <c r="O489" s="70" t="s">
        <v>6</v>
      </c>
      <c r="P489" s="70" t="s">
        <v>7</v>
      </c>
      <c r="Q489" s="106" t="s">
        <v>726</v>
      </c>
      <c r="R489" s="106" t="s">
        <v>727</v>
      </c>
    </row>
    <row r="490" spans="2:18" ht="37.5" customHeight="1">
      <c r="B490" s="63" t="str">
        <f t="shared" si="7"/>
        <v>No487</v>
      </c>
      <c r="C490" s="70" t="s">
        <v>166</v>
      </c>
      <c r="D490" s="70" t="s">
        <v>4</v>
      </c>
      <c r="E490" s="105">
        <v>46000</v>
      </c>
      <c r="F490" s="72">
        <v>0.45833333333333331</v>
      </c>
      <c r="G490" s="72">
        <v>0.625</v>
      </c>
      <c r="H490" s="72">
        <v>0.16666666666666671</v>
      </c>
      <c r="I490" s="105">
        <v>46000</v>
      </c>
      <c r="J490" s="105">
        <v>46000</v>
      </c>
      <c r="K490" s="70" t="s">
        <v>45</v>
      </c>
      <c r="L490" s="70" t="s">
        <v>26</v>
      </c>
      <c r="M490" s="70"/>
      <c r="N490" s="70" t="s">
        <v>167</v>
      </c>
      <c r="O490" s="70" t="s">
        <v>122</v>
      </c>
      <c r="P490" s="70" t="s">
        <v>7</v>
      </c>
      <c r="Q490" s="106" t="s">
        <v>722</v>
      </c>
      <c r="R490" s="106" t="s">
        <v>728</v>
      </c>
    </row>
    <row r="491" spans="2:18" ht="37.5" customHeight="1">
      <c r="B491" s="63" t="str">
        <f t="shared" si="7"/>
        <v>No488</v>
      </c>
      <c r="C491" s="70" t="s">
        <v>166</v>
      </c>
      <c r="D491" s="70" t="s">
        <v>4</v>
      </c>
      <c r="E491" s="105">
        <v>46002</v>
      </c>
      <c r="F491" s="72">
        <v>0.66666666666666663</v>
      </c>
      <c r="G491" s="72">
        <v>0.70833333333333337</v>
      </c>
      <c r="H491" s="72">
        <v>4.1666666666666657E-2</v>
      </c>
      <c r="I491" s="105">
        <v>46002</v>
      </c>
      <c r="J491" s="105">
        <v>46002</v>
      </c>
      <c r="K491" s="70" t="s">
        <v>20</v>
      </c>
      <c r="L491" s="70" t="s">
        <v>26</v>
      </c>
      <c r="M491" s="70"/>
      <c r="N491" s="70" t="s">
        <v>4</v>
      </c>
      <c r="O491" s="70" t="s">
        <v>6</v>
      </c>
      <c r="P491" s="70" t="s">
        <v>7</v>
      </c>
      <c r="Q491" s="106" t="s">
        <v>729</v>
      </c>
      <c r="R491" s="106" t="s">
        <v>730</v>
      </c>
    </row>
    <row r="492" spans="2:18" ht="37.5" customHeight="1">
      <c r="B492" s="63" t="str">
        <f t="shared" si="7"/>
        <v>No489</v>
      </c>
      <c r="C492" s="70" t="s">
        <v>142</v>
      </c>
      <c r="D492" s="70" t="s">
        <v>4</v>
      </c>
      <c r="E492" s="105">
        <v>46006</v>
      </c>
      <c r="F492" s="72">
        <v>0.60416666666666663</v>
      </c>
      <c r="G492" s="72">
        <v>0.71875</v>
      </c>
      <c r="H492" s="72">
        <v>0.1145833333333333</v>
      </c>
      <c r="I492" s="105">
        <v>46006</v>
      </c>
      <c r="J492" s="105">
        <v>46006</v>
      </c>
      <c r="K492" s="70" t="s">
        <v>119</v>
      </c>
      <c r="L492" s="70" t="s">
        <v>41</v>
      </c>
      <c r="M492" s="70"/>
      <c r="N492" s="70" t="s">
        <v>163</v>
      </c>
      <c r="O492" s="70" t="s">
        <v>6</v>
      </c>
      <c r="P492" s="70" t="s">
        <v>7</v>
      </c>
      <c r="Q492" s="106" t="s">
        <v>731</v>
      </c>
      <c r="R492" s="106" t="s">
        <v>732</v>
      </c>
    </row>
    <row r="493" spans="2:18" ht="37.5" customHeight="1">
      <c r="B493" s="63" t="str">
        <f t="shared" si="7"/>
        <v>No490</v>
      </c>
      <c r="C493" s="70" t="s">
        <v>166</v>
      </c>
      <c r="D493" s="70" t="s">
        <v>4</v>
      </c>
      <c r="E493" s="105">
        <v>46007</v>
      </c>
      <c r="F493" s="72">
        <v>0.60416666666666663</v>
      </c>
      <c r="G493" s="72">
        <v>0.75</v>
      </c>
      <c r="H493" s="72">
        <v>0.14583333333333329</v>
      </c>
      <c r="I493" s="105">
        <v>46007</v>
      </c>
      <c r="J493" s="105">
        <v>46007</v>
      </c>
      <c r="K493" s="70" t="s">
        <v>119</v>
      </c>
      <c r="L493" s="70" t="s">
        <v>26</v>
      </c>
      <c r="M493" s="70"/>
      <c r="N493" s="70" t="s">
        <v>4</v>
      </c>
      <c r="O493" s="70" t="s">
        <v>122</v>
      </c>
      <c r="P493" s="70" t="s">
        <v>7</v>
      </c>
      <c r="Q493" s="106" t="s">
        <v>733</v>
      </c>
      <c r="R493" s="106" t="s">
        <v>734</v>
      </c>
    </row>
    <row r="494" spans="2:18" ht="37.5" customHeight="1">
      <c r="B494" s="63" t="str">
        <f t="shared" si="7"/>
        <v>No491</v>
      </c>
      <c r="C494" s="70" t="s">
        <v>166</v>
      </c>
      <c r="D494" s="70" t="s">
        <v>4</v>
      </c>
      <c r="E494" s="105">
        <v>46010</v>
      </c>
      <c r="F494" s="72">
        <v>0.375</v>
      </c>
      <c r="G494" s="72">
        <v>0.58333333333333337</v>
      </c>
      <c r="H494" s="72">
        <v>0.20833333333333329</v>
      </c>
      <c r="I494" s="105">
        <v>46010</v>
      </c>
      <c r="J494" s="105">
        <v>46010</v>
      </c>
      <c r="K494" s="70" t="s">
        <v>61</v>
      </c>
      <c r="L494" s="70" t="s">
        <v>26</v>
      </c>
      <c r="M494" s="70"/>
      <c r="N494" s="70" t="s">
        <v>626</v>
      </c>
      <c r="O494" s="70" t="s">
        <v>122</v>
      </c>
      <c r="P494" s="70" t="s">
        <v>7</v>
      </c>
      <c r="Q494" s="106" t="s">
        <v>735</v>
      </c>
      <c r="R494" s="106" t="s">
        <v>736</v>
      </c>
    </row>
    <row r="495" spans="2:18" ht="37.5" customHeight="1">
      <c r="B495" s="63" t="str">
        <f t="shared" si="7"/>
        <v>No492</v>
      </c>
      <c r="C495" s="70" t="s">
        <v>142</v>
      </c>
      <c r="D495" s="70" t="s">
        <v>4</v>
      </c>
      <c r="E495" s="105">
        <v>46010</v>
      </c>
      <c r="F495" s="72">
        <v>0.49305555555555558</v>
      </c>
      <c r="G495" s="72">
        <v>0.58333333333333337</v>
      </c>
      <c r="H495" s="72">
        <v>9.0277777777777776E-2</v>
      </c>
      <c r="I495" s="105">
        <v>46010</v>
      </c>
      <c r="J495" s="105">
        <v>46010</v>
      </c>
      <c r="K495" s="70" t="s">
        <v>20</v>
      </c>
      <c r="L495" s="70" t="s">
        <v>159</v>
      </c>
      <c r="M495" s="70"/>
      <c r="N495" s="70" t="s">
        <v>675</v>
      </c>
      <c r="O495" s="70" t="s">
        <v>6</v>
      </c>
      <c r="P495" s="70" t="s">
        <v>7</v>
      </c>
      <c r="Q495" s="106" t="s">
        <v>737</v>
      </c>
      <c r="R495" s="106" t="s">
        <v>738</v>
      </c>
    </row>
    <row r="496" spans="2:18" ht="37.5" customHeight="1">
      <c r="B496" s="63" t="str">
        <f t="shared" si="7"/>
        <v>No493</v>
      </c>
      <c r="C496" s="70" t="s">
        <v>166</v>
      </c>
      <c r="D496" s="70" t="s">
        <v>4</v>
      </c>
      <c r="E496" s="105">
        <v>46014</v>
      </c>
      <c r="F496" s="72">
        <v>0.375</v>
      </c>
      <c r="G496" s="72">
        <v>0.70833333333333337</v>
      </c>
      <c r="H496" s="72">
        <v>0.33333333333333331</v>
      </c>
      <c r="I496" s="105">
        <v>46015</v>
      </c>
      <c r="J496" s="105">
        <v>46015</v>
      </c>
      <c r="K496" s="70" t="s">
        <v>143</v>
      </c>
      <c r="L496" s="70" t="s">
        <v>143</v>
      </c>
      <c r="M496" s="70"/>
      <c r="N496" s="70" t="s">
        <v>739</v>
      </c>
      <c r="O496" s="70" t="s">
        <v>6</v>
      </c>
      <c r="P496" s="70" t="s">
        <v>7</v>
      </c>
      <c r="Q496" s="106" t="s">
        <v>740</v>
      </c>
      <c r="R496" s="106" t="s">
        <v>101</v>
      </c>
    </row>
    <row r="497" spans="2:18" ht="37.5" customHeight="1">
      <c r="B497" s="63" t="str">
        <f t="shared" si="7"/>
        <v>No494</v>
      </c>
      <c r="C497" s="70" t="s">
        <v>3</v>
      </c>
      <c r="D497" s="70" t="s">
        <v>4</v>
      </c>
      <c r="E497" s="105">
        <v>46016</v>
      </c>
      <c r="F497" s="72">
        <v>0.41666666666666669</v>
      </c>
      <c r="G497" s="72">
        <v>0.625</v>
      </c>
      <c r="H497" s="72">
        <v>0.20833333333333329</v>
      </c>
      <c r="I497" s="105">
        <v>46016</v>
      </c>
      <c r="J497" s="105">
        <v>46016</v>
      </c>
      <c r="K497" s="70" t="s">
        <v>143</v>
      </c>
      <c r="L497" s="70" t="s">
        <v>143</v>
      </c>
      <c r="M497" s="70"/>
      <c r="N497" s="70" t="s">
        <v>739</v>
      </c>
      <c r="O497" s="70" t="s">
        <v>6</v>
      </c>
      <c r="P497" s="70" t="s">
        <v>7</v>
      </c>
      <c r="Q497" s="106" t="s">
        <v>741</v>
      </c>
      <c r="R497" s="106" t="s">
        <v>101</v>
      </c>
    </row>
    <row r="498" spans="2:18" ht="35.25" customHeight="1">
      <c r="B498" s="63" t="str">
        <f t="shared" si="7"/>
        <v>No495</v>
      </c>
      <c r="C498" s="70" t="s">
        <v>3</v>
      </c>
      <c r="D498" s="70" t="s">
        <v>4</v>
      </c>
      <c r="E498" s="105">
        <v>46016</v>
      </c>
      <c r="F498" s="72">
        <v>0.64583333333333337</v>
      </c>
      <c r="G498" s="72">
        <v>0.6875</v>
      </c>
      <c r="H498" s="72">
        <v>4.1666666666666657E-2</v>
      </c>
      <c r="I498" s="105">
        <v>46016</v>
      </c>
      <c r="J498" s="105">
        <v>46016</v>
      </c>
      <c r="K498" s="70" t="s">
        <v>143</v>
      </c>
      <c r="L498" s="70" t="s">
        <v>21</v>
      </c>
      <c r="M498" s="70"/>
      <c r="N498" s="70" t="s">
        <v>742</v>
      </c>
      <c r="O498" s="70" t="s">
        <v>6</v>
      </c>
      <c r="P498" s="70" t="s">
        <v>7</v>
      </c>
      <c r="Q498" s="106" t="s">
        <v>743</v>
      </c>
      <c r="R498" s="106" t="s">
        <v>101</v>
      </c>
    </row>
    <row r="499" spans="2:18" ht="37.5" customHeight="1">
      <c r="B499" s="63" t="str">
        <f t="shared" si="7"/>
        <v>No496</v>
      </c>
      <c r="C499" s="70" t="s">
        <v>3</v>
      </c>
      <c r="D499" s="70" t="s">
        <v>4</v>
      </c>
      <c r="E499" s="105">
        <v>46017</v>
      </c>
      <c r="F499" s="72">
        <v>0.41666666666666669</v>
      </c>
      <c r="G499" s="72">
        <v>0.66666666666666663</v>
      </c>
      <c r="H499" s="72">
        <v>0.25</v>
      </c>
      <c r="I499" s="105">
        <v>46017</v>
      </c>
      <c r="J499" s="105">
        <v>46017</v>
      </c>
      <c r="K499" s="70" t="s">
        <v>20</v>
      </c>
      <c r="L499" s="70" t="s">
        <v>111</v>
      </c>
      <c r="M499" s="70"/>
      <c r="N499" s="70" t="s">
        <v>114</v>
      </c>
      <c r="O499" s="70" t="s">
        <v>6</v>
      </c>
      <c r="P499" s="70" t="s">
        <v>7</v>
      </c>
      <c r="Q499" s="106" t="s">
        <v>744</v>
      </c>
      <c r="R499" s="106" t="s">
        <v>101</v>
      </c>
    </row>
    <row r="500" spans="2:18" ht="37.5" customHeight="1">
      <c r="B500" s="63" t="str">
        <f t="shared" si="7"/>
        <v>No497</v>
      </c>
      <c r="C500" s="70" t="s">
        <v>3</v>
      </c>
      <c r="D500" s="70" t="s">
        <v>4</v>
      </c>
      <c r="E500" s="105">
        <v>46017</v>
      </c>
      <c r="F500" s="72">
        <v>0.66666666666666663</v>
      </c>
      <c r="G500" s="72">
        <v>0.75</v>
      </c>
      <c r="H500" s="72">
        <v>8.3333333333333329E-2</v>
      </c>
      <c r="I500" s="105">
        <v>46017</v>
      </c>
      <c r="J500" s="105">
        <v>46017</v>
      </c>
      <c r="K500" s="70" t="s">
        <v>45</v>
      </c>
      <c r="L500" s="70" t="s">
        <v>111</v>
      </c>
      <c r="M500" s="70"/>
      <c r="N500" s="70" t="s">
        <v>114</v>
      </c>
      <c r="O500" s="70" t="s">
        <v>6</v>
      </c>
      <c r="P500" s="70" t="s">
        <v>7</v>
      </c>
      <c r="Q500" s="106" t="s">
        <v>745</v>
      </c>
      <c r="R500" s="106" t="s">
        <v>101</v>
      </c>
    </row>
    <row r="501" spans="2:18" ht="37.5" customHeight="1">
      <c r="B501" s="63" t="str">
        <f t="shared" si="7"/>
        <v>No498</v>
      </c>
      <c r="C501" s="70" t="s">
        <v>3</v>
      </c>
      <c r="D501" s="70" t="s">
        <v>4</v>
      </c>
      <c r="E501" s="105">
        <v>46018</v>
      </c>
      <c r="F501" s="72">
        <v>0.41666666666666669</v>
      </c>
      <c r="G501" s="72">
        <v>0.625</v>
      </c>
      <c r="H501" s="72">
        <v>0.20833333333333329</v>
      </c>
      <c r="I501" s="105">
        <v>46018</v>
      </c>
      <c r="J501" s="105">
        <v>46018</v>
      </c>
      <c r="K501" s="70" t="s">
        <v>20</v>
      </c>
      <c r="L501" s="70" t="s">
        <v>35</v>
      </c>
      <c r="M501" s="70"/>
      <c r="N501" s="70" t="s">
        <v>746</v>
      </c>
      <c r="O501" s="70" t="s">
        <v>6</v>
      </c>
      <c r="P501" s="70" t="s">
        <v>7</v>
      </c>
      <c r="Q501" s="106" t="s">
        <v>744</v>
      </c>
      <c r="R501" s="106" t="s">
        <v>101</v>
      </c>
    </row>
    <row r="502" spans="2:18" ht="37.5" customHeight="1">
      <c r="B502" s="63" t="str">
        <f t="shared" si="7"/>
        <v>No499</v>
      </c>
      <c r="C502" s="70" t="s">
        <v>3</v>
      </c>
      <c r="D502" s="70" t="s">
        <v>4</v>
      </c>
      <c r="E502" s="105">
        <v>46018</v>
      </c>
      <c r="F502" s="72">
        <v>0.66666666666666663</v>
      </c>
      <c r="G502" s="72">
        <v>0.75</v>
      </c>
      <c r="H502" s="72">
        <v>8.3333333333333329E-2</v>
      </c>
      <c r="I502" s="105">
        <v>46018</v>
      </c>
      <c r="J502" s="105">
        <v>46018</v>
      </c>
      <c r="K502" s="70" t="s">
        <v>45</v>
      </c>
      <c r="L502" s="70" t="s">
        <v>35</v>
      </c>
      <c r="M502" s="70"/>
      <c r="N502" s="70" t="s">
        <v>746</v>
      </c>
      <c r="O502" s="70" t="s">
        <v>6</v>
      </c>
      <c r="P502" s="67" t="s">
        <v>7</v>
      </c>
      <c r="Q502" s="106" t="s">
        <v>745</v>
      </c>
      <c r="R502" s="106" t="s">
        <v>101</v>
      </c>
    </row>
    <row r="503" spans="2:18" ht="36" customHeight="1">
      <c r="B503" s="63" t="str">
        <f t="shared" si="7"/>
        <v>No500</v>
      </c>
      <c r="C503" s="70" t="s">
        <v>104</v>
      </c>
      <c r="D503" s="70" t="s">
        <v>747</v>
      </c>
      <c r="E503" s="105">
        <v>46028</v>
      </c>
      <c r="F503" s="72">
        <v>0.57638888888888884</v>
      </c>
      <c r="G503" s="72">
        <v>0.66666666666666663</v>
      </c>
      <c r="H503" s="72">
        <v>9.0277777777777776E-2</v>
      </c>
      <c r="I503" s="105">
        <v>46028</v>
      </c>
      <c r="J503" s="105">
        <v>46028</v>
      </c>
      <c r="K503" s="70" t="s">
        <v>95</v>
      </c>
      <c r="L503" s="70" t="s">
        <v>143</v>
      </c>
      <c r="M503" s="70"/>
      <c r="N503" s="70" t="s">
        <v>748</v>
      </c>
      <c r="O503" s="70" t="s">
        <v>6</v>
      </c>
      <c r="P503" s="70" t="s">
        <v>7</v>
      </c>
      <c r="Q503" s="106" t="s">
        <v>749</v>
      </c>
      <c r="R503" s="106" t="s">
        <v>750</v>
      </c>
    </row>
    <row r="504" spans="2:18" ht="35.25" customHeight="1">
      <c r="B504" s="63" t="str">
        <f t="shared" si="7"/>
        <v>No501</v>
      </c>
      <c r="C504" s="70" t="s">
        <v>142</v>
      </c>
      <c r="D504" s="70" t="s">
        <v>747</v>
      </c>
      <c r="E504" s="105">
        <v>46029</v>
      </c>
      <c r="F504" s="72">
        <v>0.5625</v>
      </c>
      <c r="G504" s="72">
        <v>0.58333333333333337</v>
      </c>
      <c r="H504" s="72">
        <v>2.0833333333333329E-2</v>
      </c>
      <c r="I504" s="105">
        <v>46029</v>
      </c>
      <c r="J504" s="105">
        <v>46029</v>
      </c>
      <c r="K504" s="70" t="s">
        <v>20</v>
      </c>
      <c r="L504" s="70" t="s">
        <v>26</v>
      </c>
      <c r="M504" s="70"/>
      <c r="N504" s="70" t="s">
        <v>747</v>
      </c>
      <c r="O504" s="70" t="s">
        <v>6</v>
      </c>
      <c r="P504" s="70" t="s">
        <v>7</v>
      </c>
      <c r="Q504" s="106" t="s">
        <v>751</v>
      </c>
      <c r="R504" s="106" t="s">
        <v>752</v>
      </c>
    </row>
    <row r="505" spans="2:18" ht="35.25" customHeight="1">
      <c r="B505" s="63" t="str">
        <f t="shared" si="7"/>
        <v>No502</v>
      </c>
      <c r="C505" s="70" t="s">
        <v>142</v>
      </c>
      <c r="D505" s="70" t="s">
        <v>747</v>
      </c>
      <c r="E505" s="105">
        <v>46030</v>
      </c>
      <c r="F505" s="72">
        <v>0.39583333333333331</v>
      </c>
      <c r="G505" s="72">
        <v>0.4861111111111111</v>
      </c>
      <c r="H505" s="72">
        <v>9.0277777777777776E-2</v>
      </c>
      <c r="I505" s="105">
        <v>46030</v>
      </c>
      <c r="J505" s="105">
        <v>46030</v>
      </c>
      <c r="K505" s="70" t="s">
        <v>249</v>
      </c>
      <c r="L505" s="70" t="s">
        <v>176</v>
      </c>
      <c r="M505" s="70"/>
      <c r="N505" s="70" t="s">
        <v>753</v>
      </c>
      <c r="O505" s="70" t="s">
        <v>6</v>
      </c>
      <c r="P505" s="70" t="s">
        <v>7</v>
      </c>
      <c r="Q505" s="106" t="s">
        <v>754</v>
      </c>
      <c r="R505" s="106" t="s">
        <v>755</v>
      </c>
    </row>
    <row r="506" spans="2:18" ht="35.25" customHeight="1">
      <c r="B506" s="63" t="str">
        <f t="shared" si="7"/>
        <v>No503</v>
      </c>
      <c r="C506" s="70" t="s">
        <v>142</v>
      </c>
      <c r="D506" s="70" t="s">
        <v>747</v>
      </c>
      <c r="E506" s="105">
        <v>46035</v>
      </c>
      <c r="F506" s="72">
        <v>0.375</v>
      </c>
      <c r="G506" s="72">
        <v>0.3888888888888889</v>
      </c>
      <c r="H506" s="72">
        <v>1.388888888888889E-2</v>
      </c>
      <c r="I506" s="105">
        <v>46035</v>
      </c>
      <c r="J506" s="105">
        <v>46035</v>
      </c>
      <c r="K506" s="70" t="s">
        <v>20</v>
      </c>
      <c r="L506" s="70" t="s">
        <v>35</v>
      </c>
      <c r="M506" s="70"/>
      <c r="N506" s="70" t="s">
        <v>102</v>
      </c>
      <c r="O506" s="70" t="s">
        <v>122</v>
      </c>
      <c r="P506" s="70" t="s">
        <v>7</v>
      </c>
      <c r="Q506" s="106" t="s">
        <v>756</v>
      </c>
      <c r="R506" s="106" t="s">
        <v>757</v>
      </c>
    </row>
    <row r="507" spans="2:18" ht="35.25" customHeight="1">
      <c r="B507" s="63" t="str">
        <f t="shared" si="7"/>
        <v>No504</v>
      </c>
      <c r="C507" s="70" t="s">
        <v>166</v>
      </c>
      <c r="D507" s="70" t="s">
        <v>747</v>
      </c>
      <c r="E507" s="105">
        <v>46036</v>
      </c>
      <c r="F507" s="72">
        <v>0.4375</v>
      </c>
      <c r="G507" s="72">
        <v>0.4513888888888889</v>
      </c>
      <c r="H507" s="72">
        <v>1.388888888888889E-2</v>
      </c>
      <c r="I507" s="105">
        <v>46036</v>
      </c>
      <c r="J507" s="105">
        <v>46036</v>
      </c>
      <c r="K507" s="70" t="s">
        <v>20</v>
      </c>
      <c r="L507" s="70" t="s">
        <v>311</v>
      </c>
      <c r="M507" s="70"/>
      <c r="N507" s="70"/>
      <c r="O507" s="70" t="s">
        <v>6</v>
      </c>
      <c r="P507" s="70" t="s">
        <v>7</v>
      </c>
      <c r="Q507" s="106" t="s">
        <v>758</v>
      </c>
      <c r="R507" s="106" t="s">
        <v>759</v>
      </c>
    </row>
    <row r="508" spans="2:18" ht="35.25" customHeight="1">
      <c r="B508" s="63" t="str">
        <f t="shared" si="7"/>
        <v>No505</v>
      </c>
      <c r="C508" s="70" t="s">
        <v>186</v>
      </c>
      <c r="D508" s="70" t="s">
        <v>747</v>
      </c>
      <c r="E508" s="105">
        <v>46036</v>
      </c>
      <c r="F508" s="72">
        <v>0.58333333333333337</v>
      </c>
      <c r="G508" s="72">
        <v>0.61805555555555558</v>
      </c>
      <c r="H508" s="72">
        <v>3.4722222222222217E-2</v>
      </c>
      <c r="I508" s="105">
        <v>46036</v>
      </c>
      <c r="J508" s="105">
        <v>46036</v>
      </c>
      <c r="K508" s="70" t="s">
        <v>20</v>
      </c>
      <c r="L508" s="70" t="s">
        <v>143</v>
      </c>
      <c r="M508" s="70"/>
      <c r="N508" s="70" t="s">
        <v>760</v>
      </c>
      <c r="O508" s="70" t="s">
        <v>6</v>
      </c>
      <c r="P508" s="70" t="s">
        <v>7</v>
      </c>
      <c r="Q508" s="106" t="s">
        <v>761</v>
      </c>
      <c r="R508" s="106" t="s">
        <v>762</v>
      </c>
    </row>
    <row r="509" spans="2:18" ht="35.25" customHeight="1">
      <c r="B509" s="63" t="str">
        <f t="shared" si="7"/>
        <v>No506</v>
      </c>
      <c r="C509" s="70" t="s">
        <v>166</v>
      </c>
      <c r="D509" s="70" t="s">
        <v>747</v>
      </c>
      <c r="E509" s="105">
        <v>46037</v>
      </c>
      <c r="F509" s="72">
        <v>0.41666666666666669</v>
      </c>
      <c r="G509" s="72">
        <v>0.70138888888888884</v>
      </c>
      <c r="H509" s="72">
        <v>0.28472222222222221</v>
      </c>
      <c r="I509" s="105">
        <v>46037</v>
      </c>
      <c r="J509" s="105">
        <v>46037</v>
      </c>
      <c r="K509" s="70" t="s">
        <v>119</v>
      </c>
      <c r="L509" s="70" t="s">
        <v>143</v>
      </c>
      <c r="M509" s="70"/>
      <c r="N509" s="70" t="s">
        <v>215</v>
      </c>
      <c r="O509" s="70" t="s">
        <v>6</v>
      </c>
      <c r="P509" s="70" t="s">
        <v>7</v>
      </c>
      <c r="Q509" s="106" t="s">
        <v>763</v>
      </c>
      <c r="R509" s="106" t="s">
        <v>764</v>
      </c>
    </row>
    <row r="510" spans="2:18" ht="35.25" customHeight="1">
      <c r="B510" s="63" t="str">
        <f t="shared" si="7"/>
        <v>No507</v>
      </c>
      <c r="C510" s="70" t="s">
        <v>3</v>
      </c>
      <c r="D510" s="70" t="s">
        <v>747</v>
      </c>
      <c r="E510" s="105">
        <v>46037</v>
      </c>
      <c r="F510" s="72">
        <v>0.54166666666666663</v>
      </c>
      <c r="G510" s="72">
        <v>0.65972222222222221</v>
      </c>
      <c r="H510" s="72">
        <v>0.11805555555555559</v>
      </c>
      <c r="I510" s="105">
        <v>46037</v>
      </c>
      <c r="J510" s="105">
        <v>46037</v>
      </c>
      <c r="K510" s="70" t="s">
        <v>20</v>
      </c>
      <c r="L510" s="70" t="s">
        <v>143</v>
      </c>
      <c r="M510" s="70"/>
      <c r="N510" s="70" t="s">
        <v>163</v>
      </c>
      <c r="O510" s="70" t="s">
        <v>6</v>
      </c>
      <c r="P510" s="70" t="s">
        <v>7</v>
      </c>
      <c r="Q510" s="106" t="s">
        <v>765</v>
      </c>
      <c r="R510" s="106" t="s">
        <v>766</v>
      </c>
    </row>
    <row r="511" spans="2:18" ht="35.25" customHeight="1">
      <c r="B511" s="63" t="str">
        <f t="shared" si="7"/>
        <v>No508</v>
      </c>
      <c r="C511" s="70" t="s">
        <v>142</v>
      </c>
      <c r="D511" s="70" t="s">
        <v>747</v>
      </c>
      <c r="E511" s="105">
        <v>46038</v>
      </c>
      <c r="F511" s="72">
        <v>0.65972222222222221</v>
      </c>
      <c r="G511" s="72">
        <v>0.68055555555555558</v>
      </c>
      <c r="H511" s="72">
        <v>2.0833333333333329E-2</v>
      </c>
      <c r="I511" s="105">
        <v>46038</v>
      </c>
      <c r="J511" s="105">
        <v>46038</v>
      </c>
      <c r="K511" s="70" t="s">
        <v>20</v>
      </c>
      <c r="L511" s="70" t="s">
        <v>26</v>
      </c>
      <c r="M511" s="70"/>
      <c r="N511" s="70" t="s">
        <v>747</v>
      </c>
      <c r="O511" s="70" t="s">
        <v>6</v>
      </c>
      <c r="P511" s="70" t="s">
        <v>7</v>
      </c>
      <c r="Q511" s="106" t="s">
        <v>767</v>
      </c>
      <c r="R511" s="106" t="s">
        <v>768</v>
      </c>
    </row>
    <row r="512" spans="2:18" ht="35.25" customHeight="1">
      <c r="B512" s="63" t="str">
        <f t="shared" si="7"/>
        <v>No509</v>
      </c>
      <c r="C512" s="70" t="s">
        <v>166</v>
      </c>
      <c r="D512" s="70" t="s">
        <v>747</v>
      </c>
      <c r="E512" s="105">
        <v>46041</v>
      </c>
      <c r="F512" s="72">
        <v>0.55972222222222223</v>
      </c>
      <c r="G512" s="72">
        <v>0.78472222222222221</v>
      </c>
      <c r="H512" s="72">
        <v>0.22500000000000001</v>
      </c>
      <c r="I512" s="105">
        <v>46041</v>
      </c>
      <c r="J512" s="105">
        <v>46041</v>
      </c>
      <c r="K512" s="70" t="s">
        <v>119</v>
      </c>
      <c r="L512" s="70" t="s">
        <v>561</v>
      </c>
      <c r="M512" s="70"/>
      <c r="N512" s="70" t="s">
        <v>747</v>
      </c>
      <c r="O512" s="70" t="s">
        <v>6</v>
      </c>
      <c r="P512" s="70" t="s">
        <v>7</v>
      </c>
      <c r="Q512" s="106" t="s">
        <v>769</v>
      </c>
      <c r="R512" s="106" t="s">
        <v>770</v>
      </c>
    </row>
    <row r="513" spans="2:18" ht="35.25" customHeight="1">
      <c r="B513" s="63" t="str">
        <f t="shared" si="7"/>
        <v>No510</v>
      </c>
      <c r="C513" s="70" t="s">
        <v>166</v>
      </c>
      <c r="D513" s="70" t="s">
        <v>747</v>
      </c>
      <c r="E513" s="105">
        <v>46041</v>
      </c>
      <c r="F513" s="72">
        <v>0.70833333333333337</v>
      </c>
      <c r="G513" s="72">
        <v>0.75</v>
      </c>
      <c r="H513" s="72">
        <v>4.1666666666666657E-2</v>
      </c>
      <c r="I513" s="105">
        <v>46041</v>
      </c>
      <c r="J513" s="105">
        <v>46041</v>
      </c>
      <c r="K513" s="70" t="s">
        <v>119</v>
      </c>
      <c r="L513" s="70" t="s">
        <v>26</v>
      </c>
      <c r="M513" s="70"/>
      <c r="N513" s="70"/>
      <c r="O513" s="70" t="s">
        <v>122</v>
      </c>
      <c r="P513" s="70" t="s">
        <v>7</v>
      </c>
      <c r="Q513" s="106" t="s">
        <v>771</v>
      </c>
      <c r="R513" s="106" t="s">
        <v>772</v>
      </c>
    </row>
    <row r="514" spans="2:18" ht="35.25" customHeight="1">
      <c r="B514" s="63" t="str">
        <f t="shared" si="7"/>
        <v>No511</v>
      </c>
      <c r="C514" s="70" t="s">
        <v>3</v>
      </c>
      <c r="D514" s="70" t="s">
        <v>747</v>
      </c>
      <c r="E514" s="105">
        <v>46047</v>
      </c>
      <c r="F514" s="72">
        <v>0.375</v>
      </c>
      <c r="G514" s="72">
        <v>0.625</v>
      </c>
      <c r="H514" s="72">
        <v>0.25</v>
      </c>
      <c r="I514" s="105">
        <v>46047</v>
      </c>
      <c r="J514" s="105">
        <v>46047</v>
      </c>
      <c r="K514" s="70" t="s">
        <v>40</v>
      </c>
      <c r="L514" s="70" t="s">
        <v>176</v>
      </c>
      <c r="M514" s="70"/>
      <c r="N514" s="70" t="s">
        <v>753</v>
      </c>
      <c r="O514" s="70" t="s">
        <v>122</v>
      </c>
      <c r="P514" s="70" t="s">
        <v>7</v>
      </c>
      <c r="Q514" s="106" t="s">
        <v>774</v>
      </c>
      <c r="R514" s="106" t="s">
        <v>775</v>
      </c>
    </row>
    <row r="515" spans="2:18" ht="35.25" customHeight="1">
      <c r="B515" s="63" t="str">
        <f t="shared" si="7"/>
        <v>No512</v>
      </c>
      <c r="C515" s="70" t="s">
        <v>3</v>
      </c>
      <c r="D515" s="70" t="s">
        <v>747</v>
      </c>
      <c r="E515" s="105">
        <v>46049</v>
      </c>
      <c r="F515" s="72">
        <v>0.4548611111111111</v>
      </c>
      <c r="G515" s="72">
        <v>0.86805555555555558</v>
      </c>
      <c r="H515" s="72">
        <v>0.41319444444444442</v>
      </c>
      <c r="I515" s="105">
        <v>46049</v>
      </c>
      <c r="J515" s="105">
        <v>46049</v>
      </c>
      <c r="K515" s="70" t="s">
        <v>197</v>
      </c>
      <c r="L515" s="70" t="s">
        <v>143</v>
      </c>
      <c r="M515" s="70"/>
      <c r="N515" s="70" t="s">
        <v>776</v>
      </c>
      <c r="O515" s="70" t="s">
        <v>122</v>
      </c>
      <c r="P515" s="70" t="s">
        <v>7</v>
      </c>
      <c r="Q515" s="106" t="s">
        <v>777</v>
      </c>
      <c r="R515" s="106" t="s">
        <v>778</v>
      </c>
    </row>
    <row r="516" spans="2:18" ht="35.25" customHeight="1">
      <c r="B516" s="63" t="str">
        <f t="shared" ref="B516:B579" si="8">"No"&amp;ROW()-3</f>
        <v>No513</v>
      </c>
      <c r="C516" s="70" t="s">
        <v>3</v>
      </c>
      <c r="D516" s="70" t="s">
        <v>747</v>
      </c>
      <c r="E516" s="105">
        <v>46050</v>
      </c>
      <c r="F516" s="72">
        <v>0.375</v>
      </c>
      <c r="G516" s="72">
        <v>0.39583333333333331</v>
      </c>
      <c r="H516" s="72">
        <v>2.0833333333333329E-2</v>
      </c>
      <c r="I516" s="105">
        <v>46050</v>
      </c>
      <c r="J516" s="105">
        <v>46050</v>
      </c>
      <c r="K516" s="70" t="s">
        <v>249</v>
      </c>
      <c r="L516" s="70" t="s">
        <v>176</v>
      </c>
      <c r="M516" s="70"/>
      <c r="N516" s="70"/>
      <c r="O516" s="70" t="s">
        <v>6</v>
      </c>
      <c r="P516" s="70" t="s">
        <v>7</v>
      </c>
      <c r="Q516" s="106" t="s">
        <v>781</v>
      </c>
      <c r="R516" s="106" t="s">
        <v>782</v>
      </c>
    </row>
    <row r="517" spans="2:18" ht="35.25" customHeight="1">
      <c r="B517" s="63" t="str">
        <f t="shared" si="8"/>
        <v>No514</v>
      </c>
      <c r="C517" s="70" t="s">
        <v>166</v>
      </c>
      <c r="D517" s="70" t="s">
        <v>747</v>
      </c>
      <c r="E517" s="105">
        <v>46050</v>
      </c>
      <c r="F517" s="72">
        <v>0.375</v>
      </c>
      <c r="G517" s="72">
        <v>0.75</v>
      </c>
      <c r="H517" s="72">
        <v>0.375</v>
      </c>
      <c r="I517" s="105">
        <v>46050</v>
      </c>
      <c r="J517" s="105">
        <v>46050</v>
      </c>
      <c r="K517" s="70" t="s">
        <v>310</v>
      </c>
      <c r="L517" s="70" t="s">
        <v>26</v>
      </c>
      <c r="M517" s="70"/>
      <c r="N517" s="70"/>
      <c r="O517" s="70" t="s">
        <v>122</v>
      </c>
      <c r="P517" s="70" t="s">
        <v>7</v>
      </c>
      <c r="Q517" s="106" t="s">
        <v>779</v>
      </c>
      <c r="R517" s="106" t="s">
        <v>780</v>
      </c>
    </row>
    <row r="518" spans="2:18" ht="35.25" customHeight="1">
      <c r="B518" s="63" t="str">
        <f t="shared" si="8"/>
        <v>No515</v>
      </c>
      <c r="C518" s="70" t="s">
        <v>186</v>
      </c>
      <c r="D518" s="70" t="s">
        <v>747</v>
      </c>
      <c r="E518" s="105">
        <v>46050</v>
      </c>
      <c r="F518" s="72">
        <v>0.46527777777777779</v>
      </c>
      <c r="G518" s="72">
        <v>0.47916666666666669</v>
      </c>
      <c r="H518" s="72">
        <v>1.388888888888889E-2</v>
      </c>
      <c r="I518" s="105">
        <v>46050</v>
      </c>
      <c r="J518" s="105">
        <v>46050</v>
      </c>
      <c r="K518" s="70" t="s">
        <v>95</v>
      </c>
      <c r="L518" s="70" t="s">
        <v>143</v>
      </c>
      <c r="M518" s="70"/>
      <c r="N518" s="70" t="s">
        <v>783</v>
      </c>
      <c r="O518" s="70" t="s">
        <v>6</v>
      </c>
      <c r="P518" s="70" t="s">
        <v>7</v>
      </c>
      <c r="Q518" s="106" t="s">
        <v>784</v>
      </c>
      <c r="R518" s="106" t="s">
        <v>785</v>
      </c>
    </row>
    <row r="519" spans="2:18" ht="35.25" customHeight="1">
      <c r="B519" s="63" t="str">
        <f t="shared" si="8"/>
        <v>No516</v>
      </c>
      <c r="C519" s="70" t="s">
        <v>104</v>
      </c>
      <c r="D519" s="70" t="s">
        <v>747</v>
      </c>
      <c r="E519" s="105">
        <v>46050</v>
      </c>
      <c r="F519" s="72">
        <v>0.49305555555555558</v>
      </c>
      <c r="G519" s="72">
        <v>0.50694444444444442</v>
      </c>
      <c r="H519" s="72">
        <v>1.388888888888889E-2</v>
      </c>
      <c r="I519" s="105">
        <v>46050</v>
      </c>
      <c r="J519" s="105">
        <v>46050</v>
      </c>
      <c r="K519" s="70" t="s">
        <v>249</v>
      </c>
      <c r="L519" s="70" t="s">
        <v>176</v>
      </c>
      <c r="M519" s="70"/>
      <c r="N519" s="70" t="s">
        <v>786</v>
      </c>
      <c r="O519" s="70" t="s">
        <v>6</v>
      </c>
      <c r="P519" s="70" t="s">
        <v>7</v>
      </c>
      <c r="Q519" s="106" t="s">
        <v>787</v>
      </c>
      <c r="R519" s="106" t="s">
        <v>788</v>
      </c>
    </row>
    <row r="520" spans="2:18" ht="35.25" customHeight="1">
      <c r="B520" s="63" t="str">
        <f t="shared" si="8"/>
        <v>No517</v>
      </c>
      <c r="C520" s="70" t="s">
        <v>142</v>
      </c>
      <c r="D520" s="70" t="s">
        <v>747</v>
      </c>
      <c r="E520" s="105">
        <v>46050</v>
      </c>
      <c r="F520" s="72">
        <v>0.70138888888888884</v>
      </c>
      <c r="G520" s="72">
        <v>3.4722222222222217E-2</v>
      </c>
      <c r="H520" s="72">
        <v>0.33333333333333331</v>
      </c>
      <c r="I520" s="105">
        <v>46050</v>
      </c>
      <c r="J520" s="105">
        <v>46050</v>
      </c>
      <c r="K520" s="70" t="s">
        <v>310</v>
      </c>
      <c r="L520" s="70" t="s">
        <v>26</v>
      </c>
      <c r="M520" s="70"/>
      <c r="N520" s="70"/>
      <c r="O520" s="70" t="s">
        <v>6</v>
      </c>
      <c r="P520" s="70" t="s">
        <v>7</v>
      </c>
      <c r="Q520" s="106" t="s">
        <v>789</v>
      </c>
      <c r="R520" s="106" t="s">
        <v>790</v>
      </c>
    </row>
    <row r="521" spans="2:18" ht="35.25" customHeight="1">
      <c r="B521" s="63" t="str">
        <f t="shared" si="8"/>
        <v>No518</v>
      </c>
      <c r="C521" s="70" t="s">
        <v>3</v>
      </c>
      <c r="D521" s="70" t="s">
        <v>747</v>
      </c>
      <c r="E521" s="105">
        <v>46051</v>
      </c>
      <c r="F521" s="72">
        <v>0.66666666666666663</v>
      </c>
      <c r="G521" s="72">
        <v>0.6875</v>
      </c>
      <c r="H521" s="72">
        <v>2.0833333333333329E-2</v>
      </c>
      <c r="I521" s="105">
        <v>46051</v>
      </c>
      <c r="J521" s="105">
        <v>46051</v>
      </c>
      <c r="K521" s="70" t="s">
        <v>20</v>
      </c>
      <c r="L521" s="70" t="s">
        <v>120</v>
      </c>
      <c r="M521" s="70"/>
      <c r="N521" s="70" t="s">
        <v>791</v>
      </c>
      <c r="O521" s="70" t="s">
        <v>6</v>
      </c>
      <c r="P521" s="70" t="s">
        <v>7</v>
      </c>
      <c r="Q521" s="106" t="s">
        <v>792</v>
      </c>
      <c r="R521" s="106" t="s">
        <v>793</v>
      </c>
    </row>
    <row r="522" spans="2:18" ht="35.25" customHeight="1">
      <c r="B522" s="63" t="str">
        <f t="shared" si="8"/>
        <v>No519</v>
      </c>
      <c r="C522" s="70" t="s">
        <v>104</v>
      </c>
      <c r="D522" s="70" t="s">
        <v>747</v>
      </c>
      <c r="E522" s="105">
        <v>46056</v>
      </c>
      <c r="F522" s="72">
        <v>0.58333333333333337</v>
      </c>
      <c r="G522" s="72">
        <v>0.60416666666666663</v>
      </c>
      <c r="H522" s="72">
        <v>2.0833333333333329E-2</v>
      </c>
      <c r="I522" s="105">
        <v>46056</v>
      </c>
      <c r="J522" s="105">
        <v>46056</v>
      </c>
      <c r="K522" s="70" t="s">
        <v>61</v>
      </c>
      <c r="L522" s="70" t="s">
        <v>311</v>
      </c>
      <c r="M522" s="70"/>
      <c r="N522" s="70"/>
      <c r="O522" s="70" t="s">
        <v>6</v>
      </c>
      <c r="P522" s="70" t="s">
        <v>7</v>
      </c>
      <c r="Q522" s="106" t="s">
        <v>794</v>
      </c>
      <c r="R522" s="106" t="s">
        <v>795</v>
      </c>
    </row>
    <row r="523" spans="2:18" ht="35.25" customHeight="1">
      <c r="B523" s="63" t="str">
        <f t="shared" si="8"/>
        <v>No520</v>
      </c>
      <c r="C523" s="70" t="s">
        <v>166</v>
      </c>
      <c r="D523" s="70" t="s">
        <v>747</v>
      </c>
      <c r="E523" s="105">
        <v>46062</v>
      </c>
      <c r="F523" s="72">
        <v>0.375</v>
      </c>
      <c r="G523" s="72">
        <v>0.625</v>
      </c>
      <c r="H523" s="72">
        <v>0.25</v>
      </c>
      <c r="I523" s="105">
        <v>46062</v>
      </c>
      <c r="J523" s="105">
        <v>46062</v>
      </c>
      <c r="K523" s="70" t="s">
        <v>61</v>
      </c>
      <c r="L523" s="70" t="s">
        <v>311</v>
      </c>
      <c r="M523" s="70"/>
      <c r="N523" s="70"/>
      <c r="O523" s="70" t="s">
        <v>122</v>
      </c>
      <c r="P523" s="70" t="s">
        <v>7</v>
      </c>
      <c r="Q523" s="106" t="s">
        <v>796</v>
      </c>
      <c r="R523" s="106" t="s">
        <v>797</v>
      </c>
    </row>
    <row r="524" spans="2:18" ht="35.25" customHeight="1">
      <c r="B524" s="63" t="str">
        <f t="shared" si="8"/>
        <v>No521</v>
      </c>
      <c r="C524" s="70" t="s">
        <v>142</v>
      </c>
      <c r="D524" s="70" t="s">
        <v>747</v>
      </c>
      <c r="E524" s="105">
        <v>46062</v>
      </c>
      <c r="F524" s="70" t="s">
        <v>1378</v>
      </c>
      <c r="G524" s="72">
        <v>0.24305555555555561</v>
      </c>
      <c r="H524" s="70" t="e">
        <v>#VALUE!</v>
      </c>
      <c r="I524" s="105">
        <v>46062</v>
      </c>
      <c r="J524" s="105">
        <v>46062</v>
      </c>
      <c r="K524" s="70" t="s">
        <v>20</v>
      </c>
      <c r="L524" s="70" t="s">
        <v>41</v>
      </c>
      <c r="M524" s="70"/>
      <c r="N524" s="70" t="s">
        <v>180</v>
      </c>
      <c r="O524" s="70" t="s">
        <v>6</v>
      </c>
      <c r="P524" s="70" t="s">
        <v>7</v>
      </c>
      <c r="Q524" s="106" t="s">
        <v>798</v>
      </c>
      <c r="R524" s="106" t="s">
        <v>799</v>
      </c>
    </row>
    <row r="525" spans="2:18" ht="35.25" customHeight="1">
      <c r="B525" s="63" t="str">
        <f t="shared" si="8"/>
        <v>No522</v>
      </c>
      <c r="C525" s="70" t="s">
        <v>166</v>
      </c>
      <c r="D525" s="70" t="s">
        <v>747</v>
      </c>
      <c r="E525" s="105">
        <v>46063</v>
      </c>
      <c r="F525" s="72">
        <v>0.45833333333333331</v>
      </c>
      <c r="G525" s="72">
        <v>0.70833333333333337</v>
      </c>
      <c r="H525" s="72">
        <v>0.25</v>
      </c>
      <c r="I525" s="105">
        <v>46063</v>
      </c>
      <c r="J525" s="105">
        <v>46063</v>
      </c>
      <c r="K525" s="70" t="s">
        <v>20</v>
      </c>
      <c r="L525" s="70" t="s">
        <v>26</v>
      </c>
      <c r="M525" s="70"/>
      <c r="N525" s="70"/>
      <c r="O525" s="70" t="s">
        <v>122</v>
      </c>
      <c r="P525" s="70" t="s">
        <v>7</v>
      </c>
      <c r="Q525" s="106" t="s">
        <v>800</v>
      </c>
      <c r="R525" s="106" t="s">
        <v>801</v>
      </c>
    </row>
    <row r="526" spans="2:18" ht="35.25" customHeight="1">
      <c r="B526" s="63" t="str">
        <f t="shared" si="8"/>
        <v>No523</v>
      </c>
      <c r="C526" s="70" t="s">
        <v>166</v>
      </c>
      <c r="D526" s="70" t="s">
        <v>747</v>
      </c>
      <c r="E526" s="105">
        <v>46065</v>
      </c>
      <c r="F526" s="72">
        <v>0.41666666666666669</v>
      </c>
      <c r="G526" s="72">
        <v>0.45833333333333331</v>
      </c>
      <c r="H526" s="72">
        <v>4.1666666666666657E-2</v>
      </c>
      <c r="I526" s="105">
        <v>46065</v>
      </c>
      <c r="J526" s="105">
        <v>46065</v>
      </c>
      <c r="K526" s="70" t="s">
        <v>20</v>
      </c>
      <c r="L526" s="70" t="s">
        <v>26</v>
      </c>
      <c r="M526" s="70"/>
      <c r="N526" s="70"/>
      <c r="O526" s="70" t="s">
        <v>6</v>
      </c>
      <c r="P526" s="70" t="s">
        <v>7</v>
      </c>
      <c r="Q526" s="106" t="s">
        <v>802</v>
      </c>
      <c r="R526" s="106" t="s">
        <v>803</v>
      </c>
    </row>
    <row r="527" spans="2:18" ht="35.25" customHeight="1">
      <c r="B527" s="63" t="str">
        <f t="shared" si="8"/>
        <v>No524</v>
      </c>
      <c r="C527" s="70" t="s">
        <v>104</v>
      </c>
      <c r="D527" s="70" t="s">
        <v>747</v>
      </c>
      <c r="E527" s="105">
        <v>46065</v>
      </c>
      <c r="F527" s="72">
        <v>0.54166666666666663</v>
      </c>
      <c r="G527" s="72">
        <v>0.75</v>
      </c>
      <c r="H527" s="72">
        <v>0.20833333333333329</v>
      </c>
      <c r="I527" s="105">
        <v>46065</v>
      </c>
      <c r="J527" s="105">
        <v>46065</v>
      </c>
      <c r="K527" s="70" t="s">
        <v>45</v>
      </c>
      <c r="L527" s="70" t="s">
        <v>120</v>
      </c>
      <c r="M527" s="70"/>
      <c r="N527" s="70" t="s">
        <v>783</v>
      </c>
      <c r="O527" s="70" t="s">
        <v>6</v>
      </c>
      <c r="P527" s="70" t="s">
        <v>7</v>
      </c>
      <c r="Q527" s="106" t="s">
        <v>804</v>
      </c>
      <c r="R527" s="106" t="s">
        <v>805</v>
      </c>
    </row>
    <row r="528" spans="2:18" ht="35.25" customHeight="1">
      <c r="B528" s="63" t="str">
        <f t="shared" si="8"/>
        <v>No525</v>
      </c>
      <c r="C528" s="70" t="s">
        <v>104</v>
      </c>
      <c r="D528" s="70" t="s">
        <v>747</v>
      </c>
      <c r="E528" s="105">
        <v>46065</v>
      </c>
      <c r="F528" s="72">
        <v>0.54166666666666663</v>
      </c>
      <c r="G528" s="72">
        <v>0.75</v>
      </c>
      <c r="H528" s="72">
        <v>0.20833333333333329</v>
      </c>
      <c r="I528" s="105">
        <v>46065</v>
      </c>
      <c r="J528" s="105">
        <v>46065</v>
      </c>
      <c r="K528" s="70" t="s">
        <v>61</v>
      </c>
      <c r="L528" s="70" t="s">
        <v>26</v>
      </c>
      <c r="M528" s="70"/>
      <c r="N528" s="70" t="s">
        <v>806</v>
      </c>
      <c r="O528" s="70" t="s">
        <v>6</v>
      </c>
      <c r="P528" s="70" t="s">
        <v>7</v>
      </c>
      <c r="Q528" s="106" t="s">
        <v>807</v>
      </c>
      <c r="R528" s="106" t="s">
        <v>808</v>
      </c>
    </row>
    <row r="529" spans="2:18" ht="35.25" customHeight="1">
      <c r="B529" s="63" t="str">
        <f t="shared" si="8"/>
        <v>No526</v>
      </c>
      <c r="C529" s="70" t="s">
        <v>142</v>
      </c>
      <c r="D529" s="70" t="s">
        <v>747</v>
      </c>
      <c r="E529" s="105">
        <v>46069</v>
      </c>
      <c r="F529" s="72">
        <v>0.41666666666666669</v>
      </c>
      <c r="G529" s="72">
        <v>0.58333333333333337</v>
      </c>
      <c r="H529" s="72">
        <v>0.16666666666666671</v>
      </c>
      <c r="I529" s="105">
        <v>46069</v>
      </c>
      <c r="J529" s="105">
        <v>46069</v>
      </c>
      <c r="K529" s="70" t="s">
        <v>61</v>
      </c>
      <c r="L529" s="70" t="s">
        <v>26</v>
      </c>
      <c r="M529" s="70"/>
      <c r="N529" s="70"/>
      <c r="O529" s="70" t="s">
        <v>122</v>
      </c>
      <c r="P529" s="70" t="s">
        <v>7</v>
      </c>
      <c r="Q529" s="106" t="s">
        <v>809</v>
      </c>
      <c r="R529" s="106" t="s">
        <v>810</v>
      </c>
    </row>
    <row r="530" spans="2:18" ht="35.25" customHeight="1">
      <c r="B530" s="63" t="str">
        <f t="shared" si="8"/>
        <v>No527</v>
      </c>
      <c r="C530" s="70" t="s">
        <v>142</v>
      </c>
      <c r="D530" s="70" t="s">
        <v>747</v>
      </c>
      <c r="E530" s="105">
        <v>46069</v>
      </c>
      <c r="F530" s="72">
        <v>0.47222222222222221</v>
      </c>
      <c r="G530" s="72">
        <v>0.49305555555555558</v>
      </c>
      <c r="H530" s="72">
        <v>2.0833333333333329E-2</v>
      </c>
      <c r="I530" s="105">
        <v>46069</v>
      </c>
      <c r="J530" s="105">
        <v>46069</v>
      </c>
      <c r="K530" s="70" t="s">
        <v>20</v>
      </c>
      <c r="L530" s="70" t="s">
        <v>143</v>
      </c>
      <c r="M530" s="70"/>
      <c r="N530" s="70" t="s">
        <v>783</v>
      </c>
      <c r="O530" s="70" t="s">
        <v>6</v>
      </c>
      <c r="P530" s="70" t="s">
        <v>7</v>
      </c>
      <c r="Q530" s="106" t="s">
        <v>811</v>
      </c>
      <c r="R530" s="106" t="s">
        <v>812</v>
      </c>
    </row>
    <row r="531" spans="2:18" ht="35.25" customHeight="1">
      <c r="B531" s="63" t="str">
        <f t="shared" si="8"/>
        <v>No528</v>
      </c>
      <c r="C531" s="70" t="s">
        <v>166</v>
      </c>
      <c r="D531" s="70" t="s">
        <v>747</v>
      </c>
      <c r="E531" s="105">
        <v>46069</v>
      </c>
      <c r="F531" s="72">
        <v>0.47916666666666669</v>
      </c>
      <c r="G531" s="72">
        <v>0.70833333333333337</v>
      </c>
      <c r="H531" s="72">
        <v>0.22916666666666671</v>
      </c>
      <c r="I531" s="105">
        <v>46069</v>
      </c>
      <c r="J531" s="105">
        <v>46069</v>
      </c>
      <c r="K531" s="70" t="s">
        <v>310</v>
      </c>
      <c r="L531" s="70" t="s">
        <v>26</v>
      </c>
      <c r="M531" s="70"/>
      <c r="N531" s="70"/>
      <c r="O531" s="70" t="s">
        <v>122</v>
      </c>
      <c r="P531" s="70" t="s">
        <v>7</v>
      </c>
      <c r="Q531" s="106" t="s">
        <v>813</v>
      </c>
      <c r="R531" s="106" t="s">
        <v>814</v>
      </c>
    </row>
    <row r="532" spans="2:18" ht="35.25" customHeight="1">
      <c r="B532" s="63" t="str">
        <f t="shared" si="8"/>
        <v>No529</v>
      </c>
      <c r="C532" s="70" t="s">
        <v>186</v>
      </c>
      <c r="D532" s="70" t="s">
        <v>747</v>
      </c>
      <c r="E532" s="105">
        <v>46069</v>
      </c>
      <c r="F532" s="72">
        <v>0.4861111111111111</v>
      </c>
      <c r="G532" s="72">
        <v>0.5</v>
      </c>
      <c r="H532" s="72">
        <v>1.388888888888889E-2</v>
      </c>
      <c r="I532" s="105">
        <v>46069</v>
      </c>
      <c r="J532" s="105">
        <v>46069</v>
      </c>
      <c r="K532" s="70" t="s">
        <v>61</v>
      </c>
      <c r="L532" s="70" t="s">
        <v>143</v>
      </c>
      <c r="M532" s="70"/>
      <c r="N532" s="70" t="s">
        <v>815</v>
      </c>
      <c r="O532" s="70" t="s">
        <v>6</v>
      </c>
      <c r="P532" s="70" t="s">
        <v>7</v>
      </c>
      <c r="Q532" s="106" t="s">
        <v>816</v>
      </c>
      <c r="R532" s="106" t="s">
        <v>817</v>
      </c>
    </row>
    <row r="533" spans="2:18" ht="35.25" customHeight="1">
      <c r="B533" s="63" t="str">
        <f t="shared" si="8"/>
        <v>No530</v>
      </c>
      <c r="C533" s="70" t="s">
        <v>104</v>
      </c>
      <c r="D533" s="70" t="s">
        <v>747</v>
      </c>
      <c r="E533" s="105">
        <v>46069</v>
      </c>
      <c r="F533" s="72">
        <v>0.69444444444444442</v>
      </c>
      <c r="G533" s="72">
        <v>0.72222222222222221</v>
      </c>
      <c r="H533" s="72">
        <v>2.777777777777778E-2</v>
      </c>
      <c r="I533" s="105">
        <v>46069</v>
      </c>
      <c r="J533" s="105">
        <v>46069</v>
      </c>
      <c r="K533" s="70" t="s">
        <v>249</v>
      </c>
      <c r="L533" s="70" t="s">
        <v>176</v>
      </c>
      <c r="M533" s="70"/>
      <c r="N533" s="70" t="s">
        <v>753</v>
      </c>
      <c r="O533" s="70" t="s">
        <v>6</v>
      </c>
      <c r="P533" s="70" t="s">
        <v>7</v>
      </c>
      <c r="Q533" s="106" t="s">
        <v>818</v>
      </c>
      <c r="R533" s="106" t="s">
        <v>819</v>
      </c>
    </row>
    <row r="534" spans="2:18" ht="35.25" customHeight="1">
      <c r="B534" s="63" t="str">
        <f t="shared" si="8"/>
        <v>No531</v>
      </c>
      <c r="C534" s="70" t="s">
        <v>142</v>
      </c>
      <c r="D534" s="70" t="s">
        <v>747</v>
      </c>
      <c r="E534" s="105">
        <v>46071</v>
      </c>
      <c r="F534" s="72">
        <v>0.50138888888888888</v>
      </c>
      <c r="G534" s="72">
        <v>0.53472222222222221</v>
      </c>
      <c r="H534" s="72">
        <v>3.3333333333333333E-2</v>
      </c>
      <c r="I534" s="105">
        <v>46071</v>
      </c>
      <c r="J534" s="105">
        <v>46071</v>
      </c>
      <c r="K534" s="70" t="s">
        <v>119</v>
      </c>
      <c r="L534" s="70" t="s">
        <v>41</v>
      </c>
      <c r="M534" s="70"/>
      <c r="N534" s="70" t="s">
        <v>820</v>
      </c>
      <c r="O534" s="70" t="s">
        <v>6</v>
      </c>
      <c r="P534" s="70" t="s">
        <v>7</v>
      </c>
      <c r="Q534" s="106" t="s">
        <v>821</v>
      </c>
      <c r="R534" s="106" t="s">
        <v>822</v>
      </c>
    </row>
    <row r="535" spans="2:18" ht="35.25" customHeight="1">
      <c r="B535" s="63" t="str">
        <f t="shared" si="8"/>
        <v>No532</v>
      </c>
      <c r="C535" s="70" t="s">
        <v>104</v>
      </c>
      <c r="D535" s="70" t="s">
        <v>747</v>
      </c>
      <c r="E535" s="105">
        <v>46072</v>
      </c>
      <c r="F535" s="72">
        <v>0.40416666666666667</v>
      </c>
      <c r="G535" s="72">
        <v>0.57638888888888884</v>
      </c>
      <c r="H535" s="72">
        <v>0.17222222222222219</v>
      </c>
      <c r="I535" s="105">
        <v>46072</v>
      </c>
      <c r="J535" s="105">
        <v>46072</v>
      </c>
      <c r="K535" s="70" t="s">
        <v>143</v>
      </c>
      <c r="L535" s="70" t="s">
        <v>120</v>
      </c>
      <c r="M535" s="70"/>
      <c r="N535" s="70" t="s">
        <v>823</v>
      </c>
      <c r="O535" s="70" t="s">
        <v>6</v>
      </c>
      <c r="P535" s="70" t="s">
        <v>7</v>
      </c>
      <c r="Q535" s="106" t="s">
        <v>824</v>
      </c>
      <c r="R535" s="106" t="s">
        <v>825</v>
      </c>
    </row>
    <row r="536" spans="2:18" ht="35.25" customHeight="1">
      <c r="B536" s="63" t="str">
        <f t="shared" si="8"/>
        <v>No533</v>
      </c>
      <c r="C536" s="70" t="s">
        <v>104</v>
      </c>
      <c r="D536" s="70" t="s">
        <v>747</v>
      </c>
      <c r="E536" s="105">
        <v>46078</v>
      </c>
      <c r="F536" s="72">
        <v>0.40833333333333333</v>
      </c>
      <c r="G536" s="72">
        <v>0.61805555555555558</v>
      </c>
      <c r="H536" s="72">
        <v>0.2097222222222222</v>
      </c>
      <c r="I536" s="105">
        <v>46078</v>
      </c>
      <c r="J536" s="105">
        <v>46078</v>
      </c>
      <c r="K536" s="70" t="s">
        <v>61</v>
      </c>
      <c r="L536" s="70" t="s">
        <v>561</v>
      </c>
      <c r="M536" s="70"/>
      <c r="N536" s="70" t="s">
        <v>826</v>
      </c>
      <c r="O536" s="70" t="s">
        <v>122</v>
      </c>
      <c r="P536" s="70" t="s">
        <v>7</v>
      </c>
      <c r="Q536" s="106" t="s">
        <v>827</v>
      </c>
      <c r="R536" s="106" t="s">
        <v>828</v>
      </c>
    </row>
    <row r="537" spans="2:18" ht="35.25" customHeight="1">
      <c r="B537" s="63" t="str">
        <f t="shared" si="8"/>
        <v>No534</v>
      </c>
      <c r="C537" s="70" t="s">
        <v>186</v>
      </c>
      <c r="D537" s="70" t="s">
        <v>747</v>
      </c>
      <c r="E537" s="105">
        <v>46079</v>
      </c>
      <c r="F537" s="72">
        <v>0.625</v>
      </c>
      <c r="G537" s="72">
        <v>0.70138888888888884</v>
      </c>
      <c r="H537" s="72">
        <v>7.6388888888888895E-2</v>
      </c>
      <c r="I537" s="105">
        <v>46079</v>
      </c>
      <c r="J537" s="105">
        <v>46079</v>
      </c>
      <c r="K537" s="70" t="s">
        <v>20</v>
      </c>
      <c r="L537" s="70" t="s">
        <v>143</v>
      </c>
      <c r="M537" s="70"/>
      <c r="N537" s="70" t="s">
        <v>144</v>
      </c>
      <c r="O537" s="70" t="s">
        <v>6</v>
      </c>
      <c r="P537" s="70" t="s">
        <v>7</v>
      </c>
      <c r="Q537" s="106" t="s">
        <v>829</v>
      </c>
      <c r="R537" s="106" t="s">
        <v>830</v>
      </c>
    </row>
    <row r="538" spans="2:18" ht="35.25" customHeight="1">
      <c r="B538" s="63" t="str">
        <f t="shared" si="8"/>
        <v>No535</v>
      </c>
      <c r="C538" s="70" t="s">
        <v>104</v>
      </c>
      <c r="D538" s="70" t="s">
        <v>747</v>
      </c>
      <c r="E538" s="105">
        <v>46080</v>
      </c>
      <c r="F538" s="72">
        <v>0.625</v>
      </c>
      <c r="G538" s="72">
        <v>0.66666666666666663</v>
      </c>
      <c r="H538" s="72">
        <v>4.1666666666666657E-2</v>
      </c>
      <c r="I538" s="105">
        <v>46080</v>
      </c>
      <c r="J538" s="105">
        <v>46080</v>
      </c>
      <c r="K538" s="70" t="s">
        <v>20</v>
      </c>
      <c r="L538" s="70" t="s">
        <v>143</v>
      </c>
      <c r="M538" s="70"/>
      <c r="N538" s="70" t="s">
        <v>831</v>
      </c>
      <c r="O538" s="70" t="s">
        <v>6</v>
      </c>
      <c r="P538" s="70" t="s">
        <v>7</v>
      </c>
      <c r="Q538" s="106" t="s">
        <v>832</v>
      </c>
      <c r="R538" s="106" t="s">
        <v>833</v>
      </c>
    </row>
    <row r="539" spans="2:18" ht="35.25" customHeight="1">
      <c r="B539" s="63" t="str">
        <f t="shared" si="8"/>
        <v>No536</v>
      </c>
      <c r="C539" s="70" t="s">
        <v>166</v>
      </c>
      <c r="D539" s="70" t="s">
        <v>747</v>
      </c>
      <c r="E539" s="105">
        <v>46080</v>
      </c>
      <c r="F539" s="72">
        <v>0.64027777777777772</v>
      </c>
      <c r="G539" s="72">
        <v>0.65972222222222221</v>
      </c>
      <c r="H539" s="72">
        <v>1.9444444444444441E-2</v>
      </c>
      <c r="I539" s="105">
        <v>46080</v>
      </c>
      <c r="J539" s="105">
        <v>46080</v>
      </c>
      <c r="K539" s="70" t="s">
        <v>119</v>
      </c>
      <c r="L539" s="70" t="s">
        <v>561</v>
      </c>
      <c r="M539" s="70"/>
      <c r="N539" s="70" t="s">
        <v>834</v>
      </c>
      <c r="O539" s="70" t="s">
        <v>6</v>
      </c>
      <c r="P539" s="70" t="s">
        <v>7</v>
      </c>
      <c r="Q539" s="106" t="s">
        <v>835</v>
      </c>
      <c r="R539" s="106" t="s">
        <v>836</v>
      </c>
    </row>
    <row r="540" spans="2:18" ht="35.25" customHeight="1">
      <c r="B540" s="63" t="str">
        <f t="shared" si="8"/>
        <v>No537</v>
      </c>
      <c r="C540" s="70" t="s">
        <v>166</v>
      </c>
      <c r="D540" s="70" t="s">
        <v>747</v>
      </c>
      <c r="E540" s="105">
        <v>46083</v>
      </c>
      <c r="F540" s="72">
        <v>0.6875</v>
      </c>
      <c r="G540" s="72">
        <v>0.70138888888888884</v>
      </c>
      <c r="H540" s="72">
        <v>1.388888888888889E-2</v>
      </c>
      <c r="I540" s="105">
        <v>46083</v>
      </c>
      <c r="J540" s="105">
        <v>46083</v>
      </c>
      <c r="K540" s="70" t="s">
        <v>119</v>
      </c>
      <c r="L540" s="70" t="s">
        <v>26</v>
      </c>
      <c r="M540" s="70"/>
      <c r="N540" s="70"/>
      <c r="O540" s="70" t="s">
        <v>122</v>
      </c>
      <c r="P540" s="70" t="s">
        <v>7</v>
      </c>
      <c r="Q540" s="106" t="s">
        <v>837</v>
      </c>
      <c r="R540" s="106" t="s">
        <v>838</v>
      </c>
    </row>
    <row r="541" spans="2:18" ht="35.25" customHeight="1">
      <c r="B541" s="63" t="str">
        <f t="shared" si="8"/>
        <v>No538</v>
      </c>
      <c r="C541" s="70" t="s">
        <v>104</v>
      </c>
      <c r="D541" s="70" t="s">
        <v>747</v>
      </c>
      <c r="E541" s="105">
        <v>46085</v>
      </c>
      <c r="F541" s="72">
        <v>0.70833333333333337</v>
      </c>
      <c r="G541" s="72">
        <v>0.74305555555555558</v>
      </c>
      <c r="H541" s="72">
        <v>3.4722222222222217E-2</v>
      </c>
      <c r="I541" s="105">
        <v>46085</v>
      </c>
      <c r="J541" s="105">
        <v>46085</v>
      </c>
      <c r="K541" s="70" t="s">
        <v>20</v>
      </c>
      <c r="L541" s="70" t="s">
        <v>561</v>
      </c>
      <c r="M541" s="70"/>
      <c r="N541" s="70" t="s">
        <v>834</v>
      </c>
      <c r="O541" s="70" t="s">
        <v>6</v>
      </c>
      <c r="P541" s="70" t="s">
        <v>7</v>
      </c>
      <c r="Q541" s="106" t="s">
        <v>839</v>
      </c>
      <c r="R541" s="106" t="s">
        <v>840</v>
      </c>
    </row>
    <row r="542" spans="2:18" ht="35.25" customHeight="1">
      <c r="B542" s="63" t="str">
        <f t="shared" si="8"/>
        <v>No539</v>
      </c>
      <c r="C542" s="70" t="s">
        <v>104</v>
      </c>
      <c r="D542" s="70" t="s">
        <v>747</v>
      </c>
      <c r="E542" s="105">
        <v>46086</v>
      </c>
      <c r="F542" s="72">
        <v>0.56944444444444442</v>
      </c>
      <c r="G542" s="72">
        <v>0.78472222222222221</v>
      </c>
      <c r="H542" s="72">
        <v>0.21527777777777779</v>
      </c>
      <c r="I542" s="105">
        <v>46086</v>
      </c>
      <c r="J542" s="105">
        <v>46086</v>
      </c>
      <c r="K542" s="70" t="s">
        <v>20</v>
      </c>
      <c r="L542" s="70" t="s">
        <v>143</v>
      </c>
      <c r="M542" s="70"/>
      <c r="N542" s="70" t="s">
        <v>841</v>
      </c>
      <c r="O542" s="70" t="s">
        <v>6</v>
      </c>
      <c r="P542" s="70" t="s">
        <v>7</v>
      </c>
      <c r="Q542" s="106" t="s">
        <v>842</v>
      </c>
      <c r="R542" s="106" t="s">
        <v>843</v>
      </c>
    </row>
    <row r="543" spans="2:18" ht="35.25" customHeight="1">
      <c r="B543" s="63" t="str">
        <f t="shared" si="8"/>
        <v>No540</v>
      </c>
      <c r="C543" s="70" t="s">
        <v>104</v>
      </c>
      <c r="D543" s="70" t="s">
        <v>747</v>
      </c>
      <c r="E543" s="105">
        <v>46087</v>
      </c>
      <c r="F543" s="72">
        <v>0.54166666666666663</v>
      </c>
      <c r="G543" s="72">
        <v>0.70833333333333337</v>
      </c>
      <c r="H543" s="72">
        <v>0.16666666666666671</v>
      </c>
      <c r="I543" s="105">
        <v>46087</v>
      </c>
      <c r="J543" s="105">
        <v>46087</v>
      </c>
      <c r="K543" s="70" t="s">
        <v>119</v>
      </c>
      <c r="L543" s="70" t="s">
        <v>41</v>
      </c>
      <c r="M543" s="70"/>
      <c r="N543" s="70" t="s">
        <v>820</v>
      </c>
      <c r="O543" s="70" t="s">
        <v>122</v>
      </c>
      <c r="P543" s="70" t="s">
        <v>7</v>
      </c>
      <c r="Q543" s="106" t="s">
        <v>844</v>
      </c>
      <c r="R543" s="106" t="s">
        <v>845</v>
      </c>
    </row>
    <row r="544" spans="2:18" ht="35.25" customHeight="1">
      <c r="B544" s="63" t="str">
        <f t="shared" si="8"/>
        <v>No541</v>
      </c>
      <c r="C544" s="70" t="s">
        <v>142</v>
      </c>
      <c r="D544" s="70" t="s">
        <v>747</v>
      </c>
      <c r="E544" s="105">
        <v>46087</v>
      </c>
      <c r="F544" s="72">
        <v>0.71388888888888891</v>
      </c>
      <c r="G544" s="72">
        <v>0.82638888888888884</v>
      </c>
      <c r="H544" s="72">
        <v>0.1125</v>
      </c>
      <c r="I544" s="105">
        <v>46087</v>
      </c>
      <c r="J544" s="105">
        <v>46087</v>
      </c>
      <c r="K544" s="70" t="s">
        <v>20</v>
      </c>
      <c r="L544" s="70" t="s">
        <v>41</v>
      </c>
      <c r="M544" s="70"/>
      <c r="N544" s="70" t="s">
        <v>41</v>
      </c>
      <c r="O544" s="70" t="s">
        <v>122</v>
      </c>
      <c r="P544" s="70" t="s">
        <v>7</v>
      </c>
      <c r="Q544" s="106" t="s">
        <v>846</v>
      </c>
      <c r="R544" s="106" t="s">
        <v>847</v>
      </c>
    </row>
    <row r="545" spans="2:18" ht="35.25" customHeight="1">
      <c r="B545" s="63" t="str">
        <f t="shared" si="8"/>
        <v>No542</v>
      </c>
      <c r="C545" s="70" t="s">
        <v>186</v>
      </c>
      <c r="D545" s="70" t="s">
        <v>747</v>
      </c>
      <c r="E545" s="105">
        <v>46090</v>
      </c>
      <c r="F545" s="72">
        <v>0.45833333333333331</v>
      </c>
      <c r="G545" s="72">
        <v>0.58333333333333337</v>
      </c>
      <c r="H545" s="72">
        <v>0.125</v>
      </c>
      <c r="I545" s="105">
        <v>46090</v>
      </c>
      <c r="J545" s="105">
        <v>46090</v>
      </c>
      <c r="K545" s="70" t="s">
        <v>119</v>
      </c>
      <c r="L545" s="70" t="s">
        <v>41</v>
      </c>
      <c r="M545" s="70"/>
      <c r="N545" s="70" t="s">
        <v>848</v>
      </c>
      <c r="O545" s="70" t="s">
        <v>122</v>
      </c>
      <c r="P545" s="70" t="s">
        <v>7</v>
      </c>
      <c r="Q545" s="106" t="s">
        <v>849</v>
      </c>
      <c r="R545" s="106" t="s">
        <v>850</v>
      </c>
    </row>
    <row r="546" spans="2:18" ht="35.25" customHeight="1">
      <c r="B546" s="63" t="str">
        <f t="shared" si="8"/>
        <v>No543</v>
      </c>
      <c r="C546" s="70" t="s">
        <v>166</v>
      </c>
      <c r="D546" s="70" t="s">
        <v>747</v>
      </c>
      <c r="E546" s="105">
        <v>46091</v>
      </c>
      <c r="F546" s="72">
        <v>0.58333333333333337</v>
      </c>
      <c r="G546" s="72">
        <v>0.66666666666666663</v>
      </c>
      <c r="H546" s="72">
        <v>8.3333333333333329E-2</v>
      </c>
      <c r="I546" s="105">
        <v>46091</v>
      </c>
      <c r="J546" s="105">
        <v>46091</v>
      </c>
      <c r="K546" s="70" t="s">
        <v>119</v>
      </c>
      <c r="L546" s="70" t="s">
        <v>143</v>
      </c>
      <c r="M546" s="70"/>
      <c r="N546" s="70" t="s">
        <v>851</v>
      </c>
      <c r="O546" s="70" t="s">
        <v>122</v>
      </c>
      <c r="P546" s="70" t="s">
        <v>7</v>
      </c>
      <c r="Q546" s="106" t="s">
        <v>852</v>
      </c>
      <c r="R546" s="106" t="s">
        <v>853</v>
      </c>
    </row>
    <row r="547" spans="2:18" ht="35.25" customHeight="1">
      <c r="B547" s="63" t="str">
        <f t="shared" si="8"/>
        <v>No544</v>
      </c>
      <c r="C547" s="70" t="s">
        <v>142</v>
      </c>
      <c r="D547" s="70" t="s">
        <v>747</v>
      </c>
      <c r="E547" s="105">
        <v>46093</v>
      </c>
      <c r="F547" s="72">
        <v>0.69166666666666665</v>
      </c>
      <c r="G547" s="72">
        <v>0.90972222222222221</v>
      </c>
      <c r="H547" s="72">
        <v>0.21805555555555561</v>
      </c>
      <c r="I547" s="105">
        <v>46093</v>
      </c>
      <c r="J547" s="105">
        <v>46093</v>
      </c>
      <c r="K547" s="70" t="s">
        <v>20</v>
      </c>
      <c r="L547" s="70" t="s">
        <v>143</v>
      </c>
      <c r="M547" s="70"/>
      <c r="N547" s="70" t="s">
        <v>854</v>
      </c>
      <c r="O547" s="70" t="s">
        <v>122</v>
      </c>
      <c r="P547" s="70" t="s">
        <v>7</v>
      </c>
      <c r="Q547" s="106" t="s">
        <v>855</v>
      </c>
      <c r="R547" s="106" t="s">
        <v>856</v>
      </c>
    </row>
    <row r="548" spans="2:18" ht="35.25" customHeight="1">
      <c r="B548" s="63" t="str">
        <f t="shared" si="8"/>
        <v>No545</v>
      </c>
      <c r="C548" s="70" t="s">
        <v>104</v>
      </c>
      <c r="D548" s="70" t="s">
        <v>747</v>
      </c>
      <c r="E548" s="105">
        <v>46095</v>
      </c>
      <c r="F548" s="72">
        <v>0.41111111111111109</v>
      </c>
      <c r="G548" s="72">
        <v>0.95138888888888884</v>
      </c>
      <c r="H548" s="72">
        <v>0.54027777777777775</v>
      </c>
      <c r="I548" s="105">
        <v>46095</v>
      </c>
      <c r="J548" s="105">
        <v>46095</v>
      </c>
      <c r="K548" s="70" t="s">
        <v>20</v>
      </c>
      <c r="L548" s="70" t="s">
        <v>143</v>
      </c>
      <c r="M548" s="70"/>
      <c r="N548" s="70" t="s">
        <v>857</v>
      </c>
      <c r="O548" s="70" t="s">
        <v>122</v>
      </c>
      <c r="P548" s="70" t="s">
        <v>7</v>
      </c>
      <c r="Q548" s="106" t="s">
        <v>858</v>
      </c>
      <c r="R548" s="106" t="s">
        <v>859</v>
      </c>
    </row>
    <row r="549" spans="2:18" ht="35.25" customHeight="1">
      <c r="B549" s="63" t="str">
        <f t="shared" si="8"/>
        <v>No546</v>
      </c>
      <c r="C549" s="70" t="s">
        <v>3</v>
      </c>
      <c r="D549" s="70" t="s">
        <v>747</v>
      </c>
      <c r="E549" s="105">
        <v>46097</v>
      </c>
      <c r="F549" s="72">
        <v>0.42777777777777781</v>
      </c>
      <c r="G549" s="72">
        <v>0.99305555555555558</v>
      </c>
      <c r="H549" s="72">
        <v>0.56527777777777777</v>
      </c>
      <c r="I549" s="105">
        <v>46097</v>
      </c>
      <c r="J549" s="105">
        <v>46097</v>
      </c>
      <c r="K549" s="70" t="s">
        <v>20</v>
      </c>
      <c r="L549" s="70" t="s">
        <v>143</v>
      </c>
      <c r="M549" s="70"/>
      <c r="N549" s="70" t="s">
        <v>860</v>
      </c>
      <c r="O549" s="70" t="s">
        <v>122</v>
      </c>
      <c r="P549" s="70" t="s">
        <v>7</v>
      </c>
      <c r="Q549" s="106" t="s">
        <v>861</v>
      </c>
      <c r="R549" s="106" t="s">
        <v>862</v>
      </c>
    </row>
    <row r="550" spans="2:18" ht="35.25" customHeight="1">
      <c r="B550" s="63" t="str">
        <f t="shared" si="8"/>
        <v>No547</v>
      </c>
      <c r="C550" s="70" t="s">
        <v>186</v>
      </c>
      <c r="D550" s="70" t="s">
        <v>747</v>
      </c>
      <c r="E550" s="105">
        <v>46097</v>
      </c>
      <c r="F550" s="72">
        <v>0.67986111111111114</v>
      </c>
      <c r="G550" s="72">
        <v>0.625</v>
      </c>
      <c r="H550" s="72">
        <v>0.64583333333333337</v>
      </c>
      <c r="I550" s="105">
        <v>46097</v>
      </c>
      <c r="J550" s="105">
        <v>46097</v>
      </c>
      <c r="K550" s="70" t="s">
        <v>20</v>
      </c>
      <c r="L550" s="70" t="s">
        <v>143</v>
      </c>
      <c r="M550" s="70"/>
      <c r="N550" s="70" t="s">
        <v>863</v>
      </c>
      <c r="O550" s="70" t="s">
        <v>122</v>
      </c>
      <c r="P550" s="70" t="s">
        <v>7</v>
      </c>
      <c r="Q550" s="106" t="s">
        <v>864</v>
      </c>
      <c r="R550" s="106" t="s">
        <v>865</v>
      </c>
    </row>
    <row r="551" spans="2:18" ht="35.25" customHeight="1">
      <c r="B551" s="63" t="str">
        <f t="shared" si="8"/>
        <v>No548</v>
      </c>
      <c r="C551" s="70" t="s">
        <v>142</v>
      </c>
      <c r="D551" s="70" t="s">
        <v>747</v>
      </c>
      <c r="E551" s="105">
        <v>46099</v>
      </c>
      <c r="F551" s="72">
        <v>0.40347222222222218</v>
      </c>
      <c r="G551" s="72">
        <v>7.6388888888888895E-2</v>
      </c>
      <c r="H551" s="72">
        <v>0.67291666666666672</v>
      </c>
      <c r="I551" s="105">
        <v>46099</v>
      </c>
      <c r="J551" s="105">
        <v>46099</v>
      </c>
      <c r="K551" s="70" t="s">
        <v>20</v>
      </c>
      <c r="L551" s="70" t="s">
        <v>21</v>
      </c>
      <c r="M551" s="70"/>
      <c r="N551" s="70" t="s">
        <v>866</v>
      </c>
      <c r="O551" s="70" t="s">
        <v>122</v>
      </c>
      <c r="P551" s="70" t="s">
        <v>7</v>
      </c>
      <c r="Q551" s="106" t="s">
        <v>867</v>
      </c>
      <c r="R551" s="106" t="s">
        <v>868</v>
      </c>
    </row>
    <row r="552" spans="2:18" ht="35.25" customHeight="1">
      <c r="B552" s="63" t="str">
        <f t="shared" si="8"/>
        <v>No549</v>
      </c>
      <c r="C552" s="70" t="s">
        <v>3</v>
      </c>
      <c r="D552" s="70" t="s">
        <v>747</v>
      </c>
      <c r="E552" s="105">
        <v>46099</v>
      </c>
      <c r="F552" s="72">
        <v>0.4236111111111111</v>
      </c>
      <c r="G552" s="72">
        <v>0.5625</v>
      </c>
      <c r="H552" s="72">
        <v>0.69791666666666663</v>
      </c>
      <c r="I552" s="105">
        <v>46099</v>
      </c>
      <c r="J552" s="105">
        <v>46099</v>
      </c>
      <c r="K552" s="70" t="s">
        <v>20</v>
      </c>
      <c r="L552" s="70" t="s">
        <v>143</v>
      </c>
      <c r="M552" s="70"/>
      <c r="N552" s="70" t="s">
        <v>869</v>
      </c>
      <c r="O552" s="70" t="s">
        <v>122</v>
      </c>
      <c r="P552" s="70" t="s">
        <v>7</v>
      </c>
      <c r="Q552" s="106" t="s">
        <v>870</v>
      </c>
      <c r="R552" s="106" t="s">
        <v>871</v>
      </c>
    </row>
    <row r="553" spans="2:18" ht="35.25" customHeight="1">
      <c r="B553" s="63" t="str">
        <f t="shared" si="8"/>
        <v>No550</v>
      </c>
      <c r="C553" s="70" t="s">
        <v>104</v>
      </c>
      <c r="D553" s="70" t="s">
        <v>747</v>
      </c>
      <c r="E553" s="105">
        <v>46099</v>
      </c>
      <c r="F553" s="72">
        <v>0.47916666666666669</v>
      </c>
      <c r="G553" s="72">
        <v>0.58333333333333337</v>
      </c>
      <c r="H553" s="72">
        <v>0.1041666666666667</v>
      </c>
      <c r="I553" s="105">
        <v>46099</v>
      </c>
      <c r="J553" s="105">
        <v>46099</v>
      </c>
      <c r="K553" s="70" t="s">
        <v>20</v>
      </c>
      <c r="L553" s="70" t="s">
        <v>143</v>
      </c>
      <c r="M553" s="70"/>
      <c r="N553" s="70" t="s">
        <v>872</v>
      </c>
      <c r="O553" s="70" t="s">
        <v>122</v>
      </c>
      <c r="P553" s="70" t="s">
        <v>7</v>
      </c>
      <c r="Q553" s="106" t="s">
        <v>873</v>
      </c>
      <c r="R553" s="106" t="s">
        <v>874</v>
      </c>
    </row>
    <row r="554" spans="2:18" ht="35.25" customHeight="1">
      <c r="B554" s="63" t="str">
        <f t="shared" si="8"/>
        <v>No551</v>
      </c>
      <c r="C554" s="70" t="s">
        <v>104</v>
      </c>
      <c r="D554" s="70" t="s">
        <v>747</v>
      </c>
      <c r="E554" s="105">
        <v>46099</v>
      </c>
      <c r="F554" s="72">
        <v>0.47916666666666669</v>
      </c>
      <c r="G554" s="72">
        <v>0.625</v>
      </c>
      <c r="H554" s="72">
        <v>0.14583333333333329</v>
      </c>
      <c r="I554" s="105">
        <v>46099</v>
      </c>
      <c r="J554" s="105">
        <v>46099</v>
      </c>
      <c r="K554" s="70" t="s">
        <v>20</v>
      </c>
      <c r="L554" s="70" t="s">
        <v>143</v>
      </c>
      <c r="M554" s="70"/>
      <c r="N554" s="70" t="s">
        <v>875</v>
      </c>
      <c r="O554" s="70" t="s">
        <v>122</v>
      </c>
      <c r="P554" s="70" t="s">
        <v>7</v>
      </c>
      <c r="Q554" s="106" t="s">
        <v>876</v>
      </c>
      <c r="R554" s="106" t="s">
        <v>877</v>
      </c>
    </row>
    <row r="555" spans="2:18" ht="35.25" customHeight="1">
      <c r="B555" s="63" t="str">
        <f t="shared" si="8"/>
        <v>No552</v>
      </c>
      <c r="C555" s="70" t="s">
        <v>3</v>
      </c>
      <c r="D555" s="70" t="s">
        <v>747</v>
      </c>
      <c r="E555" s="105">
        <v>46100</v>
      </c>
      <c r="F555" s="72">
        <v>0.625</v>
      </c>
      <c r="G555" s="72">
        <v>0.70833333333333337</v>
      </c>
      <c r="H555" s="72">
        <v>8.3333333333333329E-2</v>
      </c>
      <c r="I555" s="105">
        <v>46100</v>
      </c>
      <c r="J555" s="105">
        <v>46100</v>
      </c>
      <c r="K555" s="70" t="s">
        <v>40</v>
      </c>
      <c r="L555" s="70" t="s">
        <v>143</v>
      </c>
      <c r="M555" s="70"/>
      <c r="N555" s="70" t="s">
        <v>878</v>
      </c>
      <c r="O555" s="70" t="s">
        <v>122</v>
      </c>
      <c r="P555" s="70" t="s">
        <v>7</v>
      </c>
      <c r="Q555" s="106" t="s">
        <v>879</v>
      </c>
      <c r="R555" s="106" t="s">
        <v>880</v>
      </c>
    </row>
    <row r="556" spans="2:18" ht="35.25" customHeight="1">
      <c r="B556" s="63" t="str">
        <f t="shared" si="8"/>
        <v>No553</v>
      </c>
      <c r="C556" s="70" t="s">
        <v>3</v>
      </c>
      <c r="D556" s="70" t="s">
        <v>747</v>
      </c>
      <c r="E556" s="105">
        <v>46104</v>
      </c>
      <c r="F556" s="72">
        <v>0.54166666666666663</v>
      </c>
      <c r="G556" s="72">
        <v>0.55555555555555558</v>
      </c>
      <c r="H556" s="72">
        <v>1.388888888888889E-2</v>
      </c>
      <c r="I556" s="105">
        <v>46104</v>
      </c>
      <c r="J556" s="105">
        <v>46104</v>
      </c>
      <c r="K556" s="70" t="s">
        <v>45</v>
      </c>
      <c r="L556" s="70" t="s">
        <v>26</v>
      </c>
      <c r="M556" s="70"/>
      <c r="N556" s="70" t="s">
        <v>806</v>
      </c>
      <c r="O556" s="70" t="s">
        <v>6</v>
      </c>
      <c r="P556" s="70" t="s">
        <v>7</v>
      </c>
      <c r="Q556" s="106" t="s">
        <v>881</v>
      </c>
      <c r="R556" s="106" t="s">
        <v>882</v>
      </c>
    </row>
    <row r="557" spans="2:18" ht="35.25" customHeight="1">
      <c r="B557" s="63" t="str">
        <f t="shared" si="8"/>
        <v>No554</v>
      </c>
      <c r="C557" s="70" t="s">
        <v>104</v>
      </c>
      <c r="D557" s="70" t="s">
        <v>747</v>
      </c>
      <c r="E557" s="105">
        <v>46107</v>
      </c>
      <c r="F557" s="72">
        <v>0.44444444444444442</v>
      </c>
      <c r="G557" s="72">
        <v>0.70833333333333337</v>
      </c>
      <c r="H557" s="72">
        <v>0.2638888888888889</v>
      </c>
      <c r="I557" s="105">
        <v>46107</v>
      </c>
      <c r="J557" s="105">
        <v>46107</v>
      </c>
      <c r="K557" s="70" t="s">
        <v>20</v>
      </c>
      <c r="L557" s="70" t="s">
        <v>120</v>
      </c>
      <c r="M557" s="70"/>
      <c r="N557" s="70" t="s">
        <v>883</v>
      </c>
      <c r="O557" s="70" t="s">
        <v>6</v>
      </c>
      <c r="P557" s="70" t="s">
        <v>7</v>
      </c>
      <c r="Q557" s="106" t="s">
        <v>884</v>
      </c>
      <c r="R557" s="106" t="s">
        <v>885</v>
      </c>
    </row>
    <row r="558" spans="2:18" ht="35.25" customHeight="1">
      <c r="B558" s="63" t="str">
        <f t="shared" si="8"/>
        <v>No555</v>
      </c>
      <c r="C558" s="70" t="s">
        <v>3</v>
      </c>
      <c r="D558" s="70" t="s">
        <v>747</v>
      </c>
      <c r="E558" s="105">
        <v>46107</v>
      </c>
      <c r="F558" s="72">
        <v>0.70833333333333337</v>
      </c>
      <c r="G558" s="72">
        <v>0.75</v>
      </c>
      <c r="H558" s="72">
        <v>4.1666666666666657E-2</v>
      </c>
      <c r="I558" s="105">
        <v>46107</v>
      </c>
      <c r="J558" s="105">
        <v>46107</v>
      </c>
      <c r="K558" s="70" t="s">
        <v>45</v>
      </c>
      <c r="L558" s="70" t="s">
        <v>26</v>
      </c>
      <c r="M558" s="70"/>
      <c r="N558" s="70" t="s">
        <v>806</v>
      </c>
      <c r="O558" s="70" t="s">
        <v>6</v>
      </c>
      <c r="P558" s="70" t="s">
        <v>7</v>
      </c>
      <c r="Q558" s="106" t="s">
        <v>886</v>
      </c>
      <c r="R558" s="106" t="s">
        <v>887</v>
      </c>
    </row>
    <row r="559" spans="2:18" ht="35.25" customHeight="1">
      <c r="B559" s="63" t="str">
        <f t="shared" si="8"/>
        <v>No556</v>
      </c>
      <c r="C559" s="70" t="s">
        <v>142</v>
      </c>
      <c r="D559" s="70" t="s">
        <v>747</v>
      </c>
      <c r="E559" s="105">
        <v>46108</v>
      </c>
      <c r="F559" s="72">
        <v>0.375</v>
      </c>
      <c r="G559" s="72">
        <v>0.5</v>
      </c>
      <c r="H559" s="72">
        <v>0.125</v>
      </c>
      <c r="I559" s="105">
        <v>46108</v>
      </c>
      <c r="J559" s="105">
        <v>46108</v>
      </c>
      <c r="K559" s="70" t="s">
        <v>45</v>
      </c>
      <c r="L559" s="70" t="s">
        <v>120</v>
      </c>
      <c r="M559" s="70"/>
      <c r="N559" s="70" t="s">
        <v>888</v>
      </c>
      <c r="O559" s="70" t="s">
        <v>6</v>
      </c>
      <c r="P559" s="70" t="s">
        <v>7</v>
      </c>
      <c r="Q559" s="106" t="s">
        <v>889</v>
      </c>
      <c r="R559" s="106" t="s">
        <v>890</v>
      </c>
    </row>
    <row r="560" spans="2:18" ht="35.25" customHeight="1">
      <c r="B560" s="63" t="str">
        <f t="shared" si="8"/>
        <v>No557</v>
      </c>
      <c r="C560" s="70" t="s">
        <v>142</v>
      </c>
      <c r="D560" s="70" t="s">
        <v>747</v>
      </c>
      <c r="E560" s="105">
        <v>46111</v>
      </c>
      <c r="F560" s="72">
        <v>0.38194444444444442</v>
      </c>
      <c r="G560" s="72">
        <v>0.40277777777777779</v>
      </c>
      <c r="H560" s="72">
        <v>0.3888888888888889</v>
      </c>
      <c r="I560" s="105">
        <v>46111</v>
      </c>
      <c r="J560" s="105">
        <v>46111</v>
      </c>
      <c r="K560" s="70" t="s">
        <v>119</v>
      </c>
      <c r="L560" s="70" t="s">
        <v>26</v>
      </c>
      <c r="M560" s="70"/>
      <c r="N560" s="70"/>
      <c r="O560" s="70" t="s">
        <v>6</v>
      </c>
      <c r="P560" s="70" t="s">
        <v>7</v>
      </c>
      <c r="Q560" s="106" t="s">
        <v>891</v>
      </c>
      <c r="R560" s="106" t="s">
        <v>892</v>
      </c>
    </row>
    <row r="561" spans="2:18" ht="35.25" customHeight="1">
      <c r="B561" s="63" t="str">
        <f t="shared" si="8"/>
        <v>No558</v>
      </c>
      <c r="C561" s="70" t="s">
        <v>3</v>
      </c>
      <c r="D561" s="70" t="s">
        <v>747</v>
      </c>
      <c r="E561" s="105">
        <v>46111</v>
      </c>
      <c r="F561" s="72">
        <v>0.49305555555555558</v>
      </c>
      <c r="G561" s="72">
        <v>0.5625</v>
      </c>
      <c r="H561" s="72">
        <v>6.9444444444444448E-2</v>
      </c>
      <c r="I561" s="105">
        <v>46111</v>
      </c>
      <c r="J561" s="105">
        <v>46111</v>
      </c>
      <c r="K561" s="70" t="s">
        <v>20</v>
      </c>
      <c r="L561" s="70" t="s">
        <v>143</v>
      </c>
      <c r="M561" s="70"/>
      <c r="N561" s="70" t="s">
        <v>893</v>
      </c>
      <c r="O561" s="70" t="s">
        <v>6</v>
      </c>
      <c r="P561" s="70" t="s">
        <v>7</v>
      </c>
      <c r="Q561" s="106" t="s">
        <v>894</v>
      </c>
      <c r="R561" s="106" t="s">
        <v>895</v>
      </c>
    </row>
    <row r="562" spans="2:18" ht="35.25" customHeight="1">
      <c r="B562" s="63" t="str">
        <f t="shared" si="8"/>
        <v>No559</v>
      </c>
      <c r="C562" s="70" t="s">
        <v>142</v>
      </c>
      <c r="D562" s="70" t="s">
        <v>747</v>
      </c>
      <c r="E562" s="105">
        <v>46113</v>
      </c>
      <c r="F562" s="72">
        <v>0.45833333333333331</v>
      </c>
      <c r="G562" s="72">
        <v>0.75</v>
      </c>
      <c r="H562" s="72">
        <v>0.29166666666666669</v>
      </c>
      <c r="I562" s="105">
        <v>46113</v>
      </c>
      <c r="J562" s="105">
        <v>46113</v>
      </c>
      <c r="K562" s="70" t="s">
        <v>40</v>
      </c>
      <c r="L562" s="70" t="s">
        <v>21</v>
      </c>
      <c r="M562" s="70"/>
      <c r="N562" s="70" t="s">
        <v>136</v>
      </c>
      <c r="O562" s="70" t="s">
        <v>6</v>
      </c>
      <c r="P562" s="70" t="s">
        <v>7</v>
      </c>
      <c r="Q562" s="106" t="s">
        <v>901</v>
      </c>
      <c r="R562" s="106" t="s">
        <v>902</v>
      </c>
    </row>
    <row r="563" spans="2:18" ht="35.25" customHeight="1">
      <c r="B563" s="63" t="str">
        <f t="shared" si="8"/>
        <v>No560</v>
      </c>
      <c r="C563" s="70" t="s">
        <v>142</v>
      </c>
      <c r="D563" s="70" t="s">
        <v>747</v>
      </c>
      <c r="E563" s="105">
        <v>46114</v>
      </c>
      <c r="F563" s="72">
        <v>0.375</v>
      </c>
      <c r="G563" s="72">
        <v>0.44791666666666669</v>
      </c>
      <c r="H563" s="72">
        <v>7.2916666666666671E-2</v>
      </c>
      <c r="I563" s="105">
        <v>46114</v>
      </c>
      <c r="J563" s="105">
        <v>46114</v>
      </c>
      <c r="K563" s="70" t="s">
        <v>45</v>
      </c>
      <c r="L563" s="70" t="s">
        <v>21</v>
      </c>
      <c r="M563" s="70"/>
      <c r="N563" s="70" t="s">
        <v>193</v>
      </c>
      <c r="O563" s="70" t="s">
        <v>6</v>
      </c>
      <c r="P563" s="70" t="s">
        <v>7</v>
      </c>
      <c r="Q563" s="106" t="s">
        <v>910</v>
      </c>
      <c r="R563" s="106" t="s">
        <v>911</v>
      </c>
    </row>
    <row r="564" spans="2:18" ht="35.25" customHeight="1">
      <c r="B564" s="63" t="str">
        <f t="shared" si="8"/>
        <v>No561</v>
      </c>
      <c r="C564" s="70" t="s">
        <v>104</v>
      </c>
      <c r="D564" s="70" t="s">
        <v>747</v>
      </c>
      <c r="E564" s="105">
        <v>46114</v>
      </c>
      <c r="F564" s="72">
        <v>0.58333333333333337</v>
      </c>
      <c r="G564" s="72">
        <v>0.625</v>
      </c>
      <c r="H564" s="72">
        <v>4.1666666666666657E-2</v>
      </c>
      <c r="I564" s="105">
        <v>46114</v>
      </c>
      <c r="J564" s="105">
        <v>46114</v>
      </c>
      <c r="K564" s="70" t="s">
        <v>20</v>
      </c>
      <c r="L564" s="70" t="s">
        <v>21</v>
      </c>
      <c r="M564" s="70"/>
      <c r="N564" s="70" t="s">
        <v>420</v>
      </c>
      <c r="O564" s="70" t="s">
        <v>6</v>
      </c>
      <c r="P564" s="70" t="s">
        <v>7</v>
      </c>
      <c r="Q564" s="106" t="s">
        <v>919</v>
      </c>
      <c r="R564" s="106" t="s">
        <v>920</v>
      </c>
    </row>
    <row r="565" spans="2:18" ht="35.25" customHeight="1">
      <c r="B565" s="63" t="str">
        <f t="shared" si="8"/>
        <v>No562</v>
      </c>
      <c r="C565" s="70" t="s">
        <v>104</v>
      </c>
      <c r="D565" s="70" t="s">
        <v>747</v>
      </c>
      <c r="E565" s="105">
        <v>46114</v>
      </c>
      <c r="F565" s="72">
        <v>0.625</v>
      </c>
      <c r="G565" s="72">
        <v>0.75</v>
      </c>
      <c r="H565" s="72">
        <v>0.125</v>
      </c>
      <c r="I565" s="105">
        <v>46114</v>
      </c>
      <c r="J565" s="105">
        <v>46114</v>
      </c>
      <c r="K565" s="70" t="s">
        <v>20</v>
      </c>
      <c r="L565" s="70" t="s">
        <v>21</v>
      </c>
      <c r="M565" s="70"/>
      <c r="N565" s="70" t="s">
        <v>420</v>
      </c>
      <c r="O565" s="70" t="s">
        <v>6</v>
      </c>
      <c r="P565" s="70" t="s">
        <v>7</v>
      </c>
      <c r="Q565" s="106" t="s">
        <v>921</v>
      </c>
      <c r="R565" s="106" t="s">
        <v>922</v>
      </c>
    </row>
    <row r="566" spans="2:18" ht="35.25" customHeight="1">
      <c r="B566" s="63" t="str">
        <f t="shared" si="8"/>
        <v>No563</v>
      </c>
      <c r="C566" s="70" t="s">
        <v>142</v>
      </c>
      <c r="D566" s="70" t="s">
        <v>747</v>
      </c>
      <c r="E566" s="105">
        <v>46115</v>
      </c>
      <c r="F566" s="72">
        <v>0.41666666666666669</v>
      </c>
      <c r="G566" s="72">
        <v>0.58333333333333337</v>
      </c>
      <c r="H566" s="72">
        <v>0.16666666666666671</v>
      </c>
      <c r="I566" s="105">
        <v>46115</v>
      </c>
      <c r="J566" s="105">
        <v>46115</v>
      </c>
      <c r="K566" s="70" t="s">
        <v>45</v>
      </c>
      <c r="L566" s="70" t="s">
        <v>41</v>
      </c>
      <c r="M566" s="70"/>
      <c r="N566" s="70" t="s">
        <v>112</v>
      </c>
      <c r="O566" s="70" t="s">
        <v>6</v>
      </c>
      <c r="P566" s="70" t="s">
        <v>7</v>
      </c>
      <c r="Q566" s="106" t="s">
        <v>927</v>
      </c>
      <c r="R566" s="106" t="s">
        <v>928</v>
      </c>
    </row>
    <row r="567" spans="2:18" ht="35.25" customHeight="1">
      <c r="B567" s="63" t="str">
        <f t="shared" si="8"/>
        <v>No564</v>
      </c>
      <c r="C567" s="70" t="s">
        <v>104</v>
      </c>
      <c r="D567" s="70" t="s">
        <v>747</v>
      </c>
      <c r="E567" s="105">
        <v>46118</v>
      </c>
      <c r="F567" s="72">
        <v>0.41666666666666669</v>
      </c>
      <c r="G567" s="72">
        <v>0.70833333333333337</v>
      </c>
      <c r="H567" s="72">
        <v>0.29166666666666669</v>
      </c>
      <c r="I567" s="105">
        <v>46118</v>
      </c>
      <c r="J567" s="105">
        <v>46118</v>
      </c>
      <c r="K567" s="70" t="s">
        <v>20</v>
      </c>
      <c r="L567" s="70" t="s">
        <v>21</v>
      </c>
      <c r="M567" s="70"/>
      <c r="N567" s="70" t="s">
        <v>420</v>
      </c>
      <c r="O567" s="70" t="s">
        <v>6</v>
      </c>
      <c r="P567" s="70" t="s">
        <v>7</v>
      </c>
      <c r="Q567" s="106" t="s">
        <v>936</v>
      </c>
      <c r="R567" s="106" t="s">
        <v>937</v>
      </c>
    </row>
    <row r="568" spans="2:18" ht="35.25" customHeight="1">
      <c r="B568" s="63" t="str">
        <f t="shared" si="8"/>
        <v>No565</v>
      </c>
      <c r="C568" s="70" t="s">
        <v>104</v>
      </c>
      <c r="D568" s="70" t="s">
        <v>747</v>
      </c>
      <c r="E568" s="105">
        <v>46118</v>
      </c>
      <c r="F568" s="72">
        <v>0.41666666666666669</v>
      </c>
      <c r="G568" s="72">
        <v>0.5</v>
      </c>
      <c r="H568" s="72">
        <v>8.3333333333333329E-2</v>
      </c>
      <c r="I568" s="105">
        <v>46118</v>
      </c>
      <c r="J568" s="105">
        <v>46118</v>
      </c>
      <c r="K568" s="70" t="s">
        <v>20</v>
      </c>
      <c r="L568" s="70" t="s">
        <v>21</v>
      </c>
      <c r="M568" s="70"/>
      <c r="N568" s="70" t="s">
        <v>133</v>
      </c>
      <c r="O568" s="70" t="s">
        <v>6</v>
      </c>
      <c r="P568" s="70" t="s">
        <v>7</v>
      </c>
      <c r="Q568" s="106" t="s">
        <v>934</v>
      </c>
      <c r="R568" s="106" t="s">
        <v>935</v>
      </c>
    </row>
    <row r="569" spans="2:18" ht="35.25" customHeight="1">
      <c r="B569" s="63" t="str">
        <f t="shared" si="8"/>
        <v>No566</v>
      </c>
      <c r="C569" s="70" t="s">
        <v>166</v>
      </c>
      <c r="D569" s="70" t="s">
        <v>747</v>
      </c>
      <c r="E569" s="105">
        <v>46118</v>
      </c>
      <c r="F569" s="72">
        <v>0.625</v>
      </c>
      <c r="G569" s="72">
        <v>0.75</v>
      </c>
      <c r="H569" s="72">
        <v>0.125</v>
      </c>
      <c r="I569" s="105">
        <v>46118</v>
      </c>
      <c r="J569" s="105">
        <v>46118</v>
      </c>
      <c r="K569" s="70" t="s">
        <v>20</v>
      </c>
      <c r="L569" s="70" t="s">
        <v>26</v>
      </c>
      <c r="M569" s="70"/>
      <c r="N569" s="70"/>
      <c r="O569" s="70" t="s">
        <v>6</v>
      </c>
      <c r="P569" s="70" t="s">
        <v>7</v>
      </c>
      <c r="Q569" s="106" t="s">
        <v>944</v>
      </c>
      <c r="R569" s="106" t="s">
        <v>945</v>
      </c>
    </row>
    <row r="570" spans="2:18" ht="35.25" customHeight="1">
      <c r="B570" s="63" t="str">
        <f t="shared" si="8"/>
        <v>No567</v>
      </c>
      <c r="C570" s="108" t="s">
        <v>3</v>
      </c>
      <c r="D570" s="108" t="s">
        <v>747</v>
      </c>
      <c r="E570" s="109">
        <v>46121</v>
      </c>
      <c r="F570" s="110">
        <v>0.375</v>
      </c>
      <c r="G570" s="110">
        <v>0.70833333333333337</v>
      </c>
      <c r="H570" s="110">
        <v>0.33333333333333331</v>
      </c>
      <c r="I570" s="111">
        <v>46121</v>
      </c>
      <c r="J570" s="111">
        <v>46121</v>
      </c>
      <c r="K570" s="108" t="s">
        <v>20</v>
      </c>
      <c r="L570" s="108" t="s">
        <v>311</v>
      </c>
      <c r="M570" s="108"/>
      <c r="N570" s="108"/>
      <c r="O570" s="108" t="s">
        <v>6</v>
      </c>
      <c r="P570" s="108" t="s">
        <v>614</v>
      </c>
      <c r="Q570" s="112" t="s">
        <v>948</v>
      </c>
      <c r="R570" s="112" t="s">
        <v>949</v>
      </c>
    </row>
    <row r="571" spans="2:18" ht="35.25" customHeight="1">
      <c r="B571" s="63" t="str">
        <f t="shared" si="8"/>
        <v>No568</v>
      </c>
      <c r="C571" s="108" t="s">
        <v>3</v>
      </c>
      <c r="D571" s="108" t="s">
        <v>747</v>
      </c>
      <c r="E571" s="113">
        <v>46122</v>
      </c>
      <c r="F571" s="110">
        <v>0.375</v>
      </c>
      <c r="G571" s="110">
        <v>0.625</v>
      </c>
      <c r="H571" s="110">
        <v>0.25</v>
      </c>
      <c r="I571" s="111">
        <v>46122</v>
      </c>
      <c r="J571" s="111">
        <v>46122</v>
      </c>
      <c r="K571" s="108" t="s">
        <v>20</v>
      </c>
      <c r="L571" s="108" t="s">
        <v>561</v>
      </c>
      <c r="M571" s="108"/>
      <c r="N571" s="108" t="s">
        <v>562</v>
      </c>
      <c r="O571" s="108" t="s">
        <v>6</v>
      </c>
      <c r="P571" s="108" t="s">
        <v>614</v>
      </c>
      <c r="Q571" s="112" t="s">
        <v>1976</v>
      </c>
      <c r="R571" s="112" t="s">
        <v>1977</v>
      </c>
    </row>
    <row r="572" spans="2:18" ht="30.75" customHeight="1">
      <c r="B572" s="63" t="str">
        <f t="shared" si="8"/>
        <v>No569</v>
      </c>
      <c r="C572" s="70" t="s">
        <v>186</v>
      </c>
      <c r="D572" s="67" t="s">
        <v>1978</v>
      </c>
      <c r="E572" s="114">
        <v>46149</v>
      </c>
      <c r="F572" s="75">
        <v>0.36458333333333331</v>
      </c>
      <c r="G572" s="75">
        <v>0.375</v>
      </c>
      <c r="H572" s="75">
        <v>1.041666666666667E-2</v>
      </c>
      <c r="I572" s="114">
        <v>46149</v>
      </c>
      <c r="J572" s="114">
        <v>46149</v>
      </c>
      <c r="K572" s="70" t="s">
        <v>45</v>
      </c>
      <c r="L572" s="67" t="s">
        <v>931</v>
      </c>
      <c r="M572" s="70"/>
      <c r="N572" s="67" t="s">
        <v>1979</v>
      </c>
      <c r="O572" s="70" t="s">
        <v>6</v>
      </c>
      <c r="P572" s="70" t="s">
        <v>7</v>
      </c>
      <c r="Q572" s="115" t="s">
        <v>994</v>
      </c>
      <c r="R572" s="115" t="s">
        <v>995</v>
      </c>
    </row>
    <row r="573" spans="2:18" ht="18.75" customHeight="1">
      <c r="B573" s="63" t="str">
        <f t="shared" si="8"/>
        <v>No570</v>
      </c>
      <c r="C573" s="70" t="s">
        <v>3</v>
      </c>
      <c r="D573" s="67" t="s">
        <v>1978</v>
      </c>
      <c r="E573" s="114">
        <v>46149</v>
      </c>
      <c r="F573" s="75">
        <v>0.66319444444444442</v>
      </c>
      <c r="G573" s="75">
        <v>0.68402777777777779</v>
      </c>
      <c r="H573" s="75">
        <v>2.0833333333333329E-2</v>
      </c>
      <c r="I573" s="114">
        <v>46149</v>
      </c>
      <c r="J573" s="114">
        <v>46149</v>
      </c>
      <c r="K573" s="70" t="s">
        <v>143</v>
      </c>
      <c r="L573" s="67" t="s">
        <v>159</v>
      </c>
      <c r="M573" s="67" t="s">
        <v>929</v>
      </c>
      <c r="N573" s="67" t="s">
        <v>187</v>
      </c>
      <c r="O573" s="67" t="s">
        <v>122</v>
      </c>
      <c r="P573" s="70" t="s">
        <v>7</v>
      </c>
      <c r="Q573" s="115" t="s">
        <v>999</v>
      </c>
      <c r="R573" s="115" t="s">
        <v>1000</v>
      </c>
    </row>
    <row r="574" spans="2:18" ht="32.25" customHeight="1">
      <c r="B574" s="63" t="str">
        <f t="shared" si="8"/>
        <v>No571</v>
      </c>
      <c r="C574" s="63" t="s">
        <v>142</v>
      </c>
      <c r="D574" s="67" t="s">
        <v>155</v>
      </c>
      <c r="E574" s="114">
        <v>46149</v>
      </c>
      <c r="F574" s="75">
        <v>0.60416666666666663</v>
      </c>
      <c r="G574" s="75">
        <v>0.71180555555555558</v>
      </c>
      <c r="H574" s="65">
        <v>1.041666666666667E-2</v>
      </c>
      <c r="I574" s="114">
        <v>46149</v>
      </c>
      <c r="J574" s="114">
        <v>46149</v>
      </c>
      <c r="K574" s="63" t="s">
        <v>119</v>
      </c>
      <c r="L574" s="67" t="s">
        <v>21</v>
      </c>
      <c r="M574" s="67" t="s">
        <v>916</v>
      </c>
      <c r="N574" s="67" t="s">
        <v>539</v>
      </c>
      <c r="O574" s="63" t="s">
        <v>117</v>
      </c>
      <c r="P574" s="63" t="s">
        <v>7</v>
      </c>
      <c r="Q574" s="115" t="s">
        <v>445</v>
      </c>
      <c r="R574" s="66" t="s">
        <v>158</v>
      </c>
    </row>
    <row r="575" spans="2:18" ht="18.75" customHeight="1">
      <c r="B575" s="63" t="str">
        <f t="shared" si="8"/>
        <v>No572</v>
      </c>
      <c r="C575" s="63"/>
      <c r="D575" s="67"/>
      <c r="E575" s="114"/>
      <c r="F575" s="75"/>
      <c r="G575" s="75"/>
      <c r="H575" s="65"/>
      <c r="I575" s="114"/>
      <c r="J575" s="114"/>
      <c r="K575" s="63"/>
      <c r="L575" s="67" t="s">
        <v>21</v>
      </c>
      <c r="M575" s="67"/>
      <c r="N575" s="67" t="s">
        <v>217</v>
      </c>
      <c r="O575" s="67" t="s">
        <v>122</v>
      </c>
      <c r="P575" s="63" t="s">
        <v>7</v>
      </c>
      <c r="Q575" s="115" t="s">
        <v>212</v>
      </c>
      <c r="R575" s="66"/>
    </row>
    <row r="576" spans="2:18" ht="18.75" customHeight="1">
      <c r="B576" s="63" t="str">
        <f t="shared" si="8"/>
        <v>No573</v>
      </c>
      <c r="C576" s="63"/>
      <c r="D576" s="67"/>
      <c r="E576" s="114"/>
      <c r="F576" s="75"/>
      <c r="G576" s="75"/>
      <c r="H576" s="65"/>
      <c r="I576" s="114"/>
      <c r="J576" s="114"/>
      <c r="K576" s="63"/>
      <c r="L576" s="67"/>
      <c r="M576" s="67"/>
      <c r="N576" s="67"/>
      <c r="O576" s="63"/>
      <c r="P576" s="63" t="s">
        <v>7</v>
      </c>
      <c r="Q576" s="115"/>
      <c r="R576" s="66"/>
    </row>
    <row r="577" spans="2:18" ht="18.75" customHeight="1">
      <c r="B577" s="63" t="str">
        <f t="shared" si="8"/>
        <v>No574</v>
      </c>
      <c r="C577" s="63"/>
      <c r="D577" s="67"/>
      <c r="E577" s="114"/>
      <c r="F577" s="75"/>
      <c r="G577" s="75"/>
      <c r="H577" s="65"/>
      <c r="I577" s="114"/>
      <c r="J577" s="114"/>
      <c r="K577" s="63"/>
      <c r="L577" s="67"/>
      <c r="M577" s="67"/>
      <c r="N577" s="67"/>
      <c r="O577" s="63"/>
      <c r="P577" s="63" t="s">
        <v>7</v>
      </c>
      <c r="Q577" s="115"/>
      <c r="R577" s="66"/>
    </row>
    <row r="578" spans="2:18" ht="18.75" customHeight="1">
      <c r="B578" s="63" t="str">
        <f t="shared" si="8"/>
        <v>No575</v>
      </c>
      <c r="C578" s="63"/>
      <c r="D578" s="67"/>
      <c r="E578" s="114"/>
      <c r="F578" s="75"/>
      <c r="G578" s="75"/>
      <c r="H578" s="65"/>
      <c r="I578" s="114"/>
      <c r="J578" s="114"/>
      <c r="K578" s="63"/>
      <c r="L578" s="67"/>
      <c r="M578" s="67"/>
      <c r="N578" s="67"/>
      <c r="O578" s="63"/>
      <c r="P578" s="63" t="s">
        <v>7</v>
      </c>
      <c r="Q578" s="115"/>
      <c r="R578" s="66"/>
    </row>
    <row r="579" spans="2:18" ht="18.75" customHeight="1">
      <c r="B579" s="63" t="str">
        <f t="shared" si="8"/>
        <v>No576</v>
      </c>
      <c r="C579" s="63"/>
      <c r="D579" s="67"/>
      <c r="E579" s="114"/>
      <c r="F579" s="75"/>
      <c r="G579" s="75"/>
      <c r="H579" s="65"/>
      <c r="I579" s="114"/>
      <c r="J579" s="114"/>
      <c r="K579" s="63"/>
      <c r="L579" s="67"/>
      <c r="M579" s="67"/>
      <c r="N579" s="67"/>
      <c r="O579" s="63"/>
      <c r="P579" s="63" t="s">
        <v>7</v>
      </c>
      <c r="Q579" s="115"/>
      <c r="R579" s="66"/>
    </row>
    <row r="580" spans="2:18" ht="18.75" customHeight="1">
      <c r="B580" s="63" t="str">
        <f t="shared" ref="B580:B643" si="9">"No"&amp;ROW()-3</f>
        <v>No577</v>
      </c>
      <c r="C580" s="63"/>
      <c r="D580" s="67"/>
      <c r="E580" s="114"/>
      <c r="F580" s="75"/>
      <c r="G580" s="75"/>
      <c r="H580" s="65"/>
      <c r="I580" s="114"/>
      <c r="J580" s="114"/>
      <c r="K580" s="63"/>
      <c r="L580" s="67"/>
      <c r="M580" s="67"/>
      <c r="N580" s="67"/>
      <c r="O580" s="63"/>
      <c r="P580" s="63" t="s">
        <v>7</v>
      </c>
      <c r="Q580" s="115"/>
      <c r="R580" s="66"/>
    </row>
    <row r="581" spans="2:18" ht="18.75" customHeight="1">
      <c r="B581" s="63" t="str">
        <f t="shared" si="9"/>
        <v>No578</v>
      </c>
      <c r="C581" s="63"/>
      <c r="D581" s="67"/>
      <c r="E581" s="114"/>
      <c r="F581" s="75"/>
      <c r="G581" s="75"/>
      <c r="H581" s="65"/>
      <c r="I581" s="114"/>
      <c r="J581" s="114"/>
      <c r="K581" s="63"/>
      <c r="L581" s="67"/>
      <c r="M581" s="67"/>
      <c r="N581" s="67"/>
      <c r="O581" s="63"/>
      <c r="P581" s="63" t="s">
        <v>7</v>
      </c>
      <c r="Q581" s="115"/>
      <c r="R581" s="66"/>
    </row>
    <row r="582" spans="2:18" ht="18.75" customHeight="1">
      <c r="B582" s="63" t="str">
        <f t="shared" si="9"/>
        <v>No579</v>
      </c>
      <c r="C582" s="63"/>
      <c r="D582" s="67"/>
      <c r="E582" s="114"/>
      <c r="F582" s="75"/>
      <c r="G582" s="75"/>
      <c r="H582" s="65"/>
      <c r="I582" s="114"/>
      <c r="J582" s="114"/>
      <c r="K582" s="63"/>
      <c r="L582" s="67"/>
      <c r="M582" s="67"/>
      <c r="N582" s="67"/>
      <c r="O582" s="63"/>
      <c r="P582" s="63" t="s">
        <v>7</v>
      </c>
      <c r="Q582" s="115"/>
      <c r="R582" s="66"/>
    </row>
    <row r="583" spans="2:18" ht="18.75" customHeight="1">
      <c r="B583" s="63" t="str">
        <f t="shared" si="9"/>
        <v>No580</v>
      </c>
      <c r="C583" s="63"/>
      <c r="D583" s="67"/>
      <c r="E583" s="114"/>
      <c r="F583" s="75"/>
      <c r="G583" s="75"/>
      <c r="H583" s="65"/>
      <c r="I583" s="114"/>
      <c r="J583" s="114"/>
      <c r="K583" s="63"/>
      <c r="L583" s="67"/>
      <c r="M583" s="67"/>
      <c r="N583" s="67"/>
      <c r="O583" s="63"/>
      <c r="P583" s="63" t="s">
        <v>7</v>
      </c>
      <c r="Q583" s="115"/>
      <c r="R583" s="66"/>
    </row>
    <row r="584" spans="2:18" ht="18.75" customHeight="1">
      <c r="B584" s="63" t="str">
        <f t="shared" si="9"/>
        <v>No581</v>
      </c>
      <c r="C584" s="63"/>
      <c r="D584" s="67"/>
      <c r="E584" s="114"/>
      <c r="F584" s="75"/>
      <c r="G584" s="75"/>
      <c r="H584" s="65"/>
      <c r="I584" s="114"/>
      <c r="J584" s="114"/>
      <c r="K584" s="63"/>
      <c r="L584" s="67"/>
      <c r="M584" s="67"/>
      <c r="N584" s="67"/>
      <c r="O584" s="63"/>
      <c r="P584" s="63" t="s">
        <v>7</v>
      </c>
      <c r="Q584" s="115"/>
      <c r="R584" s="66"/>
    </row>
    <row r="585" spans="2:18" ht="18.75" customHeight="1">
      <c r="B585" s="63" t="str">
        <f t="shared" si="9"/>
        <v>No582</v>
      </c>
      <c r="C585" s="63"/>
      <c r="D585" s="67"/>
      <c r="E585" s="114"/>
      <c r="F585" s="75"/>
      <c r="G585" s="75"/>
      <c r="H585" s="65"/>
      <c r="I585" s="114"/>
      <c r="J585" s="114"/>
      <c r="K585" s="63"/>
      <c r="L585" s="67"/>
      <c r="M585" s="67"/>
      <c r="N585" s="67"/>
      <c r="O585" s="63"/>
      <c r="P585" s="63" t="s">
        <v>7</v>
      </c>
      <c r="Q585" s="115"/>
      <c r="R585" s="66"/>
    </row>
    <row r="586" spans="2:18" ht="18.75" customHeight="1">
      <c r="B586" s="63" t="str">
        <f t="shared" si="9"/>
        <v>No583</v>
      </c>
      <c r="C586" s="63"/>
      <c r="D586" s="67"/>
      <c r="E586" s="114"/>
      <c r="F586" s="75"/>
      <c r="G586" s="75"/>
      <c r="H586" s="65"/>
      <c r="I586" s="114"/>
      <c r="J586" s="114"/>
      <c r="K586" s="63"/>
      <c r="L586" s="67"/>
      <c r="M586" s="67"/>
      <c r="N586" s="67"/>
      <c r="O586" s="63"/>
      <c r="P586" s="63" t="s">
        <v>7</v>
      </c>
      <c r="Q586" s="115"/>
      <c r="R586" s="66"/>
    </row>
    <row r="587" spans="2:18" ht="18.75" customHeight="1">
      <c r="B587" s="63" t="str">
        <f t="shared" si="9"/>
        <v>No584</v>
      </c>
      <c r="C587" s="63"/>
      <c r="D587" s="67"/>
      <c r="E587" s="114"/>
      <c r="F587" s="75"/>
      <c r="G587" s="75"/>
      <c r="H587" s="65"/>
      <c r="I587" s="114"/>
      <c r="J587" s="114"/>
      <c r="K587" s="63"/>
      <c r="L587" s="67"/>
      <c r="M587" s="67"/>
      <c r="N587" s="67"/>
      <c r="O587" s="63"/>
      <c r="P587" s="63" t="s">
        <v>7</v>
      </c>
      <c r="Q587" s="115"/>
      <c r="R587" s="66"/>
    </row>
    <row r="588" spans="2:18" ht="18.75" customHeight="1">
      <c r="B588" s="63" t="str">
        <f t="shared" si="9"/>
        <v>No585</v>
      </c>
      <c r="C588" s="63"/>
      <c r="D588" s="67"/>
      <c r="E588" s="114"/>
      <c r="F588" s="75"/>
      <c r="G588" s="75"/>
      <c r="H588" s="65"/>
      <c r="I588" s="114"/>
      <c r="J588" s="114"/>
      <c r="K588" s="63"/>
      <c r="L588" s="67"/>
      <c r="M588" s="67"/>
      <c r="N588" s="67"/>
      <c r="O588" s="63"/>
      <c r="P588" s="63" t="s">
        <v>7</v>
      </c>
      <c r="Q588" s="115"/>
      <c r="R588" s="66"/>
    </row>
    <row r="589" spans="2:18" ht="18.75" customHeight="1">
      <c r="B589" s="63" t="str">
        <f t="shared" si="9"/>
        <v>No586</v>
      </c>
      <c r="C589" s="63"/>
      <c r="D589" s="67"/>
      <c r="E589" s="114"/>
      <c r="F589" s="75"/>
      <c r="G589" s="75"/>
      <c r="H589" s="65"/>
      <c r="I589" s="114"/>
      <c r="J589" s="114"/>
      <c r="K589" s="63"/>
      <c r="L589" s="67"/>
      <c r="M589" s="67"/>
      <c r="N589" s="67"/>
      <c r="O589" s="63"/>
      <c r="P589" s="63" t="s">
        <v>7</v>
      </c>
      <c r="Q589" s="115"/>
      <c r="R589" s="66"/>
    </row>
    <row r="590" spans="2:18" ht="18.75" customHeight="1">
      <c r="B590" s="63" t="str">
        <f t="shared" si="9"/>
        <v>No587</v>
      </c>
      <c r="C590" s="63"/>
      <c r="D590" s="67"/>
      <c r="E590" s="114"/>
      <c r="F590" s="75"/>
      <c r="G590" s="75"/>
      <c r="H590" s="65"/>
      <c r="I590" s="114"/>
      <c r="J590" s="114"/>
      <c r="K590" s="63"/>
      <c r="L590" s="67"/>
      <c r="M590" s="67"/>
      <c r="N590" s="67"/>
      <c r="O590" s="63"/>
      <c r="P590" s="63" t="s">
        <v>7</v>
      </c>
      <c r="Q590" s="115"/>
      <c r="R590" s="66"/>
    </row>
    <row r="591" spans="2:18" ht="18.75" customHeight="1">
      <c r="B591" s="63" t="str">
        <f t="shared" si="9"/>
        <v>No588</v>
      </c>
      <c r="C591" s="63"/>
      <c r="D591" s="67"/>
      <c r="E591" s="114"/>
      <c r="F591" s="75"/>
      <c r="G591" s="75"/>
      <c r="H591" s="65"/>
      <c r="I591" s="114"/>
      <c r="J591" s="114"/>
      <c r="K591" s="63"/>
      <c r="L591" s="67"/>
      <c r="M591" s="67"/>
      <c r="N591" s="67"/>
      <c r="O591" s="63"/>
      <c r="P591" s="63" t="s">
        <v>7</v>
      </c>
      <c r="Q591" s="115"/>
      <c r="R591" s="66"/>
    </row>
    <row r="592" spans="2:18" ht="18.75" customHeight="1">
      <c r="B592" s="63" t="str">
        <f t="shared" si="9"/>
        <v>No589</v>
      </c>
      <c r="C592" s="63"/>
      <c r="D592" s="67"/>
      <c r="E592" s="114"/>
      <c r="F592" s="75"/>
      <c r="G592" s="75"/>
      <c r="H592" s="65"/>
      <c r="I592" s="114"/>
      <c r="J592" s="114"/>
      <c r="K592" s="63"/>
      <c r="L592" s="67"/>
      <c r="M592" s="67"/>
      <c r="N592" s="67"/>
      <c r="O592" s="63"/>
      <c r="P592" s="63" t="s">
        <v>7</v>
      </c>
      <c r="Q592" s="115"/>
      <c r="R592" s="66"/>
    </row>
    <row r="593" spans="2:18" ht="18.75" customHeight="1">
      <c r="B593" s="63" t="str">
        <f t="shared" si="9"/>
        <v>No590</v>
      </c>
      <c r="C593" s="63"/>
      <c r="D593" s="67"/>
      <c r="E593" s="114"/>
      <c r="F593" s="75"/>
      <c r="G593" s="75"/>
      <c r="H593" s="65"/>
      <c r="I593" s="114"/>
      <c r="J593" s="114"/>
      <c r="K593" s="63"/>
      <c r="L593" s="67"/>
      <c r="M593" s="67"/>
      <c r="N593" s="67"/>
      <c r="O593" s="63"/>
      <c r="P593" s="63" t="s">
        <v>7</v>
      </c>
      <c r="Q593" s="115"/>
      <c r="R593" s="66"/>
    </row>
    <row r="594" spans="2:18" ht="18.75" customHeight="1">
      <c r="B594" s="63" t="str">
        <f t="shared" si="9"/>
        <v>No591</v>
      </c>
      <c r="C594" s="63"/>
      <c r="D594" s="67"/>
      <c r="E594" s="114"/>
      <c r="F594" s="75"/>
      <c r="G594" s="75"/>
      <c r="H594" s="65"/>
      <c r="I594" s="114"/>
      <c r="J594" s="114"/>
      <c r="K594" s="63"/>
      <c r="L594" s="67"/>
      <c r="M594" s="67"/>
      <c r="N594" s="67"/>
      <c r="O594" s="63"/>
      <c r="P594" s="63"/>
      <c r="Q594" s="115"/>
      <c r="R594" s="66"/>
    </row>
    <row r="595" spans="2:18" ht="18.75" customHeight="1">
      <c r="B595" s="63" t="str">
        <f t="shared" si="9"/>
        <v>No592</v>
      </c>
      <c r="C595" s="63"/>
      <c r="D595" s="67"/>
      <c r="E595" s="114"/>
      <c r="F595" s="75"/>
      <c r="G595" s="75"/>
      <c r="H595" s="65"/>
      <c r="I595" s="114"/>
      <c r="J595" s="114"/>
      <c r="K595" s="63"/>
      <c r="L595" s="67"/>
      <c r="M595" s="67"/>
      <c r="N595" s="67"/>
      <c r="O595" s="63"/>
      <c r="P595" s="63"/>
      <c r="Q595" s="115"/>
      <c r="R595" s="66"/>
    </row>
    <row r="596" spans="2:18" ht="18.75" customHeight="1">
      <c r="B596" s="63" t="str">
        <f t="shared" si="9"/>
        <v>No593</v>
      </c>
      <c r="C596" s="63"/>
      <c r="D596" s="67"/>
      <c r="E596" s="114"/>
      <c r="F596" s="75"/>
      <c r="G596" s="75"/>
      <c r="H596" s="65"/>
      <c r="I596" s="114"/>
      <c r="J596" s="114"/>
      <c r="K596" s="63"/>
      <c r="L596" s="67"/>
      <c r="M596" s="67"/>
      <c r="N596" s="67"/>
      <c r="O596" s="63"/>
      <c r="P596" s="63"/>
      <c r="Q596" s="115"/>
      <c r="R596" s="66"/>
    </row>
    <row r="597" spans="2:18" ht="18.75" customHeight="1">
      <c r="B597" s="63" t="str">
        <f t="shared" si="9"/>
        <v>No594</v>
      </c>
      <c r="C597" s="63"/>
      <c r="D597" s="67"/>
      <c r="E597" s="114"/>
      <c r="F597" s="75"/>
      <c r="G597" s="75"/>
      <c r="H597" s="65"/>
      <c r="I597" s="114"/>
      <c r="J597" s="114"/>
      <c r="K597" s="63"/>
      <c r="L597" s="67"/>
      <c r="M597" s="67"/>
      <c r="N597" s="67"/>
      <c r="O597" s="63"/>
      <c r="P597" s="63"/>
      <c r="Q597" s="115"/>
      <c r="R597" s="66"/>
    </row>
    <row r="598" spans="2:18" ht="18.75" customHeight="1">
      <c r="B598" s="63" t="str">
        <f t="shared" si="9"/>
        <v>No595</v>
      </c>
      <c r="C598" s="63"/>
      <c r="D598" s="67"/>
      <c r="E598" s="114"/>
      <c r="F598" s="75"/>
      <c r="G598" s="75"/>
      <c r="H598" s="65"/>
      <c r="I598" s="114"/>
      <c r="J598" s="114"/>
      <c r="K598" s="63"/>
      <c r="L598" s="67"/>
      <c r="M598" s="67"/>
      <c r="N598" s="67"/>
      <c r="O598" s="63"/>
      <c r="P598" s="63"/>
      <c r="Q598" s="115"/>
      <c r="R598" s="66"/>
    </row>
    <row r="599" spans="2:18" ht="18.75" customHeight="1">
      <c r="B599" s="63" t="str">
        <f t="shared" si="9"/>
        <v>No596</v>
      </c>
      <c r="C599" s="63"/>
      <c r="D599" s="67"/>
      <c r="E599" s="114"/>
      <c r="F599" s="75"/>
      <c r="G599" s="75"/>
      <c r="H599" s="65"/>
      <c r="I599" s="114"/>
      <c r="J599" s="114"/>
      <c r="K599" s="63"/>
      <c r="L599" s="67"/>
      <c r="M599" s="67"/>
      <c r="N599" s="67"/>
      <c r="O599" s="63"/>
      <c r="P599" s="63"/>
      <c r="Q599" s="115"/>
      <c r="R599" s="66"/>
    </row>
    <row r="600" spans="2:18" ht="18.75" customHeight="1">
      <c r="B600" s="63" t="str">
        <f t="shared" si="9"/>
        <v>No597</v>
      </c>
      <c r="C600" s="63"/>
      <c r="D600" s="67"/>
      <c r="E600" s="114"/>
      <c r="F600" s="75"/>
      <c r="G600" s="75"/>
      <c r="H600" s="65"/>
      <c r="I600" s="114"/>
      <c r="J600" s="114"/>
      <c r="K600" s="63"/>
      <c r="L600" s="67"/>
      <c r="M600" s="67"/>
      <c r="N600" s="67"/>
      <c r="O600" s="63"/>
      <c r="P600" s="63"/>
      <c r="Q600" s="115"/>
      <c r="R600" s="66"/>
    </row>
    <row r="601" spans="2:18" ht="18.75" customHeight="1">
      <c r="B601" s="63" t="str">
        <f t="shared" si="9"/>
        <v>No598</v>
      </c>
      <c r="C601" s="63"/>
      <c r="D601" s="67"/>
      <c r="E601" s="114"/>
      <c r="F601" s="75"/>
      <c r="G601" s="75"/>
      <c r="H601" s="65"/>
      <c r="I601" s="114"/>
      <c r="J601" s="114"/>
      <c r="K601" s="63"/>
      <c r="L601" s="67"/>
      <c r="M601" s="67"/>
      <c r="N601" s="67"/>
      <c r="O601" s="63"/>
      <c r="P601" s="63"/>
      <c r="Q601" s="115"/>
      <c r="R601" s="66"/>
    </row>
    <row r="602" spans="2:18" ht="18.75" customHeight="1">
      <c r="B602" s="63" t="str">
        <f t="shared" si="9"/>
        <v>No599</v>
      </c>
      <c r="C602" s="63"/>
      <c r="D602" s="67"/>
      <c r="E602" s="114"/>
      <c r="F602" s="75"/>
      <c r="G602" s="75"/>
      <c r="H602" s="65"/>
      <c r="I602" s="114"/>
      <c r="J602" s="114"/>
      <c r="K602" s="63"/>
      <c r="L602" s="67"/>
      <c r="M602" s="67"/>
      <c r="N602" s="67"/>
      <c r="O602" s="63"/>
      <c r="P602" s="63"/>
      <c r="Q602" s="115"/>
      <c r="R602" s="66"/>
    </row>
    <row r="603" spans="2:18" ht="18.75" customHeight="1">
      <c r="B603" s="63" t="str">
        <f t="shared" si="9"/>
        <v>No600</v>
      </c>
      <c r="C603" s="63"/>
      <c r="D603" s="67"/>
      <c r="E603" s="114"/>
      <c r="F603" s="75"/>
      <c r="G603" s="75"/>
      <c r="H603" s="65"/>
      <c r="I603" s="114"/>
      <c r="J603" s="114"/>
      <c r="K603" s="63"/>
      <c r="L603" s="67"/>
      <c r="M603" s="67"/>
      <c r="N603" s="67"/>
      <c r="O603" s="63"/>
      <c r="P603" s="63"/>
      <c r="Q603" s="115"/>
      <c r="R603" s="66"/>
    </row>
    <row r="604" spans="2:18" ht="18.75" customHeight="1">
      <c r="B604" s="63" t="str">
        <f t="shared" si="9"/>
        <v>No601</v>
      </c>
      <c r="C604" s="63"/>
      <c r="D604" s="67"/>
      <c r="E604" s="114"/>
      <c r="F604" s="75"/>
      <c r="G604" s="75"/>
      <c r="H604" s="65"/>
      <c r="I604" s="114"/>
      <c r="J604" s="114"/>
      <c r="K604" s="63"/>
      <c r="L604" s="67"/>
      <c r="M604" s="67"/>
      <c r="N604" s="67"/>
      <c r="O604" s="63"/>
      <c r="P604" s="63"/>
      <c r="Q604" s="115"/>
      <c r="R604" s="66"/>
    </row>
    <row r="605" spans="2:18" ht="18.75" customHeight="1">
      <c r="B605" s="63" t="str">
        <f t="shared" si="9"/>
        <v>No602</v>
      </c>
      <c r="C605" s="63"/>
      <c r="D605" s="67"/>
      <c r="E605" s="114"/>
      <c r="F605" s="75"/>
      <c r="G605" s="75"/>
      <c r="H605" s="65"/>
      <c r="I605" s="114"/>
      <c r="J605" s="114"/>
      <c r="K605" s="63"/>
      <c r="L605" s="67"/>
      <c r="M605" s="67"/>
      <c r="N605" s="67"/>
      <c r="O605" s="63"/>
      <c r="P605" s="63"/>
      <c r="Q605" s="115"/>
      <c r="R605" s="66"/>
    </row>
    <row r="606" spans="2:18" ht="18.75" customHeight="1">
      <c r="B606" s="63" t="str">
        <f t="shared" si="9"/>
        <v>No603</v>
      </c>
      <c r="C606" s="63"/>
      <c r="D606" s="67"/>
      <c r="E606" s="114"/>
      <c r="F606" s="75"/>
      <c r="G606" s="75"/>
      <c r="H606" s="65"/>
      <c r="I606" s="114"/>
      <c r="J606" s="114"/>
      <c r="K606" s="63"/>
      <c r="L606" s="67"/>
      <c r="M606" s="67"/>
      <c r="N606" s="67"/>
      <c r="O606" s="63"/>
      <c r="P606" s="63"/>
      <c r="Q606" s="115"/>
      <c r="R606" s="66"/>
    </row>
    <row r="607" spans="2:18" ht="18.75" customHeight="1">
      <c r="B607" s="63" t="str">
        <f t="shared" si="9"/>
        <v>No604</v>
      </c>
      <c r="C607" s="63"/>
      <c r="D607" s="67"/>
      <c r="E607" s="114"/>
      <c r="F607" s="75"/>
      <c r="G607" s="75"/>
      <c r="H607" s="65"/>
      <c r="I607" s="114"/>
      <c r="J607" s="114"/>
      <c r="K607" s="63"/>
      <c r="L607" s="67"/>
      <c r="M607" s="67"/>
      <c r="N607" s="67"/>
      <c r="O607" s="63"/>
      <c r="P607" s="63"/>
      <c r="Q607" s="115"/>
      <c r="R607" s="66"/>
    </row>
    <row r="608" spans="2:18" ht="18.75" customHeight="1">
      <c r="B608" s="63" t="str">
        <f t="shared" si="9"/>
        <v>No605</v>
      </c>
      <c r="C608" s="63"/>
      <c r="D608" s="67"/>
      <c r="E608" s="114"/>
      <c r="F608" s="75"/>
      <c r="G608" s="75"/>
      <c r="H608" s="65"/>
      <c r="I608" s="114"/>
      <c r="J608" s="114"/>
      <c r="K608" s="63"/>
      <c r="L608" s="67"/>
      <c r="M608" s="67"/>
      <c r="N608" s="67"/>
      <c r="O608" s="63"/>
      <c r="P608" s="63"/>
      <c r="Q608" s="115"/>
      <c r="R608" s="66"/>
    </row>
    <row r="609" spans="2:18" ht="18.75" customHeight="1">
      <c r="B609" s="63" t="str">
        <f t="shared" si="9"/>
        <v>No606</v>
      </c>
      <c r="C609" s="63"/>
      <c r="D609" s="67"/>
      <c r="E609" s="114"/>
      <c r="F609" s="75"/>
      <c r="G609" s="75"/>
      <c r="H609" s="65"/>
      <c r="I609" s="114"/>
      <c r="J609" s="114"/>
      <c r="K609" s="63"/>
      <c r="L609" s="67"/>
      <c r="M609" s="67"/>
      <c r="N609" s="67"/>
      <c r="O609" s="63"/>
      <c r="P609" s="63"/>
      <c r="Q609" s="115"/>
      <c r="R609" s="66"/>
    </row>
    <row r="610" spans="2:18" ht="18.75" customHeight="1">
      <c r="B610" s="63" t="str">
        <f t="shared" si="9"/>
        <v>No607</v>
      </c>
      <c r="C610" s="63"/>
      <c r="D610" s="67"/>
      <c r="E610" s="114"/>
      <c r="F610" s="75"/>
      <c r="G610" s="75"/>
      <c r="H610" s="65"/>
      <c r="I610" s="114"/>
      <c r="J610" s="114"/>
      <c r="K610" s="63"/>
      <c r="L610" s="67"/>
      <c r="M610" s="67"/>
      <c r="N610" s="67"/>
      <c r="O610" s="63"/>
      <c r="P610" s="63"/>
      <c r="Q610" s="115"/>
      <c r="R610" s="66"/>
    </row>
    <row r="611" spans="2:18" ht="18.75" customHeight="1">
      <c r="B611" s="63" t="str">
        <f t="shared" si="9"/>
        <v>No608</v>
      </c>
      <c r="C611" s="63"/>
      <c r="D611" s="67"/>
      <c r="E611" s="114"/>
      <c r="F611" s="75"/>
      <c r="G611" s="75"/>
      <c r="H611" s="65"/>
      <c r="I611" s="114"/>
      <c r="J611" s="114"/>
      <c r="K611" s="63"/>
      <c r="L611" s="67"/>
      <c r="M611" s="67"/>
      <c r="N611" s="67"/>
      <c r="O611" s="63"/>
      <c r="P611" s="63"/>
      <c r="Q611" s="115"/>
      <c r="R611" s="66"/>
    </row>
    <row r="612" spans="2:18" ht="18.75" customHeight="1">
      <c r="B612" s="63" t="str">
        <f t="shared" si="9"/>
        <v>No609</v>
      </c>
      <c r="C612" s="63"/>
      <c r="D612" s="67"/>
      <c r="E612" s="114"/>
      <c r="F612" s="75"/>
      <c r="G612" s="75"/>
      <c r="H612" s="65"/>
      <c r="I612" s="114"/>
      <c r="J612" s="114"/>
      <c r="K612" s="63"/>
      <c r="L612" s="67"/>
      <c r="M612" s="67"/>
      <c r="N612" s="67"/>
      <c r="O612" s="63"/>
      <c r="P612" s="63"/>
      <c r="Q612" s="115"/>
      <c r="R612" s="66"/>
    </row>
    <row r="613" spans="2:18" ht="18.75" customHeight="1">
      <c r="B613" s="63" t="str">
        <f t="shared" si="9"/>
        <v>No610</v>
      </c>
      <c r="C613" s="63"/>
      <c r="D613" s="67"/>
      <c r="E613" s="114"/>
      <c r="F613" s="75"/>
      <c r="G613" s="75"/>
      <c r="H613" s="65"/>
      <c r="I613" s="114"/>
      <c r="J613" s="114"/>
      <c r="K613" s="63"/>
      <c r="L613" s="67"/>
      <c r="M613" s="67"/>
      <c r="N613" s="67"/>
      <c r="O613" s="63"/>
      <c r="P613" s="63"/>
      <c r="Q613" s="115"/>
      <c r="R613" s="66"/>
    </row>
    <row r="614" spans="2:18" ht="18.75" customHeight="1">
      <c r="B614" s="63" t="str">
        <f t="shared" si="9"/>
        <v>No611</v>
      </c>
      <c r="C614" s="63"/>
      <c r="D614" s="67"/>
      <c r="E614" s="114"/>
      <c r="F614" s="75"/>
      <c r="G614" s="75"/>
      <c r="H614" s="65"/>
      <c r="I614" s="114"/>
      <c r="J614" s="114"/>
      <c r="K614" s="63"/>
      <c r="L614" s="67"/>
      <c r="M614" s="67"/>
      <c r="N614" s="67"/>
      <c r="O614" s="63"/>
      <c r="P614" s="63"/>
      <c r="Q614" s="115"/>
      <c r="R614" s="66"/>
    </row>
    <row r="615" spans="2:18" ht="18.75" customHeight="1">
      <c r="B615" s="63" t="str">
        <f t="shared" si="9"/>
        <v>No612</v>
      </c>
      <c r="C615" s="63"/>
      <c r="D615" s="67"/>
      <c r="E615" s="114"/>
      <c r="F615" s="75"/>
      <c r="G615" s="75"/>
      <c r="H615" s="65"/>
      <c r="I615" s="114"/>
      <c r="J615" s="114"/>
      <c r="K615" s="63"/>
      <c r="L615" s="67"/>
      <c r="M615" s="67"/>
      <c r="N615" s="67"/>
      <c r="O615" s="63"/>
      <c r="P615" s="63"/>
      <c r="Q615" s="115"/>
      <c r="R615" s="66"/>
    </row>
    <row r="616" spans="2:18" ht="18.75" customHeight="1">
      <c r="B616" s="63" t="str">
        <f t="shared" si="9"/>
        <v>No613</v>
      </c>
      <c r="C616" s="63"/>
      <c r="D616" s="67"/>
      <c r="E616" s="114"/>
      <c r="F616" s="75"/>
      <c r="G616" s="75"/>
      <c r="H616" s="65"/>
      <c r="I616" s="114"/>
      <c r="J616" s="114"/>
      <c r="K616" s="63"/>
      <c r="L616" s="67"/>
      <c r="M616" s="67"/>
      <c r="N616" s="67"/>
      <c r="O616" s="63"/>
      <c r="P616" s="63"/>
      <c r="Q616" s="115"/>
      <c r="R616" s="66"/>
    </row>
    <row r="617" spans="2:18" ht="18.75" customHeight="1">
      <c r="B617" s="63" t="str">
        <f t="shared" si="9"/>
        <v>No614</v>
      </c>
      <c r="C617" s="63"/>
      <c r="D617" s="67"/>
      <c r="E617" s="114"/>
      <c r="F617" s="75"/>
      <c r="G617" s="75"/>
      <c r="H617" s="65"/>
      <c r="I617" s="114"/>
      <c r="J617" s="114"/>
      <c r="K617" s="63"/>
      <c r="L617" s="67"/>
      <c r="M617" s="67"/>
      <c r="N617" s="67"/>
      <c r="O617" s="63"/>
      <c r="P617" s="63"/>
      <c r="Q617" s="115"/>
      <c r="R617" s="66"/>
    </row>
    <row r="618" spans="2:18" ht="18.75" customHeight="1">
      <c r="B618" s="63" t="str">
        <f t="shared" si="9"/>
        <v>No615</v>
      </c>
      <c r="C618" s="63"/>
      <c r="D618" s="67"/>
      <c r="E618" s="114"/>
      <c r="F618" s="75"/>
      <c r="G618" s="75"/>
      <c r="H618" s="65"/>
      <c r="I618" s="114"/>
      <c r="J618" s="114"/>
      <c r="K618" s="63"/>
      <c r="L618" s="67"/>
      <c r="M618" s="67"/>
      <c r="N618" s="67"/>
      <c r="O618" s="63"/>
      <c r="P618" s="63"/>
      <c r="Q618" s="115"/>
      <c r="R618" s="66"/>
    </row>
    <row r="619" spans="2:18" ht="18.75" customHeight="1">
      <c r="B619" s="63" t="str">
        <f t="shared" si="9"/>
        <v>No616</v>
      </c>
      <c r="C619" s="63"/>
      <c r="D619" s="67"/>
      <c r="E619" s="114"/>
      <c r="F619" s="75"/>
      <c r="G619" s="75"/>
      <c r="H619" s="65"/>
      <c r="I619" s="114"/>
      <c r="J619" s="114"/>
      <c r="K619" s="63"/>
      <c r="L619" s="67"/>
      <c r="M619" s="67"/>
      <c r="N619" s="67"/>
      <c r="O619" s="63"/>
      <c r="P619" s="63"/>
      <c r="Q619" s="115"/>
      <c r="R619" s="66"/>
    </row>
    <row r="620" spans="2:18" ht="18.75" customHeight="1">
      <c r="B620" s="63" t="str">
        <f t="shared" si="9"/>
        <v>No617</v>
      </c>
      <c r="C620" s="63"/>
      <c r="D620" s="67"/>
      <c r="E620" s="114"/>
      <c r="F620" s="75"/>
      <c r="G620" s="75"/>
      <c r="H620" s="65"/>
      <c r="I620" s="114"/>
      <c r="J620" s="114"/>
      <c r="K620" s="63"/>
      <c r="L620" s="67"/>
      <c r="M620" s="67"/>
      <c r="N620" s="67"/>
      <c r="O620" s="63"/>
      <c r="P620" s="63"/>
      <c r="Q620" s="115"/>
      <c r="R620" s="66"/>
    </row>
    <row r="621" spans="2:18" ht="18.75" customHeight="1">
      <c r="B621" s="63" t="str">
        <f t="shared" si="9"/>
        <v>No618</v>
      </c>
      <c r="C621" s="63"/>
      <c r="D621" s="67"/>
      <c r="E621" s="114"/>
      <c r="F621" s="75"/>
      <c r="G621" s="75"/>
      <c r="H621" s="65"/>
      <c r="I621" s="114"/>
      <c r="J621" s="114"/>
      <c r="K621" s="63"/>
      <c r="L621" s="67"/>
      <c r="M621" s="67"/>
      <c r="N621" s="67"/>
      <c r="O621" s="63"/>
      <c r="P621" s="63"/>
      <c r="Q621" s="115"/>
      <c r="R621" s="66"/>
    </row>
    <row r="622" spans="2:18" ht="18.75" customHeight="1">
      <c r="B622" s="63" t="str">
        <f t="shared" si="9"/>
        <v>No619</v>
      </c>
      <c r="C622" s="63"/>
      <c r="D622" s="67"/>
      <c r="E622" s="114"/>
      <c r="F622" s="75"/>
      <c r="G622" s="75"/>
      <c r="H622" s="65"/>
      <c r="I622" s="114"/>
      <c r="J622" s="114"/>
      <c r="K622" s="63"/>
      <c r="L622" s="67"/>
      <c r="M622" s="67"/>
      <c r="N622" s="67"/>
      <c r="O622" s="63"/>
      <c r="P622" s="63"/>
      <c r="Q622" s="115"/>
      <c r="R622" s="66"/>
    </row>
    <row r="623" spans="2:18" ht="18.75" customHeight="1">
      <c r="B623" s="63" t="str">
        <f t="shared" si="9"/>
        <v>No620</v>
      </c>
      <c r="C623" s="63"/>
      <c r="D623" s="67"/>
      <c r="E623" s="114"/>
      <c r="F623" s="75"/>
      <c r="G623" s="75"/>
      <c r="H623" s="65"/>
      <c r="I623" s="114"/>
      <c r="J623" s="114"/>
      <c r="K623" s="63"/>
      <c r="L623" s="67"/>
      <c r="M623" s="67"/>
      <c r="N623" s="67"/>
      <c r="O623" s="63"/>
      <c r="P623" s="63"/>
      <c r="Q623" s="115"/>
      <c r="R623" s="66"/>
    </row>
    <row r="624" spans="2:18" ht="18.75" customHeight="1">
      <c r="B624" s="63" t="str">
        <f t="shared" si="9"/>
        <v>No621</v>
      </c>
      <c r="C624" s="63"/>
      <c r="D624" s="67"/>
      <c r="E624" s="114"/>
      <c r="F624" s="75"/>
      <c r="G624" s="75"/>
      <c r="H624" s="65"/>
      <c r="I624" s="114"/>
      <c r="J624" s="114"/>
      <c r="K624" s="63"/>
      <c r="L624" s="67"/>
      <c r="M624" s="67"/>
      <c r="N624" s="67"/>
      <c r="O624" s="63"/>
      <c r="P624" s="63"/>
      <c r="Q624" s="115"/>
      <c r="R624" s="66"/>
    </row>
    <row r="625" spans="2:18" ht="18.75" customHeight="1">
      <c r="B625" s="63" t="str">
        <f t="shared" si="9"/>
        <v>No622</v>
      </c>
      <c r="C625" s="63"/>
      <c r="D625" s="67"/>
      <c r="E625" s="114"/>
      <c r="F625" s="75"/>
      <c r="G625" s="75"/>
      <c r="H625" s="65"/>
      <c r="I625" s="114"/>
      <c r="J625" s="114"/>
      <c r="K625" s="63"/>
      <c r="L625" s="67"/>
      <c r="M625" s="67"/>
      <c r="N625" s="67"/>
      <c r="O625" s="63"/>
      <c r="P625" s="63"/>
      <c r="Q625" s="115"/>
      <c r="R625" s="66"/>
    </row>
    <row r="626" spans="2:18" ht="18.75" customHeight="1">
      <c r="B626" s="63" t="str">
        <f t="shared" si="9"/>
        <v>No623</v>
      </c>
      <c r="C626" s="63"/>
      <c r="D626" s="67"/>
      <c r="E626" s="114"/>
      <c r="F626" s="75"/>
      <c r="G626" s="75"/>
      <c r="H626" s="65"/>
      <c r="I626" s="114"/>
      <c r="J626" s="114"/>
      <c r="K626" s="63"/>
      <c r="L626" s="67"/>
      <c r="M626" s="67"/>
      <c r="N626" s="67"/>
      <c r="O626" s="63"/>
      <c r="P626" s="63"/>
      <c r="Q626" s="115"/>
      <c r="R626" s="66"/>
    </row>
    <row r="627" spans="2:18" ht="18.75" customHeight="1">
      <c r="B627" s="63" t="str">
        <f t="shared" si="9"/>
        <v>No624</v>
      </c>
      <c r="C627" s="63"/>
      <c r="D627" s="67"/>
      <c r="E627" s="114"/>
      <c r="F627" s="75"/>
      <c r="G627" s="75"/>
      <c r="H627" s="65"/>
      <c r="I627" s="114"/>
      <c r="J627" s="114"/>
      <c r="K627" s="63"/>
      <c r="L627" s="67"/>
      <c r="M627" s="67"/>
      <c r="N627" s="67"/>
      <c r="O627" s="63"/>
      <c r="P627" s="63"/>
      <c r="Q627" s="115"/>
      <c r="R627" s="66"/>
    </row>
    <row r="628" spans="2:18" ht="18.75" customHeight="1">
      <c r="B628" s="63" t="str">
        <f t="shared" si="9"/>
        <v>No625</v>
      </c>
      <c r="C628" s="63"/>
      <c r="D628" s="67"/>
      <c r="E628" s="114"/>
      <c r="F628" s="75"/>
      <c r="G628" s="75"/>
      <c r="H628" s="65"/>
      <c r="I628" s="114"/>
      <c r="J628" s="114"/>
      <c r="K628" s="63"/>
      <c r="L628" s="67"/>
      <c r="M628" s="67"/>
      <c r="N628" s="67"/>
      <c r="O628" s="63"/>
      <c r="P628" s="63"/>
      <c r="Q628" s="115"/>
      <c r="R628" s="66"/>
    </row>
    <row r="629" spans="2:18" ht="18.75" customHeight="1">
      <c r="B629" s="63" t="str">
        <f t="shared" si="9"/>
        <v>No626</v>
      </c>
      <c r="C629" s="63"/>
      <c r="D629" s="67"/>
      <c r="E629" s="114"/>
      <c r="F629" s="75"/>
      <c r="G629" s="75"/>
      <c r="H629" s="65"/>
      <c r="I629" s="114"/>
      <c r="J629" s="114"/>
      <c r="K629" s="63"/>
      <c r="L629" s="67"/>
      <c r="M629" s="67"/>
      <c r="N629" s="67"/>
      <c r="O629" s="63"/>
      <c r="P629" s="63"/>
      <c r="Q629" s="115"/>
      <c r="R629" s="66"/>
    </row>
    <row r="630" spans="2:18" ht="18.75" customHeight="1">
      <c r="B630" s="63" t="str">
        <f t="shared" si="9"/>
        <v>No627</v>
      </c>
      <c r="C630" s="63"/>
      <c r="D630" s="67"/>
      <c r="E630" s="114"/>
      <c r="F630" s="75"/>
      <c r="G630" s="75"/>
      <c r="H630" s="65"/>
      <c r="I630" s="114"/>
      <c r="J630" s="114"/>
      <c r="K630" s="63"/>
      <c r="L630" s="67"/>
      <c r="M630" s="67"/>
      <c r="N630" s="67"/>
      <c r="O630" s="63"/>
      <c r="P630" s="63"/>
      <c r="Q630" s="115"/>
      <c r="R630" s="66"/>
    </row>
    <row r="631" spans="2:18" ht="18.75" customHeight="1">
      <c r="B631" s="63" t="str">
        <f t="shared" si="9"/>
        <v>No628</v>
      </c>
      <c r="C631" s="63"/>
      <c r="D631" s="67"/>
      <c r="E631" s="114"/>
      <c r="F631" s="75"/>
      <c r="G631" s="75"/>
      <c r="H631" s="65"/>
      <c r="I631" s="114"/>
      <c r="J631" s="114"/>
      <c r="K631" s="63"/>
      <c r="L631" s="67"/>
      <c r="M631" s="67"/>
      <c r="N631" s="67"/>
      <c r="O631" s="63"/>
      <c r="P631" s="63"/>
      <c r="Q631" s="115"/>
      <c r="R631" s="66"/>
    </row>
    <row r="632" spans="2:18" ht="18.75" customHeight="1">
      <c r="B632" s="63" t="str">
        <f t="shared" si="9"/>
        <v>No629</v>
      </c>
      <c r="C632" s="63"/>
      <c r="D632" s="67"/>
      <c r="E632" s="114"/>
      <c r="F632" s="75"/>
      <c r="G632" s="75"/>
      <c r="H632" s="65"/>
      <c r="I632" s="114"/>
      <c r="J632" s="114"/>
      <c r="K632" s="63"/>
      <c r="L632" s="67"/>
      <c r="M632" s="67"/>
      <c r="N632" s="67"/>
      <c r="O632" s="63"/>
      <c r="P632" s="63"/>
      <c r="Q632" s="115"/>
      <c r="R632" s="66"/>
    </row>
    <row r="633" spans="2:18" ht="18.75" customHeight="1">
      <c r="B633" s="63" t="str">
        <f t="shared" si="9"/>
        <v>No630</v>
      </c>
      <c r="C633" s="63"/>
      <c r="D633" s="67"/>
      <c r="E633" s="114"/>
      <c r="F633" s="75"/>
      <c r="G633" s="75"/>
      <c r="H633" s="65"/>
      <c r="I633" s="114"/>
      <c r="J633" s="114"/>
      <c r="K633" s="63"/>
      <c r="L633" s="67"/>
      <c r="M633" s="67"/>
      <c r="N633" s="67"/>
      <c r="O633" s="63"/>
      <c r="P633" s="63"/>
      <c r="Q633" s="115"/>
      <c r="R633" s="66"/>
    </row>
    <row r="634" spans="2:18" ht="18.75" customHeight="1">
      <c r="B634" s="63" t="str">
        <f t="shared" si="9"/>
        <v>No631</v>
      </c>
      <c r="C634" s="63"/>
      <c r="D634" s="67"/>
      <c r="E634" s="114"/>
      <c r="F634" s="75"/>
      <c r="G634" s="75"/>
      <c r="H634" s="65"/>
      <c r="I634" s="114"/>
      <c r="J634" s="114"/>
      <c r="K634" s="63"/>
      <c r="L634" s="67"/>
      <c r="M634" s="67"/>
      <c r="N634" s="67"/>
      <c r="O634" s="63"/>
      <c r="P634" s="63"/>
      <c r="Q634" s="115"/>
      <c r="R634" s="66"/>
    </row>
    <row r="635" spans="2:18" ht="18.75" customHeight="1">
      <c r="B635" s="63" t="str">
        <f t="shared" si="9"/>
        <v>No632</v>
      </c>
      <c r="C635" s="63"/>
      <c r="D635" s="67"/>
      <c r="E635" s="114"/>
      <c r="F635" s="75"/>
      <c r="G635" s="75"/>
      <c r="H635" s="65"/>
      <c r="I635" s="114"/>
      <c r="J635" s="114"/>
      <c r="K635" s="63"/>
      <c r="L635" s="67"/>
      <c r="M635" s="67"/>
      <c r="N635" s="67"/>
      <c r="O635" s="63"/>
      <c r="P635" s="63"/>
      <c r="Q635" s="115"/>
      <c r="R635" s="66"/>
    </row>
    <row r="636" spans="2:18" ht="18.75" customHeight="1">
      <c r="B636" s="63" t="str">
        <f t="shared" si="9"/>
        <v>No633</v>
      </c>
      <c r="C636" s="63"/>
      <c r="D636" s="67"/>
      <c r="E636" s="114"/>
      <c r="F636" s="75"/>
      <c r="G636" s="75"/>
      <c r="H636" s="65"/>
      <c r="I636" s="114"/>
      <c r="J636" s="114"/>
      <c r="K636" s="63"/>
      <c r="L636" s="67"/>
      <c r="M636" s="67"/>
      <c r="N636" s="67"/>
      <c r="O636" s="63"/>
      <c r="P636" s="63"/>
      <c r="Q636" s="115"/>
      <c r="R636" s="66"/>
    </row>
    <row r="637" spans="2:18" ht="18.75" customHeight="1">
      <c r="B637" s="63" t="str">
        <f t="shared" si="9"/>
        <v>No634</v>
      </c>
      <c r="C637" s="63"/>
      <c r="D637" s="67"/>
      <c r="E637" s="114"/>
      <c r="F637" s="75"/>
      <c r="G637" s="75"/>
      <c r="H637" s="65"/>
      <c r="I637" s="114"/>
      <c r="J637" s="114"/>
      <c r="K637" s="63"/>
      <c r="L637" s="67"/>
      <c r="M637" s="67"/>
      <c r="N637" s="67"/>
      <c r="O637" s="63"/>
      <c r="P637" s="63"/>
      <c r="Q637" s="115"/>
      <c r="R637" s="66"/>
    </row>
    <row r="638" spans="2:18" ht="18.75" customHeight="1">
      <c r="B638" s="63" t="str">
        <f t="shared" si="9"/>
        <v>No635</v>
      </c>
      <c r="C638" s="63"/>
      <c r="D638" s="67"/>
      <c r="E638" s="114"/>
      <c r="F638" s="75"/>
      <c r="G638" s="75"/>
      <c r="H638" s="65"/>
      <c r="I638" s="114"/>
      <c r="J638" s="114"/>
      <c r="K638" s="63"/>
      <c r="L638" s="67"/>
      <c r="M638" s="67"/>
      <c r="N638" s="67"/>
      <c r="O638" s="63"/>
      <c r="P638" s="63"/>
      <c r="Q638" s="115"/>
      <c r="R638" s="66"/>
    </row>
    <row r="639" spans="2:18" ht="18.75" customHeight="1">
      <c r="B639" s="63" t="str">
        <f t="shared" si="9"/>
        <v>No636</v>
      </c>
      <c r="C639" s="63"/>
      <c r="D639" s="67"/>
      <c r="E639" s="114"/>
      <c r="F639" s="75"/>
      <c r="G639" s="75"/>
      <c r="H639" s="65"/>
      <c r="I639" s="114"/>
      <c r="J639" s="114"/>
      <c r="K639" s="63"/>
      <c r="L639" s="67"/>
      <c r="M639" s="67"/>
      <c r="N639" s="67"/>
      <c r="O639" s="63"/>
      <c r="P639" s="63"/>
      <c r="Q639" s="115"/>
      <c r="R639" s="66"/>
    </row>
    <row r="640" spans="2:18" ht="18.75" customHeight="1">
      <c r="B640" s="63" t="str">
        <f t="shared" si="9"/>
        <v>No637</v>
      </c>
      <c r="C640" s="63"/>
      <c r="D640" s="67"/>
      <c r="E640" s="114"/>
      <c r="F640" s="75"/>
      <c r="G640" s="75"/>
      <c r="H640" s="65"/>
      <c r="I640" s="114"/>
      <c r="J640" s="114"/>
      <c r="K640" s="63"/>
      <c r="L640" s="67"/>
      <c r="M640" s="67"/>
      <c r="N640" s="67"/>
      <c r="O640" s="63"/>
      <c r="P640" s="63"/>
      <c r="Q640" s="115"/>
      <c r="R640" s="66"/>
    </row>
    <row r="641" spans="2:18" ht="18.75" customHeight="1">
      <c r="B641" s="63" t="str">
        <f t="shared" si="9"/>
        <v>No638</v>
      </c>
      <c r="C641" s="63"/>
      <c r="D641" s="67"/>
      <c r="E641" s="114"/>
      <c r="F641" s="75"/>
      <c r="G641" s="75"/>
      <c r="H641" s="65"/>
      <c r="I641" s="114"/>
      <c r="J641" s="114"/>
      <c r="K641" s="63"/>
      <c r="L641" s="67"/>
      <c r="M641" s="67"/>
      <c r="N641" s="67"/>
      <c r="O641" s="63"/>
      <c r="P641" s="63"/>
      <c r="Q641" s="115"/>
      <c r="R641" s="66"/>
    </row>
    <row r="642" spans="2:18" ht="18.75" customHeight="1">
      <c r="B642" s="63" t="str">
        <f t="shared" si="9"/>
        <v>No639</v>
      </c>
      <c r="C642" s="63"/>
      <c r="D642" s="67"/>
      <c r="E642" s="114"/>
      <c r="F642" s="75"/>
      <c r="G642" s="75"/>
      <c r="H642" s="65"/>
      <c r="I642" s="114"/>
      <c r="J642" s="114"/>
      <c r="K642" s="63"/>
      <c r="L642" s="67"/>
      <c r="M642" s="67"/>
      <c r="N642" s="67"/>
      <c r="O642" s="63"/>
      <c r="P642" s="63"/>
      <c r="Q642" s="115"/>
      <c r="R642" s="66"/>
    </row>
    <row r="643" spans="2:18" ht="18.75" customHeight="1">
      <c r="B643" s="63" t="str">
        <f t="shared" si="9"/>
        <v>No640</v>
      </c>
      <c r="C643" s="63"/>
      <c r="D643" s="67"/>
      <c r="E643" s="114"/>
      <c r="F643" s="75"/>
      <c r="G643" s="75"/>
      <c r="H643" s="65"/>
      <c r="I643" s="114"/>
      <c r="J643" s="114"/>
      <c r="K643" s="63"/>
      <c r="L643" s="67"/>
      <c r="M643" s="67"/>
      <c r="N643" s="67"/>
      <c r="O643" s="63"/>
      <c r="P643" s="63"/>
      <c r="Q643" s="115"/>
      <c r="R643" s="66"/>
    </row>
    <row r="644" spans="2:18" ht="18.75" customHeight="1">
      <c r="B644" s="63" t="str">
        <f t="shared" ref="B644:B707" si="10">"No"&amp;ROW()-3</f>
        <v>No641</v>
      </c>
      <c r="C644" s="63"/>
      <c r="D644" s="67"/>
      <c r="E644" s="114"/>
      <c r="F644" s="75"/>
      <c r="G644" s="75"/>
      <c r="H644" s="65"/>
      <c r="I644" s="114"/>
      <c r="J644" s="114"/>
      <c r="K644" s="63"/>
      <c r="L644" s="67"/>
      <c r="M644" s="67"/>
      <c r="N644" s="67"/>
      <c r="O644" s="63"/>
      <c r="P644" s="63"/>
      <c r="Q644" s="115"/>
      <c r="R644" s="66"/>
    </row>
    <row r="645" spans="2:18" ht="18.75" customHeight="1">
      <c r="B645" s="63" t="str">
        <f t="shared" si="10"/>
        <v>No642</v>
      </c>
      <c r="C645" s="63"/>
      <c r="D645" s="67"/>
      <c r="E645" s="114"/>
      <c r="F645" s="75"/>
      <c r="G645" s="75"/>
      <c r="H645" s="65"/>
      <c r="I645" s="114"/>
      <c r="J645" s="114"/>
      <c r="K645" s="63"/>
      <c r="L645" s="67"/>
      <c r="M645" s="67"/>
      <c r="N645" s="67"/>
      <c r="O645" s="63"/>
      <c r="P645" s="63"/>
      <c r="Q645" s="115"/>
      <c r="R645" s="66"/>
    </row>
    <row r="646" spans="2:18" ht="18.75" customHeight="1">
      <c r="B646" s="63" t="str">
        <f t="shared" si="10"/>
        <v>No643</v>
      </c>
      <c r="C646" s="63"/>
      <c r="D646" s="67"/>
      <c r="E646" s="114"/>
      <c r="F646" s="75"/>
      <c r="G646" s="75"/>
      <c r="H646" s="65"/>
      <c r="I646" s="114"/>
      <c r="J646" s="114"/>
      <c r="K646" s="63"/>
      <c r="L646" s="67"/>
      <c r="M646" s="67"/>
      <c r="N646" s="67"/>
      <c r="O646" s="63"/>
      <c r="P646" s="63"/>
      <c r="Q646" s="115"/>
      <c r="R646" s="66"/>
    </row>
    <row r="647" spans="2:18" ht="18.75" customHeight="1">
      <c r="B647" s="63" t="str">
        <f t="shared" si="10"/>
        <v>No644</v>
      </c>
      <c r="C647" s="63"/>
      <c r="D647" s="67"/>
      <c r="E647" s="114"/>
      <c r="F647" s="75"/>
      <c r="G647" s="75"/>
      <c r="H647" s="65"/>
      <c r="I647" s="114"/>
      <c r="J647" s="114"/>
      <c r="K647" s="63"/>
      <c r="L647" s="67"/>
      <c r="M647" s="67"/>
      <c r="N647" s="67"/>
      <c r="O647" s="63"/>
      <c r="P647" s="63"/>
      <c r="Q647" s="115"/>
      <c r="R647" s="66"/>
    </row>
    <row r="648" spans="2:18" ht="18.75" customHeight="1">
      <c r="B648" s="63" t="str">
        <f t="shared" si="10"/>
        <v>No645</v>
      </c>
      <c r="C648" s="63"/>
      <c r="D648" s="67"/>
      <c r="E648" s="114"/>
      <c r="F648" s="75"/>
      <c r="G648" s="75"/>
      <c r="H648" s="65"/>
      <c r="I648" s="114"/>
      <c r="J648" s="114"/>
      <c r="K648" s="63"/>
      <c r="L648" s="67"/>
      <c r="M648" s="67"/>
      <c r="N648" s="67"/>
      <c r="O648" s="63"/>
      <c r="P648" s="63"/>
      <c r="Q648" s="115"/>
      <c r="R648" s="66"/>
    </row>
    <row r="649" spans="2:18" ht="18.75" customHeight="1">
      <c r="B649" s="63" t="str">
        <f t="shared" si="10"/>
        <v>No646</v>
      </c>
      <c r="C649" s="63"/>
      <c r="D649" s="67"/>
      <c r="E649" s="114"/>
      <c r="F649" s="75"/>
      <c r="G649" s="75"/>
      <c r="H649" s="65"/>
      <c r="I649" s="114"/>
      <c r="J649" s="114"/>
      <c r="K649" s="63"/>
      <c r="L649" s="67"/>
      <c r="M649" s="67"/>
      <c r="N649" s="67"/>
      <c r="O649" s="63"/>
      <c r="P649" s="63"/>
      <c r="Q649" s="115"/>
      <c r="R649" s="66"/>
    </row>
    <row r="650" spans="2:18" ht="18.75" customHeight="1">
      <c r="B650" s="63" t="str">
        <f t="shared" si="10"/>
        <v>No647</v>
      </c>
      <c r="C650" s="63"/>
      <c r="D650" s="67"/>
      <c r="E650" s="114"/>
      <c r="F650" s="75"/>
      <c r="G650" s="75"/>
      <c r="H650" s="65"/>
      <c r="I650" s="114"/>
      <c r="J650" s="114"/>
      <c r="K650" s="63"/>
      <c r="L650" s="67"/>
      <c r="M650" s="67"/>
      <c r="N650" s="67"/>
      <c r="O650" s="63"/>
      <c r="P650" s="63"/>
      <c r="Q650" s="115"/>
      <c r="R650" s="66"/>
    </row>
    <row r="651" spans="2:18" ht="18.75" customHeight="1">
      <c r="B651" s="63" t="str">
        <f t="shared" si="10"/>
        <v>No648</v>
      </c>
      <c r="C651" s="63"/>
      <c r="D651" s="67"/>
      <c r="E651" s="114"/>
      <c r="F651" s="75"/>
      <c r="G651" s="75"/>
      <c r="H651" s="65"/>
      <c r="I651" s="114"/>
      <c r="J651" s="114"/>
      <c r="K651" s="63"/>
      <c r="L651" s="67"/>
      <c r="M651" s="67"/>
      <c r="N651" s="67"/>
      <c r="O651" s="63"/>
      <c r="P651" s="63"/>
      <c r="Q651" s="115"/>
      <c r="R651" s="66"/>
    </row>
    <row r="652" spans="2:18" ht="18.75" customHeight="1">
      <c r="B652" s="63" t="str">
        <f t="shared" si="10"/>
        <v>No649</v>
      </c>
      <c r="C652" s="63"/>
      <c r="D652" s="67"/>
      <c r="E652" s="114"/>
      <c r="F652" s="75"/>
      <c r="G652" s="75"/>
      <c r="H652" s="65"/>
      <c r="I652" s="114"/>
      <c r="J652" s="114"/>
      <c r="K652" s="63"/>
      <c r="L652" s="67"/>
      <c r="M652" s="67"/>
      <c r="N652" s="67"/>
      <c r="O652" s="63"/>
      <c r="P652" s="63"/>
      <c r="Q652" s="115"/>
      <c r="R652" s="66"/>
    </row>
    <row r="653" spans="2:18" ht="18.75" customHeight="1">
      <c r="B653" s="63" t="str">
        <f t="shared" si="10"/>
        <v>No650</v>
      </c>
      <c r="C653" s="63"/>
      <c r="D653" s="67"/>
      <c r="E653" s="114"/>
      <c r="F653" s="75"/>
      <c r="G653" s="75"/>
      <c r="H653" s="65"/>
      <c r="I653" s="114"/>
      <c r="J653" s="114"/>
      <c r="K653" s="63"/>
      <c r="L653" s="67"/>
      <c r="M653" s="67"/>
      <c r="N653" s="67"/>
      <c r="O653" s="63"/>
      <c r="P653" s="63"/>
      <c r="Q653" s="115"/>
      <c r="R653" s="66"/>
    </row>
    <row r="654" spans="2:18" ht="18.75" customHeight="1">
      <c r="B654" s="63" t="str">
        <f t="shared" si="10"/>
        <v>No651</v>
      </c>
      <c r="C654" s="63"/>
      <c r="D654" s="67"/>
      <c r="E654" s="114"/>
      <c r="F654" s="75"/>
      <c r="G654" s="75"/>
      <c r="H654" s="65"/>
      <c r="I654" s="114"/>
      <c r="J654" s="114"/>
      <c r="K654" s="63"/>
      <c r="L654" s="67"/>
      <c r="M654" s="67"/>
      <c r="N654" s="67"/>
      <c r="O654" s="63"/>
      <c r="P654" s="63"/>
      <c r="Q654" s="115"/>
      <c r="R654" s="66"/>
    </row>
    <row r="655" spans="2:18" ht="18.75" customHeight="1">
      <c r="B655" s="63" t="str">
        <f t="shared" si="10"/>
        <v>No652</v>
      </c>
      <c r="C655" s="63"/>
      <c r="D655" s="67"/>
      <c r="E655" s="114"/>
      <c r="F655" s="75"/>
      <c r="G655" s="75"/>
      <c r="H655" s="65"/>
      <c r="I655" s="114"/>
      <c r="J655" s="114"/>
      <c r="K655" s="63"/>
      <c r="L655" s="67"/>
      <c r="M655" s="67"/>
      <c r="N655" s="67"/>
      <c r="O655" s="63"/>
      <c r="P655" s="63"/>
      <c r="Q655" s="115"/>
      <c r="R655" s="66"/>
    </row>
    <row r="656" spans="2:18" ht="18.75" customHeight="1">
      <c r="B656" s="63" t="str">
        <f t="shared" si="10"/>
        <v>No653</v>
      </c>
      <c r="C656" s="63"/>
      <c r="D656" s="67"/>
      <c r="E656" s="114"/>
      <c r="F656" s="75"/>
      <c r="G656" s="75"/>
      <c r="H656" s="65"/>
      <c r="I656" s="114"/>
      <c r="J656" s="114"/>
      <c r="K656" s="63"/>
      <c r="L656" s="67"/>
      <c r="M656" s="67"/>
      <c r="N656" s="67"/>
      <c r="O656" s="63"/>
      <c r="P656" s="63"/>
      <c r="Q656" s="115"/>
      <c r="R656" s="66"/>
    </row>
    <row r="657" spans="2:18" ht="18.75" customHeight="1">
      <c r="B657" s="63" t="str">
        <f t="shared" si="10"/>
        <v>No654</v>
      </c>
      <c r="C657" s="63"/>
      <c r="D657" s="67"/>
      <c r="E657" s="114"/>
      <c r="F657" s="75"/>
      <c r="G657" s="75"/>
      <c r="H657" s="65"/>
      <c r="I657" s="114"/>
      <c r="J657" s="114"/>
      <c r="K657" s="63"/>
      <c r="L657" s="67"/>
      <c r="M657" s="67"/>
      <c r="N657" s="67"/>
      <c r="O657" s="63"/>
      <c r="P657" s="63"/>
      <c r="Q657" s="115"/>
      <c r="R657" s="66"/>
    </row>
    <row r="658" spans="2:18" ht="18.75" customHeight="1">
      <c r="B658" s="63" t="str">
        <f t="shared" si="10"/>
        <v>No655</v>
      </c>
      <c r="C658" s="63"/>
      <c r="D658" s="67"/>
      <c r="E658" s="114"/>
      <c r="F658" s="75"/>
      <c r="G658" s="75"/>
      <c r="H658" s="65"/>
      <c r="I658" s="114"/>
      <c r="J658" s="114"/>
      <c r="K658" s="63"/>
      <c r="L658" s="67"/>
      <c r="M658" s="67"/>
      <c r="N658" s="67"/>
      <c r="O658" s="63"/>
      <c r="P658" s="63"/>
      <c r="Q658" s="115"/>
      <c r="R658" s="66"/>
    </row>
    <row r="659" spans="2:18" ht="18.75" customHeight="1">
      <c r="B659" s="63" t="str">
        <f t="shared" si="10"/>
        <v>No656</v>
      </c>
      <c r="C659" s="63"/>
      <c r="D659" s="67"/>
      <c r="E659" s="114"/>
      <c r="F659" s="75"/>
      <c r="G659" s="75"/>
      <c r="H659" s="65"/>
      <c r="I659" s="114"/>
      <c r="J659" s="114"/>
      <c r="K659" s="63"/>
      <c r="L659" s="67"/>
      <c r="M659" s="67"/>
      <c r="N659" s="67"/>
      <c r="O659" s="63"/>
      <c r="P659" s="63"/>
      <c r="Q659" s="115"/>
      <c r="R659" s="66"/>
    </row>
    <row r="660" spans="2:18" ht="18.75" customHeight="1">
      <c r="B660" s="63" t="str">
        <f t="shared" si="10"/>
        <v>No657</v>
      </c>
      <c r="C660" s="63"/>
      <c r="D660" s="67"/>
      <c r="E660" s="114"/>
      <c r="F660" s="75"/>
      <c r="G660" s="75"/>
      <c r="H660" s="65"/>
      <c r="I660" s="114"/>
      <c r="J660" s="114"/>
      <c r="K660" s="63"/>
      <c r="L660" s="67"/>
      <c r="M660" s="67"/>
      <c r="N660" s="67"/>
      <c r="O660" s="63"/>
      <c r="P660" s="63"/>
      <c r="Q660" s="115"/>
      <c r="R660" s="66"/>
    </row>
    <row r="661" spans="2:18" ht="18.75" customHeight="1">
      <c r="B661" s="63" t="str">
        <f t="shared" si="10"/>
        <v>No658</v>
      </c>
      <c r="C661" s="63"/>
      <c r="D661" s="67"/>
      <c r="E661" s="114"/>
      <c r="F661" s="75"/>
      <c r="G661" s="75"/>
      <c r="H661" s="65"/>
      <c r="I661" s="114"/>
      <c r="J661" s="114"/>
      <c r="K661" s="63"/>
      <c r="L661" s="67"/>
      <c r="M661" s="67"/>
      <c r="N661" s="67"/>
      <c r="O661" s="63"/>
      <c r="P661" s="63"/>
      <c r="Q661" s="115"/>
      <c r="R661" s="66"/>
    </row>
    <row r="662" spans="2:18" ht="18.75" customHeight="1">
      <c r="B662" s="63" t="str">
        <f t="shared" si="10"/>
        <v>No659</v>
      </c>
      <c r="C662" s="63"/>
      <c r="D662" s="67"/>
      <c r="E662" s="114"/>
      <c r="F662" s="75"/>
      <c r="G662" s="75"/>
      <c r="H662" s="65"/>
      <c r="I662" s="114"/>
      <c r="J662" s="114"/>
      <c r="K662" s="63"/>
      <c r="L662" s="67"/>
      <c r="M662" s="67"/>
      <c r="N662" s="67"/>
      <c r="O662" s="63"/>
      <c r="P662" s="63"/>
      <c r="Q662" s="115"/>
      <c r="R662" s="66"/>
    </row>
    <row r="663" spans="2:18" ht="18.75" customHeight="1">
      <c r="B663" s="63" t="str">
        <f t="shared" si="10"/>
        <v>No660</v>
      </c>
      <c r="C663" s="63"/>
      <c r="D663" s="67"/>
      <c r="E663" s="114"/>
      <c r="F663" s="75"/>
      <c r="G663" s="75"/>
      <c r="H663" s="65"/>
      <c r="I663" s="114"/>
      <c r="J663" s="114"/>
      <c r="K663" s="63"/>
      <c r="L663" s="67"/>
      <c r="M663" s="67"/>
      <c r="N663" s="67"/>
      <c r="O663" s="63"/>
      <c r="P663" s="63"/>
      <c r="Q663" s="115"/>
      <c r="R663" s="66"/>
    </row>
    <row r="664" spans="2:18" ht="18.75" customHeight="1">
      <c r="B664" s="63" t="str">
        <f t="shared" si="10"/>
        <v>No661</v>
      </c>
      <c r="C664" s="63"/>
      <c r="D664" s="67"/>
      <c r="E664" s="114"/>
      <c r="F664" s="75"/>
      <c r="G664" s="75"/>
      <c r="H664" s="65"/>
      <c r="I664" s="114"/>
      <c r="J664" s="114"/>
      <c r="K664" s="63"/>
      <c r="L664" s="67"/>
      <c r="M664" s="67"/>
      <c r="N664" s="67"/>
      <c r="O664" s="63"/>
      <c r="P664" s="63"/>
      <c r="Q664" s="115"/>
      <c r="R664" s="66"/>
    </row>
    <row r="665" spans="2:18" ht="18.75" customHeight="1">
      <c r="B665" s="63" t="str">
        <f t="shared" si="10"/>
        <v>No662</v>
      </c>
      <c r="C665" s="63"/>
      <c r="D665" s="67"/>
      <c r="E665" s="114"/>
      <c r="F665" s="75"/>
      <c r="G665" s="75"/>
      <c r="H665" s="65"/>
      <c r="I665" s="114"/>
      <c r="J665" s="114"/>
      <c r="K665" s="63"/>
      <c r="L665" s="67"/>
      <c r="M665" s="67"/>
      <c r="N665" s="67"/>
      <c r="O665" s="63"/>
      <c r="P665" s="63"/>
      <c r="Q665" s="115"/>
      <c r="R665" s="66"/>
    </row>
    <row r="666" spans="2:18" ht="18.75" customHeight="1">
      <c r="B666" s="63" t="str">
        <f t="shared" si="10"/>
        <v>No663</v>
      </c>
      <c r="C666" s="63"/>
      <c r="D666" s="67"/>
      <c r="E666" s="114"/>
      <c r="F666" s="75"/>
      <c r="G666" s="75"/>
      <c r="H666" s="65"/>
      <c r="I666" s="114"/>
      <c r="J666" s="114"/>
      <c r="K666" s="63"/>
      <c r="L666" s="67"/>
      <c r="M666" s="67"/>
      <c r="N666" s="67"/>
      <c r="O666" s="63"/>
      <c r="P666" s="63"/>
      <c r="Q666" s="115"/>
      <c r="R666" s="66"/>
    </row>
    <row r="667" spans="2:18" ht="18.75" customHeight="1">
      <c r="B667" s="63" t="str">
        <f t="shared" si="10"/>
        <v>No664</v>
      </c>
      <c r="C667" s="63"/>
      <c r="D667" s="67"/>
      <c r="E667" s="114"/>
      <c r="F667" s="75"/>
      <c r="G667" s="75"/>
      <c r="H667" s="65"/>
      <c r="I667" s="114"/>
      <c r="J667" s="114"/>
      <c r="K667" s="63"/>
      <c r="L667" s="67"/>
      <c r="M667" s="67"/>
      <c r="N667" s="67"/>
      <c r="O667" s="63"/>
      <c r="P667" s="63"/>
      <c r="Q667" s="115"/>
      <c r="R667" s="66"/>
    </row>
    <row r="668" spans="2:18" ht="18.75" customHeight="1">
      <c r="B668" s="63" t="str">
        <f t="shared" si="10"/>
        <v>No665</v>
      </c>
      <c r="C668" s="63"/>
      <c r="D668" s="67"/>
      <c r="E668" s="114"/>
      <c r="F668" s="75"/>
      <c r="G668" s="75"/>
      <c r="H668" s="65"/>
      <c r="I668" s="114"/>
      <c r="J668" s="114"/>
      <c r="K668" s="63"/>
      <c r="L668" s="67"/>
      <c r="M668" s="67"/>
      <c r="N668" s="67"/>
      <c r="O668" s="63"/>
      <c r="P668" s="63"/>
      <c r="Q668" s="115"/>
      <c r="R668" s="66"/>
    </row>
    <row r="669" spans="2:18" ht="18.75" customHeight="1">
      <c r="B669" s="63" t="str">
        <f t="shared" si="10"/>
        <v>No666</v>
      </c>
      <c r="C669" s="63"/>
      <c r="D669" s="67"/>
      <c r="E669" s="114"/>
      <c r="F669" s="75"/>
      <c r="G669" s="75"/>
      <c r="H669" s="65"/>
      <c r="I669" s="114"/>
      <c r="J669" s="114"/>
      <c r="K669" s="63"/>
      <c r="L669" s="67"/>
      <c r="M669" s="67"/>
      <c r="N669" s="67"/>
      <c r="O669" s="63"/>
      <c r="P669" s="63"/>
      <c r="Q669" s="115"/>
      <c r="R669" s="66"/>
    </row>
    <row r="670" spans="2:18" ht="18.75" customHeight="1">
      <c r="B670" s="63" t="str">
        <f t="shared" si="10"/>
        <v>No667</v>
      </c>
      <c r="C670" s="63"/>
      <c r="D670" s="67"/>
      <c r="E670" s="114"/>
      <c r="F670" s="75"/>
      <c r="G670" s="75"/>
      <c r="H670" s="65"/>
      <c r="I670" s="114"/>
      <c r="J670" s="114"/>
      <c r="K670" s="63"/>
      <c r="L670" s="67"/>
      <c r="M670" s="67"/>
      <c r="N670" s="67"/>
      <c r="O670" s="63"/>
      <c r="P670" s="63"/>
      <c r="Q670" s="115"/>
      <c r="R670" s="66"/>
    </row>
    <row r="671" spans="2:18" ht="18.75" customHeight="1">
      <c r="B671" s="63" t="str">
        <f t="shared" si="10"/>
        <v>No668</v>
      </c>
      <c r="C671" s="63"/>
      <c r="D671" s="67"/>
      <c r="E671" s="114"/>
      <c r="F671" s="75"/>
      <c r="G671" s="75"/>
      <c r="H671" s="65"/>
      <c r="I671" s="114"/>
      <c r="J671" s="114"/>
      <c r="K671" s="63"/>
      <c r="L671" s="67"/>
      <c r="M671" s="67"/>
      <c r="N671" s="67"/>
      <c r="O671" s="63"/>
      <c r="P671" s="63"/>
      <c r="Q671" s="115"/>
      <c r="R671" s="66"/>
    </row>
    <row r="672" spans="2:18" ht="18.75" customHeight="1">
      <c r="B672" s="63" t="str">
        <f t="shared" si="10"/>
        <v>No669</v>
      </c>
      <c r="C672" s="63"/>
      <c r="D672" s="67"/>
      <c r="E672" s="114"/>
      <c r="F672" s="75"/>
      <c r="G672" s="75"/>
      <c r="H672" s="65"/>
      <c r="I672" s="114"/>
      <c r="J672" s="114"/>
      <c r="K672" s="63"/>
      <c r="L672" s="67"/>
      <c r="M672" s="67"/>
      <c r="N672" s="67"/>
      <c r="O672" s="63"/>
      <c r="P672" s="63"/>
      <c r="Q672" s="115"/>
      <c r="R672" s="66"/>
    </row>
    <row r="673" spans="2:18" ht="18.75" customHeight="1">
      <c r="B673" s="63" t="str">
        <f t="shared" si="10"/>
        <v>No670</v>
      </c>
      <c r="C673" s="63"/>
      <c r="D673" s="67"/>
      <c r="E673" s="114"/>
      <c r="F673" s="75"/>
      <c r="G673" s="75"/>
      <c r="H673" s="65"/>
      <c r="I673" s="114"/>
      <c r="J673" s="114"/>
      <c r="K673" s="63"/>
      <c r="L673" s="67"/>
      <c r="M673" s="67"/>
      <c r="N673" s="67"/>
      <c r="O673" s="63"/>
      <c r="P673" s="63"/>
      <c r="Q673" s="115"/>
      <c r="R673" s="66"/>
    </row>
    <row r="674" spans="2:18" ht="18.75" customHeight="1">
      <c r="B674" s="63" t="str">
        <f t="shared" si="10"/>
        <v>No671</v>
      </c>
      <c r="C674" s="63"/>
      <c r="D674" s="67"/>
      <c r="E674" s="114"/>
      <c r="F674" s="75"/>
      <c r="G674" s="75"/>
      <c r="H674" s="65"/>
      <c r="I674" s="114"/>
      <c r="J674" s="114"/>
      <c r="K674" s="63"/>
      <c r="L674" s="67"/>
      <c r="M674" s="67"/>
      <c r="N674" s="67"/>
      <c r="O674" s="63"/>
      <c r="P674" s="63"/>
      <c r="Q674" s="115"/>
      <c r="R674" s="66"/>
    </row>
    <row r="675" spans="2:18" ht="18.75" customHeight="1">
      <c r="B675" s="63" t="str">
        <f t="shared" si="10"/>
        <v>No672</v>
      </c>
      <c r="C675" s="63"/>
      <c r="D675" s="67"/>
      <c r="E675" s="114"/>
      <c r="F675" s="75"/>
      <c r="G675" s="75"/>
      <c r="H675" s="65"/>
      <c r="I675" s="114"/>
      <c r="J675" s="114"/>
      <c r="K675" s="63"/>
      <c r="L675" s="67"/>
      <c r="M675" s="67"/>
      <c r="N675" s="67"/>
      <c r="O675" s="63"/>
      <c r="P675" s="63"/>
      <c r="Q675" s="115"/>
      <c r="R675" s="66"/>
    </row>
    <row r="676" spans="2:18" ht="18.75" customHeight="1">
      <c r="B676" s="63" t="str">
        <f t="shared" si="10"/>
        <v>No673</v>
      </c>
      <c r="C676" s="63"/>
      <c r="D676" s="67"/>
      <c r="E676" s="114"/>
      <c r="F676" s="75"/>
      <c r="G676" s="75"/>
      <c r="H676" s="65"/>
      <c r="I676" s="114"/>
      <c r="J676" s="114"/>
      <c r="K676" s="63"/>
      <c r="L676" s="67"/>
      <c r="M676" s="67"/>
      <c r="N676" s="67"/>
      <c r="O676" s="63"/>
      <c r="P676" s="63"/>
      <c r="Q676" s="115"/>
      <c r="R676" s="66"/>
    </row>
    <row r="677" spans="2:18" ht="18.75" customHeight="1">
      <c r="B677" s="63" t="str">
        <f t="shared" si="10"/>
        <v>No674</v>
      </c>
      <c r="C677" s="63"/>
      <c r="D677" s="67"/>
      <c r="E677" s="114"/>
      <c r="F677" s="75"/>
      <c r="G677" s="75"/>
      <c r="H677" s="65"/>
      <c r="I677" s="114"/>
      <c r="J677" s="114"/>
      <c r="K677" s="63"/>
      <c r="L677" s="67"/>
      <c r="M677" s="67"/>
      <c r="N677" s="67"/>
      <c r="O677" s="63"/>
      <c r="P677" s="63"/>
      <c r="Q677" s="115"/>
      <c r="R677" s="66"/>
    </row>
    <row r="678" spans="2:18" ht="18.75" customHeight="1">
      <c r="B678" s="63" t="str">
        <f t="shared" si="10"/>
        <v>No675</v>
      </c>
      <c r="C678" s="63"/>
      <c r="D678" s="67"/>
      <c r="E678" s="114"/>
      <c r="F678" s="75"/>
      <c r="G678" s="75"/>
      <c r="H678" s="65"/>
      <c r="I678" s="114"/>
      <c r="J678" s="114"/>
      <c r="K678" s="63"/>
      <c r="L678" s="67"/>
      <c r="M678" s="67"/>
      <c r="N678" s="67"/>
      <c r="O678" s="63"/>
      <c r="P678" s="63"/>
      <c r="Q678" s="115"/>
      <c r="R678" s="66"/>
    </row>
    <row r="679" spans="2:18" ht="18.75" customHeight="1">
      <c r="B679" s="63" t="str">
        <f t="shared" si="10"/>
        <v>No676</v>
      </c>
      <c r="C679" s="63"/>
      <c r="D679" s="67"/>
      <c r="E679" s="114"/>
      <c r="F679" s="75"/>
      <c r="G679" s="75"/>
      <c r="H679" s="65"/>
      <c r="I679" s="114"/>
      <c r="J679" s="114"/>
      <c r="K679" s="63"/>
      <c r="L679" s="67"/>
      <c r="M679" s="67"/>
      <c r="N679" s="67"/>
      <c r="O679" s="63"/>
      <c r="P679" s="63"/>
      <c r="Q679" s="115"/>
      <c r="R679" s="66"/>
    </row>
    <row r="680" spans="2:18" ht="18.75" customHeight="1">
      <c r="B680" s="63" t="str">
        <f t="shared" si="10"/>
        <v>No677</v>
      </c>
      <c r="C680" s="63"/>
      <c r="D680" s="67"/>
      <c r="E680" s="114"/>
      <c r="F680" s="75"/>
      <c r="G680" s="75"/>
      <c r="H680" s="65"/>
      <c r="I680" s="114"/>
      <c r="J680" s="114"/>
      <c r="K680" s="63"/>
      <c r="L680" s="67"/>
      <c r="M680" s="67"/>
      <c r="N680" s="67"/>
      <c r="O680" s="63"/>
      <c r="P680" s="63"/>
      <c r="Q680" s="115"/>
      <c r="R680" s="66"/>
    </row>
    <row r="681" spans="2:18" ht="18.75" customHeight="1">
      <c r="B681" s="63" t="str">
        <f t="shared" si="10"/>
        <v>No678</v>
      </c>
      <c r="C681" s="63"/>
      <c r="D681" s="67"/>
      <c r="E681" s="114"/>
      <c r="F681" s="75"/>
      <c r="G681" s="75"/>
      <c r="H681" s="65"/>
      <c r="I681" s="114"/>
      <c r="J681" s="114"/>
      <c r="K681" s="63"/>
      <c r="L681" s="67"/>
      <c r="M681" s="67"/>
      <c r="N681" s="67"/>
      <c r="O681" s="63"/>
      <c r="P681" s="63"/>
      <c r="Q681" s="115"/>
      <c r="R681" s="66"/>
    </row>
    <row r="682" spans="2:18" ht="18.75" customHeight="1">
      <c r="B682" s="63" t="str">
        <f t="shared" si="10"/>
        <v>No679</v>
      </c>
      <c r="C682" s="63"/>
      <c r="D682" s="67"/>
      <c r="E682" s="114"/>
      <c r="F682" s="75"/>
      <c r="G682" s="75"/>
      <c r="H682" s="65"/>
      <c r="I682" s="114"/>
      <c r="J682" s="114"/>
      <c r="K682" s="63"/>
      <c r="L682" s="67"/>
      <c r="M682" s="67"/>
      <c r="N682" s="67"/>
      <c r="O682" s="63"/>
      <c r="P682" s="63"/>
      <c r="Q682" s="115"/>
      <c r="R682" s="66"/>
    </row>
    <row r="683" spans="2:18" ht="18.75" customHeight="1">
      <c r="B683" s="63" t="str">
        <f t="shared" si="10"/>
        <v>No680</v>
      </c>
      <c r="C683" s="63"/>
      <c r="D683" s="67"/>
      <c r="E683" s="114"/>
      <c r="F683" s="75"/>
      <c r="G683" s="75"/>
      <c r="H683" s="65"/>
      <c r="I683" s="114"/>
      <c r="J683" s="114"/>
      <c r="K683" s="63"/>
      <c r="L683" s="67"/>
      <c r="M683" s="67"/>
      <c r="N683" s="67"/>
      <c r="O683" s="63"/>
      <c r="P683" s="63"/>
      <c r="Q683" s="115"/>
      <c r="R683" s="66"/>
    </row>
    <row r="684" spans="2:18" ht="18.75" customHeight="1">
      <c r="B684" s="63" t="str">
        <f t="shared" si="10"/>
        <v>No681</v>
      </c>
      <c r="C684" s="63"/>
      <c r="D684" s="67"/>
      <c r="E684" s="114"/>
      <c r="F684" s="75"/>
      <c r="G684" s="75"/>
      <c r="H684" s="65"/>
      <c r="I684" s="114"/>
      <c r="J684" s="114"/>
      <c r="K684" s="63"/>
      <c r="L684" s="67"/>
      <c r="M684" s="67"/>
      <c r="N684" s="67"/>
      <c r="O684" s="63"/>
      <c r="P684" s="63"/>
      <c r="Q684" s="115"/>
      <c r="R684" s="66"/>
    </row>
    <row r="685" spans="2:18" ht="18.75" customHeight="1">
      <c r="B685" s="63" t="str">
        <f t="shared" si="10"/>
        <v>No682</v>
      </c>
      <c r="C685" s="63"/>
      <c r="D685" s="67"/>
      <c r="E685" s="114"/>
      <c r="F685" s="75"/>
      <c r="G685" s="75"/>
      <c r="H685" s="65"/>
      <c r="I685" s="114"/>
      <c r="J685" s="114"/>
      <c r="K685" s="63"/>
      <c r="L685" s="67"/>
      <c r="M685" s="67"/>
      <c r="N685" s="67"/>
      <c r="O685" s="63"/>
      <c r="P685" s="63"/>
      <c r="Q685" s="115"/>
      <c r="R685" s="66"/>
    </row>
    <row r="686" spans="2:18" ht="18.75" customHeight="1">
      <c r="B686" s="63" t="str">
        <f t="shared" si="10"/>
        <v>No683</v>
      </c>
      <c r="C686" s="63"/>
      <c r="D686" s="67"/>
      <c r="E686" s="114"/>
      <c r="F686" s="75"/>
      <c r="G686" s="75"/>
      <c r="H686" s="65"/>
      <c r="I686" s="114"/>
      <c r="J686" s="114"/>
      <c r="K686" s="63"/>
      <c r="L686" s="67"/>
      <c r="M686" s="67"/>
      <c r="N686" s="67"/>
      <c r="O686" s="63"/>
      <c r="P686" s="63"/>
      <c r="Q686" s="115"/>
      <c r="R686" s="66"/>
    </row>
    <row r="687" spans="2:18" ht="18.75" customHeight="1">
      <c r="B687" s="63" t="str">
        <f t="shared" si="10"/>
        <v>No684</v>
      </c>
      <c r="C687" s="63"/>
      <c r="D687" s="67"/>
      <c r="E687" s="114"/>
      <c r="F687" s="75"/>
      <c r="G687" s="75"/>
      <c r="H687" s="65"/>
      <c r="I687" s="114"/>
      <c r="J687" s="114"/>
      <c r="K687" s="63"/>
      <c r="L687" s="67"/>
      <c r="M687" s="67"/>
      <c r="N687" s="67"/>
      <c r="O687" s="63"/>
      <c r="P687" s="63"/>
      <c r="Q687" s="115"/>
      <c r="R687" s="66"/>
    </row>
    <row r="688" spans="2:18" ht="18.75" customHeight="1">
      <c r="B688" s="63" t="str">
        <f t="shared" si="10"/>
        <v>No685</v>
      </c>
      <c r="C688" s="63"/>
      <c r="D688" s="67"/>
      <c r="E688" s="114"/>
      <c r="F688" s="75"/>
      <c r="G688" s="75"/>
      <c r="H688" s="65"/>
      <c r="I688" s="114"/>
      <c r="J688" s="114"/>
      <c r="K688" s="63"/>
      <c r="L688" s="67"/>
      <c r="M688" s="67"/>
      <c r="N688" s="67"/>
      <c r="O688" s="63"/>
      <c r="P688" s="63"/>
      <c r="Q688" s="115"/>
      <c r="R688" s="66"/>
    </row>
    <row r="689" spans="2:18" ht="18.75" customHeight="1">
      <c r="B689" s="63" t="str">
        <f t="shared" si="10"/>
        <v>No686</v>
      </c>
      <c r="C689" s="63"/>
      <c r="D689" s="67"/>
      <c r="E689" s="114"/>
      <c r="F689" s="75"/>
      <c r="G689" s="75"/>
      <c r="H689" s="65"/>
      <c r="I689" s="114"/>
      <c r="J689" s="114"/>
      <c r="K689" s="63"/>
      <c r="L689" s="67"/>
      <c r="M689" s="67"/>
      <c r="N689" s="67"/>
      <c r="O689" s="63"/>
      <c r="P689" s="63"/>
      <c r="Q689" s="115"/>
      <c r="R689" s="66"/>
    </row>
    <row r="690" spans="2:18" ht="18.75" customHeight="1">
      <c r="B690" s="63" t="str">
        <f t="shared" si="10"/>
        <v>No687</v>
      </c>
      <c r="C690" s="63"/>
      <c r="D690" s="67"/>
      <c r="E690" s="114"/>
      <c r="F690" s="75"/>
      <c r="G690" s="75"/>
      <c r="H690" s="65"/>
      <c r="I690" s="114"/>
      <c r="J690" s="114"/>
      <c r="K690" s="63"/>
      <c r="L690" s="67"/>
      <c r="M690" s="67"/>
      <c r="N690" s="67"/>
      <c r="O690" s="63"/>
      <c r="P690" s="63"/>
      <c r="Q690" s="115"/>
      <c r="R690" s="66"/>
    </row>
    <row r="691" spans="2:18" ht="18.75" customHeight="1">
      <c r="B691" s="63" t="str">
        <f t="shared" si="10"/>
        <v>No688</v>
      </c>
      <c r="C691" s="63"/>
      <c r="D691" s="67"/>
      <c r="E691" s="114"/>
      <c r="F691" s="75"/>
      <c r="G691" s="75"/>
      <c r="H691" s="65"/>
      <c r="I691" s="114"/>
      <c r="J691" s="114"/>
      <c r="K691" s="63"/>
      <c r="L691" s="67"/>
      <c r="M691" s="67"/>
      <c r="N691" s="67"/>
      <c r="O691" s="63"/>
      <c r="P691" s="63"/>
      <c r="Q691" s="115"/>
      <c r="R691" s="66"/>
    </row>
    <row r="692" spans="2:18" ht="18.75" customHeight="1">
      <c r="B692" s="63" t="str">
        <f t="shared" si="10"/>
        <v>No689</v>
      </c>
      <c r="C692" s="63"/>
      <c r="D692" s="67"/>
      <c r="E692" s="114"/>
      <c r="F692" s="75"/>
      <c r="G692" s="75"/>
      <c r="H692" s="65"/>
      <c r="I692" s="114"/>
      <c r="J692" s="114"/>
      <c r="K692" s="63"/>
      <c r="L692" s="67"/>
      <c r="M692" s="67"/>
      <c r="N692" s="67"/>
      <c r="O692" s="63"/>
      <c r="P692" s="63"/>
      <c r="Q692" s="115"/>
      <c r="R692" s="66"/>
    </row>
    <row r="693" spans="2:18" ht="18.75" customHeight="1">
      <c r="B693" s="63" t="str">
        <f t="shared" si="10"/>
        <v>No690</v>
      </c>
      <c r="C693" s="63"/>
      <c r="D693" s="67"/>
      <c r="E693" s="114"/>
      <c r="F693" s="75"/>
      <c r="G693" s="75"/>
      <c r="H693" s="65"/>
      <c r="I693" s="114"/>
      <c r="J693" s="114"/>
      <c r="K693" s="63"/>
      <c r="L693" s="67"/>
      <c r="M693" s="67"/>
      <c r="N693" s="67"/>
      <c r="O693" s="63"/>
      <c r="P693" s="63"/>
      <c r="Q693" s="115"/>
      <c r="R693" s="66"/>
    </row>
    <row r="694" spans="2:18" ht="18.75" customHeight="1">
      <c r="B694" s="63" t="str">
        <f t="shared" si="10"/>
        <v>No691</v>
      </c>
      <c r="C694" s="63"/>
      <c r="D694" s="67"/>
      <c r="E694" s="114"/>
      <c r="F694" s="75"/>
      <c r="G694" s="75"/>
      <c r="H694" s="65"/>
      <c r="I694" s="114"/>
      <c r="J694" s="114"/>
      <c r="K694" s="63"/>
      <c r="L694" s="67"/>
      <c r="M694" s="67"/>
      <c r="N694" s="67"/>
      <c r="O694" s="63"/>
      <c r="P694" s="63"/>
      <c r="Q694" s="115"/>
      <c r="R694" s="66"/>
    </row>
    <row r="695" spans="2:18" ht="18.75" customHeight="1">
      <c r="B695" s="63" t="str">
        <f t="shared" si="10"/>
        <v>No692</v>
      </c>
      <c r="C695" s="63"/>
      <c r="D695" s="67"/>
      <c r="E695" s="114"/>
      <c r="F695" s="75"/>
      <c r="G695" s="75"/>
      <c r="H695" s="65"/>
      <c r="I695" s="114"/>
      <c r="J695" s="114"/>
      <c r="K695" s="63"/>
      <c r="L695" s="67"/>
      <c r="M695" s="67"/>
      <c r="N695" s="67"/>
      <c r="O695" s="63"/>
      <c r="P695" s="63"/>
      <c r="Q695" s="115"/>
      <c r="R695" s="66"/>
    </row>
    <row r="696" spans="2:18" ht="18.75" customHeight="1">
      <c r="B696" s="63" t="str">
        <f t="shared" si="10"/>
        <v>No693</v>
      </c>
      <c r="C696" s="63"/>
      <c r="D696" s="67"/>
      <c r="E696" s="114"/>
      <c r="F696" s="75"/>
      <c r="G696" s="75"/>
      <c r="H696" s="65"/>
      <c r="I696" s="114"/>
      <c r="J696" s="114"/>
      <c r="K696" s="63"/>
      <c r="L696" s="67"/>
      <c r="M696" s="67"/>
      <c r="N696" s="67"/>
      <c r="O696" s="63"/>
      <c r="P696" s="63"/>
      <c r="Q696" s="115"/>
      <c r="R696" s="66"/>
    </row>
    <row r="697" spans="2:18" ht="18.75" customHeight="1">
      <c r="B697" s="63" t="str">
        <f t="shared" si="10"/>
        <v>No694</v>
      </c>
      <c r="C697" s="63"/>
      <c r="D697" s="67"/>
      <c r="E697" s="114"/>
      <c r="F697" s="75"/>
      <c r="G697" s="75"/>
      <c r="H697" s="65"/>
      <c r="I697" s="114"/>
      <c r="J697" s="114"/>
      <c r="K697" s="63"/>
      <c r="L697" s="67"/>
      <c r="M697" s="67"/>
      <c r="N697" s="67"/>
      <c r="O697" s="63"/>
      <c r="P697" s="63"/>
      <c r="Q697" s="115"/>
      <c r="R697" s="66"/>
    </row>
    <row r="698" spans="2:18" ht="18.75" customHeight="1">
      <c r="B698" s="63" t="str">
        <f t="shared" si="10"/>
        <v>No695</v>
      </c>
      <c r="C698" s="63"/>
      <c r="D698" s="67"/>
      <c r="E698" s="114"/>
      <c r="F698" s="75"/>
      <c r="G698" s="75"/>
      <c r="H698" s="65"/>
      <c r="I698" s="114"/>
      <c r="J698" s="114"/>
      <c r="K698" s="63"/>
      <c r="L698" s="67"/>
      <c r="M698" s="67"/>
      <c r="N698" s="67"/>
      <c r="O698" s="63"/>
      <c r="P698" s="63"/>
      <c r="Q698" s="115"/>
      <c r="R698" s="66"/>
    </row>
    <row r="699" spans="2:18" ht="18.75" customHeight="1">
      <c r="B699" s="63" t="str">
        <f t="shared" si="10"/>
        <v>No696</v>
      </c>
      <c r="C699" s="63"/>
      <c r="D699" s="67"/>
      <c r="E699" s="114"/>
      <c r="F699" s="75"/>
      <c r="G699" s="75"/>
      <c r="H699" s="65"/>
      <c r="I699" s="114"/>
      <c r="J699" s="114"/>
      <c r="K699" s="63"/>
      <c r="L699" s="67"/>
      <c r="M699" s="67"/>
      <c r="N699" s="67"/>
      <c r="O699" s="63"/>
      <c r="P699" s="63"/>
      <c r="Q699" s="115"/>
      <c r="R699" s="66"/>
    </row>
    <row r="700" spans="2:18" ht="18.75" customHeight="1">
      <c r="B700" s="63" t="str">
        <f t="shared" si="10"/>
        <v>No697</v>
      </c>
      <c r="C700" s="63"/>
      <c r="D700" s="67"/>
      <c r="E700" s="114"/>
      <c r="F700" s="75"/>
      <c r="G700" s="75"/>
      <c r="H700" s="65"/>
      <c r="I700" s="114"/>
      <c r="J700" s="114"/>
      <c r="K700" s="63"/>
      <c r="L700" s="67"/>
      <c r="M700" s="67"/>
      <c r="N700" s="67"/>
      <c r="O700" s="63"/>
      <c r="P700" s="63"/>
      <c r="Q700" s="115"/>
      <c r="R700" s="66"/>
    </row>
    <row r="701" spans="2:18" ht="18.75" customHeight="1">
      <c r="B701" s="63" t="str">
        <f t="shared" si="10"/>
        <v>No698</v>
      </c>
      <c r="C701" s="63"/>
      <c r="D701" s="67"/>
      <c r="E701" s="114"/>
      <c r="F701" s="75"/>
      <c r="G701" s="75"/>
      <c r="H701" s="65"/>
      <c r="I701" s="114"/>
      <c r="J701" s="114"/>
      <c r="K701" s="63"/>
      <c r="L701" s="67"/>
      <c r="M701" s="67"/>
      <c r="N701" s="67"/>
      <c r="O701" s="63"/>
      <c r="P701" s="63"/>
      <c r="Q701" s="115"/>
      <c r="R701" s="66"/>
    </row>
    <row r="702" spans="2:18" ht="18.75" customHeight="1">
      <c r="B702" s="63" t="str">
        <f t="shared" si="10"/>
        <v>No699</v>
      </c>
      <c r="C702" s="63"/>
      <c r="D702" s="67"/>
      <c r="E702" s="114"/>
      <c r="F702" s="75"/>
      <c r="G702" s="75"/>
      <c r="H702" s="65"/>
      <c r="I702" s="114"/>
      <c r="J702" s="114"/>
      <c r="K702" s="63"/>
      <c r="L702" s="67"/>
      <c r="M702" s="67"/>
      <c r="N702" s="67"/>
      <c r="O702" s="63"/>
      <c r="P702" s="63"/>
      <c r="Q702" s="115"/>
      <c r="R702" s="66"/>
    </row>
    <row r="703" spans="2:18" ht="18.75" customHeight="1">
      <c r="B703" s="63" t="str">
        <f t="shared" si="10"/>
        <v>No700</v>
      </c>
      <c r="C703" s="63"/>
      <c r="D703" s="67"/>
      <c r="E703" s="114"/>
      <c r="F703" s="75"/>
      <c r="G703" s="75"/>
      <c r="H703" s="65"/>
      <c r="I703" s="114"/>
      <c r="J703" s="114"/>
      <c r="K703" s="63"/>
      <c r="L703" s="67"/>
      <c r="M703" s="67"/>
      <c r="N703" s="67"/>
      <c r="O703" s="63"/>
      <c r="P703" s="63"/>
      <c r="Q703" s="115"/>
      <c r="R703" s="66"/>
    </row>
    <row r="704" spans="2:18" ht="18.75" customHeight="1">
      <c r="B704" s="63" t="str">
        <f t="shared" si="10"/>
        <v>No701</v>
      </c>
      <c r="C704" s="63"/>
      <c r="D704" s="67"/>
      <c r="E704" s="114"/>
      <c r="F704" s="75"/>
      <c r="G704" s="75"/>
      <c r="H704" s="65"/>
      <c r="I704" s="114"/>
      <c r="J704" s="114"/>
      <c r="K704" s="63"/>
      <c r="L704" s="67"/>
      <c r="M704" s="67"/>
      <c r="N704" s="67"/>
      <c r="O704" s="63"/>
      <c r="P704" s="63"/>
      <c r="Q704" s="115"/>
      <c r="R704" s="66"/>
    </row>
    <row r="705" spans="2:18" ht="18.75" customHeight="1">
      <c r="B705" s="63" t="str">
        <f t="shared" si="10"/>
        <v>No702</v>
      </c>
      <c r="C705" s="63"/>
      <c r="D705" s="67"/>
      <c r="E705" s="114"/>
      <c r="F705" s="75"/>
      <c r="G705" s="75"/>
      <c r="H705" s="65"/>
      <c r="I705" s="114"/>
      <c r="J705" s="114"/>
      <c r="K705" s="63"/>
      <c r="L705" s="67"/>
      <c r="M705" s="67"/>
      <c r="N705" s="67"/>
      <c r="O705" s="63"/>
      <c r="P705" s="63"/>
      <c r="Q705" s="115"/>
      <c r="R705" s="66"/>
    </row>
    <row r="706" spans="2:18" ht="18.75" customHeight="1">
      <c r="B706" s="63" t="str">
        <f t="shared" si="10"/>
        <v>No703</v>
      </c>
      <c r="C706" s="63"/>
      <c r="D706" s="67"/>
      <c r="E706" s="114"/>
      <c r="F706" s="75"/>
      <c r="G706" s="75"/>
      <c r="H706" s="65"/>
      <c r="I706" s="114"/>
      <c r="J706" s="114"/>
      <c r="K706" s="63"/>
      <c r="L706" s="67"/>
      <c r="M706" s="67"/>
      <c r="N706" s="67"/>
      <c r="O706" s="63"/>
      <c r="P706" s="63"/>
      <c r="Q706" s="115"/>
      <c r="R706" s="66"/>
    </row>
    <row r="707" spans="2:18" ht="18.75" customHeight="1">
      <c r="B707" s="63" t="str">
        <f t="shared" si="10"/>
        <v>No704</v>
      </c>
      <c r="C707" s="63"/>
      <c r="D707" s="67"/>
      <c r="E707" s="114"/>
      <c r="F707" s="75"/>
      <c r="G707" s="75"/>
      <c r="H707" s="65"/>
      <c r="I707" s="114"/>
      <c r="J707" s="114"/>
      <c r="K707" s="63"/>
      <c r="L707" s="67"/>
      <c r="M707" s="67"/>
      <c r="N707" s="67"/>
      <c r="O707" s="63"/>
      <c r="P707" s="63"/>
      <c r="Q707" s="115"/>
      <c r="R707" s="66"/>
    </row>
    <row r="708" spans="2:18" ht="18.75" customHeight="1">
      <c r="B708" s="63" t="str">
        <f t="shared" ref="B708:B771" si="11">"No"&amp;ROW()-3</f>
        <v>No705</v>
      </c>
      <c r="C708" s="63"/>
      <c r="D708" s="67"/>
      <c r="E708" s="114"/>
      <c r="F708" s="75"/>
      <c r="G708" s="75"/>
      <c r="H708" s="65"/>
      <c r="I708" s="114"/>
      <c r="J708" s="114"/>
      <c r="K708" s="63"/>
      <c r="L708" s="67"/>
      <c r="M708" s="67"/>
      <c r="N708" s="67"/>
      <c r="O708" s="63"/>
      <c r="P708" s="63"/>
      <c r="Q708" s="115"/>
      <c r="R708" s="66"/>
    </row>
    <row r="709" spans="2:18" ht="18.75" customHeight="1">
      <c r="B709" s="63" t="str">
        <f t="shared" si="11"/>
        <v>No706</v>
      </c>
      <c r="C709" s="63"/>
      <c r="D709" s="67"/>
      <c r="E709" s="114"/>
      <c r="F709" s="75"/>
      <c r="G709" s="75"/>
      <c r="H709" s="65"/>
      <c r="I709" s="114"/>
      <c r="J709" s="114"/>
      <c r="K709" s="63"/>
      <c r="L709" s="67"/>
      <c r="M709" s="67"/>
      <c r="N709" s="67"/>
      <c r="O709" s="63"/>
      <c r="P709" s="63"/>
      <c r="Q709" s="115"/>
      <c r="R709" s="66"/>
    </row>
    <row r="710" spans="2:18" ht="18.75" customHeight="1">
      <c r="B710" s="63" t="str">
        <f t="shared" si="11"/>
        <v>No707</v>
      </c>
      <c r="C710" s="63"/>
      <c r="D710" s="67"/>
      <c r="E710" s="114"/>
      <c r="F710" s="75"/>
      <c r="G710" s="75"/>
      <c r="H710" s="65"/>
      <c r="I710" s="114"/>
      <c r="J710" s="114"/>
      <c r="K710" s="63"/>
      <c r="L710" s="67"/>
      <c r="M710" s="67"/>
      <c r="N710" s="67"/>
      <c r="O710" s="63"/>
      <c r="P710" s="63"/>
      <c r="Q710" s="115"/>
      <c r="R710" s="66"/>
    </row>
    <row r="711" spans="2:18" ht="18.75" customHeight="1">
      <c r="B711" s="63" t="str">
        <f t="shared" si="11"/>
        <v>No708</v>
      </c>
      <c r="C711" s="63"/>
      <c r="D711" s="67"/>
      <c r="E711" s="114"/>
      <c r="F711" s="75"/>
      <c r="G711" s="75"/>
      <c r="H711" s="65"/>
      <c r="I711" s="114"/>
      <c r="J711" s="114"/>
      <c r="K711" s="63"/>
      <c r="L711" s="67"/>
      <c r="M711" s="67"/>
      <c r="N711" s="67"/>
      <c r="O711" s="63"/>
      <c r="P711" s="63"/>
      <c r="Q711" s="115"/>
      <c r="R711" s="66"/>
    </row>
    <row r="712" spans="2:18" ht="18.75" customHeight="1">
      <c r="B712" s="63" t="str">
        <f t="shared" si="11"/>
        <v>No709</v>
      </c>
      <c r="C712" s="63"/>
      <c r="D712" s="67"/>
      <c r="E712" s="114"/>
      <c r="F712" s="75"/>
      <c r="G712" s="75"/>
      <c r="H712" s="65"/>
      <c r="I712" s="114"/>
      <c r="J712" s="114"/>
      <c r="K712" s="63"/>
      <c r="L712" s="67"/>
      <c r="M712" s="67"/>
      <c r="N712" s="67"/>
      <c r="O712" s="63"/>
      <c r="P712" s="63"/>
      <c r="Q712" s="115"/>
      <c r="R712" s="66"/>
    </row>
    <row r="713" spans="2:18" ht="18.75" customHeight="1">
      <c r="B713" s="63" t="str">
        <f t="shared" si="11"/>
        <v>No710</v>
      </c>
      <c r="C713" s="63"/>
      <c r="D713" s="67"/>
      <c r="E713" s="114"/>
      <c r="F713" s="75"/>
      <c r="G713" s="75"/>
      <c r="H713" s="65"/>
      <c r="I713" s="114"/>
      <c r="J713" s="114"/>
      <c r="K713" s="63"/>
      <c r="L713" s="67"/>
      <c r="M713" s="67"/>
      <c r="N713" s="67"/>
      <c r="O713" s="63"/>
      <c r="P713" s="63"/>
      <c r="Q713" s="115"/>
      <c r="R713" s="66"/>
    </row>
    <row r="714" spans="2:18" ht="18.75" customHeight="1">
      <c r="B714" s="63" t="str">
        <f t="shared" si="11"/>
        <v>No711</v>
      </c>
      <c r="C714" s="63"/>
      <c r="D714" s="67"/>
      <c r="E714" s="114"/>
      <c r="F714" s="75"/>
      <c r="G714" s="75"/>
      <c r="H714" s="65"/>
      <c r="I714" s="114"/>
      <c r="J714" s="114"/>
      <c r="K714" s="63"/>
      <c r="L714" s="67"/>
      <c r="M714" s="67"/>
      <c r="N714" s="67"/>
      <c r="O714" s="63"/>
      <c r="P714" s="63"/>
      <c r="Q714" s="115"/>
      <c r="R714" s="66"/>
    </row>
    <row r="715" spans="2:18" ht="18.75" customHeight="1">
      <c r="B715" s="63" t="str">
        <f t="shared" si="11"/>
        <v>No712</v>
      </c>
      <c r="C715" s="63"/>
      <c r="D715" s="67"/>
      <c r="E715" s="114"/>
      <c r="F715" s="75"/>
      <c r="G715" s="75"/>
      <c r="H715" s="65"/>
      <c r="I715" s="114"/>
      <c r="J715" s="114"/>
      <c r="K715" s="63"/>
      <c r="L715" s="67"/>
      <c r="M715" s="67"/>
      <c r="N715" s="67"/>
      <c r="O715" s="63"/>
      <c r="P715" s="63"/>
      <c r="Q715" s="115"/>
      <c r="R715" s="66"/>
    </row>
    <row r="716" spans="2:18" ht="18.75" customHeight="1">
      <c r="B716" s="63" t="str">
        <f t="shared" si="11"/>
        <v>No713</v>
      </c>
      <c r="C716" s="63"/>
      <c r="D716" s="67"/>
      <c r="E716" s="114"/>
      <c r="F716" s="75"/>
      <c r="G716" s="75"/>
      <c r="H716" s="65"/>
      <c r="I716" s="114"/>
      <c r="J716" s="114"/>
      <c r="K716" s="63"/>
      <c r="L716" s="67"/>
      <c r="M716" s="67"/>
      <c r="N716" s="67"/>
      <c r="O716" s="63"/>
      <c r="P716" s="63"/>
      <c r="Q716" s="115"/>
      <c r="R716" s="66"/>
    </row>
    <row r="717" spans="2:18" ht="18.75" customHeight="1">
      <c r="B717" s="63" t="str">
        <f t="shared" si="11"/>
        <v>No714</v>
      </c>
      <c r="C717" s="63"/>
      <c r="D717" s="67"/>
      <c r="E717" s="114"/>
      <c r="F717" s="75"/>
      <c r="G717" s="75"/>
      <c r="H717" s="65"/>
      <c r="I717" s="114"/>
      <c r="J717" s="114"/>
      <c r="K717" s="63"/>
      <c r="L717" s="67"/>
      <c r="M717" s="67"/>
      <c r="N717" s="67"/>
      <c r="O717" s="63"/>
      <c r="P717" s="63"/>
      <c r="Q717" s="115"/>
      <c r="R717" s="66"/>
    </row>
    <row r="718" spans="2:18" ht="18.75" customHeight="1">
      <c r="B718" s="63" t="str">
        <f t="shared" si="11"/>
        <v>No715</v>
      </c>
      <c r="C718" s="63"/>
      <c r="D718" s="67"/>
      <c r="E718" s="114"/>
      <c r="F718" s="75"/>
      <c r="G718" s="75"/>
      <c r="H718" s="65"/>
      <c r="I718" s="114"/>
      <c r="J718" s="114"/>
      <c r="K718" s="63"/>
      <c r="L718" s="67"/>
      <c r="M718" s="67"/>
      <c r="N718" s="67"/>
      <c r="O718" s="63"/>
      <c r="P718" s="63"/>
      <c r="Q718" s="115"/>
      <c r="R718" s="66"/>
    </row>
    <row r="719" spans="2:18" ht="18.75" customHeight="1">
      <c r="B719" s="63" t="str">
        <f t="shared" si="11"/>
        <v>No716</v>
      </c>
      <c r="C719" s="63"/>
      <c r="D719" s="67"/>
      <c r="E719" s="114"/>
      <c r="F719" s="75"/>
      <c r="G719" s="75"/>
      <c r="H719" s="65"/>
      <c r="I719" s="114"/>
      <c r="J719" s="114"/>
      <c r="K719" s="63"/>
      <c r="L719" s="67"/>
      <c r="M719" s="67"/>
      <c r="N719" s="67"/>
      <c r="O719" s="63"/>
      <c r="P719" s="63"/>
      <c r="Q719" s="115"/>
      <c r="R719" s="66"/>
    </row>
    <row r="720" spans="2:18" ht="18.75" customHeight="1">
      <c r="B720" s="63" t="str">
        <f t="shared" si="11"/>
        <v>No717</v>
      </c>
      <c r="C720" s="63"/>
      <c r="D720" s="67"/>
      <c r="E720" s="114"/>
      <c r="F720" s="75"/>
      <c r="G720" s="75"/>
      <c r="H720" s="65"/>
      <c r="I720" s="114"/>
      <c r="J720" s="114"/>
      <c r="K720" s="63"/>
      <c r="L720" s="67"/>
      <c r="M720" s="67"/>
      <c r="N720" s="67"/>
      <c r="O720" s="63"/>
      <c r="P720" s="63"/>
      <c r="Q720" s="115"/>
      <c r="R720" s="66"/>
    </row>
    <row r="721" spans="2:18" ht="18.75" customHeight="1">
      <c r="B721" s="63" t="str">
        <f t="shared" si="11"/>
        <v>No718</v>
      </c>
      <c r="C721" s="63"/>
      <c r="D721" s="67"/>
      <c r="E721" s="114"/>
      <c r="F721" s="75"/>
      <c r="G721" s="75"/>
      <c r="H721" s="65"/>
      <c r="I721" s="114"/>
      <c r="J721" s="114"/>
      <c r="K721" s="63"/>
      <c r="L721" s="67"/>
      <c r="M721" s="67"/>
      <c r="N721" s="67"/>
      <c r="O721" s="63"/>
      <c r="P721" s="63"/>
      <c r="Q721" s="115"/>
      <c r="R721" s="66"/>
    </row>
    <row r="722" spans="2:18" ht="18.75" customHeight="1">
      <c r="B722" s="63" t="str">
        <f t="shared" si="11"/>
        <v>No719</v>
      </c>
      <c r="C722" s="63"/>
      <c r="D722" s="67"/>
      <c r="E722" s="114"/>
      <c r="F722" s="75"/>
      <c r="G722" s="75"/>
      <c r="H722" s="65"/>
      <c r="I722" s="114"/>
      <c r="J722" s="114"/>
      <c r="K722" s="63"/>
      <c r="L722" s="67"/>
      <c r="M722" s="67"/>
      <c r="N722" s="67"/>
      <c r="O722" s="63"/>
      <c r="P722" s="63"/>
      <c r="Q722" s="115"/>
      <c r="R722" s="66"/>
    </row>
    <row r="723" spans="2:18" ht="18.75" customHeight="1">
      <c r="B723" s="63" t="str">
        <f t="shared" si="11"/>
        <v>No720</v>
      </c>
      <c r="C723" s="63"/>
      <c r="D723" s="67"/>
      <c r="E723" s="114"/>
      <c r="F723" s="75"/>
      <c r="G723" s="75"/>
      <c r="H723" s="65"/>
      <c r="I723" s="114"/>
      <c r="J723" s="114"/>
      <c r="K723" s="63"/>
      <c r="L723" s="67"/>
      <c r="M723" s="67"/>
      <c r="N723" s="67"/>
      <c r="O723" s="63"/>
      <c r="P723" s="63"/>
      <c r="Q723" s="115"/>
      <c r="R723" s="66"/>
    </row>
    <row r="724" spans="2:18" ht="18.75" customHeight="1">
      <c r="B724" s="63" t="str">
        <f t="shared" si="11"/>
        <v>No721</v>
      </c>
      <c r="C724" s="63"/>
      <c r="D724" s="67"/>
      <c r="E724" s="114"/>
      <c r="F724" s="75"/>
      <c r="G724" s="75"/>
      <c r="H724" s="65"/>
      <c r="I724" s="114"/>
      <c r="J724" s="114"/>
      <c r="K724" s="63"/>
      <c r="L724" s="67"/>
      <c r="M724" s="67"/>
      <c r="N724" s="67"/>
      <c r="O724" s="63"/>
      <c r="P724" s="63"/>
      <c r="Q724" s="115"/>
      <c r="R724" s="66"/>
    </row>
    <row r="725" spans="2:18" ht="18.75" customHeight="1">
      <c r="B725" s="63" t="str">
        <f t="shared" si="11"/>
        <v>No722</v>
      </c>
      <c r="C725" s="63"/>
      <c r="D725" s="67"/>
      <c r="E725" s="114"/>
      <c r="F725" s="75"/>
      <c r="G725" s="75"/>
      <c r="H725" s="65"/>
      <c r="I725" s="114"/>
      <c r="J725" s="114"/>
      <c r="K725" s="63"/>
      <c r="L725" s="67"/>
      <c r="M725" s="67"/>
      <c r="N725" s="67"/>
      <c r="O725" s="63"/>
      <c r="P725" s="63"/>
      <c r="Q725" s="115"/>
      <c r="R725" s="66"/>
    </row>
    <row r="726" spans="2:18" ht="18.75" customHeight="1">
      <c r="B726" s="63" t="str">
        <f t="shared" si="11"/>
        <v>No723</v>
      </c>
      <c r="C726" s="63"/>
      <c r="D726" s="67"/>
      <c r="E726" s="114"/>
      <c r="F726" s="75"/>
      <c r="G726" s="75"/>
      <c r="H726" s="65"/>
      <c r="I726" s="114"/>
      <c r="J726" s="114"/>
      <c r="K726" s="63"/>
      <c r="L726" s="67"/>
      <c r="M726" s="67"/>
      <c r="N726" s="67"/>
      <c r="O726" s="63"/>
      <c r="P726" s="63"/>
      <c r="Q726" s="115"/>
      <c r="R726" s="66"/>
    </row>
    <row r="727" spans="2:18" ht="18.75" customHeight="1">
      <c r="B727" s="63" t="str">
        <f t="shared" si="11"/>
        <v>No724</v>
      </c>
      <c r="C727" s="63"/>
      <c r="D727" s="67"/>
      <c r="E727" s="114"/>
      <c r="F727" s="75"/>
      <c r="G727" s="75"/>
      <c r="H727" s="65"/>
      <c r="I727" s="114"/>
      <c r="J727" s="114"/>
      <c r="K727" s="63"/>
      <c r="L727" s="67"/>
      <c r="M727" s="67"/>
      <c r="N727" s="67"/>
      <c r="O727" s="63"/>
      <c r="P727" s="63"/>
      <c r="Q727" s="115"/>
      <c r="R727" s="66"/>
    </row>
    <row r="728" spans="2:18" ht="18.75" customHeight="1">
      <c r="B728" s="63" t="str">
        <f t="shared" si="11"/>
        <v>No725</v>
      </c>
      <c r="C728" s="63"/>
      <c r="D728" s="67"/>
      <c r="E728" s="114"/>
      <c r="F728" s="75"/>
      <c r="G728" s="75"/>
      <c r="H728" s="65"/>
      <c r="I728" s="114"/>
      <c r="J728" s="114"/>
      <c r="K728" s="63"/>
      <c r="L728" s="67"/>
      <c r="M728" s="67"/>
      <c r="N728" s="67"/>
      <c r="O728" s="63"/>
      <c r="P728" s="63"/>
      <c r="Q728" s="115"/>
      <c r="R728" s="66"/>
    </row>
    <row r="729" spans="2:18" ht="18.75" customHeight="1">
      <c r="B729" s="63" t="str">
        <f t="shared" si="11"/>
        <v>No726</v>
      </c>
      <c r="C729" s="63"/>
      <c r="D729" s="67"/>
      <c r="E729" s="114"/>
      <c r="F729" s="75"/>
      <c r="G729" s="75"/>
      <c r="H729" s="65"/>
      <c r="I729" s="114"/>
      <c r="J729" s="114"/>
      <c r="K729" s="63"/>
      <c r="L729" s="67"/>
      <c r="M729" s="67"/>
      <c r="N729" s="67"/>
      <c r="O729" s="63"/>
      <c r="P729" s="63"/>
      <c r="Q729" s="115"/>
      <c r="R729" s="66"/>
    </row>
    <row r="730" spans="2:18" ht="18.75" customHeight="1">
      <c r="B730" s="63" t="str">
        <f t="shared" si="11"/>
        <v>No727</v>
      </c>
      <c r="C730" s="63"/>
      <c r="D730" s="67"/>
      <c r="E730" s="114"/>
      <c r="F730" s="75"/>
      <c r="G730" s="75"/>
      <c r="H730" s="65"/>
      <c r="I730" s="114"/>
      <c r="J730" s="114"/>
      <c r="K730" s="63"/>
      <c r="L730" s="67"/>
      <c r="M730" s="67"/>
      <c r="N730" s="67"/>
      <c r="O730" s="63"/>
      <c r="P730" s="63"/>
      <c r="Q730" s="115"/>
      <c r="R730" s="66"/>
    </row>
    <row r="731" spans="2:18" ht="18.75" customHeight="1">
      <c r="B731" s="63" t="str">
        <f t="shared" si="11"/>
        <v>No728</v>
      </c>
      <c r="C731" s="63"/>
      <c r="D731" s="67"/>
      <c r="E731" s="114"/>
      <c r="F731" s="75"/>
      <c r="G731" s="75"/>
      <c r="H731" s="65"/>
      <c r="I731" s="114"/>
      <c r="J731" s="114"/>
      <c r="K731" s="63"/>
      <c r="L731" s="67"/>
      <c r="M731" s="67"/>
      <c r="N731" s="67"/>
      <c r="O731" s="63"/>
      <c r="P731" s="63"/>
      <c r="Q731" s="115"/>
      <c r="R731" s="66"/>
    </row>
    <row r="732" spans="2:18" ht="18.75" customHeight="1">
      <c r="B732" s="63" t="str">
        <f t="shared" si="11"/>
        <v>No729</v>
      </c>
      <c r="C732" s="63"/>
      <c r="D732" s="67"/>
      <c r="E732" s="114"/>
      <c r="F732" s="75"/>
      <c r="G732" s="75"/>
      <c r="H732" s="65"/>
      <c r="I732" s="114"/>
      <c r="J732" s="114"/>
      <c r="K732" s="63"/>
      <c r="L732" s="67"/>
      <c r="M732" s="67"/>
      <c r="N732" s="67"/>
      <c r="O732" s="63"/>
      <c r="P732" s="63"/>
      <c r="Q732" s="115"/>
      <c r="R732" s="66"/>
    </row>
    <row r="733" spans="2:18" ht="18.75" customHeight="1">
      <c r="B733" s="63" t="str">
        <f t="shared" si="11"/>
        <v>No730</v>
      </c>
      <c r="C733" s="63"/>
      <c r="D733" s="67"/>
      <c r="E733" s="114"/>
      <c r="F733" s="75"/>
      <c r="G733" s="75"/>
      <c r="H733" s="65"/>
      <c r="I733" s="114"/>
      <c r="J733" s="114"/>
      <c r="K733" s="63"/>
      <c r="L733" s="67"/>
      <c r="M733" s="67"/>
      <c r="N733" s="67"/>
      <c r="O733" s="63"/>
      <c r="P733" s="63"/>
      <c r="Q733" s="115"/>
      <c r="R733" s="66"/>
    </row>
    <row r="734" spans="2:18" ht="18.75" customHeight="1">
      <c r="B734" s="63" t="str">
        <f t="shared" si="11"/>
        <v>No731</v>
      </c>
      <c r="C734" s="63"/>
      <c r="D734" s="67"/>
      <c r="E734" s="114"/>
      <c r="F734" s="75"/>
      <c r="G734" s="75"/>
      <c r="H734" s="65"/>
      <c r="I734" s="114"/>
      <c r="J734" s="114"/>
      <c r="K734" s="63"/>
      <c r="L734" s="67"/>
      <c r="M734" s="67"/>
      <c r="N734" s="67"/>
      <c r="O734" s="63"/>
      <c r="P734" s="63"/>
      <c r="Q734" s="115"/>
      <c r="R734" s="66"/>
    </row>
    <row r="735" spans="2:18" ht="18.75" customHeight="1">
      <c r="B735" s="63" t="str">
        <f t="shared" si="11"/>
        <v>No732</v>
      </c>
      <c r="C735" s="63"/>
      <c r="D735" s="67"/>
      <c r="E735" s="114"/>
      <c r="F735" s="75"/>
      <c r="G735" s="75"/>
      <c r="H735" s="65"/>
      <c r="I735" s="114"/>
      <c r="J735" s="114"/>
      <c r="K735" s="63"/>
      <c r="L735" s="67"/>
      <c r="M735" s="67"/>
      <c r="N735" s="67"/>
      <c r="O735" s="63"/>
      <c r="P735" s="63"/>
      <c r="Q735" s="115"/>
      <c r="R735" s="66"/>
    </row>
    <row r="736" spans="2:18" ht="18.75" customHeight="1">
      <c r="B736" s="63" t="str">
        <f t="shared" si="11"/>
        <v>No733</v>
      </c>
      <c r="C736" s="63"/>
      <c r="D736" s="67"/>
      <c r="E736" s="114"/>
      <c r="F736" s="75"/>
      <c r="G736" s="75"/>
      <c r="H736" s="65"/>
      <c r="I736" s="114"/>
      <c r="J736" s="114"/>
      <c r="K736" s="63"/>
      <c r="L736" s="67"/>
      <c r="M736" s="67"/>
      <c r="N736" s="67"/>
      <c r="O736" s="63"/>
      <c r="P736" s="63"/>
      <c r="Q736" s="115"/>
      <c r="R736" s="66"/>
    </row>
    <row r="737" spans="2:18" ht="18.75" customHeight="1">
      <c r="B737" s="63" t="str">
        <f t="shared" si="11"/>
        <v>No734</v>
      </c>
      <c r="C737" s="63"/>
      <c r="D737" s="67"/>
      <c r="E737" s="114"/>
      <c r="F737" s="75"/>
      <c r="G737" s="75"/>
      <c r="H737" s="65"/>
      <c r="I737" s="114"/>
      <c r="J737" s="114"/>
      <c r="K737" s="63"/>
      <c r="L737" s="67"/>
      <c r="M737" s="67"/>
      <c r="N737" s="67"/>
      <c r="O737" s="63"/>
      <c r="P737" s="63"/>
      <c r="Q737" s="115"/>
      <c r="R737" s="66"/>
    </row>
    <row r="738" spans="2:18" ht="18.75" customHeight="1">
      <c r="B738" s="63" t="str">
        <f t="shared" si="11"/>
        <v>No735</v>
      </c>
      <c r="C738" s="63"/>
      <c r="D738" s="67"/>
      <c r="E738" s="114"/>
      <c r="F738" s="75"/>
      <c r="G738" s="75"/>
      <c r="H738" s="65"/>
      <c r="I738" s="114"/>
      <c r="J738" s="114"/>
      <c r="K738" s="63"/>
      <c r="L738" s="67"/>
      <c r="M738" s="67"/>
      <c r="N738" s="67"/>
      <c r="O738" s="63"/>
      <c r="P738" s="63"/>
      <c r="Q738" s="115"/>
      <c r="R738" s="66"/>
    </row>
    <row r="739" spans="2:18" ht="18.75" customHeight="1">
      <c r="B739" s="63" t="str">
        <f t="shared" si="11"/>
        <v>No736</v>
      </c>
      <c r="C739" s="63"/>
      <c r="D739" s="67"/>
      <c r="E739" s="114"/>
      <c r="F739" s="75"/>
      <c r="G739" s="75"/>
      <c r="H739" s="65"/>
      <c r="I739" s="114"/>
      <c r="J739" s="114"/>
      <c r="K739" s="63"/>
      <c r="L739" s="67"/>
      <c r="M739" s="67"/>
      <c r="N739" s="67"/>
      <c r="O739" s="63"/>
      <c r="P739" s="63"/>
      <c r="Q739" s="115"/>
      <c r="R739" s="66"/>
    </row>
    <row r="740" spans="2:18" ht="18.75" customHeight="1">
      <c r="B740" s="63" t="str">
        <f t="shared" si="11"/>
        <v>No737</v>
      </c>
      <c r="C740" s="63"/>
      <c r="D740" s="67"/>
      <c r="E740" s="114"/>
      <c r="F740" s="75"/>
      <c r="G740" s="75"/>
      <c r="H740" s="65"/>
      <c r="I740" s="114"/>
      <c r="J740" s="114"/>
      <c r="K740" s="63"/>
      <c r="L740" s="67"/>
      <c r="M740" s="67"/>
      <c r="N740" s="67"/>
      <c r="O740" s="63"/>
      <c r="P740" s="63"/>
      <c r="Q740" s="115"/>
      <c r="R740" s="66"/>
    </row>
    <row r="741" spans="2:18" ht="18.75" customHeight="1">
      <c r="B741" s="63" t="str">
        <f t="shared" si="11"/>
        <v>No738</v>
      </c>
      <c r="C741" s="63"/>
      <c r="D741" s="67"/>
      <c r="E741" s="114"/>
      <c r="F741" s="75"/>
      <c r="G741" s="75"/>
      <c r="H741" s="65"/>
      <c r="I741" s="114"/>
      <c r="J741" s="114"/>
      <c r="K741" s="63"/>
      <c r="L741" s="67"/>
      <c r="M741" s="67"/>
      <c r="N741" s="67"/>
      <c r="O741" s="63"/>
      <c r="P741" s="63"/>
      <c r="Q741" s="115"/>
      <c r="R741" s="66"/>
    </row>
    <row r="742" spans="2:18" ht="18.75" customHeight="1">
      <c r="B742" s="63" t="str">
        <f t="shared" si="11"/>
        <v>No739</v>
      </c>
      <c r="C742" s="63"/>
      <c r="D742" s="67"/>
      <c r="E742" s="114"/>
      <c r="F742" s="75"/>
      <c r="G742" s="75"/>
      <c r="H742" s="65"/>
      <c r="I742" s="114"/>
      <c r="J742" s="114"/>
      <c r="K742" s="63"/>
      <c r="L742" s="67"/>
      <c r="M742" s="67"/>
      <c r="N742" s="67"/>
      <c r="O742" s="63"/>
      <c r="P742" s="63"/>
      <c r="Q742" s="115"/>
      <c r="R742" s="66"/>
    </row>
    <row r="743" spans="2:18" ht="18.75" customHeight="1">
      <c r="B743" s="63" t="str">
        <f t="shared" si="11"/>
        <v>No740</v>
      </c>
      <c r="C743" s="63"/>
      <c r="D743" s="67"/>
      <c r="E743" s="114"/>
      <c r="F743" s="75"/>
      <c r="G743" s="75"/>
      <c r="H743" s="65"/>
      <c r="I743" s="114"/>
      <c r="J743" s="114"/>
      <c r="K743" s="63"/>
      <c r="L743" s="67"/>
      <c r="M743" s="67"/>
      <c r="N743" s="67"/>
      <c r="O743" s="63"/>
      <c r="P743" s="63"/>
      <c r="Q743" s="115"/>
      <c r="R743" s="66"/>
    </row>
    <row r="744" spans="2:18" ht="18.75" customHeight="1">
      <c r="B744" s="63" t="str">
        <f t="shared" si="11"/>
        <v>No741</v>
      </c>
      <c r="C744" s="63"/>
      <c r="D744" s="67"/>
      <c r="E744" s="114"/>
      <c r="F744" s="75"/>
      <c r="G744" s="75"/>
      <c r="H744" s="65"/>
      <c r="I744" s="114"/>
      <c r="J744" s="114"/>
      <c r="K744" s="63"/>
      <c r="L744" s="67"/>
      <c r="M744" s="67"/>
      <c r="N744" s="67"/>
      <c r="O744" s="63"/>
      <c r="P744" s="63"/>
      <c r="Q744" s="115"/>
      <c r="R744" s="66"/>
    </row>
    <row r="745" spans="2:18" ht="18.75" customHeight="1">
      <c r="B745" s="63" t="str">
        <f t="shared" si="11"/>
        <v>No742</v>
      </c>
      <c r="C745" s="63"/>
      <c r="D745" s="67"/>
      <c r="E745" s="114"/>
      <c r="F745" s="75"/>
      <c r="G745" s="75"/>
      <c r="H745" s="65"/>
      <c r="I745" s="114"/>
      <c r="J745" s="114"/>
      <c r="K745" s="63"/>
      <c r="L745" s="67"/>
      <c r="M745" s="67"/>
      <c r="N745" s="67"/>
      <c r="O745" s="63"/>
      <c r="P745" s="63"/>
      <c r="Q745" s="115"/>
      <c r="R745" s="66"/>
    </row>
    <row r="746" spans="2:18" ht="18.75" customHeight="1">
      <c r="B746" s="63" t="str">
        <f t="shared" si="11"/>
        <v>No743</v>
      </c>
      <c r="C746" s="63"/>
      <c r="D746" s="67"/>
      <c r="E746" s="114"/>
      <c r="F746" s="75"/>
      <c r="G746" s="75"/>
      <c r="H746" s="65"/>
      <c r="I746" s="114"/>
      <c r="J746" s="114"/>
      <c r="K746" s="63"/>
      <c r="L746" s="67"/>
      <c r="M746" s="67"/>
      <c r="N746" s="67"/>
      <c r="O746" s="63"/>
      <c r="P746" s="63"/>
      <c r="Q746" s="115"/>
      <c r="R746" s="66"/>
    </row>
    <row r="747" spans="2:18" ht="18.75" customHeight="1">
      <c r="B747" s="63" t="str">
        <f t="shared" si="11"/>
        <v>No744</v>
      </c>
      <c r="C747" s="63"/>
      <c r="D747" s="67"/>
      <c r="E747" s="114"/>
      <c r="F747" s="75"/>
      <c r="G747" s="75"/>
      <c r="H747" s="65"/>
      <c r="I747" s="114"/>
      <c r="J747" s="114"/>
      <c r="K747" s="63"/>
      <c r="L747" s="67"/>
      <c r="M747" s="67"/>
      <c r="N747" s="67"/>
      <c r="O747" s="63"/>
      <c r="P747" s="63"/>
      <c r="Q747" s="115"/>
      <c r="R747" s="66"/>
    </row>
    <row r="748" spans="2:18" ht="18.75" customHeight="1">
      <c r="B748" s="63" t="str">
        <f t="shared" si="11"/>
        <v>No745</v>
      </c>
      <c r="C748" s="63"/>
      <c r="D748" s="67"/>
      <c r="E748" s="114"/>
      <c r="F748" s="75"/>
      <c r="G748" s="75"/>
      <c r="H748" s="65"/>
      <c r="I748" s="114"/>
      <c r="J748" s="114"/>
      <c r="K748" s="63"/>
      <c r="L748" s="67"/>
      <c r="M748" s="67"/>
      <c r="N748" s="67"/>
      <c r="O748" s="63"/>
      <c r="P748" s="63"/>
      <c r="Q748" s="115"/>
      <c r="R748" s="66"/>
    </row>
    <row r="749" spans="2:18" ht="18.75" customHeight="1">
      <c r="B749" s="63" t="str">
        <f t="shared" si="11"/>
        <v>No746</v>
      </c>
      <c r="C749" s="63"/>
      <c r="D749" s="67"/>
      <c r="E749" s="114"/>
      <c r="F749" s="75"/>
      <c r="G749" s="75"/>
      <c r="H749" s="65"/>
      <c r="I749" s="114"/>
      <c r="J749" s="114"/>
      <c r="K749" s="63"/>
      <c r="L749" s="67"/>
      <c r="M749" s="67"/>
      <c r="N749" s="67"/>
      <c r="O749" s="63"/>
      <c r="P749" s="63"/>
      <c r="Q749" s="115"/>
      <c r="R749" s="66"/>
    </row>
    <row r="750" spans="2:18" ht="18.75" customHeight="1">
      <c r="B750" s="63" t="str">
        <f t="shared" si="11"/>
        <v>No747</v>
      </c>
      <c r="C750" s="63"/>
      <c r="D750" s="67"/>
      <c r="E750" s="114"/>
      <c r="F750" s="75"/>
      <c r="G750" s="75"/>
      <c r="H750" s="65"/>
      <c r="I750" s="114"/>
      <c r="J750" s="114"/>
      <c r="K750" s="63"/>
      <c r="L750" s="67"/>
      <c r="M750" s="67"/>
      <c r="N750" s="67"/>
      <c r="O750" s="63"/>
      <c r="P750" s="63"/>
      <c r="Q750" s="115"/>
      <c r="R750" s="66"/>
    </row>
    <row r="751" spans="2:18" ht="18.75" customHeight="1">
      <c r="B751" s="63" t="str">
        <f t="shared" si="11"/>
        <v>No748</v>
      </c>
      <c r="C751" s="63"/>
      <c r="D751" s="67"/>
      <c r="E751" s="114"/>
      <c r="F751" s="75"/>
      <c r="G751" s="75"/>
      <c r="H751" s="65"/>
      <c r="I751" s="114"/>
      <c r="J751" s="114"/>
      <c r="K751" s="63"/>
      <c r="L751" s="67"/>
      <c r="M751" s="67"/>
      <c r="N751" s="67"/>
      <c r="O751" s="63"/>
      <c r="P751" s="63"/>
      <c r="Q751" s="115"/>
      <c r="R751" s="66"/>
    </row>
    <row r="752" spans="2:18" ht="18.75" customHeight="1">
      <c r="B752" s="63" t="str">
        <f t="shared" si="11"/>
        <v>No749</v>
      </c>
      <c r="C752" s="63"/>
      <c r="D752" s="67"/>
      <c r="E752" s="114"/>
      <c r="F752" s="75"/>
      <c r="G752" s="75"/>
      <c r="H752" s="65"/>
      <c r="I752" s="114"/>
      <c r="J752" s="114"/>
      <c r="K752" s="63"/>
      <c r="L752" s="67"/>
      <c r="M752" s="67"/>
      <c r="N752" s="67"/>
      <c r="O752" s="63"/>
      <c r="P752" s="63"/>
      <c r="Q752" s="115"/>
      <c r="R752" s="66"/>
    </row>
    <row r="753" spans="2:18" ht="18.75" customHeight="1">
      <c r="B753" s="63" t="str">
        <f t="shared" si="11"/>
        <v>No750</v>
      </c>
      <c r="C753" s="63"/>
      <c r="D753" s="67"/>
      <c r="E753" s="114"/>
      <c r="F753" s="75"/>
      <c r="G753" s="75"/>
      <c r="H753" s="65"/>
      <c r="I753" s="114"/>
      <c r="J753" s="114"/>
      <c r="K753" s="63"/>
      <c r="L753" s="67"/>
      <c r="M753" s="67"/>
      <c r="N753" s="67"/>
      <c r="O753" s="63"/>
      <c r="P753" s="63"/>
      <c r="Q753" s="115"/>
      <c r="R753" s="66"/>
    </row>
    <row r="754" spans="2:18" ht="18.75" customHeight="1">
      <c r="B754" s="63" t="str">
        <f t="shared" si="11"/>
        <v>No751</v>
      </c>
      <c r="C754" s="63"/>
      <c r="D754" s="67"/>
      <c r="E754" s="114"/>
      <c r="F754" s="75"/>
      <c r="G754" s="75"/>
      <c r="H754" s="65"/>
      <c r="I754" s="114"/>
      <c r="J754" s="114"/>
      <c r="K754" s="63"/>
      <c r="L754" s="67"/>
      <c r="M754" s="67"/>
      <c r="N754" s="67"/>
      <c r="O754" s="63"/>
      <c r="P754" s="63"/>
      <c r="Q754" s="115"/>
      <c r="R754" s="66"/>
    </row>
    <row r="755" spans="2:18" ht="18.75" customHeight="1">
      <c r="B755" s="63" t="str">
        <f t="shared" si="11"/>
        <v>No752</v>
      </c>
      <c r="C755" s="63"/>
      <c r="D755" s="67"/>
      <c r="E755" s="114"/>
      <c r="F755" s="75"/>
      <c r="G755" s="75"/>
      <c r="H755" s="65"/>
      <c r="I755" s="114"/>
      <c r="J755" s="114"/>
      <c r="K755" s="63"/>
      <c r="L755" s="67"/>
      <c r="M755" s="67"/>
      <c r="N755" s="67"/>
      <c r="O755" s="63"/>
      <c r="P755" s="63"/>
      <c r="Q755" s="115"/>
      <c r="R755" s="66"/>
    </row>
    <row r="756" spans="2:18" ht="18.75" customHeight="1">
      <c r="B756" s="63" t="str">
        <f t="shared" si="11"/>
        <v>No753</v>
      </c>
      <c r="C756" s="63"/>
      <c r="D756" s="67"/>
      <c r="E756" s="114"/>
      <c r="F756" s="75"/>
      <c r="G756" s="75"/>
      <c r="H756" s="65"/>
      <c r="I756" s="114"/>
      <c r="J756" s="114"/>
      <c r="K756" s="63"/>
      <c r="L756" s="67"/>
      <c r="M756" s="67"/>
      <c r="N756" s="67"/>
      <c r="O756" s="63"/>
      <c r="P756" s="63"/>
      <c r="Q756" s="115"/>
      <c r="R756" s="66"/>
    </row>
    <row r="757" spans="2:18" ht="18.75" customHeight="1">
      <c r="B757" s="63" t="str">
        <f t="shared" si="11"/>
        <v>No754</v>
      </c>
      <c r="C757" s="63"/>
      <c r="D757" s="67"/>
      <c r="E757" s="114"/>
      <c r="F757" s="75"/>
      <c r="G757" s="75"/>
      <c r="H757" s="65"/>
      <c r="I757" s="114"/>
      <c r="J757" s="114"/>
      <c r="K757" s="63"/>
      <c r="L757" s="67"/>
      <c r="M757" s="67"/>
      <c r="N757" s="67"/>
      <c r="O757" s="63"/>
      <c r="P757" s="63"/>
      <c r="Q757" s="115"/>
      <c r="R757" s="66"/>
    </row>
    <row r="758" spans="2:18" ht="18.75" customHeight="1">
      <c r="B758" s="63" t="str">
        <f t="shared" si="11"/>
        <v>No755</v>
      </c>
      <c r="C758" s="63"/>
      <c r="D758" s="67"/>
      <c r="E758" s="114"/>
      <c r="F758" s="75"/>
      <c r="G758" s="75"/>
      <c r="H758" s="65"/>
      <c r="I758" s="114"/>
      <c r="J758" s="114"/>
      <c r="K758" s="63"/>
      <c r="L758" s="67"/>
      <c r="M758" s="67"/>
      <c r="N758" s="67"/>
      <c r="O758" s="63"/>
      <c r="P758" s="63"/>
      <c r="Q758" s="115"/>
      <c r="R758" s="66"/>
    </row>
    <row r="759" spans="2:18" ht="18.75" customHeight="1">
      <c r="B759" s="63" t="str">
        <f t="shared" si="11"/>
        <v>No756</v>
      </c>
      <c r="C759" s="63"/>
      <c r="D759" s="67"/>
      <c r="E759" s="114"/>
      <c r="F759" s="75"/>
      <c r="G759" s="75"/>
      <c r="H759" s="65"/>
      <c r="I759" s="114"/>
      <c r="J759" s="114"/>
      <c r="K759" s="63"/>
      <c r="L759" s="67"/>
      <c r="M759" s="67"/>
      <c r="N759" s="67"/>
      <c r="O759" s="63"/>
      <c r="P759" s="63"/>
      <c r="Q759" s="115"/>
      <c r="R759" s="66"/>
    </row>
    <row r="760" spans="2:18" ht="18.75" customHeight="1">
      <c r="B760" s="63" t="str">
        <f t="shared" si="11"/>
        <v>No757</v>
      </c>
      <c r="C760" s="63"/>
      <c r="D760" s="67"/>
      <c r="E760" s="114"/>
      <c r="F760" s="75"/>
      <c r="G760" s="75"/>
      <c r="H760" s="65"/>
      <c r="I760" s="114"/>
      <c r="J760" s="114"/>
      <c r="K760" s="63"/>
      <c r="L760" s="67"/>
      <c r="M760" s="67"/>
      <c r="N760" s="67"/>
      <c r="O760" s="63"/>
      <c r="P760" s="63"/>
      <c r="Q760" s="115"/>
      <c r="R760" s="66"/>
    </row>
    <row r="761" spans="2:18" ht="18.75" customHeight="1">
      <c r="B761" s="63" t="str">
        <f t="shared" si="11"/>
        <v>No758</v>
      </c>
      <c r="C761" s="63"/>
      <c r="D761" s="67"/>
      <c r="E761" s="114"/>
      <c r="F761" s="75"/>
      <c r="G761" s="75"/>
      <c r="H761" s="65"/>
      <c r="I761" s="114"/>
      <c r="J761" s="114"/>
      <c r="K761" s="63"/>
      <c r="L761" s="67"/>
      <c r="M761" s="67"/>
      <c r="N761" s="67"/>
      <c r="O761" s="63"/>
      <c r="P761" s="63"/>
      <c r="Q761" s="115"/>
      <c r="R761" s="66"/>
    </row>
    <row r="762" spans="2:18" ht="18.75" customHeight="1">
      <c r="B762" s="63" t="str">
        <f t="shared" si="11"/>
        <v>No759</v>
      </c>
      <c r="C762" s="63"/>
      <c r="D762" s="67"/>
      <c r="E762" s="114"/>
      <c r="F762" s="75"/>
      <c r="G762" s="75"/>
      <c r="H762" s="65"/>
      <c r="I762" s="114"/>
      <c r="J762" s="114"/>
      <c r="K762" s="63"/>
      <c r="L762" s="67"/>
      <c r="M762" s="67"/>
      <c r="N762" s="67"/>
      <c r="O762" s="63"/>
      <c r="P762" s="63"/>
      <c r="Q762" s="115"/>
      <c r="R762" s="66"/>
    </row>
    <row r="763" spans="2:18" ht="18.75" customHeight="1">
      <c r="B763" s="63" t="str">
        <f t="shared" si="11"/>
        <v>No760</v>
      </c>
      <c r="C763" s="63"/>
      <c r="D763" s="67"/>
      <c r="E763" s="114"/>
      <c r="F763" s="75"/>
      <c r="G763" s="75"/>
      <c r="H763" s="65"/>
      <c r="I763" s="114"/>
      <c r="J763" s="114"/>
      <c r="K763" s="63"/>
      <c r="L763" s="67"/>
      <c r="M763" s="67"/>
      <c r="N763" s="67"/>
      <c r="O763" s="63"/>
      <c r="P763" s="63"/>
      <c r="Q763" s="115"/>
      <c r="R763" s="66"/>
    </row>
    <row r="764" spans="2:18" ht="18.75" customHeight="1">
      <c r="B764" s="63" t="str">
        <f t="shared" si="11"/>
        <v>No761</v>
      </c>
      <c r="C764" s="63"/>
      <c r="D764" s="67"/>
      <c r="E764" s="114"/>
      <c r="F764" s="75"/>
      <c r="G764" s="75"/>
      <c r="H764" s="65"/>
      <c r="I764" s="114"/>
      <c r="J764" s="114"/>
      <c r="K764" s="63"/>
      <c r="L764" s="67"/>
      <c r="M764" s="67"/>
      <c r="N764" s="67"/>
      <c r="O764" s="63"/>
      <c r="P764" s="63"/>
      <c r="Q764" s="115"/>
      <c r="R764" s="66"/>
    </row>
    <row r="765" spans="2:18" ht="18.75" customHeight="1">
      <c r="B765" s="63" t="str">
        <f t="shared" si="11"/>
        <v>No762</v>
      </c>
      <c r="C765" s="63"/>
      <c r="D765" s="67"/>
      <c r="E765" s="114"/>
      <c r="F765" s="75"/>
      <c r="G765" s="75"/>
      <c r="H765" s="65"/>
      <c r="I765" s="114"/>
      <c r="J765" s="114"/>
      <c r="K765" s="63"/>
      <c r="L765" s="67"/>
      <c r="M765" s="67"/>
      <c r="N765" s="67"/>
      <c r="O765" s="63"/>
      <c r="P765" s="63"/>
      <c r="Q765" s="115"/>
      <c r="R765" s="66"/>
    </row>
    <row r="766" spans="2:18" ht="18.75" customHeight="1">
      <c r="B766" s="63" t="str">
        <f t="shared" si="11"/>
        <v>No763</v>
      </c>
      <c r="C766" s="63"/>
      <c r="D766" s="67"/>
      <c r="E766" s="114"/>
      <c r="F766" s="75"/>
      <c r="G766" s="75"/>
      <c r="H766" s="65"/>
      <c r="I766" s="114"/>
      <c r="J766" s="114"/>
      <c r="K766" s="63"/>
      <c r="L766" s="67"/>
      <c r="M766" s="67"/>
      <c r="N766" s="67"/>
      <c r="O766" s="63"/>
      <c r="P766" s="63"/>
      <c r="Q766" s="115"/>
      <c r="R766" s="66"/>
    </row>
    <row r="767" spans="2:18" ht="18.75" customHeight="1">
      <c r="B767" s="63" t="str">
        <f t="shared" si="11"/>
        <v>No764</v>
      </c>
      <c r="C767" s="63"/>
      <c r="D767" s="67"/>
      <c r="E767" s="114"/>
      <c r="F767" s="75"/>
      <c r="G767" s="75"/>
      <c r="H767" s="65"/>
      <c r="I767" s="114"/>
      <c r="J767" s="114"/>
      <c r="K767" s="63"/>
      <c r="L767" s="67"/>
      <c r="M767" s="67"/>
      <c r="N767" s="67"/>
      <c r="O767" s="63"/>
      <c r="P767" s="63"/>
      <c r="Q767" s="115"/>
      <c r="R767" s="66"/>
    </row>
    <row r="768" spans="2:18" ht="18.75" customHeight="1">
      <c r="B768" s="63" t="str">
        <f t="shared" si="11"/>
        <v>No765</v>
      </c>
      <c r="C768" s="63"/>
      <c r="D768" s="67"/>
      <c r="E768" s="114"/>
      <c r="F768" s="75"/>
      <c r="G768" s="75"/>
      <c r="H768" s="65"/>
      <c r="I768" s="114"/>
      <c r="J768" s="114"/>
      <c r="K768" s="63"/>
      <c r="L768" s="67"/>
      <c r="M768" s="67"/>
      <c r="N768" s="67"/>
      <c r="O768" s="63"/>
      <c r="P768" s="63"/>
      <c r="Q768" s="115"/>
      <c r="R768" s="66"/>
    </row>
    <row r="769" spans="2:18" ht="18.75" customHeight="1">
      <c r="B769" s="63" t="str">
        <f t="shared" si="11"/>
        <v>No766</v>
      </c>
      <c r="C769" s="63"/>
      <c r="D769" s="67"/>
      <c r="E769" s="114"/>
      <c r="F769" s="75"/>
      <c r="G769" s="75"/>
      <c r="H769" s="65"/>
      <c r="I769" s="114"/>
      <c r="J769" s="114"/>
      <c r="K769" s="63"/>
      <c r="L769" s="67"/>
      <c r="M769" s="67"/>
      <c r="N769" s="67"/>
      <c r="O769" s="63"/>
      <c r="P769" s="63"/>
      <c r="Q769" s="115"/>
      <c r="R769" s="66"/>
    </row>
    <row r="770" spans="2:18" ht="18.75" customHeight="1">
      <c r="B770" s="63" t="str">
        <f t="shared" si="11"/>
        <v>No767</v>
      </c>
      <c r="C770" s="63"/>
      <c r="D770" s="67"/>
      <c r="E770" s="114"/>
      <c r="F770" s="75"/>
      <c r="G770" s="75"/>
      <c r="H770" s="65"/>
      <c r="I770" s="114"/>
      <c r="J770" s="114"/>
      <c r="K770" s="63"/>
      <c r="L770" s="67"/>
      <c r="M770" s="67"/>
      <c r="N770" s="67"/>
      <c r="O770" s="63"/>
      <c r="P770" s="63"/>
      <c r="Q770" s="115"/>
      <c r="R770" s="66"/>
    </row>
    <row r="771" spans="2:18" ht="18.75" customHeight="1">
      <c r="B771" s="63" t="str">
        <f t="shared" si="11"/>
        <v>No768</v>
      </c>
      <c r="C771" s="63"/>
      <c r="D771" s="67"/>
      <c r="E771" s="114"/>
      <c r="F771" s="75"/>
      <c r="G771" s="75"/>
      <c r="H771" s="65"/>
      <c r="I771" s="114"/>
      <c r="J771" s="114"/>
      <c r="K771" s="63"/>
      <c r="L771" s="67"/>
      <c r="M771" s="67"/>
      <c r="N771" s="67"/>
      <c r="O771" s="63"/>
      <c r="P771" s="63"/>
      <c r="Q771" s="115"/>
      <c r="R771" s="66"/>
    </row>
    <row r="772" spans="2:18" ht="18.75" customHeight="1">
      <c r="B772" s="63" t="str">
        <f t="shared" ref="B772:B803" si="12">"No"&amp;ROW()-3</f>
        <v>No769</v>
      </c>
      <c r="C772" s="63"/>
      <c r="D772" s="67"/>
      <c r="E772" s="114"/>
      <c r="F772" s="75"/>
      <c r="G772" s="75"/>
      <c r="H772" s="65"/>
      <c r="I772" s="114"/>
      <c r="J772" s="114"/>
      <c r="K772" s="63"/>
      <c r="L772" s="67"/>
      <c r="M772" s="67"/>
      <c r="N772" s="67"/>
      <c r="O772" s="63"/>
      <c r="P772" s="63"/>
      <c r="Q772" s="115"/>
      <c r="R772" s="66"/>
    </row>
    <row r="773" spans="2:18" ht="18.75" customHeight="1">
      <c r="B773" s="63" t="str">
        <f t="shared" si="12"/>
        <v>No770</v>
      </c>
      <c r="C773" s="63"/>
      <c r="D773" s="67"/>
      <c r="E773" s="114"/>
      <c r="F773" s="75"/>
      <c r="G773" s="75"/>
      <c r="H773" s="65"/>
      <c r="I773" s="114"/>
      <c r="J773" s="114"/>
      <c r="K773" s="63"/>
      <c r="L773" s="67"/>
      <c r="M773" s="67"/>
      <c r="N773" s="67"/>
      <c r="O773" s="63"/>
      <c r="P773" s="63"/>
      <c r="Q773" s="115"/>
      <c r="R773" s="66"/>
    </row>
    <row r="774" spans="2:18" ht="18.75" customHeight="1">
      <c r="B774" s="63" t="str">
        <f t="shared" si="12"/>
        <v>No771</v>
      </c>
      <c r="C774" s="63"/>
      <c r="D774" s="67"/>
      <c r="E774" s="114"/>
      <c r="F774" s="75"/>
      <c r="G774" s="75"/>
      <c r="H774" s="65"/>
      <c r="I774" s="114"/>
      <c r="J774" s="114"/>
      <c r="K774" s="63"/>
      <c r="L774" s="67"/>
      <c r="M774" s="67"/>
      <c r="N774" s="67"/>
      <c r="O774" s="63"/>
      <c r="P774" s="63"/>
      <c r="Q774" s="115"/>
      <c r="R774" s="66"/>
    </row>
    <row r="775" spans="2:18" ht="18.75" customHeight="1">
      <c r="B775" s="63" t="str">
        <f t="shared" si="12"/>
        <v>No772</v>
      </c>
      <c r="C775" s="63"/>
      <c r="D775" s="67"/>
      <c r="E775" s="114"/>
      <c r="F775" s="75"/>
      <c r="G775" s="75"/>
      <c r="H775" s="65"/>
      <c r="I775" s="114"/>
      <c r="J775" s="114"/>
      <c r="K775" s="63"/>
      <c r="L775" s="67"/>
      <c r="M775" s="67"/>
      <c r="N775" s="67"/>
      <c r="O775" s="63"/>
      <c r="P775" s="63"/>
      <c r="Q775" s="115"/>
      <c r="R775" s="66"/>
    </row>
    <row r="776" spans="2:18" ht="18.75" customHeight="1">
      <c r="B776" s="63" t="str">
        <f t="shared" si="12"/>
        <v>No773</v>
      </c>
      <c r="C776" s="63"/>
      <c r="D776" s="67"/>
      <c r="E776" s="114"/>
      <c r="F776" s="75"/>
      <c r="G776" s="75"/>
      <c r="H776" s="65"/>
      <c r="I776" s="114"/>
      <c r="J776" s="114"/>
      <c r="K776" s="63"/>
      <c r="L776" s="67"/>
      <c r="M776" s="67"/>
      <c r="N776" s="67"/>
      <c r="O776" s="63"/>
      <c r="P776" s="63"/>
      <c r="Q776" s="115"/>
      <c r="R776" s="66"/>
    </row>
    <row r="777" spans="2:18" ht="18.75" customHeight="1">
      <c r="B777" s="63" t="str">
        <f t="shared" si="12"/>
        <v>No774</v>
      </c>
      <c r="C777" s="63"/>
      <c r="D777" s="67"/>
      <c r="E777" s="114"/>
      <c r="F777" s="75"/>
      <c r="G777" s="75"/>
      <c r="H777" s="65"/>
      <c r="I777" s="114"/>
      <c r="J777" s="114"/>
      <c r="K777" s="63"/>
      <c r="L777" s="67"/>
      <c r="M777" s="67"/>
      <c r="N777" s="67"/>
      <c r="O777" s="63"/>
      <c r="P777" s="63"/>
      <c r="Q777" s="115"/>
      <c r="R777" s="66"/>
    </row>
    <row r="778" spans="2:18" ht="18.75" customHeight="1">
      <c r="B778" s="63" t="str">
        <f t="shared" si="12"/>
        <v>No775</v>
      </c>
      <c r="C778" s="63"/>
      <c r="D778" s="67"/>
      <c r="E778" s="114"/>
      <c r="F778" s="75"/>
      <c r="G778" s="75"/>
      <c r="H778" s="65"/>
      <c r="I778" s="114"/>
      <c r="J778" s="114"/>
      <c r="K778" s="63"/>
      <c r="L778" s="67"/>
      <c r="M778" s="67"/>
      <c r="N778" s="67"/>
      <c r="O778" s="63"/>
      <c r="P778" s="63"/>
      <c r="Q778" s="115"/>
      <c r="R778" s="66"/>
    </row>
    <row r="779" spans="2:18" ht="18.75" customHeight="1">
      <c r="B779" s="63" t="str">
        <f t="shared" si="12"/>
        <v>No776</v>
      </c>
      <c r="C779" s="63"/>
      <c r="D779" s="67"/>
      <c r="E779" s="114"/>
      <c r="F779" s="75"/>
      <c r="G779" s="75"/>
      <c r="H779" s="65"/>
      <c r="I779" s="114"/>
      <c r="J779" s="114"/>
      <c r="K779" s="63"/>
      <c r="L779" s="67"/>
      <c r="M779" s="67"/>
      <c r="N779" s="67"/>
      <c r="O779" s="63"/>
      <c r="P779" s="63"/>
      <c r="Q779" s="115"/>
      <c r="R779" s="66"/>
    </row>
    <row r="780" spans="2:18" ht="18.75" customHeight="1">
      <c r="B780" s="63" t="str">
        <f t="shared" si="12"/>
        <v>No777</v>
      </c>
      <c r="C780" s="63"/>
      <c r="D780" s="67"/>
      <c r="E780" s="114"/>
      <c r="F780" s="75"/>
      <c r="G780" s="75"/>
      <c r="H780" s="65"/>
      <c r="I780" s="114"/>
      <c r="J780" s="114"/>
      <c r="K780" s="63"/>
      <c r="L780" s="67"/>
      <c r="M780" s="67"/>
      <c r="N780" s="67"/>
      <c r="O780" s="63"/>
      <c r="P780" s="63"/>
      <c r="Q780" s="115"/>
      <c r="R780" s="66"/>
    </row>
    <row r="781" spans="2:18" ht="18.75" customHeight="1">
      <c r="B781" s="63" t="str">
        <f t="shared" si="12"/>
        <v>No778</v>
      </c>
      <c r="C781" s="63"/>
      <c r="D781" s="67"/>
      <c r="E781" s="114"/>
      <c r="F781" s="75"/>
      <c r="G781" s="75"/>
      <c r="H781" s="65"/>
      <c r="I781" s="114"/>
      <c r="J781" s="114"/>
      <c r="K781" s="63"/>
      <c r="L781" s="67"/>
      <c r="M781" s="67"/>
      <c r="N781" s="67"/>
      <c r="O781" s="63"/>
      <c r="P781" s="63"/>
      <c r="Q781" s="115"/>
      <c r="R781" s="66"/>
    </row>
    <row r="782" spans="2:18" ht="18.75" customHeight="1">
      <c r="B782" s="63" t="str">
        <f t="shared" si="12"/>
        <v>No779</v>
      </c>
      <c r="C782" s="63"/>
      <c r="D782" s="67"/>
      <c r="E782" s="114"/>
      <c r="F782" s="75"/>
      <c r="G782" s="75"/>
      <c r="H782" s="65"/>
      <c r="I782" s="114"/>
      <c r="J782" s="114"/>
      <c r="K782" s="63"/>
      <c r="L782" s="67"/>
      <c r="M782" s="67"/>
      <c r="N782" s="67"/>
      <c r="O782" s="63"/>
      <c r="P782" s="63"/>
      <c r="Q782" s="115"/>
      <c r="R782" s="66"/>
    </row>
    <row r="783" spans="2:18" ht="18.75" customHeight="1">
      <c r="B783" s="63" t="str">
        <f t="shared" si="12"/>
        <v>No780</v>
      </c>
      <c r="C783" s="63"/>
      <c r="D783" s="67"/>
      <c r="E783" s="114"/>
      <c r="F783" s="75"/>
      <c r="G783" s="75"/>
      <c r="H783" s="65"/>
      <c r="I783" s="114"/>
      <c r="J783" s="114"/>
      <c r="K783" s="63"/>
      <c r="L783" s="67"/>
      <c r="M783" s="67"/>
      <c r="N783" s="67"/>
      <c r="O783" s="63"/>
      <c r="P783" s="63"/>
      <c r="Q783" s="115"/>
      <c r="R783" s="66"/>
    </row>
    <row r="784" spans="2:18" ht="18.75" customHeight="1">
      <c r="B784" s="63" t="str">
        <f t="shared" si="12"/>
        <v>No781</v>
      </c>
      <c r="C784" s="63"/>
      <c r="D784" s="67"/>
      <c r="E784" s="114"/>
      <c r="F784" s="75"/>
      <c r="G784" s="75"/>
      <c r="H784" s="65"/>
      <c r="I784" s="114"/>
      <c r="J784" s="114"/>
      <c r="K784" s="63"/>
      <c r="L784" s="67"/>
      <c r="M784" s="67"/>
      <c r="N784" s="67"/>
      <c r="O784" s="63"/>
      <c r="P784" s="63"/>
      <c r="Q784" s="115"/>
      <c r="R784" s="66"/>
    </row>
    <row r="785" spans="2:18" ht="18.75" customHeight="1">
      <c r="B785" s="63" t="str">
        <f t="shared" si="12"/>
        <v>No782</v>
      </c>
      <c r="C785" s="63"/>
      <c r="D785" s="67"/>
      <c r="E785" s="114"/>
      <c r="F785" s="75"/>
      <c r="G785" s="75"/>
      <c r="H785" s="65"/>
      <c r="I785" s="114"/>
      <c r="J785" s="114"/>
      <c r="K785" s="63"/>
      <c r="L785" s="67"/>
      <c r="M785" s="67"/>
      <c r="N785" s="67"/>
      <c r="O785" s="63"/>
      <c r="P785" s="63"/>
      <c r="Q785" s="115"/>
      <c r="R785" s="66"/>
    </row>
    <row r="786" spans="2:18" ht="18.75" customHeight="1">
      <c r="B786" s="63" t="str">
        <f t="shared" si="12"/>
        <v>No783</v>
      </c>
      <c r="C786" s="63"/>
      <c r="D786" s="67"/>
      <c r="E786" s="114"/>
      <c r="F786" s="75"/>
      <c r="G786" s="75"/>
      <c r="H786" s="65"/>
      <c r="I786" s="114"/>
      <c r="J786" s="114"/>
      <c r="K786" s="63"/>
      <c r="L786" s="67"/>
      <c r="M786" s="67"/>
      <c r="N786" s="67"/>
      <c r="O786" s="63"/>
      <c r="P786" s="63"/>
      <c r="Q786" s="115"/>
      <c r="R786" s="66"/>
    </row>
    <row r="787" spans="2:18" ht="18.75" customHeight="1">
      <c r="B787" s="63" t="str">
        <f t="shared" si="12"/>
        <v>No784</v>
      </c>
      <c r="C787" s="63"/>
      <c r="D787" s="67"/>
      <c r="E787" s="114"/>
      <c r="F787" s="75"/>
      <c r="G787" s="75"/>
      <c r="H787" s="65"/>
      <c r="I787" s="114"/>
      <c r="J787" s="114"/>
      <c r="K787" s="63"/>
      <c r="L787" s="67"/>
      <c r="M787" s="67"/>
      <c r="N787" s="67"/>
      <c r="O787" s="63"/>
      <c r="P787" s="63"/>
      <c r="Q787" s="115"/>
      <c r="R787" s="66"/>
    </row>
    <row r="788" spans="2:18" ht="18.75" customHeight="1">
      <c r="B788" s="63" t="str">
        <f t="shared" si="12"/>
        <v>No785</v>
      </c>
      <c r="C788" s="63"/>
      <c r="D788" s="67"/>
      <c r="E788" s="114"/>
      <c r="F788" s="75"/>
      <c r="G788" s="75"/>
      <c r="H788" s="65"/>
      <c r="I788" s="114"/>
      <c r="J788" s="114"/>
      <c r="K788" s="63"/>
      <c r="L788" s="67"/>
      <c r="M788" s="67"/>
      <c r="N788" s="67"/>
      <c r="O788" s="63"/>
      <c r="P788" s="63"/>
      <c r="Q788" s="115"/>
      <c r="R788" s="66"/>
    </row>
    <row r="789" spans="2:18" ht="18.75" customHeight="1">
      <c r="B789" s="63" t="str">
        <f t="shared" si="12"/>
        <v>No786</v>
      </c>
      <c r="C789" s="63"/>
      <c r="D789" s="67"/>
      <c r="E789" s="114"/>
      <c r="F789" s="75"/>
      <c r="G789" s="75"/>
      <c r="H789" s="65"/>
      <c r="I789" s="114"/>
      <c r="J789" s="114"/>
      <c r="K789" s="63"/>
      <c r="L789" s="67"/>
      <c r="M789" s="67"/>
      <c r="N789" s="67"/>
      <c r="O789" s="63"/>
      <c r="P789" s="63"/>
      <c r="Q789" s="115"/>
      <c r="R789" s="66"/>
    </row>
    <row r="790" spans="2:18" ht="18.75" customHeight="1">
      <c r="B790" s="63" t="str">
        <f t="shared" si="12"/>
        <v>No787</v>
      </c>
      <c r="C790" s="63"/>
      <c r="D790" s="67"/>
      <c r="E790" s="114"/>
      <c r="F790" s="75"/>
      <c r="G790" s="75"/>
      <c r="H790" s="65"/>
      <c r="I790" s="114"/>
      <c r="J790" s="114"/>
      <c r="K790" s="63"/>
      <c r="L790" s="67"/>
      <c r="M790" s="67"/>
      <c r="N790" s="67"/>
      <c r="O790" s="63"/>
      <c r="P790" s="63"/>
      <c r="Q790" s="115"/>
      <c r="R790" s="66"/>
    </row>
    <row r="791" spans="2:18" ht="18.75" customHeight="1">
      <c r="B791" s="63" t="str">
        <f t="shared" si="12"/>
        <v>No788</v>
      </c>
      <c r="C791" s="63"/>
      <c r="D791" s="67"/>
      <c r="E791" s="114"/>
      <c r="F791" s="75"/>
      <c r="G791" s="75"/>
      <c r="H791" s="65"/>
      <c r="I791" s="114"/>
      <c r="J791" s="114"/>
      <c r="K791" s="63"/>
      <c r="L791" s="67"/>
      <c r="M791" s="67"/>
      <c r="N791" s="67"/>
      <c r="O791" s="63"/>
      <c r="P791" s="63"/>
      <c r="Q791" s="115"/>
      <c r="R791" s="66"/>
    </row>
    <row r="792" spans="2:18" ht="18.75" customHeight="1">
      <c r="B792" s="63" t="str">
        <f t="shared" si="12"/>
        <v>No789</v>
      </c>
      <c r="C792" s="63"/>
      <c r="D792" s="67"/>
      <c r="E792" s="114"/>
      <c r="F792" s="75"/>
      <c r="G792" s="75"/>
      <c r="H792" s="65"/>
      <c r="I792" s="114"/>
      <c r="J792" s="114"/>
      <c r="K792" s="63"/>
      <c r="L792" s="67"/>
      <c r="M792" s="67"/>
      <c r="N792" s="67"/>
      <c r="O792" s="63"/>
      <c r="P792" s="63"/>
      <c r="Q792" s="115"/>
      <c r="R792" s="66"/>
    </row>
    <row r="793" spans="2:18" ht="18.75" customHeight="1">
      <c r="B793" s="63" t="str">
        <f t="shared" si="12"/>
        <v>No790</v>
      </c>
      <c r="C793" s="63"/>
      <c r="D793" s="67"/>
      <c r="E793" s="114"/>
      <c r="F793" s="75"/>
      <c r="G793" s="75"/>
      <c r="H793" s="65"/>
      <c r="I793" s="114"/>
      <c r="J793" s="114"/>
      <c r="K793" s="63"/>
      <c r="L793" s="67"/>
      <c r="M793" s="67"/>
      <c r="N793" s="67"/>
      <c r="O793" s="63"/>
      <c r="P793" s="63"/>
      <c r="Q793" s="115"/>
      <c r="R793" s="66"/>
    </row>
    <row r="794" spans="2:18" ht="18.75" customHeight="1">
      <c r="B794" s="63" t="str">
        <f t="shared" si="12"/>
        <v>No791</v>
      </c>
      <c r="C794" s="63"/>
      <c r="D794" s="67"/>
      <c r="E794" s="114"/>
      <c r="F794" s="75"/>
      <c r="G794" s="75"/>
      <c r="H794" s="65"/>
      <c r="I794" s="114"/>
      <c r="J794" s="114"/>
      <c r="K794" s="63"/>
      <c r="L794" s="67"/>
      <c r="M794" s="67"/>
      <c r="N794" s="67"/>
      <c r="O794" s="63"/>
      <c r="P794" s="63"/>
      <c r="Q794" s="115"/>
      <c r="R794" s="66"/>
    </row>
    <row r="795" spans="2:18" ht="18.75" customHeight="1">
      <c r="B795" s="63" t="str">
        <f t="shared" si="12"/>
        <v>No792</v>
      </c>
      <c r="C795" s="63"/>
      <c r="D795" s="67"/>
      <c r="E795" s="114"/>
      <c r="F795" s="75"/>
      <c r="G795" s="75"/>
      <c r="H795" s="65"/>
      <c r="I795" s="114"/>
      <c r="J795" s="114"/>
      <c r="K795" s="63"/>
      <c r="L795" s="67"/>
      <c r="M795" s="67"/>
      <c r="N795" s="67"/>
      <c r="O795" s="63"/>
      <c r="P795" s="63"/>
      <c r="Q795" s="115"/>
      <c r="R795" s="66"/>
    </row>
    <row r="796" spans="2:18" ht="18.75" customHeight="1">
      <c r="B796" s="63" t="str">
        <f t="shared" si="12"/>
        <v>No793</v>
      </c>
      <c r="C796" s="63"/>
      <c r="D796" s="67"/>
      <c r="E796" s="114"/>
      <c r="F796" s="75"/>
      <c r="G796" s="75"/>
      <c r="H796" s="65"/>
      <c r="I796" s="114"/>
      <c r="J796" s="114"/>
      <c r="K796" s="63"/>
      <c r="L796" s="67"/>
      <c r="M796" s="67"/>
      <c r="N796" s="67"/>
      <c r="O796" s="63"/>
      <c r="P796" s="63"/>
      <c r="Q796" s="115"/>
      <c r="R796" s="66"/>
    </row>
    <row r="797" spans="2:18" ht="18.75" customHeight="1">
      <c r="B797" s="63" t="str">
        <f t="shared" si="12"/>
        <v>No794</v>
      </c>
      <c r="C797" s="63"/>
      <c r="D797" s="67"/>
      <c r="E797" s="114"/>
      <c r="F797" s="75"/>
      <c r="G797" s="75"/>
      <c r="H797" s="65"/>
      <c r="I797" s="114"/>
      <c r="J797" s="114"/>
      <c r="K797" s="63"/>
      <c r="L797" s="67"/>
      <c r="M797" s="67"/>
      <c r="N797" s="67"/>
      <c r="O797" s="63"/>
      <c r="P797" s="63"/>
      <c r="Q797" s="115"/>
      <c r="R797" s="66"/>
    </row>
    <row r="798" spans="2:18" ht="18.75" customHeight="1">
      <c r="B798" s="63" t="str">
        <f t="shared" si="12"/>
        <v>No795</v>
      </c>
      <c r="C798" s="63"/>
      <c r="D798" s="67"/>
      <c r="E798" s="114"/>
      <c r="F798" s="75"/>
      <c r="G798" s="75"/>
      <c r="H798" s="65"/>
      <c r="I798" s="114"/>
      <c r="J798" s="114"/>
      <c r="K798" s="63"/>
      <c r="L798" s="67"/>
      <c r="M798" s="67"/>
      <c r="N798" s="67"/>
      <c r="O798" s="63"/>
      <c r="P798" s="63"/>
      <c r="Q798" s="115"/>
      <c r="R798" s="66"/>
    </row>
    <row r="799" spans="2:18" ht="18.75" customHeight="1">
      <c r="B799" s="63" t="str">
        <f t="shared" si="12"/>
        <v>No796</v>
      </c>
      <c r="C799" s="63"/>
      <c r="D799" s="67"/>
      <c r="E799" s="114"/>
      <c r="F799" s="75"/>
      <c r="G799" s="75"/>
      <c r="H799" s="65"/>
      <c r="I799" s="114"/>
      <c r="J799" s="114"/>
      <c r="K799" s="63"/>
      <c r="L799" s="67"/>
      <c r="M799" s="67"/>
      <c r="N799" s="67"/>
      <c r="O799" s="63"/>
      <c r="P799" s="63"/>
      <c r="Q799" s="115"/>
      <c r="R799" s="66"/>
    </row>
    <row r="800" spans="2:18" ht="18.75" customHeight="1">
      <c r="B800" s="63" t="str">
        <f t="shared" si="12"/>
        <v>No797</v>
      </c>
      <c r="C800" s="63"/>
      <c r="D800" s="67"/>
      <c r="E800" s="114"/>
      <c r="F800" s="75"/>
      <c r="G800" s="75"/>
      <c r="H800" s="65"/>
      <c r="I800" s="114"/>
      <c r="J800" s="114"/>
      <c r="K800" s="63"/>
      <c r="L800" s="67"/>
      <c r="M800" s="67"/>
      <c r="N800" s="67"/>
      <c r="O800" s="63"/>
      <c r="P800" s="63"/>
      <c r="Q800" s="115"/>
      <c r="R800" s="66"/>
    </row>
    <row r="801" spans="2:18" ht="18.75" customHeight="1">
      <c r="B801" s="63" t="str">
        <f t="shared" si="12"/>
        <v>No798</v>
      </c>
      <c r="C801" s="63"/>
      <c r="D801" s="67"/>
      <c r="E801" s="114"/>
      <c r="F801" s="75"/>
      <c r="G801" s="75"/>
      <c r="H801" s="65"/>
      <c r="I801" s="114"/>
      <c r="J801" s="114"/>
      <c r="K801" s="63"/>
      <c r="L801" s="67"/>
      <c r="M801" s="67"/>
      <c r="N801" s="67"/>
      <c r="O801" s="63"/>
      <c r="P801" s="63"/>
      <c r="Q801" s="115"/>
      <c r="R801" s="66"/>
    </row>
    <row r="802" spans="2:18" ht="18.75" customHeight="1">
      <c r="B802" s="63" t="str">
        <f t="shared" si="12"/>
        <v>No799</v>
      </c>
      <c r="C802" s="63"/>
      <c r="D802" s="67"/>
      <c r="E802" s="114"/>
      <c r="F802" s="75"/>
      <c r="G802" s="75"/>
      <c r="H802" s="65"/>
      <c r="I802" s="114"/>
      <c r="J802" s="114"/>
      <c r="K802" s="63"/>
      <c r="L802" s="67"/>
      <c r="M802" s="67"/>
      <c r="N802" s="67"/>
      <c r="O802" s="63"/>
      <c r="P802" s="63"/>
      <c r="Q802" s="115"/>
      <c r="R802" s="66"/>
    </row>
    <row r="803" spans="2:18" ht="18.75" customHeight="1">
      <c r="B803" s="63" t="str">
        <f t="shared" si="12"/>
        <v>No800</v>
      </c>
      <c r="C803" s="63"/>
      <c r="D803" s="67"/>
      <c r="E803" s="114"/>
      <c r="F803" s="75"/>
      <c r="G803" s="75"/>
      <c r="H803" s="65"/>
      <c r="I803" s="114"/>
      <c r="J803" s="114"/>
      <c r="K803" s="63"/>
      <c r="L803" s="67"/>
      <c r="M803" s="67"/>
      <c r="N803" s="67"/>
      <c r="O803" s="63"/>
      <c r="P803" s="63"/>
      <c r="Q803" s="115"/>
      <c r="R803" s="66"/>
    </row>
    <row r="804" spans="2:18" ht="18.75" customHeight="1">
      <c r="B804" s="37"/>
      <c r="C804" s="37"/>
      <c r="D804" s="37"/>
      <c r="E804" s="37"/>
      <c r="F804" s="37"/>
      <c r="G804" s="37"/>
      <c r="H804" s="37"/>
      <c r="I804" s="37"/>
      <c r="J804" s="37"/>
      <c r="K804" s="37"/>
      <c r="L804" s="37"/>
      <c r="M804" s="37"/>
      <c r="N804" s="37"/>
      <c r="O804" s="37"/>
      <c r="P804" s="37"/>
    </row>
    <row r="805" spans="2:18" ht="18.75" customHeight="1">
      <c r="B805" s="37"/>
      <c r="C805" s="37"/>
      <c r="D805" s="37"/>
      <c r="E805" s="37"/>
      <c r="F805" s="37"/>
      <c r="G805" s="37"/>
      <c r="H805" s="37"/>
      <c r="I805" s="37"/>
      <c r="J805" s="37"/>
      <c r="K805" s="37"/>
      <c r="L805" s="37"/>
      <c r="M805" s="37"/>
      <c r="N805" s="37"/>
      <c r="O805" s="37"/>
      <c r="P805" s="37"/>
    </row>
    <row r="806" spans="2:18" ht="18.75" customHeight="1">
      <c r="B806" s="37"/>
      <c r="C806" s="37"/>
      <c r="D806" s="37"/>
      <c r="E806" s="37"/>
      <c r="F806" s="37"/>
      <c r="G806" s="37"/>
      <c r="H806" s="37"/>
      <c r="I806" s="37"/>
      <c r="J806" s="37"/>
      <c r="K806" s="37"/>
      <c r="L806" s="37"/>
      <c r="M806" s="37"/>
      <c r="N806" s="37"/>
      <c r="O806" s="37"/>
      <c r="P806" s="37"/>
    </row>
    <row r="807" spans="2:18" ht="18.75" customHeight="1">
      <c r="B807" s="37"/>
      <c r="C807" s="37"/>
      <c r="D807" s="37"/>
      <c r="E807" s="37"/>
      <c r="F807" s="37"/>
      <c r="G807" s="37"/>
      <c r="H807" s="37"/>
      <c r="I807" s="37"/>
      <c r="J807" s="37"/>
      <c r="K807" s="37"/>
      <c r="L807" s="37"/>
      <c r="M807" s="37"/>
      <c r="N807" s="37"/>
      <c r="O807" s="37"/>
      <c r="P807" s="37"/>
    </row>
    <row r="808" spans="2:18" ht="18.75" customHeight="1">
      <c r="B808" s="37"/>
      <c r="C808" s="37"/>
      <c r="D808" s="37"/>
      <c r="E808" s="37"/>
      <c r="F808" s="37"/>
      <c r="G808" s="37"/>
      <c r="H808" s="37"/>
      <c r="I808" s="37"/>
      <c r="J808" s="37"/>
      <c r="K808" s="37"/>
      <c r="L808" s="37"/>
      <c r="M808" s="37"/>
      <c r="N808" s="37"/>
      <c r="O808" s="37"/>
      <c r="P808" s="37"/>
    </row>
    <row r="809" spans="2:18" ht="18.75" customHeight="1">
      <c r="B809" s="37"/>
      <c r="C809" s="37"/>
      <c r="D809" s="37"/>
      <c r="E809" s="37"/>
      <c r="F809" s="37"/>
      <c r="G809" s="37"/>
      <c r="H809" s="37"/>
      <c r="I809" s="37"/>
      <c r="J809" s="37"/>
      <c r="K809" s="37"/>
      <c r="L809" s="37"/>
      <c r="M809" s="37"/>
      <c r="N809" s="37"/>
      <c r="O809" s="37"/>
      <c r="P809" s="37"/>
    </row>
    <row r="810" spans="2:18" ht="18.75" customHeight="1">
      <c r="B810" s="37"/>
      <c r="C810" s="37"/>
      <c r="D810" s="37"/>
      <c r="E810" s="37"/>
      <c r="F810" s="37"/>
      <c r="G810" s="37"/>
      <c r="H810" s="37"/>
      <c r="I810" s="37"/>
      <c r="J810" s="37"/>
      <c r="K810" s="37"/>
      <c r="L810" s="37"/>
      <c r="M810" s="37"/>
      <c r="N810" s="37"/>
      <c r="O810" s="37"/>
      <c r="P810" s="37"/>
    </row>
    <row r="811" spans="2:18" ht="18.75" customHeight="1">
      <c r="B811" s="37"/>
      <c r="C811" s="37"/>
      <c r="D811" s="37"/>
      <c r="E811" s="37"/>
      <c r="F811" s="37"/>
      <c r="G811" s="37"/>
      <c r="H811" s="37"/>
      <c r="I811" s="37"/>
      <c r="J811" s="37"/>
      <c r="K811" s="37"/>
      <c r="L811" s="37"/>
      <c r="M811" s="37"/>
      <c r="N811" s="37"/>
      <c r="O811" s="37"/>
      <c r="P811" s="37"/>
    </row>
    <row r="812" spans="2:18" ht="18.75" customHeight="1">
      <c r="B812" s="37"/>
      <c r="C812" s="37"/>
      <c r="D812" s="37"/>
      <c r="E812" s="37"/>
      <c r="F812" s="37"/>
      <c r="G812" s="37"/>
      <c r="H812" s="37"/>
      <c r="I812" s="37"/>
      <c r="J812" s="37"/>
      <c r="K812" s="37"/>
      <c r="L812" s="37"/>
      <c r="M812" s="37"/>
      <c r="N812" s="37"/>
      <c r="O812" s="37"/>
      <c r="P812" s="37"/>
    </row>
    <row r="813" spans="2:18" ht="18.75" customHeight="1">
      <c r="B813" s="37"/>
      <c r="C813" s="37"/>
      <c r="D813" s="37"/>
      <c r="E813" s="37"/>
      <c r="F813" s="37"/>
      <c r="G813" s="37"/>
      <c r="H813" s="37"/>
      <c r="I813" s="37"/>
      <c r="J813" s="37"/>
      <c r="K813" s="37"/>
      <c r="L813" s="37"/>
      <c r="M813" s="37"/>
      <c r="N813" s="37"/>
      <c r="O813" s="37"/>
      <c r="P813" s="37"/>
    </row>
    <row r="814" spans="2:18" ht="18.75" customHeight="1">
      <c r="B814" s="37"/>
      <c r="C814" s="37"/>
      <c r="D814" s="37"/>
      <c r="E814" s="37"/>
      <c r="F814" s="37"/>
      <c r="G814" s="37"/>
      <c r="H814" s="37"/>
      <c r="I814" s="37"/>
      <c r="J814" s="37"/>
      <c r="K814" s="37"/>
      <c r="L814" s="37"/>
      <c r="M814" s="37"/>
      <c r="N814" s="37"/>
      <c r="O814" s="37"/>
      <c r="P814" s="37"/>
    </row>
    <row r="815" spans="2:18" ht="18.75" customHeight="1">
      <c r="B815" s="37"/>
      <c r="C815" s="37"/>
      <c r="D815" s="37"/>
      <c r="E815" s="37"/>
      <c r="F815" s="37"/>
      <c r="G815" s="37"/>
      <c r="H815" s="37"/>
      <c r="I815" s="37"/>
      <c r="J815" s="37"/>
      <c r="K815" s="37"/>
      <c r="L815" s="37"/>
      <c r="M815" s="37"/>
      <c r="N815" s="37"/>
      <c r="O815" s="37"/>
      <c r="P815" s="37"/>
    </row>
    <row r="816" spans="2:18" ht="18.75" customHeight="1">
      <c r="B816" s="37"/>
      <c r="C816" s="37"/>
      <c r="D816" s="37"/>
      <c r="E816" s="37"/>
      <c r="F816" s="37"/>
      <c r="G816" s="37"/>
      <c r="H816" s="37"/>
      <c r="I816" s="37"/>
      <c r="J816" s="37"/>
      <c r="K816" s="37"/>
      <c r="L816" s="37"/>
      <c r="M816" s="37"/>
      <c r="N816" s="37"/>
      <c r="O816" s="37"/>
      <c r="P816" s="37"/>
    </row>
    <row r="817" spans="2:16" ht="18.75" customHeight="1">
      <c r="B817" s="37"/>
      <c r="C817" s="37"/>
      <c r="D817" s="37"/>
      <c r="E817" s="37"/>
      <c r="F817" s="37"/>
      <c r="G817" s="37"/>
      <c r="H817" s="37"/>
      <c r="I817" s="37"/>
      <c r="J817" s="37"/>
      <c r="K817" s="37"/>
      <c r="L817" s="37"/>
      <c r="M817" s="37"/>
      <c r="N817" s="37"/>
      <c r="O817" s="37"/>
      <c r="P817" s="37"/>
    </row>
    <row r="818" spans="2:16" ht="18.75" customHeight="1">
      <c r="B818" s="37"/>
      <c r="C818" s="37"/>
      <c r="D818" s="37"/>
      <c r="E818" s="37"/>
      <c r="F818" s="37"/>
      <c r="G818" s="37"/>
      <c r="H818" s="37"/>
      <c r="I818" s="37"/>
      <c r="J818" s="37"/>
      <c r="K818" s="37"/>
      <c r="L818" s="37"/>
      <c r="M818" s="37"/>
      <c r="N818" s="37"/>
      <c r="O818" s="37"/>
      <c r="P818" s="37"/>
    </row>
    <row r="819" spans="2:16" ht="18.75" customHeight="1">
      <c r="B819" s="37"/>
      <c r="C819" s="37"/>
      <c r="D819" s="37"/>
      <c r="E819" s="37"/>
      <c r="F819" s="37"/>
      <c r="G819" s="37"/>
      <c r="H819" s="37"/>
      <c r="I819" s="37"/>
      <c r="J819" s="37"/>
      <c r="K819" s="37"/>
      <c r="L819" s="37"/>
      <c r="M819" s="37"/>
      <c r="N819" s="37"/>
      <c r="O819" s="37"/>
      <c r="P819" s="37"/>
    </row>
    <row r="820" spans="2:16" ht="18.75" customHeight="1">
      <c r="B820" s="37"/>
      <c r="C820" s="37"/>
      <c r="D820" s="37"/>
      <c r="E820" s="37"/>
      <c r="F820" s="37"/>
      <c r="G820" s="37"/>
      <c r="H820" s="37"/>
      <c r="I820" s="37"/>
      <c r="J820" s="37"/>
      <c r="K820" s="37"/>
      <c r="L820" s="37"/>
      <c r="M820" s="37"/>
      <c r="N820" s="37"/>
      <c r="O820" s="37"/>
      <c r="P820" s="37"/>
    </row>
    <row r="821" spans="2:16" ht="18.75" customHeight="1">
      <c r="B821" s="37"/>
      <c r="C821" s="37"/>
      <c r="D821" s="37"/>
      <c r="E821" s="37"/>
      <c r="F821" s="37"/>
      <c r="G821" s="37"/>
      <c r="H821" s="37"/>
      <c r="I821" s="37"/>
      <c r="J821" s="37"/>
      <c r="K821" s="37"/>
      <c r="L821" s="37"/>
      <c r="M821" s="37"/>
      <c r="N821" s="37"/>
      <c r="O821" s="37"/>
      <c r="P821" s="37"/>
    </row>
    <row r="822" spans="2:16" ht="18.75" customHeight="1">
      <c r="B822" s="37"/>
      <c r="C822" s="37"/>
      <c r="D822" s="37"/>
      <c r="E822" s="37"/>
      <c r="F822" s="37"/>
      <c r="G822" s="37"/>
      <c r="H822" s="37"/>
      <c r="I822" s="37"/>
      <c r="J822" s="37"/>
      <c r="K822" s="37"/>
      <c r="L822" s="37"/>
      <c r="M822" s="37"/>
      <c r="N822" s="37"/>
      <c r="O822" s="37"/>
      <c r="P822" s="37"/>
    </row>
    <row r="823" spans="2:16" ht="18.75" customHeight="1">
      <c r="B823" s="37"/>
      <c r="C823" s="37"/>
      <c r="D823" s="37"/>
      <c r="E823" s="37"/>
      <c r="F823" s="37"/>
      <c r="G823" s="37"/>
      <c r="H823" s="37"/>
      <c r="I823" s="37"/>
      <c r="J823" s="37"/>
      <c r="K823" s="37"/>
      <c r="L823" s="37"/>
      <c r="M823" s="37"/>
      <c r="N823" s="37"/>
      <c r="O823" s="37"/>
      <c r="P823" s="37"/>
    </row>
    <row r="824" spans="2:16" ht="18.75" customHeight="1">
      <c r="B824" s="37"/>
      <c r="C824" s="37"/>
      <c r="D824" s="37"/>
      <c r="E824" s="37"/>
      <c r="F824" s="37"/>
      <c r="G824" s="37"/>
      <c r="H824" s="37"/>
      <c r="I824" s="37"/>
      <c r="J824" s="37"/>
      <c r="K824" s="37"/>
      <c r="L824" s="37"/>
      <c r="M824" s="37"/>
      <c r="N824" s="37"/>
      <c r="O824" s="37"/>
      <c r="P824" s="37"/>
    </row>
    <row r="825" spans="2:16" ht="18.75" customHeight="1">
      <c r="B825" s="37"/>
      <c r="C825" s="37"/>
      <c r="D825" s="37"/>
      <c r="E825" s="37"/>
      <c r="F825" s="37"/>
      <c r="G825" s="37"/>
      <c r="H825" s="37"/>
      <c r="I825" s="37"/>
      <c r="J825" s="37"/>
      <c r="K825" s="37"/>
      <c r="L825" s="37"/>
      <c r="M825" s="37"/>
      <c r="N825" s="37"/>
      <c r="O825" s="37"/>
      <c r="P825" s="37"/>
    </row>
    <row r="826" spans="2:16" ht="18.75" customHeight="1">
      <c r="B826" s="37"/>
      <c r="C826" s="37"/>
      <c r="D826" s="37"/>
      <c r="E826" s="37"/>
      <c r="F826" s="37"/>
      <c r="G826" s="37"/>
      <c r="H826" s="37"/>
      <c r="I826" s="37"/>
      <c r="J826" s="37"/>
      <c r="K826" s="37"/>
      <c r="L826" s="37"/>
      <c r="M826" s="37"/>
      <c r="N826" s="37"/>
      <c r="O826" s="37"/>
      <c r="P826" s="37"/>
    </row>
    <row r="827" spans="2:16" ht="18.75" customHeight="1">
      <c r="B827" s="37"/>
      <c r="C827" s="37"/>
      <c r="D827" s="37"/>
      <c r="E827" s="37"/>
      <c r="F827" s="37"/>
      <c r="G827" s="37"/>
      <c r="H827" s="37"/>
      <c r="I827" s="37"/>
      <c r="J827" s="37"/>
      <c r="K827" s="37"/>
      <c r="L827" s="37"/>
      <c r="M827" s="37"/>
      <c r="N827" s="37"/>
      <c r="O827" s="37"/>
      <c r="P827" s="37"/>
    </row>
    <row r="828" spans="2:16" ht="18.75" customHeight="1">
      <c r="B828" s="37"/>
      <c r="C828" s="37"/>
      <c r="D828" s="37"/>
      <c r="E828" s="37"/>
      <c r="F828" s="37"/>
      <c r="G828" s="37"/>
      <c r="H828" s="37"/>
      <c r="I828" s="37"/>
      <c r="J828" s="37"/>
      <c r="K828" s="37"/>
      <c r="L828" s="37"/>
      <c r="M828" s="37"/>
      <c r="N828" s="37"/>
      <c r="O828" s="37"/>
      <c r="P828" s="37"/>
    </row>
    <row r="829" spans="2:16" ht="18.75" customHeight="1">
      <c r="B829" s="37"/>
      <c r="C829" s="37"/>
      <c r="D829" s="37"/>
      <c r="E829" s="37"/>
      <c r="F829" s="37"/>
      <c r="G829" s="37"/>
      <c r="H829" s="37"/>
      <c r="I829" s="37"/>
      <c r="J829" s="37"/>
      <c r="K829" s="37"/>
      <c r="L829" s="37"/>
      <c r="M829" s="37"/>
      <c r="N829" s="37"/>
      <c r="O829" s="37"/>
      <c r="P829" s="37"/>
    </row>
    <row r="830" spans="2:16" ht="18.75" customHeight="1">
      <c r="B830" s="37"/>
      <c r="C830" s="37"/>
      <c r="D830" s="37"/>
      <c r="E830" s="37"/>
      <c r="F830" s="37"/>
      <c r="G830" s="37"/>
      <c r="H830" s="37"/>
      <c r="I830" s="37"/>
      <c r="J830" s="37"/>
      <c r="K830" s="37"/>
      <c r="L830" s="37"/>
      <c r="M830" s="37"/>
      <c r="N830" s="37"/>
      <c r="O830" s="37"/>
      <c r="P830" s="37"/>
    </row>
    <row r="831" spans="2:16" ht="18.75" customHeight="1">
      <c r="B831" s="37"/>
      <c r="C831" s="37"/>
      <c r="D831" s="37"/>
      <c r="E831" s="37"/>
      <c r="F831" s="37"/>
      <c r="G831" s="37"/>
      <c r="H831" s="37"/>
      <c r="I831" s="37"/>
      <c r="J831" s="37"/>
      <c r="K831" s="37"/>
      <c r="L831" s="37"/>
      <c r="M831" s="37"/>
      <c r="N831" s="37"/>
      <c r="O831" s="37"/>
      <c r="P831" s="37"/>
    </row>
    <row r="832" spans="2:16" ht="18.75" customHeight="1">
      <c r="B832" s="37"/>
      <c r="C832" s="37"/>
      <c r="D832" s="37"/>
      <c r="E832" s="37"/>
      <c r="F832" s="37"/>
      <c r="G832" s="37"/>
      <c r="H832" s="37"/>
      <c r="I832" s="37"/>
      <c r="J832" s="37"/>
      <c r="K832" s="37"/>
      <c r="L832" s="37"/>
      <c r="M832" s="37"/>
      <c r="N832" s="37"/>
      <c r="O832" s="37"/>
      <c r="P832" s="37"/>
    </row>
    <row r="833" spans="2:16" ht="18.75" customHeight="1">
      <c r="B833" s="37"/>
      <c r="C833" s="37"/>
      <c r="D833" s="37"/>
      <c r="E833" s="37"/>
      <c r="F833" s="37"/>
      <c r="G833" s="37"/>
      <c r="H833" s="37"/>
      <c r="I833" s="37"/>
      <c r="J833" s="37"/>
      <c r="K833" s="37"/>
      <c r="L833" s="37"/>
      <c r="M833" s="37"/>
      <c r="N833" s="37"/>
      <c r="O833" s="37"/>
      <c r="P833" s="37"/>
    </row>
    <row r="834" spans="2:16" ht="18.75" customHeight="1">
      <c r="B834" s="37"/>
      <c r="C834" s="37"/>
      <c r="D834" s="37"/>
      <c r="E834" s="37"/>
      <c r="F834" s="37"/>
      <c r="G834" s="37"/>
      <c r="H834" s="37"/>
      <c r="I834" s="37"/>
      <c r="J834" s="37"/>
      <c r="K834" s="37"/>
      <c r="L834" s="37"/>
      <c r="M834" s="37"/>
      <c r="N834" s="37"/>
      <c r="O834" s="37"/>
      <c r="P834" s="37"/>
    </row>
    <row r="835" spans="2:16" ht="18.75" customHeight="1">
      <c r="B835" s="37"/>
      <c r="C835" s="37"/>
      <c r="D835" s="37"/>
      <c r="E835" s="37"/>
      <c r="F835" s="37"/>
      <c r="G835" s="37"/>
      <c r="H835" s="37"/>
      <c r="I835" s="37"/>
      <c r="J835" s="37"/>
      <c r="K835" s="37"/>
      <c r="L835" s="37"/>
      <c r="M835" s="37"/>
      <c r="N835" s="37"/>
      <c r="O835" s="37"/>
      <c r="P835" s="37"/>
    </row>
    <row r="836" spans="2:16" ht="18.75" customHeight="1">
      <c r="B836" s="37"/>
      <c r="C836" s="37"/>
      <c r="D836" s="37"/>
      <c r="E836" s="37"/>
      <c r="F836" s="37"/>
      <c r="G836" s="37"/>
      <c r="H836" s="37"/>
      <c r="I836" s="37"/>
      <c r="J836" s="37"/>
      <c r="K836" s="37"/>
      <c r="L836" s="37"/>
      <c r="M836" s="37"/>
      <c r="N836" s="37"/>
      <c r="O836" s="37"/>
      <c r="P836" s="37"/>
    </row>
    <row r="837" spans="2:16" ht="18.75" customHeight="1">
      <c r="B837" s="37"/>
      <c r="C837" s="37"/>
      <c r="D837" s="37"/>
      <c r="E837" s="37"/>
      <c r="F837" s="37"/>
      <c r="G837" s="37"/>
      <c r="H837" s="37"/>
      <c r="I837" s="37"/>
      <c r="J837" s="37"/>
      <c r="K837" s="37"/>
      <c r="L837" s="37"/>
      <c r="M837" s="37"/>
      <c r="N837" s="37"/>
      <c r="O837" s="37"/>
      <c r="P837" s="37"/>
    </row>
    <row r="838" spans="2:16" ht="18.75" customHeight="1">
      <c r="B838" s="37"/>
      <c r="C838" s="37"/>
      <c r="D838" s="37"/>
      <c r="E838" s="37"/>
      <c r="F838" s="37"/>
      <c r="G838" s="37"/>
      <c r="H838" s="37"/>
      <c r="I838" s="37"/>
      <c r="J838" s="37"/>
      <c r="K838" s="37"/>
      <c r="L838" s="37"/>
      <c r="M838" s="37"/>
      <c r="N838" s="37"/>
      <c r="O838" s="37"/>
      <c r="P838" s="37"/>
    </row>
    <row r="839" spans="2:16" ht="18.75" customHeight="1">
      <c r="B839" s="37"/>
      <c r="C839" s="37"/>
      <c r="D839" s="37"/>
      <c r="E839" s="37"/>
      <c r="F839" s="37"/>
      <c r="G839" s="37"/>
      <c r="H839" s="37"/>
      <c r="I839" s="37"/>
      <c r="J839" s="37"/>
      <c r="K839" s="37"/>
      <c r="L839" s="37"/>
      <c r="M839" s="37"/>
      <c r="N839" s="37"/>
      <c r="O839" s="37"/>
      <c r="P839" s="37"/>
    </row>
    <row r="840" spans="2:16" ht="18.75" customHeight="1">
      <c r="B840" s="37"/>
      <c r="C840" s="37"/>
      <c r="D840" s="37"/>
      <c r="E840" s="37"/>
      <c r="F840" s="37"/>
      <c r="G840" s="37"/>
      <c r="H840" s="37"/>
      <c r="I840" s="37"/>
      <c r="J840" s="37"/>
      <c r="K840" s="37"/>
      <c r="L840" s="37"/>
      <c r="M840" s="37"/>
      <c r="N840" s="37"/>
      <c r="O840" s="37"/>
      <c r="P840" s="37"/>
    </row>
    <row r="841" spans="2:16" ht="18.75" customHeight="1">
      <c r="B841" s="37"/>
      <c r="C841" s="37"/>
      <c r="D841" s="37"/>
      <c r="E841" s="37"/>
      <c r="F841" s="37"/>
      <c r="G841" s="37"/>
      <c r="H841" s="37"/>
      <c r="I841" s="37"/>
      <c r="J841" s="37"/>
      <c r="K841" s="37"/>
      <c r="L841" s="37"/>
      <c r="M841" s="37"/>
      <c r="N841" s="37"/>
      <c r="O841" s="37"/>
      <c r="P841" s="37"/>
    </row>
    <row r="842" spans="2:16" ht="18.75" customHeight="1">
      <c r="B842" s="37"/>
      <c r="C842" s="37"/>
      <c r="D842" s="37"/>
      <c r="E842" s="37"/>
      <c r="F842" s="37"/>
      <c r="G842" s="37"/>
      <c r="H842" s="37"/>
      <c r="I842" s="37"/>
      <c r="J842" s="37"/>
      <c r="K842" s="37"/>
      <c r="L842" s="37"/>
      <c r="M842" s="37"/>
      <c r="N842" s="37"/>
      <c r="O842" s="37"/>
      <c r="P842" s="37"/>
    </row>
    <row r="843" spans="2:16" ht="18.75" customHeight="1">
      <c r="B843" s="37"/>
      <c r="C843" s="37"/>
      <c r="D843" s="37"/>
      <c r="E843" s="37"/>
      <c r="F843" s="37"/>
      <c r="G843" s="37"/>
      <c r="H843" s="37"/>
      <c r="I843" s="37"/>
      <c r="J843" s="37"/>
      <c r="K843" s="37"/>
      <c r="L843" s="37"/>
      <c r="M843" s="37"/>
      <c r="N843" s="37"/>
      <c r="O843" s="37"/>
      <c r="P843" s="37"/>
    </row>
    <row r="844" spans="2:16" ht="18.75" customHeight="1">
      <c r="B844" s="37"/>
      <c r="C844" s="37"/>
      <c r="D844" s="37"/>
      <c r="E844" s="37"/>
      <c r="F844" s="37"/>
      <c r="G844" s="37"/>
      <c r="H844" s="37"/>
      <c r="I844" s="37"/>
      <c r="J844" s="37"/>
      <c r="K844" s="37"/>
      <c r="L844" s="37"/>
      <c r="M844" s="37"/>
      <c r="N844" s="37"/>
      <c r="O844" s="37"/>
      <c r="P844" s="37"/>
    </row>
    <row r="845" spans="2:16" ht="18.75" customHeight="1">
      <c r="B845" s="37"/>
      <c r="C845" s="37"/>
      <c r="D845" s="37"/>
      <c r="E845" s="37"/>
      <c r="F845" s="37"/>
      <c r="G845" s="37"/>
      <c r="H845" s="37"/>
      <c r="I845" s="37"/>
      <c r="J845" s="37"/>
      <c r="K845" s="37"/>
      <c r="L845" s="37"/>
      <c r="M845" s="37"/>
      <c r="N845" s="37"/>
      <c r="O845" s="37"/>
      <c r="P845" s="37"/>
    </row>
    <row r="846" spans="2:16" ht="18.75" customHeight="1">
      <c r="B846" s="37"/>
      <c r="C846" s="37"/>
      <c r="D846" s="37"/>
      <c r="E846" s="37"/>
      <c r="F846" s="37"/>
      <c r="G846" s="37"/>
      <c r="H846" s="37"/>
      <c r="I846" s="37"/>
      <c r="J846" s="37"/>
      <c r="K846" s="37"/>
      <c r="L846" s="37"/>
      <c r="M846" s="37"/>
      <c r="N846" s="37"/>
      <c r="O846" s="37"/>
      <c r="P846" s="37"/>
    </row>
    <row r="847" spans="2:16" ht="18.75" customHeight="1">
      <c r="B847" s="37"/>
      <c r="C847" s="37"/>
      <c r="D847" s="37"/>
      <c r="E847" s="37"/>
      <c r="F847" s="37"/>
      <c r="G847" s="37"/>
      <c r="H847" s="37"/>
      <c r="I847" s="37"/>
      <c r="J847" s="37"/>
      <c r="K847" s="37"/>
      <c r="L847" s="37"/>
      <c r="M847" s="37"/>
      <c r="N847" s="37"/>
      <c r="O847" s="37"/>
      <c r="P847" s="37"/>
    </row>
    <row r="848" spans="2:16" ht="18.75" customHeight="1">
      <c r="B848" s="37"/>
      <c r="C848" s="37"/>
      <c r="D848" s="37"/>
      <c r="E848" s="37"/>
      <c r="F848" s="37"/>
      <c r="G848" s="37"/>
      <c r="H848" s="37"/>
      <c r="I848" s="37"/>
      <c r="J848" s="37"/>
      <c r="K848" s="37"/>
      <c r="L848" s="37"/>
      <c r="M848" s="37"/>
      <c r="N848" s="37"/>
      <c r="O848" s="37"/>
      <c r="P848" s="37"/>
    </row>
    <row r="849" spans="2:16" ht="18.75" customHeight="1">
      <c r="B849" s="37"/>
      <c r="C849" s="37"/>
      <c r="D849" s="37"/>
      <c r="E849" s="37"/>
      <c r="F849" s="37"/>
      <c r="G849" s="37"/>
      <c r="H849" s="37"/>
      <c r="I849" s="37"/>
      <c r="J849" s="37"/>
      <c r="K849" s="37"/>
      <c r="L849" s="37"/>
      <c r="M849" s="37"/>
      <c r="N849" s="37"/>
      <c r="O849" s="37"/>
      <c r="P849" s="37"/>
    </row>
    <row r="850" spans="2:16" ht="18.75" customHeight="1">
      <c r="B850" s="37"/>
      <c r="C850" s="37"/>
      <c r="D850" s="37"/>
      <c r="E850" s="37"/>
      <c r="F850" s="37"/>
      <c r="G850" s="37"/>
      <c r="H850" s="37"/>
      <c r="I850" s="37"/>
      <c r="J850" s="37"/>
      <c r="K850" s="37"/>
      <c r="L850" s="37"/>
      <c r="M850" s="37"/>
      <c r="N850" s="37"/>
      <c r="O850" s="37"/>
      <c r="P850" s="37"/>
    </row>
    <row r="851" spans="2:16" ht="18.75" customHeight="1">
      <c r="B851" s="37"/>
      <c r="C851" s="37"/>
      <c r="D851" s="37"/>
      <c r="E851" s="37"/>
      <c r="F851" s="37"/>
      <c r="G851" s="37"/>
      <c r="H851" s="37"/>
      <c r="I851" s="37"/>
      <c r="J851" s="37"/>
      <c r="K851" s="37"/>
      <c r="L851" s="37"/>
      <c r="M851" s="37"/>
      <c r="N851" s="37"/>
      <c r="O851" s="37"/>
      <c r="P851" s="37"/>
    </row>
    <row r="852" spans="2:16" ht="18.75" customHeight="1">
      <c r="B852" s="37"/>
      <c r="C852" s="37"/>
      <c r="D852" s="37"/>
      <c r="E852" s="37"/>
      <c r="F852" s="37"/>
      <c r="G852" s="37"/>
      <c r="H852" s="37"/>
      <c r="I852" s="37"/>
      <c r="J852" s="37"/>
      <c r="K852" s="37"/>
      <c r="L852" s="37"/>
      <c r="M852" s="37"/>
      <c r="N852" s="37"/>
      <c r="O852" s="37"/>
      <c r="P852" s="37"/>
    </row>
    <row r="853" spans="2:16" ht="18.75" customHeight="1">
      <c r="B853" s="37"/>
      <c r="C853" s="37"/>
      <c r="D853" s="37"/>
      <c r="E853" s="37"/>
      <c r="F853" s="37"/>
      <c r="G853" s="37"/>
      <c r="H853" s="37"/>
      <c r="I853" s="37"/>
      <c r="J853" s="37"/>
      <c r="K853" s="37"/>
      <c r="L853" s="37"/>
      <c r="M853" s="37"/>
      <c r="N853" s="37"/>
      <c r="O853" s="37"/>
      <c r="P853" s="37"/>
    </row>
    <row r="854" spans="2:16" ht="18.75" customHeight="1">
      <c r="B854" s="37"/>
      <c r="C854" s="37"/>
      <c r="D854" s="37"/>
      <c r="E854" s="37"/>
      <c r="F854" s="37"/>
      <c r="G854" s="37"/>
      <c r="H854" s="37"/>
      <c r="I854" s="37"/>
      <c r="J854" s="37"/>
      <c r="K854" s="37"/>
      <c r="L854" s="37"/>
      <c r="M854" s="37"/>
      <c r="N854" s="37"/>
      <c r="O854" s="37"/>
      <c r="P854" s="37"/>
    </row>
    <row r="855" spans="2:16" ht="18.75" customHeight="1">
      <c r="B855" s="37"/>
      <c r="C855" s="37"/>
      <c r="D855" s="37"/>
      <c r="E855" s="37"/>
      <c r="F855" s="37"/>
      <c r="G855" s="37"/>
      <c r="H855" s="37"/>
      <c r="I855" s="37"/>
      <c r="J855" s="37"/>
      <c r="K855" s="37"/>
      <c r="L855" s="37"/>
      <c r="M855" s="37"/>
      <c r="N855" s="37"/>
      <c r="O855" s="37"/>
      <c r="P855" s="37"/>
    </row>
    <row r="856" spans="2:16" ht="18.75" customHeight="1">
      <c r="B856" s="37"/>
      <c r="C856" s="37"/>
      <c r="D856" s="37"/>
      <c r="E856" s="37"/>
      <c r="F856" s="37"/>
      <c r="G856" s="37"/>
      <c r="H856" s="37"/>
      <c r="I856" s="37"/>
      <c r="J856" s="37"/>
      <c r="K856" s="37"/>
      <c r="L856" s="37"/>
      <c r="M856" s="37"/>
      <c r="N856" s="37"/>
      <c r="O856" s="37"/>
      <c r="P856" s="37"/>
    </row>
    <row r="857" spans="2:16" ht="18.75" customHeight="1">
      <c r="B857" s="37"/>
      <c r="C857" s="37"/>
      <c r="D857" s="37"/>
      <c r="E857" s="37"/>
      <c r="F857" s="37"/>
      <c r="G857" s="37"/>
      <c r="H857" s="37"/>
      <c r="I857" s="37"/>
      <c r="J857" s="37"/>
      <c r="K857" s="37"/>
      <c r="L857" s="37"/>
      <c r="M857" s="37"/>
      <c r="N857" s="37"/>
      <c r="O857" s="37"/>
      <c r="P857" s="37"/>
    </row>
    <row r="858" spans="2:16" ht="18.75" customHeight="1">
      <c r="B858" s="37"/>
      <c r="C858" s="37"/>
      <c r="D858" s="37"/>
      <c r="E858" s="37"/>
      <c r="F858" s="37"/>
      <c r="G858" s="37"/>
      <c r="H858" s="37"/>
      <c r="I858" s="37"/>
      <c r="J858" s="37"/>
      <c r="K858" s="37"/>
      <c r="L858" s="37"/>
      <c r="M858" s="37"/>
      <c r="N858" s="37"/>
      <c r="O858" s="37"/>
      <c r="P858" s="37"/>
    </row>
    <row r="859" spans="2:16" ht="18.75" customHeight="1">
      <c r="B859" s="37"/>
      <c r="C859" s="37"/>
      <c r="D859" s="37"/>
      <c r="E859" s="37"/>
      <c r="F859" s="37"/>
      <c r="G859" s="37"/>
      <c r="H859" s="37"/>
      <c r="I859" s="37"/>
      <c r="J859" s="37"/>
      <c r="K859" s="37"/>
      <c r="L859" s="37"/>
      <c r="M859" s="37"/>
      <c r="N859" s="37"/>
      <c r="O859" s="37"/>
      <c r="P859" s="37"/>
    </row>
    <row r="860" spans="2:16" ht="18.75" customHeight="1">
      <c r="B860" s="37"/>
      <c r="C860" s="37"/>
      <c r="D860" s="37"/>
      <c r="E860" s="37"/>
      <c r="F860" s="37"/>
      <c r="G860" s="37"/>
      <c r="H860" s="37"/>
      <c r="I860" s="37"/>
      <c r="J860" s="37"/>
      <c r="K860" s="37"/>
      <c r="L860" s="37"/>
      <c r="M860" s="37"/>
      <c r="N860" s="37"/>
      <c r="O860" s="37"/>
      <c r="P860" s="37"/>
    </row>
    <row r="861" spans="2:16" ht="18.75" customHeight="1">
      <c r="B861" s="37"/>
      <c r="C861" s="37"/>
      <c r="D861" s="37"/>
      <c r="E861" s="37"/>
      <c r="F861" s="37"/>
      <c r="G861" s="37"/>
      <c r="H861" s="37"/>
      <c r="I861" s="37"/>
      <c r="J861" s="37"/>
      <c r="K861" s="37"/>
      <c r="L861" s="37"/>
      <c r="M861" s="37"/>
      <c r="N861" s="37"/>
      <c r="O861" s="37"/>
      <c r="P861" s="37"/>
    </row>
    <row r="862" spans="2:16" ht="18.75" customHeight="1">
      <c r="B862" s="37"/>
      <c r="C862" s="37"/>
      <c r="D862" s="37"/>
      <c r="E862" s="37"/>
      <c r="F862" s="37"/>
      <c r="G862" s="37"/>
      <c r="H862" s="37"/>
      <c r="I862" s="37"/>
      <c r="J862" s="37"/>
      <c r="K862" s="37"/>
      <c r="L862" s="37"/>
      <c r="M862" s="37"/>
      <c r="N862" s="37"/>
      <c r="O862" s="37"/>
      <c r="P862" s="37"/>
    </row>
    <row r="863" spans="2:16" ht="18.75" customHeight="1">
      <c r="B863" s="37"/>
      <c r="C863" s="37"/>
      <c r="D863" s="37"/>
      <c r="E863" s="37"/>
      <c r="F863" s="37"/>
      <c r="G863" s="37"/>
      <c r="H863" s="37"/>
      <c r="I863" s="37"/>
      <c r="J863" s="37"/>
      <c r="K863" s="37"/>
      <c r="L863" s="37"/>
      <c r="M863" s="37"/>
      <c r="N863" s="37"/>
      <c r="O863" s="37"/>
      <c r="P863" s="37"/>
    </row>
    <row r="864" spans="2:16" ht="18.75" customHeight="1">
      <c r="B864" s="37"/>
      <c r="C864" s="37"/>
      <c r="D864" s="37"/>
      <c r="E864" s="37"/>
      <c r="F864" s="37"/>
      <c r="G864" s="37"/>
      <c r="H864" s="37"/>
      <c r="I864" s="37"/>
      <c r="J864" s="37"/>
      <c r="K864" s="37"/>
      <c r="L864" s="37"/>
      <c r="M864" s="37"/>
      <c r="N864" s="37"/>
      <c r="O864" s="37"/>
      <c r="P864" s="37"/>
    </row>
    <row r="865" spans="2:16" ht="18.75" customHeight="1">
      <c r="B865" s="37"/>
      <c r="C865" s="37"/>
      <c r="D865" s="37"/>
      <c r="E865" s="37"/>
      <c r="F865" s="37"/>
      <c r="G865" s="37"/>
      <c r="H865" s="37"/>
      <c r="I865" s="37"/>
      <c r="J865" s="37"/>
      <c r="K865" s="37"/>
      <c r="L865" s="37"/>
      <c r="M865" s="37"/>
      <c r="N865" s="37"/>
      <c r="O865" s="37"/>
      <c r="P865" s="37"/>
    </row>
    <row r="866" spans="2:16" ht="18.75" customHeight="1">
      <c r="B866" s="37"/>
      <c r="C866" s="37"/>
      <c r="D866" s="37"/>
      <c r="E866" s="37"/>
      <c r="F866" s="37"/>
      <c r="G866" s="37"/>
      <c r="H866" s="37"/>
      <c r="I866" s="37"/>
      <c r="J866" s="37"/>
      <c r="K866" s="37"/>
      <c r="L866" s="37"/>
      <c r="M866" s="37"/>
      <c r="N866" s="37"/>
      <c r="O866" s="37"/>
      <c r="P866" s="37"/>
    </row>
    <row r="867" spans="2:16" ht="18.75" customHeight="1">
      <c r="B867" s="37"/>
      <c r="C867" s="37"/>
      <c r="D867" s="37"/>
      <c r="E867" s="37"/>
      <c r="F867" s="37"/>
      <c r="G867" s="37"/>
      <c r="H867" s="37"/>
      <c r="I867" s="37"/>
      <c r="J867" s="37"/>
      <c r="K867" s="37"/>
      <c r="L867" s="37"/>
      <c r="M867" s="37"/>
      <c r="N867" s="37"/>
      <c r="O867" s="37"/>
      <c r="P867" s="37"/>
    </row>
    <row r="868" spans="2:16" ht="18.75" customHeight="1">
      <c r="B868" s="37"/>
      <c r="C868" s="37"/>
      <c r="D868" s="37"/>
      <c r="E868" s="37"/>
      <c r="F868" s="37"/>
      <c r="G868" s="37"/>
      <c r="H868" s="37"/>
      <c r="I868" s="37"/>
      <c r="J868" s="37"/>
      <c r="K868" s="37"/>
      <c r="L868" s="37"/>
      <c r="M868" s="37"/>
      <c r="N868" s="37"/>
      <c r="O868" s="37"/>
      <c r="P868" s="37"/>
    </row>
    <row r="869" spans="2:16" ht="18.75" customHeight="1">
      <c r="B869" s="37"/>
      <c r="C869" s="37"/>
      <c r="D869" s="37"/>
      <c r="E869" s="37"/>
      <c r="F869" s="37"/>
      <c r="G869" s="37"/>
      <c r="H869" s="37"/>
      <c r="I869" s="37"/>
      <c r="J869" s="37"/>
      <c r="K869" s="37"/>
      <c r="L869" s="37"/>
      <c r="M869" s="37"/>
      <c r="N869" s="37"/>
      <c r="O869" s="37"/>
      <c r="P869" s="37"/>
    </row>
    <row r="870" spans="2:16" ht="18.75" customHeight="1">
      <c r="B870" s="37"/>
      <c r="C870" s="37"/>
      <c r="D870" s="37"/>
      <c r="E870" s="37"/>
      <c r="F870" s="37"/>
      <c r="G870" s="37"/>
      <c r="H870" s="37"/>
      <c r="I870" s="37"/>
      <c r="J870" s="37"/>
      <c r="K870" s="37"/>
      <c r="L870" s="37"/>
      <c r="M870" s="37"/>
      <c r="N870" s="37"/>
      <c r="O870" s="37"/>
      <c r="P870" s="37"/>
    </row>
    <row r="871" spans="2:16" ht="18.75" customHeight="1">
      <c r="B871" s="37"/>
      <c r="C871" s="37"/>
      <c r="D871" s="37"/>
      <c r="E871" s="37"/>
      <c r="F871" s="37"/>
      <c r="G871" s="37"/>
      <c r="H871" s="37"/>
      <c r="I871" s="37"/>
      <c r="J871" s="37"/>
      <c r="K871" s="37"/>
      <c r="L871" s="37"/>
      <c r="M871" s="37"/>
      <c r="N871" s="37"/>
      <c r="O871" s="37"/>
      <c r="P871" s="37"/>
    </row>
    <row r="872" spans="2:16" ht="18.75" customHeight="1">
      <c r="B872" s="37"/>
      <c r="C872" s="37"/>
      <c r="D872" s="37"/>
      <c r="E872" s="37"/>
      <c r="F872" s="37"/>
      <c r="G872" s="37"/>
      <c r="H872" s="37"/>
      <c r="I872" s="37"/>
      <c r="J872" s="37"/>
      <c r="K872" s="37"/>
      <c r="L872" s="37"/>
      <c r="M872" s="37"/>
      <c r="N872" s="37"/>
      <c r="O872" s="37"/>
      <c r="P872" s="37"/>
    </row>
    <row r="873" spans="2:16" ht="18.75" customHeight="1">
      <c r="B873" s="37"/>
      <c r="C873" s="37"/>
      <c r="D873" s="37"/>
      <c r="E873" s="37"/>
      <c r="F873" s="37"/>
      <c r="G873" s="37"/>
      <c r="H873" s="37"/>
      <c r="I873" s="37"/>
      <c r="J873" s="37"/>
      <c r="K873" s="37"/>
      <c r="L873" s="37"/>
      <c r="M873" s="37"/>
      <c r="N873" s="37"/>
      <c r="O873" s="37"/>
      <c r="P873" s="37"/>
    </row>
    <row r="874" spans="2:16" ht="18.75" customHeight="1">
      <c r="B874" s="37"/>
      <c r="C874" s="37"/>
      <c r="D874" s="37"/>
      <c r="E874" s="37"/>
      <c r="F874" s="37"/>
      <c r="G874" s="37"/>
      <c r="H874" s="37"/>
      <c r="I874" s="37"/>
      <c r="J874" s="37"/>
      <c r="K874" s="37"/>
      <c r="L874" s="37"/>
      <c r="M874" s="37"/>
      <c r="N874" s="37"/>
      <c r="O874" s="37"/>
      <c r="P874" s="37"/>
    </row>
    <row r="875" spans="2:16" ht="18.75" customHeight="1">
      <c r="B875" s="37"/>
      <c r="C875" s="37"/>
      <c r="D875" s="37"/>
      <c r="E875" s="37"/>
      <c r="F875" s="37"/>
      <c r="G875" s="37"/>
      <c r="H875" s="37"/>
      <c r="I875" s="37"/>
      <c r="J875" s="37"/>
      <c r="K875" s="37"/>
      <c r="L875" s="37"/>
      <c r="M875" s="37"/>
      <c r="N875" s="37"/>
      <c r="O875" s="37"/>
      <c r="P875" s="37"/>
    </row>
    <row r="876" spans="2:16" ht="18.75" customHeight="1">
      <c r="B876" s="37"/>
      <c r="C876" s="37"/>
      <c r="D876" s="37"/>
      <c r="E876" s="37"/>
      <c r="F876" s="37"/>
      <c r="G876" s="37"/>
      <c r="H876" s="37"/>
      <c r="I876" s="37"/>
      <c r="J876" s="37"/>
      <c r="K876" s="37"/>
      <c r="L876" s="37"/>
      <c r="M876" s="37"/>
      <c r="N876" s="37"/>
      <c r="O876" s="37"/>
      <c r="P876" s="37"/>
    </row>
    <row r="877" spans="2:16" ht="18.75" customHeight="1">
      <c r="B877" s="37"/>
      <c r="C877" s="37"/>
      <c r="D877" s="37"/>
      <c r="E877" s="37"/>
      <c r="F877" s="37"/>
      <c r="G877" s="37"/>
      <c r="H877" s="37"/>
      <c r="I877" s="37"/>
      <c r="J877" s="37"/>
      <c r="K877" s="37"/>
      <c r="L877" s="37"/>
      <c r="M877" s="37"/>
      <c r="N877" s="37"/>
      <c r="O877" s="37"/>
      <c r="P877" s="37"/>
    </row>
    <row r="878" spans="2:16" ht="18.75" customHeight="1">
      <c r="B878" s="37"/>
      <c r="C878" s="37"/>
      <c r="D878" s="37"/>
      <c r="E878" s="37"/>
      <c r="F878" s="37"/>
      <c r="G878" s="37"/>
      <c r="H878" s="37"/>
      <c r="I878" s="37"/>
      <c r="J878" s="37"/>
      <c r="K878" s="37"/>
      <c r="L878" s="37"/>
      <c r="M878" s="37"/>
      <c r="N878" s="37"/>
      <c r="O878" s="37"/>
      <c r="P878" s="37"/>
    </row>
    <row r="879" spans="2:16" ht="18.75" customHeight="1">
      <c r="B879" s="37"/>
      <c r="C879" s="37"/>
      <c r="D879" s="37"/>
      <c r="E879" s="37"/>
      <c r="F879" s="37"/>
      <c r="G879" s="37"/>
      <c r="H879" s="37"/>
      <c r="I879" s="37"/>
      <c r="J879" s="37"/>
      <c r="K879" s="37"/>
      <c r="L879" s="37"/>
      <c r="M879" s="37"/>
      <c r="N879" s="37"/>
      <c r="O879" s="37"/>
      <c r="P879" s="37"/>
    </row>
    <row r="880" spans="2:16" ht="18.75" customHeight="1">
      <c r="B880" s="37"/>
      <c r="C880" s="37"/>
      <c r="D880" s="37"/>
      <c r="E880" s="37"/>
      <c r="F880" s="37"/>
      <c r="G880" s="37"/>
      <c r="H880" s="37"/>
      <c r="I880" s="37"/>
      <c r="J880" s="37"/>
      <c r="K880" s="37"/>
      <c r="L880" s="37"/>
      <c r="M880" s="37"/>
      <c r="N880" s="37"/>
      <c r="O880" s="37"/>
      <c r="P880" s="37"/>
    </row>
    <row r="881" spans="2:16" ht="18.75" customHeight="1">
      <c r="B881" s="37"/>
      <c r="C881" s="37"/>
      <c r="D881" s="37"/>
      <c r="E881" s="37"/>
      <c r="F881" s="37"/>
      <c r="G881" s="37"/>
      <c r="H881" s="37"/>
      <c r="I881" s="37"/>
      <c r="J881" s="37"/>
      <c r="K881" s="37"/>
      <c r="L881" s="37"/>
      <c r="M881" s="37"/>
      <c r="N881" s="37"/>
      <c r="O881" s="37"/>
      <c r="P881" s="37"/>
    </row>
    <row r="882" spans="2:16" ht="18.75" customHeight="1">
      <c r="B882" s="37"/>
      <c r="C882" s="37"/>
      <c r="D882" s="37"/>
      <c r="E882" s="37"/>
      <c r="F882" s="37"/>
      <c r="G882" s="37"/>
      <c r="H882" s="37"/>
      <c r="I882" s="37"/>
      <c r="J882" s="37"/>
      <c r="K882" s="37"/>
      <c r="L882" s="37"/>
      <c r="M882" s="37"/>
      <c r="N882" s="37"/>
      <c r="O882" s="37"/>
      <c r="P882" s="37"/>
    </row>
    <row r="883" spans="2:16" ht="18.75" customHeight="1">
      <c r="B883" s="37"/>
      <c r="C883" s="37"/>
      <c r="D883" s="37"/>
      <c r="E883" s="37"/>
      <c r="F883" s="37"/>
      <c r="G883" s="37"/>
      <c r="H883" s="37"/>
      <c r="I883" s="37"/>
      <c r="J883" s="37"/>
      <c r="K883" s="37"/>
      <c r="L883" s="37"/>
      <c r="M883" s="37"/>
      <c r="N883" s="37"/>
      <c r="O883" s="37"/>
      <c r="P883" s="37"/>
    </row>
    <row r="884" spans="2:16" ht="18.75" customHeight="1">
      <c r="B884" s="37"/>
      <c r="C884" s="37"/>
      <c r="D884" s="37"/>
      <c r="E884" s="37"/>
      <c r="F884" s="37"/>
      <c r="G884" s="37"/>
      <c r="H884" s="37"/>
      <c r="I884" s="37"/>
      <c r="J884" s="37"/>
      <c r="K884" s="37"/>
      <c r="L884" s="37"/>
      <c r="M884" s="37"/>
      <c r="N884" s="37"/>
      <c r="O884" s="37"/>
      <c r="P884" s="37"/>
    </row>
    <row r="885" spans="2:16" ht="18.75" customHeight="1">
      <c r="B885" s="37"/>
      <c r="C885" s="37"/>
      <c r="D885" s="37"/>
      <c r="E885" s="37"/>
      <c r="F885" s="37"/>
      <c r="G885" s="37"/>
      <c r="H885" s="37"/>
      <c r="I885" s="37"/>
      <c r="J885" s="37"/>
      <c r="K885" s="37"/>
      <c r="L885" s="37"/>
      <c r="M885" s="37"/>
      <c r="N885" s="37"/>
      <c r="O885" s="37"/>
      <c r="P885" s="37"/>
    </row>
    <row r="886" spans="2:16" ht="18.75" customHeight="1">
      <c r="B886" s="37"/>
      <c r="C886" s="37"/>
      <c r="D886" s="37"/>
      <c r="E886" s="37"/>
      <c r="F886" s="37"/>
      <c r="G886" s="37"/>
      <c r="H886" s="37"/>
      <c r="I886" s="37"/>
      <c r="J886" s="37"/>
      <c r="K886" s="37"/>
      <c r="L886" s="37"/>
      <c r="M886" s="37"/>
      <c r="N886" s="37"/>
      <c r="O886" s="37"/>
      <c r="P886" s="37"/>
    </row>
    <row r="887" spans="2:16" ht="18.75" customHeight="1">
      <c r="B887" s="37"/>
      <c r="C887" s="37"/>
      <c r="D887" s="37"/>
      <c r="E887" s="37"/>
      <c r="F887" s="37"/>
      <c r="G887" s="37"/>
      <c r="H887" s="37"/>
      <c r="I887" s="37"/>
      <c r="J887" s="37"/>
      <c r="K887" s="37"/>
      <c r="L887" s="37"/>
      <c r="M887" s="37"/>
      <c r="N887" s="37"/>
      <c r="O887" s="37"/>
      <c r="P887" s="37"/>
    </row>
    <row r="888" spans="2:16" ht="18.75" customHeight="1">
      <c r="B888" s="37"/>
      <c r="C888" s="37"/>
      <c r="D888" s="37"/>
      <c r="E888" s="37"/>
      <c r="F888" s="37"/>
      <c r="G888" s="37"/>
      <c r="H888" s="37"/>
      <c r="I888" s="37"/>
      <c r="J888" s="37"/>
      <c r="K888" s="37"/>
      <c r="L888" s="37"/>
      <c r="M888" s="37"/>
      <c r="N888" s="37"/>
      <c r="O888" s="37"/>
      <c r="P888" s="37"/>
    </row>
    <row r="889" spans="2:16" ht="18.75" customHeight="1">
      <c r="B889" s="37"/>
      <c r="C889" s="37"/>
      <c r="D889" s="37"/>
      <c r="E889" s="37"/>
      <c r="F889" s="37"/>
      <c r="G889" s="37"/>
      <c r="H889" s="37"/>
      <c r="I889" s="37"/>
      <c r="J889" s="37"/>
      <c r="K889" s="37"/>
      <c r="L889" s="37"/>
      <c r="M889" s="37"/>
      <c r="N889" s="37"/>
      <c r="O889" s="37"/>
      <c r="P889" s="37"/>
    </row>
    <row r="890" spans="2:16" ht="18.75" customHeight="1">
      <c r="B890" s="37"/>
      <c r="C890" s="37"/>
      <c r="D890" s="37"/>
      <c r="E890" s="37"/>
      <c r="F890" s="37"/>
      <c r="G890" s="37"/>
      <c r="H890" s="37"/>
      <c r="I890" s="37"/>
      <c r="J890" s="37"/>
      <c r="K890" s="37"/>
      <c r="L890" s="37"/>
      <c r="M890" s="37"/>
      <c r="N890" s="37"/>
      <c r="O890" s="37"/>
      <c r="P890" s="37"/>
    </row>
    <row r="891" spans="2:16" ht="18.75" customHeight="1">
      <c r="B891" s="37"/>
      <c r="C891" s="37"/>
      <c r="D891" s="37"/>
      <c r="E891" s="37"/>
      <c r="F891" s="37"/>
      <c r="G891" s="37"/>
      <c r="H891" s="37"/>
      <c r="I891" s="37"/>
      <c r="J891" s="37"/>
      <c r="K891" s="37"/>
      <c r="L891" s="37"/>
      <c r="M891" s="37"/>
      <c r="N891" s="37"/>
      <c r="O891" s="37"/>
      <c r="P891" s="37"/>
    </row>
    <row r="892" spans="2:16" ht="18.75" customHeight="1">
      <c r="B892" s="37"/>
      <c r="C892" s="37"/>
      <c r="D892" s="37"/>
      <c r="E892" s="37"/>
      <c r="F892" s="37"/>
      <c r="G892" s="37"/>
      <c r="H892" s="37"/>
      <c r="I892" s="37"/>
      <c r="J892" s="37"/>
      <c r="K892" s="37"/>
      <c r="L892" s="37"/>
      <c r="M892" s="37"/>
      <c r="N892" s="37"/>
      <c r="O892" s="37"/>
      <c r="P892" s="37"/>
    </row>
    <row r="893" spans="2:16" ht="18.75" customHeight="1">
      <c r="B893" s="37"/>
      <c r="C893" s="37"/>
      <c r="D893" s="37"/>
      <c r="E893" s="37"/>
      <c r="F893" s="37"/>
      <c r="G893" s="37"/>
      <c r="H893" s="37"/>
      <c r="I893" s="37"/>
      <c r="J893" s="37"/>
      <c r="K893" s="37"/>
      <c r="L893" s="37"/>
      <c r="M893" s="37"/>
      <c r="N893" s="37"/>
      <c r="O893" s="37"/>
      <c r="P893" s="37"/>
    </row>
    <row r="894" spans="2:16" ht="18.75" customHeight="1">
      <c r="B894" s="37"/>
      <c r="C894" s="37"/>
      <c r="D894" s="37"/>
      <c r="E894" s="37"/>
      <c r="F894" s="37"/>
      <c r="G894" s="37"/>
      <c r="H894" s="37"/>
      <c r="I894" s="37"/>
      <c r="J894" s="37"/>
      <c r="K894" s="37"/>
      <c r="L894" s="37"/>
      <c r="M894" s="37"/>
      <c r="N894" s="37"/>
      <c r="O894" s="37"/>
      <c r="P894" s="37"/>
    </row>
    <row r="895" spans="2:16" ht="18.75" customHeight="1">
      <c r="B895" s="37"/>
      <c r="C895" s="37"/>
      <c r="D895" s="37"/>
      <c r="E895" s="37"/>
      <c r="F895" s="37"/>
      <c r="G895" s="37"/>
      <c r="H895" s="37"/>
      <c r="I895" s="37"/>
      <c r="J895" s="37"/>
      <c r="K895" s="37"/>
      <c r="L895" s="37"/>
      <c r="M895" s="37"/>
      <c r="N895" s="37"/>
      <c r="O895" s="37"/>
      <c r="P895" s="37"/>
    </row>
    <row r="896" spans="2:16" ht="18.75" customHeight="1">
      <c r="B896" s="37"/>
      <c r="C896" s="37"/>
      <c r="D896" s="37"/>
      <c r="E896" s="37"/>
      <c r="F896" s="37"/>
      <c r="G896" s="37"/>
      <c r="H896" s="37"/>
      <c r="I896" s="37"/>
      <c r="J896" s="37"/>
      <c r="K896" s="37"/>
      <c r="L896" s="37"/>
      <c r="M896" s="37"/>
      <c r="N896" s="37"/>
      <c r="O896" s="37"/>
      <c r="P896" s="37"/>
    </row>
  </sheetData>
  <autoFilter ref="B3:R571" xr:uid="{00000000-0009-0000-0000-000003000000}"/>
  <phoneticPr fontId="27"/>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7"/>
  <sheetViews>
    <sheetView workbookViewId="0"/>
  </sheetViews>
  <sheetFormatPr defaultColWidth="14.42578125" defaultRowHeight="15" customHeight="1"/>
  <sheetData>
    <row r="1" spans="1:1">
      <c r="A1" s="116">
        <v>45517</v>
      </c>
    </row>
    <row r="2" spans="1:1">
      <c r="A2" s="116">
        <v>45518</v>
      </c>
    </row>
    <row r="3" spans="1:1">
      <c r="A3" s="116">
        <v>45519</v>
      </c>
    </row>
    <row r="4" spans="1:1">
      <c r="A4" s="116">
        <v>45656</v>
      </c>
    </row>
    <row r="5" spans="1:1">
      <c r="A5" s="116">
        <v>45657</v>
      </c>
    </row>
    <row r="6" spans="1:1">
      <c r="A6" s="116">
        <v>45658</v>
      </c>
    </row>
    <row r="7" spans="1:1">
      <c r="A7" s="116">
        <v>45659</v>
      </c>
    </row>
    <row r="8" spans="1:1">
      <c r="A8" s="116">
        <v>45660</v>
      </c>
    </row>
    <row r="9" spans="1:1">
      <c r="A9" s="116">
        <v>45882</v>
      </c>
    </row>
    <row r="10" spans="1:1">
      <c r="A10" s="116">
        <v>45883</v>
      </c>
    </row>
    <row r="11" spans="1:1">
      <c r="A11" s="116">
        <v>45884</v>
      </c>
    </row>
    <row r="12" spans="1:1">
      <c r="A12" s="116">
        <v>46021</v>
      </c>
    </row>
    <row r="13" spans="1:1">
      <c r="A13" s="116">
        <v>46022</v>
      </c>
    </row>
    <row r="14" spans="1:1">
      <c r="A14" s="116">
        <v>46023</v>
      </c>
    </row>
    <row r="15" spans="1:1">
      <c r="A15" s="116">
        <v>46024</v>
      </c>
    </row>
    <row r="16" spans="1:1">
      <c r="A16" s="116">
        <v>46025</v>
      </c>
    </row>
    <row r="17" spans="1:3">
      <c r="A17" s="116">
        <v>46247</v>
      </c>
    </row>
    <row r="18" spans="1:3">
      <c r="A18" s="116">
        <v>46248</v>
      </c>
    </row>
    <row r="19" spans="1:3">
      <c r="A19" s="116">
        <v>46249</v>
      </c>
    </row>
    <row r="20" spans="1:3">
      <c r="A20" s="116">
        <v>46386</v>
      </c>
    </row>
    <row r="21" spans="1:3">
      <c r="A21" s="116">
        <v>46387</v>
      </c>
    </row>
    <row r="22" spans="1:3">
      <c r="A22" s="116">
        <v>46388</v>
      </c>
    </row>
    <row r="23" spans="1:3">
      <c r="A23" s="116">
        <v>46389</v>
      </c>
    </row>
    <row r="24" spans="1:3">
      <c r="A24" s="116">
        <v>46390</v>
      </c>
    </row>
    <row r="25" spans="1:3">
      <c r="A25" s="116"/>
    </row>
    <row r="26" spans="1:3">
      <c r="A26" s="116"/>
    </row>
    <row r="27" spans="1:3">
      <c r="A27" s="116"/>
      <c r="B27" s="117"/>
      <c r="C27" s="118"/>
    </row>
  </sheetData>
  <phoneticPr fontId="2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他部署受付 - 作業内容管理・進捗</vt:lpstr>
      <vt:lpstr>ヘルプデスク - 作業内容管理・進捗</vt:lpstr>
      <vt:lpstr>社内機器・ソフト・システムの保守 - 作業内容管理・進捗</vt:lpstr>
      <vt:lpstr>2604変更前　ヘルプデスク - 作業内容管理・進捗</vt:lpstr>
      <vt:lpstr>祝日シート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伊藤 健人</cp:lastModifiedBy>
  <dcterms:created xsi:type="dcterms:W3CDTF">2026-07-14T02:55:00Z</dcterms:created>
  <dcterms:modified xsi:type="dcterms:W3CDTF">2026-07-14T07:11:36Z</dcterms:modified>
</cp:coreProperties>
</file>