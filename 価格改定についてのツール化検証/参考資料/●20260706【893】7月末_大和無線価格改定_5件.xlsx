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13_ncr:1_{05A2926E-524F-46C7-BC48-A4C56C8D8B48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5" i="1" l="1"/>
  <c r="BP6" i="1"/>
  <c r="BP7" i="1"/>
  <c r="BP8" i="1"/>
  <c r="BN5" i="1"/>
  <c r="BN6" i="1"/>
  <c r="BN7" i="1"/>
  <c r="BN8" i="1"/>
  <c r="AT4" i="1"/>
  <c r="AR6" i="1"/>
  <c r="P6" i="1"/>
  <c r="P7" i="1"/>
  <c r="AR8" i="1"/>
  <c r="P8" i="1"/>
  <c r="P5" i="1"/>
  <c r="AR5" i="1"/>
  <c r="AR7" i="1"/>
  <c r="AV4" i="1"/>
  <c r="AU4" i="1"/>
  <c r="P4" i="1" l="1"/>
  <c r="AR4" i="1"/>
  <c r="BI5" i="1" l="1"/>
  <c r="AH5" i="1" s="1"/>
  <c r="BI6" i="1"/>
  <c r="AH6" i="1" s="1"/>
  <c r="BI7" i="1"/>
  <c r="AH7" i="1" s="1"/>
  <c r="BI8" i="1"/>
  <c r="AH8" i="1" s="1"/>
  <c r="BI4" i="1"/>
  <c r="AH4" i="1" s="1"/>
  <c r="AC5" i="1"/>
  <c r="AC6" i="1"/>
  <c r="AC7" i="1"/>
  <c r="AC8" i="1"/>
  <c r="AA5" i="1"/>
  <c r="AQ5" i="1" s="1"/>
  <c r="AA6" i="1"/>
  <c r="AQ6" i="1" s="1"/>
  <c r="AA7" i="1"/>
  <c r="AQ7" i="1" s="1"/>
  <c r="AA8" i="1"/>
  <c r="AQ8" i="1" s="1"/>
  <c r="D5" i="1"/>
  <c r="F5" i="1" s="1"/>
  <c r="D6" i="1"/>
  <c r="F6" i="1" s="1"/>
  <c r="D7" i="1"/>
  <c r="F7" i="1" s="1"/>
  <c r="D8" i="1"/>
  <c r="F8" i="1" s="1"/>
  <c r="D4" i="1"/>
  <c r="F4" i="1" s="1"/>
  <c r="AC4" i="1"/>
  <c r="AA4" i="1"/>
  <c r="AQ4" i="1" s="1"/>
  <c r="AS7" i="1" l="1"/>
  <c r="AI7" i="1" s="1"/>
  <c r="AJ7" i="1" s="1"/>
  <c r="AS6" i="1"/>
  <c r="AI6" i="1" s="1"/>
  <c r="AJ6" i="1" s="1"/>
  <c r="AS8" i="1"/>
  <c r="AI8" i="1" s="1"/>
  <c r="AJ8" i="1" s="1"/>
  <c r="AS5" i="1"/>
  <c r="AS4" i="1"/>
  <c r="AE4" i="1" s="1"/>
  <c r="AF4" i="1" s="1"/>
  <c r="AL5" i="1"/>
  <c r="AL4" i="1"/>
  <c r="AM8" i="1"/>
  <c r="AM7" i="1"/>
  <c r="AE6" i="1"/>
  <c r="AF6" i="1" s="1"/>
  <c r="AM6" i="1"/>
  <c r="AL8" i="1"/>
  <c r="AL7" i="1"/>
  <c r="AM5" i="1"/>
  <c r="AE7" i="1"/>
  <c r="AF7" i="1" s="1"/>
  <c r="AL6" i="1"/>
  <c r="AO4" i="1"/>
  <c r="AP4" i="1"/>
  <c r="AM4" i="1"/>
  <c r="AI4" i="1" l="1"/>
  <c r="AJ4" i="1" s="1"/>
  <c r="BN4" i="1"/>
  <c r="BP4" i="1"/>
  <c r="AE8" i="1"/>
  <c r="AF8" i="1" s="1"/>
  <c r="AI5" i="1"/>
  <c r="AJ5" i="1" s="1"/>
  <c r="AE5" i="1"/>
  <c r="AF5" i="1" s="1"/>
</calcChain>
</file>

<file path=xl/sharedStrings.xml><?xml version="1.0" encoding="utf-8"?>
<sst xmlns="http://schemas.openxmlformats.org/spreadsheetml/2006/main" count="123" uniqueCount="91">
  <si>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</si>
  <si>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</si>
  <si>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</si>
  <si>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</si>
  <si>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</si>
  <si>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</si>
  <si>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</si>
  <si>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</si>
  <si>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</si>
  <si>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</si>
  <si>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</si>
  <si>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</si>
  <si>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</si>
  <si>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</si>
  <si>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</si>
  <si>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</si>
  <si>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</si>
  <si>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</si>
  <si>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</si>
  <si>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</si>
  <si>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</si>
  <si>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</si>
  <si>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</si>
  <si>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</si>
  <si>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</si>
  <si>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</si>
  <si>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</si>
  <si>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</si>
  <si>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</si>
  <si>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</si>
  <si>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</si>
  <si>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</si>
  <si>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</si>
  <si>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</si>
  <si>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</si>
  <si>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</si>
  <si>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</si>
  <si>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</si>
  <si>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</si>
  <si>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</si>
  <si>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</si>
  <si>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</si>
  <si>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</si>
  <si>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</si>
  <si>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</si>
  <si>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</si>
  <si>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</si>
  <si>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</si>
  <si>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</si>
  <si>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</si>
  <si>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</si>
  <si>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</si>
  <si>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</si>
  <si>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</si>
  <si>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</si>
  <si>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</si>
  <si>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</si>
  <si>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</si>
  <si>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</si>
  <si>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</si>
  <si>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</si>
  <si>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</si>
  <si>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</si>
  <si>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</si>
  <si>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</si>
  <si>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</si>
  <si>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J804SJ</t>
  </si>
  <si>
    <t>J805SJ</t>
  </si>
  <si>
    <t>J806SJ</t>
  </si>
  <si>
    <t>J807SJ</t>
  </si>
  <si>
    <t>J88849</t>
  </si>
  <si>
    <t>DYMO/ﾃｰﾌﾟﾗｲﾀｰ M-1595 ﾌﾞﾙｰ/DM1595BU</t>
  </si>
  <si>
    <t>DYMO/ﾃｰﾌﾟﾗｲﾀｰ ｷｭｰﾃｨｺﾝ ｲｴﾛｰ/DM20008</t>
  </si>
  <si>
    <t>DYMO/ｸﾞﾛｯｼｰﾃｰﾌﾟ 9mm×3m ｾﾘｰｽﾊﾟｯｸ ﾌﾞﾗｯｸ/DM0903BX</t>
  </si>
  <si>
    <t>DYMO/ｸﾞﾛｯｼｰﾃｰﾌﾟ 9mm×3m ｾﾘｰｽﾊﾟｯｸ ﾌﾞﾙｰ/DM0903BUX</t>
  </si>
  <si>
    <t>ﾕｶｲ工学/ﾕｶｲな生きもの ﾛﾎﾞｯﾄｷｯﾄ/YE-EDU001</t>
  </si>
  <si>
    <t>-</t>
    <phoneticPr fontId="2"/>
  </si>
  <si>
    <t>HK89401</t>
  </si>
  <si>
    <t>7月売価</t>
    <rPh sb="1" eb="2">
      <t>ガツ</t>
    </rPh>
    <rPh sb="2" eb="4">
      <t>バイカ</t>
    </rPh>
    <phoneticPr fontId="2"/>
  </si>
  <si>
    <t>1台</t>
  </si>
  <si>
    <t>ジット ダイモ Mー1595 ブルー(6・9・12mmテープ用) DM1595BU 1台</t>
  </si>
  <si>
    <t>7月
たの</t>
    <rPh sb="1" eb="2">
      <t>ガツ</t>
    </rPh>
    <phoneticPr fontId="2"/>
  </si>
  <si>
    <t>7月
カウ</t>
    <rPh sb="1" eb="2">
      <t>ガツ</t>
    </rPh>
    <phoneticPr fontId="2"/>
  </si>
  <si>
    <t>ダイモ ダイモラベルキュティコン　イエロー DM20008 1台</t>
  </si>
  <si>
    <t>HN47779</t>
  </si>
  <si>
    <t>ダイモ DYMOグロッシーテープ 9mm×3m ブラック セリースパック DM0903BX 1巻</t>
  </si>
  <si>
    <t>RK93888</t>
  </si>
  <si>
    <t>1巻</t>
  </si>
  <si>
    <t>ジット DYMOグロッシーテープ 9mm×3m ブルー セリースパック DM0903BUX 1巻</t>
  </si>
  <si>
    <t>RK93891</t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</si>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</sst>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49" fontId="0" fillId="0" borderId="4" xfId="0" applyNumberForma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8"/>
  <sheetViews>
    <sheetView tabSelected="1" zoomScale="90" zoomScaleNormal="90" workbookViewId="0">
      <pane xSplit="8" ySplit="5" topLeftCell="M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9" t="s">
        <v>43</v>
      </c>
      <c r="Z1" s="45" t="s">
        <v>40</v>
      </c>
      <c r="AA1" s="46"/>
      <c r="AB1" s="46"/>
      <c r="AC1" s="47"/>
      <c r="AS1" t="s">
        <v>90</v>
      </c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2" t="s">
        <v>31</v>
      </c>
      <c r="L2" s="44"/>
      <c r="M2" s="42" t="s">
        <v>1</v>
      </c>
      <c r="N2" s="43"/>
      <c r="O2" s="43"/>
      <c r="P2" s="44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0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64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78</v>
      </c>
      <c r="BI3" s="2" t="s">
        <v>12</v>
      </c>
      <c r="BJ3" s="18" t="s">
        <v>45</v>
      </c>
      <c r="BK3" s="18" t="s">
        <v>46</v>
      </c>
      <c r="BL3" s="15" t="s">
        <v>52</v>
      </c>
      <c r="BM3" s="38" t="s">
        <v>81</v>
      </c>
      <c r="BN3" s="39" t="s">
        <v>57</v>
      </c>
      <c r="BO3" s="39" t="s">
        <v>82</v>
      </c>
      <c r="BP3" s="39" t="s">
        <v>58</v>
      </c>
      <c r="BQ3" s="34" t="s">
        <v>50</v>
      </c>
    </row>
    <row r="4" spans="1:69" x14ac:dyDescent="0.4">
      <c r="A4" s="3">
        <v>1</v>
      </c>
      <c r="B4" s="3">
        <v>1</v>
      </c>
      <c r="C4" s="4" t="s">
        <v>66</v>
      </c>
      <c r="D4" s="4" t="str">
        <f>TEXT(C4,"000000")</f>
        <v>J804SJ</v>
      </c>
      <c r="E4" s="4" t="s">
        <v>66</v>
      </c>
      <c r="F4" s="4" t="str">
        <f>D4&amp;I4</f>
        <v>J804SJ5</v>
      </c>
      <c r="G4" s="4" t="s">
        <v>71</v>
      </c>
      <c r="H4" s="5">
        <v>3501170837481</v>
      </c>
      <c r="I4" s="33">
        <v>5</v>
      </c>
      <c r="J4" s="5"/>
      <c r="K4" s="5">
        <v>1</v>
      </c>
      <c r="L4" s="5">
        <v>1</v>
      </c>
      <c r="M4" s="5">
        <v>6700</v>
      </c>
      <c r="N4" s="5">
        <v>6902</v>
      </c>
      <c r="O4" s="5">
        <v>4355</v>
      </c>
      <c r="P4" s="6">
        <f>IFERROR(1-O4/N4,"-")</f>
        <v>0.36902347145754855</v>
      </c>
      <c r="Q4" s="4" t="s">
        <v>76</v>
      </c>
      <c r="R4" s="4"/>
      <c r="S4" s="4"/>
      <c r="T4" s="4"/>
      <c r="U4" s="4"/>
      <c r="V4" s="4"/>
      <c r="W4" s="4"/>
      <c r="X4" s="4"/>
      <c r="Y4" s="4"/>
      <c r="Z4" s="4">
        <v>7900</v>
      </c>
      <c r="AA4" s="4">
        <f>IF(AD4="",Z4,Z4*AD4)</f>
        <v>7900</v>
      </c>
      <c r="AB4" s="4">
        <v>5135</v>
      </c>
      <c r="AC4" s="4">
        <f>IF(AD4="",AB4,AB4*AD4)</f>
        <v>5135</v>
      </c>
      <c r="AD4" s="4"/>
      <c r="AE4" s="21">
        <f t="shared" ref="AE4:AE8" si="0">ROUND(N4*AS4,0)</f>
        <v>8138</v>
      </c>
      <c r="AF4" s="6">
        <f>IFERROR(1-AC4/AE4,"-")</f>
        <v>0.36900958466453671</v>
      </c>
      <c r="AG4" s="33">
        <v>0</v>
      </c>
      <c r="AH4" s="4">
        <f>BI4</f>
        <v>7900</v>
      </c>
      <c r="AI4" s="33">
        <f>IFERROR(AH4*AS4,"-")</f>
        <v>9314.9253731343288</v>
      </c>
      <c r="AJ4" s="6">
        <f>IFERROR(1-AC4/AI4,"-")</f>
        <v>0.44873417721518993</v>
      </c>
      <c r="AK4" s="7">
        <v>7880</v>
      </c>
      <c r="AL4" s="6">
        <f t="shared" ref="AL4:AL8" si="1">1-AC4/AK4</f>
        <v>0.3483502538071066</v>
      </c>
      <c r="AM4" s="4">
        <f t="shared" ref="AM4:AM8" si="2">AK4-AC4</f>
        <v>2745</v>
      </c>
      <c r="AN4" s="28"/>
      <c r="AO4" s="6" t="e">
        <f>1-AC4/AN4</f>
        <v>#DIV/0!</v>
      </c>
      <c r="AP4" s="4">
        <f>AN4-AC4</f>
        <v>-5135</v>
      </c>
      <c r="AQ4" s="6">
        <f>IFERROR(AA4/M4,"-")</f>
        <v>1.1791044776119404</v>
      </c>
      <c r="AR4" s="6">
        <f>IFERROR(AK4/N4,"-")</f>
        <v>1.1416980585337584</v>
      </c>
      <c r="AS4" s="6">
        <f>IFERROR(AC4/O4,"-")</f>
        <v>1.1791044776119404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77</v>
      </c>
      <c r="BE4" s="4"/>
      <c r="BF4" s="4"/>
      <c r="BG4" s="4" t="s">
        <v>79</v>
      </c>
      <c r="BH4" s="4">
        <v>7900</v>
      </c>
      <c r="BI4" s="4">
        <f t="shared" ref="BI4:BI5" si="3">IF(BE4="",BH4,BE4/BF4*BH4)</f>
        <v>7900</v>
      </c>
      <c r="BJ4" s="19">
        <v>4</v>
      </c>
      <c r="BK4" s="19">
        <v>8</v>
      </c>
      <c r="BL4" s="16">
        <v>11</v>
      </c>
      <c r="BM4" t="s">
        <v>76</v>
      </c>
      <c r="BN4" t="str">
        <f>IFERROR(BM4*AS4,"-")</f>
        <v>-</v>
      </c>
      <c r="BO4">
        <v>7900</v>
      </c>
      <c r="BP4">
        <f>IFERROR(BO4*AS4,"-")</f>
        <v>9314.9253731343288</v>
      </c>
      <c r="BQ4" t="s">
        <v>80</v>
      </c>
    </row>
    <row r="5" spans="1:69" x14ac:dyDescent="0.4">
      <c r="A5" s="3">
        <v>2</v>
      </c>
      <c r="B5" s="3">
        <v>2</v>
      </c>
      <c r="C5" s="4" t="s">
        <v>67</v>
      </c>
      <c r="D5" s="4" t="str">
        <f t="shared" ref="D5:D8" si="4">TEXT(C5,"000000")</f>
        <v>J805SJ</v>
      </c>
      <c r="E5" s="4" t="s">
        <v>67</v>
      </c>
      <c r="F5" s="4" t="str">
        <f t="shared" ref="F5:F8" si="5">D5&amp;I5</f>
        <v>J805SJ5</v>
      </c>
      <c r="G5" s="4" t="s">
        <v>72</v>
      </c>
      <c r="H5" s="5">
        <v>71701200082</v>
      </c>
      <c r="I5" s="33">
        <v>5</v>
      </c>
      <c r="J5" s="5"/>
      <c r="K5" s="5">
        <v>1</v>
      </c>
      <c r="L5" s="5">
        <v>1</v>
      </c>
      <c r="M5" s="5">
        <v>2500</v>
      </c>
      <c r="N5" s="5">
        <v>2375</v>
      </c>
      <c r="O5" s="5">
        <v>1625</v>
      </c>
      <c r="P5" s="6">
        <f t="shared" ref="P5:P8" si="6">IFERROR(1-O5/N5,"-")</f>
        <v>0.31578947368421051</v>
      </c>
      <c r="Q5" s="4" t="s">
        <v>76</v>
      </c>
      <c r="R5" s="4"/>
      <c r="S5" s="4"/>
      <c r="T5" s="4"/>
      <c r="U5" s="4"/>
      <c r="V5" s="4"/>
      <c r="W5" s="4"/>
      <c r="X5" s="4"/>
      <c r="Y5" s="4"/>
      <c r="Z5" s="4">
        <v>3280</v>
      </c>
      <c r="AA5" s="4">
        <f t="shared" ref="AA5:AA8" si="7">IF(AD5="",Z5,Z5*AD5)</f>
        <v>3280</v>
      </c>
      <c r="AB5" s="4">
        <v>2132</v>
      </c>
      <c r="AC5" s="4">
        <f t="shared" ref="AC5:AC8" si="8">IF(AD5="",AB5,AB5*AD5)</f>
        <v>2132</v>
      </c>
      <c r="AD5" s="4"/>
      <c r="AE5" s="21">
        <f t="shared" si="0"/>
        <v>3116</v>
      </c>
      <c r="AF5" s="6">
        <f t="shared" ref="AF5:AF8" si="9">IFERROR(1-AC5/AE5,"-")</f>
        <v>0.31578947368421051</v>
      </c>
      <c r="AG5" s="33">
        <v>0.25</v>
      </c>
      <c r="AH5" s="4">
        <f t="shared" ref="AH5:AH8" si="10">BI5</f>
        <v>3455</v>
      </c>
      <c r="AI5" s="33">
        <f t="shared" ref="AI5:AI8" si="11">IFERROR(AH5*AS5,"-")</f>
        <v>4532.96</v>
      </c>
      <c r="AJ5" s="6">
        <f t="shared" ref="AJ5:AJ8" si="12">IFERROR(1-AC5/AI5,"-")</f>
        <v>0.52966714905933432</v>
      </c>
      <c r="AK5" s="7">
        <v>3110</v>
      </c>
      <c r="AL5" s="6">
        <f t="shared" si="1"/>
        <v>0.3144694533762058</v>
      </c>
      <c r="AM5" s="4">
        <f t="shared" si="2"/>
        <v>978</v>
      </c>
      <c r="AN5" s="28"/>
      <c r="AO5" s="6"/>
      <c r="AP5" s="6"/>
      <c r="AQ5" s="6">
        <f t="shared" ref="AQ5:AQ8" si="13">IFERROR(AA5/M5,"-")</f>
        <v>1.3120000000000001</v>
      </c>
      <c r="AR5" s="6">
        <f t="shared" ref="AR5:AR8" si="14">IFERROR(AK5/N5,"-")</f>
        <v>1.3094736842105263</v>
      </c>
      <c r="AS5" s="6">
        <f t="shared" ref="AS5:AS8" si="15">IFERROR(AC5/O5,"-")</f>
        <v>1.3120000000000001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1" t="s">
        <v>84</v>
      </c>
      <c r="BE5" s="4"/>
      <c r="BF5" s="4"/>
      <c r="BG5" s="4" t="s">
        <v>79</v>
      </c>
      <c r="BH5" s="4">
        <v>3455</v>
      </c>
      <c r="BI5" s="4">
        <f t="shared" si="3"/>
        <v>3455</v>
      </c>
      <c r="BJ5" s="19">
        <v>4</v>
      </c>
      <c r="BK5" s="19">
        <v>8</v>
      </c>
      <c r="BL5" s="16">
        <v>11</v>
      </c>
      <c r="BM5" t="s">
        <v>76</v>
      </c>
      <c r="BN5" t="str">
        <f t="shared" ref="BN5:BN8" si="16">IFERROR(BM5*AS5,"-")</f>
        <v>-</v>
      </c>
      <c r="BO5">
        <v>3116</v>
      </c>
      <c r="BP5">
        <f t="shared" ref="BP5:BP8" si="17">IFERROR(BO5*AS5,"-")</f>
        <v>4088.192</v>
      </c>
      <c r="BQ5" t="s">
        <v>83</v>
      </c>
    </row>
    <row r="6" spans="1:69" x14ac:dyDescent="0.4">
      <c r="A6" s="3">
        <v>3</v>
      </c>
      <c r="B6" s="3">
        <v>3</v>
      </c>
      <c r="C6" s="17" t="s">
        <v>68</v>
      </c>
      <c r="D6" s="4" t="str">
        <f t="shared" si="4"/>
        <v>J806SJ</v>
      </c>
      <c r="E6" s="4" t="s">
        <v>68</v>
      </c>
      <c r="F6" s="4" t="str">
        <f t="shared" si="5"/>
        <v>J806SJ5</v>
      </c>
      <c r="G6" s="4" t="s">
        <v>73</v>
      </c>
      <c r="H6" s="5">
        <v>4560191328780</v>
      </c>
      <c r="I6" s="33">
        <v>5</v>
      </c>
      <c r="J6" s="5"/>
      <c r="K6" s="5">
        <v>1</v>
      </c>
      <c r="L6" s="5">
        <v>1</v>
      </c>
      <c r="M6" s="5">
        <v>400</v>
      </c>
      <c r="N6" s="5">
        <v>380</v>
      </c>
      <c r="O6" s="5">
        <v>260</v>
      </c>
      <c r="P6" s="6">
        <f t="shared" si="6"/>
        <v>0.31578947368421051</v>
      </c>
      <c r="Q6" s="4" t="s">
        <v>76</v>
      </c>
      <c r="R6" s="4"/>
      <c r="S6" s="4"/>
      <c r="T6" s="4"/>
      <c r="U6" s="4"/>
      <c r="V6" s="4"/>
      <c r="W6" s="4"/>
      <c r="X6" s="4"/>
      <c r="Y6" s="4"/>
      <c r="Z6" s="4">
        <v>700</v>
      </c>
      <c r="AA6" s="4">
        <f t="shared" si="7"/>
        <v>700</v>
      </c>
      <c r="AB6" s="4">
        <v>455</v>
      </c>
      <c r="AC6" s="4">
        <f t="shared" si="8"/>
        <v>455</v>
      </c>
      <c r="AD6" s="4"/>
      <c r="AE6" s="21">
        <f t="shared" si="0"/>
        <v>665</v>
      </c>
      <c r="AF6" s="6">
        <f t="shared" si="9"/>
        <v>0.31578947368421051</v>
      </c>
      <c r="AG6" s="33">
        <v>1</v>
      </c>
      <c r="AH6" s="4">
        <f t="shared" si="10"/>
        <v>700</v>
      </c>
      <c r="AI6" s="33">
        <f t="shared" si="11"/>
        <v>1225</v>
      </c>
      <c r="AJ6" s="6">
        <f t="shared" si="12"/>
        <v>0.62857142857142856</v>
      </c>
      <c r="AK6" s="7">
        <v>680</v>
      </c>
      <c r="AL6" s="6">
        <f t="shared" si="1"/>
        <v>0.33088235294117652</v>
      </c>
      <c r="AM6" s="4">
        <f t="shared" si="2"/>
        <v>225</v>
      </c>
      <c r="AN6" s="28"/>
      <c r="AO6" s="6"/>
      <c r="AP6" s="6"/>
      <c r="AQ6" s="6">
        <f t="shared" si="13"/>
        <v>1.75</v>
      </c>
      <c r="AR6" s="6">
        <f t="shared" si="14"/>
        <v>1.7894736842105263</v>
      </c>
      <c r="AS6" s="6">
        <f t="shared" si="15"/>
        <v>1.75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86</v>
      </c>
      <c r="BE6" s="4"/>
      <c r="BF6" s="4"/>
      <c r="BG6" s="4" t="s">
        <v>87</v>
      </c>
      <c r="BH6" s="4">
        <v>700</v>
      </c>
      <c r="BI6" s="4">
        <f t="shared" ref="BI6:BI8" si="18">IF(BE6="",BH6,BE6/BF6*BH6)</f>
        <v>700</v>
      </c>
      <c r="BJ6" s="19">
        <v>4</v>
      </c>
      <c r="BK6" s="19">
        <v>8</v>
      </c>
      <c r="BL6" s="16">
        <v>11</v>
      </c>
      <c r="BM6" t="s">
        <v>76</v>
      </c>
      <c r="BN6" t="str">
        <f t="shared" si="16"/>
        <v>-</v>
      </c>
      <c r="BO6">
        <v>970</v>
      </c>
      <c r="BP6">
        <f t="shared" si="17"/>
        <v>1697.5</v>
      </c>
      <c r="BQ6" t="s">
        <v>85</v>
      </c>
    </row>
    <row r="7" spans="1:69" x14ac:dyDescent="0.4">
      <c r="A7" s="3">
        <v>4</v>
      </c>
      <c r="B7" s="3">
        <v>4</v>
      </c>
      <c r="C7" s="17" t="s">
        <v>69</v>
      </c>
      <c r="D7" s="4" t="str">
        <f t="shared" si="4"/>
        <v>J807SJ</v>
      </c>
      <c r="E7" s="4" t="s">
        <v>69</v>
      </c>
      <c r="F7" s="4" t="str">
        <f t="shared" si="5"/>
        <v>J807SJ5</v>
      </c>
      <c r="G7" s="4" t="s">
        <v>74</v>
      </c>
      <c r="H7" s="5">
        <v>4560191328803</v>
      </c>
      <c r="I7" s="33">
        <v>5</v>
      </c>
      <c r="J7" s="5"/>
      <c r="K7" s="5">
        <v>1</v>
      </c>
      <c r="L7" s="5">
        <v>1</v>
      </c>
      <c r="M7" s="5">
        <v>400</v>
      </c>
      <c r="N7" s="5">
        <v>408</v>
      </c>
      <c r="O7" s="5">
        <v>260</v>
      </c>
      <c r="P7" s="6">
        <f t="shared" si="6"/>
        <v>0.36274509803921573</v>
      </c>
      <c r="Q7" s="4" t="s">
        <v>76</v>
      </c>
      <c r="R7" s="4"/>
      <c r="S7" s="4"/>
      <c r="T7" s="4"/>
      <c r="U7" s="4"/>
      <c r="V7" s="4"/>
      <c r="W7" s="4"/>
      <c r="X7" s="4"/>
      <c r="Y7" s="4"/>
      <c r="Z7" s="4">
        <v>700</v>
      </c>
      <c r="AA7" s="4">
        <f t="shared" si="7"/>
        <v>700</v>
      </c>
      <c r="AB7" s="4">
        <v>455</v>
      </c>
      <c r="AC7" s="4">
        <f t="shared" si="8"/>
        <v>455</v>
      </c>
      <c r="AD7" s="4"/>
      <c r="AE7" s="21">
        <f t="shared" si="0"/>
        <v>714</v>
      </c>
      <c r="AF7" s="6">
        <f t="shared" si="9"/>
        <v>0.36274509803921573</v>
      </c>
      <c r="AG7" s="33">
        <v>0.25</v>
      </c>
      <c r="AH7" s="4">
        <f t="shared" si="10"/>
        <v>700</v>
      </c>
      <c r="AI7" s="33">
        <f t="shared" si="11"/>
        <v>1225</v>
      </c>
      <c r="AJ7" s="6">
        <f t="shared" si="12"/>
        <v>0.62857142857142856</v>
      </c>
      <c r="AK7" s="7">
        <v>680</v>
      </c>
      <c r="AL7" s="6">
        <f t="shared" si="1"/>
        <v>0.33088235294117652</v>
      </c>
      <c r="AM7" s="4">
        <f t="shared" si="2"/>
        <v>225</v>
      </c>
      <c r="AN7" s="28"/>
      <c r="AO7" s="6"/>
      <c r="AP7" s="6"/>
      <c r="AQ7" s="6">
        <f t="shared" si="13"/>
        <v>1.75</v>
      </c>
      <c r="AR7" s="6">
        <f t="shared" si="14"/>
        <v>1.6666666666666667</v>
      </c>
      <c r="AS7" s="6">
        <f t="shared" si="15"/>
        <v>1.75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89</v>
      </c>
      <c r="BE7" s="4"/>
      <c r="BF7" s="4"/>
      <c r="BG7" s="4" t="s">
        <v>87</v>
      </c>
      <c r="BH7" s="4">
        <v>700</v>
      </c>
      <c r="BI7" s="4">
        <f t="shared" si="18"/>
        <v>700</v>
      </c>
      <c r="BJ7" s="19">
        <v>4</v>
      </c>
      <c r="BK7" s="19">
        <v>8</v>
      </c>
      <c r="BL7" s="16">
        <v>11</v>
      </c>
      <c r="BM7" t="s">
        <v>76</v>
      </c>
      <c r="BN7" t="str">
        <f t="shared" si="16"/>
        <v>-</v>
      </c>
      <c r="BO7">
        <v>740</v>
      </c>
      <c r="BP7">
        <f t="shared" si="17"/>
        <v>1295</v>
      </c>
      <c r="BQ7" t="s">
        <v>88</v>
      </c>
    </row>
    <row r="8" spans="1:69" x14ac:dyDescent="0.4">
      <c r="A8" s="3">
        <v>5</v>
      </c>
      <c r="B8" s="3">
        <v>5</v>
      </c>
      <c r="C8" s="17" t="s">
        <v>70</v>
      </c>
      <c r="D8" s="4" t="str">
        <f t="shared" si="4"/>
        <v>J88849</v>
      </c>
      <c r="E8" s="4" t="s">
        <v>70</v>
      </c>
      <c r="F8" s="4" t="str">
        <f t="shared" si="5"/>
        <v>J888495</v>
      </c>
      <c r="G8" s="4" t="s">
        <v>75</v>
      </c>
      <c r="H8" s="5">
        <v>4580310090169</v>
      </c>
      <c r="I8" s="33">
        <v>5</v>
      </c>
      <c r="J8" s="5"/>
      <c r="K8" s="5">
        <v>1</v>
      </c>
      <c r="L8" s="5">
        <v>1</v>
      </c>
      <c r="M8" s="5">
        <v>2700</v>
      </c>
      <c r="N8" s="5">
        <v>2754</v>
      </c>
      <c r="O8" s="5">
        <v>1944</v>
      </c>
      <c r="P8" s="6">
        <f t="shared" si="6"/>
        <v>0.29411764705882348</v>
      </c>
      <c r="Q8" s="4" t="s">
        <v>76</v>
      </c>
      <c r="R8" s="4"/>
      <c r="S8" s="4"/>
      <c r="T8" s="4"/>
      <c r="U8" s="4"/>
      <c r="V8" s="4"/>
      <c r="W8" s="4"/>
      <c r="X8" s="4"/>
      <c r="Y8" s="4"/>
      <c r="Z8" s="4">
        <v>4300</v>
      </c>
      <c r="AA8" s="4">
        <f t="shared" si="7"/>
        <v>4300</v>
      </c>
      <c r="AB8" s="4">
        <v>2881</v>
      </c>
      <c r="AC8" s="4">
        <f t="shared" si="8"/>
        <v>2881</v>
      </c>
      <c r="AD8" s="4"/>
      <c r="AE8" s="21">
        <f t="shared" si="0"/>
        <v>4081</v>
      </c>
      <c r="AF8" s="6">
        <f t="shared" si="9"/>
        <v>0.29404557706444501</v>
      </c>
      <c r="AG8" s="33">
        <v>14.249999999999998</v>
      </c>
      <c r="AH8" s="4" t="str">
        <f t="shared" si="10"/>
        <v>-</v>
      </c>
      <c r="AI8" s="33" t="str">
        <f t="shared" si="11"/>
        <v>-</v>
      </c>
      <c r="AJ8" s="6" t="str">
        <f t="shared" si="12"/>
        <v>-</v>
      </c>
      <c r="AK8" s="7">
        <v>4200</v>
      </c>
      <c r="AL8" s="6">
        <f t="shared" si="1"/>
        <v>0.31404761904761902</v>
      </c>
      <c r="AM8" s="4">
        <f t="shared" si="2"/>
        <v>1319</v>
      </c>
      <c r="AN8" s="28"/>
      <c r="AO8" s="6"/>
      <c r="AP8" s="6"/>
      <c r="AQ8" s="6">
        <f t="shared" si="13"/>
        <v>1.5925925925925926</v>
      </c>
      <c r="AR8" s="6">
        <f t="shared" si="14"/>
        <v>1.5250544662309369</v>
      </c>
      <c r="AS8" s="6">
        <f t="shared" si="15"/>
        <v>1.4819958847736625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76</v>
      </c>
      <c r="BE8" s="4"/>
      <c r="BF8" s="4"/>
      <c r="BG8" s="4" t="s">
        <v>76</v>
      </c>
      <c r="BH8" s="4" t="s">
        <v>76</v>
      </c>
      <c r="BI8" s="4" t="str">
        <f t="shared" si="18"/>
        <v>-</v>
      </c>
      <c r="BJ8" s="19">
        <v>4</v>
      </c>
      <c r="BK8" s="19">
        <v>1</v>
      </c>
      <c r="BL8" s="16">
        <v>6</v>
      </c>
      <c r="BM8" t="s">
        <v>76</v>
      </c>
      <c r="BN8" t="str">
        <f t="shared" si="16"/>
        <v>-</v>
      </c>
      <c r="BO8" t="s">
        <v>76</v>
      </c>
      <c r="BP8" t="str">
        <f t="shared" si="17"/>
        <v>-</v>
      </c>
      <c r="BQ8" t="s">
        <v>76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:AK8">
    <cfRule type="cellIs" dxfId="2" priority="4" operator="greaterThan">
      <formula>$AA4</formula>
    </cfRule>
  </conditionalFormatting>
  <conditionalFormatting sqref="AI4:AI8">
    <cfRule type="cellIs" dxfId="1" priority="2" operator="lessThan">
      <formula>$AK4</formula>
    </cfRule>
  </conditionalFormatting>
  <conditionalFormatting sqref="AL4:AL8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2026-07-06T05:13:22Z</dcterms:modified>
</cp:coreProperties>
</file>