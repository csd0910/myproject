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frt-nas\01_全社共有\商品部\個人フォルダ\須永\価格改定\2026年7月1日改定\"/>
    </mc:Choice>
  </mc:AlternateContent>
  <xr:revisionPtr revIDLastSave="0" documentId="13_ncr:1_{4926D47A-5546-46CE-944C-F85D525A76EA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 hidden="1">Sheet1!$A$3:$BG$17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D17" i="1" l="1"/>
  <c r="AD14" i="1"/>
  <c r="AD8" i="1"/>
  <c r="AM8" i="1" s="1"/>
  <c r="AD7" i="1"/>
  <c r="AM7" i="1" s="1"/>
  <c r="AD5" i="1"/>
  <c r="AM5" i="1" s="1"/>
  <c r="AD4" i="1"/>
  <c r="AM4" i="1" s="1"/>
  <c r="AW15" i="1"/>
  <c r="AA15" i="1" s="1"/>
  <c r="AW16" i="1"/>
  <c r="AA16" i="1" s="1"/>
  <c r="AW17" i="1"/>
  <c r="AA17" i="1" s="1"/>
  <c r="AN5" i="1"/>
  <c r="AO5" i="1"/>
  <c r="AM6" i="1"/>
  <c r="AN6" i="1"/>
  <c r="AO6" i="1"/>
  <c r="AN7" i="1"/>
  <c r="AO7" i="1"/>
  <c r="AN8" i="1"/>
  <c r="AO8" i="1"/>
  <c r="AM9" i="1"/>
  <c r="AN9" i="1"/>
  <c r="AO9" i="1"/>
  <c r="AM10" i="1"/>
  <c r="AN10" i="1"/>
  <c r="AO10" i="1"/>
  <c r="AM11" i="1"/>
  <c r="AN11" i="1"/>
  <c r="AO11" i="1"/>
  <c r="AM12" i="1"/>
  <c r="AN12" i="1"/>
  <c r="AO12" i="1"/>
  <c r="AM13" i="1"/>
  <c r="AN13" i="1"/>
  <c r="AO13" i="1"/>
  <c r="AM14" i="1"/>
  <c r="AN14" i="1"/>
  <c r="AO14" i="1"/>
  <c r="AM15" i="1"/>
  <c r="AN15" i="1"/>
  <c r="AO15" i="1"/>
  <c r="AM16" i="1"/>
  <c r="AN16" i="1"/>
  <c r="AO16" i="1"/>
  <c r="AM17" i="1"/>
  <c r="AN17" i="1"/>
  <c r="AO17" i="1"/>
  <c r="AO4" i="1"/>
  <c r="AN4" i="1"/>
  <c r="O16" i="1"/>
  <c r="AK17" i="1"/>
  <c r="O17" i="1"/>
  <c r="AW5" i="1"/>
  <c r="AA5" i="1" s="1"/>
  <c r="AK5" i="1"/>
  <c r="V5" i="1"/>
  <c r="T5" i="1"/>
  <c r="AJ5" i="1" s="1"/>
  <c r="O5" i="1"/>
  <c r="D5" i="1"/>
  <c r="V17" i="1"/>
  <c r="AF17" i="1" s="1"/>
  <c r="T17" i="1"/>
  <c r="D17" i="1"/>
  <c r="AK16" i="1"/>
  <c r="V16" i="1"/>
  <c r="AF16" i="1" s="1"/>
  <c r="T16" i="1"/>
  <c r="AJ16" i="1" s="1"/>
  <c r="D16" i="1"/>
  <c r="AK15" i="1"/>
  <c r="V15" i="1"/>
  <c r="AL15" i="1" s="1"/>
  <c r="X15" i="1" s="1"/>
  <c r="Y15" i="1" s="1"/>
  <c r="T15" i="1"/>
  <c r="AJ15" i="1" s="1"/>
  <c r="O15" i="1"/>
  <c r="D15" i="1"/>
  <c r="AI16" i="1" l="1"/>
  <c r="AE5" i="1"/>
  <c r="AH16" i="1"/>
  <c r="AI15" i="1"/>
  <c r="AH15" i="1"/>
  <c r="AI17" i="1"/>
  <c r="AI5" i="1"/>
  <c r="AH17" i="1"/>
  <c r="AH5" i="1"/>
  <c r="BC15" i="1"/>
  <c r="BF15" i="1"/>
  <c r="AJ17" i="1"/>
  <c r="AB15" i="1"/>
  <c r="AC15" i="1" s="1"/>
  <c r="AE15" i="1"/>
  <c r="AE16" i="1"/>
  <c r="AF15" i="1"/>
  <c r="AE17" i="1"/>
  <c r="AF5" i="1"/>
  <c r="AL17" i="1"/>
  <c r="AL5" i="1"/>
  <c r="AL16" i="1"/>
  <c r="BF16" i="1" l="1"/>
  <c r="BC16" i="1"/>
  <c r="BF5" i="1"/>
  <c r="BC5" i="1"/>
  <c r="BC17" i="1"/>
  <c r="BF17" i="1"/>
  <c r="X17" i="1"/>
  <c r="Y17" i="1" s="1"/>
  <c r="X16" i="1"/>
  <c r="Y16" i="1" s="1"/>
  <c r="X5" i="1"/>
  <c r="Y5" i="1" s="1"/>
  <c r="AB5" i="1"/>
  <c r="AC5" i="1" s="1"/>
  <c r="AB16" i="1"/>
  <c r="AC16" i="1" s="1"/>
  <c r="AB17" i="1"/>
  <c r="AC17" i="1" s="1"/>
  <c r="AW6" i="1"/>
  <c r="AA6" i="1" s="1"/>
  <c r="AW7" i="1"/>
  <c r="AA7" i="1" s="1"/>
  <c r="AW8" i="1"/>
  <c r="AA8" i="1" s="1"/>
  <c r="AW10" i="1"/>
  <c r="AA10" i="1" s="1"/>
  <c r="AW11" i="1"/>
  <c r="AA11" i="1" s="1"/>
  <c r="AW12" i="1"/>
  <c r="AA12" i="1" s="1"/>
  <c r="AW13" i="1"/>
  <c r="AA13" i="1" s="1"/>
  <c r="AW14" i="1"/>
  <c r="AA14" i="1" s="1"/>
  <c r="AW4" i="1"/>
  <c r="AA4" i="1" s="1"/>
  <c r="V6" i="1"/>
  <c r="V7" i="1"/>
  <c r="V8" i="1"/>
  <c r="V9" i="1"/>
  <c r="V10" i="1"/>
  <c r="V11" i="1"/>
  <c r="V12" i="1"/>
  <c r="V13" i="1"/>
  <c r="V14" i="1"/>
  <c r="T6" i="1"/>
  <c r="AJ6" i="1" s="1"/>
  <c r="T7" i="1"/>
  <c r="AJ7" i="1" s="1"/>
  <c r="T8" i="1"/>
  <c r="AJ8" i="1" s="1"/>
  <c r="T9" i="1"/>
  <c r="AJ9" i="1" s="1"/>
  <c r="T10" i="1"/>
  <c r="AJ10" i="1" s="1"/>
  <c r="T11" i="1"/>
  <c r="AJ11" i="1" s="1"/>
  <c r="T12" i="1"/>
  <c r="AJ12" i="1" s="1"/>
  <c r="T13" i="1"/>
  <c r="AJ13" i="1" s="1"/>
  <c r="T14" i="1"/>
  <c r="AJ14" i="1" s="1"/>
  <c r="D6" i="1"/>
  <c r="D7" i="1"/>
  <c r="D8" i="1"/>
  <c r="D9" i="1"/>
  <c r="D10" i="1"/>
  <c r="D11" i="1"/>
  <c r="D12" i="1"/>
  <c r="D13" i="1"/>
  <c r="D14" i="1"/>
  <c r="D4" i="1"/>
  <c r="V4" i="1"/>
  <c r="T4" i="1"/>
  <c r="AJ4" i="1" s="1"/>
  <c r="AK14" i="1"/>
  <c r="O14" i="1"/>
  <c r="AK13" i="1"/>
  <c r="O13" i="1"/>
  <c r="AK12" i="1"/>
  <c r="O12" i="1"/>
  <c r="AK11" i="1"/>
  <c r="O11" i="1"/>
  <c r="AK4" i="1"/>
  <c r="AK10" i="1"/>
  <c r="O10" i="1"/>
  <c r="AW9" i="1"/>
  <c r="AA9" i="1" s="1"/>
  <c r="AK9" i="1"/>
  <c r="O9" i="1"/>
  <c r="AK8" i="1"/>
  <c r="O8" i="1"/>
  <c r="AK7" i="1"/>
  <c r="O7" i="1"/>
  <c r="AL6" i="1"/>
  <c r="AK6" i="1"/>
  <c r="O6" i="1"/>
  <c r="O4" i="1"/>
  <c r="AH13" i="1" l="1"/>
  <c r="AI13" i="1"/>
  <c r="AH7" i="1"/>
  <c r="AI7" i="1"/>
  <c r="AH14" i="1"/>
  <c r="AI14" i="1"/>
  <c r="AI12" i="1"/>
  <c r="AH12" i="1"/>
  <c r="AI8" i="1"/>
  <c r="AH8" i="1"/>
  <c r="AH11" i="1"/>
  <c r="AI11" i="1"/>
  <c r="AH6" i="1"/>
  <c r="AI6" i="1"/>
  <c r="AH10" i="1"/>
  <c r="AI10" i="1"/>
  <c r="AH9" i="1"/>
  <c r="AI9" i="1"/>
  <c r="BC6" i="1"/>
  <c r="BF6" i="1"/>
  <c r="X6" i="1"/>
  <c r="Y6" i="1" s="1"/>
  <c r="AE14" i="1"/>
  <c r="AE6" i="1"/>
  <c r="AE13" i="1"/>
  <c r="AF11" i="1"/>
  <c r="AE4" i="1"/>
  <c r="AE10" i="1"/>
  <c r="AF9" i="1"/>
  <c r="AF12" i="1"/>
  <c r="AF8" i="1"/>
  <c r="AL7" i="1"/>
  <c r="AB6" i="1"/>
  <c r="AC6" i="1" s="1"/>
  <c r="AL11" i="1"/>
  <c r="AL13" i="1"/>
  <c r="AL9" i="1"/>
  <c r="AF7" i="1"/>
  <c r="AL14" i="1"/>
  <c r="AE12" i="1"/>
  <c r="AE11" i="1"/>
  <c r="AE9" i="1"/>
  <c r="AL12" i="1"/>
  <c r="AF10" i="1"/>
  <c r="AL10" i="1"/>
  <c r="AE8" i="1"/>
  <c r="AF14" i="1"/>
  <c r="AF6" i="1"/>
  <c r="AL8" i="1"/>
  <c r="AE7" i="1"/>
  <c r="AF13" i="1"/>
  <c r="AH4" i="1"/>
  <c r="AI4" i="1"/>
  <c r="AF4" i="1"/>
  <c r="AL4" i="1"/>
  <c r="BF9" i="1" l="1"/>
  <c r="BC9" i="1"/>
  <c r="BF13" i="1"/>
  <c r="BC13" i="1"/>
  <c r="BF12" i="1"/>
  <c r="BC12" i="1"/>
  <c r="BC10" i="1"/>
  <c r="BF10" i="1"/>
  <c r="BF11" i="1"/>
  <c r="BC11" i="1"/>
  <c r="BF8" i="1"/>
  <c r="BC8" i="1"/>
  <c r="BC7" i="1"/>
  <c r="BF7" i="1"/>
  <c r="BC4" i="1"/>
  <c r="BF4" i="1"/>
  <c r="BF14" i="1"/>
  <c r="BC14" i="1"/>
  <c r="X12" i="1"/>
  <c r="Y12" i="1" s="1"/>
  <c r="X10" i="1"/>
  <c r="Y10" i="1" s="1"/>
  <c r="X9" i="1"/>
  <c r="Y9" i="1" s="1"/>
  <c r="X13" i="1"/>
  <c r="Y13" i="1" s="1"/>
  <c r="X11" i="1"/>
  <c r="Y11" i="1" s="1"/>
  <c r="X8" i="1"/>
  <c r="Y8" i="1" s="1"/>
  <c r="X7" i="1"/>
  <c r="Y7" i="1" s="1"/>
  <c r="X4" i="1"/>
  <c r="Y4" i="1" s="1"/>
  <c r="X14" i="1"/>
  <c r="Y14" i="1" s="1"/>
  <c r="AB8" i="1"/>
  <c r="AC8" i="1" s="1"/>
  <c r="AB10" i="1"/>
  <c r="AC10" i="1" s="1"/>
  <c r="AB13" i="1"/>
  <c r="AC13" i="1" s="1"/>
  <c r="AB7" i="1"/>
  <c r="AC7" i="1" s="1"/>
  <c r="AB14" i="1"/>
  <c r="AC14" i="1" s="1"/>
  <c r="AB4" i="1"/>
  <c r="AC4" i="1" s="1"/>
  <c r="AB11" i="1"/>
  <c r="AC11" i="1" s="1"/>
  <c r="AB12" i="1"/>
  <c r="AC12" i="1" s="1"/>
  <c r="AB9" i="1"/>
  <c r="AC9" i="1" s="1"/>
</calcChain>
</file>

<file path=xl/sharedStrings.xml><?xml version="1.0" encoding="utf-8"?>
<sst xmlns="http://schemas.openxmlformats.org/spreadsheetml/2006/main" count="179" uniqueCount="112">
  <si>
    <t>商品名</t>
    <rPh sb="0" eb="3">
      <t>ショウヒンメイ</t>
    </rPh>
    <phoneticPr fontId="1"/>
  </si>
  <si>
    <t>小売価格
(税抜）</t>
    <rPh sb="6" eb="8">
      <t>ゼイヌ</t>
    </rPh>
    <phoneticPr fontId="1"/>
  </si>
  <si>
    <t>現行</t>
    <rPh sb="0" eb="2">
      <t>ゲンコウ</t>
    </rPh>
    <phoneticPr fontId="2"/>
  </si>
  <si>
    <t>小売価格
(税抜)</t>
    <rPh sb="6" eb="8">
      <t>ゼイヌ</t>
    </rPh>
    <phoneticPr fontId="1"/>
  </si>
  <si>
    <t>品目CD</t>
    <rPh sb="0" eb="2">
      <t>ヒンモク</t>
    </rPh>
    <phoneticPr fontId="1"/>
  </si>
  <si>
    <t>仕切り</t>
    <rPh sb="0" eb="2">
      <t>シキ</t>
    </rPh>
    <phoneticPr fontId="2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</si>
  <si>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</si>
  <si>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</si>
  <si>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</si>
  <si>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</si>
  <si>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</si>
  <si>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</si>
  <si>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</si>
  <si>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</si>
  <si>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</si>
  <si>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</si>
  <si>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</si>
  <si>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</si>
  <si>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</si>
  <si>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</si>
  <si>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</si>
  <si>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</si>
  <si>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小売価格
(税抜)
換算</t>
    <rPh sb="6" eb="8">
      <t>ゼイヌ</t>
    </rPh>
    <rPh sb="10" eb="12">
      <t>カンザン</t>
    </rPh>
    <phoneticPr fontId="1"/>
  </si>
  <si>
    <t>仕切り
換算</t>
    <rPh sb="0" eb="2">
      <t>シキ</t>
    </rPh>
    <rPh sb="4" eb="6">
      <t>カンザン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</si>
  <si>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</si>
  <si>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</si>
  <si>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</si>
  <si>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</si>
  <si>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</si>
  <si>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</si>
  <si>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</si>
  <si>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</si>
  <si>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</si>
  <si>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</si>
  <si>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</si>
  <si>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</si>
  <si>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</si>
  <si>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</si>
  <si>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</si>
  <si>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アスクル
換算売価</t>
    <rPh sb="5" eb="7">
      <t>カンザン</t>
    </rPh>
    <rPh sb="7" eb="9">
      <t>バイカ</t>
    </rPh>
    <phoneticPr fontId="2"/>
  </si>
  <si>
    <t>改定後</t>
    <rPh sb="0" eb="2">
      <t>カイテイ</t>
    </rPh>
    <rPh sb="2" eb="3">
      <t>ゴ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</si>
  <si>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</si>
  <si>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</si>
  <si>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</si>
  <si>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</si>
  <si>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</si>
  <si>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</si>
  <si>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</si>
  <si>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</si>
  <si>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</si>
  <si>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</si>
  <si>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</si>
  <si>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</si>
  <si>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5月売価</t>
    <rPh sb="1" eb="2">
      <t>ガツ</t>
    </rPh>
    <rPh sb="2" eb="4">
      <t>バイカ</t>
    </rPh>
    <phoneticPr fontId="2"/>
  </si>
  <si>
    <t>新No.</t>
    <rPh sb="0" eb="1">
      <t>シン</t>
    </rPh>
    <phoneticPr fontId="2"/>
  </si>
  <si>
    <t>34/190</t>
  </si>
  <si>
    <t>NTｶｯﾀｰ/ｶｯﾀｰﾅｲﾌ ｱｲﾎﾞﾘｰ A-300/330-11</t>
  </si>
  <si>
    <t>NTｶｯﾀｰ/L型ｶｯﾀｰﾅｲﾌ 赤 L-500/330-21</t>
  </si>
  <si>
    <t>NTｶｯﾀｰ/L型ｶｯﾀｰﾅｲﾌ ｸﾞﾘｯﾌﾟ 赤 L-550/330-23</t>
  </si>
  <si>
    <t>NTｶｯﾀｰ/A型ｶｯﾀｰﾅｲﾌ ｵﾌﾎﾜｲﾄ A-300R/330-30</t>
  </si>
  <si>
    <t>NTｶｯﾀｰ/ﾃﾞｻﾞｲﾝﾅｲﾌ ﾍﾞｰｼｯｸ 黒 D-400/330-41</t>
  </si>
  <si>
    <t>NT/荷ほどき専用ｶｯﾀｰ R-1200P/330-72</t>
  </si>
  <si>
    <t>NTｶｯﾀｰ/ｶｯﾀｰﾅｲﾌ ｵｰﾄﾛｯｸ BAD刃 ｼﾙﾊﾞｰ PROAD-2P/330-77</t>
  </si>
  <si>
    <t>NTｶｯﾀｰ/薄物円切ｶｯﾀｰ ｸﾘｱ iC-1500P/330-84</t>
  </si>
  <si>
    <t>NTｶｯﾀｰ/薄物円切ｶｯﾀｰ延長ｽﾗｲﾄﾞ CE-700P/330-86</t>
  </si>
  <si>
    <t>G)NTｶｯﾀｰ/ｶｯﾀｰﾅｲﾌ 再生樹脂 A刃3枚 黒 eA-300/331-27</t>
  </si>
  <si>
    <t>G)NT/ｶｯﾀｰﾅｲﾌ 再生樹脂 BL刃3枚付 黒 eL-500/331-28</t>
  </si>
  <si>
    <t>NTｶｯﾀｰ/ｶｯﾀｰ ｼﾞｭﾆｱA型 ｸﾘｱｵﾚﾝｼﾞ iA-120P(O)/331-65</t>
  </si>
  <si>
    <t>NTｶｯﾀｰ/ｶｯﾀｰﾅｲﾌ ﾜﾝﾀｯﾁ式 ｽｹﾙﾄﾝ ﾌﾞﾙｰ iL-120P/331-71</t>
  </si>
  <si>
    <t>NTｶｯﾀｰ/ｶｯﾀｰﾅｲﾌ ｱｲﾎﾞﾘｰ A-300 20本/330-11</t>
  </si>
  <si>
    <t>-</t>
  </si>
  <si>
    <t>エヌティー NTカッター Aー300 一般作業用 1セット(5本)（直送品）</t>
  </si>
  <si>
    <t>エヌティー NTカッター L-500 作業用ネジ式 1本（直送品）</t>
  </si>
  <si>
    <t>エヌティー NT カッターL型 箱 L-550 1本</t>
  </si>
  <si>
    <t>エヌティー　NTカッター　A-300R</t>
  </si>
  <si>
    <t>エヌティー デザインナイフベーシック D-400 1本</t>
  </si>
  <si>
    <t>エヌティー 開梱用カッター・R刃2枚 R-1200P 1個</t>
  </si>
  <si>
    <t>エヌティー プロ用カッター AD型 ADー2P 1セット(3本)（直送品）</t>
  </si>
  <si>
    <t>エヌティー 円切り・DA刃6枚・直径1.8～17cm・センターゲージ付 iC-1500P 1セット（5個）（直送品）</t>
  </si>
  <si>
    <t>エヌティー NT ビームスライド(薄物用) CE-700P 1個 395-8221（直送品）</t>
  </si>
  <si>
    <t>エヌティー NTカッター eAー300 A型 1セット(5本)（直送品）</t>
  </si>
  <si>
    <t>エヌティー NTカッター L型 グリーン購入法対応 EL-500 1本</t>
  </si>
  <si>
    <t>エヌティー NT カッターA型 スケルトン オレンジ IA-120P-O 1セット(14個:1個×14丁) 395-8281（直送品）</t>
  </si>
  <si>
    <t>エヌティー カッター L型 ブルー（スケルトン） iL-120P（B）</t>
  </si>
  <si>
    <t>N862810</t>
  </si>
  <si>
    <t>1セット(5本)</t>
  </si>
  <si>
    <t>AX33383</t>
  </si>
  <si>
    <t>1本</t>
  </si>
  <si>
    <t>RE44815</t>
  </si>
  <si>
    <t>309906</t>
  </si>
  <si>
    <t>XE73717</t>
  </si>
  <si>
    <t>AX27079</t>
  </si>
  <si>
    <t>1個</t>
  </si>
  <si>
    <t>N862809</t>
  </si>
  <si>
    <t>1セット(3本)</t>
  </si>
  <si>
    <t>A785695</t>
  </si>
  <si>
    <t>1セット（5個）</t>
  </si>
  <si>
    <t>K390416</t>
  </si>
  <si>
    <t>N862811</t>
  </si>
  <si>
    <t>UK26442</t>
  </si>
  <si>
    <t>N009499</t>
  </si>
  <si>
    <t>1セット(14個:1個×14丁)</t>
  </si>
  <si>
    <t>P729088</t>
  </si>
  <si>
    <t>5月
たの</t>
    <rPh sb="1" eb="2">
      <t>ガツ</t>
    </rPh>
    <phoneticPr fontId="2"/>
  </si>
  <si>
    <t>たの
ｽﾗｲﾄﾞ</t>
    <phoneticPr fontId="2"/>
  </si>
  <si>
    <t>5月
カウ</t>
    <rPh sb="1" eb="2">
      <t>ガツ</t>
    </rPh>
    <phoneticPr fontId="2"/>
  </si>
  <si>
    <t>カウ
ｽﾗｲﾄﾞ</t>
    <phoneticPr fontId="2"/>
  </si>
  <si>
    <t>6月売価</t>
    <rPh sb="1" eb="2">
      <t>ガツ</t>
    </rPh>
    <rPh sb="2" eb="4">
      <t>バイカ</t>
    </rPh>
    <phoneticPr fontId="2"/>
  </si>
  <si>
    <t>6月
たの</t>
    <rPh sb="1" eb="2">
      <t>ガツ</t>
    </rPh>
    <phoneticPr fontId="2"/>
  </si>
  <si>
    <t>6月
カウ</t>
    <rPh sb="1" eb="2">
      <t>ガツ</t>
    </rPh>
    <phoneticPr fontId="2"/>
  </si>
  <si>
    <t>FWのみ</t>
    <phoneticPr fontId="2"/>
  </si>
  <si>
    <t>FW以外</t>
    <rPh sb="2" eb="4">
      <t>イガイ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</si>
</sst>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10" xfId="0" applyBorder="1">
      <alignment vertical="center"/>
    </xf>
    <xf numFmtId="0" fontId="0" fillId="3" borderId="4" xfId="0" applyFill="1" applyBorder="1">
      <alignment vertical="center"/>
    </xf>
    <xf numFmtId="0" fontId="0" fillId="0" borderId="19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</cellXfs>
  <cellStyles count="1">
    <cellStyle name="標準" xfId="0" builtinId="0"/>
  </cellStyles>
  <dxfs count="3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G17"/>
  <sheetViews>
    <sheetView tabSelected="1" zoomScale="90" zoomScaleNormal="90" workbookViewId="0">
      <pane xSplit="7" ySplit="5" topLeftCell="U6" activePane="bottomRight" state="frozen"/>
      <selection pane="topRight" activeCell="G1" sqref="G1"/>
      <selection pane="bottomLeft" activeCell="A5" sqref="A5"/>
      <selection pane="bottomRight" activeCell="AD16" sqref="AD16"/>
    </sheetView>
  </sheetViews>
  <sheetFormatPr defaultRowHeight="18.75" outlineLevelCol="1" x14ac:dyDescent="0.4"/>
  <cols>
    <col min="1" max="1" width="4.625" customWidth="1"/>
    <col min="2" max="2" width="5.75" customWidth="1"/>
    <col min="6" max="6" width="48.375" customWidth="1"/>
    <col min="7" max="7" width="15.5" bestFit="1" customWidth="1"/>
    <col min="8" max="11" width="7.5" hidden="1" customWidth="1" outlineLevel="1"/>
    <col min="12" max="12" width="7.625" customWidth="1" collapsed="1"/>
    <col min="13" max="16" width="7.625" customWidth="1"/>
    <col min="17" max="18" width="7.625" hidden="1" customWidth="1" outlineLevel="1"/>
    <col min="19" max="19" width="7.625" customWidth="1" collapsed="1"/>
    <col min="20" max="22" width="7.625" customWidth="1"/>
    <col min="23" max="23" width="4.375" customWidth="1" collapsed="1"/>
    <col min="24" max="32" width="7.625" customWidth="1"/>
    <col min="33" max="35" width="7.625" customWidth="1" outlineLevel="1"/>
    <col min="36" max="38" width="7.625" customWidth="1"/>
    <col min="39" max="41" width="7.625" customWidth="1" outlineLevel="1"/>
    <col min="42" max="58" width="7.625" customWidth="1"/>
  </cols>
  <sheetData>
    <row r="1" spans="1:59" x14ac:dyDescent="0.4">
      <c r="C1" s="28" t="s">
        <v>42</v>
      </c>
      <c r="S1" s="38" t="s">
        <v>40</v>
      </c>
      <c r="T1" s="39"/>
      <c r="U1" s="39"/>
      <c r="V1" s="40"/>
    </row>
    <row r="2" spans="1:59" x14ac:dyDescent="0.4">
      <c r="C2" s="8" t="s">
        <v>27</v>
      </c>
      <c r="D2" s="9" t="s">
        <v>28</v>
      </c>
      <c r="E2" s="9" t="s">
        <v>29</v>
      </c>
      <c r="F2" s="10"/>
      <c r="G2" s="10"/>
      <c r="H2" s="30"/>
      <c r="I2" s="30"/>
      <c r="J2" s="35" t="s">
        <v>30</v>
      </c>
      <c r="K2" s="37"/>
      <c r="L2" s="35" t="s">
        <v>2</v>
      </c>
      <c r="M2" s="36"/>
      <c r="N2" s="36"/>
      <c r="O2" s="37"/>
      <c r="P2" s="11"/>
      <c r="Q2" s="29"/>
      <c r="R2" s="29"/>
      <c r="S2" s="22"/>
      <c r="T2" s="23" t="s">
        <v>33</v>
      </c>
      <c r="U2" s="23"/>
      <c r="V2" s="24" t="s">
        <v>33</v>
      </c>
      <c r="W2" s="10"/>
      <c r="X2" s="9" t="s">
        <v>38</v>
      </c>
      <c r="Y2" s="11"/>
      <c r="Z2" s="11"/>
      <c r="AA2" s="11"/>
      <c r="AB2" s="11"/>
      <c r="AC2" s="11"/>
      <c r="AD2" s="21" t="s">
        <v>110</v>
      </c>
      <c r="AE2" s="11"/>
      <c r="AF2" s="11"/>
      <c r="AG2" s="26" t="s">
        <v>111</v>
      </c>
      <c r="AH2" s="11"/>
      <c r="AI2" s="11"/>
      <c r="AJ2" s="11"/>
      <c r="AK2" s="11"/>
      <c r="AL2" s="11"/>
      <c r="AM2" s="11"/>
      <c r="AN2" s="11"/>
      <c r="AO2" s="11"/>
      <c r="AP2">
        <v>51</v>
      </c>
      <c r="AX2">
        <v>14</v>
      </c>
      <c r="AY2">
        <v>28</v>
      </c>
    </row>
    <row r="3" spans="1:59" ht="75" x14ac:dyDescent="0.4">
      <c r="A3" s="1" t="s">
        <v>48</v>
      </c>
      <c r="B3" s="1" t="s">
        <v>54</v>
      </c>
      <c r="C3" s="2" t="s">
        <v>4</v>
      </c>
      <c r="D3" s="2" t="s">
        <v>9</v>
      </c>
      <c r="E3" s="2" t="s">
        <v>10</v>
      </c>
      <c r="F3" s="2" t="s">
        <v>0</v>
      </c>
      <c r="G3" s="12" t="s">
        <v>7</v>
      </c>
      <c r="H3" s="12" t="s">
        <v>50</v>
      </c>
      <c r="I3" s="12" t="s">
        <v>51</v>
      </c>
      <c r="J3" s="12" t="s">
        <v>24</v>
      </c>
      <c r="K3" s="12" t="s">
        <v>25</v>
      </c>
      <c r="L3" s="12" t="s">
        <v>1</v>
      </c>
      <c r="M3" s="2" t="s">
        <v>8</v>
      </c>
      <c r="N3" s="2" t="s">
        <v>5</v>
      </c>
      <c r="O3" s="2" t="s">
        <v>16</v>
      </c>
      <c r="P3" s="12" t="s">
        <v>46</v>
      </c>
      <c r="Q3" s="12" t="s">
        <v>20</v>
      </c>
      <c r="R3" s="12" t="s">
        <v>21</v>
      </c>
      <c r="S3" s="12" t="s">
        <v>3</v>
      </c>
      <c r="T3" s="12" t="s">
        <v>22</v>
      </c>
      <c r="U3" s="2" t="s">
        <v>5</v>
      </c>
      <c r="V3" s="12" t="s">
        <v>23</v>
      </c>
      <c r="W3" s="14" t="s">
        <v>6</v>
      </c>
      <c r="X3" s="19" t="s">
        <v>17</v>
      </c>
      <c r="Y3" s="2" t="s">
        <v>16</v>
      </c>
      <c r="Z3" s="2" t="s">
        <v>43</v>
      </c>
      <c r="AA3" s="12" t="s">
        <v>39</v>
      </c>
      <c r="AB3" s="12" t="s">
        <v>52</v>
      </c>
      <c r="AC3" s="2" t="s">
        <v>16</v>
      </c>
      <c r="AD3" s="13" t="s">
        <v>31</v>
      </c>
      <c r="AE3" s="2" t="s">
        <v>16</v>
      </c>
      <c r="AF3" s="2" t="s">
        <v>32</v>
      </c>
      <c r="AG3" s="25" t="s">
        <v>34</v>
      </c>
      <c r="AH3" s="12" t="s">
        <v>35</v>
      </c>
      <c r="AI3" s="12" t="s">
        <v>36</v>
      </c>
      <c r="AJ3" s="12" t="s">
        <v>26</v>
      </c>
      <c r="AK3" s="12" t="s">
        <v>37</v>
      </c>
      <c r="AL3" s="12" t="s">
        <v>18</v>
      </c>
      <c r="AM3" s="12" t="s">
        <v>19</v>
      </c>
      <c r="AN3" s="12" t="s">
        <v>20</v>
      </c>
      <c r="AO3" s="12" t="s">
        <v>21</v>
      </c>
      <c r="AP3" s="2" t="s">
        <v>11</v>
      </c>
      <c r="AQ3" s="2" t="s">
        <v>12</v>
      </c>
      <c r="AR3" s="2" t="s">
        <v>13</v>
      </c>
      <c r="AS3" s="2" t="s">
        <v>14</v>
      </c>
      <c r="AT3" s="12" t="s">
        <v>41</v>
      </c>
      <c r="AU3" s="12" t="s">
        <v>53</v>
      </c>
      <c r="AV3" s="2" t="s">
        <v>107</v>
      </c>
      <c r="AW3" s="2" t="s">
        <v>15</v>
      </c>
      <c r="AX3" s="17" t="s">
        <v>44</v>
      </c>
      <c r="AY3" s="17" t="s">
        <v>45</v>
      </c>
      <c r="AZ3" s="15" t="s">
        <v>49</v>
      </c>
      <c r="BA3" s="33" t="s">
        <v>103</v>
      </c>
      <c r="BB3" s="33" t="s">
        <v>108</v>
      </c>
      <c r="BC3" s="34" t="s">
        <v>104</v>
      </c>
      <c r="BD3" s="34" t="s">
        <v>105</v>
      </c>
      <c r="BE3" s="34" t="s">
        <v>109</v>
      </c>
      <c r="BF3" s="34" t="s">
        <v>106</v>
      </c>
      <c r="BG3" t="s">
        <v>47</v>
      </c>
    </row>
    <row r="4" spans="1:59" x14ac:dyDescent="0.4">
      <c r="A4" s="3">
        <v>1</v>
      </c>
      <c r="B4" s="3">
        <v>1</v>
      </c>
      <c r="C4" s="32">
        <v>12398</v>
      </c>
      <c r="D4" s="4" t="str">
        <f t="shared" ref="D4:D17" si="0">TEXT(C4,"000000")</f>
        <v>012398</v>
      </c>
      <c r="E4" s="4">
        <v>518238</v>
      </c>
      <c r="F4" s="4" t="s">
        <v>56</v>
      </c>
      <c r="G4" s="5">
        <v>4904011012020</v>
      </c>
      <c r="H4" s="5"/>
      <c r="I4" s="5"/>
      <c r="J4" s="5">
        <v>3</v>
      </c>
      <c r="K4" s="5">
        <v>3</v>
      </c>
      <c r="L4" s="4">
        <v>300</v>
      </c>
      <c r="M4" s="4">
        <v>261</v>
      </c>
      <c r="N4" s="4">
        <v>154</v>
      </c>
      <c r="O4" s="6">
        <f t="shared" ref="O4:O17" si="1">1-N4/M4</f>
        <v>0.40996168582375481</v>
      </c>
      <c r="P4" s="4">
        <v>238</v>
      </c>
      <c r="Q4" s="4">
        <v>5</v>
      </c>
      <c r="R4" s="4">
        <v>99999</v>
      </c>
      <c r="S4" s="4">
        <v>0</v>
      </c>
      <c r="T4" s="4">
        <f t="shared" ref="T4:T17" si="2">IF(W4="",S4,S4*W4)</f>
        <v>0</v>
      </c>
      <c r="U4" s="4">
        <v>168</v>
      </c>
      <c r="V4" s="4">
        <f t="shared" ref="V4:V17" si="3">IF(W4="",U4,U4*W4)</f>
        <v>168</v>
      </c>
      <c r="W4" s="4"/>
      <c r="X4" s="20">
        <f t="shared" ref="X4:X17" si="4">ROUND(M4*AL4,0)</f>
        <v>285</v>
      </c>
      <c r="Y4" s="6">
        <f t="shared" ref="Y4:Y17" si="5">1-V4/X4</f>
        <v>0.41052631578947374</v>
      </c>
      <c r="Z4" s="4">
        <v>211.75000000000003</v>
      </c>
      <c r="AA4" s="4">
        <f t="shared" ref="AA4:AA17" si="6">AW4</f>
        <v>335</v>
      </c>
      <c r="AB4" s="4">
        <f t="shared" ref="AB4:AB17" si="7">AA4*AL4</f>
        <v>365.45454545454544</v>
      </c>
      <c r="AC4" s="6">
        <f t="shared" ref="AC4:AC17" si="8">1-V4/AB4</f>
        <v>0.54029850746268648</v>
      </c>
      <c r="AD4" s="7">
        <f>M4</f>
        <v>261</v>
      </c>
      <c r="AE4" s="6">
        <f t="shared" ref="AE4:AE17" si="9">1-V4/AD4</f>
        <v>0.35632183908045978</v>
      </c>
      <c r="AF4" s="4">
        <f t="shared" ref="AF4:AF17" si="10">AD4-V4</f>
        <v>93</v>
      </c>
      <c r="AG4" s="27">
        <v>277</v>
      </c>
      <c r="AH4" s="6">
        <f>1-V4/AG4</f>
        <v>0.39350180505415167</v>
      </c>
      <c r="AI4" s="4">
        <f>AG4-V4</f>
        <v>109</v>
      </c>
      <c r="AJ4" s="6">
        <f t="shared" ref="AJ4:AJ17" si="11">T4/L4</f>
        <v>0</v>
      </c>
      <c r="AK4" s="6">
        <f t="shared" ref="AK4:AK17" si="12">AD4/M4</f>
        <v>1</v>
      </c>
      <c r="AL4" s="6">
        <f t="shared" ref="AL4:AL17" si="13">V4/N4</f>
        <v>1.0909090909090908</v>
      </c>
      <c r="AM4" s="4">
        <f>IFERROR(ROUND($AD4*P4/$M4,0),"-")</f>
        <v>238</v>
      </c>
      <c r="AN4" s="4">
        <f>IF(Q4="","-",Q4)</f>
        <v>5</v>
      </c>
      <c r="AO4" s="4">
        <f>IF(R4="","-",R4)</f>
        <v>99999</v>
      </c>
      <c r="AP4" s="7" t="s">
        <v>55</v>
      </c>
      <c r="AQ4" s="4" t="s">
        <v>84</v>
      </c>
      <c r="AR4" s="4">
        <v>1</v>
      </c>
      <c r="AS4" s="4">
        <v>5</v>
      </c>
      <c r="AT4" s="4" t="s">
        <v>85</v>
      </c>
      <c r="AU4" s="4">
        <v>1675</v>
      </c>
      <c r="AV4" s="4">
        <v>1675</v>
      </c>
      <c r="AW4" s="4">
        <f t="shared" ref="AW4:AW17" si="14">IF(AR4="",AV4,AR4/AS4*AV4)</f>
        <v>335</v>
      </c>
      <c r="AX4" s="18">
        <v>4</v>
      </c>
      <c r="AY4" s="18">
        <v>1</v>
      </c>
      <c r="AZ4" s="16">
        <v>6</v>
      </c>
      <c r="BA4">
        <v>254</v>
      </c>
      <c r="BB4">
        <v>254</v>
      </c>
      <c r="BC4">
        <f>IFERROR(BB4*AL4,"-")</f>
        <v>277.09090909090907</v>
      </c>
      <c r="BD4">
        <v>460</v>
      </c>
      <c r="BE4">
        <v>460</v>
      </c>
      <c r="BF4">
        <f>IFERROR(BE4*AL4,"-")</f>
        <v>501.81818181818176</v>
      </c>
      <c r="BG4" t="s">
        <v>71</v>
      </c>
    </row>
    <row r="5" spans="1:59" x14ac:dyDescent="0.4">
      <c r="A5" s="3">
        <v>14</v>
      </c>
      <c r="B5" s="3">
        <v>1</v>
      </c>
      <c r="C5" s="32">
        <v>12398</v>
      </c>
      <c r="D5" s="4" t="str">
        <f t="shared" si="0"/>
        <v>012398</v>
      </c>
      <c r="E5" s="4">
        <v>203801</v>
      </c>
      <c r="F5" s="4" t="s">
        <v>69</v>
      </c>
      <c r="G5" s="5">
        <v>4904011012020</v>
      </c>
      <c r="H5" s="5"/>
      <c r="I5" s="5"/>
      <c r="J5" s="5"/>
      <c r="K5" s="5"/>
      <c r="L5" s="4">
        <v>6000</v>
      </c>
      <c r="M5" s="4">
        <v>4326</v>
      </c>
      <c r="N5" s="4">
        <v>3080</v>
      </c>
      <c r="O5" s="6">
        <f t="shared" si="1"/>
        <v>0.28802588996763756</v>
      </c>
      <c r="P5" s="4" t="s">
        <v>70</v>
      </c>
      <c r="Q5" s="4" t="s">
        <v>70</v>
      </c>
      <c r="R5" s="4" t="s">
        <v>70</v>
      </c>
      <c r="S5" s="4">
        <v>0</v>
      </c>
      <c r="T5" s="4">
        <f t="shared" si="2"/>
        <v>0</v>
      </c>
      <c r="U5" s="4">
        <v>168</v>
      </c>
      <c r="V5" s="4">
        <f t="shared" si="3"/>
        <v>3360</v>
      </c>
      <c r="W5" s="4">
        <v>20</v>
      </c>
      <c r="X5" s="20">
        <f t="shared" si="4"/>
        <v>4719</v>
      </c>
      <c r="Y5" s="6">
        <f t="shared" si="5"/>
        <v>0.28798474253019712</v>
      </c>
      <c r="Z5" s="4">
        <v>211.75000000000003</v>
      </c>
      <c r="AA5" s="4">
        <f t="shared" si="6"/>
        <v>6700</v>
      </c>
      <c r="AB5" s="4">
        <f t="shared" si="7"/>
        <v>7309.0909090909081</v>
      </c>
      <c r="AC5" s="6">
        <f t="shared" si="8"/>
        <v>0.54029850746268648</v>
      </c>
      <c r="AD5" s="7">
        <f>M5</f>
        <v>4326</v>
      </c>
      <c r="AE5" s="6">
        <f t="shared" si="9"/>
        <v>0.22330097087378642</v>
      </c>
      <c r="AF5" s="4">
        <f t="shared" si="10"/>
        <v>966</v>
      </c>
      <c r="AG5" s="27">
        <v>4980</v>
      </c>
      <c r="AH5" s="6">
        <f t="shared" ref="AH5:AH17" si="15">1-V5/AG5</f>
        <v>0.32530120481927716</v>
      </c>
      <c r="AI5" s="4">
        <f t="shared" ref="AI5:AI17" si="16">AG5-V5</f>
        <v>1620</v>
      </c>
      <c r="AJ5" s="6">
        <f t="shared" si="11"/>
        <v>0</v>
      </c>
      <c r="AK5" s="6">
        <f t="shared" si="12"/>
        <v>1</v>
      </c>
      <c r="AL5" s="6">
        <f t="shared" si="13"/>
        <v>1.0909090909090908</v>
      </c>
      <c r="AM5" s="4" t="str">
        <f t="shared" ref="AM5:AM17" si="17">IFERROR(ROUND($AD5*P5/$M5,0),"-")</f>
        <v>-</v>
      </c>
      <c r="AN5" s="4" t="str">
        <f t="shared" ref="AN5:AN17" si="18">IF(Q5="","-",Q5)</f>
        <v>-</v>
      </c>
      <c r="AO5" s="4" t="str">
        <f t="shared" ref="AO5:AO17" si="19">IF(R5="","-",R5)</f>
        <v>-</v>
      </c>
      <c r="AP5" s="7" t="s">
        <v>55</v>
      </c>
      <c r="AQ5" s="4" t="s">
        <v>84</v>
      </c>
      <c r="AR5" s="4">
        <v>20</v>
      </c>
      <c r="AS5" s="4">
        <v>5</v>
      </c>
      <c r="AT5" s="4" t="s">
        <v>85</v>
      </c>
      <c r="AU5" s="4">
        <v>1675</v>
      </c>
      <c r="AV5" s="4">
        <v>1675</v>
      </c>
      <c r="AW5" s="4">
        <f t="shared" si="14"/>
        <v>6700</v>
      </c>
      <c r="AX5" s="18">
        <v>4</v>
      </c>
      <c r="AY5" s="18">
        <v>1</v>
      </c>
      <c r="AZ5" s="16">
        <v>6</v>
      </c>
      <c r="BA5">
        <v>254</v>
      </c>
      <c r="BB5">
        <v>254</v>
      </c>
      <c r="BC5">
        <f t="shared" ref="BC5:BC17" si="20">IFERROR(BB5*AL5,"-")</f>
        <v>277.09090909090907</v>
      </c>
      <c r="BD5">
        <v>460</v>
      </c>
      <c r="BE5">
        <v>460</v>
      </c>
      <c r="BF5">
        <f t="shared" ref="BF5:BF17" si="21">IFERROR(BE5*AL5,"-")</f>
        <v>501.81818181818176</v>
      </c>
      <c r="BG5" t="s">
        <v>71</v>
      </c>
    </row>
    <row r="6" spans="1:59" x14ac:dyDescent="0.4">
      <c r="A6" s="3">
        <v>2</v>
      </c>
      <c r="B6" s="3">
        <v>2</v>
      </c>
      <c r="C6" s="31">
        <v>689154</v>
      </c>
      <c r="D6" s="4" t="str">
        <f t="shared" si="0"/>
        <v>689154</v>
      </c>
      <c r="E6" s="4">
        <v>689154</v>
      </c>
      <c r="F6" s="4" t="s">
        <v>57</v>
      </c>
      <c r="G6" s="5">
        <v>4904011012303</v>
      </c>
      <c r="H6" s="5"/>
      <c r="I6" s="5"/>
      <c r="J6" s="5">
        <v>1</v>
      </c>
      <c r="K6" s="5">
        <v>1</v>
      </c>
      <c r="L6" s="4">
        <v>0</v>
      </c>
      <c r="M6" s="4">
        <v>582</v>
      </c>
      <c r="N6" s="4">
        <v>319</v>
      </c>
      <c r="O6" s="6">
        <f t="shared" si="1"/>
        <v>0.45189003436426112</v>
      </c>
      <c r="P6" s="4" t="s">
        <v>70</v>
      </c>
      <c r="Q6" s="4" t="s">
        <v>70</v>
      </c>
      <c r="R6" s="4" t="s">
        <v>70</v>
      </c>
      <c r="S6" s="4">
        <v>0</v>
      </c>
      <c r="T6" s="4">
        <f t="shared" si="2"/>
        <v>0</v>
      </c>
      <c r="U6" s="4">
        <v>342</v>
      </c>
      <c r="V6" s="4">
        <f t="shared" si="3"/>
        <v>342</v>
      </c>
      <c r="W6" s="4"/>
      <c r="X6" s="20">
        <f t="shared" si="4"/>
        <v>624</v>
      </c>
      <c r="Y6" s="6">
        <f t="shared" si="5"/>
        <v>0.45192307692307687</v>
      </c>
      <c r="Z6" s="4">
        <v>0.5</v>
      </c>
      <c r="AA6" s="4">
        <f t="shared" si="6"/>
        <v>695</v>
      </c>
      <c r="AB6" s="4">
        <f t="shared" si="7"/>
        <v>745.10971786833863</v>
      </c>
      <c r="AC6" s="6">
        <f t="shared" si="8"/>
        <v>0.54100719424460442</v>
      </c>
      <c r="AD6" s="7">
        <v>624</v>
      </c>
      <c r="AE6" s="6">
        <f t="shared" si="9"/>
        <v>0.45192307692307687</v>
      </c>
      <c r="AF6" s="4">
        <f t="shared" si="10"/>
        <v>282</v>
      </c>
      <c r="AG6" s="27">
        <v>624</v>
      </c>
      <c r="AH6" s="6">
        <f t="shared" si="15"/>
        <v>0.45192307692307687</v>
      </c>
      <c r="AI6" s="4">
        <f t="shared" si="16"/>
        <v>282</v>
      </c>
      <c r="AJ6" s="6" t="e">
        <f t="shared" si="11"/>
        <v>#DIV/0!</v>
      </c>
      <c r="AK6" s="6">
        <f t="shared" si="12"/>
        <v>1.0721649484536082</v>
      </c>
      <c r="AL6" s="6">
        <f t="shared" si="13"/>
        <v>1.0721003134796239</v>
      </c>
      <c r="AM6" s="4" t="str">
        <f t="shared" si="17"/>
        <v>-</v>
      </c>
      <c r="AN6" s="4" t="str">
        <f t="shared" si="18"/>
        <v>-</v>
      </c>
      <c r="AO6" s="4" t="str">
        <f t="shared" si="19"/>
        <v>-</v>
      </c>
      <c r="AP6" s="4">
        <v>0</v>
      </c>
      <c r="AQ6" s="4" t="s">
        <v>86</v>
      </c>
      <c r="AR6" s="4"/>
      <c r="AS6" s="4"/>
      <c r="AT6" s="4" t="s">
        <v>87</v>
      </c>
      <c r="AU6" s="4">
        <v>695</v>
      </c>
      <c r="AV6" s="4">
        <v>695</v>
      </c>
      <c r="AW6" s="4">
        <f t="shared" si="14"/>
        <v>695</v>
      </c>
      <c r="AX6" s="18">
        <v>4</v>
      </c>
      <c r="AY6" s="18">
        <v>1</v>
      </c>
      <c r="AZ6" s="16">
        <v>6</v>
      </c>
      <c r="BA6">
        <v>584</v>
      </c>
      <c r="BB6">
        <v>584</v>
      </c>
      <c r="BC6">
        <f t="shared" si="20"/>
        <v>626.10658307210031</v>
      </c>
      <c r="BD6">
        <v>849</v>
      </c>
      <c r="BE6">
        <v>849</v>
      </c>
      <c r="BF6">
        <f t="shared" si="21"/>
        <v>910.21316614420061</v>
      </c>
      <c r="BG6" t="s">
        <v>72</v>
      </c>
    </row>
    <row r="7" spans="1:59" x14ac:dyDescent="0.4">
      <c r="A7" s="3">
        <v>3</v>
      </c>
      <c r="B7" s="3">
        <v>3</v>
      </c>
      <c r="C7" s="31">
        <v>12402</v>
      </c>
      <c r="D7" s="4" t="str">
        <f t="shared" si="0"/>
        <v>012402</v>
      </c>
      <c r="E7" s="4">
        <v>518292</v>
      </c>
      <c r="F7" s="4" t="s">
        <v>58</v>
      </c>
      <c r="G7" s="5">
        <v>4904011012310</v>
      </c>
      <c r="H7" s="5"/>
      <c r="I7" s="5"/>
      <c r="J7" s="5">
        <v>1</v>
      </c>
      <c r="K7" s="5">
        <v>1</v>
      </c>
      <c r="L7" s="4">
        <v>0</v>
      </c>
      <c r="M7" s="4">
        <v>614</v>
      </c>
      <c r="N7" s="4">
        <v>336</v>
      </c>
      <c r="O7" s="6">
        <f t="shared" si="1"/>
        <v>0.45276872964169379</v>
      </c>
      <c r="P7" s="4" t="s">
        <v>70</v>
      </c>
      <c r="Q7" s="4" t="s">
        <v>70</v>
      </c>
      <c r="R7" s="4" t="s">
        <v>70</v>
      </c>
      <c r="S7" s="4">
        <v>0</v>
      </c>
      <c r="T7" s="4">
        <f t="shared" si="2"/>
        <v>0</v>
      </c>
      <c r="U7" s="4">
        <v>354</v>
      </c>
      <c r="V7" s="4">
        <f t="shared" si="3"/>
        <v>354</v>
      </c>
      <c r="W7" s="4"/>
      <c r="X7" s="20">
        <f t="shared" si="4"/>
        <v>647</v>
      </c>
      <c r="Y7" s="6">
        <f t="shared" si="5"/>
        <v>0.45285935085007722</v>
      </c>
      <c r="Z7" s="4">
        <v>27</v>
      </c>
      <c r="AA7" s="4">
        <f t="shared" si="6"/>
        <v>687</v>
      </c>
      <c r="AB7" s="4">
        <f t="shared" si="7"/>
        <v>723.80357142857144</v>
      </c>
      <c r="AC7" s="6">
        <f t="shared" si="8"/>
        <v>0.51091703056768556</v>
      </c>
      <c r="AD7" s="7">
        <f t="shared" ref="AD7:AD8" si="22">M7</f>
        <v>614</v>
      </c>
      <c r="AE7" s="6">
        <f t="shared" si="9"/>
        <v>0.42345276872964166</v>
      </c>
      <c r="AF7" s="4">
        <f t="shared" si="10"/>
        <v>260</v>
      </c>
      <c r="AG7" s="27">
        <v>615</v>
      </c>
      <c r="AH7" s="6">
        <f t="shared" si="15"/>
        <v>0.42439024390243907</v>
      </c>
      <c r="AI7" s="4">
        <f t="shared" si="16"/>
        <v>261</v>
      </c>
      <c r="AJ7" s="6" t="e">
        <f t="shared" si="11"/>
        <v>#DIV/0!</v>
      </c>
      <c r="AK7" s="6">
        <f t="shared" si="12"/>
        <v>1</v>
      </c>
      <c r="AL7" s="6">
        <f t="shared" si="13"/>
        <v>1.0535714285714286</v>
      </c>
      <c r="AM7" s="4" t="str">
        <f t="shared" si="17"/>
        <v>-</v>
      </c>
      <c r="AN7" s="4" t="str">
        <f t="shared" si="18"/>
        <v>-</v>
      </c>
      <c r="AO7" s="4" t="str">
        <f t="shared" si="19"/>
        <v>-</v>
      </c>
      <c r="AP7" s="7" t="s">
        <v>55</v>
      </c>
      <c r="AQ7" s="4" t="s">
        <v>88</v>
      </c>
      <c r="AR7" s="4"/>
      <c r="AS7" s="4"/>
      <c r="AT7" s="4" t="s">
        <v>87</v>
      </c>
      <c r="AU7" s="4">
        <v>687</v>
      </c>
      <c r="AV7" s="4">
        <v>687</v>
      </c>
      <c r="AW7" s="4">
        <f t="shared" si="14"/>
        <v>687</v>
      </c>
      <c r="AX7" s="18">
        <v>4</v>
      </c>
      <c r="AY7" s="18">
        <v>1</v>
      </c>
      <c r="AZ7" s="16">
        <v>6</v>
      </c>
      <c r="BA7" t="s">
        <v>70</v>
      </c>
      <c r="BB7" t="s">
        <v>70</v>
      </c>
      <c r="BC7" t="str">
        <f t="shared" si="20"/>
        <v>-</v>
      </c>
      <c r="BD7">
        <v>550</v>
      </c>
      <c r="BE7">
        <v>550</v>
      </c>
      <c r="BF7">
        <f t="shared" si="21"/>
        <v>579.46428571428578</v>
      </c>
      <c r="BG7" t="s">
        <v>73</v>
      </c>
    </row>
    <row r="8" spans="1:59" x14ac:dyDescent="0.4">
      <c r="A8" s="3">
        <v>4</v>
      </c>
      <c r="B8" s="3">
        <v>4</v>
      </c>
      <c r="C8" s="31">
        <v>689153</v>
      </c>
      <c r="D8" s="4" t="str">
        <f t="shared" si="0"/>
        <v>689153</v>
      </c>
      <c r="E8" s="4">
        <v>689153</v>
      </c>
      <c r="F8" s="4" t="s">
        <v>59</v>
      </c>
      <c r="G8" s="5">
        <v>4904011012129</v>
      </c>
      <c r="H8" s="5"/>
      <c r="I8" s="5"/>
      <c r="J8" s="5">
        <v>1</v>
      </c>
      <c r="K8" s="5">
        <v>1</v>
      </c>
      <c r="L8" s="4">
        <v>300</v>
      </c>
      <c r="M8" s="4">
        <v>250</v>
      </c>
      <c r="N8" s="4">
        <v>154</v>
      </c>
      <c r="O8" s="6">
        <f t="shared" si="1"/>
        <v>0.38400000000000001</v>
      </c>
      <c r="P8" s="4" t="s">
        <v>70</v>
      </c>
      <c r="Q8" s="4" t="s">
        <v>70</v>
      </c>
      <c r="R8" s="4" t="s">
        <v>70</v>
      </c>
      <c r="S8" s="4">
        <v>0</v>
      </c>
      <c r="T8" s="4">
        <f t="shared" si="2"/>
        <v>0</v>
      </c>
      <c r="U8" s="4">
        <v>168</v>
      </c>
      <c r="V8" s="4">
        <f t="shared" si="3"/>
        <v>168</v>
      </c>
      <c r="W8" s="4"/>
      <c r="X8" s="20">
        <f t="shared" si="4"/>
        <v>273</v>
      </c>
      <c r="Y8" s="6">
        <f t="shared" si="5"/>
        <v>0.38461538461538458</v>
      </c>
      <c r="Z8" s="4">
        <v>27</v>
      </c>
      <c r="AA8" s="4">
        <f t="shared" si="6"/>
        <v>271</v>
      </c>
      <c r="AB8" s="4">
        <f t="shared" si="7"/>
        <v>295.63636363636363</v>
      </c>
      <c r="AC8" s="6">
        <f t="shared" si="8"/>
        <v>0.43173431734317336</v>
      </c>
      <c r="AD8" s="7">
        <f t="shared" si="22"/>
        <v>250</v>
      </c>
      <c r="AE8" s="6">
        <f t="shared" si="9"/>
        <v>0.32799999999999996</v>
      </c>
      <c r="AF8" s="4">
        <f t="shared" si="10"/>
        <v>82</v>
      </c>
      <c r="AG8" s="27">
        <v>270</v>
      </c>
      <c r="AH8" s="6">
        <f t="shared" si="15"/>
        <v>0.37777777777777777</v>
      </c>
      <c r="AI8" s="4">
        <f t="shared" si="16"/>
        <v>102</v>
      </c>
      <c r="AJ8" s="6">
        <f t="shared" si="11"/>
        <v>0</v>
      </c>
      <c r="AK8" s="6">
        <f t="shared" si="12"/>
        <v>1</v>
      </c>
      <c r="AL8" s="6">
        <f t="shared" si="13"/>
        <v>1.0909090909090908</v>
      </c>
      <c r="AM8" s="4" t="str">
        <f t="shared" si="17"/>
        <v>-</v>
      </c>
      <c r="AN8" s="4" t="str">
        <f t="shared" si="18"/>
        <v>-</v>
      </c>
      <c r="AO8" s="4" t="str">
        <f t="shared" si="19"/>
        <v>-</v>
      </c>
      <c r="AP8" s="7" t="s">
        <v>55</v>
      </c>
      <c r="AQ8" s="4" t="s">
        <v>89</v>
      </c>
      <c r="AR8" s="4"/>
      <c r="AS8" s="4"/>
      <c r="AT8" s="4" t="s">
        <v>87</v>
      </c>
      <c r="AU8" s="4">
        <v>244</v>
      </c>
      <c r="AV8" s="4">
        <v>271</v>
      </c>
      <c r="AW8" s="4">
        <f t="shared" si="14"/>
        <v>271</v>
      </c>
      <c r="AX8" s="18">
        <v>4</v>
      </c>
      <c r="AY8" s="18">
        <v>1</v>
      </c>
      <c r="AZ8" s="16">
        <v>6</v>
      </c>
      <c r="BA8" t="s">
        <v>70</v>
      </c>
      <c r="BB8" t="s">
        <v>70</v>
      </c>
      <c r="BC8" t="str">
        <f t="shared" si="20"/>
        <v>-</v>
      </c>
      <c r="BD8">
        <v>252</v>
      </c>
      <c r="BE8">
        <v>252</v>
      </c>
      <c r="BF8">
        <f t="shared" si="21"/>
        <v>274.90909090909088</v>
      </c>
      <c r="BG8" t="s">
        <v>74</v>
      </c>
    </row>
    <row r="9" spans="1:59" x14ac:dyDescent="0.4">
      <c r="A9" s="3">
        <v>5</v>
      </c>
      <c r="B9" s="3">
        <v>5</v>
      </c>
      <c r="C9" s="31">
        <v>12405</v>
      </c>
      <c r="D9" s="4" t="str">
        <f t="shared" si="0"/>
        <v>012405</v>
      </c>
      <c r="E9" s="4">
        <v>518337</v>
      </c>
      <c r="F9" s="4" t="s">
        <v>60</v>
      </c>
      <c r="G9" s="5">
        <v>4904011012600</v>
      </c>
      <c r="H9" s="5"/>
      <c r="I9" s="5"/>
      <c r="J9" s="5">
        <v>1</v>
      </c>
      <c r="K9" s="5">
        <v>1</v>
      </c>
      <c r="L9" s="4">
        <v>400</v>
      </c>
      <c r="M9" s="4">
        <v>355</v>
      </c>
      <c r="N9" s="4">
        <v>205</v>
      </c>
      <c r="O9" s="6">
        <f t="shared" si="1"/>
        <v>0.42253521126760563</v>
      </c>
      <c r="P9" s="4" t="s">
        <v>70</v>
      </c>
      <c r="Q9" s="4" t="s">
        <v>70</v>
      </c>
      <c r="R9" s="4" t="s">
        <v>70</v>
      </c>
      <c r="S9" s="4">
        <v>0</v>
      </c>
      <c r="T9" s="4">
        <f t="shared" si="2"/>
        <v>0</v>
      </c>
      <c r="U9" s="4">
        <v>219</v>
      </c>
      <c r="V9" s="4">
        <f t="shared" si="3"/>
        <v>219</v>
      </c>
      <c r="W9" s="4"/>
      <c r="X9" s="20">
        <f t="shared" si="4"/>
        <v>379</v>
      </c>
      <c r="Y9" s="6">
        <f t="shared" si="5"/>
        <v>0.42216358839050128</v>
      </c>
      <c r="Z9" s="4">
        <v>3.5000000000000004</v>
      </c>
      <c r="AA9" s="4">
        <f t="shared" si="6"/>
        <v>483</v>
      </c>
      <c r="AB9" s="4">
        <f t="shared" si="7"/>
        <v>515.98536585365855</v>
      </c>
      <c r="AC9" s="6">
        <f t="shared" si="8"/>
        <v>0.57556935817805388</v>
      </c>
      <c r="AD9" s="7">
        <v>380</v>
      </c>
      <c r="AE9" s="6">
        <f t="shared" si="9"/>
        <v>0.42368421052631577</v>
      </c>
      <c r="AF9" s="4">
        <f t="shared" si="10"/>
        <v>161</v>
      </c>
      <c r="AG9" s="27">
        <v>380</v>
      </c>
      <c r="AH9" s="6">
        <f t="shared" si="15"/>
        <v>0.42368421052631577</v>
      </c>
      <c r="AI9" s="4">
        <f t="shared" si="16"/>
        <v>161</v>
      </c>
      <c r="AJ9" s="6">
        <f t="shared" si="11"/>
        <v>0</v>
      </c>
      <c r="AK9" s="6">
        <f t="shared" si="12"/>
        <v>1.0704225352112675</v>
      </c>
      <c r="AL9" s="6">
        <f t="shared" si="13"/>
        <v>1.0682926829268293</v>
      </c>
      <c r="AM9" s="4" t="str">
        <f t="shared" si="17"/>
        <v>-</v>
      </c>
      <c r="AN9" s="4" t="str">
        <f t="shared" si="18"/>
        <v>-</v>
      </c>
      <c r="AO9" s="4" t="str">
        <f t="shared" si="19"/>
        <v>-</v>
      </c>
      <c r="AP9" s="4">
        <v>0</v>
      </c>
      <c r="AQ9" s="4" t="s">
        <v>90</v>
      </c>
      <c r="AR9" s="4"/>
      <c r="AS9" s="4"/>
      <c r="AT9" s="4" t="s">
        <v>87</v>
      </c>
      <c r="AU9" s="4">
        <v>483</v>
      </c>
      <c r="AV9" s="4">
        <v>483</v>
      </c>
      <c r="AW9" s="4">
        <f t="shared" si="14"/>
        <v>483</v>
      </c>
      <c r="AX9" s="18">
        <v>4</v>
      </c>
      <c r="AY9" s="18">
        <v>1</v>
      </c>
      <c r="AZ9" s="16">
        <v>6</v>
      </c>
      <c r="BA9">
        <v>8280</v>
      </c>
      <c r="BB9">
        <v>8280</v>
      </c>
      <c r="BC9">
        <f t="shared" si="20"/>
        <v>8845.4634146341468</v>
      </c>
      <c r="BD9">
        <v>418</v>
      </c>
      <c r="BE9">
        <v>418</v>
      </c>
      <c r="BF9">
        <f t="shared" si="21"/>
        <v>446.54634146341465</v>
      </c>
      <c r="BG9" t="s">
        <v>75</v>
      </c>
    </row>
    <row r="10" spans="1:59" x14ac:dyDescent="0.4">
      <c r="A10" s="3">
        <v>6</v>
      </c>
      <c r="B10" s="3">
        <v>6</v>
      </c>
      <c r="C10" s="4">
        <v>196348</v>
      </c>
      <c r="D10" s="4" t="str">
        <f t="shared" si="0"/>
        <v>196348</v>
      </c>
      <c r="E10" s="4">
        <v>196348</v>
      </c>
      <c r="F10" s="4" t="s">
        <v>61</v>
      </c>
      <c r="G10" s="5">
        <v>4904011011078</v>
      </c>
      <c r="H10" s="5"/>
      <c r="I10" s="5"/>
      <c r="J10" s="5">
        <v>1</v>
      </c>
      <c r="K10" s="5">
        <v>1</v>
      </c>
      <c r="L10" s="4">
        <v>0</v>
      </c>
      <c r="M10" s="4">
        <v>1310</v>
      </c>
      <c r="N10" s="4">
        <v>707</v>
      </c>
      <c r="O10" s="6">
        <f t="shared" si="1"/>
        <v>0.46030534351145036</v>
      </c>
      <c r="P10" s="4" t="s">
        <v>70</v>
      </c>
      <c r="Q10" s="4" t="s">
        <v>70</v>
      </c>
      <c r="R10" s="4" t="s">
        <v>70</v>
      </c>
      <c r="S10" s="4">
        <v>0</v>
      </c>
      <c r="T10" s="4">
        <f t="shared" si="2"/>
        <v>0</v>
      </c>
      <c r="U10" s="4">
        <v>748</v>
      </c>
      <c r="V10" s="4">
        <f t="shared" si="3"/>
        <v>748</v>
      </c>
      <c r="W10" s="4"/>
      <c r="X10" s="20">
        <f t="shared" si="4"/>
        <v>1386</v>
      </c>
      <c r="Y10" s="6">
        <f t="shared" si="5"/>
        <v>0.46031746031746035</v>
      </c>
      <c r="Z10" s="4">
        <v>6</v>
      </c>
      <c r="AA10" s="4">
        <f t="shared" si="6"/>
        <v>1528</v>
      </c>
      <c r="AB10" s="4">
        <f t="shared" si="7"/>
        <v>1616.6110325318245</v>
      </c>
      <c r="AC10" s="6">
        <f t="shared" si="8"/>
        <v>0.53730366492146597</v>
      </c>
      <c r="AD10" s="7">
        <v>1380</v>
      </c>
      <c r="AE10" s="6">
        <f t="shared" si="9"/>
        <v>0.45797101449275357</v>
      </c>
      <c r="AF10" s="4">
        <f t="shared" si="10"/>
        <v>632</v>
      </c>
      <c r="AG10" s="27">
        <v>1380</v>
      </c>
      <c r="AH10" s="6">
        <f t="shared" si="15"/>
        <v>0.45797101449275357</v>
      </c>
      <c r="AI10" s="4">
        <f t="shared" si="16"/>
        <v>632</v>
      </c>
      <c r="AJ10" s="6" t="e">
        <f t="shared" si="11"/>
        <v>#DIV/0!</v>
      </c>
      <c r="AK10" s="6">
        <f t="shared" si="12"/>
        <v>1.0534351145038168</v>
      </c>
      <c r="AL10" s="6">
        <f t="shared" si="13"/>
        <v>1.0579915134370579</v>
      </c>
      <c r="AM10" s="4" t="str">
        <f t="shared" si="17"/>
        <v>-</v>
      </c>
      <c r="AN10" s="4" t="str">
        <f t="shared" si="18"/>
        <v>-</v>
      </c>
      <c r="AO10" s="4" t="str">
        <f t="shared" si="19"/>
        <v>-</v>
      </c>
      <c r="AP10" s="4">
        <v>0</v>
      </c>
      <c r="AQ10" s="4" t="s">
        <v>91</v>
      </c>
      <c r="AR10" s="4"/>
      <c r="AS10" s="4"/>
      <c r="AT10" s="4" t="s">
        <v>92</v>
      </c>
      <c r="AU10" s="4">
        <v>1528</v>
      </c>
      <c r="AV10" s="4">
        <v>1528</v>
      </c>
      <c r="AW10" s="4">
        <f t="shared" si="14"/>
        <v>1528</v>
      </c>
      <c r="AX10" s="18">
        <v>4</v>
      </c>
      <c r="AY10" s="18">
        <v>1</v>
      </c>
      <c r="AZ10" s="16">
        <v>6</v>
      </c>
      <c r="BA10">
        <v>1424</v>
      </c>
      <c r="BB10">
        <v>1424</v>
      </c>
      <c r="BC10">
        <f t="shared" si="20"/>
        <v>1506.5799151343704</v>
      </c>
      <c r="BD10">
        <v>1372</v>
      </c>
      <c r="BE10">
        <v>1372</v>
      </c>
      <c r="BF10">
        <f t="shared" si="21"/>
        <v>1451.5643564356435</v>
      </c>
      <c r="BG10" t="s">
        <v>76</v>
      </c>
    </row>
    <row r="11" spans="1:59" x14ac:dyDescent="0.4">
      <c r="A11" s="3">
        <v>7</v>
      </c>
      <c r="B11" s="3">
        <v>7</v>
      </c>
      <c r="C11" s="4">
        <v>12399</v>
      </c>
      <c r="D11" s="4" t="str">
        <f t="shared" si="0"/>
        <v>012399</v>
      </c>
      <c r="E11" s="4">
        <v>518247</v>
      </c>
      <c r="F11" s="4" t="s">
        <v>62</v>
      </c>
      <c r="G11" s="5">
        <v>4904011010255</v>
      </c>
      <c r="H11" s="5"/>
      <c r="I11" s="5"/>
      <c r="J11" s="5">
        <v>1</v>
      </c>
      <c r="K11" s="5">
        <v>1</v>
      </c>
      <c r="L11" s="4">
        <v>600</v>
      </c>
      <c r="M11" s="4">
        <v>493</v>
      </c>
      <c r="N11" s="4">
        <v>308</v>
      </c>
      <c r="O11" s="6">
        <f t="shared" si="1"/>
        <v>0.37525354969574032</v>
      </c>
      <c r="P11" s="4" t="s">
        <v>70</v>
      </c>
      <c r="Q11" s="4" t="s">
        <v>70</v>
      </c>
      <c r="R11" s="4" t="s">
        <v>70</v>
      </c>
      <c r="S11" s="4">
        <v>0</v>
      </c>
      <c r="T11" s="4">
        <f t="shared" si="2"/>
        <v>0</v>
      </c>
      <c r="U11" s="4">
        <v>326</v>
      </c>
      <c r="V11" s="4">
        <f t="shared" si="3"/>
        <v>326</v>
      </c>
      <c r="W11" s="4"/>
      <c r="X11" s="20">
        <f t="shared" si="4"/>
        <v>522</v>
      </c>
      <c r="Y11" s="6">
        <f t="shared" si="5"/>
        <v>0.37547892720306508</v>
      </c>
      <c r="Z11" s="4">
        <v>21.25</v>
      </c>
      <c r="AA11" s="4">
        <f t="shared" si="6"/>
        <v>672</v>
      </c>
      <c r="AB11" s="4">
        <f t="shared" si="7"/>
        <v>711.27272727272737</v>
      </c>
      <c r="AC11" s="6">
        <f t="shared" si="8"/>
        <v>0.54166666666666674</v>
      </c>
      <c r="AD11" s="7">
        <v>550</v>
      </c>
      <c r="AE11" s="6">
        <f t="shared" si="9"/>
        <v>0.40727272727272723</v>
      </c>
      <c r="AF11" s="4">
        <f t="shared" si="10"/>
        <v>224</v>
      </c>
      <c r="AG11" s="27">
        <v>550</v>
      </c>
      <c r="AH11" s="6">
        <f t="shared" si="15"/>
        <v>0.40727272727272723</v>
      </c>
      <c r="AI11" s="4">
        <f t="shared" si="16"/>
        <v>224</v>
      </c>
      <c r="AJ11" s="6">
        <f t="shared" si="11"/>
        <v>0</v>
      </c>
      <c r="AK11" s="6">
        <f t="shared" si="12"/>
        <v>1.1156186612576064</v>
      </c>
      <c r="AL11" s="6">
        <f t="shared" si="13"/>
        <v>1.0584415584415585</v>
      </c>
      <c r="AM11" s="4" t="str">
        <f t="shared" si="17"/>
        <v>-</v>
      </c>
      <c r="AN11" s="4" t="str">
        <f t="shared" si="18"/>
        <v>-</v>
      </c>
      <c r="AO11" s="4" t="str">
        <f t="shared" si="19"/>
        <v>-</v>
      </c>
      <c r="AP11" s="4">
        <v>0</v>
      </c>
      <c r="AQ11" s="4" t="s">
        <v>93</v>
      </c>
      <c r="AR11" s="4">
        <v>1</v>
      </c>
      <c r="AS11" s="4">
        <v>3</v>
      </c>
      <c r="AT11" s="4" t="s">
        <v>94</v>
      </c>
      <c r="AU11" s="4">
        <v>2016</v>
      </c>
      <c r="AV11" s="4">
        <v>2016</v>
      </c>
      <c r="AW11" s="4">
        <f t="shared" si="14"/>
        <v>672</v>
      </c>
      <c r="AX11" s="18">
        <v>4</v>
      </c>
      <c r="AY11" s="18">
        <v>1</v>
      </c>
      <c r="AZ11" s="16">
        <v>6</v>
      </c>
      <c r="BA11">
        <v>472</v>
      </c>
      <c r="BB11">
        <v>472</v>
      </c>
      <c r="BC11">
        <f t="shared" si="20"/>
        <v>499.58441558441564</v>
      </c>
      <c r="BD11" t="s">
        <v>70</v>
      </c>
      <c r="BE11" t="s">
        <v>70</v>
      </c>
      <c r="BF11" t="str">
        <f t="shared" si="21"/>
        <v>-</v>
      </c>
      <c r="BG11" t="s">
        <v>77</v>
      </c>
    </row>
    <row r="12" spans="1:59" x14ac:dyDescent="0.4">
      <c r="A12" s="3">
        <v>8</v>
      </c>
      <c r="B12" s="3">
        <v>8</v>
      </c>
      <c r="C12" s="4">
        <v>388030</v>
      </c>
      <c r="D12" s="4" t="str">
        <f t="shared" si="0"/>
        <v>388030</v>
      </c>
      <c r="E12" s="4">
        <v>388030</v>
      </c>
      <c r="F12" s="4" t="s">
        <v>63</v>
      </c>
      <c r="G12" s="5">
        <v>4904011011467</v>
      </c>
      <c r="H12" s="5"/>
      <c r="I12" s="5"/>
      <c r="J12" s="5">
        <v>1</v>
      </c>
      <c r="K12" s="5">
        <v>1</v>
      </c>
      <c r="L12" s="4">
        <v>0</v>
      </c>
      <c r="M12" s="4">
        <v>1416</v>
      </c>
      <c r="N12" s="4">
        <v>837</v>
      </c>
      <c r="O12" s="6">
        <f t="shared" si="1"/>
        <v>0.40889830508474578</v>
      </c>
      <c r="P12" s="4" t="s">
        <v>70</v>
      </c>
      <c r="Q12" s="4" t="s">
        <v>70</v>
      </c>
      <c r="R12" s="4" t="s">
        <v>70</v>
      </c>
      <c r="S12" s="4">
        <v>0</v>
      </c>
      <c r="T12" s="4">
        <f t="shared" si="2"/>
        <v>0</v>
      </c>
      <c r="U12" s="4">
        <v>905</v>
      </c>
      <c r="V12" s="4">
        <f t="shared" si="3"/>
        <v>905</v>
      </c>
      <c r="W12" s="4"/>
      <c r="X12" s="20">
        <f t="shared" si="4"/>
        <v>1531</v>
      </c>
      <c r="Y12" s="6">
        <f t="shared" si="5"/>
        <v>0.40888308295231879</v>
      </c>
      <c r="Z12" s="4">
        <v>3.75</v>
      </c>
      <c r="AA12" s="4">
        <f t="shared" si="6"/>
        <v>1258.8000000000002</v>
      </c>
      <c r="AB12" s="4">
        <f t="shared" si="7"/>
        <v>1361.0681003584232</v>
      </c>
      <c r="AC12" s="6">
        <f t="shared" si="8"/>
        <v>0.3350810295519544</v>
      </c>
      <c r="AD12" s="7">
        <v>1480</v>
      </c>
      <c r="AE12" s="6">
        <f t="shared" si="9"/>
        <v>0.38851351351351349</v>
      </c>
      <c r="AF12" s="4">
        <f t="shared" si="10"/>
        <v>575</v>
      </c>
      <c r="AG12" s="27">
        <v>1480</v>
      </c>
      <c r="AH12" s="6">
        <f t="shared" si="15"/>
        <v>0.38851351351351349</v>
      </c>
      <c r="AI12" s="4">
        <f t="shared" si="16"/>
        <v>575</v>
      </c>
      <c r="AJ12" s="6" t="e">
        <f t="shared" si="11"/>
        <v>#DIV/0!</v>
      </c>
      <c r="AK12" s="6">
        <f t="shared" si="12"/>
        <v>1.0451977401129944</v>
      </c>
      <c r="AL12" s="6">
        <f t="shared" si="13"/>
        <v>1.081242532855436</v>
      </c>
      <c r="AM12" s="4" t="str">
        <f t="shared" si="17"/>
        <v>-</v>
      </c>
      <c r="AN12" s="4" t="str">
        <f t="shared" si="18"/>
        <v>-</v>
      </c>
      <c r="AO12" s="4" t="str">
        <f t="shared" si="19"/>
        <v>-</v>
      </c>
      <c r="AP12" s="4">
        <v>0</v>
      </c>
      <c r="AQ12" s="4" t="s">
        <v>95</v>
      </c>
      <c r="AR12" s="4">
        <v>1</v>
      </c>
      <c r="AS12" s="4">
        <v>5</v>
      </c>
      <c r="AT12" s="4" t="s">
        <v>96</v>
      </c>
      <c r="AU12" s="4">
        <v>6294</v>
      </c>
      <c r="AV12" s="4">
        <v>6294</v>
      </c>
      <c r="AW12" s="4">
        <f t="shared" si="14"/>
        <v>1258.8000000000002</v>
      </c>
      <c r="AX12" s="18">
        <v>4</v>
      </c>
      <c r="AY12" s="18">
        <v>1</v>
      </c>
      <c r="AZ12" s="16">
        <v>6</v>
      </c>
      <c r="BA12">
        <v>1496</v>
      </c>
      <c r="BB12">
        <v>1496</v>
      </c>
      <c r="BC12">
        <f t="shared" si="20"/>
        <v>1617.5388291517322</v>
      </c>
      <c r="BD12">
        <v>1627</v>
      </c>
      <c r="BE12">
        <v>1627</v>
      </c>
      <c r="BF12">
        <f t="shared" si="21"/>
        <v>1759.1816009557945</v>
      </c>
      <c r="BG12" t="s">
        <v>78</v>
      </c>
    </row>
    <row r="13" spans="1:59" x14ac:dyDescent="0.4">
      <c r="A13" s="3">
        <v>9</v>
      </c>
      <c r="B13" s="3">
        <v>9</v>
      </c>
      <c r="C13" s="4">
        <v>388031</v>
      </c>
      <c r="D13" s="4" t="str">
        <f t="shared" si="0"/>
        <v>388031</v>
      </c>
      <c r="E13" s="4">
        <v>388031</v>
      </c>
      <c r="F13" s="4" t="s">
        <v>64</v>
      </c>
      <c r="G13" s="5">
        <v>4904011011146</v>
      </c>
      <c r="H13" s="5"/>
      <c r="I13" s="5"/>
      <c r="J13" s="5">
        <v>1</v>
      </c>
      <c r="K13" s="5">
        <v>1</v>
      </c>
      <c r="L13" s="4">
        <v>800</v>
      </c>
      <c r="M13" s="4">
        <v>542</v>
      </c>
      <c r="N13" s="4">
        <v>410</v>
      </c>
      <c r="O13" s="6">
        <f t="shared" si="1"/>
        <v>0.24354243542435428</v>
      </c>
      <c r="P13" s="4" t="s">
        <v>70</v>
      </c>
      <c r="Q13" s="4" t="s">
        <v>70</v>
      </c>
      <c r="R13" s="4" t="s">
        <v>70</v>
      </c>
      <c r="S13" s="4">
        <v>0</v>
      </c>
      <c r="T13" s="4">
        <f t="shared" si="2"/>
        <v>0</v>
      </c>
      <c r="U13" s="4">
        <v>509</v>
      </c>
      <c r="V13" s="4">
        <f t="shared" si="3"/>
        <v>509</v>
      </c>
      <c r="W13" s="4"/>
      <c r="X13" s="20">
        <f t="shared" si="4"/>
        <v>673</v>
      </c>
      <c r="Y13" s="6">
        <f t="shared" si="5"/>
        <v>0.24368499257057952</v>
      </c>
      <c r="Z13" s="4">
        <v>0.5</v>
      </c>
      <c r="AA13" s="4">
        <f t="shared" si="6"/>
        <v>778</v>
      </c>
      <c r="AB13" s="4">
        <f t="shared" si="7"/>
        <v>965.85853658536587</v>
      </c>
      <c r="AC13" s="6">
        <f t="shared" si="8"/>
        <v>0.47300771208226222</v>
      </c>
      <c r="AD13" s="7">
        <v>780</v>
      </c>
      <c r="AE13" s="6">
        <f t="shared" si="9"/>
        <v>0.34743589743589742</v>
      </c>
      <c r="AF13" s="4">
        <f t="shared" si="10"/>
        <v>271</v>
      </c>
      <c r="AG13" s="27">
        <v>780</v>
      </c>
      <c r="AH13" s="6">
        <f t="shared" si="15"/>
        <v>0.34743589743589742</v>
      </c>
      <c r="AI13" s="4">
        <f t="shared" si="16"/>
        <v>271</v>
      </c>
      <c r="AJ13" s="6">
        <f t="shared" si="11"/>
        <v>0</v>
      </c>
      <c r="AK13" s="6">
        <f t="shared" si="12"/>
        <v>1.4391143911439115</v>
      </c>
      <c r="AL13" s="6">
        <f t="shared" si="13"/>
        <v>1.2414634146341463</v>
      </c>
      <c r="AM13" s="4" t="str">
        <f t="shared" si="17"/>
        <v>-</v>
      </c>
      <c r="AN13" s="4" t="str">
        <f t="shared" si="18"/>
        <v>-</v>
      </c>
      <c r="AO13" s="4" t="str">
        <f t="shared" si="19"/>
        <v>-</v>
      </c>
      <c r="AP13" s="4">
        <v>0</v>
      </c>
      <c r="AQ13" s="4" t="s">
        <v>97</v>
      </c>
      <c r="AR13" s="4"/>
      <c r="AS13" s="4"/>
      <c r="AT13" s="4" t="s">
        <v>92</v>
      </c>
      <c r="AU13" s="4">
        <v>778</v>
      </c>
      <c r="AV13" s="4">
        <v>778</v>
      </c>
      <c r="AW13" s="4">
        <f t="shared" si="14"/>
        <v>778</v>
      </c>
      <c r="AX13" s="18">
        <v>4</v>
      </c>
      <c r="AY13" s="18">
        <v>8</v>
      </c>
      <c r="AZ13" s="16">
        <v>6</v>
      </c>
      <c r="BA13">
        <v>737</v>
      </c>
      <c r="BB13">
        <v>737</v>
      </c>
      <c r="BC13">
        <f t="shared" si="20"/>
        <v>914.95853658536589</v>
      </c>
      <c r="BD13">
        <v>801</v>
      </c>
      <c r="BE13">
        <v>801</v>
      </c>
      <c r="BF13">
        <f t="shared" si="21"/>
        <v>994.41219512195119</v>
      </c>
      <c r="BG13" t="s">
        <v>79</v>
      </c>
    </row>
    <row r="14" spans="1:59" x14ac:dyDescent="0.4">
      <c r="A14" s="3">
        <v>10</v>
      </c>
      <c r="B14" s="3">
        <v>10</v>
      </c>
      <c r="C14" s="4">
        <v>747486</v>
      </c>
      <c r="D14" s="4" t="str">
        <f t="shared" si="0"/>
        <v>747486</v>
      </c>
      <c r="E14" s="4">
        <v>747486</v>
      </c>
      <c r="F14" s="4" t="s">
        <v>65</v>
      </c>
      <c r="G14" s="5">
        <v>4904011012228</v>
      </c>
      <c r="H14" s="5"/>
      <c r="I14" s="5"/>
      <c r="J14" s="5">
        <v>1</v>
      </c>
      <c r="K14" s="5">
        <v>1</v>
      </c>
      <c r="L14" s="4">
        <v>250</v>
      </c>
      <c r="M14" s="4">
        <v>210</v>
      </c>
      <c r="N14" s="4">
        <v>123</v>
      </c>
      <c r="O14" s="6">
        <f t="shared" si="1"/>
        <v>0.41428571428571426</v>
      </c>
      <c r="P14" s="4" t="s">
        <v>70</v>
      </c>
      <c r="Q14" s="4" t="s">
        <v>70</v>
      </c>
      <c r="R14" s="4" t="s">
        <v>70</v>
      </c>
      <c r="S14" s="4">
        <v>0</v>
      </c>
      <c r="T14" s="4">
        <f t="shared" si="2"/>
        <v>0</v>
      </c>
      <c r="U14" s="4">
        <v>136</v>
      </c>
      <c r="V14" s="4">
        <f t="shared" si="3"/>
        <v>136</v>
      </c>
      <c r="W14" s="4"/>
      <c r="X14" s="20">
        <f t="shared" si="4"/>
        <v>232</v>
      </c>
      <c r="Y14" s="6">
        <f t="shared" si="5"/>
        <v>0.41379310344827591</v>
      </c>
      <c r="Z14" s="4">
        <v>83.5</v>
      </c>
      <c r="AA14" s="4">
        <f t="shared" si="6"/>
        <v>280</v>
      </c>
      <c r="AB14" s="4">
        <f t="shared" si="7"/>
        <v>309.59349593495938</v>
      </c>
      <c r="AC14" s="6">
        <f t="shared" si="8"/>
        <v>0.56071428571428572</v>
      </c>
      <c r="AD14" s="7">
        <f>M14</f>
        <v>210</v>
      </c>
      <c r="AE14" s="6">
        <f t="shared" si="9"/>
        <v>0.35238095238095235</v>
      </c>
      <c r="AF14" s="4">
        <f t="shared" si="10"/>
        <v>74</v>
      </c>
      <c r="AG14" s="27">
        <v>228</v>
      </c>
      <c r="AH14" s="6">
        <f t="shared" si="15"/>
        <v>0.40350877192982459</v>
      </c>
      <c r="AI14" s="4">
        <f t="shared" si="16"/>
        <v>92</v>
      </c>
      <c r="AJ14" s="6">
        <f t="shared" si="11"/>
        <v>0</v>
      </c>
      <c r="AK14" s="6">
        <f t="shared" si="12"/>
        <v>1</v>
      </c>
      <c r="AL14" s="6">
        <f t="shared" si="13"/>
        <v>1.1056910569105691</v>
      </c>
      <c r="AM14" s="4" t="str">
        <f t="shared" si="17"/>
        <v>-</v>
      </c>
      <c r="AN14" s="4" t="str">
        <f t="shared" si="18"/>
        <v>-</v>
      </c>
      <c r="AO14" s="4" t="str">
        <f t="shared" si="19"/>
        <v>-</v>
      </c>
      <c r="AP14" s="7" t="s">
        <v>55</v>
      </c>
      <c r="AQ14" s="4" t="s">
        <v>98</v>
      </c>
      <c r="AR14" s="4">
        <v>1</v>
      </c>
      <c r="AS14" s="4">
        <v>5</v>
      </c>
      <c r="AT14" s="4" t="s">
        <v>85</v>
      </c>
      <c r="AU14" s="4">
        <v>1400</v>
      </c>
      <c r="AV14" s="4">
        <v>1400</v>
      </c>
      <c r="AW14" s="4">
        <f t="shared" si="14"/>
        <v>280</v>
      </c>
      <c r="AX14" s="18">
        <v>4</v>
      </c>
      <c r="AY14" s="18">
        <v>1</v>
      </c>
      <c r="AZ14" s="16">
        <v>6</v>
      </c>
      <c r="BA14">
        <v>206</v>
      </c>
      <c r="BB14">
        <v>206</v>
      </c>
      <c r="BC14">
        <f t="shared" si="20"/>
        <v>227.77235772357724</v>
      </c>
      <c r="BD14">
        <v>265</v>
      </c>
      <c r="BE14">
        <v>265</v>
      </c>
      <c r="BF14">
        <f t="shared" si="21"/>
        <v>293.00813008130081</v>
      </c>
      <c r="BG14" t="s">
        <v>80</v>
      </c>
    </row>
    <row r="15" spans="1:59" x14ac:dyDescent="0.4">
      <c r="A15" s="3">
        <v>11</v>
      </c>
      <c r="B15" s="3">
        <v>11</v>
      </c>
      <c r="C15" s="4">
        <v>686443</v>
      </c>
      <c r="D15" s="4" t="str">
        <f t="shared" si="0"/>
        <v>686443</v>
      </c>
      <c r="E15" s="4">
        <v>686443</v>
      </c>
      <c r="F15" s="4" t="s">
        <v>66</v>
      </c>
      <c r="G15" s="5">
        <v>4904011012235</v>
      </c>
      <c r="H15" s="5"/>
      <c r="I15" s="5"/>
      <c r="J15" s="5">
        <v>1</v>
      </c>
      <c r="K15" s="5">
        <v>1</v>
      </c>
      <c r="L15" s="4">
        <v>0</v>
      </c>
      <c r="M15" s="4">
        <v>444</v>
      </c>
      <c r="N15" s="4">
        <v>244</v>
      </c>
      <c r="O15" s="6">
        <f t="shared" si="1"/>
        <v>0.4504504504504504</v>
      </c>
      <c r="P15" s="4" t="s">
        <v>70</v>
      </c>
      <c r="Q15" s="4" t="s">
        <v>70</v>
      </c>
      <c r="R15" s="4" t="s">
        <v>70</v>
      </c>
      <c r="S15" s="4">
        <v>0</v>
      </c>
      <c r="T15" s="4">
        <f t="shared" si="2"/>
        <v>0</v>
      </c>
      <c r="U15" s="4">
        <v>267</v>
      </c>
      <c r="V15" s="4">
        <f t="shared" si="3"/>
        <v>267</v>
      </c>
      <c r="W15" s="4"/>
      <c r="X15" s="20">
        <f t="shared" si="4"/>
        <v>486</v>
      </c>
      <c r="Y15" s="6">
        <f t="shared" si="5"/>
        <v>0.45061728395061729</v>
      </c>
      <c r="Z15" s="4">
        <v>3.75</v>
      </c>
      <c r="AA15" s="4" t="str">
        <f t="shared" si="6"/>
        <v>-</v>
      </c>
      <c r="AB15" s="4" t="e">
        <f t="shared" si="7"/>
        <v>#VALUE!</v>
      </c>
      <c r="AC15" s="6" t="e">
        <f t="shared" si="8"/>
        <v>#VALUE!</v>
      </c>
      <c r="AD15" s="7">
        <v>480</v>
      </c>
      <c r="AE15" s="6">
        <f t="shared" si="9"/>
        <v>0.44374999999999998</v>
      </c>
      <c r="AF15" s="4">
        <f t="shared" si="10"/>
        <v>213</v>
      </c>
      <c r="AG15" s="27">
        <v>450</v>
      </c>
      <c r="AH15" s="6">
        <f t="shared" si="15"/>
        <v>0.40666666666666662</v>
      </c>
      <c r="AI15" s="4">
        <f t="shared" si="16"/>
        <v>183</v>
      </c>
      <c r="AJ15" s="6" t="e">
        <f t="shared" si="11"/>
        <v>#DIV/0!</v>
      </c>
      <c r="AK15" s="6">
        <f t="shared" si="12"/>
        <v>1.0810810810810811</v>
      </c>
      <c r="AL15" s="6">
        <f t="shared" si="13"/>
        <v>1.0942622950819672</v>
      </c>
      <c r="AM15" s="4" t="str">
        <f t="shared" si="17"/>
        <v>-</v>
      </c>
      <c r="AN15" s="4" t="str">
        <f t="shared" si="18"/>
        <v>-</v>
      </c>
      <c r="AO15" s="4" t="str">
        <f t="shared" si="19"/>
        <v>-</v>
      </c>
      <c r="AP15" s="4">
        <v>0</v>
      </c>
      <c r="AQ15" s="4" t="s">
        <v>99</v>
      </c>
      <c r="AR15" s="4"/>
      <c r="AS15" s="4"/>
      <c r="AT15" s="4" t="s">
        <v>87</v>
      </c>
      <c r="AU15" s="4">
        <v>480</v>
      </c>
      <c r="AV15" s="4" t="s">
        <v>70</v>
      </c>
      <c r="AW15" s="4" t="str">
        <f t="shared" si="14"/>
        <v>-</v>
      </c>
      <c r="AX15" s="18">
        <v>4</v>
      </c>
      <c r="AY15" s="18">
        <v>1</v>
      </c>
      <c r="AZ15" s="16">
        <v>6</v>
      </c>
      <c r="BA15">
        <v>415</v>
      </c>
      <c r="BB15">
        <v>415</v>
      </c>
      <c r="BC15">
        <f t="shared" si="20"/>
        <v>454.11885245901635</v>
      </c>
      <c r="BD15">
        <v>513</v>
      </c>
      <c r="BE15">
        <v>513</v>
      </c>
      <c r="BF15">
        <f t="shared" si="21"/>
        <v>561.35655737704917</v>
      </c>
      <c r="BG15" t="s">
        <v>81</v>
      </c>
    </row>
    <row r="16" spans="1:59" x14ac:dyDescent="0.4">
      <c r="A16" s="3">
        <v>12</v>
      </c>
      <c r="B16" s="3">
        <v>12</v>
      </c>
      <c r="C16" s="4">
        <v>104351</v>
      </c>
      <c r="D16" s="4" t="str">
        <f t="shared" si="0"/>
        <v>104351</v>
      </c>
      <c r="E16" s="4">
        <v>104351</v>
      </c>
      <c r="F16" s="4" t="s">
        <v>67</v>
      </c>
      <c r="G16" s="5">
        <v>4904011019203</v>
      </c>
      <c r="H16" s="5"/>
      <c r="I16" s="5"/>
      <c r="J16" s="5">
        <v>1</v>
      </c>
      <c r="K16" s="5">
        <v>1</v>
      </c>
      <c r="L16" s="4">
        <v>0</v>
      </c>
      <c r="M16" s="4">
        <v>123</v>
      </c>
      <c r="N16" s="4">
        <v>70</v>
      </c>
      <c r="O16" s="6">
        <f t="shared" si="1"/>
        <v>0.43089430894308944</v>
      </c>
      <c r="P16" s="4" t="s">
        <v>70</v>
      </c>
      <c r="Q16" s="4" t="s">
        <v>70</v>
      </c>
      <c r="R16" s="4" t="s">
        <v>70</v>
      </c>
      <c r="S16" s="4">
        <v>0</v>
      </c>
      <c r="T16" s="4">
        <f t="shared" si="2"/>
        <v>0</v>
      </c>
      <c r="U16" s="4">
        <v>75</v>
      </c>
      <c r="V16" s="4">
        <f t="shared" si="3"/>
        <v>75</v>
      </c>
      <c r="W16" s="4"/>
      <c r="X16" s="20">
        <f t="shared" si="4"/>
        <v>132</v>
      </c>
      <c r="Y16" s="6">
        <f t="shared" si="5"/>
        <v>0.43181818181818177</v>
      </c>
      <c r="Z16" s="4">
        <v>5.5</v>
      </c>
      <c r="AA16" s="4">
        <f t="shared" si="6"/>
        <v>122.78571428571428</v>
      </c>
      <c r="AB16" s="4">
        <f t="shared" si="7"/>
        <v>131.55612244897958</v>
      </c>
      <c r="AC16" s="6">
        <f t="shared" si="8"/>
        <v>0.42990110529377534</v>
      </c>
      <c r="AD16" s="7">
        <v>130</v>
      </c>
      <c r="AE16" s="6">
        <f t="shared" si="9"/>
        <v>0.42307692307692313</v>
      </c>
      <c r="AF16" s="4">
        <f t="shared" si="10"/>
        <v>55</v>
      </c>
      <c r="AG16" s="27">
        <v>128</v>
      </c>
      <c r="AH16" s="6">
        <f t="shared" si="15"/>
        <v>0.4140625</v>
      </c>
      <c r="AI16" s="4">
        <f t="shared" si="16"/>
        <v>53</v>
      </c>
      <c r="AJ16" s="6" t="e">
        <f t="shared" si="11"/>
        <v>#DIV/0!</v>
      </c>
      <c r="AK16" s="6">
        <f t="shared" si="12"/>
        <v>1.056910569105691</v>
      </c>
      <c r="AL16" s="6">
        <f t="shared" si="13"/>
        <v>1.0714285714285714</v>
      </c>
      <c r="AM16" s="4" t="str">
        <f t="shared" si="17"/>
        <v>-</v>
      </c>
      <c r="AN16" s="4" t="str">
        <f t="shared" si="18"/>
        <v>-</v>
      </c>
      <c r="AO16" s="4" t="str">
        <f t="shared" si="19"/>
        <v>-</v>
      </c>
      <c r="AP16" s="4">
        <v>0</v>
      </c>
      <c r="AQ16" s="4" t="s">
        <v>100</v>
      </c>
      <c r="AR16" s="4">
        <v>1</v>
      </c>
      <c r="AS16" s="4">
        <v>14</v>
      </c>
      <c r="AT16" s="4" t="s">
        <v>101</v>
      </c>
      <c r="AU16" s="4">
        <v>1719</v>
      </c>
      <c r="AV16" s="4">
        <v>1719</v>
      </c>
      <c r="AW16" s="4">
        <f t="shared" si="14"/>
        <v>122.78571428571428</v>
      </c>
      <c r="AX16" s="18">
        <v>4</v>
      </c>
      <c r="AY16" s="18">
        <v>1</v>
      </c>
      <c r="AZ16" s="16">
        <v>6</v>
      </c>
      <c r="BA16">
        <v>121</v>
      </c>
      <c r="BB16">
        <v>121</v>
      </c>
      <c r="BC16">
        <f t="shared" si="20"/>
        <v>129.64285714285714</v>
      </c>
      <c r="BD16">
        <v>150</v>
      </c>
      <c r="BE16">
        <v>150</v>
      </c>
      <c r="BF16">
        <f t="shared" si="21"/>
        <v>160.71428571428572</v>
      </c>
      <c r="BG16" t="s">
        <v>82</v>
      </c>
    </row>
    <row r="17" spans="1:59" x14ac:dyDescent="0.4">
      <c r="A17" s="3">
        <v>13</v>
      </c>
      <c r="B17" s="3">
        <v>13</v>
      </c>
      <c r="C17" s="4">
        <v>747513</v>
      </c>
      <c r="D17" s="4" t="str">
        <f t="shared" si="0"/>
        <v>747513</v>
      </c>
      <c r="E17" s="4">
        <v>747513</v>
      </c>
      <c r="F17" s="4" t="s">
        <v>68</v>
      </c>
      <c r="G17" s="5">
        <v>4904011019272</v>
      </c>
      <c r="H17" s="5"/>
      <c r="I17" s="5"/>
      <c r="J17" s="5">
        <v>1</v>
      </c>
      <c r="K17" s="5">
        <v>1</v>
      </c>
      <c r="L17" s="4">
        <v>0</v>
      </c>
      <c r="M17" s="4">
        <v>153</v>
      </c>
      <c r="N17" s="4">
        <v>84</v>
      </c>
      <c r="O17" s="6">
        <f t="shared" si="1"/>
        <v>0.4509803921568627</v>
      </c>
      <c r="P17" s="4" t="s">
        <v>70</v>
      </c>
      <c r="Q17" s="4" t="s">
        <v>70</v>
      </c>
      <c r="R17" s="4" t="s">
        <v>70</v>
      </c>
      <c r="S17" s="4">
        <v>0</v>
      </c>
      <c r="T17" s="4">
        <f t="shared" si="2"/>
        <v>0</v>
      </c>
      <c r="U17" s="4">
        <v>93</v>
      </c>
      <c r="V17" s="4">
        <f t="shared" si="3"/>
        <v>93</v>
      </c>
      <c r="W17" s="4"/>
      <c r="X17" s="20">
        <f t="shared" si="4"/>
        <v>169</v>
      </c>
      <c r="Y17" s="6">
        <f t="shared" si="5"/>
        <v>0.44970414201183428</v>
      </c>
      <c r="Z17" s="4">
        <v>115.25000000000001</v>
      </c>
      <c r="AA17" s="4">
        <f t="shared" si="6"/>
        <v>147</v>
      </c>
      <c r="AB17" s="4">
        <f t="shared" si="7"/>
        <v>162.75</v>
      </c>
      <c r="AC17" s="6">
        <f t="shared" si="8"/>
        <v>0.4285714285714286</v>
      </c>
      <c r="AD17" s="7">
        <f>M17</f>
        <v>153</v>
      </c>
      <c r="AE17" s="6">
        <f t="shared" si="9"/>
        <v>0.39215686274509809</v>
      </c>
      <c r="AF17" s="4">
        <f t="shared" si="10"/>
        <v>60</v>
      </c>
      <c r="AG17" s="27">
        <v>158</v>
      </c>
      <c r="AH17" s="6">
        <f t="shared" si="15"/>
        <v>0.41139240506329111</v>
      </c>
      <c r="AI17" s="4">
        <f t="shared" si="16"/>
        <v>65</v>
      </c>
      <c r="AJ17" s="6" t="e">
        <f t="shared" si="11"/>
        <v>#DIV/0!</v>
      </c>
      <c r="AK17" s="6">
        <f t="shared" si="12"/>
        <v>1</v>
      </c>
      <c r="AL17" s="6">
        <f t="shared" si="13"/>
        <v>1.1071428571428572</v>
      </c>
      <c r="AM17" s="4" t="str">
        <f t="shared" si="17"/>
        <v>-</v>
      </c>
      <c r="AN17" s="4" t="str">
        <f t="shared" si="18"/>
        <v>-</v>
      </c>
      <c r="AO17" s="4" t="str">
        <f t="shared" si="19"/>
        <v>-</v>
      </c>
      <c r="AP17" s="7" t="s">
        <v>55</v>
      </c>
      <c r="AQ17" s="4" t="s">
        <v>102</v>
      </c>
      <c r="AR17" s="4"/>
      <c r="AS17" s="4"/>
      <c r="AT17" s="4" t="s">
        <v>87</v>
      </c>
      <c r="AU17" s="4">
        <v>147</v>
      </c>
      <c r="AV17" s="4">
        <v>147</v>
      </c>
      <c r="AW17" s="4">
        <f t="shared" si="14"/>
        <v>147</v>
      </c>
      <c r="AX17" s="18">
        <v>4</v>
      </c>
      <c r="AY17" s="18">
        <v>1</v>
      </c>
      <c r="AZ17" s="16">
        <v>6</v>
      </c>
      <c r="BA17">
        <v>152</v>
      </c>
      <c r="BB17">
        <v>152</v>
      </c>
      <c r="BC17">
        <f t="shared" si="20"/>
        <v>168.28571428571431</v>
      </c>
      <c r="BD17">
        <v>149</v>
      </c>
      <c r="BE17">
        <v>149</v>
      </c>
      <c r="BF17">
        <f t="shared" si="21"/>
        <v>164.96428571428572</v>
      </c>
      <c r="BG17" t="s">
        <v>83</v>
      </c>
    </row>
  </sheetData>
  <sortState xmlns:xlrd2="http://schemas.microsoft.com/office/spreadsheetml/2017/richdata2" ref="A4:BG17">
    <sortCondition ref="B4:B17"/>
  </sortState>
  <mergeCells count="3">
    <mergeCell ref="L2:O2"/>
    <mergeCell ref="J2:K2"/>
    <mergeCell ref="S1:V1"/>
  </mergeCells>
  <phoneticPr fontId="2"/>
  <conditionalFormatting sqref="AB4:AB17">
    <cfRule type="cellIs" dxfId="2" priority="2" operator="lessThan">
      <formula>$AD4</formula>
    </cfRule>
  </conditionalFormatting>
  <conditionalFormatting sqref="AD4:AD17">
    <cfRule type="cellIs" dxfId="1" priority="3" operator="greaterThan">
      <formula>$T4</formula>
    </cfRule>
  </conditionalFormatting>
  <conditionalFormatting sqref="AV4:AV17">
    <cfRule type="cellIs" dxfId="0" priority="1" operator="notEqual">
      <formula>$AU4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須永 英里子</cp:lastModifiedBy>
  <dcterms:created xsi:type="dcterms:W3CDTF">2022-07-07T00:08:53Z</dcterms:created>
  <dcterms:modified xsi:type="dcterms:W3CDTF">2026-06-10T08:42:10Z</dcterms:modified>
</cp:coreProperties>
</file>