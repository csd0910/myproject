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ｺ_コクヨファニチャー_827\価格改定\20260529_6月末\"/>
    </mc:Choice>
  </mc:AlternateContent>
  <xr:revisionPtr revIDLastSave="0" documentId="13_ncr:1_{2B6929F0-028B-4F1D-9B72-9771120F223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12" i="1" l="1"/>
  <c r="BD13" i="1"/>
  <c r="BD14" i="1"/>
  <c r="BD15" i="1"/>
  <c r="BD16" i="1"/>
  <c r="BD17" i="1"/>
  <c r="BD4" i="1"/>
  <c r="BD5" i="1"/>
  <c r="BD6" i="1"/>
  <c r="BD7" i="1"/>
  <c r="BD8" i="1"/>
  <c r="BD9" i="1"/>
  <c r="BD10" i="1"/>
  <c r="BD11" i="1"/>
  <c r="AW15" i="1"/>
  <c r="AA15" i="1" s="1"/>
  <c r="AW16" i="1"/>
  <c r="AA16" i="1" s="1"/>
  <c r="AM5" i="1"/>
  <c r="AM10" i="1"/>
  <c r="AM13" i="1"/>
  <c r="AM4" i="1"/>
  <c r="AM12" i="1"/>
  <c r="AW13" i="1"/>
  <c r="AW14" i="1"/>
  <c r="AA14" i="1" s="1"/>
  <c r="AN5" i="1"/>
  <c r="AO5" i="1"/>
  <c r="AM6" i="1"/>
  <c r="AN6" i="1"/>
  <c r="AO6" i="1"/>
  <c r="AM7" i="1"/>
  <c r="AN7" i="1"/>
  <c r="AO7" i="1"/>
  <c r="AN8" i="1"/>
  <c r="AO8" i="1"/>
  <c r="AN9" i="1"/>
  <c r="AO9" i="1"/>
  <c r="AN10" i="1"/>
  <c r="AO10" i="1"/>
  <c r="AM11" i="1"/>
  <c r="AN11" i="1"/>
  <c r="AO11" i="1"/>
  <c r="AN12" i="1"/>
  <c r="AO12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O4" i="1"/>
  <c r="AN4" i="1"/>
  <c r="O15" i="1"/>
  <c r="O16" i="1"/>
  <c r="AK17" i="1"/>
  <c r="O17" i="1"/>
  <c r="AW17" i="1"/>
  <c r="AA17" i="1" s="1"/>
  <c r="V17" i="1"/>
  <c r="AE17" i="1" s="1"/>
  <c r="T17" i="1"/>
  <c r="D17" i="1"/>
  <c r="AK16" i="1"/>
  <c r="V16" i="1"/>
  <c r="AF16" i="1" s="1"/>
  <c r="T16" i="1"/>
  <c r="D16" i="1"/>
  <c r="AK15" i="1"/>
  <c r="V15" i="1"/>
  <c r="AF15" i="1" s="1"/>
  <c r="T15" i="1"/>
  <c r="AJ15" i="1" s="1"/>
  <c r="D15" i="1"/>
  <c r="AK14" i="1"/>
  <c r="V14" i="1"/>
  <c r="AL14" i="1" s="1"/>
  <c r="X14" i="1" s="1"/>
  <c r="Y14" i="1" s="1"/>
  <c r="T14" i="1"/>
  <c r="AJ14" i="1" s="1"/>
  <c r="O14" i="1"/>
  <c r="D14" i="1"/>
  <c r="AJ17" i="1" l="1"/>
  <c r="AJ16" i="1"/>
  <c r="AB14" i="1"/>
  <c r="AC14" i="1" s="1"/>
  <c r="AE14" i="1"/>
  <c r="AE15" i="1"/>
  <c r="AF14" i="1"/>
  <c r="AE16" i="1"/>
  <c r="AF17" i="1"/>
  <c r="AL16" i="1"/>
  <c r="AL17" i="1"/>
  <c r="AL15" i="1"/>
  <c r="X17" i="1" l="1"/>
  <c r="Y17" i="1" s="1"/>
  <c r="X16" i="1"/>
  <c r="Y16" i="1" s="1"/>
  <c r="X15" i="1"/>
  <c r="Y15" i="1" s="1"/>
  <c r="AB17" i="1"/>
  <c r="AC17" i="1" s="1"/>
  <c r="AB15" i="1"/>
  <c r="AC15" i="1" s="1"/>
  <c r="AB16" i="1"/>
  <c r="AC16" i="1" s="1"/>
  <c r="AW5" i="1"/>
  <c r="AA5" i="1" s="1"/>
  <c r="AW6" i="1"/>
  <c r="AA6" i="1" s="1"/>
  <c r="AW7" i="1"/>
  <c r="AA7" i="1" s="1"/>
  <c r="AW9" i="1"/>
  <c r="AA9" i="1" s="1"/>
  <c r="AW10" i="1"/>
  <c r="AA10" i="1" s="1"/>
  <c r="AW11" i="1"/>
  <c r="AA11" i="1" s="1"/>
  <c r="AW12" i="1"/>
  <c r="AA12" i="1" s="1"/>
  <c r="AA13" i="1"/>
  <c r="AW4" i="1"/>
  <c r="AA4" i="1" s="1"/>
  <c r="V5" i="1"/>
  <c r="V6" i="1"/>
  <c r="V7" i="1"/>
  <c r="V8" i="1"/>
  <c r="V9" i="1"/>
  <c r="V10" i="1"/>
  <c r="V11" i="1"/>
  <c r="V12" i="1"/>
  <c r="V13" i="1"/>
  <c r="T5" i="1"/>
  <c r="AJ5" i="1" s="1"/>
  <c r="T6" i="1"/>
  <c r="AJ6" i="1" s="1"/>
  <c r="T7" i="1"/>
  <c r="AJ7" i="1" s="1"/>
  <c r="T8" i="1"/>
  <c r="AJ8" i="1" s="1"/>
  <c r="T9" i="1"/>
  <c r="AJ9" i="1" s="1"/>
  <c r="T10" i="1"/>
  <c r="AJ10" i="1" s="1"/>
  <c r="T11" i="1"/>
  <c r="AJ11" i="1" s="1"/>
  <c r="T12" i="1"/>
  <c r="AJ12" i="1" s="1"/>
  <c r="T13" i="1"/>
  <c r="AJ13" i="1" s="1"/>
  <c r="D5" i="1"/>
  <c r="D6" i="1"/>
  <c r="D7" i="1"/>
  <c r="D8" i="1"/>
  <c r="D9" i="1"/>
  <c r="D10" i="1"/>
  <c r="D11" i="1"/>
  <c r="D12" i="1"/>
  <c r="D13" i="1"/>
  <c r="D4" i="1"/>
  <c r="V4" i="1"/>
  <c r="T4" i="1"/>
  <c r="AJ4" i="1" s="1"/>
  <c r="AK13" i="1"/>
  <c r="O13" i="1"/>
  <c r="AK12" i="1"/>
  <c r="O12" i="1"/>
  <c r="AK11" i="1"/>
  <c r="O11" i="1"/>
  <c r="AK10" i="1"/>
  <c r="O10" i="1"/>
  <c r="AK4" i="1"/>
  <c r="AK9" i="1"/>
  <c r="O9" i="1"/>
  <c r="AW8" i="1"/>
  <c r="AA8" i="1" s="1"/>
  <c r="AK8" i="1"/>
  <c r="O8" i="1"/>
  <c r="AK7" i="1"/>
  <c r="O7" i="1"/>
  <c r="AK6" i="1"/>
  <c r="O6" i="1"/>
  <c r="AL5" i="1"/>
  <c r="AK5" i="1"/>
  <c r="O5" i="1"/>
  <c r="O4" i="1"/>
  <c r="X5" i="1" l="1"/>
  <c r="Y5" i="1" s="1"/>
  <c r="AE13" i="1"/>
  <c r="AE5" i="1"/>
  <c r="AE12" i="1"/>
  <c r="AF10" i="1"/>
  <c r="AE4" i="1"/>
  <c r="AE9" i="1"/>
  <c r="AF8" i="1"/>
  <c r="AF11" i="1"/>
  <c r="AF7" i="1"/>
  <c r="AL6" i="1"/>
  <c r="AB5" i="1"/>
  <c r="AC5" i="1" s="1"/>
  <c r="AL10" i="1"/>
  <c r="AL12" i="1"/>
  <c r="AL8" i="1"/>
  <c r="AF6" i="1"/>
  <c r="AL13" i="1"/>
  <c r="AE11" i="1"/>
  <c r="AE10" i="1"/>
  <c r="AE8" i="1"/>
  <c r="AL11" i="1"/>
  <c r="AF9" i="1"/>
  <c r="AL9" i="1"/>
  <c r="AE7" i="1"/>
  <c r="AF13" i="1"/>
  <c r="AF5" i="1"/>
  <c r="AL7" i="1"/>
  <c r="AE6" i="1"/>
  <c r="AF12" i="1"/>
  <c r="AH4" i="1"/>
  <c r="AI4" i="1"/>
  <c r="AF4" i="1"/>
  <c r="AL4" i="1"/>
  <c r="X9" i="1" l="1"/>
  <c r="Y9" i="1" s="1"/>
  <c r="X11" i="1"/>
  <c r="Y11" i="1" s="1"/>
  <c r="X12" i="1"/>
  <c r="Y12" i="1" s="1"/>
  <c r="X8" i="1"/>
  <c r="Y8" i="1" s="1"/>
  <c r="X10" i="1"/>
  <c r="Y10" i="1" s="1"/>
  <c r="X7" i="1"/>
  <c r="Y7" i="1" s="1"/>
  <c r="X6" i="1"/>
  <c r="Y6" i="1" s="1"/>
  <c r="X4" i="1"/>
  <c r="Y4" i="1" s="1"/>
  <c r="X13" i="1"/>
  <c r="Y13" i="1" s="1"/>
  <c r="AB7" i="1"/>
  <c r="AC7" i="1" s="1"/>
  <c r="AB9" i="1"/>
  <c r="AC9" i="1" s="1"/>
  <c r="AB12" i="1"/>
  <c r="AC12" i="1" s="1"/>
  <c r="AB6" i="1"/>
  <c r="AC6" i="1" s="1"/>
  <c r="AB13" i="1"/>
  <c r="AC13" i="1" s="1"/>
  <c r="AB4" i="1"/>
  <c r="AC4" i="1" s="1"/>
  <c r="AB10" i="1"/>
  <c r="AC10" i="1" s="1"/>
  <c r="AB11" i="1"/>
  <c r="AC11" i="1" s="1"/>
  <c r="AB8" i="1"/>
  <c r="AC8" i="1" s="1"/>
</calcChain>
</file>

<file path=xl/sharedStrings.xml><?xml version="1.0" encoding="utf-8"?>
<sst xmlns="http://schemas.openxmlformats.org/spreadsheetml/2006/main" count="217" uniqueCount="108">
  <si>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</si>
  <si>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</si>
  <si>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</si>
  <si>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</si>
  <si>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</si>
  <si>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</si>
  <si>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</si>
  <si>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</si>
  <si>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</si>
  <si>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</si>
  <si>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</si>
  <si>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</si>
  <si>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</si>
  <si>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</si>
  <si>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</si>
  <si>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</si>
  <si>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</si>
  <si>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</si>
  <si>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</si>
  <si>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</si>
  <si>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</si>
  <si>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</si>
  <si>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</si>
  <si>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</si>
  <si>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</si>
  <si>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</si>
  <si>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</si>
  <si>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</si>
  <si>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</si>
  <si>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</si>
  <si>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</si>
  <si>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</si>
  <si>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</si>
  <si>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</si>
  <si>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</si>
  <si>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</si>
  <si>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</si>
  <si>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</si>
  <si>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</si>
  <si>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</si>
  <si>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</si>
  <si>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</si>
  <si>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</si>
  <si>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</si>
  <si>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</si>
  <si>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</si>
  <si>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</si>
  <si>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</si>
  <si>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</si>
  <si>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</si>
  <si>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</si>
  <si>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</si>
  <si>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</si>
  <si>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</si>
  <si>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</si>
  <si>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</si>
  <si>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J539PZ</t>
  </si>
  <si>
    <t>J540PZ</t>
  </si>
  <si>
    <t>J541PZ</t>
  </si>
  <si>
    <t>J542PZ</t>
  </si>
  <si>
    <t>J543PZ</t>
  </si>
  <si>
    <t>J544PZ</t>
  </si>
  <si>
    <t>34/207</t>
  </si>
  <si>
    <t>G)ｺｸﾖ/片面ﾎﾜｲﾄﾎﾞｰﾄﾞL脚 W1205×D315×H1800/BB-L934W</t>
  </si>
  <si>
    <t>G)ｺｸﾖ/片面ﾎﾜｲﾄﾎﾞｰﾄﾞL脚 W1805×D315×H1800/BB-L936W</t>
  </si>
  <si>
    <t>G)ｺｸﾖ/脚付き片面ﾎﾜｲﾄﾎﾞｰﾄﾞ ﾎｰﾛｰ無地 幅1155/BB-K934W</t>
  </si>
  <si>
    <t>G)ｺｸﾖ/脚付き片面ﾎﾜｲﾄﾎﾞｰﾄﾞ ﾎｰﾛｰ無地 幅1755/BB-K936W</t>
  </si>
  <si>
    <t>G)ｺｸﾖ/壁掛ﾎﾜｲﾄﾎﾞｰﾄﾞ ﾎｰﾛｰ無地 幅1155/BB-H934W</t>
  </si>
  <si>
    <t>G)ｺｸﾖ/壁掛ﾎﾜｲﾄﾎﾞｰﾄﾞ ﾎｰﾛｰ無地 幅1755/BB-H936W</t>
  </si>
  <si>
    <t>G)ｺｸﾖ/両面ﾎﾜｲﾄﾎﾞｰﾄﾞ 回転式 幅1160/BB-R934WW</t>
  </si>
  <si>
    <t>G)ｺｸﾖ/両面ﾎﾜｲﾄﾎﾞｰﾄﾞ 回転式 幅1760/BB-R936WW</t>
  </si>
  <si>
    <t>G)ｺｸﾖ/ﾓﾋﾞｰﾎﾞ 固定ﾎﾜｲﾄﾎﾞｰﾄﾞ W845×H1500 ﾌﾞﾗｯｸ/B02</t>
  </si>
  <si>
    <t>G)ｺｸﾖ/ﾓﾋﾞｰﾎﾞ 固定ﾎﾜｲﾄﾎﾞｰﾄﾞ W845×H1500 ﾎﾜｲﾄ/B02</t>
  </si>
  <si>
    <t>G)ｺｸﾖ/ﾓﾋﾞｰﾎﾞ 昇降ﾎﾜｲﾄﾎﾞｰﾄﾞ W835×H1860 ﾌﾞﾗｯｸ/B02</t>
  </si>
  <si>
    <t>G)ｺｸﾖ/ﾓﾋﾞｰﾎﾞ 昇降ﾎﾜｲﾄﾎﾞｰﾄﾞ W835×H1860 ﾎﾜｲﾄ/B02</t>
  </si>
  <si>
    <t>G)ｺｸﾖ/ﾓﾋﾞｰﾎﾞ 昇降ﾎﾜｲﾄﾎﾞｰﾄﾞ W1435×H1860 ﾌﾞﾗｯｸ/B02</t>
  </si>
  <si>
    <t>G)ｺｸﾖ/ﾓﾋﾞｰﾎﾞ 昇降ﾎﾜｲﾄﾎﾞｰﾄﾞ W1435×H1860 ﾎﾜｲﾄ/B02</t>
  </si>
  <si>
    <t>-</t>
  </si>
  <si>
    <t>削除</t>
    <rPh sb="0" eb="2">
      <t>サクジョ</t>
    </rPh>
    <phoneticPr fontId="2"/>
  </si>
  <si>
    <t>【組立設置込】コクヨ BB-L900 片面ホワイトボード 幅1805×奥行315×高さ1800mm BB-L936W 1枚（直送品）</t>
  </si>
  <si>
    <t>【組立設置込】コクヨ BB-K900 片面ホワイトボード 幅1285×奥行628×高さ1800mm BB-K934W 1枚（直送品）</t>
  </si>
  <si>
    <t>【組立設置込】コクヨ BB-K900 片面ホワイトボード 幅1885×奥行628×高さ1800mm BB-K936W 1枚（直送品）</t>
  </si>
  <si>
    <t>【組立設置込】コクヨ BB-H900 壁掛ホワイトボード 壁掛け 幅1805×奥行88×高さ905mm ホワイト/シルバー BB-H936W 1枚（直送品）</t>
  </si>
  <si>
    <t>【組立設置込】コクヨ BB-R900 回転ホワイトボード 幅1915×奥行628×高さ1800mm BB-R936WW 1枚（直送品）</t>
  </si>
  <si>
    <t>X424382</t>
  </si>
  <si>
    <t>1枚</t>
  </si>
  <si>
    <t>X424122</t>
  </si>
  <si>
    <t>X424245</t>
  </si>
  <si>
    <t>X424347</t>
  </si>
  <si>
    <t>X424385</t>
  </si>
  <si>
    <t>-</t>
    <phoneticPr fontId="2"/>
  </si>
  <si>
    <t>【設置込】コクヨ モビーボ 固定タイプ 幅845×奥行570×高さ1500mm ブラック B02-C074S1S1-E61 1台（直送品）</t>
  </si>
  <si>
    <t>P435968</t>
  </si>
  <si>
    <t>1台</t>
  </si>
  <si>
    <t>【設置込】コクヨ モビーボ 固定タイプ 幅845×奥行570×高さ1500mm ホワイト B02-C074S1S1-SW1 1台（直送品）</t>
  </si>
  <si>
    <t>P435969</t>
  </si>
  <si>
    <t>【組立設置込】コクヨ モビーボ 上下昇降両面タイプ 幅835×奥行570×高さ1860mm ブラック B02-S087S1S1-E61 1台（直送品）</t>
  </si>
  <si>
    <t>P435970</t>
  </si>
  <si>
    <t>【組立設置込】コクヨ モビーボ 上下昇降両面タイプ 幅835×奥行570×高さ1860mm ホワイト B02-S087S1S1-SW1 1台（直送品）</t>
  </si>
  <si>
    <t>P435971</t>
  </si>
  <si>
    <t>【組立設置込】コクヨ モビーボ 上下昇降両面タイプ 幅1435×奥行570×高さ1860mm ブラック B02-S147S1S1-E61 1台（直送品）</t>
  </si>
  <si>
    <t>P435972</t>
  </si>
  <si>
    <t>【組立設置込】コクヨ モビーボ 上下昇降両面タイプ 幅1435×奥行570×高さ1860mm ホワイト B02-S147S1S1-SW1 1台（直送品）</t>
  </si>
  <si>
    <t>P435973</t>
  </si>
  <si>
    <t>6月売価</t>
    <rPh sb="1" eb="2">
      <t>ガツ</t>
    </rPh>
    <rPh sb="2" eb="4">
      <t>バイカ</t>
    </rPh>
    <phoneticPr fontId="2"/>
  </si>
  <si>
    <t>5月
たの</t>
    <rPh sb="1" eb="2">
      <t>ガツ</t>
    </rPh>
    <phoneticPr fontId="2"/>
  </si>
  <si>
    <t>5月
カウ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</si>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</sst>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0" xfId="0" applyNumberFormat="1" applyBorder="1">
      <alignment vertical="center"/>
    </xf>
    <xf numFmtId="0" fontId="0" fillId="6" borderId="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E17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customWidth="1" outlineLevel="1"/>
    <col min="19" max="22" width="7.625" customWidth="1"/>
    <col min="23" max="23" width="4.375" customWidth="1" collapsed="1"/>
    <col min="24" max="25" width="7.625" customWidth="1"/>
    <col min="26" max="26" width="7.625" style="29" customWidth="1"/>
    <col min="27" max="27" width="7.625" customWidth="1"/>
    <col min="28" max="28" width="7.625" style="29" customWidth="1"/>
    <col min="29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56" width="7.625" customWidth="1"/>
  </cols>
  <sheetData>
    <row r="1" spans="1:57" x14ac:dyDescent="0.4">
      <c r="C1" s="28" t="s">
        <v>43</v>
      </c>
      <c r="S1" s="42" t="s">
        <v>40</v>
      </c>
      <c r="T1" s="43"/>
      <c r="U1" s="43"/>
      <c r="V1" s="44"/>
    </row>
    <row r="2" spans="1:57" x14ac:dyDescent="0.4">
      <c r="C2" s="8" t="s">
        <v>27</v>
      </c>
      <c r="D2" s="9" t="s">
        <v>28</v>
      </c>
      <c r="E2" s="9" t="s">
        <v>29</v>
      </c>
      <c r="F2" s="10"/>
      <c r="G2" s="10"/>
      <c r="H2" s="35"/>
      <c r="I2" s="35"/>
      <c r="J2" s="39" t="s">
        <v>30</v>
      </c>
      <c r="K2" s="41"/>
      <c r="L2" s="39" t="s">
        <v>2</v>
      </c>
      <c r="M2" s="40"/>
      <c r="N2" s="40"/>
      <c r="O2" s="41"/>
      <c r="P2" s="11"/>
      <c r="Q2" s="34"/>
      <c r="R2" s="34"/>
      <c r="S2" s="22"/>
      <c r="T2" s="23" t="s">
        <v>33</v>
      </c>
      <c r="U2" s="23"/>
      <c r="V2" s="24" t="s">
        <v>33</v>
      </c>
      <c r="W2" s="10"/>
      <c r="X2" s="9" t="s">
        <v>38</v>
      </c>
      <c r="Y2" s="11"/>
      <c r="Z2" s="30"/>
      <c r="AA2" s="11"/>
      <c r="AB2" s="30"/>
      <c r="AC2" s="11"/>
      <c r="AD2" s="21" t="s">
        <v>41</v>
      </c>
      <c r="AE2" s="11"/>
      <c r="AF2" s="11"/>
      <c r="AG2" s="26"/>
      <c r="AH2" s="11"/>
      <c r="AI2" s="11"/>
      <c r="AJ2" s="11"/>
      <c r="AK2" s="11"/>
      <c r="AL2" s="11"/>
      <c r="AM2" s="11"/>
      <c r="AN2" s="11"/>
      <c r="AO2" s="11"/>
      <c r="AP2">
        <v>51</v>
      </c>
      <c r="AX2">
        <v>14</v>
      </c>
      <c r="AY2">
        <v>28</v>
      </c>
    </row>
    <row r="3" spans="1:57" ht="75" x14ac:dyDescent="0.4">
      <c r="A3" s="1" t="s">
        <v>49</v>
      </c>
      <c r="B3" s="1" t="s">
        <v>55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51</v>
      </c>
      <c r="I3" s="12" t="s">
        <v>52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47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19" t="s">
        <v>17</v>
      </c>
      <c r="Y3" s="2" t="s">
        <v>16</v>
      </c>
      <c r="Z3" s="31" t="s">
        <v>44</v>
      </c>
      <c r="AA3" s="12" t="s">
        <v>39</v>
      </c>
      <c r="AB3" s="36" t="s">
        <v>53</v>
      </c>
      <c r="AC3" s="2" t="s">
        <v>16</v>
      </c>
      <c r="AD3" s="13" t="s">
        <v>31</v>
      </c>
      <c r="AE3" s="2" t="s">
        <v>16</v>
      </c>
      <c r="AF3" s="2" t="s">
        <v>32</v>
      </c>
      <c r="AG3" s="25" t="s">
        <v>34</v>
      </c>
      <c r="AH3" s="12" t="s">
        <v>35</v>
      </c>
      <c r="AI3" s="12" t="s">
        <v>36</v>
      </c>
      <c r="AJ3" s="12" t="s">
        <v>26</v>
      </c>
      <c r="AK3" s="12" t="s">
        <v>37</v>
      </c>
      <c r="AL3" s="12" t="s">
        <v>18</v>
      </c>
      <c r="AM3" s="12" t="s">
        <v>19</v>
      </c>
      <c r="AN3" s="12" t="s">
        <v>20</v>
      </c>
      <c r="AO3" s="12" t="s">
        <v>21</v>
      </c>
      <c r="AP3" s="2" t="s">
        <v>11</v>
      </c>
      <c r="AQ3" s="2" t="s">
        <v>12</v>
      </c>
      <c r="AR3" s="2" t="s">
        <v>13</v>
      </c>
      <c r="AS3" s="2" t="s">
        <v>14</v>
      </c>
      <c r="AT3" s="12" t="s">
        <v>42</v>
      </c>
      <c r="AU3" s="12" t="s">
        <v>54</v>
      </c>
      <c r="AV3" s="2" t="s">
        <v>104</v>
      </c>
      <c r="AW3" s="2" t="s">
        <v>15</v>
      </c>
      <c r="AX3" s="17" t="s">
        <v>45</v>
      </c>
      <c r="AY3" s="17" t="s">
        <v>46</v>
      </c>
      <c r="AZ3" s="15" t="s">
        <v>50</v>
      </c>
      <c r="BA3" s="45" t="s">
        <v>105</v>
      </c>
      <c r="BB3" s="46" t="s">
        <v>106</v>
      </c>
      <c r="BC3" s="46" t="s">
        <v>107</v>
      </c>
      <c r="BD3" s="33"/>
      <c r="BE3" s="33" t="s">
        <v>48</v>
      </c>
    </row>
    <row r="4" spans="1:57" x14ac:dyDescent="0.4">
      <c r="A4" s="38">
        <v>1</v>
      </c>
      <c r="B4" s="3">
        <v>1</v>
      </c>
      <c r="C4" s="32">
        <v>167129</v>
      </c>
      <c r="D4" s="4" t="str">
        <f>TEXT(C4,"000000")</f>
        <v>167129</v>
      </c>
      <c r="E4" s="4">
        <v>167129</v>
      </c>
      <c r="F4" s="4" t="s">
        <v>63</v>
      </c>
      <c r="G4" s="5">
        <v>4571190803659</v>
      </c>
      <c r="H4" s="5"/>
      <c r="I4" s="5"/>
      <c r="J4" s="5">
        <v>1</v>
      </c>
      <c r="K4" s="5">
        <v>1</v>
      </c>
      <c r="L4" s="4">
        <v>70400</v>
      </c>
      <c r="M4" s="4">
        <v>54492</v>
      </c>
      <c r="N4" s="4">
        <v>42270</v>
      </c>
      <c r="O4" s="6">
        <f t="shared" ref="O4:O13" si="0">1-N4/M4</f>
        <v>0.22428980400792775</v>
      </c>
      <c r="P4" s="4" t="s">
        <v>77</v>
      </c>
      <c r="Q4" s="4" t="s">
        <v>77</v>
      </c>
      <c r="R4" s="4" t="s">
        <v>77</v>
      </c>
      <c r="S4" s="4">
        <v>73900</v>
      </c>
      <c r="T4" s="4">
        <f>IF(W4="",S4,S4*W4)</f>
        <v>73900</v>
      </c>
      <c r="U4" s="4">
        <v>44400</v>
      </c>
      <c r="V4" s="4">
        <f>IF(W4="",U4,U4*W4)</f>
        <v>44400</v>
      </c>
      <c r="W4" s="4"/>
      <c r="X4" s="20">
        <f t="shared" ref="X4:X17" si="1">ROUND(M4*AL4,0)</f>
        <v>57238</v>
      </c>
      <c r="Y4" s="6">
        <f t="shared" ref="Y4" si="2">1-V4/X4</f>
        <v>0.22429155456165484</v>
      </c>
      <c r="Z4" s="32">
        <v>0</v>
      </c>
      <c r="AA4" s="4" t="str">
        <f>AW4</f>
        <v>-</v>
      </c>
      <c r="AB4" s="32" t="e">
        <f t="shared" ref="AB4:AB17" si="3">AA4*AL4</f>
        <v>#VALUE!</v>
      </c>
      <c r="AC4" s="6" t="e">
        <f t="shared" ref="AC4:AC17" si="4">1-V4/AB4</f>
        <v>#VALUE!</v>
      </c>
      <c r="AD4" s="7">
        <v>57000</v>
      </c>
      <c r="AE4" s="6">
        <f t="shared" ref="AE4:AE17" si="5">1-V4/AD4</f>
        <v>0.22105263157894739</v>
      </c>
      <c r="AF4" s="4">
        <f t="shared" ref="AF4:AF17" si="6">AD4-V4</f>
        <v>12600</v>
      </c>
      <c r="AG4" s="27"/>
      <c r="AH4" s="6" t="e">
        <f>1-V4/AG4</f>
        <v>#DIV/0!</v>
      </c>
      <c r="AI4" s="4">
        <f>AG4-V4</f>
        <v>-44400</v>
      </c>
      <c r="AJ4" s="6">
        <f t="shared" ref="AJ4:AJ17" si="7">T4/L4</f>
        <v>1.0497159090909092</v>
      </c>
      <c r="AK4" s="6">
        <f t="shared" ref="AK4:AK17" si="8">AD4/M4</f>
        <v>1.0460251046025104</v>
      </c>
      <c r="AL4" s="6">
        <f t="shared" ref="AL4:AL17" si="9">V4/N4</f>
        <v>1.0503903477643719</v>
      </c>
      <c r="AM4" s="4" t="str">
        <f>IFERROR(ROUND($AD4*P4/$M4,0),"-")</f>
        <v>-</v>
      </c>
      <c r="AN4" s="4" t="str">
        <f>IF(Q4="","-",Q4)</f>
        <v>-</v>
      </c>
      <c r="AO4" s="4" t="str">
        <f>IF(R4="","-",R4)</f>
        <v>-</v>
      </c>
      <c r="AP4" s="4">
        <v>0</v>
      </c>
      <c r="AQ4" s="4" t="s">
        <v>77</v>
      </c>
      <c r="AR4" s="4"/>
      <c r="AS4" s="4"/>
      <c r="AT4" s="4" t="s">
        <v>77</v>
      </c>
      <c r="AU4" s="4" t="s">
        <v>77</v>
      </c>
      <c r="AV4" s="4" t="s">
        <v>77</v>
      </c>
      <c r="AW4" s="4" t="str">
        <f t="shared" ref="AW4:AW5" si="10">IF(AR4="",AV4,AR4/AS4*AV4)</f>
        <v>-</v>
      </c>
      <c r="AX4" s="18">
        <v>4</v>
      </c>
      <c r="AY4" s="18">
        <v>9</v>
      </c>
      <c r="AZ4" s="16">
        <v>19</v>
      </c>
      <c r="BA4" t="s">
        <v>90</v>
      </c>
      <c r="BB4" t="s">
        <v>77</v>
      </c>
      <c r="BC4" t="s">
        <v>90</v>
      </c>
      <c r="BD4" t="str">
        <f>IFERROR(BC4*AL4,"-")</f>
        <v>-</v>
      </c>
      <c r="BE4" t="s">
        <v>77</v>
      </c>
    </row>
    <row r="5" spans="1:57" x14ac:dyDescent="0.4">
      <c r="A5" s="38">
        <v>2</v>
      </c>
      <c r="B5" s="3">
        <v>2</v>
      </c>
      <c r="C5" s="32">
        <v>167130</v>
      </c>
      <c r="D5" s="4" t="str">
        <f t="shared" ref="D5:D13" si="11">TEXT(C5,"000000")</f>
        <v>167130</v>
      </c>
      <c r="E5" s="4">
        <v>167130</v>
      </c>
      <c r="F5" s="4" t="s">
        <v>64</v>
      </c>
      <c r="G5" s="5">
        <v>4571190803703</v>
      </c>
      <c r="H5" s="5"/>
      <c r="I5" s="5"/>
      <c r="J5" s="5">
        <v>1</v>
      </c>
      <c r="K5" s="5">
        <v>1</v>
      </c>
      <c r="L5" s="4">
        <v>87500</v>
      </c>
      <c r="M5" s="4">
        <v>67840</v>
      </c>
      <c r="N5" s="4">
        <v>52210</v>
      </c>
      <c r="O5" s="6">
        <f t="shared" si="0"/>
        <v>0.2303950471698113</v>
      </c>
      <c r="P5" s="4" t="s">
        <v>77</v>
      </c>
      <c r="Q5" s="4" t="s">
        <v>77</v>
      </c>
      <c r="R5" s="4" t="s">
        <v>77</v>
      </c>
      <c r="S5" s="4">
        <v>91900</v>
      </c>
      <c r="T5" s="4">
        <f t="shared" ref="T5:T13" si="12">IF(W5="",S5,S5*W5)</f>
        <v>91900</v>
      </c>
      <c r="U5" s="4">
        <v>54900</v>
      </c>
      <c r="V5" s="4">
        <f t="shared" ref="V5:V13" si="13">IF(W5="",U5,U5*W5)</f>
        <v>54900</v>
      </c>
      <c r="W5" s="4"/>
      <c r="X5" s="20">
        <f t="shared" si="1"/>
        <v>71335</v>
      </c>
      <c r="Y5" s="6">
        <f t="shared" ref="Y5" si="14">1-V5/X5</f>
        <v>0.23039181327539071</v>
      </c>
      <c r="Z5" s="32">
        <v>0</v>
      </c>
      <c r="AA5" s="4">
        <f t="shared" ref="AA5:AA13" si="15">AW5</f>
        <v>65018</v>
      </c>
      <c r="AB5" s="32">
        <f t="shared" si="3"/>
        <v>68367.902700632068</v>
      </c>
      <c r="AC5" s="6">
        <f t="shared" si="4"/>
        <v>0.19699160232550994</v>
      </c>
      <c r="AD5" s="7">
        <v>68360</v>
      </c>
      <c r="AE5" s="6">
        <f t="shared" si="5"/>
        <v>0.19689877121123467</v>
      </c>
      <c r="AF5" s="4">
        <f t="shared" si="6"/>
        <v>13460</v>
      </c>
      <c r="AG5" s="27"/>
      <c r="AH5" s="6"/>
      <c r="AI5" s="6"/>
      <c r="AJ5" s="6">
        <f t="shared" si="7"/>
        <v>1.0502857142857143</v>
      </c>
      <c r="AK5" s="6">
        <f t="shared" si="8"/>
        <v>1.0076650943396226</v>
      </c>
      <c r="AL5" s="6">
        <f t="shared" si="9"/>
        <v>1.0515226968013791</v>
      </c>
      <c r="AM5" s="4" t="str">
        <f t="shared" ref="AM5:AM17" si="16">IFERROR(ROUND($AD5*P5/$M5,0),"-")</f>
        <v>-</v>
      </c>
      <c r="AN5" s="4" t="str">
        <f t="shared" ref="AN5:AN17" si="17">IF(Q5="","-",Q5)</f>
        <v>-</v>
      </c>
      <c r="AO5" s="4" t="str">
        <f t="shared" ref="AO5:AO17" si="18">IF(R5="","-",R5)</f>
        <v>-</v>
      </c>
      <c r="AP5" s="4">
        <v>0</v>
      </c>
      <c r="AQ5" s="4" t="s">
        <v>84</v>
      </c>
      <c r="AR5" s="4"/>
      <c r="AS5" s="4"/>
      <c r="AT5" s="4" t="s">
        <v>85</v>
      </c>
      <c r="AU5" s="4">
        <v>65018</v>
      </c>
      <c r="AV5" s="4">
        <v>65018</v>
      </c>
      <c r="AW5" s="4">
        <f t="shared" si="10"/>
        <v>65018</v>
      </c>
      <c r="AX5" s="18">
        <v>4</v>
      </c>
      <c r="AY5" s="18">
        <v>9</v>
      </c>
      <c r="AZ5" s="16">
        <v>19</v>
      </c>
      <c r="BA5" t="s">
        <v>90</v>
      </c>
      <c r="BB5" t="s">
        <v>77</v>
      </c>
      <c r="BC5" t="s">
        <v>90</v>
      </c>
      <c r="BD5" t="str">
        <f t="shared" ref="BD5:BD17" si="19">IFERROR(BC5*AL5,"-")</f>
        <v>-</v>
      </c>
      <c r="BE5" t="s">
        <v>79</v>
      </c>
    </row>
    <row r="6" spans="1:57" x14ac:dyDescent="0.4">
      <c r="A6" s="38">
        <v>3</v>
      </c>
      <c r="B6" s="3">
        <v>3</v>
      </c>
      <c r="C6" s="37">
        <v>578121</v>
      </c>
      <c r="D6" s="4" t="str">
        <f t="shared" si="11"/>
        <v>578121</v>
      </c>
      <c r="E6" s="4">
        <v>578121</v>
      </c>
      <c r="F6" s="4" t="s">
        <v>65</v>
      </c>
      <c r="G6" s="5">
        <v>4562185485769</v>
      </c>
      <c r="H6" s="5"/>
      <c r="I6" s="5"/>
      <c r="J6" s="5">
        <v>1</v>
      </c>
      <c r="K6" s="5">
        <v>1</v>
      </c>
      <c r="L6" s="4">
        <v>73900</v>
      </c>
      <c r="M6" s="4">
        <v>53666</v>
      </c>
      <c r="N6" s="4">
        <v>41550</v>
      </c>
      <c r="O6" s="6">
        <f t="shared" si="0"/>
        <v>0.22576677971154924</v>
      </c>
      <c r="P6" s="4" t="s">
        <v>77</v>
      </c>
      <c r="Q6" s="4" t="s">
        <v>77</v>
      </c>
      <c r="R6" s="4" t="s">
        <v>77</v>
      </c>
      <c r="S6" s="4">
        <v>77600</v>
      </c>
      <c r="T6" s="4">
        <f t="shared" si="12"/>
        <v>77600</v>
      </c>
      <c r="U6" s="4">
        <v>43700</v>
      </c>
      <c r="V6" s="4">
        <f t="shared" si="13"/>
        <v>43700</v>
      </c>
      <c r="W6" s="4"/>
      <c r="X6" s="20">
        <f t="shared" si="1"/>
        <v>56443</v>
      </c>
      <c r="Y6" s="6">
        <f t="shared" ref="Y6:Y13" si="20">1-V6/X6</f>
        <v>0.2257675885406516</v>
      </c>
      <c r="Z6" s="32">
        <v>0</v>
      </c>
      <c r="AA6" s="4">
        <f t="shared" si="15"/>
        <v>54953</v>
      </c>
      <c r="AB6" s="32">
        <f t="shared" si="3"/>
        <v>57796.536702767742</v>
      </c>
      <c r="AC6" s="6">
        <f t="shared" si="4"/>
        <v>0.24389933215657011</v>
      </c>
      <c r="AD6" s="7">
        <v>56100</v>
      </c>
      <c r="AE6" s="6">
        <f t="shared" si="5"/>
        <v>0.22103386809269165</v>
      </c>
      <c r="AF6" s="4">
        <f t="shared" si="6"/>
        <v>12400</v>
      </c>
      <c r="AG6" s="27"/>
      <c r="AH6" s="6"/>
      <c r="AI6" s="6"/>
      <c r="AJ6" s="6">
        <f t="shared" si="7"/>
        <v>1.0500676589986468</v>
      </c>
      <c r="AK6" s="6">
        <f t="shared" si="8"/>
        <v>1.0453546006782692</v>
      </c>
      <c r="AL6" s="6">
        <f t="shared" si="9"/>
        <v>1.0517448856799037</v>
      </c>
      <c r="AM6" s="4" t="str">
        <f t="shared" si="16"/>
        <v>-</v>
      </c>
      <c r="AN6" s="4" t="str">
        <f t="shared" si="17"/>
        <v>-</v>
      </c>
      <c r="AO6" s="4" t="str">
        <f t="shared" si="18"/>
        <v>-</v>
      </c>
      <c r="AP6" s="4">
        <v>0</v>
      </c>
      <c r="AQ6" s="4" t="s">
        <v>86</v>
      </c>
      <c r="AR6" s="4"/>
      <c r="AS6" s="4"/>
      <c r="AT6" s="4" t="s">
        <v>85</v>
      </c>
      <c r="AU6" s="4">
        <v>54953</v>
      </c>
      <c r="AV6" s="4">
        <v>54953</v>
      </c>
      <c r="AW6" s="4">
        <f t="shared" ref="AW6:AW13" si="21">IF(AR6="",AV6,AR6/AS6*AV6)</f>
        <v>54953</v>
      </c>
      <c r="AX6" s="18">
        <v>4</v>
      </c>
      <c r="AY6" s="18">
        <v>9</v>
      </c>
      <c r="AZ6" s="16">
        <v>19</v>
      </c>
      <c r="BA6" t="s">
        <v>90</v>
      </c>
      <c r="BB6" t="s">
        <v>77</v>
      </c>
      <c r="BC6" t="s">
        <v>90</v>
      </c>
      <c r="BD6" t="str">
        <f t="shared" si="19"/>
        <v>-</v>
      </c>
      <c r="BE6" t="s">
        <v>80</v>
      </c>
    </row>
    <row r="7" spans="1:57" x14ac:dyDescent="0.4">
      <c r="A7" s="38">
        <v>4</v>
      </c>
      <c r="B7" s="3">
        <v>4</v>
      </c>
      <c r="C7" s="37">
        <v>578122</v>
      </c>
      <c r="D7" s="4" t="str">
        <f t="shared" si="11"/>
        <v>578122</v>
      </c>
      <c r="E7" s="4">
        <v>578122</v>
      </c>
      <c r="F7" s="4" t="s">
        <v>66</v>
      </c>
      <c r="G7" s="5">
        <v>4562185487688</v>
      </c>
      <c r="H7" s="5"/>
      <c r="I7" s="5"/>
      <c r="J7" s="5">
        <v>1</v>
      </c>
      <c r="K7" s="5">
        <v>1</v>
      </c>
      <c r="L7" s="4">
        <v>93700</v>
      </c>
      <c r="M7" s="4">
        <v>68723</v>
      </c>
      <c r="N7" s="4">
        <v>52120</v>
      </c>
      <c r="O7" s="6">
        <f t="shared" si="0"/>
        <v>0.24159306200253194</v>
      </c>
      <c r="P7" s="4" t="s">
        <v>77</v>
      </c>
      <c r="Q7" s="4" t="s">
        <v>77</v>
      </c>
      <c r="R7" s="4" t="s">
        <v>77</v>
      </c>
      <c r="S7" s="4">
        <v>98400</v>
      </c>
      <c r="T7" s="4">
        <f t="shared" si="12"/>
        <v>98400</v>
      </c>
      <c r="U7" s="4">
        <v>54800</v>
      </c>
      <c r="V7" s="4">
        <f t="shared" si="13"/>
        <v>54800</v>
      </c>
      <c r="W7" s="4"/>
      <c r="X7" s="20">
        <f t="shared" si="1"/>
        <v>72257</v>
      </c>
      <c r="Y7" s="6">
        <f t="shared" si="20"/>
        <v>0.2415959699406286</v>
      </c>
      <c r="Z7" s="32">
        <v>0</v>
      </c>
      <c r="AA7" s="4">
        <f t="shared" si="15"/>
        <v>67979</v>
      </c>
      <c r="AB7" s="32">
        <f t="shared" si="3"/>
        <v>71474.466615502679</v>
      </c>
      <c r="AC7" s="6">
        <f t="shared" si="4"/>
        <v>0.23329263449006299</v>
      </c>
      <c r="AD7" s="7">
        <v>71400</v>
      </c>
      <c r="AE7" s="6">
        <f t="shared" si="5"/>
        <v>0.2324929971988795</v>
      </c>
      <c r="AF7" s="4">
        <f t="shared" si="6"/>
        <v>16600</v>
      </c>
      <c r="AG7" s="27"/>
      <c r="AH7" s="6"/>
      <c r="AI7" s="6"/>
      <c r="AJ7" s="6">
        <f t="shared" si="7"/>
        <v>1.0501600853788686</v>
      </c>
      <c r="AK7" s="6">
        <f t="shared" si="8"/>
        <v>1.038953479912111</v>
      </c>
      <c r="AL7" s="6">
        <f t="shared" si="9"/>
        <v>1.0514198004604758</v>
      </c>
      <c r="AM7" s="4" t="str">
        <f t="shared" si="16"/>
        <v>-</v>
      </c>
      <c r="AN7" s="4" t="str">
        <f t="shared" si="17"/>
        <v>-</v>
      </c>
      <c r="AO7" s="4" t="str">
        <f t="shared" si="18"/>
        <v>-</v>
      </c>
      <c r="AP7" s="4">
        <v>0</v>
      </c>
      <c r="AQ7" s="4" t="s">
        <v>87</v>
      </c>
      <c r="AR7" s="4"/>
      <c r="AS7" s="4"/>
      <c r="AT7" s="4" t="s">
        <v>85</v>
      </c>
      <c r="AU7" s="4">
        <v>67979</v>
      </c>
      <c r="AV7" s="4">
        <v>67979</v>
      </c>
      <c r="AW7" s="4">
        <f t="shared" si="21"/>
        <v>67979</v>
      </c>
      <c r="AX7" s="18">
        <v>4</v>
      </c>
      <c r="AY7" s="18">
        <v>9</v>
      </c>
      <c r="AZ7" s="16">
        <v>19</v>
      </c>
      <c r="BA7" t="s">
        <v>90</v>
      </c>
      <c r="BB7" t="s">
        <v>77</v>
      </c>
      <c r="BC7" t="s">
        <v>90</v>
      </c>
      <c r="BD7" t="str">
        <f t="shared" si="19"/>
        <v>-</v>
      </c>
      <c r="BE7" t="s">
        <v>81</v>
      </c>
    </row>
    <row r="8" spans="1:57" x14ac:dyDescent="0.4">
      <c r="A8" s="38">
        <v>5</v>
      </c>
      <c r="B8" s="3">
        <v>5</v>
      </c>
      <c r="C8" s="37">
        <v>578123</v>
      </c>
      <c r="D8" s="4" t="str">
        <f t="shared" si="11"/>
        <v>578123</v>
      </c>
      <c r="E8" s="4">
        <v>578123</v>
      </c>
      <c r="F8" s="4" t="s">
        <v>67</v>
      </c>
      <c r="G8" s="5">
        <v>4562185490879</v>
      </c>
      <c r="H8" s="5"/>
      <c r="I8" s="5"/>
      <c r="J8" s="5">
        <v>1</v>
      </c>
      <c r="K8" s="5">
        <v>1</v>
      </c>
      <c r="L8" s="4">
        <v>41100</v>
      </c>
      <c r="M8" s="4">
        <v>31600</v>
      </c>
      <c r="N8" s="4">
        <v>25430</v>
      </c>
      <c r="O8" s="6">
        <f t="shared" si="0"/>
        <v>0.19525316455696207</v>
      </c>
      <c r="P8" s="4">
        <v>0</v>
      </c>
      <c r="Q8" s="4">
        <v>2</v>
      </c>
      <c r="R8" s="4">
        <v>99999</v>
      </c>
      <c r="S8" s="4">
        <v>43200</v>
      </c>
      <c r="T8" s="4">
        <f t="shared" si="12"/>
        <v>43200</v>
      </c>
      <c r="U8" s="4">
        <v>26800</v>
      </c>
      <c r="V8" s="4">
        <f t="shared" si="13"/>
        <v>26800</v>
      </c>
      <c r="W8" s="4"/>
      <c r="X8" s="20">
        <f t="shared" si="1"/>
        <v>33302</v>
      </c>
      <c r="Y8" s="6">
        <f t="shared" si="20"/>
        <v>0.19524352891718211</v>
      </c>
      <c r="Z8" s="32">
        <v>0</v>
      </c>
      <c r="AA8" s="4" t="str">
        <f t="shared" si="15"/>
        <v>-</v>
      </c>
      <c r="AB8" s="32" t="e">
        <f t="shared" si="3"/>
        <v>#VALUE!</v>
      </c>
      <c r="AC8" s="6" t="e">
        <f t="shared" si="4"/>
        <v>#VALUE!</v>
      </c>
      <c r="AD8" s="7">
        <v>34500</v>
      </c>
      <c r="AE8" s="6">
        <f t="shared" si="5"/>
        <v>0.22318840579710142</v>
      </c>
      <c r="AF8" s="4">
        <f t="shared" si="6"/>
        <v>7700</v>
      </c>
      <c r="AG8" s="27"/>
      <c r="AH8" s="6"/>
      <c r="AI8" s="6"/>
      <c r="AJ8" s="6">
        <f t="shared" si="7"/>
        <v>1.051094890510949</v>
      </c>
      <c r="AK8" s="6">
        <f t="shared" si="8"/>
        <v>1.0917721518987342</v>
      </c>
      <c r="AL8" s="6">
        <f t="shared" si="9"/>
        <v>1.0538733779001179</v>
      </c>
      <c r="AM8" s="7" t="s">
        <v>78</v>
      </c>
      <c r="AN8" s="4">
        <f t="shared" si="17"/>
        <v>2</v>
      </c>
      <c r="AO8" s="4">
        <f t="shared" si="18"/>
        <v>99999</v>
      </c>
      <c r="AP8" s="4">
        <v>0</v>
      </c>
      <c r="AQ8" s="4" t="s">
        <v>77</v>
      </c>
      <c r="AR8" s="4"/>
      <c r="AS8" s="4"/>
      <c r="AT8" s="4" t="s">
        <v>77</v>
      </c>
      <c r="AU8" s="4" t="s">
        <v>77</v>
      </c>
      <c r="AV8" s="4" t="s">
        <v>77</v>
      </c>
      <c r="AW8" s="4" t="str">
        <f t="shared" si="21"/>
        <v>-</v>
      </c>
      <c r="AX8" s="18">
        <v>4</v>
      </c>
      <c r="AY8" s="18">
        <v>9</v>
      </c>
      <c r="AZ8" s="16">
        <v>19</v>
      </c>
      <c r="BA8" t="s">
        <v>90</v>
      </c>
      <c r="BB8" t="s">
        <v>77</v>
      </c>
      <c r="BC8" t="s">
        <v>90</v>
      </c>
      <c r="BD8" t="str">
        <f t="shared" si="19"/>
        <v>-</v>
      </c>
      <c r="BE8" t="s">
        <v>77</v>
      </c>
    </row>
    <row r="9" spans="1:57" x14ac:dyDescent="0.4">
      <c r="A9" s="38">
        <v>6</v>
      </c>
      <c r="B9" s="3">
        <v>6</v>
      </c>
      <c r="C9" s="37">
        <v>578125</v>
      </c>
      <c r="D9" s="4" t="str">
        <f t="shared" si="11"/>
        <v>578125</v>
      </c>
      <c r="E9" s="4">
        <v>578125</v>
      </c>
      <c r="F9" s="4" t="s">
        <v>68</v>
      </c>
      <c r="G9" s="5">
        <v>4562185490831</v>
      </c>
      <c r="H9" s="5"/>
      <c r="I9" s="5"/>
      <c r="J9" s="5">
        <v>1</v>
      </c>
      <c r="K9" s="5">
        <v>1</v>
      </c>
      <c r="L9" s="4">
        <v>56700</v>
      </c>
      <c r="M9" s="4">
        <v>43640</v>
      </c>
      <c r="N9" s="4">
        <v>33960</v>
      </c>
      <c r="O9" s="6">
        <f t="shared" si="0"/>
        <v>0.22181484876260316</v>
      </c>
      <c r="P9" s="4">
        <v>0</v>
      </c>
      <c r="Q9" s="4">
        <v>2</v>
      </c>
      <c r="R9" s="4">
        <v>99999</v>
      </c>
      <c r="S9" s="4">
        <v>59500</v>
      </c>
      <c r="T9" s="4">
        <f t="shared" si="12"/>
        <v>59500</v>
      </c>
      <c r="U9" s="4">
        <v>35700</v>
      </c>
      <c r="V9" s="4">
        <f t="shared" si="13"/>
        <v>35700</v>
      </c>
      <c r="W9" s="4"/>
      <c r="X9" s="20">
        <f t="shared" si="1"/>
        <v>45876</v>
      </c>
      <c r="Y9" s="6">
        <f t="shared" si="20"/>
        <v>0.22181532827622286</v>
      </c>
      <c r="Z9" s="32">
        <v>0</v>
      </c>
      <c r="AA9" s="4">
        <f t="shared" si="15"/>
        <v>42189</v>
      </c>
      <c r="AB9" s="32">
        <f t="shared" si="3"/>
        <v>44350.627208480561</v>
      </c>
      <c r="AC9" s="6">
        <f t="shared" si="4"/>
        <v>0.19505084263670613</v>
      </c>
      <c r="AD9" s="7">
        <v>44350</v>
      </c>
      <c r="AE9" s="6">
        <f t="shared" si="5"/>
        <v>0.19503945885005636</v>
      </c>
      <c r="AF9" s="4">
        <f t="shared" si="6"/>
        <v>8650</v>
      </c>
      <c r="AG9" s="27"/>
      <c r="AH9" s="6"/>
      <c r="AI9" s="6"/>
      <c r="AJ9" s="6">
        <f t="shared" si="7"/>
        <v>1.0493827160493827</v>
      </c>
      <c r="AK9" s="6">
        <f t="shared" si="8"/>
        <v>1.0162694775435381</v>
      </c>
      <c r="AL9" s="6">
        <f t="shared" si="9"/>
        <v>1.0512367491166077</v>
      </c>
      <c r="AM9" s="7" t="s">
        <v>78</v>
      </c>
      <c r="AN9" s="4">
        <f t="shared" si="17"/>
        <v>2</v>
      </c>
      <c r="AO9" s="4">
        <f t="shared" si="18"/>
        <v>99999</v>
      </c>
      <c r="AP9" s="4">
        <v>0</v>
      </c>
      <c r="AQ9" s="4" t="s">
        <v>88</v>
      </c>
      <c r="AR9" s="4"/>
      <c r="AS9" s="4"/>
      <c r="AT9" s="4" t="s">
        <v>85</v>
      </c>
      <c r="AU9" s="4">
        <v>42189</v>
      </c>
      <c r="AV9" s="4">
        <v>42189</v>
      </c>
      <c r="AW9" s="4">
        <f t="shared" si="21"/>
        <v>42189</v>
      </c>
      <c r="AX9" s="18">
        <v>4</v>
      </c>
      <c r="AY9" s="18">
        <v>9</v>
      </c>
      <c r="AZ9" s="16">
        <v>19</v>
      </c>
      <c r="BA9" t="s">
        <v>90</v>
      </c>
      <c r="BB9" t="s">
        <v>77</v>
      </c>
      <c r="BC9" t="s">
        <v>90</v>
      </c>
      <c r="BD9" t="str">
        <f t="shared" si="19"/>
        <v>-</v>
      </c>
      <c r="BE9" t="s">
        <v>82</v>
      </c>
    </row>
    <row r="10" spans="1:57" x14ac:dyDescent="0.4">
      <c r="A10" s="38">
        <v>7</v>
      </c>
      <c r="B10" s="3">
        <v>7</v>
      </c>
      <c r="C10" s="32">
        <v>639213</v>
      </c>
      <c r="D10" s="4" t="str">
        <f t="shared" si="11"/>
        <v>639213</v>
      </c>
      <c r="E10" s="4">
        <v>639213</v>
      </c>
      <c r="F10" s="4" t="s">
        <v>69</v>
      </c>
      <c r="G10" s="5">
        <v>4562185487756</v>
      </c>
      <c r="H10" s="5"/>
      <c r="I10" s="5"/>
      <c r="J10" s="5">
        <v>1</v>
      </c>
      <c r="K10" s="5">
        <v>1</v>
      </c>
      <c r="L10" s="4">
        <v>97700</v>
      </c>
      <c r="M10" s="4">
        <v>70740</v>
      </c>
      <c r="N10" s="4">
        <v>54280</v>
      </c>
      <c r="O10" s="6">
        <f t="shared" si="0"/>
        <v>0.23268306474413347</v>
      </c>
      <c r="P10" s="4" t="s">
        <v>77</v>
      </c>
      <c r="Q10" s="4" t="s">
        <v>77</v>
      </c>
      <c r="R10" s="4" t="s">
        <v>77</v>
      </c>
      <c r="S10" s="4">
        <v>103000</v>
      </c>
      <c r="T10" s="4">
        <f t="shared" si="12"/>
        <v>103000</v>
      </c>
      <c r="U10" s="4">
        <v>57300</v>
      </c>
      <c r="V10" s="4">
        <f t="shared" si="13"/>
        <v>57300</v>
      </c>
      <c r="W10" s="4"/>
      <c r="X10" s="20">
        <f t="shared" si="1"/>
        <v>74676</v>
      </c>
      <c r="Y10" s="6">
        <f t="shared" si="20"/>
        <v>0.23268520006427773</v>
      </c>
      <c r="Z10" s="32">
        <v>0</v>
      </c>
      <c r="AA10" s="4" t="str">
        <f t="shared" si="15"/>
        <v>-</v>
      </c>
      <c r="AB10" s="32" t="e">
        <f t="shared" si="3"/>
        <v>#VALUE!</v>
      </c>
      <c r="AC10" s="6" t="e">
        <f t="shared" si="4"/>
        <v>#VALUE!</v>
      </c>
      <c r="AD10" s="7">
        <v>75000</v>
      </c>
      <c r="AE10" s="6">
        <f t="shared" si="5"/>
        <v>0.23599999999999999</v>
      </c>
      <c r="AF10" s="4">
        <f t="shared" si="6"/>
        <v>17700</v>
      </c>
      <c r="AG10" s="27"/>
      <c r="AH10" s="6"/>
      <c r="AI10" s="6"/>
      <c r="AJ10" s="6">
        <f t="shared" si="7"/>
        <v>1.0542476970317298</v>
      </c>
      <c r="AK10" s="6">
        <f t="shared" si="8"/>
        <v>1.0602205258693809</v>
      </c>
      <c r="AL10" s="6">
        <f t="shared" si="9"/>
        <v>1.0556374355195284</v>
      </c>
      <c r="AM10" s="4" t="str">
        <f t="shared" si="16"/>
        <v>-</v>
      </c>
      <c r="AN10" s="4" t="str">
        <f t="shared" si="17"/>
        <v>-</v>
      </c>
      <c r="AO10" s="4" t="str">
        <f t="shared" si="18"/>
        <v>-</v>
      </c>
      <c r="AP10" s="4" t="s">
        <v>62</v>
      </c>
      <c r="AQ10" s="4" t="s">
        <v>77</v>
      </c>
      <c r="AR10" s="4"/>
      <c r="AS10" s="4"/>
      <c r="AT10" s="4" t="s">
        <v>77</v>
      </c>
      <c r="AU10" s="4" t="s">
        <v>77</v>
      </c>
      <c r="AV10" s="4" t="s">
        <v>77</v>
      </c>
      <c r="AW10" s="4" t="str">
        <f t="shared" si="21"/>
        <v>-</v>
      </c>
      <c r="AX10" s="18">
        <v>4</v>
      </c>
      <c r="AY10" s="18">
        <v>9</v>
      </c>
      <c r="AZ10" s="16">
        <v>19</v>
      </c>
      <c r="BA10" t="s">
        <v>90</v>
      </c>
      <c r="BB10" t="s">
        <v>77</v>
      </c>
      <c r="BC10" t="s">
        <v>90</v>
      </c>
      <c r="BD10" t="str">
        <f t="shared" si="19"/>
        <v>-</v>
      </c>
      <c r="BE10" t="s">
        <v>77</v>
      </c>
    </row>
    <row r="11" spans="1:57" x14ac:dyDescent="0.4">
      <c r="A11" s="38">
        <v>8</v>
      </c>
      <c r="B11" s="3">
        <v>8</v>
      </c>
      <c r="C11" s="32">
        <v>639214</v>
      </c>
      <c r="D11" s="4" t="str">
        <f t="shared" si="11"/>
        <v>639214</v>
      </c>
      <c r="E11" s="4">
        <v>639214</v>
      </c>
      <c r="F11" s="4" t="s">
        <v>70</v>
      </c>
      <c r="G11" s="5">
        <v>4562185487770</v>
      </c>
      <c r="H11" s="5"/>
      <c r="I11" s="5"/>
      <c r="J11" s="5">
        <v>1</v>
      </c>
      <c r="K11" s="5">
        <v>1</v>
      </c>
      <c r="L11" s="4">
        <v>116000</v>
      </c>
      <c r="M11" s="4">
        <v>83930</v>
      </c>
      <c r="N11" s="4">
        <v>64360</v>
      </c>
      <c r="O11" s="6">
        <f t="shared" si="0"/>
        <v>0.23317049922554511</v>
      </c>
      <c r="P11" s="4" t="s">
        <v>77</v>
      </c>
      <c r="Q11" s="4" t="s">
        <v>77</v>
      </c>
      <c r="R11" s="4" t="s">
        <v>77</v>
      </c>
      <c r="S11" s="4">
        <v>122000</v>
      </c>
      <c r="T11" s="4">
        <f t="shared" si="12"/>
        <v>122000</v>
      </c>
      <c r="U11" s="4">
        <v>67700</v>
      </c>
      <c r="V11" s="4">
        <f t="shared" si="13"/>
        <v>67700</v>
      </c>
      <c r="W11" s="4"/>
      <c r="X11" s="20">
        <f t="shared" si="1"/>
        <v>88286</v>
      </c>
      <c r="Y11" s="6">
        <f t="shared" si="20"/>
        <v>0.23317400267313049</v>
      </c>
      <c r="Z11" s="32">
        <v>0</v>
      </c>
      <c r="AA11" s="4">
        <f t="shared" si="15"/>
        <v>86206</v>
      </c>
      <c r="AB11" s="32">
        <f t="shared" si="3"/>
        <v>90679.711000621508</v>
      </c>
      <c r="AC11" s="6">
        <f t="shared" si="4"/>
        <v>0.25341623552884951</v>
      </c>
      <c r="AD11" s="7">
        <v>88300</v>
      </c>
      <c r="AE11" s="6">
        <f t="shared" si="5"/>
        <v>0.23329558323895805</v>
      </c>
      <c r="AF11" s="4">
        <f t="shared" si="6"/>
        <v>20600</v>
      </c>
      <c r="AG11" s="27"/>
      <c r="AH11" s="6"/>
      <c r="AI11" s="6"/>
      <c r="AJ11" s="6">
        <f t="shared" si="7"/>
        <v>1.0517241379310345</v>
      </c>
      <c r="AK11" s="6">
        <f t="shared" si="8"/>
        <v>1.0520671988561896</v>
      </c>
      <c r="AL11" s="6">
        <f t="shared" si="9"/>
        <v>1.0518955873213176</v>
      </c>
      <c r="AM11" s="4" t="str">
        <f t="shared" si="16"/>
        <v>-</v>
      </c>
      <c r="AN11" s="4" t="str">
        <f t="shared" si="17"/>
        <v>-</v>
      </c>
      <c r="AO11" s="4" t="str">
        <f t="shared" si="18"/>
        <v>-</v>
      </c>
      <c r="AP11" s="4" t="s">
        <v>62</v>
      </c>
      <c r="AQ11" s="4" t="s">
        <v>89</v>
      </c>
      <c r="AR11" s="4"/>
      <c r="AS11" s="4"/>
      <c r="AT11" s="4" t="s">
        <v>85</v>
      </c>
      <c r="AU11" s="4">
        <v>86206</v>
      </c>
      <c r="AV11" s="4">
        <v>86206</v>
      </c>
      <c r="AW11" s="4">
        <f t="shared" si="21"/>
        <v>86206</v>
      </c>
      <c r="AX11" s="18">
        <v>4</v>
      </c>
      <c r="AY11" s="18">
        <v>9</v>
      </c>
      <c r="AZ11" s="16">
        <v>19</v>
      </c>
      <c r="BA11" t="s">
        <v>90</v>
      </c>
      <c r="BB11" t="s">
        <v>77</v>
      </c>
      <c r="BC11" t="s">
        <v>90</v>
      </c>
      <c r="BD11" t="str">
        <f t="shared" si="19"/>
        <v>-</v>
      </c>
      <c r="BE11" t="s">
        <v>83</v>
      </c>
    </row>
    <row r="12" spans="1:57" x14ac:dyDescent="0.4">
      <c r="A12" s="38">
        <v>9</v>
      </c>
      <c r="B12" s="3">
        <v>9</v>
      </c>
      <c r="C12" s="4" t="s">
        <v>56</v>
      </c>
      <c r="D12" s="4" t="str">
        <f t="shared" si="11"/>
        <v>J539PZ</v>
      </c>
      <c r="E12" s="4" t="s">
        <v>56</v>
      </c>
      <c r="F12" s="4" t="s">
        <v>71</v>
      </c>
      <c r="G12" s="5">
        <v>0</v>
      </c>
      <c r="H12" s="5"/>
      <c r="I12" s="5"/>
      <c r="J12" s="5">
        <v>33278</v>
      </c>
      <c r="K12" s="5">
        <v>1</v>
      </c>
      <c r="L12" s="4">
        <v>118000</v>
      </c>
      <c r="M12" s="4">
        <v>86090</v>
      </c>
      <c r="N12" s="4">
        <v>66080</v>
      </c>
      <c r="O12" s="6">
        <f t="shared" si="0"/>
        <v>0.23243117667557212</v>
      </c>
      <c r="P12" s="4" t="s">
        <v>77</v>
      </c>
      <c r="Q12" s="4" t="s">
        <v>77</v>
      </c>
      <c r="R12" s="4" t="s">
        <v>77</v>
      </c>
      <c r="S12" s="4">
        <v>124000</v>
      </c>
      <c r="T12" s="4">
        <f t="shared" si="12"/>
        <v>124000</v>
      </c>
      <c r="U12" s="4">
        <v>69500</v>
      </c>
      <c r="V12" s="4">
        <f t="shared" si="13"/>
        <v>69500</v>
      </c>
      <c r="W12" s="4"/>
      <c r="X12" s="20">
        <f t="shared" si="1"/>
        <v>90546</v>
      </c>
      <c r="Y12" s="6">
        <f t="shared" si="20"/>
        <v>0.23243434276500341</v>
      </c>
      <c r="Z12" s="32">
        <v>0</v>
      </c>
      <c r="AA12" s="4">
        <f t="shared" si="15"/>
        <v>86153</v>
      </c>
      <c r="AB12" s="32">
        <f t="shared" si="3"/>
        <v>90611.887106537542</v>
      </c>
      <c r="AC12" s="6">
        <f t="shared" si="4"/>
        <v>0.23299246689029995</v>
      </c>
      <c r="AD12" s="7">
        <v>90500</v>
      </c>
      <c r="AE12" s="6">
        <f t="shared" si="5"/>
        <v>0.23204419889502759</v>
      </c>
      <c r="AF12" s="4">
        <f t="shared" si="6"/>
        <v>21000</v>
      </c>
      <c r="AG12" s="27"/>
      <c r="AH12" s="6"/>
      <c r="AI12" s="6"/>
      <c r="AJ12" s="6">
        <f t="shared" si="7"/>
        <v>1.0508474576271187</v>
      </c>
      <c r="AK12" s="6">
        <f t="shared" si="8"/>
        <v>1.0512254617261005</v>
      </c>
      <c r="AL12" s="6">
        <f t="shared" si="9"/>
        <v>1.0517554479418887</v>
      </c>
      <c r="AM12" s="4" t="str">
        <f t="shared" si="16"/>
        <v>-</v>
      </c>
      <c r="AN12" s="4" t="str">
        <f t="shared" si="17"/>
        <v>-</v>
      </c>
      <c r="AO12" s="4" t="str">
        <f t="shared" si="18"/>
        <v>-</v>
      </c>
      <c r="AP12" s="4">
        <v>0</v>
      </c>
      <c r="AQ12" s="4" t="s">
        <v>92</v>
      </c>
      <c r="AR12" s="4"/>
      <c r="AS12" s="4"/>
      <c r="AT12" s="4" t="s">
        <v>93</v>
      </c>
      <c r="AU12" s="4">
        <v>86153</v>
      </c>
      <c r="AV12" s="4">
        <v>86153</v>
      </c>
      <c r="AW12" s="4">
        <f t="shared" si="21"/>
        <v>86153</v>
      </c>
      <c r="AX12" s="18">
        <v>4</v>
      </c>
      <c r="AY12" s="18">
        <v>9</v>
      </c>
      <c r="AZ12" s="16">
        <v>19</v>
      </c>
      <c r="BA12" t="s">
        <v>90</v>
      </c>
      <c r="BB12" t="s">
        <v>77</v>
      </c>
      <c r="BC12" t="s">
        <v>90</v>
      </c>
      <c r="BD12" t="str">
        <f t="shared" si="19"/>
        <v>-</v>
      </c>
      <c r="BE12" t="s">
        <v>91</v>
      </c>
    </row>
    <row r="13" spans="1:57" x14ac:dyDescent="0.4">
      <c r="A13" s="38">
        <v>10</v>
      </c>
      <c r="B13" s="3">
        <v>10</v>
      </c>
      <c r="C13" s="4" t="s">
        <v>57</v>
      </c>
      <c r="D13" s="4" t="str">
        <f t="shared" si="11"/>
        <v>J540PZ</v>
      </c>
      <c r="E13" s="4" t="s">
        <v>57</v>
      </c>
      <c r="F13" s="4" t="s">
        <v>72</v>
      </c>
      <c r="G13" s="5">
        <v>0</v>
      </c>
      <c r="H13" s="5"/>
      <c r="I13" s="5"/>
      <c r="J13" s="5">
        <v>33278</v>
      </c>
      <c r="K13" s="5">
        <v>1</v>
      </c>
      <c r="L13" s="4">
        <v>118000</v>
      </c>
      <c r="M13" s="4">
        <v>86090</v>
      </c>
      <c r="N13" s="4">
        <v>66080</v>
      </c>
      <c r="O13" s="6">
        <f t="shared" si="0"/>
        <v>0.23243117667557212</v>
      </c>
      <c r="P13" s="4" t="s">
        <v>77</v>
      </c>
      <c r="Q13" s="4" t="s">
        <v>77</v>
      </c>
      <c r="R13" s="4" t="s">
        <v>77</v>
      </c>
      <c r="S13" s="4">
        <v>124000</v>
      </c>
      <c r="T13" s="4">
        <f t="shared" si="12"/>
        <v>124000</v>
      </c>
      <c r="U13" s="4">
        <v>69500</v>
      </c>
      <c r="V13" s="4">
        <f t="shared" si="13"/>
        <v>69500</v>
      </c>
      <c r="W13" s="4"/>
      <c r="X13" s="20">
        <f t="shared" si="1"/>
        <v>90546</v>
      </c>
      <c r="Y13" s="6">
        <f t="shared" si="20"/>
        <v>0.23243434276500341</v>
      </c>
      <c r="Z13" s="32">
        <v>0</v>
      </c>
      <c r="AA13" s="4">
        <f t="shared" si="15"/>
        <v>78412</v>
      </c>
      <c r="AB13" s="32">
        <f t="shared" si="3"/>
        <v>82470.24818401938</v>
      </c>
      <c r="AC13" s="6">
        <f t="shared" si="4"/>
        <v>0.15727184614599821</v>
      </c>
      <c r="AD13" s="7">
        <v>89100</v>
      </c>
      <c r="AE13" s="6">
        <f t="shared" si="5"/>
        <v>0.21997755331088664</v>
      </c>
      <c r="AF13" s="4">
        <f t="shared" si="6"/>
        <v>19600</v>
      </c>
      <c r="AG13" s="27"/>
      <c r="AH13" s="6"/>
      <c r="AI13" s="6"/>
      <c r="AJ13" s="6">
        <f t="shared" si="7"/>
        <v>1.0508474576271187</v>
      </c>
      <c r="AK13" s="6">
        <f t="shared" si="8"/>
        <v>1.0349634103844814</v>
      </c>
      <c r="AL13" s="6">
        <f t="shared" si="9"/>
        <v>1.0517554479418887</v>
      </c>
      <c r="AM13" s="4" t="str">
        <f t="shared" si="16"/>
        <v>-</v>
      </c>
      <c r="AN13" s="4" t="str">
        <f t="shared" si="17"/>
        <v>-</v>
      </c>
      <c r="AO13" s="4" t="str">
        <f t="shared" si="18"/>
        <v>-</v>
      </c>
      <c r="AP13" s="4">
        <v>0</v>
      </c>
      <c r="AQ13" s="4" t="s">
        <v>95</v>
      </c>
      <c r="AR13" s="4"/>
      <c r="AS13" s="4"/>
      <c r="AT13" s="4" t="s">
        <v>93</v>
      </c>
      <c r="AU13" s="4">
        <v>78412</v>
      </c>
      <c r="AV13" s="4">
        <v>78412</v>
      </c>
      <c r="AW13" s="4">
        <f t="shared" si="21"/>
        <v>78412</v>
      </c>
      <c r="AX13" s="18">
        <v>4</v>
      </c>
      <c r="AY13" s="18">
        <v>9</v>
      </c>
      <c r="AZ13" s="16">
        <v>19</v>
      </c>
      <c r="BA13" t="s">
        <v>90</v>
      </c>
      <c r="BB13" t="s">
        <v>77</v>
      </c>
      <c r="BC13" t="s">
        <v>90</v>
      </c>
      <c r="BD13" t="str">
        <f t="shared" si="19"/>
        <v>-</v>
      </c>
      <c r="BE13" t="s">
        <v>94</v>
      </c>
    </row>
    <row r="14" spans="1:57" x14ac:dyDescent="0.4">
      <c r="A14" s="38">
        <v>11</v>
      </c>
      <c r="B14" s="3">
        <v>11</v>
      </c>
      <c r="C14" s="4" t="s">
        <v>58</v>
      </c>
      <c r="D14" s="4" t="str">
        <f t="shared" ref="D14:D17" si="22">TEXT(C14,"000000")</f>
        <v>J541PZ</v>
      </c>
      <c r="E14" s="4" t="s">
        <v>58</v>
      </c>
      <c r="F14" s="4" t="s">
        <v>73</v>
      </c>
      <c r="G14" s="5">
        <v>0</v>
      </c>
      <c r="H14" s="5"/>
      <c r="I14" s="5"/>
      <c r="J14" s="5">
        <v>33278</v>
      </c>
      <c r="K14" s="5">
        <v>1</v>
      </c>
      <c r="L14" s="4">
        <v>144000</v>
      </c>
      <c r="M14" s="4">
        <v>104420</v>
      </c>
      <c r="N14" s="4">
        <v>80640</v>
      </c>
      <c r="O14" s="6">
        <f t="shared" ref="O14:O17" si="23">1-N14/M14</f>
        <v>0.22773415054587243</v>
      </c>
      <c r="P14" s="4" t="s">
        <v>77</v>
      </c>
      <c r="Q14" s="4" t="s">
        <v>77</v>
      </c>
      <c r="R14" s="4" t="s">
        <v>77</v>
      </c>
      <c r="S14" s="4">
        <v>151000</v>
      </c>
      <c r="T14" s="4">
        <f t="shared" ref="T14:T17" si="24">IF(W14="",S14,S14*W14)</f>
        <v>151000</v>
      </c>
      <c r="U14" s="4">
        <v>84600</v>
      </c>
      <c r="V14" s="4">
        <f t="shared" ref="V14:V17" si="25">IF(W14="",U14,U14*W14)</f>
        <v>84600</v>
      </c>
      <c r="W14" s="4"/>
      <c r="X14" s="20">
        <f t="shared" si="1"/>
        <v>109548</v>
      </c>
      <c r="Y14" s="6">
        <f t="shared" ref="Y14:Y17" si="26">1-V14/X14</f>
        <v>0.22773578705225106</v>
      </c>
      <c r="Z14" s="32">
        <v>0</v>
      </c>
      <c r="AA14" s="4">
        <f t="shared" ref="AA14:AA17" si="27">AW14</f>
        <v>105268</v>
      </c>
      <c r="AB14" s="32">
        <f t="shared" si="3"/>
        <v>110437.41071428571</v>
      </c>
      <c r="AC14" s="6">
        <f t="shared" si="4"/>
        <v>0.23395523805904928</v>
      </c>
      <c r="AD14" s="7">
        <v>110000</v>
      </c>
      <c r="AE14" s="6">
        <f t="shared" si="5"/>
        <v>0.23090909090909095</v>
      </c>
      <c r="AF14" s="4">
        <f t="shared" si="6"/>
        <v>25400</v>
      </c>
      <c r="AG14" s="27"/>
      <c r="AH14" s="6"/>
      <c r="AI14" s="6"/>
      <c r="AJ14" s="6">
        <f t="shared" si="7"/>
        <v>1.0486111111111112</v>
      </c>
      <c r="AK14" s="6">
        <f t="shared" si="8"/>
        <v>1.053438038689906</v>
      </c>
      <c r="AL14" s="6">
        <f t="shared" si="9"/>
        <v>1.0491071428571428</v>
      </c>
      <c r="AM14" s="4" t="str">
        <f t="shared" si="16"/>
        <v>-</v>
      </c>
      <c r="AN14" s="4" t="str">
        <f t="shared" si="17"/>
        <v>-</v>
      </c>
      <c r="AO14" s="4" t="str">
        <f t="shared" si="18"/>
        <v>-</v>
      </c>
      <c r="AP14" s="4">
        <v>0</v>
      </c>
      <c r="AQ14" s="4" t="s">
        <v>97</v>
      </c>
      <c r="AR14" s="4"/>
      <c r="AS14" s="4"/>
      <c r="AT14" s="4" t="s">
        <v>93</v>
      </c>
      <c r="AU14" s="4">
        <v>105268</v>
      </c>
      <c r="AV14" s="4">
        <v>105268</v>
      </c>
      <c r="AW14" s="4">
        <f t="shared" ref="AW14:AW17" si="28">IF(AR14="",AV14,AR14/AS14*AV14)</f>
        <v>105268</v>
      </c>
      <c r="AX14" s="18">
        <v>4</v>
      </c>
      <c r="AY14" s="18">
        <v>9</v>
      </c>
      <c r="AZ14" s="16">
        <v>19</v>
      </c>
      <c r="BA14" t="s">
        <v>90</v>
      </c>
      <c r="BB14" t="s">
        <v>77</v>
      </c>
      <c r="BC14">
        <v>101819</v>
      </c>
      <c r="BD14">
        <f t="shared" si="19"/>
        <v>106819.04017857142</v>
      </c>
      <c r="BE14" t="s">
        <v>96</v>
      </c>
    </row>
    <row r="15" spans="1:57" x14ac:dyDescent="0.4">
      <c r="A15" s="38">
        <v>12</v>
      </c>
      <c r="B15" s="3">
        <v>12</v>
      </c>
      <c r="C15" s="4" t="s">
        <v>59</v>
      </c>
      <c r="D15" s="4" t="str">
        <f t="shared" si="22"/>
        <v>J542PZ</v>
      </c>
      <c r="E15" s="4" t="s">
        <v>59</v>
      </c>
      <c r="F15" s="4" t="s">
        <v>74</v>
      </c>
      <c r="G15" s="5">
        <v>0</v>
      </c>
      <c r="H15" s="5"/>
      <c r="I15" s="5"/>
      <c r="J15" s="5">
        <v>33278</v>
      </c>
      <c r="K15" s="5">
        <v>1</v>
      </c>
      <c r="L15" s="4">
        <v>144000</v>
      </c>
      <c r="M15" s="4">
        <v>104420</v>
      </c>
      <c r="N15" s="4">
        <v>80640</v>
      </c>
      <c r="O15" s="6">
        <f t="shared" si="23"/>
        <v>0.22773415054587243</v>
      </c>
      <c r="P15" s="4" t="s">
        <v>77</v>
      </c>
      <c r="Q15" s="4" t="s">
        <v>77</v>
      </c>
      <c r="R15" s="4" t="s">
        <v>77</v>
      </c>
      <c r="S15" s="4">
        <v>151000</v>
      </c>
      <c r="T15" s="4">
        <f t="shared" si="24"/>
        <v>151000</v>
      </c>
      <c r="U15" s="4">
        <v>84600</v>
      </c>
      <c r="V15" s="4">
        <f t="shared" si="25"/>
        <v>84600</v>
      </c>
      <c r="W15" s="4"/>
      <c r="X15" s="20">
        <f t="shared" si="1"/>
        <v>109548</v>
      </c>
      <c r="Y15" s="6">
        <f t="shared" si="26"/>
        <v>0.22773578705225106</v>
      </c>
      <c r="Z15" s="32">
        <v>0</v>
      </c>
      <c r="AA15" s="4">
        <f t="shared" si="27"/>
        <v>105268</v>
      </c>
      <c r="AB15" s="32">
        <f t="shared" si="3"/>
        <v>110437.41071428571</v>
      </c>
      <c r="AC15" s="6">
        <f t="shared" si="4"/>
        <v>0.23395523805904928</v>
      </c>
      <c r="AD15" s="7">
        <v>110000</v>
      </c>
      <c r="AE15" s="6">
        <f t="shared" si="5"/>
        <v>0.23090909090909095</v>
      </c>
      <c r="AF15" s="4">
        <f t="shared" si="6"/>
        <v>25400</v>
      </c>
      <c r="AG15" s="27"/>
      <c r="AH15" s="6"/>
      <c r="AI15" s="6"/>
      <c r="AJ15" s="6">
        <f t="shared" si="7"/>
        <v>1.0486111111111112</v>
      </c>
      <c r="AK15" s="6">
        <f t="shared" si="8"/>
        <v>1.053438038689906</v>
      </c>
      <c r="AL15" s="6">
        <f t="shared" si="9"/>
        <v>1.0491071428571428</v>
      </c>
      <c r="AM15" s="4" t="str">
        <f t="shared" si="16"/>
        <v>-</v>
      </c>
      <c r="AN15" s="4" t="str">
        <f t="shared" si="17"/>
        <v>-</v>
      </c>
      <c r="AO15" s="4" t="str">
        <f t="shared" si="18"/>
        <v>-</v>
      </c>
      <c r="AP15" s="4">
        <v>0</v>
      </c>
      <c r="AQ15" s="4" t="s">
        <v>99</v>
      </c>
      <c r="AR15" s="4"/>
      <c r="AS15" s="4"/>
      <c r="AT15" s="4" t="s">
        <v>93</v>
      </c>
      <c r="AU15" s="4">
        <v>105268</v>
      </c>
      <c r="AV15" s="4">
        <v>105268</v>
      </c>
      <c r="AW15" s="4">
        <f t="shared" si="28"/>
        <v>105268</v>
      </c>
      <c r="AX15" s="18">
        <v>4</v>
      </c>
      <c r="AY15" s="18">
        <v>9</v>
      </c>
      <c r="AZ15" s="16">
        <v>19</v>
      </c>
      <c r="BA15" t="s">
        <v>90</v>
      </c>
      <c r="BB15" t="s">
        <v>77</v>
      </c>
      <c r="BC15">
        <v>101819</v>
      </c>
      <c r="BD15">
        <f t="shared" si="19"/>
        <v>106819.04017857142</v>
      </c>
      <c r="BE15" t="s">
        <v>98</v>
      </c>
    </row>
    <row r="16" spans="1:57" x14ac:dyDescent="0.4">
      <c r="A16" s="38">
        <v>13</v>
      </c>
      <c r="B16" s="3">
        <v>13</v>
      </c>
      <c r="C16" s="4" t="s">
        <v>60</v>
      </c>
      <c r="D16" s="4" t="str">
        <f t="shared" si="22"/>
        <v>J543PZ</v>
      </c>
      <c r="E16" s="4" t="s">
        <v>60</v>
      </c>
      <c r="F16" s="4" t="s">
        <v>75</v>
      </c>
      <c r="G16" s="5">
        <v>0</v>
      </c>
      <c r="H16" s="5"/>
      <c r="I16" s="5"/>
      <c r="J16" s="5">
        <v>33278</v>
      </c>
      <c r="K16" s="5">
        <v>1</v>
      </c>
      <c r="L16" s="4">
        <v>170000</v>
      </c>
      <c r="M16" s="4">
        <v>120640</v>
      </c>
      <c r="N16" s="4">
        <v>95200</v>
      </c>
      <c r="O16" s="6">
        <f t="shared" si="23"/>
        <v>0.21087533156498672</v>
      </c>
      <c r="P16" s="4" t="s">
        <v>77</v>
      </c>
      <c r="Q16" s="4" t="s">
        <v>77</v>
      </c>
      <c r="R16" s="4" t="s">
        <v>77</v>
      </c>
      <c r="S16" s="4">
        <v>178000</v>
      </c>
      <c r="T16" s="4">
        <f t="shared" si="24"/>
        <v>178000</v>
      </c>
      <c r="U16" s="4">
        <v>99700</v>
      </c>
      <c r="V16" s="4">
        <f t="shared" si="25"/>
        <v>99700</v>
      </c>
      <c r="W16" s="4"/>
      <c r="X16" s="20">
        <f t="shared" si="1"/>
        <v>126343</v>
      </c>
      <c r="Y16" s="6">
        <f t="shared" si="26"/>
        <v>0.21087832329452361</v>
      </c>
      <c r="Z16" s="32">
        <v>0</v>
      </c>
      <c r="AA16" s="4">
        <f t="shared" si="27"/>
        <v>113085</v>
      </c>
      <c r="AB16" s="32">
        <f t="shared" si="3"/>
        <v>118430.40441176471</v>
      </c>
      <c r="AC16" s="6">
        <f t="shared" si="4"/>
        <v>0.15815536985453427</v>
      </c>
      <c r="AD16" s="7">
        <v>126300</v>
      </c>
      <c r="AE16" s="6">
        <f t="shared" si="5"/>
        <v>0.21060965954077593</v>
      </c>
      <c r="AF16" s="4">
        <f t="shared" si="6"/>
        <v>26600</v>
      </c>
      <c r="AG16" s="27"/>
      <c r="AH16" s="6"/>
      <c r="AI16" s="6"/>
      <c r="AJ16" s="6">
        <f t="shared" si="7"/>
        <v>1.0470588235294118</v>
      </c>
      <c r="AK16" s="6">
        <f t="shared" si="8"/>
        <v>1.0469164456233422</v>
      </c>
      <c r="AL16" s="6">
        <f t="shared" si="9"/>
        <v>1.0472689075630253</v>
      </c>
      <c r="AM16" s="4" t="str">
        <f t="shared" si="16"/>
        <v>-</v>
      </c>
      <c r="AN16" s="4" t="str">
        <f t="shared" si="17"/>
        <v>-</v>
      </c>
      <c r="AO16" s="4" t="str">
        <f t="shared" si="18"/>
        <v>-</v>
      </c>
      <c r="AP16" s="4">
        <v>0</v>
      </c>
      <c r="AQ16" s="4" t="s">
        <v>101</v>
      </c>
      <c r="AR16" s="4"/>
      <c r="AS16" s="4"/>
      <c r="AT16" s="4" t="s">
        <v>93</v>
      </c>
      <c r="AU16" s="4">
        <v>113085</v>
      </c>
      <c r="AV16" s="4">
        <v>113085</v>
      </c>
      <c r="AW16" s="4">
        <f t="shared" si="28"/>
        <v>113085</v>
      </c>
      <c r="AX16" s="18">
        <v>4</v>
      </c>
      <c r="AY16" s="18">
        <v>9</v>
      </c>
      <c r="AZ16" s="16">
        <v>19</v>
      </c>
      <c r="BA16" t="s">
        <v>90</v>
      </c>
      <c r="BB16">
        <v>120273</v>
      </c>
      <c r="BC16">
        <v>120273</v>
      </c>
      <c r="BD16">
        <f t="shared" si="19"/>
        <v>125958.17331932773</v>
      </c>
      <c r="BE16" t="s">
        <v>100</v>
      </c>
    </row>
    <row r="17" spans="1:57" x14ac:dyDescent="0.4">
      <c r="A17" s="38">
        <v>14</v>
      </c>
      <c r="B17" s="3">
        <v>14</v>
      </c>
      <c r="C17" s="4" t="s">
        <v>61</v>
      </c>
      <c r="D17" s="4" t="str">
        <f t="shared" si="22"/>
        <v>J544PZ</v>
      </c>
      <c r="E17" s="4" t="s">
        <v>61</v>
      </c>
      <c r="F17" s="4" t="s">
        <v>76</v>
      </c>
      <c r="G17" s="5">
        <v>0</v>
      </c>
      <c r="H17" s="5"/>
      <c r="I17" s="5"/>
      <c r="J17" s="5">
        <v>33278</v>
      </c>
      <c r="K17" s="5">
        <v>1</v>
      </c>
      <c r="L17" s="4">
        <v>170000</v>
      </c>
      <c r="M17" s="4">
        <v>120640</v>
      </c>
      <c r="N17" s="4">
        <v>95200</v>
      </c>
      <c r="O17" s="6">
        <f t="shared" si="23"/>
        <v>0.21087533156498672</v>
      </c>
      <c r="P17" s="4" t="s">
        <v>77</v>
      </c>
      <c r="Q17" s="4" t="s">
        <v>77</v>
      </c>
      <c r="R17" s="4" t="s">
        <v>77</v>
      </c>
      <c r="S17" s="4">
        <v>178000</v>
      </c>
      <c r="T17" s="4">
        <f t="shared" si="24"/>
        <v>178000</v>
      </c>
      <c r="U17" s="4">
        <v>99700</v>
      </c>
      <c r="V17" s="4">
        <f t="shared" si="25"/>
        <v>99700</v>
      </c>
      <c r="W17" s="4"/>
      <c r="X17" s="20">
        <f t="shared" si="1"/>
        <v>126343</v>
      </c>
      <c r="Y17" s="6">
        <f t="shared" si="26"/>
        <v>0.21087832329452361</v>
      </c>
      <c r="Z17" s="32">
        <v>0</v>
      </c>
      <c r="AA17" s="4">
        <f t="shared" si="27"/>
        <v>113085</v>
      </c>
      <c r="AB17" s="32">
        <f t="shared" si="3"/>
        <v>118430.40441176471</v>
      </c>
      <c r="AC17" s="6">
        <f t="shared" si="4"/>
        <v>0.15815536985453427</v>
      </c>
      <c r="AD17" s="7">
        <v>126300</v>
      </c>
      <c r="AE17" s="6">
        <f t="shared" si="5"/>
        <v>0.21060965954077593</v>
      </c>
      <c r="AF17" s="4">
        <f t="shared" si="6"/>
        <v>26600</v>
      </c>
      <c r="AG17" s="27"/>
      <c r="AH17" s="6"/>
      <c r="AI17" s="6"/>
      <c r="AJ17" s="6">
        <f t="shared" si="7"/>
        <v>1.0470588235294118</v>
      </c>
      <c r="AK17" s="6">
        <f t="shared" si="8"/>
        <v>1.0469164456233422</v>
      </c>
      <c r="AL17" s="6">
        <f t="shared" si="9"/>
        <v>1.0472689075630253</v>
      </c>
      <c r="AM17" s="4" t="str">
        <f t="shared" si="16"/>
        <v>-</v>
      </c>
      <c r="AN17" s="4" t="str">
        <f t="shared" si="17"/>
        <v>-</v>
      </c>
      <c r="AO17" s="4" t="str">
        <f t="shared" si="18"/>
        <v>-</v>
      </c>
      <c r="AP17" s="4">
        <v>0</v>
      </c>
      <c r="AQ17" s="4" t="s">
        <v>103</v>
      </c>
      <c r="AR17" s="4"/>
      <c r="AS17" s="4"/>
      <c r="AT17" s="4" t="s">
        <v>93</v>
      </c>
      <c r="AU17" s="4">
        <v>113085</v>
      </c>
      <c r="AV17" s="4">
        <v>113085</v>
      </c>
      <c r="AW17" s="4">
        <f t="shared" si="28"/>
        <v>113085</v>
      </c>
      <c r="AX17" s="18">
        <v>4</v>
      </c>
      <c r="AY17" s="18">
        <v>9</v>
      </c>
      <c r="AZ17" s="16">
        <v>19</v>
      </c>
      <c r="BA17" t="s">
        <v>90</v>
      </c>
      <c r="BB17">
        <v>120273</v>
      </c>
      <c r="BC17">
        <v>120273</v>
      </c>
      <c r="BD17">
        <f t="shared" si="19"/>
        <v>125958.17331932773</v>
      </c>
      <c r="BE17" t="s">
        <v>102</v>
      </c>
    </row>
  </sheetData>
  <autoFilter ref="A3:BE3" xr:uid="{7A1660CF-9003-4B2D-B659-7F339ED5B476}"/>
  <mergeCells count="3">
    <mergeCell ref="L2:O2"/>
    <mergeCell ref="J2:K2"/>
    <mergeCell ref="S1:V1"/>
  </mergeCells>
  <phoneticPr fontId="2"/>
  <conditionalFormatting sqref="AD4:AD17">
    <cfRule type="cellIs" dxfId="4" priority="6" operator="greaterThan">
      <formula>$T4</formula>
    </cfRule>
  </conditionalFormatting>
  <conditionalFormatting sqref="AB4:AB17">
    <cfRule type="cellIs" dxfId="3" priority="4" operator="lessThan">
      <formula>$AD4</formula>
    </cfRule>
  </conditionalFormatting>
  <conditionalFormatting sqref="AE4:AE17">
    <cfRule type="cellIs" dxfId="2" priority="3" operator="lessThan">
      <formula>0.2</formula>
    </cfRule>
  </conditionalFormatting>
  <conditionalFormatting sqref="AV4:AV17">
    <cfRule type="cellIs" dxfId="1" priority="2" operator="notEqual">
      <formula>$AU4</formula>
    </cfRule>
  </conditionalFormatting>
  <conditionalFormatting sqref="BC4:BC17">
    <cfRule type="cellIs" dxfId="0" priority="1" operator="notEqual">
      <formula>$BB4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2026-06-02T04:34:12Z</dcterms:modified>
</cp:coreProperties>
</file>