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"/>
    </mc:Choice>
  </mc:AlternateContent>
  <xr:revisionPtr revIDLastSave="0" documentId="8_{8CBB709A-DCFF-474E-A69C-55A0D80E6A3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" i="1" l="1"/>
  <c r="AN4" i="1"/>
  <c r="AO4" i="1"/>
  <c r="AM5" i="1"/>
  <c r="AN5" i="1"/>
  <c r="AO5" i="1"/>
  <c r="AV4" i="1" l="1"/>
  <c r="AA4" i="1" s="1"/>
  <c r="AV5" i="1"/>
  <c r="AA5" i="1" s="1"/>
  <c r="V4" i="1"/>
  <c r="V5" i="1"/>
  <c r="T4" i="1"/>
  <c r="AJ4" i="1" s="1"/>
  <c r="T5" i="1"/>
  <c r="AJ5" i="1" s="1"/>
  <c r="D4" i="1"/>
  <c r="D5" i="1"/>
  <c r="AK5" i="1"/>
  <c r="O5" i="1"/>
  <c r="AK4" i="1"/>
  <c r="O4" i="1"/>
  <c r="AF5" i="1" l="1"/>
  <c r="AL4" i="1"/>
  <c r="BC4" i="1" s="1"/>
  <c r="AF4" i="1"/>
  <c r="AE5" i="1"/>
  <c r="AL5" i="1"/>
  <c r="BC5" i="1" s="1"/>
  <c r="AE4" i="1"/>
  <c r="X4" i="1" l="1"/>
  <c r="Y4" i="1" s="1"/>
  <c r="BA4" i="1"/>
  <c r="X5" i="1"/>
  <c r="Y5" i="1" s="1"/>
  <c r="BA5" i="1"/>
  <c r="AB5" i="1"/>
  <c r="AC5" i="1" s="1"/>
  <c r="AB4" i="1"/>
  <c r="AC4" i="1" s="1"/>
</calcChain>
</file>

<file path=xl/sharedStrings.xml><?xml version="1.0" encoding="utf-8"?>
<sst xmlns="http://schemas.openxmlformats.org/spreadsheetml/2006/main" count="87" uniqueCount="70">
  <si>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</si>
  <si>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</si>
  <si>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</si>
  <si>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</si>
  <si>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</si>
  <si>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</si>
  <si>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</si>
  <si>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</si>
  <si>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</si>
  <si>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</si>
  <si>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</si>
  <si>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</si>
  <si>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</si>
  <si>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</si>
  <si>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</si>
  <si>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</si>
  <si>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</si>
  <si>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</si>
  <si>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</si>
  <si>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</si>
  <si>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</si>
  <si>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</si>
  <si>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</si>
  <si>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</si>
  <si>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</si>
  <si>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</si>
  <si>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</si>
  <si>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</si>
  <si>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</si>
  <si>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</si>
  <si>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</si>
  <si>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</si>
  <si>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</si>
  <si>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</si>
  <si>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</si>
  <si>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</si>
  <si>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</si>
  <si>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</si>
  <si>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</si>
  <si>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</si>
  <si>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</si>
  <si>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</si>
  <si>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</si>
  <si>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</si>
  <si>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</si>
  <si>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</si>
  <si>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</si>
  <si>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</si>
  <si>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</si>
  <si>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</si>
  <si>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</si>
  <si>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</si>
  <si>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</si>
  <si>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</si>
  <si>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</si>
  <si>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</si>
  <si>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J87492</t>
  </si>
  <si>
    <t>J87490</t>
  </si>
  <si>
    <t>-</t>
  </si>
  <si>
    <t>ﾌｼﾞﾃｯｸｽ/ﾛｰﾙﾌｨﾙﾑ 38μ A1ｻｲｽﾞ 1箱4本入/1117033021</t>
    <phoneticPr fontId="2"/>
  </si>
  <si>
    <t>６月
たの</t>
    <rPh sb="1" eb="2">
      <t>ガツ</t>
    </rPh>
    <phoneticPr fontId="2"/>
  </si>
  <si>
    <t>6がつ
カウ</t>
    <phoneticPr fontId="2"/>
  </si>
  <si>
    <t>たの
ｽﾗｲﾄﾞ</t>
    <phoneticPr fontId="2"/>
  </si>
  <si>
    <t>カウ
ｽﾗｲﾄﾞ</t>
    <phoneticPr fontId="2"/>
  </si>
  <si>
    <t>P681822</t>
  </si>
  <si>
    <t>フジテックス ロールフィルム 38*635*200 (KG) 1117033021 1箱(4本入)</t>
  </si>
  <si>
    <t>ﾌｼﾞﾃｯｸｽ/ﾛｰﾙﾌｨﾙﾑ 38μ A3ｻｲｽﾞ 1箱4本入/1117033038</t>
    <phoneticPr fontId="2"/>
  </si>
  <si>
    <t>ホットロール機用ラミネートフィルム 38μ A3サイズ（310mm×200m） フジテックス（直送品）</t>
  </si>
  <si>
    <t>P681820</t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</si>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</sst>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6" borderId="3" xfId="0" applyFill="1" applyBorder="1">
      <alignment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5"/>
  <sheetViews>
    <sheetView tabSelected="1" zoomScale="90" zoomScaleNormal="90" workbookViewId="0">
      <pane xSplit="7" ySplit="3" topLeftCell="AR4" activePane="bottomRight" state="frozen"/>
      <selection pane="topRight" activeCell="G1" sqref="G1"/>
      <selection pane="bottomLeft" activeCell="A5" sqref="A5"/>
      <selection pane="bottomRight" activeCell="B6" sqref="B6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625" customWidth="1" collapsed="1"/>
    <col min="20" max="22" width="7.625" customWidth="1"/>
    <col min="23" max="23" width="4.375" customWidth="1" collapsed="1"/>
    <col min="24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55" width="7.625" customWidth="1"/>
  </cols>
  <sheetData>
    <row r="1" spans="1:56" x14ac:dyDescent="0.4">
      <c r="C1" s="28" t="s">
        <v>43</v>
      </c>
      <c r="S1" s="37" t="s">
        <v>40</v>
      </c>
      <c r="T1" s="38"/>
      <c r="U1" s="38"/>
      <c r="V1" s="39"/>
    </row>
    <row r="2" spans="1:56" x14ac:dyDescent="0.4">
      <c r="C2" s="8" t="s">
        <v>27</v>
      </c>
      <c r="D2" s="9" t="s">
        <v>28</v>
      </c>
      <c r="E2" s="9" t="s">
        <v>29</v>
      </c>
      <c r="F2" s="10"/>
      <c r="G2" s="10"/>
      <c r="H2" s="30"/>
      <c r="I2" s="30"/>
      <c r="J2" s="34" t="s">
        <v>30</v>
      </c>
      <c r="K2" s="36"/>
      <c r="L2" s="34" t="s">
        <v>2</v>
      </c>
      <c r="M2" s="35"/>
      <c r="N2" s="35"/>
      <c r="O2" s="36"/>
      <c r="P2" s="11"/>
      <c r="Q2" s="29"/>
      <c r="R2" s="29"/>
      <c r="S2" s="22"/>
      <c r="T2" s="23" t="s">
        <v>33</v>
      </c>
      <c r="U2" s="23"/>
      <c r="V2" s="24" t="s">
        <v>33</v>
      </c>
      <c r="W2" s="10"/>
      <c r="X2" s="9" t="s">
        <v>38</v>
      </c>
      <c r="Y2" s="11"/>
      <c r="Z2" s="11"/>
      <c r="AA2" s="11"/>
      <c r="AB2" s="11"/>
      <c r="AC2" s="11"/>
      <c r="AD2" s="21" t="s">
        <v>41</v>
      </c>
      <c r="AE2" s="11"/>
      <c r="AF2" s="11"/>
      <c r="AG2" s="26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49</v>
      </c>
      <c r="B3" s="1" t="s">
        <v>54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51</v>
      </c>
      <c r="I3" s="12" t="s">
        <v>52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47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19" t="s">
        <v>17</v>
      </c>
      <c r="Y3" s="2" t="s">
        <v>16</v>
      </c>
      <c r="Z3" s="2" t="s">
        <v>44</v>
      </c>
      <c r="AA3" s="12" t="s">
        <v>39</v>
      </c>
      <c r="AB3" s="12" t="s">
        <v>53</v>
      </c>
      <c r="AC3" s="2" t="s">
        <v>16</v>
      </c>
      <c r="AD3" s="13" t="s">
        <v>31</v>
      </c>
      <c r="AE3" s="2" t="s">
        <v>16</v>
      </c>
      <c r="AF3" s="2" t="s">
        <v>32</v>
      </c>
      <c r="AG3" s="25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2" t="s">
        <v>55</v>
      </c>
      <c r="AV3" s="2" t="s">
        <v>15</v>
      </c>
      <c r="AW3" s="17" t="s">
        <v>45</v>
      </c>
      <c r="AX3" s="17" t="s">
        <v>46</v>
      </c>
      <c r="AY3" s="15" t="s">
        <v>50</v>
      </c>
      <c r="AZ3" s="32" t="s">
        <v>60</v>
      </c>
      <c r="BA3" s="33" t="s">
        <v>62</v>
      </c>
      <c r="BB3" s="33" t="s">
        <v>61</v>
      </c>
      <c r="BC3" s="33" t="s">
        <v>63</v>
      </c>
      <c r="BD3" t="s">
        <v>48</v>
      </c>
    </row>
    <row r="4" spans="1:56" x14ac:dyDescent="0.4">
      <c r="A4" s="31">
        <v>1</v>
      </c>
      <c r="B4" s="3">
        <v>1</v>
      </c>
      <c r="C4" s="4" t="s">
        <v>56</v>
      </c>
      <c r="D4" s="4" t="str">
        <f t="shared" ref="D4:D5" si="0">TEXT(C4,"000000")</f>
        <v>J87492</v>
      </c>
      <c r="E4" s="4" t="s">
        <v>56</v>
      </c>
      <c r="F4" s="4" t="s">
        <v>59</v>
      </c>
      <c r="G4" s="5">
        <v>0</v>
      </c>
      <c r="H4" s="5"/>
      <c r="I4" s="5"/>
      <c r="J4" s="5">
        <v>33278</v>
      </c>
      <c r="K4" s="5">
        <v>1</v>
      </c>
      <c r="L4" s="4">
        <v>0</v>
      </c>
      <c r="M4" s="4">
        <v>16939</v>
      </c>
      <c r="N4" s="4">
        <v>12760</v>
      </c>
      <c r="O4" s="6">
        <f t="shared" ref="O4:O5" si="1">1-N4/M4</f>
        <v>0.24670877855835649</v>
      </c>
      <c r="P4" s="4" t="s">
        <v>58</v>
      </c>
      <c r="Q4" s="4" t="s">
        <v>58</v>
      </c>
      <c r="R4" s="4" t="s">
        <v>58</v>
      </c>
      <c r="S4" s="4">
        <v>0</v>
      </c>
      <c r="T4" s="4">
        <f t="shared" ref="T4:T5" si="2">IF(W4="",S4,S4*W4)</f>
        <v>0</v>
      </c>
      <c r="U4" s="4">
        <v>15310</v>
      </c>
      <c r="V4" s="4">
        <f t="shared" ref="V4:V5" si="3">IF(W4="",U4,U4*W4)</f>
        <v>15310</v>
      </c>
      <c r="W4" s="4"/>
      <c r="X4" s="20">
        <f t="shared" ref="X4:X5" si="4">ROUND(M4*AL4,0)</f>
        <v>20324</v>
      </c>
      <c r="Y4" s="6">
        <f t="shared" ref="Y4:Y5" si="5">1-V4/X4</f>
        <v>0.24670340484156661</v>
      </c>
      <c r="Z4" s="4">
        <v>0</v>
      </c>
      <c r="AA4" s="4">
        <f t="shared" ref="AA4:AA5" si="6">AV4</f>
        <v>27980</v>
      </c>
      <c r="AB4" s="4">
        <f t="shared" ref="AB4:AB5" si="7">AA4*AL4</f>
        <v>33571.614420062695</v>
      </c>
      <c r="AC4" s="6">
        <f t="shared" ref="AC4:AC5" si="8">1-V4/AB4</f>
        <v>0.54395997140814867</v>
      </c>
      <c r="AD4" s="7">
        <v>20500</v>
      </c>
      <c r="AE4" s="6">
        <f t="shared" ref="AE4:AE5" si="9">1-V4/AD4</f>
        <v>0.25317073170731708</v>
      </c>
      <c r="AF4" s="4">
        <f t="shared" ref="AF4:AF5" si="10">AD4-V4</f>
        <v>5190</v>
      </c>
      <c r="AG4" s="27"/>
      <c r="AH4" s="6"/>
      <c r="AI4" s="6"/>
      <c r="AJ4" s="6" t="e">
        <f t="shared" ref="AJ4:AJ5" si="11">T4/L4</f>
        <v>#DIV/0!</v>
      </c>
      <c r="AK4" s="6">
        <f t="shared" ref="AK4:AK5" si="12">AD4/M4</f>
        <v>1.2102249247299133</v>
      </c>
      <c r="AL4" s="6">
        <f t="shared" ref="AL4:AL5" si="13">V4/N4</f>
        <v>1.1998432601880877</v>
      </c>
      <c r="AM4" s="4" t="str">
        <f t="shared" ref="AM4:AM5" si="14">IFERROR(ROUND($AD4*P4/$M4,0),"-")</f>
        <v>-</v>
      </c>
      <c r="AN4" s="4" t="str">
        <f t="shared" ref="AN4:AN5" si="15">IF(Q4="","-",Q4)</f>
        <v>-</v>
      </c>
      <c r="AO4" s="4" t="str">
        <f t="shared" ref="AO4:AO5" si="16">IF(R4="","-",R4)</f>
        <v>-</v>
      </c>
      <c r="AP4" s="4">
        <v>0</v>
      </c>
      <c r="AQ4" s="4" t="s">
        <v>64</v>
      </c>
      <c r="AR4" s="4"/>
      <c r="AS4" s="4"/>
      <c r="AT4" s="4"/>
      <c r="AU4" s="4">
        <v>27980</v>
      </c>
      <c r="AV4" s="4">
        <f t="shared" ref="AV4:AV5" si="17">IF(AR4="",AU4,AR4/AS4*AU4)</f>
        <v>27980</v>
      </c>
      <c r="AW4" s="18">
        <v>4</v>
      </c>
      <c r="AX4" s="18">
        <v>9</v>
      </c>
      <c r="AY4" s="16">
        <v>11</v>
      </c>
      <c r="AZ4" t="s">
        <v>69</v>
      </c>
      <c r="BA4" t="str">
        <f t="shared" ref="BA4:BA5" si="18">IFERROR(AZ4*AL4,"-")</f>
        <v>-</v>
      </c>
      <c r="BB4" t="s">
        <v>69</v>
      </c>
      <c r="BC4" t="str">
        <f t="shared" ref="BC4:BC5" si="19">IFERROR(BB4*AL4,"-")</f>
        <v>-</v>
      </c>
      <c r="BD4" t="s">
        <v>65</v>
      </c>
    </row>
    <row r="5" spans="1:56" x14ac:dyDescent="0.4">
      <c r="A5" s="31">
        <v>2</v>
      </c>
      <c r="B5" s="3">
        <v>2</v>
      </c>
      <c r="C5" s="4" t="s">
        <v>57</v>
      </c>
      <c r="D5" s="4" t="str">
        <f t="shared" si="0"/>
        <v>J87490</v>
      </c>
      <c r="E5" s="4" t="s">
        <v>57</v>
      </c>
      <c r="F5" s="4" t="s">
        <v>66</v>
      </c>
      <c r="G5" s="5">
        <v>0</v>
      </c>
      <c r="H5" s="5"/>
      <c r="I5" s="5"/>
      <c r="J5" s="5">
        <v>33278</v>
      </c>
      <c r="K5" s="5">
        <v>1</v>
      </c>
      <c r="L5" s="4">
        <v>0</v>
      </c>
      <c r="M5" s="4">
        <v>8568</v>
      </c>
      <c r="N5" s="4">
        <v>7050</v>
      </c>
      <c r="O5" s="6">
        <f t="shared" si="1"/>
        <v>0.17717086834733897</v>
      </c>
      <c r="P5" s="4" t="s">
        <v>58</v>
      </c>
      <c r="Q5" s="4" t="s">
        <v>58</v>
      </c>
      <c r="R5" s="4" t="s">
        <v>58</v>
      </c>
      <c r="S5" s="4">
        <v>0</v>
      </c>
      <c r="T5" s="4">
        <f t="shared" si="2"/>
        <v>0</v>
      </c>
      <c r="U5" s="4">
        <v>8460</v>
      </c>
      <c r="V5" s="4">
        <f t="shared" si="3"/>
        <v>8460</v>
      </c>
      <c r="W5" s="4"/>
      <c r="X5" s="20">
        <f t="shared" si="4"/>
        <v>10282</v>
      </c>
      <c r="Y5" s="6">
        <f t="shared" si="5"/>
        <v>0.17720287881735075</v>
      </c>
      <c r="Z5" s="4">
        <v>0</v>
      </c>
      <c r="AA5" s="4">
        <f t="shared" si="6"/>
        <v>10691</v>
      </c>
      <c r="AB5" s="4">
        <f t="shared" si="7"/>
        <v>12829.199999999999</v>
      </c>
      <c r="AC5" s="6">
        <f t="shared" si="8"/>
        <v>0.3405668319146945</v>
      </c>
      <c r="AD5" s="7">
        <v>11200</v>
      </c>
      <c r="AE5" s="6">
        <f t="shared" si="9"/>
        <v>0.24464285714285716</v>
      </c>
      <c r="AF5" s="4">
        <f t="shared" si="10"/>
        <v>2740</v>
      </c>
      <c r="AG5" s="27"/>
      <c r="AH5" s="6"/>
      <c r="AI5" s="6"/>
      <c r="AJ5" s="6" t="e">
        <f t="shared" si="11"/>
        <v>#DIV/0!</v>
      </c>
      <c r="AK5" s="6">
        <f t="shared" si="12"/>
        <v>1.3071895424836601</v>
      </c>
      <c r="AL5" s="6">
        <f t="shared" si="13"/>
        <v>1.2</v>
      </c>
      <c r="AM5" s="4" t="str">
        <f t="shared" si="14"/>
        <v>-</v>
      </c>
      <c r="AN5" s="4" t="str">
        <f t="shared" si="15"/>
        <v>-</v>
      </c>
      <c r="AO5" s="4" t="str">
        <f t="shared" si="16"/>
        <v>-</v>
      </c>
      <c r="AP5" s="4">
        <v>0</v>
      </c>
      <c r="AQ5" s="4" t="s">
        <v>68</v>
      </c>
      <c r="AR5" s="4"/>
      <c r="AS5" s="4"/>
      <c r="AT5" s="4"/>
      <c r="AU5" s="4">
        <v>10691</v>
      </c>
      <c r="AV5" s="4">
        <f t="shared" si="17"/>
        <v>10691</v>
      </c>
      <c r="AW5" s="18">
        <v>4</v>
      </c>
      <c r="AX5" s="18">
        <v>9</v>
      </c>
      <c r="AY5" s="16">
        <v>11</v>
      </c>
      <c r="AZ5" t="s">
        <v>69</v>
      </c>
      <c r="BA5" t="str">
        <f t="shared" si="18"/>
        <v>-</v>
      </c>
      <c r="BB5" t="s">
        <v>69</v>
      </c>
      <c r="BC5" t="str">
        <f t="shared" si="19"/>
        <v>-</v>
      </c>
      <c r="BD5" t="s">
        <v>67</v>
      </c>
    </row>
  </sheetData>
  <sortState xmlns:xlrd2="http://schemas.microsoft.com/office/spreadsheetml/2017/richdata2" ref="A4:BD5">
    <sortCondition ref="B4:B5"/>
  </sortState>
  <mergeCells count="3">
    <mergeCell ref="L2:O2"/>
    <mergeCell ref="J2:K2"/>
    <mergeCell ref="S1:V1"/>
  </mergeCells>
  <phoneticPr fontId="2"/>
  <conditionalFormatting sqref="AB4:AB5">
    <cfRule type="cellIs" dxfId="2" priority="2" operator="lessThan">
      <formula>$AD4</formula>
    </cfRule>
  </conditionalFormatting>
  <conditionalFormatting sqref="AD4:AD5">
    <cfRule type="cellIs" dxfId="1" priority="4" operator="greaterThan">
      <formula>$T4</formula>
    </cfRule>
  </conditionalFormatting>
  <conditionalFormatting sqref="AE4:AE5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2026-06-15T07:00:47Z</dcterms:modified>
</cp:coreProperties>
</file>