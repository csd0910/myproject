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ﾄ_東芝テック_011\価格改定\20260525_7月末\"/>
    </mc:Choice>
  </mc:AlternateContent>
  <xr:revisionPtr revIDLastSave="0" documentId="13_ncr:1_{A9112770-E212-46AA-841D-101E4BB8EAD7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4" i="1" l="1"/>
  <c r="AV4" i="1"/>
  <c r="AU4" i="1"/>
  <c r="BJ5" i="1" l="1"/>
  <c r="AG5" i="1" s="1"/>
  <c r="BJ6" i="1"/>
  <c r="AG6" i="1" s="1"/>
  <c r="BJ7" i="1"/>
  <c r="AG7" i="1" s="1"/>
  <c r="BJ9" i="1"/>
  <c r="AG9" i="1" s="1"/>
  <c r="BJ4" i="1"/>
  <c r="AG4" i="1" s="1"/>
  <c r="AB5" i="1"/>
  <c r="AB6" i="1"/>
  <c r="AJ6" i="1" s="1"/>
  <c r="AB7" i="1"/>
  <c r="AJ7" i="1" s="1"/>
  <c r="AB8" i="1"/>
  <c r="AJ8" i="1" s="1"/>
  <c r="AB9" i="1"/>
  <c r="AJ9" i="1" s="1"/>
  <c r="Z5" i="1"/>
  <c r="AQ5" i="1" s="1"/>
  <c r="Z6" i="1"/>
  <c r="AQ6" i="1" s="1"/>
  <c r="Z7" i="1"/>
  <c r="AQ7" i="1" s="1"/>
  <c r="Z8" i="1"/>
  <c r="AQ8" i="1" s="1"/>
  <c r="Z9" i="1"/>
  <c r="AQ9" i="1" s="1"/>
  <c r="D5" i="1"/>
  <c r="D6" i="1"/>
  <c r="D7" i="1"/>
  <c r="D8" i="1"/>
  <c r="D9" i="1"/>
  <c r="D4" i="1"/>
  <c r="AB4" i="1"/>
  <c r="AJ4" i="1" s="1"/>
  <c r="Z4" i="1"/>
  <c r="AQ4" i="1" s="1"/>
  <c r="AR4" i="1"/>
  <c r="AR9" i="1"/>
  <c r="O9" i="1"/>
  <c r="BJ8" i="1"/>
  <c r="AG8" i="1" s="1"/>
  <c r="AR8" i="1"/>
  <c r="O8" i="1"/>
  <c r="AR7" i="1"/>
  <c r="O7" i="1"/>
  <c r="AR6" i="1"/>
  <c r="O6" i="1"/>
  <c r="AR5" i="1"/>
  <c r="O5" i="1"/>
  <c r="O4" i="1"/>
  <c r="AS5" i="1" l="1"/>
  <c r="AD5" i="1" s="1"/>
  <c r="AE5" i="1" s="1"/>
  <c r="AJ5" i="1"/>
  <c r="AL5" i="1"/>
  <c r="AL4" i="1"/>
  <c r="AL9" i="1"/>
  <c r="AM8" i="1"/>
  <c r="AM7" i="1"/>
  <c r="AS6" i="1"/>
  <c r="AD6" i="1" s="1"/>
  <c r="AE6" i="1" s="1"/>
  <c r="AH5" i="1"/>
  <c r="AI5" i="1" s="1"/>
  <c r="AS8" i="1"/>
  <c r="AD8" i="1" s="1"/>
  <c r="AE8" i="1" s="1"/>
  <c r="AM6" i="1"/>
  <c r="AL8" i="1"/>
  <c r="AM9" i="1"/>
  <c r="AS9" i="1"/>
  <c r="AD9" i="1" s="1"/>
  <c r="AE9" i="1" s="1"/>
  <c r="AL7" i="1"/>
  <c r="AM5" i="1"/>
  <c r="AS7" i="1"/>
  <c r="AD7" i="1" s="1"/>
  <c r="AE7" i="1" s="1"/>
  <c r="AL6" i="1"/>
  <c r="AO4" i="1"/>
  <c r="AP4" i="1"/>
  <c r="AM4" i="1"/>
  <c r="AS4" i="1"/>
  <c r="AD4" i="1" s="1"/>
  <c r="AE4" i="1" s="1"/>
  <c r="AH7" i="1" l="1"/>
  <c r="AI7" i="1" s="1"/>
  <c r="AH9" i="1"/>
  <c r="AI9" i="1" s="1"/>
  <c r="AH6" i="1"/>
  <c r="AI6" i="1" s="1"/>
  <c r="AH4" i="1"/>
  <c r="AI4" i="1" s="1"/>
  <c r="AH8" i="1"/>
  <c r="AI8" i="1" s="1"/>
</calcChain>
</file>

<file path=xl/sharedStrings.xml><?xml version="1.0" encoding="utf-8"?>
<sst xmlns="http://schemas.openxmlformats.org/spreadsheetml/2006/main" count="134" uniqueCount="95">
  <si>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</si>
  <si>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</si>
  <si>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</si>
  <si>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</si>
  <si>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</si>
  <si>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</si>
  <si>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</si>
  <si>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</si>
  <si>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</si>
  <si>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</si>
  <si>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</si>
  <si>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</si>
  <si>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</si>
  <si>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</si>
  <si>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</si>
  <si>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</si>
  <si>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</si>
  <si>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</si>
  <si>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</si>
  <si>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</si>
  <si>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</si>
  <si>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</si>
  <si>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</si>
  <si>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</si>
  <si>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</si>
  <si>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</si>
  <si>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</si>
  <si>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</si>
  <si>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</si>
  <si>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</si>
  <si>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</si>
  <si>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</si>
  <si>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</si>
  <si>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</si>
  <si>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</si>
  <si>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</si>
  <si>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</si>
  <si>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</si>
  <si>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</si>
  <si>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</si>
  <si>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</si>
  <si>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</si>
  <si>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</si>
  <si>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</si>
  <si>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</si>
  <si>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</si>
  <si>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</si>
  <si>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</si>
  <si>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</si>
  <si>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</si>
  <si>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</si>
  <si>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</si>
  <si>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</si>
  <si>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</si>
  <si>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</si>
  <si>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</si>
  <si>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</si>
  <si>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</si>
  <si>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</si>
  <si>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</si>
  <si>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</si>
  <si>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</si>
  <si>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</si>
  <si>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</si>
  <si>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</si>
  <si>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</si>
  <si>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J51940</t>
  </si>
  <si>
    <t>J51941</t>
  </si>
  <si>
    <t>J51942</t>
  </si>
  <si>
    <t>J51943</t>
  </si>
  <si>
    <t>J51944</t>
  </si>
  <si>
    <t>J51945</t>
  </si>
  <si>
    <t>ｵｻﾞｯｸｽ/ﾄﾊﾟｯｸﾊﾝｷﾞﾝｸﾞﾊﾞｯｸﾞ 10号 500枚×20ﾊﾟｯｸ</t>
  </si>
  <si>
    <t>ｵｻﾞｯｸｽ/ﾄﾊﾟｯｸﾊﾝｷﾞﾝｸﾞﾊﾞｯｸﾞ 11号 500枚×20ﾊﾟｯｸ</t>
  </si>
  <si>
    <t>ｵｻﾞｯｸｽ/ﾄﾊﾟｯｸﾊﾝｷﾞﾝｸﾞﾊﾞｯｸﾞ 12号 500枚×16ﾊﾟｯｸ</t>
  </si>
  <si>
    <t>ｵｻﾞｯｸｽ/ﾄﾊﾟｯｸﾊﾝｷﾞﾝｸﾞﾊﾞｯｸﾞ 13号 500枚×12ﾊﾟｯｸ</t>
  </si>
  <si>
    <t>ｵｻﾞｯｸｽ/ﾄﾊﾟｯｸﾊﾝｷﾞﾝｸﾞﾊﾞｯｸﾞ 14号 500枚×10ﾊﾟｯｸ</t>
  </si>
  <si>
    <t>ｵｻﾞｯｸｽ/ﾄﾊﾟｯｸﾊﾝｷﾞﾝｸﾞﾊﾞｯｸﾞ 15号 500枚×10ﾊﾟｯｸ</t>
  </si>
  <si>
    <t>-</t>
    <phoneticPr fontId="2"/>
  </si>
  <si>
    <t>KJ76637</t>
  </si>
  <si>
    <t>オザックス トパック ハンギングバッグ 11号 00310378 1ケース(10000枚) 64-9110-92（直送品）</t>
  </si>
  <si>
    <t>1ケース(10000枚)</t>
  </si>
  <si>
    <t>オザックス トパック ハンギングバッグ 12号 00320544 1ケース(8000枚) 64-9110-93（直送品）</t>
  </si>
  <si>
    <t>KJ76638</t>
  </si>
  <si>
    <t>1ケース(8000枚)</t>
  </si>
  <si>
    <t>オザックス トパック ハンギングバッグ 13号 00320546 1ケース(6000枚) 64-9110-94（直送品）</t>
  </si>
  <si>
    <t>KJ76639</t>
  </si>
  <si>
    <t>1ケース(6000枚)</t>
  </si>
  <si>
    <t>オザックス トパック ハンギングバッグ 14号 00310388 1ケース(5000枚) 64-9110-95（直送品）</t>
  </si>
  <si>
    <t>KJ76640</t>
  </si>
  <si>
    <t>1ケース(5000枚)</t>
  </si>
  <si>
    <t>オザックス トパック ハンギングバッグ 15号 00310390 1ケース(5000枚) 64-9110-96（直送品）</t>
  </si>
  <si>
    <t>KJ76641</t>
  </si>
  <si>
    <t>-</t>
  </si>
  <si>
    <t>6月売価</t>
    <rPh sb="1" eb="2">
      <t>ガツ</t>
    </rPh>
    <rPh sb="2" eb="4">
      <t>バイカ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</si>
</sst>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6" borderId="3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P9"/>
  <sheetViews>
    <sheetView tabSelected="1" zoomScale="90" zoomScaleNormal="90" workbookViewId="0">
      <pane xSplit="7" ySplit="5" topLeftCell="M6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625" customWidth="1" collapsed="1"/>
    <col min="26" max="28" width="7.625" customWidth="1"/>
    <col min="29" max="29" width="4.375" customWidth="1" collapsed="1"/>
    <col min="30" max="31" width="7.625" customWidth="1"/>
    <col min="32" max="32" width="7.625" style="30" customWidth="1"/>
    <col min="33" max="33" width="7.625" customWidth="1"/>
    <col min="34" max="34" width="7.625" style="30" customWidth="1"/>
    <col min="35" max="35" width="7.625" customWidth="1"/>
    <col min="36" max="36" width="6.5" style="30" bestFit="1" customWidth="1"/>
    <col min="37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67" width="7.625" customWidth="1"/>
  </cols>
  <sheetData>
    <row r="1" spans="1:68" x14ac:dyDescent="0.4">
      <c r="C1" s="29" t="s">
        <v>49</v>
      </c>
      <c r="Y1" s="43" t="s">
        <v>46</v>
      </c>
      <c r="Z1" s="44"/>
      <c r="AA1" s="44"/>
      <c r="AB1" s="45"/>
    </row>
    <row r="2" spans="1:68" x14ac:dyDescent="0.4">
      <c r="C2" s="8" t="s">
        <v>33</v>
      </c>
      <c r="D2" s="9" t="s">
        <v>34</v>
      </c>
      <c r="E2" s="9" t="s">
        <v>35</v>
      </c>
      <c r="F2" s="10"/>
      <c r="G2" s="10"/>
      <c r="H2" s="37"/>
      <c r="I2" s="37"/>
      <c r="J2" s="40" t="s">
        <v>36</v>
      </c>
      <c r="K2" s="42"/>
      <c r="L2" s="40" t="s">
        <v>2</v>
      </c>
      <c r="M2" s="41"/>
      <c r="N2" s="41"/>
      <c r="O2" s="42"/>
      <c r="P2" s="11"/>
      <c r="Q2" s="36"/>
      <c r="R2" s="36"/>
      <c r="S2" s="36"/>
      <c r="T2" s="36"/>
      <c r="U2" s="36"/>
      <c r="V2" s="36"/>
      <c r="W2" s="36"/>
      <c r="X2" s="36"/>
      <c r="Y2" s="23"/>
      <c r="Z2" s="24" t="s">
        <v>39</v>
      </c>
      <c r="AA2" s="24"/>
      <c r="AB2" s="25" t="s">
        <v>39</v>
      </c>
      <c r="AC2" s="10"/>
      <c r="AD2" s="9" t="s">
        <v>44</v>
      </c>
      <c r="AE2" s="11"/>
      <c r="AF2" s="31"/>
      <c r="AG2" s="11"/>
      <c r="AH2" s="31"/>
      <c r="AI2" s="11"/>
      <c r="AJ2" s="31"/>
      <c r="AK2" s="22" t="s">
        <v>47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K2">
        <v>14</v>
      </c>
      <c r="BL2">
        <v>28</v>
      </c>
    </row>
    <row r="3" spans="1:68" ht="75" x14ac:dyDescent="0.4">
      <c r="A3" s="1" t="s">
        <v>59</v>
      </c>
      <c r="B3" s="1" t="s">
        <v>65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61</v>
      </c>
      <c r="I3" s="12" t="s">
        <v>62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55</v>
      </c>
      <c r="Q3" s="12" t="s">
        <v>20</v>
      </c>
      <c r="R3" s="12" t="s">
        <v>21</v>
      </c>
      <c r="S3" s="12" t="s">
        <v>56</v>
      </c>
      <c r="T3" s="12" t="s">
        <v>23</v>
      </c>
      <c r="U3" s="12" t="s">
        <v>24</v>
      </c>
      <c r="V3" s="12" t="s">
        <v>57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20" t="s">
        <v>17</v>
      </c>
      <c r="AE3" s="2" t="s">
        <v>16</v>
      </c>
      <c r="AF3" s="32" t="s">
        <v>50</v>
      </c>
      <c r="AG3" s="12" t="s">
        <v>45</v>
      </c>
      <c r="AH3" s="38" t="s">
        <v>63</v>
      </c>
      <c r="AI3" s="2" t="s">
        <v>16</v>
      </c>
      <c r="AJ3" s="32"/>
      <c r="AK3" s="13" t="s">
        <v>37</v>
      </c>
      <c r="AL3" s="2" t="s">
        <v>16</v>
      </c>
      <c r="AM3" s="2" t="s">
        <v>38</v>
      </c>
      <c r="AN3" s="26" t="s">
        <v>40</v>
      </c>
      <c r="AO3" s="12" t="s">
        <v>41</v>
      </c>
      <c r="AP3" s="12" t="s">
        <v>42</v>
      </c>
      <c r="AQ3" s="12" t="s">
        <v>32</v>
      </c>
      <c r="AR3" s="12" t="s">
        <v>43</v>
      </c>
      <c r="AS3" s="12" t="s">
        <v>18</v>
      </c>
      <c r="AT3" s="12" t="s">
        <v>19</v>
      </c>
      <c r="AU3" s="12" t="s">
        <v>20</v>
      </c>
      <c r="AV3" s="12" t="s">
        <v>21</v>
      </c>
      <c r="AW3" s="12" t="s">
        <v>22</v>
      </c>
      <c r="AX3" s="12" t="s">
        <v>23</v>
      </c>
      <c r="AY3" s="12" t="s">
        <v>24</v>
      </c>
      <c r="AZ3" s="12" t="s">
        <v>25</v>
      </c>
      <c r="BA3" s="12" t="s">
        <v>26</v>
      </c>
      <c r="BB3" s="12" t="s">
        <v>27</v>
      </c>
      <c r="BC3" s="2" t="s">
        <v>11</v>
      </c>
      <c r="BD3" s="2" t="s">
        <v>12</v>
      </c>
      <c r="BE3" s="2" t="s">
        <v>13</v>
      </c>
      <c r="BF3" s="2" t="s">
        <v>14</v>
      </c>
      <c r="BG3" s="12" t="s">
        <v>48</v>
      </c>
      <c r="BH3" s="12" t="s">
        <v>64</v>
      </c>
      <c r="BI3" s="2" t="s">
        <v>94</v>
      </c>
      <c r="BJ3" s="2" t="s">
        <v>15</v>
      </c>
      <c r="BK3" s="18" t="s">
        <v>51</v>
      </c>
      <c r="BL3" s="18" t="s">
        <v>52</v>
      </c>
      <c r="BM3" s="15" t="s">
        <v>60</v>
      </c>
      <c r="BN3" s="34" t="s">
        <v>53</v>
      </c>
      <c r="BO3" s="35" t="s">
        <v>54</v>
      </c>
      <c r="BP3" s="35" t="s">
        <v>58</v>
      </c>
    </row>
    <row r="4" spans="1:68" x14ac:dyDescent="0.4">
      <c r="A4" s="39">
        <v>1</v>
      </c>
      <c r="B4" s="3">
        <v>1</v>
      </c>
      <c r="C4" s="4" t="s">
        <v>66</v>
      </c>
      <c r="D4" s="4" t="str">
        <f>TEXT(C4,"000000")</f>
        <v>J51940</v>
      </c>
      <c r="E4" s="4" t="s">
        <v>66</v>
      </c>
      <c r="F4" s="4" t="s">
        <v>72</v>
      </c>
      <c r="G4" s="5">
        <v>4562121453944</v>
      </c>
      <c r="H4" s="5"/>
      <c r="I4" s="5"/>
      <c r="J4" s="5">
        <v>1</v>
      </c>
      <c r="K4" s="5">
        <v>1</v>
      </c>
      <c r="L4" s="4">
        <v>0</v>
      </c>
      <c r="M4" s="4">
        <v>10395</v>
      </c>
      <c r="N4" s="4">
        <v>8900</v>
      </c>
      <c r="O4" s="6">
        <f t="shared" ref="O4:O9" si="0">1-N4/M4</f>
        <v>0.14381914381914385</v>
      </c>
      <c r="P4" s="4" t="s">
        <v>78</v>
      </c>
      <c r="Q4" s="4"/>
      <c r="R4" s="4"/>
      <c r="S4" s="4"/>
      <c r="T4" s="4"/>
      <c r="U4" s="4"/>
      <c r="V4" s="4"/>
      <c r="W4" s="4"/>
      <c r="X4" s="4"/>
      <c r="Y4" s="4">
        <v>0</v>
      </c>
      <c r="Z4" s="4">
        <f>IF(AC4="",Y4,Y4*AC4)</f>
        <v>0</v>
      </c>
      <c r="AA4" s="4">
        <v>12300</v>
      </c>
      <c r="AB4" s="4">
        <f>IF(AC4="",AA4,AA4*AC4)</f>
        <v>12300</v>
      </c>
      <c r="AC4" s="4"/>
      <c r="AD4" s="21">
        <f t="shared" ref="AD4:AD9" si="1">ROUND(M4*AS4,0)</f>
        <v>14366</v>
      </c>
      <c r="AE4" s="6">
        <f t="shared" ref="AE4" si="2">1-AB4/AD4</f>
        <v>0.14381177780871501</v>
      </c>
      <c r="AF4" s="33">
        <v>0</v>
      </c>
      <c r="AG4" s="4" t="str">
        <f t="shared" ref="AG4:AG9" si="3">BJ4</f>
        <v>-</v>
      </c>
      <c r="AH4" s="33" t="e">
        <f t="shared" ref="AH4:AH9" si="4">AG4*AS4</f>
        <v>#VALUE!</v>
      </c>
      <c r="AI4" s="6" t="e">
        <f t="shared" ref="AI4:AI9" si="5">1-AB4/AH4</f>
        <v>#VALUE!</v>
      </c>
      <c r="AJ4" s="33">
        <f>ROUND(AB4/0.75,0)</f>
        <v>16400</v>
      </c>
      <c r="AK4" s="7">
        <v>16400</v>
      </c>
      <c r="AL4" s="6">
        <f t="shared" ref="AL4:AL9" si="6">1-AB4/AK4</f>
        <v>0.25</v>
      </c>
      <c r="AM4" s="4">
        <f t="shared" ref="AM4:AM9" si="7">AK4-AB4</f>
        <v>4100</v>
      </c>
      <c r="AN4" s="28"/>
      <c r="AO4" s="6" t="e">
        <f>1-AB4/AN4</f>
        <v>#DIV/0!</v>
      </c>
      <c r="AP4" s="4">
        <f>AN4-AB4</f>
        <v>-12300</v>
      </c>
      <c r="AQ4" s="6" t="e">
        <f t="shared" ref="AQ4:AQ9" si="8">Z4/L4</f>
        <v>#DIV/0!</v>
      </c>
      <c r="AR4" s="6">
        <f t="shared" ref="AR4:AR9" si="9">AK4/M4</f>
        <v>1.5776815776815776</v>
      </c>
      <c r="AS4" s="6">
        <f t="shared" ref="AS4:AS9" si="10">AB4/N4</f>
        <v>1.3820224719101124</v>
      </c>
      <c r="AT4" s="4" t="str">
        <f>IFERROR(ROUND($AK4*P4/$M4,0),"-")</f>
        <v>-</v>
      </c>
      <c r="AU4" s="4" t="str">
        <f>IF(Q4="","-",Q4)</f>
        <v>-</v>
      </c>
      <c r="AV4" s="4" t="str">
        <f>IF(R4="","-",R4)</f>
        <v>-</v>
      </c>
      <c r="AW4" s="4"/>
      <c r="AX4" s="4"/>
      <c r="AY4" s="4"/>
      <c r="AZ4" s="4"/>
      <c r="BA4" s="4"/>
      <c r="BB4" s="4"/>
      <c r="BC4" s="4">
        <v>0</v>
      </c>
      <c r="BD4" s="4" t="s">
        <v>78</v>
      </c>
      <c r="BE4" s="4"/>
      <c r="BF4" s="4"/>
      <c r="BG4" s="4" t="s">
        <v>78</v>
      </c>
      <c r="BH4" s="4" t="s">
        <v>93</v>
      </c>
      <c r="BI4" s="4" t="s">
        <v>78</v>
      </c>
      <c r="BJ4" s="4" t="str">
        <f t="shared" ref="BJ4:BJ5" si="11">IF(BE4="",BI4,BE4/BF4*BI4)</f>
        <v>-</v>
      </c>
      <c r="BK4" s="19">
        <v>2</v>
      </c>
      <c r="BL4" s="19">
        <v>8</v>
      </c>
      <c r="BM4" s="16">
        <v>18</v>
      </c>
      <c r="BN4" t="s">
        <v>78</v>
      </c>
      <c r="BO4" t="s">
        <v>78</v>
      </c>
      <c r="BP4" t="s">
        <v>78</v>
      </c>
    </row>
    <row r="5" spans="1:68" x14ac:dyDescent="0.4">
      <c r="A5" s="39">
        <v>2</v>
      </c>
      <c r="B5" s="3">
        <v>2</v>
      </c>
      <c r="C5" s="4" t="s">
        <v>67</v>
      </c>
      <c r="D5" s="4" t="str">
        <f t="shared" ref="D5:D9" si="12">TEXT(C5,"000000")</f>
        <v>J51941</v>
      </c>
      <c r="E5" s="4" t="s">
        <v>67</v>
      </c>
      <c r="F5" s="4" t="s">
        <v>73</v>
      </c>
      <c r="G5" s="5">
        <v>4562121450752</v>
      </c>
      <c r="H5" s="5"/>
      <c r="I5" s="5"/>
      <c r="J5" s="5">
        <v>1</v>
      </c>
      <c r="K5" s="5">
        <v>1</v>
      </c>
      <c r="L5" s="4">
        <v>0</v>
      </c>
      <c r="M5" s="4">
        <v>13714</v>
      </c>
      <c r="N5" s="4">
        <v>11900</v>
      </c>
      <c r="O5" s="6">
        <f t="shared" si="0"/>
        <v>0.13227358903310482</v>
      </c>
      <c r="P5" s="4" t="s">
        <v>78</v>
      </c>
      <c r="Q5" s="4"/>
      <c r="R5" s="4"/>
      <c r="S5" s="4"/>
      <c r="T5" s="4"/>
      <c r="U5" s="4"/>
      <c r="V5" s="4"/>
      <c r="W5" s="4"/>
      <c r="X5" s="4"/>
      <c r="Y5" s="4">
        <v>0</v>
      </c>
      <c r="Z5" s="4">
        <f t="shared" ref="Z5:Z9" si="13">IF(AC5="",Y5,Y5*AC5)</f>
        <v>0</v>
      </c>
      <c r="AA5" s="4">
        <v>16700</v>
      </c>
      <c r="AB5" s="4">
        <f t="shared" ref="AB5:AB9" si="14">IF(AC5="",AA5,AA5*AC5)</f>
        <v>16700</v>
      </c>
      <c r="AC5" s="4"/>
      <c r="AD5" s="21">
        <f t="shared" si="1"/>
        <v>19246</v>
      </c>
      <c r="AE5" s="6">
        <f t="shared" ref="AE5" si="15">1-AB5/AD5</f>
        <v>0.13228722851501606</v>
      </c>
      <c r="AF5" s="33">
        <v>0</v>
      </c>
      <c r="AG5" s="4">
        <f t="shared" si="3"/>
        <v>13400</v>
      </c>
      <c r="AH5" s="33">
        <f t="shared" si="4"/>
        <v>18805.042016806721</v>
      </c>
      <c r="AI5" s="6">
        <f t="shared" si="5"/>
        <v>0.11194029850746257</v>
      </c>
      <c r="AJ5" s="33">
        <f t="shared" ref="AJ5:AJ9" si="16">ROUND(AB5/0.75,0)</f>
        <v>22267</v>
      </c>
      <c r="AK5" s="7">
        <v>22300</v>
      </c>
      <c r="AL5" s="6">
        <f t="shared" si="6"/>
        <v>0.2511210762331838</v>
      </c>
      <c r="AM5" s="4">
        <f t="shared" si="7"/>
        <v>5600</v>
      </c>
      <c r="AN5" s="28"/>
      <c r="AO5" s="6"/>
      <c r="AP5" s="6"/>
      <c r="AQ5" s="6" t="e">
        <f t="shared" si="8"/>
        <v>#DIV/0!</v>
      </c>
      <c r="AR5" s="6">
        <f t="shared" si="9"/>
        <v>1.6260755432404841</v>
      </c>
      <c r="AS5" s="6">
        <f t="shared" si="10"/>
        <v>1.403361344537815</v>
      </c>
      <c r="AT5" s="4"/>
      <c r="AU5" s="4"/>
      <c r="AV5" s="4"/>
      <c r="AW5" s="4"/>
      <c r="AX5" s="4"/>
      <c r="AY5" s="4"/>
      <c r="AZ5" s="4"/>
      <c r="BA5" s="4"/>
      <c r="BB5" s="4"/>
      <c r="BC5" s="4">
        <v>0</v>
      </c>
      <c r="BD5" s="4" t="s">
        <v>79</v>
      </c>
      <c r="BE5" s="4"/>
      <c r="BF5" s="4"/>
      <c r="BG5" s="4" t="s">
        <v>81</v>
      </c>
      <c r="BH5" s="4">
        <v>13400</v>
      </c>
      <c r="BI5" s="4">
        <v>13400</v>
      </c>
      <c r="BJ5" s="4">
        <f t="shared" si="11"/>
        <v>13400</v>
      </c>
      <c r="BK5" s="19">
        <v>2</v>
      </c>
      <c r="BL5" s="19">
        <v>8</v>
      </c>
      <c r="BM5" s="16">
        <v>18</v>
      </c>
      <c r="BN5" t="s">
        <v>78</v>
      </c>
      <c r="BO5" t="s">
        <v>78</v>
      </c>
      <c r="BP5" t="s">
        <v>80</v>
      </c>
    </row>
    <row r="6" spans="1:68" x14ac:dyDescent="0.4">
      <c r="A6" s="39">
        <v>3</v>
      </c>
      <c r="B6" s="3">
        <v>3</v>
      </c>
      <c r="C6" s="17" t="s">
        <v>68</v>
      </c>
      <c r="D6" s="4" t="str">
        <f t="shared" si="12"/>
        <v>J51942</v>
      </c>
      <c r="E6" s="4" t="s">
        <v>68</v>
      </c>
      <c r="F6" s="4" t="s">
        <v>74</v>
      </c>
      <c r="G6" s="5">
        <v>4562121450769</v>
      </c>
      <c r="H6" s="5"/>
      <c r="I6" s="5"/>
      <c r="J6" s="5">
        <v>1</v>
      </c>
      <c r="K6" s="5">
        <v>1</v>
      </c>
      <c r="L6" s="4">
        <v>0</v>
      </c>
      <c r="M6" s="4">
        <v>14155</v>
      </c>
      <c r="N6" s="4">
        <v>12300</v>
      </c>
      <c r="O6" s="6">
        <f t="shared" si="0"/>
        <v>0.13104909925821262</v>
      </c>
      <c r="P6" s="4" t="s">
        <v>78</v>
      </c>
      <c r="Q6" s="4"/>
      <c r="R6" s="4"/>
      <c r="S6" s="4"/>
      <c r="T6" s="4"/>
      <c r="U6" s="4"/>
      <c r="V6" s="4"/>
      <c r="W6" s="4"/>
      <c r="X6" s="4"/>
      <c r="Y6" s="4">
        <v>0</v>
      </c>
      <c r="Z6" s="4">
        <f t="shared" si="13"/>
        <v>0</v>
      </c>
      <c r="AA6" s="4">
        <v>17000</v>
      </c>
      <c r="AB6" s="4">
        <f t="shared" si="14"/>
        <v>17000</v>
      </c>
      <c r="AC6" s="4"/>
      <c r="AD6" s="21">
        <f t="shared" si="1"/>
        <v>19564</v>
      </c>
      <c r="AE6" s="6">
        <f t="shared" ref="AE6:AE9" si="17">1-AB6/AD6</f>
        <v>0.13105704354937642</v>
      </c>
      <c r="AF6" s="33">
        <v>0</v>
      </c>
      <c r="AG6" s="4">
        <f t="shared" si="3"/>
        <v>13600</v>
      </c>
      <c r="AH6" s="33">
        <f t="shared" si="4"/>
        <v>18796.747967479674</v>
      </c>
      <c r="AI6" s="6">
        <f t="shared" si="5"/>
        <v>9.5588235294117641E-2</v>
      </c>
      <c r="AJ6" s="33">
        <f t="shared" si="16"/>
        <v>22667</v>
      </c>
      <c r="AK6" s="7">
        <v>22700</v>
      </c>
      <c r="AL6" s="6">
        <f t="shared" si="6"/>
        <v>0.25110132158590304</v>
      </c>
      <c r="AM6" s="4">
        <f t="shared" si="7"/>
        <v>5700</v>
      </c>
      <c r="AN6" s="28"/>
      <c r="AO6" s="6"/>
      <c r="AP6" s="6"/>
      <c r="AQ6" s="6" t="e">
        <f t="shared" si="8"/>
        <v>#DIV/0!</v>
      </c>
      <c r="AR6" s="6">
        <f t="shared" si="9"/>
        <v>1.6036736135641116</v>
      </c>
      <c r="AS6" s="6">
        <f t="shared" si="10"/>
        <v>1.3821138211382114</v>
      </c>
      <c r="AT6" s="4"/>
      <c r="AU6" s="4"/>
      <c r="AV6" s="4"/>
      <c r="AW6" s="4"/>
      <c r="AX6" s="4"/>
      <c r="AY6" s="4"/>
      <c r="AZ6" s="4"/>
      <c r="BA6" s="4"/>
      <c r="BB6" s="4"/>
      <c r="BC6" s="4">
        <v>0</v>
      </c>
      <c r="BD6" s="4" t="s">
        <v>83</v>
      </c>
      <c r="BE6" s="4"/>
      <c r="BF6" s="4"/>
      <c r="BG6" s="4" t="s">
        <v>84</v>
      </c>
      <c r="BH6" s="4">
        <v>13600</v>
      </c>
      <c r="BI6" s="4">
        <v>13600</v>
      </c>
      <c r="BJ6" s="4">
        <f t="shared" ref="BJ6:BJ9" si="18">IF(BE6="",BI6,BE6/BF6*BI6)</f>
        <v>13600</v>
      </c>
      <c r="BK6" s="19">
        <v>2</v>
      </c>
      <c r="BL6" s="19">
        <v>8</v>
      </c>
      <c r="BM6" s="16">
        <v>18</v>
      </c>
      <c r="BN6" t="s">
        <v>78</v>
      </c>
      <c r="BO6" t="s">
        <v>78</v>
      </c>
      <c r="BP6" t="s">
        <v>82</v>
      </c>
    </row>
    <row r="7" spans="1:68" x14ac:dyDescent="0.4">
      <c r="A7" s="39">
        <v>4</v>
      </c>
      <c r="B7" s="3">
        <v>4</v>
      </c>
      <c r="C7" s="17" t="s">
        <v>69</v>
      </c>
      <c r="D7" s="4" t="str">
        <f t="shared" si="12"/>
        <v>J51943</v>
      </c>
      <c r="E7" s="4" t="s">
        <v>69</v>
      </c>
      <c r="F7" s="4" t="s">
        <v>75</v>
      </c>
      <c r="G7" s="5">
        <v>4562121450776</v>
      </c>
      <c r="H7" s="5"/>
      <c r="I7" s="5"/>
      <c r="J7" s="5">
        <v>1</v>
      </c>
      <c r="K7" s="5">
        <v>1</v>
      </c>
      <c r="L7" s="4">
        <v>0</v>
      </c>
      <c r="M7" s="4">
        <v>12719</v>
      </c>
      <c r="N7" s="4">
        <v>11000</v>
      </c>
      <c r="O7" s="6">
        <f t="shared" si="0"/>
        <v>0.13515213460177689</v>
      </c>
      <c r="P7" s="4" t="s">
        <v>78</v>
      </c>
      <c r="Q7" s="4"/>
      <c r="R7" s="4"/>
      <c r="S7" s="4"/>
      <c r="T7" s="4"/>
      <c r="U7" s="4"/>
      <c r="V7" s="4"/>
      <c r="W7" s="4"/>
      <c r="X7" s="4"/>
      <c r="Y7" s="4">
        <v>0</v>
      </c>
      <c r="Z7" s="4">
        <f t="shared" si="13"/>
        <v>0</v>
      </c>
      <c r="AA7" s="4">
        <v>12200</v>
      </c>
      <c r="AB7" s="4">
        <f t="shared" si="14"/>
        <v>12200</v>
      </c>
      <c r="AC7" s="4"/>
      <c r="AD7" s="21">
        <f t="shared" si="1"/>
        <v>14107</v>
      </c>
      <c r="AE7" s="6">
        <f t="shared" si="17"/>
        <v>0.1351811157581343</v>
      </c>
      <c r="AF7" s="33">
        <v>0</v>
      </c>
      <c r="AG7" s="4">
        <f t="shared" si="3"/>
        <v>12400</v>
      </c>
      <c r="AH7" s="33">
        <f t="shared" si="4"/>
        <v>13752.727272727274</v>
      </c>
      <c r="AI7" s="6">
        <f t="shared" si="5"/>
        <v>0.11290322580645173</v>
      </c>
      <c r="AJ7" s="33">
        <f t="shared" si="16"/>
        <v>16267</v>
      </c>
      <c r="AK7" s="7">
        <v>16300</v>
      </c>
      <c r="AL7" s="6">
        <f t="shared" si="6"/>
        <v>0.25153374233128833</v>
      </c>
      <c r="AM7" s="4">
        <f t="shared" si="7"/>
        <v>4100</v>
      </c>
      <c r="AN7" s="28"/>
      <c r="AO7" s="6"/>
      <c r="AP7" s="6"/>
      <c r="AQ7" s="6" t="e">
        <f t="shared" si="8"/>
        <v>#DIV/0!</v>
      </c>
      <c r="AR7" s="6">
        <f t="shared" si="9"/>
        <v>1.2815472914537307</v>
      </c>
      <c r="AS7" s="6">
        <f t="shared" si="10"/>
        <v>1.1090909090909091</v>
      </c>
      <c r="AT7" s="4"/>
      <c r="AU7" s="4"/>
      <c r="AV7" s="4"/>
      <c r="AW7" s="4"/>
      <c r="AX7" s="4"/>
      <c r="AY7" s="4"/>
      <c r="AZ7" s="4"/>
      <c r="BA7" s="4"/>
      <c r="BB7" s="4"/>
      <c r="BC7" s="4">
        <v>0</v>
      </c>
      <c r="BD7" s="4" t="s">
        <v>86</v>
      </c>
      <c r="BE7" s="4"/>
      <c r="BF7" s="4"/>
      <c r="BG7" s="4" t="s">
        <v>87</v>
      </c>
      <c r="BH7" s="4">
        <v>12400</v>
      </c>
      <c r="BI7" s="4">
        <v>12400</v>
      </c>
      <c r="BJ7" s="4">
        <f t="shared" si="18"/>
        <v>12400</v>
      </c>
      <c r="BK7" s="19">
        <v>2</v>
      </c>
      <c r="BL7" s="19">
        <v>8</v>
      </c>
      <c r="BM7" s="16">
        <v>18</v>
      </c>
      <c r="BN7" t="s">
        <v>78</v>
      </c>
      <c r="BO7" t="s">
        <v>78</v>
      </c>
      <c r="BP7" t="s">
        <v>85</v>
      </c>
    </row>
    <row r="8" spans="1:68" x14ac:dyDescent="0.4">
      <c r="A8" s="39">
        <v>5</v>
      </c>
      <c r="B8" s="3">
        <v>5</v>
      </c>
      <c r="C8" s="17" t="s">
        <v>70</v>
      </c>
      <c r="D8" s="4" t="str">
        <f t="shared" si="12"/>
        <v>J51944</v>
      </c>
      <c r="E8" s="4" t="s">
        <v>70</v>
      </c>
      <c r="F8" s="4" t="s">
        <v>76</v>
      </c>
      <c r="G8" s="5">
        <v>4562121450783</v>
      </c>
      <c r="H8" s="5"/>
      <c r="I8" s="5"/>
      <c r="J8" s="5">
        <v>1</v>
      </c>
      <c r="K8" s="5">
        <v>1</v>
      </c>
      <c r="L8" s="4">
        <v>0</v>
      </c>
      <c r="M8" s="4">
        <v>11834</v>
      </c>
      <c r="N8" s="4">
        <v>10200</v>
      </c>
      <c r="O8" s="6">
        <f t="shared" si="0"/>
        <v>0.13807672807165794</v>
      </c>
      <c r="P8" s="4" t="s">
        <v>78</v>
      </c>
      <c r="Q8" s="4"/>
      <c r="R8" s="4"/>
      <c r="S8" s="4"/>
      <c r="T8" s="4"/>
      <c r="U8" s="4"/>
      <c r="V8" s="4"/>
      <c r="W8" s="4"/>
      <c r="X8" s="4"/>
      <c r="Y8" s="4">
        <v>0</v>
      </c>
      <c r="Z8" s="4">
        <f t="shared" si="13"/>
        <v>0</v>
      </c>
      <c r="AA8" s="4">
        <v>11300</v>
      </c>
      <c r="AB8" s="4">
        <f t="shared" si="14"/>
        <v>11300</v>
      </c>
      <c r="AC8" s="4"/>
      <c r="AD8" s="21">
        <f t="shared" si="1"/>
        <v>13110</v>
      </c>
      <c r="AE8" s="6">
        <f t="shared" si="17"/>
        <v>0.13806254767353165</v>
      </c>
      <c r="AF8" s="33">
        <v>0</v>
      </c>
      <c r="AG8" s="4">
        <f t="shared" si="3"/>
        <v>11400</v>
      </c>
      <c r="AH8" s="33">
        <f t="shared" si="4"/>
        <v>12629.411764705883</v>
      </c>
      <c r="AI8" s="6">
        <f t="shared" si="5"/>
        <v>0.10526315789473684</v>
      </c>
      <c r="AJ8" s="33">
        <f t="shared" si="16"/>
        <v>15067</v>
      </c>
      <c r="AK8" s="7">
        <v>15100</v>
      </c>
      <c r="AL8" s="6">
        <f t="shared" si="6"/>
        <v>0.2516556291390728</v>
      </c>
      <c r="AM8" s="4">
        <f t="shared" si="7"/>
        <v>3800</v>
      </c>
      <c r="AN8" s="28"/>
      <c r="AO8" s="6"/>
      <c r="AP8" s="6"/>
      <c r="AQ8" s="6" t="e">
        <f t="shared" si="8"/>
        <v>#DIV/0!</v>
      </c>
      <c r="AR8" s="6">
        <f t="shared" si="9"/>
        <v>1.2759844515801926</v>
      </c>
      <c r="AS8" s="6">
        <f t="shared" si="10"/>
        <v>1.107843137254902</v>
      </c>
      <c r="AT8" s="4"/>
      <c r="AU8" s="4"/>
      <c r="AV8" s="4"/>
      <c r="AW8" s="4"/>
      <c r="AX8" s="4"/>
      <c r="AY8" s="4"/>
      <c r="AZ8" s="4"/>
      <c r="BA8" s="4"/>
      <c r="BB8" s="4"/>
      <c r="BC8" s="4">
        <v>0</v>
      </c>
      <c r="BD8" s="4" t="s">
        <v>89</v>
      </c>
      <c r="BE8" s="4"/>
      <c r="BF8" s="4"/>
      <c r="BG8" s="4" t="s">
        <v>90</v>
      </c>
      <c r="BH8" s="4">
        <v>11400</v>
      </c>
      <c r="BI8" s="4">
        <v>11400</v>
      </c>
      <c r="BJ8" s="4">
        <f t="shared" si="18"/>
        <v>11400</v>
      </c>
      <c r="BK8" s="19">
        <v>2</v>
      </c>
      <c r="BL8" s="19">
        <v>8</v>
      </c>
      <c r="BM8" s="16">
        <v>18</v>
      </c>
      <c r="BN8" t="s">
        <v>78</v>
      </c>
      <c r="BO8" t="s">
        <v>78</v>
      </c>
      <c r="BP8" t="s">
        <v>88</v>
      </c>
    </row>
    <row r="9" spans="1:68" x14ac:dyDescent="0.4">
      <c r="A9" s="39">
        <v>6</v>
      </c>
      <c r="B9" s="3">
        <v>6</v>
      </c>
      <c r="C9" s="17" t="s">
        <v>71</v>
      </c>
      <c r="D9" s="4" t="str">
        <f t="shared" si="12"/>
        <v>J51945</v>
      </c>
      <c r="E9" s="4" t="s">
        <v>71</v>
      </c>
      <c r="F9" s="4" t="s">
        <v>77</v>
      </c>
      <c r="G9" s="5">
        <v>4562121450790</v>
      </c>
      <c r="H9" s="5"/>
      <c r="I9" s="5"/>
      <c r="J9" s="5">
        <v>1</v>
      </c>
      <c r="K9" s="5">
        <v>1</v>
      </c>
      <c r="L9" s="4">
        <v>0</v>
      </c>
      <c r="M9" s="4">
        <v>13050</v>
      </c>
      <c r="N9" s="4">
        <v>11600</v>
      </c>
      <c r="O9" s="6">
        <f t="shared" si="0"/>
        <v>0.11111111111111116</v>
      </c>
      <c r="P9" s="4" t="s">
        <v>78</v>
      </c>
      <c r="Q9" s="4"/>
      <c r="R9" s="4"/>
      <c r="S9" s="4"/>
      <c r="T9" s="4"/>
      <c r="U9" s="4"/>
      <c r="V9" s="4"/>
      <c r="W9" s="4"/>
      <c r="X9" s="4"/>
      <c r="Y9" s="4">
        <v>0</v>
      </c>
      <c r="Z9" s="4">
        <f t="shared" si="13"/>
        <v>0</v>
      </c>
      <c r="AA9" s="4">
        <v>12900</v>
      </c>
      <c r="AB9" s="4">
        <f t="shared" si="14"/>
        <v>12900</v>
      </c>
      <c r="AC9" s="4"/>
      <c r="AD9" s="21">
        <f t="shared" si="1"/>
        <v>14513</v>
      </c>
      <c r="AE9" s="6">
        <f t="shared" si="17"/>
        <v>0.11114173499621027</v>
      </c>
      <c r="AF9" s="33">
        <v>0</v>
      </c>
      <c r="AG9" s="4">
        <f t="shared" si="3"/>
        <v>12636</v>
      </c>
      <c r="AH9" s="33">
        <f t="shared" si="4"/>
        <v>14052.103448275861</v>
      </c>
      <c r="AI9" s="6">
        <f t="shared" si="5"/>
        <v>8.1987970876859717E-2</v>
      </c>
      <c r="AJ9" s="33">
        <f t="shared" si="16"/>
        <v>17200</v>
      </c>
      <c r="AK9" s="7">
        <v>17200</v>
      </c>
      <c r="AL9" s="6">
        <f t="shared" si="6"/>
        <v>0.25</v>
      </c>
      <c r="AM9" s="4">
        <f t="shared" si="7"/>
        <v>4300</v>
      </c>
      <c r="AN9" s="28"/>
      <c r="AO9" s="6"/>
      <c r="AP9" s="6"/>
      <c r="AQ9" s="6" t="e">
        <f t="shared" si="8"/>
        <v>#DIV/0!</v>
      </c>
      <c r="AR9" s="6">
        <f t="shared" si="9"/>
        <v>1.3180076628352491</v>
      </c>
      <c r="AS9" s="6">
        <f t="shared" si="10"/>
        <v>1.1120689655172413</v>
      </c>
      <c r="AT9" s="4"/>
      <c r="AU9" s="4"/>
      <c r="AV9" s="4"/>
      <c r="AW9" s="4"/>
      <c r="AX9" s="4"/>
      <c r="AY9" s="4"/>
      <c r="AZ9" s="4"/>
      <c r="BA9" s="4"/>
      <c r="BB9" s="4"/>
      <c r="BC9" s="4">
        <v>0</v>
      </c>
      <c r="BD9" s="4" t="s">
        <v>92</v>
      </c>
      <c r="BE9" s="4"/>
      <c r="BF9" s="4"/>
      <c r="BG9" s="4" t="s">
        <v>90</v>
      </c>
      <c r="BH9" s="4">
        <v>12636</v>
      </c>
      <c r="BI9" s="4">
        <v>12636</v>
      </c>
      <c r="BJ9" s="4">
        <f t="shared" si="18"/>
        <v>12636</v>
      </c>
      <c r="BK9" s="19">
        <v>2</v>
      </c>
      <c r="BL9" s="19">
        <v>8</v>
      </c>
      <c r="BM9" s="16">
        <v>18</v>
      </c>
      <c r="BN9" t="s">
        <v>78</v>
      </c>
      <c r="BO9" t="s">
        <v>78</v>
      </c>
      <c r="BP9" t="s">
        <v>91</v>
      </c>
    </row>
  </sheetData>
  <autoFilter ref="A3:BP3" xr:uid="{7A1660CF-9003-4B2D-B659-7F339ED5B476}"/>
  <mergeCells count="3">
    <mergeCell ref="L2:O2"/>
    <mergeCell ref="J2:K2"/>
    <mergeCell ref="Y1:AB1"/>
  </mergeCells>
  <phoneticPr fontId="2"/>
  <conditionalFormatting sqref="AK4:AK9">
    <cfRule type="cellIs" dxfId="2" priority="4" operator="greaterThan">
      <formula>$Z4</formula>
    </cfRule>
  </conditionalFormatting>
  <conditionalFormatting sqref="AH4:AH9">
    <cfRule type="cellIs" dxfId="1" priority="2" operator="lessThan">
      <formula>$AK4</formula>
    </cfRule>
  </conditionalFormatting>
  <conditionalFormatting sqref="AL4:AL9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2026-06-02T04:23:30Z</dcterms:modified>
</cp:coreProperties>
</file>