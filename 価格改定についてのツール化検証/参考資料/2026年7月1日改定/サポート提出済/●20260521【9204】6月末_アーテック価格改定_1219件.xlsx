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ｱ_アーテック_9204\価格改定\20260521_6月末\"/>
    </mc:Choice>
  </mc:AlternateContent>
  <xr:revisionPtr revIDLastSave="0" documentId="13_ncr:1_{20A699F3-99F0-4BC3-8BE8-FBE06C3759A1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Sheet1!$A$3:$BS$1222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I381" i="1" l="1"/>
  <c r="AG381" i="1" s="1"/>
  <c r="BI397" i="1"/>
  <c r="AG397" i="1" s="1"/>
  <c r="BI404" i="1"/>
  <c r="AG404" i="1" s="1"/>
  <c r="BI405" i="1"/>
  <c r="AG405" i="1" s="1"/>
  <c r="BI413" i="1"/>
  <c r="AG413" i="1" s="1"/>
  <c r="BI416" i="1"/>
  <c r="AG416" i="1" s="1"/>
  <c r="BI424" i="1"/>
  <c r="AG424" i="1" s="1"/>
  <c r="BI433" i="1"/>
  <c r="AG433" i="1" s="1"/>
  <c r="BI436" i="1"/>
  <c r="AG436" i="1" s="1"/>
  <c r="BI441" i="1"/>
  <c r="AG441" i="1" s="1"/>
  <c r="BI445" i="1"/>
  <c r="AG445" i="1" s="1"/>
  <c r="BI449" i="1"/>
  <c r="AG449" i="1" s="1"/>
  <c r="BI452" i="1"/>
  <c r="AG452" i="1" s="1"/>
  <c r="BI456" i="1"/>
  <c r="AG456" i="1" s="1"/>
  <c r="BI458" i="1"/>
  <c r="AG458" i="1" s="1"/>
  <c r="BI464" i="1"/>
  <c r="AG464" i="1" s="1"/>
  <c r="BI465" i="1"/>
  <c r="AG465" i="1" s="1"/>
  <c r="BI468" i="1"/>
  <c r="AG468" i="1" s="1"/>
  <c r="BI469" i="1"/>
  <c r="AG469" i="1" s="1"/>
  <c r="BI473" i="1"/>
  <c r="AG473" i="1" s="1"/>
  <c r="BI480" i="1"/>
  <c r="AG480" i="1" s="1"/>
  <c r="BI486" i="1"/>
  <c r="AG486" i="1" s="1"/>
  <c r="BI497" i="1"/>
  <c r="AG497" i="1" s="1"/>
  <c r="BI501" i="1"/>
  <c r="AG501" i="1" s="1"/>
  <c r="BI502" i="1"/>
  <c r="AG502" i="1" s="1"/>
  <c r="BI504" i="1"/>
  <c r="AG504" i="1" s="1"/>
  <c r="BI506" i="1"/>
  <c r="AG506" i="1" s="1"/>
  <c r="BI512" i="1"/>
  <c r="AG512" i="1" s="1"/>
  <c r="BI513" i="1"/>
  <c r="AG513" i="1" s="1"/>
  <c r="BI518" i="1"/>
  <c r="AG518" i="1" s="1"/>
  <c r="BI520" i="1"/>
  <c r="AG520" i="1" s="1"/>
  <c r="BI524" i="1"/>
  <c r="AG524" i="1" s="1"/>
  <c r="BI528" i="1"/>
  <c r="AG528" i="1" s="1"/>
  <c r="BI530" i="1"/>
  <c r="AG530" i="1" s="1"/>
  <c r="BI533" i="1"/>
  <c r="AG533" i="1" s="1"/>
  <c r="BI537" i="1"/>
  <c r="AG537" i="1" s="1"/>
  <c r="BI542" i="1"/>
  <c r="AG542" i="1" s="1"/>
  <c r="BI544" i="1"/>
  <c r="AG544" i="1" s="1"/>
  <c r="BI546" i="1"/>
  <c r="AG546" i="1" s="1"/>
  <c r="BI549" i="1"/>
  <c r="AG549" i="1" s="1"/>
  <c r="BI552" i="1"/>
  <c r="AG552" i="1" s="1"/>
  <c r="BI553" i="1"/>
  <c r="AG553" i="1" s="1"/>
  <c r="BI560" i="1"/>
  <c r="AG560" i="1" s="1"/>
  <c r="BI562" i="1"/>
  <c r="AG562" i="1" s="1"/>
  <c r="BI564" i="1"/>
  <c r="AG564" i="1" s="1"/>
  <c r="BI565" i="1"/>
  <c r="AG565" i="1" s="1"/>
  <c r="BI566" i="1"/>
  <c r="AG566" i="1" s="1"/>
  <c r="BI569" i="1"/>
  <c r="AG569" i="1" s="1"/>
  <c r="BI574" i="1"/>
  <c r="AG574" i="1" s="1"/>
  <c r="BI577" i="1"/>
  <c r="AG577" i="1" s="1"/>
  <c r="BI581" i="1"/>
  <c r="AG581" i="1" s="1"/>
  <c r="BI582" i="1"/>
  <c r="AG582" i="1" s="1"/>
  <c r="BI598" i="1"/>
  <c r="AG598" i="1" s="1"/>
  <c r="BI600" i="1"/>
  <c r="AG600" i="1" s="1"/>
  <c r="BI604" i="1"/>
  <c r="AG604" i="1" s="1"/>
  <c r="BI606" i="1"/>
  <c r="AG606" i="1" s="1"/>
  <c r="BI609" i="1"/>
  <c r="AG609" i="1" s="1"/>
  <c r="BI612" i="1"/>
  <c r="AG612" i="1" s="1"/>
  <c r="BI614" i="1"/>
  <c r="AG614" i="1" s="1"/>
  <c r="BI617" i="1"/>
  <c r="AG617" i="1" s="1"/>
  <c r="BI620" i="1"/>
  <c r="AG620" i="1" s="1"/>
  <c r="BI622" i="1"/>
  <c r="AG622" i="1" s="1"/>
  <c r="BI624" i="1"/>
  <c r="AG624" i="1" s="1"/>
  <c r="BI626" i="1"/>
  <c r="AG626" i="1" s="1"/>
  <c r="BI628" i="1"/>
  <c r="AG628" i="1" s="1"/>
  <c r="BI629" i="1"/>
  <c r="AG629" i="1" s="1"/>
  <c r="BI630" i="1"/>
  <c r="AG630" i="1" s="1"/>
  <c r="BI634" i="1"/>
  <c r="AG634" i="1" s="1"/>
  <c r="BI636" i="1"/>
  <c r="AG636" i="1" s="1"/>
  <c r="BI640" i="1"/>
  <c r="AG640" i="1" s="1"/>
  <c r="BI641" i="1"/>
  <c r="AG641" i="1" s="1"/>
  <c r="BI642" i="1"/>
  <c r="AG642" i="1" s="1"/>
  <c r="BI646" i="1"/>
  <c r="AG646" i="1" s="1"/>
  <c r="BI649" i="1"/>
  <c r="AG649" i="1" s="1"/>
  <c r="BI650" i="1"/>
  <c r="AG650" i="1" s="1"/>
  <c r="BI652" i="1"/>
  <c r="AG652" i="1" s="1"/>
  <c r="BI653" i="1"/>
  <c r="AG653" i="1" s="1"/>
  <c r="BI654" i="1"/>
  <c r="AG654" i="1" s="1"/>
  <c r="BI656" i="1"/>
  <c r="AG656" i="1" s="1"/>
  <c r="BI657" i="1"/>
  <c r="AG657" i="1" s="1"/>
  <c r="BI668" i="1"/>
  <c r="AG668" i="1" s="1"/>
  <c r="BI669" i="1"/>
  <c r="AG669" i="1" s="1"/>
  <c r="BI674" i="1"/>
  <c r="AG674" i="1" s="1"/>
  <c r="BI682" i="1"/>
  <c r="AG682" i="1" s="1"/>
  <c r="BI684" i="1"/>
  <c r="AG684" i="1" s="1"/>
  <c r="BI686" i="1"/>
  <c r="AG686" i="1" s="1"/>
  <c r="BI689" i="1"/>
  <c r="AG689" i="1" s="1"/>
  <c r="BI692" i="1"/>
  <c r="AG692" i="1" s="1"/>
  <c r="BI700" i="1"/>
  <c r="AG700" i="1" s="1"/>
  <c r="BI701" i="1"/>
  <c r="AG701" i="1" s="1"/>
  <c r="BI702" i="1"/>
  <c r="AG702" i="1" s="1"/>
  <c r="BI705" i="1"/>
  <c r="AG705" i="1" s="1"/>
  <c r="BI728" i="1"/>
  <c r="AG728" i="1" s="1"/>
  <c r="BI734" i="1"/>
  <c r="AG734" i="1" s="1"/>
  <c r="BI737" i="1"/>
  <c r="AG737" i="1" s="1"/>
  <c r="BI742" i="1"/>
  <c r="AG742" i="1" s="1"/>
  <c r="BI746" i="1"/>
  <c r="AG746" i="1" s="1"/>
  <c r="BI748" i="1"/>
  <c r="AG748" i="1" s="1"/>
  <c r="BI749" i="1"/>
  <c r="AG749" i="1" s="1"/>
  <c r="BI753" i="1"/>
  <c r="AG753" i="1" s="1"/>
  <c r="BI756" i="1"/>
  <c r="AG756" i="1" s="1"/>
  <c r="BI760" i="1"/>
  <c r="AG760" i="1" s="1"/>
  <c r="BI766" i="1"/>
  <c r="AG766" i="1" s="1"/>
  <c r="BI768" i="1"/>
  <c r="AG768" i="1" s="1"/>
  <c r="BI769" i="1"/>
  <c r="AG769" i="1" s="1"/>
  <c r="BI770" i="1"/>
  <c r="AG770" i="1" s="1"/>
  <c r="BI772" i="1"/>
  <c r="AG772" i="1" s="1"/>
  <c r="BI774" i="1"/>
  <c r="AG774" i="1" s="1"/>
  <c r="BI778" i="1"/>
  <c r="AG778" i="1" s="1"/>
  <c r="BI780" i="1"/>
  <c r="AG780" i="1" s="1"/>
  <c r="BI781" i="1"/>
  <c r="AG781" i="1" s="1"/>
  <c r="BI782" i="1"/>
  <c r="AG782" i="1" s="1"/>
  <c r="BI784" i="1"/>
  <c r="AG784" i="1" s="1"/>
  <c r="BI790" i="1"/>
  <c r="AG790" i="1" s="1"/>
  <c r="BI792" i="1"/>
  <c r="AG792" i="1" s="1"/>
  <c r="BI794" i="1"/>
  <c r="AG794" i="1" s="1"/>
  <c r="BI797" i="1"/>
  <c r="AG797" i="1" s="1"/>
  <c r="BI802" i="1"/>
  <c r="AG802" i="1" s="1"/>
  <c r="BI805" i="1"/>
  <c r="AG805" i="1" s="1"/>
  <c r="BI806" i="1"/>
  <c r="AG806" i="1" s="1"/>
  <c r="BI817" i="1"/>
  <c r="AG817" i="1" s="1"/>
  <c r="BI822" i="1"/>
  <c r="AG822" i="1" s="1"/>
  <c r="BI826" i="1"/>
  <c r="AG826" i="1" s="1"/>
  <c r="BI834" i="1"/>
  <c r="AG834" i="1" s="1"/>
  <c r="BI836" i="1"/>
  <c r="AG836" i="1" s="1"/>
  <c r="BI838" i="1"/>
  <c r="AG838" i="1" s="1"/>
  <c r="BI842" i="1"/>
  <c r="AG842" i="1" s="1"/>
  <c r="BI845" i="1"/>
  <c r="AG845" i="1" s="1"/>
  <c r="BI846" i="1"/>
  <c r="AG846" i="1" s="1"/>
  <c r="BI848" i="1"/>
  <c r="AG848" i="1" s="1"/>
  <c r="BI852" i="1"/>
  <c r="AG852" i="1" s="1"/>
  <c r="BI853" i="1"/>
  <c r="AG853" i="1" s="1"/>
  <c r="BI856" i="1"/>
  <c r="AG856" i="1" s="1"/>
  <c r="BI860" i="1"/>
  <c r="AG860" i="1" s="1"/>
  <c r="BI862" i="1"/>
  <c r="AG862" i="1" s="1"/>
  <c r="BI864" i="1"/>
  <c r="AG864" i="1" s="1"/>
  <c r="BI865" i="1"/>
  <c r="AG865" i="1" s="1"/>
  <c r="BI868" i="1"/>
  <c r="AG868" i="1" s="1"/>
  <c r="BI869" i="1"/>
  <c r="AG869" i="1" s="1"/>
  <c r="BI870" i="1"/>
  <c r="AG870" i="1" s="1"/>
  <c r="BI872" i="1"/>
  <c r="AG872" i="1" s="1"/>
  <c r="BI873" i="1"/>
  <c r="AG873" i="1" s="1"/>
  <c r="BI876" i="1"/>
  <c r="AG876" i="1" s="1"/>
  <c r="BI877" i="1"/>
  <c r="AG877" i="1" s="1"/>
  <c r="BI878" i="1"/>
  <c r="AG878" i="1" s="1"/>
  <c r="BI881" i="1"/>
  <c r="AG881" i="1" s="1"/>
  <c r="BI885" i="1"/>
  <c r="AG885" i="1" s="1"/>
  <c r="BI886" i="1"/>
  <c r="AG886" i="1" s="1"/>
  <c r="BI892" i="1"/>
  <c r="AG892" i="1" s="1"/>
  <c r="BI893" i="1"/>
  <c r="AG893" i="1" s="1"/>
  <c r="BI898" i="1"/>
  <c r="AG898" i="1" s="1"/>
  <c r="BI901" i="1"/>
  <c r="AG901" i="1" s="1"/>
  <c r="BI904" i="1"/>
  <c r="AG904" i="1" s="1"/>
  <c r="BI909" i="1"/>
  <c r="AG909" i="1" s="1"/>
  <c r="BI914" i="1"/>
  <c r="AG914" i="1" s="1"/>
  <c r="BI916" i="1"/>
  <c r="AG916" i="1" s="1"/>
  <c r="BI917" i="1"/>
  <c r="AG917" i="1" s="1"/>
  <c r="BI920" i="1"/>
  <c r="AG920" i="1" s="1"/>
  <c r="BI924" i="1"/>
  <c r="AG924" i="1" s="1"/>
  <c r="BI928" i="1"/>
  <c r="AG928" i="1" s="1"/>
  <c r="BI929" i="1"/>
  <c r="AG929" i="1" s="1"/>
  <c r="BI936" i="1"/>
  <c r="AG936" i="1" s="1"/>
  <c r="BI937" i="1"/>
  <c r="AG937" i="1" s="1"/>
  <c r="BI942" i="1"/>
  <c r="AG942" i="1" s="1"/>
  <c r="BI944" i="1"/>
  <c r="AG944" i="1" s="1"/>
  <c r="BI945" i="1"/>
  <c r="AG945" i="1" s="1"/>
  <c r="BI948" i="1"/>
  <c r="AG948" i="1" s="1"/>
  <c r="BI956" i="1"/>
  <c r="AG956" i="1" s="1"/>
  <c r="BI957" i="1"/>
  <c r="AG957" i="1" s="1"/>
  <c r="BI964" i="1"/>
  <c r="AG964" i="1" s="1"/>
  <c r="BI965" i="1"/>
  <c r="AG965" i="1" s="1"/>
  <c r="BI966" i="1"/>
  <c r="AG966" i="1" s="1"/>
  <c r="BI973" i="1"/>
  <c r="AG973" i="1" s="1"/>
  <c r="BI976" i="1"/>
  <c r="AG976" i="1" s="1"/>
  <c r="BI977" i="1"/>
  <c r="AG977" i="1" s="1"/>
  <c r="BI982" i="1"/>
  <c r="AG982" i="1" s="1"/>
  <c r="BI985" i="1"/>
  <c r="AG985" i="1" s="1"/>
  <c r="BI989" i="1"/>
  <c r="AG989" i="1" s="1"/>
  <c r="BI990" i="1"/>
  <c r="AG990" i="1" s="1"/>
  <c r="BI993" i="1"/>
  <c r="AG993" i="1" s="1"/>
  <c r="BI998" i="1"/>
  <c r="AG998" i="1" s="1"/>
  <c r="BI1000" i="1"/>
  <c r="AG1000" i="1" s="1"/>
  <c r="BI1001" i="1"/>
  <c r="AG1001" i="1" s="1"/>
  <c r="BI1002" i="1"/>
  <c r="AG1002" i="1" s="1"/>
  <c r="BI1004" i="1"/>
  <c r="AG1004" i="1" s="1"/>
  <c r="BI1005" i="1"/>
  <c r="AG1005" i="1" s="1"/>
  <c r="BI1008" i="1"/>
  <c r="AG1008" i="1" s="1"/>
  <c r="BI1013" i="1"/>
  <c r="AG1013" i="1" s="1"/>
  <c r="BI1017" i="1"/>
  <c r="AG1017" i="1" s="1"/>
  <c r="BI1020" i="1"/>
  <c r="AG1020" i="1" s="1"/>
  <c r="BI1021" i="1"/>
  <c r="AG1021" i="1" s="1"/>
  <c r="BI1026" i="1"/>
  <c r="AG1026" i="1" s="1"/>
  <c r="BI1029" i="1"/>
  <c r="AG1029" i="1" s="1"/>
  <c r="BI1034" i="1"/>
  <c r="AG1034" i="1" s="1"/>
  <c r="BI1036" i="1"/>
  <c r="AG1036" i="1" s="1"/>
  <c r="BI1037" i="1"/>
  <c r="AG1037" i="1" s="1"/>
  <c r="BI1038" i="1"/>
  <c r="AG1038" i="1" s="1"/>
  <c r="BI1040" i="1"/>
  <c r="AG1040" i="1" s="1"/>
  <c r="BI1041" i="1"/>
  <c r="AG1041" i="1" s="1"/>
  <c r="BI1043" i="1"/>
  <c r="AG1043" i="1" s="1"/>
  <c r="BI1049" i="1"/>
  <c r="AG1049" i="1" s="1"/>
  <c r="BI1053" i="1"/>
  <c r="AG1053" i="1" s="1"/>
  <c r="BI1061" i="1"/>
  <c r="AG1061" i="1" s="1"/>
  <c r="BI1064" i="1"/>
  <c r="AG1064" i="1" s="1"/>
  <c r="BI1065" i="1"/>
  <c r="AG1065" i="1" s="1"/>
  <c r="BI1066" i="1"/>
  <c r="AG1066" i="1" s="1"/>
  <c r="BI1069" i="1"/>
  <c r="AG1069" i="1" s="1"/>
  <c r="BI1070" i="1"/>
  <c r="AG1070" i="1" s="1"/>
  <c r="BI1073" i="1"/>
  <c r="AG1073" i="1" s="1"/>
  <c r="BI1074" i="1"/>
  <c r="AG1074" i="1" s="1"/>
  <c r="BI1077" i="1"/>
  <c r="AG1077" i="1" s="1"/>
  <c r="BI1080" i="1"/>
  <c r="AG1080" i="1" s="1"/>
  <c r="BI1081" i="1"/>
  <c r="AG1081" i="1" s="1"/>
  <c r="BI1082" i="1"/>
  <c r="AG1082" i="1" s="1"/>
  <c r="BI1084" i="1"/>
  <c r="AG1084" i="1" s="1"/>
  <c r="BI1085" i="1"/>
  <c r="AG1085" i="1" s="1"/>
  <c r="BI1086" i="1"/>
  <c r="AG1086" i="1" s="1"/>
  <c r="BI1088" i="1"/>
  <c r="AG1088" i="1" s="1"/>
  <c r="BI1089" i="1"/>
  <c r="AG1089" i="1" s="1"/>
  <c r="BI1090" i="1"/>
  <c r="AG1090" i="1" s="1"/>
  <c r="BI1093" i="1"/>
  <c r="AG1093" i="1" s="1"/>
  <c r="BI1096" i="1"/>
  <c r="AG1096" i="1" s="1"/>
  <c r="BI1097" i="1"/>
  <c r="AG1097" i="1" s="1"/>
  <c r="BI1104" i="1"/>
  <c r="AG1104" i="1" s="1"/>
  <c r="BI1109" i="1"/>
  <c r="AG1109" i="1" s="1"/>
  <c r="BI1110" i="1"/>
  <c r="AG1110" i="1" s="1"/>
  <c r="BI1112" i="1"/>
  <c r="AG1112" i="1" s="1"/>
  <c r="BI1113" i="1"/>
  <c r="AG1113" i="1" s="1"/>
  <c r="BI1114" i="1"/>
  <c r="AG1114" i="1" s="1"/>
  <c r="BI1117" i="1"/>
  <c r="AG1117" i="1" s="1"/>
  <c r="BI1121" i="1"/>
  <c r="AG1121" i="1" s="1"/>
  <c r="BI1122" i="1"/>
  <c r="AG1122" i="1" s="1"/>
  <c r="BI1124" i="1"/>
  <c r="AG1124" i="1" s="1"/>
  <c r="BI1125" i="1"/>
  <c r="AG1125" i="1" s="1"/>
  <c r="BI1128" i="1"/>
  <c r="AG1128" i="1" s="1"/>
  <c r="BI1132" i="1"/>
  <c r="AG1132" i="1" s="1"/>
  <c r="BI1133" i="1"/>
  <c r="AG1133" i="1" s="1"/>
  <c r="BI1134" i="1"/>
  <c r="AG1134" i="1" s="1"/>
  <c r="BI1136" i="1"/>
  <c r="AG1136" i="1" s="1"/>
  <c r="BI1137" i="1"/>
  <c r="AG1137" i="1" s="1"/>
  <c r="BI1142" i="1"/>
  <c r="AG1142" i="1" s="1"/>
  <c r="BI1145" i="1"/>
  <c r="AG1145" i="1" s="1"/>
  <c r="BI1146" i="1"/>
  <c r="AG1146" i="1" s="1"/>
  <c r="BI1149" i="1"/>
  <c r="AG1149" i="1" s="1"/>
  <c r="BI1152" i="1"/>
  <c r="AG1152" i="1" s="1"/>
  <c r="BI1153" i="1"/>
  <c r="AG1153" i="1" s="1"/>
  <c r="BI1154" i="1"/>
  <c r="AG1154" i="1" s="1"/>
  <c r="BI1156" i="1"/>
  <c r="AG1156" i="1" s="1"/>
  <c r="BI1157" i="1"/>
  <c r="AG1157" i="1" s="1"/>
  <c r="BI1158" i="1"/>
  <c r="AG1158" i="1" s="1"/>
  <c r="BI1160" i="1"/>
  <c r="AG1160" i="1" s="1"/>
  <c r="BI1162" i="1"/>
  <c r="AG1162" i="1" s="1"/>
  <c r="BI1165" i="1"/>
  <c r="AG1165" i="1" s="1"/>
  <c r="BI1166" i="1"/>
  <c r="AG1166" i="1" s="1"/>
  <c r="BI1168" i="1"/>
  <c r="AG1168" i="1" s="1"/>
  <c r="BI1176" i="1"/>
  <c r="AG1176" i="1" s="1"/>
  <c r="BI1178" i="1"/>
  <c r="AG1178" i="1" s="1"/>
  <c r="BI1184" i="1"/>
  <c r="AG1184" i="1" s="1"/>
  <c r="BI1190" i="1"/>
  <c r="AG1190" i="1" s="1"/>
  <c r="BI1192" i="1"/>
  <c r="AG1192" i="1" s="1"/>
  <c r="BI1193" i="1"/>
  <c r="AG1193" i="1" s="1"/>
  <c r="BI1196" i="1"/>
  <c r="AG1196" i="1" s="1"/>
  <c r="BI1197" i="1"/>
  <c r="AG1197" i="1" s="1"/>
  <c r="BI1198" i="1"/>
  <c r="AG1198" i="1" s="1"/>
  <c r="BI1201" i="1"/>
  <c r="AG1201" i="1" s="1"/>
  <c r="BI1202" i="1"/>
  <c r="AG1202" i="1" s="1"/>
  <c r="BI1205" i="1"/>
  <c r="AG1205" i="1" s="1"/>
  <c r="BI1206" i="1"/>
  <c r="AG1206" i="1" s="1"/>
  <c r="BI1208" i="1"/>
  <c r="AG1208" i="1" s="1"/>
  <c r="BI1209" i="1"/>
  <c r="AG1209" i="1" s="1"/>
  <c r="BI1213" i="1"/>
  <c r="AG1213" i="1" s="1"/>
  <c r="BI1214" i="1"/>
  <c r="AG1214" i="1" s="1"/>
  <c r="BI1216" i="1"/>
  <c r="AG1216" i="1" s="1"/>
  <c r="BI1217" i="1"/>
  <c r="AG1217" i="1" s="1"/>
  <c r="BI1218" i="1"/>
  <c r="AG1218" i="1" s="1"/>
  <c r="BI1221" i="1"/>
  <c r="AG1221" i="1" s="1"/>
  <c r="BI1222" i="1"/>
  <c r="AG1222" i="1" s="1"/>
  <c r="BI311" i="1"/>
  <c r="AG311" i="1" s="1"/>
  <c r="BI315" i="1"/>
  <c r="AG315" i="1" s="1"/>
  <c r="BI343" i="1"/>
  <c r="AG343" i="1" s="1"/>
  <c r="BI351" i="1"/>
  <c r="AG351" i="1" s="1"/>
  <c r="BI375" i="1"/>
  <c r="AG375" i="1" s="1"/>
  <c r="BI387" i="1"/>
  <c r="AG387" i="1" s="1"/>
  <c r="BI407" i="1"/>
  <c r="AG407" i="1" s="1"/>
  <c r="BI423" i="1"/>
  <c r="AG423" i="1" s="1"/>
  <c r="BI439" i="1"/>
  <c r="AG439" i="1" s="1"/>
  <c r="BI459" i="1"/>
  <c r="AG459" i="1" s="1"/>
  <c r="BI471" i="1"/>
  <c r="AG471" i="1" s="1"/>
  <c r="BI476" i="1"/>
  <c r="AG476" i="1" s="1"/>
  <c r="BI494" i="1"/>
  <c r="AG494" i="1" s="1"/>
  <c r="BI495" i="1"/>
  <c r="AG495" i="1" s="1"/>
  <c r="BI503" i="1"/>
  <c r="AG503" i="1" s="1"/>
  <c r="BI508" i="1"/>
  <c r="AG508" i="1" s="1"/>
  <c r="BI526" i="1"/>
  <c r="AG526" i="1" s="1"/>
  <c r="BI531" i="1"/>
  <c r="AG531" i="1" s="1"/>
  <c r="BI535" i="1"/>
  <c r="AG535" i="1" s="1"/>
  <c r="BI540" i="1"/>
  <c r="AG540" i="1" s="1"/>
  <c r="BI563" i="1"/>
  <c r="AG563" i="1" s="1"/>
  <c r="BI573" i="1"/>
  <c r="AG573" i="1" s="1"/>
  <c r="BI583" i="1"/>
  <c r="AG583" i="1" s="1"/>
  <c r="BI588" i="1"/>
  <c r="AG588" i="1" s="1"/>
  <c r="BI603" i="1"/>
  <c r="AG603" i="1" s="1"/>
  <c r="BI611" i="1"/>
  <c r="AG611" i="1" s="1"/>
  <c r="BI616" i="1"/>
  <c r="AG616" i="1" s="1"/>
  <c r="BI632" i="1"/>
  <c r="AG632" i="1" s="1"/>
  <c r="BI638" i="1"/>
  <c r="AG638" i="1" s="1"/>
  <c r="BI643" i="1"/>
  <c r="AG643" i="1" s="1"/>
  <c r="BI651" i="1"/>
  <c r="AG651" i="1" s="1"/>
  <c r="BI655" i="1"/>
  <c r="AG655" i="1" s="1"/>
  <c r="BI660" i="1"/>
  <c r="AG660" i="1" s="1"/>
  <c r="BI667" i="1"/>
  <c r="AG667" i="1" s="1"/>
  <c r="BI675" i="1"/>
  <c r="AG675" i="1" s="1"/>
  <c r="BI677" i="1"/>
  <c r="AG677" i="1" s="1"/>
  <c r="BI679" i="1"/>
  <c r="AG679" i="1" s="1"/>
  <c r="BI683" i="1"/>
  <c r="AG683" i="1" s="1"/>
  <c r="BI690" i="1"/>
  <c r="AG690" i="1" s="1"/>
  <c r="BI691" i="1"/>
  <c r="AG691" i="1" s="1"/>
  <c r="BI693" i="1"/>
  <c r="AG693" i="1" s="1"/>
  <c r="BI695" i="1"/>
  <c r="AG695" i="1" s="1"/>
  <c r="BI706" i="1"/>
  <c r="AG706" i="1" s="1"/>
  <c r="BI707" i="1"/>
  <c r="AG707" i="1" s="1"/>
  <c r="BI708" i="1"/>
  <c r="AG708" i="1" s="1"/>
  <c r="BI715" i="1"/>
  <c r="AG715" i="1" s="1"/>
  <c r="BI716" i="1"/>
  <c r="AG716" i="1" s="1"/>
  <c r="BI723" i="1"/>
  <c r="AG723" i="1" s="1"/>
  <c r="BI726" i="1"/>
  <c r="AG726" i="1" s="1"/>
  <c r="BI731" i="1"/>
  <c r="AG731" i="1" s="1"/>
  <c r="BI736" i="1"/>
  <c r="AG736" i="1" s="1"/>
  <c r="BI739" i="1"/>
  <c r="AG739" i="1" s="1"/>
  <c r="BI744" i="1"/>
  <c r="AG744" i="1" s="1"/>
  <c r="BI747" i="1"/>
  <c r="AG747" i="1" s="1"/>
  <c r="BI750" i="1"/>
  <c r="AG750" i="1" s="1"/>
  <c r="BI751" i="1"/>
  <c r="AG751" i="1" s="1"/>
  <c r="BI755" i="1"/>
  <c r="AG755" i="1" s="1"/>
  <c r="BI762" i="1"/>
  <c r="AG762" i="1" s="1"/>
  <c r="BI763" i="1"/>
  <c r="AG763" i="1" s="1"/>
  <c r="BI765" i="1"/>
  <c r="AG765" i="1" s="1"/>
  <c r="BI767" i="1"/>
  <c r="AG767" i="1" s="1"/>
  <c r="BI771" i="1"/>
  <c r="AG771" i="1" s="1"/>
  <c r="BI776" i="1"/>
  <c r="AG776" i="1" s="1"/>
  <c r="BI779" i="1"/>
  <c r="AG779" i="1" s="1"/>
  <c r="BI787" i="1"/>
  <c r="AG787" i="1" s="1"/>
  <c r="BI795" i="1"/>
  <c r="AG795" i="1" s="1"/>
  <c r="BI800" i="1"/>
  <c r="AG800" i="1" s="1"/>
  <c r="BI803" i="1"/>
  <c r="AG803" i="1" s="1"/>
  <c r="BI811" i="1"/>
  <c r="AG811" i="1" s="1"/>
  <c r="BI814" i="1"/>
  <c r="AG814" i="1" s="1"/>
  <c r="BI815" i="1"/>
  <c r="AG815" i="1" s="1"/>
  <c r="BI819" i="1"/>
  <c r="AG819" i="1" s="1"/>
  <c r="BI827" i="1"/>
  <c r="AG827" i="1" s="1"/>
  <c r="BI830" i="1"/>
  <c r="AG830" i="1" s="1"/>
  <c r="BI835" i="1"/>
  <c r="AG835" i="1" s="1"/>
  <c r="BI843" i="1"/>
  <c r="AG843" i="1" s="1"/>
  <c r="BI851" i="1"/>
  <c r="AG851" i="1" s="1"/>
  <c r="BI855" i="1"/>
  <c r="AG855" i="1" s="1"/>
  <c r="BI866" i="1"/>
  <c r="AG866" i="1" s="1"/>
  <c r="BI867" i="1"/>
  <c r="AG867" i="1" s="1"/>
  <c r="BI875" i="1"/>
  <c r="AG875" i="1" s="1"/>
  <c r="BI879" i="1"/>
  <c r="AG879" i="1" s="1"/>
  <c r="BI882" i="1"/>
  <c r="AG882" i="1" s="1"/>
  <c r="BI891" i="1"/>
  <c r="AG891" i="1" s="1"/>
  <c r="BI896" i="1"/>
  <c r="AG896" i="1" s="1"/>
  <c r="BI899" i="1"/>
  <c r="AG899" i="1" s="1"/>
  <c r="BI907" i="1"/>
  <c r="AG907" i="1" s="1"/>
  <c r="BI908" i="1"/>
  <c r="AG908" i="1" s="1"/>
  <c r="BI915" i="1"/>
  <c r="AG915" i="1" s="1"/>
  <c r="BI923" i="1"/>
  <c r="AG923" i="1" s="1"/>
  <c r="BI925" i="1"/>
  <c r="AG925" i="1" s="1"/>
  <c r="BI927" i="1"/>
  <c r="AG927" i="1" s="1"/>
  <c r="BI930" i="1"/>
  <c r="AG930" i="1" s="1"/>
  <c r="BI931" i="1"/>
  <c r="AG931" i="1" s="1"/>
  <c r="BI933" i="1"/>
  <c r="AG933" i="1" s="1"/>
  <c r="BI938" i="1"/>
  <c r="AG938" i="1" s="1"/>
  <c r="BI939" i="1"/>
  <c r="AG939" i="1" s="1"/>
  <c r="BI941" i="1"/>
  <c r="AG941" i="1" s="1"/>
  <c r="BI943" i="1"/>
  <c r="AG943" i="1" s="1"/>
  <c r="BI947" i="1"/>
  <c r="AG947" i="1" s="1"/>
  <c r="BI954" i="1"/>
  <c r="AG954" i="1" s="1"/>
  <c r="BI955" i="1"/>
  <c r="AG955" i="1" s="1"/>
  <c r="BI959" i="1"/>
  <c r="AG959" i="1" s="1"/>
  <c r="BI963" i="1"/>
  <c r="AG963" i="1" s="1"/>
  <c r="BI971" i="1"/>
  <c r="AG971" i="1" s="1"/>
  <c r="BI974" i="1"/>
  <c r="AG974" i="1" s="1"/>
  <c r="BI979" i="1"/>
  <c r="AG979" i="1" s="1"/>
  <c r="BI987" i="1"/>
  <c r="AG987" i="1" s="1"/>
  <c r="BI995" i="1"/>
  <c r="AG995" i="1" s="1"/>
  <c r="BI996" i="1"/>
  <c r="AG996" i="1" s="1"/>
  <c r="BI999" i="1"/>
  <c r="AG999" i="1" s="1"/>
  <c r="BI1003" i="1"/>
  <c r="AG1003" i="1" s="1"/>
  <c r="BI1006" i="1"/>
  <c r="AG1006" i="1" s="1"/>
  <c r="BI1010" i="1"/>
  <c r="AG1010" i="1" s="1"/>
  <c r="BI1011" i="1"/>
  <c r="AG1011" i="1" s="1"/>
  <c r="BI1015" i="1"/>
  <c r="AG1015" i="1" s="1"/>
  <c r="BI1018" i="1"/>
  <c r="AG1018" i="1" s="1"/>
  <c r="BI1019" i="1"/>
  <c r="AG1019" i="1" s="1"/>
  <c r="BI1027" i="1"/>
  <c r="AG1027" i="1" s="1"/>
  <c r="BI1032" i="1"/>
  <c r="AG1032" i="1" s="1"/>
  <c r="BI1035" i="1"/>
  <c r="AG1035" i="1" s="1"/>
  <c r="BI1039" i="1"/>
  <c r="AG1039" i="1" s="1"/>
  <c r="BI1048" i="1"/>
  <c r="AG1048" i="1" s="1"/>
  <c r="BI1050" i="1"/>
  <c r="AG1050" i="1" s="1"/>
  <c r="BI1051" i="1"/>
  <c r="AG1051" i="1" s="1"/>
  <c r="BI1056" i="1"/>
  <c r="AG1056" i="1" s="1"/>
  <c r="BI1059" i="1"/>
  <c r="AG1059" i="1" s="1"/>
  <c r="BI1067" i="1"/>
  <c r="AG1067" i="1" s="1"/>
  <c r="BI1075" i="1"/>
  <c r="AG1075" i="1" s="1"/>
  <c r="BI1078" i="1"/>
  <c r="AG1078" i="1" s="1"/>
  <c r="BI1083" i="1"/>
  <c r="AG1083" i="1" s="1"/>
  <c r="BI1091" i="1"/>
  <c r="AG1091" i="1" s="1"/>
  <c r="BI1094" i="1"/>
  <c r="AG1094" i="1" s="1"/>
  <c r="BI1095" i="1"/>
  <c r="AG1095" i="1" s="1"/>
  <c r="BI1099" i="1"/>
  <c r="AG1099" i="1" s="1"/>
  <c r="BI1100" i="1"/>
  <c r="AG1100" i="1" s="1"/>
  <c r="BI1107" i="1"/>
  <c r="AG1107" i="1" s="1"/>
  <c r="BI1115" i="1"/>
  <c r="AG1115" i="1" s="1"/>
  <c r="BI1116" i="1"/>
  <c r="AG1116" i="1" s="1"/>
  <c r="BI1123" i="1"/>
  <c r="AG1123" i="1" s="1"/>
  <c r="BI1127" i="1"/>
  <c r="AG1127" i="1" s="1"/>
  <c r="BI1139" i="1"/>
  <c r="AG1139" i="1" s="1"/>
  <c r="BI1141" i="1"/>
  <c r="AG1141" i="1" s="1"/>
  <c r="BI1147" i="1"/>
  <c r="AG1147" i="1" s="1"/>
  <c r="BI1151" i="1"/>
  <c r="AG1151" i="1" s="1"/>
  <c r="BI1155" i="1"/>
  <c r="AG1155" i="1" s="1"/>
  <c r="BI1159" i="1"/>
  <c r="AG1159" i="1" s="1"/>
  <c r="BI1163" i="1"/>
  <c r="AG1163" i="1" s="1"/>
  <c r="BI1167" i="1"/>
  <c r="AG1167" i="1" s="1"/>
  <c r="BI1171" i="1"/>
  <c r="AG1171" i="1" s="1"/>
  <c r="BI1172" i="1"/>
  <c r="AG1172" i="1" s="1"/>
  <c r="BI1173" i="1"/>
  <c r="AG1173" i="1" s="1"/>
  <c r="BI1175" i="1"/>
  <c r="AG1175" i="1" s="1"/>
  <c r="BI1179" i="1"/>
  <c r="AG1179" i="1" s="1"/>
  <c r="BI1180" i="1"/>
  <c r="AG1180" i="1" s="1"/>
  <c r="BI1181" i="1"/>
  <c r="AG1181" i="1" s="1"/>
  <c r="BI1183" i="1"/>
  <c r="AG1183" i="1" s="1"/>
  <c r="BI1187" i="1"/>
  <c r="AG1187" i="1" s="1"/>
  <c r="BI1188" i="1"/>
  <c r="AG1188" i="1" s="1"/>
  <c r="BI1189" i="1"/>
  <c r="AG1189" i="1" s="1"/>
  <c r="BI1195" i="1"/>
  <c r="AG1195" i="1" s="1"/>
  <c r="BI1203" i="1"/>
  <c r="AG1203" i="1" s="1"/>
  <c r="BI1204" i="1"/>
  <c r="AG1204" i="1" s="1"/>
  <c r="BI1207" i="1"/>
  <c r="AG1207" i="1" s="1"/>
  <c r="BI1211" i="1"/>
  <c r="AG1211" i="1" s="1"/>
  <c r="BI1219" i="1"/>
  <c r="AG1219" i="1" s="1"/>
  <c r="BI303" i="1"/>
  <c r="AG303" i="1" s="1"/>
  <c r="BI307" i="1"/>
  <c r="AG307" i="1" s="1"/>
  <c r="BI319" i="1"/>
  <c r="AG319" i="1" s="1"/>
  <c r="BI323" i="1"/>
  <c r="AG323" i="1" s="1"/>
  <c r="BI327" i="1"/>
  <c r="AG327" i="1" s="1"/>
  <c r="BI331" i="1"/>
  <c r="AG331" i="1" s="1"/>
  <c r="BI335" i="1"/>
  <c r="AG335" i="1" s="1"/>
  <c r="BI339" i="1"/>
  <c r="AG339" i="1" s="1"/>
  <c r="BI347" i="1"/>
  <c r="AG347" i="1" s="1"/>
  <c r="BI355" i="1"/>
  <c r="AG355" i="1" s="1"/>
  <c r="BI359" i="1"/>
  <c r="AG359" i="1" s="1"/>
  <c r="BI363" i="1"/>
  <c r="AG363" i="1" s="1"/>
  <c r="BI367" i="1"/>
  <c r="AG367" i="1" s="1"/>
  <c r="BI371" i="1"/>
  <c r="AG371" i="1" s="1"/>
  <c r="BI379" i="1"/>
  <c r="AG379" i="1" s="1"/>
  <c r="BI383" i="1"/>
  <c r="AG383" i="1" s="1"/>
  <c r="BI391" i="1"/>
  <c r="AG391" i="1" s="1"/>
  <c r="BI395" i="1"/>
  <c r="AG395" i="1" s="1"/>
  <c r="BI399" i="1"/>
  <c r="AG399" i="1" s="1"/>
  <c r="BI403" i="1"/>
  <c r="AG403" i="1" s="1"/>
  <c r="BI411" i="1"/>
  <c r="AG411" i="1" s="1"/>
  <c r="BI415" i="1"/>
  <c r="AG415" i="1" s="1"/>
  <c r="BI419" i="1"/>
  <c r="AG419" i="1" s="1"/>
  <c r="BI427" i="1"/>
  <c r="AG427" i="1" s="1"/>
  <c r="BI431" i="1"/>
  <c r="AG431" i="1" s="1"/>
  <c r="BI435" i="1"/>
  <c r="AG435" i="1" s="1"/>
  <c r="BI443" i="1"/>
  <c r="AG443" i="1" s="1"/>
  <c r="BI447" i="1"/>
  <c r="AG447" i="1" s="1"/>
  <c r="BI451" i="1"/>
  <c r="AG451" i="1" s="1"/>
  <c r="BI455" i="1"/>
  <c r="AG455" i="1" s="1"/>
  <c r="BI463" i="1"/>
  <c r="AG463" i="1" s="1"/>
  <c r="BI467" i="1"/>
  <c r="AG467" i="1" s="1"/>
  <c r="BI475" i="1"/>
  <c r="AG475" i="1" s="1"/>
  <c r="BI479" i="1"/>
  <c r="AG479" i="1" s="1"/>
  <c r="BI483" i="1"/>
  <c r="AG483" i="1" s="1"/>
  <c r="BI487" i="1"/>
  <c r="AG487" i="1" s="1"/>
  <c r="BI491" i="1"/>
  <c r="AG491" i="1" s="1"/>
  <c r="BI499" i="1"/>
  <c r="AG499" i="1" s="1"/>
  <c r="BI507" i="1"/>
  <c r="AG507" i="1" s="1"/>
  <c r="BI511" i="1"/>
  <c r="AG511" i="1" s="1"/>
  <c r="BI515" i="1"/>
  <c r="AG515" i="1" s="1"/>
  <c r="BI519" i="1"/>
  <c r="AG519" i="1" s="1"/>
  <c r="BI523" i="1"/>
  <c r="AG523" i="1" s="1"/>
  <c r="BI527" i="1"/>
  <c r="AG527" i="1" s="1"/>
  <c r="BI539" i="1"/>
  <c r="AG539" i="1" s="1"/>
  <c r="BI543" i="1"/>
  <c r="AG543" i="1" s="1"/>
  <c r="BI547" i="1"/>
  <c r="AG547" i="1" s="1"/>
  <c r="BI551" i="1"/>
  <c r="AG551" i="1" s="1"/>
  <c r="BI555" i="1"/>
  <c r="AG555" i="1" s="1"/>
  <c r="BI556" i="1"/>
  <c r="AG556" i="1" s="1"/>
  <c r="BI559" i="1"/>
  <c r="AG559" i="1" s="1"/>
  <c r="BI567" i="1"/>
  <c r="AG567" i="1" s="1"/>
  <c r="BI568" i="1"/>
  <c r="AG568" i="1" s="1"/>
  <c r="BI571" i="1"/>
  <c r="AG571" i="1" s="1"/>
  <c r="BI575" i="1"/>
  <c r="AG575" i="1" s="1"/>
  <c r="BI576" i="1"/>
  <c r="AG576" i="1" s="1"/>
  <c r="BI579" i="1"/>
  <c r="AG579" i="1" s="1"/>
  <c r="BI587" i="1"/>
  <c r="AG587" i="1" s="1"/>
  <c r="BI591" i="1"/>
  <c r="AG591" i="1" s="1"/>
  <c r="BI592" i="1"/>
  <c r="AG592" i="1" s="1"/>
  <c r="BI595" i="1"/>
  <c r="AG595" i="1" s="1"/>
  <c r="BI599" i="1"/>
  <c r="AG599" i="1" s="1"/>
  <c r="BI607" i="1"/>
  <c r="AG607" i="1" s="1"/>
  <c r="BI608" i="1"/>
  <c r="AG608" i="1" s="1"/>
  <c r="BI615" i="1"/>
  <c r="AG615" i="1" s="1"/>
  <c r="BI619" i="1"/>
  <c r="AG619" i="1" s="1"/>
  <c r="BI623" i="1"/>
  <c r="AG623" i="1" s="1"/>
  <c r="BI627" i="1"/>
  <c r="AG627" i="1" s="1"/>
  <c r="BI631" i="1"/>
  <c r="AG631" i="1" s="1"/>
  <c r="BI635" i="1"/>
  <c r="AG635" i="1" s="1"/>
  <c r="BI639" i="1"/>
  <c r="AG639" i="1" s="1"/>
  <c r="BI647" i="1"/>
  <c r="AG647" i="1" s="1"/>
  <c r="BI648" i="1"/>
  <c r="AG648" i="1" s="1"/>
  <c r="BI659" i="1"/>
  <c r="AG659" i="1" s="1"/>
  <c r="BI663" i="1"/>
  <c r="AG663" i="1" s="1"/>
  <c r="BI664" i="1"/>
  <c r="AG664" i="1" s="1"/>
  <c r="BI671" i="1"/>
  <c r="AG671" i="1" s="1"/>
  <c r="BI672" i="1"/>
  <c r="AG672" i="1" s="1"/>
  <c r="BI676" i="1"/>
  <c r="AG676" i="1" s="1"/>
  <c r="BI680" i="1"/>
  <c r="AG680" i="1" s="1"/>
  <c r="BI687" i="1"/>
  <c r="AG687" i="1" s="1"/>
  <c r="BI688" i="1"/>
  <c r="AG688" i="1" s="1"/>
  <c r="BI696" i="1"/>
  <c r="AG696" i="1" s="1"/>
  <c r="BI699" i="1"/>
  <c r="AG699" i="1" s="1"/>
  <c r="BI703" i="1"/>
  <c r="AG703" i="1" s="1"/>
  <c r="BI704" i="1"/>
  <c r="AG704" i="1" s="1"/>
  <c r="BI711" i="1"/>
  <c r="AG711" i="1" s="1"/>
  <c r="BI719" i="1"/>
  <c r="AG719" i="1" s="1"/>
  <c r="BI720" i="1"/>
  <c r="AG720" i="1" s="1"/>
  <c r="BI724" i="1"/>
  <c r="AG724" i="1" s="1"/>
  <c r="BI727" i="1"/>
  <c r="AG727" i="1" s="1"/>
  <c r="BI735" i="1"/>
  <c r="AG735" i="1" s="1"/>
  <c r="BI740" i="1"/>
  <c r="AG740" i="1" s="1"/>
  <c r="BI743" i="1"/>
  <c r="AG743" i="1" s="1"/>
  <c r="BI752" i="1"/>
  <c r="AG752" i="1" s="1"/>
  <c r="BI759" i="1"/>
  <c r="AG759" i="1" s="1"/>
  <c r="BI764" i="1"/>
  <c r="AG764" i="1" s="1"/>
  <c r="BI775" i="1"/>
  <c r="AG775" i="1" s="1"/>
  <c r="BI783" i="1"/>
  <c r="AG783" i="1" s="1"/>
  <c r="BI788" i="1"/>
  <c r="AG788" i="1" s="1"/>
  <c r="BI791" i="1"/>
  <c r="AG791" i="1" s="1"/>
  <c r="BI796" i="1"/>
  <c r="AG796" i="1" s="1"/>
  <c r="BI799" i="1"/>
  <c r="AG799" i="1" s="1"/>
  <c r="BI804" i="1"/>
  <c r="AG804" i="1" s="1"/>
  <c r="BI807" i="1"/>
  <c r="AG807" i="1" s="1"/>
  <c r="BI812" i="1"/>
  <c r="AG812" i="1" s="1"/>
  <c r="BI816" i="1"/>
  <c r="AG816" i="1" s="1"/>
  <c r="BI820" i="1"/>
  <c r="AG820" i="1" s="1"/>
  <c r="BI823" i="1"/>
  <c r="AG823" i="1" s="1"/>
  <c r="BI824" i="1"/>
  <c r="AG824" i="1" s="1"/>
  <c r="BI831" i="1"/>
  <c r="AG831" i="1" s="1"/>
  <c r="BI832" i="1"/>
  <c r="AG832" i="1" s="1"/>
  <c r="BI839" i="1"/>
  <c r="AG839" i="1" s="1"/>
  <c r="BI840" i="1"/>
  <c r="AG840" i="1" s="1"/>
  <c r="BI844" i="1"/>
  <c r="AG844" i="1" s="1"/>
  <c r="BI847" i="1"/>
  <c r="AG847" i="1" s="1"/>
  <c r="BI859" i="1"/>
  <c r="AG859" i="1" s="1"/>
  <c r="BI863" i="1"/>
  <c r="AG863" i="1" s="1"/>
  <c r="BI871" i="1"/>
  <c r="AG871" i="1" s="1"/>
  <c r="BI880" i="1"/>
  <c r="AG880" i="1" s="1"/>
  <c r="BI883" i="1"/>
  <c r="AG883" i="1" s="1"/>
  <c r="BI884" i="1"/>
  <c r="AG884" i="1" s="1"/>
  <c r="BI887" i="1"/>
  <c r="AG887" i="1" s="1"/>
  <c r="BI888" i="1"/>
  <c r="AG888" i="1" s="1"/>
  <c r="BI895" i="1"/>
  <c r="AG895" i="1" s="1"/>
  <c r="BI903" i="1"/>
  <c r="AG903" i="1" s="1"/>
  <c r="BI911" i="1"/>
  <c r="AG911" i="1" s="1"/>
  <c r="BI912" i="1"/>
  <c r="AG912" i="1" s="1"/>
  <c r="BI919" i="1"/>
  <c r="AG919" i="1" s="1"/>
  <c r="BI932" i="1"/>
  <c r="AG932" i="1" s="1"/>
  <c r="BI935" i="1"/>
  <c r="AG935" i="1" s="1"/>
  <c r="BI940" i="1"/>
  <c r="AG940" i="1" s="1"/>
  <c r="BI951" i="1"/>
  <c r="AG951" i="1" s="1"/>
  <c r="BI952" i="1"/>
  <c r="AG952" i="1" s="1"/>
  <c r="BI960" i="1"/>
  <c r="AG960" i="1" s="1"/>
  <c r="BI967" i="1"/>
  <c r="AG967" i="1" s="1"/>
  <c r="BI972" i="1"/>
  <c r="AG972" i="1" s="1"/>
  <c r="BI975" i="1"/>
  <c r="AG975" i="1" s="1"/>
  <c r="BI980" i="1"/>
  <c r="AG980" i="1" s="1"/>
  <c r="BI983" i="1"/>
  <c r="AG983" i="1" s="1"/>
  <c r="BI984" i="1"/>
  <c r="AG984" i="1" s="1"/>
  <c r="BI991" i="1"/>
  <c r="AG991" i="1" s="1"/>
  <c r="BI992" i="1"/>
  <c r="AG992" i="1" s="1"/>
  <c r="BI1007" i="1"/>
  <c r="AG1007" i="1" s="1"/>
  <c r="BI1012" i="1"/>
  <c r="AG1012" i="1" s="1"/>
  <c r="BI1016" i="1"/>
  <c r="AG1016" i="1" s="1"/>
  <c r="BI1023" i="1"/>
  <c r="AG1023" i="1" s="1"/>
  <c r="BI1024" i="1"/>
  <c r="AG1024" i="1" s="1"/>
  <c r="BI1031" i="1"/>
  <c r="AG1031" i="1" s="1"/>
  <c r="BI1044" i="1"/>
  <c r="AG1044" i="1" s="1"/>
  <c r="BI1047" i="1"/>
  <c r="AG1047" i="1" s="1"/>
  <c r="BI1052" i="1"/>
  <c r="AG1052" i="1" s="1"/>
  <c r="BI1055" i="1"/>
  <c r="AG1055" i="1" s="1"/>
  <c r="BI1060" i="1"/>
  <c r="AG1060" i="1" s="1"/>
  <c r="BI1063" i="1"/>
  <c r="AG1063" i="1" s="1"/>
  <c r="BI1068" i="1"/>
  <c r="AG1068" i="1" s="1"/>
  <c r="BI1071" i="1"/>
  <c r="AG1071" i="1" s="1"/>
  <c r="BI1072" i="1"/>
  <c r="AG1072" i="1" s="1"/>
  <c r="BI1076" i="1"/>
  <c r="AG1076" i="1" s="1"/>
  <c r="BI1079" i="1"/>
  <c r="AG1079" i="1" s="1"/>
  <c r="BI1087" i="1"/>
  <c r="AG1087" i="1" s="1"/>
  <c r="BI1092" i="1"/>
  <c r="AG1092" i="1" s="1"/>
  <c r="BI1103" i="1"/>
  <c r="AG1103" i="1" s="1"/>
  <c r="BI1108" i="1"/>
  <c r="AG1108" i="1" s="1"/>
  <c r="BI1111" i="1"/>
  <c r="AG1111" i="1" s="1"/>
  <c r="BI1118" i="1"/>
  <c r="AG1118" i="1" s="1"/>
  <c r="BI1119" i="1"/>
  <c r="AG1119" i="1" s="1"/>
  <c r="BI1120" i="1"/>
  <c r="AG1120" i="1" s="1"/>
  <c r="BI1126" i="1"/>
  <c r="AG1126" i="1" s="1"/>
  <c r="BI1130" i="1"/>
  <c r="AG1130" i="1" s="1"/>
  <c r="BI1131" i="1"/>
  <c r="AG1131" i="1" s="1"/>
  <c r="BI1135" i="1"/>
  <c r="AG1135" i="1" s="1"/>
  <c r="BI1138" i="1"/>
  <c r="AG1138" i="1" s="1"/>
  <c r="BI1140" i="1"/>
  <c r="AG1140" i="1" s="1"/>
  <c r="BI1143" i="1"/>
  <c r="AG1143" i="1" s="1"/>
  <c r="BI1144" i="1"/>
  <c r="AG1144" i="1" s="1"/>
  <c r="BI1148" i="1"/>
  <c r="AG1148" i="1" s="1"/>
  <c r="BI1150" i="1"/>
  <c r="AG1150" i="1" s="1"/>
  <c r="BI1164" i="1"/>
  <c r="AG1164" i="1" s="1"/>
  <c r="BI1170" i="1"/>
  <c r="AG1170" i="1" s="1"/>
  <c r="BI1182" i="1"/>
  <c r="AG1182" i="1" s="1"/>
  <c r="BI1191" i="1"/>
  <c r="AG1191" i="1" s="1"/>
  <c r="BI1194" i="1"/>
  <c r="AG1194" i="1" s="1"/>
  <c r="BI1199" i="1"/>
  <c r="AG1199" i="1" s="1"/>
  <c r="BI1200" i="1"/>
  <c r="AG1200" i="1" s="1"/>
  <c r="BI1212" i="1"/>
  <c r="AG1212" i="1" s="1"/>
  <c r="BI1215" i="1"/>
  <c r="AG1215" i="1" s="1"/>
  <c r="BI1220" i="1"/>
  <c r="AG1220" i="1" s="1"/>
  <c r="AS4" i="1"/>
  <c r="O1070" i="1"/>
  <c r="O1073" i="1"/>
  <c r="O1078" i="1"/>
  <c r="O1081" i="1"/>
  <c r="O1083" i="1"/>
  <c r="O1086" i="1"/>
  <c r="O1089" i="1"/>
  <c r="AQ1091" i="1"/>
  <c r="O1094" i="1"/>
  <c r="AQ1099" i="1"/>
  <c r="AQ1102" i="1"/>
  <c r="O1107" i="1"/>
  <c r="O1110" i="1"/>
  <c r="O1113" i="1"/>
  <c r="AQ1115" i="1"/>
  <c r="AQ1123" i="1"/>
  <c r="AQ1126" i="1"/>
  <c r="AQ1131" i="1"/>
  <c r="AQ1134" i="1"/>
  <c r="O1134" i="1"/>
  <c r="O1137" i="1"/>
  <c r="O1139" i="1"/>
  <c r="AQ1147" i="1"/>
  <c r="AQ1150" i="1"/>
  <c r="O1151" i="1"/>
  <c r="O1153" i="1"/>
  <c r="O1154" i="1"/>
  <c r="O1159" i="1"/>
  <c r="O1161" i="1"/>
  <c r="O1163" i="1"/>
  <c r="AQ1167" i="1"/>
  <c r="O1169" i="1"/>
  <c r="O1170" i="1"/>
  <c r="AQ1171" i="1"/>
  <c r="O1175" i="1"/>
  <c r="O1178" i="1"/>
  <c r="AQ1179" i="1"/>
  <c r="AQ1182" i="1"/>
  <c r="AQ1183" i="1"/>
  <c r="O1186" i="1"/>
  <c r="AQ1187" i="1"/>
  <c r="AQ1190" i="1"/>
  <c r="O1190" i="1"/>
  <c r="O1191" i="1"/>
  <c r="O1195" i="1"/>
  <c r="O1197" i="1"/>
  <c r="AQ1198" i="1"/>
  <c r="O1198" i="1"/>
  <c r="O1202" i="1"/>
  <c r="AQ1203" i="1"/>
  <c r="O1206" i="1"/>
  <c r="AQ1209" i="1"/>
  <c r="O1209" i="1"/>
  <c r="O1210" i="1"/>
  <c r="AQ1211" i="1"/>
  <c r="O1212" i="1"/>
  <c r="O1214" i="1"/>
  <c r="AQ1215" i="1"/>
  <c r="AQ1217" i="1"/>
  <c r="AQ1219" i="1"/>
  <c r="O1221" i="1"/>
  <c r="O1222" i="1"/>
  <c r="AQ1072" i="1"/>
  <c r="O1075" i="1"/>
  <c r="AQ1087" i="1"/>
  <c r="O1088" i="1"/>
  <c r="O1090" i="1"/>
  <c r="AQ1095" i="1"/>
  <c r="O1095" i="1"/>
  <c r="AQ1096" i="1"/>
  <c r="O1098" i="1"/>
  <c r="O1102" i="1"/>
  <c r="AQ1103" i="1"/>
  <c r="O1103" i="1"/>
  <c r="O1106" i="1"/>
  <c r="AQ1108" i="1"/>
  <c r="AQ1111" i="1"/>
  <c r="O1127" i="1"/>
  <c r="O1132" i="1"/>
  <c r="AQ1136" i="1"/>
  <c r="O1138" i="1"/>
  <c r="O1140" i="1"/>
  <c r="O1148" i="1"/>
  <c r="O1150" i="1"/>
  <c r="O1155" i="1"/>
  <c r="AQ1159" i="1"/>
  <c r="O1167" i="1"/>
  <c r="O1168" i="1"/>
  <c r="O1174" i="1"/>
  <c r="AQ1176" i="1"/>
  <c r="O1179" i="1"/>
  <c r="AQ1180" i="1"/>
  <c r="O1187" i="1"/>
  <c r="AQ1188" i="1"/>
  <c r="AQ1192" i="1"/>
  <c r="O1194" i="1"/>
  <c r="AQ1195" i="1"/>
  <c r="O1196" i="1"/>
  <c r="O1200" i="1"/>
  <c r="O1207" i="1"/>
  <c r="O1208" i="1"/>
  <c r="O1215" i="1"/>
  <c r="O1216" i="1"/>
  <c r="AQ1220" i="1"/>
  <c r="AB1222" i="1"/>
  <c r="Z1222" i="1"/>
  <c r="D1222" i="1"/>
  <c r="AQ1221" i="1"/>
  <c r="AB1221" i="1"/>
  <c r="AL1221" i="1" s="1"/>
  <c r="Z1221" i="1"/>
  <c r="D1221" i="1"/>
  <c r="AB1220" i="1"/>
  <c r="AL1220" i="1" s="1"/>
  <c r="Z1220" i="1"/>
  <c r="D1220" i="1"/>
  <c r="AB1219" i="1"/>
  <c r="AL1219" i="1" s="1"/>
  <c r="Z1219" i="1"/>
  <c r="AP1219" i="1" s="1"/>
  <c r="D1219" i="1"/>
  <c r="AQ1218" i="1"/>
  <c r="AB1218" i="1"/>
  <c r="Z1218" i="1"/>
  <c r="AP1218" i="1" s="1"/>
  <c r="O1218" i="1"/>
  <c r="D1218" i="1"/>
  <c r="AB1217" i="1"/>
  <c r="Z1217" i="1"/>
  <c r="AP1217" i="1" s="1"/>
  <c r="O1217" i="1"/>
  <c r="D1217" i="1"/>
  <c r="AB1216" i="1"/>
  <c r="Z1216" i="1"/>
  <c r="AP1216" i="1" s="1"/>
  <c r="D1216" i="1"/>
  <c r="AB1215" i="1"/>
  <c r="Z1215" i="1"/>
  <c r="AP1215" i="1" s="1"/>
  <c r="D1215" i="1"/>
  <c r="AQ1214" i="1"/>
  <c r="AB1214" i="1"/>
  <c r="AL1214" i="1" s="1"/>
  <c r="Z1214" i="1"/>
  <c r="D1214" i="1"/>
  <c r="AB1213" i="1"/>
  <c r="AQ1213" i="1" s="1"/>
  <c r="Z1213" i="1"/>
  <c r="O1213" i="1"/>
  <c r="D1213" i="1"/>
  <c r="AB1212" i="1"/>
  <c r="AL1212" i="1" s="1"/>
  <c r="Z1212" i="1"/>
  <c r="AP1212" i="1" s="1"/>
  <c r="D1212" i="1"/>
  <c r="AB1211" i="1"/>
  <c r="AL1211" i="1" s="1"/>
  <c r="Z1211" i="1"/>
  <c r="AP1211" i="1" s="1"/>
  <c r="D1211" i="1"/>
  <c r="BI1210" i="1"/>
  <c r="AG1210" i="1" s="1"/>
  <c r="AQ1210" i="1"/>
  <c r="AB1210" i="1"/>
  <c r="Z1210" i="1"/>
  <c r="AP1210" i="1" s="1"/>
  <c r="D1210" i="1"/>
  <c r="AB1209" i="1"/>
  <c r="AL1209" i="1" s="1"/>
  <c r="Z1209" i="1"/>
  <c r="AP1209" i="1" s="1"/>
  <c r="D1209" i="1"/>
  <c r="AB1208" i="1"/>
  <c r="Z1208" i="1"/>
  <c r="AP1208" i="1" s="1"/>
  <c r="D1208" i="1"/>
  <c r="AB1207" i="1"/>
  <c r="AJ1207" i="1" s="1"/>
  <c r="AQ1207" i="1" s="1"/>
  <c r="Z1207" i="1"/>
  <c r="D1207" i="1"/>
  <c r="AB1206" i="1"/>
  <c r="Z1206" i="1"/>
  <c r="AP1206" i="1" s="1"/>
  <c r="D1206" i="1"/>
  <c r="AB1205" i="1"/>
  <c r="Z1205" i="1"/>
  <c r="O1205" i="1"/>
  <c r="D1205" i="1"/>
  <c r="AB1204" i="1"/>
  <c r="Z1204" i="1"/>
  <c r="AP1204" i="1" s="1"/>
  <c r="D1204" i="1"/>
  <c r="AB1203" i="1"/>
  <c r="AL1203" i="1" s="1"/>
  <c r="Z1203" i="1"/>
  <c r="AP1203" i="1" s="1"/>
  <c r="D1203" i="1"/>
  <c r="AQ1202" i="1"/>
  <c r="AB1202" i="1"/>
  <c r="Z1202" i="1"/>
  <c r="AP1202" i="1" s="1"/>
  <c r="D1202" i="1"/>
  <c r="AB1201" i="1"/>
  <c r="AJ1201" i="1" s="1"/>
  <c r="AQ1201" i="1" s="1"/>
  <c r="Z1201" i="1"/>
  <c r="AP1201" i="1" s="1"/>
  <c r="O1201" i="1"/>
  <c r="D1201" i="1"/>
  <c r="AB1200" i="1"/>
  <c r="Z1200" i="1"/>
  <c r="AP1200" i="1" s="1"/>
  <c r="D1200" i="1"/>
  <c r="AB1199" i="1"/>
  <c r="AQ1199" i="1" s="1"/>
  <c r="Z1199" i="1"/>
  <c r="AP1199" i="1" s="1"/>
  <c r="D1199" i="1"/>
  <c r="AB1198" i="1"/>
  <c r="AL1198" i="1" s="1"/>
  <c r="Z1198" i="1"/>
  <c r="AP1198" i="1" s="1"/>
  <c r="D1198" i="1"/>
  <c r="AB1197" i="1"/>
  <c r="Z1197" i="1"/>
  <c r="AP1197" i="1" s="1"/>
  <c r="D1197" i="1"/>
  <c r="AB1196" i="1"/>
  <c r="Z1196" i="1"/>
  <c r="D1196" i="1"/>
  <c r="AB1195" i="1"/>
  <c r="Z1195" i="1"/>
  <c r="D1195" i="1"/>
  <c r="AQ1194" i="1"/>
  <c r="AB1194" i="1"/>
  <c r="AL1194" i="1" s="1"/>
  <c r="Z1194" i="1"/>
  <c r="AP1194" i="1" s="1"/>
  <c r="D1194" i="1"/>
  <c r="AQ1193" i="1"/>
  <c r="AB1193" i="1"/>
  <c r="Z1193" i="1"/>
  <c r="O1193" i="1"/>
  <c r="D1193" i="1"/>
  <c r="AB1192" i="1"/>
  <c r="Z1192" i="1"/>
  <c r="D1192" i="1"/>
  <c r="AB1191" i="1"/>
  <c r="Z1191" i="1"/>
  <c r="AP1191" i="1" s="1"/>
  <c r="D1191" i="1"/>
  <c r="AB1190" i="1"/>
  <c r="AR1190" i="1" s="1"/>
  <c r="Z1190" i="1"/>
  <c r="AP1190" i="1" s="1"/>
  <c r="D1190" i="1"/>
  <c r="AQ1189" i="1"/>
  <c r="AB1189" i="1"/>
  <c r="Z1189" i="1"/>
  <c r="AP1189" i="1" s="1"/>
  <c r="O1189" i="1"/>
  <c r="D1189" i="1"/>
  <c r="AB1188" i="1"/>
  <c r="AR1188" i="1" s="1"/>
  <c r="BR1188" i="1" s="1"/>
  <c r="Z1188" i="1"/>
  <c r="AP1188" i="1" s="1"/>
  <c r="D1188" i="1"/>
  <c r="AB1187" i="1"/>
  <c r="Z1187" i="1"/>
  <c r="AP1187" i="1" s="1"/>
  <c r="D1187" i="1"/>
  <c r="BI1186" i="1"/>
  <c r="AG1186" i="1" s="1"/>
  <c r="AQ1186" i="1"/>
  <c r="AB1186" i="1"/>
  <c r="Z1186" i="1"/>
  <c r="AP1186" i="1" s="1"/>
  <c r="D1186" i="1"/>
  <c r="BI1185" i="1"/>
  <c r="AG1185" i="1" s="1"/>
  <c r="AQ1185" i="1"/>
  <c r="AB1185" i="1"/>
  <c r="AR1185" i="1" s="1"/>
  <c r="Z1185" i="1"/>
  <c r="AP1185" i="1" s="1"/>
  <c r="O1185" i="1"/>
  <c r="D1185" i="1"/>
  <c r="AB1184" i="1"/>
  <c r="AR1184" i="1" s="1"/>
  <c r="BR1184" i="1" s="1"/>
  <c r="Z1184" i="1"/>
  <c r="AP1184" i="1" s="1"/>
  <c r="D1184" i="1"/>
  <c r="AB1183" i="1"/>
  <c r="Z1183" i="1"/>
  <c r="AP1183" i="1" s="1"/>
  <c r="D1183" i="1"/>
  <c r="AB1182" i="1"/>
  <c r="AR1182" i="1" s="1"/>
  <c r="BR1182" i="1" s="1"/>
  <c r="Z1182" i="1"/>
  <c r="AP1182" i="1" s="1"/>
  <c r="D1182" i="1"/>
  <c r="AQ1181" i="1"/>
  <c r="AB1181" i="1"/>
  <c r="Z1181" i="1"/>
  <c r="AP1181" i="1" s="1"/>
  <c r="O1181" i="1"/>
  <c r="D1181" i="1"/>
  <c r="AB1180" i="1"/>
  <c r="AR1180" i="1" s="1"/>
  <c r="BR1180" i="1" s="1"/>
  <c r="Z1180" i="1"/>
  <c r="AP1180" i="1" s="1"/>
  <c r="D1180" i="1"/>
  <c r="AB1179" i="1"/>
  <c r="Z1179" i="1"/>
  <c r="AP1179" i="1" s="1"/>
  <c r="D1179" i="1"/>
  <c r="AQ1178" i="1"/>
  <c r="AB1178" i="1"/>
  <c r="Z1178" i="1"/>
  <c r="AP1178" i="1" s="1"/>
  <c r="D1178" i="1"/>
  <c r="BI1177" i="1"/>
  <c r="AG1177" i="1" s="1"/>
  <c r="AQ1177" i="1"/>
  <c r="AB1177" i="1"/>
  <c r="AR1177" i="1" s="1"/>
  <c r="Z1177" i="1"/>
  <c r="AP1177" i="1" s="1"/>
  <c r="O1177" i="1"/>
  <c r="D1177" i="1"/>
  <c r="AB1176" i="1"/>
  <c r="AR1176" i="1" s="1"/>
  <c r="BR1176" i="1" s="1"/>
  <c r="Z1176" i="1"/>
  <c r="AP1176" i="1" s="1"/>
  <c r="D1176" i="1"/>
  <c r="AB1175" i="1"/>
  <c r="Z1175" i="1"/>
  <c r="AP1175" i="1" s="1"/>
  <c r="D1175" i="1"/>
  <c r="BI1174" i="1"/>
  <c r="AG1174" i="1" s="1"/>
  <c r="AQ1174" i="1"/>
  <c r="AB1174" i="1"/>
  <c r="Z1174" i="1"/>
  <c r="AP1174" i="1" s="1"/>
  <c r="D1174" i="1"/>
  <c r="AQ1173" i="1"/>
  <c r="AB1173" i="1"/>
  <c r="Z1173" i="1"/>
  <c r="AP1173" i="1" s="1"/>
  <c r="O1173" i="1"/>
  <c r="D1173" i="1"/>
  <c r="AB1172" i="1"/>
  <c r="AR1172" i="1" s="1"/>
  <c r="BR1172" i="1" s="1"/>
  <c r="Z1172" i="1"/>
  <c r="AP1172" i="1" s="1"/>
  <c r="D1172" i="1"/>
  <c r="AB1171" i="1"/>
  <c r="AL1171" i="1" s="1"/>
  <c r="Z1171" i="1"/>
  <c r="AP1171" i="1" s="1"/>
  <c r="D1171" i="1"/>
  <c r="AQ1170" i="1"/>
  <c r="AB1170" i="1"/>
  <c r="Z1170" i="1"/>
  <c r="AP1170" i="1" s="1"/>
  <c r="D1170" i="1"/>
  <c r="BI1169" i="1"/>
  <c r="AG1169" i="1" s="1"/>
  <c r="AQ1169" i="1"/>
  <c r="AB1169" i="1"/>
  <c r="Z1169" i="1"/>
  <c r="AP1169" i="1" s="1"/>
  <c r="D1169" i="1"/>
  <c r="AB1168" i="1"/>
  <c r="AR1168" i="1" s="1"/>
  <c r="BR1168" i="1" s="1"/>
  <c r="Z1168" i="1"/>
  <c r="AP1168" i="1" s="1"/>
  <c r="D1168" i="1"/>
  <c r="AB1167" i="1"/>
  <c r="AL1167" i="1" s="1"/>
  <c r="Z1167" i="1"/>
  <c r="AP1167" i="1" s="1"/>
  <c r="D1167" i="1"/>
  <c r="AB1166" i="1"/>
  <c r="Z1166" i="1"/>
  <c r="AP1166" i="1" s="1"/>
  <c r="D1166" i="1"/>
  <c r="AQ1165" i="1"/>
  <c r="AB1165" i="1"/>
  <c r="AR1165" i="1" s="1"/>
  <c r="Z1165" i="1"/>
  <c r="AP1165" i="1" s="1"/>
  <c r="O1165" i="1"/>
  <c r="D1165" i="1"/>
  <c r="AB1164" i="1"/>
  <c r="AR1164" i="1" s="1"/>
  <c r="Z1164" i="1"/>
  <c r="AP1164" i="1" s="1"/>
  <c r="D1164" i="1"/>
  <c r="AB1163" i="1"/>
  <c r="AL1163" i="1" s="1"/>
  <c r="Z1163" i="1"/>
  <c r="AP1163" i="1" s="1"/>
  <c r="D1163" i="1"/>
  <c r="AB1162" i="1"/>
  <c r="Z1162" i="1"/>
  <c r="AP1162" i="1" s="1"/>
  <c r="O1162" i="1"/>
  <c r="D1162" i="1"/>
  <c r="BI1161" i="1"/>
  <c r="AG1161" i="1" s="1"/>
  <c r="AQ1161" i="1"/>
  <c r="AB1161" i="1"/>
  <c r="Z1161" i="1"/>
  <c r="AP1161" i="1" s="1"/>
  <c r="D1161" i="1"/>
  <c r="AB1160" i="1"/>
  <c r="Z1160" i="1"/>
  <c r="AP1160" i="1" s="1"/>
  <c r="D1160" i="1"/>
  <c r="AB1159" i="1"/>
  <c r="AL1159" i="1" s="1"/>
  <c r="Z1159" i="1"/>
  <c r="AP1159" i="1" s="1"/>
  <c r="D1159" i="1"/>
  <c r="AB1158" i="1"/>
  <c r="Z1158" i="1"/>
  <c r="AP1158" i="1" s="1"/>
  <c r="D1158" i="1"/>
  <c r="AQ1157" i="1"/>
  <c r="AB1157" i="1"/>
  <c r="Z1157" i="1"/>
  <c r="AP1157" i="1" s="1"/>
  <c r="O1157" i="1"/>
  <c r="D1157" i="1"/>
  <c r="AB1156" i="1"/>
  <c r="AR1156" i="1" s="1"/>
  <c r="BR1156" i="1" s="1"/>
  <c r="Z1156" i="1"/>
  <c r="AP1156" i="1" s="1"/>
  <c r="D1156" i="1"/>
  <c r="AB1155" i="1"/>
  <c r="Z1155" i="1"/>
  <c r="AP1155" i="1" s="1"/>
  <c r="D1155" i="1"/>
  <c r="AQ1154" i="1"/>
  <c r="AB1154" i="1"/>
  <c r="Z1154" i="1"/>
  <c r="AP1154" i="1" s="1"/>
  <c r="D1154" i="1"/>
  <c r="AB1153" i="1"/>
  <c r="AJ1153" i="1" s="1"/>
  <c r="AQ1153" i="1" s="1"/>
  <c r="Z1153" i="1"/>
  <c r="AP1153" i="1" s="1"/>
  <c r="D1153" i="1"/>
  <c r="AB1152" i="1"/>
  <c r="Z1152" i="1"/>
  <c r="AP1152" i="1" s="1"/>
  <c r="D1152" i="1"/>
  <c r="AB1151" i="1"/>
  <c r="Z1151" i="1"/>
  <c r="AP1151" i="1" s="1"/>
  <c r="D1151" i="1"/>
  <c r="AB1150" i="1"/>
  <c r="Z1150" i="1"/>
  <c r="AP1150" i="1" s="1"/>
  <c r="D1150" i="1"/>
  <c r="AB1149" i="1"/>
  <c r="Z1149" i="1"/>
  <c r="AP1149" i="1" s="1"/>
  <c r="O1149" i="1"/>
  <c r="D1149" i="1"/>
  <c r="AB1148" i="1"/>
  <c r="AR1148" i="1" s="1"/>
  <c r="Z1148" i="1"/>
  <c r="AP1148" i="1" s="1"/>
  <c r="D1148" i="1"/>
  <c r="AB1147" i="1"/>
  <c r="AL1147" i="1" s="1"/>
  <c r="Z1147" i="1"/>
  <c r="AP1147" i="1" s="1"/>
  <c r="D1147" i="1"/>
  <c r="AQ1146" i="1"/>
  <c r="AB1146" i="1"/>
  <c r="AL1146" i="1" s="1"/>
  <c r="Z1146" i="1"/>
  <c r="AP1146" i="1" s="1"/>
  <c r="D1146" i="1"/>
  <c r="AQ1145" i="1"/>
  <c r="AB1145" i="1"/>
  <c r="Z1145" i="1"/>
  <c r="O1145" i="1"/>
  <c r="D1145" i="1"/>
  <c r="AB1144" i="1"/>
  <c r="Z1144" i="1"/>
  <c r="D1144" i="1"/>
  <c r="AB1143" i="1"/>
  <c r="Z1143" i="1"/>
  <c r="AP1143" i="1" s="1"/>
  <c r="D1143" i="1"/>
  <c r="AQ1142" i="1"/>
  <c r="AB1142" i="1"/>
  <c r="AR1142" i="1" s="1"/>
  <c r="Z1142" i="1"/>
  <c r="AP1142" i="1" s="1"/>
  <c r="D1142" i="1"/>
  <c r="AQ1141" i="1"/>
  <c r="AB1141" i="1"/>
  <c r="Z1141" i="1"/>
  <c r="O1141" i="1"/>
  <c r="D1141" i="1"/>
  <c r="AB1140" i="1"/>
  <c r="Z1140" i="1"/>
  <c r="AP1140" i="1" s="1"/>
  <c r="D1140" i="1"/>
  <c r="AB1139" i="1"/>
  <c r="Z1139" i="1"/>
  <c r="D1139" i="1"/>
  <c r="AQ1138" i="1"/>
  <c r="AB1138" i="1"/>
  <c r="AK1138" i="1" s="1"/>
  <c r="Z1138" i="1"/>
  <c r="AP1138" i="1" s="1"/>
  <c r="D1138" i="1"/>
  <c r="AQ1137" i="1"/>
  <c r="AB1137" i="1"/>
  <c r="AK1137" i="1" s="1"/>
  <c r="Z1137" i="1"/>
  <c r="D1137" i="1"/>
  <c r="AB1136" i="1"/>
  <c r="AR1136" i="1" s="1"/>
  <c r="BR1136" i="1" s="1"/>
  <c r="Z1136" i="1"/>
  <c r="D1136" i="1"/>
  <c r="AB1135" i="1"/>
  <c r="Z1135" i="1"/>
  <c r="AP1135" i="1" s="1"/>
  <c r="D1135" i="1"/>
  <c r="AB1134" i="1"/>
  <c r="AL1134" i="1" s="1"/>
  <c r="Z1134" i="1"/>
  <c r="AP1134" i="1" s="1"/>
  <c r="D1134" i="1"/>
  <c r="AQ1133" i="1"/>
  <c r="AB1133" i="1"/>
  <c r="AR1133" i="1" s="1"/>
  <c r="BR1133" i="1" s="1"/>
  <c r="Z1133" i="1"/>
  <c r="O1133" i="1"/>
  <c r="D1133" i="1"/>
  <c r="AB1132" i="1"/>
  <c r="AR1132" i="1" s="1"/>
  <c r="BR1132" i="1" s="1"/>
  <c r="Z1132" i="1"/>
  <c r="D1132" i="1"/>
  <c r="AB1131" i="1"/>
  <c r="AL1131" i="1" s="1"/>
  <c r="Z1131" i="1"/>
  <c r="AP1131" i="1" s="1"/>
  <c r="O1131" i="1"/>
  <c r="D1131" i="1"/>
  <c r="AQ1130" i="1"/>
  <c r="AB1130" i="1"/>
  <c r="AL1130" i="1" s="1"/>
  <c r="Z1130" i="1"/>
  <c r="AP1130" i="1" s="1"/>
  <c r="D1130" i="1"/>
  <c r="BI1129" i="1"/>
  <c r="AG1129" i="1" s="1"/>
  <c r="AQ1129" i="1"/>
  <c r="AB1129" i="1"/>
  <c r="AL1129" i="1" s="1"/>
  <c r="Z1129" i="1"/>
  <c r="O1129" i="1"/>
  <c r="D1129" i="1"/>
  <c r="AB1128" i="1"/>
  <c r="AL1128" i="1" s="1"/>
  <c r="Z1128" i="1"/>
  <c r="D1128" i="1"/>
  <c r="AB1127" i="1"/>
  <c r="AK1127" i="1" s="1"/>
  <c r="Z1127" i="1"/>
  <c r="AP1127" i="1" s="1"/>
  <c r="D1127" i="1"/>
  <c r="AB1126" i="1"/>
  <c r="AR1126" i="1" s="1"/>
  <c r="Z1126" i="1"/>
  <c r="AP1126" i="1" s="1"/>
  <c r="D1126" i="1"/>
  <c r="AQ1125" i="1"/>
  <c r="AB1125" i="1"/>
  <c r="AK1125" i="1" s="1"/>
  <c r="Z1125" i="1"/>
  <c r="O1125" i="1"/>
  <c r="D1125" i="1"/>
  <c r="AB1124" i="1"/>
  <c r="AL1124" i="1" s="1"/>
  <c r="Z1124" i="1"/>
  <c r="D1124" i="1"/>
  <c r="AB1123" i="1"/>
  <c r="AL1123" i="1" s="1"/>
  <c r="Z1123" i="1"/>
  <c r="AP1123" i="1" s="1"/>
  <c r="D1123" i="1"/>
  <c r="AQ1122" i="1"/>
  <c r="AB1122" i="1"/>
  <c r="AK1122" i="1" s="1"/>
  <c r="Z1122" i="1"/>
  <c r="AP1122" i="1" s="1"/>
  <c r="D1122" i="1"/>
  <c r="AQ1121" i="1"/>
  <c r="AB1121" i="1"/>
  <c r="AL1121" i="1" s="1"/>
  <c r="Z1121" i="1"/>
  <c r="O1121" i="1"/>
  <c r="D1121" i="1"/>
  <c r="AB1120" i="1"/>
  <c r="Z1120" i="1"/>
  <c r="D1120" i="1"/>
  <c r="AB1119" i="1"/>
  <c r="Z1119" i="1"/>
  <c r="AP1119" i="1" s="1"/>
  <c r="D1119" i="1"/>
  <c r="AQ1118" i="1"/>
  <c r="AB1118" i="1"/>
  <c r="AL1118" i="1" s="1"/>
  <c r="Z1118" i="1"/>
  <c r="AP1118" i="1" s="1"/>
  <c r="D1118" i="1"/>
  <c r="AQ1117" i="1"/>
  <c r="AB1117" i="1"/>
  <c r="Z1117" i="1"/>
  <c r="O1117" i="1"/>
  <c r="D1117" i="1"/>
  <c r="AB1116" i="1"/>
  <c r="Z1116" i="1"/>
  <c r="AP1116" i="1" s="1"/>
  <c r="D1116" i="1"/>
  <c r="AB1115" i="1"/>
  <c r="Z1115" i="1"/>
  <c r="D1115" i="1"/>
  <c r="AQ1114" i="1"/>
  <c r="AB1114" i="1"/>
  <c r="Z1114" i="1"/>
  <c r="AP1114" i="1" s="1"/>
  <c r="D1114" i="1"/>
  <c r="AQ1113" i="1"/>
  <c r="AB1113" i="1"/>
  <c r="Z1113" i="1"/>
  <c r="D1113" i="1"/>
  <c r="AB1112" i="1"/>
  <c r="AK1112" i="1" s="1"/>
  <c r="Z1112" i="1"/>
  <c r="D1112" i="1"/>
  <c r="AB1111" i="1"/>
  <c r="AK1111" i="1" s="1"/>
  <c r="Z1111" i="1"/>
  <c r="AP1111" i="1" s="1"/>
  <c r="O1111" i="1"/>
  <c r="D1111" i="1"/>
  <c r="AQ1110" i="1"/>
  <c r="AB1110" i="1"/>
  <c r="AK1110" i="1" s="1"/>
  <c r="Z1110" i="1"/>
  <c r="AP1110" i="1" s="1"/>
  <c r="D1110" i="1"/>
  <c r="AQ1109" i="1"/>
  <c r="AB1109" i="1"/>
  <c r="AK1109" i="1" s="1"/>
  <c r="Z1109" i="1"/>
  <c r="AP1109" i="1" s="1"/>
  <c r="O1109" i="1"/>
  <c r="D1109" i="1"/>
  <c r="AB1108" i="1"/>
  <c r="AK1108" i="1" s="1"/>
  <c r="Z1108" i="1"/>
  <c r="AP1108" i="1" s="1"/>
  <c r="O1108" i="1"/>
  <c r="D1108" i="1"/>
  <c r="AB1107" i="1"/>
  <c r="AK1107" i="1" s="1"/>
  <c r="Z1107" i="1"/>
  <c r="AP1107" i="1" s="1"/>
  <c r="D1107" i="1"/>
  <c r="BI1106" i="1"/>
  <c r="AG1106" i="1" s="1"/>
  <c r="AQ1106" i="1"/>
  <c r="AB1106" i="1"/>
  <c r="AK1106" i="1" s="1"/>
  <c r="Z1106" i="1"/>
  <c r="AP1106" i="1" s="1"/>
  <c r="D1106" i="1"/>
  <c r="BI1105" i="1"/>
  <c r="AG1105" i="1" s="1"/>
  <c r="AQ1105" i="1"/>
  <c r="AB1105" i="1"/>
  <c r="AK1105" i="1" s="1"/>
  <c r="Z1105" i="1"/>
  <c r="AP1105" i="1" s="1"/>
  <c r="O1105" i="1"/>
  <c r="D1105" i="1"/>
  <c r="AB1104" i="1"/>
  <c r="AK1104" i="1" s="1"/>
  <c r="Z1104" i="1"/>
  <c r="AP1104" i="1" s="1"/>
  <c r="D1104" i="1"/>
  <c r="AB1103" i="1"/>
  <c r="AK1103" i="1" s="1"/>
  <c r="Z1103" i="1"/>
  <c r="AP1103" i="1" s="1"/>
  <c r="D1103" i="1"/>
  <c r="BI1102" i="1"/>
  <c r="AG1102" i="1" s="1"/>
  <c r="AB1102" i="1"/>
  <c r="AK1102" i="1" s="1"/>
  <c r="Z1102" i="1"/>
  <c r="AP1102" i="1" s="1"/>
  <c r="D1102" i="1"/>
  <c r="BI1101" i="1"/>
  <c r="AG1101" i="1" s="1"/>
  <c r="AQ1101" i="1"/>
  <c r="AB1101" i="1"/>
  <c r="AK1101" i="1" s="1"/>
  <c r="Z1101" i="1"/>
  <c r="AP1101" i="1" s="1"/>
  <c r="O1101" i="1"/>
  <c r="D1101" i="1"/>
  <c r="AB1100" i="1"/>
  <c r="AK1100" i="1" s="1"/>
  <c r="Z1100" i="1"/>
  <c r="AP1100" i="1" s="1"/>
  <c r="D1100" i="1"/>
  <c r="AB1099" i="1"/>
  <c r="AK1099" i="1" s="1"/>
  <c r="Z1099" i="1"/>
  <c r="AP1099" i="1" s="1"/>
  <c r="D1099" i="1"/>
  <c r="BI1098" i="1"/>
  <c r="AG1098" i="1" s="1"/>
  <c r="AQ1098" i="1"/>
  <c r="AB1098" i="1"/>
  <c r="AK1098" i="1" s="1"/>
  <c r="Z1098" i="1"/>
  <c r="AP1098" i="1" s="1"/>
  <c r="D1098" i="1"/>
  <c r="AQ1097" i="1"/>
  <c r="AB1097" i="1"/>
  <c r="AK1097" i="1" s="1"/>
  <c r="Z1097" i="1"/>
  <c r="AP1097" i="1" s="1"/>
  <c r="O1097" i="1"/>
  <c r="D1097" i="1"/>
  <c r="AB1096" i="1"/>
  <c r="AK1096" i="1" s="1"/>
  <c r="Z1096" i="1"/>
  <c r="AP1096" i="1" s="1"/>
  <c r="D1096" i="1"/>
  <c r="AB1095" i="1"/>
  <c r="AK1095" i="1" s="1"/>
  <c r="Z1095" i="1"/>
  <c r="AP1095" i="1" s="1"/>
  <c r="D1095" i="1"/>
  <c r="AQ1094" i="1"/>
  <c r="AB1094" i="1"/>
  <c r="AK1094" i="1" s="1"/>
  <c r="Z1094" i="1"/>
  <c r="AP1094" i="1" s="1"/>
  <c r="D1094" i="1"/>
  <c r="AQ1093" i="1"/>
  <c r="AB1093" i="1"/>
  <c r="AK1093" i="1" s="1"/>
  <c r="Z1093" i="1"/>
  <c r="AP1093" i="1" s="1"/>
  <c r="O1093" i="1"/>
  <c r="D1093" i="1"/>
  <c r="AB1092" i="1"/>
  <c r="AK1092" i="1" s="1"/>
  <c r="Z1092" i="1"/>
  <c r="AP1092" i="1" s="1"/>
  <c r="D1092" i="1"/>
  <c r="AB1091" i="1"/>
  <c r="AK1091" i="1" s="1"/>
  <c r="Z1091" i="1"/>
  <c r="AP1091" i="1" s="1"/>
  <c r="D1091" i="1"/>
  <c r="AQ1090" i="1"/>
  <c r="AB1090" i="1"/>
  <c r="AK1090" i="1" s="1"/>
  <c r="Z1090" i="1"/>
  <c r="AP1090" i="1" s="1"/>
  <c r="D1090" i="1"/>
  <c r="AQ1089" i="1"/>
  <c r="AB1089" i="1"/>
  <c r="AK1089" i="1" s="1"/>
  <c r="Z1089" i="1"/>
  <c r="AP1089" i="1" s="1"/>
  <c r="D1089" i="1"/>
  <c r="AB1088" i="1"/>
  <c r="AK1088" i="1" s="1"/>
  <c r="Z1088" i="1"/>
  <c r="AP1088" i="1" s="1"/>
  <c r="D1088" i="1"/>
  <c r="AB1087" i="1"/>
  <c r="AK1087" i="1" s="1"/>
  <c r="Z1087" i="1"/>
  <c r="AP1087" i="1" s="1"/>
  <c r="D1087" i="1"/>
  <c r="AQ1086" i="1"/>
  <c r="AB1086" i="1"/>
  <c r="AK1086" i="1" s="1"/>
  <c r="Z1086" i="1"/>
  <c r="AP1086" i="1" s="1"/>
  <c r="D1086" i="1"/>
  <c r="AQ1085" i="1"/>
  <c r="AB1085" i="1"/>
  <c r="AK1085" i="1" s="1"/>
  <c r="Z1085" i="1"/>
  <c r="AP1085" i="1" s="1"/>
  <c r="O1085" i="1"/>
  <c r="D1085" i="1"/>
  <c r="AQ1084" i="1"/>
  <c r="AB1084" i="1"/>
  <c r="AK1084" i="1" s="1"/>
  <c r="Z1084" i="1"/>
  <c r="AP1084" i="1" s="1"/>
  <c r="O1084" i="1"/>
  <c r="D1084" i="1"/>
  <c r="AB1083" i="1"/>
  <c r="AK1083" i="1" s="1"/>
  <c r="Z1083" i="1"/>
  <c r="AP1083" i="1" s="1"/>
  <c r="D1083" i="1"/>
  <c r="AQ1082" i="1"/>
  <c r="AB1082" i="1"/>
  <c r="AK1082" i="1" s="1"/>
  <c r="Z1082" i="1"/>
  <c r="AP1082" i="1" s="1"/>
  <c r="O1082" i="1"/>
  <c r="D1082" i="1"/>
  <c r="AQ1081" i="1"/>
  <c r="AB1081" i="1"/>
  <c r="AK1081" i="1" s="1"/>
  <c r="Z1081" i="1"/>
  <c r="AP1081" i="1" s="1"/>
  <c r="D1081" i="1"/>
  <c r="AB1080" i="1"/>
  <c r="AK1080" i="1" s="1"/>
  <c r="Z1080" i="1"/>
  <c r="AP1080" i="1" s="1"/>
  <c r="D1080" i="1"/>
  <c r="AQ1079" i="1"/>
  <c r="AB1079" i="1"/>
  <c r="AK1079" i="1" s="1"/>
  <c r="Z1079" i="1"/>
  <c r="AP1079" i="1" s="1"/>
  <c r="O1079" i="1"/>
  <c r="D1079" i="1"/>
  <c r="AB1078" i="1"/>
  <c r="AK1078" i="1" s="1"/>
  <c r="Z1078" i="1"/>
  <c r="AP1078" i="1" s="1"/>
  <c r="D1078" i="1"/>
  <c r="AQ1077" i="1"/>
  <c r="AB1077" i="1"/>
  <c r="AK1077" i="1" s="1"/>
  <c r="Z1077" i="1"/>
  <c r="AP1077" i="1" s="1"/>
  <c r="O1077" i="1"/>
  <c r="D1077" i="1"/>
  <c r="AQ1076" i="1"/>
  <c r="AB1076" i="1"/>
  <c r="AK1076" i="1" s="1"/>
  <c r="Z1076" i="1"/>
  <c r="AP1076" i="1" s="1"/>
  <c r="O1076" i="1"/>
  <c r="D1076" i="1"/>
  <c r="AQ1075" i="1"/>
  <c r="AB1075" i="1"/>
  <c r="AK1075" i="1" s="1"/>
  <c r="Z1075" i="1"/>
  <c r="AP1075" i="1" s="1"/>
  <c r="D1075" i="1"/>
  <c r="AQ1074" i="1"/>
  <c r="AB1074" i="1"/>
  <c r="AK1074" i="1" s="1"/>
  <c r="Z1074" i="1"/>
  <c r="AP1074" i="1" s="1"/>
  <c r="O1074" i="1"/>
  <c r="D1074" i="1"/>
  <c r="AQ1073" i="1"/>
  <c r="AB1073" i="1"/>
  <c r="AK1073" i="1" s="1"/>
  <c r="Z1073" i="1"/>
  <c r="AP1073" i="1" s="1"/>
  <c r="D1073" i="1"/>
  <c r="AB1072" i="1"/>
  <c r="AK1072" i="1" s="1"/>
  <c r="Z1072" i="1"/>
  <c r="AP1072" i="1" s="1"/>
  <c r="D1072" i="1"/>
  <c r="AQ1071" i="1"/>
  <c r="AB1071" i="1"/>
  <c r="AK1071" i="1" s="1"/>
  <c r="Z1071" i="1"/>
  <c r="AP1071" i="1" s="1"/>
  <c r="O1071" i="1"/>
  <c r="D1071" i="1"/>
  <c r="AQ1070" i="1"/>
  <c r="AB1070" i="1"/>
  <c r="AK1070" i="1" s="1"/>
  <c r="Z1070" i="1"/>
  <c r="AP1070" i="1" s="1"/>
  <c r="D1070" i="1"/>
  <c r="AQ1069" i="1"/>
  <c r="AB1069" i="1"/>
  <c r="AK1069" i="1" s="1"/>
  <c r="Z1069" i="1"/>
  <c r="AP1069" i="1" s="1"/>
  <c r="O1069" i="1"/>
  <c r="D1069" i="1"/>
  <c r="AQ1068" i="1"/>
  <c r="AB1068" i="1"/>
  <c r="Z1068" i="1"/>
  <c r="AP1068" i="1" s="1"/>
  <c r="O1068" i="1"/>
  <c r="D1068" i="1"/>
  <c r="AQ1067" i="1"/>
  <c r="AB1067" i="1"/>
  <c r="AL1067" i="1" s="1"/>
  <c r="Z1067" i="1"/>
  <c r="AP1067" i="1" s="1"/>
  <c r="O1067" i="1"/>
  <c r="D1067" i="1"/>
  <c r="AQ1066" i="1"/>
  <c r="AB1066" i="1"/>
  <c r="Z1066" i="1"/>
  <c r="AP1066" i="1" s="1"/>
  <c r="O1066" i="1"/>
  <c r="D1066" i="1"/>
  <c r="AQ1065" i="1"/>
  <c r="AB1065" i="1"/>
  <c r="AL1065" i="1" s="1"/>
  <c r="Z1065" i="1"/>
  <c r="AP1065" i="1" s="1"/>
  <c r="O1065" i="1"/>
  <c r="D1065" i="1"/>
  <c r="AQ1064" i="1"/>
  <c r="AB1064" i="1"/>
  <c r="Z1064" i="1"/>
  <c r="AP1064" i="1" s="1"/>
  <c r="O1064" i="1"/>
  <c r="D1064" i="1"/>
  <c r="AQ1063" i="1"/>
  <c r="AB1063" i="1"/>
  <c r="Z1063" i="1"/>
  <c r="AP1063" i="1" s="1"/>
  <c r="O1063" i="1"/>
  <c r="D1063" i="1"/>
  <c r="BI1062" i="1"/>
  <c r="AG1062" i="1" s="1"/>
  <c r="AQ1062" i="1"/>
  <c r="AB1062" i="1"/>
  <c r="Z1062" i="1"/>
  <c r="AP1062" i="1" s="1"/>
  <c r="O1062" i="1"/>
  <c r="D1062" i="1"/>
  <c r="AQ1061" i="1"/>
  <c r="AB1061" i="1"/>
  <c r="AL1061" i="1" s="1"/>
  <c r="Z1061" i="1"/>
  <c r="AP1061" i="1" s="1"/>
  <c r="O1061" i="1"/>
  <c r="D1061" i="1"/>
  <c r="AQ1060" i="1"/>
  <c r="AB1060" i="1"/>
  <c r="AL1060" i="1" s="1"/>
  <c r="Z1060" i="1"/>
  <c r="AP1060" i="1" s="1"/>
  <c r="O1060" i="1"/>
  <c r="D1060" i="1"/>
  <c r="AQ1059" i="1"/>
  <c r="AB1059" i="1"/>
  <c r="Z1059" i="1"/>
  <c r="AP1059" i="1" s="1"/>
  <c r="O1059" i="1"/>
  <c r="D1059" i="1"/>
  <c r="BI1058" i="1"/>
  <c r="AG1058" i="1" s="1"/>
  <c r="AQ1058" i="1"/>
  <c r="AB1058" i="1"/>
  <c r="AK1058" i="1" s="1"/>
  <c r="Z1058" i="1"/>
  <c r="AP1058" i="1" s="1"/>
  <c r="O1058" i="1"/>
  <c r="D1058" i="1"/>
  <c r="BI1057" i="1"/>
  <c r="AG1057" i="1" s="1"/>
  <c r="AQ1057" i="1"/>
  <c r="AB1057" i="1"/>
  <c r="Z1057" i="1"/>
  <c r="AP1057" i="1" s="1"/>
  <c r="O1057" i="1"/>
  <c r="D1057" i="1"/>
  <c r="AQ1056" i="1"/>
  <c r="AB1056" i="1"/>
  <c r="Z1056" i="1"/>
  <c r="AP1056" i="1" s="1"/>
  <c r="O1056" i="1"/>
  <c r="D1056" i="1"/>
  <c r="AQ1055" i="1"/>
  <c r="AB1055" i="1"/>
  <c r="Z1055" i="1"/>
  <c r="AP1055" i="1" s="1"/>
  <c r="O1055" i="1"/>
  <c r="D1055" i="1"/>
  <c r="BI1054" i="1"/>
  <c r="AG1054" i="1" s="1"/>
  <c r="AQ1054" i="1"/>
  <c r="AB1054" i="1"/>
  <c r="Z1054" i="1"/>
  <c r="AP1054" i="1" s="1"/>
  <c r="O1054" i="1"/>
  <c r="D1054" i="1"/>
  <c r="AQ1053" i="1"/>
  <c r="AB1053" i="1"/>
  <c r="AL1053" i="1" s="1"/>
  <c r="Z1053" i="1"/>
  <c r="AP1053" i="1" s="1"/>
  <c r="O1053" i="1"/>
  <c r="D1053" i="1"/>
  <c r="AQ1052" i="1"/>
  <c r="AB1052" i="1"/>
  <c r="AK1052" i="1" s="1"/>
  <c r="Z1052" i="1"/>
  <c r="AP1052" i="1" s="1"/>
  <c r="O1052" i="1"/>
  <c r="D1052" i="1"/>
  <c r="AQ1051" i="1"/>
  <c r="AB1051" i="1"/>
  <c r="AK1051" i="1" s="1"/>
  <c r="Z1051" i="1"/>
  <c r="AP1051" i="1" s="1"/>
  <c r="O1051" i="1"/>
  <c r="D1051" i="1"/>
  <c r="AQ1050" i="1"/>
  <c r="AB1050" i="1"/>
  <c r="Z1050" i="1"/>
  <c r="AP1050" i="1" s="1"/>
  <c r="O1050" i="1"/>
  <c r="D1050" i="1"/>
  <c r="AQ1049" i="1"/>
  <c r="AB1049" i="1"/>
  <c r="AK1049" i="1" s="1"/>
  <c r="Z1049" i="1"/>
  <c r="AP1049" i="1" s="1"/>
  <c r="O1049" i="1"/>
  <c r="D1049" i="1"/>
  <c r="AQ1048" i="1"/>
  <c r="AB1048" i="1"/>
  <c r="Z1048" i="1"/>
  <c r="AP1048" i="1" s="1"/>
  <c r="O1048" i="1"/>
  <c r="D1048" i="1"/>
  <c r="AQ1047" i="1"/>
  <c r="AB1047" i="1"/>
  <c r="AK1047" i="1" s="1"/>
  <c r="Z1047" i="1"/>
  <c r="AP1047" i="1" s="1"/>
  <c r="O1047" i="1"/>
  <c r="D1047" i="1"/>
  <c r="BI1046" i="1"/>
  <c r="AG1046" i="1" s="1"/>
  <c r="AQ1046" i="1"/>
  <c r="AB1046" i="1"/>
  <c r="Z1046" i="1"/>
  <c r="AP1046" i="1" s="1"/>
  <c r="O1046" i="1"/>
  <c r="D1046" i="1"/>
  <c r="BI1045" i="1"/>
  <c r="AG1045" i="1" s="1"/>
  <c r="AQ1045" i="1"/>
  <c r="AB1045" i="1"/>
  <c r="AK1045" i="1" s="1"/>
  <c r="Z1045" i="1"/>
  <c r="AP1045" i="1" s="1"/>
  <c r="O1045" i="1"/>
  <c r="D1045" i="1"/>
  <c r="AQ1044" i="1"/>
  <c r="AB1044" i="1"/>
  <c r="Z1044" i="1"/>
  <c r="AP1044" i="1" s="1"/>
  <c r="O1044" i="1"/>
  <c r="D1044" i="1"/>
  <c r="AQ1043" i="1"/>
  <c r="AB1043" i="1"/>
  <c r="AK1043" i="1" s="1"/>
  <c r="Z1043" i="1"/>
  <c r="AP1043" i="1" s="1"/>
  <c r="O1043" i="1"/>
  <c r="D1043" i="1"/>
  <c r="BI1042" i="1"/>
  <c r="AG1042" i="1" s="1"/>
  <c r="AQ1042" i="1"/>
  <c r="AB1042" i="1"/>
  <c r="Z1042" i="1"/>
  <c r="AP1042" i="1" s="1"/>
  <c r="O1042" i="1"/>
  <c r="D1042" i="1"/>
  <c r="AQ1041" i="1"/>
  <c r="AB1041" i="1"/>
  <c r="AK1041" i="1" s="1"/>
  <c r="Z1041" i="1"/>
  <c r="AP1041" i="1" s="1"/>
  <c r="O1041" i="1"/>
  <c r="D1041" i="1"/>
  <c r="AQ1040" i="1"/>
  <c r="AB1040" i="1"/>
  <c r="Z1040" i="1"/>
  <c r="AP1040" i="1" s="1"/>
  <c r="O1040" i="1"/>
  <c r="D1040" i="1"/>
  <c r="AQ1039" i="1"/>
  <c r="AB1039" i="1"/>
  <c r="AK1039" i="1" s="1"/>
  <c r="Z1039" i="1"/>
  <c r="AP1039" i="1" s="1"/>
  <c r="O1039" i="1"/>
  <c r="D1039" i="1"/>
  <c r="AQ1038" i="1"/>
  <c r="AB1038" i="1"/>
  <c r="Z1038" i="1"/>
  <c r="AP1038" i="1" s="1"/>
  <c r="O1038" i="1"/>
  <c r="D1038" i="1"/>
  <c r="AQ1037" i="1"/>
  <c r="AB1037" i="1"/>
  <c r="AK1037" i="1" s="1"/>
  <c r="Z1037" i="1"/>
  <c r="AP1037" i="1" s="1"/>
  <c r="O1037" i="1"/>
  <c r="D1037" i="1"/>
  <c r="AQ1036" i="1"/>
  <c r="AB1036" i="1"/>
  <c r="Z1036" i="1"/>
  <c r="AP1036" i="1" s="1"/>
  <c r="O1036" i="1"/>
  <c r="D1036" i="1"/>
  <c r="AQ1035" i="1"/>
  <c r="AB1035" i="1"/>
  <c r="AK1035" i="1" s="1"/>
  <c r="Z1035" i="1"/>
  <c r="AP1035" i="1" s="1"/>
  <c r="O1035" i="1"/>
  <c r="D1035" i="1"/>
  <c r="AQ1034" i="1"/>
  <c r="AB1034" i="1"/>
  <c r="Z1034" i="1"/>
  <c r="AP1034" i="1" s="1"/>
  <c r="O1034" i="1"/>
  <c r="D1034" i="1"/>
  <c r="BI1033" i="1"/>
  <c r="AG1033" i="1" s="1"/>
  <c r="AQ1033" i="1"/>
  <c r="AB1033" i="1"/>
  <c r="AK1033" i="1" s="1"/>
  <c r="Z1033" i="1"/>
  <c r="AP1033" i="1" s="1"/>
  <c r="O1033" i="1"/>
  <c r="D1033" i="1"/>
  <c r="AQ1032" i="1"/>
  <c r="AB1032" i="1"/>
  <c r="Z1032" i="1"/>
  <c r="AP1032" i="1" s="1"/>
  <c r="O1032" i="1"/>
  <c r="D1032" i="1"/>
  <c r="AQ1031" i="1"/>
  <c r="AB1031" i="1"/>
  <c r="AK1031" i="1" s="1"/>
  <c r="Z1031" i="1"/>
  <c r="AP1031" i="1" s="1"/>
  <c r="O1031" i="1"/>
  <c r="D1031" i="1"/>
  <c r="BI1030" i="1"/>
  <c r="AG1030" i="1" s="1"/>
  <c r="AQ1030" i="1"/>
  <c r="AB1030" i="1"/>
  <c r="AK1030" i="1" s="1"/>
  <c r="Z1030" i="1"/>
  <c r="AP1030" i="1" s="1"/>
  <c r="O1030" i="1"/>
  <c r="D1030" i="1"/>
  <c r="AQ1029" i="1"/>
  <c r="AB1029" i="1"/>
  <c r="AK1029" i="1" s="1"/>
  <c r="Z1029" i="1"/>
  <c r="AP1029" i="1" s="1"/>
  <c r="O1029" i="1"/>
  <c r="D1029" i="1"/>
  <c r="BI1028" i="1"/>
  <c r="AG1028" i="1" s="1"/>
  <c r="AQ1028" i="1"/>
  <c r="AB1028" i="1"/>
  <c r="AK1028" i="1" s="1"/>
  <c r="Z1028" i="1"/>
  <c r="AP1028" i="1" s="1"/>
  <c r="O1028" i="1"/>
  <c r="D1028" i="1"/>
  <c r="AQ1027" i="1"/>
  <c r="AB1027" i="1"/>
  <c r="Z1027" i="1"/>
  <c r="AP1027" i="1" s="1"/>
  <c r="O1027" i="1"/>
  <c r="D1027" i="1"/>
  <c r="AQ1026" i="1"/>
  <c r="AB1026" i="1"/>
  <c r="AK1026" i="1" s="1"/>
  <c r="Z1026" i="1"/>
  <c r="AP1026" i="1" s="1"/>
  <c r="O1026" i="1"/>
  <c r="D1026" i="1"/>
  <c r="BI1025" i="1"/>
  <c r="AG1025" i="1" s="1"/>
  <c r="AQ1025" i="1"/>
  <c r="AB1025" i="1"/>
  <c r="AL1025" i="1" s="1"/>
  <c r="Z1025" i="1"/>
  <c r="AP1025" i="1" s="1"/>
  <c r="O1025" i="1"/>
  <c r="D1025" i="1"/>
  <c r="AQ1024" i="1"/>
  <c r="AB1024" i="1"/>
  <c r="AL1024" i="1" s="1"/>
  <c r="Z1024" i="1"/>
  <c r="AP1024" i="1" s="1"/>
  <c r="O1024" i="1"/>
  <c r="D1024" i="1"/>
  <c r="AQ1023" i="1"/>
  <c r="AB1023" i="1"/>
  <c r="AL1023" i="1" s="1"/>
  <c r="Z1023" i="1"/>
  <c r="AP1023" i="1" s="1"/>
  <c r="O1023" i="1"/>
  <c r="D1023" i="1"/>
  <c r="BI1022" i="1"/>
  <c r="AG1022" i="1" s="1"/>
  <c r="AQ1022" i="1"/>
  <c r="AB1022" i="1"/>
  <c r="AL1022" i="1" s="1"/>
  <c r="Z1022" i="1"/>
  <c r="AP1022" i="1" s="1"/>
  <c r="O1022" i="1"/>
  <c r="D1022" i="1"/>
  <c r="AQ1021" i="1"/>
  <c r="AB1021" i="1"/>
  <c r="Z1021" i="1"/>
  <c r="AP1021" i="1" s="1"/>
  <c r="O1021" i="1"/>
  <c r="D1021" i="1"/>
  <c r="AQ1020" i="1"/>
  <c r="AB1020" i="1"/>
  <c r="AL1020" i="1" s="1"/>
  <c r="Z1020" i="1"/>
  <c r="AP1020" i="1" s="1"/>
  <c r="O1020" i="1"/>
  <c r="D1020" i="1"/>
  <c r="AQ1019" i="1"/>
  <c r="AB1019" i="1"/>
  <c r="AL1019" i="1" s="1"/>
  <c r="Z1019" i="1"/>
  <c r="AP1019" i="1" s="1"/>
  <c r="O1019" i="1"/>
  <c r="D1019" i="1"/>
  <c r="AQ1018" i="1"/>
  <c r="AB1018" i="1"/>
  <c r="Z1018" i="1"/>
  <c r="AP1018" i="1" s="1"/>
  <c r="O1018" i="1"/>
  <c r="D1018" i="1"/>
  <c r="AQ1017" i="1"/>
  <c r="AB1017" i="1"/>
  <c r="Z1017" i="1"/>
  <c r="AP1017" i="1" s="1"/>
  <c r="O1017" i="1"/>
  <c r="D1017" i="1"/>
  <c r="AQ1016" i="1"/>
  <c r="AB1016" i="1"/>
  <c r="AL1016" i="1" s="1"/>
  <c r="Z1016" i="1"/>
  <c r="AP1016" i="1" s="1"/>
  <c r="O1016" i="1"/>
  <c r="D1016" i="1"/>
  <c r="AQ1015" i="1"/>
  <c r="AB1015" i="1"/>
  <c r="AL1015" i="1" s="1"/>
  <c r="Z1015" i="1"/>
  <c r="AP1015" i="1" s="1"/>
  <c r="O1015" i="1"/>
  <c r="D1015" i="1"/>
  <c r="BI1014" i="1"/>
  <c r="AG1014" i="1" s="1"/>
  <c r="AQ1014" i="1"/>
  <c r="AB1014" i="1"/>
  <c r="Z1014" i="1"/>
  <c r="AP1014" i="1" s="1"/>
  <c r="O1014" i="1"/>
  <c r="D1014" i="1"/>
  <c r="AQ1013" i="1"/>
  <c r="AB1013" i="1"/>
  <c r="Z1013" i="1"/>
  <c r="AP1013" i="1" s="1"/>
  <c r="O1013" i="1"/>
  <c r="D1013" i="1"/>
  <c r="AQ1012" i="1"/>
  <c r="AB1012" i="1"/>
  <c r="Z1012" i="1"/>
  <c r="AP1012" i="1" s="1"/>
  <c r="O1012" i="1"/>
  <c r="D1012" i="1"/>
  <c r="AQ1011" i="1"/>
  <c r="AB1011" i="1"/>
  <c r="Z1011" i="1"/>
  <c r="AP1011" i="1" s="1"/>
  <c r="O1011" i="1"/>
  <c r="D1011" i="1"/>
  <c r="AQ1010" i="1"/>
  <c r="AB1010" i="1"/>
  <c r="AL1010" i="1" s="1"/>
  <c r="Z1010" i="1"/>
  <c r="AP1010" i="1" s="1"/>
  <c r="O1010" i="1"/>
  <c r="D1010" i="1"/>
  <c r="BI1009" i="1"/>
  <c r="AG1009" i="1" s="1"/>
  <c r="AQ1009" i="1"/>
  <c r="AB1009" i="1"/>
  <c r="Z1009" i="1"/>
  <c r="AP1009" i="1" s="1"/>
  <c r="O1009" i="1"/>
  <c r="D1009" i="1"/>
  <c r="AQ1008" i="1"/>
  <c r="AB1008" i="1"/>
  <c r="Z1008" i="1"/>
  <c r="AP1008" i="1" s="1"/>
  <c r="O1008" i="1"/>
  <c r="D1008" i="1"/>
  <c r="AQ1007" i="1"/>
  <c r="AB1007" i="1"/>
  <c r="Z1007" i="1"/>
  <c r="AP1007" i="1" s="1"/>
  <c r="O1007" i="1"/>
  <c r="D1007" i="1"/>
  <c r="AQ1006" i="1"/>
  <c r="AB1006" i="1"/>
  <c r="AK1006" i="1" s="1"/>
  <c r="Z1006" i="1"/>
  <c r="AP1006" i="1" s="1"/>
  <c r="O1006" i="1"/>
  <c r="D1006" i="1"/>
  <c r="AQ1005" i="1"/>
  <c r="AB1005" i="1"/>
  <c r="Z1005" i="1"/>
  <c r="AP1005" i="1" s="1"/>
  <c r="O1005" i="1"/>
  <c r="D1005" i="1"/>
  <c r="AQ1004" i="1"/>
  <c r="AB1004" i="1"/>
  <c r="AL1004" i="1" s="1"/>
  <c r="Z1004" i="1"/>
  <c r="AP1004" i="1" s="1"/>
  <c r="O1004" i="1"/>
  <c r="D1004" i="1"/>
  <c r="AQ1003" i="1"/>
  <c r="AB1003" i="1"/>
  <c r="AL1003" i="1" s="1"/>
  <c r="Z1003" i="1"/>
  <c r="AP1003" i="1" s="1"/>
  <c r="O1003" i="1"/>
  <c r="D1003" i="1"/>
  <c r="AQ1002" i="1"/>
  <c r="AB1002" i="1"/>
  <c r="AL1002" i="1" s="1"/>
  <c r="Z1002" i="1"/>
  <c r="AP1002" i="1" s="1"/>
  <c r="O1002" i="1"/>
  <c r="D1002" i="1"/>
  <c r="AQ1001" i="1"/>
  <c r="AB1001" i="1"/>
  <c r="Z1001" i="1"/>
  <c r="AP1001" i="1" s="1"/>
  <c r="O1001" i="1"/>
  <c r="D1001" i="1"/>
  <c r="AQ1000" i="1"/>
  <c r="AB1000" i="1"/>
  <c r="AL1000" i="1" s="1"/>
  <c r="Z1000" i="1"/>
  <c r="AP1000" i="1" s="1"/>
  <c r="O1000" i="1"/>
  <c r="D1000" i="1"/>
  <c r="AQ999" i="1"/>
  <c r="AB999" i="1"/>
  <c r="AL999" i="1" s="1"/>
  <c r="Z999" i="1"/>
  <c r="AP999" i="1" s="1"/>
  <c r="O999" i="1"/>
  <c r="D999" i="1"/>
  <c r="AQ998" i="1"/>
  <c r="AB998" i="1"/>
  <c r="AL998" i="1" s="1"/>
  <c r="Z998" i="1"/>
  <c r="AP998" i="1" s="1"/>
  <c r="O998" i="1"/>
  <c r="D998" i="1"/>
  <c r="BI997" i="1"/>
  <c r="AG997" i="1" s="1"/>
  <c r="AQ997" i="1"/>
  <c r="AB997" i="1"/>
  <c r="Z997" i="1"/>
  <c r="AP997" i="1" s="1"/>
  <c r="O997" i="1"/>
  <c r="D997" i="1"/>
  <c r="AQ996" i="1"/>
  <c r="AB996" i="1"/>
  <c r="Z996" i="1"/>
  <c r="AP996" i="1" s="1"/>
  <c r="O996" i="1"/>
  <c r="D996" i="1"/>
  <c r="AQ995" i="1"/>
  <c r="AB995" i="1"/>
  <c r="Z995" i="1"/>
  <c r="AP995" i="1" s="1"/>
  <c r="O995" i="1"/>
  <c r="D995" i="1"/>
  <c r="BI994" i="1"/>
  <c r="AG994" i="1" s="1"/>
  <c r="AQ994" i="1"/>
  <c r="AB994" i="1"/>
  <c r="Z994" i="1"/>
  <c r="AP994" i="1" s="1"/>
  <c r="O994" i="1"/>
  <c r="D994" i="1"/>
  <c r="AQ993" i="1"/>
  <c r="AB993" i="1"/>
  <c r="Z993" i="1"/>
  <c r="AP993" i="1" s="1"/>
  <c r="O993" i="1"/>
  <c r="D993" i="1"/>
  <c r="AQ992" i="1"/>
  <c r="AB992" i="1"/>
  <c r="AL992" i="1" s="1"/>
  <c r="Z992" i="1"/>
  <c r="AP992" i="1" s="1"/>
  <c r="O992" i="1"/>
  <c r="D992" i="1"/>
  <c r="AQ991" i="1"/>
  <c r="AB991" i="1"/>
  <c r="AL991" i="1" s="1"/>
  <c r="Z991" i="1"/>
  <c r="AP991" i="1" s="1"/>
  <c r="O991" i="1"/>
  <c r="D991" i="1"/>
  <c r="AQ990" i="1"/>
  <c r="AB990" i="1"/>
  <c r="AK990" i="1" s="1"/>
  <c r="Z990" i="1"/>
  <c r="AP990" i="1" s="1"/>
  <c r="O990" i="1"/>
  <c r="D990" i="1"/>
  <c r="AQ989" i="1"/>
  <c r="AB989" i="1"/>
  <c r="Z989" i="1"/>
  <c r="AP989" i="1" s="1"/>
  <c r="O989" i="1"/>
  <c r="D989" i="1"/>
  <c r="BI988" i="1"/>
  <c r="AG988" i="1" s="1"/>
  <c r="AQ988" i="1"/>
  <c r="AB988" i="1"/>
  <c r="AL988" i="1" s="1"/>
  <c r="Z988" i="1"/>
  <c r="AP988" i="1" s="1"/>
  <c r="O988" i="1"/>
  <c r="D988" i="1"/>
  <c r="AQ987" i="1"/>
  <c r="AB987" i="1"/>
  <c r="AL987" i="1" s="1"/>
  <c r="Z987" i="1"/>
  <c r="AP987" i="1" s="1"/>
  <c r="O987" i="1"/>
  <c r="D987" i="1"/>
  <c r="BI986" i="1"/>
  <c r="AG986" i="1" s="1"/>
  <c r="AQ986" i="1"/>
  <c r="AB986" i="1"/>
  <c r="AK986" i="1" s="1"/>
  <c r="Z986" i="1"/>
  <c r="AP986" i="1" s="1"/>
  <c r="O986" i="1"/>
  <c r="D986" i="1"/>
  <c r="AQ985" i="1"/>
  <c r="AB985" i="1"/>
  <c r="Z985" i="1"/>
  <c r="AP985" i="1" s="1"/>
  <c r="O985" i="1"/>
  <c r="D985" i="1"/>
  <c r="AQ984" i="1"/>
  <c r="AB984" i="1"/>
  <c r="AL984" i="1" s="1"/>
  <c r="Z984" i="1"/>
  <c r="AP984" i="1" s="1"/>
  <c r="O984" i="1"/>
  <c r="D984" i="1"/>
  <c r="AQ983" i="1"/>
  <c r="AB983" i="1"/>
  <c r="Z983" i="1"/>
  <c r="AP983" i="1" s="1"/>
  <c r="O983" i="1"/>
  <c r="D983" i="1"/>
  <c r="AQ982" i="1"/>
  <c r="AB982" i="1"/>
  <c r="AL982" i="1" s="1"/>
  <c r="Z982" i="1"/>
  <c r="AP982" i="1" s="1"/>
  <c r="O982" i="1"/>
  <c r="D982" i="1"/>
  <c r="BI981" i="1"/>
  <c r="AG981" i="1" s="1"/>
  <c r="AQ981" i="1"/>
  <c r="AB981" i="1"/>
  <c r="AK981" i="1" s="1"/>
  <c r="Z981" i="1"/>
  <c r="AP981" i="1" s="1"/>
  <c r="O981" i="1"/>
  <c r="D981" i="1"/>
  <c r="AQ980" i="1"/>
  <c r="AB980" i="1"/>
  <c r="Z980" i="1"/>
  <c r="AP980" i="1" s="1"/>
  <c r="O980" i="1"/>
  <c r="D980" i="1"/>
  <c r="AQ979" i="1"/>
  <c r="AB979" i="1"/>
  <c r="AL979" i="1" s="1"/>
  <c r="Z979" i="1"/>
  <c r="AP979" i="1" s="1"/>
  <c r="O979" i="1"/>
  <c r="D979" i="1"/>
  <c r="BI978" i="1"/>
  <c r="AG978" i="1" s="1"/>
  <c r="AQ978" i="1"/>
  <c r="AB978" i="1"/>
  <c r="AL978" i="1" s="1"/>
  <c r="Z978" i="1"/>
  <c r="AP978" i="1" s="1"/>
  <c r="O978" i="1"/>
  <c r="D978" i="1"/>
  <c r="AQ977" i="1"/>
  <c r="AB977" i="1"/>
  <c r="Z977" i="1"/>
  <c r="AP977" i="1" s="1"/>
  <c r="O977" i="1"/>
  <c r="D977" i="1"/>
  <c r="AQ976" i="1"/>
  <c r="AB976" i="1"/>
  <c r="Z976" i="1"/>
  <c r="AP976" i="1" s="1"/>
  <c r="O976" i="1"/>
  <c r="D976" i="1"/>
  <c r="AQ975" i="1"/>
  <c r="AB975" i="1"/>
  <c r="AK975" i="1" s="1"/>
  <c r="Z975" i="1"/>
  <c r="AP975" i="1" s="1"/>
  <c r="O975" i="1"/>
  <c r="D975" i="1"/>
  <c r="AQ974" i="1"/>
  <c r="AB974" i="1"/>
  <c r="Z974" i="1"/>
  <c r="AP974" i="1" s="1"/>
  <c r="O974" i="1"/>
  <c r="D974" i="1"/>
  <c r="AQ973" i="1"/>
  <c r="AB973" i="1"/>
  <c r="AK973" i="1" s="1"/>
  <c r="Z973" i="1"/>
  <c r="AP973" i="1" s="1"/>
  <c r="O973" i="1"/>
  <c r="D973" i="1"/>
  <c r="AQ972" i="1"/>
  <c r="AB972" i="1"/>
  <c r="AL972" i="1" s="1"/>
  <c r="Z972" i="1"/>
  <c r="AP972" i="1" s="1"/>
  <c r="O972" i="1"/>
  <c r="D972" i="1"/>
  <c r="AQ971" i="1"/>
  <c r="AB971" i="1"/>
  <c r="AK971" i="1" s="1"/>
  <c r="Z971" i="1"/>
  <c r="AP971" i="1" s="1"/>
  <c r="O971" i="1"/>
  <c r="D971" i="1"/>
  <c r="BI970" i="1"/>
  <c r="AG970" i="1" s="1"/>
  <c r="AQ970" i="1"/>
  <c r="AB970" i="1"/>
  <c r="AK970" i="1" s="1"/>
  <c r="Z970" i="1"/>
  <c r="AP970" i="1" s="1"/>
  <c r="O970" i="1"/>
  <c r="D970" i="1"/>
  <c r="BI969" i="1"/>
  <c r="AG969" i="1" s="1"/>
  <c r="AQ969" i="1"/>
  <c r="AB969" i="1"/>
  <c r="AK969" i="1" s="1"/>
  <c r="Z969" i="1"/>
  <c r="AP969" i="1" s="1"/>
  <c r="O969" i="1"/>
  <c r="D969" i="1"/>
  <c r="BI968" i="1"/>
  <c r="AG968" i="1" s="1"/>
  <c r="AQ968" i="1"/>
  <c r="AB968" i="1"/>
  <c r="AL968" i="1" s="1"/>
  <c r="Z968" i="1"/>
  <c r="AP968" i="1" s="1"/>
  <c r="O968" i="1"/>
  <c r="D968" i="1"/>
  <c r="AQ967" i="1"/>
  <c r="AB967" i="1"/>
  <c r="AL967" i="1" s="1"/>
  <c r="Z967" i="1"/>
  <c r="AP967" i="1" s="1"/>
  <c r="O967" i="1"/>
  <c r="D967" i="1"/>
  <c r="AQ966" i="1"/>
  <c r="AB966" i="1"/>
  <c r="AL966" i="1" s="1"/>
  <c r="Z966" i="1"/>
  <c r="AP966" i="1" s="1"/>
  <c r="O966" i="1"/>
  <c r="D966" i="1"/>
  <c r="AQ965" i="1"/>
  <c r="AB965" i="1"/>
  <c r="AK965" i="1" s="1"/>
  <c r="Z965" i="1"/>
  <c r="AP965" i="1" s="1"/>
  <c r="O965" i="1"/>
  <c r="D965" i="1"/>
  <c r="AQ964" i="1"/>
  <c r="AB964" i="1"/>
  <c r="AL964" i="1" s="1"/>
  <c r="Z964" i="1"/>
  <c r="AP964" i="1" s="1"/>
  <c r="O964" i="1"/>
  <c r="D964" i="1"/>
  <c r="AQ963" i="1"/>
  <c r="AB963" i="1"/>
  <c r="AK963" i="1" s="1"/>
  <c r="Z963" i="1"/>
  <c r="AP963" i="1" s="1"/>
  <c r="O963" i="1"/>
  <c r="D963" i="1"/>
  <c r="BI962" i="1"/>
  <c r="AG962" i="1" s="1"/>
  <c r="AQ962" i="1"/>
  <c r="AB962" i="1"/>
  <c r="AK962" i="1" s="1"/>
  <c r="Z962" i="1"/>
  <c r="AP962" i="1" s="1"/>
  <c r="O962" i="1"/>
  <c r="D962" i="1"/>
  <c r="BI961" i="1"/>
  <c r="AG961" i="1" s="1"/>
  <c r="AQ961" i="1"/>
  <c r="AB961" i="1"/>
  <c r="AK961" i="1" s="1"/>
  <c r="Z961" i="1"/>
  <c r="AP961" i="1" s="1"/>
  <c r="O961" i="1"/>
  <c r="D961" i="1"/>
  <c r="AQ960" i="1"/>
  <c r="AB960" i="1"/>
  <c r="AK960" i="1" s="1"/>
  <c r="Z960" i="1"/>
  <c r="AP960" i="1" s="1"/>
  <c r="O960" i="1"/>
  <c r="D960" i="1"/>
  <c r="AQ959" i="1"/>
  <c r="AB959" i="1"/>
  <c r="AL959" i="1" s="1"/>
  <c r="Z959" i="1"/>
  <c r="AP959" i="1" s="1"/>
  <c r="O959" i="1"/>
  <c r="D959" i="1"/>
  <c r="BI958" i="1"/>
  <c r="AG958" i="1" s="1"/>
  <c r="AQ958" i="1"/>
  <c r="AB958" i="1"/>
  <c r="AK958" i="1" s="1"/>
  <c r="Z958" i="1"/>
  <c r="AP958" i="1" s="1"/>
  <c r="O958" i="1"/>
  <c r="D958" i="1"/>
  <c r="AQ957" i="1"/>
  <c r="AB957" i="1"/>
  <c r="AK957" i="1" s="1"/>
  <c r="Z957" i="1"/>
  <c r="AP957" i="1" s="1"/>
  <c r="O957" i="1"/>
  <c r="D957" i="1"/>
  <c r="AQ956" i="1"/>
  <c r="AB956" i="1"/>
  <c r="AL956" i="1" s="1"/>
  <c r="Z956" i="1"/>
  <c r="AP956" i="1" s="1"/>
  <c r="O956" i="1"/>
  <c r="D956" i="1"/>
  <c r="AQ955" i="1"/>
  <c r="AB955" i="1"/>
  <c r="AK955" i="1" s="1"/>
  <c r="Z955" i="1"/>
  <c r="AP955" i="1" s="1"/>
  <c r="O955" i="1"/>
  <c r="D955" i="1"/>
  <c r="AQ954" i="1"/>
  <c r="AB954" i="1"/>
  <c r="AK954" i="1" s="1"/>
  <c r="Z954" i="1"/>
  <c r="AP954" i="1" s="1"/>
  <c r="O954" i="1"/>
  <c r="D954" i="1"/>
  <c r="BI953" i="1"/>
  <c r="AG953" i="1" s="1"/>
  <c r="AQ953" i="1"/>
  <c r="AB953" i="1"/>
  <c r="Z953" i="1"/>
  <c r="AP953" i="1" s="1"/>
  <c r="O953" i="1"/>
  <c r="D953" i="1"/>
  <c r="AQ952" i="1"/>
  <c r="AB952" i="1"/>
  <c r="AL952" i="1" s="1"/>
  <c r="Z952" i="1"/>
  <c r="AP952" i="1" s="1"/>
  <c r="O952" i="1"/>
  <c r="D952" i="1"/>
  <c r="AQ951" i="1"/>
  <c r="AB951" i="1"/>
  <c r="AL951" i="1" s="1"/>
  <c r="Z951" i="1"/>
  <c r="AP951" i="1" s="1"/>
  <c r="O951" i="1"/>
  <c r="D951" i="1"/>
  <c r="BI950" i="1"/>
  <c r="AG950" i="1" s="1"/>
  <c r="AQ950" i="1"/>
  <c r="AB950" i="1"/>
  <c r="AK950" i="1" s="1"/>
  <c r="Z950" i="1"/>
  <c r="AP950" i="1" s="1"/>
  <c r="O950" i="1"/>
  <c r="D950" i="1"/>
  <c r="BI949" i="1"/>
  <c r="AG949" i="1" s="1"/>
  <c r="AQ949" i="1"/>
  <c r="AB949" i="1"/>
  <c r="AK949" i="1" s="1"/>
  <c r="Z949" i="1"/>
  <c r="AP949" i="1" s="1"/>
  <c r="O949" i="1"/>
  <c r="D949" i="1"/>
  <c r="AQ948" i="1"/>
  <c r="AB948" i="1"/>
  <c r="AL948" i="1" s="1"/>
  <c r="Z948" i="1"/>
  <c r="AP948" i="1" s="1"/>
  <c r="O948" i="1"/>
  <c r="D948" i="1"/>
  <c r="AQ947" i="1"/>
  <c r="AB947" i="1"/>
  <c r="AK947" i="1" s="1"/>
  <c r="Z947" i="1"/>
  <c r="AP947" i="1" s="1"/>
  <c r="O947" i="1"/>
  <c r="D947" i="1"/>
  <c r="BI946" i="1"/>
  <c r="AG946" i="1" s="1"/>
  <c r="AQ946" i="1"/>
  <c r="AB946" i="1"/>
  <c r="AK946" i="1" s="1"/>
  <c r="Z946" i="1"/>
  <c r="AP946" i="1" s="1"/>
  <c r="O946" i="1"/>
  <c r="D946" i="1"/>
  <c r="AQ945" i="1"/>
  <c r="AB945" i="1"/>
  <c r="Z945" i="1"/>
  <c r="AP945" i="1" s="1"/>
  <c r="O945" i="1"/>
  <c r="D945" i="1"/>
  <c r="AQ944" i="1"/>
  <c r="AB944" i="1"/>
  <c r="AL944" i="1" s="1"/>
  <c r="Z944" i="1"/>
  <c r="AP944" i="1" s="1"/>
  <c r="O944" i="1"/>
  <c r="D944" i="1"/>
  <c r="AQ943" i="1"/>
  <c r="AB943" i="1"/>
  <c r="AL943" i="1" s="1"/>
  <c r="Z943" i="1"/>
  <c r="AP943" i="1" s="1"/>
  <c r="O943" i="1"/>
  <c r="D943" i="1"/>
  <c r="AQ942" i="1"/>
  <c r="AB942" i="1"/>
  <c r="AK942" i="1" s="1"/>
  <c r="Z942" i="1"/>
  <c r="AP942" i="1" s="1"/>
  <c r="O942" i="1"/>
  <c r="D942" i="1"/>
  <c r="AQ941" i="1"/>
  <c r="AB941" i="1"/>
  <c r="AK941" i="1" s="1"/>
  <c r="Z941" i="1"/>
  <c r="AP941" i="1" s="1"/>
  <c r="O941" i="1"/>
  <c r="D941" i="1"/>
  <c r="AQ940" i="1"/>
  <c r="AB940" i="1"/>
  <c r="AL940" i="1" s="1"/>
  <c r="Z940" i="1"/>
  <c r="AP940" i="1" s="1"/>
  <c r="O940" i="1"/>
  <c r="D940" i="1"/>
  <c r="AQ939" i="1"/>
  <c r="AB939" i="1"/>
  <c r="Z939" i="1"/>
  <c r="AP939" i="1" s="1"/>
  <c r="O939" i="1"/>
  <c r="D939" i="1"/>
  <c r="AB938" i="1"/>
  <c r="Z938" i="1"/>
  <c r="AP938" i="1" s="1"/>
  <c r="O938" i="1"/>
  <c r="D938" i="1"/>
  <c r="AB937" i="1"/>
  <c r="AJ937" i="1" s="1"/>
  <c r="AQ937" i="1" s="1"/>
  <c r="Z937" i="1"/>
  <c r="AP937" i="1" s="1"/>
  <c r="O937" i="1"/>
  <c r="D937" i="1"/>
  <c r="AB936" i="1"/>
  <c r="Z936" i="1"/>
  <c r="AP936" i="1" s="1"/>
  <c r="O936" i="1"/>
  <c r="D936" i="1"/>
  <c r="AQ935" i="1"/>
  <c r="AB935" i="1"/>
  <c r="AL935" i="1" s="1"/>
  <c r="Z935" i="1"/>
  <c r="AP935" i="1" s="1"/>
  <c r="O935" i="1"/>
  <c r="D935" i="1"/>
  <c r="BI934" i="1"/>
  <c r="AG934" i="1" s="1"/>
  <c r="AB934" i="1"/>
  <c r="Z934" i="1"/>
  <c r="AP934" i="1" s="1"/>
  <c r="O934" i="1"/>
  <c r="D934" i="1"/>
  <c r="AB933" i="1"/>
  <c r="AJ933" i="1" s="1"/>
  <c r="AQ933" i="1" s="1"/>
  <c r="Z933" i="1"/>
  <c r="AP933" i="1" s="1"/>
  <c r="O933" i="1"/>
  <c r="D933" i="1"/>
  <c r="AB932" i="1"/>
  <c r="Z932" i="1"/>
  <c r="AP932" i="1" s="1"/>
  <c r="O932" i="1"/>
  <c r="D932" i="1"/>
  <c r="AQ931" i="1"/>
  <c r="AB931" i="1"/>
  <c r="AL931" i="1" s="1"/>
  <c r="Z931" i="1"/>
  <c r="AP931" i="1" s="1"/>
  <c r="O931" i="1"/>
  <c r="D931" i="1"/>
  <c r="AQ930" i="1"/>
  <c r="AB930" i="1"/>
  <c r="Z930" i="1"/>
  <c r="AP930" i="1" s="1"/>
  <c r="O930" i="1"/>
  <c r="D930" i="1"/>
  <c r="AB929" i="1"/>
  <c r="AJ929" i="1" s="1"/>
  <c r="AQ929" i="1" s="1"/>
  <c r="Z929" i="1"/>
  <c r="AP929" i="1" s="1"/>
  <c r="O929" i="1"/>
  <c r="D929" i="1"/>
  <c r="AQ928" i="1"/>
  <c r="AB928" i="1"/>
  <c r="AK928" i="1" s="1"/>
  <c r="Z928" i="1"/>
  <c r="AP928" i="1" s="1"/>
  <c r="O928" i="1"/>
  <c r="D928" i="1"/>
  <c r="AB927" i="1"/>
  <c r="Z927" i="1"/>
  <c r="AP927" i="1" s="1"/>
  <c r="O927" i="1"/>
  <c r="D927" i="1"/>
  <c r="BI926" i="1"/>
  <c r="AG926" i="1" s="1"/>
  <c r="AQ926" i="1"/>
  <c r="AB926" i="1"/>
  <c r="AL926" i="1" s="1"/>
  <c r="Z926" i="1"/>
  <c r="AP926" i="1" s="1"/>
  <c r="O926" i="1"/>
  <c r="D926" i="1"/>
  <c r="AB925" i="1"/>
  <c r="Z925" i="1"/>
  <c r="AP925" i="1" s="1"/>
  <c r="O925" i="1"/>
  <c r="D925" i="1"/>
  <c r="AQ924" i="1"/>
  <c r="AB924" i="1"/>
  <c r="AL924" i="1" s="1"/>
  <c r="Z924" i="1"/>
  <c r="AP924" i="1" s="1"/>
  <c r="O924" i="1"/>
  <c r="D924" i="1"/>
  <c r="AQ923" i="1"/>
  <c r="AB923" i="1"/>
  <c r="AL923" i="1" s="1"/>
  <c r="Z923" i="1"/>
  <c r="AP923" i="1" s="1"/>
  <c r="O923" i="1"/>
  <c r="D923" i="1"/>
  <c r="BI922" i="1"/>
  <c r="AG922" i="1" s="1"/>
  <c r="AQ922" i="1"/>
  <c r="AB922" i="1"/>
  <c r="AL922" i="1" s="1"/>
  <c r="Z922" i="1"/>
  <c r="AP922" i="1" s="1"/>
  <c r="O922" i="1"/>
  <c r="D922" i="1"/>
  <c r="BI921" i="1"/>
  <c r="AG921" i="1" s="1"/>
  <c r="AQ921" i="1"/>
  <c r="AB921" i="1"/>
  <c r="Z921" i="1"/>
  <c r="AP921" i="1" s="1"/>
  <c r="O921" i="1"/>
  <c r="D921" i="1"/>
  <c r="AQ920" i="1"/>
  <c r="AB920" i="1"/>
  <c r="AL920" i="1" s="1"/>
  <c r="Z920" i="1"/>
  <c r="AP920" i="1" s="1"/>
  <c r="O920" i="1"/>
  <c r="D920" i="1"/>
  <c r="AQ919" i="1"/>
  <c r="AB919" i="1"/>
  <c r="AL919" i="1" s="1"/>
  <c r="Z919" i="1"/>
  <c r="AP919" i="1" s="1"/>
  <c r="O919" i="1"/>
  <c r="D919" i="1"/>
  <c r="BI918" i="1"/>
  <c r="AG918" i="1" s="1"/>
  <c r="AQ918" i="1"/>
  <c r="AB918" i="1"/>
  <c r="AL918" i="1" s="1"/>
  <c r="Z918" i="1"/>
  <c r="AP918" i="1" s="1"/>
  <c r="O918" i="1"/>
  <c r="D918" i="1"/>
  <c r="AQ917" i="1"/>
  <c r="AB917" i="1"/>
  <c r="AK917" i="1" s="1"/>
  <c r="Z917" i="1"/>
  <c r="AP917" i="1" s="1"/>
  <c r="O917" i="1"/>
  <c r="D917" i="1"/>
  <c r="AQ916" i="1"/>
  <c r="AB916" i="1"/>
  <c r="AL916" i="1" s="1"/>
  <c r="Z916" i="1"/>
  <c r="AP916" i="1" s="1"/>
  <c r="O916" i="1"/>
  <c r="D916" i="1"/>
  <c r="AQ915" i="1"/>
  <c r="AB915" i="1"/>
  <c r="Z915" i="1"/>
  <c r="AP915" i="1" s="1"/>
  <c r="O915" i="1"/>
  <c r="D915" i="1"/>
  <c r="AQ914" i="1"/>
  <c r="AB914" i="1"/>
  <c r="Z914" i="1"/>
  <c r="AP914" i="1" s="1"/>
  <c r="O914" i="1"/>
  <c r="D914" i="1"/>
  <c r="BI913" i="1"/>
  <c r="AG913" i="1" s="1"/>
  <c r="AQ913" i="1"/>
  <c r="AB913" i="1"/>
  <c r="Z913" i="1"/>
  <c r="AP913" i="1" s="1"/>
  <c r="O913" i="1"/>
  <c r="D913" i="1"/>
  <c r="AQ912" i="1"/>
  <c r="AB912" i="1"/>
  <c r="AK912" i="1" s="1"/>
  <c r="Z912" i="1"/>
  <c r="AP912" i="1" s="1"/>
  <c r="O912" i="1"/>
  <c r="D912" i="1"/>
  <c r="AQ911" i="1"/>
  <c r="AB911" i="1"/>
  <c r="AL911" i="1" s="1"/>
  <c r="Z911" i="1"/>
  <c r="AP911" i="1" s="1"/>
  <c r="O911" i="1"/>
  <c r="D911" i="1"/>
  <c r="BI910" i="1"/>
  <c r="AG910" i="1" s="1"/>
  <c r="AQ910" i="1"/>
  <c r="AB910" i="1"/>
  <c r="AK910" i="1" s="1"/>
  <c r="Z910" i="1"/>
  <c r="AP910" i="1" s="1"/>
  <c r="O910" i="1"/>
  <c r="D910" i="1"/>
  <c r="AB909" i="1"/>
  <c r="Z909" i="1"/>
  <c r="AP909" i="1" s="1"/>
  <c r="O909" i="1"/>
  <c r="D909" i="1"/>
  <c r="AQ908" i="1"/>
  <c r="AB908" i="1"/>
  <c r="AK908" i="1" s="1"/>
  <c r="Z908" i="1"/>
  <c r="AP908" i="1" s="1"/>
  <c r="O908" i="1"/>
  <c r="D908" i="1"/>
  <c r="AB907" i="1"/>
  <c r="Z907" i="1"/>
  <c r="AP907" i="1" s="1"/>
  <c r="O907" i="1"/>
  <c r="D907" i="1"/>
  <c r="BI906" i="1"/>
  <c r="AG906" i="1" s="1"/>
  <c r="AQ906" i="1"/>
  <c r="AB906" i="1"/>
  <c r="AK906" i="1" s="1"/>
  <c r="Z906" i="1"/>
  <c r="AP906" i="1" s="1"/>
  <c r="O906" i="1"/>
  <c r="D906" i="1"/>
  <c r="BI905" i="1"/>
  <c r="AG905" i="1" s="1"/>
  <c r="AQ905" i="1"/>
  <c r="AB905" i="1"/>
  <c r="Z905" i="1"/>
  <c r="AP905" i="1" s="1"/>
  <c r="O905" i="1"/>
  <c r="D905" i="1"/>
  <c r="AQ904" i="1"/>
  <c r="AB904" i="1"/>
  <c r="AR904" i="1" s="1"/>
  <c r="Z904" i="1"/>
  <c r="AP904" i="1" s="1"/>
  <c r="O904" i="1"/>
  <c r="D904" i="1"/>
  <c r="AQ903" i="1"/>
  <c r="AB903" i="1"/>
  <c r="AR903" i="1" s="1"/>
  <c r="Z903" i="1"/>
  <c r="AP903" i="1" s="1"/>
  <c r="O903" i="1"/>
  <c r="D903" i="1"/>
  <c r="BI902" i="1"/>
  <c r="AG902" i="1" s="1"/>
  <c r="AB902" i="1"/>
  <c r="Z902" i="1"/>
  <c r="AP902" i="1" s="1"/>
  <c r="O902" i="1"/>
  <c r="D902" i="1"/>
  <c r="AB901" i="1"/>
  <c r="AJ901" i="1" s="1"/>
  <c r="AQ901" i="1" s="1"/>
  <c r="Z901" i="1"/>
  <c r="AP901" i="1" s="1"/>
  <c r="O901" i="1"/>
  <c r="D901" i="1"/>
  <c r="BI900" i="1"/>
  <c r="AG900" i="1" s="1"/>
  <c r="AB900" i="1"/>
  <c r="Z900" i="1"/>
  <c r="AP900" i="1" s="1"/>
  <c r="O900" i="1"/>
  <c r="D900" i="1"/>
  <c r="AQ899" i="1"/>
  <c r="AB899" i="1"/>
  <c r="Z899" i="1"/>
  <c r="AP899" i="1" s="1"/>
  <c r="O899" i="1"/>
  <c r="D899" i="1"/>
  <c r="AQ898" i="1"/>
  <c r="AB898" i="1"/>
  <c r="AK898" i="1" s="1"/>
  <c r="Z898" i="1"/>
  <c r="AP898" i="1" s="1"/>
  <c r="O898" i="1"/>
  <c r="D898" i="1"/>
  <c r="BI897" i="1"/>
  <c r="AG897" i="1" s="1"/>
  <c r="AB897" i="1"/>
  <c r="Z897" i="1"/>
  <c r="AP897" i="1" s="1"/>
  <c r="O897" i="1"/>
  <c r="D897" i="1"/>
  <c r="AB896" i="1"/>
  <c r="Z896" i="1"/>
  <c r="AP896" i="1" s="1"/>
  <c r="O896" i="1"/>
  <c r="D896" i="1"/>
  <c r="AB895" i="1"/>
  <c r="Z895" i="1"/>
  <c r="AP895" i="1" s="1"/>
  <c r="O895" i="1"/>
  <c r="D895" i="1"/>
  <c r="BI894" i="1"/>
  <c r="AG894" i="1" s="1"/>
  <c r="AB894" i="1"/>
  <c r="Z894" i="1"/>
  <c r="AP894" i="1" s="1"/>
  <c r="O894" i="1"/>
  <c r="D894" i="1"/>
  <c r="AB893" i="1"/>
  <c r="AJ893" i="1" s="1"/>
  <c r="AQ893" i="1" s="1"/>
  <c r="Z893" i="1"/>
  <c r="AP893" i="1" s="1"/>
  <c r="O893" i="1"/>
  <c r="D893" i="1"/>
  <c r="AQ892" i="1"/>
  <c r="AB892" i="1"/>
  <c r="Z892" i="1"/>
  <c r="AP892" i="1" s="1"/>
  <c r="O892" i="1"/>
  <c r="D892" i="1"/>
  <c r="AQ891" i="1"/>
  <c r="AB891" i="1"/>
  <c r="Z891" i="1"/>
  <c r="AP891" i="1" s="1"/>
  <c r="O891" i="1"/>
  <c r="D891" i="1"/>
  <c r="BI890" i="1"/>
  <c r="AG890" i="1" s="1"/>
  <c r="AQ890" i="1"/>
  <c r="AB890" i="1"/>
  <c r="AK890" i="1" s="1"/>
  <c r="Z890" i="1"/>
  <c r="AP890" i="1" s="1"/>
  <c r="O890" i="1"/>
  <c r="D890" i="1"/>
  <c r="BI889" i="1"/>
  <c r="AG889" i="1" s="1"/>
  <c r="AQ889" i="1"/>
  <c r="AB889" i="1"/>
  <c r="AL889" i="1" s="1"/>
  <c r="Z889" i="1"/>
  <c r="AP889" i="1" s="1"/>
  <c r="O889" i="1"/>
  <c r="D889" i="1"/>
  <c r="AB888" i="1"/>
  <c r="AJ888" i="1" s="1"/>
  <c r="AQ888" i="1" s="1"/>
  <c r="Z888" i="1"/>
  <c r="AP888" i="1" s="1"/>
  <c r="O888" i="1"/>
  <c r="D888" i="1"/>
  <c r="AB887" i="1"/>
  <c r="Z887" i="1"/>
  <c r="AP887" i="1" s="1"/>
  <c r="O887" i="1"/>
  <c r="D887" i="1"/>
  <c r="AB886" i="1"/>
  <c r="Z886" i="1"/>
  <c r="AP886" i="1" s="1"/>
  <c r="O886" i="1"/>
  <c r="D886" i="1"/>
  <c r="AB885" i="1"/>
  <c r="Z885" i="1"/>
  <c r="AP885" i="1" s="1"/>
  <c r="O885" i="1"/>
  <c r="D885" i="1"/>
  <c r="AB884" i="1"/>
  <c r="Z884" i="1"/>
  <c r="AP884" i="1" s="1"/>
  <c r="O884" i="1"/>
  <c r="D884" i="1"/>
  <c r="AB883" i="1"/>
  <c r="Z883" i="1"/>
  <c r="AP883" i="1" s="1"/>
  <c r="O883" i="1"/>
  <c r="D883" i="1"/>
  <c r="AQ882" i="1"/>
  <c r="AB882" i="1"/>
  <c r="AK882" i="1" s="1"/>
  <c r="Z882" i="1"/>
  <c r="AP882" i="1" s="1"/>
  <c r="O882" i="1"/>
  <c r="D882" i="1"/>
  <c r="AQ881" i="1"/>
  <c r="AB881" i="1"/>
  <c r="AL881" i="1" s="1"/>
  <c r="Z881" i="1"/>
  <c r="AP881" i="1" s="1"/>
  <c r="O881" i="1"/>
  <c r="D881" i="1"/>
  <c r="AQ880" i="1"/>
  <c r="AB880" i="1"/>
  <c r="AL880" i="1" s="1"/>
  <c r="Z880" i="1"/>
  <c r="AP880" i="1" s="1"/>
  <c r="O880" i="1"/>
  <c r="D880" i="1"/>
  <c r="AB879" i="1"/>
  <c r="Z879" i="1"/>
  <c r="AP879" i="1" s="1"/>
  <c r="O879" i="1"/>
  <c r="D879" i="1"/>
  <c r="AB878" i="1"/>
  <c r="Z878" i="1"/>
  <c r="AP878" i="1" s="1"/>
  <c r="O878" i="1"/>
  <c r="D878" i="1"/>
  <c r="AB877" i="1"/>
  <c r="Z877" i="1"/>
  <c r="AP877" i="1" s="1"/>
  <c r="O877" i="1"/>
  <c r="D877" i="1"/>
  <c r="AB876" i="1"/>
  <c r="Z876" i="1"/>
  <c r="AP876" i="1" s="1"/>
  <c r="O876" i="1"/>
  <c r="D876" i="1"/>
  <c r="AQ875" i="1"/>
  <c r="AB875" i="1"/>
  <c r="AR875" i="1" s="1"/>
  <c r="BR875" i="1" s="1"/>
  <c r="Z875" i="1"/>
  <c r="AP875" i="1" s="1"/>
  <c r="O875" i="1"/>
  <c r="D875" i="1"/>
  <c r="BI874" i="1"/>
  <c r="AG874" i="1" s="1"/>
  <c r="AQ874" i="1"/>
  <c r="AB874" i="1"/>
  <c r="AK874" i="1" s="1"/>
  <c r="Z874" i="1"/>
  <c r="AP874" i="1" s="1"/>
  <c r="O874" i="1"/>
  <c r="D874" i="1"/>
  <c r="AQ873" i="1"/>
  <c r="AB873" i="1"/>
  <c r="AL873" i="1" s="1"/>
  <c r="Z873" i="1"/>
  <c r="AP873" i="1" s="1"/>
  <c r="O873" i="1"/>
  <c r="D873" i="1"/>
  <c r="AQ872" i="1"/>
  <c r="AB872" i="1"/>
  <c r="AR872" i="1" s="1"/>
  <c r="Z872" i="1"/>
  <c r="AP872" i="1" s="1"/>
  <c r="O872" i="1"/>
  <c r="D872" i="1"/>
  <c r="AQ871" i="1"/>
  <c r="AB871" i="1"/>
  <c r="AK871" i="1" s="1"/>
  <c r="Z871" i="1"/>
  <c r="AP871" i="1" s="1"/>
  <c r="O871" i="1"/>
  <c r="D871" i="1"/>
  <c r="AQ870" i="1"/>
  <c r="AB870" i="1"/>
  <c r="AK870" i="1" s="1"/>
  <c r="Z870" i="1"/>
  <c r="AP870" i="1" s="1"/>
  <c r="O870" i="1"/>
  <c r="D870" i="1"/>
  <c r="AQ869" i="1"/>
  <c r="AB869" i="1"/>
  <c r="Z869" i="1"/>
  <c r="AP869" i="1" s="1"/>
  <c r="O869" i="1"/>
  <c r="D869" i="1"/>
  <c r="AQ868" i="1"/>
  <c r="AB868" i="1"/>
  <c r="AR868" i="1" s="1"/>
  <c r="Z868" i="1"/>
  <c r="AP868" i="1" s="1"/>
  <c r="O868" i="1"/>
  <c r="D868" i="1"/>
  <c r="AQ867" i="1"/>
  <c r="AB867" i="1"/>
  <c r="AR867" i="1" s="1"/>
  <c r="BR867" i="1" s="1"/>
  <c r="Z867" i="1"/>
  <c r="AP867" i="1" s="1"/>
  <c r="O867" i="1"/>
  <c r="D867" i="1"/>
  <c r="AQ866" i="1"/>
  <c r="AB866" i="1"/>
  <c r="AK866" i="1" s="1"/>
  <c r="Z866" i="1"/>
  <c r="AP866" i="1" s="1"/>
  <c r="O866" i="1"/>
  <c r="D866" i="1"/>
  <c r="AQ865" i="1"/>
  <c r="AB865" i="1"/>
  <c r="AL865" i="1" s="1"/>
  <c r="Z865" i="1"/>
  <c r="AP865" i="1" s="1"/>
  <c r="O865" i="1"/>
  <c r="D865" i="1"/>
  <c r="AQ864" i="1"/>
  <c r="AB864" i="1"/>
  <c r="AR864" i="1" s="1"/>
  <c r="Z864" i="1"/>
  <c r="AP864" i="1" s="1"/>
  <c r="O864" i="1"/>
  <c r="D864" i="1"/>
  <c r="AQ863" i="1"/>
  <c r="AB863" i="1"/>
  <c r="AK863" i="1" s="1"/>
  <c r="Z863" i="1"/>
  <c r="AP863" i="1" s="1"/>
  <c r="O863" i="1"/>
  <c r="D863" i="1"/>
  <c r="AQ862" i="1"/>
  <c r="AB862" i="1"/>
  <c r="AK862" i="1" s="1"/>
  <c r="Z862" i="1"/>
  <c r="AP862" i="1" s="1"/>
  <c r="O862" i="1"/>
  <c r="D862" i="1"/>
  <c r="BI861" i="1"/>
  <c r="AG861" i="1" s="1"/>
  <c r="AQ861" i="1"/>
  <c r="AB861" i="1"/>
  <c r="Z861" i="1"/>
  <c r="AP861" i="1" s="1"/>
  <c r="O861" i="1"/>
  <c r="D861" i="1"/>
  <c r="AQ860" i="1"/>
  <c r="AB860" i="1"/>
  <c r="AR860" i="1" s="1"/>
  <c r="BR860" i="1" s="1"/>
  <c r="Z860" i="1"/>
  <c r="AP860" i="1" s="1"/>
  <c r="O860" i="1"/>
  <c r="D860" i="1"/>
  <c r="AQ859" i="1"/>
  <c r="AB859" i="1"/>
  <c r="AR859" i="1" s="1"/>
  <c r="BR859" i="1" s="1"/>
  <c r="Z859" i="1"/>
  <c r="AP859" i="1" s="1"/>
  <c r="O859" i="1"/>
  <c r="D859" i="1"/>
  <c r="BI858" i="1"/>
  <c r="AG858" i="1" s="1"/>
  <c r="AQ858" i="1"/>
  <c r="AB858" i="1"/>
  <c r="AK858" i="1" s="1"/>
  <c r="Z858" i="1"/>
  <c r="AP858" i="1" s="1"/>
  <c r="O858" i="1"/>
  <c r="D858" i="1"/>
  <c r="BI857" i="1"/>
  <c r="AG857" i="1" s="1"/>
  <c r="AQ857" i="1"/>
  <c r="AB857" i="1"/>
  <c r="AL857" i="1" s="1"/>
  <c r="Z857" i="1"/>
  <c r="AP857" i="1" s="1"/>
  <c r="O857" i="1"/>
  <c r="D857" i="1"/>
  <c r="AQ856" i="1"/>
  <c r="AB856" i="1"/>
  <c r="Z856" i="1"/>
  <c r="AP856" i="1" s="1"/>
  <c r="O856" i="1"/>
  <c r="D856" i="1"/>
  <c r="AQ855" i="1"/>
  <c r="AB855" i="1"/>
  <c r="Z855" i="1"/>
  <c r="AP855" i="1" s="1"/>
  <c r="O855" i="1"/>
  <c r="D855" i="1"/>
  <c r="BI854" i="1"/>
  <c r="AG854" i="1" s="1"/>
  <c r="AQ854" i="1"/>
  <c r="AB854" i="1"/>
  <c r="AR854" i="1" s="1"/>
  <c r="Z854" i="1"/>
  <c r="AP854" i="1" s="1"/>
  <c r="O854" i="1"/>
  <c r="D854" i="1"/>
  <c r="AQ853" i="1"/>
  <c r="AB853" i="1"/>
  <c r="AR853" i="1" s="1"/>
  <c r="Z853" i="1"/>
  <c r="AP853" i="1" s="1"/>
  <c r="O853" i="1"/>
  <c r="D853" i="1"/>
  <c r="AQ852" i="1"/>
  <c r="AB852" i="1"/>
  <c r="AL852" i="1" s="1"/>
  <c r="Z852" i="1"/>
  <c r="AP852" i="1" s="1"/>
  <c r="O852" i="1"/>
  <c r="D852" i="1"/>
  <c r="AQ851" i="1"/>
  <c r="AB851" i="1"/>
  <c r="Z851" i="1"/>
  <c r="AP851" i="1" s="1"/>
  <c r="O851" i="1"/>
  <c r="D851" i="1"/>
  <c r="BI850" i="1"/>
  <c r="AG850" i="1" s="1"/>
  <c r="AQ850" i="1"/>
  <c r="AB850" i="1"/>
  <c r="AK850" i="1" s="1"/>
  <c r="Z850" i="1"/>
  <c r="AP850" i="1" s="1"/>
  <c r="O850" i="1"/>
  <c r="D850" i="1"/>
  <c r="BI849" i="1"/>
  <c r="AG849" i="1" s="1"/>
  <c r="AQ849" i="1"/>
  <c r="AB849" i="1"/>
  <c r="AL849" i="1" s="1"/>
  <c r="Z849" i="1"/>
  <c r="AP849" i="1" s="1"/>
  <c r="O849" i="1"/>
  <c r="D849" i="1"/>
  <c r="AB848" i="1"/>
  <c r="Z848" i="1"/>
  <c r="AP848" i="1" s="1"/>
  <c r="O848" i="1"/>
  <c r="D848" i="1"/>
  <c r="AB847" i="1"/>
  <c r="AJ847" i="1" s="1"/>
  <c r="AQ847" i="1" s="1"/>
  <c r="Z847" i="1"/>
  <c r="AP847" i="1" s="1"/>
  <c r="O847" i="1"/>
  <c r="D847" i="1"/>
  <c r="AB846" i="1"/>
  <c r="Z846" i="1"/>
  <c r="AP846" i="1" s="1"/>
  <c r="O846" i="1"/>
  <c r="D846" i="1"/>
  <c r="AQ845" i="1"/>
  <c r="AB845" i="1"/>
  <c r="Z845" i="1"/>
  <c r="AP845" i="1" s="1"/>
  <c r="O845" i="1"/>
  <c r="D845" i="1"/>
  <c r="AQ844" i="1"/>
  <c r="AB844" i="1"/>
  <c r="AL844" i="1" s="1"/>
  <c r="Z844" i="1"/>
  <c r="AP844" i="1" s="1"/>
  <c r="O844" i="1"/>
  <c r="D844" i="1"/>
  <c r="AB843" i="1"/>
  <c r="Z843" i="1"/>
  <c r="AP843" i="1" s="1"/>
  <c r="O843" i="1"/>
  <c r="D843" i="1"/>
  <c r="AB842" i="1"/>
  <c r="Z842" i="1"/>
  <c r="AP842" i="1" s="1"/>
  <c r="O842" i="1"/>
  <c r="D842" i="1"/>
  <c r="BI841" i="1"/>
  <c r="AG841" i="1" s="1"/>
  <c r="AB841" i="1"/>
  <c r="Z841" i="1"/>
  <c r="AP841" i="1" s="1"/>
  <c r="O841" i="1"/>
  <c r="D841" i="1"/>
  <c r="AB840" i="1"/>
  <c r="AJ840" i="1" s="1"/>
  <c r="AQ840" i="1" s="1"/>
  <c r="Z840" i="1"/>
  <c r="AP840" i="1" s="1"/>
  <c r="O840" i="1"/>
  <c r="D840" i="1"/>
  <c r="AB839" i="1"/>
  <c r="AJ839" i="1" s="1"/>
  <c r="AQ839" i="1" s="1"/>
  <c r="Z839" i="1"/>
  <c r="AP839" i="1" s="1"/>
  <c r="O839" i="1"/>
  <c r="D839" i="1"/>
  <c r="AB838" i="1"/>
  <c r="Z838" i="1"/>
  <c r="AP838" i="1" s="1"/>
  <c r="O838" i="1"/>
  <c r="D838" i="1"/>
  <c r="BI837" i="1"/>
  <c r="AG837" i="1" s="1"/>
  <c r="AB837" i="1"/>
  <c r="AJ837" i="1" s="1"/>
  <c r="AQ837" i="1" s="1"/>
  <c r="Z837" i="1"/>
  <c r="AP837" i="1" s="1"/>
  <c r="O837" i="1"/>
  <c r="D837" i="1"/>
  <c r="AQ836" i="1"/>
  <c r="AB836" i="1"/>
  <c r="AL836" i="1" s="1"/>
  <c r="Z836" i="1"/>
  <c r="AP836" i="1" s="1"/>
  <c r="O836" i="1"/>
  <c r="D836" i="1"/>
  <c r="AQ835" i="1"/>
  <c r="AB835" i="1"/>
  <c r="Z835" i="1"/>
  <c r="AP835" i="1" s="1"/>
  <c r="O835" i="1"/>
  <c r="D835" i="1"/>
  <c r="AQ834" i="1"/>
  <c r="AB834" i="1"/>
  <c r="AK834" i="1" s="1"/>
  <c r="Z834" i="1"/>
  <c r="AP834" i="1" s="1"/>
  <c r="O834" i="1"/>
  <c r="D834" i="1"/>
  <c r="BI833" i="1"/>
  <c r="AG833" i="1" s="1"/>
  <c r="AQ833" i="1"/>
  <c r="AB833" i="1"/>
  <c r="AL833" i="1" s="1"/>
  <c r="Z833" i="1"/>
  <c r="AP833" i="1" s="1"/>
  <c r="O833" i="1"/>
  <c r="D833" i="1"/>
  <c r="AQ832" i="1"/>
  <c r="AB832" i="1"/>
  <c r="AL832" i="1" s="1"/>
  <c r="Z832" i="1"/>
  <c r="AP832" i="1" s="1"/>
  <c r="O832" i="1"/>
  <c r="D832" i="1"/>
  <c r="AQ831" i="1"/>
  <c r="AB831" i="1"/>
  <c r="Z831" i="1"/>
  <c r="AP831" i="1" s="1"/>
  <c r="O831" i="1"/>
  <c r="D831" i="1"/>
  <c r="AQ830" i="1"/>
  <c r="AB830" i="1"/>
  <c r="AR830" i="1" s="1"/>
  <c r="BO830" i="1" s="1"/>
  <c r="Z830" i="1"/>
  <c r="AP830" i="1" s="1"/>
  <c r="O830" i="1"/>
  <c r="D830" i="1"/>
  <c r="BI829" i="1"/>
  <c r="AG829" i="1" s="1"/>
  <c r="AQ829" i="1"/>
  <c r="AB829" i="1"/>
  <c r="AK829" i="1" s="1"/>
  <c r="Z829" i="1"/>
  <c r="AP829" i="1" s="1"/>
  <c r="O829" i="1"/>
  <c r="D829" i="1"/>
  <c r="BI828" i="1"/>
  <c r="AG828" i="1" s="1"/>
  <c r="AQ828" i="1"/>
  <c r="AB828" i="1"/>
  <c r="AL828" i="1" s="1"/>
  <c r="Z828" i="1"/>
  <c r="AP828" i="1" s="1"/>
  <c r="O828" i="1"/>
  <c r="D828" i="1"/>
  <c r="AQ827" i="1"/>
  <c r="AB827" i="1"/>
  <c r="AL827" i="1" s="1"/>
  <c r="Z827" i="1"/>
  <c r="AP827" i="1" s="1"/>
  <c r="O827" i="1"/>
  <c r="D827" i="1"/>
  <c r="AQ826" i="1"/>
  <c r="AB826" i="1"/>
  <c r="AK826" i="1" s="1"/>
  <c r="Z826" i="1"/>
  <c r="AP826" i="1" s="1"/>
  <c r="O826" i="1"/>
  <c r="D826" i="1"/>
  <c r="BI825" i="1"/>
  <c r="AG825" i="1" s="1"/>
  <c r="AB825" i="1"/>
  <c r="Z825" i="1"/>
  <c r="AP825" i="1" s="1"/>
  <c r="O825" i="1"/>
  <c r="D825" i="1"/>
  <c r="AQ824" i="1"/>
  <c r="AB824" i="1"/>
  <c r="AL824" i="1" s="1"/>
  <c r="Z824" i="1"/>
  <c r="AP824" i="1" s="1"/>
  <c r="O824" i="1"/>
  <c r="D824" i="1"/>
  <c r="AQ823" i="1"/>
  <c r="AB823" i="1"/>
  <c r="Z823" i="1"/>
  <c r="AP823" i="1" s="1"/>
  <c r="O823" i="1"/>
  <c r="D823" i="1"/>
  <c r="AB822" i="1"/>
  <c r="Z822" i="1"/>
  <c r="AP822" i="1" s="1"/>
  <c r="O822" i="1"/>
  <c r="D822" i="1"/>
  <c r="BI821" i="1"/>
  <c r="AG821" i="1" s="1"/>
  <c r="AQ821" i="1"/>
  <c r="AB821" i="1"/>
  <c r="AL821" i="1" s="1"/>
  <c r="Z821" i="1"/>
  <c r="AP821" i="1" s="1"/>
  <c r="O821" i="1"/>
  <c r="D821" i="1"/>
  <c r="AQ820" i="1"/>
  <c r="AB820" i="1"/>
  <c r="Z820" i="1"/>
  <c r="AP820" i="1" s="1"/>
  <c r="O820" i="1"/>
  <c r="D820" i="1"/>
  <c r="AQ819" i="1"/>
  <c r="AB819" i="1"/>
  <c r="AL819" i="1" s="1"/>
  <c r="Z819" i="1"/>
  <c r="AP819" i="1" s="1"/>
  <c r="O819" i="1"/>
  <c r="D819" i="1"/>
  <c r="BI818" i="1"/>
  <c r="AG818" i="1" s="1"/>
  <c r="AQ818" i="1"/>
  <c r="AB818" i="1"/>
  <c r="AL818" i="1" s="1"/>
  <c r="Z818" i="1"/>
  <c r="AP818" i="1" s="1"/>
  <c r="O818" i="1"/>
  <c r="D818" i="1"/>
  <c r="AQ817" i="1"/>
  <c r="AB817" i="1"/>
  <c r="Z817" i="1"/>
  <c r="AP817" i="1" s="1"/>
  <c r="O817" i="1"/>
  <c r="D817" i="1"/>
  <c r="AQ816" i="1"/>
  <c r="AB816" i="1"/>
  <c r="AL816" i="1" s="1"/>
  <c r="Z816" i="1"/>
  <c r="AP816" i="1" s="1"/>
  <c r="O816" i="1"/>
  <c r="D816" i="1"/>
  <c r="AQ815" i="1"/>
  <c r="AB815" i="1"/>
  <c r="Z815" i="1"/>
  <c r="AP815" i="1" s="1"/>
  <c r="O815" i="1"/>
  <c r="D815" i="1"/>
  <c r="AQ814" i="1"/>
  <c r="AB814" i="1"/>
  <c r="AL814" i="1" s="1"/>
  <c r="Z814" i="1"/>
  <c r="AP814" i="1" s="1"/>
  <c r="O814" i="1"/>
  <c r="D814" i="1"/>
  <c r="BI813" i="1"/>
  <c r="AG813" i="1" s="1"/>
  <c r="AB813" i="1"/>
  <c r="Z813" i="1"/>
  <c r="AP813" i="1" s="1"/>
  <c r="O813" i="1"/>
  <c r="D813" i="1"/>
  <c r="AQ812" i="1"/>
  <c r="AB812" i="1"/>
  <c r="AL812" i="1" s="1"/>
  <c r="Z812" i="1"/>
  <c r="AP812" i="1" s="1"/>
  <c r="O812" i="1"/>
  <c r="D812" i="1"/>
  <c r="AB811" i="1"/>
  <c r="Z811" i="1"/>
  <c r="AP811" i="1" s="1"/>
  <c r="O811" i="1"/>
  <c r="D811" i="1"/>
  <c r="BI810" i="1"/>
  <c r="AG810" i="1" s="1"/>
  <c r="AQ810" i="1"/>
  <c r="AB810" i="1"/>
  <c r="Z810" i="1"/>
  <c r="AP810" i="1" s="1"/>
  <c r="O810" i="1"/>
  <c r="D810" i="1"/>
  <c r="BI809" i="1"/>
  <c r="AG809" i="1" s="1"/>
  <c r="AQ809" i="1"/>
  <c r="AB809" i="1"/>
  <c r="AL809" i="1" s="1"/>
  <c r="Z809" i="1"/>
  <c r="AP809" i="1" s="1"/>
  <c r="O809" i="1"/>
  <c r="D809" i="1"/>
  <c r="BI808" i="1"/>
  <c r="AG808" i="1" s="1"/>
  <c r="AQ808" i="1"/>
  <c r="AB808" i="1"/>
  <c r="Z808" i="1"/>
  <c r="AP808" i="1" s="1"/>
  <c r="O808" i="1"/>
  <c r="D808" i="1"/>
  <c r="AQ807" i="1"/>
  <c r="AB807" i="1"/>
  <c r="AL807" i="1" s="1"/>
  <c r="Z807" i="1"/>
  <c r="AP807" i="1" s="1"/>
  <c r="O807" i="1"/>
  <c r="D807" i="1"/>
  <c r="AQ806" i="1"/>
  <c r="AB806" i="1"/>
  <c r="AL806" i="1" s="1"/>
  <c r="Z806" i="1"/>
  <c r="AP806" i="1" s="1"/>
  <c r="O806" i="1"/>
  <c r="D806" i="1"/>
  <c r="AQ805" i="1"/>
  <c r="AB805" i="1"/>
  <c r="AL805" i="1" s="1"/>
  <c r="Z805" i="1"/>
  <c r="AP805" i="1" s="1"/>
  <c r="O805" i="1"/>
  <c r="D805" i="1"/>
  <c r="AQ804" i="1"/>
  <c r="AB804" i="1"/>
  <c r="Z804" i="1"/>
  <c r="AP804" i="1" s="1"/>
  <c r="O804" i="1"/>
  <c r="D804" i="1"/>
  <c r="AB803" i="1"/>
  <c r="Z803" i="1"/>
  <c r="AP803" i="1" s="1"/>
  <c r="O803" i="1"/>
  <c r="D803" i="1"/>
  <c r="AQ802" i="1"/>
  <c r="AB802" i="1"/>
  <c r="Z802" i="1"/>
  <c r="AP802" i="1" s="1"/>
  <c r="O802" i="1"/>
  <c r="D802" i="1"/>
  <c r="BI801" i="1"/>
  <c r="AG801" i="1" s="1"/>
  <c r="AQ801" i="1"/>
  <c r="AB801" i="1"/>
  <c r="Z801" i="1"/>
  <c r="AP801" i="1" s="1"/>
  <c r="O801" i="1"/>
  <c r="D801" i="1"/>
  <c r="AQ800" i="1"/>
  <c r="AB800" i="1"/>
  <c r="AL800" i="1" s="1"/>
  <c r="Z800" i="1"/>
  <c r="AP800" i="1" s="1"/>
  <c r="O800" i="1"/>
  <c r="D800" i="1"/>
  <c r="AQ799" i="1"/>
  <c r="AB799" i="1"/>
  <c r="AL799" i="1" s="1"/>
  <c r="Z799" i="1"/>
  <c r="AP799" i="1" s="1"/>
  <c r="O799" i="1"/>
  <c r="D799" i="1"/>
  <c r="BI798" i="1"/>
  <c r="AG798" i="1" s="1"/>
  <c r="AQ798" i="1"/>
  <c r="AB798" i="1"/>
  <c r="AL798" i="1" s="1"/>
  <c r="Z798" i="1"/>
  <c r="AP798" i="1" s="1"/>
  <c r="O798" i="1"/>
  <c r="D798" i="1"/>
  <c r="AQ797" i="1"/>
  <c r="AB797" i="1"/>
  <c r="AL797" i="1" s="1"/>
  <c r="Z797" i="1"/>
  <c r="AP797" i="1" s="1"/>
  <c r="O797" i="1"/>
  <c r="D797" i="1"/>
  <c r="AQ796" i="1"/>
  <c r="AB796" i="1"/>
  <c r="Z796" i="1"/>
  <c r="AP796" i="1" s="1"/>
  <c r="O796" i="1"/>
  <c r="D796" i="1"/>
  <c r="AQ795" i="1"/>
  <c r="AB795" i="1"/>
  <c r="AL795" i="1" s="1"/>
  <c r="Z795" i="1"/>
  <c r="AP795" i="1" s="1"/>
  <c r="O795" i="1"/>
  <c r="D795" i="1"/>
  <c r="AQ794" i="1"/>
  <c r="AB794" i="1"/>
  <c r="Z794" i="1"/>
  <c r="AP794" i="1" s="1"/>
  <c r="O794" i="1"/>
  <c r="D794" i="1"/>
  <c r="BI793" i="1"/>
  <c r="AG793" i="1" s="1"/>
  <c r="AB793" i="1"/>
  <c r="Z793" i="1"/>
  <c r="AP793" i="1" s="1"/>
  <c r="O793" i="1"/>
  <c r="D793" i="1"/>
  <c r="AQ792" i="1"/>
  <c r="AB792" i="1"/>
  <c r="AR792" i="1" s="1"/>
  <c r="Z792" i="1"/>
  <c r="AP792" i="1" s="1"/>
  <c r="O792" i="1"/>
  <c r="D792" i="1"/>
  <c r="AQ791" i="1"/>
  <c r="AB791" i="1"/>
  <c r="AR791" i="1" s="1"/>
  <c r="Z791" i="1"/>
  <c r="AP791" i="1" s="1"/>
  <c r="O791" i="1"/>
  <c r="D791" i="1"/>
  <c r="AQ790" i="1"/>
  <c r="AB790" i="1"/>
  <c r="AR790" i="1" s="1"/>
  <c r="BR790" i="1" s="1"/>
  <c r="Z790" i="1"/>
  <c r="AP790" i="1" s="1"/>
  <c r="O790" i="1"/>
  <c r="D790" i="1"/>
  <c r="BI789" i="1"/>
  <c r="AG789" i="1" s="1"/>
  <c r="AQ789" i="1"/>
  <c r="AB789" i="1"/>
  <c r="Z789" i="1"/>
  <c r="AP789" i="1" s="1"/>
  <c r="O789" i="1"/>
  <c r="D789" i="1"/>
  <c r="AQ788" i="1"/>
  <c r="AB788" i="1"/>
  <c r="Z788" i="1"/>
  <c r="AP788" i="1" s="1"/>
  <c r="O788" i="1"/>
  <c r="D788" i="1"/>
  <c r="AQ787" i="1"/>
  <c r="AB787" i="1"/>
  <c r="AR787" i="1" s="1"/>
  <c r="BR787" i="1" s="1"/>
  <c r="Z787" i="1"/>
  <c r="AP787" i="1" s="1"/>
  <c r="O787" i="1"/>
  <c r="D787" i="1"/>
  <c r="BI786" i="1"/>
  <c r="AG786" i="1" s="1"/>
  <c r="AB786" i="1"/>
  <c r="Z786" i="1"/>
  <c r="AP786" i="1" s="1"/>
  <c r="O786" i="1"/>
  <c r="D786" i="1"/>
  <c r="BI785" i="1"/>
  <c r="AG785" i="1" s="1"/>
  <c r="AB785" i="1"/>
  <c r="Z785" i="1"/>
  <c r="AP785" i="1" s="1"/>
  <c r="O785" i="1"/>
  <c r="D785" i="1"/>
  <c r="AB784" i="1"/>
  <c r="Z784" i="1"/>
  <c r="AP784" i="1" s="1"/>
  <c r="O784" i="1"/>
  <c r="D784" i="1"/>
  <c r="AB783" i="1"/>
  <c r="Z783" i="1"/>
  <c r="AP783" i="1" s="1"/>
  <c r="O783" i="1"/>
  <c r="D783" i="1"/>
  <c r="AB782" i="1"/>
  <c r="Z782" i="1"/>
  <c r="AP782" i="1" s="1"/>
  <c r="O782" i="1"/>
  <c r="D782" i="1"/>
  <c r="AQ781" i="1"/>
  <c r="AB781" i="1"/>
  <c r="AR781" i="1" s="1"/>
  <c r="BR781" i="1" s="1"/>
  <c r="Z781" i="1"/>
  <c r="AP781" i="1" s="1"/>
  <c r="O781" i="1"/>
  <c r="D781" i="1"/>
  <c r="AQ780" i="1"/>
  <c r="AB780" i="1"/>
  <c r="AR780" i="1" s="1"/>
  <c r="BR780" i="1" s="1"/>
  <c r="Z780" i="1"/>
  <c r="AP780" i="1" s="1"/>
  <c r="O780" i="1"/>
  <c r="D780" i="1"/>
  <c r="AQ779" i="1"/>
  <c r="AB779" i="1"/>
  <c r="AR779" i="1" s="1"/>
  <c r="BR779" i="1" s="1"/>
  <c r="Z779" i="1"/>
  <c r="AP779" i="1" s="1"/>
  <c r="O779" i="1"/>
  <c r="D779" i="1"/>
  <c r="AB778" i="1"/>
  <c r="Z778" i="1"/>
  <c r="AP778" i="1" s="1"/>
  <c r="O778" i="1"/>
  <c r="D778" i="1"/>
  <c r="BI777" i="1"/>
  <c r="AG777" i="1" s="1"/>
  <c r="AB777" i="1"/>
  <c r="AJ777" i="1" s="1"/>
  <c r="AQ777" i="1" s="1"/>
  <c r="Z777" i="1"/>
  <c r="AP777" i="1" s="1"/>
  <c r="O777" i="1"/>
  <c r="D777" i="1"/>
  <c r="AQ776" i="1"/>
  <c r="AB776" i="1"/>
  <c r="AK776" i="1" s="1"/>
  <c r="Z776" i="1"/>
  <c r="AP776" i="1" s="1"/>
  <c r="O776" i="1"/>
  <c r="D776" i="1"/>
  <c r="AQ775" i="1"/>
  <c r="AB775" i="1"/>
  <c r="AK775" i="1" s="1"/>
  <c r="Z775" i="1"/>
  <c r="AP775" i="1" s="1"/>
  <c r="O775" i="1"/>
  <c r="D775" i="1"/>
  <c r="AQ774" i="1"/>
  <c r="AB774" i="1"/>
  <c r="Z774" i="1"/>
  <c r="AP774" i="1" s="1"/>
  <c r="O774" i="1"/>
  <c r="D774" i="1"/>
  <c r="BI773" i="1"/>
  <c r="AG773" i="1" s="1"/>
  <c r="AB773" i="1"/>
  <c r="AJ773" i="1" s="1"/>
  <c r="AQ773" i="1" s="1"/>
  <c r="Z773" i="1"/>
  <c r="AP773" i="1" s="1"/>
  <c r="O773" i="1"/>
  <c r="D773" i="1"/>
  <c r="AB772" i="1"/>
  <c r="AJ772" i="1" s="1"/>
  <c r="AQ772" i="1" s="1"/>
  <c r="Z772" i="1"/>
  <c r="AP772" i="1" s="1"/>
  <c r="O772" i="1"/>
  <c r="D772" i="1"/>
  <c r="AQ771" i="1"/>
  <c r="AB771" i="1"/>
  <c r="AL771" i="1" s="1"/>
  <c r="Z771" i="1"/>
  <c r="AP771" i="1" s="1"/>
  <c r="O771" i="1"/>
  <c r="D771" i="1"/>
  <c r="AQ770" i="1"/>
  <c r="AB770" i="1"/>
  <c r="AK770" i="1" s="1"/>
  <c r="Z770" i="1"/>
  <c r="AP770" i="1" s="1"/>
  <c r="O770" i="1"/>
  <c r="D770" i="1"/>
  <c r="AB769" i="1"/>
  <c r="Z769" i="1"/>
  <c r="AP769" i="1" s="1"/>
  <c r="O769" i="1"/>
  <c r="D769" i="1"/>
  <c r="AQ768" i="1"/>
  <c r="AB768" i="1"/>
  <c r="AK768" i="1" s="1"/>
  <c r="Z768" i="1"/>
  <c r="AP768" i="1" s="1"/>
  <c r="O768" i="1"/>
  <c r="D768" i="1"/>
  <c r="AQ767" i="1"/>
  <c r="AB767" i="1"/>
  <c r="AK767" i="1" s="1"/>
  <c r="Z767" i="1"/>
  <c r="AP767" i="1" s="1"/>
  <c r="O767" i="1"/>
  <c r="D767" i="1"/>
  <c r="AB766" i="1"/>
  <c r="Z766" i="1"/>
  <c r="AP766" i="1" s="1"/>
  <c r="O766" i="1"/>
  <c r="D766" i="1"/>
  <c r="AB765" i="1"/>
  <c r="Z765" i="1"/>
  <c r="AP765" i="1" s="1"/>
  <c r="O765" i="1"/>
  <c r="D765" i="1"/>
  <c r="AQ764" i="1"/>
  <c r="AB764" i="1"/>
  <c r="AK764" i="1" s="1"/>
  <c r="Z764" i="1"/>
  <c r="AP764" i="1" s="1"/>
  <c r="O764" i="1"/>
  <c r="D764" i="1"/>
  <c r="AQ763" i="1"/>
  <c r="AB763" i="1"/>
  <c r="AK763" i="1" s="1"/>
  <c r="Z763" i="1"/>
  <c r="AP763" i="1" s="1"/>
  <c r="O763" i="1"/>
  <c r="D763" i="1"/>
  <c r="AB762" i="1"/>
  <c r="Z762" i="1"/>
  <c r="AP762" i="1" s="1"/>
  <c r="O762" i="1"/>
  <c r="D762" i="1"/>
  <c r="BI761" i="1"/>
  <c r="AG761" i="1" s="1"/>
  <c r="AB761" i="1"/>
  <c r="Z761" i="1"/>
  <c r="AP761" i="1" s="1"/>
  <c r="O761" i="1"/>
  <c r="D761" i="1"/>
  <c r="AQ760" i="1"/>
  <c r="AB760" i="1"/>
  <c r="AK760" i="1" s="1"/>
  <c r="Z760" i="1"/>
  <c r="AP760" i="1" s="1"/>
  <c r="O760" i="1"/>
  <c r="D760" i="1"/>
  <c r="AQ759" i="1"/>
  <c r="AB759" i="1"/>
  <c r="AK759" i="1" s="1"/>
  <c r="Z759" i="1"/>
  <c r="AP759" i="1" s="1"/>
  <c r="O759" i="1"/>
  <c r="D759" i="1"/>
  <c r="BI758" i="1"/>
  <c r="AG758" i="1" s="1"/>
  <c r="AB758" i="1"/>
  <c r="Z758" i="1"/>
  <c r="AP758" i="1" s="1"/>
  <c r="O758" i="1"/>
  <c r="D758" i="1"/>
  <c r="BI757" i="1"/>
  <c r="AG757" i="1" s="1"/>
  <c r="AQ757" i="1"/>
  <c r="AB757" i="1"/>
  <c r="AK757" i="1" s="1"/>
  <c r="Z757" i="1"/>
  <c r="AP757" i="1" s="1"/>
  <c r="O757" i="1"/>
  <c r="D757" i="1"/>
  <c r="AQ756" i="1"/>
  <c r="AB756" i="1"/>
  <c r="Z756" i="1"/>
  <c r="AP756" i="1" s="1"/>
  <c r="O756" i="1"/>
  <c r="D756" i="1"/>
  <c r="AQ755" i="1"/>
  <c r="AB755" i="1"/>
  <c r="Z755" i="1"/>
  <c r="AP755" i="1" s="1"/>
  <c r="O755" i="1"/>
  <c r="D755" i="1"/>
  <c r="BI754" i="1"/>
  <c r="AG754" i="1" s="1"/>
  <c r="AQ754" i="1"/>
  <c r="AB754" i="1"/>
  <c r="AK754" i="1" s="1"/>
  <c r="Z754" i="1"/>
  <c r="AP754" i="1" s="1"/>
  <c r="O754" i="1"/>
  <c r="D754" i="1"/>
  <c r="AQ753" i="1"/>
  <c r="AB753" i="1"/>
  <c r="Z753" i="1"/>
  <c r="AP753" i="1" s="1"/>
  <c r="O753" i="1"/>
  <c r="D753" i="1"/>
  <c r="AQ752" i="1"/>
  <c r="AB752" i="1"/>
  <c r="AK752" i="1" s="1"/>
  <c r="Z752" i="1"/>
  <c r="AP752" i="1" s="1"/>
  <c r="O752" i="1"/>
  <c r="D752" i="1"/>
  <c r="AQ751" i="1"/>
  <c r="AB751" i="1"/>
  <c r="Z751" i="1"/>
  <c r="AP751" i="1" s="1"/>
  <c r="O751" i="1"/>
  <c r="D751" i="1"/>
  <c r="AB750" i="1"/>
  <c r="Z750" i="1"/>
  <c r="AP750" i="1" s="1"/>
  <c r="O750" i="1"/>
  <c r="D750" i="1"/>
  <c r="AB749" i="1"/>
  <c r="Z749" i="1"/>
  <c r="AP749" i="1" s="1"/>
  <c r="O749" i="1"/>
  <c r="D749" i="1"/>
  <c r="AB748" i="1"/>
  <c r="AJ748" i="1" s="1"/>
  <c r="AQ748" i="1" s="1"/>
  <c r="Z748" i="1"/>
  <c r="AP748" i="1" s="1"/>
  <c r="O748" i="1"/>
  <c r="D748" i="1"/>
  <c r="AQ747" i="1"/>
  <c r="AB747" i="1"/>
  <c r="Z747" i="1"/>
  <c r="AP747" i="1" s="1"/>
  <c r="O747" i="1"/>
  <c r="D747" i="1"/>
  <c r="AB746" i="1"/>
  <c r="Z746" i="1"/>
  <c r="AP746" i="1" s="1"/>
  <c r="O746" i="1"/>
  <c r="D746" i="1"/>
  <c r="BI745" i="1"/>
  <c r="AG745" i="1" s="1"/>
  <c r="AQ745" i="1"/>
  <c r="AB745" i="1"/>
  <c r="AK745" i="1" s="1"/>
  <c r="Z745" i="1"/>
  <c r="AP745" i="1" s="1"/>
  <c r="O745" i="1"/>
  <c r="D745" i="1"/>
  <c r="AQ744" i="1"/>
  <c r="AB744" i="1"/>
  <c r="AK744" i="1" s="1"/>
  <c r="Z744" i="1"/>
  <c r="AP744" i="1" s="1"/>
  <c r="O744" i="1"/>
  <c r="D744" i="1"/>
  <c r="AB743" i="1"/>
  <c r="Z743" i="1"/>
  <c r="AP743" i="1" s="1"/>
  <c r="O743" i="1"/>
  <c r="D743" i="1"/>
  <c r="AQ742" i="1"/>
  <c r="AB742" i="1"/>
  <c r="Z742" i="1"/>
  <c r="AP742" i="1" s="1"/>
  <c r="O742" i="1"/>
  <c r="D742" i="1"/>
  <c r="BI741" i="1"/>
  <c r="AG741" i="1" s="1"/>
  <c r="AQ741" i="1"/>
  <c r="AB741" i="1"/>
  <c r="AK741" i="1" s="1"/>
  <c r="Z741" i="1"/>
  <c r="AP741" i="1" s="1"/>
  <c r="O741" i="1"/>
  <c r="D741" i="1"/>
  <c r="AQ740" i="1"/>
  <c r="AB740" i="1"/>
  <c r="AK740" i="1" s="1"/>
  <c r="Z740" i="1"/>
  <c r="AP740" i="1" s="1"/>
  <c r="O740" i="1"/>
  <c r="D740" i="1"/>
  <c r="AQ739" i="1"/>
  <c r="AB739" i="1"/>
  <c r="AK739" i="1" s="1"/>
  <c r="Z739" i="1"/>
  <c r="AP739" i="1" s="1"/>
  <c r="O739" i="1"/>
  <c r="D739" i="1"/>
  <c r="BI738" i="1"/>
  <c r="AG738" i="1" s="1"/>
  <c r="AQ738" i="1"/>
  <c r="AB738" i="1"/>
  <c r="AK738" i="1" s="1"/>
  <c r="Z738" i="1"/>
  <c r="AP738" i="1" s="1"/>
  <c r="O738" i="1"/>
  <c r="D738" i="1"/>
  <c r="AB737" i="1"/>
  <c r="Z737" i="1"/>
  <c r="AP737" i="1" s="1"/>
  <c r="O737" i="1"/>
  <c r="D737" i="1"/>
  <c r="AQ736" i="1"/>
  <c r="AB736" i="1"/>
  <c r="AR736" i="1" s="1"/>
  <c r="Z736" i="1"/>
  <c r="AP736" i="1" s="1"/>
  <c r="O736" i="1"/>
  <c r="D736" i="1"/>
  <c r="AB735" i="1"/>
  <c r="Z735" i="1"/>
  <c r="AP735" i="1" s="1"/>
  <c r="O735" i="1"/>
  <c r="D735" i="1"/>
  <c r="AB734" i="1"/>
  <c r="AJ734" i="1" s="1"/>
  <c r="AQ734" i="1" s="1"/>
  <c r="Z734" i="1"/>
  <c r="AP734" i="1" s="1"/>
  <c r="O734" i="1"/>
  <c r="D734" i="1"/>
  <c r="BI733" i="1"/>
  <c r="AG733" i="1" s="1"/>
  <c r="AQ733" i="1"/>
  <c r="AB733" i="1"/>
  <c r="AK733" i="1" s="1"/>
  <c r="Z733" i="1"/>
  <c r="AP733" i="1" s="1"/>
  <c r="O733" i="1"/>
  <c r="D733" i="1"/>
  <c r="BI732" i="1"/>
  <c r="AG732" i="1" s="1"/>
  <c r="AB732" i="1"/>
  <c r="Z732" i="1"/>
  <c r="AP732" i="1" s="1"/>
  <c r="O732" i="1"/>
  <c r="D732" i="1"/>
  <c r="AQ731" i="1"/>
  <c r="AB731" i="1"/>
  <c r="Z731" i="1"/>
  <c r="AP731" i="1" s="1"/>
  <c r="O731" i="1"/>
  <c r="D731" i="1"/>
  <c r="BI730" i="1"/>
  <c r="AG730" i="1" s="1"/>
  <c r="AQ730" i="1"/>
  <c r="AB730" i="1"/>
  <c r="AK730" i="1" s="1"/>
  <c r="Z730" i="1"/>
  <c r="AP730" i="1" s="1"/>
  <c r="O730" i="1"/>
  <c r="D730" i="1"/>
  <c r="BI729" i="1"/>
  <c r="AG729" i="1" s="1"/>
  <c r="AQ729" i="1"/>
  <c r="AB729" i="1"/>
  <c r="Z729" i="1"/>
  <c r="AP729" i="1" s="1"/>
  <c r="O729" i="1"/>
  <c r="D729" i="1"/>
  <c r="AB728" i="1"/>
  <c r="Z728" i="1"/>
  <c r="AP728" i="1" s="1"/>
  <c r="O728" i="1"/>
  <c r="D728" i="1"/>
  <c r="AB727" i="1"/>
  <c r="Z727" i="1"/>
  <c r="AP727" i="1" s="1"/>
  <c r="O727" i="1"/>
  <c r="D727" i="1"/>
  <c r="AB726" i="1"/>
  <c r="Z726" i="1"/>
  <c r="AP726" i="1" s="1"/>
  <c r="O726" i="1"/>
  <c r="D726" i="1"/>
  <c r="BI725" i="1"/>
  <c r="AG725" i="1" s="1"/>
  <c r="AB725" i="1"/>
  <c r="AJ725" i="1" s="1"/>
  <c r="AQ725" i="1" s="1"/>
  <c r="Z725" i="1"/>
  <c r="AP725" i="1" s="1"/>
  <c r="O725" i="1"/>
  <c r="D725" i="1"/>
  <c r="AQ724" i="1"/>
  <c r="AB724" i="1"/>
  <c r="AK724" i="1" s="1"/>
  <c r="Z724" i="1"/>
  <c r="AP724" i="1" s="1"/>
  <c r="O724" i="1"/>
  <c r="D724" i="1"/>
  <c r="AB723" i="1"/>
  <c r="Z723" i="1"/>
  <c r="AP723" i="1" s="1"/>
  <c r="O723" i="1"/>
  <c r="D723" i="1"/>
  <c r="BI722" i="1"/>
  <c r="AG722" i="1" s="1"/>
  <c r="AQ722" i="1"/>
  <c r="AB722" i="1"/>
  <c r="AK722" i="1" s="1"/>
  <c r="Z722" i="1"/>
  <c r="AP722" i="1" s="1"/>
  <c r="O722" i="1"/>
  <c r="D722" i="1"/>
  <c r="BI721" i="1"/>
  <c r="AG721" i="1" s="1"/>
  <c r="AB721" i="1"/>
  <c r="AJ721" i="1" s="1"/>
  <c r="AQ721" i="1" s="1"/>
  <c r="Z721" i="1"/>
  <c r="AP721" i="1" s="1"/>
  <c r="O721" i="1"/>
  <c r="D721" i="1"/>
  <c r="AQ720" i="1"/>
  <c r="AB720" i="1"/>
  <c r="AR720" i="1" s="1"/>
  <c r="Z720" i="1"/>
  <c r="AP720" i="1" s="1"/>
  <c r="O720" i="1"/>
  <c r="D720" i="1"/>
  <c r="AB719" i="1"/>
  <c r="Z719" i="1"/>
  <c r="AP719" i="1" s="1"/>
  <c r="O719" i="1"/>
  <c r="D719" i="1"/>
  <c r="BI718" i="1"/>
  <c r="AG718" i="1" s="1"/>
  <c r="AQ718" i="1"/>
  <c r="AB718" i="1"/>
  <c r="AL718" i="1" s="1"/>
  <c r="Z718" i="1"/>
  <c r="AP718" i="1" s="1"/>
  <c r="O718" i="1"/>
  <c r="D718" i="1"/>
  <c r="BI717" i="1"/>
  <c r="AG717" i="1" s="1"/>
  <c r="AQ717" i="1"/>
  <c r="AB717" i="1"/>
  <c r="AK717" i="1" s="1"/>
  <c r="Z717" i="1"/>
  <c r="AP717" i="1" s="1"/>
  <c r="O717" i="1"/>
  <c r="D717" i="1"/>
  <c r="AQ716" i="1"/>
  <c r="AB716" i="1"/>
  <c r="AK716" i="1" s="1"/>
  <c r="Z716" i="1"/>
  <c r="AP716" i="1" s="1"/>
  <c r="O716" i="1"/>
  <c r="D716" i="1"/>
  <c r="AQ715" i="1"/>
  <c r="AB715" i="1"/>
  <c r="AK715" i="1" s="1"/>
  <c r="Z715" i="1"/>
  <c r="AP715" i="1" s="1"/>
  <c r="O715" i="1"/>
  <c r="D715" i="1"/>
  <c r="BI714" i="1"/>
  <c r="AG714" i="1" s="1"/>
  <c r="AQ714" i="1"/>
  <c r="AB714" i="1"/>
  <c r="Z714" i="1"/>
  <c r="AP714" i="1" s="1"/>
  <c r="O714" i="1"/>
  <c r="D714" i="1"/>
  <c r="BI713" i="1"/>
  <c r="AG713" i="1" s="1"/>
  <c r="AQ713" i="1"/>
  <c r="AB713" i="1"/>
  <c r="AK713" i="1" s="1"/>
  <c r="Z713" i="1"/>
  <c r="AP713" i="1" s="1"/>
  <c r="O713" i="1"/>
  <c r="D713" i="1"/>
  <c r="BI712" i="1"/>
  <c r="AG712" i="1" s="1"/>
  <c r="AQ712" i="1"/>
  <c r="AB712" i="1"/>
  <c r="AR712" i="1" s="1"/>
  <c r="Z712" i="1"/>
  <c r="AP712" i="1" s="1"/>
  <c r="O712" i="1"/>
  <c r="D712" i="1"/>
  <c r="AB711" i="1"/>
  <c r="Z711" i="1"/>
  <c r="AP711" i="1" s="1"/>
  <c r="O711" i="1"/>
  <c r="D711" i="1"/>
  <c r="BI710" i="1"/>
  <c r="AG710" i="1" s="1"/>
  <c r="AQ710" i="1"/>
  <c r="AB710" i="1"/>
  <c r="Z710" i="1"/>
  <c r="AP710" i="1" s="1"/>
  <c r="O710" i="1"/>
  <c r="D710" i="1"/>
  <c r="BI709" i="1"/>
  <c r="AG709" i="1" s="1"/>
  <c r="AQ709" i="1"/>
  <c r="AB709" i="1"/>
  <c r="AL709" i="1" s="1"/>
  <c r="Z709" i="1"/>
  <c r="AP709" i="1" s="1"/>
  <c r="O709" i="1"/>
  <c r="D709" i="1"/>
  <c r="AQ708" i="1"/>
  <c r="AB708" i="1"/>
  <c r="AK708" i="1" s="1"/>
  <c r="Z708" i="1"/>
  <c r="AP708" i="1" s="1"/>
  <c r="O708" i="1"/>
  <c r="D708" i="1"/>
  <c r="AQ707" i="1"/>
  <c r="AB707" i="1"/>
  <c r="Z707" i="1"/>
  <c r="AP707" i="1" s="1"/>
  <c r="O707" i="1"/>
  <c r="D707" i="1"/>
  <c r="AQ706" i="1"/>
  <c r="AB706" i="1"/>
  <c r="AR706" i="1" s="1"/>
  <c r="Z706" i="1"/>
  <c r="AP706" i="1" s="1"/>
  <c r="O706" i="1"/>
  <c r="D706" i="1"/>
  <c r="AQ705" i="1"/>
  <c r="AB705" i="1"/>
  <c r="AR705" i="1" s="1"/>
  <c r="Z705" i="1"/>
  <c r="AP705" i="1" s="1"/>
  <c r="O705" i="1"/>
  <c r="D705" i="1"/>
  <c r="AQ704" i="1"/>
  <c r="AB704" i="1"/>
  <c r="AR704" i="1" s="1"/>
  <c r="Z704" i="1"/>
  <c r="AP704" i="1" s="1"/>
  <c r="O704" i="1"/>
  <c r="D704" i="1"/>
  <c r="AB703" i="1"/>
  <c r="Z703" i="1"/>
  <c r="AP703" i="1" s="1"/>
  <c r="O703" i="1"/>
  <c r="D703" i="1"/>
  <c r="AB702" i="1"/>
  <c r="AJ702" i="1" s="1"/>
  <c r="AQ702" i="1" s="1"/>
  <c r="Z702" i="1"/>
  <c r="AP702" i="1" s="1"/>
  <c r="O702" i="1"/>
  <c r="D702" i="1"/>
  <c r="AQ701" i="1"/>
  <c r="AB701" i="1"/>
  <c r="AL701" i="1" s="1"/>
  <c r="Z701" i="1"/>
  <c r="AP701" i="1" s="1"/>
  <c r="O701" i="1"/>
  <c r="D701" i="1"/>
  <c r="AB700" i="1"/>
  <c r="AJ700" i="1" s="1"/>
  <c r="AQ700" i="1" s="1"/>
  <c r="Z700" i="1"/>
  <c r="AP700" i="1" s="1"/>
  <c r="O700" i="1"/>
  <c r="D700" i="1"/>
  <c r="AQ699" i="1"/>
  <c r="AB699" i="1"/>
  <c r="Z699" i="1"/>
  <c r="AP699" i="1" s="1"/>
  <c r="O699" i="1"/>
  <c r="D699" i="1"/>
  <c r="BI698" i="1"/>
  <c r="AG698" i="1" s="1"/>
  <c r="AQ698" i="1"/>
  <c r="AB698" i="1"/>
  <c r="AR698" i="1" s="1"/>
  <c r="Z698" i="1"/>
  <c r="AP698" i="1" s="1"/>
  <c r="O698" i="1"/>
  <c r="D698" i="1"/>
  <c r="BI697" i="1"/>
  <c r="AG697" i="1" s="1"/>
  <c r="AQ697" i="1"/>
  <c r="AB697" i="1"/>
  <c r="AR697" i="1" s="1"/>
  <c r="Z697" i="1"/>
  <c r="AP697" i="1" s="1"/>
  <c r="O697" i="1"/>
  <c r="D697" i="1"/>
  <c r="AB696" i="1"/>
  <c r="Z696" i="1"/>
  <c r="AP696" i="1" s="1"/>
  <c r="O696" i="1"/>
  <c r="D696" i="1"/>
  <c r="AB695" i="1"/>
  <c r="Z695" i="1"/>
  <c r="AP695" i="1" s="1"/>
  <c r="O695" i="1"/>
  <c r="D695" i="1"/>
  <c r="BI694" i="1"/>
  <c r="AG694" i="1" s="1"/>
  <c r="AQ694" i="1"/>
  <c r="AB694" i="1"/>
  <c r="AK694" i="1" s="1"/>
  <c r="Z694" i="1"/>
  <c r="AP694" i="1" s="1"/>
  <c r="O694" i="1"/>
  <c r="D694" i="1"/>
  <c r="AQ693" i="1"/>
  <c r="AB693" i="1"/>
  <c r="AK693" i="1" s="1"/>
  <c r="Z693" i="1"/>
  <c r="AP693" i="1" s="1"/>
  <c r="O693" i="1"/>
  <c r="D693" i="1"/>
  <c r="AQ692" i="1"/>
  <c r="AB692" i="1"/>
  <c r="AK692" i="1" s="1"/>
  <c r="Z692" i="1"/>
  <c r="AP692" i="1" s="1"/>
  <c r="O692" i="1"/>
  <c r="D692" i="1"/>
  <c r="AQ691" i="1"/>
  <c r="AB691" i="1"/>
  <c r="Z691" i="1"/>
  <c r="AP691" i="1" s="1"/>
  <c r="O691" i="1"/>
  <c r="D691" i="1"/>
  <c r="AB690" i="1"/>
  <c r="AJ690" i="1" s="1"/>
  <c r="AQ690" i="1" s="1"/>
  <c r="Z690" i="1"/>
  <c r="AP690" i="1" s="1"/>
  <c r="O690" i="1"/>
  <c r="D690" i="1"/>
  <c r="AQ689" i="1"/>
  <c r="AB689" i="1"/>
  <c r="Z689" i="1"/>
  <c r="AP689" i="1" s="1"/>
  <c r="O689" i="1"/>
  <c r="D689" i="1"/>
  <c r="AQ688" i="1"/>
  <c r="AB688" i="1"/>
  <c r="AK688" i="1" s="1"/>
  <c r="Z688" i="1"/>
  <c r="AP688" i="1" s="1"/>
  <c r="O688" i="1"/>
  <c r="D688" i="1"/>
  <c r="AQ687" i="1"/>
  <c r="AB687" i="1"/>
  <c r="AK687" i="1" s="1"/>
  <c r="Z687" i="1"/>
  <c r="AP687" i="1" s="1"/>
  <c r="O687" i="1"/>
  <c r="D687" i="1"/>
  <c r="AB686" i="1"/>
  <c r="Z686" i="1"/>
  <c r="AP686" i="1" s="1"/>
  <c r="O686" i="1"/>
  <c r="D686" i="1"/>
  <c r="BI685" i="1"/>
  <c r="AG685" i="1" s="1"/>
  <c r="AB685" i="1"/>
  <c r="Z685" i="1"/>
  <c r="AP685" i="1" s="1"/>
  <c r="O685" i="1"/>
  <c r="D685" i="1"/>
  <c r="AQ684" i="1"/>
  <c r="AB684" i="1"/>
  <c r="Z684" i="1"/>
  <c r="AP684" i="1" s="1"/>
  <c r="O684" i="1"/>
  <c r="D684" i="1"/>
  <c r="AQ683" i="1"/>
  <c r="AB683" i="1"/>
  <c r="Z683" i="1"/>
  <c r="AP683" i="1" s="1"/>
  <c r="O683" i="1"/>
  <c r="D683" i="1"/>
  <c r="AQ682" i="1"/>
  <c r="AB682" i="1"/>
  <c r="AK682" i="1" s="1"/>
  <c r="Z682" i="1"/>
  <c r="AP682" i="1" s="1"/>
  <c r="O682" i="1"/>
  <c r="D682" i="1"/>
  <c r="BI681" i="1"/>
  <c r="AG681" i="1" s="1"/>
  <c r="AQ681" i="1"/>
  <c r="AB681" i="1"/>
  <c r="AK681" i="1" s="1"/>
  <c r="Z681" i="1"/>
  <c r="AP681" i="1" s="1"/>
  <c r="O681" i="1"/>
  <c r="D681" i="1"/>
  <c r="AQ680" i="1"/>
  <c r="AB680" i="1"/>
  <c r="AK680" i="1" s="1"/>
  <c r="Z680" i="1"/>
  <c r="AP680" i="1" s="1"/>
  <c r="O680" i="1"/>
  <c r="D680" i="1"/>
  <c r="AB679" i="1"/>
  <c r="AJ679" i="1" s="1"/>
  <c r="AQ679" i="1" s="1"/>
  <c r="Z679" i="1"/>
  <c r="AP679" i="1" s="1"/>
  <c r="O679" i="1"/>
  <c r="D679" i="1"/>
  <c r="BI678" i="1"/>
  <c r="AG678" i="1" s="1"/>
  <c r="AQ678" i="1"/>
  <c r="AB678" i="1"/>
  <c r="AR678" i="1" s="1"/>
  <c r="Z678" i="1"/>
  <c r="AP678" i="1" s="1"/>
  <c r="O678" i="1"/>
  <c r="D678" i="1"/>
  <c r="AQ677" i="1"/>
  <c r="AB677" i="1"/>
  <c r="Z677" i="1"/>
  <c r="AP677" i="1" s="1"/>
  <c r="O677" i="1"/>
  <c r="D677" i="1"/>
  <c r="AQ676" i="1"/>
  <c r="AB676" i="1"/>
  <c r="Z676" i="1"/>
  <c r="AP676" i="1" s="1"/>
  <c r="O676" i="1"/>
  <c r="D676" i="1"/>
  <c r="AB675" i="1"/>
  <c r="AJ675" i="1" s="1"/>
  <c r="AQ675" i="1" s="1"/>
  <c r="Z675" i="1"/>
  <c r="AP675" i="1" s="1"/>
  <c r="O675" i="1"/>
  <c r="D675" i="1"/>
  <c r="AQ674" i="1"/>
  <c r="AB674" i="1"/>
  <c r="Z674" i="1"/>
  <c r="AP674" i="1" s="1"/>
  <c r="O674" i="1"/>
  <c r="D674" i="1"/>
  <c r="BI673" i="1"/>
  <c r="AG673" i="1" s="1"/>
  <c r="AQ673" i="1"/>
  <c r="AB673" i="1"/>
  <c r="Z673" i="1"/>
  <c r="AP673" i="1" s="1"/>
  <c r="O673" i="1"/>
  <c r="D673" i="1"/>
  <c r="AQ672" i="1"/>
  <c r="AB672" i="1"/>
  <c r="AK672" i="1" s="1"/>
  <c r="Z672" i="1"/>
  <c r="AP672" i="1" s="1"/>
  <c r="O672" i="1"/>
  <c r="D672" i="1"/>
  <c r="AQ671" i="1"/>
  <c r="AB671" i="1"/>
  <c r="Z671" i="1"/>
  <c r="AP671" i="1" s="1"/>
  <c r="O671" i="1"/>
  <c r="D671" i="1"/>
  <c r="BI670" i="1"/>
  <c r="AG670" i="1" s="1"/>
  <c r="AQ670" i="1"/>
  <c r="AB670" i="1"/>
  <c r="AR670" i="1" s="1"/>
  <c r="BR670" i="1" s="1"/>
  <c r="Z670" i="1"/>
  <c r="AP670" i="1" s="1"/>
  <c r="O670" i="1"/>
  <c r="D670" i="1"/>
  <c r="AB669" i="1"/>
  <c r="AJ669" i="1" s="1"/>
  <c r="AQ669" i="1" s="1"/>
  <c r="Z669" i="1"/>
  <c r="AP669" i="1" s="1"/>
  <c r="O669" i="1"/>
  <c r="D669" i="1"/>
  <c r="AQ668" i="1"/>
  <c r="AB668" i="1"/>
  <c r="Z668" i="1"/>
  <c r="AP668" i="1" s="1"/>
  <c r="O668" i="1"/>
  <c r="D668" i="1"/>
  <c r="AQ667" i="1"/>
  <c r="AB667" i="1"/>
  <c r="Z667" i="1"/>
  <c r="AP667" i="1" s="1"/>
  <c r="O667" i="1"/>
  <c r="D667" i="1"/>
  <c r="BI666" i="1"/>
  <c r="AG666" i="1" s="1"/>
  <c r="AQ666" i="1"/>
  <c r="AB666" i="1"/>
  <c r="Z666" i="1"/>
  <c r="AP666" i="1" s="1"/>
  <c r="O666" i="1"/>
  <c r="D666" i="1"/>
  <c r="BI665" i="1"/>
  <c r="AG665" i="1" s="1"/>
  <c r="AQ665" i="1"/>
  <c r="AB665" i="1"/>
  <c r="AK665" i="1" s="1"/>
  <c r="Z665" i="1"/>
  <c r="AP665" i="1" s="1"/>
  <c r="O665" i="1"/>
  <c r="D665" i="1"/>
  <c r="AQ664" i="1"/>
  <c r="AB664" i="1"/>
  <c r="Z664" i="1"/>
  <c r="AP664" i="1" s="1"/>
  <c r="O664" i="1"/>
  <c r="D664" i="1"/>
  <c r="AQ663" i="1"/>
  <c r="AB663" i="1"/>
  <c r="AR663" i="1" s="1"/>
  <c r="Z663" i="1"/>
  <c r="AP663" i="1" s="1"/>
  <c r="O663" i="1"/>
  <c r="D663" i="1"/>
  <c r="BI662" i="1"/>
  <c r="AG662" i="1" s="1"/>
  <c r="AQ662" i="1"/>
  <c r="AB662" i="1"/>
  <c r="AR662" i="1" s="1"/>
  <c r="Z662" i="1"/>
  <c r="AP662" i="1" s="1"/>
  <c r="O662" i="1"/>
  <c r="D662" i="1"/>
  <c r="BI661" i="1"/>
  <c r="AG661" i="1" s="1"/>
  <c r="AQ661" i="1"/>
  <c r="AB661" i="1"/>
  <c r="AR661" i="1" s="1"/>
  <c r="BR661" i="1" s="1"/>
  <c r="Z661" i="1"/>
  <c r="AP661" i="1" s="1"/>
  <c r="O661" i="1"/>
  <c r="D661" i="1"/>
  <c r="AQ660" i="1"/>
  <c r="AB660" i="1"/>
  <c r="AL660" i="1" s="1"/>
  <c r="Z660" i="1"/>
  <c r="AP660" i="1" s="1"/>
  <c r="O660" i="1"/>
  <c r="D660" i="1"/>
  <c r="AQ659" i="1"/>
  <c r="AB659" i="1"/>
  <c r="AK659" i="1" s="1"/>
  <c r="Z659" i="1"/>
  <c r="AP659" i="1" s="1"/>
  <c r="O659" i="1"/>
  <c r="D659" i="1"/>
  <c r="BI658" i="1"/>
  <c r="AG658" i="1" s="1"/>
  <c r="AB658" i="1"/>
  <c r="AJ658" i="1" s="1"/>
  <c r="AQ658" i="1" s="1"/>
  <c r="Z658" i="1"/>
  <c r="AP658" i="1" s="1"/>
  <c r="O658" i="1"/>
  <c r="D658" i="1"/>
  <c r="AQ657" i="1"/>
  <c r="AB657" i="1"/>
  <c r="AR657" i="1" s="1"/>
  <c r="Z657" i="1"/>
  <c r="AP657" i="1" s="1"/>
  <c r="O657" i="1"/>
  <c r="D657" i="1"/>
  <c r="AQ656" i="1"/>
  <c r="AB656" i="1"/>
  <c r="AR656" i="1" s="1"/>
  <c r="Z656" i="1"/>
  <c r="AP656" i="1" s="1"/>
  <c r="O656" i="1"/>
  <c r="D656" i="1"/>
  <c r="AQ655" i="1"/>
  <c r="AB655" i="1"/>
  <c r="AR655" i="1" s="1"/>
  <c r="Z655" i="1"/>
  <c r="AP655" i="1" s="1"/>
  <c r="O655" i="1"/>
  <c r="D655" i="1"/>
  <c r="AQ654" i="1"/>
  <c r="AB654" i="1"/>
  <c r="AK654" i="1" s="1"/>
  <c r="Z654" i="1"/>
  <c r="AP654" i="1" s="1"/>
  <c r="O654" i="1"/>
  <c r="D654" i="1"/>
  <c r="AQ653" i="1"/>
  <c r="AB653" i="1"/>
  <c r="AR653" i="1" s="1"/>
  <c r="Z653" i="1"/>
  <c r="AP653" i="1" s="1"/>
  <c r="O653" i="1"/>
  <c r="D653" i="1"/>
  <c r="AQ652" i="1"/>
  <c r="AB652" i="1"/>
  <c r="AL652" i="1" s="1"/>
  <c r="Z652" i="1"/>
  <c r="AP652" i="1" s="1"/>
  <c r="O652" i="1"/>
  <c r="D652" i="1"/>
  <c r="AQ651" i="1"/>
  <c r="AB651" i="1"/>
  <c r="Z651" i="1"/>
  <c r="AP651" i="1" s="1"/>
  <c r="O651" i="1"/>
  <c r="D651" i="1"/>
  <c r="AQ650" i="1"/>
  <c r="AB650" i="1"/>
  <c r="Z650" i="1"/>
  <c r="AP650" i="1" s="1"/>
  <c r="O650" i="1"/>
  <c r="D650" i="1"/>
  <c r="AQ649" i="1"/>
  <c r="AB649" i="1"/>
  <c r="AR649" i="1" s="1"/>
  <c r="Z649" i="1"/>
  <c r="AP649" i="1" s="1"/>
  <c r="O649" i="1"/>
  <c r="D649" i="1"/>
  <c r="AQ648" i="1"/>
  <c r="AB648" i="1"/>
  <c r="AR648" i="1" s="1"/>
  <c r="Z648" i="1"/>
  <c r="AP648" i="1" s="1"/>
  <c r="O648" i="1"/>
  <c r="D648" i="1"/>
  <c r="AQ647" i="1"/>
  <c r="AB647" i="1"/>
  <c r="AL647" i="1" s="1"/>
  <c r="Z647" i="1"/>
  <c r="AP647" i="1" s="1"/>
  <c r="O647" i="1"/>
  <c r="D647" i="1"/>
  <c r="AQ646" i="1"/>
  <c r="AB646" i="1"/>
  <c r="AK646" i="1" s="1"/>
  <c r="Z646" i="1"/>
  <c r="AP646" i="1" s="1"/>
  <c r="O646" i="1"/>
  <c r="D646" i="1"/>
  <c r="BI645" i="1"/>
  <c r="AG645" i="1" s="1"/>
  <c r="AB645" i="1"/>
  <c r="Z645" i="1"/>
  <c r="AP645" i="1" s="1"/>
  <c r="O645" i="1"/>
  <c r="D645" i="1"/>
  <c r="BI644" i="1"/>
  <c r="AG644" i="1" s="1"/>
  <c r="AB644" i="1"/>
  <c r="Z644" i="1"/>
  <c r="AP644" i="1" s="1"/>
  <c r="O644" i="1"/>
  <c r="D644" i="1"/>
  <c r="AB643" i="1"/>
  <c r="Z643" i="1"/>
  <c r="AP643" i="1" s="1"/>
  <c r="O643" i="1"/>
  <c r="D643" i="1"/>
  <c r="AB642" i="1"/>
  <c r="Z642" i="1"/>
  <c r="AP642" i="1" s="1"/>
  <c r="O642" i="1"/>
  <c r="D642" i="1"/>
  <c r="AB641" i="1"/>
  <c r="Z641" i="1"/>
  <c r="AP641" i="1" s="1"/>
  <c r="O641" i="1"/>
  <c r="D641" i="1"/>
  <c r="AB640" i="1"/>
  <c r="AJ640" i="1" s="1"/>
  <c r="AQ640" i="1" s="1"/>
  <c r="Z640" i="1"/>
  <c r="AP640" i="1" s="1"/>
  <c r="O640" i="1"/>
  <c r="D640" i="1"/>
  <c r="AB639" i="1"/>
  <c r="AJ639" i="1" s="1"/>
  <c r="AQ639" i="1" s="1"/>
  <c r="Z639" i="1"/>
  <c r="AP639" i="1" s="1"/>
  <c r="O639" i="1"/>
  <c r="D639" i="1"/>
  <c r="AQ638" i="1"/>
  <c r="AB638" i="1"/>
  <c r="Z638" i="1"/>
  <c r="AP638" i="1" s="1"/>
  <c r="O638" i="1"/>
  <c r="D638" i="1"/>
  <c r="BI637" i="1"/>
  <c r="AG637" i="1" s="1"/>
  <c r="AQ637" i="1"/>
  <c r="AB637" i="1"/>
  <c r="Z637" i="1"/>
  <c r="AP637" i="1" s="1"/>
  <c r="O637" i="1"/>
  <c r="D637" i="1"/>
  <c r="AQ636" i="1"/>
  <c r="AB636" i="1"/>
  <c r="AK636" i="1" s="1"/>
  <c r="Z636" i="1"/>
  <c r="AP636" i="1" s="1"/>
  <c r="O636" i="1"/>
  <c r="D636" i="1"/>
  <c r="AQ635" i="1"/>
  <c r="AB635" i="1"/>
  <c r="Z635" i="1"/>
  <c r="AP635" i="1" s="1"/>
  <c r="O635" i="1"/>
  <c r="D635" i="1"/>
  <c r="AB634" i="1"/>
  <c r="AJ634" i="1" s="1"/>
  <c r="AQ634" i="1" s="1"/>
  <c r="Z634" i="1"/>
  <c r="AP634" i="1" s="1"/>
  <c r="O634" i="1"/>
  <c r="D634" i="1"/>
  <c r="BI633" i="1"/>
  <c r="AG633" i="1" s="1"/>
  <c r="AQ633" i="1"/>
  <c r="AB633" i="1"/>
  <c r="AL633" i="1" s="1"/>
  <c r="Z633" i="1"/>
  <c r="AP633" i="1" s="1"/>
  <c r="O633" i="1"/>
  <c r="D633" i="1"/>
  <c r="AQ632" i="1"/>
  <c r="AB632" i="1"/>
  <c r="Z632" i="1"/>
  <c r="AP632" i="1" s="1"/>
  <c r="O632" i="1"/>
  <c r="D632" i="1"/>
  <c r="AB631" i="1"/>
  <c r="Z631" i="1"/>
  <c r="AP631" i="1" s="1"/>
  <c r="O631" i="1"/>
  <c r="D631" i="1"/>
  <c r="AQ630" i="1"/>
  <c r="AB630" i="1"/>
  <c r="Z630" i="1"/>
  <c r="AP630" i="1" s="1"/>
  <c r="O630" i="1"/>
  <c r="D630" i="1"/>
  <c r="AQ629" i="1"/>
  <c r="AB629" i="1"/>
  <c r="AR629" i="1" s="1"/>
  <c r="Z629" i="1"/>
  <c r="AP629" i="1" s="1"/>
  <c r="O629" i="1"/>
  <c r="D629" i="1"/>
  <c r="AB628" i="1"/>
  <c r="Z628" i="1"/>
  <c r="AP628" i="1" s="1"/>
  <c r="O628" i="1"/>
  <c r="D628" i="1"/>
  <c r="AQ627" i="1"/>
  <c r="AB627" i="1"/>
  <c r="Z627" i="1"/>
  <c r="AP627" i="1" s="1"/>
  <c r="O627" i="1"/>
  <c r="D627" i="1"/>
  <c r="AB626" i="1"/>
  <c r="AJ626" i="1" s="1"/>
  <c r="AQ626" i="1" s="1"/>
  <c r="Z626" i="1"/>
  <c r="AP626" i="1" s="1"/>
  <c r="O626" i="1"/>
  <c r="D626" i="1"/>
  <c r="BI625" i="1"/>
  <c r="AG625" i="1" s="1"/>
  <c r="AQ625" i="1"/>
  <c r="AB625" i="1"/>
  <c r="AK625" i="1" s="1"/>
  <c r="Z625" i="1"/>
  <c r="AP625" i="1" s="1"/>
  <c r="O625" i="1"/>
  <c r="D625" i="1"/>
  <c r="AQ624" i="1"/>
  <c r="AB624" i="1"/>
  <c r="AR624" i="1" s="1"/>
  <c r="BR624" i="1" s="1"/>
  <c r="Z624" i="1"/>
  <c r="AP624" i="1" s="1"/>
  <c r="O624" i="1"/>
  <c r="D624" i="1"/>
  <c r="AB623" i="1"/>
  <c r="Z623" i="1"/>
  <c r="AP623" i="1" s="1"/>
  <c r="O623" i="1"/>
  <c r="D623" i="1"/>
  <c r="AQ622" i="1"/>
  <c r="AB622" i="1"/>
  <c r="AL622" i="1" s="1"/>
  <c r="Z622" i="1"/>
  <c r="AP622" i="1" s="1"/>
  <c r="O622" i="1"/>
  <c r="D622" i="1"/>
  <c r="BI621" i="1"/>
  <c r="AG621" i="1" s="1"/>
  <c r="AQ621" i="1"/>
  <c r="AB621" i="1"/>
  <c r="AR621" i="1" s="1"/>
  <c r="BR621" i="1" s="1"/>
  <c r="Z621" i="1"/>
  <c r="AP621" i="1" s="1"/>
  <c r="O621" i="1"/>
  <c r="D621" i="1"/>
  <c r="AQ620" i="1"/>
  <c r="AB620" i="1"/>
  <c r="AL620" i="1" s="1"/>
  <c r="Z620" i="1"/>
  <c r="AP620" i="1" s="1"/>
  <c r="O620" i="1"/>
  <c r="D620" i="1"/>
  <c r="AQ619" i="1"/>
  <c r="AB619" i="1"/>
  <c r="Z619" i="1"/>
  <c r="AP619" i="1" s="1"/>
  <c r="O619" i="1"/>
  <c r="D619" i="1"/>
  <c r="BI618" i="1"/>
  <c r="AG618" i="1" s="1"/>
  <c r="AQ618" i="1"/>
  <c r="AB618" i="1"/>
  <c r="Z618" i="1"/>
  <c r="AP618" i="1" s="1"/>
  <c r="O618" i="1"/>
  <c r="D618" i="1"/>
  <c r="AQ617" i="1"/>
  <c r="AB617" i="1"/>
  <c r="Z617" i="1"/>
  <c r="AP617" i="1" s="1"/>
  <c r="O617" i="1"/>
  <c r="D617" i="1"/>
  <c r="AQ616" i="1"/>
  <c r="AB616" i="1"/>
  <c r="Z616" i="1"/>
  <c r="AP616" i="1" s="1"/>
  <c r="O616" i="1"/>
  <c r="D616" i="1"/>
  <c r="AQ615" i="1"/>
  <c r="AB615" i="1"/>
  <c r="Z615" i="1"/>
  <c r="AP615" i="1" s="1"/>
  <c r="O615" i="1"/>
  <c r="D615" i="1"/>
  <c r="AB614" i="1"/>
  <c r="AJ614" i="1" s="1"/>
  <c r="AQ614" i="1" s="1"/>
  <c r="Z614" i="1"/>
  <c r="AP614" i="1" s="1"/>
  <c r="O614" i="1"/>
  <c r="D614" i="1"/>
  <c r="BI613" i="1"/>
  <c r="AG613" i="1" s="1"/>
  <c r="AQ613" i="1"/>
  <c r="AB613" i="1"/>
  <c r="AR613" i="1" s="1"/>
  <c r="Z613" i="1"/>
  <c r="AP613" i="1" s="1"/>
  <c r="O613" i="1"/>
  <c r="D613" i="1"/>
  <c r="AQ612" i="1"/>
  <c r="AB612" i="1"/>
  <c r="Z612" i="1"/>
  <c r="AP612" i="1" s="1"/>
  <c r="O612" i="1"/>
  <c r="D612" i="1"/>
  <c r="AQ611" i="1"/>
  <c r="AB611" i="1"/>
  <c r="Z611" i="1"/>
  <c r="AP611" i="1" s="1"/>
  <c r="O611" i="1"/>
  <c r="D611" i="1"/>
  <c r="BI610" i="1"/>
  <c r="AG610" i="1" s="1"/>
  <c r="AQ610" i="1"/>
  <c r="AB610" i="1"/>
  <c r="Z610" i="1"/>
  <c r="AP610" i="1" s="1"/>
  <c r="O610" i="1"/>
  <c r="D610" i="1"/>
  <c r="AQ609" i="1"/>
  <c r="AB609" i="1"/>
  <c r="AR609" i="1" s="1"/>
  <c r="Z609" i="1"/>
  <c r="AP609" i="1" s="1"/>
  <c r="O609" i="1"/>
  <c r="D609" i="1"/>
  <c r="AQ608" i="1"/>
  <c r="AB608" i="1"/>
  <c r="Z608" i="1"/>
  <c r="AP608" i="1" s="1"/>
  <c r="O608" i="1"/>
  <c r="D608" i="1"/>
  <c r="AQ607" i="1"/>
  <c r="AB607" i="1"/>
  <c r="Z607" i="1"/>
  <c r="AP607" i="1" s="1"/>
  <c r="O607" i="1"/>
  <c r="D607" i="1"/>
  <c r="AQ606" i="1"/>
  <c r="AB606" i="1"/>
  <c r="AL606" i="1" s="1"/>
  <c r="Z606" i="1"/>
  <c r="AP606" i="1" s="1"/>
  <c r="O606" i="1"/>
  <c r="D606" i="1"/>
  <c r="BI605" i="1"/>
  <c r="AG605" i="1" s="1"/>
  <c r="AQ605" i="1"/>
  <c r="AB605" i="1"/>
  <c r="AK605" i="1" s="1"/>
  <c r="Z605" i="1"/>
  <c r="AP605" i="1" s="1"/>
  <c r="O605" i="1"/>
  <c r="D605" i="1"/>
  <c r="AQ604" i="1"/>
  <c r="AB604" i="1"/>
  <c r="AK604" i="1" s="1"/>
  <c r="Z604" i="1"/>
  <c r="AP604" i="1" s="1"/>
  <c r="O604" i="1"/>
  <c r="D604" i="1"/>
  <c r="AQ603" i="1"/>
  <c r="AB603" i="1"/>
  <c r="Z603" i="1"/>
  <c r="AP603" i="1" s="1"/>
  <c r="O603" i="1"/>
  <c r="D603" i="1"/>
  <c r="BI602" i="1"/>
  <c r="AG602" i="1" s="1"/>
  <c r="AQ602" i="1"/>
  <c r="AB602" i="1"/>
  <c r="Z602" i="1"/>
  <c r="AP602" i="1" s="1"/>
  <c r="O602" i="1"/>
  <c r="D602" i="1"/>
  <c r="BI601" i="1"/>
  <c r="AG601" i="1" s="1"/>
  <c r="AB601" i="1"/>
  <c r="Z601" i="1"/>
  <c r="AP601" i="1" s="1"/>
  <c r="O601" i="1"/>
  <c r="D601" i="1"/>
  <c r="AQ600" i="1"/>
  <c r="AB600" i="1"/>
  <c r="Z600" i="1"/>
  <c r="AP600" i="1" s="1"/>
  <c r="O600" i="1"/>
  <c r="D600" i="1"/>
  <c r="AQ599" i="1"/>
  <c r="AB599" i="1"/>
  <c r="AK599" i="1" s="1"/>
  <c r="Z599" i="1"/>
  <c r="AP599" i="1" s="1"/>
  <c r="O599" i="1"/>
  <c r="D599" i="1"/>
  <c r="AQ598" i="1"/>
  <c r="AB598" i="1"/>
  <c r="Z598" i="1"/>
  <c r="AP598" i="1" s="1"/>
  <c r="O598" i="1"/>
  <c r="D598" i="1"/>
  <c r="BI597" i="1"/>
  <c r="AG597" i="1" s="1"/>
  <c r="AQ597" i="1"/>
  <c r="AB597" i="1"/>
  <c r="AR597" i="1" s="1"/>
  <c r="BR597" i="1" s="1"/>
  <c r="Z597" i="1"/>
  <c r="AP597" i="1" s="1"/>
  <c r="O597" i="1"/>
  <c r="D597" i="1"/>
  <c r="BI596" i="1"/>
  <c r="AG596" i="1" s="1"/>
  <c r="AQ596" i="1"/>
  <c r="AB596" i="1"/>
  <c r="AR596" i="1" s="1"/>
  <c r="Z596" i="1"/>
  <c r="AP596" i="1" s="1"/>
  <c r="O596" i="1"/>
  <c r="D596" i="1"/>
  <c r="AB595" i="1"/>
  <c r="Z595" i="1"/>
  <c r="AP595" i="1" s="1"/>
  <c r="O595" i="1"/>
  <c r="D595" i="1"/>
  <c r="BI594" i="1"/>
  <c r="AG594" i="1" s="1"/>
  <c r="AQ594" i="1"/>
  <c r="AB594" i="1"/>
  <c r="AK594" i="1" s="1"/>
  <c r="Z594" i="1"/>
  <c r="AP594" i="1" s="1"/>
  <c r="O594" i="1"/>
  <c r="D594" i="1"/>
  <c r="BI593" i="1"/>
  <c r="AG593" i="1" s="1"/>
  <c r="AQ593" i="1"/>
  <c r="AB593" i="1"/>
  <c r="AL593" i="1" s="1"/>
  <c r="Z593" i="1"/>
  <c r="AP593" i="1" s="1"/>
  <c r="O593" i="1"/>
  <c r="D593" i="1"/>
  <c r="AQ592" i="1"/>
  <c r="AB592" i="1"/>
  <c r="AK592" i="1" s="1"/>
  <c r="Z592" i="1"/>
  <c r="AP592" i="1" s="1"/>
  <c r="O592" i="1"/>
  <c r="D592" i="1"/>
  <c r="AQ591" i="1"/>
  <c r="AB591" i="1"/>
  <c r="Z591" i="1"/>
  <c r="AP591" i="1" s="1"/>
  <c r="O591" i="1"/>
  <c r="D591" i="1"/>
  <c r="BI590" i="1"/>
  <c r="AG590" i="1" s="1"/>
  <c r="AQ590" i="1"/>
  <c r="AB590" i="1"/>
  <c r="Z590" i="1"/>
  <c r="AP590" i="1" s="1"/>
  <c r="O590" i="1"/>
  <c r="D590" i="1"/>
  <c r="BI589" i="1"/>
  <c r="AG589" i="1" s="1"/>
  <c r="AQ589" i="1"/>
  <c r="AB589" i="1"/>
  <c r="AL589" i="1" s="1"/>
  <c r="Z589" i="1"/>
  <c r="AP589" i="1" s="1"/>
  <c r="O589" i="1"/>
  <c r="D589" i="1"/>
  <c r="AQ588" i="1"/>
  <c r="AB588" i="1"/>
  <c r="AL588" i="1" s="1"/>
  <c r="Z588" i="1"/>
  <c r="AP588" i="1" s="1"/>
  <c r="O588" i="1"/>
  <c r="D588" i="1"/>
  <c r="AQ587" i="1"/>
  <c r="AB587" i="1"/>
  <c r="Z587" i="1"/>
  <c r="AP587" i="1" s="1"/>
  <c r="O587" i="1"/>
  <c r="D587" i="1"/>
  <c r="BI586" i="1"/>
  <c r="AG586" i="1" s="1"/>
  <c r="AQ586" i="1"/>
  <c r="AB586" i="1"/>
  <c r="Z586" i="1"/>
  <c r="AP586" i="1" s="1"/>
  <c r="O586" i="1"/>
  <c r="D586" i="1"/>
  <c r="BI585" i="1"/>
  <c r="AG585" i="1" s="1"/>
  <c r="AQ585" i="1"/>
  <c r="AB585" i="1"/>
  <c r="AL585" i="1" s="1"/>
  <c r="Z585" i="1"/>
  <c r="AP585" i="1" s="1"/>
  <c r="O585" i="1"/>
  <c r="D585" i="1"/>
  <c r="BI584" i="1"/>
  <c r="AG584" i="1" s="1"/>
  <c r="AQ584" i="1"/>
  <c r="AB584" i="1"/>
  <c r="AL584" i="1" s="1"/>
  <c r="Z584" i="1"/>
  <c r="AP584" i="1" s="1"/>
  <c r="O584" i="1"/>
  <c r="D584" i="1"/>
  <c r="AQ583" i="1"/>
  <c r="AB583" i="1"/>
  <c r="AK583" i="1" s="1"/>
  <c r="Z583" i="1"/>
  <c r="AP583" i="1" s="1"/>
  <c r="O583" i="1"/>
  <c r="D583" i="1"/>
  <c r="AQ582" i="1"/>
  <c r="AB582" i="1"/>
  <c r="AK582" i="1" s="1"/>
  <c r="Z582" i="1"/>
  <c r="AP582" i="1" s="1"/>
  <c r="O582" i="1"/>
  <c r="D582" i="1"/>
  <c r="AQ581" i="1"/>
  <c r="AB581" i="1"/>
  <c r="AL581" i="1" s="1"/>
  <c r="Z581" i="1"/>
  <c r="AP581" i="1" s="1"/>
  <c r="O581" i="1"/>
  <c r="D581" i="1"/>
  <c r="BI580" i="1"/>
  <c r="AG580" i="1" s="1"/>
  <c r="AQ580" i="1"/>
  <c r="AB580" i="1"/>
  <c r="AK580" i="1" s="1"/>
  <c r="Z580" i="1"/>
  <c r="AP580" i="1" s="1"/>
  <c r="O580" i="1"/>
  <c r="D580" i="1"/>
  <c r="AQ579" i="1"/>
  <c r="AB579" i="1"/>
  <c r="AK579" i="1" s="1"/>
  <c r="Z579" i="1"/>
  <c r="AP579" i="1" s="1"/>
  <c r="O579" i="1"/>
  <c r="D579" i="1"/>
  <c r="BI578" i="1"/>
  <c r="AG578" i="1" s="1"/>
  <c r="AQ578" i="1"/>
  <c r="AB578" i="1"/>
  <c r="Z578" i="1"/>
  <c r="AP578" i="1" s="1"/>
  <c r="O578" i="1"/>
  <c r="D578" i="1"/>
  <c r="AQ577" i="1"/>
  <c r="AB577" i="1"/>
  <c r="AL577" i="1" s="1"/>
  <c r="Z577" i="1"/>
  <c r="AP577" i="1" s="1"/>
  <c r="O577" i="1"/>
  <c r="D577" i="1"/>
  <c r="AQ576" i="1"/>
  <c r="AB576" i="1"/>
  <c r="AR576" i="1" s="1"/>
  <c r="Z576" i="1"/>
  <c r="AP576" i="1" s="1"/>
  <c r="O576" i="1"/>
  <c r="D576" i="1"/>
  <c r="AQ575" i="1"/>
  <c r="AB575" i="1"/>
  <c r="Z575" i="1"/>
  <c r="AP575" i="1" s="1"/>
  <c r="O575" i="1"/>
  <c r="D575" i="1"/>
  <c r="AQ574" i="1"/>
  <c r="AB574" i="1"/>
  <c r="Z574" i="1"/>
  <c r="AP574" i="1" s="1"/>
  <c r="O574" i="1"/>
  <c r="D574" i="1"/>
  <c r="AQ573" i="1"/>
  <c r="AB573" i="1"/>
  <c r="Z573" i="1"/>
  <c r="AP573" i="1" s="1"/>
  <c r="O573" i="1"/>
  <c r="D573" i="1"/>
  <c r="BI572" i="1"/>
  <c r="AG572" i="1" s="1"/>
  <c r="AQ572" i="1"/>
  <c r="AB572" i="1"/>
  <c r="AK572" i="1" s="1"/>
  <c r="Z572" i="1"/>
  <c r="AP572" i="1" s="1"/>
  <c r="O572" i="1"/>
  <c r="D572" i="1"/>
  <c r="AQ571" i="1"/>
  <c r="AB571" i="1"/>
  <c r="Z571" i="1"/>
  <c r="AP571" i="1" s="1"/>
  <c r="O571" i="1"/>
  <c r="D571" i="1"/>
  <c r="BI570" i="1"/>
  <c r="AG570" i="1" s="1"/>
  <c r="AQ570" i="1"/>
  <c r="AB570" i="1"/>
  <c r="Z570" i="1"/>
  <c r="AP570" i="1" s="1"/>
  <c r="O570" i="1"/>
  <c r="D570" i="1"/>
  <c r="AQ569" i="1"/>
  <c r="AB569" i="1"/>
  <c r="Z569" i="1"/>
  <c r="AP569" i="1" s="1"/>
  <c r="O569" i="1"/>
  <c r="D569" i="1"/>
  <c r="AB568" i="1"/>
  <c r="AJ568" i="1" s="1"/>
  <c r="AQ568" i="1" s="1"/>
  <c r="Z568" i="1"/>
  <c r="AP568" i="1" s="1"/>
  <c r="O568" i="1"/>
  <c r="D568" i="1"/>
  <c r="AB567" i="1"/>
  <c r="Z567" i="1"/>
  <c r="AP567" i="1" s="1"/>
  <c r="O567" i="1"/>
  <c r="D567" i="1"/>
  <c r="AQ566" i="1"/>
  <c r="AB566" i="1"/>
  <c r="AK566" i="1" s="1"/>
  <c r="Z566" i="1"/>
  <c r="AP566" i="1" s="1"/>
  <c r="O566" i="1"/>
  <c r="D566" i="1"/>
  <c r="AQ565" i="1"/>
  <c r="AB565" i="1"/>
  <c r="AK565" i="1" s="1"/>
  <c r="Z565" i="1"/>
  <c r="AP565" i="1" s="1"/>
  <c r="O565" i="1"/>
  <c r="D565" i="1"/>
  <c r="AQ564" i="1"/>
  <c r="AB564" i="1"/>
  <c r="AK564" i="1" s="1"/>
  <c r="Z564" i="1"/>
  <c r="AP564" i="1" s="1"/>
  <c r="O564" i="1"/>
  <c r="D564" i="1"/>
  <c r="AQ563" i="1"/>
  <c r="AB563" i="1"/>
  <c r="AK563" i="1" s="1"/>
  <c r="Z563" i="1"/>
  <c r="AP563" i="1" s="1"/>
  <c r="O563" i="1"/>
  <c r="D563" i="1"/>
  <c r="AQ562" i="1"/>
  <c r="AB562" i="1"/>
  <c r="Z562" i="1"/>
  <c r="AP562" i="1" s="1"/>
  <c r="O562" i="1"/>
  <c r="D562" i="1"/>
  <c r="BI561" i="1"/>
  <c r="AG561" i="1" s="1"/>
  <c r="AQ561" i="1"/>
  <c r="AB561" i="1"/>
  <c r="AK561" i="1" s="1"/>
  <c r="Z561" i="1"/>
  <c r="AP561" i="1" s="1"/>
  <c r="O561" i="1"/>
  <c r="D561" i="1"/>
  <c r="AQ560" i="1"/>
  <c r="AB560" i="1"/>
  <c r="Z560" i="1"/>
  <c r="AP560" i="1" s="1"/>
  <c r="O560" i="1"/>
  <c r="D560" i="1"/>
  <c r="AB559" i="1"/>
  <c r="AJ559" i="1" s="1"/>
  <c r="AQ559" i="1" s="1"/>
  <c r="Z559" i="1"/>
  <c r="AP559" i="1" s="1"/>
  <c r="O559" i="1"/>
  <c r="D559" i="1"/>
  <c r="BI558" i="1"/>
  <c r="AG558" i="1" s="1"/>
  <c r="AQ558" i="1"/>
  <c r="AB558" i="1"/>
  <c r="Z558" i="1"/>
  <c r="AP558" i="1" s="1"/>
  <c r="O558" i="1"/>
  <c r="D558" i="1"/>
  <c r="BI557" i="1"/>
  <c r="AG557" i="1" s="1"/>
  <c r="AQ557" i="1"/>
  <c r="AB557" i="1"/>
  <c r="Z557" i="1"/>
  <c r="AP557" i="1" s="1"/>
  <c r="O557" i="1"/>
  <c r="D557" i="1"/>
  <c r="AB556" i="1"/>
  <c r="Z556" i="1"/>
  <c r="AP556" i="1" s="1"/>
  <c r="O556" i="1"/>
  <c r="D556" i="1"/>
  <c r="AQ555" i="1"/>
  <c r="AB555" i="1"/>
  <c r="AL555" i="1" s="1"/>
  <c r="Z555" i="1"/>
  <c r="AP555" i="1" s="1"/>
  <c r="O555" i="1"/>
  <c r="D555" i="1"/>
  <c r="BI554" i="1"/>
  <c r="AG554" i="1" s="1"/>
  <c r="AQ554" i="1"/>
  <c r="AB554" i="1"/>
  <c r="AK554" i="1" s="1"/>
  <c r="Z554" i="1"/>
  <c r="AP554" i="1" s="1"/>
  <c r="O554" i="1"/>
  <c r="D554" i="1"/>
  <c r="AB553" i="1"/>
  <c r="Z553" i="1"/>
  <c r="AP553" i="1" s="1"/>
  <c r="O553" i="1"/>
  <c r="D553" i="1"/>
  <c r="AB552" i="1"/>
  <c r="AJ552" i="1" s="1"/>
  <c r="AQ552" i="1" s="1"/>
  <c r="Z552" i="1"/>
  <c r="AP552" i="1" s="1"/>
  <c r="O552" i="1"/>
  <c r="D552" i="1"/>
  <c r="AQ551" i="1"/>
  <c r="AB551" i="1"/>
  <c r="AL551" i="1" s="1"/>
  <c r="Z551" i="1"/>
  <c r="AP551" i="1" s="1"/>
  <c r="O551" i="1"/>
  <c r="D551" i="1"/>
  <c r="BI550" i="1"/>
  <c r="AG550" i="1" s="1"/>
  <c r="AQ550" i="1"/>
  <c r="AB550" i="1"/>
  <c r="AL550" i="1" s="1"/>
  <c r="Z550" i="1"/>
  <c r="AP550" i="1" s="1"/>
  <c r="O550" i="1"/>
  <c r="D550" i="1"/>
  <c r="AB549" i="1"/>
  <c r="Z549" i="1"/>
  <c r="AP549" i="1" s="1"/>
  <c r="O549" i="1"/>
  <c r="D549" i="1"/>
  <c r="BI548" i="1"/>
  <c r="AG548" i="1" s="1"/>
  <c r="AQ548" i="1"/>
  <c r="AB548" i="1"/>
  <c r="Z548" i="1"/>
  <c r="AP548" i="1" s="1"/>
  <c r="O548" i="1"/>
  <c r="D548" i="1"/>
  <c r="AB547" i="1"/>
  <c r="Z547" i="1"/>
  <c r="AP547" i="1" s="1"/>
  <c r="O547" i="1"/>
  <c r="D547" i="1"/>
  <c r="AB546" i="1"/>
  <c r="Z546" i="1"/>
  <c r="AP546" i="1" s="1"/>
  <c r="O546" i="1"/>
  <c r="D546" i="1"/>
  <c r="BI545" i="1"/>
  <c r="AG545" i="1" s="1"/>
  <c r="AB545" i="1"/>
  <c r="Z545" i="1"/>
  <c r="AP545" i="1" s="1"/>
  <c r="O545" i="1"/>
  <c r="D545" i="1"/>
  <c r="AB544" i="1"/>
  <c r="Z544" i="1"/>
  <c r="AP544" i="1" s="1"/>
  <c r="O544" i="1"/>
  <c r="D544" i="1"/>
  <c r="AQ543" i="1"/>
  <c r="AB543" i="1"/>
  <c r="AR543" i="1" s="1"/>
  <c r="Z543" i="1"/>
  <c r="AP543" i="1" s="1"/>
  <c r="O543" i="1"/>
  <c r="D543" i="1"/>
  <c r="AQ542" i="1"/>
  <c r="AB542" i="1"/>
  <c r="AK542" i="1" s="1"/>
  <c r="Z542" i="1"/>
  <c r="AP542" i="1" s="1"/>
  <c r="O542" i="1"/>
  <c r="D542" i="1"/>
  <c r="BI541" i="1"/>
  <c r="AG541" i="1" s="1"/>
  <c r="AQ541" i="1"/>
  <c r="AB541" i="1"/>
  <c r="AL541" i="1" s="1"/>
  <c r="Z541" i="1"/>
  <c r="AP541" i="1" s="1"/>
  <c r="O541" i="1"/>
  <c r="D541" i="1"/>
  <c r="AQ540" i="1"/>
  <c r="AB540" i="1"/>
  <c r="AK540" i="1" s="1"/>
  <c r="Z540" i="1"/>
  <c r="AP540" i="1" s="1"/>
  <c r="O540" i="1"/>
  <c r="D540" i="1"/>
  <c r="AQ539" i="1"/>
  <c r="AB539" i="1"/>
  <c r="AK539" i="1" s="1"/>
  <c r="Z539" i="1"/>
  <c r="AP539" i="1" s="1"/>
  <c r="O539" i="1"/>
  <c r="D539" i="1"/>
  <c r="BI538" i="1"/>
  <c r="AG538" i="1" s="1"/>
  <c r="AQ538" i="1"/>
  <c r="AB538" i="1"/>
  <c r="AL538" i="1" s="1"/>
  <c r="Z538" i="1"/>
  <c r="AP538" i="1" s="1"/>
  <c r="O538" i="1"/>
  <c r="D538" i="1"/>
  <c r="AB537" i="1"/>
  <c r="Z537" i="1"/>
  <c r="AP537" i="1" s="1"/>
  <c r="O537" i="1"/>
  <c r="D537" i="1"/>
  <c r="BI536" i="1"/>
  <c r="AG536" i="1" s="1"/>
  <c r="AB536" i="1"/>
  <c r="AJ536" i="1" s="1"/>
  <c r="AQ536" i="1" s="1"/>
  <c r="Z536" i="1"/>
  <c r="AP536" i="1" s="1"/>
  <c r="O536" i="1"/>
  <c r="D536" i="1"/>
  <c r="AB535" i="1"/>
  <c r="Z535" i="1"/>
  <c r="AP535" i="1" s="1"/>
  <c r="O535" i="1"/>
  <c r="D535" i="1"/>
  <c r="BI534" i="1"/>
  <c r="AG534" i="1" s="1"/>
  <c r="AB534" i="1"/>
  <c r="Z534" i="1"/>
  <c r="AP534" i="1" s="1"/>
  <c r="O534" i="1"/>
  <c r="D534" i="1"/>
  <c r="AB533" i="1"/>
  <c r="AJ533" i="1" s="1"/>
  <c r="AQ533" i="1" s="1"/>
  <c r="Z533" i="1"/>
  <c r="AP533" i="1" s="1"/>
  <c r="O533" i="1"/>
  <c r="D533" i="1"/>
  <c r="BI532" i="1"/>
  <c r="AG532" i="1" s="1"/>
  <c r="AB532" i="1"/>
  <c r="Z532" i="1"/>
  <c r="AP532" i="1" s="1"/>
  <c r="O532" i="1"/>
  <c r="D532" i="1"/>
  <c r="AB531" i="1"/>
  <c r="Z531" i="1"/>
  <c r="AP531" i="1" s="1"/>
  <c r="O531" i="1"/>
  <c r="D531" i="1"/>
  <c r="AQ530" i="1"/>
  <c r="AB530" i="1"/>
  <c r="Z530" i="1"/>
  <c r="AP530" i="1" s="1"/>
  <c r="O530" i="1"/>
  <c r="D530" i="1"/>
  <c r="BI529" i="1"/>
  <c r="AG529" i="1" s="1"/>
  <c r="AQ529" i="1"/>
  <c r="AB529" i="1"/>
  <c r="Z529" i="1"/>
  <c r="AP529" i="1" s="1"/>
  <c r="O529" i="1"/>
  <c r="D529" i="1"/>
  <c r="AB528" i="1"/>
  <c r="Z528" i="1"/>
  <c r="AP528" i="1" s="1"/>
  <c r="O528" i="1"/>
  <c r="D528" i="1"/>
  <c r="AQ527" i="1"/>
  <c r="AB527" i="1"/>
  <c r="Z527" i="1"/>
  <c r="AP527" i="1" s="1"/>
  <c r="O527" i="1"/>
  <c r="D527" i="1"/>
  <c r="AQ526" i="1"/>
  <c r="AB526" i="1"/>
  <c r="AK526" i="1" s="1"/>
  <c r="Z526" i="1"/>
  <c r="AP526" i="1" s="1"/>
  <c r="O526" i="1"/>
  <c r="D526" i="1"/>
  <c r="BI525" i="1"/>
  <c r="AG525" i="1" s="1"/>
  <c r="AB525" i="1"/>
  <c r="Z525" i="1"/>
  <c r="AP525" i="1" s="1"/>
  <c r="O525" i="1"/>
  <c r="D525" i="1"/>
  <c r="AB524" i="1"/>
  <c r="Z524" i="1"/>
  <c r="AP524" i="1" s="1"/>
  <c r="O524" i="1"/>
  <c r="D524" i="1"/>
  <c r="AB523" i="1"/>
  <c r="AJ523" i="1" s="1"/>
  <c r="AQ523" i="1" s="1"/>
  <c r="Z523" i="1"/>
  <c r="AP523" i="1" s="1"/>
  <c r="O523" i="1"/>
  <c r="D523" i="1"/>
  <c r="BI522" i="1"/>
  <c r="AG522" i="1" s="1"/>
  <c r="AB522" i="1"/>
  <c r="AJ522" i="1" s="1"/>
  <c r="AQ522" i="1" s="1"/>
  <c r="Z522" i="1"/>
  <c r="AP522" i="1" s="1"/>
  <c r="O522" i="1"/>
  <c r="D522" i="1"/>
  <c r="BI521" i="1"/>
  <c r="AG521" i="1" s="1"/>
  <c r="AB521" i="1"/>
  <c r="AJ521" i="1" s="1"/>
  <c r="AQ521" i="1" s="1"/>
  <c r="Z521" i="1"/>
  <c r="AP521" i="1" s="1"/>
  <c r="O521" i="1"/>
  <c r="D521" i="1"/>
  <c r="AB520" i="1"/>
  <c r="Z520" i="1"/>
  <c r="AP520" i="1" s="1"/>
  <c r="O520" i="1"/>
  <c r="D520" i="1"/>
  <c r="AB519" i="1"/>
  <c r="Z519" i="1"/>
  <c r="AP519" i="1" s="1"/>
  <c r="O519" i="1"/>
  <c r="D519" i="1"/>
  <c r="AB518" i="1"/>
  <c r="AJ518" i="1" s="1"/>
  <c r="AQ518" i="1" s="1"/>
  <c r="Z518" i="1"/>
  <c r="AP518" i="1" s="1"/>
  <c r="O518" i="1"/>
  <c r="D518" i="1"/>
  <c r="BI517" i="1"/>
  <c r="AG517" i="1" s="1"/>
  <c r="AB517" i="1"/>
  <c r="Z517" i="1"/>
  <c r="AP517" i="1" s="1"/>
  <c r="O517" i="1"/>
  <c r="D517" i="1"/>
  <c r="BI516" i="1"/>
  <c r="AG516" i="1" s="1"/>
  <c r="AB516" i="1"/>
  <c r="Z516" i="1"/>
  <c r="AP516" i="1" s="1"/>
  <c r="O516" i="1"/>
  <c r="D516" i="1"/>
  <c r="AB515" i="1"/>
  <c r="Z515" i="1"/>
  <c r="AP515" i="1" s="1"/>
  <c r="O515" i="1"/>
  <c r="D515" i="1"/>
  <c r="BI514" i="1"/>
  <c r="AG514" i="1" s="1"/>
  <c r="AB514" i="1"/>
  <c r="AJ514" i="1" s="1"/>
  <c r="AQ514" i="1" s="1"/>
  <c r="Z514" i="1"/>
  <c r="AP514" i="1" s="1"/>
  <c r="O514" i="1"/>
  <c r="D514" i="1"/>
  <c r="AB513" i="1"/>
  <c r="AJ513" i="1" s="1"/>
  <c r="AQ513" i="1" s="1"/>
  <c r="Z513" i="1"/>
  <c r="AP513" i="1" s="1"/>
  <c r="O513" i="1"/>
  <c r="D513" i="1"/>
  <c r="AB512" i="1"/>
  <c r="Z512" i="1"/>
  <c r="AP512" i="1" s="1"/>
  <c r="O512" i="1"/>
  <c r="D512" i="1"/>
  <c r="AB511" i="1"/>
  <c r="AJ511" i="1" s="1"/>
  <c r="AQ511" i="1" s="1"/>
  <c r="Z511" i="1"/>
  <c r="AP511" i="1" s="1"/>
  <c r="O511" i="1"/>
  <c r="D511" i="1"/>
  <c r="BI510" i="1"/>
  <c r="AG510" i="1" s="1"/>
  <c r="AB510" i="1"/>
  <c r="AJ510" i="1" s="1"/>
  <c r="AQ510" i="1" s="1"/>
  <c r="Z510" i="1"/>
  <c r="AP510" i="1" s="1"/>
  <c r="O510" i="1"/>
  <c r="D510" i="1"/>
  <c r="BI509" i="1"/>
  <c r="AG509" i="1" s="1"/>
  <c r="AB509" i="1"/>
  <c r="AJ509" i="1" s="1"/>
  <c r="AQ509" i="1" s="1"/>
  <c r="Z509" i="1"/>
  <c r="AP509" i="1" s="1"/>
  <c r="O509" i="1"/>
  <c r="D509" i="1"/>
  <c r="AB508" i="1"/>
  <c r="Z508" i="1"/>
  <c r="AP508" i="1" s="1"/>
  <c r="O508" i="1"/>
  <c r="D508" i="1"/>
  <c r="AB507" i="1"/>
  <c r="AJ507" i="1" s="1"/>
  <c r="AQ507" i="1" s="1"/>
  <c r="Z507" i="1"/>
  <c r="AP507" i="1" s="1"/>
  <c r="O507" i="1"/>
  <c r="D507" i="1"/>
  <c r="AB506" i="1"/>
  <c r="AJ506" i="1" s="1"/>
  <c r="AQ506" i="1" s="1"/>
  <c r="Z506" i="1"/>
  <c r="AP506" i="1" s="1"/>
  <c r="O506" i="1"/>
  <c r="D506" i="1"/>
  <c r="BI505" i="1"/>
  <c r="AG505" i="1" s="1"/>
  <c r="AB505" i="1"/>
  <c r="Z505" i="1"/>
  <c r="AP505" i="1" s="1"/>
  <c r="O505" i="1"/>
  <c r="D505" i="1"/>
  <c r="AQ504" i="1"/>
  <c r="AB504" i="1"/>
  <c r="Z504" i="1"/>
  <c r="AP504" i="1" s="1"/>
  <c r="O504" i="1"/>
  <c r="D504" i="1"/>
  <c r="AB503" i="1"/>
  <c r="Z503" i="1"/>
  <c r="AP503" i="1" s="1"/>
  <c r="O503" i="1"/>
  <c r="D503" i="1"/>
  <c r="AB502" i="1"/>
  <c r="AJ502" i="1" s="1"/>
  <c r="AQ502" i="1" s="1"/>
  <c r="Z502" i="1"/>
  <c r="AP502" i="1" s="1"/>
  <c r="O502" i="1"/>
  <c r="D502" i="1"/>
  <c r="AB501" i="1"/>
  <c r="Z501" i="1"/>
  <c r="AP501" i="1" s="1"/>
  <c r="O501" i="1"/>
  <c r="D501" i="1"/>
  <c r="BI500" i="1"/>
  <c r="AG500" i="1" s="1"/>
  <c r="AB500" i="1"/>
  <c r="AJ500" i="1" s="1"/>
  <c r="AQ500" i="1" s="1"/>
  <c r="Z500" i="1"/>
  <c r="AP500" i="1" s="1"/>
  <c r="O500" i="1"/>
  <c r="D500" i="1"/>
  <c r="AB499" i="1"/>
  <c r="Z499" i="1"/>
  <c r="AP499" i="1" s="1"/>
  <c r="O499" i="1"/>
  <c r="D499" i="1"/>
  <c r="BI498" i="1"/>
  <c r="AG498" i="1" s="1"/>
  <c r="AQ498" i="1"/>
  <c r="AB498" i="1"/>
  <c r="Z498" i="1"/>
  <c r="AP498" i="1" s="1"/>
  <c r="O498" i="1"/>
  <c r="D498" i="1"/>
  <c r="AQ497" i="1"/>
  <c r="AB497" i="1"/>
  <c r="AL497" i="1" s="1"/>
  <c r="Z497" i="1"/>
  <c r="AP497" i="1" s="1"/>
  <c r="O497" i="1"/>
  <c r="D497" i="1"/>
  <c r="BI496" i="1"/>
  <c r="AG496" i="1" s="1"/>
  <c r="AQ496" i="1"/>
  <c r="AB496" i="1"/>
  <c r="Z496" i="1"/>
  <c r="AP496" i="1" s="1"/>
  <c r="O496" i="1"/>
  <c r="D496" i="1"/>
  <c r="AQ495" i="1"/>
  <c r="AB495" i="1"/>
  <c r="Z495" i="1"/>
  <c r="AP495" i="1" s="1"/>
  <c r="O495" i="1"/>
  <c r="D495" i="1"/>
  <c r="AQ494" i="1"/>
  <c r="AB494" i="1"/>
  <c r="AK494" i="1" s="1"/>
  <c r="Z494" i="1"/>
  <c r="AP494" i="1" s="1"/>
  <c r="O494" i="1"/>
  <c r="D494" i="1"/>
  <c r="BI493" i="1"/>
  <c r="AG493" i="1" s="1"/>
  <c r="AB493" i="1"/>
  <c r="Z493" i="1"/>
  <c r="AP493" i="1" s="1"/>
  <c r="O493" i="1"/>
  <c r="D493" i="1"/>
  <c r="BI492" i="1"/>
  <c r="AG492" i="1" s="1"/>
  <c r="AQ492" i="1"/>
  <c r="AB492" i="1"/>
  <c r="Z492" i="1"/>
  <c r="AP492" i="1" s="1"/>
  <c r="O492" i="1"/>
  <c r="D492" i="1"/>
  <c r="AB491" i="1"/>
  <c r="Z491" i="1"/>
  <c r="AP491" i="1" s="1"/>
  <c r="O491" i="1"/>
  <c r="D491" i="1"/>
  <c r="BI490" i="1"/>
  <c r="AG490" i="1" s="1"/>
  <c r="AB490" i="1"/>
  <c r="Z490" i="1"/>
  <c r="AP490" i="1" s="1"/>
  <c r="O490" i="1"/>
  <c r="D490" i="1"/>
  <c r="BI489" i="1"/>
  <c r="AG489" i="1" s="1"/>
  <c r="AB489" i="1"/>
  <c r="AJ489" i="1" s="1"/>
  <c r="AQ489" i="1" s="1"/>
  <c r="Z489" i="1"/>
  <c r="AP489" i="1" s="1"/>
  <c r="O489" i="1"/>
  <c r="D489" i="1"/>
  <c r="BI488" i="1"/>
  <c r="AG488" i="1" s="1"/>
  <c r="AB488" i="1"/>
  <c r="Z488" i="1"/>
  <c r="AP488" i="1" s="1"/>
  <c r="O488" i="1"/>
  <c r="D488" i="1"/>
  <c r="AB487" i="1"/>
  <c r="Z487" i="1"/>
  <c r="AP487" i="1" s="1"/>
  <c r="O487" i="1"/>
  <c r="D487" i="1"/>
  <c r="AQ486" i="1"/>
  <c r="AB486" i="1"/>
  <c r="Z486" i="1"/>
  <c r="AP486" i="1" s="1"/>
  <c r="O486" i="1"/>
  <c r="D486" i="1"/>
  <c r="BI485" i="1"/>
  <c r="AG485" i="1" s="1"/>
  <c r="AB485" i="1"/>
  <c r="AJ485" i="1" s="1"/>
  <c r="AQ485" i="1" s="1"/>
  <c r="Z485" i="1"/>
  <c r="AP485" i="1" s="1"/>
  <c r="O485" i="1"/>
  <c r="D485" i="1"/>
  <c r="BI484" i="1"/>
  <c r="AG484" i="1" s="1"/>
  <c r="AQ484" i="1"/>
  <c r="AB484" i="1"/>
  <c r="Z484" i="1"/>
  <c r="AP484" i="1" s="1"/>
  <c r="O484" i="1"/>
  <c r="D484" i="1"/>
  <c r="AB483" i="1"/>
  <c r="Z483" i="1"/>
  <c r="AP483" i="1" s="1"/>
  <c r="O483" i="1"/>
  <c r="D483" i="1"/>
  <c r="BI482" i="1"/>
  <c r="AG482" i="1" s="1"/>
  <c r="AB482" i="1"/>
  <c r="AJ482" i="1" s="1"/>
  <c r="AQ482" i="1" s="1"/>
  <c r="Z482" i="1"/>
  <c r="AP482" i="1" s="1"/>
  <c r="O482" i="1"/>
  <c r="D482" i="1"/>
  <c r="BI481" i="1"/>
  <c r="AG481" i="1" s="1"/>
  <c r="AQ481" i="1"/>
  <c r="AB481" i="1"/>
  <c r="Z481" i="1"/>
  <c r="AP481" i="1" s="1"/>
  <c r="O481" i="1"/>
  <c r="D481" i="1"/>
  <c r="AB480" i="1"/>
  <c r="Z480" i="1"/>
  <c r="AP480" i="1" s="1"/>
  <c r="O480" i="1"/>
  <c r="D480" i="1"/>
  <c r="AQ479" i="1"/>
  <c r="AB479" i="1"/>
  <c r="AK479" i="1" s="1"/>
  <c r="Z479" i="1"/>
  <c r="AP479" i="1" s="1"/>
  <c r="O479" i="1"/>
  <c r="D479" i="1"/>
  <c r="BI478" i="1"/>
  <c r="AG478" i="1" s="1"/>
  <c r="AB478" i="1"/>
  <c r="Z478" i="1"/>
  <c r="AP478" i="1" s="1"/>
  <c r="O478" i="1"/>
  <c r="D478" i="1"/>
  <c r="BI477" i="1"/>
  <c r="AG477" i="1" s="1"/>
  <c r="AQ477" i="1"/>
  <c r="AB477" i="1"/>
  <c r="AL477" i="1" s="1"/>
  <c r="Z477" i="1"/>
  <c r="AP477" i="1" s="1"/>
  <c r="O477" i="1"/>
  <c r="D477" i="1"/>
  <c r="AB476" i="1"/>
  <c r="Z476" i="1"/>
  <c r="AP476" i="1" s="1"/>
  <c r="O476" i="1"/>
  <c r="D476" i="1"/>
  <c r="AB475" i="1"/>
  <c r="Z475" i="1"/>
  <c r="AP475" i="1" s="1"/>
  <c r="O475" i="1"/>
  <c r="D475" i="1"/>
  <c r="BI474" i="1"/>
  <c r="AG474" i="1" s="1"/>
  <c r="AB474" i="1"/>
  <c r="Z474" i="1"/>
  <c r="AP474" i="1" s="1"/>
  <c r="O474" i="1"/>
  <c r="D474" i="1"/>
  <c r="AB473" i="1"/>
  <c r="Z473" i="1"/>
  <c r="AP473" i="1" s="1"/>
  <c r="O473" i="1"/>
  <c r="D473" i="1"/>
  <c r="BI472" i="1"/>
  <c r="AG472" i="1" s="1"/>
  <c r="AB472" i="1"/>
  <c r="Z472" i="1"/>
  <c r="AP472" i="1" s="1"/>
  <c r="O472" i="1"/>
  <c r="D472" i="1"/>
  <c r="AQ471" i="1"/>
  <c r="AB471" i="1"/>
  <c r="AR471" i="1" s="1"/>
  <c r="Z471" i="1"/>
  <c r="AP471" i="1" s="1"/>
  <c r="O471" i="1"/>
  <c r="D471" i="1"/>
  <c r="BI470" i="1"/>
  <c r="AG470" i="1" s="1"/>
  <c r="AB470" i="1"/>
  <c r="Z470" i="1"/>
  <c r="AP470" i="1" s="1"/>
  <c r="O470" i="1"/>
  <c r="D470" i="1"/>
  <c r="AQ469" i="1"/>
  <c r="AB469" i="1"/>
  <c r="AL469" i="1" s="1"/>
  <c r="Z469" i="1"/>
  <c r="AP469" i="1" s="1"/>
  <c r="O469" i="1"/>
  <c r="D469" i="1"/>
  <c r="AQ468" i="1"/>
  <c r="AB468" i="1"/>
  <c r="Z468" i="1"/>
  <c r="AP468" i="1" s="1"/>
  <c r="O468" i="1"/>
  <c r="D468" i="1"/>
  <c r="AB467" i="1"/>
  <c r="Z467" i="1"/>
  <c r="AP467" i="1" s="1"/>
  <c r="O467" i="1"/>
  <c r="D467" i="1"/>
  <c r="BI466" i="1"/>
  <c r="AG466" i="1" s="1"/>
  <c r="AB466" i="1"/>
  <c r="Z466" i="1"/>
  <c r="AP466" i="1" s="1"/>
  <c r="O466" i="1"/>
  <c r="D466" i="1"/>
  <c r="AB465" i="1"/>
  <c r="Z465" i="1"/>
  <c r="AP465" i="1" s="1"/>
  <c r="O465" i="1"/>
  <c r="D465" i="1"/>
  <c r="AQ464" i="1"/>
  <c r="AB464" i="1"/>
  <c r="AL464" i="1" s="1"/>
  <c r="Z464" i="1"/>
  <c r="AP464" i="1" s="1"/>
  <c r="O464" i="1"/>
  <c r="D464" i="1"/>
  <c r="AQ463" i="1"/>
  <c r="AB463" i="1"/>
  <c r="AL463" i="1" s="1"/>
  <c r="Z463" i="1"/>
  <c r="AP463" i="1" s="1"/>
  <c r="O463" i="1"/>
  <c r="D463" i="1"/>
  <c r="BI462" i="1"/>
  <c r="AG462" i="1" s="1"/>
  <c r="AQ462" i="1"/>
  <c r="AB462" i="1"/>
  <c r="AR462" i="1" s="1"/>
  <c r="Z462" i="1"/>
  <c r="AP462" i="1" s="1"/>
  <c r="O462" i="1"/>
  <c r="D462" i="1"/>
  <c r="BI461" i="1"/>
  <c r="AG461" i="1" s="1"/>
  <c r="AB461" i="1"/>
  <c r="Z461" i="1"/>
  <c r="AP461" i="1" s="1"/>
  <c r="O461" i="1"/>
  <c r="D461" i="1"/>
  <c r="BI460" i="1"/>
  <c r="AG460" i="1" s="1"/>
  <c r="AB460" i="1"/>
  <c r="Z460" i="1"/>
  <c r="AP460" i="1" s="1"/>
  <c r="O460" i="1"/>
  <c r="D460" i="1"/>
  <c r="AQ459" i="1"/>
  <c r="AB459" i="1"/>
  <c r="Z459" i="1"/>
  <c r="AP459" i="1" s="1"/>
  <c r="O459" i="1"/>
  <c r="D459" i="1"/>
  <c r="AQ458" i="1"/>
  <c r="AB458" i="1"/>
  <c r="Z458" i="1"/>
  <c r="AP458" i="1" s="1"/>
  <c r="O458" i="1"/>
  <c r="D458" i="1"/>
  <c r="BI457" i="1"/>
  <c r="AG457" i="1" s="1"/>
  <c r="AQ457" i="1"/>
  <c r="AB457" i="1"/>
  <c r="Z457" i="1"/>
  <c r="AP457" i="1" s="1"/>
  <c r="O457" i="1"/>
  <c r="D457" i="1"/>
  <c r="AB456" i="1"/>
  <c r="Z456" i="1"/>
  <c r="AP456" i="1" s="1"/>
  <c r="O456" i="1"/>
  <c r="D456" i="1"/>
  <c r="AB455" i="1"/>
  <c r="Z455" i="1"/>
  <c r="AP455" i="1" s="1"/>
  <c r="O455" i="1"/>
  <c r="D455" i="1"/>
  <c r="BI454" i="1"/>
  <c r="AG454" i="1" s="1"/>
  <c r="AQ454" i="1"/>
  <c r="AB454" i="1"/>
  <c r="AL454" i="1" s="1"/>
  <c r="Z454" i="1"/>
  <c r="AP454" i="1" s="1"/>
  <c r="O454" i="1"/>
  <c r="D454" i="1"/>
  <c r="BI453" i="1"/>
  <c r="AG453" i="1" s="1"/>
  <c r="AB453" i="1"/>
  <c r="Z453" i="1"/>
  <c r="AP453" i="1" s="1"/>
  <c r="O453" i="1"/>
  <c r="D453" i="1"/>
  <c r="AB452" i="1"/>
  <c r="Z452" i="1"/>
  <c r="AP452" i="1" s="1"/>
  <c r="O452" i="1"/>
  <c r="D452" i="1"/>
  <c r="AQ451" i="1"/>
  <c r="AB451" i="1"/>
  <c r="AR451" i="1" s="1"/>
  <c r="Z451" i="1"/>
  <c r="AP451" i="1" s="1"/>
  <c r="O451" i="1"/>
  <c r="D451" i="1"/>
  <c r="BI450" i="1"/>
  <c r="AG450" i="1" s="1"/>
  <c r="AQ450" i="1"/>
  <c r="AB450" i="1"/>
  <c r="Z450" i="1"/>
  <c r="AP450" i="1" s="1"/>
  <c r="O450" i="1"/>
  <c r="D450" i="1"/>
  <c r="AB449" i="1"/>
  <c r="Z449" i="1"/>
  <c r="AP449" i="1" s="1"/>
  <c r="O449" i="1"/>
  <c r="D449" i="1"/>
  <c r="BI448" i="1"/>
  <c r="AG448" i="1" s="1"/>
  <c r="AQ448" i="1"/>
  <c r="AB448" i="1"/>
  <c r="AK448" i="1" s="1"/>
  <c r="Z448" i="1"/>
  <c r="AP448" i="1" s="1"/>
  <c r="O448" i="1"/>
  <c r="D448" i="1"/>
  <c r="AB447" i="1"/>
  <c r="Z447" i="1"/>
  <c r="AP447" i="1" s="1"/>
  <c r="O447" i="1"/>
  <c r="D447" i="1"/>
  <c r="BI446" i="1"/>
  <c r="AG446" i="1" s="1"/>
  <c r="AB446" i="1"/>
  <c r="Z446" i="1"/>
  <c r="AP446" i="1" s="1"/>
  <c r="O446" i="1"/>
  <c r="D446" i="1"/>
  <c r="AB445" i="1"/>
  <c r="Z445" i="1"/>
  <c r="AP445" i="1" s="1"/>
  <c r="O445" i="1"/>
  <c r="D445" i="1"/>
  <c r="BI444" i="1"/>
  <c r="AG444" i="1" s="1"/>
  <c r="AB444" i="1"/>
  <c r="AJ444" i="1" s="1"/>
  <c r="AQ444" i="1" s="1"/>
  <c r="Z444" i="1"/>
  <c r="AP444" i="1" s="1"/>
  <c r="O444" i="1"/>
  <c r="D444" i="1"/>
  <c r="AQ443" i="1"/>
  <c r="AB443" i="1"/>
  <c r="AL443" i="1" s="1"/>
  <c r="Z443" i="1"/>
  <c r="AP443" i="1" s="1"/>
  <c r="O443" i="1"/>
  <c r="D443" i="1"/>
  <c r="BI442" i="1"/>
  <c r="AG442" i="1" s="1"/>
  <c r="AQ442" i="1"/>
  <c r="AB442" i="1"/>
  <c r="Z442" i="1"/>
  <c r="AP442" i="1" s="1"/>
  <c r="O442" i="1"/>
  <c r="D442" i="1"/>
  <c r="AQ441" i="1"/>
  <c r="AB441" i="1"/>
  <c r="Z441" i="1"/>
  <c r="AP441" i="1" s="1"/>
  <c r="O441" i="1"/>
  <c r="D441" i="1"/>
  <c r="BI440" i="1"/>
  <c r="AG440" i="1" s="1"/>
  <c r="AQ440" i="1"/>
  <c r="AB440" i="1"/>
  <c r="AR440" i="1" s="1"/>
  <c r="BR440" i="1" s="1"/>
  <c r="Z440" i="1"/>
  <c r="AP440" i="1" s="1"/>
  <c r="O440" i="1"/>
  <c r="D440" i="1"/>
  <c r="AB439" i="1"/>
  <c r="Z439" i="1"/>
  <c r="AP439" i="1" s="1"/>
  <c r="O439" i="1"/>
  <c r="D439" i="1"/>
  <c r="BI438" i="1"/>
  <c r="AG438" i="1" s="1"/>
  <c r="AB438" i="1"/>
  <c r="AJ438" i="1" s="1"/>
  <c r="AQ438" i="1" s="1"/>
  <c r="Z438" i="1"/>
  <c r="AP438" i="1" s="1"/>
  <c r="O438" i="1"/>
  <c r="D438" i="1"/>
  <c r="BI437" i="1"/>
  <c r="AG437" i="1" s="1"/>
  <c r="AQ437" i="1"/>
  <c r="AB437" i="1"/>
  <c r="AL437" i="1" s="1"/>
  <c r="Z437" i="1"/>
  <c r="AP437" i="1" s="1"/>
  <c r="O437" i="1"/>
  <c r="D437" i="1"/>
  <c r="AQ436" i="1"/>
  <c r="AB436" i="1"/>
  <c r="Z436" i="1"/>
  <c r="AP436" i="1" s="1"/>
  <c r="O436" i="1"/>
  <c r="D436" i="1"/>
  <c r="AQ435" i="1"/>
  <c r="AB435" i="1"/>
  <c r="Z435" i="1"/>
  <c r="AP435" i="1" s="1"/>
  <c r="O435" i="1"/>
  <c r="D435" i="1"/>
  <c r="BI434" i="1"/>
  <c r="AG434" i="1" s="1"/>
  <c r="AB434" i="1"/>
  <c r="Z434" i="1"/>
  <c r="AP434" i="1" s="1"/>
  <c r="O434" i="1"/>
  <c r="D434" i="1"/>
  <c r="AQ433" i="1"/>
  <c r="AB433" i="1"/>
  <c r="Z433" i="1"/>
  <c r="AP433" i="1" s="1"/>
  <c r="O433" i="1"/>
  <c r="D433" i="1"/>
  <c r="BI432" i="1"/>
  <c r="AG432" i="1" s="1"/>
  <c r="AB432" i="1"/>
  <c r="Z432" i="1"/>
  <c r="AP432" i="1" s="1"/>
  <c r="O432" i="1"/>
  <c r="D432" i="1"/>
  <c r="AB431" i="1"/>
  <c r="Z431" i="1"/>
  <c r="AP431" i="1" s="1"/>
  <c r="O431" i="1"/>
  <c r="D431" i="1"/>
  <c r="BI430" i="1"/>
  <c r="AG430" i="1" s="1"/>
  <c r="AQ430" i="1"/>
  <c r="AB430" i="1"/>
  <c r="AL430" i="1" s="1"/>
  <c r="Z430" i="1"/>
  <c r="AP430" i="1" s="1"/>
  <c r="O430" i="1"/>
  <c r="D430" i="1"/>
  <c r="BI429" i="1"/>
  <c r="AG429" i="1" s="1"/>
  <c r="AQ429" i="1"/>
  <c r="AB429" i="1"/>
  <c r="Z429" i="1"/>
  <c r="AP429" i="1" s="1"/>
  <c r="O429" i="1"/>
  <c r="D429" i="1"/>
  <c r="BI428" i="1"/>
  <c r="AG428" i="1" s="1"/>
  <c r="AB428" i="1"/>
  <c r="Z428" i="1"/>
  <c r="AP428" i="1" s="1"/>
  <c r="O428" i="1"/>
  <c r="D428" i="1"/>
  <c r="AQ427" i="1"/>
  <c r="AB427" i="1"/>
  <c r="AK427" i="1" s="1"/>
  <c r="Z427" i="1"/>
  <c r="AP427" i="1" s="1"/>
  <c r="O427" i="1"/>
  <c r="D427" i="1"/>
  <c r="BI426" i="1"/>
  <c r="AG426" i="1" s="1"/>
  <c r="AB426" i="1"/>
  <c r="Z426" i="1"/>
  <c r="AP426" i="1" s="1"/>
  <c r="O426" i="1"/>
  <c r="D426" i="1"/>
  <c r="BI425" i="1"/>
  <c r="AG425" i="1" s="1"/>
  <c r="AQ425" i="1"/>
  <c r="AB425" i="1"/>
  <c r="AL425" i="1" s="1"/>
  <c r="Z425" i="1"/>
  <c r="AP425" i="1" s="1"/>
  <c r="O425" i="1"/>
  <c r="D425" i="1"/>
  <c r="AQ424" i="1"/>
  <c r="AB424" i="1"/>
  <c r="AL424" i="1" s="1"/>
  <c r="Z424" i="1"/>
  <c r="AP424" i="1" s="1"/>
  <c r="O424" i="1"/>
  <c r="D424" i="1"/>
  <c r="AQ423" i="1"/>
  <c r="AB423" i="1"/>
  <c r="AK423" i="1" s="1"/>
  <c r="Z423" i="1"/>
  <c r="AP423" i="1" s="1"/>
  <c r="O423" i="1"/>
  <c r="D423" i="1"/>
  <c r="BI422" i="1"/>
  <c r="AG422" i="1" s="1"/>
  <c r="AQ422" i="1"/>
  <c r="AB422" i="1"/>
  <c r="AL422" i="1" s="1"/>
  <c r="Z422" i="1"/>
  <c r="AP422" i="1" s="1"/>
  <c r="O422" i="1"/>
  <c r="D422" i="1"/>
  <c r="BI421" i="1"/>
  <c r="AG421" i="1" s="1"/>
  <c r="AB421" i="1"/>
  <c r="Z421" i="1"/>
  <c r="AP421" i="1" s="1"/>
  <c r="O421" i="1"/>
  <c r="D421" i="1"/>
  <c r="BI420" i="1"/>
  <c r="AG420" i="1" s="1"/>
  <c r="AQ420" i="1"/>
  <c r="AB420" i="1"/>
  <c r="AL420" i="1" s="1"/>
  <c r="Z420" i="1"/>
  <c r="AP420" i="1" s="1"/>
  <c r="O420" i="1"/>
  <c r="D420" i="1"/>
  <c r="AQ419" i="1"/>
  <c r="AB419" i="1"/>
  <c r="AL419" i="1" s="1"/>
  <c r="Z419" i="1"/>
  <c r="AP419" i="1" s="1"/>
  <c r="O419" i="1"/>
  <c r="D419" i="1"/>
  <c r="BI418" i="1"/>
  <c r="AG418" i="1" s="1"/>
  <c r="AQ418" i="1"/>
  <c r="AB418" i="1"/>
  <c r="AR418" i="1" s="1"/>
  <c r="BR418" i="1" s="1"/>
  <c r="Z418" i="1"/>
  <c r="AP418" i="1" s="1"/>
  <c r="O418" i="1"/>
  <c r="D418" i="1"/>
  <c r="BI417" i="1"/>
  <c r="AG417" i="1" s="1"/>
  <c r="AB417" i="1"/>
  <c r="Z417" i="1"/>
  <c r="AP417" i="1" s="1"/>
  <c r="O417" i="1"/>
  <c r="D417" i="1"/>
  <c r="AQ416" i="1"/>
  <c r="AB416" i="1"/>
  <c r="AR416" i="1" s="1"/>
  <c r="Z416" i="1"/>
  <c r="AP416" i="1" s="1"/>
  <c r="O416" i="1"/>
  <c r="D416" i="1"/>
  <c r="AQ415" i="1"/>
  <c r="AB415" i="1"/>
  <c r="AL415" i="1" s="1"/>
  <c r="Z415" i="1"/>
  <c r="AP415" i="1" s="1"/>
  <c r="O415" i="1"/>
  <c r="D415" i="1"/>
  <c r="BI414" i="1"/>
  <c r="AG414" i="1" s="1"/>
  <c r="AB414" i="1"/>
  <c r="Z414" i="1"/>
  <c r="AP414" i="1" s="1"/>
  <c r="O414" i="1"/>
  <c r="D414" i="1"/>
  <c r="AB413" i="1"/>
  <c r="Z413" i="1"/>
  <c r="AP413" i="1" s="1"/>
  <c r="O413" i="1"/>
  <c r="D413" i="1"/>
  <c r="BI412" i="1"/>
  <c r="AG412" i="1" s="1"/>
  <c r="AQ412" i="1"/>
  <c r="AB412" i="1"/>
  <c r="AK412" i="1" s="1"/>
  <c r="Z412" i="1"/>
  <c r="AP412" i="1" s="1"/>
  <c r="O412" i="1"/>
  <c r="D412" i="1"/>
  <c r="AB411" i="1"/>
  <c r="Z411" i="1"/>
  <c r="AP411" i="1" s="1"/>
  <c r="O411" i="1"/>
  <c r="D411" i="1"/>
  <c r="BI410" i="1"/>
  <c r="AG410" i="1" s="1"/>
  <c r="AQ410" i="1"/>
  <c r="AB410" i="1"/>
  <c r="AL410" i="1" s="1"/>
  <c r="Z410" i="1"/>
  <c r="AP410" i="1" s="1"/>
  <c r="O410" i="1"/>
  <c r="D410" i="1"/>
  <c r="BI409" i="1"/>
  <c r="AG409" i="1" s="1"/>
  <c r="AQ409" i="1"/>
  <c r="AB409" i="1"/>
  <c r="AR409" i="1" s="1"/>
  <c r="Z409" i="1"/>
  <c r="AP409" i="1" s="1"/>
  <c r="O409" i="1"/>
  <c r="D409" i="1"/>
  <c r="BI408" i="1"/>
  <c r="AG408" i="1" s="1"/>
  <c r="AQ408" i="1"/>
  <c r="AB408" i="1"/>
  <c r="AR408" i="1" s="1"/>
  <c r="BR408" i="1" s="1"/>
  <c r="Z408" i="1"/>
  <c r="AP408" i="1" s="1"/>
  <c r="O408" i="1"/>
  <c r="D408" i="1"/>
  <c r="AB407" i="1"/>
  <c r="Z407" i="1"/>
  <c r="AP407" i="1" s="1"/>
  <c r="O407" i="1"/>
  <c r="D407" i="1"/>
  <c r="BI406" i="1"/>
  <c r="AG406" i="1" s="1"/>
  <c r="AB406" i="1"/>
  <c r="Z406" i="1"/>
  <c r="AP406" i="1" s="1"/>
  <c r="O406" i="1"/>
  <c r="D406" i="1"/>
  <c r="AQ405" i="1"/>
  <c r="AB405" i="1"/>
  <c r="AL405" i="1" s="1"/>
  <c r="Z405" i="1"/>
  <c r="AP405" i="1" s="1"/>
  <c r="O405" i="1"/>
  <c r="D405" i="1"/>
  <c r="AQ404" i="1"/>
  <c r="AB404" i="1"/>
  <c r="AK404" i="1" s="1"/>
  <c r="Z404" i="1"/>
  <c r="AP404" i="1" s="1"/>
  <c r="O404" i="1"/>
  <c r="D404" i="1"/>
  <c r="AQ403" i="1"/>
  <c r="AB403" i="1"/>
  <c r="Z403" i="1"/>
  <c r="AP403" i="1" s="1"/>
  <c r="O403" i="1"/>
  <c r="D403" i="1"/>
  <c r="BI402" i="1"/>
  <c r="AG402" i="1" s="1"/>
  <c r="AQ402" i="1"/>
  <c r="AB402" i="1"/>
  <c r="AL402" i="1" s="1"/>
  <c r="Z402" i="1"/>
  <c r="AP402" i="1" s="1"/>
  <c r="O402" i="1"/>
  <c r="D402" i="1"/>
  <c r="BI401" i="1"/>
  <c r="AG401" i="1" s="1"/>
  <c r="AB401" i="1"/>
  <c r="Z401" i="1"/>
  <c r="AP401" i="1" s="1"/>
  <c r="O401" i="1"/>
  <c r="D401" i="1"/>
  <c r="BI400" i="1"/>
  <c r="AG400" i="1" s="1"/>
  <c r="AQ400" i="1"/>
  <c r="AB400" i="1"/>
  <c r="AR400" i="1" s="1"/>
  <c r="Z400" i="1"/>
  <c r="AP400" i="1" s="1"/>
  <c r="O400" i="1"/>
  <c r="D400" i="1"/>
  <c r="AQ399" i="1"/>
  <c r="AB399" i="1"/>
  <c r="AK399" i="1" s="1"/>
  <c r="Z399" i="1"/>
  <c r="AP399" i="1" s="1"/>
  <c r="O399" i="1"/>
  <c r="D399" i="1"/>
  <c r="BI398" i="1"/>
  <c r="AG398" i="1" s="1"/>
  <c r="AQ398" i="1"/>
  <c r="AB398" i="1"/>
  <c r="AR398" i="1" s="1"/>
  <c r="Z398" i="1"/>
  <c r="AP398" i="1" s="1"/>
  <c r="O398" i="1"/>
  <c r="D398" i="1"/>
  <c r="AQ397" i="1"/>
  <c r="AB397" i="1"/>
  <c r="AL397" i="1" s="1"/>
  <c r="Z397" i="1"/>
  <c r="AP397" i="1" s="1"/>
  <c r="O397" i="1"/>
  <c r="D397" i="1"/>
  <c r="BI396" i="1"/>
  <c r="AG396" i="1" s="1"/>
  <c r="AQ396" i="1"/>
  <c r="AB396" i="1"/>
  <c r="Z396" i="1"/>
  <c r="AP396" i="1" s="1"/>
  <c r="O396" i="1"/>
  <c r="D396" i="1"/>
  <c r="AQ395" i="1"/>
  <c r="AB395" i="1"/>
  <c r="AL395" i="1" s="1"/>
  <c r="Z395" i="1"/>
  <c r="AP395" i="1" s="1"/>
  <c r="O395" i="1"/>
  <c r="D395" i="1"/>
  <c r="BI394" i="1"/>
  <c r="AG394" i="1" s="1"/>
  <c r="AQ394" i="1"/>
  <c r="AB394" i="1"/>
  <c r="AL394" i="1" s="1"/>
  <c r="Z394" i="1"/>
  <c r="AP394" i="1" s="1"/>
  <c r="O394" i="1"/>
  <c r="D394" i="1"/>
  <c r="BI393" i="1"/>
  <c r="AG393" i="1" s="1"/>
  <c r="AQ393" i="1"/>
  <c r="AB393" i="1"/>
  <c r="AR393" i="1" s="1"/>
  <c r="Z393" i="1"/>
  <c r="AP393" i="1" s="1"/>
  <c r="O393" i="1"/>
  <c r="D393" i="1"/>
  <c r="BI392" i="1"/>
  <c r="AG392" i="1" s="1"/>
  <c r="AQ392" i="1"/>
  <c r="AB392" i="1"/>
  <c r="AR392" i="1" s="1"/>
  <c r="BR392" i="1" s="1"/>
  <c r="Z392" i="1"/>
  <c r="AP392" i="1" s="1"/>
  <c r="O392" i="1"/>
  <c r="D392" i="1"/>
  <c r="AQ391" i="1"/>
  <c r="AB391" i="1"/>
  <c r="AR391" i="1" s="1"/>
  <c r="Z391" i="1"/>
  <c r="AP391" i="1" s="1"/>
  <c r="O391" i="1"/>
  <c r="D391" i="1"/>
  <c r="BI390" i="1"/>
  <c r="AG390" i="1" s="1"/>
  <c r="AB390" i="1"/>
  <c r="Z390" i="1"/>
  <c r="AP390" i="1" s="1"/>
  <c r="O390" i="1"/>
  <c r="D390" i="1"/>
  <c r="BI389" i="1"/>
  <c r="AG389" i="1" s="1"/>
  <c r="AQ389" i="1"/>
  <c r="AB389" i="1"/>
  <c r="AL389" i="1" s="1"/>
  <c r="Z389" i="1"/>
  <c r="AP389" i="1" s="1"/>
  <c r="O389" i="1"/>
  <c r="D389" i="1"/>
  <c r="BI388" i="1"/>
  <c r="AG388" i="1" s="1"/>
  <c r="AQ388" i="1"/>
  <c r="AB388" i="1"/>
  <c r="AL388" i="1" s="1"/>
  <c r="Z388" i="1"/>
  <c r="AP388" i="1" s="1"/>
  <c r="O388" i="1"/>
  <c r="D388" i="1"/>
  <c r="AB387" i="1"/>
  <c r="Z387" i="1"/>
  <c r="AP387" i="1" s="1"/>
  <c r="O387" i="1"/>
  <c r="D387" i="1"/>
  <c r="BI386" i="1"/>
  <c r="AG386" i="1" s="1"/>
  <c r="AQ386" i="1"/>
  <c r="AB386" i="1"/>
  <c r="AL386" i="1" s="1"/>
  <c r="Z386" i="1"/>
  <c r="AP386" i="1" s="1"/>
  <c r="O386" i="1"/>
  <c r="D386" i="1"/>
  <c r="BI385" i="1"/>
  <c r="AG385" i="1" s="1"/>
  <c r="AB385" i="1"/>
  <c r="Z385" i="1"/>
  <c r="AP385" i="1" s="1"/>
  <c r="O385" i="1"/>
  <c r="D385" i="1"/>
  <c r="BI384" i="1"/>
  <c r="AG384" i="1" s="1"/>
  <c r="AQ384" i="1"/>
  <c r="AB384" i="1"/>
  <c r="AL384" i="1" s="1"/>
  <c r="Z384" i="1"/>
  <c r="AP384" i="1" s="1"/>
  <c r="O384" i="1"/>
  <c r="D384" i="1"/>
  <c r="AQ383" i="1"/>
  <c r="AB383" i="1"/>
  <c r="AL383" i="1" s="1"/>
  <c r="Z383" i="1"/>
  <c r="AP383" i="1" s="1"/>
  <c r="O383" i="1"/>
  <c r="D383" i="1"/>
  <c r="BI382" i="1"/>
  <c r="AG382" i="1" s="1"/>
  <c r="AB382" i="1"/>
  <c r="Z382" i="1"/>
  <c r="AP382" i="1" s="1"/>
  <c r="O382" i="1"/>
  <c r="D382" i="1"/>
  <c r="AB381" i="1"/>
  <c r="Z381" i="1"/>
  <c r="AP381" i="1" s="1"/>
  <c r="O381" i="1"/>
  <c r="D381" i="1"/>
  <c r="BI380" i="1"/>
  <c r="AG380" i="1" s="1"/>
  <c r="AB380" i="1"/>
  <c r="Z380" i="1"/>
  <c r="AP380" i="1" s="1"/>
  <c r="O380" i="1"/>
  <c r="D380" i="1"/>
  <c r="AQ379" i="1"/>
  <c r="AB379" i="1"/>
  <c r="AL379" i="1" s="1"/>
  <c r="Z379" i="1"/>
  <c r="AP379" i="1" s="1"/>
  <c r="O379" i="1"/>
  <c r="D379" i="1"/>
  <c r="BI378" i="1"/>
  <c r="AG378" i="1" s="1"/>
  <c r="AQ378" i="1"/>
  <c r="AB378" i="1"/>
  <c r="AL378" i="1" s="1"/>
  <c r="Z378" i="1"/>
  <c r="AP378" i="1" s="1"/>
  <c r="O378" i="1"/>
  <c r="D378" i="1"/>
  <c r="BI377" i="1"/>
  <c r="AG377" i="1" s="1"/>
  <c r="AB377" i="1"/>
  <c r="Z377" i="1"/>
  <c r="AP377" i="1" s="1"/>
  <c r="O377" i="1"/>
  <c r="D377" i="1"/>
  <c r="BI376" i="1"/>
  <c r="AG376" i="1" s="1"/>
  <c r="AQ376" i="1"/>
  <c r="AB376" i="1"/>
  <c r="AL376" i="1" s="1"/>
  <c r="Z376" i="1"/>
  <c r="AP376" i="1" s="1"/>
  <c r="O376" i="1"/>
  <c r="D376" i="1"/>
  <c r="AQ375" i="1"/>
  <c r="AB375" i="1"/>
  <c r="AL375" i="1" s="1"/>
  <c r="Z375" i="1"/>
  <c r="AP375" i="1" s="1"/>
  <c r="O375" i="1"/>
  <c r="D375" i="1"/>
  <c r="BI374" i="1"/>
  <c r="AG374" i="1" s="1"/>
  <c r="AQ374" i="1"/>
  <c r="AB374" i="1"/>
  <c r="AL374" i="1" s="1"/>
  <c r="Z374" i="1"/>
  <c r="AP374" i="1" s="1"/>
  <c r="O374" i="1"/>
  <c r="D374" i="1"/>
  <c r="BI373" i="1"/>
  <c r="AG373" i="1" s="1"/>
  <c r="AQ373" i="1"/>
  <c r="AB373" i="1"/>
  <c r="AL373" i="1" s="1"/>
  <c r="Z373" i="1"/>
  <c r="AP373" i="1" s="1"/>
  <c r="O373" i="1"/>
  <c r="D373" i="1"/>
  <c r="BI372" i="1"/>
  <c r="AG372" i="1" s="1"/>
  <c r="AB372" i="1"/>
  <c r="Z372" i="1"/>
  <c r="AP372" i="1" s="1"/>
  <c r="O372" i="1"/>
  <c r="D372" i="1"/>
  <c r="AQ371" i="1"/>
  <c r="AB371" i="1"/>
  <c r="AL371" i="1" s="1"/>
  <c r="Z371" i="1"/>
  <c r="AP371" i="1" s="1"/>
  <c r="O371" i="1"/>
  <c r="D371" i="1"/>
  <c r="BI370" i="1"/>
  <c r="AG370" i="1" s="1"/>
  <c r="AQ370" i="1"/>
  <c r="AB370" i="1"/>
  <c r="AL370" i="1" s="1"/>
  <c r="Z370" i="1"/>
  <c r="AP370" i="1" s="1"/>
  <c r="O370" i="1"/>
  <c r="D370" i="1"/>
  <c r="BI369" i="1"/>
  <c r="AG369" i="1" s="1"/>
  <c r="AQ369" i="1"/>
  <c r="AB369" i="1"/>
  <c r="AL369" i="1" s="1"/>
  <c r="Z369" i="1"/>
  <c r="AP369" i="1" s="1"/>
  <c r="O369" i="1"/>
  <c r="D369" i="1"/>
  <c r="BI368" i="1"/>
  <c r="AG368" i="1" s="1"/>
  <c r="AB368" i="1"/>
  <c r="Z368" i="1"/>
  <c r="AP368" i="1" s="1"/>
  <c r="O368" i="1"/>
  <c r="D368" i="1"/>
  <c r="AQ367" i="1"/>
  <c r="AB367" i="1"/>
  <c r="AL367" i="1" s="1"/>
  <c r="Z367" i="1"/>
  <c r="AP367" i="1" s="1"/>
  <c r="O367" i="1"/>
  <c r="D367" i="1"/>
  <c r="BI366" i="1"/>
  <c r="AG366" i="1" s="1"/>
  <c r="AQ366" i="1"/>
  <c r="AB366" i="1"/>
  <c r="AL366" i="1" s="1"/>
  <c r="Z366" i="1"/>
  <c r="AP366" i="1" s="1"/>
  <c r="O366" i="1"/>
  <c r="D366" i="1"/>
  <c r="BI365" i="1"/>
  <c r="AG365" i="1" s="1"/>
  <c r="AB365" i="1"/>
  <c r="Z365" i="1"/>
  <c r="AP365" i="1" s="1"/>
  <c r="O365" i="1"/>
  <c r="D365" i="1"/>
  <c r="BI364" i="1"/>
  <c r="AG364" i="1" s="1"/>
  <c r="AQ364" i="1"/>
  <c r="AB364" i="1"/>
  <c r="AL364" i="1" s="1"/>
  <c r="Z364" i="1"/>
  <c r="AP364" i="1" s="1"/>
  <c r="O364" i="1"/>
  <c r="D364" i="1"/>
  <c r="AB363" i="1"/>
  <c r="Z363" i="1"/>
  <c r="AP363" i="1" s="1"/>
  <c r="O363" i="1"/>
  <c r="D363" i="1"/>
  <c r="BI362" i="1"/>
  <c r="AG362" i="1" s="1"/>
  <c r="AQ362" i="1"/>
  <c r="AB362" i="1"/>
  <c r="AL362" i="1" s="1"/>
  <c r="Z362" i="1"/>
  <c r="AP362" i="1" s="1"/>
  <c r="O362" i="1"/>
  <c r="D362" i="1"/>
  <c r="BI361" i="1"/>
  <c r="AG361" i="1" s="1"/>
  <c r="AQ361" i="1"/>
  <c r="AB361" i="1"/>
  <c r="AL361" i="1" s="1"/>
  <c r="Z361" i="1"/>
  <c r="AP361" i="1" s="1"/>
  <c r="O361" i="1"/>
  <c r="D361" i="1"/>
  <c r="BI360" i="1"/>
  <c r="AG360" i="1" s="1"/>
  <c r="AQ360" i="1"/>
  <c r="AB360" i="1"/>
  <c r="AL360" i="1" s="1"/>
  <c r="Z360" i="1"/>
  <c r="AP360" i="1" s="1"/>
  <c r="O360" i="1"/>
  <c r="D360" i="1"/>
  <c r="AQ359" i="1"/>
  <c r="AB359" i="1"/>
  <c r="AL359" i="1" s="1"/>
  <c r="Z359" i="1"/>
  <c r="AP359" i="1" s="1"/>
  <c r="O359" i="1"/>
  <c r="D359" i="1"/>
  <c r="BI358" i="1"/>
  <c r="AG358" i="1" s="1"/>
  <c r="AB358" i="1"/>
  <c r="Z358" i="1"/>
  <c r="AP358" i="1" s="1"/>
  <c r="O358" i="1"/>
  <c r="D358" i="1"/>
  <c r="BI357" i="1"/>
  <c r="AG357" i="1" s="1"/>
  <c r="AB357" i="1"/>
  <c r="Z357" i="1"/>
  <c r="AP357" i="1" s="1"/>
  <c r="O357" i="1"/>
  <c r="D357" i="1"/>
  <c r="BI356" i="1"/>
  <c r="AG356" i="1" s="1"/>
  <c r="AB356" i="1"/>
  <c r="Z356" i="1"/>
  <c r="AP356" i="1" s="1"/>
  <c r="O356" i="1"/>
  <c r="D356" i="1"/>
  <c r="AB355" i="1"/>
  <c r="Z355" i="1"/>
  <c r="AP355" i="1" s="1"/>
  <c r="O355" i="1"/>
  <c r="D355" i="1"/>
  <c r="BI354" i="1"/>
  <c r="AG354" i="1" s="1"/>
  <c r="AQ354" i="1"/>
  <c r="AB354" i="1"/>
  <c r="AL354" i="1" s="1"/>
  <c r="Z354" i="1"/>
  <c r="AP354" i="1" s="1"/>
  <c r="O354" i="1"/>
  <c r="D354" i="1"/>
  <c r="BI353" i="1"/>
  <c r="AG353" i="1" s="1"/>
  <c r="AQ353" i="1"/>
  <c r="AB353" i="1"/>
  <c r="AL353" i="1" s="1"/>
  <c r="Z353" i="1"/>
  <c r="AP353" i="1" s="1"/>
  <c r="O353" i="1"/>
  <c r="D353" i="1"/>
  <c r="BI352" i="1"/>
  <c r="AG352" i="1" s="1"/>
  <c r="AQ352" i="1"/>
  <c r="AB352" i="1"/>
  <c r="AL352" i="1" s="1"/>
  <c r="Z352" i="1"/>
  <c r="AP352" i="1" s="1"/>
  <c r="O352" i="1"/>
  <c r="D352" i="1"/>
  <c r="AQ351" i="1"/>
  <c r="AB351" i="1"/>
  <c r="AL351" i="1" s="1"/>
  <c r="Z351" i="1"/>
  <c r="AP351" i="1" s="1"/>
  <c r="O351" i="1"/>
  <c r="D351" i="1"/>
  <c r="BI350" i="1"/>
  <c r="AG350" i="1" s="1"/>
  <c r="AQ350" i="1"/>
  <c r="AB350" i="1"/>
  <c r="AL350" i="1" s="1"/>
  <c r="Z350" i="1"/>
  <c r="AP350" i="1" s="1"/>
  <c r="O350" i="1"/>
  <c r="D350" i="1"/>
  <c r="BI349" i="1"/>
  <c r="AG349" i="1" s="1"/>
  <c r="AB349" i="1"/>
  <c r="Z349" i="1"/>
  <c r="AP349" i="1" s="1"/>
  <c r="O349" i="1"/>
  <c r="D349" i="1"/>
  <c r="BI348" i="1"/>
  <c r="AG348" i="1" s="1"/>
  <c r="AB348" i="1"/>
  <c r="Z348" i="1"/>
  <c r="AP348" i="1" s="1"/>
  <c r="O348" i="1"/>
  <c r="D348" i="1"/>
  <c r="AB347" i="1"/>
  <c r="Z347" i="1"/>
  <c r="AP347" i="1" s="1"/>
  <c r="O347" i="1"/>
  <c r="D347" i="1"/>
  <c r="BI346" i="1"/>
  <c r="AG346" i="1" s="1"/>
  <c r="AB346" i="1"/>
  <c r="Z346" i="1"/>
  <c r="AP346" i="1" s="1"/>
  <c r="O346" i="1"/>
  <c r="D346" i="1"/>
  <c r="BI345" i="1"/>
  <c r="AG345" i="1" s="1"/>
  <c r="AB345" i="1"/>
  <c r="Z345" i="1"/>
  <c r="AP345" i="1" s="1"/>
  <c r="O345" i="1"/>
  <c r="D345" i="1"/>
  <c r="BI344" i="1"/>
  <c r="AG344" i="1" s="1"/>
  <c r="AB344" i="1"/>
  <c r="Z344" i="1"/>
  <c r="AP344" i="1" s="1"/>
  <c r="O344" i="1"/>
  <c r="D344" i="1"/>
  <c r="AB343" i="1"/>
  <c r="Z343" i="1"/>
  <c r="AP343" i="1" s="1"/>
  <c r="O343" i="1"/>
  <c r="D343" i="1"/>
  <c r="BI342" i="1"/>
  <c r="AG342" i="1" s="1"/>
  <c r="AB342" i="1"/>
  <c r="Z342" i="1"/>
  <c r="AP342" i="1" s="1"/>
  <c r="O342" i="1"/>
  <c r="D342" i="1"/>
  <c r="BI341" i="1"/>
  <c r="AG341" i="1" s="1"/>
  <c r="AB341" i="1"/>
  <c r="Z341" i="1"/>
  <c r="AP341" i="1" s="1"/>
  <c r="O341" i="1"/>
  <c r="D341" i="1"/>
  <c r="BI340" i="1"/>
  <c r="AG340" i="1" s="1"/>
  <c r="AQ340" i="1"/>
  <c r="AB340" i="1"/>
  <c r="AL340" i="1" s="1"/>
  <c r="Z340" i="1"/>
  <c r="AP340" i="1" s="1"/>
  <c r="O340" i="1"/>
  <c r="D340" i="1"/>
  <c r="AB339" i="1"/>
  <c r="Z339" i="1"/>
  <c r="AP339" i="1" s="1"/>
  <c r="O339" i="1"/>
  <c r="D339" i="1"/>
  <c r="BI338" i="1"/>
  <c r="AG338" i="1" s="1"/>
  <c r="AB338" i="1"/>
  <c r="Z338" i="1"/>
  <c r="AP338" i="1" s="1"/>
  <c r="O338" i="1"/>
  <c r="D338" i="1"/>
  <c r="BI337" i="1"/>
  <c r="AG337" i="1" s="1"/>
  <c r="AQ337" i="1"/>
  <c r="AB337" i="1"/>
  <c r="AL337" i="1" s="1"/>
  <c r="Z337" i="1"/>
  <c r="AP337" i="1" s="1"/>
  <c r="O337" i="1"/>
  <c r="D337" i="1"/>
  <c r="BI336" i="1"/>
  <c r="AG336" i="1" s="1"/>
  <c r="AB336" i="1"/>
  <c r="Z336" i="1"/>
  <c r="AP336" i="1" s="1"/>
  <c r="O336" i="1"/>
  <c r="D336" i="1"/>
  <c r="AQ335" i="1"/>
  <c r="AB335" i="1"/>
  <c r="AL335" i="1" s="1"/>
  <c r="Z335" i="1"/>
  <c r="AP335" i="1" s="1"/>
  <c r="O335" i="1"/>
  <c r="D335" i="1"/>
  <c r="BI334" i="1"/>
  <c r="AG334" i="1" s="1"/>
  <c r="AQ334" i="1"/>
  <c r="AB334" i="1"/>
  <c r="AL334" i="1" s="1"/>
  <c r="Z334" i="1"/>
  <c r="AP334" i="1" s="1"/>
  <c r="O334" i="1"/>
  <c r="D334" i="1"/>
  <c r="BI333" i="1"/>
  <c r="AG333" i="1" s="1"/>
  <c r="AQ333" i="1"/>
  <c r="AB333" i="1"/>
  <c r="AL333" i="1" s="1"/>
  <c r="Z333" i="1"/>
  <c r="AP333" i="1" s="1"/>
  <c r="O333" i="1"/>
  <c r="D333" i="1"/>
  <c r="BI332" i="1"/>
  <c r="AG332" i="1" s="1"/>
  <c r="AB332" i="1"/>
  <c r="Z332" i="1"/>
  <c r="AP332" i="1" s="1"/>
  <c r="O332" i="1"/>
  <c r="D332" i="1"/>
  <c r="AQ331" i="1"/>
  <c r="AB331" i="1"/>
  <c r="AL331" i="1" s="1"/>
  <c r="Z331" i="1"/>
  <c r="AP331" i="1" s="1"/>
  <c r="O331" i="1"/>
  <c r="D331" i="1"/>
  <c r="BI330" i="1"/>
  <c r="AG330" i="1" s="1"/>
  <c r="AQ330" i="1"/>
  <c r="AB330" i="1"/>
  <c r="AL330" i="1" s="1"/>
  <c r="Z330" i="1"/>
  <c r="AP330" i="1" s="1"/>
  <c r="O330" i="1"/>
  <c r="D330" i="1"/>
  <c r="BI329" i="1"/>
  <c r="AG329" i="1" s="1"/>
  <c r="AQ329" i="1"/>
  <c r="AB329" i="1"/>
  <c r="AL329" i="1" s="1"/>
  <c r="Z329" i="1"/>
  <c r="AP329" i="1" s="1"/>
  <c r="O329" i="1"/>
  <c r="D329" i="1"/>
  <c r="BI328" i="1"/>
  <c r="AG328" i="1" s="1"/>
  <c r="AQ328" i="1"/>
  <c r="AB328" i="1"/>
  <c r="AL328" i="1" s="1"/>
  <c r="Z328" i="1"/>
  <c r="AP328" i="1" s="1"/>
  <c r="O328" i="1"/>
  <c r="D328" i="1"/>
  <c r="AQ327" i="1"/>
  <c r="AB327" i="1"/>
  <c r="Z327" i="1"/>
  <c r="AP327" i="1" s="1"/>
  <c r="O327" i="1"/>
  <c r="D327" i="1"/>
  <c r="BI326" i="1"/>
  <c r="AG326" i="1" s="1"/>
  <c r="AQ326" i="1"/>
  <c r="AB326" i="1"/>
  <c r="Z326" i="1"/>
  <c r="AP326" i="1" s="1"/>
  <c r="O326" i="1"/>
  <c r="D326" i="1"/>
  <c r="BI325" i="1"/>
  <c r="AG325" i="1" s="1"/>
  <c r="AQ325" i="1"/>
  <c r="AB325" i="1"/>
  <c r="Z325" i="1"/>
  <c r="AP325" i="1" s="1"/>
  <c r="O325" i="1"/>
  <c r="D325" i="1"/>
  <c r="BI324" i="1"/>
  <c r="AG324" i="1" s="1"/>
  <c r="AB324" i="1"/>
  <c r="AJ324" i="1" s="1"/>
  <c r="AQ324" i="1" s="1"/>
  <c r="Z324" i="1"/>
  <c r="AP324" i="1" s="1"/>
  <c r="O324" i="1"/>
  <c r="D324" i="1"/>
  <c r="AB323" i="1"/>
  <c r="AJ323" i="1" s="1"/>
  <c r="AQ323" i="1" s="1"/>
  <c r="Z323" i="1"/>
  <c r="AP323" i="1" s="1"/>
  <c r="O323" i="1"/>
  <c r="D323" i="1"/>
  <c r="BI322" i="1"/>
  <c r="AG322" i="1" s="1"/>
  <c r="AB322" i="1"/>
  <c r="AJ322" i="1" s="1"/>
  <c r="AQ322" i="1" s="1"/>
  <c r="Z322" i="1"/>
  <c r="AP322" i="1" s="1"/>
  <c r="O322" i="1"/>
  <c r="D322" i="1"/>
  <c r="BI321" i="1"/>
  <c r="AG321" i="1" s="1"/>
  <c r="AB321" i="1"/>
  <c r="AJ321" i="1" s="1"/>
  <c r="AQ321" i="1" s="1"/>
  <c r="Z321" i="1"/>
  <c r="AP321" i="1" s="1"/>
  <c r="O321" i="1"/>
  <c r="D321" i="1"/>
  <c r="BI320" i="1"/>
  <c r="AG320" i="1" s="1"/>
  <c r="AB320" i="1"/>
  <c r="AJ320" i="1" s="1"/>
  <c r="AQ320" i="1" s="1"/>
  <c r="Z320" i="1"/>
  <c r="AP320" i="1" s="1"/>
  <c r="O320" i="1"/>
  <c r="D320" i="1"/>
  <c r="AB319" i="1"/>
  <c r="AJ319" i="1" s="1"/>
  <c r="AQ319" i="1" s="1"/>
  <c r="Z319" i="1"/>
  <c r="AP319" i="1" s="1"/>
  <c r="O319" i="1"/>
  <c r="D319" i="1"/>
  <c r="BI318" i="1"/>
  <c r="AG318" i="1" s="1"/>
  <c r="AQ318" i="1"/>
  <c r="AB318" i="1"/>
  <c r="Z318" i="1"/>
  <c r="AP318" i="1" s="1"/>
  <c r="O318" i="1"/>
  <c r="D318" i="1"/>
  <c r="BI317" i="1"/>
  <c r="AG317" i="1" s="1"/>
  <c r="AB317" i="1"/>
  <c r="AJ317" i="1" s="1"/>
  <c r="AQ317" i="1" s="1"/>
  <c r="Z317" i="1"/>
  <c r="AP317" i="1" s="1"/>
  <c r="O317" i="1"/>
  <c r="D317" i="1"/>
  <c r="BI316" i="1"/>
  <c r="AG316" i="1" s="1"/>
  <c r="AQ316" i="1"/>
  <c r="AB316" i="1"/>
  <c r="Z316" i="1"/>
  <c r="AP316" i="1" s="1"/>
  <c r="O316" i="1"/>
  <c r="D316" i="1"/>
  <c r="AB315" i="1"/>
  <c r="AJ315" i="1" s="1"/>
  <c r="AQ315" i="1" s="1"/>
  <c r="Z315" i="1"/>
  <c r="AP315" i="1" s="1"/>
  <c r="O315" i="1"/>
  <c r="D315" i="1"/>
  <c r="BI314" i="1"/>
  <c r="AG314" i="1" s="1"/>
  <c r="AQ314" i="1"/>
  <c r="AB314" i="1"/>
  <c r="Z314" i="1"/>
  <c r="AP314" i="1" s="1"/>
  <c r="O314" i="1"/>
  <c r="D314" i="1"/>
  <c r="BI313" i="1"/>
  <c r="AG313" i="1" s="1"/>
  <c r="AQ313" i="1"/>
  <c r="AB313" i="1"/>
  <c r="Z313" i="1"/>
  <c r="AP313" i="1" s="1"/>
  <c r="O313" i="1"/>
  <c r="D313" i="1"/>
  <c r="BI312" i="1"/>
  <c r="AG312" i="1" s="1"/>
  <c r="AQ312" i="1"/>
  <c r="AB312" i="1"/>
  <c r="AK312" i="1" s="1"/>
  <c r="Z312" i="1"/>
  <c r="AP312" i="1" s="1"/>
  <c r="O312" i="1"/>
  <c r="D312" i="1"/>
  <c r="AQ311" i="1"/>
  <c r="AB311" i="1"/>
  <c r="AK311" i="1" s="1"/>
  <c r="Z311" i="1"/>
  <c r="AP311" i="1" s="1"/>
  <c r="O311" i="1"/>
  <c r="D311" i="1"/>
  <c r="BI310" i="1"/>
  <c r="AG310" i="1" s="1"/>
  <c r="AB310" i="1"/>
  <c r="Z310" i="1"/>
  <c r="AP310" i="1" s="1"/>
  <c r="O310" i="1"/>
  <c r="D310" i="1"/>
  <c r="BI309" i="1"/>
  <c r="AG309" i="1" s="1"/>
  <c r="AB309" i="1"/>
  <c r="AJ309" i="1" s="1"/>
  <c r="AQ309" i="1" s="1"/>
  <c r="Z309" i="1"/>
  <c r="AP309" i="1" s="1"/>
  <c r="O309" i="1"/>
  <c r="D309" i="1"/>
  <c r="BI308" i="1"/>
  <c r="AG308" i="1" s="1"/>
  <c r="AB308" i="1"/>
  <c r="Z308" i="1"/>
  <c r="AP308" i="1" s="1"/>
  <c r="O308" i="1"/>
  <c r="D308" i="1"/>
  <c r="AB307" i="1"/>
  <c r="Z307" i="1"/>
  <c r="AP307" i="1" s="1"/>
  <c r="O307" i="1"/>
  <c r="D307" i="1"/>
  <c r="BI306" i="1"/>
  <c r="AG306" i="1" s="1"/>
  <c r="AB306" i="1"/>
  <c r="Z306" i="1"/>
  <c r="AP306" i="1" s="1"/>
  <c r="O306" i="1"/>
  <c r="D306" i="1"/>
  <c r="BI305" i="1"/>
  <c r="AG305" i="1" s="1"/>
  <c r="AB305" i="1"/>
  <c r="AJ305" i="1" s="1"/>
  <c r="AQ305" i="1" s="1"/>
  <c r="Z305" i="1"/>
  <c r="AP305" i="1" s="1"/>
  <c r="O305" i="1"/>
  <c r="D305" i="1"/>
  <c r="BI304" i="1"/>
  <c r="AG304" i="1" s="1"/>
  <c r="AQ304" i="1"/>
  <c r="AB304" i="1"/>
  <c r="AK304" i="1" s="1"/>
  <c r="Z304" i="1"/>
  <c r="AP304" i="1" s="1"/>
  <c r="O304" i="1"/>
  <c r="D304" i="1"/>
  <c r="AQ303" i="1"/>
  <c r="AB303" i="1"/>
  <c r="AK303" i="1" s="1"/>
  <c r="Z303" i="1"/>
  <c r="AP303" i="1" s="1"/>
  <c r="O303" i="1"/>
  <c r="D303" i="1"/>
  <c r="BI302" i="1"/>
  <c r="AG302" i="1" s="1"/>
  <c r="AQ302" i="1"/>
  <c r="AB302" i="1"/>
  <c r="AK302" i="1" s="1"/>
  <c r="Z302" i="1"/>
  <c r="AP302" i="1" s="1"/>
  <c r="O302" i="1"/>
  <c r="D302" i="1"/>
  <c r="BI301" i="1"/>
  <c r="AG301" i="1" s="1"/>
  <c r="AQ301" i="1"/>
  <c r="AB301" i="1"/>
  <c r="Z301" i="1"/>
  <c r="AP301" i="1" s="1"/>
  <c r="O301" i="1"/>
  <c r="D301" i="1"/>
  <c r="BI300" i="1"/>
  <c r="AG300" i="1" s="1"/>
  <c r="AQ300" i="1"/>
  <c r="AB300" i="1"/>
  <c r="AK300" i="1" s="1"/>
  <c r="Z300" i="1"/>
  <c r="AP300" i="1" s="1"/>
  <c r="O300" i="1"/>
  <c r="D300" i="1"/>
  <c r="BI299" i="1"/>
  <c r="AG299" i="1" s="1"/>
  <c r="AQ299" i="1"/>
  <c r="AB299" i="1"/>
  <c r="AK299" i="1" s="1"/>
  <c r="Z299" i="1"/>
  <c r="AP299" i="1" s="1"/>
  <c r="O299" i="1"/>
  <c r="D299" i="1"/>
  <c r="BI298" i="1"/>
  <c r="AG298" i="1" s="1"/>
  <c r="AQ298" i="1"/>
  <c r="AB298" i="1"/>
  <c r="AK298" i="1" s="1"/>
  <c r="Z298" i="1"/>
  <c r="AP298" i="1" s="1"/>
  <c r="O298" i="1"/>
  <c r="D298" i="1"/>
  <c r="BI297" i="1"/>
  <c r="AG297" i="1" s="1"/>
  <c r="AQ297" i="1"/>
  <c r="AB297" i="1"/>
  <c r="Z297" i="1"/>
  <c r="AP297" i="1" s="1"/>
  <c r="O297" i="1"/>
  <c r="D297" i="1"/>
  <c r="BI296" i="1"/>
  <c r="AG296" i="1" s="1"/>
  <c r="AB296" i="1"/>
  <c r="Z296" i="1"/>
  <c r="AP296" i="1" s="1"/>
  <c r="O296" i="1"/>
  <c r="D296" i="1"/>
  <c r="BI295" i="1"/>
  <c r="AG295" i="1" s="1"/>
  <c r="AB295" i="1"/>
  <c r="Z295" i="1"/>
  <c r="AP295" i="1" s="1"/>
  <c r="O295" i="1"/>
  <c r="D295" i="1"/>
  <c r="BI294" i="1"/>
  <c r="AG294" i="1" s="1"/>
  <c r="AB294" i="1"/>
  <c r="AJ294" i="1" s="1"/>
  <c r="AQ294" i="1" s="1"/>
  <c r="Z294" i="1"/>
  <c r="AP294" i="1" s="1"/>
  <c r="O294" i="1"/>
  <c r="D294" i="1"/>
  <c r="BI293" i="1"/>
  <c r="AG293" i="1" s="1"/>
  <c r="AQ293" i="1"/>
  <c r="AB293" i="1"/>
  <c r="AK293" i="1" s="1"/>
  <c r="Z293" i="1"/>
  <c r="AP293" i="1" s="1"/>
  <c r="O293" i="1"/>
  <c r="D293" i="1"/>
  <c r="BI292" i="1"/>
  <c r="AG292" i="1" s="1"/>
  <c r="AQ292" i="1"/>
  <c r="AB292" i="1"/>
  <c r="AK292" i="1" s="1"/>
  <c r="Z292" i="1"/>
  <c r="AP292" i="1" s="1"/>
  <c r="O292" i="1"/>
  <c r="D292" i="1"/>
  <c r="BI291" i="1"/>
  <c r="AG291" i="1" s="1"/>
  <c r="AB291" i="1"/>
  <c r="AJ291" i="1" s="1"/>
  <c r="AQ291" i="1" s="1"/>
  <c r="Z291" i="1"/>
  <c r="AP291" i="1" s="1"/>
  <c r="O291" i="1"/>
  <c r="D291" i="1"/>
  <c r="BI290" i="1"/>
  <c r="AG290" i="1" s="1"/>
  <c r="AQ290" i="1"/>
  <c r="AB290" i="1"/>
  <c r="AK290" i="1" s="1"/>
  <c r="Z290" i="1"/>
  <c r="AP290" i="1" s="1"/>
  <c r="O290" i="1"/>
  <c r="D290" i="1"/>
  <c r="BI289" i="1"/>
  <c r="AG289" i="1" s="1"/>
  <c r="AB289" i="1"/>
  <c r="Z289" i="1"/>
  <c r="AP289" i="1" s="1"/>
  <c r="O289" i="1"/>
  <c r="D289" i="1"/>
  <c r="BI288" i="1"/>
  <c r="AG288" i="1" s="1"/>
  <c r="AQ288" i="1"/>
  <c r="AB288" i="1"/>
  <c r="AK288" i="1" s="1"/>
  <c r="Z288" i="1"/>
  <c r="AP288" i="1" s="1"/>
  <c r="O288" i="1"/>
  <c r="D288" i="1"/>
  <c r="BI287" i="1"/>
  <c r="AG287" i="1" s="1"/>
  <c r="AQ287" i="1"/>
  <c r="AB287" i="1"/>
  <c r="Z287" i="1"/>
  <c r="AP287" i="1" s="1"/>
  <c r="O287" i="1"/>
  <c r="D287" i="1"/>
  <c r="BI286" i="1"/>
  <c r="AG286" i="1" s="1"/>
  <c r="AB286" i="1"/>
  <c r="Z286" i="1"/>
  <c r="AP286" i="1" s="1"/>
  <c r="O286" i="1"/>
  <c r="D286" i="1"/>
  <c r="BI285" i="1"/>
  <c r="AG285" i="1" s="1"/>
  <c r="AQ285" i="1"/>
  <c r="AB285" i="1"/>
  <c r="AK285" i="1" s="1"/>
  <c r="Z285" i="1"/>
  <c r="AP285" i="1" s="1"/>
  <c r="O285" i="1"/>
  <c r="D285" i="1"/>
  <c r="BI284" i="1"/>
  <c r="AG284" i="1" s="1"/>
  <c r="AQ284" i="1"/>
  <c r="AB284" i="1"/>
  <c r="AK284" i="1" s="1"/>
  <c r="Z284" i="1"/>
  <c r="AP284" i="1" s="1"/>
  <c r="O284" i="1"/>
  <c r="D284" i="1"/>
  <c r="BI283" i="1"/>
  <c r="AG283" i="1" s="1"/>
  <c r="AB283" i="1"/>
  <c r="Z283" i="1"/>
  <c r="AP283" i="1" s="1"/>
  <c r="O283" i="1"/>
  <c r="D283" i="1"/>
  <c r="BI282" i="1"/>
  <c r="AG282" i="1" s="1"/>
  <c r="AQ282" i="1"/>
  <c r="AB282" i="1"/>
  <c r="Z282" i="1"/>
  <c r="AP282" i="1" s="1"/>
  <c r="O282" i="1"/>
  <c r="D282" i="1"/>
  <c r="BI281" i="1"/>
  <c r="AG281" i="1" s="1"/>
  <c r="AQ281" i="1"/>
  <c r="AB281" i="1"/>
  <c r="Z281" i="1"/>
  <c r="AP281" i="1" s="1"/>
  <c r="O281" i="1"/>
  <c r="D281" i="1"/>
  <c r="BI280" i="1"/>
  <c r="AG280" i="1" s="1"/>
  <c r="AB280" i="1"/>
  <c r="AJ280" i="1" s="1"/>
  <c r="AQ280" i="1" s="1"/>
  <c r="Z280" i="1"/>
  <c r="AP280" i="1" s="1"/>
  <c r="O280" i="1"/>
  <c r="D280" i="1"/>
  <c r="BI279" i="1"/>
  <c r="AG279" i="1" s="1"/>
  <c r="AB279" i="1"/>
  <c r="Z279" i="1"/>
  <c r="AP279" i="1" s="1"/>
  <c r="O279" i="1"/>
  <c r="D279" i="1"/>
  <c r="BI278" i="1"/>
  <c r="AG278" i="1" s="1"/>
  <c r="AQ278" i="1"/>
  <c r="AB278" i="1"/>
  <c r="AK278" i="1" s="1"/>
  <c r="Z278" i="1"/>
  <c r="AP278" i="1" s="1"/>
  <c r="O278" i="1"/>
  <c r="D278" i="1"/>
  <c r="BI277" i="1"/>
  <c r="AG277" i="1" s="1"/>
  <c r="AQ277" i="1"/>
  <c r="AB277" i="1"/>
  <c r="Z277" i="1"/>
  <c r="AP277" i="1" s="1"/>
  <c r="O277" i="1"/>
  <c r="D277" i="1"/>
  <c r="BI276" i="1"/>
  <c r="AG276" i="1" s="1"/>
  <c r="AQ276" i="1"/>
  <c r="AB276" i="1"/>
  <c r="Z276" i="1"/>
  <c r="AP276" i="1" s="1"/>
  <c r="O276" i="1"/>
  <c r="D276" i="1"/>
  <c r="BI275" i="1"/>
  <c r="AG275" i="1" s="1"/>
  <c r="AQ275" i="1"/>
  <c r="AB275" i="1"/>
  <c r="AK275" i="1" s="1"/>
  <c r="Z275" i="1"/>
  <c r="AP275" i="1" s="1"/>
  <c r="O275" i="1"/>
  <c r="D275" i="1"/>
  <c r="BI274" i="1"/>
  <c r="AG274" i="1" s="1"/>
  <c r="AQ274" i="1"/>
  <c r="AB274" i="1"/>
  <c r="Z274" i="1"/>
  <c r="AP274" i="1" s="1"/>
  <c r="O274" i="1"/>
  <c r="D274" i="1"/>
  <c r="BI273" i="1"/>
  <c r="AG273" i="1" s="1"/>
  <c r="AQ273" i="1"/>
  <c r="AB273" i="1"/>
  <c r="Z273" i="1"/>
  <c r="AP273" i="1" s="1"/>
  <c r="O273" i="1"/>
  <c r="D273" i="1"/>
  <c r="BI272" i="1"/>
  <c r="AG272" i="1" s="1"/>
  <c r="AQ272" i="1"/>
  <c r="AB272" i="1"/>
  <c r="Z272" i="1"/>
  <c r="AP272" i="1" s="1"/>
  <c r="O272" i="1"/>
  <c r="D272" i="1"/>
  <c r="BI271" i="1"/>
  <c r="AG271" i="1" s="1"/>
  <c r="AQ271" i="1"/>
  <c r="AB271" i="1"/>
  <c r="AK271" i="1" s="1"/>
  <c r="Z271" i="1"/>
  <c r="AP271" i="1" s="1"/>
  <c r="O271" i="1"/>
  <c r="D271" i="1"/>
  <c r="BI270" i="1"/>
  <c r="AG270" i="1" s="1"/>
  <c r="AQ270" i="1"/>
  <c r="AB270" i="1"/>
  <c r="AK270" i="1" s="1"/>
  <c r="Z270" i="1"/>
  <c r="AP270" i="1" s="1"/>
  <c r="O270" i="1"/>
  <c r="D270" i="1"/>
  <c r="BI269" i="1"/>
  <c r="AG269" i="1" s="1"/>
  <c r="AQ269" i="1"/>
  <c r="AB269" i="1"/>
  <c r="AK269" i="1" s="1"/>
  <c r="Z269" i="1"/>
  <c r="AP269" i="1" s="1"/>
  <c r="O269" i="1"/>
  <c r="D269" i="1"/>
  <c r="BI268" i="1"/>
  <c r="AG268" i="1" s="1"/>
  <c r="AQ268" i="1"/>
  <c r="AB268" i="1"/>
  <c r="AK268" i="1" s="1"/>
  <c r="Z268" i="1"/>
  <c r="AP268" i="1" s="1"/>
  <c r="O268" i="1"/>
  <c r="D268" i="1"/>
  <c r="BI267" i="1"/>
  <c r="AG267" i="1" s="1"/>
  <c r="AQ267" i="1"/>
  <c r="AB267" i="1"/>
  <c r="Z267" i="1"/>
  <c r="AP267" i="1" s="1"/>
  <c r="O267" i="1"/>
  <c r="D267" i="1"/>
  <c r="BI266" i="1"/>
  <c r="AG266" i="1" s="1"/>
  <c r="AQ266" i="1"/>
  <c r="AB266" i="1"/>
  <c r="AK266" i="1" s="1"/>
  <c r="Z266" i="1"/>
  <c r="AP266" i="1" s="1"/>
  <c r="O266" i="1"/>
  <c r="D266" i="1"/>
  <c r="BI265" i="1"/>
  <c r="AG265" i="1" s="1"/>
  <c r="AQ265" i="1"/>
  <c r="AB265" i="1"/>
  <c r="Z265" i="1"/>
  <c r="AP265" i="1" s="1"/>
  <c r="O265" i="1"/>
  <c r="D265" i="1"/>
  <c r="BI264" i="1"/>
  <c r="AG264" i="1" s="1"/>
  <c r="AQ264" i="1"/>
  <c r="AB264" i="1"/>
  <c r="Z264" i="1"/>
  <c r="AP264" i="1" s="1"/>
  <c r="O264" i="1"/>
  <c r="D264" i="1"/>
  <c r="BI263" i="1"/>
  <c r="AG263" i="1" s="1"/>
  <c r="AQ263" i="1"/>
  <c r="AB263" i="1"/>
  <c r="Z263" i="1"/>
  <c r="AP263" i="1" s="1"/>
  <c r="O263" i="1"/>
  <c r="D263" i="1"/>
  <c r="BI262" i="1"/>
  <c r="AG262" i="1" s="1"/>
  <c r="AQ262" i="1"/>
  <c r="AB262" i="1"/>
  <c r="Z262" i="1"/>
  <c r="AP262" i="1" s="1"/>
  <c r="O262" i="1"/>
  <c r="D262" i="1"/>
  <c r="BI261" i="1"/>
  <c r="AG261" i="1" s="1"/>
  <c r="AQ261" i="1"/>
  <c r="AB261" i="1"/>
  <c r="Z261" i="1"/>
  <c r="AP261" i="1" s="1"/>
  <c r="O261" i="1"/>
  <c r="D261" i="1"/>
  <c r="BI260" i="1"/>
  <c r="AG260" i="1" s="1"/>
  <c r="AQ260" i="1"/>
  <c r="AB260" i="1"/>
  <c r="Z260" i="1"/>
  <c r="AP260" i="1" s="1"/>
  <c r="O260" i="1"/>
  <c r="D260" i="1"/>
  <c r="BI259" i="1"/>
  <c r="AG259" i="1" s="1"/>
  <c r="AQ259" i="1"/>
  <c r="AB259" i="1"/>
  <c r="Z259" i="1"/>
  <c r="AP259" i="1" s="1"/>
  <c r="O259" i="1"/>
  <c r="D259" i="1"/>
  <c r="BI258" i="1"/>
  <c r="AG258" i="1" s="1"/>
  <c r="AQ258" i="1"/>
  <c r="AB258" i="1"/>
  <c r="Z258" i="1"/>
  <c r="AP258" i="1" s="1"/>
  <c r="O258" i="1"/>
  <c r="D258" i="1"/>
  <c r="BI257" i="1"/>
  <c r="AG257" i="1" s="1"/>
  <c r="AQ257" i="1"/>
  <c r="AB257" i="1"/>
  <c r="Z257" i="1"/>
  <c r="AP257" i="1" s="1"/>
  <c r="O257" i="1"/>
  <c r="D257" i="1"/>
  <c r="BI256" i="1"/>
  <c r="AG256" i="1" s="1"/>
  <c r="AQ256" i="1"/>
  <c r="AB256" i="1"/>
  <c r="Z256" i="1"/>
  <c r="AP256" i="1" s="1"/>
  <c r="O256" i="1"/>
  <c r="D256" i="1"/>
  <c r="BI255" i="1"/>
  <c r="AG255" i="1" s="1"/>
  <c r="AQ255" i="1"/>
  <c r="AB255" i="1"/>
  <c r="Z255" i="1"/>
  <c r="AP255" i="1" s="1"/>
  <c r="O255" i="1"/>
  <c r="D255" i="1"/>
  <c r="BI254" i="1"/>
  <c r="AG254" i="1" s="1"/>
  <c r="AQ254" i="1"/>
  <c r="AB254" i="1"/>
  <c r="Z254" i="1"/>
  <c r="AP254" i="1" s="1"/>
  <c r="O254" i="1"/>
  <c r="D254" i="1"/>
  <c r="BI253" i="1"/>
  <c r="AG253" i="1" s="1"/>
  <c r="AQ253" i="1"/>
  <c r="AB253" i="1"/>
  <c r="Z253" i="1"/>
  <c r="AP253" i="1" s="1"/>
  <c r="O253" i="1"/>
  <c r="D253" i="1"/>
  <c r="BI252" i="1"/>
  <c r="AG252" i="1" s="1"/>
  <c r="AQ252" i="1"/>
  <c r="AB252" i="1"/>
  <c r="Z252" i="1"/>
  <c r="AP252" i="1" s="1"/>
  <c r="O252" i="1"/>
  <c r="D252" i="1"/>
  <c r="BI251" i="1"/>
  <c r="AG251" i="1" s="1"/>
  <c r="AQ251" i="1"/>
  <c r="AB251" i="1"/>
  <c r="Z251" i="1"/>
  <c r="AP251" i="1" s="1"/>
  <c r="O251" i="1"/>
  <c r="D251" i="1"/>
  <c r="BI250" i="1"/>
  <c r="AG250" i="1" s="1"/>
  <c r="AQ250" i="1"/>
  <c r="AB250" i="1"/>
  <c r="Z250" i="1"/>
  <c r="AP250" i="1" s="1"/>
  <c r="O250" i="1"/>
  <c r="D250" i="1"/>
  <c r="BI249" i="1"/>
  <c r="AG249" i="1" s="1"/>
  <c r="AQ249" i="1"/>
  <c r="AB249" i="1"/>
  <c r="Z249" i="1"/>
  <c r="AP249" i="1" s="1"/>
  <c r="O249" i="1"/>
  <c r="D249" i="1"/>
  <c r="BI248" i="1"/>
  <c r="AG248" i="1" s="1"/>
  <c r="AQ248" i="1"/>
  <c r="AB248" i="1"/>
  <c r="Z248" i="1"/>
  <c r="AP248" i="1" s="1"/>
  <c r="O248" i="1"/>
  <c r="D248" i="1"/>
  <c r="BI247" i="1"/>
  <c r="AG247" i="1" s="1"/>
  <c r="AQ247" i="1"/>
  <c r="AB247" i="1"/>
  <c r="Z247" i="1"/>
  <c r="AP247" i="1" s="1"/>
  <c r="O247" i="1"/>
  <c r="D247" i="1"/>
  <c r="BI246" i="1"/>
  <c r="AG246" i="1" s="1"/>
  <c r="AQ246" i="1"/>
  <c r="AB246" i="1"/>
  <c r="Z246" i="1"/>
  <c r="AP246" i="1" s="1"/>
  <c r="O246" i="1"/>
  <c r="D246" i="1"/>
  <c r="BI245" i="1"/>
  <c r="AG245" i="1" s="1"/>
  <c r="AQ245" i="1"/>
  <c r="AB245" i="1"/>
  <c r="Z245" i="1"/>
  <c r="AP245" i="1" s="1"/>
  <c r="O245" i="1"/>
  <c r="D245" i="1"/>
  <c r="BI244" i="1"/>
  <c r="AG244" i="1" s="1"/>
  <c r="AQ244" i="1"/>
  <c r="AB244" i="1"/>
  <c r="Z244" i="1"/>
  <c r="AP244" i="1" s="1"/>
  <c r="O244" i="1"/>
  <c r="D244" i="1"/>
  <c r="BI243" i="1"/>
  <c r="AG243" i="1" s="1"/>
  <c r="AQ243" i="1"/>
  <c r="AB243" i="1"/>
  <c r="Z243" i="1"/>
  <c r="AP243" i="1" s="1"/>
  <c r="O243" i="1"/>
  <c r="D243" i="1"/>
  <c r="BI242" i="1"/>
  <c r="AG242" i="1" s="1"/>
  <c r="AQ242" i="1"/>
  <c r="AB242" i="1"/>
  <c r="Z242" i="1"/>
  <c r="AP242" i="1" s="1"/>
  <c r="O242" i="1"/>
  <c r="D242" i="1"/>
  <c r="BI241" i="1"/>
  <c r="AG241" i="1" s="1"/>
  <c r="AQ241" i="1"/>
  <c r="AB241" i="1"/>
  <c r="Z241" i="1"/>
  <c r="AP241" i="1" s="1"/>
  <c r="O241" i="1"/>
  <c r="D241" i="1"/>
  <c r="BI240" i="1"/>
  <c r="AG240" i="1" s="1"/>
  <c r="AB240" i="1"/>
  <c r="AJ240" i="1" s="1"/>
  <c r="AQ240" i="1" s="1"/>
  <c r="Z240" i="1"/>
  <c r="AP240" i="1" s="1"/>
  <c r="O240" i="1"/>
  <c r="D240" i="1"/>
  <c r="BI239" i="1"/>
  <c r="AG239" i="1" s="1"/>
  <c r="AQ239" i="1"/>
  <c r="AB239" i="1"/>
  <c r="Z239" i="1"/>
  <c r="AP239" i="1" s="1"/>
  <c r="O239" i="1"/>
  <c r="D239" i="1"/>
  <c r="BI238" i="1"/>
  <c r="AG238" i="1" s="1"/>
  <c r="AB238" i="1"/>
  <c r="AJ238" i="1" s="1"/>
  <c r="AQ238" i="1" s="1"/>
  <c r="Z238" i="1"/>
  <c r="AP238" i="1" s="1"/>
  <c r="O238" i="1"/>
  <c r="D238" i="1"/>
  <c r="BI237" i="1"/>
  <c r="AG237" i="1" s="1"/>
  <c r="AB237" i="1"/>
  <c r="AJ237" i="1" s="1"/>
  <c r="AQ237" i="1" s="1"/>
  <c r="Z237" i="1"/>
  <c r="AP237" i="1" s="1"/>
  <c r="O237" i="1"/>
  <c r="D237" i="1"/>
  <c r="BI236" i="1"/>
  <c r="AG236" i="1" s="1"/>
  <c r="AQ236" i="1"/>
  <c r="AB236" i="1"/>
  <c r="Z236" i="1"/>
  <c r="AP236" i="1" s="1"/>
  <c r="O236" i="1"/>
  <c r="D236" i="1"/>
  <c r="BI235" i="1"/>
  <c r="AG235" i="1" s="1"/>
  <c r="AQ235" i="1"/>
  <c r="AB235" i="1"/>
  <c r="Z235" i="1"/>
  <c r="AP235" i="1" s="1"/>
  <c r="O235" i="1"/>
  <c r="D235" i="1"/>
  <c r="BI234" i="1"/>
  <c r="AG234" i="1" s="1"/>
  <c r="AB234" i="1"/>
  <c r="AJ234" i="1" s="1"/>
  <c r="AQ234" i="1" s="1"/>
  <c r="Z234" i="1"/>
  <c r="AP234" i="1" s="1"/>
  <c r="O234" i="1"/>
  <c r="D234" i="1"/>
  <c r="BI233" i="1"/>
  <c r="AG233" i="1" s="1"/>
  <c r="AQ233" i="1"/>
  <c r="AB233" i="1"/>
  <c r="Z233" i="1"/>
  <c r="AP233" i="1" s="1"/>
  <c r="O233" i="1"/>
  <c r="D233" i="1"/>
  <c r="BI232" i="1"/>
  <c r="AG232" i="1" s="1"/>
  <c r="AQ232" i="1"/>
  <c r="AB232" i="1"/>
  <c r="Z232" i="1"/>
  <c r="AP232" i="1" s="1"/>
  <c r="O232" i="1"/>
  <c r="D232" i="1"/>
  <c r="BI231" i="1"/>
  <c r="AG231" i="1" s="1"/>
  <c r="AQ231" i="1"/>
  <c r="AB231" i="1"/>
  <c r="Z231" i="1"/>
  <c r="AP231" i="1" s="1"/>
  <c r="O231" i="1"/>
  <c r="D231" i="1"/>
  <c r="BI230" i="1"/>
  <c r="AG230" i="1" s="1"/>
  <c r="AQ230" i="1"/>
  <c r="AB230" i="1"/>
  <c r="Z230" i="1"/>
  <c r="AP230" i="1" s="1"/>
  <c r="O230" i="1"/>
  <c r="D230" i="1"/>
  <c r="BI229" i="1"/>
  <c r="AG229" i="1" s="1"/>
  <c r="AQ229" i="1"/>
  <c r="AB229" i="1"/>
  <c r="Z229" i="1"/>
  <c r="AP229" i="1" s="1"/>
  <c r="O229" i="1"/>
  <c r="D229" i="1"/>
  <c r="BI228" i="1"/>
  <c r="AG228" i="1" s="1"/>
  <c r="AQ228" i="1"/>
  <c r="AB228" i="1"/>
  <c r="Z228" i="1"/>
  <c r="AP228" i="1" s="1"/>
  <c r="O228" i="1"/>
  <c r="D228" i="1"/>
  <c r="BI227" i="1"/>
  <c r="AG227" i="1" s="1"/>
  <c r="AQ227" i="1"/>
  <c r="AB227" i="1"/>
  <c r="Z227" i="1"/>
  <c r="AP227" i="1" s="1"/>
  <c r="O227" i="1"/>
  <c r="D227" i="1"/>
  <c r="BI226" i="1"/>
  <c r="AG226" i="1" s="1"/>
  <c r="AQ226" i="1"/>
  <c r="AB226" i="1"/>
  <c r="Z226" i="1"/>
  <c r="AP226" i="1" s="1"/>
  <c r="O226" i="1"/>
  <c r="D226" i="1"/>
  <c r="BI225" i="1"/>
  <c r="AG225" i="1" s="1"/>
  <c r="AQ225" i="1"/>
  <c r="AB225" i="1"/>
  <c r="Z225" i="1"/>
  <c r="AP225" i="1" s="1"/>
  <c r="O225" i="1"/>
  <c r="D225" i="1"/>
  <c r="BI224" i="1"/>
  <c r="AG224" i="1" s="1"/>
  <c r="AQ224" i="1"/>
  <c r="AB224" i="1"/>
  <c r="Z224" i="1"/>
  <c r="AP224" i="1" s="1"/>
  <c r="O224" i="1"/>
  <c r="D224" i="1"/>
  <c r="BI223" i="1"/>
  <c r="AG223" i="1" s="1"/>
  <c r="AQ223" i="1"/>
  <c r="AB223" i="1"/>
  <c r="Z223" i="1"/>
  <c r="AP223" i="1" s="1"/>
  <c r="O223" i="1"/>
  <c r="D223" i="1"/>
  <c r="BI222" i="1"/>
  <c r="AG222" i="1" s="1"/>
  <c r="AQ222" i="1"/>
  <c r="AB222" i="1"/>
  <c r="Z222" i="1"/>
  <c r="AP222" i="1" s="1"/>
  <c r="O222" i="1"/>
  <c r="D222" i="1"/>
  <c r="BI221" i="1"/>
  <c r="AG221" i="1" s="1"/>
  <c r="AQ221" i="1"/>
  <c r="AB221" i="1"/>
  <c r="Z221" i="1"/>
  <c r="AP221" i="1" s="1"/>
  <c r="O221" i="1"/>
  <c r="D221" i="1"/>
  <c r="BI220" i="1"/>
  <c r="AG220" i="1" s="1"/>
  <c r="AQ220" i="1"/>
  <c r="AB220" i="1"/>
  <c r="Z220" i="1"/>
  <c r="AP220" i="1" s="1"/>
  <c r="O220" i="1"/>
  <c r="D220" i="1"/>
  <c r="BI219" i="1"/>
  <c r="AG219" i="1" s="1"/>
  <c r="AQ219" i="1"/>
  <c r="AB219" i="1"/>
  <c r="Z219" i="1"/>
  <c r="AP219" i="1" s="1"/>
  <c r="O219" i="1"/>
  <c r="D219" i="1"/>
  <c r="BI218" i="1"/>
  <c r="AG218" i="1" s="1"/>
  <c r="AQ218" i="1"/>
  <c r="AB218" i="1"/>
  <c r="Z218" i="1"/>
  <c r="AP218" i="1" s="1"/>
  <c r="O218" i="1"/>
  <c r="D218" i="1"/>
  <c r="BI217" i="1"/>
  <c r="AG217" i="1" s="1"/>
  <c r="AQ217" i="1"/>
  <c r="AB217" i="1"/>
  <c r="Z217" i="1"/>
  <c r="AP217" i="1" s="1"/>
  <c r="O217" i="1"/>
  <c r="D217" i="1"/>
  <c r="BI216" i="1"/>
  <c r="AG216" i="1" s="1"/>
  <c r="AQ216" i="1"/>
  <c r="AB216" i="1"/>
  <c r="Z216" i="1"/>
  <c r="AP216" i="1" s="1"/>
  <c r="O216" i="1"/>
  <c r="D216" i="1"/>
  <c r="BI215" i="1"/>
  <c r="AG215" i="1" s="1"/>
  <c r="AQ215" i="1"/>
  <c r="AB215" i="1"/>
  <c r="Z215" i="1"/>
  <c r="AP215" i="1" s="1"/>
  <c r="O215" i="1"/>
  <c r="D215" i="1"/>
  <c r="BI214" i="1"/>
  <c r="AG214" i="1" s="1"/>
  <c r="AQ214" i="1"/>
  <c r="AB214" i="1"/>
  <c r="Z214" i="1"/>
  <c r="AP214" i="1" s="1"/>
  <c r="O214" i="1"/>
  <c r="D214" i="1"/>
  <c r="BI213" i="1"/>
  <c r="AG213" i="1" s="1"/>
  <c r="AQ213" i="1"/>
  <c r="AB213" i="1"/>
  <c r="Z213" i="1"/>
  <c r="AP213" i="1" s="1"/>
  <c r="O213" i="1"/>
  <c r="D213" i="1"/>
  <c r="BI212" i="1"/>
  <c r="AG212" i="1" s="1"/>
  <c r="AQ212" i="1"/>
  <c r="AB212" i="1"/>
  <c r="Z212" i="1"/>
  <c r="AP212" i="1" s="1"/>
  <c r="O212" i="1"/>
  <c r="D212" i="1"/>
  <c r="BI211" i="1"/>
  <c r="AG211" i="1" s="1"/>
  <c r="AQ211" i="1"/>
  <c r="AB211" i="1"/>
  <c r="Z211" i="1"/>
  <c r="AP211" i="1" s="1"/>
  <c r="O211" i="1"/>
  <c r="D211" i="1"/>
  <c r="BI210" i="1"/>
  <c r="AG210" i="1" s="1"/>
  <c r="AQ210" i="1"/>
  <c r="AB210" i="1"/>
  <c r="Z210" i="1"/>
  <c r="AP210" i="1" s="1"/>
  <c r="O210" i="1"/>
  <c r="D210" i="1"/>
  <c r="BI209" i="1"/>
  <c r="AG209" i="1" s="1"/>
  <c r="AB209" i="1"/>
  <c r="AJ209" i="1" s="1"/>
  <c r="AQ209" i="1" s="1"/>
  <c r="Z209" i="1"/>
  <c r="AP209" i="1" s="1"/>
  <c r="O209" i="1"/>
  <c r="D209" i="1"/>
  <c r="BI208" i="1"/>
  <c r="AG208" i="1" s="1"/>
  <c r="AB208" i="1"/>
  <c r="AJ208" i="1" s="1"/>
  <c r="AQ208" i="1" s="1"/>
  <c r="Z208" i="1"/>
  <c r="AP208" i="1" s="1"/>
  <c r="O208" i="1"/>
  <c r="D208" i="1"/>
  <c r="BI207" i="1"/>
  <c r="AG207" i="1" s="1"/>
  <c r="AB207" i="1"/>
  <c r="AJ207" i="1" s="1"/>
  <c r="AQ207" i="1" s="1"/>
  <c r="Z207" i="1"/>
  <c r="AP207" i="1" s="1"/>
  <c r="O207" i="1"/>
  <c r="D207" i="1"/>
  <c r="BI206" i="1"/>
  <c r="AG206" i="1" s="1"/>
  <c r="AB206" i="1"/>
  <c r="AJ206" i="1" s="1"/>
  <c r="AQ206" i="1" s="1"/>
  <c r="Z206" i="1"/>
  <c r="AP206" i="1" s="1"/>
  <c r="O206" i="1"/>
  <c r="D206" i="1"/>
  <c r="BI205" i="1"/>
  <c r="AG205" i="1" s="1"/>
  <c r="AQ205" i="1"/>
  <c r="AB205" i="1"/>
  <c r="Z205" i="1"/>
  <c r="AP205" i="1" s="1"/>
  <c r="O205" i="1"/>
  <c r="D205" i="1"/>
  <c r="BI204" i="1"/>
  <c r="AG204" i="1" s="1"/>
  <c r="AB204" i="1"/>
  <c r="AJ204" i="1" s="1"/>
  <c r="AQ204" i="1" s="1"/>
  <c r="Z204" i="1"/>
  <c r="AP204" i="1" s="1"/>
  <c r="O204" i="1"/>
  <c r="D204" i="1"/>
  <c r="BI203" i="1"/>
  <c r="AG203" i="1" s="1"/>
  <c r="AQ203" i="1"/>
  <c r="AB203" i="1"/>
  <c r="Z203" i="1"/>
  <c r="AP203" i="1" s="1"/>
  <c r="O203" i="1"/>
  <c r="D203" i="1"/>
  <c r="BI202" i="1"/>
  <c r="AG202" i="1" s="1"/>
  <c r="AQ202" i="1"/>
  <c r="AB202" i="1"/>
  <c r="Z202" i="1"/>
  <c r="AP202" i="1" s="1"/>
  <c r="O202" i="1"/>
  <c r="D202" i="1"/>
  <c r="BI201" i="1"/>
  <c r="AG201" i="1" s="1"/>
  <c r="AQ201" i="1"/>
  <c r="AB201" i="1"/>
  <c r="AR201" i="1" s="1"/>
  <c r="Z201" i="1"/>
  <c r="AP201" i="1" s="1"/>
  <c r="O201" i="1"/>
  <c r="D201" i="1"/>
  <c r="BI200" i="1"/>
  <c r="AG200" i="1" s="1"/>
  <c r="AQ200" i="1"/>
  <c r="AB200" i="1"/>
  <c r="AR200" i="1" s="1"/>
  <c r="Z200" i="1"/>
  <c r="AP200" i="1" s="1"/>
  <c r="O200" i="1"/>
  <c r="D200" i="1"/>
  <c r="BI199" i="1"/>
  <c r="AG199" i="1" s="1"/>
  <c r="AQ199" i="1"/>
  <c r="AB199" i="1"/>
  <c r="Z199" i="1"/>
  <c r="AP199" i="1" s="1"/>
  <c r="O199" i="1"/>
  <c r="D199" i="1"/>
  <c r="BI198" i="1"/>
  <c r="AG198" i="1" s="1"/>
  <c r="AQ198" i="1"/>
  <c r="AB198" i="1"/>
  <c r="AR198" i="1" s="1"/>
  <c r="Z198" i="1"/>
  <c r="AP198" i="1" s="1"/>
  <c r="O198" i="1"/>
  <c r="D198" i="1"/>
  <c r="BI197" i="1"/>
  <c r="AG197" i="1" s="1"/>
  <c r="AQ197" i="1"/>
  <c r="AB197" i="1"/>
  <c r="Z197" i="1"/>
  <c r="AP197" i="1" s="1"/>
  <c r="O197" i="1"/>
  <c r="D197" i="1"/>
  <c r="BI196" i="1"/>
  <c r="AG196" i="1" s="1"/>
  <c r="AQ196" i="1"/>
  <c r="AB196" i="1"/>
  <c r="Z196" i="1"/>
  <c r="AP196" i="1" s="1"/>
  <c r="O196" i="1"/>
  <c r="D196" i="1"/>
  <c r="BI195" i="1"/>
  <c r="AG195" i="1" s="1"/>
  <c r="AQ195" i="1"/>
  <c r="AB195" i="1"/>
  <c r="AL195" i="1" s="1"/>
  <c r="Z195" i="1"/>
  <c r="AP195" i="1" s="1"/>
  <c r="O195" i="1"/>
  <c r="D195" i="1"/>
  <c r="BI194" i="1"/>
  <c r="AG194" i="1" s="1"/>
  <c r="AQ194" i="1"/>
  <c r="AB194" i="1"/>
  <c r="AL194" i="1" s="1"/>
  <c r="Z194" i="1"/>
  <c r="AP194" i="1" s="1"/>
  <c r="O194" i="1"/>
  <c r="D194" i="1"/>
  <c r="BI193" i="1"/>
  <c r="AG193" i="1" s="1"/>
  <c r="AQ193" i="1"/>
  <c r="AB193" i="1"/>
  <c r="Z193" i="1"/>
  <c r="AP193" i="1" s="1"/>
  <c r="O193" i="1"/>
  <c r="D193" i="1"/>
  <c r="BI192" i="1"/>
  <c r="AG192" i="1" s="1"/>
  <c r="AQ192" i="1"/>
  <c r="AB192" i="1"/>
  <c r="Z192" i="1"/>
  <c r="AP192" i="1" s="1"/>
  <c r="O192" i="1"/>
  <c r="D192" i="1"/>
  <c r="BI191" i="1"/>
  <c r="AG191" i="1" s="1"/>
  <c r="AQ191" i="1"/>
  <c r="AB191" i="1"/>
  <c r="AL191" i="1" s="1"/>
  <c r="Z191" i="1"/>
  <c r="AP191" i="1" s="1"/>
  <c r="O191" i="1"/>
  <c r="D191" i="1"/>
  <c r="BI190" i="1"/>
  <c r="AG190" i="1" s="1"/>
  <c r="AQ190" i="1"/>
  <c r="AB190" i="1"/>
  <c r="AL190" i="1" s="1"/>
  <c r="Z190" i="1"/>
  <c r="AP190" i="1" s="1"/>
  <c r="O190" i="1"/>
  <c r="D190" i="1"/>
  <c r="BI189" i="1"/>
  <c r="AG189" i="1" s="1"/>
  <c r="AQ189" i="1"/>
  <c r="AB189" i="1"/>
  <c r="AL189" i="1" s="1"/>
  <c r="Z189" i="1"/>
  <c r="AP189" i="1" s="1"/>
  <c r="O189" i="1"/>
  <c r="D189" i="1"/>
  <c r="BI188" i="1"/>
  <c r="AG188" i="1" s="1"/>
  <c r="AQ188" i="1"/>
  <c r="AB188" i="1"/>
  <c r="AL188" i="1" s="1"/>
  <c r="Z188" i="1"/>
  <c r="AP188" i="1" s="1"/>
  <c r="O188" i="1"/>
  <c r="D188" i="1"/>
  <c r="BI187" i="1"/>
  <c r="AG187" i="1" s="1"/>
  <c r="AQ187" i="1"/>
  <c r="AB187" i="1"/>
  <c r="Z187" i="1"/>
  <c r="AP187" i="1" s="1"/>
  <c r="O187" i="1"/>
  <c r="D187" i="1"/>
  <c r="BI186" i="1"/>
  <c r="AG186" i="1" s="1"/>
  <c r="AQ186" i="1"/>
  <c r="AB186" i="1"/>
  <c r="Z186" i="1"/>
  <c r="AP186" i="1" s="1"/>
  <c r="O186" i="1"/>
  <c r="D186" i="1"/>
  <c r="BI185" i="1"/>
  <c r="AG185" i="1" s="1"/>
  <c r="AQ185" i="1"/>
  <c r="AB185" i="1"/>
  <c r="Z185" i="1"/>
  <c r="AP185" i="1" s="1"/>
  <c r="O185" i="1"/>
  <c r="D185" i="1"/>
  <c r="BI184" i="1"/>
  <c r="AG184" i="1" s="1"/>
  <c r="AQ184" i="1"/>
  <c r="AB184" i="1"/>
  <c r="AL184" i="1" s="1"/>
  <c r="Z184" i="1"/>
  <c r="AP184" i="1" s="1"/>
  <c r="O184" i="1"/>
  <c r="D184" i="1"/>
  <c r="BI183" i="1"/>
  <c r="AG183" i="1" s="1"/>
  <c r="AB183" i="1"/>
  <c r="AJ183" i="1" s="1"/>
  <c r="AQ183" i="1" s="1"/>
  <c r="Z183" i="1"/>
  <c r="AP183" i="1" s="1"/>
  <c r="O183" i="1"/>
  <c r="D183" i="1"/>
  <c r="BI182" i="1"/>
  <c r="AG182" i="1" s="1"/>
  <c r="AQ182" i="1"/>
  <c r="AB182" i="1"/>
  <c r="Z182" i="1"/>
  <c r="AP182" i="1" s="1"/>
  <c r="O182" i="1"/>
  <c r="D182" i="1"/>
  <c r="BI181" i="1"/>
  <c r="AG181" i="1" s="1"/>
  <c r="AB181" i="1"/>
  <c r="AJ181" i="1" s="1"/>
  <c r="AQ181" i="1" s="1"/>
  <c r="Z181" i="1"/>
  <c r="AP181" i="1" s="1"/>
  <c r="O181" i="1"/>
  <c r="D181" i="1"/>
  <c r="BI180" i="1"/>
  <c r="AG180" i="1" s="1"/>
  <c r="AQ180" i="1"/>
  <c r="AB180" i="1"/>
  <c r="Z180" i="1"/>
  <c r="AP180" i="1" s="1"/>
  <c r="O180" i="1"/>
  <c r="D180" i="1"/>
  <c r="BI179" i="1"/>
  <c r="AG179" i="1" s="1"/>
  <c r="AB179" i="1"/>
  <c r="Z179" i="1"/>
  <c r="AP179" i="1" s="1"/>
  <c r="O179" i="1"/>
  <c r="D179" i="1"/>
  <c r="BI178" i="1"/>
  <c r="AG178" i="1" s="1"/>
  <c r="AB178" i="1"/>
  <c r="Z178" i="1"/>
  <c r="AP178" i="1" s="1"/>
  <c r="O178" i="1"/>
  <c r="D178" i="1"/>
  <c r="BI177" i="1"/>
  <c r="AG177" i="1" s="1"/>
  <c r="AQ177" i="1"/>
  <c r="AB177" i="1"/>
  <c r="AR177" i="1" s="1"/>
  <c r="Z177" i="1"/>
  <c r="AP177" i="1" s="1"/>
  <c r="O177" i="1"/>
  <c r="D177" i="1"/>
  <c r="BI176" i="1"/>
  <c r="AG176" i="1" s="1"/>
  <c r="AB176" i="1"/>
  <c r="AJ176" i="1" s="1"/>
  <c r="AQ176" i="1" s="1"/>
  <c r="Z176" i="1"/>
  <c r="AP176" i="1" s="1"/>
  <c r="O176" i="1"/>
  <c r="D176" i="1"/>
  <c r="BI175" i="1"/>
  <c r="AG175" i="1" s="1"/>
  <c r="AQ175" i="1"/>
  <c r="AB175" i="1"/>
  <c r="AR175" i="1" s="1"/>
  <c r="Z175" i="1"/>
  <c r="AP175" i="1" s="1"/>
  <c r="O175" i="1"/>
  <c r="D175" i="1"/>
  <c r="BI174" i="1"/>
  <c r="AG174" i="1" s="1"/>
  <c r="AQ174" i="1"/>
  <c r="AB174" i="1"/>
  <c r="AR174" i="1" s="1"/>
  <c r="Z174" i="1"/>
  <c r="AP174" i="1" s="1"/>
  <c r="O174" i="1"/>
  <c r="D174" i="1"/>
  <c r="BI173" i="1"/>
  <c r="AG173" i="1" s="1"/>
  <c r="AQ173" i="1"/>
  <c r="AB173" i="1"/>
  <c r="Z173" i="1"/>
  <c r="AP173" i="1" s="1"/>
  <c r="O173" i="1"/>
  <c r="D173" i="1"/>
  <c r="BI172" i="1"/>
  <c r="AG172" i="1" s="1"/>
  <c r="AQ172" i="1"/>
  <c r="AB172" i="1"/>
  <c r="AR172" i="1" s="1"/>
  <c r="Z172" i="1"/>
  <c r="AP172" i="1" s="1"/>
  <c r="O172" i="1"/>
  <c r="D172" i="1"/>
  <c r="BI171" i="1"/>
  <c r="AG171" i="1" s="1"/>
  <c r="AQ171" i="1"/>
  <c r="AB171" i="1"/>
  <c r="AR171" i="1" s="1"/>
  <c r="Z171" i="1"/>
  <c r="AP171" i="1" s="1"/>
  <c r="O171" i="1"/>
  <c r="D171" i="1"/>
  <c r="BI170" i="1"/>
  <c r="AG170" i="1" s="1"/>
  <c r="AQ170" i="1"/>
  <c r="AB170" i="1"/>
  <c r="AR170" i="1" s="1"/>
  <c r="Z170" i="1"/>
  <c r="AP170" i="1" s="1"/>
  <c r="O170" i="1"/>
  <c r="D170" i="1"/>
  <c r="BI169" i="1"/>
  <c r="AG169" i="1" s="1"/>
  <c r="AQ169" i="1"/>
  <c r="AB169" i="1"/>
  <c r="AR169" i="1" s="1"/>
  <c r="Z169" i="1"/>
  <c r="AP169" i="1" s="1"/>
  <c r="O169" i="1"/>
  <c r="D169" i="1"/>
  <c r="BI168" i="1"/>
  <c r="AG168" i="1" s="1"/>
  <c r="AQ168" i="1"/>
  <c r="AB168" i="1"/>
  <c r="Z168" i="1"/>
  <c r="AP168" i="1" s="1"/>
  <c r="O168" i="1"/>
  <c r="D168" i="1"/>
  <c r="BI167" i="1"/>
  <c r="AG167" i="1" s="1"/>
  <c r="AQ167" i="1"/>
  <c r="AB167" i="1"/>
  <c r="AR167" i="1" s="1"/>
  <c r="Z167" i="1"/>
  <c r="AP167" i="1" s="1"/>
  <c r="O167" i="1"/>
  <c r="D167" i="1"/>
  <c r="BI166" i="1"/>
  <c r="AG166" i="1" s="1"/>
  <c r="AQ166" i="1"/>
  <c r="AB166" i="1"/>
  <c r="AR166" i="1" s="1"/>
  <c r="Z166" i="1"/>
  <c r="AP166" i="1" s="1"/>
  <c r="O166" i="1"/>
  <c r="D166" i="1"/>
  <c r="BI165" i="1"/>
  <c r="AG165" i="1" s="1"/>
  <c r="AB165" i="1"/>
  <c r="AJ165" i="1" s="1"/>
  <c r="AQ165" i="1" s="1"/>
  <c r="Z165" i="1"/>
  <c r="AP165" i="1" s="1"/>
  <c r="O165" i="1"/>
  <c r="D165" i="1"/>
  <c r="BI164" i="1"/>
  <c r="AG164" i="1" s="1"/>
  <c r="AB164" i="1"/>
  <c r="Z164" i="1"/>
  <c r="AP164" i="1" s="1"/>
  <c r="O164" i="1"/>
  <c r="D164" i="1"/>
  <c r="BI163" i="1"/>
  <c r="AG163" i="1" s="1"/>
  <c r="AB163" i="1"/>
  <c r="Z163" i="1"/>
  <c r="AP163" i="1" s="1"/>
  <c r="O163" i="1"/>
  <c r="D163" i="1"/>
  <c r="BI162" i="1"/>
  <c r="AG162" i="1" s="1"/>
  <c r="AB162" i="1"/>
  <c r="Z162" i="1"/>
  <c r="AP162" i="1" s="1"/>
  <c r="O162" i="1"/>
  <c r="D162" i="1"/>
  <c r="BI161" i="1"/>
  <c r="AG161" i="1" s="1"/>
  <c r="AB161" i="1"/>
  <c r="Z161" i="1"/>
  <c r="AP161" i="1" s="1"/>
  <c r="O161" i="1"/>
  <c r="D161" i="1"/>
  <c r="BI160" i="1"/>
  <c r="AG160" i="1" s="1"/>
  <c r="AQ160" i="1"/>
  <c r="AB160" i="1"/>
  <c r="AR160" i="1" s="1"/>
  <c r="Z160" i="1"/>
  <c r="AP160" i="1" s="1"/>
  <c r="O160" i="1"/>
  <c r="D160" i="1"/>
  <c r="BI159" i="1"/>
  <c r="AG159" i="1" s="1"/>
  <c r="AQ159" i="1"/>
  <c r="AB159" i="1"/>
  <c r="AR159" i="1" s="1"/>
  <c r="Z159" i="1"/>
  <c r="AP159" i="1" s="1"/>
  <c r="O159" i="1"/>
  <c r="D159" i="1"/>
  <c r="BI158" i="1"/>
  <c r="AG158" i="1" s="1"/>
  <c r="AB158" i="1"/>
  <c r="Z158" i="1"/>
  <c r="AP158" i="1" s="1"/>
  <c r="O158" i="1"/>
  <c r="D158" i="1"/>
  <c r="BI157" i="1"/>
  <c r="AG157" i="1" s="1"/>
  <c r="AQ157" i="1"/>
  <c r="AB157" i="1"/>
  <c r="AR157" i="1" s="1"/>
  <c r="Z157" i="1"/>
  <c r="AP157" i="1" s="1"/>
  <c r="O157" i="1"/>
  <c r="D157" i="1"/>
  <c r="BI156" i="1"/>
  <c r="AG156" i="1" s="1"/>
  <c r="AQ156" i="1"/>
  <c r="AB156" i="1"/>
  <c r="AR156" i="1" s="1"/>
  <c r="Z156" i="1"/>
  <c r="AP156" i="1" s="1"/>
  <c r="O156" i="1"/>
  <c r="D156" i="1"/>
  <c r="BI155" i="1"/>
  <c r="AG155" i="1" s="1"/>
  <c r="AQ155" i="1"/>
  <c r="AB155" i="1"/>
  <c r="AR155" i="1" s="1"/>
  <c r="Z155" i="1"/>
  <c r="AP155" i="1" s="1"/>
  <c r="O155" i="1"/>
  <c r="D155" i="1"/>
  <c r="BI154" i="1"/>
  <c r="AG154" i="1" s="1"/>
  <c r="AB154" i="1"/>
  <c r="Z154" i="1"/>
  <c r="AP154" i="1" s="1"/>
  <c r="O154" i="1"/>
  <c r="D154" i="1"/>
  <c r="BI153" i="1"/>
  <c r="AG153" i="1" s="1"/>
  <c r="AQ153" i="1"/>
  <c r="AB153" i="1"/>
  <c r="AR153" i="1" s="1"/>
  <c r="Z153" i="1"/>
  <c r="AP153" i="1" s="1"/>
  <c r="O153" i="1"/>
  <c r="D153" i="1"/>
  <c r="BI152" i="1"/>
  <c r="AG152" i="1" s="1"/>
  <c r="AQ152" i="1"/>
  <c r="AB152" i="1"/>
  <c r="AR152" i="1" s="1"/>
  <c r="BR152" i="1" s="1"/>
  <c r="Z152" i="1"/>
  <c r="AP152" i="1" s="1"/>
  <c r="O152" i="1"/>
  <c r="D152" i="1"/>
  <c r="BI151" i="1"/>
  <c r="AG151" i="1" s="1"/>
  <c r="AB151" i="1"/>
  <c r="Z151" i="1"/>
  <c r="AP151" i="1" s="1"/>
  <c r="O151" i="1"/>
  <c r="D151" i="1"/>
  <c r="BI150" i="1"/>
  <c r="AG150" i="1" s="1"/>
  <c r="AQ150" i="1"/>
  <c r="AB150" i="1"/>
  <c r="AR150" i="1" s="1"/>
  <c r="Z150" i="1"/>
  <c r="AP150" i="1" s="1"/>
  <c r="O150" i="1"/>
  <c r="D150" i="1"/>
  <c r="BI149" i="1"/>
  <c r="AG149" i="1" s="1"/>
  <c r="AB149" i="1"/>
  <c r="Z149" i="1"/>
  <c r="AP149" i="1" s="1"/>
  <c r="O149" i="1"/>
  <c r="D149" i="1"/>
  <c r="BI148" i="1"/>
  <c r="AG148" i="1" s="1"/>
  <c r="AQ148" i="1"/>
  <c r="AB148" i="1"/>
  <c r="AR148" i="1" s="1"/>
  <c r="BR148" i="1" s="1"/>
  <c r="Z148" i="1"/>
  <c r="AP148" i="1" s="1"/>
  <c r="O148" i="1"/>
  <c r="D148" i="1"/>
  <c r="BI147" i="1"/>
  <c r="AG147" i="1" s="1"/>
  <c r="AB147" i="1"/>
  <c r="Z147" i="1"/>
  <c r="AP147" i="1" s="1"/>
  <c r="O147" i="1"/>
  <c r="D147" i="1"/>
  <c r="BI146" i="1"/>
  <c r="AG146" i="1" s="1"/>
  <c r="AQ146" i="1"/>
  <c r="AB146" i="1"/>
  <c r="AR146" i="1" s="1"/>
  <c r="BR146" i="1" s="1"/>
  <c r="Z146" i="1"/>
  <c r="AP146" i="1" s="1"/>
  <c r="O146" i="1"/>
  <c r="D146" i="1"/>
  <c r="BI145" i="1"/>
  <c r="AG145" i="1" s="1"/>
  <c r="AB145" i="1"/>
  <c r="Z145" i="1"/>
  <c r="AP145" i="1" s="1"/>
  <c r="O145" i="1"/>
  <c r="D145" i="1"/>
  <c r="BI144" i="1"/>
  <c r="AG144" i="1" s="1"/>
  <c r="AQ144" i="1"/>
  <c r="AB144" i="1"/>
  <c r="AL144" i="1" s="1"/>
  <c r="Z144" i="1"/>
  <c r="AP144" i="1" s="1"/>
  <c r="O144" i="1"/>
  <c r="D144" i="1"/>
  <c r="BI143" i="1"/>
  <c r="AG143" i="1" s="1"/>
  <c r="AQ143" i="1"/>
  <c r="AB143" i="1"/>
  <c r="AL143" i="1" s="1"/>
  <c r="Z143" i="1"/>
  <c r="AP143" i="1" s="1"/>
  <c r="O143" i="1"/>
  <c r="D143" i="1"/>
  <c r="BI142" i="1"/>
  <c r="AG142" i="1" s="1"/>
  <c r="AQ142" i="1"/>
  <c r="AB142" i="1"/>
  <c r="AL142" i="1" s="1"/>
  <c r="Z142" i="1"/>
  <c r="AP142" i="1" s="1"/>
  <c r="O142" i="1"/>
  <c r="D142" i="1"/>
  <c r="BI141" i="1"/>
  <c r="AG141" i="1" s="1"/>
  <c r="AQ141" i="1"/>
  <c r="AB141" i="1"/>
  <c r="AL141" i="1" s="1"/>
  <c r="Z141" i="1"/>
  <c r="AP141" i="1" s="1"/>
  <c r="O141" i="1"/>
  <c r="D141" i="1"/>
  <c r="BI140" i="1"/>
  <c r="AG140" i="1" s="1"/>
  <c r="AQ140" i="1"/>
  <c r="AB140" i="1"/>
  <c r="AL140" i="1" s="1"/>
  <c r="Z140" i="1"/>
  <c r="AP140" i="1" s="1"/>
  <c r="O140" i="1"/>
  <c r="D140" i="1"/>
  <c r="BI139" i="1"/>
  <c r="AG139" i="1" s="1"/>
  <c r="AQ139" i="1"/>
  <c r="AB139" i="1"/>
  <c r="Z139" i="1"/>
  <c r="AP139" i="1" s="1"/>
  <c r="O139" i="1"/>
  <c r="D139" i="1"/>
  <c r="BI138" i="1"/>
  <c r="AG138" i="1" s="1"/>
  <c r="AQ138" i="1"/>
  <c r="AB138" i="1"/>
  <c r="AL138" i="1" s="1"/>
  <c r="Z138" i="1"/>
  <c r="AP138" i="1" s="1"/>
  <c r="O138" i="1"/>
  <c r="D138" i="1"/>
  <c r="BI137" i="1"/>
  <c r="AG137" i="1" s="1"/>
  <c r="AQ137" i="1"/>
  <c r="AB137" i="1"/>
  <c r="AL137" i="1" s="1"/>
  <c r="Z137" i="1"/>
  <c r="AP137" i="1" s="1"/>
  <c r="O137" i="1"/>
  <c r="D137" i="1"/>
  <c r="BI136" i="1"/>
  <c r="AG136" i="1" s="1"/>
  <c r="AQ136" i="1"/>
  <c r="AB136" i="1"/>
  <c r="AL136" i="1" s="1"/>
  <c r="Z136" i="1"/>
  <c r="AP136" i="1" s="1"/>
  <c r="O136" i="1"/>
  <c r="D136" i="1"/>
  <c r="BI135" i="1"/>
  <c r="AG135" i="1" s="1"/>
  <c r="AB135" i="1"/>
  <c r="Z135" i="1"/>
  <c r="AP135" i="1" s="1"/>
  <c r="O135" i="1"/>
  <c r="D135" i="1"/>
  <c r="BI134" i="1"/>
  <c r="AG134" i="1" s="1"/>
  <c r="AB134" i="1"/>
  <c r="Z134" i="1"/>
  <c r="AP134" i="1" s="1"/>
  <c r="O134" i="1"/>
  <c r="D134" i="1"/>
  <c r="BI133" i="1"/>
  <c r="AG133" i="1" s="1"/>
  <c r="AB133" i="1"/>
  <c r="Z133" i="1"/>
  <c r="AP133" i="1" s="1"/>
  <c r="O133" i="1"/>
  <c r="D133" i="1"/>
  <c r="BI132" i="1"/>
  <c r="AG132" i="1" s="1"/>
  <c r="AB132" i="1"/>
  <c r="Z132" i="1"/>
  <c r="AP132" i="1" s="1"/>
  <c r="O132" i="1"/>
  <c r="D132" i="1"/>
  <c r="BI131" i="1"/>
  <c r="AG131" i="1" s="1"/>
  <c r="AB131" i="1"/>
  <c r="Z131" i="1"/>
  <c r="AP131" i="1" s="1"/>
  <c r="O131" i="1"/>
  <c r="D131" i="1"/>
  <c r="BI130" i="1"/>
  <c r="AG130" i="1" s="1"/>
  <c r="AB130" i="1"/>
  <c r="Z130" i="1"/>
  <c r="AP130" i="1" s="1"/>
  <c r="O130" i="1"/>
  <c r="D130" i="1"/>
  <c r="BI129" i="1"/>
  <c r="AG129" i="1" s="1"/>
  <c r="AB129" i="1"/>
  <c r="Z129" i="1"/>
  <c r="AP129" i="1" s="1"/>
  <c r="O129" i="1"/>
  <c r="D129" i="1"/>
  <c r="BI128" i="1"/>
  <c r="AG128" i="1" s="1"/>
  <c r="AB128" i="1"/>
  <c r="Z128" i="1"/>
  <c r="AP128" i="1" s="1"/>
  <c r="O128" i="1"/>
  <c r="D128" i="1"/>
  <c r="BI127" i="1"/>
  <c r="AG127" i="1" s="1"/>
  <c r="AB127" i="1"/>
  <c r="AJ127" i="1" s="1"/>
  <c r="AQ127" i="1" s="1"/>
  <c r="Z127" i="1"/>
  <c r="AP127" i="1" s="1"/>
  <c r="O127" i="1"/>
  <c r="D127" i="1"/>
  <c r="BI126" i="1"/>
  <c r="AG126" i="1" s="1"/>
  <c r="AB126" i="1"/>
  <c r="Z126" i="1"/>
  <c r="AP126" i="1" s="1"/>
  <c r="O126" i="1"/>
  <c r="D126" i="1"/>
  <c r="BI125" i="1"/>
  <c r="AG125" i="1" s="1"/>
  <c r="AB125" i="1"/>
  <c r="Z125" i="1"/>
  <c r="AP125" i="1" s="1"/>
  <c r="O125" i="1"/>
  <c r="D125" i="1"/>
  <c r="BI124" i="1"/>
  <c r="AG124" i="1" s="1"/>
  <c r="AB124" i="1"/>
  <c r="Z124" i="1"/>
  <c r="AP124" i="1" s="1"/>
  <c r="O124" i="1"/>
  <c r="D124" i="1"/>
  <c r="BI123" i="1"/>
  <c r="AG123" i="1" s="1"/>
  <c r="AB123" i="1"/>
  <c r="Z123" i="1"/>
  <c r="AP123" i="1" s="1"/>
  <c r="O123" i="1"/>
  <c r="D123" i="1"/>
  <c r="BI122" i="1"/>
  <c r="AG122" i="1" s="1"/>
  <c r="AB122" i="1"/>
  <c r="Z122" i="1"/>
  <c r="AP122" i="1" s="1"/>
  <c r="O122" i="1"/>
  <c r="D122" i="1"/>
  <c r="BI121" i="1"/>
  <c r="AG121" i="1" s="1"/>
  <c r="AQ121" i="1"/>
  <c r="AB121" i="1"/>
  <c r="AL121" i="1" s="1"/>
  <c r="Z121" i="1"/>
  <c r="AP121" i="1" s="1"/>
  <c r="O121" i="1"/>
  <c r="D121" i="1"/>
  <c r="BI120" i="1"/>
  <c r="AG120" i="1" s="1"/>
  <c r="AQ120" i="1"/>
  <c r="AB120" i="1"/>
  <c r="AL120" i="1" s="1"/>
  <c r="Z120" i="1"/>
  <c r="AP120" i="1" s="1"/>
  <c r="O120" i="1"/>
  <c r="D120" i="1"/>
  <c r="BI119" i="1"/>
  <c r="AG119" i="1" s="1"/>
  <c r="AQ119" i="1"/>
  <c r="AB119" i="1"/>
  <c r="AL119" i="1" s="1"/>
  <c r="Z119" i="1"/>
  <c r="AP119" i="1" s="1"/>
  <c r="O119" i="1"/>
  <c r="D119" i="1"/>
  <c r="BI118" i="1"/>
  <c r="AG118" i="1" s="1"/>
  <c r="AB118" i="1"/>
  <c r="AJ118" i="1" s="1"/>
  <c r="AQ118" i="1" s="1"/>
  <c r="Z118" i="1"/>
  <c r="AP118" i="1" s="1"/>
  <c r="O118" i="1"/>
  <c r="D118" i="1"/>
  <c r="BI117" i="1"/>
  <c r="AG117" i="1" s="1"/>
  <c r="AB117" i="1"/>
  <c r="Z117" i="1"/>
  <c r="AP117" i="1" s="1"/>
  <c r="O117" i="1"/>
  <c r="D117" i="1"/>
  <c r="BI116" i="1"/>
  <c r="AG116" i="1" s="1"/>
  <c r="AB116" i="1"/>
  <c r="AJ116" i="1" s="1"/>
  <c r="AQ116" i="1" s="1"/>
  <c r="Z116" i="1"/>
  <c r="AP116" i="1" s="1"/>
  <c r="O116" i="1"/>
  <c r="D116" i="1"/>
  <c r="BI115" i="1"/>
  <c r="AG115" i="1" s="1"/>
  <c r="AB115" i="1"/>
  <c r="Z115" i="1"/>
  <c r="AP115" i="1" s="1"/>
  <c r="O115" i="1"/>
  <c r="D115" i="1"/>
  <c r="BI114" i="1"/>
  <c r="AG114" i="1" s="1"/>
  <c r="AB114" i="1"/>
  <c r="Z114" i="1"/>
  <c r="AP114" i="1" s="1"/>
  <c r="O114" i="1"/>
  <c r="D114" i="1"/>
  <c r="BI113" i="1"/>
  <c r="AG113" i="1" s="1"/>
  <c r="AB113" i="1"/>
  <c r="Z113" i="1"/>
  <c r="AP113" i="1" s="1"/>
  <c r="O113" i="1"/>
  <c r="D113" i="1"/>
  <c r="BI112" i="1"/>
  <c r="AG112" i="1" s="1"/>
  <c r="AB112" i="1"/>
  <c r="Z112" i="1"/>
  <c r="AP112" i="1" s="1"/>
  <c r="O112" i="1"/>
  <c r="D112" i="1"/>
  <c r="BI111" i="1"/>
  <c r="AG111" i="1" s="1"/>
  <c r="AB111" i="1"/>
  <c r="Z111" i="1"/>
  <c r="AP111" i="1" s="1"/>
  <c r="O111" i="1"/>
  <c r="D111" i="1"/>
  <c r="BI110" i="1"/>
  <c r="AG110" i="1" s="1"/>
  <c r="AB110" i="1"/>
  <c r="Z110" i="1"/>
  <c r="AP110" i="1" s="1"/>
  <c r="O110" i="1"/>
  <c r="D110" i="1"/>
  <c r="BI109" i="1"/>
  <c r="AG109" i="1" s="1"/>
  <c r="AB109" i="1"/>
  <c r="AJ109" i="1" s="1"/>
  <c r="AQ109" i="1" s="1"/>
  <c r="Z109" i="1"/>
  <c r="AP109" i="1" s="1"/>
  <c r="O109" i="1"/>
  <c r="D109" i="1"/>
  <c r="BI108" i="1"/>
  <c r="AG108" i="1" s="1"/>
  <c r="AB108" i="1"/>
  <c r="Z108" i="1"/>
  <c r="AP108" i="1" s="1"/>
  <c r="O108" i="1"/>
  <c r="D108" i="1"/>
  <c r="BI107" i="1"/>
  <c r="AG107" i="1" s="1"/>
  <c r="AB107" i="1"/>
  <c r="Z107" i="1"/>
  <c r="AP107" i="1" s="1"/>
  <c r="O107" i="1"/>
  <c r="D107" i="1"/>
  <c r="BI106" i="1"/>
  <c r="AG106" i="1" s="1"/>
  <c r="AB106" i="1"/>
  <c r="Z106" i="1"/>
  <c r="AP106" i="1" s="1"/>
  <c r="O106" i="1"/>
  <c r="D106" i="1"/>
  <c r="BI105" i="1"/>
  <c r="AG105" i="1" s="1"/>
  <c r="AB105" i="1"/>
  <c r="Z105" i="1"/>
  <c r="AP105" i="1" s="1"/>
  <c r="O105" i="1"/>
  <c r="D105" i="1"/>
  <c r="BI104" i="1"/>
  <c r="AG104" i="1" s="1"/>
  <c r="AB104" i="1"/>
  <c r="Z104" i="1"/>
  <c r="AP104" i="1" s="1"/>
  <c r="O104" i="1"/>
  <c r="D104" i="1"/>
  <c r="BI103" i="1"/>
  <c r="AG103" i="1" s="1"/>
  <c r="AB103" i="1"/>
  <c r="Z103" i="1"/>
  <c r="AP103" i="1" s="1"/>
  <c r="O103" i="1"/>
  <c r="D103" i="1"/>
  <c r="BI102" i="1"/>
  <c r="AG102" i="1" s="1"/>
  <c r="AB102" i="1"/>
  <c r="Z102" i="1"/>
  <c r="AP102" i="1" s="1"/>
  <c r="O102" i="1"/>
  <c r="D102" i="1"/>
  <c r="BI101" i="1"/>
  <c r="AG101" i="1" s="1"/>
  <c r="AB101" i="1"/>
  <c r="Z101" i="1"/>
  <c r="AP101" i="1" s="1"/>
  <c r="O101" i="1"/>
  <c r="D101" i="1"/>
  <c r="BI100" i="1"/>
  <c r="AG100" i="1" s="1"/>
  <c r="AB100" i="1"/>
  <c r="Z100" i="1"/>
  <c r="AP100" i="1" s="1"/>
  <c r="O100" i="1"/>
  <c r="D100" i="1"/>
  <c r="BI99" i="1"/>
  <c r="AG99" i="1" s="1"/>
  <c r="AB99" i="1"/>
  <c r="Z99" i="1"/>
  <c r="AP99" i="1" s="1"/>
  <c r="O99" i="1"/>
  <c r="D99" i="1"/>
  <c r="BI98" i="1"/>
  <c r="AG98" i="1" s="1"/>
  <c r="AQ98" i="1"/>
  <c r="AB98" i="1"/>
  <c r="AL98" i="1" s="1"/>
  <c r="Z98" i="1"/>
  <c r="AP98" i="1" s="1"/>
  <c r="O98" i="1"/>
  <c r="D98" i="1"/>
  <c r="BI97" i="1"/>
  <c r="AG97" i="1" s="1"/>
  <c r="AB97" i="1"/>
  <c r="Z97" i="1"/>
  <c r="AP97" i="1" s="1"/>
  <c r="O97" i="1"/>
  <c r="D97" i="1"/>
  <c r="BI96" i="1"/>
  <c r="AG96" i="1" s="1"/>
  <c r="AQ96" i="1"/>
  <c r="AB96" i="1"/>
  <c r="AL96" i="1" s="1"/>
  <c r="Z96" i="1"/>
  <c r="AP96" i="1" s="1"/>
  <c r="O96" i="1"/>
  <c r="D96" i="1"/>
  <c r="BI95" i="1"/>
  <c r="AG95" i="1" s="1"/>
  <c r="AQ95" i="1"/>
  <c r="AB95" i="1"/>
  <c r="AL95" i="1" s="1"/>
  <c r="Z95" i="1"/>
  <c r="AP95" i="1" s="1"/>
  <c r="O95" i="1"/>
  <c r="D95" i="1"/>
  <c r="BI94" i="1"/>
  <c r="AG94" i="1" s="1"/>
  <c r="AQ94" i="1"/>
  <c r="AB94" i="1"/>
  <c r="AL94" i="1" s="1"/>
  <c r="Z94" i="1"/>
  <c r="AP94" i="1" s="1"/>
  <c r="O94" i="1"/>
  <c r="D94" i="1"/>
  <c r="BI93" i="1"/>
  <c r="AG93" i="1" s="1"/>
  <c r="AQ93" i="1"/>
  <c r="AB93" i="1"/>
  <c r="AL93" i="1" s="1"/>
  <c r="Z93" i="1"/>
  <c r="AP93" i="1" s="1"/>
  <c r="O93" i="1"/>
  <c r="D93" i="1"/>
  <c r="BI92" i="1"/>
  <c r="AG92" i="1" s="1"/>
  <c r="AQ92" i="1"/>
  <c r="AB92" i="1"/>
  <c r="Z92" i="1"/>
  <c r="AP92" i="1" s="1"/>
  <c r="O92" i="1"/>
  <c r="D92" i="1"/>
  <c r="BI91" i="1"/>
  <c r="AG91" i="1" s="1"/>
  <c r="AQ91" i="1"/>
  <c r="AB91" i="1"/>
  <c r="AL91" i="1" s="1"/>
  <c r="Z91" i="1"/>
  <c r="AP91" i="1" s="1"/>
  <c r="O91" i="1"/>
  <c r="D91" i="1"/>
  <c r="BI90" i="1"/>
  <c r="AG90" i="1" s="1"/>
  <c r="AB90" i="1"/>
  <c r="Z90" i="1"/>
  <c r="AP90" i="1" s="1"/>
  <c r="O90" i="1"/>
  <c r="D90" i="1"/>
  <c r="BI89" i="1"/>
  <c r="AG89" i="1" s="1"/>
  <c r="AQ89" i="1"/>
  <c r="AB89" i="1"/>
  <c r="AL89" i="1" s="1"/>
  <c r="Z89" i="1"/>
  <c r="AP89" i="1" s="1"/>
  <c r="O89" i="1"/>
  <c r="D89" i="1"/>
  <c r="BI88" i="1"/>
  <c r="AG88" i="1" s="1"/>
  <c r="AQ88" i="1"/>
  <c r="AB88" i="1"/>
  <c r="AL88" i="1" s="1"/>
  <c r="Z88" i="1"/>
  <c r="AP88" i="1" s="1"/>
  <c r="O88" i="1"/>
  <c r="D88" i="1"/>
  <c r="BI87" i="1"/>
  <c r="AG87" i="1" s="1"/>
  <c r="AB87" i="1"/>
  <c r="Z87" i="1"/>
  <c r="AP87" i="1" s="1"/>
  <c r="O87" i="1"/>
  <c r="D87" i="1"/>
  <c r="BI86" i="1"/>
  <c r="AG86" i="1" s="1"/>
  <c r="AB86" i="1"/>
  <c r="Z86" i="1"/>
  <c r="AP86" i="1" s="1"/>
  <c r="O86" i="1"/>
  <c r="D86" i="1"/>
  <c r="BI85" i="1"/>
  <c r="AG85" i="1" s="1"/>
  <c r="AQ85" i="1"/>
  <c r="AB85" i="1"/>
  <c r="AL85" i="1" s="1"/>
  <c r="Z85" i="1"/>
  <c r="AP85" i="1" s="1"/>
  <c r="O85" i="1"/>
  <c r="D85" i="1"/>
  <c r="BI84" i="1"/>
  <c r="AG84" i="1" s="1"/>
  <c r="AB84" i="1"/>
  <c r="AQ84" i="1" s="1"/>
  <c r="Z84" i="1"/>
  <c r="AP84" i="1" s="1"/>
  <c r="O84" i="1"/>
  <c r="D84" i="1"/>
  <c r="BI83" i="1"/>
  <c r="AG83" i="1" s="1"/>
  <c r="AQ83" i="1"/>
  <c r="AB83" i="1"/>
  <c r="AL83" i="1" s="1"/>
  <c r="Z83" i="1"/>
  <c r="AP83" i="1" s="1"/>
  <c r="O83" i="1"/>
  <c r="D83" i="1"/>
  <c r="BI82" i="1"/>
  <c r="AG82" i="1" s="1"/>
  <c r="AQ82" i="1"/>
  <c r="AB82" i="1"/>
  <c r="AL82" i="1" s="1"/>
  <c r="Z82" i="1"/>
  <c r="AP82" i="1" s="1"/>
  <c r="O82" i="1"/>
  <c r="D82" i="1"/>
  <c r="BI81" i="1"/>
  <c r="AG81" i="1" s="1"/>
  <c r="AQ81" i="1"/>
  <c r="AB81" i="1"/>
  <c r="AL81" i="1" s="1"/>
  <c r="Z81" i="1"/>
  <c r="AP81" i="1" s="1"/>
  <c r="O81" i="1"/>
  <c r="D81" i="1"/>
  <c r="BI80" i="1"/>
  <c r="AG80" i="1" s="1"/>
  <c r="AB80" i="1"/>
  <c r="Z80" i="1"/>
  <c r="AP80" i="1" s="1"/>
  <c r="O80" i="1"/>
  <c r="D80" i="1"/>
  <c r="BI79" i="1"/>
  <c r="AG79" i="1" s="1"/>
  <c r="AB79" i="1"/>
  <c r="Z79" i="1"/>
  <c r="AP79" i="1" s="1"/>
  <c r="O79" i="1"/>
  <c r="D79" i="1"/>
  <c r="BI78" i="1"/>
  <c r="AG78" i="1" s="1"/>
  <c r="AB78" i="1"/>
  <c r="Z78" i="1"/>
  <c r="AP78" i="1" s="1"/>
  <c r="O78" i="1"/>
  <c r="D78" i="1"/>
  <c r="BI77" i="1"/>
  <c r="AG77" i="1" s="1"/>
  <c r="AB77" i="1"/>
  <c r="Z77" i="1"/>
  <c r="AP77" i="1" s="1"/>
  <c r="O77" i="1"/>
  <c r="D77" i="1"/>
  <c r="BI76" i="1"/>
  <c r="AG76" i="1" s="1"/>
  <c r="AB76" i="1"/>
  <c r="AJ76" i="1" s="1"/>
  <c r="AQ76" i="1" s="1"/>
  <c r="Z76" i="1"/>
  <c r="AP76" i="1" s="1"/>
  <c r="O76" i="1"/>
  <c r="D76" i="1"/>
  <c r="BI75" i="1"/>
  <c r="AG75" i="1" s="1"/>
  <c r="AB75" i="1"/>
  <c r="Z75" i="1"/>
  <c r="AP75" i="1" s="1"/>
  <c r="O75" i="1"/>
  <c r="D75" i="1"/>
  <c r="BI74" i="1"/>
  <c r="AG74" i="1" s="1"/>
  <c r="AB74" i="1"/>
  <c r="Z74" i="1"/>
  <c r="AP74" i="1" s="1"/>
  <c r="O74" i="1"/>
  <c r="D74" i="1"/>
  <c r="BI73" i="1"/>
  <c r="AG73" i="1" s="1"/>
  <c r="AQ73" i="1"/>
  <c r="AB73" i="1"/>
  <c r="AL73" i="1" s="1"/>
  <c r="Z73" i="1"/>
  <c r="AP73" i="1" s="1"/>
  <c r="O73" i="1"/>
  <c r="D73" i="1"/>
  <c r="BI72" i="1"/>
  <c r="AG72" i="1" s="1"/>
  <c r="AB72" i="1"/>
  <c r="Z72" i="1"/>
  <c r="AP72" i="1" s="1"/>
  <c r="O72" i="1"/>
  <c r="D72" i="1"/>
  <c r="BI71" i="1"/>
  <c r="AG71" i="1" s="1"/>
  <c r="AQ71" i="1"/>
  <c r="AB71" i="1"/>
  <c r="AL71" i="1" s="1"/>
  <c r="Z71" i="1"/>
  <c r="AP71" i="1" s="1"/>
  <c r="O71" i="1"/>
  <c r="D71" i="1"/>
  <c r="BI70" i="1"/>
  <c r="AG70" i="1" s="1"/>
  <c r="AB70" i="1"/>
  <c r="Z70" i="1"/>
  <c r="AP70" i="1" s="1"/>
  <c r="O70" i="1"/>
  <c r="D70" i="1"/>
  <c r="BI69" i="1"/>
  <c r="AG69" i="1" s="1"/>
  <c r="AB69" i="1"/>
  <c r="Z69" i="1"/>
  <c r="AP69" i="1" s="1"/>
  <c r="O69" i="1"/>
  <c r="D69" i="1"/>
  <c r="BI68" i="1"/>
  <c r="AG68" i="1" s="1"/>
  <c r="AB68" i="1"/>
  <c r="Z68" i="1"/>
  <c r="AP68" i="1" s="1"/>
  <c r="O68" i="1"/>
  <c r="D68" i="1"/>
  <c r="BI67" i="1"/>
  <c r="AG67" i="1" s="1"/>
  <c r="AB67" i="1"/>
  <c r="Z67" i="1"/>
  <c r="AP67" i="1" s="1"/>
  <c r="O67" i="1"/>
  <c r="D67" i="1"/>
  <c r="BI66" i="1"/>
  <c r="AG66" i="1" s="1"/>
  <c r="AB66" i="1"/>
  <c r="AJ66" i="1" s="1"/>
  <c r="AQ66" i="1" s="1"/>
  <c r="Z66" i="1"/>
  <c r="AP66" i="1" s="1"/>
  <c r="O66" i="1"/>
  <c r="D66" i="1"/>
  <c r="BI65" i="1"/>
  <c r="AG65" i="1" s="1"/>
  <c r="AQ65" i="1"/>
  <c r="AB65" i="1"/>
  <c r="AL65" i="1" s="1"/>
  <c r="Z65" i="1"/>
  <c r="AP65" i="1" s="1"/>
  <c r="O65" i="1"/>
  <c r="D65" i="1"/>
  <c r="BI64" i="1"/>
  <c r="AG64" i="1" s="1"/>
  <c r="AQ64" i="1"/>
  <c r="AB64" i="1"/>
  <c r="Z64" i="1"/>
  <c r="AP64" i="1" s="1"/>
  <c r="O64" i="1"/>
  <c r="D64" i="1"/>
  <c r="BI63" i="1"/>
  <c r="AG63" i="1" s="1"/>
  <c r="AB63" i="1"/>
  <c r="Z63" i="1"/>
  <c r="AP63" i="1" s="1"/>
  <c r="O63" i="1"/>
  <c r="D63" i="1"/>
  <c r="BI62" i="1"/>
  <c r="AG62" i="1" s="1"/>
  <c r="AB62" i="1"/>
  <c r="Z62" i="1"/>
  <c r="AP62" i="1" s="1"/>
  <c r="O62" i="1"/>
  <c r="D62" i="1"/>
  <c r="BI61" i="1"/>
  <c r="AG61" i="1" s="1"/>
  <c r="AQ61" i="1"/>
  <c r="AB61" i="1"/>
  <c r="Z61" i="1"/>
  <c r="AP61" i="1" s="1"/>
  <c r="O61" i="1"/>
  <c r="D61" i="1"/>
  <c r="BI60" i="1"/>
  <c r="AG60" i="1" s="1"/>
  <c r="AQ60" i="1"/>
  <c r="AB60" i="1"/>
  <c r="AK60" i="1" s="1"/>
  <c r="Z60" i="1"/>
  <c r="AP60" i="1" s="1"/>
  <c r="O60" i="1"/>
  <c r="D60" i="1"/>
  <c r="BI59" i="1"/>
  <c r="AG59" i="1" s="1"/>
  <c r="AB59" i="1"/>
  <c r="Z59" i="1"/>
  <c r="AP59" i="1" s="1"/>
  <c r="O59" i="1"/>
  <c r="D59" i="1"/>
  <c r="BI58" i="1"/>
  <c r="AG58" i="1" s="1"/>
  <c r="AB58" i="1"/>
  <c r="Z58" i="1"/>
  <c r="AP58" i="1" s="1"/>
  <c r="O58" i="1"/>
  <c r="D58" i="1"/>
  <c r="BI57" i="1"/>
  <c r="AG57" i="1" s="1"/>
  <c r="AQ57" i="1"/>
  <c r="AB57" i="1"/>
  <c r="AL57" i="1" s="1"/>
  <c r="Z57" i="1"/>
  <c r="AP57" i="1" s="1"/>
  <c r="O57" i="1"/>
  <c r="D57" i="1"/>
  <c r="BI56" i="1"/>
  <c r="AG56" i="1" s="1"/>
  <c r="AQ56" i="1"/>
  <c r="AB56" i="1"/>
  <c r="Z56" i="1"/>
  <c r="AP56" i="1" s="1"/>
  <c r="O56" i="1"/>
  <c r="D56" i="1"/>
  <c r="BI55" i="1"/>
  <c r="AG55" i="1" s="1"/>
  <c r="AB55" i="1"/>
  <c r="AJ55" i="1" s="1"/>
  <c r="AQ55" i="1" s="1"/>
  <c r="Z55" i="1"/>
  <c r="AP55" i="1" s="1"/>
  <c r="O55" i="1"/>
  <c r="D55" i="1"/>
  <c r="BI54" i="1"/>
  <c r="AG54" i="1" s="1"/>
  <c r="AB54" i="1"/>
  <c r="Z54" i="1"/>
  <c r="AP54" i="1" s="1"/>
  <c r="O54" i="1"/>
  <c r="D54" i="1"/>
  <c r="BI53" i="1"/>
  <c r="AG53" i="1" s="1"/>
  <c r="AB53" i="1"/>
  <c r="AJ53" i="1" s="1"/>
  <c r="AQ53" i="1" s="1"/>
  <c r="Z53" i="1"/>
  <c r="AP53" i="1" s="1"/>
  <c r="O53" i="1"/>
  <c r="D53" i="1"/>
  <c r="BI52" i="1"/>
  <c r="AG52" i="1" s="1"/>
  <c r="AB52" i="1"/>
  <c r="AJ52" i="1" s="1"/>
  <c r="AQ52" i="1" s="1"/>
  <c r="Z52" i="1"/>
  <c r="AP52" i="1" s="1"/>
  <c r="O52" i="1"/>
  <c r="D52" i="1"/>
  <c r="BI51" i="1"/>
  <c r="AG51" i="1" s="1"/>
  <c r="AQ51" i="1"/>
  <c r="AB51" i="1"/>
  <c r="AL51" i="1" s="1"/>
  <c r="Z51" i="1"/>
  <c r="AP51" i="1" s="1"/>
  <c r="O51" i="1"/>
  <c r="D51" i="1"/>
  <c r="BI50" i="1"/>
  <c r="AG50" i="1" s="1"/>
  <c r="AQ50" i="1"/>
  <c r="AB50" i="1"/>
  <c r="AL50" i="1" s="1"/>
  <c r="Z50" i="1"/>
  <c r="AP50" i="1" s="1"/>
  <c r="O50" i="1"/>
  <c r="D50" i="1"/>
  <c r="BI49" i="1"/>
  <c r="AG49" i="1" s="1"/>
  <c r="AB49" i="1"/>
  <c r="Z49" i="1"/>
  <c r="AP49" i="1" s="1"/>
  <c r="O49" i="1"/>
  <c r="D49" i="1"/>
  <c r="BI48" i="1"/>
  <c r="AG48" i="1" s="1"/>
  <c r="AQ48" i="1"/>
  <c r="AB48" i="1"/>
  <c r="AK48" i="1" s="1"/>
  <c r="Z48" i="1"/>
  <c r="AP48" i="1" s="1"/>
  <c r="O48" i="1"/>
  <c r="D48" i="1"/>
  <c r="BI47" i="1"/>
  <c r="AG47" i="1" s="1"/>
  <c r="AQ47" i="1"/>
  <c r="AB47" i="1"/>
  <c r="AK47" i="1" s="1"/>
  <c r="Z47" i="1"/>
  <c r="AP47" i="1" s="1"/>
  <c r="O47" i="1"/>
  <c r="D47" i="1"/>
  <c r="BI46" i="1"/>
  <c r="AG46" i="1" s="1"/>
  <c r="AQ46" i="1"/>
  <c r="AB46" i="1"/>
  <c r="AK46" i="1" s="1"/>
  <c r="Z46" i="1"/>
  <c r="AP46" i="1" s="1"/>
  <c r="O46" i="1"/>
  <c r="D46" i="1"/>
  <c r="BI45" i="1"/>
  <c r="AG45" i="1" s="1"/>
  <c r="AQ45" i="1"/>
  <c r="AB45" i="1"/>
  <c r="Z45" i="1"/>
  <c r="AP45" i="1" s="1"/>
  <c r="O45" i="1"/>
  <c r="D45" i="1"/>
  <c r="BI44" i="1"/>
  <c r="AG44" i="1" s="1"/>
  <c r="AQ44" i="1"/>
  <c r="AB44" i="1"/>
  <c r="AR44" i="1" s="1"/>
  <c r="Z44" i="1"/>
  <c r="AP44" i="1" s="1"/>
  <c r="O44" i="1"/>
  <c r="D44" i="1"/>
  <c r="BI43" i="1"/>
  <c r="AG43" i="1" s="1"/>
  <c r="AQ43" i="1"/>
  <c r="AB43" i="1"/>
  <c r="AR43" i="1" s="1"/>
  <c r="Z43" i="1"/>
  <c r="AP43" i="1" s="1"/>
  <c r="O43" i="1"/>
  <c r="D43" i="1"/>
  <c r="BI42" i="1"/>
  <c r="AG42" i="1" s="1"/>
  <c r="AQ42" i="1"/>
  <c r="AB42" i="1"/>
  <c r="AR42" i="1" s="1"/>
  <c r="Z42" i="1"/>
  <c r="AP42" i="1" s="1"/>
  <c r="O42" i="1"/>
  <c r="D42" i="1"/>
  <c r="BI41" i="1"/>
  <c r="AG41" i="1" s="1"/>
  <c r="AQ41" i="1"/>
  <c r="AB41" i="1"/>
  <c r="AR41" i="1" s="1"/>
  <c r="Z41" i="1"/>
  <c r="AP41" i="1" s="1"/>
  <c r="O41" i="1"/>
  <c r="D41" i="1"/>
  <c r="BI40" i="1"/>
  <c r="AG40" i="1" s="1"/>
  <c r="AQ40" i="1"/>
  <c r="AB40" i="1"/>
  <c r="AR40" i="1" s="1"/>
  <c r="BR40" i="1" s="1"/>
  <c r="Z40" i="1"/>
  <c r="AP40" i="1" s="1"/>
  <c r="O40" i="1"/>
  <c r="D40" i="1"/>
  <c r="BI39" i="1"/>
  <c r="AG39" i="1" s="1"/>
  <c r="AQ39" i="1"/>
  <c r="AB39" i="1"/>
  <c r="AR39" i="1" s="1"/>
  <c r="Z39" i="1"/>
  <c r="AP39" i="1" s="1"/>
  <c r="O39" i="1"/>
  <c r="D39" i="1"/>
  <c r="BI38" i="1"/>
  <c r="AG38" i="1" s="1"/>
  <c r="AQ38" i="1"/>
  <c r="AB38" i="1"/>
  <c r="AR38" i="1" s="1"/>
  <c r="Z38" i="1"/>
  <c r="AP38" i="1" s="1"/>
  <c r="O38" i="1"/>
  <c r="D38" i="1"/>
  <c r="BI37" i="1"/>
  <c r="AG37" i="1" s="1"/>
  <c r="AQ37" i="1"/>
  <c r="AB37" i="1"/>
  <c r="AR37" i="1" s="1"/>
  <c r="BR37" i="1" s="1"/>
  <c r="Z37" i="1"/>
  <c r="AP37" i="1" s="1"/>
  <c r="O37" i="1"/>
  <c r="D37" i="1"/>
  <c r="BI36" i="1"/>
  <c r="AG36" i="1" s="1"/>
  <c r="AQ36" i="1"/>
  <c r="AB36" i="1"/>
  <c r="AR36" i="1" s="1"/>
  <c r="BR36" i="1" s="1"/>
  <c r="Z36" i="1"/>
  <c r="AP36" i="1" s="1"/>
  <c r="O36" i="1"/>
  <c r="D36" i="1"/>
  <c r="BI35" i="1"/>
  <c r="AG35" i="1" s="1"/>
  <c r="AQ35" i="1"/>
  <c r="AB35" i="1"/>
  <c r="AR35" i="1" s="1"/>
  <c r="Z35" i="1"/>
  <c r="AP35" i="1" s="1"/>
  <c r="O35" i="1"/>
  <c r="D35" i="1"/>
  <c r="BI34" i="1"/>
  <c r="AG34" i="1" s="1"/>
  <c r="AQ34" i="1"/>
  <c r="AB34" i="1"/>
  <c r="AR34" i="1" s="1"/>
  <c r="BR34" i="1" s="1"/>
  <c r="Z34" i="1"/>
  <c r="AP34" i="1" s="1"/>
  <c r="O34" i="1"/>
  <c r="D34" i="1"/>
  <c r="BI33" i="1"/>
  <c r="AG33" i="1" s="1"/>
  <c r="AQ33" i="1"/>
  <c r="AB33" i="1"/>
  <c r="AR33" i="1" s="1"/>
  <c r="Z33" i="1"/>
  <c r="AP33" i="1" s="1"/>
  <c r="O33" i="1"/>
  <c r="D33" i="1"/>
  <c r="BI32" i="1"/>
  <c r="AG32" i="1" s="1"/>
  <c r="AQ32" i="1"/>
  <c r="AB32" i="1"/>
  <c r="AR32" i="1" s="1"/>
  <c r="Z32" i="1"/>
  <c r="AP32" i="1" s="1"/>
  <c r="O32" i="1"/>
  <c r="D32" i="1"/>
  <c r="BI31" i="1"/>
  <c r="AG31" i="1" s="1"/>
  <c r="AQ31" i="1"/>
  <c r="AB31" i="1"/>
  <c r="AR31" i="1" s="1"/>
  <c r="Z31" i="1"/>
  <c r="AP31" i="1" s="1"/>
  <c r="O31" i="1"/>
  <c r="D31" i="1"/>
  <c r="BI30" i="1"/>
  <c r="AG30" i="1" s="1"/>
  <c r="AQ30" i="1"/>
  <c r="AB30" i="1"/>
  <c r="AR30" i="1" s="1"/>
  <c r="Z30" i="1"/>
  <c r="AP30" i="1" s="1"/>
  <c r="O30" i="1"/>
  <c r="D30" i="1"/>
  <c r="BI29" i="1"/>
  <c r="AG29" i="1" s="1"/>
  <c r="AQ29" i="1"/>
  <c r="AB29" i="1"/>
  <c r="AR29" i="1" s="1"/>
  <c r="Z29" i="1"/>
  <c r="AP29" i="1" s="1"/>
  <c r="O29" i="1"/>
  <c r="D29" i="1"/>
  <c r="BI28" i="1"/>
  <c r="AG28" i="1" s="1"/>
  <c r="AQ28" i="1"/>
  <c r="AB28" i="1"/>
  <c r="AR28" i="1" s="1"/>
  <c r="Z28" i="1"/>
  <c r="AP28" i="1" s="1"/>
  <c r="O28" i="1"/>
  <c r="D28" i="1"/>
  <c r="BI27" i="1"/>
  <c r="AG27" i="1" s="1"/>
  <c r="AQ27" i="1"/>
  <c r="AB27" i="1"/>
  <c r="AR27" i="1" s="1"/>
  <c r="Z27" i="1"/>
  <c r="AP27" i="1" s="1"/>
  <c r="O27" i="1"/>
  <c r="D27" i="1"/>
  <c r="BI26" i="1"/>
  <c r="AG26" i="1" s="1"/>
  <c r="AQ26" i="1"/>
  <c r="AB26" i="1"/>
  <c r="AR26" i="1" s="1"/>
  <c r="Z26" i="1"/>
  <c r="AP26" i="1" s="1"/>
  <c r="O26" i="1"/>
  <c r="D26" i="1"/>
  <c r="BI25" i="1"/>
  <c r="AG25" i="1" s="1"/>
  <c r="AQ25" i="1"/>
  <c r="AB25" i="1"/>
  <c r="AR25" i="1" s="1"/>
  <c r="Z25" i="1"/>
  <c r="AP25" i="1" s="1"/>
  <c r="O25" i="1"/>
  <c r="D25" i="1"/>
  <c r="BI24" i="1"/>
  <c r="AG24" i="1" s="1"/>
  <c r="AQ24" i="1"/>
  <c r="AB24" i="1"/>
  <c r="AR24" i="1" s="1"/>
  <c r="BR24" i="1" s="1"/>
  <c r="Z24" i="1"/>
  <c r="AP24" i="1" s="1"/>
  <c r="O24" i="1"/>
  <c r="D24" i="1"/>
  <c r="BI23" i="1"/>
  <c r="AG23" i="1" s="1"/>
  <c r="AQ23" i="1"/>
  <c r="AB23" i="1"/>
  <c r="AR23" i="1" s="1"/>
  <c r="Z23" i="1"/>
  <c r="AP23" i="1" s="1"/>
  <c r="O23" i="1"/>
  <c r="D23" i="1"/>
  <c r="BI22" i="1"/>
  <c r="AG22" i="1" s="1"/>
  <c r="AQ22" i="1"/>
  <c r="AB22" i="1"/>
  <c r="AR22" i="1" s="1"/>
  <c r="Z22" i="1"/>
  <c r="AP22" i="1" s="1"/>
  <c r="O22" i="1"/>
  <c r="D22" i="1"/>
  <c r="BI21" i="1"/>
  <c r="AG21" i="1" s="1"/>
  <c r="AQ21" i="1"/>
  <c r="AB21" i="1"/>
  <c r="AL21" i="1" s="1"/>
  <c r="Z21" i="1"/>
  <c r="AP21" i="1" s="1"/>
  <c r="O21" i="1"/>
  <c r="D21" i="1"/>
  <c r="BI20" i="1"/>
  <c r="AG20" i="1" s="1"/>
  <c r="AQ20" i="1"/>
  <c r="AB20" i="1"/>
  <c r="Z20" i="1"/>
  <c r="AP20" i="1" s="1"/>
  <c r="O20" i="1"/>
  <c r="D20" i="1"/>
  <c r="BI19" i="1"/>
  <c r="AG19" i="1" s="1"/>
  <c r="AQ19" i="1"/>
  <c r="AB19" i="1"/>
  <c r="AL19" i="1" s="1"/>
  <c r="Z19" i="1"/>
  <c r="AP19" i="1" s="1"/>
  <c r="O19" i="1"/>
  <c r="D19" i="1"/>
  <c r="BI18" i="1"/>
  <c r="AG18" i="1" s="1"/>
  <c r="AQ18" i="1"/>
  <c r="AB18" i="1"/>
  <c r="AK18" i="1" s="1"/>
  <c r="Z18" i="1"/>
  <c r="AP18" i="1" s="1"/>
  <c r="O18" i="1"/>
  <c r="D18" i="1"/>
  <c r="BI17" i="1"/>
  <c r="AG17" i="1" s="1"/>
  <c r="AQ17" i="1"/>
  <c r="AB17" i="1"/>
  <c r="AK17" i="1" s="1"/>
  <c r="Z17" i="1"/>
  <c r="AP17" i="1" s="1"/>
  <c r="O17" i="1"/>
  <c r="D17" i="1"/>
  <c r="BI16" i="1"/>
  <c r="AG16" i="1" s="1"/>
  <c r="AQ16" i="1"/>
  <c r="AB16" i="1"/>
  <c r="AL16" i="1" s="1"/>
  <c r="Z16" i="1"/>
  <c r="AP16" i="1" s="1"/>
  <c r="O16" i="1"/>
  <c r="D16" i="1"/>
  <c r="BI15" i="1"/>
  <c r="AG15" i="1" s="1"/>
  <c r="AQ15" i="1"/>
  <c r="AB15" i="1"/>
  <c r="AL15" i="1" s="1"/>
  <c r="Z15" i="1"/>
  <c r="AP15" i="1" s="1"/>
  <c r="O15" i="1"/>
  <c r="D15" i="1"/>
  <c r="BI14" i="1"/>
  <c r="AG14" i="1" s="1"/>
  <c r="AQ14" i="1"/>
  <c r="AB14" i="1"/>
  <c r="AR14" i="1" s="1"/>
  <c r="Z14" i="1"/>
  <c r="AP14" i="1" s="1"/>
  <c r="O14" i="1"/>
  <c r="D14" i="1"/>
  <c r="AU4" i="1"/>
  <c r="AT4" i="1"/>
  <c r="BR596" i="1" l="1"/>
  <c r="BR868" i="1"/>
  <c r="BR1126" i="1"/>
  <c r="BR1164" i="1"/>
  <c r="BR854" i="1"/>
  <c r="BR1185" i="1"/>
  <c r="BR200" i="1"/>
  <c r="BR853" i="1"/>
  <c r="BR904" i="1"/>
  <c r="BR1148" i="1"/>
  <c r="BR1177" i="1"/>
  <c r="BR662" i="1"/>
  <c r="BR830" i="1"/>
  <c r="BR1142" i="1"/>
  <c r="BR648" i="1"/>
  <c r="BR864" i="1"/>
  <c r="BR872" i="1"/>
  <c r="BR1165" i="1"/>
  <c r="BR1190" i="1"/>
  <c r="BR28" i="1"/>
  <c r="BO28" i="1"/>
  <c r="BR32" i="1"/>
  <c r="BO32" i="1"/>
  <c r="BR44" i="1"/>
  <c r="BO44" i="1"/>
  <c r="BR155" i="1"/>
  <c r="BO155" i="1"/>
  <c r="BR172" i="1"/>
  <c r="BO172" i="1"/>
  <c r="BR451" i="1"/>
  <c r="BO451" i="1"/>
  <c r="BR609" i="1"/>
  <c r="BO609" i="1"/>
  <c r="BR649" i="1"/>
  <c r="BO649" i="1"/>
  <c r="BO1188" i="1"/>
  <c r="BO1180" i="1"/>
  <c r="BO1172" i="1"/>
  <c r="BO1164" i="1"/>
  <c r="BO1156" i="1"/>
  <c r="BO1148" i="1"/>
  <c r="BO1132" i="1"/>
  <c r="BO875" i="1"/>
  <c r="BO864" i="1"/>
  <c r="BO853" i="1"/>
  <c r="BO621" i="1"/>
  <c r="BO596" i="1"/>
  <c r="BO36" i="1"/>
  <c r="BO787" i="1"/>
  <c r="BO670" i="1"/>
  <c r="BO418" i="1"/>
  <c r="BO34" i="1"/>
  <c r="BR23" i="1"/>
  <c r="BO23" i="1"/>
  <c r="BR27" i="1"/>
  <c r="BO27" i="1"/>
  <c r="BR31" i="1"/>
  <c r="BO31" i="1"/>
  <c r="BR35" i="1"/>
  <c r="BO35" i="1"/>
  <c r="BR39" i="1"/>
  <c r="BO39" i="1"/>
  <c r="BR43" i="1"/>
  <c r="BO43" i="1"/>
  <c r="BR167" i="1"/>
  <c r="BO167" i="1"/>
  <c r="BR171" i="1"/>
  <c r="BO171" i="1"/>
  <c r="BR175" i="1"/>
  <c r="BO175" i="1"/>
  <c r="BR655" i="1"/>
  <c r="BO655" i="1"/>
  <c r="BR706" i="1"/>
  <c r="BO706" i="1"/>
  <c r="BR791" i="1"/>
  <c r="BO791" i="1"/>
  <c r="BO904" i="1"/>
  <c r="BO872" i="1"/>
  <c r="BO662" i="1"/>
  <c r="BO440" i="1"/>
  <c r="BO408" i="1"/>
  <c r="BO152" i="1"/>
  <c r="BO24" i="1"/>
  <c r="BR462" i="1"/>
  <c r="BO462" i="1"/>
  <c r="BR471" i="1"/>
  <c r="BO471" i="1"/>
  <c r="BR712" i="1"/>
  <c r="BO712" i="1"/>
  <c r="BR391" i="1"/>
  <c r="BO391" i="1"/>
  <c r="BR398" i="1"/>
  <c r="BO398" i="1"/>
  <c r="BR576" i="1"/>
  <c r="BO576" i="1"/>
  <c r="BR629" i="1"/>
  <c r="BO629" i="1"/>
  <c r="BR678" i="1"/>
  <c r="BO678" i="1"/>
  <c r="BR697" i="1"/>
  <c r="BO697" i="1"/>
  <c r="BO1185" i="1"/>
  <c r="BO1177" i="1"/>
  <c r="BO860" i="1"/>
  <c r="BO781" i="1"/>
  <c r="BO661" i="1"/>
  <c r="BR201" i="1"/>
  <c r="BO201" i="1"/>
  <c r="BR698" i="1"/>
  <c r="BO698" i="1"/>
  <c r="BR22" i="1"/>
  <c r="BO22" i="1"/>
  <c r="BR38" i="1"/>
  <c r="BO38" i="1"/>
  <c r="BR42" i="1"/>
  <c r="BO42" i="1"/>
  <c r="BR157" i="1"/>
  <c r="BO157" i="1"/>
  <c r="BR416" i="1"/>
  <c r="BO416" i="1"/>
  <c r="BR657" i="1"/>
  <c r="BO657" i="1"/>
  <c r="BR705" i="1"/>
  <c r="BO705" i="1"/>
  <c r="BR736" i="1"/>
  <c r="BO736" i="1"/>
  <c r="BO1184" i="1"/>
  <c r="BO1176" i="1"/>
  <c r="BO1168" i="1"/>
  <c r="BO1136" i="1"/>
  <c r="BO859" i="1"/>
  <c r="BO780" i="1"/>
  <c r="BO148" i="1"/>
  <c r="BR166" i="1"/>
  <c r="BO166" i="1"/>
  <c r="BR170" i="1"/>
  <c r="BO170" i="1"/>
  <c r="BR174" i="1"/>
  <c r="BO174" i="1"/>
  <c r="BR153" i="1"/>
  <c r="BO153" i="1"/>
  <c r="BR160" i="1"/>
  <c r="BO160" i="1"/>
  <c r="BR177" i="1"/>
  <c r="BO177" i="1"/>
  <c r="BR663" i="1"/>
  <c r="BO663" i="1"/>
  <c r="BR720" i="1"/>
  <c r="BO720" i="1"/>
  <c r="BR903" i="1"/>
  <c r="BO903" i="1"/>
  <c r="BO868" i="1"/>
  <c r="BO779" i="1"/>
  <c r="BO146" i="1"/>
  <c r="BR14" i="1"/>
  <c r="BO14" i="1"/>
  <c r="BR26" i="1"/>
  <c r="BO26" i="1"/>
  <c r="BR30" i="1"/>
  <c r="BO30" i="1"/>
  <c r="BR150" i="1"/>
  <c r="BO150" i="1"/>
  <c r="BR25" i="1"/>
  <c r="BO25" i="1"/>
  <c r="BR29" i="1"/>
  <c r="BO29" i="1"/>
  <c r="BR33" i="1"/>
  <c r="BO33" i="1"/>
  <c r="BR41" i="1"/>
  <c r="BO41" i="1"/>
  <c r="BR156" i="1"/>
  <c r="BO156" i="1"/>
  <c r="BR169" i="1"/>
  <c r="BO169" i="1"/>
  <c r="BR393" i="1"/>
  <c r="BO393" i="1"/>
  <c r="BR400" i="1"/>
  <c r="BO400" i="1"/>
  <c r="BR543" i="1"/>
  <c r="BO543" i="1"/>
  <c r="BR653" i="1"/>
  <c r="BO653" i="1"/>
  <c r="BO1190" i="1"/>
  <c r="BO1182" i="1"/>
  <c r="BO1142" i="1"/>
  <c r="BO1126" i="1"/>
  <c r="BO867" i="1"/>
  <c r="BO790" i="1"/>
  <c r="BO624" i="1"/>
  <c r="BO392" i="1"/>
  <c r="BO200" i="1"/>
  <c r="BO40" i="1"/>
  <c r="BR159" i="1"/>
  <c r="BO159" i="1"/>
  <c r="BR198" i="1"/>
  <c r="BO198" i="1"/>
  <c r="BR409" i="1"/>
  <c r="BO409" i="1"/>
  <c r="BR613" i="1"/>
  <c r="BO613" i="1"/>
  <c r="BR656" i="1"/>
  <c r="BO656" i="1"/>
  <c r="BR704" i="1"/>
  <c r="BO704" i="1"/>
  <c r="BR792" i="1"/>
  <c r="BO792" i="1"/>
  <c r="BO1165" i="1"/>
  <c r="BO1133" i="1"/>
  <c r="BO854" i="1"/>
  <c r="BO648" i="1"/>
  <c r="BO597" i="1"/>
  <c r="BO37" i="1"/>
  <c r="AD720" i="1"/>
  <c r="AD779" i="1"/>
  <c r="AD853" i="1"/>
  <c r="AE853" i="1" s="1"/>
  <c r="AD903" i="1"/>
  <c r="AE903" i="1" s="1"/>
  <c r="AD1185" i="1"/>
  <c r="AE1185" i="1" s="1"/>
  <c r="AD25" i="1"/>
  <c r="AD33" i="1"/>
  <c r="AE33" i="1" s="1"/>
  <c r="AD41" i="1"/>
  <c r="AE41" i="1" s="1"/>
  <c r="AD543" i="1"/>
  <c r="AE543" i="1" s="1"/>
  <c r="AD663" i="1"/>
  <c r="AE663" i="1" s="1"/>
  <c r="AD152" i="1"/>
  <c r="AE152" i="1" s="1"/>
  <c r="AD198" i="1"/>
  <c r="AE198" i="1" s="1"/>
  <c r="AD409" i="1"/>
  <c r="AD418" i="1"/>
  <c r="AE418" i="1" s="1"/>
  <c r="AD597" i="1"/>
  <c r="AE597" i="1" s="1"/>
  <c r="AD613" i="1"/>
  <c r="AE613" i="1" s="1"/>
  <c r="AD653" i="1"/>
  <c r="AD1177" i="1"/>
  <c r="AE1177" i="1" s="1"/>
  <c r="AD31" i="1"/>
  <c r="AE31" i="1" s="1"/>
  <c r="AD35" i="1"/>
  <c r="AE35" i="1" s="1"/>
  <c r="AD29" i="1"/>
  <c r="AD37" i="1"/>
  <c r="AD146" i="1"/>
  <c r="AE146" i="1" s="1"/>
  <c r="AD169" i="1"/>
  <c r="AE169" i="1" s="1"/>
  <c r="AD400" i="1"/>
  <c r="AD159" i="1"/>
  <c r="AD24" i="1"/>
  <c r="AE24" i="1" s="1"/>
  <c r="AD28" i="1"/>
  <c r="AE28" i="1" s="1"/>
  <c r="AD32" i="1"/>
  <c r="AD36" i="1"/>
  <c r="AD40" i="1"/>
  <c r="AE40" i="1" s="1"/>
  <c r="AD44" i="1"/>
  <c r="AE44" i="1" s="1"/>
  <c r="AD155" i="1"/>
  <c r="AD172" i="1"/>
  <c r="AE172" i="1" s="1"/>
  <c r="AD392" i="1"/>
  <c r="AE392" i="1" s="1"/>
  <c r="AD451" i="1"/>
  <c r="AE451" i="1" s="1"/>
  <c r="AD609" i="1"/>
  <c r="AE609" i="1" s="1"/>
  <c r="AD662" i="1"/>
  <c r="AD704" i="1"/>
  <c r="AE704" i="1" s="1"/>
  <c r="AD872" i="1"/>
  <c r="AE872" i="1" s="1"/>
  <c r="AD1142" i="1"/>
  <c r="AE1142" i="1" s="1"/>
  <c r="AD1165" i="1"/>
  <c r="AD156" i="1"/>
  <c r="AE156" i="1" s="1"/>
  <c r="AD393" i="1"/>
  <c r="AE393" i="1" s="1"/>
  <c r="AD148" i="1"/>
  <c r="AE148" i="1" s="1"/>
  <c r="AD201" i="1"/>
  <c r="AE201" i="1" s="1"/>
  <c r="AD408" i="1"/>
  <c r="AE408" i="1" s="1"/>
  <c r="AD462" i="1"/>
  <c r="AE462" i="1" s="1"/>
  <c r="AD471" i="1"/>
  <c r="AE471" i="1" s="1"/>
  <c r="AD596" i="1"/>
  <c r="AE596" i="1" s="1"/>
  <c r="AD649" i="1"/>
  <c r="AE649" i="1" s="1"/>
  <c r="AD868" i="1"/>
  <c r="AE868" i="1" s="1"/>
  <c r="AD875" i="1"/>
  <c r="AD171" i="1"/>
  <c r="AE171" i="1" s="1"/>
  <c r="AD175" i="1"/>
  <c r="AE175" i="1" s="1"/>
  <c r="AD621" i="1"/>
  <c r="AE621" i="1" s="1"/>
  <c r="AD624" i="1"/>
  <c r="AE624" i="1" s="1"/>
  <c r="AD661" i="1"/>
  <c r="AD712" i="1"/>
  <c r="AE712" i="1" s="1"/>
  <c r="AD1126" i="1"/>
  <c r="AE1126" i="1" s="1"/>
  <c r="AD23" i="1"/>
  <c r="AD167" i="1"/>
  <c r="AE167" i="1" s="1"/>
  <c r="AD200" i="1"/>
  <c r="AE200" i="1" s="1"/>
  <c r="AD391" i="1"/>
  <c r="AE391" i="1" s="1"/>
  <c r="AD398" i="1"/>
  <c r="AD576" i="1"/>
  <c r="AE576" i="1" s="1"/>
  <c r="AD655" i="1"/>
  <c r="AE655" i="1" s="1"/>
  <c r="AD670" i="1"/>
  <c r="AE670" i="1" s="1"/>
  <c r="AD706" i="1"/>
  <c r="AE706" i="1" s="1"/>
  <c r="AD780" i="1"/>
  <c r="AE780" i="1" s="1"/>
  <c r="AD791" i="1"/>
  <c r="AE791" i="1" s="1"/>
  <c r="AD27" i="1"/>
  <c r="AE27" i="1" s="1"/>
  <c r="AD39" i="1"/>
  <c r="AD43" i="1"/>
  <c r="AD150" i="1"/>
  <c r="AE150" i="1" s="1"/>
  <c r="AD157" i="1"/>
  <c r="AE157" i="1" s="1"/>
  <c r="AD166" i="1"/>
  <c r="AD170" i="1"/>
  <c r="AE170" i="1" s="1"/>
  <c r="AD174" i="1"/>
  <c r="AE174" i="1" s="1"/>
  <c r="AD416" i="1"/>
  <c r="AE416" i="1" s="1"/>
  <c r="AD629" i="1"/>
  <c r="AE629" i="1" s="1"/>
  <c r="AD648" i="1"/>
  <c r="AE648" i="1" s="1"/>
  <c r="AD678" i="1"/>
  <c r="AE678" i="1" s="1"/>
  <c r="AD697" i="1"/>
  <c r="AE697" i="1" s="1"/>
  <c r="AD830" i="1"/>
  <c r="AE830" i="1" s="1"/>
  <c r="AD864" i="1"/>
  <c r="AD867" i="1"/>
  <c r="AE867" i="1" s="1"/>
  <c r="AD698" i="1"/>
  <c r="AE698" i="1" s="1"/>
  <c r="AD14" i="1"/>
  <c r="AE14" i="1" s="1"/>
  <c r="AD22" i="1"/>
  <c r="AE22" i="1" s="1"/>
  <c r="AD26" i="1"/>
  <c r="AE26" i="1" s="1"/>
  <c r="AD30" i="1"/>
  <c r="AE30" i="1" s="1"/>
  <c r="AD34" i="1"/>
  <c r="AD38" i="1"/>
  <c r="AD42" i="1"/>
  <c r="AE42" i="1" s="1"/>
  <c r="AD153" i="1"/>
  <c r="AE153" i="1" s="1"/>
  <c r="AD160" i="1"/>
  <c r="AE160" i="1" s="1"/>
  <c r="AD177" i="1"/>
  <c r="AD440" i="1"/>
  <c r="AE440" i="1" s="1"/>
  <c r="AD657" i="1"/>
  <c r="AE657" i="1" s="1"/>
  <c r="AD705" i="1"/>
  <c r="AD736" i="1"/>
  <c r="AD787" i="1"/>
  <c r="AE787" i="1" s="1"/>
  <c r="AD790" i="1"/>
  <c r="AE790" i="1" s="1"/>
  <c r="AD860" i="1"/>
  <c r="AD1133" i="1"/>
  <c r="AE1133" i="1" s="1"/>
  <c r="AJ68" i="1"/>
  <c r="AQ68" i="1" s="1"/>
  <c r="AJ108" i="1"/>
  <c r="AQ108" i="1" s="1"/>
  <c r="AJ332" i="1"/>
  <c r="AQ332" i="1" s="1"/>
  <c r="AJ439" i="1"/>
  <c r="AQ439" i="1" s="1"/>
  <c r="AJ446" i="1"/>
  <c r="AQ446" i="1" s="1"/>
  <c r="AJ927" i="1"/>
  <c r="AQ927" i="1" s="1"/>
  <c r="AJ877" i="1"/>
  <c r="AQ877" i="1" s="1"/>
  <c r="AJ886" i="1"/>
  <c r="AQ886" i="1" s="1"/>
  <c r="AR1160" i="1"/>
  <c r="AJ1160" i="1"/>
  <c r="AQ1160" i="1" s="1"/>
  <c r="AQ1205" i="1"/>
  <c r="AJ1222" i="1"/>
  <c r="AQ1222" i="1" s="1"/>
  <c r="AJ128" i="1"/>
  <c r="AQ128" i="1" s="1"/>
  <c r="AR164" i="1"/>
  <c r="AJ164" i="1"/>
  <c r="AQ164" i="1" s="1"/>
  <c r="AJ296" i="1"/>
  <c r="AQ296" i="1" s="1"/>
  <c r="AJ357" i="1"/>
  <c r="AQ357" i="1" s="1"/>
  <c r="AJ407" i="1"/>
  <c r="AQ407" i="1" s="1"/>
  <c r="AJ460" i="1"/>
  <c r="AQ460" i="1" s="1"/>
  <c r="AR505" i="1"/>
  <c r="BO505" i="1" s="1"/>
  <c r="AJ505" i="1"/>
  <c r="AQ505" i="1" s="1"/>
  <c r="AR553" i="1"/>
  <c r="AJ553" i="1"/>
  <c r="AQ553" i="1" s="1"/>
  <c r="AJ628" i="1"/>
  <c r="AQ628" i="1" s="1"/>
  <c r="AJ811" i="1"/>
  <c r="AQ811" i="1" s="1"/>
  <c r="AJ902" i="1"/>
  <c r="AQ902" i="1" s="1"/>
  <c r="AR417" i="1"/>
  <c r="AJ417" i="1"/>
  <c r="AQ417" i="1" s="1"/>
  <c r="AJ449" i="1"/>
  <c r="AQ449" i="1" s="1"/>
  <c r="AJ556" i="1"/>
  <c r="AQ556" i="1" s="1"/>
  <c r="AJ595" i="1"/>
  <c r="AQ595" i="1" s="1"/>
  <c r="AJ601" i="1"/>
  <c r="AQ601" i="1" s="1"/>
  <c r="AJ703" i="1"/>
  <c r="AQ703" i="1" s="1"/>
  <c r="AR719" i="1"/>
  <c r="AJ719" i="1"/>
  <c r="AQ719" i="1" s="1"/>
  <c r="AR728" i="1"/>
  <c r="BO728" i="1" s="1"/>
  <c r="AJ728" i="1"/>
  <c r="AQ728" i="1" s="1"/>
  <c r="AR735" i="1"/>
  <c r="AJ735" i="1"/>
  <c r="AQ735" i="1" s="1"/>
  <c r="AJ750" i="1"/>
  <c r="AQ750" i="1" s="1"/>
  <c r="AJ765" i="1"/>
  <c r="AQ765" i="1" s="1"/>
  <c r="AR778" i="1"/>
  <c r="AJ778" i="1"/>
  <c r="AQ778" i="1" s="1"/>
  <c r="AJ842" i="1"/>
  <c r="AQ842" i="1" s="1"/>
  <c r="AJ848" i="1"/>
  <c r="AQ848" i="1" s="1"/>
  <c r="AJ59" i="1"/>
  <c r="AQ59" i="1" s="1"/>
  <c r="AR63" i="1"/>
  <c r="AJ63" i="1"/>
  <c r="AQ63" i="1" s="1"/>
  <c r="AR67" i="1"/>
  <c r="BO67" i="1" s="1"/>
  <c r="AJ67" i="1"/>
  <c r="AQ67" i="1" s="1"/>
  <c r="AJ75" i="1"/>
  <c r="AQ75" i="1" s="1"/>
  <c r="AJ79" i="1"/>
  <c r="AQ79" i="1" s="1"/>
  <c r="AJ87" i="1"/>
  <c r="AQ87" i="1" s="1"/>
  <c r="AJ99" i="1"/>
  <c r="AQ99" i="1" s="1"/>
  <c r="AJ103" i="1"/>
  <c r="AQ103" i="1" s="1"/>
  <c r="AJ107" i="1"/>
  <c r="AQ107" i="1" s="1"/>
  <c r="AJ111" i="1"/>
  <c r="AQ111" i="1" s="1"/>
  <c r="AJ115" i="1"/>
  <c r="AQ115" i="1" s="1"/>
  <c r="AJ123" i="1"/>
  <c r="AQ123" i="1" s="1"/>
  <c r="AJ131" i="1"/>
  <c r="AQ131" i="1" s="1"/>
  <c r="AJ135" i="1"/>
  <c r="AQ135" i="1" s="1"/>
  <c r="AR147" i="1"/>
  <c r="AJ147" i="1"/>
  <c r="AQ147" i="1" s="1"/>
  <c r="AR151" i="1"/>
  <c r="AJ151" i="1"/>
  <c r="AQ151" i="1" s="1"/>
  <c r="AR163" i="1"/>
  <c r="AJ163" i="1"/>
  <c r="AQ163" i="1" s="1"/>
  <c r="AR179" i="1"/>
  <c r="BO179" i="1" s="1"/>
  <c r="AJ179" i="1"/>
  <c r="AQ179" i="1" s="1"/>
  <c r="AJ279" i="1"/>
  <c r="AQ279" i="1" s="1"/>
  <c r="AJ283" i="1"/>
  <c r="AQ283" i="1" s="1"/>
  <c r="AJ295" i="1"/>
  <c r="AQ295" i="1" s="1"/>
  <c r="AJ310" i="1"/>
  <c r="AQ310" i="1" s="1"/>
  <c r="AJ342" i="1"/>
  <c r="AQ342" i="1" s="1"/>
  <c r="AJ349" i="1"/>
  <c r="AQ349" i="1" s="1"/>
  <c r="AJ356" i="1"/>
  <c r="AQ356" i="1" s="1"/>
  <c r="AJ381" i="1"/>
  <c r="AQ381" i="1" s="1"/>
  <c r="AR406" i="1"/>
  <c r="AJ406" i="1"/>
  <c r="AQ406" i="1" s="1"/>
  <c r="AJ413" i="1"/>
  <c r="AQ413" i="1" s="1"/>
  <c r="AJ431" i="1"/>
  <c r="AQ431" i="1" s="1"/>
  <c r="AJ445" i="1"/>
  <c r="AQ445" i="1" s="1"/>
  <c r="AR452" i="1"/>
  <c r="AJ452" i="1"/>
  <c r="AQ452" i="1" s="1"/>
  <c r="AJ470" i="1"/>
  <c r="AQ470" i="1" s="1"/>
  <c r="AJ480" i="1"/>
  <c r="AQ480" i="1" s="1"/>
  <c r="AR491" i="1"/>
  <c r="AJ491" i="1"/>
  <c r="AQ491" i="1" s="1"/>
  <c r="AJ501" i="1"/>
  <c r="AQ501" i="1" s="1"/>
  <c r="AJ525" i="1"/>
  <c r="AQ525" i="1" s="1"/>
  <c r="AR528" i="1"/>
  <c r="AJ528" i="1"/>
  <c r="AQ528" i="1" s="1"/>
  <c r="AJ535" i="1"/>
  <c r="AQ535" i="1" s="1"/>
  <c r="AJ545" i="1"/>
  <c r="AQ545" i="1" s="1"/>
  <c r="AJ643" i="1"/>
  <c r="AQ643" i="1" s="1"/>
  <c r="AJ696" i="1"/>
  <c r="AQ696" i="1" s="1"/>
  <c r="AJ762" i="1"/>
  <c r="AQ762" i="1" s="1"/>
  <c r="AR784" i="1"/>
  <c r="AJ784" i="1"/>
  <c r="AQ784" i="1" s="1"/>
  <c r="AJ813" i="1"/>
  <c r="AQ813" i="1" s="1"/>
  <c r="AR883" i="1"/>
  <c r="AH883" i="1" s="1"/>
  <c r="AI883" i="1" s="1"/>
  <c r="AJ883" i="1"/>
  <c r="AQ883" i="1" s="1"/>
  <c r="AR895" i="1"/>
  <c r="AJ895" i="1"/>
  <c r="AQ895" i="1" s="1"/>
  <c r="AJ932" i="1"/>
  <c r="AQ932" i="1" s="1"/>
  <c r="AJ938" i="1"/>
  <c r="AQ938" i="1" s="1"/>
  <c r="AR1152" i="1"/>
  <c r="AJ1152" i="1"/>
  <c r="AQ1152" i="1" s="1"/>
  <c r="AJ1158" i="1"/>
  <c r="AQ1158" i="1" s="1"/>
  <c r="AR1162" i="1"/>
  <c r="AJ1162" i="1"/>
  <c r="AQ1162" i="1" s="1"/>
  <c r="AJ1197" i="1"/>
  <c r="AQ1197" i="1" s="1"/>
  <c r="AJ1216" i="1"/>
  <c r="AL1216" i="1" s="1"/>
  <c r="AJ385" i="1"/>
  <c r="AQ385" i="1" s="1"/>
  <c r="AJ508" i="1"/>
  <c r="AQ508" i="1" s="1"/>
  <c r="AJ532" i="1"/>
  <c r="AQ532" i="1" s="1"/>
  <c r="AJ549" i="1"/>
  <c r="AQ549" i="1" s="1"/>
  <c r="AJ377" i="1"/>
  <c r="AQ377" i="1" s="1"/>
  <c r="AR434" i="1"/>
  <c r="AJ434" i="1"/>
  <c r="AQ434" i="1" s="1"/>
  <c r="AJ473" i="1"/>
  <c r="AQ473" i="1" s="1"/>
  <c r="AJ487" i="1"/>
  <c r="AQ487" i="1" s="1"/>
  <c r="AJ803" i="1"/>
  <c r="AQ803" i="1" s="1"/>
  <c r="AJ825" i="1"/>
  <c r="AQ825" i="1" s="1"/>
  <c r="AJ286" i="1"/>
  <c r="AQ286" i="1" s="1"/>
  <c r="AJ341" i="1"/>
  <c r="AQ341" i="1" s="1"/>
  <c r="AJ348" i="1"/>
  <c r="AQ348" i="1" s="1"/>
  <c r="AJ380" i="1"/>
  <c r="AQ380" i="1" s="1"/>
  <c r="AJ455" i="1"/>
  <c r="AQ455" i="1" s="1"/>
  <c r="AR476" i="1"/>
  <c r="AJ476" i="1"/>
  <c r="AQ476" i="1" s="1"/>
  <c r="AJ483" i="1"/>
  <c r="AQ483" i="1" s="1"/>
  <c r="AR490" i="1"/>
  <c r="AJ490" i="1"/>
  <c r="AQ490" i="1" s="1"/>
  <c r="AJ517" i="1"/>
  <c r="AQ517" i="1" s="1"/>
  <c r="AJ524" i="1"/>
  <c r="AQ524" i="1" s="1"/>
  <c r="AJ531" i="1"/>
  <c r="AQ531" i="1" s="1"/>
  <c r="AR534" i="1"/>
  <c r="AJ534" i="1"/>
  <c r="AQ534" i="1" s="1"/>
  <c r="AJ544" i="1"/>
  <c r="AQ544" i="1" s="1"/>
  <c r="AJ642" i="1"/>
  <c r="AQ642" i="1" s="1"/>
  <c r="AR711" i="1"/>
  <c r="AJ711" i="1"/>
  <c r="AQ711" i="1" s="1"/>
  <c r="AR727" i="1"/>
  <c r="AJ727" i="1"/>
  <c r="AQ727" i="1" s="1"/>
  <c r="AJ749" i="1"/>
  <c r="AQ749" i="1" s="1"/>
  <c r="AJ758" i="1"/>
  <c r="AQ758" i="1" s="1"/>
  <c r="AJ761" i="1"/>
  <c r="AQ761" i="1" s="1"/>
  <c r="AJ876" i="1"/>
  <c r="AQ876" i="1" s="1"/>
  <c r="AJ885" i="1"/>
  <c r="AQ885" i="1" s="1"/>
  <c r="AJ894" i="1"/>
  <c r="AQ894" i="1" s="1"/>
  <c r="AJ897" i="1"/>
  <c r="AQ897" i="1" s="1"/>
  <c r="AJ907" i="1"/>
  <c r="AQ907" i="1" s="1"/>
  <c r="AJ934" i="1"/>
  <c r="AQ934" i="1" s="1"/>
  <c r="AJ72" i="1"/>
  <c r="AQ72" i="1" s="1"/>
  <c r="AJ80" i="1"/>
  <c r="AQ80" i="1" s="1"/>
  <c r="AJ104" i="1"/>
  <c r="AQ104" i="1" s="1"/>
  <c r="AJ124" i="1"/>
  <c r="AQ124" i="1" s="1"/>
  <c r="AJ132" i="1"/>
  <c r="AQ132" i="1" s="1"/>
  <c r="AJ343" i="1"/>
  <c r="AQ343" i="1" s="1"/>
  <c r="AR414" i="1"/>
  <c r="BO414" i="1" s="1"/>
  <c r="AJ414" i="1"/>
  <c r="AQ414" i="1" s="1"/>
  <c r="AR428" i="1"/>
  <c r="AJ428" i="1"/>
  <c r="AQ428" i="1" s="1"/>
  <c r="AJ631" i="1"/>
  <c r="AQ631" i="1" s="1"/>
  <c r="AJ339" i="1"/>
  <c r="AQ339" i="1" s="1"/>
  <c r="AJ346" i="1"/>
  <c r="AQ346" i="1" s="1"/>
  <c r="AJ474" i="1"/>
  <c r="AQ474" i="1" s="1"/>
  <c r="AJ515" i="1"/>
  <c r="AQ515" i="1" s="1"/>
  <c r="AJ466" i="1"/>
  <c r="AQ466" i="1" s="1"/>
  <c r="AJ793" i="1"/>
  <c r="AQ793" i="1" s="1"/>
  <c r="AR838" i="1"/>
  <c r="BO838" i="1" s="1"/>
  <c r="AJ838" i="1"/>
  <c r="AQ838" i="1" s="1"/>
  <c r="AJ1208" i="1"/>
  <c r="AL1208" i="1" s="1"/>
  <c r="AJ54" i="1"/>
  <c r="AQ54" i="1" s="1"/>
  <c r="AJ78" i="1"/>
  <c r="AQ78" i="1" s="1"/>
  <c r="AJ90" i="1"/>
  <c r="AQ90" i="1" s="1"/>
  <c r="AJ102" i="1"/>
  <c r="AQ102" i="1" s="1"/>
  <c r="AJ106" i="1"/>
  <c r="AQ106" i="1" s="1"/>
  <c r="AJ110" i="1"/>
  <c r="AQ110" i="1" s="1"/>
  <c r="AJ122" i="1"/>
  <c r="AQ122" i="1" s="1"/>
  <c r="AJ126" i="1"/>
  <c r="AQ126" i="1" s="1"/>
  <c r="AJ130" i="1"/>
  <c r="AQ130" i="1" s="1"/>
  <c r="AR158" i="1"/>
  <c r="AJ158" i="1"/>
  <c r="AQ158" i="1" s="1"/>
  <c r="AJ344" i="1"/>
  <c r="AQ344" i="1" s="1"/>
  <c r="AJ355" i="1"/>
  <c r="AQ355" i="1" s="1"/>
  <c r="AJ387" i="1"/>
  <c r="AQ387" i="1" s="1"/>
  <c r="AR401" i="1"/>
  <c r="AJ401" i="1"/>
  <c r="AQ401" i="1" s="1"/>
  <c r="AJ426" i="1"/>
  <c r="AQ426" i="1" s="1"/>
  <c r="AJ465" i="1"/>
  <c r="AQ465" i="1" s="1"/>
  <c r="AJ472" i="1"/>
  <c r="AQ472" i="1" s="1"/>
  <c r="AJ493" i="1"/>
  <c r="AQ493" i="1" s="1"/>
  <c r="AJ503" i="1"/>
  <c r="AQ503" i="1" s="1"/>
  <c r="AJ520" i="1"/>
  <c r="AQ520" i="1" s="1"/>
  <c r="AR537" i="1"/>
  <c r="AJ537" i="1"/>
  <c r="AQ537" i="1" s="1"/>
  <c r="AJ623" i="1"/>
  <c r="AQ623" i="1" s="1"/>
  <c r="AJ645" i="1"/>
  <c r="AQ645" i="1" s="1"/>
  <c r="AJ686" i="1"/>
  <c r="AQ686" i="1" s="1"/>
  <c r="AJ695" i="1"/>
  <c r="AQ695" i="1" s="1"/>
  <c r="AR743" i="1"/>
  <c r="AJ743" i="1"/>
  <c r="AQ743" i="1" s="1"/>
  <c r="AJ746" i="1"/>
  <c r="AQ746" i="1" s="1"/>
  <c r="AR783" i="1"/>
  <c r="AJ783" i="1"/>
  <c r="AQ783" i="1" s="1"/>
  <c r="AR786" i="1"/>
  <c r="AJ786" i="1"/>
  <c r="AQ786" i="1" s="1"/>
  <c r="AR879" i="1"/>
  <c r="AJ879" i="1"/>
  <c r="AQ879" i="1" s="1"/>
  <c r="AJ900" i="1"/>
  <c r="AQ900" i="1" s="1"/>
  <c r="AJ925" i="1"/>
  <c r="AQ925" i="1" s="1"/>
  <c r="AL1200" i="1"/>
  <c r="AJ1204" i="1"/>
  <c r="AL1204" i="1" s="1"/>
  <c r="AJ1206" i="1"/>
  <c r="AQ1206" i="1" s="1"/>
  <c r="AJ112" i="1"/>
  <c r="AQ112" i="1" s="1"/>
  <c r="AJ488" i="1"/>
  <c r="AQ488" i="1" s="1"/>
  <c r="AJ519" i="1"/>
  <c r="AQ519" i="1" s="1"/>
  <c r="AJ546" i="1"/>
  <c r="AQ546" i="1" s="1"/>
  <c r="AJ467" i="1"/>
  <c r="AQ467" i="1" s="1"/>
  <c r="AJ306" i="1"/>
  <c r="AQ306" i="1" s="1"/>
  <c r="AJ338" i="1"/>
  <c r="AQ338" i="1" s="1"/>
  <c r="AJ345" i="1"/>
  <c r="AQ345" i="1" s="1"/>
  <c r="AJ737" i="1"/>
  <c r="AQ737" i="1" s="1"/>
  <c r="AJ822" i="1"/>
  <c r="AQ822" i="1" s="1"/>
  <c r="AR1166" i="1"/>
  <c r="AJ1166" i="1"/>
  <c r="AQ1166" i="1" s="1"/>
  <c r="AJ58" i="1"/>
  <c r="AQ58" i="1" s="1"/>
  <c r="AJ62" i="1"/>
  <c r="AQ62" i="1" s="1"/>
  <c r="AJ70" i="1"/>
  <c r="AQ70" i="1" s="1"/>
  <c r="AJ74" i="1"/>
  <c r="AQ74" i="1" s="1"/>
  <c r="AJ86" i="1"/>
  <c r="AQ86" i="1" s="1"/>
  <c r="AJ114" i="1"/>
  <c r="AQ114" i="1" s="1"/>
  <c r="AJ134" i="1"/>
  <c r="AQ134" i="1" s="1"/>
  <c r="AR154" i="1"/>
  <c r="AJ154" i="1"/>
  <c r="AQ154" i="1" s="1"/>
  <c r="AR162" i="1"/>
  <c r="AJ162" i="1"/>
  <c r="AQ162" i="1" s="1"/>
  <c r="AR178" i="1"/>
  <c r="BO178" i="1" s="1"/>
  <c r="AJ178" i="1"/>
  <c r="AQ178" i="1" s="1"/>
  <c r="AJ49" i="1"/>
  <c r="AQ49" i="1" s="1"/>
  <c r="AJ69" i="1"/>
  <c r="AQ69" i="1" s="1"/>
  <c r="AJ77" i="1"/>
  <c r="AQ77" i="1" s="1"/>
  <c r="AJ97" i="1"/>
  <c r="AQ97" i="1" s="1"/>
  <c r="AJ101" i="1"/>
  <c r="AQ101" i="1" s="1"/>
  <c r="AJ105" i="1"/>
  <c r="AQ105" i="1" s="1"/>
  <c r="AJ113" i="1"/>
  <c r="AQ113" i="1" s="1"/>
  <c r="AJ117" i="1"/>
  <c r="AQ117" i="1" s="1"/>
  <c r="AJ125" i="1"/>
  <c r="AQ125" i="1" s="1"/>
  <c r="AJ129" i="1"/>
  <c r="AQ129" i="1" s="1"/>
  <c r="AJ133" i="1"/>
  <c r="AQ133" i="1" s="1"/>
  <c r="AR145" i="1"/>
  <c r="AJ145" i="1"/>
  <c r="AQ145" i="1" s="1"/>
  <c r="AR149" i="1"/>
  <c r="AJ149" i="1"/>
  <c r="AQ149" i="1" s="1"/>
  <c r="AR161" i="1"/>
  <c r="AJ161" i="1"/>
  <c r="AQ161" i="1" s="1"/>
  <c r="AJ289" i="1"/>
  <c r="AQ289" i="1" s="1"/>
  <c r="AJ308" i="1"/>
  <c r="AQ308" i="1" s="1"/>
  <c r="AJ358" i="1"/>
  <c r="AQ358" i="1" s="1"/>
  <c r="AJ365" i="1"/>
  <c r="AQ365" i="1" s="1"/>
  <c r="AJ372" i="1"/>
  <c r="AQ372" i="1" s="1"/>
  <c r="AR390" i="1"/>
  <c r="AJ390" i="1"/>
  <c r="AQ390" i="1" s="1"/>
  <c r="AJ447" i="1"/>
  <c r="AQ447" i="1" s="1"/>
  <c r="AJ461" i="1"/>
  <c r="AQ461" i="1" s="1"/>
  <c r="AR516" i="1"/>
  <c r="AJ516" i="1"/>
  <c r="AQ516" i="1" s="1"/>
  <c r="AJ547" i="1"/>
  <c r="AQ547" i="1" s="1"/>
  <c r="AJ567" i="1"/>
  <c r="AQ567" i="1" s="1"/>
  <c r="AJ641" i="1"/>
  <c r="AQ641" i="1" s="1"/>
  <c r="AJ766" i="1"/>
  <c r="AQ766" i="1" s="1"/>
  <c r="AJ769" i="1"/>
  <c r="AQ769" i="1" s="1"/>
  <c r="AR887" i="1"/>
  <c r="AJ887" i="1"/>
  <c r="AQ887" i="1" s="1"/>
  <c r="AJ909" i="1"/>
  <c r="AQ909" i="1" s="1"/>
  <c r="AJ100" i="1"/>
  <c r="AQ100" i="1" s="1"/>
  <c r="AJ382" i="1"/>
  <c r="AQ382" i="1" s="1"/>
  <c r="AR421" i="1"/>
  <c r="AJ421" i="1"/>
  <c r="AQ421" i="1" s="1"/>
  <c r="AJ453" i="1"/>
  <c r="AQ453" i="1" s="1"/>
  <c r="AJ307" i="1"/>
  <c r="AQ307" i="1" s="1"/>
  <c r="AJ456" i="1"/>
  <c r="AQ456" i="1" s="1"/>
  <c r="AJ363" i="1"/>
  <c r="AQ363" i="1" s="1"/>
  <c r="AJ841" i="1"/>
  <c r="AQ841" i="1" s="1"/>
  <c r="AJ336" i="1"/>
  <c r="AQ336" i="1" s="1"/>
  <c r="AJ347" i="1"/>
  <c r="AQ347" i="1" s="1"/>
  <c r="AJ368" i="1"/>
  <c r="AQ368" i="1" s="1"/>
  <c r="AJ411" i="1"/>
  <c r="AQ411" i="1" s="1"/>
  <c r="AJ432" i="1"/>
  <c r="AQ432" i="1" s="1"/>
  <c r="AR475" i="1"/>
  <c r="BO475" i="1" s="1"/>
  <c r="AJ475" i="1"/>
  <c r="AQ475" i="1" s="1"/>
  <c r="AR478" i="1"/>
  <c r="AJ478" i="1"/>
  <c r="AQ478" i="1" s="1"/>
  <c r="AJ499" i="1"/>
  <c r="AQ499" i="1" s="1"/>
  <c r="AR512" i="1"/>
  <c r="BO512" i="1" s="1"/>
  <c r="AJ512" i="1"/>
  <c r="AQ512" i="1" s="1"/>
  <c r="AJ644" i="1"/>
  <c r="AQ644" i="1" s="1"/>
  <c r="AJ685" i="1"/>
  <c r="AQ685" i="1" s="1"/>
  <c r="AJ723" i="1"/>
  <c r="AQ723" i="1" s="1"/>
  <c r="AJ726" i="1"/>
  <c r="AQ726" i="1" s="1"/>
  <c r="AJ732" i="1"/>
  <c r="AQ732" i="1" s="1"/>
  <c r="AR782" i="1"/>
  <c r="AJ782" i="1"/>
  <c r="AQ782" i="1" s="1"/>
  <c r="AR785" i="1"/>
  <c r="AJ785" i="1"/>
  <c r="AQ785" i="1" s="1"/>
  <c r="AR843" i="1"/>
  <c r="AJ843" i="1"/>
  <c r="AQ843" i="1" s="1"/>
  <c r="AR846" i="1"/>
  <c r="AJ846" i="1"/>
  <c r="AQ846" i="1" s="1"/>
  <c r="AJ878" i="1"/>
  <c r="AQ878" i="1" s="1"/>
  <c r="AJ884" i="1"/>
  <c r="AQ884" i="1" s="1"/>
  <c r="AR896" i="1"/>
  <c r="AJ896" i="1"/>
  <c r="AQ896" i="1" s="1"/>
  <c r="AJ936" i="1"/>
  <c r="AQ936" i="1" s="1"/>
  <c r="AR1149" i="1"/>
  <c r="AJ1149" i="1"/>
  <c r="AQ1149" i="1" s="1"/>
  <c r="AJ1155" i="1"/>
  <c r="AQ1155" i="1" s="1"/>
  <c r="AK391" i="1"/>
  <c r="AL912" i="1"/>
  <c r="AR1124" i="1"/>
  <c r="AL1126" i="1"/>
  <c r="AL955" i="1"/>
  <c r="AL962" i="1"/>
  <c r="AR687" i="1"/>
  <c r="AL293" i="1"/>
  <c r="AK633" i="1"/>
  <c r="AR51" i="1"/>
  <c r="AL565" i="1"/>
  <c r="AK624" i="1"/>
  <c r="AR769" i="1"/>
  <c r="AK833" i="1"/>
  <c r="AL412" i="1"/>
  <c r="AR535" i="1"/>
  <c r="AR633" i="1"/>
  <c r="AK931" i="1"/>
  <c r="AR474" i="1"/>
  <c r="AL542" i="1"/>
  <c r="AR681" i="1"/>
  <c r="AR483" i="1"/>
  <c r="AR508" i="1"/>
  <c r="AR581" i="1"/>
  <c r="AK195" i="1"/>
  <c r="AR589" i="1"/>
  <c r="AK1133" i="1"/>
  <c r="AR425" i="1"/>
  <c r="AK585" i="1"/>
  <c r="AK926" i="1"/>
  <c r="AL662" i="1"/>
  <c r="AR107" i="1"/>
  <c r="AK577" i="1"/>
  <c r="AR68" i="1"/>
  <c r="AK451" i="1"/>
  <c r="AK550" i="1"/>
  <c r="AL653" i="1"/>
  <c r="AL704" i="1"/>
  <c r="AK1136" i="1"/>
  <c r="AK1146" i="1"/>
  <c r="AR455" i="1"/>
  <c r="AR465" i="1"/>
  <c r="AK543" i="1"/>
  <c r="AK952" i="1"/>
  <c r="AR59" i="1"/>
  <c r="AL391" i="1"/>
  <c r="AR448" i="1"/>
  <c r="AR454" i="1"/>
  <c r="AR466" i="1"/>
  <c r="AL947" i="1"/>
  <c r="AK966" i="1"/>
  <c r="AL1138" i="1"/>
  <c r="AK1156" i="1"/>
  <c r="AR542" i="1"/>
  <c r="AR550" i="1"/>
  <c r="AR577" i="1"/>
  <c r="AR763" i="1"/>
  <c r="AR829" i="1"/>
  <c r="AL960" i="1"/>
  <c r="AK1132" i="1"/>
  <c r="AK588" i="1"/>
  <c r="AK589" i="1"/>
  <c r="AK621" i="1"/>
  <c r="AR799" i="1"/>
  <c r="AR806" i="1"/>
  <c r="AR99" i="1"/>
  <c r="AR100" i="1"/>
  <c r="AL494" i="1"/>
  <c r="AK620" i="1"/>
  <c r="AR723" i="1"/>
  <c r="AK1131" i="1"/>
  <c r="AR588" i="1"/>
  <c r="AL739" i="1"/>
  <c r="AL990" i="1"/>
  <c r="AL1125" i="1"/>
  <c r="AK918" i="1"/>
  <c r="AL963" i="1"/>
  <c r="AL60" i="1"/>
  <c r="AL448" i="1"/>
  <c r="AR545" i="1"/>
  <c r="AR546" i="1"/>
  <c r="AR739" i="1"/>
  <c r="AR848" i="1"/>
  <c r="AL55" i="1"/>
  <c r="AK55" i="1"/>
  <c r="AR55" i="1"/>
  <c r="AL116" i="1"/>
  <c r="AR116" i="1"/>
  <c r="AK116" i="1"/>
  <c r="AK56" i="1"/>
  <c r="AL56" i="1"/>
  <c r="AL193" i="1"/>
  <c r="AK193" i="1"/>
  <c r="AH1184" i="1"/>
  <c r="AI1184" i="1" s="1"/>
  <c r="AL950" i="1"/>
  <c r="AL958" i="1"/>
  <c r="AK978" i="1"/>
  <c r="AL440" i="1"/>
  <c r="AR519" i="1"/>
  <c r="AL605" i="1"/>
  <c r="AL621" i="1"/>
  <c r="AL624" i="1"/>
  <c r="AR647" i="1"/>
  <c r="AR715" i="1"/>
  <c r="AK998" i="1"/>
  <c r="AK394" i="1"/>
  <c r="AR524" i="1"/>
  <c r="AK538" i="1"/>
  <c r="AL554" i="1"/>
  <c r="AK593" i="1"/>
  <c r="AR620" i="1"/>
  <c r="AR752" i="1"/>
  <c r="AR761" i="1"/>
  <c r="AH790" i="1"/>
  <c r="AI790" i="1" s="1"/>
  <c r="AR795" i="1"/>
  <c r="AR803" i="1"/>
  <c r="AR812" i="1"/>
  <c r="AK982" i="1"/>
  <c r="AK1123" i="1"/>
  <c r="AR517" i="1"/>
  <c r="AR531" i="1"/>
  <c r="AR605" i="1"/>
  <c r="AR645" i="1"/>
  <c r="AR123" i="1"/>
  <c r="AL271" i="1"/>
  <c r="AR394" i="1"/>
  <c r="AK425" i="1"/>
  <c r="AK454" i="1"/>
  <c r="AK477" i="1"/>
  <c r="AR538" i="1"/>
  <c r="AR554" i="1"/>
  <c r="AK581" i="1"/>
  <c r="AK584" i="1"/>
  <c r="AR593" i="1"/>
  <c r="AK609" i="1"/>
  <c r="AL659" i="1"/>
  <c r="AL765" i="1"/>
  <c r="AL910" i="1"/>
  <c r="AK922" i="1"/>
  <c r="AL946" i="1"/>
  <c r="AL954" i="1"/>
  <c r="AL971" i="1"/>
  <c r="AL1122" i="1"/>
  <c r="AR1128" i="1"/>
  <c r="AL1132" i="1"/>
  <c r="AL1133" i="1"/>
  <c r="AL1136" i="1"/>
  <c r="AL609" i="1"/>
  <c r="AR759" i="1"/>
  <c r="AR816" i="1"/>
  <c r="AK821" i="1"/>
  <c r="AK881" i="1"/>
  <c r="AK944" i="1"/>
  <c r="AL986" i="1"/>
  <c r="AL1026" i="1"/>
  <c r="AH1190" i="1"/>
  <c r="AI1190" i="1" s="1"/>
  <c r="AR628" i="1"/>
  <c r="AR809" i="1"/>
  <c r="AL1006" i="1"/>
  <c r="AR433" i="1"/>
  <c r="AL433" i="1"/>
  <c r="AK433" i="1"/>
  <c r="AL438" i="1"/>
  <c r="AR438" i="1"/>
  <c r="AK471" i="1"/>
  <c r="AK522" i="1"/>
  <c r="AL522" i="1"/>
  <c r="AL560" i="1"/>
  <c r="AR560" i="1"/>
  <c r="AL569" i="1"/>
  <c r="AK569" i="1"/>
  <c r="AL600" i="1"/>
  <c r="AK600" i="1"/>
  <c r="AR614" i="1"/>
  <c r="AK614" i="1"/>
  <c r="AL614" i="1"/>
  <c r="AK773" i="1"/>
  <c r="AL773" i="1"/>
  <c r="AK651" i="1"/>
  <c r="AL651" i="1"/>
  <c r="AL468" i="1"/>
  <c r="AR468" i="1"/>
  <c r="AR500" i="1"/>
  <c r="AL500" i="1"/>
  <c r="AK500" i="1"/>
  <c r="AR506" i="1"/>
  <c r="AL506" i="1"/>
  <c r="AK560" i="1"/>
  <c r="AL568" i="1"/>
  <c r="AK568" i="1"/>
  <c r="AK83" i="1"/>
  <c r="AR124" i="1"/>
  <c r="AK140" i="1"/>
  <c r="AK141" i="1"/>
  <c r="AK190" i="1"/>
  <c r="AL284" i="1"/>
  <c r="AL285" i="1"/>
  <c r="AL288" i="1"/>
  <c r="AK402" i="1"/>
  <c r="AR432" i="1"/>
  <c r="AK462" i="1"/>
  <c r="AK468" i="1"/>
  <c r="AR470" i="1"/>
  <c r="AR499" i="1"/>
  <c r="AL521" i="1"/>
  <c r="AK521" i="1"/>
  <c r="AR522" i="1"/>
  <c r="AR529" i="1"/>
  <c r="AL529" i="1"/>
  <c r="AK529" i="1"/>
  <c r="AR569" i="1"/>
  <c r="AR573" i="1"/>
  <c r="AL573" i="1"/>
  <c r="AR600" i="1"/>
  <c r="AR601" i="1"/>
  <c r="AL612" i="1"/>
  <c r="AK612" i="1"/>
  <c r="AL617" i="1"/>
  <c r="AK617" i="1"/>
  <c r="AR634" i="1"/>
  <c r="AL634" i="1"/>
  <c r="AL708" i="1"/>
  <c r="AR79" i="1"/>
  <c r="AR87" i="1"/>
  <c r="AR429" i="1"/>
  <c r="AL429" i="1"/>
  <c r="AK429" i="1"/>
  <c r="AR456" i="1"/>
  <c r="AL462" i="1"/>
  <c r="AK463" i="1"/>
  <c r="AK492" i="1"/>
  <c r="AL492" i="1"/>
  <c r="AL511" i="1"/>
  <c r="AR511" i="1"/>
  <c r="AR568" i="1"/>
  <c r="AL572" i="1"/>
  <c r="AR572" i="1"/>
  <c r="AK573" i="1"/>
  <c r="AR598" i="1"/>
  <c r="AK598" i="1"/>
  <c r="AL598" i="1"/>
  <c r="AK690" i="1"/>
  <c r="AR690" i="1"/>
  <c r="AL690" i="1"/>
  <c r="AK707" i="1"/>
  <c r="AR707" i="1"/>
  <c r="AL707" i="1"/>
  <c r="AR495" i="1"/>
  <c r="AL495" i="1"/>
  <c r="AK495" i="1"/>
  <c r="AL507" i="1"/>
  <c r="AK507" i="1"/>
  <c r="AK437" i="1"/>
  <c r="AR437" i="1"/>
  <c r="AK438" i="1"/>
  <c r="AK93" i="1"/>
  <c r="AR95" i="1"/>
  <c r="AR111" i="1"/>
  <c r="AK142" i="1"/>
  <c r="AR143" i="1"/>
  <c r="AL613" i="1"/>
  <c r="AK613" i="1"/>
  <c r="AR140" i="1"/>
  <c r="AK396" i="1"/>
  <c r="AL396" i="1"/>
  <c r="AR402" i="1"/>
  <c r="AK418" i="1"/>
  <c r="AK419" i="1"/>
  <c r="AR435" i="1"/>
  <c r="AL435" i="1"/>
  <c r="AK435" i="1"/>
  <c r="AK442" i="1"/>
  <c r="AR442" i="1"/>
  <c r="AK443" i="1"/>
  <c r="AR461" i="1"/>
  <c r="AL481" i="1"/>
  <c r="AR481" i="1"/>
  <c r="AK482" i="1"/>
  <c r="AR482" i="1"/>
  <c r="AR484" i="1"/>
  <c r="AL484" i="1"/>
  <c r="AK484" i="1"/>
  <c r="AK489" i="1"/>
  <c r="AL489" i="1"/>
  <c r="AK497" i="1"/>
  <c r="AR504" i="1"/>
  <c r="AL504" i="1"/>
  <c r="AK504" i="1"/>
  <c r="AK511" i="1"/>
  <c r="AR558" i="1"/>
  <c r="AL558" i="1"/>
  <c r="AL597" i="1"/>
  <c r="AK597" i="1"/>
  <c r="AR612" i="1"/>
  <c r="AL616" i="1"/>
  <c r="AR616" i="1"/>
  <c r="AK616" i="1"/>
  <c r="AR617" i="1"/>
  <c r="AK632" i="1"/>
  <c r="AR632" i="1"/>
  <c r="AL632" i="1"/>
  <c r="AL561" i="1"/>
  <c r="AR561" i="1"/>
  <c r="AL404" i="1"/>
  <c r="AL47" i="1"/>
  <c r="AR78" i="1"/>
  <c r="BO78" i="1" s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K51" i="1"/>
  <c r="AR75" i="1"/>
  <c r="AR83" i="1"/>
  <c r="AL275" i="1"/>
  <c r="AL418" i="1"/>
  <c r="AR423" i="1"/>
  <c r="AR426" i="1"/>
  <c r="AL441" i="1"/>
  <c r="AR441" i="1"/>
  <c r="AL442" i="1"/>
  <c r="AK450" i="1"/>
  <c r="AL450" i="1"/>
  <c r="AL479" i="1"/>
  <c r="AR479" i="1"/>
  <c r="AL482" i="1"/>
  <c r="AL576" i="1"/>
  <c r="AK576" i="1"/>
  <c r="AL596" i="1"/>
  <c r="AK596" i="1"/>
  <c r="AR184" i="1"/>
  <c r="AK191" i="1"/>
  <c r="AR467" i="1"/>
  <c r="AL471" i="1"/>
  <c r="AR50" i="1"/>
  <c r="AL268" i="1"/>
  <c r="AK280" i="1"/>
  <c r="AL280" i="1"/>
  <c r="AL292" i="1"/>
  <c r="AK440" i="1"/>
  <c r="AK441" i="1"/>
  <c r="AR443" i="1"/>
  <c r="AK481" i="1"/>
  <c r="AR497" i="1"/>
  <c r="AR502" i="1"/>
  <c r="AL502" i="1"/>
  <c r="AK502" i="1"/>
  <c r="AR518" i="1"/>
  <c r="AL518" i="1"/>
  <c r="AK518" i="1"/>
  <c r="AR565" i="1"/>
  <c r="AL625" i="1"/>
  <c r="AR625" i="1"/>
  <c r="AL1196" i="1"/>
  <c r="AK1196" i="1"/>
  <c r="AL608" i="1"/>
  <c r="AK608" i="1"/>
  <c r="AL823" i="1"/>
  <c r="AR823" i="1"/>
  <c r="AK823" i="1"/>
  <c r="AR851" i="1"/>
  <c r="AK851" i="1"/>
  <c r="AL901" i="1"/>
  <c r="AR901" i="1"/>
  <c r="AK901" i="1"/>
  <c r="AK650" i="1"/>
  <c r="AR650" i="1"/>
  <c r="AL650" i="1"/>
  <c r="AK674" i="1"/>
  <c r="AR674" i="1"/>
  <c r="AK679" i="1"/>
  <c r="AR679" i="1"/>
  <c r="AK684" i="1"/>
  <c r="AL684" i="1"/>
  <c r="AK729" i="1"/>
  <c r="AR729" i="1"/>
  <c r="AR608" i="1"/>
  <c r="AK673" i="1"/>
  <c r="AR673" i="1"/>
  <c r="AL674" i="1"/>
  <c r="AK683" i="1"/>
  <c r="AL683" i="1"/>
  <c r="AL899" i="1"/>
  <c r="AR899" i="1"/>
  <c r="AL526" i="1"/>
  <c r="AK541" i="1"/>
  <c r="AK549" i="1"/>
  <c r="AL580" i="1"/>
  <c r="AR580" i="1"/>
  <c r="AR582" i="1"/>
  <c r="AL582" i="1"/>
  <c r="AL592" i="1"/>
  <c r="AR592" i="1"/>
  <c r="AL604" i="1"/>
  <c r="AR604" i="1"/>
  <c r="AL627" i="1"/>
  <c r="AK627" i="1"/>
  <c r="AR643" i="1"/>
  <c r="AL692" i="1"/>
  <c r="AK748" i="1"/>
  <c r="AL748" i="1"/>
  <c r="AL820" i="1"/>
  <c r="AR820" i="1"/>
  <c r="AK820" i="1"/>
  <c r="AK691" i="1"/>
  <c r="AL691" i="1"/>
  <c r="AK721" i="1"/>
  <c r="AR721" i="1"/>
  <c r="AK747" i="1"/>
  <c r="AR747" i="1"/>
  <c r="AR1135" i="1"/>
  <c r="AL1135" i="1"/>
  <c r="AK1135" i="1"/>
  <c r="AL451" i="1"/>
  <c r="AR541" i="1"/>
  <c r="AL543" i="1"/>
  <c r="AR549" i="1"/>
  <c r="AL564" i="1"/>
  <c r="AR564" i="1"/>
  <c r="AR566" i="1"/>
  <c r="AL566" i="1"/>
  <c r="AR584" i="1"/>
  <c r="AR585" i="1"/>
  <c r="AR627" i="1"/>
  <c r="AK667" i="1"/>
  <c r="AL667" i="1"/>
  <c r="AK1063" i="1"/>
  <c r="AL1063" i="1"/>
  <c r="AK857" i="1"/>
  <c r="AK920" i="1"/>
  <c r="AL928" i="1"/>
  <c r="AK1121" i="1"/>
  <c r="AK1126" i="1"/>
  <c r="AL1137" i="1"/>
  <c r="AK1147" i="1"/>
  <c r="AK1163" i="1"/>
  <c r="AK1167" i="1"/>
  <c r="AR798" i="1"/>
  <c r="AR814" i="1"/>
  <c r="AR1137" i="1"/>
  <c r="AH785" i="1"/>
  <c r="AI785" i="1" s="1"/>
  <c r="AH854" i="1"/>
  <c r="AI854" i="1" s="1"/>
  <c r="AK880" i="1"/>
  <c r="AK889" i="1"/>
  <c r="AK923" i="1"/>
  <c r="AK1002" i="1"/>
  <c r="AK1010" i="1"/>
  <c r="AK1134" i="1"/>
  <c r="AL1142" i="1"/>
  <c r="AK1198" i="1"/>
  <c r="AR1134" i="1"/>
  <c r="AR1131" i="1"/>
  <c r="AR665" i="1"/>
  <c r="AR682" i="1"/>
  <c r="AL757" i="1"/>
  <c r="AL764" i="1"/>
  <c r="AR793" i="1"/>
  <c r="AR805" i="1"/>
  <c r="AR807" i="1"/>
  <c r="AR885" i="1"/>
  <c r="AR897" i="1"/>
  <c r="AL970" i="1"/>
  <c r="AL1127" i="1"/>
  <c r="AK1130" i="1"/>
  <c r="AK1148" i="1"/>
  <c r="AK1159" i="1"/>
  <c r="AK1171" i="1"/>
  <c r="AR889" i="1"/>
  <c r="AL196" i="1"/>
  <c r="AK196" i="1"/>
  <c r="AK273" i="1"/>
  <c r="AL273" i="1"/>
  <c r="AL272" i="1"/>
  <c r="AK272" i="1"/>
  <c r="AL118" i="1"/>
  <c r="AK118" i="1"/>
  <c r="AL23" i="1"/>
  <c r="AL24" i="1"/>
  <c r="AL25" i="1"/>
  <c r="AL26" i="1"/>
  <c r="AL27" i="1"/>
  <c r="AL28" i="1"/>
  <c r="AL29" i="1"/>
  <c r="AL139" i="1"/>
  <c r="AR139" i="1"/>
  <c r="AK139" i="1"/>
  <c r="AK277" i="1"/>
  <c r="AL277" i="1"/>
  <c r="AK64" i="1"/>
  <c r="AL64" i="1"/>
  <c r="AL76" i="1"/>
  <c r="AR76" i="1"/>
  <c r="AK76" i="1"/>
  <c r="AL84" i="1"/>
  <c r="AR84" i="1"/>
  <c r="AK84" i="1"/>
  <c r="AL197" i="1"/>
  <c r="AK197" i="1"/>
  <c r="AR52" i="1"/>
  <c r="AL52" i="1"/>
  <c r="AK52" i="1"/>
  <c r="AL48" i="1"/>
  <c r="AL127" i="1"/>
  <c r="AR127" i="1"/>
  <c r="AL186" i="1"/>
  <c r="AR186" i="1"/>
  <c r="AK186" i="1"/>
  <c r="AL276" i="1"/>
  <c r="AK276" i="1"/>
  <c r="AL66" i="1"/>
  <c r="AR66" i="1"/>
  <c r="AK66" i="1"/>
  <c r="AL92" i="1"/>
  <c r="AR92" i="1"/>
  <c r="AK92" i="1"/>
  <c r="AL109" i="1"/>
  <c r="AK109" i="1"/>
  <c r="AL458" i="1"/>
  <c r="AR458" i="1"/>
  <c r="AK458" i="1"/>
  <c r="AL485" i="1"/>
  <c r="AR485" i="1"/>
  <c r="AK485" i="1"/>
  <c r="AR575" i="1"/>
  <c r="AL575" i="1"/>
  <c r="AK575" i="1"/>
  <c r="AR578" i="1"/>
  <c r="AL578" i="1"/>
  <c r="AK755" i="1"/>
  <c r="AR755" i="1"/>
  <c r="AL755" i="1"/>
  <c r="AR837" i="1"/>
  <c r="AK837" i="1"/>
  <c r="AL399" i="1"/>
  <c r="AR457" i="1"/>
  <c r="AL457" i="1"/>
  <c r="AR496" i="1"/>
  <c r="AK496" i="1"/>
  <c r="AR498" i="1"/>
  <c r="AK498" i="1"/>
  <c r="AL498" i="1"/>
  <c r="AR514" i="1"/>
  <c r="AK514" i="1"/>
  <c r="AL514" i="1"/>
  <c r="AK530" i="1"/>
  <c r="AL530" i="1"/>
  <c r="AR533" i="1"/>
  <c r="AL533" i="1"/>
  <c r="AK533" i="1"/>
  <c r="AK578" i="1"/>
  <c r="AR586" i="1"/>
  <c r="AK586" i="1"/>
  <c r="AL586" i="1"/>
  <c r="AR611" i="1"/>
  <c r="AL611" i="1"/>
  <c r="AK611" i="1"/>
  <c r="AR618" i="1"/>
  <c r="AL618" i="1"/>
  <c r="AK618" i="1"/>
  <c r="AR47" i="1"/>
  <c r="AR60" i="1"/>
  <c r="AR91" i="1"/>
  <c r="AR108" i="1"/>
  <c r="AR135" i="1"/>
  <c r="AL269" i="1"/>
  <c r="AR431" i="1"/>
  <c r="AR445" i="1"/>
  <c r="AK457" i="1"/>
  <c r="AL496" i="1"/>
  <c r="AR510" i="1"/>
  <c r="AK510" i="1"/>
  <c r="AL510" i="1"/>
  <c r="AR571" i="1"/>
  <c r="AL571" i="1"/>
  <c r="AK571" i="1"/>
  <c r="AR574" i="1"/>
  <c r="AK574" i="1"/>
  <c r="AL574" i="1"/>
  <c r="AK267" i="1"/>
  <c r="AL267" i="1"/>
  <c r="AR399" i="1"/>
  <c r="AR436" i="1"/>
  <c r="AK436" i="1"/>
  <c r="AR444" i="1"/>
  <c r="AK444" i="1"/>
  <c r="AL513" i="1"/>
  <c r="AR513" i="1"/>
  <c r="AK513" i="1"/>
  <c r="AR530" i="1"/>
  <c r="AK536" i="1"/>
  <c r="AL536" i="1"/>
  <c r="AR559" i="1"/>
  <c r="AL559" i="1"/>
  <c r="AK559" i="1"/>
  <c r="AR562" i="1"/>
  <c r="AL562" i="1"/>
  <c r="AR1145" i="1"/>
  <c r="AL1145" i="1"/>
  <c r="AK1145" i="1"/>
  <c r="AK85" i="1"/>
  <c r="AK94" i="1"/>
  <c r="AR119" i="1"/>
  <c r="AK188" i="1"/>
  <c r="AK189" i="1"/>
  <c r="AK287" i="1"/>
  <c r="AL287" i="1"/>
  <c r="AR410" i="1"/>
  <c r="AK410" i="1"/>
  <c r="AL436" i="1"/>
  <c r="AL444" i="1"/>
  <c r="AR473" i="1"/>
  <c r="AL509" i="1"/>
  <c r="AR509" i="1"/>
  <c r="AK509" i="1"/>
  <c r="AR547" i="1"/>
  <c r="AR551" i="1"/>
  <c r="AK551" i="1"/>
  <c r="AK562" i="1"/>
  <c r="AR570" i="1"/>
  <c r="AK570" i="1"/>
  <c r="AL570" i="1"/>
  <c r="AR603" i="1"/>
  <c r="AL603" i="1"/>
  <c r="AK603" i="1"/>
  <c r="AR606" i="1"/>
  <c r="AK606" i="1"/>
  <c r="AR131" i="1"/>
  <c r="AL192" i="1"/>
  <c r="AK192" i="1"/>
  <c r="AK281" i="1"/>
  <c r="AL281" i="1"/>
  <c r="AR422" i="1"/>
  <c r="AK422" i="1"/>
  <c r="AK424" i="1"/>
  <c r="AR424" i="1"/>
  <c r="AR472" i="1"/>
  <c r="AR480" i="1"/>
  <c r="AR520" i="1"/>
  <c r="AK523" i="1"/>
  <c r="AR523" i="1"/>
  <c r="AL523" i="1"/>
  <c r="AR536" i="1"/>
  <c r="AK557" i="1"/>
  <c r="AR557" i="1"/>
  <c r="AL557" i="1"/>
  <c r="AR591" i="1"/>
  <c r="AL591" i="1"/>
  <c r="AK591" i="1"/>
  <c r="AR594" i="1"/>
  <c r="AL594" i="1"/>
  <c r="AK640" i="1"/>
  <c r="AR640" i="1"/>
  <c r="AL640" i="1"/>
  <c r="AK676" i="1"/>
  <c r="AL676" i="1"/>
  <c r="AR845" i="1"/>
  <c r="AK845" i="1"/>
  <c r="AK930" i="1"/>
  <c r="AL930" i="1"/>
  <c r="AL185" i="1"/>
  <c r="AK185" i="1"/>
  <c r="AR58" i="1"/>
  <c r="AR103" i="1"/>
  <c r="AR403" i="1"/>
  <c r="AL403" i="1"/>
  <c r="AR459" i="1"/>
  <c r="AK459" i="1"/>
  <c r="AR486" i="1"/>
  <c r="AK486" i="1"/>
  <c r="AK527" i="1"/>
  <c r="AL527" i="1"/>
  <c r="AR527" i="1"/>
  <c r="AR602" i="1"/>
  <c r="AK602" i="1"/>
  <c r="AL602" i="1"/>
  <c r="AR630" i="1"/>
  <c r="AL630" i="1"/>
  <c r="AK630" i="1"/>
  <c r="AK91" i="1"/>
  <c r="AR115" i="1"/>
  <c r="AR132" i="1"/>
  <c r="AK194" i="1"/>
  <c r="AK403" i="1"/>
  <c r="AR415" i="1"/>
  <c r="AK415" i="1"/>
  <c r="AL427" i="1"/>
  <c r="AR427" i="1"/>
  <c r="AL452" i="1"/>
  <c r="AL459" i="1"/>
  <c r="AL486" i="1"/>
  <c r="AR521" i="1"/>
  <c r="AR556" i="1"/>
  <c r="AR587" i="1"/>
  <c r="AL587" i="1"/>
  <c r="AK587" i="1"/>
  <c r="AR590" i="1"/>
  <c r="AK590" i="1"/>
  <c r="AL590" i="1"/>
  <c r="AR430" i="1"/>
  <c r="AK430" i="1"/>
  <c r="AR439" i="1"/>
  <c r="AR463" i="1"/>
  <c r="AR469" i="1"/>
  <c r="AK469" i="1"/>
  <c r="AR477" i="1"/>
  <c r="AR492" i="1"/>
  <c r="AR493" i="1"/>
  <c r="AR494" i="1"/>
  <c r="AR507" i="1"/>
  <c r="AR532" i="1"/>
  <c r="AK658" i="1"/>
  <c r="AL658" i="1"/>
  <c r="AR658" i="1"/>
  <c r="AK666" i="1"/>
  <c r="AR666" i="1"/>
  <c r="AL666" i="1"/>
  <c r="AK671" i="1"/>
  <c r="AL671" i="1"/>
  <c r="AR671" i="1"/>
  <c r="AR447" i="1"/>
  <c r="AR501" i="1"/>
  <c r="AR525" i="1"/>
  <c r="AR619" i="1"/>
  <c r="AL619" i="1"/>
  <c r="AK619" i="1"/>
  <c r="AR622" i="1"/>
  <c r="AK622" i="1"/>
  <c r="AR626" i="1"/>
  <c r="AK626" i="1"/>
  <c r="AL626" i="1"/>
  <c r="AL629" i="1"/>
  <c r="AK629" i="1"/>
  <c r="AK700" i="1"/>
  <c r="AL700" i="1"/>
  <c r="AL994" i="1"/>
  <c r="AK994" i="1"/>
  <c r="AR395" i="1"/>
  <c r="AK395" i="1"/>
  <c r="AL423" i="1"/>
  <c r="AR453" i="1"/>
  <c r="AK453" i="1"/>
  <c r="AR540" i="1"/>
  <c r="AL540" i="1"/>
  <c r="AK699" i="1"/>
  <c r="AR699" i="1"/>
  <c r="AL699" i="1"/>
  <c r="AK915" i="1"/>
  <c r="AL915" i="1"/>
  <c r="AK291" i="1"/>
  <c r="AL291" i="1"/>
  <c r="AR407" i="1"/>
  <c r="AR446" i="1"/>
  <c r="AR449" i="1"/>
  <c r="AR450" i="1"/>
  <c r="AR460" i="1"/>
  <c r="AR464" i="1"/>
  <c r="AK464" i="1"/>
  <c r="AR487" i="1"/>
  <c r="AR488" i="1"/>
  <c r="AR489" i="1"/>
  <c r="AR503" i="1"/>
  <c r="AK506" i="1"/>
  <c r="AR526" i="1"/>
  <c r="AR539" i="1"/>
  <c r="AL539" i="1"/>
  <c r="AR548" i="1"/>
  <c r="AL548" i="1"/>
  <c r="AK548" i="1"/>
  <c r="AR552" i="1"/>
  <c r="AL552" i="1"/>
  <c r="AK552" i="1"/>
  <c r="AK555" i="1"/>
  <c r="AR555" i="1"/>
  <c r="AR563" i="1"/>
  <c r="AL563" i="1"/>
  <c r="AR579" i="1"/>
  <c r="AL579" i="1"/>
  <c r="AR595" i="1"/>
  <c r="AR607" i="1"/>
  <c r="AL607" i="1"/>
  <c r="AK607" i="1"/>
  <c r="AR610" i="1"/>
  <c r="AL610" i="1"/>
  <c r="AK610" i="1"/>
  <c r="AL914" i="1"/>
  <c r="AK914" i="1"/>
  <c r="AR623" i="1"/>
  <c r="AK639" i="1"/>
  <c r="AL639" i="1"/>
  <c r="AK558" i="1"/>
  <c r="AK637" i="1"/>
  <c r="AR637" i="1"/>
  <c r="AK638" i="1"/>
  <c r="AR638" i="1"/>
  <c r="AK771" i="1"/>
  <c r="AR771" i="1"/>
  <c r="AL808" i="1"/>
  <c r="AR808" i="1"/>
  <c r="AL804" i="1"/>
  <c r="AR804" i="1"/>
  <c r="AL810" i="1"/>
  <c r="AR810" i="1"/>
  <c r="AK939" i="1"/>
  <c r="AL939" i="1"/>
  <c r="AK635" i="1"/>
  <c r="AR635" i="1"/>
  <c r="AK663" i="1"/>
  <c r="AL663" i="1"/>
  <c r="AK756" i="1"/>
  <c r="AL756" i="1"/>
  <c r="AL802" i="1"/>
  <c r="AR802" i="1"/>
  <c r="AL861" i="1"/>
  <c r="AK861" i="1"/>
  <c r="AR861" i="1"/>
  <c r="AR515" i="1"/>
  <c r="AR544" i="1"/>
  <c r="AR567" i="1"/>
  <c r="AR583" i="1"/>
  <c r="AL583" i="1"/>
  <c r="AR599" i="1"/>
  <c r="AL599" i="1"/>
  <c r="AR615" i="1"/>
  <c r="AL615" i="1"/>
  <c r="AK615" i="1"/>
  <c r="AK634" i="1"/>
  <c r="AL635" i="1"/>
  <c r="AR642" i="1"/>
  <c r="AL801" i="1"/>
  <c r="AR801" i="1"/>
  <c r="AR1143" i="1"/>
  <c r="AL1143" i="1"/>
  <c r="AK1143" i="1"/>
  <c r="AR1120" i="1"/>
  <c r="AL1120" i="1"/>
  <c r="AK1120" i="1"/>
  <c r="AH781" i="1"/>
  <c r="AI781" i="1" s="1"/>
  <c r="AL796" i="1"/>
  <c r="AR796" i="1"/>
  <c r="AL1139" i="1"/>
  <c r="AK1139" i="1"/>
  <c r="AL655" i="1"/>
  <c r="AK668" i="1"/>
  <c r="AL668" i="1"/>
  <c r="AK725" i="1"/>
  <c r="AL725" i="1"/>
  <c r="AK774" i="1"/>
  <c r="AR774" i="1"/>
  <c r="AL774" i="1"/>
  <c r="AL794" i="1"/>
  <c r="AR794" i="1"/>
  <c r="AL869" i="1"/>
  <c r="AR869" i="1"/>
  <c r="AK869" i="1"/>
  <c r="AL893" i="1"/>
  <c r="AR893" i="1"/>
  <c r="AR1119" i="1"/>
  <c r="AL1119" i="1"/>
  <c r="AK1119" i="1"/>
  <c r="AK689" i="1"/>
  <c r="AR689" i="1"/>
  <c r="AR702" i="1"/>
  <c r="AL702" i="1"/>
  <c r="AL817" i="1"/>
  <c r="AR817" i="1"/>
  <c r="AR835" i="1"/>
  <c r="AK835" i="1"/>
  <c r="AL856" i="1"/>
  <c r="AR856" i="1"/>
  <c r="AK856" i="1"/>
  <c r="AL891" i="1"/>
  <c r="AR891" i="1"/>
  <c r="AK893" i="1"/>
  <c r="AL905" i="1"/>
  <c r="AR905" i="1"/>
  <c r="AK905" i="1"/>
  <c r="AR907" i="1"/>
  <c r="AL974" i="1"/>
  <c r="AK974" i="1"/>
  <c r="AL1059" i="1"/>
  <c r="AK1059" i="1"/>
  <c r="AL1115" i="1"/>
  <c r="AK1115" i="1"/>
  <c r="AL1192" i="1"/>
  <c r="AK1192" i="1"/>
  <c r="AR631" i="1"/>
  <c r="AK675" i="1"/>
  <c r="AL675" i="1"/>
  <c r="AK731" i="1"/>
  <c r="AR731" i="1"/>
  <c r="AL731" i="1"/>
  <c r="AL733" i="1"/>
  <c r="AK753" i="1"/>
  <c r="AR753" i="1"/>
  <c r="AK772" i="1"/>
  <c r="AL772" i="1"/>
  <c r="AL815" i="1"/>
  <c r="AR815" i="1"/>
  <c r="AL840" i="1"/>
  <c r="AR840" i="1"/>
  <c r="AK840" i="1"/>
  <c r="AR877" i="1"/>
  <c r="AL942" i="1"/>
  <c r="AL1151" i="1"/>
  <c r="AK1151" i="1"/>
  <c r="AR1113" i="1"/>
  <c r="AL1113" i="1"/>
  <c r="AK1113" i="1"/>
  <c r="AR1116" i="1"/>
  <c r="AL1116" i="1"/>
  <c r="AR800" i="1"/>
  <c r="AR813" i="1"/>
  <c r="AR832" i="1"/>
  <c r="AL1018" i="1"/>
  <c r="AK1018" i="1"/>
  <c r="AK1116" i="1"/>
  <c r="AH1124" i="1"/>
  <c r="AI1124" i="1" s="1"/>
  <c r="AR1141" i="1"/>
  <c r="AL1141" i="1"/>
  <c r="AK1141" i="1"/>
  <c r="AL712" i="1"/>
  <c r="AL724" i="1"/>
  <c r="AH795" i="1"/>
  <c r="AI795" i="1" s="1"/>
  <c r="AK827" i="1"/>
  <c r="AK828" i="1"/>
  <c r="AR1144" i="1"/>
  <c r="AL1144" i="1"/>
  <c r="AL715" i="1"/>
  <c r="AR881" i="1"/>
  <c r="AL975" i="1"/>
  <c r="AL1114" i="1"/>
  <c r="AK1114" i="1"/>
  <c r="AK1144" i="1"/>
  <c r="AH1148" i="1"/>
  <c r="AI1148" i="1" s="1"/>
  <c r="AH1176" i="1"/>
  <c r="AI1176" i="1" s="1"/>
  <c r="AR1158" i="1"/>
  <c r="AR1121" i="1"/>
  <c r="AL682" i="1"/>
  <c r="AR713" i="1"/>
  <c r="AL716" i="1"/>
  <c r="AL717" i="1"/>
  <c r="AR737" i="1"/>
  <c r="AL740" i="1"/>
  <c r="AL741" i="1"/>
  <c r="AR744" i="1"/>
  <c r="AR745" i="1"/>
  <c r="AL747" i="1"/>
  <c r="AL763" i="1"/>
  <c r="AR767" i="1"/>
  <c r="AR797" i="1"/>
  <c r="AR811" i="1"/>
  <c r="AR818" i="1"/>
  <c r="AR819" i="1"/>
  <c r="AK832" i="1"/>
  <c r="AK849" i="1"/>
  <c r="AK853" i="1"/>
  <c r="AL1014" i="1"/>
  <c r="AK1014" i="1"/>
  <c r="AL1055" i="1"/>
  <c r="AK1055" i="1"/>
  <c r="AR1117" i="1"/>
  <c r="AL1117" i="1"/>
  <c r="AK1117" i="1"/>
  <c r="AR1140" i="1"/>
  <c r="AL1140" i="1"/>
  <c r="AK1140" i="1"/>
  <c r="AH1188" i="1"/>
  <c r="AI1188" i="1" s="1"/>
  <c r="AR1125" i="1"/>
  <c r="AR1118" i="1"/>
  <c r="AK1022" i="1"/>
  <c r="AK1067" i="1"/>
  <c r="AK1118" i="1"/>
  <c r="AK1142" i="1"/>
  <c r="AK1060" i="1"/>
  <c r="AR1129" i="1"/>
  <c r="AK1124" i="1"/>
  <c r="AK1128" i="1"/>
  <c r="AK1129" i="1"/>
  <c r="AH1136" i="1"/>
  <c r="AI1136" i="1" s="1"/>
  <c r="AK1194" i="1"/>
  <c r="AH624" i="1"/>
  <c r="AI624" i="1" s="1"/>
  <c r="AH706" i="1"/>
  <c r="AI706" i="1" s="1"/>
  <c r="AH408" i="1"/>
  <c r="AI408" i="1" s="1"/>
  <c r="AH597" i="1"/>
  <c r="AI597" i="1" s="1"/>
  <c r="AH466" i="1"/>
  <c r="AI466" i="1" s="1"/>
  <c r="AH471" i="1"/>
  <c r="AI471" i="1" s="1"/>
  <c r="AH655" i="1"/>
  <c r="AI655" i="1" s="1"/>
  <c r="O1211" i="1"/>
  <c r="O1147" i="1"/>
  <c r="AH440" i="1"/>
  <c r="AI440" i="1" s="1"/>
  <c r="AH663" i="1"/>
  <c r="AI663" i="1" s="1"/>
  <c r="AH780" i="1"/>
  <c r="AI780" i="1" s="1"/>
  <c r="O1158" i="1"/>
  <c r="AR1161" i="1"/>
  <c r="AR1169" i="1"/>
  <c r="AQ1191" i="1"/>
  <c r="AP1207" i="1"/>
  <c r="O1219" i="1"/>
  <c r="AQ1175" i="1"/>
  <c r="AQ1163" i="1"/>
  <c r="AQ1151" i="1"/>
  <c r="AH462" i="1"/>
  <c r="AI462" i="1" s="1"/>
  <c r="AQ1078" i="1"/>
  <c r="AQ1083" i="1"/>
  <c r="AP1115" i="1"/>
  <c r="AP1120" i="1"/>
  <c r="AP1192" i="1"/>
  <c r="O1199" i="1"/>
  <c r="O1099" i="1"/>
  <c r="AQ1107" i="1"/>
  <c r="AP1139" i="1"/>
  <c r="O1183" i="1"/>
  <c r="O1171" i="1"/>
  <c r="O1203" i="1"/>
  <c r="AP1195" i="1"/>
  <c r="O1115" i="1"/>
  <c r="O1091" i="1"/>
  <c r="AP1214" i="1"/>
  <c r="AH609" i="1"/>
  <c r="AI609" i="1" s="1"/>
  <c r="AH613" i="1"/>
  <c r="AI613" i="1" s="1"/>
  <c r="AH648" i="1"/>
  <c r="AI648" i="1" s="1"/>
  <c r="AH657" i="1"/>
  <c r="AI657" i="1" s="1"/>
  <c r="AH697" i="1"/>
  <c r="AI697" i="1" s="1"/>
  <c r="AH174" i="1"/>
  <c r="AI174" i="1" s="1"/>
  <c r="AH198" i="1"/>
  <c r="AI198" i="1" s="1"/>
  <c r="AH661" i="1"/>
  <c r="AI661" i="1" s="1"/>
  <c r="AD1124" i="1"/>
  <c r="AE1124" i="1" s="1"/>
  <c r="AH1132" i="1"/>
  <c r="AI1132" i="1" s="1"/>
  <c r="AH166" i="1"/>
  <c r="AI166" i="1" s="1"/>
  <c r="AH830" i="1"/>
  <c r="AI830" i="1" s="1"/>
  <c r="AH172" i="1"/>
  <c r="AI172" i="1" s="1"/>
  <c r="O1160" i="1"/>
  <c r="O1144" i="1"/>
  <c r="O1128" i="1"/>
  <c r="O1112" i="1"/>
  <c r="AQ1112" i="1"/>
  <c r="AQ1139" i="1"/>
  <c r="AR1115" i="1"/>
  <c r="AR1127" i="1"/>
  <c r="AQ1128" i="1"/>
  <c r="O1136" i="1"/>
  <c r="O1166" i="1"/>
  <c r="AR1174" i="1"/>
  <c r="O1180" i="1"/>
  <c r="O1188" i="1"/>
  <c r="AQ1196" i="1"/>
  <c r="AQ1092" i="1"/>
  <c r="O1092" i="1"/>
  <c r="O1087" i="1"/>
  <c r="O1192" i="1"/>
  <c r="O1164" i="1"/>
  <c r="AQ1164" i="1"/>
  <c r="AQ1116" i="1"/>
  <c r="AQ1100" i="1"/>
  <c r="O1100" i="1"/>
  <c r="O1119" i="1"/>
  <c r="AQ1144" i="1"/>
  <c r="AQ1168" i="1"/>
  <c r="AP1193" i="1"/>
  <c r="AR1146" i="1"/>
  <c r="O1146" i="1"/>
  <c r="AQ1143" i="1"/>
  <c r="O1122" i="1"/>
  <c r="AR1122" i="1"/>
  <c r="AQ1119" i="1"/>
  <c r="AH704" i="1"/>
  <c r="AI704" i="1" s="1"/>
  <c r="AQ1088" i="1"/>
  <c r="AQ1135" i="1"/>
  <c r="AD1136" i="1"/>
  <c r="AE1136" i="1" s="1"/>
  <c r="AR1138" i="1"/>
  <c r="O1142" i="1"/>
  <c r="AQ1148" i="1"/>
  <c r="AD1190" i="1"/>
  <c r="AE1190" i="1" s="1"/>
  <c r="AQ1212" i="1"/>
  <c r="AH791" i="1"/>
  <c r="AI791" i="1" s="1"/>
  <c r="O1204" i="1"/>
  <c r="O1172" i="1"/>
  <c r="AQ1172" i="1"/>
  <c r="O1156" i="1"/>
  <c r="AQ1156" i="1"/>
  <c r="AQ1140" i="1"/>
  <c r="AQ1124" i="1"/>
  <c r="O1124" i="1"/>
  <c r="AQ1132" i="1"/>
  <c r="O1220" i="1"/>
  <c r="AR1130" i="1"/>
  <c r="O1130" i="1"/>
  <c r="AQ1127" i="1"/>
  <c r="AR1114" i="1"/>
  <c r="O1114" i="1"/>
  <c r="O1096" i="1"/>
  <c r="O1116" i="1"/>
  <c r="AP1128" i="1"/>
  <c r="O1135" i="1"/>
  <c r="AP1137" i="1"/>
  <c r="AR1139" i="1"/>
  <c r="AD1148" i="1"/>
  <c r="AE1148" i="1" s="1"/>
  <c r="O1176" i="1"/>
  <c r="AR1178" i="1"/>
  <c r="AD1180" i="1"/>
  <c r="AE1180" i="1" s="1"/>
  <c r="AH1180" i="1"/>
  <c r="AI1180" i="1" s="1"/>
  <c r="AR1186" i="1"/>
  <c r="AP1196" i="1"/>
  <c r="AP1205" i="1"/>
  <c r="AD792" i="1"/>
  <c r="AE792" i="1" s="1"/>
  <c r="AH792" i="1"/>
  <c r="AI792" i="1" s="1"/>
  <c r="O1184" i="1"/>
  <c r="AQ1184" i="1"/>
  <c r="AD1184" i="1"/>
  <c r="AE1184" i="1" s="1"/>
  <c r="O1152" i="1"/>
  <c r="O1123" i="1"/>
  <c r="AR1123" i="1"/>
  <c r="O1120" i="1"/>
  <c r="AQ1104" i="1"/>
  <c r="O1104" i="1"/>
  <c r="O1080" i="1"/>
  <c r="AQ1080" i="1"/>
  <c r="AQ1120" i="1"/>
  <c r="O1143" i="1"/>
  <c r="AD1182" i="1"/>
  <c r="AE1182" i="1" s="1"/>
  <c r="AH1182" i="1"/>
  <c r="AI1182" i="1" s="1"/>
  <c r="AH167" i="1"/>
  <c r="AI167" i="1" s="1"/>
  <c r="AH175" i="1"/>
  <c r="AI175" i="1" s="1"/>
  <c r="AH393" i="1"/>
  <c r="AI393" i="1" s="1"/>
  <c r="O1118" i="1"/>
  <c r="O1126" i="1"/>
  <c r="AD1132" i="1"/>
  <c r="AE1132" i="1" s="1"/>
  <c r="AD1176" i="1"/>
  <c r="AE1176" i="1" s="1"/>
  <c r="O1182" i="1"/>
  <c r="AH391" i="1"/>
  <c r="AI391" i="1" s="1"/>
  <c r="AH576" i="1"/>
  <c r="AI576" i="1" s="1"/>
  <c r="AE779" i="1"/>
  <c r="O1072" i="1"/>
  <c r="AP1112" i="1"/>
  <c r="AP1117" i="1"/>
  <c r="AP1124" i="1"/>
  <c r="AH1177" i="1"/>
  <c r="AI1177" i="1" s="1"/>
  <c r="AH1185" i="1"/>
  <c r="AI1185" i="1" s="1"/>
  <c r="AH543" i="1"/>
  <c r="AI543" i="1" s="1"/>
  <c r="AH868" i="1"/>
  <c r="AI868" i="1" s="1"/>
  <c r="AP1121" i="1"/>
  <c r="AH1142" i="1"/>
  <c r="AI1142" i="1" s="1"/>
  <c r="AP1145" i="1"/>
  <c r="AH418" i="1"/>
  <c r="AI418" i="1" s="1"/>
  <c r="AH596" i="1"/>
  <c r="AI596" i="1" s="1"/>
  <c r="AD656" i="1"/>
  <c r="AE656" i="1" s="1"/>
  <c r="AH656" i="1"/>
  <c r="AI656" i="1" s="1"/>
  <c r="AH860" i="1"/>
  <c r="AI860" i="1" s="1"/>
  <c r="AP1125" i="1"/>
  <c r="AP1132" i="1"/>
  <c r="AP1113" i="1"/>
  <c r="AH1126" i="1"/>
  <c r="AI1126" i="1" s="1"/>
  <c r="AP1129" i="1"/>
  <c r="AP1133" i="1"/>
  <c r="AH1133" i="1"/>
  <c r="AI1133" i="1" s="1"/>
  <c r="AD1188" i="1"/>
  <c r="AE1188" i="1" s="1"/>
  <c r="AP1213" i="1"/>
  <c r="AH621" i="1"/>
  <c r="AI621" i="1" s="1"/>
  <c r="AH629" i="1"/>
  <c r="AI629" i="1" s="1"/>
  <c r="AH779" i="1"/>
  <c r="AI779" i="1" s="1"/>
  <c r="AH787" i="1"/>
  <c r="AI787" i="1" s="1"/>
  <c r="AH903" i="1"/>
  <c r="AI903" i="1" s="1"/>
  <c r="AP1136" i="1"/>
  <c r="AP1141" i="1"/>
  <c r="AP1144" i="1"/>
  <c r="AR1170" i="1"/>
  <c r="AP1220" i="1"/>
  <c r="AP1221" i="1"/>
  <c r="AP1222" i="1"/>
  <c r="AH23" i="1"/>
  <c r="AI23" i="1" s="1"/>
  <c r="AH26" i="1"/>
  <c r="AI26" i="1" s="1"/>
  <c r="AH29" i="1"/>
  <c r="AI29" i="1" s="1"/>
  <c r="AH32" i="1"/>
  <c r="AI32" i="1" s="1"/>
  <c r="AH37" i="1"/>
  <c r="AI37" i="1" s="1"/>
  <c r="AH42" i="1"/>
  <c r="AI42" i="1" s="1"/>
  <c r="AH25" i="1"/>
  <c r="AI25" i="1" s="1"/>
  <c r="AH28" i="1"/>
  <c r="AI28" i="1" s="1"/>
  <c r="AH31" i="1"/>
  <c r="AI31" i="1" s="1"/>
  <c r="AH34" i="1"/>
  <c r="AI34" i="1" s="1"/>
  <c r="AH36" i="1"/>
  <c r="AI36" i="1" s="1"/>
  <c r="AH39" i="1"/>
  <c r="AI39" i="1" s="1"/>
  <c r="AH40" i="1"/>
  <c r="AI40" i="1" s="1"/>
  <c r="AH43" i="1"/>
  <c r="AI43" i="1" s="1"/>
  <c r="AH24" i="1"/>
  <c r="AI24" i="1" s="1"/>
  <c r="AH27" i="1"/>
  <c r="AI27" i="1" s="1"/>
  <c r="AH30" i="1"/>
  <c r="AI30" i="1" s="1"/>
  <c r="AH33" i="1"/>
  <c r="AI33" i="1" s="1"/>
  <c r="AH35" i="1"/>
  <c r="AI35" i="1" s="1"/>
  <c r="AH38" i="1"/>
  <c r="AI38" i="1" s="1"/>
  <c r="AH41" i="1"/>
  <c r="AI41" i="1" s="1"/>
  <c r="AH44" i="1"/>
  <c r="AI44" i="1" s="1"/>
  <c r="AH146" i="1"/>
  <c r="AI146" i="1" s="1"/>
  <c r="AH148" i="1"/>
  <c r="AI148" i="1" s="1"/>
  <c r="AH150" i="1"/>
  <c r="AI150" i="1" s="1"/>
  <c r="AH152" i="1"/>
  <c r="AI152" i="1" s="1"/>
  <c r="AH153" i="1"/>
  <c r="AI153" i="1" s="1"/>
  <c r="AH155" i="1"/>
  <c r="AI155" i="1" s="1"/>
  <c r="AH156" i="1"/>
  <c r="AI156" i="1" s="1"/>
  <c r="AH157" i="1"/>
  <c r="AI157" i="1" s="1"/>
  <c r="AH159" i="1"/>
  <c r="AI159" i="1" s="1"/>
  <c r="AH160" i="1"/>
  <c r="AI160" i="1" s="1"/>
  <c r="AH169" i="1"/>
  <c r="AI169" i="1" s="1"/>
  <c r="AH170" i="1"/>
  <c r="AI170" i="1" s="1"/>
  <c r="AH177" i="1"/>
  <c r="AI177" i="1" s="1"/>
  <c r="AK45" i="1"/>
  <c r="AL46" i="1"/>
  <c r="AR49" i="1"/>
  <c r="AK53" i="1"/>
  <c r="AR57" i="1"/>
  <c r="AK61" i="1"/>
  <c r="AL62" i="1"/>
  <c r="AR65" i="1"/>
  <c r="AL168" i="1"/>
  <c r="AK168" i="1"/>
  <c r="AL176" i="1"/>
  <c r="AK176" i="1"/>
  <c r="AL183" i="1"/>
  <c r="AR183" i="1"/>
  <c r="AK183" i="1"/>
  <c r="AL173" i="1"/>
  <c r="AK173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L45" i="1"/>
  <c r="AR48" i="1"/>
  <c r="AL53" i="1"/>
  <c r="AR56" i="1"/>
  <c r="AL61" i="1"/>
  <c r="AR64" i="1"/>
  <c r="AR70" i="1"/>
  <c r="AK72" i="1"/>
  <c r="AR73" i="1"/>
  <c r="AR81" i="1"/>
  <c r="AK88" i="1"/>
  <c r="AR89" i="1"/>
  <c r="AK96" i="1"/>
  <c r="AR97" i="1"/>
  <c r="AR105" i="1"/>
  <c r="AR113" i="1"/>
  <c r="AK120" i="1"/>
  <c r="AR121" i="1"/>
  <c r="AR129" i="1"/>
  <c r="AK136" i="1"/>
  <c r="AR137" i="1"/>
  <c r="AK144" i="1"/>
  <c r="AL171" i="1"/>
  <c r="AK171" i="1"/>
  <c r="AK179" i="1"/>
  <c r="AL165" i="1"/>
  <c r="AK165" i="1"/>
  <c r="AR86" i="1"/>
  <c r="AR94" i="1"/>
  <c r="AR102" i="1"/>
  <c r="AR110" i="1"/>
  <c r="AR118" i="1"/>
  <c r="AR126" i="1"/>
  <c r="AR134" i="1"/>
  <c r="AR142" i="1"/>
  <c r="AK145" i="1"/>
  <c r="AL153" i="1"/>
  <c r="AK153" i="1"/>
  <c r="AL155" i="1"/>
  <c r="AK155" i="1"/>
  <c r="AL157" i="1"/>
  <c r="AK157" i="1"/>
  <c r="AL159" i="1"/>
  <c r="AK159" i="1"/>
  <c r="AL166" i="1"/>
  <c r="AK166" i="1"/>
  <c r="AL174" i="1"/>
  <c r="AK174" i="1"/>
  <c r="AR46" i="1"/>
  <c r="AR62" i="1"/>
  <c r="AR69" i="1"/>
  <c r="AK82" i="1"/>
  <c r="AK98" i="1"/>
  <c r="AK114" i="1"/>
  <c r="AK138" i="1"/>
  <c r="AE155" i="1"/>
  <c r="AE159" i="1"/>
  <c r="AE166" i="1"/>
  <c r="AL169" i="1"/>
  <c r="AK169" i="1"/>
  <c r="AH171" i="1"/>
  <c r="AI171" i="1" s="1"/>
  <c r="AL177" i="1"/>
  <c r="AK177" i="1"/>
  <c r="AK199" i="1"/>
  <c r="AL199" i="1"/>
  <c r="AR199" i="1"/>
  <c r="AK50" i="1"/>
  <c r="AR54" i="1"/>
  <c r="AR45" i="1"/>
  <c r="AR53" i="1"/>
  <c r="AK57" i="1"/>
  <c r="AR61" i="1"/>
  <c r="AK65" i="1"/>
  <c r="AK71" i="1"/>
  <c r="AR72" i="1"/>
  <c r="AR80" i="1"/>
  <c r="AR88" i="1"/>
  <c r="AK95" i="1"/>
  <c r="AR96" i="1"/>
  <c r="AR104" i="1"/>
  <c r="AR112" i="1"/>
  <c r="AK119" i="1"/>
  <c r="AR120" i="1"/>
  <c r="AK127" i="1"/>
  <c r="AR128" i="1"/>
  <c r="AR136" i="1"/>
  <c r="AK143" i="1"/>
  <c r="AR144" i="1"/>
  <c r="AR165" i="1"/>
  <c r="AL172" i="1"/>
  <c r="AK172" i="1"/>
  <c r="AR173" i="1"/>
  <c r="AE177" i="1"/>
  <c r="AR180" i="1"/>
  <c r="AL180" i="1"/>
  <c r="AK180" i="1"/>
  <c r="AR71" i="1"/>
  <c r="AE23" i="1"/>
  <c r="AE25" i="1"/>
  <c r="AE29" i="1"/>
  <c r="AE32" i="1"/>
  <c r="AE34" i="1"/>
  <c r="AE36" i="1"/>
  <c r="AE37" i="1"/>
  <c r="AE38" i="1"/>
  <c r="AE39" i="1"/>
  <c r="AE43" i="1"/>
  <c r="AR77" i="1"/>
  <c r="AR85" i="1"/>
  <c r="AR93" i="1"/>
  <c r="AR101" i="1"/>
  <c r="AR109" i="1"/>
  <c r="AR117" i="1"/>
  <c r="AR125" i="1"/>
  <c r="AR133" i="1"/>
  <c r="AR141" i="1"/>
  <c r="AL167" i="1"/>
  <c r="AK167" i="1"/>
  <c r="AR168" i="1"/>
  <c r="AL175" i="1"/>
  <c r="AK175" i="1"/>
  <c r="AR176" i="1"/>
  <c r="AR182" i="1"/>
  <c r="AL182" i="1"/>
  <c r="AK182" i="1"/>
  <c r="AL187" i="1"/>
  <c r="AK187" i="1"/>
  <c r="AR187" i="1"/>
  <c r="AK73" i="1"/>
  <c r="AR74" i="1"/>
  <c r="AK81" i="1"/>
  <c r="AR82" i="1"/>
  <c r="AK89" i="1"/>
  <c r="AR90" i="1"/>
  <c r="AR98" i="1"/>
  <c r="AR106" i="1"/>
  <c r="AR114" i="1"/>
  <c r="AK121" i="1"/>
  <c r="AR122" i="1"/>
  <c r="AR130" i="1"/>
  <c r="AK137" i="1"/>
  <c r="AR138" i="1"/>
  <c r="AL146" i="1"/>
  <c r="AK146" i="1"/>
  <c r="AL148" i="1"/>
  <c r="AK148" i="1"/>
  <c r="AL150" i="1"/>
  <c r="AK150" i="1"/>
  <c r="AL152" i="1"/>
  <c r="AK152" i="1"/>
  <c r="AL156" i="1"/>
  <c r="AK156" i="1"/>
  <c r="AL160" i="1"/>
  <c r="AK160" i="1"/>
  <c r="AL170" i="1"/>
  <c r="AK170" i="1"/>
  <c r="AR181" i="1"/>
  <c r="AL181" i="1"/>
  <c r="AK181" i="1"/>
  <c r="AK259" i="1"/>
  <c r="AR259" i="1"/>
  <c r="AL259" i="1"/>
  <c r="AR188" i="1"/>
  <c r="AR192" i="1"/>
  <c r="AR196" i="1"/>
  <c r="AK203" i="1"/>
  <c r="AR203" i="1"/>
  <c r="AL203" i="1"/>
  <c r="AK207" i="1"/>
  <c r="AR207" i="1"/>
  <c r="AL207" i="1"/>
  <c r="AK211" i="1"/>
  <c r="AR211" i="1"/>
  <c r="AL211" i="1"/>
  <c r="AK215" i="1"/>
  <c r="AR215" i="1"/>
  <c r="AL215" i="1"/>
  <c r="AK219" i="1"/>
  <c r="AR219" i="1"/>
  <c r="AL219" i="1"/>
  <c r="AK223" i="1"/>
  <c r="AR223" i="1"/>
  <c r="AL223" i="1"/>
  <c r="AK227" i="1"/>
  <c r="AR227" i="1"/>
  <c r="AL227" i="1"/>
  <c r="AK231" i="1"/>
  <c r="AR231" i="1"/>
  <c r="AL231" i="1"/>
  <c r="AK235" i="1"/>
  <c r="AR235" i="1"/>
  <c r="AL235" i="1"/>
  <c r="AK239" i="1"/>
  <c r="AR239" i="1"/>
  <c r="AL239" i="1"/>
  <c r="AK243" i="1"/>
  <c r="AR243" i="1"/>
  <c r="AL243" i="1"/>
  <c r="AK247" i="1"/>
  <c r="AR247" i="1"/>
  <c r="AL247" i="1"/>
  <c r="AK251" i="1"/>
  <c r="AR251" i="1"/>
  <c r="AL251" i="1"/>
  <c r="AK258" i="1"/>
  <c r="AR258" i="1"/>
  <c r="AL258" i="1"/>
  <c r="AR266" i="1"/>
  <c r="AL266" i="1"/>
  <c r="AR294" i="1"/>
  <c r="AL294" i="1"/>
  <c r="AL300" i="1"/>
  <c r="AR300" i="1"/>
  <c r="AL301" i="1"/>
  <c r="AR301" i="1"/>
  <c r="AK301" i="1"/>
  <c r="AK184" i="1"/>
  <c r="AR191" i="1"/>
  <c r="AR195" i="1"/>
  <c r="AK201" i="1"/>
  <c r="AL201" i="1"/>
  <c r="AH201" i="1"/>
  <c r="AI201" i="1" s="1"/>
  <c r="AK204" i="1"/>
  <c r="AR204" i="1"/>
  <c r="AL204" i="1"/>
  <c r="AK208" i="1"/>
  <c r="AR208" i="1"/>
  <c r="AL208" i="1"/>
  <c r="AK212" i="1"/>
  <c r="AR212" i="1"/>
  <c r="AL212" i="1"/>
  <c r="AK216" i="1"/>
  <c r="AR216" i="1"/>
  <c r="AL216" i="1"/>
  <c r="AK220" i="1"/>
  <c r="AR220" i="1"/>
  <c r="AL220" i="1"/>
  <c r="AK224" i="1"/>
  <c r="AR224" i="1"/>
  <c r="AL224" i="1"/>
  <c r="AK228" i="1"/>
  <c r="AR228" i="1"/>
  <c r="AL228" i="1"/>
  <c r="AK232" i="1"/>
  <c r="AR232" i="1"/>
  <c r="AL232" i="1"/>
  <c r="AK236" i="1"/>
  <c r="AR236" i="1"/>
  <c r="AL236" i="1"/>
  <c r="AK240" i="1"/>
  <c r="AR240" i="1"/>
  <c r="AL240" i="1"/>
  <c r="AK244" i="1"/>
  <c r="AR244" i="1"/>
  <c r="AL244" i="1"/>
  <c r="AK248" i="1"/>
  <c r="AR248" i="1"/>
  <c r="AL248" i="1"/>
  <c r="AK252" i="1"/>
  <c r="AR252" i="1"/>
  <c r="AL252" i="1"/>
  <c r="AK260" i="1"/>
  <c r="AR260" i="1"/>
  <c r="AL260" i="1"/>
  <c r="AR274" i="1"/>
  <c r="AL274" i="1"/>
  <c r="AR290" i="1"/>
  <c r="AL290" i="1"/>
  <c r="AK294" i="1"/>
  <c r="AK253" i="1"/>
  <c r="AR253" i="1"/>
  <c r="AL253" i="1"/>
  <c r="AK261" i="1"/>
  <c r="AR261" i="1"/>
  <c r="AL261" i="1"/>
  <c r="AK274" i="1"/>
  <c r="AR286" i="1"/>
  <c r="AL314" i="1"/>
  <c r="AR314" i="1"/>
  <c r="AK314" i="1"/>
  <c r="AL315" i="1"/>
  <c r="AR315" i="1"/>
  <c r="AK315" i="1"/>
  <c r="AR185" i="1"/>
  <c r="AR190" i="1"/>
  <c r="AR194" i="1"/>
  <c r="AK198" i="1"/>
  <c r="AL198" i="1"/>
  <c r="AK205" i="1"/>
  <c r="AR205" i="1"/>
  <c r="AL205" i="1"/>
  <c r="AK209" i="1"/>
  <c r="AR209" i="1"/>
  <c r="AL209" i="1"/>
  <c r="AK213" i="1"/>
  <c r="AR213" i="1"/>
  <c r="AL213" i="1"/>
  <c r="AK217" i="1"/>
  <c r="AR217" i="1"/>
  <c r="AL217" i="1"/>
  <c r="AK221" i="1"/>
  <c r="AR221" i="1"/>
  <c r="AL221" i="1"/>
  <c r="AK225" i="1"/>
  <c r="AR225" i="1"/>
  <c r="AL225" i="1"/>
  <c r="AK229" i="1"/>
  <c r="AR229" i="1"/>
  <c r="AL229" i="1"/>
  <c r="AK233" i="1"/>
  <c r="AR233" i="1"/>
  <c r="AL233" i="1"/>
  <c r="AK237" i="1"/>
  <c r="AR237" i="1"/>
  <c r="AL237" i="1"/>
  <c r="AK241" i="1"/>
  <c r="AR241" i="1"/>
  <c r="AL241" i="1"/>
  <c r="AK245" i="1"/>
  <c r="AR245" i="1"/>
  <c r="AL245" i="1"/>
  <c r="AK249" i="1"/>
  <c r="AR249" i="1"/>
  <c r="AL249" i="1"/>
  <c r="AK254" i="1"/>
  <c r="AR254" i="1"/>
  <c r="AL254" i="1"/>
  <c r="AK262" i="1"/>
  <c r="AR262" i="1"/>
  <c r="AL262" i="1"/>
  <c r="AR282" i="1"/>
  <c r="AL282" i="1"/>
  <c r="AK255" i="1"/>
  <c r="AR255" i="1"/>
  <c r="AL255" i="1"/>
  <c r="AK263" i="1"/>
  <c r="AR263" i="1"/>
  <c r="AL263" i="1"/>
  <c r="AR270" i="1"/>
  <c r="AL270" i="1"/>
  <c r="AR189" i="1"/>
  <c r="AR193" i="1"/>
  <c r="AR197" i="1"/>
  <c r="AK200" i="1"/>
  <c r="AL200" i="1"/>
  <c r="AH200" i="1"/>
  <c r="AI200" i="1" s="1"/>
  <c r="AK202" i="1"/>
  <c r="AR202" i="1"/>
  <c r="AL202" i="1"/>
  <c r="AK206" i="1"/>
  <c r="AR206" i="1"/>
  <c r="AL206" i="1"/>
  <c r="AK210" i="1"/>
  <c r="AR210" i="1"/>
  <c r="AL210" i="1"/>
  <c r="AK214" i="1"/>
  <c r="AR214" i="1"/>
  <c r="AL214" i="1"/>
  <c r="AK218" i="1"/>
  <c r="AR218" i="1"/>
  <c r="AL218" i="1"/>
  <c r="AK222" i="1"/>
  <c r="AR222" i="1"/>
  <c r="AL222" i="1"/>
  <c r="AK226" i="1"/>
  <c r="AR226" i="1"/>
  <c r="AL226" i="1"/>
  <c r="AK230" i="1"/>
  <c r="AR230" i="1"/>
  <c r="AL230" i="1"/>
  <c r="AK234" i="1"/>
  <c r="AR234" i="1"/>
  <c r="AL234" i="1"/>
  <c r="AK238" i="1"/>
  <c r="AR238" i="1"/>
  <c r="AL238" i="1"/>
  <c r="AK242" i="1"/>
  <c r="AR242" i="1"/>
  <c r="AL242" i="1"/>
  <c r="AK246" i="1"/>
  <c r="AR246" i="1"/>
  <c r="AL246" i="1"/>
  <c r="AK250" i="1"/>
  <c r="AR250" i="1"/>
  <c r="AL250" i="1"/>
  <c r="AK256" i="1"/>
  <c r="AR256" i="1"/>
  <c r="AL256" i="1"/>
  <c r="AK264" i="1"/>
  <c r="AR264" i="1"/>
  <c r="AL264" i="1"/>
  <c r="AK282" i="1"/>
  <c r="AK257" i="1"/>
  <c r="AR257" i="1"/>
  <c r="AL257" i="1"/>
  <c r="AK265" i="1"/>
  <c r="AR265" i="1"/>
  <c r="AL265" i="1"/>
  <c r="AR278" i="1"/>
  <c r="AL278" i="1"/>
  <c r="AR308" i="1"/>
  <c r="AL309" i="1"/>
  <c r="AR309" i="1"/>
  <c r="AK309" i="1"/>
  <c r="AL303" i="1"/>
  <c r="AR303" i="1"/>
  <c r="AL311" i="1"/>
  <c r="AR311" i="1"/>
  <c r="AH416" i="1"/>
  <c r="AI416" i="1" s="1"/>
  <c r="AH409" i="1"/>
  <c r="AI409" i="1" s="1"/>
  <c r="AL297" i="1"/>
  <c r="AR297" i="1"/>
  <c r="AL305" i="1"/>
  <c r="AR305" i="1"/>
  <c r="AL313" i="1"/>
  <c r="AR313" i="1"/>
  <c r="AR269" i="1"/>
  <c r="AR273" i="1"/>
  <c r="AR277" i="1"/>
  <c r="AR281" i="1"/>
  <c r="AR285" i="1"/>
  <c r="AR289" i="1"/>
  <c r="AR293" i="1"/>
  <c r="AL302" i="1"/>
  <c r="AR302" i="1"/>
  <c r="AR310" i="1"/>
  <c r="AH390" i="1"/>
  <c r="AI390" i="1" s="1"/>
  <c r="AH392" i="1"/>
  <c r="AI392" i="1" s="1"/>
  <c r="AH398" i="1"/>
  <c r="AI398" i="1" s="1"/>
  <c r="AH400" i="1"/>
  <c r="AI400" i="1" s="1"/>
  <c r="AL299" i="1"/>
  <c r="AR299" i="1"/>
  <c r="AR307" i="1"/>
  <c r="AL316" i="1"/>
  <c r="AK316" i="1"/>
  <c r="AR316" i="1"/>
  <c r="AL317" i="1"/>
  <c r="AK317" i="1"/>
  <c r="AR317" i="1"/>
  <c r="AL318" i="1"/>
  <c r="AK318" i="1"/>
  <c r="AR318" i="1"/>
  <c r="AL319" i="1"/>
  <c r="AK319" i="1"/>
  <c r="AR319" i="1"/>
  <c r="AL320" i="1"/>
  <c r="AK320" i="1"/>
  <c r="AR320" i="1"/>
  <c r="AL321" i="1"/>
  <c r="AK321" i="1"/>
  <c r="AR321" i="1"/>
  <c r="AL322" i="1"/>
  <c r="AK322" i="1"/>
  <c r="AR322" i="1"/>
  <c r="AL323" i="1"/>
  <c r="AK323" i="1"/>
  <c r="AR323" i="1"/>
  <c r="AL324" i="1"/>
  <c r="AK324" i="1"/>
  <c r="AR324" i="1"/>
  <c r="AL325" i="1"/>
  <c r="AK325" i="1"/>
  <c r="AR325" i="1"/>
  <c r="AL326" i="1"/>
  <c r="AK326" i="1"/>
  <c r="AR326" i="1"/>
  <c r="AL327" i="1"/>
  <c r="AK327" i="1"/>
  <c r="AR327" i="1"/>
  <c r="AR268" i="1"/>
  <c r="AR272" i="1"/>
  <c r="AR276" i="1"/>
  <c r="AR280" i="1"/>
  <c r="AR284" i="1"/>
  <c r="AR288" i="1"/>
  <c r="AR292" i="1"/>
  <c r="AR296" i="1"/>
  <c r="AL304" i="1"/>
  <c r="AR304" i="1"/>
  <c r="AL312" i="1"/>
  <c r="AR312" i="1"/>
  <c r="AR267" i="1"/>
  <c r="AR271" i="1"/>
  <c r="AR275" i="1"/>
  <c r="AR279" i="1"/>
  <c r="AR283" i="1"/>
  <c r="AR287" i="1"/>
  <c r="AR291" i="1"/>
  <c r="AR295" i="1"/>
  <c r="AK297" i="1"/>
  <c r="AL298" i="1"/>
  <c r="AR298" i="1"/>
  <c r="AK305" i="1"/>
  <c r="AR306" i="1"/>
  <c r="AK313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K393" i="1"/>
  <c r="AR397" i="1"/>
  <c r="AR405" i="1"/>
  <c r="AK409" i="1"/>
  <c r="AR413" i="1"/>
  <c r="AR420" i="1"/>
  <c r="AK392" i="1"/>
  <c r="AL393" i="1"/>
  <c r="AR396" i="1"/>
  <c r="AK400" i="1"/>
  <c r="AL401" i="1"/>
  <c r="AR404" i="1"/>
  <c r="AK408" i="1"/>
  <c r="AL409" i="1"/>
  <c r="AR412" i="1"/>
  <c r="AK416" i="1"/>
  <c r="AH451" i="1"/>
  <c r="AI451" i="1" s="1"/>
  <c r="AH459" i="1"/>
  <c r="AI459" i="1" s="1"/>
  <c r="AL392" i="1"/>
  <c r="AL400" i="1"/>
  <c r="AL408" i="1"/>
  <c r="AR411" i="1"/>
  <c r="AL416" i="1"/>
  <c r="AR419" i="1"/>
  <c r="AK398" i="1"/>
  <c r="AK414" i="1"/>
  <c r="AK328" i="1"/>
  <c r="AK329" i="1"/>
  <c r="AK330" i="1"/>
  <c r="AK331" i="1"/>
  <c r="AK333" i="1"/>
  <c r="AK334" i="1"/>
  <c r="AK335" i="1"/>
  <c r="AK337" i="1"/>
  <c r="AK340" i="1"/>
  <c r="AK341" i="1"/>
  <c r="AK343" i="1"/>
  <c r="AK350" i="1"/>
  <c r="AK351" i="1"/>
  <c r="AK352" i="1"/>
  <c r="AK353" i="1"/>
  <c r="AK354" i="1"/>
  <c r="AK359" i="1"/>
  <c r="AK360" i="1"/>
  <c r="AK361" i="1"/>
  <c r="AK362" i="1"/>
  <c r="AK364" i="1"/>
  <c r="AK365" i="1"/>
  <c r="AK366" i="1"/>
  <c r="AK367" i="1"/>
  <c r="AK369" i="1"/>
  <c r="AK370" i="1"/>
  <c r="AK371" i="1"/>
  <c r="AK373" i="1"/>
  <c r="AK374" i="1"/>
  <c r="AK375" i="1"/>
  <c r="AK376" i="1"/>
  <c r="AK378" i="1"/>
  <c r="AK379" i="1"/>
  <c r="AK380" i="1"/>
  <c r="AK383" i="1"/>
  <c r="AK384" i="1"/>
  <c r="AK385" i="1"/>
  <c r="AK386" i="1"/>
  <c r="AK388" i="1"/>
  <c r="AK389" i="1"/>
  <c r="AK397" i="1"/>
  <c r="AL398" i="1"/>
  <c r="AK405" i="1"/>
  <c r="AE409" i="1"/>
  <c r="AL414" i="1"/>
  <c r="AE400" i="1"/>
  <c r="AK420" i="1"/>
  <c r="AE398" i="1"/>
  <c r="AH537" i="1"/>
  <c r="AI537" i="1" s="1"/>
  <c r="AH649" i="1"/>
  <c r="AI649" i="1" s="1"/>
  <c r="AH653" i="1"/>
  <c r="AI653" i="1" s="1"/>
  <c r="AL638" i="1"/>
  <c r="AR641" i="1"/>
  <c r="AR646" i="1"/>
  <c r="AK656" i="1"/>
  <c r="AL656" i="1"/>
  <c r="AK661" i="1"/>
  <c r="AL661" i="1"/>
  <c r="AE661" i="1"/>
  <c r="AL637" i="1"/>
  <c r="AH662" i="1"/>
  <c r="AI662" i="1" s="1"/>
  <c r="AL636" i="1"/>
  <c r="AR639" i="1"/>
  <c r="AK648" i="1"/>
  <c r="AL648" i="1"/>
  <c r="AK664" i="1"/>
  <c r="AR664" i="1"/>
  <c r="AL664" i="1"/>
  <c r="AH670" i="1"/>
  <c r="AI670" i="1" s="1"/>
  <c r="AK653" i="1"/>
  <c r="AE653" i="1"/>
  <c r="AL654" i="1"/>
  <c r="AK655" i="1"/>
  <c r="AK662" i="1"/>
  <c r="AK678" i="1"/>
  <c r="AL678" i="1"/>
  <c r="AK677" i="1"/>
  <c r="AL677" i="1"/>
  <c r="AR677" i="1"/>
  <c r="AR636" i="1"/>
  <c r="AR644" i="1"/>
  <c r="AL646" i="1"/>
  <c r="AK647" i="1"/>
  <c r="AK657" i="1"/>
  <c r="AL657" i="1"/>
  <c r="AK660" i="1"/>
  <c r="AR660" i="1"/>
  <c r="AE662" i="1"/>
  <c r="AH698" i="1"/>
  <c r="AI698" i="1" s="1"/>
  <c r="AR654" i="1"/>
  <c r="AK670" i="1"/>
  <c r="AL670" i="1"/>
  <c r="AH705" i="1"/>
  <c r="AI705" i="1" s="1"/>
  <c r="AK649" i="1"/>
  <c r="AL649" i="1"/>
  <c r="AK652" i="1"/>
  <c r="AR652" i="1"/>
  <c r="AK669" i="1"/>
  <c r="AL669" i="1"/>
  <c r="AR669" i="1"/>
  <c r="AH678" i="1"/>
  <c r="AI678" i="1" s="1"/>
  <c r="AR685" i="1"/>
  <c r="AR693" i="1"/>
  <c r="AK710" i="1"/>
  <c r="AR710" i="1"/>
  <c r="AL665" i="1"/>
  <c r="AR668" i="1"/>
  <c r="AL673" i="1"/>
  <c r="AR676" i="1"/>
  <c r="AL681" i="1"/>
  <c r="AR684" i="1"/>
  <c r="AL689" i="1"/>
  <c r="AR692" i="1"/>
  <c r="AK697" i="1"/>
  <c r="AL697" i="1"/>
  <c r="AE705" i="1"/>
  <c r="AH712" i="1"/>
  <c r="AI712" i="1" s="1"/>
  <c r="AK714" i="1"/>
  <c r="AR714" i="1"/>
  <c r="AL714" i="1"/>
  <c r="AE720" i="1"/>
  <c r="AE736" i="1"/>
  <c r="AR651" i="1"/>
  <c r="AR659" i="1"/>
  <c r="AR667" i="1"/>
  <c r="AL672" i="1"/>
  <c r="AR675" i="1"/>
  <c r="AL680" i="1"/>
  <c r="AR683" i="1"/>
  <c r="AL688" i="1"/>
  <c r="AR691" i="1"/>
  <c r="AK702" i="1"/>
  <c r="AK704" i="1"/>
  <c r="AL710" i="1"/>
  <c r="AH784" i="1"/>
  <c r="AI784" i="1" s="1"/>
  <c r="AL679" i="1"/>
  <c r="AL687" i="1"/>
  <c r="AR696" i="1"/>
  <c r="AK712" i="1"/>
  <c r="AH719" i="1"/>
  <c r="AI719" i="1" s="1"/>
  <c r="AK742" i="1"/>
  <c r="AR742" i="1"/>
  <c r="AL742" i="1"/>
  <c r="AK751" i="1"/>
  <c r="AR751" i="1"/>
  <c r="AL751" i="1"/>
  <c r="AL694" i="1"/>
  <c r="AK706" i="1"/>
  <c r="AL706" i="1"/>
  <c r="AK709" i="1"/>
  <c r="AR709" i="1"/>
  <c r="AH720" i="1"/>
  <c r="AI720" i="1" s="1"/>
  <c r="AH736" i="1"/>
  <c r="AI736" i="1" s="1"/>
  <c r="AR672" i="1"/>
  <c r="AR680" i="1"/>
  <c r="AR688" i="1"/>
  <c r="AL693" i="1"/>
  <c r="AK695" i="1"/>
  <c r="AR695" i="1"/>
  <c r="AR703" i="1"/>
  <c r="AK718" i="1"/>
  <c r="AR718" i="1"/>
  <c r="AK698" i="1"/>
  <c r="AL698" i="1"/>
  <c r="AK701" i="1"/>
  <c r="AR701" i="1"/>
  <c r="AL719" i="1"/>
  <c r="AR726" i="1"/>
  <c r="AK734" i="1"/>
  <c r="AR734" i="1"/>
  <c r="AR686" i="1"/>
  <c r="AR694" i="1"/>
  <c r="AK705" i="1"/>
  <c r="AL705" i="1"/>
  <c r="AK720" i="1"/>
  <c r="AL720" i="1"/>
  <c r="AL734" i="1"/>
  <c r="AK736" i="1"/>
  <c r="AL736" i="1"/>
  <c r="AR717" i="1"/>
  <c r="AL722" i="1"/>
  <c r="AR725" i="1"/>
  <c r="AL730" i="1"/>
  <c r="AR733" i="1"/>
  <c r="AL738" i="1"/>
  <c r="AR741" i="1"/>
  <c r="AR749" i="1"/>
  <c r="AL754" i="1"/>
  <c r="AR757" i="1"/>
  <c r="AL762" i="1"/>
  <c r="AR765" i="1"/>
  <c r="AL770" i="1"/>
  <c r="AR773" i="1"/>
  <c r="AL781" i="1"/>
  <c r="AK781" i="1"/>
  <c r="AH853" i="1"/>
  <c r="AI853" i="1" s="1"/>
  <c r="AR700" i="1"/>
  <c r="AR708" i="1"/>
  <c r="AL713" i="1"/>
  <c r="AR716" i="1"/>
  <c r="AL721" i="1"/>
  <c r="AR724" i="1"/>
  <c r="AL729" i="1"/>
  <c r="AR732" i="1"/>
  <c r="AR740" i="1"/>
  <c r="AL745" i="1"/>
  <c r="AR748" i="1"/>
  <c r="AL753" i="1"/>
  <c r="AR756" i="1"/>
  <c r="AR764" i="1"/>
  <c r="AL769" i="1"/>
  <c r="AR772" i="1"/>
  <c r="AD781" i="1"/>
  <c r="AE781" i="1" s="1"/>
  <c r="AK786" i="1"/>
  <c r="AL744" i="1"/>
  <c r="AL752" i="1"/>
  <c r="AL760" i="1"/>
  <c r="AL768" i="1"/>
  <c r="AL776" i="1"/>
  <c r="AR722" i="1"/>
  <c r="AR730" i="1"/>
  <c r="AR738" i="1"/>
  <c r="AR746" i="1"/>
  <c r="AR754" i="1"/>
  <c r="AL759" i="1"/>
  <c r="AR762" i="1"/>
  <c r="AL767" i="1"/>
  <c r="AR770" i="1"/>
  <c r="AL775" i="1"/>
  <c r="AL777" i="1"/>
  <c r="AK777" i="1"/>
  <c r="AR777" i="1"/>
  <c r="AL780" i="1"/>
  <c r="AK780" i="1"/>
  <c r="AR788" i="1"/>
  <c r="AL788" i="1"/>
  <c r="AK788" i="1"/>
  <c r="AH859" i="1"/>
  <c r="AI859" i="1" s="1"/>
  <c r="AD859" i="1"/>
  <c r="AE859" i="1" s="1"/>
  <c r="AH851" i="1"/>
  <c r="AI851" i="1" s="1"/>
  <c r="AR760" i="1"/>
  <c r="AR768" i="1"/>
  <c r="AR776" i="1"/>
  <c r="AR775" i="1"/>
  <c r="AL779" i="1"/>
  <c r="AK779" i="1"/>
  <c r="AL787" i="1"/>
  <c r="AK787" i="1"/>
  <c r="AR750" i="1"/>
  <c r="AR758" i="1"/>
  <c r="AR766" i="1"/>
  <c r="AR789" i="1"/>
  <c r="AL789" i="1"/>
  <c r="AK789" i="1"/>
  <c r="AK819" i="1"/>
  <c r="AR822" i="1"/>
  <c r="AL830" i="1"/>
  <c r="AK830" i="1"/>
  <c r="AL854" i="1"/>
  <c r="AK854" i="1"/>
  <c r="AE860" i="1"/>
  <c r="AL868" i="1"/>
  <c r="AK868" i="1"/>
  <c r="AK790" i="1"/>
  <c r="AK791" i="1"/>
  <c r="AK792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2" i="1"/>
  <c r="AK814" i="1"/>
  <c r="AK815" i="1"/>
  <c r="AK816" i="1"/>
  <c r="AK817" i="1"/>
  <c r="AK818" i="1"/>
  <c r="AR821" i="1"/>
  <c r="AR827" i="1"/>
  <c r="AD854" i="1"/>
  <c r="AE854" i="1" s="1"/>
  <c r="AL892" i="1"/>
  <c r="AR892" i="1"/>
  <c r="AK892" i="1"/>
  <c r="AL790" i="1"/>
  <c r="AL791" i="1"/>
  <c r="AL792" i="1"/>
  <c r="AH875" i="1"/>
  <c r="AI875" i="1" s="1"/>
  <c r="AK824" i="1"/>
  <c r="AL826" i="1"/>
  <c r="AR826" i="1"/>
  <c r="AL829" i="1"/>
  <c r="AL835" i="1"/>
  <c r="AK836" i="1"/>
  <c r="AL837" i="1"/>
  <c r="AK844" i="1"/>
  <c r="AL845" i="1"/>
  <c r="AL851" i="1"/>
  <c r="AK852" i="1"/>
  <c r="AL853" i="1"/>
  <c r="AL859" i="1"/>
  <c r="AH864" i="1"/>
  <c r="AI864" i="1" s="1"/>
  <c r="AL888" i="1"/>
  <c r="AK888" i="1"/>
  <c r="AR888" i="1"/>
  <c r="AH904" i="1"/>
  <c r="AI904" i="1" s="1"/>
  <c r="AD904" i="1"/>
  <c r="AE904" i="1" s="1"/>
  <c r="AK822" i="1"/>
  <c r="AR825" i="1"/>
  <c r="AL831" i="1"/>
  <c r="AK831" i="1"/>
  <c r="AR831" i="1"/>
  <c r="AL839" i="1"/>
  <c r="AK839" i="1"/>
  <c r="AR839" i="1"/>
  <c r="AL847" i="1"/>
  <c r="AK847" i="1"/>
  <c r="AR847" i="1"/>
  <c r="AL855" i="1"/>
  <c r="AK855" i="1"/>
  <c r="AR855" i="1"/>
  <c r="AL864" i="1"/>
  <c r="AK864" i="1"/>
  <c r="AE864" i="1"/>
  <c r="AH872" i="1"/>
  <c r="AI872" i="1" s="1"/>
  <c r="AR824" i="1"/>
  <c r="AR828" i="1"/>
  <c r="AR836" i="1"/>
  <c r="AR844" i="1"/>
  <c r="AR852" i="1"/>
  <c r="AK859" i="1"/>
  <c r="AL860" i="1"/>
  <c r="AK860" i="1"/>
  <c r="AL867" i="1"/>
  <c r="AK867" i="1"/>
  <c r="AL834" i="1"/>
  <c r="AR834" i="1"/>
  <c r="AR842" i="1"/>
  <c r="AL850" i="1"/>
  <c r="AR850" i="1"/>
  <c r="AL858" i="1"/>
  <c r="AR858" i="1"/>
  <c r="AH867" i="1"/>
  <c r="AI867" i="1" s="1"/>
  <c r="AL872" i="1"/>
  <c r="AK872" i="1"/>
  <c r="AL863" i="1"/>
  <c r="AR863" i="1"/>
  <c r="AK865" i="1"/>
  <c r="AL871" i="1"/>
  <c r="AR871" i="1"/>
  <c r="AK873" i="1"/>
  <c r="AR880" i="1"/>
  <c r="AL903" i="1"/>
  <c r="AK903" i="1"/>
  <c r="AK904" i="1"/>
  <c r="AR945" i="1"/>
  <c r="AL945" i="1"/>
  <c r="AK945" i="1"/>
  <c r="AR833" i="1"/>
  <c r="AR841" i="1"/>
  <c r="AR849" i="1"/>
  <c r="AR857" i="1"/>
  <c r="AL866" i="1"/>
  <c r="AR866" i="1"/>
  <c r="AL874" i="1"/>
  <c r="AR874" i="1"/>
  <c r="AL862" i="1"/>
  <c r="AR862" i="1"/>
  <c r="AR865" i="1"/>
  <c r="AL870" i="1"/>
  <c r="AR870" i="1"/>
  <c r="AR873" i="1"/>
  <c r="AL882" i="1"/>
  <c r="AR882" i="1"/>
  <c r="AR917" i="1"/>
  <c r="BO917" i="1" s="1"/>
  <c r="AL917" i="1"/>
  <c r="AR925" i="1"/>
  <c r="AL925" i="1"/>
  <c r="AR937" i="1"/>
  <c r="AL937" i="1"/>
  <c r="AK937" i="1"/>
  <c r="AR876" i="1"/>
  <c r="AR884" i="1"/>
  <c r="AR886" i="1"/>
  <c r="AL890" i="1"/>
  <c r="AR890" i="1"/>
  <c r="AD896" i="1"/>
  <c r="AE896" i="1" s="1"/>
  <c r="AL904" i="1"/>
  <c r="AR953" i="1"/>
  <c r="AL953" i="1"/>
  <c r="AK953" i="1"/>
  <c r="AR894" i="1"/>
  <c r="AL898" i="1"/>
  <c r="AR898" i="1"/>
  <c r="AR900" i="1"/>
  <c r="AL902" i="1"/>
  <c r="AR902" i="1"/>
  <c r="AL906" i="1"/>
  <c r="AR906" i="1"/>
  <c r="AR913" i="1"/>
  <c r="AL913" i="1"/>
  <c r="AK913" i="1"/>
  <c r="AR921" i="1"/>
  <c r="AL921" i="1"/>
  <c r="AK921" i="1"/>
  <c r="AR929" i="1"/>
  <c r="AL929" i="1"/>
  <c r="AK929" i="1"/>
  <c r="AL875" i="1"/>
  <c r="AK875" i="1"/>
  <c r="AE875" i="1"/>
  <c r="AR878" i="1"/>
  <c r="AL883" i="1"/>
  <c r="AK883" i="1"/>
  <c r="AL908" i="1"/>
  <c r="AR908" i="1"/>
  <c r="AR933" i="1"/>
  <c r="AL933" i="1"/>
  <c r="AR941" i="1"/>
  <c r="AL941" i="1"/>
  <c r="AR949" i="1"/>
  <c r="AL949" i="1"/>
  <c r="AR957" i="1"/>
  <c r="AL957" i="1"/>
  <c r="AR965" i="1"/>
  <c r="AL965" i="1"/>
  <c r="AR976" i="1"/>
  <c r="AK976" i="1"/>
  <c r="AR991" i="1"/>
  <c r="AK991" i="1"/>
  <c r="AR992" i="1"/>
  <c r="AK992" i="1"/>
  <c r="AR1005" i="1"/>
  <c r="AL1005" i="1"/>
  <c r="AK1005" i="1"/>
  <c r="AR1024" i="1"/>
  <c r="AK1024" i="1"/>
  <c r="AR1064" i="1"/>
  <c r="AL1064" i="1"/>
  <c r="AK1064" i="1"/>
  <c r="AR969" i="1"/>
  <c r="AL969" i="1"/>
  <c r="AR971" i="1"/>
  <c r="AR993" i="1"/>
  <c r="AL993" i="1"/>
  <c r="AK993" i="1"/>
  <c r="AR1011" i="1"/>
  <c r="AK1011" i="1"/>
  <c r="AR1012" i="1"/>
  <c r="AK1012" i="1"/>
  <c r="AR999" i="1"/>
  <c r="AK999" i="1"/>
  <c r="AR1000" i="1"/>
  <c r="AK1000" i="1"/>
  <c r="AR1013" i="1"/>
  <c r="AL1013" i="1"/>
  <c r="AK1013" i="1"/>
  <c r="AR911" i="1"/>
  <c r="AR916" i="1"/>
  <c r="AR919" i="1"/>
  <c r="AR924" i="1"/>
  <c r="AR927" i="1"/>
  <c r="AR932" i="1"/>
  <c r="AR935" i="1"/>
  <c r="AR940" i="1"/>
  <c r="AR943" i="1"/>
  <c r="AR948" i="1"/>
  <c r="AR951" i="1"/>
  <c r="AR956" i="1"/>
  <c r="AR959" i="1"/>
  <c r="AR964" i="1"/>
  <c r="AR967" i="1"/>
  <c r="AR972" i="1"/>
  <c r="AK972" i="1"/>
  <c r="AL976" i="1"/>
  <c r="AR977" i="1"/>
  <c r="AL977" i="1"/>
  <c r="AR979" i="1"/>
  <c r="AK979" i="1"/>
  <c r="AR987" i="1"/>
  <c r="AK987" i="1"/>
  <c r="AR988" i="1"/>
  <c r="AK988" i="1"/>
  <c r="AR1001" i="1"/>
  <c r="AL1001" i="1"/>
  <c r="AK1001" i="1"/>
  <c r="AL1011" i="1"/>
  <c r="AL1012" i="1"/>
  <c r="AR1019" i="1"/>
  <c r="AK1019" i="1"/>
  <c r="AR1020" i="1"/>
  <c r="AK1020" i="1"/>
  <c r="AR961" i="1"/>
  <c r="AL961" i="1"/>
  <c r="AR980" i="1"/>
  <c r="AK980" i="1"/>
  <c r="AR983" i="1"/>
  <c r="AK983" i="1"/>
  <c r="AR989" i="1"/>
  <c r="AL989" i="1"/>
  <c r="AK989" i="1"/>
  <c r="AR1007" i="1"/>
  <c r="AK1007" i="1"/>
  <c r="AR1008" i="1"/>
  <c r="AK1008" i="1"/>
  <c r="AR1021" i="1"/>
  <c r="AL1021" i="1"/>
  <c r="AK1021" i="1"/>
  <c r="AK933" i="1"/>
  <c r="AR984" i="1"/>
  <c r="AK984" i="1"/>
  <c r="AR995" i="1"/>
  <c r="AK995" i="1"/>
  <c r="AR996" i="1"/>
  <c r="AK996" i="1"/>
  <c r="AR1009" i="1"/>
  <c r="AL1009" i="1"/>
  <c r="AK1009" i="1"/>
  <c r="AR968" i="1"/>
  <c r="AK968" i="1"/>
  <c r="AR973" i="1"/>
  <c r="AL973" i="1"/>
  <c r="AR975" i="1"/>
  <c r="AR981" i="1"/>
  <c r="AL981" i="1"/>
  <c r="AR997" i="1"/>
  <c r="AL997" i="1"/>
  <c r="AK997" i="1"/>
  <c r="AL1007" i="1"/>
  <c r="AL1008" i="1"/>
  <c r="AR1015" i="1"/>
  <c r="AK1015" i="1"/>
  <c r="AR1016" i="1"/>
  <c r="AK1016" i="1"/>
  <c r="AR1054" i="1"/>
  <c r="AL1054" i="1"/>
  <c r="AK1054" i="1"/>
  <c r="AR1056" i="1"/>
  <c r="AL1056" i="1"/>
  <c r="AK1056" i="1"/>
  <c r="AK891" i="1"/>
  <c r="AK899" i="1"/>
  <c r="AR909" i="1"/>
  <c r="AK911" i="1"/>
  <c r="AR912" i="1"/>
  <c r="AR915" i="1"/>
  <c r="AK916" i="1"/>
  <c r="AK919" i="1"/>
  <c r="AR920" i="1"/>
  <c r="AR923" i="1"/>
  <c r="AK924" i="1"/>
  <c r="AK927" i="1"/>
  <c r="AR928" i="1"/>
  <c r="AR931" i="1"/>
  <c r="AK935" i="1"/>
  <c r="AR936" i="1"/>
  <c r="AR939" i="1"/>
  <c r="AK940" i="1"/>
  <c r="AK943" i="1"/>
  <c r="AR944" i="1"/>
  <c r="AR947" i="1"/>
  <c r="AK948" i="1"/>
  <c r="AK951" i="1"/>
  <c r="AR952" i="1"/>
  <c r="AR955" i="1"/>
  <c r="AK956" i="1"/>
  <c r="AK959" i="1"/>
  <c r="AR960" i="1"/>
  <c r="AR963" i="1"/>
  <c r="AK964" i="1"/>
  <c r="AK967" i="1"/>
  <c r="AK977" i="1"/>
  <c r="AL980" i="1"/>
  <c r="AL983" i="1"/>
  <c r="AR985" i="1"/>
  <c r="AL985" i="1"/>
  <c r="AK985" i="1"/>
  <c r="AL995" i="1"/>
  <c r="AL996" i="1"/>
  <c r="AR1003" i="1"/>
  <c r="AK1003" i="1"/>
  <c r="AR1004" i="1"/>
  <c r="AK1004" i="1"/>
  <c r="AR1017" i="1"/>
  <c r="AL1017" i="1"/>
  <c r="AK1017" i="1"/>
  <c r="AR1030" i="1"/>
  <c r="AL1030" i="1"/>
  <c r="AR1065" i="1"/>
  <c r="AK1065" i="1"/>
  <c r="AL1150" i="1"/>
  <c r="AK1150" i="1"/>
  <c r="AR1150" i="1"/>
  <c r="AR1023" i="1"/>
  <c r="AR1027" i="1"/>
  <c r="AL1027" i="1"/>
  <c r="AR1057" i="1"/>
  <c r="AK1057" i="1"/>
  <c r="AR1062" i="1"/>
  <c r="AL1062" i="1"/>
  <c r="AK1062" i="1"/>
  <c r="AK1025" i="1"/>
  <c r="AR1032" i="1"/>
  <c r="AL1032" i="1"/>
  <c r="AR1034" i="1"/>
  <c r="AL1034" i="1"/>
  <c r="AR1036" i="1"/>
  <c r="AL1036" i="1"/>
  <c r="AR1038" i="1"/>
  <c r="AL1038" i="1"/>
  <c r="AR1040" i="1"/>
  <c r="AL1040" i="1"/>
  <c r="AR1042" i="1"/>
  <c r="AL1042" i="1"/>
  <c r="AR1044" i="1"/>
  <c r="AL1044" i="1"/>
  <c r="AR1046" i="1"/>
  <c r="AL1046" i="1"/>
  <c r="AR1048" i="1"/>
  <c r="AL1048" i="1"/>
  <c r="AR1050" i="1"/>
  <c r="AL1050" i="1"/>
  <c r="AR1052" i="1"/>
  <c r="AR1066" i="1"/>
  <c r="AL1066" i="1"/>
  <c r="AK1066" i="1"/>
  <c r="AR910" i="1"/>
  <c r="AR914" i="1"/>
  <c r="AR918" i="1"/>
  <c r="AR922" i="1"/>
  <c r="AR926" i="1"/>
  <c r="AR930" i="1"/>
  <c r="AR934" i="1"/>
  <c r="AR938" i="1"/>
  <c r="AR942" i="1"/>
  <c r="AR946" i="1"/>
  <c r="AR950" i="1"/>
  <c r="AR954" i="1"/>
  <c r="AR958" i="1"/>
  <c r="AR962" i="1"/>
  <c r="AR966" i="1"/>
  <c r="AR970" i="1"/>
  <c r="AR974" i="1"/>
  <c r="AR978" i="1"/>
  <c r="AR982" i="1"/>
  <c r="AR986" i="1"/>
  <c r="AR990" i="1"/>
  <c r="AR994" i="1"/>
  <c r="AR998" i="1"/>
  <c r="AR1002" i="1"/>
  <c r="AR1006" i="1"/>
  <c r="AR1010" i="1"/>
  <c r="AR1014" i="1"/>
  <c r="AR1018" i="1"/>
  <c r="AR1022" i="1"/>
  <c r="AR1026" i="1"/>
  <c r="AR1029" i="1"/>
  <c r="AL1029" i="1"/>
  <c r="AR1053" i="1"/>
  <c r="AK1053" i="1"/>
  <c r="AL1057" i="1"/>
  <c r="AR1058" i="1"/>
  <c r="AL1058" i="1"/>
  <c r="AR1060" i="1"/>
  <c r="AR1025" i="1"/>
  <c r="AR1031" i="1"/>
  <c r="AL1031" i="1"/>
  <c r="AK1023" i="1"/>
  <c r="AK1027" i="1"/>
  <c r="AR1028" i="1"/>
  <c r="AL1028" i="1"/>
  <c r="AK1032" i="1"/>
  <c r="AR1033" i="1"/>
  <c r="AL1033" i="1"/>
  <c r="AK1034" i="1"/>
  <c r="AR1035" i="1"/>
  <c r="AL1035" i="1"/>
  <c r="AK1036" i="1"/>
  <c r="AR1037" i="1"/>
  <c r="AL1037" i="1"/>
  <c r="AK1038" i="1"/>
  <c r="AR1039" i="1"/>
  <c r="AL1039" i="1"/>
  <c r="AK1040" i="1"/>
  <c r="AR1041" i="1"/>
  <c r="AL1041" i="1"/>
  <c r="AK1042" i="1"/>
  <c r="AR1043" i="1"/>
  <c r="AL1043" i="1"/>
  <c r="AK1044" i="1"/>
  <c r="AR1045" i="1"/>
  <c r="AL1045" i="1"/>
  <c r="AK1046" i="1"/>
  <c r="AR1047" i="1"/>
  <c r="AL1047" i="1"/>
  <c r="AK1048" i="1"/>
  <c r="AR1049" i="1"/>
  <c r="AL1049" i="1"/>
  <c r="AK1050" i="1"/>
  <c r="AR1051" i="1"/>
  <c r="AL1051" i="1"/>
  <c r="AL1052" i="1"/>
  <c r="AR1061" i="1"/>
  <c r="AK1061" i="1"/>
  <c r="AR1068" i="1"/>
  <c r="AL1068" i="1"/>
  <c r="AK1068" i="1"/>
  <c r="AL1154" i="1"/>
  <c r="AK1154" i="1"/>
  <c r="AR1154" i="1"/>
  <c r="AR1071" i="1"/>
  <c r="AL1071" i="1"/>
  <c r="AR1073" i="1"/>
  <c r="AL1073" i="1"/>
  <c r="AR1075" i="1"/>
  <c r="AL1075" i="1"/>
  <c r="AR1077" i="1"/>
  <c r="AL1077" i="1"/>
  <c r="AR1079" i="1"/>
  <c r="AL1079" i="1"/>
  <c r="AR1081" i="1"/>
  <c r="AL1081" i="1"/>
  <c r="AR1083" i="1"/>
  <c r="AL1083" i="1"/>
  <c r="AR1085" i="1"/>
  <c r="AL1085" i="1"/>
  <c r="AR1087" i="1"/>
  <c r="AL1087" i="1"/>
  <c r="AR1089" i="1"/>
  <c r="AL1089" i="1"/>
  <c r="AR1091" i="1"/>
  <c r="AL1091" i="1"/>
  <c r="AR1093" i="1"/>
  <c r="AL1093" i="1"/>
  <c r="AR1095" i="1"/>
  <c r="AL1095" i="1"/>
  <c r="AR1097" i="1"/>
  <c r="AL1097" i="1"/>
  <c r="AR1099" i="1"/>
  <c r="AL1099" i="1"/>
  <c r="AR1101" i="1"/>
  <c r="AL1101" i="1"/>
  <c r="AR1103" i="1"/>
  <c r="AL1103" i="1"/>
  <c r="AR1105" i="1"/>
  <c r="AL1105" i="1"/>
  <c r="AR1107" i="1"/>
  <c r="AL1107" i="1"/>
  <c r="AR1109" i="1"/>
  <c r="AL1109" i="1"/>
  <c r="AR1111" i="1"/>
  <c r="AL1111" i="1"/>
  <c r="AL1153" i="1"/>
  <c r="AK1153" i="1"/>
  <c r="AR1153" i="1"/>
  <c r="AL1157" i="1"/>
  <c r="AK1157" i="1"/>
  <c r="AR1157" i="1"/>
  <c r="AH1172" i="1"/>
  <c r="AI1172" i="1" s="1"/>
  <c r="AD1172" i="1"/>
  <c r="AE1172" i="1" s="1"/>
  <c r="AH1156" i="1"/>
  <c r="AI1156" i="1" s="1"/>
  <c r="AD1156" i="1"/>
  <c r="AE1156" i="1" s="1"/>
  <c r="AR1055" i="1"/>
  <c r="AR1059" i="1"/>
  <c r="AR1063" i="1"/>
  <c r="AR1067" i="1"/>
  <c r="AR1070" i="1"/>
  <c r="AL1070" i="1"/>
  <c r="AR1072" i="1"/>
  <c r="AL1072" i="1"/>
  <c r="AR1074" i="1"/>
  <c r="AL1074" i="1"/>
  <c r="AR1076" i="1"/>
  <c r="AL1076" i="1"/>
  <c r="AR1078" i="1"/>
  <c r="AL1078" i="1"/>
  <c r="AR1080" i="1"/>
  <c r="AL1080" i="1"/>
  <c r="AR1082" i="1"/>
  <c r="AL1082" i="1"/>
  <c r="AR1084" i="1"/>
  <c r="AL1084" i="1"/>
  <c r="AR1086" i="1"/>
  <c r="AL1086" i="1"/>
  <c r="AR1088" i="1"/>
  <c r="AL1088" i="1"/>
  <c r="AR1090" i="1"/>
  <c r="AL1090" i="1"/>
  <c r="AR1092" i="1"/>
  <c r="AL1092" i="1"/>
  <c r="AR1094" i="1"/>
  <c r="AL1094" i="1"/>
  <c r="AR1096" i="1"/>
  <c r="AL1096" i="1"/>
  <c r="AR1098" i="1"/>
  <c r="AL1098" i="1"/>
  <c r="AR1100" i="1"/>
  <c r="AL1100" i="1"/>
  <c r="AR1102" i="1"/>
  <c r="AL1102" i="1"/>
  <c r="AR1104" i="1"/>
  <c r="AL1104" i="1"/>
  <c r="AR1106" i="1"/>
  <c r="AL1106" i="1"/>
  <c r="AR1108" i="1"/>
  <c r="AL1108" i="1"/>
  <c r="AR1110" i="1"/>
  <c r="AL1110" i="1"/>
  <c r="AR1112" i="1"/>
  <c r="AL1112" i="1"/>
  <c r="AR1069" i="1"/>
  <c r="AL1069" i="1"/>
  <c r="AL1164" i="1"/>
  <c r="AK1164" i="1"/>
  <c r="AH1165" i="1"/>
  <c r="AI1165" i="1" s="1"/>
  <c r="AL1181" i="1"/>
  <c r="AK1181" i="1"/>
  <c r="AR1181" i="1"/>
  <c r="AL1165" i="1"/>
  <c r="AK1165" i="1"/>
  <c r="AL1168" i="1"/>
  <c r="AK1168" i="1"/>
  <c r="AL1175" i="1"/>
  <c r="AK1175" i="1"/>
  <c r="AR1175" i="1"/>
  <c r="AL1189" i="1"/>
  <c r="AK1189" i="1"/>
  <c r="AR1189" i="1"/>
  <c r="AR1207" i="1"/>
  <c r="AK1207" i="1"/>
  <c r="AL1207" i="1"/>
  <c r="AR1213" i="1"/>
  <c r="AK1213" i="1"/>
  <c r="AL1213" i="1"/>
  <c r="AL1148" i="1"/>
  <c r="AL1156" i="1"/>
  <c r="AL1160" i="1"/>
  <c r="AE1165" i="1"/>
  <c r="AH1164" i="1"/>
  <c r="AI1164" i="1" s="1"/>
  <c r="AD1164" i="1"/>
  <c r="AE1164" i="1" s="1"/>
  <c r="AL1169" i="1"/>
  <c r="AK1169" i="1"/>
  <c r="AL1172" i="1"/>
  <c r="AK1172" i="1"/>
  <c r="AL1179" i="1"/>
  <c r="AK1179" i="1"/>
  <c r="AR1179" i="1"/>
  <c r="AL1183" i="1"/>
  <c r="AK1183" i="1"/>
  <c r="AR1183" i="1"/>
  <c r="AL1161" i="1"/>
  <c r="AK1161" i="1"/>
  <c r="AH1168" i="1"/>
  <c r="AI1168" i="1" s="1"/>
  <c r="AD1168" i="1"/>
  <c r="AE1168" i="1" s="1"/>
  <c r="AL1170" i="1"/>
  <c r="AK1170" i="1"/>
  <c r="AL1173" i="1"/>
  <c r="AK1173" i="1"/>
  <c r="AR1173" i="1"/>
  <c r="AL1187" i="1"/>
  <c r="AK1187" i="1"/>
  <c r="AR1187" i="1"/>
  <c r="AR1191" i="1"/>
  <c r="AL1191" i="1"/>
  <c r="AK1191" i="1"/>
  <c r="AR1210" i="1"/>
  <c r="AK1210" i="1"/>
  <c r="AL1210" i="1"/>
  <c r="AL1178" i="1"/>
  <c r="AK1178" i="1"/>
  <c r="AL1186" i="1"/>
  <c r="AK1186" i="1"/>
  <c r="AR1193" i="1"/>
  <c r="AL1193" i="1"/>
  <c r="AR1201" i="1"/>
  <c r="AK1201" i="1"/>
  <c r="AR1217" i="1"/>
  <c r="AK1217" i="1"/>
  <c r="AL1180" i="1"/>
  <c r="AK1180" i="1"/>
  <c r="AL1188" i="1"/>
  <c r="AK1188" i="1"/>
  <c r="AR1199" i="1"/>
  <c r="AL1199" i="1"/>
  <c r="AK1199" i="1"/>
  <c r="AR1214" i="1"/>
  <c r="AK1214" i="1"/>
  <c r="AR1147" i="1"/>
  <c r="AR1151" i="1"/>
  <c r="AR1155" i="1"/>
  <c r="AR1159" i="1"/>
  <c r="AR1163" i="1"/>
  <c r="AR1167" i="1"/>
  <c r="AR1171" i="1"/>
  <c r="AL1177" i="1"/>
  <c r="AK1177" i="1"/>
  <c r="AL1185" i="1"/>
  <c r="AK1185" i="1"/>
  <c r="AK1193" i="1"/>
  <c r="AL1201" i="1"/>
  <c r="AR1202" i="1"/>
  <c r="AK1202" i="1"/>
  <c r="AL1202" i="1"/>
  <c r="AR1205" i="1"/>
  <c r="AK1205" i="1"/>
  <c r="AR1215" i="1"/>
  <c r="AK1215" i="1"/>
  <c r="AL1215" i="1"/>
  <c r="AL1217" i="1"/>
  <c r="AR1218" i="1"/>
  <c r="AK1218" i="1"/>
  <c r="AL1218" i="1"/>
  <c r="AR1221" i="1"/>
  <c r="AK1221" i="1"/>
  <c r="AL1174" i="1"/>
  <c r="AK1174" i="1"/>
  <c r="AL1182" i="1"/>
  <c r="AK1182" i="1"/>
  <c r="AL1190" i="1"/>
  <c r="AK1190" i="1"/>
  <c r="AR1197" i="1"/>
  <c r="AR1209" i="1"/>
  <c r="AK1209" i="1"/>
  <c r="AL1176" i="1"/>
  <c r="AK1176" i="1"/>
  <c r="AL1184" i="1"/>
  <c r="AK1184" i="1"/>
  <c r="AR1195" i="1"/>
  <c r="AL1195" i="1"/>
  <c r="AK1195" i="1"/>
  <c r="AR1206" i="1"/>
  <c r="AR1222" i="1"/>
  <c r="AR1194" i="1"/>
  <c r="AR1198" i="1"/>
  <c r="AR1204" i="1"/>
  <c r="AR1212" i="1"/>
  <c r="AK1212" i="1"/>
  <c r="AR1220" i="1"/>
  <c r="AK1220" i="1"/>
  <c r="AR1203" i="1"/>
  <c r="AK1203" i="1"/>
  <c r="AR1211" i="1"/>
  <c r="AK1211" i="1"/>
  <c r="AR1219" i="1"/>
  <c r="AK1219" i="1"/>
  <c r="AR1192" i="1"/>
  <c r="AR1196" i="1"/>
  <c r="AR1200" i="1"/>
  <c r="AR1208" i="1"/>
  <c r="AR1216" i="1"/>
  <c r="AH14" i="1"/>
  <c r="AI14" i="1" s="1"/>
  <c r="AR19" i="1"/>
  <c r="AH22" i="1"/>
  <c r="AI22" i="1" s="1"/>
  <c r="AR21" i="1"/>
  <c r="AK21" i="1"/>
  <c r="AK14" i="1"/>
  <c r="AK15" i="1"/>
  <c r="AL14" i="1"/>
  <c r="AK22" i="1"/>
  <c r="AL22" i="1"/>
  <c r="AL18" i="1"/>
  <c r="AK16" i="1"/>
  <c r="AL17" i="1"/>
  <c r="AR20" i="1"/>
  <c r="AR18" i="1"/>
  <c r="AR16" i="1"/>
  <c r="AK20" i="1"/>
  <c r="AR17" i="1"/>
  <c r="AR15" i="1"/>
  <c r="AK19" i="1"/>
  <c r="AL20" i="1"/>
  <c r="AK135" i="1" l="1"/>
  <c r="AK876" i="1"/>
  <c r="AL838" i="1"/>
  <c r="AK104" i="1"/>
  <c r="AK381" i="1"/>
  <c r="AK346" i="1"/>
  <c r="AK642" i="1"/>
  <c r="AK631" i="1"/>
  <c r="AL179" i="1"/>
  <c r="AK505" i="1"/>
  <c r="AK446" i="1"/>
  <c r="AL909" i="1"/>
  <c r="AK1158" i="1"/>
  <c r="BR1191" i="1"/>
  <c r="BO1191" i="1"/>
  <c r="BR1102" i="1"/>
  <c r="BO1102" i="1"/>
  <c r="BR1086" i="1"/>
  <c r="BO1086" i="1"/>
  <c r="BR1070" i="1"/>
  <c r="BO1070" i="1"/>
  <c r="BR1111" i="1"/>
  <c r="BO1111" i="1"/>
  <c r="BR1095" i="1"/>
  <c r="BO1095" i="1"/>
  <c r="BR1079" i="1"/>
  <c r="BO1079" i="1"/>
  <c r="BR1061" i="1"/>
  <c r="BO1061" i="1"/>
  <c r="BR1022" i="1"/>
  <c r="BO1022" i="1"/>
  <c r="BR958" i="1"/>
  <c r="BO958" i="1"/>
  <c r="BR1052" i="1"/>
  <c r="BO1052" i="1"/>
  <c r="BR1036" i="1"/>
  <c r="BO1036" i="1"/>
  <c r="BR985" i="1"/>
  <c r="BO985" i="1"/>
  <c r="BR995" i="1"/>
  <c r="BO995" i="1"/>
  <c r="BR987" i="1"/>
  <c r="BO987" i="1"/>
  <c r="BR935" i="1"/>
  <c r="BO935" i="1"/>
  <c r="BR908" i="1"/>
  <c r="BO908" i="1"/>
  <c r="BR894" i="1"/>
  <c r="BO894" i="1"/>
  <c r="BR18" i="1"/>
  <c r="BO18" i="1"/>
  <c r="BR1208" i="1"/>
  <c r="BO1208" i="1"/>
  <c r="BR1194" i="1"/>
  <c r="BO1194" i="1"/>
  <c r="BR1202" i="1"/>
  <c r="BO1202" i="1"/>
  <c r="BR1207" i="1"/>
  <c r="BO1207" i="1"/>
  <c r="BR1100" i="1"/>
  <c r="BO1100" i="1"/>
  <c r="BR1084" i="1"/>
  <c r="BO1084" i="1"/>
  <c r="BR1063" i="1"/>
  <c r="BO1063" i="1"/>
  <c r="BR1109" i="1"/>
  <c r="BO1109" i="1"/>
  <c r="BR1093" i="1"/>
  <c r="BO1093" i="1"/>
  <c r="BR1085" i="1"/>
  <c r="BO1085" i="1"/>
  <c r="BR982" i="1"/>
  <c r="BO982" i="1"/>
  <c r="BR918" i="1"/>
  <c r="BO918" i="1"/>
  <c r="BR1042" i="1"/>
  <c r="BO1042" i="1"/>
  <c r="BR1057" i="1"/>
  <c r="BO1057" i="1"/>
  <c r="BR955" i="1"/>
  <c r="BO955" i="1"/>
  <c r="BR920" i="1"/>
  <c r="BO920" i="1"/>
  <c r="BR1007" i="1"/>
  <c r="BO1007" i="1"/>
  <c r="BR979" i="1"/>
  <c r="BO979" i="1"/>
  <c r="BR927" i="1"/>
  <c r="BO927" i="1"/>
  <c r="BR929" i="1"/>
  <c r="BO929" i="1"/>
  <c r="BR882" i="1"/>
  <c r="BO882" i="1"/>
  <c r="BR833" i="1"/>
  <c r="BO833" i="1"/>
  <c r="BR828" i="1"/>
  <c r="BO828" i="1"/>
  <c r="BR821" i="1"/>
  <c r="BO821" i="1"/>
  <c r="BR766" i="1"/>
  <c r="BO766" i="1"/>
  <c r="BR788" i="1"/>
  <c r="BO788" i="1"/>
  <c r="BR749" i="1"/>
  <c r="BO749" i="1"/>
  <c r="BR680" i="1"/>
  <c r="BO680" i="1"/>
  <c r="BR1203" i="1"/>
  <c r="BO1203" i="1"/>
  <c r="BR1163" i="1"/>
  <c r="BO1163" i="1"/>
  <c r="BR1059" i="1"/>
  <c r="BO1059" i="1"/>
  <c r="BR1051" i="1"/>
  <c r="BO1051" i="1"/>
  <c r="BR1010" i="1"/>
  <c r="BO1010" i="1"/>
  <c r="BR946" i="1"/>
  <c r="BO946" i="1"/>
  <c r="BR936" i="1"/>
  <c r="BO936" i="1"/>
  <c r="BR961" i="1"/>
  <c r="BO961" i="1"/>
  <c r="BR956" i="1"/>
  <c r="BO956" i="1"/>
  <c r="BR924" i="1"/>
  <c r="BO924" i="1"/>
  <c r="BR991" i="1"/>
  <c r="BO991" i="1"/>
  <c r="BR953" i="1"/>
  <c r="BO953" i="1"/>
  <c r="BR858" i="1"/>
  <c r="BO858" i="1"/>
  <c r="BR824" i="1"/>
  <c r="BO824" i="1"/>
  <c r="BR758" i="1"/>
  <c r="BO758" i="1"/>
  <c r="BR741" i="1"/>
  <c r="BO741" i="1"/>
  <c r="BR734" i="1"/>
  <c r="BO734" i="1"/>
  <c r="BR1196" i="1"/>
  <c r="BO1196" i="1"/>
  <c r="BR1206" i="1"/>
  <c r="BO1206" i="1"/>
  <c r="BR1199" i="1"/>
  <c r="BO1199" i="1"/>
  <c r="BR1106" i="1"/>
  <c r="BO1106" i="1"/>
  <c r="BR1090" i="1"/>
  <c r="BO1090" i="1"/>
  <c r="BR1074" i="1"/>
  <c r="BO1074" i="1"/>
  <c r="BR1153" i="1"/>
  <c r="BO1153" i="1"/>
  <c r="BR1099" i="1"/>
  <c r="BO1099" i="1"/>
  <c r="BR1083" i="1"/>
  <c r="BO1083" i="1"/>
  <c r="BR1006" i="1"/>
  <c r="BO1006" i="1"/>
  <c r="BR974" i="1"/>
  <c r="BO974" i="1"/>
  <c r="BR942" i="1"/>
  <c r="BO942" i="1"/>
  <c r="BR1048" i="1"/>
  <c r="BO1048" i="1"/>
  <c r="BR1032" i="1"/>
  <c r="BO1032" i="1"/>
  <c r="BR1030" i="1"/>
  <c r="BO1030" i="1"/>
  <c r="BR981" i="1"/>
  <c r="BO981" i="1"/>
  <c r="BR1001" i="1"/>
  <c r="BO1001" i="1"/>
  <c r="BR977" i="1"/>
  <c r="BO977" i="1"/>
  <c r="BR919" i="1"/>
  <c r="BO919" i="1"/>
  <c r="BR993" i="1"/>
  <c r="BO993" i="1"/>
  <c r="BR1024" i="1"/>
  <c r="BO1024" i="1"/>
  <c r="BR1192" i="1"/>
  <c r="BO1192" i="1"/>
  <c r="BR1210" i="1"/>
  <c r="BO1210" i="1"/>
  <c r="BR1183" i="1"/>
  <c r="BO1183" i="1"/>
  <c r="BR1181" i="1"/>
  <c r="BO1181" i="1"/>
  <c r="BR15" i="1"/>
  <c r="BO15" i="1"/>
  <c r="BR1197" i="1"/>
  <c r="BO1197" i="1"/>
  <c r="BR1221" i="1"/>
  <c r="BO1221" i="1"/>
  <c r="BR1151" i="1"/>
  <c r="BO1151" i="1"/>
  <c r="BR1193" i="1"/>
  <c r="BO1193" i="1"/>
  <c r="BR1175" i="1"/>
  <c r="BO1175" i="1"/>
  <c r="BR1112" i="1"/>
  <c r="BO1112" i="1"/>
  <c r="BR1104" i="1"/>
  <c r="BO1104" i="1"/>
  <c r="BR1096" i="1"/>
  <c r="BO1096" i="1"/>
  <c r="BR1088" i="1"/>
  <c r="BO1088" i="1"/>
  <c r="BR1080" i="1"/>
  <c r="BO1080" i="1"/>
  <c r="BR1072" i="1"/>
  <c r="BO1072" i="1"/>
  <c r="BR1105" i="1"/>
  <c r="BO1105" i="1"/>
  <c r="BR1097" i="1"/>
  <c r="BO1097" i="1"/>
  <c r="BR1089" i="1"/>
  <c r="BO1089" i="1"/>
  <c r="BR1081" i="1"/>
  <c r="BO1081" i="1"/>
  <c r="BR1073" i="1"/>
  <c r="BO1073" i="1"/>
  <c r="BR1068" i="1"/>
  <c r="BO1068" i="1"/>
  <c r="BR1049" i="1"/>
  <c r="BO1049" i="1"/>
  <c r="BR1033" i="1"/>
  <c r="BO1033" i="1"/>
  <c r="BR1025" i="1"/>
  <c r="BO1025" i="1"/>
  <c r="BR1029" i="1"/>
  <c r="BO1029" i="1"/>
  <c r="BR998" i="1"/>
  <c r="BO998" i="1"/>
  <c r="BR966" i="1"/>
  <c r="BO966" i="1"/>
  <c r="BR934" i="1"/>
  <c r="BO934" i="1"/>
  <c r="BR1046" i="1"/>
  <c r="BO1046" i="1"/>
  <c r="BR1038" i="1"/>
  <c r="BO1038" i="1"/>
  <c r="BR1150" i="1"/>
  <c r="BO1150" i="1"/>
  <c r="BR963" i="1"/>
  <c r="BO963" i="1"/>
  <c r="BR947" i="1"/>
  <c r="BO947" i="1"/>
  <c r="BR928" i="1"/>
  <c r="BO928" i="1"/>
  <c r="BR912" i="1"/>
  <c r="BO912" i="1"/>
  <c r="BR1056" i="1"/>
  <c r="BO1056" i="1"/>
  <c r="BR996" i="1"/>
  <c r="BO996" i="1"/>
  <c r="BR1021" i="1"/>
  <c r="BO1021" i="1"/>
  <c r="BR988" i="1"/>
  <c r="BO988" i="1"/>
  <c r="BR943" i="1"/>
  <c r="BO943" i="1"/>
  <c r="BR911" i="1"/>
  <c r="BO911" i="1"/>
  <c r="BR898" i="1"/>
  <c r="BO898" i="1"/>
  <c r="BR890" i="1"/>
  <c r="BO890" i="1"/>
  <c r="BR863" i="1"/>
  <c r="BO863" i="1"/>
  <c r="BR839" i="1"/>
  <c r="BO839" i="1"/>
  <c r="BR826" i="1"/>
  <c r="BO826" i="1"/>
  <c r="BR892" i="1"/>
  <c r="BO892" i="1"/>
  <c r="BR746" i="1"/>
  <c r="BO746" i="1"/>
  <c r="BR748" i="1"/>
  <c r="BO748" i="1"/>
  <c r="BR765" i="1"/>
  <c r="BO765" i="1"/>
  <c r="BR695" i="1"/>
  <c r="BO695" i="1"/>
  <c r="BR709" i="1"/>
  <c r="BO709" i="1"/>
  <c r="BR675" i="1"/>
  <c r="BO675" i="1"/>
  <c r="BR714" i="1"/>
  <c r="BO714" i="1"/>
  <c r="BR684" i="1"/>
  <c r="BO684" i="1"/>
  <c r="BR693" i="1"/>
  <c r="BO693" i="1"/>
  <c r="BR660" i="1"/>
  <c r="BO660" i="1"/>
  <c r="BR677" i="1"/>
  <c r="BO677" i="1"/>
  <c r="BR639" i="1"/>
  <c r="BO639" i="1"/>
  <c r="BR405" i="1"/>
  <c r="BO405" i="1"/>
  <c r="BR384" i="1"/>
  <c r="BO384" i="1"/>
  <c r="BR376" i="1"/>
  <c r="BO376" i="1"/>
  <c r="BR368" i="1"/>
  <c r="BO368" i="1"/>
  <c r="BR360" i="1"/>
  <c r="BO360" i="1"/>
  <c r="BR352" i="1"/>
  <c r="BO352" i="1"/>
  <c r="BR344" i="1"/>
  <c r="BO344" i="1"/>
  <c r="BR336" i="1"/>
  <c r="BO336" i="1"/>
  <c r="BR328" i="1"/>
  <c r="BO328" i="1"/>
  <c r="BR291" i="1"/>
  <c r="BO291" i="1"/>
  <c r="BR276" i="1"/>
  <c r="BO276" i="1"/>
  <c r="BR320" i="1"/>
  <c r="BO320" i="1"/>
  <c r="BR299" i="1"/>
  <c r="BO299" i="1"/>
  <c r="BR313" i="1"/>
  <c r="BO313" i="1"/>
  <c r="BR311" i="1"/>
  <c r="BO311" i="1"/>
  <c r="BR250" i="1"/>
  <c r="BO250" i="1"/>
  <c r="BR218" i="1"/>
  <c r="BO218" i="1"/>
  <c r="BR245" i="1"/>
  <c r="BO245" i="1"/>
  <c r="BR213" i="1"/>
  <c r="BO213" i="1"/>
  <c r="BR236" i="1"/>
  <c r="BO236" i="1"/>
  <c r="BR204" i="1"/>
  <c r="BO204" i="1"/>
  <c r="BR266" i="1"/>
  <c r="BO266" i="1"/>
  <c r="BR247" i="1"/>
  <c r="BO247" i="1"/>
  <c r="BR215" i="1"/>
  <c r="BO215" i="1"/>
  <c r="BR106" i="1"/>
  <c r="BO106" i="1"/>
  <c r="BR187" i="1"/>
  <c r="BO187" i="1"/>
  <c r="BR109" i="1"/>
  <c r="BO109" i="1"/>
  <c r="BR144" i="1"/>
  <c r="BO144" i="1"/>
  <c r="BR112" i="1"/>
  <c r="BO112" i="1"/>
  <c r="BR46" i="1"/>
  <c r="BO46" i="1"/>
  <c r="BR126" i="1"/>
  <c r="BO126" i="1"/>
  <c r="BR121" i="1"/>
  <c r="BO121" i="1"/>
  <c r="BR1170" i="1"/>
  <c r="BO1170" i="1"/>
  <c r="BR1127" i="1"/>
  <c r="BO1127" i="1"/>
  <c r="BR1129" i="1"/>
  <c r="BO1129" i="1"/>
  <c r="BR811" i="1"/>
  <c r="BO811" i="1"/>
  <c r="BR813" i="1"/>
  <c r="BO813" i="1"/>
  <c r="BR891" i="1"/>
  <c r="BO891" i="1"/>
  <c r="BR893" i="1"/>
  <c r="BO893" i="1"/>
  <c r="BR774" i="1"/>
  <c r="BO774" i="1"/>
  <c r="BR567" i="1"/>
  <c r="BO567" i="1"/>
  <c r="BR810" i="1"/>
  <c r="BO810" i="1"/>
  <c r="BR638" i="1"/>
  <c r="BO638" i="1"/>
  <c r="BR595" i="1"/>
  <c r="BO595" i="1"/>
  <c r="BR460" i="1"/>
  <c r="BO460" i="1"/>
  <c r="BR619" i="1"/>
  <c r="BO619" i="1"/>
  <c r="BR666" i="1"/>
  <c r="BO666" i="1"/>
  <c r="BR493" i="1"/>
  <c r="BO493" i="1"/>
  <c r="BR430" i="1"/>
  <c r="BO430" i="1"/>
  <c r="BR521" i="1"/>
  <c r="BO521" i="1"/>
  <c r="BR424" i="1"/>
  <c r="BO424" i="1"/>
  <c r="BR131" i="1"/>
  <c r="BO131" i="1"/>
  <c r="BR570" i="1"/>
  <c r="BO570" i="1"/>
  <c r="BR473" i="1"/>
  <c r="BO473" i="1"/>
  <c r="BR562" i="1"/>
  <c r="BO562" i="1"/>
  <c r="BR513" i="1"/>
  <c r="BO513" i="1"/>
  <c r="BR108" i="1"/>
  <c r="BO108" i="1"/>
  <c r="BR533" i="1"/>
  <c r="BO533" i="1"/>
  <c r="BR498" i="1"/>
  <c r="BO498" i="1"/>
  <c r="BR52" i="1"/>
  <c r="BO52" i="1"/>
  <c r="BR807" i="1"/>
  <c r="BO807" i="1"/>
  <c r="BR1134" i="1"/>
  <c r="BO1134" i="1"/>
  <c r="BR564" i="1"/>
  <c r="BO564" i="1"/>
  <c r="BR1135" i="1"/>
  <c r="BO1135" i="1"/>
  <c r="BR820" i="1"/>
  <c r="BO820" i="1"/>
  <c r="BR604" i="1"/>
  <c r="BO604" i="1"/>
  <c r="BR673" i="1"/>
  <c r="BO673" i="1"/>
  <c r="BR184" i="1"/>
  <c r="BO184" i="1"/>
  <c r="BR481" i="1"/>
  <c r="BO481" i="1"/>
  <c r="BR435" i="1"/>
  <c r="BO435" i="1"/>
  <c r="BR437" i="1"/>
  <c r="BO437" i="1"/>
  <c r="BR707" i="1"/>
  <c r="BO707" i="1"/>
  <c r="BR600" i="1"/>
  <c r="BO600" i="1"/>
  <c r="BR468" i="1"/>
  <c r="BO468" i="1"/>
  <c r="BR614" i="1"/>
  <c r="BO614" i="1"/>
  <c r="BR809" i="1"/>
  <c r="BO809" i="1"/>
  <c r="BR816" i="1"/>
  <c r="BO816" i="1"/>
  <c r="BR593" i="1"/>
  <c r="BO593" i="1"/>
  <c r="BR394" i="1"/>
  <c r="BO394" i="1"/>
  <c r="BR55" i="1"/>
  <c r="BO55" i="1"/>
  <c r="BR723" i="1"/>
  <c r="BO723" i="1"/>
  <c r="BR542" i="1"/>
  <c r="BO542" i="1"/>
  <c r="BR483" i="1"/>
  <c r="BO483" i="1"/>
  <c r="BR1149" i="1"/>
  <c r="BO1149" i="1"/>
  <c r="BR145" i="1"/>
  <c r="BO145" i="1"/>
  <c r="BR537" i="1"/>
  <c r="BO537" i="1"/>
  <c r="BR401" i="1"/>
  <c r="BO401" i="1"/>
  <c r="BR490" i="1"/>
  <c r="BO490" i="1"/>
  <c r="BR883" i="1"/>
  <c r="BO883" i="1"/>
  <c r="BR1204" i="1"/>
  <c r="BO1204" i="1"/>
  <c r="BR1179" i="1"/>
  <c r="BO1179" i="1"/>
  <c r="BR1110" i="1"/>
  <c r="BO1110" i="1"/>
  <c r="BR1094" i="1"/>
  <c r="BO1094" i="1"/>
  <c r="BR1078" i="1"/>
  <c r="BO1078" i="1"/>
  <c r="BR1103" i="1"/>
  <c r="BO1103" i="1"/>
  <c r="BR1087" i="1"/>
  <c r="BO1087" i="1"/>
  <c r="BR1071" i="1"/>
  <c r="BO1071" i="1"/>
  <c r="BR1037" i="1"/>
  <c r="BO1037" i="1"/>
  <c r="BR990" i="1"/>
  <c r="BO990" i="1"/>
  <c r="BR926" i="1"/>
  <c r="BO926" i="1"/>
  <c r="BR1044" i="1"/>
  <c r="BO1044" i="1"/>
  <c r="BR1062" i="1"/>
  <c r="BO1062" i="1"/>
  <c r="BR1008" i="1"/>
  <c r="BO1008" i="1"/>
  <c r="BR967" i="1"/>
  <c r="BO967" i="1"/>
  <c r="BR913" i="1"/>
  <c r="BO913" i="1"/>
  <c r="BR1167" i="1"/>
  <c r="BO1167" i="1"/>
  <c r="BR1217" i="1"/>
  <c r="BO1217" i="1"/>
  <c r="BR1108" i="1"/>
  <c r="BO1108" i="1"/>
  <c r="BR1092" i="1"/>
  <c r="BO1092" i="1"/>
  <c r="BR1076" i="1"/>
  <c r="BO1076" i="1"/>
  <c r="BR1101" i="1"/>
  <c r="BO1101" i="1"/>
  <c r="BR1077" i="1"/>
  <c r="BO1077" i="1"/>
  <c r="BR1041" i="1"/>
  <c r="BO1041" i="1"/>
  <c r="BR1014" i="1"/>
  <c r="BO1014" i="1"/>
  <c r="BR950" i="1"/>
  <c r="BO950" i="1"/>
  <c r="BR1050" i="1"/>
  <c r="BO1050" i="1"/>
  <c r="BR1034" i="1"/>
  <c r="BO1034" i="1"/>
  <c r="BR1065" i="1"/>
  <c r="BO1065" i="1"/>
  <c r="BR939" i="1"/>
  <c r="BO939" i="1"/>
  <c r="BR997" i="1"/>
  <c r="BO997" i="1"/>
  <c r="BR984" i="1"/>
  <c r="BO984" i="1"/>
  <c r="BR959" i="1"/>
  <c r="BO959" i="1"/>
  <c r="BR1064" i="1"/>
  <c r="BO1064" i="1"/>
  <c r="BR876" i="1"/>
  <c r="BO876" i="1"/>
  <c r="BR776" i="1"/>
  <c r="BO776" i="1"/>
  <c r="BR686" i="1"/>
  <c r="BO686" i="1"/>
  <c r="BR20" i="1"/>
  <c r="BO20" i="1"/>
  <c r="BR1200" i="1"/>
  <c r="BO1200" i="1"/>
  <c r="BR1222" i="1"/>
  <c r="BO1222" i="1"/>
  <c r="BR1189" i="1"/>
  <c r="BO1189" i="1"/>
  <c r="BR1035" i="1"/>
  <c r="BO1035" i="1"/>
  <c r="BR978" i="1"/>
  <c r="BO978" i="1"/>
  <c r="BR914" i="1"/>
  <c r="BO914" i="1"/>
  <c r="BR1003" i="1"/>
  <c r="BO1003" i="1"/>
  <c r="BR952" i="1"/>
  <c r="BO952" i="1"/>
  <c r="BR1016" i="1"/>
  <c r="BO1016" i="1"/>
  <c r="BR1000" i="1"/>
  <c r="BO1000" i="1"/>
  <c r="BR949" i="1"/>
  <c r="BO949" i="1"/>
  <c r="BR902" i="1"/>
  <c r="BO902" i="1"/>
  <c r="BR874" i="1"/>
  <c r="BO874" i="1"/>
  <c r="BR871" i="1"/>
  <c r="BO871" i="1"/>
  <c r="BR847" i="1"/>
  <c r="BO847" i="1"/>
  <c r="BR768" i="1"/>
  <c r="BO768" i="1"/>
  <c r="BR762" i="1"/>
  <c r="BO762" i="1"/>
  <c r="BR764" i="1"/>
  <c r="BO764" i="1"/>
  <c r="BR724" i="1"/>
  <c r="BO724" i="1"/>
  <c r="BR718" i="1"/>
  <c r="BO718" i="1"/>
  <c r="BR672" i="1"/>
  <c r="BO672" i="1"/>
  <c r="BR1159" i="1"/>
  <c r="BO1159" i="1"/>
  <c r="BR1201" i="1"/>
  <c r="BO1201" i="1"/>
  <c r="BR1173" i="1"/>
  <c r="BO1173" i="1"/>
  <c r="BR1069" i="1"/>
  <c r="BO1069" i="1"/>
  <c r="BR1098" i="1"/>
  <c r="BO1098" i="1"/>
  <c r="BR1082" i="1"/>
  <c r="BO1082" i="1"/>
  <c r="BR1055" i="1"/>
  <c r="BO1055" i="1"/>
  <c r="BR1107" i="1"/>
  <c r="BO1107" i="1"/>
  <c r="BR1091" i="1"/>
  <c r="BO1091" i="1"/>
  <c r="BR1075" i="1"/>
  <c r="BO1075" i="1"/>
  <c r="BR1045" i="1"/>
  <c r="BO1045" i="1"/>
  <c r="BR1053" i="1"/>
  <c r="BO1053" i="1"/>
  <c r="BR910" i="1"/>
  <c r="BO910" i="1"/>
  <c r="BR1040" i="1"/>
  <c r="BO1040" i="1"/>
  <c r="BR1027" i="1"/>
  <c r="BO1027" i="1"/>
  <c r="BR1009" i="1"/>
  <c r="BO1009" i="1"/>
  <c r="BR951" i="1"/>
  <c r="BO951" i="1"/>
  <c r="BR21" i="1"/>
  <c r="BO21" i="1"/>
  <c r="BR1220" i="1"/>
  <c r="BO1220" i="1"/>
  <c r="BR1209" i="1"/>
  <c r="BO1209" i="1"/>
  <c r="BR1215" i="1"/>
  <c r="BO1215" i="1"/>
  <c r="BR1155" i="1"/>
  <c r="BO1155" i="1"/>
  <c r="BR17" i="1"/>
  <c r="BO17" i="1"/>
  <c r="BR19" i="1"/>
  <c r="BO19" i="1"/>
  <c r="BR1219" i="1"/>
  <c r="BO1219" i="1"/>
  <c r="BR1212" i="1"/>
  <c r="BO1212" i="1"/>
  <c r="BR1195" i="1"/>
  <c r="BO1195" i="1"/>
  <c r="BR1205" i="1"/>
  <c r="BO1205" i="1"/>
  <c r="BR1147" i="1"/>
  <c r="BO1147" i="1"/>
  <c r="BR1213" i="1"/>
  <c r="BO1213" i="1"/>
  <c r="BR1043" i="1"/>
  <c r="BO1043" i="1"/>
  <c r="BR1060" i="1"/>
  <c r="BO1060" i="1"/>
  <c r="BR1026" i="1"/>
  <c r="BO1026" i="1"/>
  <c r="BR994" i="1"/>
  <c r="BO994" i="1"/>
  <c r="BR962" i="1"/>
  <c r="BO962" i="1"/>
  <c r="BR930" i="1"/>
  <c r="BO930" i="1"/>
  <c r="BR1066" i="1"/>
  <c r="BO1066" i="1"/>
  <c r="BR1017" i="1"/>
  <c r="BO1017" i="1"/>
  <c r="BR960" i="1"/>
  <c r="BO960" i="1"/>
  <c r="BR944" i="1"/>
  <c r="BO944" i="1"/>
  <c r="BR973" i="1"/>
  <c r="BO973" i="1"/>
  <c r="BR983" i="1"/>
  <c r="BO983" i="1"/>
  <c r="BR1019" i="1"/>
  <c r="BO1019" i="1"/>
  <c r="BR972" i="1"/>
  <c r="BO972" i="1"/>
  <c r="BR940" i="1"/>
  <c r="BO940" i="1"/>
  <c r="BR1012" i="1"/>
  <c r="BO1012" i="1"/>
  <c r="BR969" i="1"/>
  <c r="BO969" i="1"/>
  <c r="BR1005" i="1"/>
  <c r="BO1005" i="1"/>
  <c r="BR965" i="1"/>
  <c r="BO965" i="1"/>
  <c r="BR933" i="1"/>
  <c r="BO933" i="1"/>
  <c r="BR925" i="1"/>
  <c r="BO925" i="1"/>
  <c r="BR865" i="1"/>
  <c r="BO865" i="1"/>
  <c r="BR857" i="1"/>
  <c r="BO857" i="1"/>
  <c r="BR842" i="1"/>
  <c r="BO842" i="1"/>
  <c r="BR852" i="1"/>
  <c r="BO852" i="1"/>
  <c r="BR738" i="1"/>
  <c r="BO738" i="1"/>
  <c r="BR708" i="1"/>
  <c r="BO708" i="1"/>
  <c r="BR725" i="1"/>
  <c r="BO725" i="1"/>
  <c r="BR701" i="1"/>
  <c r="BO701" i="1"/>
  <c r="BR742" i="1"/>
  <c r="BO742" i="1"/>
  <c r="BR685" i="1"/>
  <c r="BO685" i="1"/>
  <c r="BR646" i="1"/>
  <c r="BO646" i="1"/>
  <c r="BR397" i="1"/>
  <c r="BO397" i="1"/>
  <c r="BR383" i="1"/>
  <c r="BO383" i="1"/>
  <c r="BR375" i="1"/>
  <c r="BO375" i="1"/>
  <c r="BR367" i="1"/>
  <c r="BO367" i="1"/>
  <c r="BR359" i="1"/>
  <c r="BO359" i="1"/>
  <c r="BR351" i="1"/>
  <c r="BO351" i="1"/>
  <c r="BR343" i="1"/>
  <c r="BO343" i="1"/>
  <c r="BR335" i="1"/>
  <c r="BO335" i="1"/>
  <c r="BR287" i="1"/>
  <c r="BO287" i="1"/>
  <c r="BR304" i="1"/>
  <c r="BO304" i="1"/>
  <c r="BR272" i="1"/>
  <c r="BO272" i="1"/>
  <c r="BR325" i="1"/>
  <c r="BO325" i="1"/>
  <c r="BR317" i="1"/>
  <c r="BO317" i="1"/>
  <c r="BR293" i="1"/>
  <c r="BO293" i="1"/>
  <c r="BR278" i="1"/>
  <c r="BO278" i="1"/>
  <c r="BR238" i="1"/>
  <c r="BO238" i="1"/>
  <c r="BR206" i="1"/>
  <c r="BO206" i="1"/>
  <c r="BR197" i="1"/>
  <c r="BO197" i="1"/>
  <c r="BR233" i="1"/>
  <c r="BO233" i="1"/>
  <c r="BR314" i="1"/>
  <c r="BO314" i="1"/>
  <c r="BR253" i="1"/>
  <c r="BO253" i="1"/>
  <c r="BR260" i="1"/>
  <c r="BO260" i="1"/>
  <c r="BR224" i="1"/>
  <c r="BO224" i="1"/>
  <c r="BR301" i="1"/>
  <c r="BO301" i="1"/>
  <c r="BR235" i="1"/>
  <c r="BO235" i="1"/>
  <c r="BR203" i="1"/>
  <c r="BO203" i="1"/>
  <c r="BR98" i="1"/>
  <c r="BO98" i="1"/>
  <c r="BR168" i="1"/>
  <c r="BO168" i="1"/>
  <c r="BR101" i="1"/>
  <c r="BO101" i="1"/>
  <c r="BR104" i="1"/>
  <c r="BO104" i="1"/>
  <c r="BR61" i="1"/>
  <c r="BO61" i="1"/>
  <c r="BR118" i="1"/>
  <c r="BO118" i="1"/>
  <c r="BR81" i="1"/>
  <c r="BO81" i="1"/>
  <c r="BR48" i="1"/>
  <c r="BO48" i="1"/>
  <c r="BR1186" i="1"/>
  <c r="BO1186" i="1"/>
  <c r="BR1130" i="1"/>
  <c r="BO1130" i="1"/>
  <c r="BR1138" i="1"/>
  <c r="BO1138" i="1"/>
  <c r="BR1115" i="1"/>
  <c r="BO1115" i="1"/>
  <c r="BR797" i="1"/>
  <c r="BO797" i="1"/>
  <c r="BR737" i="1"/>
  <c r="BO737" i="1"/>
  <c r="BR1144" i="1"/>
  <c r="BO1144" i="1"/>
  <c r="BR1141" i="1"/>
  <c r="BO1141" i="1"/>
  <c r="BR800" i="1"/>
  <c r="BO800" i="1"/>
  <c r="BR544" i="1"/>
  <c r="BO544" i="1"/>
  <c r="BR552" i="1"/>
  <c r="BO552" i="1"/>
  <c r="BR450" i="1"/>
  <c r="BO450" i="1"/>
  <c r="BR525" i="1"/>
  <c r="BO525" i="1"/>
  <c r="BR492" i="1"/>
  <c r="BO492" i="1"/>
  <c r="BR459" i="1"/>
  <c r="BO459" i="1"/>
  <c r="BR536" i="1"/>
  <c r="BO536" i="1"/>
  <c r="BR119" i="1"/>
  <c r="BO119" i="1"/>
  <c r="BR510" i="1"/>
  <c r="BO510" i="1"/>
  <c r="BR91" i="1"/>
  <c r="BO91" i="1"/>
  <c r="BR611" i="1"/>
  <c r="BO611" i="1"/>
  <c r="BR755" i="1"/>
  <c r="BO755" i="1"/>
  <c r="BR485" i="1"/>
  <c r="BO485" i="1"/>
  <c r="BR92" i="1"/>
  <c r="BO92" i="1"/>
  <c r="BR186" i="1"/>
  <c r="BO186" i="1"/>
  <c r="BR805" i="1"/>
  <c r="BO805" i="1"/>
  <c r="BR747" i="1"/>
  <c r="BO747" i="1"/>
  <c r="BR674" i="1"/>
  <c r="BO674" i="1"/>
  <c r="BR83" i="1"/>
  <c r="BO83" i="1"/>
  <c r="BR632" i="1"/>
  <c r="BO632" i="1"/>
  <c r="BR572" i="1"/>
  <c r="BO572" i="1"/>
  <c r="BR628" i="1"/>
  <c r="BO628" i="1"/>
  <c r="BR759" i="1"/>
  <c r="BO759" i="1"/>
  <c r="BR812" i="1"/>
  <c r="BO812" i="1"/>
  <c r="BR59" i="1"/>
  <c r="BO59" i="1"/>
  <c r="BR681" i="1"/>
  <c r="BO681" i="1"/>
  <c r="BR769" i="1"/>
  <c r="BO769" i="1"/>
  <c r="BR843" i="1"/>
  <c r="BO843" i="1"/>
  <c r="BR516" i="1"/>
  <c r="BO516" i="1"/>
  <c r="BR154" i="1"/>
  <c r="BO154" i="1"/>
  <c r="BR849" i="1"/>
  <c r="BO849" i="1"/>
  <c r="BR844" i="1"/>
  <c r="BO844" i="1"/>
  <c r="BR730" i="1"/>
  <c r="BO730" i="1"/>
  <c r="BR740" i="1"/>
  <c r="BO740" i="1"/>
  <c r="BR700" i="1"/>
  <c r="BO700" i="1"/>
  <c r="BR667" i="1"/>
  <c r="BO667" i="1"/>
  <c r="BR676" i="1"/>
  <c r="BO676" i="1"/>
  <c r="BR641" i="1"/>
  <c r="BO641" i="1"/>
  <c r="BR396" i="1"/>
  <c r="BO396" i="1"/>
  <c r="BR382" i="1"/>
  <c r="BO382" i="1"/>
  <c r="BR374" i="1"/>
  <c r="BO374" i="1"/>
  <c r="BR366" i="1"/>
  <c r="BO366" i="1"/>
  <c r="BR358" i="1"/>
  <c r="BO358" i="1"/>
  <c r="BR350" i="1"/>
  <c r="BO350" i="1"/>
  <c r="BR342" i="1"/>
  <c r="BO342" i="1"/>
  <c r="BR334" i="1"/>
  <c r="BO334" i="1"/>
  <c r="BR306" i="1"/>
  <c r="BO306" i="1"/>
  <c r="BR283" i="1"/>
  <c r="BO283" i="1"/>
  <c r="BR268" i="1"/>
  <c r="BO268" i="1"/>
  <c r="BR322" i="1"/>
  <c r="BO322" i="1"/>
  <c r="BR289" i="1"/>
  <c r="BO289" i="1"/>
  <c r="BR305" i="1"/>
  <c r="BO305" i="1"/>
  <c r="BR303" i="1"/>
  <c r="BO303" i="1"/>
  <c r="BR264" i="1"/>
  <c r="BO264" i="1"/>
  <c r="BR226" i="1"/>
  <c r="BO226" i="1"/>
  <c r="BR193" i="1"/>
  <c r="BO193" i="1"/>
  <c r="BR255" i="1"/>
  <c r="BO255" i="1"/>
  <c r="BR254" i="1"/>
  <c r="BO254" i="1"/>
  <c r="BR221" i="1"/>
  <c r="BO221" i="1"/>
  <c r="BR194" i="1"/>
  <c r="BO194" i="1"/>
  <c r="BR244" i="1"/>
  <c r="BO244" i="1"/>
  <c r="BR212" i="1"/>
  <c r="BO212" i="1"/>
  <c r="BR258" i="1"/>
  <c r="BO258" i="1"/>
  <c r="BR223" i="1"/>
  <c r="BO223" i="1"/>
  <c r="BR138" i="1"/>
  <c r="BO138" i="1"/>
  <c r="BR90" i="1"/>
  <c r="BO90" i="1"/>
  <c r="BR93" i="1"/>
  <c r="BO93" i="1"/>
  <c r="BR180" i="1"/>
  <c r="BO180" i="1"/>
  <c r="BR136" i="1"/>
  <c r="BO136" i="1"/>
  <c r="BR96" i="1"/>
  <c r="BO96" i="1"/>
  <c r="BR110" i="1"/>
  <c r="BO110" i="1"/>
  <c r="BR113" i="1"/>
  <c r="BO113" i="1"/>
  <c r="BR73" i="1"/>
  <c r="BO73" i="1"/>
  <c r="BR65" i="1"/>
  <c r="BO65" i="1"/>
  <c r="BR767" i="1"/>
  <c r="BO767" i="1"/>
  <c r="BR877" i="1"/>
  <c r="BO877" i="1"/>
  <c r="BR753" i="1"/>
  <c r="BO753" i="1"/>
  <c r="BR631" i="1"/>
  <c r="BO631" i="1"/>
  <c r="BR702" i="1"/>
  <c r="BO702" i="1"/>
  <c r="BR796" i="1"/>
  <c r="BO796" i="1"/>
  <c r="BR1143" i="1"/>
  <c r="BO1143" i="1"/>
  <c r="BR515" i="1"/>
  <c r="BO515" i="1"/>
  <c r="BR804" i="1"/>
  <c r="BO804" i="1"/>
  <c r="BR637" i="1"/>
  <c r="BO637" i="1"/>
  <c r="BR579" i="1"/>
  <c r="BO579" i="1"/>
  <c r="BR503" i="1"/>
  <c r="BO503" i="1"/>
  <c r="BR449" i="1"/>
  <c r="BO449" i="1"/>
  <c r="BR699" i="1"/>
  <c r="BO699" i="1"/>
  <c r="BR395" i="1"/>
  <c r="BO395" i="1"/>
  <c r="BR501" i="1"/>
  <c r="BO501" i="1"/>
  <c r="BR658" i="1"/>
  <c r="BO658" i="1"/>
  <c r="BR477" i="1"/>
  <c r="BO477" i="1"/>
  <c r="BR132" i="1"/>
  <c r="BO132" i="1"/>
  <c r="BR602" i="1"/>
  <c r="BO602" i="1"/>
  <c r="BR594" i="1"/>
  <c r="BO594" i="1"/>
  <c r="BR606" i="1"/>
  <c r="BO606" i="1"/>
  <c r="BR60" i="1"/>
  <c r="BO60" i="1"/>
  <c r="BR496" i="1"/>
  <c r="BO496" i="1"/>
  <c r="BR793" i="1"/>
  <c r="BO793" i="1"/>
  <c r="BR549" i="1"/>
  <c r="BO549" i="1"/>
  <c r="BR592" i="1"/>
  <c r="BO592" i="1"/>
  <c r="BR608" i="1"/>
  <c r="BO608" i="1"/>
  <c r="BR851" i="1"/>
  <c r="BO851" i="1"/>
  <c r="BR625" i="1"/>
  <c r="BO625" i="1"/>
  <c r="BR502" i="1"/>
  <c r="BO502" i="1"/>
  <c r="BR75" i="1"/>
  <c r="BO75" i="1"/>
  <c r="BR461" i="1"/>
  <c r="BO461" i="1"/>
  <c r="BR143" i="1"/>
  <c r="BO143" i="1"/>
  <c r="BR456" i="1"/>
  <c r="BO456" i="1"/>
  <c r="BR634" i="1"/>
  <c r="BO634" i="1"/>
  <c r="BR573" i="1"/>
  <c r="BO573" i="1"/>
  <c r="BR499" i="1"/>
  <c r="BO499" i="1"/>
  <c r="BR438" i="1"/>
  <c r="BO438" i="1"/>
  <c r="BR123" i="1"/>
  <c r="BO123" i="1"/>
  <c r="BR803" i="1"/>
  <c r="BO803" i="1"/>
  <c r="BR425" i="1"/>
  <c r="BO425" i="1"/>
  <c r="BR887" i="1"/>
  <c r="BO887" i="1"/>
  <c r="BR1166" i="1"/>
  <c r="BO1166" i="1"/>
  <c r="BR743" i="1"/>
  <c r="BO743" i="1"/>
  <c r="BR428" i="1"/>
  <c r="BO428" i="1"/>
  <c r="BR1152" i="1"/>
  <c r="BO1152" i="1"/>
  <c r="BR528" i="1"/>
  <c r="BO528" i="1"/>
  <c r="BR452" i="1"/>
  <c r="BO452" i="1"/>
  <c r="BR417" i="1"/>
  <c r="BO417" i="1"/>
  <c r="BR886" i="1"/>
  <c r="BO886" i="1"/>
  <c r="BR862" i="1"/>
  <c r="BO862" i="1"/>
  <c r="BR834" i="1"/>
  <c r="BO834" i="1"/>
  <c r="BR855" i="1"/>
  <c r="BO855" i="1"/>
  <c r="BR888" i="1"/>
  <c r="BO888" i="1"/>
  <c r="BR757" i="1"/>
  <c r="BO757" i="1"/>
  <c r="BR16" i="1"/>
  <c r="BO16" i="1"/>
  <c r="BR1216" i="1"/>
  <c r="BO1216" i="1"/>
  <c r="BR1211" i="1"/>
  <c r="BO1211" i="1"/>
  <c r="BR1198" i="1"/>
  <c r="BO1198" i="1"/>
  <c r="BR1218" i="1"/>
  <c r="BO1218" i="1"/>
  <c r="BR1171" i="1"/>
  <c r="BO1171" i="1"/>
  <c r="BR1214" i="1"/>
  <c r="BO1214" i="1"/>
  <c r="BR1187" i="1"/>
  <c r="BO1187" i="1"/>
  <c r="BR1067" i="1"/>
  <c r="BO1067" i="1"/>
  <c r="BR1157" i="1"/>
  <c r="BO1157" i="1"/>
  <c r="BR1154" i="1"/>
  <c r="BO1154" i="1"/>
  <c r="BR1047" i="1"/>
  <c r="BO1047" i="1"/>
  <c r="BR1028" i="1"/>
  <c r="BO1028" i="1"/>
  <c r="BR1058" i="1"/>
  <c r="BO1058" i="1"/>
  <c r="BR1018" i="1"/>
  <c r="BO1018" i="1"/>
  <c r="BR986" i="1"/>
  <c r="BO986" i="1"/>
  <c r="BR954" i="1"/>
  <c r="BO954" i="1"/>
  <c r="BR922" i="1"/>
  <c r="BO922" i="1"/>
  <c r="BR1004" i="1"/>
  <c r="BO1004" i="1"/>
  <c r="BR923" i="1"/>
  <c r="BO923" i="1"/>
  <c r="BR909" i="1"/>
  <c r="BO909" i="1"/>
  <c r="BR1054" i="1"/>
  <c r="BO1054" i="1"/>
  <c r="BR968" i="1"/>
  <c r="BO968" i="1"/>
  <c r="BR980" i="1"/>
  <c r="BO980" i="1"/>
  <c r="BR964" i="1"/>
  <c r="BO964" i="1"/>
  <c r="BR932" i="1"/>
  <c r="BO932" i="1"/>
  <c r="BR1013" i="1"/>
  <c r="BO1013" i="1"/>
  <c r="BR1011" i="1"/>
  <c r="BO1011" i="1"/>
  <c r="BR992" i="1"/>
  <c r="BO992" i="1"/>
  <c r="BR957" i="1"/>
  <c r="BO957" i="1"/>
  <c r="BR906" i="1"/>
  <c r="BO906" i="1"/>
  <c r="BR884" i="1"/>
  <c r="BO884" i="1"/>
  <c r="BR841" i="1"/>
  <c r="BO841" i="1"/>
  <c r="BR880" i="1"/>
  <c r="BO880" i="1"/>
  <c r="BR836" i="1"/>
  <c r="BO836" i="1"/>
  <c r="BR831" i="1"/>
  <c r="BO831" i="1"/>
  <c r="BR827" i="1"/>
  <c r="BO827" i="1"/>
  <c r="BR789" i="1"/>
  <c r="BO789" i="1"/>
  <c r="BR775" i="1"/>
  <c r="BO775" i="1"/>
  <c r="BR770" i="1"/>
  <c r="BO770" i="1"/>
  <c r="BR722" i="1"/>
  <c r="BO722" i="1"/>
  <c r="BR772" i="1"/>
  <c r="BO772" i="1"/>
  <c r="BR732" i="1"/>
  <c r="BO732" i="1"/>
  <c r="BR717" i="1"/>
  <c r="BO717" i="1"/>
  <c r="BR694" i="1"/>
  <c r="BO694" i="1"/>
  <c r="BR688" i="1"/>
  <c r="BO688" i="1"/>
  <c r="BR659" i="1"/>
  <c r="BO659" i="1"/>
  <c r="BR669" i="1"/>
  <c r="BO669" i="1"/>
  <c r="BR419" i="1"/>
  <c r="BO419" i="1"/>
  <c r="BR389" i="1"/>
  <c r="BO389" i="1"/>
  <c r="BR381" i="1"/>
  <c r="BO381" i="1"/>
  <c r="BR373" i="1"/>
  <c r="BO373" i="1"/>
  <c r="BR365" i="1"/>
  <c r="BO365" i="1"/>
  <c r="BR357" i="1"/>
  <c r="BO357" i="1"/>
  <c r="BR349" i="1"/>
  <c r="BO349" i="1"/>
  <c r="BR341" i="1"/>
  <c r="BO341" i="1"/>
  <c r="BR333" i="1"/>
  <c r="BO333" i="1"/>
  <c r="BR279" i="1"/>
  <c r="BO279" i="1"/>
  <c r="BR296" i="1"/>
  <c r="BO296" i="1"/>
  <c r="BR327" i="1"/>
  <c r="BO327" i="1"/>
  <c r="BR319" i="1"/>
  <c r="BO319" i="1"/>
  <c r="BR285" i="1"/>
  <c r="BO285" i="1"/>
  <c r="BR265" i="1"/>
  <c r="BO265" i="1"/>
  <c r="BR246" i="1"/>
  <c r="BO246" i="1"/>
  <c r="BR214" i="1"/>
  <c r="BO214" i="1"/>
  <c r="BR189" i="1"/>
  <c r="BO189" i="1"/>
  <c r="BR241" i="1"/>
  <c r="BO241" i="1"/>
  <c r="BR209" i="1"/>
  <c r="BO209" i="1"/>
  <c r="BR190" i="1"/>
  <c r="BO190" i="1"/>
  <c r="BR286" i="1"/>
  <c r="BO286" i="1"/>
  <c r="BR232" i="1"/>
  <c r="BO232" i="1"/>
  <c r="BR300" i="1"/>
  <c r="BO300" i="1"/>
  <c r="BR243" i="1"/>
  <c r="BO243" i="1"/>
  <c r="BR211" i="1"/>
  <c r="BO211" i="1"/>
  <c r="BR196" i="1"/>
  <c r="BO196" i="1"/>
  <c r="BR181" i="1"/>
  <c r="BO181" i="1"/>
  <c r="BR85" i="1"/>
  <c r="BO85" i="1"/>
  <c r="BR53" i="1"/>
  <c r="BO53" i="1"/>
  <c r="BR102" i="1"/>
  <c r="BO102" i="1"/>
  <c r="BR105" i="1"/>
  <c r="BO105" i="1"/>
  <c r="BR1146" i="1"/>
  <c r="BO1146" i="1"/>
  <c r="BR1140" i="1"/>
  <c r="BO1140" i="1"/>
  <c r="BR1116" i="1"/>
  <c r="BO1116" i="1"/>
  <c r="BR907" i="1"/>
  <c r="BO907" i="1"/>
  <c r="BR856" i="1"/>
  <c r="BO856" i="1"/>
  <c r="BR689" i="1"/>
  <c r="BO689" i="1"/>
  <c r="BR869" i="1"/>
  <c r="BO869" i="1"/>
  <c r="BR801" i="1"/>
  <c r="BO801" i="1"/>
  <c r="BR615" i="1"/>
  <c r="BO615" i="1"/>
  <c r="BR861" i="1"/>
  <c r="BO861" i="1"/>
  <c r="BR489" i="1"/>
  <c r="BO489" i="1"/>
  <c r="BR446" i="1"/>
  <c r="BO446" i="1"/>
  <c r="BR626" i="1"/>
  <c r="BO626" i="1"/>
  <c r="BR447" i="1"/>
  <c r="BO447" i="1"/>
  <c r="BR590" i="1"/>
  <c r="BO590" i="1"/>
  <c r="BR115" i="1"/>
  <c r="BO115" i="1"/>
  <c r="BR527" i="1"/>
  <c r="BO527" i="1"/>
  <c r="BR403" i="1"/>
  <c r="BO403" i="1"/>
  <c r="BR845" i="1"/>
  <c r="BO845" i="1"/>
  <c r="BR523" i="1"/>
  <c r="BO523" i="1"/>
  <c r="BR422" i="1"/>
  <c r="BO422" i="1"/>
  <c r="BR551" i="1"/>
  <c r="BO551" i="1"/>
  <c r="BR559" i="1"/>
  <c r="BO559" i="1"/>
  <c r="BR444" i="1"/>
  <c r="BO444" i="1"/>
  <c r="BR574" i="1"/>
  <c r="BO574" i="1"/>
  <c r="BR47" i="1"/>
  <c r="BO47" i="1"/>
  <c r="BR127" i="1"/>
  <c r="BO127" i="1"/>
  <c r="BR1137" i="1"/>
  <c r="BO1137" i="1"/>
  <c r="BR627" i="1"/>
  <c r="BO627" i="1"/>
  <c r="BR721" i="1"/>
  <c r="BO721" i="1"/>
  <c r="BR899" i="1"/>
  <c r="BO899" i="1"/>
  <c r="BR729" i="1"/>
  <c r="BO729" i="1"/>
  <c r="BR497" i="1"/>
  <c r="BO497" i="1"/>
  <c r="BR441" i="1"/>
  <c r="BO441" i="1"/>
  <c r="BR617" i="1"/>
  <c r="BO617" i="1"/>
  <c r="BR558" i="1"/>
  <c r="BO558" i="1"/>
  <c r="BR402" i="1"/>
  <c r="BO402" i="1"/>
  <c r="BR690" i="1"/>
  <c r="BO690" i="1"/>
  <c r="BR568" i="1"/>
  <c r="BO568" i="1"/>
  <c r="BR569" i="1"/>
  <c r="BO569" i="1"/>
  <c r="BR470" i="1"/>
  <c r="BO470" i="1"/>
  <c r="BR554" i="1"/>
  <c r="BO554" i="1"/>
  <c r="BR645" i="1"/>
  <c r="BO645" i="1"/>
  <c r="BR795" i="1"/>
  <c r="BO795" i="1"/>
  <c r="BR524" i="1"/>
  <c r="BO524" i="1"/>
  <c r="BR519" i="1"/>
  <c r="BO519" i="1"/>
  <c r="BR848" i="1"/>
  <c r="BO848" i="1"/>
  <c r="BR100" i="1"/>
  <c r="BO100" i="1"/>
  <c r="BR474" i="1"/>
  <c r="BO474" i="1"/>
  <c r="BR1124" i="1"/>
  <c r="BO1124" i="1"/>
  <c r="BR896" i="1"/>
  <c r="BO896" i="1"/>
  <c r="BR785" i="1"/>
  <c r="BO785" i="1"/>
  <c r="BR879" i="1"/>
  <c r="BO879" i="1"/>
  <c r="BR534" i="1"/>
  <c r="BO534" i="1"/>
  <c r="BR476" i="1"/>
  <c r="BO476" i="1"/>
  <c r="BR784" i="1"/>
  <c r="BO784" i="1"/>
  <c r="BR163" i="1"/>
  <c r="BO163" i="1"/>
  <c r="BR778" i="1"/>
  <c r="BO778" i="1"/>
  <c r="BR719" i="1"/>
  <c r="BO719" i="1"/>
  <c r="BR691" i="1"/>
  <c r="BO691" i="1"/>
  <c r="BR651" i="1"/>
  <c r="BO651" i="1"/>
  <c r="BR668" i="1"/>
  <c r="BO668" i="1"/>
  <c r="BR664" i="1"/>
  <c r="BO664" i="1"/>
  <c r="BR412" i="1"/>
  <c r="BO412" i="1"/>
  <c r="BR388" i="1"/>
  <c r="BO388" i="1"/>
  <c r="BR380" i="1"/>
  <c r="BO380" i="1"/>
  <c r="BR372" i="1"/>
  <c r="BO372" i="1"/>
  <c r="BR364" i="1"/>
  <c r="BO364" i="1"/>
  <c r="BR356" i="1"/>
  <c r="BO356" i="1"/>
  <c r="BR348" i="1"/>
  <c r="BO348" i="1"/>
  <c r="BR340" i="1"/>
  <c r="BO340" i="1"/>
  <c r="BR332" i="1"/>
  <c r="BO332" i="1"/>
  <c r="BR298" i="1"/>
  <c r="BO298" i="1"/>
  <c r="BR275" i="1"/>
  <c r="BO275" i="1"/>
  <c r="BR292" i="1"/>
  <c r="BO292" i="1"/>
  <c r="BR324" i="1"/>
  <c r="BO324" i="1"/>
  <c r="BR316" i="1"/>
  <c r="BO316" i="1"/>
  <c r="BR281" i="1"/>
  <c r="BO281" i="1"/>
  <c r="BR297" i="1"/>
  <c r="BO297" i="1"/>
  <c r="BR234" i="1"/>
  <c r="BO234" i="1"/>
  <c r="BR202" i="1"/>
  <c r="BO202" i="1"/>
  <c r="BR229" i="1"/>
  <c r="BO229" i="1"/>
  <c r="BR185" i="1"/>
  <c r="BO185" i="1"/>
  <c r="BR252" i="1"/>
  <c r="BO252" i="1"/>
  <c r="BR220" i="1"/>
  <c r="BO220" i="1"/>
  <c r="BR231" i="1"/>
  <c r="BO231" i="1"/>
  <c r="BR192" i="1"/>
  <c r="BO192" i="1"/>
  <c r="BR130" i="1"/>
  <c r="BO130" i="1"/>
  <c r="BR82" i="1"/>
  <c r="BO82" i="1"/>
  <c r="BR141" i="1"/>
  <c r="BO141" i="1"/>
  <c r="BR77" i="1"/>
  <c r="BO77" i="1"/>
  <c r="BR173" i="1"/>
  <c r="BO173" i="1"/>
  <c r="BR128" i="1"/>
  <c r="BO128" i="1"/>
  <c r="BR88" i="1"/>
  <c r="BO88" i="1"/>
  <c r="BR45" i="1"/>
  <c r="BO45" i="1"/>
  <c r="BR94" i="1"/>
  <c r="BO94" i="1"/>
  <c r="BR70" i="1"/>
  <c r="BO70" i="1"/>
  <c r="BR183" i="1"/>
  <c r="BO183" i="1"/>
  <c r="BR1178" i="1"/>
  <c r="BO1178" i="1"/>
  <c r="BR1174" i="1"/>
  <c r="BO1174" i="1"/>
  <c r="BR1169" i="1"/>
  <c r="BO1169" i="1"/>
  <c r="BR713" i="1"/>
  <c r="BO713" i="1"/>
  <c r="BR840" i="1"/>
  <c r="BO840" i="1"/>
  <c r="BR635" i="1"/>
  <c r="BO635" i="1"/>
  <c r="BR808" i="1"/>
  <c r="BO808" i="1"/>
  <c r="BR610" i="1"/>
  <c r="BO610" i="1"/>
  <c r="BR563" i="1"/>
  <c r="BO563" i="1"/>
  <c r="BR548" i="1"/>
  <c r="BO548" i="1"/>
  <c r="BR488" i="1"/>
  <c r="BO488" i="1"/>
  <c r="BR407" i="1"/>
  <c r="BO407" i="1"/>
  <c r="BR671" i="1"/>
  <c r="BO671" i="1"/>
  <c r="BR469" i="1"/>
  <c r="BO469" i="1"/>
  <c r="BR427" i="1"/>
  <c r="BO427" i="1"/>
  <c r="BR103" i="1"/>
  <c r="BO103" i="1"/>
  <c r="BR547" i="1"/>
  <c r="BO547" i="1"/>
  <c r="BR410" i="1"/>
  <c r="BO410" i="1"/>
  <c r="BR445" i="1"/>
  <c r="BO445" i="1"/>
  <c r="BR586" i="1"/>
  <c r="BO586" i="1"/>
  <c r="BR457" i="1"/>
  <c r="BO457" i="1"/>
  <c r="BR578" i="1"/>
  <c r="BO578" i="1"/>
  <c r="BR458" i="1"/>
  <c r="BO458" i="1"/>
  <c r="BR66" i="1"/>
  <c r="BO66" i="1"/>
  <c r="BR84" i="1"/>
  <c r="BO84" i="1"/>
  <c r="BR814" i="1"/>
  <c r="BO814" i="1"/>
  <c r="BR585" i="1"/>
  <c r="BO585" i="1"/>
  <c r="BR541" i="1"/>
  <c r="BO541" i="1"/>
  <c r="BR650" i="1"/>
  <c r="BO650" i="1"/>
  <c r="BR823" i="1"/>
  <c r="BO823" i="1"/>
  <c r="BR565" i="1"/>
  <c r="BO565" i="1"/>
  <c r="BR50" i="1"/>
  <c r="BO50" i="1"/>
  <c r="BR442" i="1"/>
  <c r="BO442" i="1"/>
  <c r="BR111" i="1"/>
  <c r="BO111" i="1"/>
  <c r="BR511" i="1"/>
  <c r="BO511" i="1"/>
  <c r="BR506" i="1"/>
  <c r="BO506" i="1"/>
  <c r="BR538" i="1"/>
  <c r="BO538" i="1"/>
  <c r="BR605" i="1"/>
  <c r="BO605" i="1"/>
  <c r="BR739" i="1"/>
  <c r="BO739" i="1"/>
  <c r="BR99" i="1"/>
  <c r="BO99" i="1"/>
  <c r="BR829" i="1"/>
  <c r="BO829" i="1"/>
  <c r="BR465" i="1"/>
  <c r="BO465" i="1"/>
  <c r="BR68" i="1"/>
  <c r="BO68" i="1"/>
  <c r="BR589" i="1"/>
  <c r="BO589" i="1"/>
  <c r="BR51" i="1"/>
  <c r="BO51" i="1"/>
  <c r="BR161" i="1"/>
  <c r="BO161" i="1"/>
  <c r="BR1160" i="1"/>
  <c r="BO1160" i="1"/>
  <c r="BR696" i="1"/>
  <c r="BO696" i="1"/>
  <c r="BR654" i="1"/>
  <c r="BO654" i="1"/>
  <c r="BR411" i="1"/>
  <c r="BO411" i="1"/>
  <c r="BR420" i="1"/>
  <c r="BO420" i="1"/>
  <c r="BR387" i="1"/>
  <c r="BO387" i="1"/>
  <c r="BR379" i="1"/>
  <c r="BO379" i="1"/>
  <c r="BR371" i="1"/>
  <c r="BO371" i="1"/>
  <c r="BR363" i="1"/>
  <c r="BO363" i="1"/>
  <c r="BR355" i="1"/>
  <c r="BO355" i="1"/>
  <c r="BR347" i="1"/>
  <c r="BO347" i="1"/>
  <c r="BR339" i="1"/>
  <c r="BO339" i="1"/>
  <c r="BR331" i="1"/>
  <c r="BO331" i="1"/>
  <c r="BR271" i="1"/>
  <c r="BO271" i="1"/>
  <c r="BR288" i="1"/>
  <c r="BO288" i="1"/>
  <c r="BR321" i="1"/>
  <c r="BO321" i="1"/>
  <c r="BR277" i="1"/>
  <c r="BO277" i="1"/>
  <c r="BR309" i="1"/>
  <c r="BO309" i="1"/>
  <c r="BR256" i="1"/>
  <c r="BO256" i="1"/>
  <c r="BR222" i="1"/>
  <c r="BO222" i="1"/>
  <c r="BR270" i="1"/>
  <c r="BO270" i="1"/>
  <c r="BR282" i="1"/>
  <c r="BO282" i="1"/>
  <c r="BR249" i="1"/>
  <c r="BO249" i="1"/>
  <c r="BR217" i="1"/>
  <c r="BO217" i="1"/>
  <c r="BR290" i="1"/>
  <c r="BO290" i="1"/>
  <c r="BR240" i="1"/>
  <c r="BO240" i="1"/>
  <c r="BR208" i="1"/>
  <c r="BO208" i="1"/>
  <c r="BR195" i="1"/>
  <c r="BO195" i="1"/>
  <c r="BR251" i="1"/>
  <c r="BO251" i="1"/>
  <c r="BR219" i="1"/>
  <c r="BO219" i="1"/>
  <c r="BR188" i="1"/>
  <c r="BO188" i="1"/>
  <c r="BR122" i="1"/>
  <c r="BO122" i="1"/>
  <c r="BR182" i="1"/>
  <c r="BO182" i="1"/>
  <c r="BR133" i="1"/>
  <c r="BO133" i="1"/>
  <c r="BR80" i="1"/>
  <c r="BO80" i="1"/>
  <c r="BR54" i="1"/>
  <c r="BO54" i="1"/>
  <c r="BR86" i="1"/>
  <c r="BO86" i="1"/>
  <c r="BR137" i="1"/>
  <c r="BO137" i="1"/>
  <c r="BR97" i="1"/>
  <c r="BO97" i="1"/>
  <c r="BR64" i="1"/>
  <c r="BO64" i="1"/>
  <c r="BR57" i="1"/>
  <c r="BO57" i="1"/>
  <c r="BR1161" i="1"/>
  <c r="BO1161" i="1"/>
  <c r="BR745" i="1"/>
  <c r="BO745" i="1"/>
  <c r="BR905" i="1"/>
  <c r="BO905" i="1"/>
  <c r="BR794" i="1"/>
  <c r="BO794" i="1"/>
  <c r="BR642" i="1"/>
  <c r="BO642" i="1"/>
  <c r="BR599" i="1"/>
  <c r="BO599" i="1"/>
  <c r="BR555" i="1"/>
  <c r="BO555" i="1"/>
  <c r="BR487" i="1"/>
  <c r="BO487" i="1"/>
  <c r="BR540" i="1"/>
  <c r="BO540" i="1"/>
  <c r="BR622" i="1"/>
  <c r="BO622" i="1"/>
  <c r="BR532" i="1"/>
  <c r="BO532" i="1"/>
  <c r="BR463" i="1"/>
  <c r="BO463" i="1"/>
  <c r="BR58" i="1"/>
  <c r="BO58" i="1"/>
  <c r="BR591" i="1"/>
  <c r="BO591" i="1"/>
  <c r="BR520" i="1"/>
  <c r="BO520" i="1"/>
  <c r="BR603" i="1"/>
  <c r="BO603" i="1"/>
  <c r="BR436" i="1"/>
  <c r="BO436" i="1"/>
  <c r="BR431" i="1"/>
  <c r="BO431" i="1"/>
  <c r="BR514" i="1"/>
  <c r="BO514" i="1"/>
  <c r="BR682" i="1"/>
  <c r="BO682" i="1"/>
  <c r="BR798" i="1"/>
  <c r="BO798" i="1"/>
  <c r="BR584" i="1"/>
  <c r="BO584" i="1"/>
  <c r="BR643" i="1"/>
  <c r="BO643" i="1"/>
  <c r="BR582" i="1"/>
  <c r="BO582" i="1"/>
  <c r="BR443" i="1"/>
  <c r="BO443" i="1"/>
  <c r="BR426" i="1"/>
  <c r="BO426" i="1"/>
  <c r="BR616" i="1"/>
  <c r="BO616" i="1"/>
  <c r="BR484" i="1"/>
  <c r="BO484" i="1"/>
  <c r="BR95" i="1"/>
  <c r="BO95" i="1"/>
  <c r="BR429" i="1"/>
  <c r="BO429" i="1"/>
  <c r="BR560" i="1"/>
  <c r="BO560" i="1"/>
  <c r="BR531" i="1"/>
  <c r="BO531" i="1"/>
  <c r="BR761" i="1"/>
  <c r="BO761" i="1"/>
  <c r="BR546" i="1"/>
  <c r="BO546" i="1"/>
  <c r="BR806" i="1"/>
  <c r="BO806" i="1"/>
  <c r="BR763" i="1"/>
  <c r="BO763" i="1"/>
  <c r="BR466" i="1"/>
  <c r="BO466" i="1"/>
  <c r="BR455" i="1"/>
  <c r="BO455" i="1"/>
  <c r="BR633" i="1"/>
  <c r="BO633" i="1"/>
  <c r="BR782" i="1"/>
  <c r="BO782" i="1"/>
  <c r="BR421" i="1"/>
  <c r="BO421" i="1"/>
  <c r="BR390" i="1"/>
  <c r="BO390" i="1"/>
  <c r="BR786" i="1"/>
  <c r="BO786" i="1"/>
  <c r="BR158" i="1"/>
  <c r="BO158" i="1"/>
  <c r="BR727" i="1"/>
  <c r="BO727" i="1"/>
  <c r="BR151" i="1"/>
  <c r="BO151" i="1"/>
  <c r="BR878" i="1"/>
  <c r="BO878" i="1"/>
  <c r="BR760" i="1"/>
  <c r="BO760" i="1"/>
  <c r="BR756" i="1"/>
  <c r="BO756" i="1"/>
  <c r="BR773" i="1"/>
  <c r="BO773" i="1"/>
  <c r="BR751" i="1"/>
  <c r="BO751" i="1"/>
  <c r="BR692" i="1"/>
  <c r="BO692" i="1"/>
  <c r="BR710" i="1"/>
  <c r="BO710" i="1"/>
  <c r="BR652" i="1"/>
  <c r="BO652" i="1"/>
  <c r="BR644" i="1"/>
  <c r="BO644" i="1"/>
  <c r="BR413" i="1"/>
  <c r="BO413" i="1"/>
  <c r="BR386" i="1"/>
  <c r="BO386" i="1"/>
  <c r="BR378" i="1"/>
  <c r="BO378" i="1"/>
  <c r="BR370" i="1"/>
  <c r="BO370" i="1"/>
  <c r="BR362" i="1"/>
  <c r="BO362" i="1"/>
  <c r="BR354" i="1"/>
  <c r="BO354" i="1"/>
  <c r="BR346" i="1"/>
  <c r="BO346" i="1"/>
  <c r="BR338" i="1"/>
  <c r="BO338" i="1"/>
  <c r="BR330" i="1"/>
  <c r="BO330" i="1"/>
  <c r="BR267" i="1"/>
  <c r="BO267" i="1"/>
  <c r="BR284" i="1"/>
  <c r="BO284" i="1"/>
  <c r="BR326" i="1"/>
  <c r="BO326" i="1"/>
  <c r="BR318" i="1"/>
  <c r="BO318" i="1"/>
  <c r="BR310" i="1"/>
  <c r="BO310" i="1"/>
  <c r="BR273" i="1"/>
  <c r="BO273" i="1"/>
  <c r="BR257" i="1"/>
  <c r="BO257" i="1"/>
  <c r="BR242" i="1"/>
  <c r="BO242" i="1"/>
  <c r="BR210" i="1"/>
  <c r="BO210" i="1"/>
  <c r="BR237" i="1"/>
  <c r="BO237" i="1"/>
  <c r="BR205" i="1"/>
  <c r="BO205" i="1"/>
  <c r="BR315" i="1"/>
  <c r="BO315" i="1"/>
  <c r="BR261" i="1"/>
  <c r="BO261" i="1"/>
  <c r="BR228" i="1"/>
  <c r="BO228" i="1"/>
  <c r="BR191" i="1"/>
  <c r="BO191" i="1"/>
  <c r="BR294" i="1"/>
  <c r="BO294" i="1"/>
  <c r="BR239" i="1"/>
  <c r="BO239" i="1"/>
  <c r="BR207" i="1"/>
  <c r="BO207" i="1"/>
  <c r="BR74" i="1"/>
  <c r="BO74" i="1"/>
  <c r="BR176" i="1"/>
  <c r="BO176" i="1"/>
  <c r="BR125" i="1"/>
  <c r="BO125" i="1"/>
  <c r="BR120" i="1"/>
  <c r="BO120" i="1"/>
  <c r="BR72" i="1"/>
  <c r="BO72" i="1"/>
  <c r="BR69" i="1"/>
  <c r="BO69" i="1"/>
  <c r="BR142" i="1"/>
  <c r="BO142" i="1"/>
  <c r="BR1114" i="1"/>
  <c r="BO1114" i="1"/>
  <c r="BR1118" i="1"/>
  <c r="BO1118" i="1"/>
  <c r="BR1117" i="1"/>
  <c r="BO1117" i="1"/>
  <c r="BR819" i="1"/>
  <c r="BO819" i="1"/>
  <c r="BR744" i="1"/>
  <c r="BO744" i="1"/>
  <c r="BR1121" i="1"/>
  <c r="BO1121" i="1"/>
  <c r="BR881" i="1"/>
  <c r="BO881" i="1"/>
  <c r="BR1113" i="1"/>
  <c r="BO1113" i="1"/>
  <c r="BR815" i="1"/>
  <c r="BO815" i="1"/>
  <c r="BR731" i="1"/>
  <c r="BO731" i="1"/>
  <c r="BR835" i="1"/>
  <c r="BO835" i="1"/>
  <c r="BR802" i="1"/>
  <c r="BO802" i="1"/>
  <c r="BR771" i="1"/>
  <c r="BO771" i="1"/>
  <c r="BR539" i="1"/>
  <c r="BO539" i="1"/>
  <c r="BR507" i="1"/>
  <c r="BO507" i="1"/>
  <c r="BR439" i="1"/>
  <c r="BO439" i="1"/>
  <c r="BR587" i="1"/>
  <c r="BO587" i="1"/>
  <c r="BR480" i="1"/>
  <c r="BO480" i="1"/>
  <c r="BR509" i="1"/>
  <c r="BO509" i="1"/>
  <c r="BR1145" i="1"/>
  <c r="BO1145" i="1"/>
  <c r="BR530" i="1"/>
  <c r="BO530" i="1"/>
  <c r="BR399" i="1"/>
  <c r="BO399" i="1"/>
  <c r="BR571" i="1"/>
  <c r="BO571" i="1"/>
  <c r="BR618" i="1"/>
  <c r="BO618" i="1"/>
  <c r="BR139" i="1"/>
  <c r="BO139" i="1"/>
  <c r="BR897" i="1"/>
  <c r="BO897" i="1"/>
  <c r="BR665" i="1"/>
  <c r="BO665" i="1"/>
  <c r="BR580" i="1"/>
  <c r="BO580" i="1"/>
  <c r="BR467" i="1"/>
  <c r="BO467" i="1"/>
  <c r="BR479" i="1"/>
  <c r="BO479" i="1"/>
  <c r="BR423" i="1"/>
  <c r="BO423" i="1"/>
  <c r="BR561" i="1"/>
  <c r="BO561" i="1"/>
  <c r="BR482" i="1"/>
  <c r="BO482" i="1"/>
  <c r="BR140" i="1"/>
  <c r="BO140" i="1"/>
  <c r="BR495" i="1"/>
  <c r="BO495" i="1"/>
  <c r="BR87" i="1"/>
  <c r="BO87" i="1"/>
  <c r="BR529" i="1"/>
  <c r="BO529" i="1"/>
  <c r="BR432" i="1"/>
  <c r="BO432" i="1"/>
  <c r="BR124" i="1"/>
  <c r="BO124" i="1"/>
  <c r="BR433" i="1"/>
  <c r="BO433" i="1"/>
  <c r="BR1128" i="1"/>
  <c r="BO1128" i="1"/>
  <c r="BR517" i="1"/>
  <c r="BO517" i="1"/>
  <c r="BR752" i="1"/>
  <c r="BO752" i="1"/>
  <c r="BR715" i="1"/>
  <c r="BO715" i="1"/>
  <c r="BR116" i="1"/>
  <c r="BO116" i="1"/>
  <c r="BR545" i="1"/>
  <c r="BO545" i="1"/>
  <c r="BR588" i="1"/>
  <c r="BO588" i="1"/>
  <c r="BR799" i="1"/>
  <c r="BO799" i="1"/>
  <c r="BR577" i="1"/>
  <c r="BO577" i="1"/>
  <c r="BR454" i="1"/>
  <c r="BO454" i="1"/>
  <c r="BR107" i="1"/>
  <c r="BO107" i="1"/>
  <c r="BR581" i="1"/>
  <c r="BO581" i="1"/>
  <c r="BR535" i="1"/>
  <c r="BO535" i="1"/>
  <c r="BR149" i="1"/>
  <c r="BO149" i="1"/>
  <c r="BR434" i="1"/>
  <c r="BO434" i="1"/>
  <c r="BR895" i="1"/>
  <c r="BO895" i="1"/>
  <c r="BR491" i="1"/>
  <c r="BO491" i="1"/>
  <c r="BR63" i="1"/>
  <c r="BO63" i="1"/>
  <c r="BR873" i="1"/>
  <c r="BO873" i="1"/>
  <c r="BR825" i="1"/>
  <c r="BO825" i="1"/>
  <c r="BR750" i="1"/>
  <c r="BO750" i="1"/>
  <c r="BR683" i="1"/>
  <c r="BO683" i="1"/>
  <c r="BR1039" i="1"/>
  <c r="BO1039" i="1"/>
  <c r="BR1031" i="1"/>
  <c r="BO1031" i="1"/>
  <c r="BR1002" i="1"/>
  <c r="BO1002" i="1"/>
  <c r="BR970" i="1"/>
  <c r="BO970" i="1"/>
  <c r="BR938" i="1"/>
  <c r="BO938" i="1"/>
  <c r="BR1023" i="1"/>
  <c r="BO1023" i="1"/>
  <c r="BR931" i="1"/>
  <c r="BO931" i="1"/>
  <c r="BR915" i="1"/>
  <c r="BO915" i="1"/>
  <c r="BR1015" i="1"/>
  <c r="BO1015" i="1"/>
  <c r="BR975" i="1"/>
  <c r="BO975" i="1"/>
  <c r="BR989" i="1"/>
  <c r="BO989" i="1"/>
  <c r="BR1020" i="1"/>
  <c r="BO1020" i="1"/>
  <c r="BR948" i="1"/>
  <c r="BO948" i="1"/>
  <c r="BR916" i="1"/>
  <c r="BO916" i="1"/>
  <c r="BR999" i="1"/>
  <c r="BO999" i="1"/>
  <c r="BR971" i="1"/>
  <c r="BO971" i="1"/>
  <c r="BR976" i="1"/>
  <c r="BO976" i="1"/>
  <c r="BR941" i="1"/>
  <c r="BO941" i="1"/>
  <c r="BR921" i="1"/>
  <c r="BO921" i="1"/>
  <c r="BR900" i="1"/>
  <c r="BO900" i="1"/>
  <c r="BR937" i="1"/>
  <c r="BO937" i="1"/>
  <c r="BR870" i="1"/>
  <c r="BO870" i="1"/>
  <c r="BR866" i="1"/>
  <c r="BO866" i="1"/>
  <c r="BR945" i="1"/>
  <c r="BO945" i="1"/>
  <c r="BR850" i="1"/>
  <c r="BO850" i="1"/>
  <c r="BR822" i="1"/>
  <c r="BO822" i="1"/>
  <c r="BR777" i="1"/>
  <c r="BO777" i="1"/>
  <c r="BR754" i="1"/>
  <c r="BO754" i="1"/>
  <c r="BR716" i="1"/>
  <c r="BO716" i="1"/>
  <c r="BR733" i="1"/>
  <c r="BO733" i="1"/>
  <c r="BR726" i="1"/>
  <c r="BO726" i="1"/>
  <c r="BR703" i="1"/>
  <c r="BO703" i="1"/>
  <c r="BR636" i="1"/>
  <c r="BO636" i="1"/>
  <c r="BR404" i="1"/>
  <c r="BO404" i="1"/>
  <c r="BR385" i="1"/>
  <c r="BO385" i="1"/>
  <c r="BR377" i="1"/>
  <c r="BO377" i="1"/>
  <c r="BR369" i="1"/>
  <c r="BO369" i="1"/>
  <c r="BR361" i="1"/>
  <c r="BO361" i="1"/>
  <c r="BR353" i="1"/>
  <c r="BO353" i="1"/>
  <c r="BR345" i="1"/>
  <c r="BO345" i="1"/>
  <c r="BR337" i="1"/>
  <c r="BO337" i="1"/>
  <c r="BR329" i="1"/>
  <c r="BO329" i="1"/>
  <c r="BR295" i="1"/>
  <c r="BO295" i="1"/>
  <c r="BR312" i="1"/>
  <c r="BO312" i="1"/>
  <c r="BR280" i="1"/>
  <c r="BO280" i="1"/>
  <c r="BR323" i="1"/>
  <c r="BO323" i="1"/>
  <c r="BR307" i="1"/>
  <c r="BO307" i="1"/>
  <c r="BR302" i="1"/>
  <c r="BO302" i="1"/>
  <c r="BR269" i="1"/>
  <c r="BO269" i="1"/>
  <c r="BR308" i="1"/>
  <c r="BO308" i="1"/>
  <c r="BR230" i="1"/>
  <c r="BO230" i="1"/>
  <c r="BR263" i="1"/>
  <c r="BO263" i="1"/>
  <c r="BR262" i="1"/>
  <c r="BO262" i="1"/>
  <c r="BR225" i="1"/>
  <c r="BO225" i="1"/>
  <c r="BR274" i="1"/>
  <c r="BO274" i="1"/>
  <c r="BR248" i="1"/>
  <c r="BO248" i="1"/>
  <c r="BR216" i="1"/>
  <c r="BO216" i="1"/>
  <c r="BR227" i="1"/>
  <c r="BO227" i="1"/>
  <c r="BR259" i="1"/>
  <c r="BO259" i="1"/>
  <c r="BR114" i="1"/>
  <c r="BO114" i="1"/>
  <c r="BR117" i="1"/>
  <c r="BO117" i="1"/>
  <c r="BR71" i="1"/>
  <c r="BO71" i="1"/>
  <c r="BR165" i="1"/>
  <c r="BO165" i="1"/>
  <c r="BR199" i="1"/>
  <c r="BO199" i="1"/>
  <c r="BR62" i="1"/>
  <c r="BO62" i="1"/>
  <c r="BR134" i="1"/>
  <c r="BO134" i="1"/>
  <c r="BR129" i="1"/>
  <c r="BO129" i="1"/>
  <c r="BR89" i="1"/>
  <c r="BO89" i="1"/>
  <c r="BR56" i="1"/>
  <c r="BO56" i="1"/>
  <c r="BR49" i="1"/>
  <c r="BO49" i="1"/>
  <c r="BR1123" i="1"/>
  <c r="BO1123" i="1"/>
  <c r="BR1139" i="1"/>
  <c r="BO1139" i="1"/>
  <c r="BR1122" i="1"/>
  <c r="BO1122" i="1"/>
  <c r="BR1125" i="1"/>
  <c r="BO1125" i="1"/>
  <c r="BR818" i="1"/>
  <c r="BO818" i="1"/>
  <c r="BR1158" i="1"/>
  <c r="BO1158" i="1"/>
  <c r="BR832" i="1"/>
  <c r="BO832" i="1"/>
  <c r="BR817" i="1"/>
  <c r="BO817" i="1"/>
  <c r="BR1119" i="1"/>
  <c r="BO1119" i="1"/>
  <c r="BR1120" i="1"/>
  <c r="BO1120" i="1"/>
  <c r="BR583" i="1"/>
  <c r="BO583" i="1"/>
  <c r="BR623" i="1"/>
  <c r="BO623" i="1"/>
  <c r="BR607" i="1"/>
  <c r="BO607" i="1"/>
  <c r="BR526" i="1"/>
  <c r="BO526" i="1"/>
  <c r="BR464" i="1"/>
  <c r="BO464" i="1"/>
  <c r="BR453" i="1"/>
  <c r="BO453" i="1"/>
  <c r="BR494" i="1"/>
  <c r="BO494" i="1"/>
  <c r="BR556" i="1"/>
  <c r="BO556" i="1"/>
  <c r="BR415" i="1"/>
  <c r="BO415" i="1"/>
  <c r="BR630" i="1"/>
  <c r="BO630" i="1"/>
  <c r="BR486" i="1"/>
  <c r="BO486" i="1"/>
  <c r="BR640" i="1"/>
  <c r="BO640" i="1"/>
  <c r="BR557" i="1"/>
  <c r="BO557" i="1"/>
  <c r="BR472" i="1"/>
  <c r="BO472" i="1"/>
  <c r="BR135" i="1"/>
  <c r="BO135" i="1"/>
  <c r="BR837" i="1"/>
  <c r="BO837" i="1"/>
  <c r="BR575" i="1"/>
  <c r="BO575" i="1"/>
  <c r="BR76" i="1"/>
  <c r="BO76" i="1"/>
  <c r="BR889" i="1"/>
  <c r="BO889" i="1"/>
  <c r="BR885" i="1"/>
  <c r="BO885" i="1"/>
  <c r="BR1131" i="1"/>
  <c r="BO1131" i="1"/>
  <c r="BR566" i="1"/>
  <c r="BO566" i="1"/>
  <c r="BR679" i="1"/>
  <c r="BO679" i="1"/>
  <c r="BR901" i="1"/>
  <c r="BO901" i="1"/>
  <c r="BR518" i="1"/>
  <c r="BO518" i="1"/>
  <c r="BR612" i="1"/>
  <c r="BO612" i="1"/>
  <c r="BR504" i="1"/>
  <c r="BO504" i="1"/>
  <c r="BR598" i="1"/>
  <c r="BO598" i="1"/>
  <c r="BR79" i="1"/>
  <c r="BO79" i="1"/>
  <c r="BR601" i="1"/>
  <c r="BO601" i="1"/>
  <c r="BR522" i="1"/>
  <c r="BO522" i="1"/>
  <c r="BR500" i="1"/>
  <c r="BO500" i="1"/>
  <c r="BR620" i="1"/>
  <c r="BO620" i="1"/>
  <c r="BR647" i="1"/>
  <c r="BO647" i="1"/>
  <c r="BR550" i="1"/>
  <c r="BO550" i="1"/>
  <c r="BR448" i="1"/>
  <c r="BO448" i="1"/>
  <c r="BR508" i="1"/>
  <c r="BO508" i="1"/>
  <c r="BR687" i="1"/>
  <c r="BO687" i="1"/>
  <c r="BR846" i="1"/>
  <c r="BO846" i="1"/>
  <c r="BR478" i="1"/>
  <c r="BO478" i="1"/>
  <c r="BR162" i="1"/>
  <c r="BO162" i="1"/>
  <c r="BR783" i="1"/>
  <c r="BO783" i="1"/>
  <c r="BR711" i="1"/>
  <c r="BO711" i="1"/>
  <c r="BR1162" i="1"/>
  <c r="BO1162" i="1"/>
  <c r="BR406" i="1"/>
  <c r="BO406" i="1"/>
  <c r="BR147" i="1"/>
  <c r="BO147" i="1"/>
  <c r="BR735" i="1"/>
  <c r="BO735" i="1"/>
  <c r="BR553" i="1"/>
  <c r="BO553" i="1"/>
  <c r="BR164" i="1"/>
  <c r="BO164" i="1"/>
  <c r="AH107" i="1"/>
  <c r="AI107" i="1" s="1"/>
  <c r="AH917" i="1"/>
  <c r="AI917" i="1" s="1"/>
  <c r="BR917" i="1"/>
  <c r="AH475" i="1"/>
  <c r="AI475" i="1" s="1"/>
  <c r="BR475" i="1"/>
  <c r="AH838" i="1"/>
  <c r="AI838" i="1" s="1"/>
  <c r="BR838" i="1"/>
  <c r="AH179" i="1"/>
  <c r="AI179" i="1" s="1"/>
  <c r="BR179" i="1"/>
  <c r="AH728" i="1"/>
  <c r="AI728" i="1" s="1"/>
  <c r="BR728" i="1"/>
  <c r="AH505" i="1"/>
  <c r="AI505" i="1" s="1"/>
  <c r="BR505" i="1"/>
  <c r="AH517" i="1"/>
  <c r="AI517" i="1" s="1"/>
  <c r="AH78" i="1"/>
  <c r="AI78" i="1" s="1"/>
  <c r="BR78" i="1"/>
  <c r="AH512" i="1"/>
  <c r="AI512" i="1" s="1"/>
  <c r="BR512" i="1"/>
  <c r="AH414" i="1"/>
  <c r="AI414" i="1" s="1"/>
  <c r="BR414" i="1"/>
  <c r="AD67" i="1"/>
  <c r="AE67" i="1" s="1"/>
  <c r="BR67" i="1"/>
  <c r="AH178" i="1"/>
  <c r="AI178" i="1" s="1"/>
  <c r="BR178" i="1"/>
  <c r="AL878" i="1"/>
  <c r="AL782" i="1"/>
  <c r="AL641" i="1"/>
  <c r="AL296" i="1"/>
  <c r="AL703" i="1"/>
  <c r="AK907" i="1"/>
  <c r="AK78" i="1"/>
  <c r="AL886" i="1"/>
  <c r="AL766" i="1"/>
  <c r="AK696" i="1"/>
  <c r="AK113" i="1"/>
  <c r="AL1166" i="1"/>
  <c r="AK528" i="1"/>
  <c r="AK811" i="1"/>
  <c r="AL531" i="1"/>
  <c r="AK1222" i="1"/>
  <c r="AK932" i="1"/>
  <c r="AH843" i="1"/>
  <c r="AI843" i="1" s="1"/>
  <c r="AK111" i="1"/>
  <c r="AK520" i="1"/>
  <c r="AL936" i="1"/>
  <c r="AD843" i="1"/>
  <c r="AE843" i="1" s="1"/>
  <c r="AK417" i="1"/>
  <c r="AL786" i="1"/>
  <c r="AL743" i="1"/>
  <c r="AK390" i="1"/>
  <c r="AL761" i="1"/>
  <c r="AK743" i="1"/>
  <c r="AK349" i="1"/>
  <c r="AL417" i="1"/>
  <c r="AK483" i="1"/>
  <c r="AL528" i="1"/>
  <c r="AK68" i="1"/>
  <c r="AL1152" i="1"/>
  <c r="AD1160" i="1"/>
  <c r="AE1160" i="1" s="1"/>
  <c r="AL900" i="1"/>
  <c r="AL884" i="1"/>
  <c r="AL727" i="1"/>
  <c r="AK387" i="1"/>
  <c r="AK357" i="1"/>
  <c r="AL308" i="1"/>
  <c r="AK80" i="1"/>
  <c r="AK131" i="1"/>
  <c r="AK825" i="1"/>
  <c r="AK1152" i="1"/>
  <c r="AK1216" i="1"/>
  <c r="AK1166" i="1"/>
  <c r="AH1160" i="1"/>
  <c r="AI1160" i="1" s="1"/>
  <c r="AK887" i="1"/>
  <c r="AD851" i="1"/>
  <c r="AE851" i="1" s="1"/>
  <c r="AL737" i="1"/>
  <c r="AK727" i="1"/>
  <c r="AK356" i="1"/>
  <c r="AK158" i="1"/>
  <c r="AK452" i="1"/>
  <c r="AD1056" i="1"/>
  <c r="AE1056" i="1" s="1"/>
  <c r="AD865" i="1"/>
  <c r="AE865" i="1" s="1"/>
  <c r="AD696" i="1"/>
  <c r="AE696" i="1" s="1"/>
  <c r="AD646" i="1"/>
  <c r="AE646" i="1" s="1"/>
  <c r="AD384" i="1"/>
  <c r="AE384" i="1" s="1"/>
  <c r="AD1220" i="1"/>
  <c r="AE1220" i="1" s="1"/>
  <c r="AD1112" i="1"/>
  <c r="AE1112" i="1" s="1"/>
  <c r="AD1049" i="1"/>
  <c r="AE1049" i="1" s="1"/>
  <c r="AD1033" i="1"/>
  <c r="AE1033" i="1" s="1"/>
  <c r="AD1029" i="1"/>
  <c r="AE1029" i="1" s="1"/>
  <c r="AD966" i="1"/>
  <c r="AE966" i="1" s="1"/>
  <c r="AD17" i="1"/>
  <c r="AE17" i="1" s="1"/>
  <c r="AD19" i="1"/>
  <c r="AE19" i="1" s="1"/>
  <c r="AD1209" i="1"/>
  <c r="AE1209" i="1" s="1"/>
  <c r="AD1155" i="1"/>
  <c r="AE1155" i="1" s="1"/>
  <c r="AD1183" i="1"/>
  <c r="AE1183" i="1" s="1"/>
  <c r="AD1043" i="1"/>
  <c r="AE1043" i="1" s="1"/>
  <c r="AD1060" i="1"/>
  <c r="AE1060" i="1" s="1"/>
  <c r="AD1026" i="1"/>
  <c r="AE1026" i="1" s="1"/>
  <c r="AD994" i="1"/>
  <c r="AE994" i="1" s="1"/>
  <c r="AD962" i="1"/>
  <c r="AE962" i="1" s="1"/>
  <c r="AD1066" i="1"/>
  <c r="AE1066" i="1" s="1"/>
  <c r="AD1017" i="1"/>
  <c r="AE1017" i="1" s="1"/>
  <c r="AD960" i="1"/>
  <c r="AE960" i="1" s="1"/>
  <c r="AD944" i="1"/>
  <c r="AE944" i="1" s="1"/>
  <c r="AD912" i="1"/>
  <c r="AE912" i="1" s="1"/>
  <c r="AD1015" i="1"/>
  <c r="AE1015" i="1" s="1"/>
  <c r="AD975" i="1"/>
  <c r="AE975" i="1" s="1"/>
  <c r="AD989" i="1"/>
  <c r="AE989" i="1" s="1"/>
  <c r="AD1020" i="1"/>
  <c r="AE1020" i="1" s="1"/>
  <c r="AD948" i="1"/>
  <c r="AE948" i="1" s="1"/>
  <c r="AD916" i="1"/>
  <c r="AE916" i="1" s="1"/>
  <c r="AD999" i="1"/>
  <c r="AE999" i="1" s="1"/>
  <c r="AD971" i="1"/>
  <c r="AE971" i="1" s="1"/>
  <c r="AD941" i="1"/>
  <c r="AE941" i="1" s="1"/>
  <c r="AD878" i="1"/>
  <c r="AE878" i="1" s="1"/>
  <c r="AD902" i="1"/>
  <c r="AE902" i="1" s="1"/>
  <c r="AD886" i="1"/>
  <c r="AE886" i="1" s="1"/>
  <c r="AD824" i="1"/>
  <c r="AE824" i="1" s="1"/>
  <c r="AD847" i="1"/>
  <c r="AE847" i="1" s="1"/>
  <c r="AD758" i="1"/>
  <c r="AE758" i="1" s="1"/>
  <c r="AD746" i="1"/>
  <c r="AE746" i="1" s="1"/>
  <c r="AD764" i="1"/>
  <c r="AE764" i="1" s="1"/>
  <c r="AD732" i="1"/>
  <c r="AE732" i="1" s="1"/>
  <c r="AD725" i="1"/>
  <c r="AE725" i="1" s="1"/>
  <c r="AD726" i="1"/>
  <c r="AE726" i="1" s="1"/>
  <c r="AD672" i="1"/>
  <c r="AE672" i="1" s="1"/>
  <c r="AD675" i="1"/>
  <c r="AE675" i="1" s="1"/>
  <c r="AD710" i="1"/>
  <c r="AE710" i="1" s="1"/>
  <c r="AD385" i="1"/>
  <c r="AE385" i="1" s="1"/>
  <c r="AD377" i="1"/>
  <c r="AE377" i="1" s="1"/>
  <c r="AD369" i="1"/>
  <c r="AE369" i="1" s="1"/>
  <c r="AD361" i="1"/>
  <c r="AE361" i="1" s="1"/>
  <c r="AD353" i="1"/>
  <c r="AE353" i="1" s="1"/>
  <c r="AD345" i="1"/>
  <c r="AE345" i="1" s="1"/>
  <c r="AD337" i="1"/>
  <c r="AE337" i="1" s="1"/>
  <c r="AD329" i="1"/>
  <c r="AE329" i="1" s="1"/>
  <c r="AD267" i="1"/>
  <c r="AE267" i="1" s="1"/>
  <c r="AD288" i="1"/>
  <c r="AE288" i="1" s="1"/>
  <c r="AD321" i="1"/>
  <c r="AE321" i="1" s="1"/>
  <c r="AD234" i="1"/>
  <c r="AE234" i="1" s="1"/>
  <c r="AD202" i="1"/>
  <c r="AE202" i="1" s="1"/>
  <c r="AD241" i="1"/>
  <c r="AE241" i="1" s="1"/>
  <c r="AD209" i="1"/>
  <c r="AE209" i="1" s="1"/>
  <c r="AD286" i="1"/>
  <c r="AE286" i="1" s="1"/>
  <c r="AD232" i="1"/>
  <c r="AE232" i="1" s="1"/>
  <c r="AD300" i="1"/>
  <c r="AE300" i="1" s="1"/>
  <c r="AD243" i="1"/>
  <c r="AE243" i="1" s="1"/>
  <c r="AD211" i="1"/>
  <c r="AE211" i="1" s="1"/>
  <c r="AD138" i="1"/>
  <c r="AE138" i="1" s="1"/>
  <c r="AD117" i="1"/>
  <c r="AE117" i="1" s="1"/>
  <c r="AD180" i="1"/>
  <c r="AE180" i="1" s="1"/>
  <c r="AK106" i="1"/>
  <c r="AD105" i="1"/>
  <c r="AE105" i="1" s="1"/>
  <c r="AD73" i="1"/>
  <c r="AE73" i="1" s="1"/>
  <c r="AD1139" i="1"/>
  <c r="AE1139" i="1" s="1"/>
  <c r="AD1114" i="1"/>
  <c r="AE1114" i="1" s="1"/>
  <c r="AD1169" i="1"/>
  <c r="AE1169" i="1" s="1"/>
  <c r="AH1140" i="1"/>
  <c r="AI1140" i="1" s="1"/>
  <c r="AD877" i="1"/>
  <c r="AE877" i="1" s="1"/>
  <c r="AD753" i="1"/>
  <c r="AE753" i="1" s="1"/>
  <c r="AD631" i="1"/>
  <c r="AE631" i="1" s="1"/>
  <c r="AD702" i="1"/>
  <c r="AE702" i="1" s="1"/>
  <c r="AD796" i="1"/>
  <c r="AE796" i="1" s="1"/>
  <c r="AD1143" i="1"/>
  <c r="AE1143" i="1" s="1"/>
  <c r="AD515" i="1"/>
  <c r="AE515" i="1" s="1"/>
  <c r="AD804" i="1"/>
  <c r="AE804" i="1" s="1"/>
  <c r="AH637" i="1"/>
  <c r="AI637" i="1" s="1"/>
  <c r="AD579" i="1"/>
  <c r="AE579" i="1" s="1"/>
  <c r="AD503" i="1"/>
  <c r="AE503" i="1" s="1"/>
  <c r="AD449" i="1"/>
  <c r="AE449" i="1" s="1"/>
  <c r="AD699" i="1"/>
  <c r="AE699" i="1" s="1"/>
  <c r="AD619" i="1"/>
  <c r="AE619" i="1" s="1"/>
  <c r="AD666" i="1"/>
  <c r="AE666" i="1" s="1"/>
  <c r="AD493" i="1"/>
  <c r="AE493" i="1" s="1"/>
  <c r="AD430" i="1"/>
  <c r="AE430" i="1" s="1"/>
  <c r="AD521" i="1"/>
  <c r="AE521" i="1" s="1"/>
  <c r="AD415" i="1"/>
  <c r="AE415" i="1" s="1"/>
  <c r="AD630" i="1"/>
  <c r="AE630" i="1" s="1"/>
  <c r="AD486" i="1"/>
  <c r="AE486" i="1" s="1"/>
  <c r="AD640" i="1"/>
  <c r="AE640" i="1" s="1"/>
  <c r="AD557" i="1"/>
  <c r="AE557" i="1" s="1"/>
  <c r="AD480" i="1"/>
  <c r="AE480" i="1" s="1"/>
  <c r="AD509" i="1"/>
  <c r="AE509" i="1" s="1"/>
  <c r="AD1145" i="1"/>
  <c r="AE1145" i="1" s="1"/>
  <c r="AD530" i="1"/>
  <c r="AE530" i="1" s="1"/>
  <c r="AD399" i="1"/>
  <c r="AE399" i="1" s="1"/>
  <c r="AD571" i="1"/>
  <c r="AE571" i="1" s="1"/>
  <c r="AD514" i="1"/>
  <c r="AE514" i="1" s="1"/>
  <c r="AD682" i="1"/>
  <c r="AE682" i="1" s="1"/>
  <c r="AD814" i="1"/>
  <c r="AE814" i="1" s="1"/>
  <c r="AD585" i="1"/>
  <c r="AE585" i="1" s="1"/>
  <c r="AD541" i="1"/>
  <c r="AE541" i="1" s="1"/>
  <c r="AD650" i="1"/>
  <c r="AE650" i="1" s="1"/>
  <c r="AD823" i="1"/>
  <c r="AE823" i="1" s="1"/>
  <c r="AD565" i="1"/>
  <c r="AE565" i="1" s="1"/>
  <c r="AD502" i="1"/>
  <c r="AE502" i="1" s="1"/>
  <c r="AD612" i="1"/>
  <c r="AE612" i="1" s="1"/>
  <c r="AD504" i="1"/>
  <c r="AE504" i="1" s="1"/>
  <c r="AD598" i="1"/>
  <c r="AE598" i="1" s="1"/>
  <c r="AD79" i="1"/>
  <c r="AE79" i="1" s="1"/>
  <c r="AD601" i="1"/>
  <c r="AE601" i="1" s="1"/>
  <c r="AD522" i="1"/>
  <c r="AE522" i="1" s="1"/>
  <c r="AD433" i="1"/>
  <c r="AE433" i="1" s="1"/>
  <c r="AD605" i="1"/>
  <c r="AE605" i="1" s="1"/>
  <c r="AD681" i="1"/>
  <c r="AE681" i="1" s="1"/>
  <c r="AD769" i="1"/>
  <c r="AE769" i="1" s="1"/>
  <c r="AD475" i="1"/>
  <c r="AE475" i="1" s="1"/>
  <c r="AD516" i="1"/>
  <c r="AE516" i="1" s="1"/>
  <c r="AD154" i="1"/>
  <c r="AE154" i="1" s="1"/>
  <c r="AD838" i="1"/>
  <c r="AE838" i="1" s="1"/>
  <c r="AD179" i="1"/>
  <c r="AE179" i="1" s="1"/>
  <c r="AD728" i="1"/>
  <c r="AE728" i="1" s="1"/>
  <c r="AD505" i="1"/>
  <c r="AE505" i="1" s="1"/>
  <c r="AD1036" i="1"/>
  <c r="AE1036" i="1" s="1"/>
  <c r="AD850" i="1"/>
  <c r="AE850" i="1" s="1"/>
  <c r="AD750" i="1"/>
  <c r="AE750" i="1" s="1"/>
  <c r="AD326" i="1"/>
  <c r="AE326" i="1" s="1"/>
  <c r="AD1052" i="1"/>
  <c r="AE1052" i="1" s="1"/>
  <c r="AD925" i="1"/>
  <c r="AE925" i="1" s="1"/>
  <c r="AD863" i="1"/>
  <c r="AE863" i="1" s="1"/>
  <c r="AD738" i="1"/>
  <c r="AE738" i="1" s="1"/>
  <c r="AD405" i="1"/>
  <c r="AE405" i="1" s="1"/>
  <c r="AD352" i="1"/>
  <c r="AE352" i="1" s="1"/>
  <c r="AD312" i="1"/>
  <c r="AE312" i="1" s="1"/>
  <c r="AD220" i="1"/>
  <c r="AE220" i="1" s="1"/>
  <c r="AD525" i="1"/>
  <c r="AE525" i="1" s="1"/>
  <c r="AD643" i="1"/>
  <c r="AE643" i="1" s="1"/>
  <c r="AD497" i="1"/>
  <c r="AE497" i="1" s="1"/>
  <c r="AD481" i="1"/>
  <c r="AE481" i="1" s="1"/>
  <c r="AD1128" i="1"/>
  <c r="AE1128" i="1" s="1"/>
  <c r="AD519" i="1"/>
  <c r="AE519" i="1" s="1"/>
  <c r="AD452" i="1"/>
  <c r="AE452" i="1" s="1"/>
  <c r="AD16" i="1"/>
  <c r="AE16" i="1" s="1"/>
  <c r="AD1204" i="1"/>
  <c r="AE1204" i="1" s="1"/>
  <c r="AD1205" i="1"/>
  <c r="AE1205" i="1" s="1"/>
  <c r="AD1067" i="1"/>
  <c r="AE1067" i="1" s="1"/>
  <c r="AD1047" i="1"/>
  <c r="AE1047" i="1" s="1"/>
  <c r="AD1028" i="1"/>
  <c r="AE1028" i="1" s="1"/>
  <c r="AD1058" i="1"/>
  <c r="AE1058" i="1" s="1"/>
  <c r="AD1018" i="1"/>
  <c r="AE1018" i="1" s="1"/>
  <c r="AD986" i="1"/>
  <c r="AE986" i="1" s="1"/>
  <c r="AD1004" i="1"/>
  <c r="AE1004" i="1" s="1"/>
  <c r="AD973" i="1"/>
  <c r="AE973" i="1" s="1"/>
  <c r="AD983" i="1"/>
  <c r="AE983" i="1" s="1"/>
  <c r="AD1019" i="1"/>
  <c r="AE1019" i="1" s="1"/>
  <c r="AD972" i="1"/>
  <c r="AE972" i="1" s="1"/>
  <c r="AD940" i="1"/>
  <c r="AE940" i="1" s="1"/>
  <c r="AD1012" i="1"/>
  <c r="AE1012" i="1" s="1"/>
  <c r="AD969" i="1"/>
  <c r="AE969" i="1" s="1"/>
  <c r="AD1005" i="1"/>
  <c r="AE1005" i="1" s="1"/>
  <c r="AD965" i="1"/>
  <c r="AE965" i="1" s="1"/>
  <c r="AD933" i="1"/>
  <c r="AE933" i="1" s="1"/>
  <c r="AD921" i="1"/>
  <c r="AE921" i="1" s="1"/>
  <c r="AD900" i="1"/>
  <c r="AE900" i="1" s="1"/>
  <c r="AD953" i="1"/>
  <c r="AE953" i="1" s="1"/>
  <c r="AD862" i="1"/>
  <c r="AE862" i="1" s="1"/>
  <c r="AD849" i="1"/>
  <c r="AE849" i="1" s="1"/>
  <c r="AD768" i="1"/>
  <c r="AE768" i="1" s="1"/>
  <c r="AD730" i="1"/>
  <c r="AE730" i="1" s="1"/>
  <c r="AD756" i="1"/>
  <c r="AE756" i="1" s="1"/>
  <c r="AD724" i="1"/>
  <c r="AE724" i="1" s="1"/>
  <c r="AD717" i="1"/>
  <c r="AE717" i="1" s="1"/>
  <c r="AD694" i="1"/>
  <c r="AE694" i="1" s="1"/>
  <c r="AD703" i="1"/>
  <c r="AE703" i="1" s="1"/>
  <c r="AD751" i="1"/>
  <c r="AE751" i="1" s="1"/>
  <c r="AD667" i="1"/>
  <c r="AE667" i="1" s="1"/>
  <c r="AD641" i="1"/>
  <c r="AE641" i="1" s="1"/>
  <c r="AK332" i="1"/>
  <c r="AD419" i="1"/>
  <c r="AE419" i="1" s="1"/>
  <c r="AD396" i="1"/>
  <c r="AE396" i="1" s="1"/>
  <c r="AD397" i="1"/>
  <c r="AE397" i="1" s="1"/>
  <c r="AD383" i="1"/>
  <c r="AE383" i="1" s="1"/>
  <c r="AD375" i="1"/>
  <c r="AE375" i="1" s="1"/>
  <c r="AD367" i="1"/>
  <c r="AE367" i="1" s="1"/>
  <c r="AD359" i="1"/>
  <c r="AE359" i="1" s="1"/>
  <c r="AD351" i="1"/>
  <c r="AE351" i="1" s="1"/>
  <c r="AD343" i="1"/>
  <c r="AE343" i="1" s="1"/>
  <c r="AD335" i="1"/>
  <c r="AE335" i="1" s="1"/>
  <c r="AD291" i="1"/>
  <c r="AE291" i="1" s="1"/>
  <c r="AD280" i="1"/>
  <c r="AE280" i="1" s="1"/>
  <c r="AD323" i="1"/>
  <c r="AE323" i="1" s="1"/>
  <c r="AD307" i="1"/>
  <c r="AE307" i="1" s="1"/>
  <c r="AD308" i="1"/>
  <c r="AE308" i="1" s="1"/>
  <c r="AD257" i="1"/>
  <c r="AE257" i="1" s="1"/>
  <c r="AD242" i="1"/>
  <c r="AE242" i="1" s="1"/>
  <c r="AD210" i="1"/>
  <c r="AE210" i="1" s="1"/>
  <c r="AD270" i="1"/>
  <c r="AE270" i="1" s="1"/>
  <c r="AD282" i="1"/>
  <c r="AE282" i="1" s="1"/>
  <c r="AD249" i="1"/>
  <c r="AE249" i="1" s="1"/>
  <c r="AD217" i="1"/>
  <c r="AE217" i="1" s="1"/>
  <c r="AD290" i="1"/>
  <c r="AE290" i="1" s="1"/>
  <c r="AD240" i="1"/>
  <c r="AE240" i="1" s="1"/>
  <c r="AD208" i="1"/>
  <c r="AE208" i="1" s="1"/>
  <c r="AD251" i="1"/>
  <c r="AE251" i="1" s="1"/>
  <c r="AD219" i="1"/>
  <c r="AE219" i="1" s="1"/>
  <c r="AD130" i="1"/>
  <c r="AE130" i="1" s="1"/>
  <c r="AD98" i="1"/>
  <c r="AE98" i="1" s="1"/>
  <c r="AD168" i="1"/>
  <c r="AE168" i="1" s="1"/>
  <c r="AD101" i="1"/>
  <c r="AE101" i="1" s="1"/>
  <c r="AD173" i="1"/>
  <c r="AE173" i="1" s="1"/>
  <c r="AD137" i="1"/>
  <c r="AE137" i="1" s="1"/>
  <c r="AD97" i="1"/>
  <c r="AE97" i="1" s="1"/>
  <c r="AD70" i="1"/>
  <c r="AE70" i="1" s="1"/>
  <c r="AD183" i="1"/>
  <c r="AE183" i="1" s="1"/>
  <c r="AD1152" i="1"/>
  <c r="AE1152" i="1" s="1"/>
  <c r="AD1186" i="1"/>
  <c r="AE1186" i="1" s="1"/>
  <c r="AD1127" i="1"/>
  <c r="AE1127" i="1" s="1"/>
  <c r="AD745" i="1"/>
  <c r="AE745" i="1" s="1"/>
  <c r="AD840" i="1"/>
  <c r="AE840" i="1" s="1"/>
  <c r="AD635" i="1"/>
  <c r="AE635" i="1" s="1"/>
  <c r="AD808" i="1"/>
  <c r="AE808" i="1" s="1"/>
  <c r="AD610" i="1"/>
  <c r="AE610" i="1" s="1"/>
  <c r="AD563" i="1"/>
  <c r="AE563" i="1" s="1"/>
  <c r="AD548" i="1"/>
  <c r="AE548" i="1" s="1"/>
  <c r="AD488" i="1"/>
  <c r="AE488" i="1" s="1"/>
  <c r="AD407" i="1"/>
  <c r="AE407" i="1" s="1"/>
  <c r="AD395" i="1"/>
  <c r="AE395" i="1" s="1"/>
  <c r="AD501" i="1"/>
  <c r="AE501" i="1" s="1"/>
  <c r="AD658" i="1"/>
  <c r="AE658" i="1" s="1"/>
  <c r="AD477" i="1"/>
  <c r="AE477" i="1" s="1"/>
  <c r="AD459" i="1"/>
  <c r="AE459" i="1" s="1"/>
  <c r="AD536" i="1"/>
  <c r="AE536" i="1" s="1"/>
  <c r="AD424" i="1"/>
  <c r="AE424" i="1" s="1"/>
  <c r="AD131" i="1"/>
  <c r="AE131" i="1" s="1"/>
  <c r="AD570" i="1"/>
  <c r="AE570" i="1" s="1"/>
  <c r="AD473" i="1"/>
  <c r="AE473" i="1" s="1"/>
  <c r="AD562" i="1"/>
  <c r="AE562" i="1" s="1"/>
  <c r="AD513" i="1"/>
  <c r="AE513" i="1" s="1"/>
  <c r="AD837" i="1"/>
  <c r="AE837" i="1" s="1"/>
  <c r="AD575" i="1"/>
  <c r="AE575" i="1" s="1"/>
  <c r="AD76" i="1"/>
  <c r="AE76" i="1" s="1"/>
  <c r="AD889" i="1"/>
  <c r="AE889" i="1" s="1"/>
  <c r="AD885" i="1"/>
  <c r="AE885" i="1" s="1"/>
  <c r="AD1131" i="1"/>
  <c r="AE1131" i="1" s="1"/>
  <c r="AD580" i="1"/>
  <c r="AE580" i="1" s="1"/>
  <c r="AH50" i="1"/>
  <c r="AI50" i="1" s="1"/>
  <c r="AD83" i="1"/>
  <c r="AE83" i="1" s="1"/>
  <c r="AD632" i="1"/>
  <c r="AE632" i="1" s="1"/>
  <c r="AD572" i="1"/>
  <c r="AE572" i="1" s="1"/>
  <c r="AD468" i="1"/>
  <c r="AE468" i="1" s="1"/>
  <c r="AD614" i="1"/>
  <c r="AE614" i="1" s="1"/>
  <c r="AD809" i="1"/>
  <c r="AE809" i="1" s="1"/>
  <c r="AD816" i="1"/>
  <c r="AE816" i="1" s="1"/>
  <c r="AD517" i="1"/>
  <c r="AE517" i="1" s="1"/>
  <c r="AD752" i="1"/>
  <c r="AE752" i="1" s="1"/>
  <c r="AD739" i="1"/>
  <c r="AE739" i="1" s="1"/>
  <c r="AD99" i="1"/>
  <c r="AE99" i="1" s="1"/>
  <c r="AD829" i="1"/>
  <c r="AE829" i="1" s="1"/>
  <c r="AD465" i="1"/>
  <c r="AE465" i="1" s="1"/>
  <c r="AD68" i="1"/>
  <c r="AE68" i="1" s="1"/>
  <c r="AD474" i="1"/>
  <c r="AE474" i="1" s="1"/>
  <c r="AH896" i="1"/>
  <c r="AI896" i="1" s="1"/>
  <c r="AD785" i="1"/>
  <c r="AE785" i="1" s="1"/>
  <c r="AD879" i="1"/>
  <c r="AE879" i="1" s="1"/>
  <c r="AD534" i="1"/>
  <c r="AE534" i="1" s="1"/>
  <c r="AD476" i="1"/>
  <c r="AE476" i="1" s="1"/>
  <c r="AD784" i="1"/>
  <c r="AE784" i="1" s="1"/>
  <c r="AD163" i="1"/>
  <c r="AE163" i="1" s="1"/>
  <c r="AD778" i="1"/>
  <c r="AE778" i="1" s="1"/>
  <c r="AD719" i="1"/>
  <c r="AE719" i="1" s="1"/>
  <c r="AD1061" i="1"/>
  <c r="AE1061" i="1" s="1"/>
  <c r="AD990" i="1"/>
  <c r="AE990" i="1" s="1"/>
  <c r="AD1044" i="1"/>
  <c r="AE1044" i="1" s="1"/>
  <c r="AD985" i="1"/>
  <c r="AE985" i="1" s="1"/>
  <c r="AD996" i="1"/>
  <c r="AE996" i="1" s="1"/>
  <c r="AD988" i="1"/>
  <c r="AE988" i="1" s="1"/>
  <c r="AD714" i="1"/>
  <c r="AE714" i="1" s="1"/>
  <c r="AD368" i="1"/>
  <c r="AE368" i="1" s="1"/>
  <c r="AD344" i="1"/>
  <c r="AE344" i="1" s="1"/>
  <c r="AD295" i="1"/>
  <c r="AE295" i="1" s="1"/>
  <c r="AD318" i="1"/>
  <c r="AE318" i="1" s="1"/>
  <c r="AD256" i="1"/>
  <c r="AE256" i="1" s="1"/>
  <c r="AD229" i="1"/>
  <c r="AE229" i="1" s="1"/>
  <c r="AD869" i="1"/>
  <c r="AE869" i="1" s="1"/>
  <c r="AD861" i="1"/>
  <c r="AE861" i="1" s="1"/>
  <c r="AD665" i="1"/>
  <c r="AE665" i="1" s="1"/>
  <c r="AD707" i="1"/>
  <c r="AE707" i="1" s="1"/>
  <c r="AD743" i="1"/>
  <c r="AE743" i="1" s="1"/>
  <c r="AD18" i="1"/>
  <c r="AE18" i="1" s="1"/>
  <c r="AD1211" i="1"/>
  <c r="AE1211" i="1" s="1"/>
  <c r="AD1198" i="1"/>
  <c r="AE1198" i="1" s="1"/>
  <c r="AD1191" i="1"/>
  <c r="AE1191" i="1" s="1"/>
  <c r="AD1179" i="1"/>
  <c r="AE1179" i="1" s="1"/>
  <c r="AD1041" i="1"/>
  <c r="AE1041" i="1" s="1"/>
  <c r="AD1014" i="1"/>
  <c r="AE1014" i="1" s="1"/>
  <c r="AD982" i="1"/>
  <c r="AE982" i="1" s="1"/>
  <c r="AD950" i="1"/>
  <c r="AE950" i="1" s="1"/>
  <c r="AD1050" i="1"/>
  <c r="AE1050" i="1" s="1"/>
  <c r="AD1042" i="1"/>
  <c r="AE1042" i="1" s="1"/>
  <c r="AD1034" i="1"/>
  <c r="AE1034" i="1" s="1"/>
  <c r="AD1057" i="1"/>
  <c r="AE1057" i="1" s="1"/>
  <c r="AD1065" i="1"/>
  <c r="AE1065" i="1" s="1"/>
  <c r="AD909" i="1"/>
  <c r="AE909" i="1" s="1"/>
  <c r="AD995" i="1"/>
  <c r="AE995" i="1" s="1"/>
  <c r="AD1008" i="1"/>
  <c r="AE1008" i="1" s="1"/>
  <c r="AD987" i="1"/>
  <c r="AE987" i="1" s="1"/>
  <c r="AD967" i="1"/>
  <c r="AE967" i="1" s="1"/>
  <c r="AD908" i="1"/>
  <c r="AE908" i="1" s="1"/>
  <c r="AD917" i="1"/>
  <c r="AE917" i="1" s="1"/>
  <c r="AD841" i="1"/>
  <c r="AE841" i="1" s="1"/>
  <c r="AD842" i="1"/>
  <c r="AE842" i="1" s="1"/>
  <c r="AD839" i="1"/>
  <c r="AE839" i="1" s="1"/>
  <c r="AK793" i="1"/>
  <c r="AD789" i="1"/>
  <c r="AE789" i="1" s="1"/>
  <c r="AD760" i="1"/>
  <c r="AE760" i="1" s="1"/>
  <c r="AD770" i="1"/>
  <c r="AE770" i="1" s="1"/>
  <c r="AD722" i="1"/>
  <c r="AE722" i="1" s="1"/>
  <c r="AD749" i="1"/>
  <c r="AE749" i="1" s="1"/>
  <c r="AD686" i="1"/>
  <c r="AE686" i="1" s="1"/>
  <c r="AK719" i="1"/>
  <c r="AD695" i="1"/>
  <c r="AE695" i="1" s="1"/>
  <c r="AD659" i="1"/>
  <c r="AE659" i="1" s="1"/>
  <c r="AD693" i="1"/>
  <c r="AE693" i="1" s="1"/>
  <c r="AD644" i="1"/>
  <c r="AE644" i="1" s="1"/>
  <c r="AD664" i="1"/>
  <c r="AE664" i="1" s="1"/>
  <c r="AK355" i="1"/>
  <c r="AD382" i="1"/>
  <c r="AE382" i="1" s="1"/>
  <c r="AD374" i="1"/>
  <c r="AE374" i="1" s="1"/>
  <c r="AD366" i="1"/>
  <c r="AE366" i="1" s="1"/>
  <c r="AD358" i="1"/>
  <c r="AE358" i="1" s="1"/>
  <c r="AD350" i="1"/>
  <c r="AE350" i="1" s="1"/>
  <c r="AD342" i="1"/>
  <c r="AE342" i="1" s="1"/>
  <c r="AD334" i="1"/>
  <c r="AE334" i="1" s="1"/>
  <c r="AD287" i="1"/>
  <c r="AE287" i="1" s="1"/>
  <c r="AD304" i="1"/>
  <c r="AE304" i="1" s="1"/>
  <c r="AD276" i="1"/>
  <c r="AE276" i="1" s="1"/>
  <c r="AD320" i="1"/>
  <c r="AE320" i="1" s="1"/>
  <c r="AD299" i="1"/>
  <c r="AE299" i="1" s="1"/>
  <c r="AD313" i="1"/>
  <c r="AE313" i="1" s="1"/>
  <c r="AD311" i="1"/>
  <c r="AE311" i="1" s="1"/>
  <c r="AD230" i="1"/>
  <c r="AE230" i="1" s="1"/>
  <c r="AD237" i="1"/>
  <c r="AE237" i="1" s="1"/>
  <c r="AD205" i="1"/>
  <c r="AE205" i="1" s="1"/>
  <c r="AD315" i="1"/>
  <c r="AE315" i="1" s="1"/>
  <c r="AD261" i="1"/>
  <c r="AE261" i="1" s="1"/>
  <c r="AD228" i="1"/>
  <c r="AE228" i="1" s="1"/>
  <c r="AD294" i="1"/>
  <c r="AE294" i="1" s="1"/>
  <c r="AD239" i="1"/>
  <c r="AE239" i="1" s="1"/>
  <c r="AD207" i="1"/>
  <c r="AE207" i="1" s="1"/>
  <c r="AK129" i="1"/>
  <c r="AD90" i="1"/>
  <c r="AE90" i="1" s="1"/>
  <c r="AD93" i="1"/>
  <c r="AE93" i="1" s="1"/>
  <c r="AD1130" i="1"/>
  <c r="AE1130" i="1" s="1"/>
  <c r="AD1138" i="1"/>
  <c r="AE1138" i="1" s="1"/>
  <c r="AD1115" i="1"/>
  <c r="AE1115" i="1" s="1"/>
  <c r="AD1118" i="1"/>
  <c r="AE1118" i="1" s="1"/>
  <c r="AD1117" i="1"/>
  <c r="AE1117" i="1" s="1"/>
  <c r="AD819" i="1"/>
  <c r="AE819" i="1" s="1"/>
  <c r="AD744" i="1"/>
  <c r="AE744" i="1" s="1"/>
  <c r="AD1121" i="1"/>
  <c r="AE1121" i="1" s="1"/>
  <c r="AD905" i="1"/>
  <c r="AE905" i="1" s="1"/>
  <c r="AD794" i="1"/>
  <c r="AE794" i="1" s="1"/>
  <c r="AD642" i="1"/>
  <c r="AE642" i="1" s="1"/>
  <c r="AD599" i="1"/>
  <c r="AE599" i="1" s="1"/>
  <c r="AD555" i="1"/>
  <c r="AE555" i="1" s="1"/>
  <c r="AD487" i="1"/>
  <c r="AE487" i="1" s="1"/>
  <c r="AD540" i="1"/>
  <c r="AE540" i="1" s="1"/>
  <c r="AD626" i="1"/>
  <c r="AE626" i="1" s="1"/>
  <c r="AD447" i="1"/>
  <c r="AE447" i="1" s="1"/>
  <c r="AD590" i="1"/>
  <c r="AE590" i="1" s="1"/>
  <c r="AD132" i="1"/>
  <c r="AE132" i="1" s="1"/>
  <c r="AD602" i="1"/>
  <c r="AE602" i="1" s="1"/>
  <c r="AD594" i="1"/>
  <c r="AE594" i="1" s="1"/>
  <c r="AD119" i="1"/>
  <c r="AE119" i="1" s="1"/>
  <c r="AD510" i="1"/>
  <c r="AE510" i="1" s="1"/>
  <c r="AD108" i="1"/>
  <c r="AE108" i="1" s="1"/>
  <c r="AD533" i="1"/>
  <c r="AE533" i="1" s="1"/>
  <c r="AD498" i="1"/>
  <c r="AE498" i="1" s="1"/>
  <c r="AD52" i="1"/>
  <c r="AE52" i="1" s="1"/>
  <c r="AH807" i="1"/>
  <c r="AI807" i="1" s="1"/>
  <c r="AD1134" i="1"/>
  <c r="AE1134" i="1" s="1"/>
  <c r="AD566" i="1"/>
  <c r="AE566" i="1" s="1"/>
  <c r="AD679" i="1"/>
  <c r="AE679" i="1" s="1"/>
  <c r="AD901" i="1"/>
  <c r="AE901" i="1" s="1"/>
  <c r="AD518" i="1"/>
  <c r="AE518" i="1" s="1"/>
  <c r="AD443" i="1"/>
  <c r="AE443" i="1" s="1"/>
  <c r="AD75" i="1"/>
  <c r="AE75" i="1" s="1"/>
  <c r="AD461" i="1"/>
  <c r="AE461" i="1" s="1"/>
  <c r="AD143" i="1"/>
  <c r="AE143" i="1" s="1"/>
  <c r="AD456" i="1"/>
  <c r="AE456" i="1" s="1"/>
  <c r="AD634" i="1"/>
  <c r="AE634" i="1" s="1"/>
  <c r="AD573" i="1"/>
  <c r="AE573" i="1" s="1"/>
  <c r="AH499" i="1"/>
  <c r="AI499" i="1" s="1"/>
  <c r="AD628" i="1"/>
  <c r="AE628" i="1" s="1"/>
  <c r="AD759" i="1"/>
  <c r="AE759" i="1" s="1"/>
  <c r="AD593" i="1"/>
  <c r="AE593" i="1" s="1"/>
  <c r="AD620" i="1"/>
  <c r="AE620" i="1" s="1"/>
  <c r="AD715" i="1"/>
  <c r="AE715" i="1" s="1"/>
  <c r="AD546" i="1"/>
  <c r="AE546" i="1" s="1"/>
  <c r="AD806" i="1"/>
  <c r="AE806" i="1" s="1"/>
  <c r="AD763" i="1"/>
  <c r="AE763" i="1" s="1"/>
  <c r="AD466" i="1"/>
  <c r="AE466" i="1" s="1"/>
  <c r="AD455" i="1"/>
  <c r="AE455" i="1" s="1"/>
  <c r="AD589" i="1"/>
  <c r="AE589" i="1" s="1"/>
  <c r="AH51" i="1"/>
  <c r="AI51" i="1" s="1"/>
  <c r="AD512" i="1"/>
  <c r="AE512" i="1" s="1"/>
  <c r="AD161" i="1"/>
  <c r="AE161" i="1" s="1"/>
  <c r="AD414" i="1"/>
  <c r="AE414" i="1" s="1"/>
  <c r="AH67" i="1"/>
  <c r="AI67" i="1" s="1"/>
  <c r="AD1212" i="1"/>
  <c r="AE1212" i="1" s="1"/>
  <c r="AD1221" i="1"/>
  <c r="AE1221" i="1" s="1"/>
  <c r="AD1022" i="1"/>
  <c r="AE1022" i="1" s="1"/>
  <c r="AD652" i="1"/>
  <c r="AE652" i="1" s="1"/>
  <c r="AD222" i="1"/>
  <c r="AE222" i="1" s="1"/>
  <c r="AD185" i="1"/>
  <c r="AE185" i="1" s="1"/>
  <c r="AD231" i="1"/>
  <c r="AE231" i="1" s="1"/>
  <c r="AD106" i="1"/>
  <c r="AE106" i="1" s="1"/>
  <c r="AD489" i="1"/>
  <c r="AE489" i="1" s="1"/>
  <c r="AD492" i="1"/>
  <c r="AE492" i="1" s="1"/>
  <c r="AD618" i="1"/>
  <c r="AE618" i="1" s="1"/>
  <c r="AD139" i="1"/>
  <c r="AE139" i="1" s="1"/>
  <c r="AD437" i="1"/>
  <c r="AE437" i="1" s="1"/>
  <c r="AD500" i="1"/>
  <c r="AE500" i="1" s="1"/>
  <c r="AD531" i="1"/>
  <c r="AE531" i="1" s="1"/>
  <c r="AD425" i="1"/>
  <c r="AE425" i="1" s="1"/>
  <c r="AD1166" i="1"/>
  <c r="AE1166" i="1" s="1"/>
  <c r="AD1208" i="1"/>
  <c r="AE1208" i="1" s="1"/>
  <c r="AD1194" i="1"/>
  <c r="AE1194" i="1" s="1"/>
  <c r="AD1171" i="1"/>
  <c r="AE1171" i="1" s="1"/>
  <c r="AD1214" i="1"/>
  <c r="AE1214" i="1" s="1"/>
  <c r="AD1187" i="1"/>
  <c r="AE1187" i="1" s="1"/>
  <c r="AD1175" i="1"/>
  <c r="AE1175" i="1" s="1"/>
  <c r="AD1051" i="1"/>
  <c r="AE1051" i="1" s="1"/>
  <c r="AD1035" i="1"/>
  <c r="AE1035" i="1" s="1"/>
  <c r="AD1010" i="1"/>
  <c r="AE1010" i="1" s="1"/>
  <c r="AD946" i="1"/>
  <c r="AE946" i="1" s="1"/>
  <c r="AD1003" i="1"/>
  <c r="AE1003" i="1" s="1"/>
  <c r="AD952" i="1"/>
  <c r="AE952" i="1" s="1"/>
  <c r="AD936" i="1"/>
  <c r="AE936" i="1" s="1"/>
  <c r="AD920" i="1"/>
  <c r="AE920" i="1" s="1"/>
  <c r="AD1054" i="1"/>
  <c r="AE1054" i="1" s="1"/>
  <c r="AD968" i="1"/>
  <c r="AE968" i="1" s="1"/>
  <c r="AD980" i="1"/>
  <c r="AE980" i="1" s="1"/>
  <c r="AD964" i="1"/>
  <c r="AE964" i="1" s="1"/>
  <c r="AD1013" i="1"/>
  <c r="AE1013" i="1" s="1"/>
  <c r="AD1011" i="1"/>
  <c r="AE1011" i="1" s="1"/>
  <c r="AD992" i="1"/>
  <c r="AE992" i="1" s="1"/>
  <c r="AD957" i="1"/>
  <c r="AE957" i="1" s="1"/>
  <c r="AD876" i="1"/>
  <c r="AE876" i="1" s="1"/>
  <c r="AD882" i="1"/>
  <c r="AE882" i="1" s="1"/>
  <c r="AD833" i="1"/>
  <c r="AE833" i="1" s="1"/>
  <c r="AD834" i="1"/>
  <c r="AE834" i="1" s="1"/>
  <c r="AD852" i="1"/>
  <c r="AE852" i="1" s="1"/>
  <c r="AK784" i="1"/>
  <c r="AD788" i="1"/>
  <c r="AE788" i="1" s="1"/>
  <c r="AK778" i="1"/>
  <c r="AD748" i="1"/>
  <c r="AE748" i="1" s="1"/>
  <c r="AD716" i="1"/>
  <c r="AE716" i="1" s="1"/>
  <c r="AD741" i="1"/>
  <c r="AE741" i="1" s="1"/>
  <c r="AD734" i="1"/>
  <c r="AE734" i="1" s="1"/>
  <c r="AD701" i="1"/>
  <c r="AE701" i="1" s="1"/>
  <c r="AD691" i="1"/>
  <c r="AE691" i="1" s="1"/>
  <c r="AD651" i="1"/>
  <c r="AE651" i="1" s="1"/>
  <c r="AD685" i="1"/>
  <c r="AE685" i="1" s="1"/>
  <c r="AD660" i="1"/>
  <c r="AE660" i="1" s="1"/>
  <c r="AD411" i="1"/>
  <c r="AE411" i="1" s="1"/>
  <c r="AD412" i="1"/>
  <c r="AE412" i="1" s="1"/>
  <c r="AD389" i="1"/>
  <c r="AE389" i="1" s="1"/>
  <c r="AD381" i="1"/>
  <c r="AE381" i="1" s="1"/>
  <c r="AD373" i="1"/>
  <c r="AE373" i="1" s="1"/>
  <c r="AD365" i="1"/>
  <c r="AE365" i="1" s="1"/>
  <c r="AD357" i="1"/>
  <c r="AE357" i="1" s="1"/>
  <c r="AD349" i="1"/>
  <c r="AE349" i="1" s="1"/>
  <c r="AD341" i="1"/>
  <c r="AE341" i="1" s="1"/>
  <c r="AD333" i="1"/>
  <c r="AE333" i="1" s="1"/>
  <c r="AD306" i="1"/>
  <c r="AE306" i="1" s="1"/>
  <c r="AD283" i="1"/>
  <c r="AE283" i="1" s="1"/>
  <c r="AD272" i="1"/>
  <c r="AE272" i="1" s="1"/>
  <c r="AD325" i="1"/>
  <c r="AE325" i="1" s="1"/>
  <c r="AD317" i="1"/>
  <c r="AE317" i="1" s="1"/>
  <c r="AD250" i="1"/>
  <c r="AE250" i="1" s="1"/>
  <c r="AD218" i="1"/>
  <c r="AE218" i="1" s="1"/>
  <c r="AD263" i="1"/>
  <c r="AE263" i="1" s="1"/>
  <c r="AD262" i="1"/>
  <c r="AE262" i="1" s="1"/>
  <c r="AD225" i="1"/>
  <c r="AE225" i="1" s="1"/>
  <c r="AD274" i="1"/>
  <c r="AE274" i="1" s="1"/>
  <c r="AD248" i="1"/>
  <c r="AE248" i="1" s="1"/>
  <c r="AD216" i="1"/>
  <c r="AE216" i="1" s="1"/>
  <c r="AD227" i="1"/>
  <c r="AE227" i="1" s="1"/>
  <c r="AD259" i="1"/>
  <c r="AE259" i="1" s="1"/>
  <c r="AD122" i="1"/>
  <c r="AE122" i="1" s="1"/>
  <c r="AD85" i="1"/>
  <c r="AE85" i="1" s="1"/>
  <c r="AD129" i="1"/>
  <c r="AE129" i="1" s="1"/>
  <c r="AD89" i="1"/>
  <c r="AE89" i="1" s="1"/>
  <c r="AD1125" i="1"/>
  <c r="AE1125" i="1" s="1"/>
  <c r="AD818" i="1"/>
  <c r="AE818" i="1" s="1"/>
  <c r="AD1158" i="1"/>
  <c r="AE1158" i="1" s="1"/>
  <c r="AD881" i="1"/>
  <c r="AE881" i="1" s="1"/>
  <c r="AD1113" i="1"/>
  <c r="AE1113" i="1" s="1"/>
  <c r="AH815" i="1"/>
  <c r="AI815" i="1" s="1"/>
  <c r="AD731" i="1"/>
  <c r="AE731" i="1" s="1"/>
  <c r="AH835" i="1"/>
  <c r="AI835" i="1" s="1"/>
  <c r="AD802" i="1"/>
  <c r="AE802" i="1" s="1"/>
  <c r="AD771" i="1"/>
  <c r="AE771" i="1" s="1"/>
  <c r="AD539" i="1"/>
  <c r="AE539" i="1" s="1"/>
  <c r="AD671" i="1"/>
  <c r="AE671" i="1" s="1"/>
  <c r="AD469" i="1"/>
  <c r="AE469" i="1" s="1"/>
  <c r="AD115" i="1"/>
  <c r="AE115" i="1" s="1"/>
  <c r="AD527" i="1"/>
  <c r="AE527" i="1" s="1"/>
  <c r="AD403" i="1"/>
  <c r="AE403" i="1" s="1"/>
  <c r="AD845" i="1"/>
  <c r="AE845" i="1" s="1"/>
  <c r="AD523" i="1"/>
  <c r="AE523" i="1" s="1"/>
  <c r="AD606" i="1"/>
  <c r="AE606" i="1" s="1"/>
  <c r="AD91" i="1"/>
  <c r="AE91" i="1" s="1"/>
  <c r="AD611" i="1"/>
  <c r="AE611" i="1" s="1"/>
  <c r="AD755" i="1"/>
  <c r="AE755" i="1" s="1"/>
  <c r="AD485" i="1"/>
  <c r="AE485" i="1" s="1"/>
  <c r="AD92" i="1"/>
  <c r="AE92" i="1" s="1"/>
  <c r="AD186" i="1"/>
  <c r="AE186" i="1" s="1"/>
  <c r="AD805" i="1"/>
  <c r="AE805" i="1" s="1"/>
  <c r="AD564" i="1"/>
  <c r="AE564" i="1" s="1"/>
  <c r="AD1135" i="1"/>
  <c r="AE1135" i="1" s="1"/>
  <c r="AD820" i="1"/>
  <c r="AE820" i="1" s="1"/>
  <c r="AD604" i="1"/>
  <c r="AE604" i="1" s="1"/>
  <c r="AD673" i="1"/>
  <c r="AE673" i="1" s="1"/>
  <c r="AD467" i="1"/>
  <c r="AE467" i="1" s="1"/>
  <c r="AK534" i="1"/>
  <c r="AD441" i="1"/>
  <c r="AE441" i="1" s="1"/>
  <c r="AD78" i="1"/>
  <c r="AE78" i="1" s="1"/>
  <c r="AD617" i="1"/>
  <c r="AE617" i="1" s="1"/>
  <c r="AD558" i="1"/>
  <c r="AE558" i="1" s="1"/>
  <c r="AD402" i="1"/>
  <c r="AE402" i="1" s="1"/>
  <c r="AD690" i="1"/>
  <c r="AE690" i="1" s="1"/>
  <c r="AD568" i="1"/>
  <c r="AE568" i="1" s="1"/>
  <c r="AD569" i="1"/>
  <c r="AE569" i="1" s="1"/>
  <c r="AD470" i="1"/>
  <c r="AE470" i="1" s="1"/>
  <c r="AD438" i="1"/>
  <c r="AE438" i="1" s="1"/>
  <c r="AD394" i="1"/>
  <c r="AE394" i="1" s="1"/>
  <c r="AD647" i="1"/>
  <c r="AE647" i="1" s="1"/>
  <c r="AD116" i="1"/>
  <c r="AE116" i="1" s="1"/>
  <c r="AD545" i="1"/>
  <c r="AE545" i="1" s="1"/>
  <c r="AD588" i="1"/>
  <c r="AE588" i="1" s="1"/>
  <c r="AH799" i="1"/>
  <c r="AI799" i="1" s="1"/>
  <c r="AD577" i="1"/>
  <c r="AE577" i="1" s="1"/>
  <c r="AD454" i="1"/>
  <c r="AE454" i="1" s="1"/>
  <c r="AD107" i="1"/>
  <c r="AE107" i="1" s="1"/>
  <c r="AD633" i="1"/>
  <c r="AE633" i="1" s="1"/>
  <c r="AD782" i="1"/>
  <c r="AE782" i="1" s="1"/>
  <c r="AD421" i="1"/>
  <c r="AE421" i="1" s="1"/>
  <c r="AD390" i="1"/>
  <c r="AE390" i="1" s="1"/>
  <c r="AD178" i="1"/>
  <c r="AE178" i="1" s="1"/>
  <c r="AH786" i="1"/>
  <c r="AI786" i="1" s="1"/>
  <c r="AD158" i="1"/>
  <c r="AE158" i="1" s="1"/>
  <c r="AD727" i="1"/>
  <c r="AE727" i="1" s="1"/>
  <c r="AD151" i="1"/>
  <c r="AE151" i="1" s="1"/>
  <c r="AD958" i="1"/>
  <c r="AE958" i="1" s="1"/>
  <c r="AD776" i="1"/>
  <c r="AE776" i="1" s="1"/>
  <c r="AD757" i="1"/>
  <c r="AE757" i="1" s="1"/>
  <c r="AD376" i="1"/>
  <c r="AE376" i="1" s="1"/>
  <c r="AD328" i="1"/>
  <c r="AE328" i="1" s="1"/>
  <c r="AD1161" i="1"/>
  <c r="AE1161" i="1" s="1"/>
  <c r="AD856" i="1"/>
  <c r="AE856" i="1" s="1"/>
  <c r="AD615" i="1"/>
  <c r="AE615" i="1" s="1"/>
  <c r="AD446" i="1"/>
  <c r="AE446" i="1" s="1"/>
  <c r="AD798" i="1"/>
  <c r="AE798" i="1" s="1"/>
  <c r="AD582" i="1"/>
  <c r="AE582" i="1" s="1"/>
  <c r="AD435" i="1"/>
  <c r="AE435" i="1" s="1"/>
  <c r="AD761" i="1"/>
  <c r="AE761" i="1" s="1"/>
  <c r="AD100" i="1"/>
  <c r="AE100" i="1" s="1"/>
  <c r="AD887" i="1"/>
  <c r="AE887" i="1" s="1"/>
  <c r="AD428" i="1"/>
  <c r="AE428" i="1" s="1"/>
  <c r="AD1202" i="1"/>
  <c r="AE1202" i="1" s="1"/>
  <c r="AD1167" i="1"/>
  <c r="AE1167" i="1" s="1"/>
  <c r="AD1217" i="1"/>
  <c r="AE1217" i="1" s="1"/>
  <c r="AD1213" i="1"/>
  <c r="AE1213" i="1" s="1"/>
  <c r="AD1069" i="1"/>
  <c r="AE1069" i="1" s="1"/>
  <c r="AD1153" i="1"/>
  <c r="AE1153" i="1" s="1"/>
  <c r="AD1045" i="1"/>
  <c r="AE1045" i="1" s="1"/>
  <c r="AD1053" i="1"/>
  <c r="AE1053" i="1" s="1"/>
  <c r="AD1006" i="1"/>
  <c r="AE1006" i="1" s="1"/>
  <c r="AD974" i="1"/>
  <c r="AE974" i="1" s="1"/>
  <c r="AD942" i="1"/>
  <c r="AE942" i="1" s="1"/>
  <c r="AD1048" i="1"/>
  <c r="AE1048" i="1" s="1"/>
  <c r="AD1040" i="1"/>
  <c r="AE1040" i="1" s="1"/>
  <c r="AD1032" i="1"/>
  <c r="AE1032" i="1" s="1"/>
  <c r="AD1027" i="1"/>
  <c r="AE1027" i="1" s="1"/>
  <c r="AD1030" i="1"/>
  <c r="AE1030" i="1" s="1"/>
  <c r="AD997" i="1"/>
  <c r="AE997" i="1" s="1"/>
  <c r="AD984" i="1"/>
  <c r="AE984" i="1" s="1"/>
  <c r="AD1007" i="1"/>
  <c r="AE1007" i="1" s="1"/>
  <c r="AD979" i="1"/>
  <c r="AE979" i="1" s="1"/>
  <c r="AD1064" i="1"/>
  <c r="AE1064" i="1" s="1"/>
  <c r="AD913" i="1"/>
  <c r="AE913" i="1" s="1"/>
  <c r="AD898" i="1"/>
  <c r="AE898" i="1" s="1"/>
  <c r="AD874" i="1"/>
  <c r="AE874" i="1" s="1"/>
  <c r="AD844" i="1"/>
  <c r="AE844" i="1" s="1"/>
  <c r="AD855" i="1"/>
  <c r="AE855" i="1" s="1"/>
  <c r="AD826" i="1"/>
  <c r="AE826" i="1" s="1"/>
  <c r="AL784" i="1"/>
  <c r="AD762" i="1"/>
  <c r="AE762" i="1" s="1"/>
  <c r="AL778" i="1"/>
  <c r="AD773" i="1"/>
  <c r="AE773" i="1" s="1"/>
  <c r="AD742" i="1"/>
  <c r="AE742" i="1" s="1"/>
  <c r="AD636" i="1"/>
  <c r="AE636" i="1" s="1"/>
  <c r="AD420" i="1"/>
  <c r="AE420" i="1" s="1"/>
  <c r="AD388" i="1"/>
  <c r="AE388" i="1" s="1"/>
  <c r="AD380" i="1"/>
  <c r="AE380" i="1" s="1"/>
  <c r="AD372" i="1"/>
  <c r="AE372" i="1" s="1"/>
  <c r="AD364" i="1"/>
  <c r="AE364" i="1" s="1"/>
  <c r="AD356" i="1"/>
  <c r="AE356" i="1" s="1"/>
  <c r="AD348" i="1"/>
  <c r="AE348" i="1" s="1"/>
  <c r="AD340" i="1"/>
  <c r="AE340" i="1" s="1"/>
  <c r="AD332" i="1"/>
  <c r="AE332" i="1" s="1"/>
  <c r="AD279" i="1"/>
  <c r="AE279" i="1" s="1"/>
  <c r="AD296" i="1"/>
  <c r="AE296" i="1" s="1"/>
  <c r="AD268" i="1"/>
  <c r="AE268" i="1" s="1"/>
  <c r="AD322" i="1"/>
  <c r="AE322" i="1" s="1"/>
  <c r="AD305" i="1"/>
  <c r="AE305" i="1" s="1"/>
  <c r="AD303" i="1"/>
  <c r="AE303" i="1" s="1"/>
  <c r="AD278" i="1"/>
  <c r="AE278" i="1" s="1"/>
  <c r="AD238" i="1"/>
  <c r="AE238" i="1" s="1"/>
  <c r="AD206" i="1"/>
  <c r="AE206" i="1" s="1"/>
  <c r="AD245" i="1"/>
  <c r="AE245" i="1" s="1"/>
  <c r="AD213" i="1"/>
  <c r="AE213" i="1" s="1"/>
  <c r="AD236" i="1"/>
  <c r="AE236" i="1" s="1"/>
  <c r="AD204" i="1"/>
  <c r="AE204" i="1" s="1"/>
  <c r="AD266" i="1"/>
  <c r="AE266" i="1" s="1"/>
  <c r="AD247" i="1"/>
  <c r="AE247" i="1" s="1"/>
  <c r="AD215" i="1"/>
  <c r="AE215" i="1" s="1"/>
  <c r="AD82" i="1"/>
  <c r="AE82" i="1" s="1"/>
  <c r="AD141" i="1"/>
  <c r="AE141" i="1" s="1"/>
  <c r="AD121" i="1"/>
  <c r="AE121" i="1" s="1"/>
  <c r="AD49" i="1"/>
  <c r="AE49" i="1" s="1"/>
  <c r="AD1178" i="1"/>
  <c r="AE1178" i="1" s="1"/>
  <c r="AD1146" i="1"/>
  <c r="AE1146" i="1" s="1"/>
  <c r="AD1129" i="1"/>
  <c r="AE1129" i="1" s="1"/>
  <c r="AD811" i="1"/>
  <c r="AE811" i="1" s="1"/>
  <c r="AD832" i="1"/>
  <c r="AE832" i="1" s="1"/>
  <c r="AH817" i="1"/>
  <c r="AI817" i="1" s="1"/>
  <c r="AD1119" i="1"/>
  <c r="AE1119" i="1" s="1"/>
  <c r="AD1120" i="1"/>
  <c r="AE1120" i="1" s="1"/>
  <c r="AD583" i="1"/>
  <c r="AE583" i="1" s="1"/>
  <c r="AD623" i="1"/>
  <c r="AE623" i="1" s="1"/>
  <c r="AD607" i="1"/>
  <c r="AE607" i="1" s="1"/>
  <c r="AD526" i="1"/>
  <c r="AE526" i="1" s="1"/>
  <c r="AD464" i="1"/>
  <c r="AE464" i="1" s="1"/>
  <c r="AK461" i="1"/>
  <c r="AD622" i="1"/>
  <c r="AE622" i="1" s="1"/>
  <c r="AD532" i="1"/>
  <c r="AE532" i="1" s="1"/>
  <c r="AD463" i="1"/>
  <c r="AE463" i="1" s="1"/>
  <c r="AD427" i="1"/>
  <c r="AE427" i="1" s="1"/>
  <c r="AD103" i="1"/>
  <c r="AE103" i="1" s="1"/>
  <c r="AD422" i="1"/>
  <c r="AE422" i="1" s="1"/>
  <c r="AD551" i="1"/>
  <c r="AE551" i="1" s="1"/>
  <c r="AD559" i="1"/>
  <c r="AE559" i="1" s="1"/>
  <c r="AD444" i="1"/>
  <c r="AE444" i="1" s="1"/>
  <c r="AD574" i="1"/>
  <c r="AE574" i="1" s="1"/>
  <c r="AD60" i="1"/>
  <c r="AE60" i="1" s="1"/>
  <c r="AD496" i="1"/>
  <c r="AE496" i="1" s="1"/>
  <c r="AD793" i="1"/>
  <c r="AE793" i="1" s="1"/>
  <c r="AH1152" i="1"/>
  <c r="AI1152" i="1" s="1"/>
  <c r="AD747" i="1"/>
  <c r="AE747" i="1" s="1"/>
  <c r="AD674" i="1"/>
  <c r="AE674" i="1" s="1"/>
  <c r="AK508" i="1"/>
  <c r="AK467" i="1"/>
  <c r="AD442" i="1"/>
  <c r="AE442" i="1" s="1"/>
  <c r="AD111" i="1"/>
  <c r="AE111" i="1" s="1"/>
  <c r="AD511" i="1"/>
  <c r="AE511" i="1" s="1"/>
  <c r="AD812" i="1"/>
  <c r="AE812" i="1" s="1"/>
  <c r="AD550" i="1"/>
  <c r="AE550" i="1" s="1"/>
  <c r="AD448" i="1"/>
  <c r="AE448" i="1" s="1"/>
  <c r="AD581" i="1"/>
  <c r="AE581" i="1" s="1"/>
  <c r="AD535" i="1"/>
  <c r="AE535" i="1" s="1"/>
  <c r="AD149" i="1"/>
  <c r="AE149" i="1" s="1"/>
  <c r="AD434" i="1"/>
  <c r="AE434" i="1" s="1"/>
  <c r="AD895" i="1"/>
  <c r="AE895" i="1" s="1"/>
  <c r="AD491" i="1"/>
  <c r="AE491" i="1" s="1"/>
  <c r="AD63" i="1"/>
  <c r="AE63" i="1" s="1"/>
  <c r="AD713" i="1"/>
  <c r="AE713" i="1" s="1"/>
  <c r="AH1116" i="1"/>
  <c r="AI1116" i="1" s="1"/>
  <c r="AD472" i="1"/>
  <c r="AE472" i="1" s="1"/>
  <c r="AD135" i="1"/>
  <c r="AE135" i="1" s="1"/>
  <c r="AD897" i="1"/>
  <c r="AE897" i="1" s="1"/>
  <c r="AD584" i="1"/>
  <c r="AE584" i="1" s="1"/>
  <c r="AD600" i="1"/>
  <c r="AE600" i="1" s="1"/>
  <c r="AD848" i="1"/>
  <c r="AE848" i="1" s="1"/>
  <c r="AD528" i="1"/>
  <c r="AE528" i="1" s="1"/>
  <c r="AD417" i="1"/>
  <c r="AE417" i="1" s="1"/>
  <c r="AD20" i="1"/>
  <c r="AE20" i="1" s="1"/>
  <c r="AD21" i="1"/>
  <c r="AE21" i="1" s="1"/>
  <c r="AD1196" i="1"/>
  <c r="AE1196" i="1" s="1"/>
  <c r="AH1166" i="1"/>
  <c r="AI1166" i="1" s="1"/>
  <c r="AD1039" i="1"/>
  <c r="AE1039" i="1" s="1"/>
  <c r="AD1031" i="1"/>
  <c r="AE1031" i="1" s="1"/>
  <c r="AD1002" i="1"/>
  <c r="AE1002" i="1" s="1"/>
  <c r="AD1023" i="1"/>
  <c r="AE1023" i="1" s="1"/>
  <c r="AD1016" i="1"/>
  <c r="AE1016" i="1" s="1"/>
  <c r="AD961" i="1"/>
  <c r="AE961" i="1" s="1"/>
  <c r="AD956" i="1"/>
  <c r="AE956" i="1" s="1"/>
  <c r="AD924" i="1"/>
  <c r="AE924" i="1" s="1"/>
  <c r="AD1000" i="1"/>
  <c r="AE1000" i="1" s="1"/>
  <c r="AD991" i="1"/>
  <c r="AE991" i="1" s="1"/>
  <c r="AD949" i="1"/>
  <c r="AE949" i="1" s="1"/>
  <c r="AD906" i="1"/>
  <c r="AE906" i="1" s="1"/>
  <c r="AD890" i="1"/>
  <c r="AE890" i="1" s="1"/>
  <c r="AD873" i="1"/>
  <c r="AE873" i="1" s="1"/>
  <c r="AD871" i="1"/>
  <c r="AE871" i="1" s="1"/>
  <c r="AD836" i="1"/>
  <c r="AE836" i="1" s="1"/>
  <c r="AD831" i="1"/>
  <c r="AE831" i="1" s="1"/>
  <c r="AD766" i="1"/>
  <c r="AE766" i="1" s="1"/>
  <c r="AD772" i="1"/>
  <c r="AE772" i="1" s="1"/>
  <c r="AD740" i="1"/>
  <c r="AE740" i="1" s="1"/>
  <c r="AD708" i="1"/>
  <c r="AE708" i="1" s="1"/>
  <c r="AD733" i="1"/>
  <c r="AE733" i="1" s="1"/>
  <c r="AD688" i="1"/>
  <c r="AE688" i="1" s="1"/>
  <c r="AD683" i="1"/>
  <c r="AE683" i="1" s="1"/>
  <c r="AD669" i="1"/>
  <c r="AE669" i="1" s="1"/>
  <c r="AD677" i="1"/>
  <c r="AE677" i="1" s="1"/>
  <c r="AD387" i="1"/>
  <c r="AE387" i="1" s="1"/>
  <c r="AD379" i="1"/>
  <c r="AE379" i="1" s="1"/>
  <c r="AD371" i="1"/>
  <c r="AE371" i="1" s="1"/>
  <c r="AD363" i="1"/>
  <c r="AE363" i="1" s="1"/>
  <c r="AD355" i="1"/>
  <c r="AE355" i="1" s="1"/>
  <c r="AD347" i="1"/>
  <c r="AE347" i="1" s="1"/>
  <c r="AD339" i="1"/>
  <c r="AE339" i="1" s="1"/>
  <c r="AD331" i="1"/>
  <c r="AE331" i="1" s="1"/>
  <c r="AD298" i="1"/>
  <c r="AE298" i="1" s="1"/>
  <c r="AD275" i="1"/>
  <c r="AE275" i="1" s="1"/>
  <c r="AD327" i="1"/>
  <c r="AE327" i="1" s="1"/>
  <c r="AD319" i="1"/>
  <c r="AE319" i="1" s="1"/>
  <c r="AD264" i="1"/>
  <c r="AE264" i="1" s="1"/>
  <c r="AD226" i="1"/>
  <c r="AE226" i="1" s="1"/>
  <c r="AD233" i="1"/>
  <c r="AE233" i="1" s="1"/>
  <c r="AD314" i="1"/>
  <c r="AE314" i="1" s="1"/>
  <c r="AD253" i="1"/>
  <c r="AE253" i="1" s="1"/>
  <c r="AD260" i="1"/>
  <c r="AE260" i="1" s="1"/>
  <c r="AD224" i="1"/>
  <c r="AE224" i="1" s="1"/>
  <c r="AD235" i="1"/>
  <c r="AE235" i="1" s="1"/>
  <c r="AD203" i="1"/>
  <c r="AE203" i="1" s="1"/>
  <c r="AD114" i="1"/>
  <c r="AE114" i="1" s="1"/>
  <c r="AD133" i="1"/>
  <c r="AE133" i="1" s="1"/>
  <c r="AD77" i="1"/>
  <c r="AE77" i="1" s="1"/>
  <c r="AD165" i="1"/>
  <c r="AE165" i="1" s="1"/>
  <c r="AD81" i="1"/>
  <c r="AE81" i="1" s="1"/>
  <c r="AH428" i="1"/>
  <c r="AI428" i="1" s="1"/>
  <c r="AH797" i="1"/>
  <c r="AI797" i="1" s="1"/>
  <c r="AD737" i="1"/>
  <c r="AE737" i="1" s="1"/>
  <c r="AD813" i="1"/>
  <c r="AE813" i="1" s="1"/>
  <c r="AD891" i="1"/>
  <c r="AE891" i="1" s="1"/>
  <c r="AD893" i="1"/>
  <c r="AE893" i="1" s="1"/>
  <c r="AD774" i="1"/>
  <c r="AE774" i="1" s="1"/>
  <c r="AD567" i="1"/>
  <c r="AE567" i="1" s="1"/>
  <c r="AD810" i="1"/>
  <c r="AE810" i="1" s="1"/>
  <c r="AD638" i="1"/>
  <c r="AE638" i="1" s="1"/>
  <c r="AD595" i="1"/>
  <c r="AE595" i="1" s="1"/>
  <c r="AD460" i="1"/>
  <c r="AE460" i="1" s="1"/>
  <c r="AD507" i="1"/>
  <c r="AE507" i="1" s="1"/>
  <c r="AD439" i="1"/>
  <c r="AE439" i="1" s="1"/>
  <c r="AD587" i="1"/>
  <c r="AE587" i="1" s="1"/>
  <c r="AD58" i="1"/>
  <c r="AE58" i="1" s="1"/>
  <c r="AD591" i="1"/>
  <c r="AE591" i="1" s="1"/>
  <c r="AD547" i="1"/>
  <c r="AE547" i="1" s="1"/>
  <c r="AD410" i="1"/>
  <c r="AE410" i="1" s="1"/>
  <c r="AD445" i="1"/>
  <c r="AE445" i="1" s="1"/>
  <c r="AH47" i="1"/>
  <c r="AI47" i="1" s="1"/>
  <c r="AD127" i="1"/>
  <c r="AE127" i="1" s="1"/>
  <c r="AD549" i="1"/>
  <c r="AE549" i="1" s="1"/>
  <c r="AD592" i="1"/>
  <c r="AE592" i="1" s="1"/>
  <c r="AD608" i="1"/>
  <c r="AE608" i="1" s="1"/>
  <c r="AD625" i="1"/>
  <c r="AE625" i="1" s="1"/>
  <c r="AD426" i="1"/>
  <c r="AE426" i="1" s="1"/>
  <c r="AD616" i="1"/>
  <c r="AE616" i="1" s="1"/>
  <c r="AD484" i="1"/>
  <c r="AE484" i="1" s="1"/>
  <c r="AD95" i="1"/>
  <c r="AE95" i="1" s="1"/>
  <c r="AD429" i="1"/>
  <c r="AE429" i="1" s="1"/>
  <c r="AD506" i="1"/>
  <c r="AE506" i="1" s="1"/>
  <c r="AD554" i="1"/>
  <c r="AE554" i="1" s="1"/>
  <c r="AD123" i="1"/>
  <c r="AE123" i="1" s="1"/>
  <c r="AD803" i="1"/>
  <c r="AE803" i="1" s="1"/>
  <c r="AH55" i="1"/>
  <c r="AI55" i="1" s="1"/>
  <c r="AD723" i="1"/>
  <c r="AE723" i="1" s="1"/>
  <c r="AD542" i="1"/>
  <c r="AE542" i="1" s="1"/>
  <c r="AD508" i="1"/>
  <c r="AE508" i="1" s="1"/>
  <c r="AD687" i="1"/>
  <c r="AE687" i="1" s="1"/>
  <c r="AD846" i="1"/>
  <c r="AE846" i="1" s="1"/>
  <c r="AD478" i="1"/>
  <c r="AE478" i="1" s="1"/>
  <c r="AD162" i="1"/>
  <c r="AE162" i="1" s="1"/>
  <c r="AH783" i="1"/>
  <c r="AI783" i="1" s="1"/>
  <c r="AD711" i="1"/>
  <c r="AE711" i="1" s="1"/>
  <c r="AD1162" i="1"/>
  <c r="AE1162" i="1" s="1"/>
  <c r="AD406" i="1"/>
  <c r="AE406" i="1" s="1"/>
  <c r="AD147" i="1"/>
  <c r="AE147" i="1" s="1"/>
  <c r="AD735" i="1"/>
  <c r="AE735" i="1" s="1"/>
  <c r="AD553" i="1"/>
  <c r="AE553" i="1" s="1"/>
  <c r="AD164" i="1"/>
  <c r="AE164" i="1" s="1"/>
  <c r="AD1070" i="1"/>
  <c r="AE1070" i="1" s="1"/>
  <c r="AD1037" i="1"/>
  <c r="AE1037" i="1" s="1"/>
  <c r="AD1062" i="1"/>
  <c r="AE1062" i="1" s="1"/>
  <c r="AD1021" i="1"/>
  <c r="AE1021" i="1" s="1"/>
  <c r="AD825" i="1"/>
  <c r="AE825" i="1" s="1"/>
  <c r="AD654" i="1"/>
  <c r="AE654" i="1" s="1"/>
  <c r="AD360" i="1"/>
  <c r="AE360" i="1" s="1"/>
  <c r="AD336" i="1"/>
  <c r="AE336" i="1" s="1"/>
  <c r="AD284" i="1"/>
  <c r="AE284" i="1" s="1"/>
  <c r="AD252" i="1"/>
  <c r="AE252" i="1" s="1"/>
  <c r="AD109" i="1"/>
  <c r="AE109" i="1" s="1"/>
  <c r="AD1122" i="1"/>
  <c r="AE1122" i="1" s="1"/>
  <c r="AD801" i="1"/>
  <c r="AE801" i="1" s="1"/>
  <c r="AD15" i="1"/>
  <c r="AE15" i="1" s="1"/>
  <c r="AD1192" i="1"/>
  <c r="AE1192" i="1" s="1"/>
  <c r="AD1199" i="1"/>
  <c r="AE1199" i="1" s="1"/>
  <c r="AD1201" i="1"/>
  <c r="AE1201" i="1" s="1"/>
  <c r="AD1068" i="1"/>
  <c r="AE1068" i="1" s="1"/>
  <c r="AD1025" i="1"/>
  <c r="AE1025" i="1" s="1"/>
  <c r="AD998" i="1"/>
  <c r="AE998" i="1" s="1"/>
  <c r="AD934" i="1"/>
  <c r="AE934" i="1" s="1"/>
  <c r="AD1046" i="1"/>
  <c r="AE1046" i="1" s="1"/>
  <c r="AD1038" i="1"/>
  <c r="AE1038" i="1" s="1"/>
  <c r="AD1150" i="1"/>
  <c r="AE1150" i="1" s="1"/>
  <c r="AD981" i="1"/>
  <c r="AE981" i="1" s="1"/>
  <c r="AD1009" i="1"/>
  <c r="AE1009" i="1" s="1"/>
  <c r="AD1001" i="1"/>
  <c r="AE1001" i="1" s="1"/>
  <c r="AD977" i="1"/>
  <c r="AE977" i="1" s="1"/>
  <c r="AD993" i="1"/>
  <c r="AE993" i="1" s="1"/>
  <c r="AD1024" i="1"/>
  <c r="AE1024" i="1" s="1"/>
  <c r="AD929" i="1"/>
  <c r="AE929" i="1" s="1"/>
  <c r="AD937" i="1"/>
  <c r="AE937" i="1" s="1"/>
  <c r="AD866" i="1"/>
  <c r="AE866" i="1" s="1"/>
  <c r="AD945" i="1"/>
  <c r="AE945" i="1" s="1"/>
  <c r="AD858" i="1"/>
  <c r="AE858" i="1" s="1"/>
  <c r="AD828" i="1"/>
  <c r="AE828" i="1" s="1"/>
  <c r="AD775" i="1"/>
  <c r="AE775" i="1" s="1"/>
  <c r="AL758" i="1"/>
  <c r="AD777" i="1"/>
  <c r="AE777" i="1" s="1"/>
  <c r="AD754" i="1"/>
  <c r="AE754" i="1" s="1"/>
  <c r="AD700" i="1"/>
  <c r="AE700" i="1" s="1"/>
  <c r="AD765" i="1"/>
  <c r="AE765" i="1" s="1"/>
  <c r="AD680" i="1"/>
  <c r="AE680" i="1" s="1"/>
  <c r="AD639" i="1"/>
  <c r="AE639" i="1" s="1"/>
  <c r="AH528" i="1"/>
  <c r="AI528" i="1" s="1"/>
  <c r="AD404" i="1"/>
  <c r="AE404" i="1" s="1"/>
  <c r="AD413" i="1"/>
  <c r="AE413" i="1" s="1"/>
  <c r="AD386" i="1"/>
  <c r="AE386" i="1" s="1"/>
  <c r="AD378" i="1"/>
  <c r="AE378" i="1" s="1"/>
  <c r="AD370" i="1"/>
  <c r="AE370" i="1" s="1"/>
  <c r="AD362" i="1"/>
  <c r="AE362" i="1" s="1"/>
  <c r="AD354" i="1"/>
  <c r="AE354" i="1" s="1"/>
  <c r="AD346" i="1"/>
  <c r="AE346" i="1" s="1"/>
  <c r="AD338" i="1"/>
  <c r="AE338" i="1" s="1"/>
  <c r="AD330" i="1"/>
  <c r="AE330" i="1" s="1"/>
  <c r="AD271" i="1"/>
  <c r="AE271" i="1" s="1"/>
  <c r="AD292" i="1"/>
  <c r="AE292" i="1" s="1"/>
  <c r="AD324" i="1"/>
  <c r="AE324" i="1" s="1"/>
  <c r="AD316" i="1"/>
  <c r="AE316" i="1" s="1"/>
  <c r="AD297" i="1"/>
  <c r="AE297" i="1" s="1"/>
  <c r="AD265" i="1"/>
  <c r="AE265" i="1" s="1"/>
  <c r="AD246" i="1"/>
  <c r="AE246" i="1" s="1"/>
  <c r="AD214" i="1"/>
  <c r="AE214" i="1" s="1"/>
  <c r="AD255" i="1"/>
  <c r="AE255" i="1" s="1"/>
  <c r="AD254" i="1"/>
  <c r="AE254" i="1" s="1"/>
  <c r="AD221" i="1"/>
  <c r="AE221" i="1" s="1"/>
  <c r="AD244" i="1"/>
  <c r="AE244" i="1" s="1"/>
  <c r="AD212" i="1"/>
  <c r="AE212" i="1" s="1"/>
  <c r="AD258" i="1"/>
  <c r="AE258" i="1" s="1"/>
  <c r="AD223" i="1"/>
  <c r="AE223" i="1" s="1"/>
  <c r="AD74" i="1"/>
  <c r="AE74" i="1" s="1"/>
  <c r="AD176" i="1"/>
  <c r="AE176" i="1" s="1"/>
  <c r="AD125" i="1"/>
  <c r="AE125" i="1" s="1"/>
  <c r="AD113" i="1"/>
  <c r="AE113" i="1" s="1"/>
  <c r="AD1170" i="1"/>
  <c r="AE1170" i="1" s="1"/>
  <c r="AD1123" i="1"/>
  <c r="AE1123" i="1" s="1"/>
  <c r="AD767" i="1"/>
  <c r="AE767" i="1" s="1"/>
  <c r="AH1144" i="1"/>
  <c r="AI1144" i="1" s="1"/>
  <c r="AD1141" i="1"/>
  <c r="AE1141" i="1" s="1"/>
  <c r="AD800" i="1"/>
  <c r="AE800" i="1" s="1"/>
  <c r="AD544" i="1"/>
  <c r="AE544" i="1" s="1"/>
  <c r="AD552" i="1"/>
  <c r="AE552" i="1" s="1"/>
  <c r="AD450" i="1"/>
  <c r="AE450" i="1" s="1"/>
  <c r="AD453" i="1"/>
  <c r="AE453" i="1" s="1"/>
  <c r="AD494" i="1"/>
  <c r="AE494" i="1" s="1"/>
  <c r="AD556" i="1"/>
  <c r="AE556" i="1" s="1"/>
  <c r="AD520" i="1"/>
  <c r="AE520" i="1" s="1"/>
  <c r="AD603" i="1"/>
  <c r="AE603" i="1" s="1"/>
  <c r="AD436" i="1"/>
  <c r="AE436" i="1" s="1"/>
  <c r="AD431" i="1"/>
  <c r="AE431" i="1" s="1"/>
  <c r="AD586" i="1"/>
  <c r="AE586" i="1" s="1"/>
  <c r="AD457" i="1"/>
  <c r="AE457" i="1" s="1"/>
  <c r="AD578" i="1"/>
  <c r="AE578" i="1" s="1"/>
  <c r="AD458" i="1"/>
  <c r="AE458" i="1" s="1"/>
  <c r="AD66" i="1"/>
  <c r="AE66" i="1" s="1"/>
  <c r="AD84" i="1"/>
  <c r="AE84" i="1" s="1"/>
  <c r="AD1137" i="1"/>
  <c r="AE1137" i="1" s="1"/>
  <c r="AD627" i="1"/>
  <c r="AE627" i="1" s="1"/>
  <c r="AD721" i="1"/>
  <c r="AE721" i="1" s="1"/>
  <c r="AD899" i="1"/>
  <c r="AE899" i="1" s="1"/>
  <c r="AD729" i="1"/>
  <c r="AE729" i="1" s="1"/>
  <c r="AD184" i="1"/>
  <c r="AE184" i="1" s="1"/>
  <c r="AD479" i="1"/>
  <c r="AE479" i="1" s="1"/>
  <c r="AD423" i="1"/>
  <c r="AE423" i="1" s="1"/>
  <c r="AD561" i="1"/>
  <c r="AE561" i="1" s="1"/>
  <c r="AD482" i="1"/>
  <c r="AE482" i="1" s="1"/>
  <c r="AD140" i="1"/>
  <c r="AE140" i="1" s="1"/>
  <c r="AD495" i="1"/>
  <c r="AE495" i="1" s="1"/>
  <c r="AD87" i="1"/>
  <c r="AE87" i="1" s="1"/>
  <c r="AD529" i="1"/>
  <c r="AE529" i="1" s="1"/>
  <c r="AD432" i="1"/>
  <c r="AE432" i="1" s="1"/>
  <c r="AD124" i="1"/>
  <c r="AE124" i="1" s="1"/>
  <c r="AD560" i="1"/>
  <c r="AE560" i="1" s="1"/>
  <c r="AD538" i="1"/>
  <c r="AE538" i="1" s="1"/>
  <c r="AH645" i="1"/>
  <c r="AI645" i="1" s="1"/>
  <c r="AD795" i="1"/>
  <c r="AE795" i="1" s="1"/>
  <c r="AD524" i="1"/>
  <c r="AE524" i="1" s="1"/>
  <c r="AH59" i="1"/>
  <c r="AI59" i="1" s="1"/>
  <c r="AD483" i="1"/>
  <c r="AE483" i="1" s="1"/>
  <c r="AD1149" i="1"/>
  <c r="AE1149" i="1" s="1"/>
  <c r="AD145" i="1"/>
  <c r="AE145" i="1" s="1"/>
  <c r="AD537" i="1"/>
  <c r="AE537" i="1" s="1"/>
  <c r="AD401" i="1"/>
  <c r="AE401" i="1" s="1"/>
  <c r="AD490" i="1"/>
  <c r="AE490" i="1" s="1"/>
  <c r="AD883" i="1"/>
  <c r="AE883" i="1" s="1"/>
  <c r="AK63" i="1"/>
  <c r="AL505" i="1"/>
  <c r="AL295" i="1"/>
  <c r="AL475" i="1"/>
  <c r="AK107" i="1"/>
  <c r="AL723" i="1"/>
  <c r="AK475" i="1"/>
  <c r="AL63" i="1"/>
  <c r="AK377" i="1"/>
  <c r="AH164" i="1"/>
  <c r="AI164" i="1" s="1"/>
  <c r="AL537" i="1"/>
  <c r="AK99" i="1"/>
  <c r="AL145" i="1"/>
  <c r="AK547" i="1"/>
  <c r="AK480" i="1"/>
  <c r="AK101" i="1"/>
  <c r="AL59" i="1"/>
  <c r="AK490" i="1"/>
  <c r="AK130" i="1"/>
  <c r="AL279" i="1"/>
  <c r="AK1204" i="1"/>
  <c r="AH711" i="1"/>
  <c r="AI711" i="1" s="1"/>
  <c r="AK885" i="1"/>
  <c r="AL783" i="1"/>
  <c r="AK147" i="1"/>
  <c r="AK841" i="1"/>
  <c r="AH1131" i="1"/>
  <c r="AI1131" i="1" s="1"/>
  <c r="AL162" i="1"/>
  <c r="AK105" i="1"/>
  <c r="AH518" i="1"/>
  <c r="AI518" i="1" s="1"/>
  <c r="AH491" i="1"/>
  <c r="AI491" i="1" s="1"/>
  <c r="AL623" i="1"/>
  <c r="AH727" i="1"/>
  <c r="AI727" i="1" s="1"/>
  <c r="AL54" i="1"/>
  <c r="AH535" i="1"/>
  <c r="AI535" i="1" s="1"/>
  <c r="AL601" i="1"/>
  <c r="AL491" i="1"/>
  <c r="AK846" i="1"/>
  <c r="AK338" i="1"/>
  <c r="AH162" i="1"/>
  <c r="AI162" i="1" s="1"/>
  <c r="AH151" i="1"/>
  <c r="AI151" i="1" s="1"/>
  <c r="AL846" i="1"/>
  <c r="AK74" i="1"/>
  <c r="AK149" i="1"/>
  <c r="AD786" i="1"/>
  <c r="AE786" i="1" s="1"/>
  <c r="AK783" i="1"/>
  <c r="AL149" i="1"/>
  <c r="AH149" i="1"/>
  <c r="AI149" i="1" s="1"/>
  <c r="AQ1204" i="1"/>
  <c r="AK897" i="1"/>
  <c r="AK491" i="1"/>
  <c r="AL426" i="1"/>
  <c r="AK70" i="1"/>
  <c r="AL476" i="1"/>
  <c r="AK476" i="1"/>
  <c r="AL534" i="1"/>
  <c r="AK102" i="1"/>
  <c r="AK1160" i="1"/>
  <c r="AK460" i="1"/>
  <c r="AH752" i="1"/>
  <c r="AI752" i="1" s="1"/>
  <c r="AK342" i="1"/>
  <c r="AL178" i="1"/>
  <c r="AK67" i="1"/>
  <c r="AH778" i="1"/>
  <c r="AI778" i="1" s="1"/>
  <c r="AK465" i="1"/>
  <c r="AK112" i="1"/>
  <c r="AH782" i="1"/>
  <c r="AI782" i="1" s="1"/>
  <c r="AK493" i="1"/>
  <c r="AL346" i="1"/>
  <c r="AL686" i="1"/>
  <c r="AK487" i="1"/>
  <c r="AL67" i="1"/>
  <c r="AH534" i="1"/>
  <c r="AI534" i="1" s="1"/>
  <c r="AK108" i="1"/>
  <c r="AK117" i="1"/>
  <c r="AK178" i="1"/>
  <c r="AL158" i="1"/>
  <c r="AH476" i="1"/>
  <c r="AI476" i="1" s="1"/>
  <c r="AK641" i="1"/>
  <c r="AK401" i="1"/>
  <c r="AH895" i="1"/>
  <c r="AI895" i="1" s="1"/>
  <c r="AH542" i="1"/>
  <c r="AI542" i="1" s="1"/>
  <c r="AQ1200" i="1"/>
  <c r="AK515" i="1"/>
  <c r="AK785" i="1"/>
  <c r="AK97" i="1"/>
  <c r="AH145" i="1"/>
  <c r="AI145" i="1" s="1"/>
  <c r="AH674" i="1"/>
  <c r="AI674" i="1" s="1"/>
  <c r="AH887" i="1"/>
  <c r="AI887" i="1" s="1"/>
  <c r="AK537" i="1"/>
  <c r="AL553" i="1"/>
  <c r="AK1208" i="1"/>
  <c r="AK1162" i="1"/>
  <c r="AL785" i="1"/>
  <c r="AD783" i="1"/>
  <c r="AE783" i="1" s="1"/>
  <c r="AL406" i="1"/>
  <c r="AK126" i="1"/>
  <c r="AL461" i="1"/>
  <c r="AL1162" i="1"/>
  <c r="AL735" i="1"/>
  <c r="AH516" i="1"/>
  <c r="AI516" i="1" s="1"/>
  <c r="AL306" i="1"/>
  <c r="AK154" i="1"/>
  <c r="AH63" i="1"/>
  <c r="AI63" i="1" s="1"/>
  <c r="AK1200" i="1"/>
  <c r="AL896" i="1"/>
  <c r="AK735" i="1"/>
  <c r="AK406" i="1"/>
  <c r="AL154" i="1"/>
  <c r="AH478" i="1"/>
  <c r="AI478" i="1" s="1"/>
  <c r="AK472" i="1"/>
  <c r="AL644" i="1"/>
  <c r="AH434" i="1"/>
  <c r="AI434" i="1" s="1"/>
  <c r="AL147" i="1"/>
  <c r="AK432" i="1"/>
  <c r="AL74" i="1"/>
  <c r="AL456" i="1"/>
  <c r="AL478" i="1"/>
  <c r="AL493" i="1"/>
  <c r="AL99" i="1"/>
  <c r="AL490" i="1"/>
  <c r="AK545" i="1"/>
  <c r="AL907" i="1"/>
  <c r="AL1155" i="1"/>
  <c r="AK499" i="1"/>
  <c r="AL129" i="1"/>
  <c r="AL545" i="1"/>
  <c r="AK601" i="1"/>
  <c r="AL357" i="1"/>
  <c r="AL877" i="1"/>
  <c r="AK501" i="1"/>
  <c r="AK434" i="1"/>
  <c r="AK164" i="1"/>
  <c r="AK87" i="1"/>
  <c r="AH163" i="1"/>
  <c r="AI163" i="1" s="1"/>
  <c r="AH743" i="1"/>
  <c r="AI743" i="1" s="1"/>
  <c r="AK132" i="1"/>
  <c r="AK431" i="1"/>
  <c r="AL499" i="1"/>
  <c r="AL512" i="1"/>
  <c r="AL110" i="1"/>
  <c r="AL115" i="1"/>
  <c r="AK842" i="1"/>
  <c r="AK339" i="1"/>
  <c r="AL164" i="1"/>
  <c r="AK49" i="1"/>
  <c r="AK163" i="1"/>
  <c r="AH846" i="1"/>
  <c r="AI846" i="1" s="1"/>
  <c r="AH1149" i="1"/>
  <c r="AI1149" i="1" s="1"/>
  <c r="AL894" i="1"/>
  <c r="AK348" i="1"/>
  <c r="AL310" i="1"/>
  <c r="AK79" i="1"/>
  <c r="AL163" i="1"/>
  <c r="AQ1216" i="1"/>
  <c r="AH421" i="1"/>
  <c r="AI421" i="1" s="1"/>
  <c r="AK115" i="1"/>
  <c r="AL519" i="1"/>
  <c r="AL1197" i="1"/>
  <c r="AH1145" i="1"/>
  <c r="AI1145" i="1" s="1"/>
  <c r="AK895" i="1"/>
  <c r="AK879" i="1"/>
  <c r="AL842" i="1"/>
  <c r="AL711" i="1"/>
  <c r="AH553" i="1"/>
  <c r="AI553" i="1" s="1"/>
  <c r="AK347" i="1"/>
  <c r="AK161" i="1"/>
  <c r="AK69" i="1"/>
  <c r="AL825" i="1"/>
  <c r="AK279" i="1"/>
  <c r="AL879" i="1"/>
  <c r="AL728" i="1"/>
  <c r="AL390" i="1"/>
  <c r="AK382" i="1"/>
  <c r="AL161" i="1"/>
  <c r="AQ1208" i="1"/>
  <c r="AK848" i="1"/>
  <c r="AK110" i="1"/>
  <c r="AK124" i="1"/>
  <c r="AK884" i="1"/>
  <c r="AL895" i="1"/>
  <c r="AK728" i="1"/>
  <c r="AK711" i="1"/>
  <c r="AL595" i="1"/>
  <c r="AK445" i="1"/>
  <c r="AK553" i="1"/>
  <c r="AL434" i="1"/>
  <c r="AL556" i="1"/>
  <c r="AK524" i="1"/>
  <c r="AL411" i="1"/>
  <c r="AK909" i="1"/>
  <c r="AL69" i="1"/>
  <c r="AL508" i="1"/>
  <c r="AK877" i="1"/>
  <c r="AK623" i="1"/>
  <c r="AL793" i="1"/>
  <c r="AL104" i="1"/>
  <c r="AL380" i="1"/>
  <c r="AL453" i="1"/>
  <c r="AL365" i="1"/>
  <c r="AL1222" i="1"/>
  <c r="AK723" i="1"/>
  <c r="AL105" i="1"/>
  <c r="AK519" i="1"/>
  <c r="AL78" i="1"/>
  <c r="AL876" i="1"/>
  <c r="AL932" i="1"/>
  <c r="AL841" i="1"/>
  <c r="AL501" i="1"/>
  <c r="AL342" i="1"/>
  <c r="AL332" i="1"/>
  <c r="AK411" i="1"/>
  <c r="AL338" i="1"/>
  <c r="AH158" i="1"/>
  <c r="AI158" i="1" s="1"/>
  <c r="AK843" i="1"/>
  <c r="AK447" i="1"/>
  <c r="AL749" i="1"/>
  <c r="AK466" i="1"/>
  <c r="AK421" i="1"/>
  <c r="AL726" i="1"/>
  <c r="AL432" i="1"/>
  <c r="AL336" i="1"/>
  <c r="AK307" i="1"/>
  <c r="AL100" i="1"/>
  <c r="AK766" i="1"/>
  <c r="AL372" i="1"/>
  <c r="AK289" i="1"/>
  <c r="AL133" i="1"/>
  <c r="AL113" i="1"/>
  <c r="AL77" i="1"/>
  <c r="AL86" i="1"/>
  <c r="AL58" i="1"/>
  <c r="AL345" i="1"/>
  <c r="AL546" i="1"/>
  <c r="AL1206" i="1"/>
  <c r="AK900" i="1"/>
  <c r="AK746" i="1"/>
  <c r="AK645" i="1"/>
  <c r="AL503" i="1"/>
  <c r="AK426" i="1"/>
  <c r="AL344" i="1"/>
  <c r="AL122" i="1"/>
  <c r="AL90" i="1"/>
  <c r="AL474" i="1"/>
  <c r="AL124" i="1"/>
  <c r="AK934" i="1"/>
  <c r="AL885" i="1"/>
  <c r="AK749" i="1"/>
  <c r="AK544" i="1"/>
  <c r="AL517" i="1"/>
  <c r="AK455" i="1"/>
  <c r="AK286" i="1"/>
  <c r="AK473" i="1"/>
  <c r="AK532" i="1"/>
  <c r="AK1197" i="1"/>
  <c r="AK938" i="1"/>
  <c r="AL813" i="1"/>
  <c r="AK643" i="1"/>
  <c r="AL525" i="1"/>
  <c r="AL470" i="1"/>
  <c r="AL413" i="1"/>
  <c r="AL349" i="1"/>
  <c r="AK283" i="1"/>
  <c r="AL123" i="1"/>
  <c r="AL103" i="1"/>
  <c r="AL75" i="1"/>
  <c r="AL848" i="1"/>
  <c r="AK750" i="1"/>
  <c r="AK703" i="1"/>
  <c r="AL449" i="1"/>
  <c r="AK628" i="1"/>
  <c r="AL407" i="1"/>
  <c r="AL128" i="1"/>
  <c r="AK886" i="1"/>
  <c r="AL439" i="1"/>
  <c r="AK1206" i="1"/>
  <c r="AL746" i="1"/>
  <c r="AK372" i="1"/>
  <c r="AK1149" i="1"/>
  <c r="AL1149" i="1"/>
  <c r="AL843" i="1"/>
  <c r="AK813" i="1"/>
  <c r="AH879" i="1"/>
  <c r="AI879" i="1" s="1"/>
  <c r="AK838" i="1"/>
  <c r="AL750" i="1"/>
  <c r="AK363" i="1"/>
  <c r="AK162" i="1"/>
  <c r="AK103" i="1"/>
  <c r="AK90" i="1"/>
  <c r="AK128" i="1"/>
  <c r="AH452" i="1"/>
  <c r="AI452" i="1" s="1"/>
  <c r="AH401" i="1"/>
  <c r="AI401" i="1" s="1"/>
  <c r="AL567" i="1"/>
  <c r="AK133" i="1"/>
  <c r="AK86" i="1"/>
  <c r="AK407" i="1"/>
  <c r="AL628" i="1"/>
  <c r="AL732" i="1"/>
  <c r="AK345" i="1"/>
  <c r="AL544" i="1"/>
  <c r="AK503" i="1"/>
  <c r="AK726" i="1"/>
  <c r="AL685" i="1"/>
  <c r="AK368" i="1"/>
  <c r="AK344" i="1"/>
  <c r="AK336" i="1"/>
  <c r="AL307" i="1"/>
  <c r="AH154" i="1"/>
  <c r="AI154" i="1" s="1"/>
  <c r="AH417" i="1"/>
  <c r="AI417" i="1" s="1"/>
  <c r="AK525" i="1"/>
  <c r="AK134" i="1"/>
  <c r="AK77" i="1"/>
  <c r="AL938" i="1"/>
  <c r="AK428" i="1"/>
  <c r="AL283" i="1"/>
  <c r="AK75" i="1"/>
  <c r="AK470" i="1"/>
  <c r="AL934" i="1"/>
  <c r="AK474" i="1"/>
  <c r="AK517" i="1"/>
  <c r="AK449" i="1"/>
  <c r="AK488" i="1"/>
  <c r="AL535" i="1"/>
  <c r="AL421" i="1"/>
  <c r="AK878" i="1"/>
  <c r="AK685" i="1"/>
  <c r="AL368" i="1"/>
  <c r="AL363" i="1"/>
  <c r="AK567" i="1"/>
  <c r="AL447" i="1"/>
  <c r="AL358" i="1"/>
  <c r="AL125" i="1"/>
  <c r="AL101" i="1"/>
  <c r="AL49" i="1"/>
  <c r="AL134" i="1"/>
  <c r="AL70" i="1"/>
  <c r="AL822" i="1"/>
  <c r="AK306" i="1"/>
  <c r="AL488" i="1"/>
  <c r="AL695" i="1"/>
  <c r="AL472" i="1"/>
  <c r="AL387" i="1"/>
  <c r="AL130" i="1"/>
  <c r="AL106" i="1"/>
  <c r="AK54" i="1"/>
  <c r="AL466" i="1"/>
  <c r="AL339" i="1"/>
  <c r="AL343" i="1"/>
  <c r="AL80" i="1"/>
  <c r="AL897" i="1"/>
  <c r="AK761" i="1"/>
  <c r="AK531" i="1"/>
  <c r="AL483" i="1"/>
  <c r="AL348" i="1"/>
  <c r="AL803" i="1"/>
  <c r="AL377" i="1"/>
  <c r="AL385" i="1"/>
  <c r="AL1158" i="1"/>
  <c r="AK762" i="1"/>
  <c r="AK535" i="1"/>
  <c r="AL445" i="1"/>
  <c r="AL381" i="1"/>
  <c r="AK310" i="1"/>
  <c r="AL135" i="1"/>
  <c r="AL111" i="1"/>
  <c r="AL87" i="1"/>
  <c r="AK595" i="1"/>
  <c r="AK902" i="1"/>
  <c r="AK296" i="1"/>
  <c r="AL1205" i="1"/>
  <c r="AL927" i="1"/>
  <c r="AL108" i="1"/>
  <c r="AL645" i="1"/>
  <c r="AH147" i="1"/>
  <c r="AI147" i="1" s="1"/>
  <c r="AH1162" i="1"/>
  <c r="AI1162" i="1" s="1"/>
  <c r="AL887" i="1"/>
  <c r="AK122" i="1"/>
  <c r="AK151" i="1"/>
  <c r="AH161" i="1"/>
  <c r="AI161" i="1" s="1"/>
  <c r="AL643" i="1"/>
  <c r="AK439" i="1"/>
  <c r="AK58" i="1"/>
  <c r="AL516" i="1"/>
  <c r="AL286" i="1"/>
  <c r="AL532" i="1"/>
  <c r="AK896" i="1"/>
  <c r="AK782" i="1"/>
  <c r="AH735" i="1"/>
  <c r="AI735" i="1" s="1"/>
  <c r="AK413" i="1"/>
  <c r="AK358" i="1"/>
  <c r="AL151" i="1"/>
  <c r="AH406" i="1"/>
  <c r="AI406" i="1" s="1"/>
  <c r="AK125" i="1"/>
  <c r="AL473" i="1"/>
  <c r="AL455" i="1"/>
  <c r="AK516" i="1"/>
  <c r="AK478" i="1"/>
  <c r="AK100" i="1"/>
  <c r="AL428" i="1"/>
  <c r="AL289" i="1"/>
  <c r="AK123" i="1"/>
  <c r="AH490" i="1"/>
  <c r="AI490" i="1" s="1"/>
  <c r="AK512" i="1"/>
  <c r="AK1155" i="1"/>
  <c r="AK546" i="1"/>
  <c r="AK936" i="1"/>
  <c r="AK732" i="1"/>
  <c r="AK644" i="1"/>
  <c r="AL347" i="1"/>
  <c r="AK456" i="1"/>
  <c r="AL382" i="1"/>
  <c r="AK769" i="1"/>
  <c r="AL547" i="1"/>
  <c r="AK308" i="1"/>
  <c r="AL117" i="1"/>
  <c r="AL97" i="1"/>
  <c r="AL114" i="1"/>
  <c r="AK62" i="1"/>
  <c r="AK737" i="1"/>
  <c r="AL467" i="1"/>
  <c r="AL112" i="1"/>
  <c r="AK925" i="1"/>
  <c r="AK686" i="1"/>
  <c r="AL520" i="1"/>
  <c r="AL465" i="1"/>
  <c r="AL355" i="1"/>
  <c r="AL126" i="1"/>
  <c r="AL102" i="1"/>
  <c r="AL515" i="1"/>
  <c r="AL631" i="1"/>
  <c r="AL132" i="1"/>
  <c r="AL72" i="1"/>
  <c r="AK894" i="1"/>
  <c r="AK758" i="1"/>
  <c r="AL642" i="1"/>
  <c r="AL524" i="1"/>
  <c r="AL341" i="1"/>
  <c r="AL487" i="1"/>
  <c r="AL549" i="1"/>
  <c r="AL696" i="1"/>
  <c r="AL480" i="1"/>
  <c r="AL431" i="1"/>
  <c r="AL356" i="1"/>
  <c r="AK295" i="1"/>
  <c r="AL131" i="1"/>
  <c r="AL107" i="1"/>
  <c r="AL79" i="1"/>
  <c r="AK59" i="1"/>
  <c r="AK765" i="1"/>
  <c r="AK556" i="1"/>
  <c r="AL811" i="1"/>
  <c r="AL460" i="1"/>
  <c r="AL446" i="1"/>
  <c r="AL68" i="1"/>
  <c r="AH427" i="1"/>
  <c r="AI427" i="1" s="1"/>
  <c r="AH500" i="1"/>
  <c r="AI500" i="1" s="1"/>
  <c r="AH520" i="1"/>
  <c r="AI520" i="1" s="1"/>
  <c r="AH593" i="1"/>
  <c r="AI593" i="1" s="1"/>
  <c r="AH837" i="1"/>
  <c r="AI837" i="1" s="1"/>
  <c r="AH524" i="1"/>
  <c r="AI524" i="1" s="1"/>
  <c r="AH429" i="1"/>
  <c r="AI429" i="1" s="1"/>
  <c r="AH99" i="1"/>
  <c r="AI99" i="1" s="1"/>
  <c r="AH558" i="1"/>
  <c r="AI558" i="1" s="1"/>
  <c r="AH498" i="1"/>
  <c r="AI498" i="1" s="1"/>
  <c r="AH519" i="1"/>
  <c r="AI519" i="1" s="1"/>
  <c r="AH594" i="1"/>
  <c r="AI594" i="1" s="1"/>
  <c r="AH707" i="1"/>
  <c r="AI707" i="1" s="1"/>
  <c r="AD50" i="1"/>
  <c r="AE50" i="1" s="1"/>
  <c r="AH1129" i="1"/>
  <c r="AI1129" i="1" s="1"/>
  <c r="AH582" i="1"/>
  <c r="AI582" i="1" s="1"/>
  <c r="AH533" i="1"/>
  <c r="AI533" i="1" s="1"/>
  <c r="AH848" i="1"/>
  <c r="AI848" i="1" s="1"/>
  <c r="AH1134" i="1"/>
  <c r="AI1134" i="1" s="1"/>
  <c r="AH143" i="1"/>
  <c r="AI143" i="1" s="1"/>
  <c r="AH814" i="1"/>
  <c r="AI814" i="1" s="1"/>
  <c r="AD807" i="1"/>
  <c r="AE807" i="1" s="1"/>
  <c r="AH601" i="1"/>
  <c r="AI601" i="1" s="1"/>
  <c r="AH511" i="1"/>
  <c r="AI511" i="1" s="1"/>
  <c r="AH809" i="1"/>
  <c r="AI809" i="1" s="1"/>
  <c r="AH605" i="1"/>
  <c r="AI605" i="1" s="1"/>
  <c r="AH506" i="1"/>
  <c r="AI506" i="1" s="1"/>
  <c r="AD59" i="1"/>
  <c r="AE59" i="1" s="1"/>
  <c r="AH589" i="1"/>
  <c r="AI589" i="1" s="1"/>
  <c r="AH577" i="1"/>
  <c r="AI577" i="1" s="1"/>
  <c r="AD645" i="1"/>
  <c r="AE645" i="1" s="1"/>
  <c r="AH92" i="1"/>
  <c r="AI92" i="1" s="1"/>
  <c r="AH566" i="1"/>
  <c r="AI566" i="1" s="1"/>
  <c r="AH611" i="1"/>
  <c r="AI611" i="1" s="1"/>
  <c r="AD1144" i="1"/>
  <c r="AE1144" i="1" s="1"/>
  <c r="AH699" i="1"/>
  <c r="AI699" i="1" s="1"/>
  <c r="AH526" i="1"/>
  <c r="AI526" i="1" s="1"/>
  <c r="AH445" i="1"/>
  <c r="AI445" i="1" s="1"/>
  <c r="AH564" i="1"/>
  <c r="AI564" i="1" s="1"/>
  <c r="AH479" i="1"/>
  <c r="AI479" i="1" s="1"/>
  <c r="AD51" i="1"/>
  <c r="AE51" i="1" s="1"/>
  <c r="AH581" i="1"/>
  <c r="AI581" i="1" s="1"/>
  <c r="AH588" i="1"/>
  <c r="AI588" i="1" s="1"/>
  <c r="AH633" i="1"/>
  <c r="AI633" i="1" s="1"/>
  <c r="AH461" i="1"/>
  <c r="AI461" i="1" s="1"/>
  <c r="AH617" i="1"/>
  <c r="AI617" i="1" s="1"/>
  <c r="AH625" i="1"/>
  <c r="AI625" i="1" s="1"/>
  <c r="AH608" i="1"/>
  <c r="AI608" i="1" s="1"/>
  <c r="AH899" i="1"/>
  <c r="AI899" i="1" s="1"/>
  <c r="AH472" i="1"/>
  <c r="AI472" i="1" s="1"/>
  <c r="AH508" i="1"/>
  <c r="AI508" i="1" s="1"/>
  <c r="AH415" i="1"/>
  <c r="AI415" i="1" s="1"/>
  <c r="AH527" i="1"/>
  <c r="AI527" i="1" s="1"/>
  <c r="AH753" i="1"/>
  <c r="AI753" i="1" s="1"/>
  <c r="AH477" i="1"/>
  <c r="AI477" i="1" s="1"/>
  <c r="AH1137" i="1"/>
  <c r="AI1137" i="1" s="1"/>
  <c r="AH703" i="1"/>
  <c r="AI703" i="1" s="1"/>
  <c r="AH495" i="1"/>
  <c r="AI495" i="1" s="1"/>
  <c r="AH763" i="1"/>
  <c r="AI763" i="1" s="1"/>
  <c r="AH631" i="1"/>
  <c r="AI631" i="1" s="1"/>
  <c r="AH820" i="1"/>
  <c r="AI820" i="1" s="1"/>
  <c r="AH1170" i="1"/>
  <c r="AI1170" i="1" s="1"/>
  <c r="AH567" i="1"/>
  <c r="AI567" i="1" s="1"/>
  <c r="AH840" i="1"/>
  <c r="AI840" i="1" s="1"/>
  <c r="AH681" i="1"/>
  <c r="AI681" i="1" s="1"/>
  <c r="AH463" i="1"/>
  <c r="AI463" i="1" s="1"/>
  <c r="AH135" i="1"/>
  <c r="AI135" i="1" s="1"/>
  <c r="AH58" i="1"/>
  <c r="AI58" i="1" s="1"/>
  <c r="AH458" i="1"/>
  <c r="AI458" i="1" s="1"/>
  <c r="AH84" i="1"/>
  <c r="AI84" i="1" s="1"/>
  <c r="AH687" i="1"/>
  <c r="AI687" i="1" s="1"/>
  <c r="AH425" i="1"/>
  <c r="AI425" i="1" s="1"/>
  <c r="AH549" i="1"/>
  <c r="AI549" i="1" s="1"/>
  <c r="AH457" i="1"/>
  <c r="AI457" i="1" s="1"/>
  <c r="AH614" i="1"/>
  <c r="AI614" i="1" s="1"/>
  <c r="AH812" i="1"/>
  <c r="AI812" i="1" s="1"/>
  <c r="AH455" i="1"/>
  <c r="AI455" i="1" s="1"/>
  <c r="AH532" i="1"/>
  <c r="AI532" i="1" s="1"/>
  <c r="AH123" i="1"/>
  <c r="AI123" i="1" s="1"/>
  <c r="AH66" i="1"/>
  <c r="AI66" i="1" s="1"/>
  <c r="AH769" i="1"/>
  <c r="AI769" i="1" s="1"/>
  <c r="AH591" i="1"/>
  <c r="AI591" i="1" s="1"/>
  <c r="AH1139" i="1"/>
  <c r="AI1139" i="1" s="1"/>
  <c r="AH544" i="1"/>
  <c r="AI544" i="1" s="1"/>
  <c r="AH431" i="1"/>
  <c r="AI431" i="1" s="1"/>
  <c r="AH1135" i="1"/>
  <c r="AI1135" i="1" s="1"/>
  <c r="AH739" i="1"/>
  <c r="AI739" i="1" s="1"/>
  <c r="AH449" i="1"/>
  <c r="AI449" i="1" s="1"/>
  <c r="AH671" i="1"/>
  <c r="AI671" i="1" s="1"/>
  <c r="AH540" i="1"/>
  <c r="AI540" i="1" s="1"/>
  <c r="AH436" i="1"/>
  <c r="AI436" i="1" s="1"/>
  <c r="AD799" i="1"/>
  <c r="AE799" i="1" s="1"/>
  <c r="AH612" i="1"/>
  <c r="AI612" i="1" s="1"/>
  <c r="AH103" i="1"/>
  <c r="AI103" i="1" s="1"/>
  <c r="AH410" i="1"/>
  <c r="AI410" i="1" s="1"/>
  <c r="AH604" i="1"/>
  <c r="AI604" i="1" s="1"/>
  <c r="AH124" i="1"/>
  <c r="AI124" i="1" s="1"/>
  <c r="AH723" i="1"/>
  <c r="AI723" i="1" s="1"/>
  <c r="AH448" i="1"/>
  <c r="AI448" i="1" s="1"/>
  <c r="AH496" i="1"/>
  <c r="AI496" i="1" s="1"/>
  <c r="AH804" i="1"/>
  <c r="AI804" i="1" s="1"/>
  <c r="AH522" i="1"/>
  <c r="AI522" i="1" s="1"/>
  <c r="AH546" i="1"/>
  <c r="AI546" i="1" s="1"/>
  <c r="AH514" i="1"/>
  <c r="AI514" i="1" s="1"/>
  <c r="AH565" i="1"/>
  <c r="AI565" i="1" s="1"/>
  <c r="AH481" i="1"/>
  <c r="AI481" i="1" s="1"/>
  <c r="AH623" i="1"/>
  <c r="AI623" i="1" s="1"/>
  <c r="AD55" i="1"/>
  <c r="AE55" i="1" s="1"/>
  <c r="AH616" i="1"/>
  <c r="AI616" i="1" s="1"/>
  <c r="AH83" i="1"/>
  <c r="AI83" i="1" s="1"/>
  <c r="AH442" i="1"/>
  <c r="AI442" i="1" s="1"/>
  <c r="AH619" i="1"/>
  <c r="AI619" i="1" s="1"/>
  <c r="AD47" i="1"/>
  <c r="AE47" i="1" s="1"/>
  <c r="AH823" i="1"/>
  <c r="AI823" i="1" s="1"/>
  <c r="AH552" i="1"/>
  <c r="AI552" i="1" s="1"/>
  <c r="AH513" i="1"/>
  <c r="AI513" i="1" s="1"/>
  <c r="AH127" i="1"/>
  <c r="AI127" i="1" s="1"/>
  <c r="AH456" i="1"/>
  <c r="AI456" i="1" s="1"/>
  <c r="AH598" i="1"/>
  <c r="AI598" i="1" s="1"/>
  <c r="AH79" i="1"/>
  <c r="AI79" i="1" s="1"/>
  <c r="AH465" i="1"/>
  <c r="AI465" i="1" s="1"/>
  <c r="AH679" i="1"/>
  <c r="AI679" i="1" s="1"/>
  <c r="AH587" i="1"/>
  <c r="AI587" i="1" s="1"/>
  <c r="AD817" i="1"/>
  <c r="AE817" i="1" s="1"/>
  <c r="AH140" i="1"/>
  <c r="AI140" i="1" s="1"/>
  <c r="AH68" i="1"/>
  <c r="AI68" i="1" s="1"/>
  <c r="AH474" i="1"/>
  <c r="AI474" i="1" s="1"/>
  <c r="AH650" i="1"/>
  <c r="AI650" i="1" s="1"/>
  <c r="AH562" i="1"/>
  <c r="AI562" i="1" s="1"/>
  <c r="AH111" i="1"/>
  <c r="AI111" i="1" s="1"/>
  <c r="AH437" i="1"/>
  <c r="AI437" i="1" s="1"/>
  <c r="AH665" i="1"/>
  <c r="AI665" i="1" s="1"/>
  <c r="AH487" i="1"/>
  <c r="AI487" i="1" s="1"/>
  <c r="AH484" i="1"/>
  <c r="AI484" i="1" s="1"/>
  <c r="AH95" i="1"/>
  <c r="AI95" i="1" s="1"/>
  <c r="AH494" i="1"/>
  <c r="AI494" i="1" s="1"/>
  <c r="AH635" i="1"/>
  <c r="AI635" i="1" s="1"/>
  <c r="AH627" i="1"/>
  <c r="AI627" i="1" s="1"/>
  <c r="AH640" i="1"/>
  <c r="AI640" i="1" s="1"/>
  <c r="AH497" i="1"/>
  <c r="AI497" i="1" s="1"/>
  <c r="AH897" i="1"/>
  <c r="AI897" i="1" s="1"/>
  <c r="AH468" i="1"/>
  <c r="AI468" i="1" s="1"/>
  <c r="AH554" i="1"/>
  <c r="AI554" i="1" s="1"/>
  <c r="AH642" i="1"/>
  <c r="AI642" i="1" s="1"/>
  <c r="AH538" i="1"/>
  <c r="AI538" i="1" s="1"/>
  <c r="AH877" i="1"/>
  <c r="AI877" i="1" s="1"/>
  <c r="AH1119" i="1"/>
  <c r="AI1119" i="1" s="1"/>
  <c r="AH503" i="1"/>
  <c r="AI503" i="1" s="1"/>
  <c r="AH620" i="1"/>
  <c r="AI620" i="1" s="1"/>
  <c r="AH483" i="1"/>
  <c r="AI483" i="1" s="1"/>
  <c r="AH433" i="1"/>
  <c r="AI433" i="1" s="1"/>
  <c r="AH402" i="1"/>
  <c r="AI402" i="1" s="1"/>
  <c r="AH545" i="1"/>
  <c r="AI545" i="1" s="1"/>
  <c r="AH1128" i="1"/>
  <c r="AI1128" i="1" s="1"/>
  <c r="AH584" i="1"/>
  <c r="AI584" i="1" s="1"/>
  <c r="AH568" i="1"/>
  <c r="AI568" i="1" s="1"/>
  <c r="AH184" i="1"/>
  <c r="AI184" i="1" s="1"/>
  <c r="AD499" i="1"/>
  <c r="AE499" i="1" s="1"/>
  <c r="AH432" i="1"/>
  <c r="AI432" i="1" s="1"/>
  <c r="AH793" i="1"/>
  <c r="AI793" i="1" s="1"/>
  <c r="AH575" i="1"/>
  <c r="AI575" i="1" s="1"/>
  <c r="AH536" i="1"/>
  <c r="AI536" i="1" s="1"/>
  <c r="AH521" i="1"/>
  <c r="AI521" i="1" s="1"/>
  <c r="AH889" i="1"/>
  <c r="AI889" i="1" s="1"/>
  <c r="AH806" i="1"/>
  <c r="AI806" i="1" s="1"/>
  <c r="AH803" i="1"/>
  <c r="AI803" i="1" s="1"/>
  <c r="AH729" i="1"/>
  <c r="AI729" i="1" s="1"/>
  <c r="AH573" i="1"/>
  <c r="AI573" i="1" s="1"/>
  <c r="AH116" i="1"/>
  <c r="AI116" i="1" s="1"/>
  <c r="AH447" i="1"/>
  <c r="AI447" i="1" s="1"/>
  <c r="AD835" i="1"/>
  <c r="AE835" i="1" s="1"/>
  <c r="AH87" i="1"/>
  <c r="AI87" i="1" s="1"/>
  <c r="AH802" i="1"/>
  <c r="AI802" i="1" s="1"/>
  <c r="AH426" i="1"/>
  <c r="AI426" i="1" s="1"/>
  <c r="AH435" i="1"/>
  <c r="AI435" i="1" s="1"/>
  <c r="AH570" i="1"/>
  <c r="AI570" i="1" s="1"/>
  <c r="AH108" i="1"/>
  <c r="AI108" i="1" s="1"/>
  <c r="AH721" i="1"/>
  <c r="AI721" i="1" s="1"/>
  <c r="AH829" i="1"/>
  <c r="AI829" i="1" s="1"/>
  <c r="AH443" i="1"/>
  <c r="AI443" i="1" s="1"/>
  <c r="AH771" i="1"/>
  <c r="AI771" i="1" s="1"/>
  <c r="AH131" i="1"/>
  <c r="AI131" i="1" s="1"/>
  <c r="AH1138" i="1"/>
  <c r="AI1138" i="1" s="1"/>
  <c r="AH690" i="1"/>
  <c r="AI690" i="1" s="1"/>
  <c r="AH76" i="1"/>
  <c r="AI76" i="1" s="1"/>
  <c r="AH424" i="1"/>
  <c r="AI424" i="1" s="1"/>
  <c r="AH632" i="1"/>
  <c r="AI632" i="1" s="1"/>
  <c r="AH394" i="1"/>
  <c r="AI394" i="1" s="1"/>
  <c r="AH580" i="1"/>
  <c r="AI580" i="1" s="1"/>
  <c r="AH634" i="1"/>
  <c r="AI634" i="1" s="1"/>
  <c r="AH560" i="1"/>
  <c r="AI560" i="1" s="1"/>
  <c r="AH75" i="1"/>
  <c r="AI75" i="1" s="1"/>
  <c r="AH60" i="1"/>
  <c r="AI60" i="1" s="1"/>
  <c r="AH454" i="1"/>
  <c r="AI454" i="1" s="1"/>
  <c r="AH446" i="1"/>
  <c r="AI446" i="1" s="1"/>
  <c r="AH1158" i="1"/>
  <c r="AI1158" i="1" s="1"/>
  <c r="AH1121" i="1"/>
  <c r="AI1121" i="1" s="1"/>
  <c r="AH556" i="1"/>
  <c r="AI556" i="1" s="1"/>
  <c r="AH563" i="1"/>
  <c r="AI563" i="1" s="1"/>
  <c r="AH139" i="1"/>
  <c r="AI139" i="1" s="1"/>
  <c r="AH550" i="1"/>
  <c r="AI550" i="1" s="1"/>
  <c r="AH1141" i="1"/>
  <c r="AI1141" i="1" s="1"/>
  <c r="AH810" i="1"/>
  <c r="AI810" i="1" s="1"/>
  <c r="AH438" i="1"/>
  <c r="AI438" i="1" s="1"/>
  <c r="AH480" i="1"/>
  <c r="AI480" i="1" s="1"/>
  <c r="AH818" i="1"/>
  <c r="AI818" i="1" s="1"/>
  <c r="AH744" i="1"/>
  <c r="AI744" i="1" s="1"/>
  <c r="AH658" i="1"/>
  <c r="AI658" i="1" s="1"/>
  <c r="AH905" i="1"/>
  <c r="AI905" i="1" s="1"/>
  <c r="AH482" i="1"/>
  <c r="AI482" i="1" s="1"/>
  <c r="AH600" i="1"/>
  <c r="AI600" i="1" s="1"/>
  <c r="AH548" i="1"/>
  <c r="AI548" i="1" s="1"/>
  <c r="AH561" i="1"/>
  <c r="AI561" i="1" s="1"/>
  <c r="AH453" i="1"/>
  <c r="AI453" i="1" s="1"/>
  <c r="AH115" i="1"/>
  <c r="AI115" i="1" s="1"/>
  <c r="AH801" i="1"/>
  <c r="AI801" i="1" s="1"/>
  <c r="AH585" i="1"/>
  <c r="AI585" i="1" s="1"/>
  <c r="AH100" i="1"/>
  <c r="AI100" i="1" s="1"/>
  <c r="AH798" i="1"/>
  <c r="AI798" i="1" s="1"/>
  <c r="AH467" i="1"/>
  <c r="AI467" i="1" s="1"/>
  <c r="AH673" i="1"/>
  <c r="AI673" i="1" s="1"/>
  <c r="AH682" i="1"/>
  <c r="AI682" i="1" s="1"/>
  <c r="AH557" i="1"/>
  <c r="AI557" i="1" s="1"/>
  <c r="AH551" i="1"/>
  <c r="AI551" i="1" s="1"/>
  <c r="AH407" i="1"/>
  <c r="AI407" i="1" s="1"/>
  <c r="AH901" i="1"/>
  <c r="AI901" i="1" s="1"/>
  <c r="AH638" i="1"/>
  <c r="AI638" i="1" s="1"/>
  <c r="AH473" i="1"/>
  <c r="AI473" i="1" s="1"/>
  <c r="AH430" i="1"/>
  <c r="AI430" i="1" s="1"/>
  <c r="AH761" i="1"/>
  <c r="AI761" i="1" s="1"/>
  <c r="AH816" i="1"/>
  <c r="AI816" i="1" s="1"/>
  <c r="AH628" i="1"/>
  <c r="AI628" i="1" s="1"/>
  <c r="AH1125" i="1"/>
  <c r="AI1125" i="1" s="1"/>
  <c r="AH767" i="1"/>
  <c r="AI767" i="1" s="1"/>
  <c r="AH493" i="1"/>
  <c r="AI493" i="1" s="1"/>
  <c r="AH422" i="1"/>
  <c r="AI422" i="1" s="1"/>
  <c r="AH715" i="1"/>
  <c r="AI715" i="1" s="1"/>
  <c r="AH578" i="1"/>
  <c r="AI578" i="1" s="1"/>
  <c r="AH747" i="1"/>
  <c r="AI747" i="1" s="1"/>
  <c r="AH618" i="1"/>
  <c r="AI618" i="1" s="1"/>
  <c r="AH531" i="1"/>
  <c r="AI531" i="1" s="1"/>
  <c r="AH541" i="1"/>
  <c r="AI541" i="1" s="1"/>
  <c r="AH647" i="1"/>
  <c r="AI647" i="1" s="1"/>
  <c r="AH574" i="1"/>
  <c r="AI574" i="1" s="1"/>
  <c r="AH759" i="1"/>
  <c r="AI759" i="1" s="1"/>
  <c r="AH529" i="1"/>
  <c r="AI529" i="1" s="1"/>
  <c r="AH813" i="1"/>
  <c r="AI813" i="1" s="1"/>
  <c r="AH488" i="1"/>
  <c r="AI488" i="1" s="1"/>
  <c r="AH602" i="1"/>
  <c r="AI602" i="1" s="1"/>
  <c r="AH794" i="1"/>
  <c r="AI794" i="1" s="1"/>
  <c r="AH559" i="1"/>
  <c r="AI559" i="1" s="1"/>
  <c r="AH489" i="1"/>
  <c r="AI489" i="1" s="1"/>
  <c r="AH592" i="1"/>
  <c r="AI592" i="1" s="1"/>
  <c r="AH492" i="1"/>
  <c r="AI492" i="1" s="1"/>
  <c r="AH235" i="1"/>
  <c r="AI235" i="1" s="1"/>
  <c r="AH215" i="1"/>
  <c r="AI215" i="1" s="1"/>
  <c r="AD797" i="1"/>
  <c r="AE797" i="1" s="1"/>
  <c r="AH439" i="1"/>
  <c r="AI439" i="1" s="1"/>
  <c r="AH423" i="1"/>
  <c r="AI423" i="1" s="1"/>
  <c r="AH626" i="1"/>
  <c r="AI626" i="1" s="1"/>
  <c r="AH606" i="1"/>
  <c r="AI606" i="1" s="1"/>
  <c r="AD815" i="1"/>
  <c r="AE815" i="1" s="1"/>
  <c r="AH586" i="1"/>
  <c r="AI586" i="1" s="1"/>
  <c r="AH861" i="1"/>
  <c r="AI861" i="1" s="1"/>
  <c r="AH569" i="1"/>
  <c r="AI569" i="1" s="1"/>
  <c r="AH450" i="1"/>
  <c r="AI450" i="1" s="1"/>
  <c r="AH504" i="1"/>
  <c r="AI504" i="1" s="1"/>
  <c r="AH856" i="1"/>
  <c r="AI856" i="1" s="1"/>
  <c r="AH572" i="1"/>
  <c r="AI572" i="1" s="1"/>
  <c r="AH805" i="1"/>
  <c r="AI805" i="1" s="1"/>
  <c r="AH502" i="1"/>
  <c r="AI502" i="1" s="1"/>
  <c r="AH590" i="1"/>
  <c r="AI590" i="1" s="1"/>
  <c r="AH464" i="1"/>
  <c r="AI464" i="1" s="1"/>
  <c r="AH845" i="1"/>
  <c r="AI845" i="1" s="1"/>
  <c r="AH603" i="1"/>
  <c r="AI603" i="1" s="1"/>
  <c r="AH470" i="1"/>
  <c r="AI470" i="1" s="1"/>
  <c r="AH832" i="1"/>
  <c r="AI832" i="1" s="1"/>
  <c r="AH796" i="1"/>
  <c r="AI796" i="1" s="1"/>
  <c r="AH885" i="1"/>
  <c r="AI885" i="1" s="1"/>
  <c r="AH745" i="1"/>
  <c r="AI745" i="1" s="1"/>
  <c r="AH579" i="1"/>
  <c r="AI579" i="1" s="1"/>
  <c r="AH441" i="1"/>
  <c r="AI441" i="1" s="1"/>
  <c r="AH643" i="1"/>
  <c r="AI643" i="1" s="1"/>
  <c r="AH1065" i="1"/>
  <c r="AI1065" i="1" s="1"/>
  <c r="AH525" i="1"/>
  <c r="AI525" i="1" s="1"/>
  <c r="AH186" i="1"/>
  <c r="AI186" i="1" s="1"/>
  <c r="AH403" i="1"/>
  <c r="AI403" i="1" s="1"/>
  <c r="AH595" i="1"/>
  <c r="AI595" i="1" s="1"/>
  <c r="AH555" i="1"/>
  <c r="AI555" i="1" s="1"/>
  <c r="AH869" i="1"/>
  <c r="AI869" i="1" s="1"/>
  <c r="AH530" i="1"/>
  <c r="AI530" i="1" s="1"/>
  <c r="AH702" i="1"/>
  <c r="AI702" i="1" s="1"/>
  <c r="AH1118" i="1"/>
  <c r="AI1118" i="1" s="1"/>
  <c r="AH666" i="1"/>
  <c r="AI666" i="1" s="1"/>
  <c r="AH599" i="1"/>
  <c r="AI599" i="1" s="1"/>
  <c r="AH641" i="1"/>
  <c r="AI641" i="1" s="1"/>
  <c r="AH243" i="1"/>
  <c r="AI243" i="1" s="1"/>
  <c r="AH119" i="1"/>
  <c r="AI119" i="1" s="1"/>
  <c r="AH1143" i="1"/>
  <c r="AI1143" i="1" s="1"/>
  <c r="AH507" i="1"/>
  <c r="AI507" i="1" s="1"/>
  <c r="AH132" i="1"/>
  <c r="AI132" i="1" s="1"/>
  <c r="AH501" i="1"/>
  <c r="AI501" i="1" s="1"/>
  <c r="AH469" i="1"/>
  <c r="AI469" i="1" s="1"/>
  <c r="AH808" i="1"/>
  <c r="AI808" i="1" s="1"/>
  <c r="AH630" i="1"/>
  <c r="AI630" i="1" s="1"/>
  <c r="AH91" i="1"/>
  <c r="AI91" i="1" s="1"/>
  <c r="AH52" i="1"/>
  <c r="AI52" i="1" s="1"/>
  <c r="AH523" i="1"/>
  <c r="AI523" i="1" s="1"/>
  <c r="AH953" i="1"/>
  <c r="AI953" i="1" s="1"/>
  <c r="AH509" i="1"/>
  <c r="AI509" i="1" s="1"/>
  <c r="AH774" i="1"/>
  <c r="AI774" i="1" s="1"/>
  <c r="AH819" i="1"/>
  <c r="AI819" i="1" s="1"/>
  <c r="AH460" i="1"/>
  <c r="AI460" i="1" s="1"/>
  <c r="AH755" i="1"/>
  <c r="AI755" i="1" s="1"/>
  <c r="AH615" i="1"/>
  <c r="AI615" i="1" s="1"/>
  <c r="AH510" i="1"/>
  <c r="AI510" i="1" s="1"/>
  <c r="AD637" i="1"/>
  <c r="AE637" i="1" s="1"/>
  <c r="AH607" i="1"/>
  <c r="AI607" i="1" s="1"/>
  <c r="AH1120" i="1"/>
  <c r="AI1120" i="1" s="1"/>
  <c r="AH811" i="1"/>
  <c r="AI811" i="1" s="1"/>
  <c r="AH571" i="1"/>
  <c r="AI571" i="1" s="1"/>
  <c r="AD1116" i="1"/>
  <c r="AE1116" i="1" s="1"/>
  <c r="AH907" i="1"/>
  <c r="AI907" i="1" s="1"/>
  <c r="AD907" i="1"/>
  <c r="AE907" i="1" s="1"/>
  <c r="AH689" i="1"/>
  <c r="AI689" i="1" s="1"/>
  <c r="AD689" i="1"/>
  <c r="AE689" i="1" s="1"/>
  <c r="AH1161" i="1"/>
  <c r="AI1161" i="1" s="1"/>
  <c r="AH731" i="1"/>
  <c r="AI731" i="1" s="1"/>
  <c r="AH713" i="1"/>
  <c r="AI713" i="1" s="1"/>
  <c r="AH485" i="1"/>
  <c r="AI485" i="1" s="1"/>
  <c r="AH399" i="1"/>
  <c r="AI399" i="1" s="1"/>
  <c r="AH1117" i="1"/>
  <c r="AI1117" i="1" s="1"/>
  <c r="AH1113" i="1"/>
  <c r="AI1113" i="1" s="1"/>
  <c r="AH515" i="1"/>
  <c r="AI515" i="1" s="1"/>
  <c r="AH800" i="1"/>
  <c r="AI800" i="1" s="1"/>
  <c r="AH444" i="1"/>
  <c r="AI444" i="1" s="1"/>
  <c r="AH893" i="1"/>
  <c r="AI893" i="1" s="1"/>
  <c r="AH547" i="1"/>
  <c r="AI547" i="1" s="1"/>
  <c r="AH881" i="1"/>
  <c r="AI881" i="1" s="1"/>
  <c r="AH622" i="1"/>
  <c r="AI622" i="1" s="1"/>
  <c r="AH583" i="1"/>
  <c r="AI583" i="1" s="1"/>
  <c r="AH610" i="1"/>
  <c r="AI610" i="1" s="1"/>
  <c r="AH737" i="1"/>
  <c r="AI737" i="1" s="1"/>
  <c r="AH486" i="1"/>
  <c r="AI486" i="1" s="1"/>
  <c r="AH395" i="1"/>
  <c r="AI395" i="1" s="1"/>
  <c r="AD1140" i="1"/>
  <c r="AE1140" i="1" s="1"/>
  <c r="AH891" i="1"/>
  <c r="AI891" i="1" s="1"/>
  <c r="AH539" i="1"/>
  <c r="AI539" i="1" s="1"/>
  <c r="AH732" i="1"/>
  <c r="AI732" i="1" s="1"/>
  <c r="AH274" i="1"/>
  <c r="AI274" i="1" s="1"/>
  <c r="AH1011" i="1"/>
  <c r="AI1011" i="1" s="1"/>
  <c r="AH1199" i="1"/>
  <c r="AI1199" i="1" s="1"/>
  <c r="AH1169" i="1"/>
  <c r="AI1169" i="1" s="1"/>
  <c r="AH866" i="1"/>
  <c r="AI866" i="1" s="1"/>
  <c r="AH1019" i="1"/>
  <c r="AI1019" i="1" s="1"/>
  <c r="AH824" i="1"/>
  <c r="AI824" i="1" s="1"/>
  <c r="AH754" i="1"/>
  <c r="AI754" i="1" s="1"/>
  <c r="AH701" i="1"/>
  <c r="AI701" i="1" s="1"/>
  <c r="AH412" i="1"/>
  <c r="AI412" i="1" s="1"/>
  <c r="AH359" i="1"/>
  <c r="AI359" i="1" s="1"/>
  <c r="AH847" i="1"/>
  <c r="AI847" i="1" s="1"/>
  <c r="AH1028" i="1"/>
  <c r="AI1028" i="1" s="1"/>
  <c r="AH367" i="1"/>
  <c r="AI367" i="1" s="1"/>
  <c r="AH334" i="1"/>
  <c r="AI334" i="1" s="1"/>
  <c r="AH260" i="1"/>
  <c r="AI260" i="1" s="1"/>
  <c r="AH1023" i="1"/>
  <c r="AI1023" i="1" s="1"/>
  <c r="AH986" i="1"/>
  <c r="AI986" i="1" s="1"/>
  <c r="AH73" i="1"/>
  <c r="AI73" i="1" s="1"/>
  <c r="AH1186" i="1"/>
  <c r="AI1186" i="1" s="1"/>
  <c r="AH1178" i="1"/>
  <c r="AI1178" i="1" s="1"/>
  <c r="AH988" i="1"/>
  <c r="AI988" i="1" s="1"/>
  <c r="AH996" i="1"/>
  <c r="AI996" i="1" s="1"/>
  <c r="AH876" i="1"/>
  <c r="AI876" i="1" s="1"/>
  <c r="AH303" i="1"/>
  <c r="AI303" i="1" s="1"/>
  <c r="AH1146" i="1"/>
  <c r="AI1146" i="1" s="1"/>
  <c r="AH276" i="1"/>
  <c r="AI276" i="1" s="1"/>
  <c r="AH646" i="1"/>
  <c r="AI646" i="1" s="1"/>
  <c r="AH664" i="1"/>
  <c r="AI664" i="1" s="1"/>
  <c r="AH942" i="1"/>
  <c r="AI942" i="1" s="1"/>
  <c r="AH940" i="1"/>
  <c r="AI940" i="1" s="1"/>
  <c r="AH259" i="1"/>
  <c r="AI259" i="1" s="1"/>
  <c r="AH247" i="1"/>
  <c r="AI247" i="1" s="1"/>
  <c r="AH292" i="1"/>
  <c r="AI292" i="1" s="1"/>
  <c r="AH1150" i="1"/>
  <c r="AI1150" i="1" s="1"/>
  <c r="AH1021" i="1"/>
  <c r="AI1021" i="1" s="1"/>
  <c r="AH1054" i="1"/>
  <c r="AI1054" i="1" s="1"/>
  <c r="AH362" i="1"/>
  <c r="AI362" i="1" s="1"/>
  <c r="AH217" i="1"/>
  <c r="AI217" i="1" s="1"/>
  <c r="AH1130" i="1"/>
  <c r="AI1130" i="1" s="1"/>
  <c r="AH968" i="1"/>
  <c r="AI968" i="1" s="1"/>
  <c r="AH742" i="1"/>
  <c r="AI742" i="1" s="1"/>
  <c r="AH386" i="1"/>
  <c r="AI386" i="1" s="1"/>
  <c r="AH370" i="1"/>
  <c r="AI370" i="1" s="1"/>
  <c r="AH1201" i="1"/>
  <c r="AI1201" i="1" s="1"/>
  <c r="AH1211" i="1"/>
  <c r="AI1211" i="1" s="1"/>
  <c r="AH937" i="1"/>
  <c r="AI937" i="1" s="1"/>
  <c r="AH314" i="1"/>
  <c r="AI314" i="1" s="1"/>
  <c r="AH1031" i="1"/>
  <c r="AI1031" i="1" s="1"/>
  <c r="AH1205" i="1"/>
  <c r="AI1205" i="1" s="1"/>
  <c r="AH987" i="1"/>
  <c r="AI987" i="1" s="1"/>
  <c r="AH925" i="1"/>
  <c r="AI925" i="1" s="1"/>
  <c r="AH227" i="1"/>
  <c r="AI227" i="1" s="1"/>
  <c r="AH219" i="1"/>
  <c r="AI219" i="1" s="1"/>
  <c r="AH258" i="1"/>
  <c r="AI258" i="1" s="1"/>
  <c r="AH1127" i="1"/>
  <c r="AI1127" i="1" s="1"/>
  <c r="AH1122" i="1"/>
  <c r="AI1122" i="1" s="1"/>
  <c r="AH1194" i="1"/>
  <c r="AI1194" i="1" s="1"/>
  <c r="AH1153" i="1"/>
  <c r="AI1153" i="1" s="1"/>
  <c r="AH1057" i="1"/>
  <c r="AI1057" i="1" s="1"/>
  <c r="AH1002" i="1"/>
  <c r="AI1002" i="1" s="1"/>
  <c r="AH991" i="1"/>
  <c r="AI991" i="1" s="1"/>
  <c r="AH1043" i="1"/>
  <c r="AI1043" i="1" s="1"/>
  <c r="AH990" i="1"/>
  <c r="AI990" i="1" s="1"/>
  <c r="AH958" i="1"/>
  <c r="AI958" i="1" s="1"/>
  <c r="AH842" i="1"/>
  <c r="AI842" i="1" s="1"/>
  <c r="AH749" i="1"/>
  <c r="AI749" i="1" s="1"/>
  <c r="AH654" i="1"/>
  <c r="AI654" i="1" s="1"/>
  <c r="AH660" i="1"/>
  <c r="AI660" i="1" s="1"/>
  <c r="AH397" i="1"/>
  <c r="AI397" i="1" s="1"/>
  <c r="AH363" i="1"/>
  <c r="AI363" i="1" s="1"/>
  <c r="AH358" i="1"/>
  <c r="AI358" i="1" s="1"/>
  <c r="AH342" i="1"/>
  <c r="AI342" i="1" s="1"/>
  <c r="AH231" i="1"/>
  <c r="AI231" i="1" s="1"/>
  <c r="AH211" i="1"/>
  <c r="AI211" i="1" s="1"/>
  <c r="AH203" i="1"/>
  <c r="AI203" i="1" s="1"/>
  <c r="AH300" i="1"/>
  <c r="AI300" i="1" s="1"/>
  <c r="AH226" i="1"/>
  <c r="AI226" i="1" s="1"/>
  <c r="AH244" i="1"/>
  <c r="AI244" i="1" s="1"/>
  <c r="AH236" i="1"/>
  <c r="AI236" i="1" s="1"/>
  <c r="AH295" i="1"/>
  <c r="AI295" i="1" s="1"/>
  <c r="AH105" i="1"/>
  <c r="AI105" i="1" s="1"/>
  <c r="AH1202" i="1"/>
  <c r="AI1202" i="1" s="1"/>
  <c r="AH1015" i="1"/>
  <c r="AI1015" i="1" s="1"/>
  <c r="AH350" i="1"/>
  <c r="AI350" i="1" s="1"/>
  <c r="AH1221" i="1"/>
  <c r="AI1221" i="1" s="1"/>
  <c r="AH1008" i="1"/>
  <c r="AI1008" i="1" s="1"/>
  <c r="AH1212" i="1"/>
  <c r="AI1212" i="1" s="1"/>
  <c r="AH1187" i="1"/>
  <c r="AI1187" i="1" s="1"/>
  <c r="AH1191" i="1"/>
  <c r="AI1191" i="1" s="1"/>
  <c r="AH1064" i="1"/>
  <c r="AI1064" i="1" s="1"/>
  <c r="AH1052" i="1"/>
  <c r="AI1052" i="1" s="1"/>
  <c r="AH1016" i="1"/>
  <c r="AI1016" i="1" s="1"/>
  <c r="AH971" i="1"/>
  <c r="AI971" i="1" s="1"/>
  <c r="AH999" i="1"/>
  <c r="AI999" i="1" s="1"/>
  <c r="AH1039" i="1"/>
  <c r="AI1039" i="1" s="1"/>
  <c r="AH1020" i="1"/>
  <c r="AI1020" i="1" s="1"/>
  <c r="AH1036" i="1"/>
  <c r="AI1036" i="1" s="1"/>
  <c r="AH945" i="1"/>
  <c r="AI945" i="1" s="1"/>
  <c r="AH941" i="1"/>
  <c r="AI941" i="1" s="1"/>
  <c r="AH952" i="1"/>
  <c r="AI952" i="1" s="1"/>
  <c r="AH890" i="1"/>
  <c r="AI890" i="1" s="1"/>
  <c r="AH916" i="1"/>
  <c r="AI916" i="1" s="1"/>
  <c r="AH777" i="1"/>
  <c r="AI777" i="1" s="1"/>
  <c r="AH751" i="1"/>
  <c r="AI751" i="1" s="1"/>
  <c r="AH375" i="1"/>
  <c r="AI375" i="1" s="1"/>
  <c r="AH387" i="1"/>
  <c r="AI387" i="1" s="1"/>
  <c r="AH315" i="1"/>
  <c r="AI315" i="1" s="1"/>
  <c r="AH339" i="1"/>
  <c r="AI339" i="1" s="1"/>
  <c r="AH251" i="1"/>
  <c r="AI251" i="1" s="1"/>
  <c r="AH242" i="1"/>
  <c r="AI242" i="1" s="1"/>
  <c r="AH278" i="1"/>
  <c r="AI278" i="1" s="1"/>
  <c r="AH245" i="1"/>
  <c r="AI245" i="1" s="1"/>
  <c r="AH213" i="1"/>
  <c r="AI213" i="1" s="1"/>
  <c r="AH228" i="1"/>
  <c r="AI228" i="1" s="1"/>
  <c r="AH1060" i="1"/>
  <c r="AI1060" i="1" s="1"/>
  <c r="AH1038" i="1"/>
  <c r="AI1038" i="1" s="1"/>
  <c r="AH1024" i="1"/>
  <c r="AI1024" i="1" s="1"/>
  <c r="AH973" i="1"/>
  <c r="AI973" i="1" s="1"/>
  <c r="AH758" i="1"/>
  <c r="AI758" i="1" s="1"/>
  <c r="AH694" i="1"/>
  <c r="AI694" i="1" s="1"/>
  <c r="AH383" i="1"/>
  <c r="AI383" i="1" s="1"/>
  <c r="AH331" i="1"/>
  <c r="AI331" i="1" s="1"/>
  <c r="AH1123" i="1"/>
  <c r="AI1123" i="1" s="1"/>
  <c r="AH1030" i="1"/>
  <c r="AI1030" i="1" s="1"/>
  <c r="AH979" i="1"/>
  <c r="AI979" i="1" s="1"/>
  <c r="AH1022" i="1"/>
  <c r="AI1022" i="1" s="1"/>
  <c r="AH906" i="1"/>
  <c r="AI906" i="1" s="1"/>
  <c r="AH862" i="1"/>
  <c r="AI862" i="1" s="1"/>
  <c r="AH750" i="1"/>
  <c r="AI750" i="1" s="1"/>
  <c r="AH734" i="1"/>
  <c r="AI734" i="1" s="1"/>
  <c r="AH382" i="1"/>
  <c r="AI382" i="1" s="1"/>
  <c r="AH404" i="1"/>
  <c r="AI404" i="1" s="1"/>
  <c r="AH284" i="1"/>
  <c r="AI284" i="1" s="1"/>
  <c r="AH249" i="1"/>
  <c r="AI249" i="1" s="1"/>
  <c r="AH183" i="1"/>
  <c r="AI183" i="1" s="1"/>
  <c r="AH70" i="1"/>
  <c r="AI70" i="1" s="1"/>
  <c r="AH1114" i="1"/>
  <c r="AI1114" i="1" s="1"/>
  <c r="AH912" i="1"/>
  <c r="AI912" i="1" s="1"/>
  <c r="AH1167" i="1"/>
  <c r="AI1167" i="1" s="1"/>
  <c r="AH1066" i="1"/>
  <c r="AI1066" i="1" s="1"/>
  <c r="AH984" i="1"/>
  <c r="AI984" i="1" s="1"/>
  <c r="AH972" i="1"/>
  <c r="AI972" i="1" s="1"/>
  <c r="AH839" i="1"/>
  <c r="AI839" i="1" s="1"/>
  <c r="AH726" i="1"/>
  <c r="AI726" i="1" s="1"/>
  <c r="AH355" i="1"/>
  <c r="AI355" i="1" s="1"/>
  <c r="AH396" i="1"/>
  <c r="AI396" i="1" s="1"/>
  <c r="AH305" i="1"/>
  <c r="AI305" i="1" s="1"/>
  <c r="AH1115" i="1"/>
  <c r="AI1115" i="1" s="1"/>
  <c r="AH121" i="1"/>
  <c r="AI121" i="1" s="1"/>
  <c r="AH989" i="1"/>
  <c r="AI989" i="1" s="1"/>
  <c r="AH949" i="1"/>
  <c r="AI949" i="1" s="1"/>
  <c r="AH836" i="1"/>
  <c r="AI836" i="1" s="1"/>
  <c r="AH768" i="1"/>
  <c r="AI768" i="1" s="1"/>
  <c r="AH659" i="1"/>
  <c r="AI659" i="1" s="1"/>
  <c r="AH379" i="1"/>
  <c r="AI379" i="1" s="1"/>
  <c r="AH347" i="1"/>
  <c r="AI347" i="1" s="1"/>
  <c r="AH210" i="1"/>
  <c r="AI210" i="1" s="1"/>
  <c r="AH212" i="1"/>
  <c r="AI212" i="1" s="1"/>
  <c r="AH204" i="1"/>
  <c r="AI204" i="1" s="1"/>
  <c r="AH176" i="1"/>
  <c r="AI176" i="1" s="1"/>
  <c r="AH125" i="1"/>
  <c r="AI125" i="1" s="1"/>
  <c r="AH1174" i="1"/>
  <c r="AI1174" i="1" s="1"/>
  <c r="AD1174" i="1"/>
  <c r="AE1174" i="1" s="1"/>
  <c r="AD1193" i="1"/>
  <c r="AE1193" i="1" s="1"/>
  <c r="AH1193" i="1"/>
  <c r="AI1193" i="1" s="1"/>
  <c r="AH1173" i="1"/>
  <c r="AI1173" i="1" s="1"/>
  <c r="AD1173" i="1"/>
  <c r="AE1173" i="1" s="1"/>
  <c r="AH1209" i="1"/>
  <c r="AI1209" i="1" s="1"/>
  <c r="AH1084" i="1"/>
  <c r="AI1084" i="1" s="1"/>
  <c r="AD1084" i="1"/>
  <c r="AE1084" i="1" s="1"/>
  <c r="AH1101" i="1"/>
  <c r="AI1101" i="1" s="1"/>
  <c r="AD1101" i="1"/>
  <c r="AE1101" i="1" s="1"/>
  <c r="AH1085" i="1"/>
  <c r="AI1085" i="1" s="1"/>
  <c r="AD1085" i="1"/>
  <c r="AE1085" i="1" s="1"/>
  <c r="AH1033" i="1"/>
  <c r="AI1033" i="1" s="1"/>
  <c r="AH1032" i="1"/>
  <c r="AI1032" i="1" s="1"/>
  <c r="AH1112" i="1"/>
  <c r="AI1112" i="1" s="1"/>
  <c r="AH959" i="1"/>
  <c r="AI959" i="1" s="1"/>
  <c r="AD959" i="1"/>
  <c r="AE959" i="1" s="1"/>
  <c r="AH909" i="1"/>
  <c r="AI909" i="1" s="1"/>
  <c r="AH1151" i="1"/>
  <c r="AI1151" i="1" s="1"/>
  <c r="AD1151" i="1"/>
  <c r="AE1151" i="1" s="1"/>
  <c r="AH1189" i="1"/>
  <c r="AI1189" i="1" s="1"/>
  <c r="AD1189" i="1"/>
  <c r="AE1189" i="1" s="1"/>
  <c r="AH1183" i="1"/>
  <c r="AI1183" i="1" s="1"/>
  <c r="AH1171" i="1"/>
  <c r="AI1171" i="1" s="1"/>
  <c r="AH1110" i="1"/>
  <c r="AI1110" i="1" s="1"/>
  <c r="AD1110" i="1"/>
  <c r="AE1110" i="1" s="1"/>
  <c r="AH1094" i="1"/>
  <c r="AI1094" i="1" s="1"/>
  <c r="AD1094" i="1"/>
  <c r="AE1094" i="1" s="1"/>
  <c r="AH1078" i="1"/>
  <c r="AI1078" i="1" s="1"/>
  <c r="AD1078" i="1"/>
  <c r="AE1078" i="1" s="1"/>
  <c r="AD1063" i="1"/>
  <c r="AE1063" i="1" s="1"/>
  <c r="AH1063" i="1"/>
  <c r="AI1063" i="1" s="1"/>
  <c r="AH1111" i="1"/>
  <c r="AI1111" i="1" s="1"/>
  <c r="AD1111" i="1"/>
  <c r="AE1111" i="1" s="1"/>
  <c r="AH1095" i="1"/>
  <c r="AI1095" i="1" s="1"/>
  <c r="AD1095" i="1"/>
  <c r="AE1095" i="1" s="1"/>
  <c r="AH1079" i="1"/>
  <c r="AI1079" i="1" s="1"/>
  <c r="AD1079" i="1"/>
  <c r="AE1079" i="1" s="1"/>
  <c r="AH1056" i="1"/>
  <c r="AI1056" i="1" s="1"/>
  <c r="AH1027" i="1"/>
  <c r="AI1027" i="1" s="1"/>
  <c r="AH915" i="1"/>
  <c r="AI915" i="1" s="1"/>
  <c r="AD915" i="1"/>
  <c r="AE915" i="1" s="1"/>
  <c r="AH1029" i="1"/>
  <c r="AI1029" i="1" s="1"/>
  <c r="AH1069" i="1"/>
  <c r="AI1069" i="1" s="1"/>
  <c r="AH1014" i="1"/>
  <c r="AI1014" i="1" s="1"/>
  <c r="AH1001" i="1"/>
  <c r="AI1001" i="1" s="1"/>
  <c r="AH1003" i="1"/>
  <c r="AI1003" i="1" s="1"/>
  <c r="AH919" i="1"/>
  <c r="AI919" i="1" s="1"/>
  <c r="AD919" i="1"/>
  <c r="AE919" i="1" s="1"/>
  <c r="AH1035" i="1"/>
  <c r="AI1035" i="1" s="1"/>
  <c r="AH1009" i="1"/>
  <c r="AI1009" i="1" s="1"/>
  <c r="AH950" i="1"/>
  <c r="AI950" i="1" s="1"/>
  <c r="AH974" i="1"/>
  <c r="AI974" i="1" s="1"/>
  <c r="AH1013" i="1"/>
  <c r="AI1013" i="1" s="1"/>
  <c r="AD894" i="1"/>
  <c r="AE894" i="1" s="1"/>
  <c r="AH894" i="1"/>
  <c r="AI894" i="1" s="1"/>
  <c r="AH985" i="1"/>
  <c r="AI985" i="1" s="1"/>
  <c r="AH1005" i="1"/>
  <c r="AI1005" i="1" s="1"/>
  <c r="AH852" i="1"/>
  <c r="AI852" i="1" s="1"/>
  <c r="AH873" i="1"/>
  <c r="AI873" i="1" s="1"/>
  <c r="AD892" i="1"/>
  <c r="AE892" i="1" s="1"/>
  <c r="AH892" i="1"/>
  <c r="AI892" i="1" s="1"/>
  <c r="AH946" i="1"/>
  <c r="AI946" i="1" s="1"/>
  <c r="AH822" i="1"/>
  <c r="AI822" i="1" s="1"/>
  <c r="AD822" i="1"/>
  <c r="AE822" i="1" s="1"/>
  <c r="AH878" i="1"/>
  <c r="AI878" i="1" s="1"/>
  <c r="AH850" i="1"/>
  <c r="AI850" i="1" s="1"/>
  <c r="AH766" i="1"/>
  <c r="AI766" i="1" s="1"/>
  <c r="AH733" i="1"/>
  <c r="AI733" i="1" s="1"/>
  <c r="AH741" i="1"/>
  <c r="AI741" i="1" s="1"/>
  <c r="AH724" i="1"/>
  <c r="AI724" i="1" s="1"/>
  <c r="AH738" i="1"/>
  <c r="AI738" i="1" s="1"/>
  <c r="AH680" i="1"/>
  <c r="AI680" i="1" s="1"/>
  <c r="AH722" i="1"/>
  <c r="AI722" i="1" s="1"/>
  <c r="AH716" i="1"/>
  <c r="AI716" i="1" s="1"/>
  <c r="AH639" i="1"/>
  <c r="AI639" i="1" s="1"/>
  <c r="AH384" i="1"/>
  <c r="AI384" i="1" s="1"/>
  <c r="AH364" i="1"/>
  <c r="AI364" i="1" s="1"/>
  <c r="AH371" i="1"/>
  <c r="AI371" i="1" s="1"/>
  <c r="AD281" i="1"/>
  <c r="AE281" i="1" s="1"/>
  <c r="AH281" i="1"/>
  <c r="AI281" i="1" s="1"/>
  <c r="AH378" i="1"/>
  <c r="AI378" i="1" s="1"/>
  <c r="AH413" i="1"/>
  <c r="AI413" i="1" s="1"/>
  <c r="AH351" i="1"/>
  <c r="AI351" i="1" s="1"/>
  <c r="AH343" i="1"/>
  <c r="AI343" i="1" s="1"/>
  <c r="AH335" i="1"/>
  <c r="AI335" i="1" s="1"/>
  <c r="AH327" i="1"/>
  <c r="AI327" i="1" s="1"/>
  <c r="AH319" i="1"/>
  <c r="AI319" i="1" s="1"/>
  <c r="AD309" i="1"/>
  <c r="AE309" i="1" s="1"/>
  <c r="AH309" i="1"/>
  <c r="AI309" i="1" s="1"/>
  <c r="AH252" i="1"/>
  <c r="AI252" i="1" s="1"/>
  <c r="AH311" i="1"/>
  <c r="AI311" i="1" s="1"/>
  <c r="AH286" i="1"/>
  <c r="AI286" i="1" s="1"/>
  <c r="AH250" i="1"/>
  <c r="AI250" i="1" s="1"/>
  <c r="AH218" i="1"/>
  <c r="AI218" i="1" s="1"/>
  <c r="AH190" i="1"/>
  <c r="AI190" i="1" s="1"/>
  <c r="AD190" i="1"/>
  <c r="AE190" i="1" s="1"/>
  <c r="AH297" i="1"/>
  <c r="AI297" i="1" s="1"/>
  <c r="AH248" i="1"/>
  <c r="AI248" i="1" s="1"/>
  <c r="AH216" i="1"/>
  <c r="AI216" i="1" s="1"/>
  <c r="AH192" i="1"/>
  <c r="AI192" i="1" s="1"/>
  <c r="AD192" i="1"/>
  <c r="AE192" i="1" s="1"/>
  <c r="AD182" i="1"/>
  <c r="AE182" i="1" s="1"/>
  <c r="AH182" i="1"/>
  <c r="AI182" i="1" s="1"/>
  <c r="AH71" i="1"/>
  <c r="AI71" i="1" s="1"/>
  <c r="AD71" i="1"/>
  <c r="AE71" i="1" s="1"/>
  <c r="AH294" i="1"/>
  <c r="AI294" i="1" s="1"/>
  <c r="AH46" i="1"/>
  <c r="AI46" i="1" s="1"/>
  <c r="AD46" i="1"/>
  <c r="AE46" i="1" s="1"/>
  <c r="AD118" i="1"/>
  <c r="AE118" i="1" s="1"/>
  <c r="AH118" i="1"/>
  <c r="AI118" i="1" s="1"/>
  <c r="AH93" i="1"/>
  <c r="AI93" i="1" s="1"/>
  <c r="AH137" i="1"/>
  <c r="AI137" i="1" s="1"/>
  <c r="AH98" i="1"/>
  <c r="AI98" i="1" s="1"/>
  <c r="AH77" i="1"/>
  <c r="AI77" i="1" s="1"/>
  <c r="AH1216" i="1"/>
  <c r="AI1216" i="1" s="1"/>
  <c r="AD1216" i="1"/>
  <c r="AE1216" i="1" s="1"/>
  <c r="AH1089" i="1"/>
  <c r="AI1089" i="1" s="1"/>
  <c r="AD1089" i="1"/>
  <c r="AE1089" i="1" s="1"/>
  <c r="AH1073" i="1"/>
  <c r="AI1073" i="1" s="1"/>
  <c r="AD1073" i="1"/>
  <c r="AE1073" i="1" s="1"/>
  <c r="AD978" i="1"/>
  <c r="AE978" i="1" s="1"/>
  <c r="AH978" i="1"/>
  <c r="AI978" i="1" s="1"/>
  <c r="AH930" i="1"/>
  <c r="AI930" i="1" s="1"/>
  <c r="AD930" i="1"/>
  <c r="AE930" i="1" s="1"/>
  <c r="AH914" i="1"/>
  <c r="AI914" i="1" s="1"/>
  <c r="AD914" i="1"/>
  <c r="AE914" i="1" s="1"/>
  <c r="AH1061" i="1"/>
  <c r="AI1061" i="1" s="1"/>
  <c r="AH923" i="1"/>
  <c r="AI923" i="1" s="1"/>
  <c r="AD923" i="1"/>
  <c r="AE923" i="1" s="1"/>
  <c r="AH943" i="1"/>
  <c r="AI943" i="1" s="1"/>
  <c r="AD943" i="1"/>
  <c r="AE943" i="1" s="1"/>
  <c r="AH932" i="1"/>
  <c r="AI932" i="1" s="1"/>
  <c r="AD932" i="1"/>
  <c r="AE932" i="1" s="1"/>
  <c r="AH936" i="1"/>
  <c r="AI936" i="1" s="1"/>
  <c r="AD884" i="1"/>
  <c r="AE884" i="1" s="1"/>
  <c r="AH884" i="1"/>
  <c r="AI884" i="1" s="1"/>
  <c r="AH1000" i="1"/>
  <c r="AI1000" i="1" s="1"/>
  <c r="AH871" i="1"/>
  <c r="AI871" i="1" s="1"/>
  <c r="AH924" i="1"/>
  <c r="AI924" i="1" s="1"/>
  <c r="AH828" i="1"/>
  <c r="AI828" i="1" s="1"/>
  <c r="AH770" i="1"/>
  <c r="AI770" i="1" s="1"/>
  <c r="AD718" i="1"/>
  <c r="AE718" i="1" s="1"/>
  <c r="AH718" i="1"/>
  <c r="AI718" i="1" s="1"/>
  <c r="AH668" i="1"/>
  <c r="AI668" i="1" s="1"/>
  <c r="AD668" i="1"/>
  <c r="AE668" i="1" s="1"/>
  <c r="AH376" i="1"/>
  <c r="AI376" i="1" s="1"/>
  <c r="AH326" i="1"/>
  <c r="AI326" i="1" s="1"/>
  <c r="AH318" i="1"/>
  <c r="AI318" i="1" s="1"/>
  <c r="AH287" i="1"/>
  <c r="AI287" i="1" s="1"/>
  <c r="AH230" i="1"/>
  <c r="AI230" i="1" s="1"/>
  <c r="AH255" i="1"/>
  <c r="AI255" i="1" s="1"/>
  <c r="AH237" i="1"/>
  <c r="AI237" i="1" s="1"/>
  <c r="AH221" i="1"/>
  <c r="AI221" i="1" s="1"/>
  <c r="AH205" i="1"/>
  <c r="AI205" i="1" s="1"/>
  <c r="AH270" i="1"/>
  <c r="AI270" i="1" s="1"/>
  <c r="AD181" i="1"/>
  <c r="AE181" i="1" s="1"/>
  <c r="AH181" i="1"/>
  <c r="AI181" i="1" s="1"/>
  <c r="AD144" i="1"/>
  <c r="AE144" i="1" s="1"/>
  <c r="AH144" i="1"/>
  <c r="AI144" i="1" s="1"/>
  <c r="AD128" i="1"/>
  <c r="AE128" i="1" s="1"/>
  <c r="AH128" i="1"/>
  <c r="AI128" i="1" s="1"/>
  <c r="AD112" i="1"/>
  <c r="AE112" i="1" s="1"/>
  <c r="AH112" i="1"/>
  <c r="AI112" i="1" s="1"/>
  <c r="AD96" i="1"/>
  <c r="AE96" i="1" s="1"/>
  <c r="AH96" i="1"/>
  <c r="AI96" i="1" s="1"/>
  <c r="AD80" i="1"/>
  <c r="AE80" i="1" s="1"/>
  <c r="AH80" i="1"/>
  <c r="AI80" i="1" s="1"/>
  <c r="AH279" i="1"/>
  <c r="AI279" i="1" s="1"/>
  <c r="AH296" i="1"/>
  <c r="AI296" i="1" s="1"/>
  <c r="AD94" i="1"/>
  <c r="AE94" i="1" s="1"/>
  <c r="AH94" i="1"/>
  <c r="AI94" i="1" s="1"/>
  <c r="AH65" i="1"/>
  <c r="AI65" i="1" s="1"/>
  <c r="AD65" i="1"/>
  <c r="AE65" i="1" s="1"/>
  <c r="AH82" i="1"/>
  <c r="AI82" i="1" s="1"/>
  <c r="AH85" i="1"/>
  <c r="AI85" i="1" s="1"/>
  <c r="AH97" i="1"/>
  <c r="AI97" i="1" s="1"/>
  <c r="AD1147" i="1"/>
  <c r="AE1147" i="1" s="1"/>
  <c r="AH1147" i="1"/>
  <c r="AI1147" i="1" s="1"/>
  <c r="AH1217" i="1"/>
  <c r="AI1217" i="1" s="1"/>
  <c r="AH1098" i="1"/>
  <c r="AI1098" i="1" s="1"/>
  <c r="AD1098" i="1"/>
  <c r="AE1098" i="1" s="1"/>
  <c r="AH1099" i="1"/>
  <c r="AI1099" i="1" s="1"/>
  <c r="AD1099" i="1"/>
  <c r="AE1099" i="1" s="1"/>
  <c r="AH1083" i="1"/>
  <c r="AI1083" i="1" s="1"/>
  <c r="AD1083" i="1"/>
  <c r="AE1083" i="1" s="1"/>
  <c r="AH1050" i="1"/>
  <c r="AI1050" i="1" s="1"/>
  <c r="AH1012" i="1"/>
  <c r="AI1012" i="1" s="1"/>
  <c r="AH948" i="1"/>
  <c r="AI948" i="1" s="1"/>
  <c r="AH1017" i="1"/>
  <c r="AI1017" i="1" s="1"/>
  <c r="AH981" i="1"/>
  <c r="AI981" i="1" s="1"/>
  <c r="AH997" i="1"/>
  <c r="AI997" i="1" s="1"/>
  <c r="AH880" i="1"/>
  <c r="AI880" i="1" s="1"/>
  <c r="AD880" i="1"/>
  <c r="AE880" i="1" s="1"/>
  <c r="AH908" i="1"/>
  <c r="AI908" i="1" s="1"/>
  <c r="AD821" i="1"/>
  <c r="AE821" i="1" s="1"/>
  <c r="AH821" i="1"/>
  <c r="AI821" i="1" s="1"/>
  <c r="AH831" i="1"/>
  <c r="AI831" i="1" s="1"/>
  <c r="AH748" i="1"/>
  <c r="AI748" i="1" s="1"/>
  <c r="AH725" i="1"/>
  <c r="AI725" i="1" s="1"/>
  <c r="AH730" i="1"/>
  <c r="AI730" i="1" s="1"/>
  <c r="AH411" i="1"/>
  <c r="AI411" i="1" s="1"/>
  <c r="AD293" i="1"/>
  <c r="AE293" i="1" s="1"/>
  <c r="AH293" i="1"/>
  <c r="AI293" i="1" s="1"/>
  <c r="AD277" i="1"/>
  <c r="AE277" i="1" s="1"/>
  <c r="AH277" i="1"/>
  <c r="AI277" i="1" s="1"/>
  <c r="AH377" i="1"/>
  <c r="AI377" i="1" s="1"/>
  <c r="AH368" i="1"/>
  <c r="AI368" i="1" s="1"/>
  <c r="AH349" i="1"/>
  <c r="AI349" i="1" s="1"/>
  <c r="AH341" i="1"/>
  <c r="AI341" i="1" s="1"/>
  <c r="AH333" i="1"/>
  <c r="AI333" i="1" s="1"/>
  <c r="AH325" i="1"/>
  <c r="AI325" i="1" s="1"/>
  <c r="AH317" i="1"/>
  <c r="AI317" i="1" s="1"/>
  <c r="AD197" i="1"/>
  <c r="AE197" i="1" s="1"/>
  <c r="AH197" i="1"/>
  <c r="AI197" i="1" s="1"/>
  <c r="AH366" i="1"/>
  <c r="AI366" i="1" s="1"/>
  <c r="AH256" i="1"/>
  <c r="AI256" i="1" s="1"/>
  <c r="AH240" i="1"/>
  <c r="AI240" i="1" s="1"/>
  <c r="AH208" i="1"/>
  <c r="AI208" i="1" s="1"/>
  <c r="AH61" i="1"/>
  <c r="AI61" i="1" s="1"/>
  <c r="AD61" i="1"/>
  <c r="AE61" i="1" s="1"/>
  <c r="AH45" i="1"/>
  <c r="AI45" i="1" s="1"/>
  <c r="AD45" i="1"/>
  <c r="AE45" i="1" s="1"/>
  <c r="AH306" i="1"/>
  <c r="AI306" i="1" s="1"/>
  <c r="AD134" i="1"/>
  <c r="AE134" i="1" s="1"/>
  <c r="AH134" i="1"/>
  <c r="AI134" i="1" s="1"/>
  <c r="AH48" i="1"/>
  <c r="AI48" i="1" s="1"/>
  <c r="AD48" i="1"/>
  <c r="AE48" i="1" s="1"/>
  <c r="AH81" i="1"/>
  <c r="AI81" i="1" s="1"/>
  <c r="AH49" i="1"/>
  <c r="AI49" i="1" s="1"/>
  <c r="AD1218" i="1"/>
  <c r="AE1218" i="1" s="1"/>
  <c r="AH1218" i="1"/>
  <c r="AI1218" i="1" s="1"/>
  <c r="AH1072" i="1"/>
  <c r="AI1072" i="1" s="1"/>
  <c r="AD1072" i="1"/>
  <c r="AE1072" i="1" s="1"/>
  <c r="AH1192" i="1"/>
  <c r="AI1192" i="1" s="1"/>
  <c r="AH1082" i="1"/>
  <c r="AI1082" i="1" s="1"/>
  <c r="AD1082" i="1"/>
  <c r="AE1082" i="1" s="1"/>
  <c r="AD1059" i="1"/>
  <c r="AE1059" i="1" s="1"/>
  <c r="AH1059" i="1"/>
  <c r="AI1059" i="1" s="1"/>
  <c r="AH931" i="1"/>
  <c r="AI931" i="1" s="1"/>
  <c r="AD931" i="1"/>
  <c r="AE931" i="1" s="1"/>
  <c r="AH1053" i="1"/>
  <c r="AI1053" i="1" s="1"/>
  <c r="AH1067" i="1"/>
  <c r="AI1067" i="1" s="1"/>
  <c r="AH1062" i="1"/>
  <c r="AI1062" i="1" s="1"/>
  <c r="AH983" i="1"/>
  <c r="AI983" i="1" s="1"/>
  <c r="AH966" i="1"/>
  <c r="AI966" i="1" s="1"/>
  <c r="AH1196" i="1"/>
  <c r="AI1196" i="1" s="1"/>
  <c r="AH1179" i="1"/>
  <c r="AI1179" i="1" s="1"/>
  <c r="AH1108" i="1"/>
  <c r="AI1108" i="1" s="1"/>
  <c r="AD1108" i="1"/>
  <c r="AE1108" i="1" s="1"/>
  <c r="AH1092" i="1"/>
  <c r="AI1092" i="1" s="1"/>
  <c r="AD1092" i="1"/>
  <c r="AE1092" i="1" s="1"/>
  <c r="AH1076" i="1"/>
  <c r="AI1076" i="1" s="1"/>
  <c r="AD1076" i="1"/>
  <c r="AE1076" i="1" s="1"/>
  <c r="AH1109" i="1"/>
  <c r="AI1109" i="1" s="1"/>
  <c r="AD1109" i="1"/>
  <c r="AE1109" i="1" s="1"/>
  <c r="AH1093" i="1"/>
  <c r="AI1093" i="1" s="1"/>
  <c r="AD1093" i="1"/>
  <c r="AE1093" i="1" s="1"/>
  <c r="AH1077" i="1"/>
  <c r="AI1077" i="1" s="1"/>
  <c r="AD1077" i="1"/>
  <c r="AE1077" i="1" s="1"/>
  <c r="AH926" i="1"/>
  <c r="AI926" i="1" s="1"/>
  <c r="AD926" i="1"/>
  <c r="AE926" i="1" s="1"/>
  <c r="AH910" i="1"/>
  <c r="AI910" i="1" s="1"/>
  <c r="AD910" i="1"/>
  <c r="AE910" i="1" s="1"/>
  <c r="AH1175" i="1"/>
  <c r="AI1175" i="1" s="1"/>
  <c r="AH1049" i="1"/>
  <c r="AI1049" i="1" s="1"/>
  <c r="AH939" i="1"/>
  <c r="AI939" i="1" s="1"/>
  <c r="AD939" i="1"/>
  <c r="AE939" i="1" s="1"/>
  <c r="AH1048" i="1"/>
  <c r="AI1048" i="1" s="1"/>
  <c r="AH1046" i="1"/>
  <c r="AI1046" i="1" s="1"/>
  <c r="AH927" i="1"/>
  <c r="AI927" i="1" s="1"/>
  <c r="AD927" i="1"/>
  <c r="AE927" i="1" s="1"/>
  <c r="AH1026" i="1"/>
  <c r="AI1026" i="1" s="1"/>
  <c r="AH1006" i="1"/>
  <c r="AI1006" i="1" s="1"/>
  <c r="AH993" i="1"/>
  <c r="AI993" i="1" s="1"/>
  <c r="AH1018" i="1"/>
  <c r="AI1018" i="1" s="1"/>
  <c r="AH995" i="1"/>
  <c r="AI995" i="1" s="1"/>
  <c r="AH965" i="1"/>
  <c r="AI965" i="1" s="1"/>
  <c r="AH969" i="1"/>
  <c r="AI969" i="1" s="1"/>
  <c r="AH934" i="1"/>
  <c r="AI934" i="1" s="1"/>
  <c r="AH994" i="1"/>
  <c r="AI994" i="1" s="1"/>
  <c r="AH944" i="1"/>
  <c r="AI944" i="1" s="1"/>
  <c r="AH977" i="1"/>
  <c r="AI977" i="1" s="1"/>
  <c r="AD857" i="1"/>
  <c r="AE857" i="1" s="1"/>
  <c r="AH857" i="1"/>
  <c r="AI857" i="1" s="1"/>
  <c r="AH960" i="1"/>
  <c r="AI960" i="1" s="1"/>
  <c r="AH929" i="1"/>
  <c r="AI929" i="1" s="1"/>
  <c r="AH865" i="1"/>
  <c r="AI865" i="1" s="1"/>
  <c r="AH825" i="1"/>
  <c r="AI825" i="1" s="1"/>
  <c r="AH849" i="1"/>
  <c r="AI849" i="1" s="1"/>
  <c r="AH874" i="1"/>
  <c r="AI874" i="1" s="1"/>
  <c r="AH762" i="1"/>
  <c r="AI762" i="1" s="1"/>
  <c r="AH765" i="1"/>
  <c r="AI765" i="1" s="1"/>
  <c r="AH717" i="1"/>
  <c r="AI717" i="1" s="1"/>
  <c r="AH756" i="1"/>
  <c r="AI756" i="1" s="1"/>
  <c r="AH684" i="1"/>
  <c r="AI684" i="1" s="1"/>
  <c r="AD684" i="1"/>
  <c r="AE684" i="1" s="1"/>
  <c r="AH764" i="1"/>
  <c r="AI764" i="1" s="1"/>
  <c r="AH677" i="1"/>
  <c r="AI677" i="1" s="1"/>
  <c r="AH700" i="1"/>
  <c r="AI700" i="1" s="1"/>
  <c r="AH714" i="1"/>
  <c r="AI714" i="1" s="1"/>
  <c r="AH667" i="1"/>
  <c r="AI667" i="1" s="1"/>
  <c r="AH389" i="1"/>
  <c r="AI389" i="1" s="1"/>
  <c r="AH381" i="1"/>
  <c r="AI381" i="1" s="1"/>
  <c r="AH361" i="1"/>
  <c r="AI361" i="1" s="1"/>
  <c r="AH369" i="1"/>
  <c r="AI369" i="1" s="1"/>
  <c r="AH356" i="1"/>
  <c r="AI356" i="1" s="1"/>
  <c r="AH348" i="1"/>
  <c r="AI348" i="1" s="1"/>
  <c r="AH340" i="1"/>
  <c r="AI340" i="1" s="1"/>
  <c r="AH332" i="1"/>
  <c r="AI332" i="1" s="1"/>
  <c r="AH324" i="1"/>
  <c r="AI324" i="1" s="1"/>
  <c r="AH316" i="1"/>
  <c r="AI316" i="1" s="1"/>
  <c r="AH313" i="1"/>
  <c r="AI313" i="1" s="1"/>
  <c r="AH307" i="1"/>
  <c r="AI307" i="1" s="1"/>
  <c r="AH239" i="1"/>
  <c r="AI239" i="1" s="1"/>
  <c r="AH223" i="1"/>
  <c r="AI223" i="1" s="1"/>
  <c r="AH207" i="1"/>
  <c r="AI207" i="1" s="1"/>
  <c r="AH282" i="1"/>
  <c r="AI282" i="1" s="1"/>
  <c r="AH257" i="1"/>
  <c r="AI257" i="1" s="1"/>
  <c r="AH222" i="1"/>
  <c r="AI222" i="1" s="1"/>
  <c r="AH266" i="1"/>
  <c r="AI266" i="1" s="1"/>
  <c r="AH241" i="1"/>
  <c r="AI241" i="1" s="1"/>
  <c r="AH225" i="1"/>
  <c r="AI225" i="1" s="1"/>
  <c r="AH209" i="1"/>
  <c r="AI209" i="1" s="1"/>
  <c r="AH304" i="1"/>
  <c r="AI304" i="1" s="1"/>
  <c r="AH253" i="1"/>
  <c r="AI253" i="1" s="1"/>
  <c r="AH220" i="1"/>
  <c r="AI220" i="1" s="1"/>
  <c r="AH188" i="1"/>
  <c r="AI188" i="1" s="1"/>
  <c r="AD188" i="1"/>
  <c r="AE188" i="1" s="1"/>
  <c r="AH275" i="1"/>
  <c r="AI275" i="1" s="1"/>
  <c r="AH262" i="1"/>
  <c r="AI262" i="1" s="1"/>
  <c r="AD110" i="1"/>
  <c r="AE110" i="1" s="1"/>
  <c r="AH110" i="1"/>
  <c r="AI110" i="1" s="1"/>
  <c r="AH267" i="1"/>
  <c r="AI267" i="1" s="1"/>
  <c r="AH64" i="1"/>
  <c r="AI64" i="1" s="1"/>
  <c r="AD64" i="1"/>
  <c r="AE64" i="1" s="1"/>
  <c r="AH130" i="1"/>
  <c r="AI130" i="1" s="1"/>
  <c r="AH141" i="1"/>
  <c r="AI141" i="1" s="1"/>
  <c r="AH173" i="1"/>
  <c r="AI173" i="1" s="1"/>
  <c r="AH114" i="1"/>
  <c r="AI114" i="1" s="1"/>
  <c r="AH101" i="1"/>
  <c r="AI101" i="1" s="1"/>
  <c r="AD1219" i="1"/>
  <c r="AE1219" i="1" s="1"/>
  <c r="AH1219" i="1"/>
  <c r="AI1219" i="1" s="1"/>
  <c r="AD1206" i="1"/>
  <c r="AE1206" i="1" s="1"/>
  <c r="AH1206" i="1"/>
  <c r="AI1206" i="1" s="1"/>
  <c r="AH1104" i="1"/>
  <c r="AI1104" i="1" s="1"/>
  <c r="AD1104" i="1"/>
  <c r="AE1104" i="1" s="1"/>
  <c r="AH1105" i="1"/>
  <c r="AI1105" i="1" s="1"/>
  <c r="AD1105" i="1"/>
  <c r="AE1105" i="1" s="1"/>
  <c r="AH18" i="1"/>
  <c r="AI18" i="1" s="1"/>
  <c r="AD1210" i="1"/>
  <c r="AE1210" i="1" s="1"/>
  <c r="AH1210" i="1"/>
  <c r="AI1210" i="1" s="1"/>
  <c r="AH1214" i="1"/>
  <c r="AI1214" i="1" s="1"/>
  <c r="AD1207" i="1"/>
  <c r="AE1207" i="1" s="1"/>
  <c r="AH1207" i="1"/>
  <c r="AI1207" i="1" s="1"/>
  <c r="AH1181" i="1"/>
  <c r="AI1181" i="1" s="1"/>
  <c r="AD1181" i="1"/>
  <c r="AE1181" i="1" s="1"/>
  <c r="AH1102" i="1"/>
  <c r="AI1102" i="1" s="1"/>
  <c r="AD1102" i="1"/>
  <c r="AE1102" i="1" s="1"/>
  <c r="AH1086" i="1"/>
  <c r="AI1086" i="1" s="1"/>
  <c r="AD1086" i="1"/>
  <c r="AE1086" i="1" s="1"/>
  <c r="AD1055" i="1"/>
  <c r="AE1055" i="1" s="1"/>
  <c r="AH1055" i="1"/>
  <c r="AI1055" i="1" s="1"/>
  <c r="AH1103" i="1"/>
  <c r="AI1103" i="1" s="1"/>
  <c r="AD1103" i="1"/>
  <c r="AE1103" i="1" s="1"/>
  <c r="AH1087" i="1"/>
  <c r="AI1087" i="1" s="1"/>
  <c r="AD1087" i="1"/>
  <c r="AE1087" i="1" s="1"/>
  <c r="AH1071" i="1"/>
  <c r="AI1071" i="1" s="1"/>
  <c r="AD1071" i="1"/>
  <c r="AE1071" i="1" s="1"/>
  <c r="AH1155" i="1"/>
  <c r="AI1155" i="1" s="1"/>
  <c r="AH1068" i="1"/>
  <c r="AI1068" i="1" s="1"/>
  <c r="AH1070" i="1"/>
  <c r="AI1070" i="1" s="1"/>
  <c r="AH1042" i="1"/>
  <c r="AI1042" i="1" s="1"/>
  <c r="AH947" i="1"/>
  <c r="AI947" i="1" s="1"/>
  <c r="AD947" i="1"/>
  <c r="AE947" i="1" s="1"/>
  <c r="AH1047" i="1"/>
  <c r="AI1047" i="1" s="1"/>
  <c r="AH1045" i="1"/>
  <c r="AI1045" i="1" s="1"/>
  <c r="AH951" i="1"/>
  <c r="AI951" i="1" s="1"/>
  <c r="AD951" i="1"/>
  <c r="AE951" i="1" s="1"/>
  <c r="AH1025" i="1"/>
  <c r="AI1025" i="1" s="1"/>
  <c r="AH1051" i="1"/>
  <c r="AI1051" i="1" s="1"/>
  <c r="AH1007" i="1"/>
  <c r="AI1007" i="1" s="1"/>
  <c r="AH964" i="1"/>
  <c r="AI964" i="1" s="1"/>
  <c r="AH992" i="1"/>
  <c r="AI992" i="1" s="1"/>
  <c r="AH844" i="1"/>
  <c r="AI844" i="1" s="1"/>
  <c r="AH913" i="1"/>
  <c r="AI913" i="1" s="1"/>
  <c r="AH863" i="1"/>
  <c r="AI863" i="1" s="1"/>
  <c r="AH898" i="1"/>
  <c r="AI898" i="1" s="1"/>
  <c r="AH858" i="1"/>
  <c r="AI858" i="1" s="1"/>
  <c r="AH826" i="1"/>
  <c r="AI826" i="1" s="1"/>
  <c r="AH833" i="1"/>
  <c r="AI833" i="1" s="1"/>
  <c r="AH760" i="1"/>
  <c r="AI760" i="1" s="1"/>
  <c r="AH776" i="1"/>
  <c r="AI776" i="1" s="1"/>
  <c r="AD709" i="1"/>
  <c r="AE709" i="1" s="1"/>
  <c r="AH709" i="1"/>
  <c r="AI709" i="1" s="1"/>
  <c r="AH696" i="1"/>
  <c r="AI696" i="1" s="1"/>
  <c r="AH708" i="1"/>
  <c r="AI708" i="1" s="1"/>
  <c r="AH746" i="1"/>
  <c r="AI746" i="1" s="1"/>
  <c r="AH693" i="1"/>
  <c r="AI693" i="1" s="1"/>
  <c r="AH388" i="1"/>
  <c r="AI388" i="1" s="1"/>
  <c r="AH373" i="1"/>
  <c r="AI373" i="1" s="1"/>
  <c r="AD310" i="1"/>
  <c r="AE310" i="1" s="1"/>
  <c r="AH310" i="1"/>
  <c r="AI310" i="1" s="1"/>
  <c r="AD289" i="1"/>
  <c r="AE289" i="1" s="1"/>
  <c r="AH289" i="1"/>
  <c r="AI289" i="1" s="1"/>
  <c r="AD273" i="1"/>
  <c r="AE273" i="1" s="1"/>
  <c r="AH273" i="1"/>
  <c r="AI273" i="1" s="1"/>
  <c r="AH360" i="1"/>
  <c r="AI360" i="1" s="1"/>
  <c r="AH357" i="1"/>
  <c r="AI357" i="1" s="1"/>
  <c r="AH323" i="1"/>
  <c r="AI323" i="1" s="1"/>
  <c r="AH312" i="1"/>
  <c r="AI312" i="1" s="1"/>
  <c r="AH268" i="1"/>
  <c r="AI268" i="1" s="1"/>
  <c r="AD193" i="1"/>
  <c r="AE193" i="1" s="1"/>
  <c r="AH193" i="1"/>
  <c r="AI193" i="1" s="1"/>
  <c r="AH234" i="1"/>
  <c r="AI234" i="1" s="1"/>
  <c r="AH202" i="1"/>
  <c r="AI202" i="1" s="1"/>
  <c r="AH308" i="1"/>
  <c r="AI308" i="1" s="1"/>
  <c r="AH264" i="1"/>
  <c r="AI264" i="1" s="1"/>
  <c r="AH263" i="1"/>
  <c r="AI263" i="1" s="1"/>
  <c r="AH195" i="1"/>
  <c r="AI195" i="1" s="1"/>
  <c r="AD195" i="1"/>
  <c r="AE195" i="1" s="1"/>
  <c r="AH232" i="1"/>
  <c r="AI232" i="1" s="1"/>
  <c r="AD86" i="1"/>
  <c r="AE86" i="1" s="1"/>
  <c r="AH86" i="1"/>
  <c r="AI86" i="1" s="1"/>
  <c r="AH254" i="1"/>
  <c r="AI254" i="1" s="1"/>
  <c r="AH185" i="1"/>
  <c r="AI185" i="1" s="1"/>
  <c r="AH129" i="1"/>
  <c r="AI129" i="1" s="1"/>
  <c r="AH165" i="1"/>
  <c r="AI165" i="1" s="1"/>
  <c r="AH90" i="1"/>
  <c r="AI90" i="1" s="1"/>
  <c r="AH1088" i="1"/>
  <c r="AI1088" i="1" s="1"/>
  <c r="AD1088" i="1"/>
  <c r="AE1088" i="1" s="1"/>
  <c r="AH1200" i="1"/>
  <c r="AI1200" i="1" s="1"/>
  <c r="AD1200" i="1"/>
  <c r="AE1200" i="1" s="1"/>
  <c r="AD1203" i="1"/>
  <c r="AE1203" i="1" s="1"/>
  <c r="AH1203" i="1"/>
  <c r="AI1203" i="1" s="1"/>
  <c r="AD1222" i="1"/>
  <c r="AE1222" i="1" s="1"/>
  <c r="AH1222" i="1"/>
  <c r="AI1222" i="1" s="1"/>
  <c r="AH1195" i="1"/>
  <c r="AI1195" i="1" s="1"/>
  <c r="AD1195" i="1"/>
  <c r="AE1195" i="1" s="1"/>
  <c r="AD1197" i="1"/>
  <c r="AE1197" i="1" s="1"/>
  <c r="AH1197" i="1"/>
  <c r="AI1197" i="1" s="1"/>
  <c r="AD1215" i="1"/>
  <c r="AE1215" i="1" s="1"/>
  <c r="AH1215" i="1"/>
  <c r="AI1215" i="1" s="1"/>
  <c r="AD1163" i="1"/>
  <c r="AE1163" i="1" s="1"/>
  <c r="AH1163" i="1"/>
  <c r="AI1163" i="1" s="1"/>
  <c r="AH1204" i="1"/>
  <c r="AI1204" i="1" s="1"/>
  <c r="AH1208" i="1"/>
  <c r="AI1208" i="1" s="1"/>
  <c r="AH1220" i="1"/>
  <c r="AI1220" i="1" s="1"/>
  <c r="AH1213" i="1"/>
  <c r="AI1213" i="1" s="1"/>
  <c r="AH1096" i="1"/>
  <c r="AI1096" i="1" s="1"/>
  <c r="AD1096" i="1"/>
  <c r="AE1096" i="1" s="1"/>
  <c r="AH1080" i="1"/>
  <c r="AI1080" i="1" s="1"/>
  <c r="AD1080" i="1"/>
  <c r="AE1080" i="1" s="1"/>
  <c r="AD1157" i="1"/>
  <c r="AE1157" i="1" s="1"/>
  <c r="AH1157" i="1"/>
  <c r="AI1157" i="1" s="1"/>
  <c r="AH1097" i="1"/>
  <c r="AI1097" i="1" s="1"/>
  <c r="AD1097" i="1"/>
  <c r="AE1097" i="1" s="1"/>
  <c r="AH1081" i="1"/>
  <c r="AI1081" i="1" s="1"/>
  <c r="AD1081" i="1"/>
  <c r="AE1081" i="1" s="1"/>
  <c r="AD970" i="1"/>
  <c r="AE970" i="1" s="1"/>
  <c r="AH970" i="1"/>
  <c r="AI970" i="1" s="1"/>
  <c r="AD954" i="1"/>
  <c r="AE954" i="1" s="1"/>
  <c r="AH954" i="1"/>
  <c r="AI954" i="1" s="1"/>
  <c r="AD938" i="1"/>
  <c r="AE938" i="1" s="1"/>
  <c r="AH938" i="1"/>
  <c r="AI938" i="1" s="1"/>
  <c r="AH922" i="1"/>
  <c r="AI922" i="1" s="1"/>
  <c r="AD922" i="1"/>
  <c r="AE922" i="1" s="1"/>
  <c r="AH1041" i="1"/>
  <c r="AI1041" i="1" s="1"/>
  <c r="AH955" i="1"/>
  <c r="AI955" i="1" s="1"/>
  <c r="AD955" i="1"/>
  <c r="AE955" i="1" s="1"/>
  <c r="AH928" i="1"/>
  <c r="AI928" i="1" s="1"/>
  <c r="AD928" i="1"/>
  <c r="AE928" i="1" s="1"/>
  <c r="AH1040" i="1"/>
  <c r="AI1040" i="1" s="1"/>
  <c r="AH911" i="1"/>
  <c r="AI911" i="1" s="1"/>
  <c r="AD911" i="1"/>
  <c r="AE911" i="1" s="1"/>
  <c r="AH1044" i="1"/>
  <c r="AI1044" i="1" s="1"/>
  <c r="AH1058" i="1"/>
  <c r="AI1058" i="1" s="1"/>
  <c r="AD976" i="1"/>
  <c r="AE976" i="1" s="1"/>
  <c r="AH976" i="1"/>
  <c r="AI976" i="1" s="1"/>
  <c r="AH962" i="1"/>
  <c r="AI962" i="1" s="1"/>
  <c r="AH967" i="1"/>
  <c r="AI967" i="1" s="1"/>
  <c r="AH982" i="1"/>
  <c r="AI982" i="1" s="1"/>
  <c r="AH980" i="1"/>
  <c r="AI980" i="1" s="1"/>
  <c r="AH933" i="1"/>
  <c r="AI933" i="1" s="1"/>
  <c r="AD870" i="1"/>
  <c r="AE870" i="1" s="1"/>
  <c r="AH870" i="1"/>
  <c r="AI870" i="1" s="1"/>
  <c r="AH1004" i="1"/>
  <c r="AI1004" i="1" s="1"/>
  <c r="AH957" i="1"/>
  <c r="AI957" i="1" s="1"/>
  <c r="AH921" i="1"/>
  <c r="AI921" i="1" s="1"/>
  <c r="AH900" i="1"/>
  <c r="AI900" i="1" s="1"/>
  <c r="AH841" i="1"/>
  <c r="AI841" i="1" s="1"/>
  <c r="AH855" i="1"/>
  <c r="AI855" i="1" s="1"/>
  <c r="AH757" i="1"/>
  <c r="AI757" i="1" s="1"/>
  <c r="AH773" i="1"/>
  <c r="AI773" i="1" s="1"/>
  <c r="AH695" i="1"/>
  <c r="AI695" i="1" s="1"/>
  <c r="AH686" i="1"/>
  <c r="AI686" i="1" s="1"/>
  <c r="AH710" i="1"/>
  <c r="AI710" i="1" s="1"/>
  <c r="AH669" i="1"/>
  <c r="AI669" i="1" s="1"/>
  <c r="AH688" i="1"/>
  <c r="AI688" i="1" s="1"/>
  <c r="AH636" i="1"/>
  <c r="AI636" i="1" s="1"/>
  <c r="AH651" i="1"/>
  <c r="AI651" i="1" s="1"/>
  <c r="AH365" i="1"/>
  <c r="AI365" i="1" s="1"/>
  <c r="AH405" i="1"/>
  <c r="AI405" i="1" s="1"/>
  <c r="AH420" i="1"/>
  <c r="AI420" i="1" s="1"/>
  <c r="AH354" i="1"/>
  <c r="AI354" i="1" s="1"/>
  <c r="AH346" i="1"/>
  <c r="AI346" i="1" s="1"/>
  <c r="AH338" i="1"/>
  <c r="AI338" i="1" s="1"/>
  <c r="AH330" i="1"/>
  <c r="AI330" i="1" s="1"/>
  <c r="AH322" i="1"/>
  <c r="AI322" i="1" s="1"/>
  <c r="AH283" i="1"/>
  <c r="AI283" i="1" s="1"/>
  <c r="AH271" i="1"/>
  <c r="AI271" i="1" s="1"/>
  <c r="AH374" i="1"/>
  <c r="AI374" i="1" s="1"/>
  <c r="AH272" i="1"/>
  <c r="AI272" i="1" s="1"/>
  <c r="AH246" i="1"/>
  <c r="AI246" i="1" s="1"/>
  <c r="AH214" i="1"/>
  <c r="AI214" i="1" s="1"/>
  <c r="AH290" i="1"/>
  <c r="AI290" i="1" s="1"/>
  <c r="AH229" i="1"/>
  <c r="AI229" i="1" s="1"/>
  <c r="AH196" i="1"/>
  <c r="AI196" i="1" s="1"/>
  <c r="AD196" i="1"/>
  <c r="AE196" i="1" s="1"/>
  <c r="AH291" i="1"/>
  <c r="AI291" i="1" s="1"/>
  <c r="AD136" i="1"/>
  <c r="AE136" i="1" s="1"/>
  <c r="AH136" i="1"/>
  <c r="AI136" i="1" s="1"/>
  <c r="AD120" i="1"/>
  <c r="AE120" i="1" s="1"/>
  <c r="AH120" i="1"/>
  <c r="AI120" i="1" s="1"/>
  <c r="AD104" i="1"/>
  <c r="AE104" i="1" s="1"/>
  <c r="AH104" i="1"/>
  <c r="AI104" i="1" s="1"/>
  <c r="AD88" i="1"/>
  <c r="AE88" i="1" s="1"/>
  <c r="AH88" i="1"/>
  <c r="AI88" i="1" s="1"/>
  <c r="AD72" i="1"/>
  <c r="AE72" i="1" s="1"/>
  <c r="AH72" i="1"/>
  <c r="AI72" i="1" s="1"/>
  <c r="AH54" i="1"/>
  <c r="AI54" i="1" s="1"/>
  <c r="AD54" i="1"/>
  <c r="AE54" i="1" s="1"/>
  <c r="AH69" i="1"/>
  <c r="AI69" i="1" s="1"/>
  <c r="AD69" i="1"/>
  <c r="AE69" i="1" s="1"/>
  <c r="AD126" i="1"/>
  <c r="AE126" i="1" s="1"/>
  <c r="AH126" i="1"/>
  <c r="AI126" i="1" s="1"/>
  <c r="AH57" i="1"/>
  <c r="AI57" i="1" s="1"/>
  <c r="AD57" i="1"/>
  <c r="AE57" i="1" s="1"/>
  <c r="AH168" i="1"/>
  <c r="AI168" i="1" s="1"/>
  <c r="AH133" i="1"/>
  <c r="AI133" i="1" s="1"/>
  <c r="AH117" i="1"/>
  <c r="AI117" i="1" s="1"/>
  <c r="AH89" i="1"/>
  <c r="AI89" i="1" s="1"/>
  <c r="AD1159" i="1"/>
  <c r="AE1159" i="1" s="1"/>
  <c r="AH1159" i="1"/>
  <c r="AI1159" i="1" s="1"/>
  <c r="AH1106" i="1"/>
  <c r="AI1106" i="1" s="1"/>
  <c r="AD1106" i="1"/>
  <c r="AE1106" i="1" s="1"/>
  <c r="AH1090" i="1"/>
  <c r="AI1090" i="1" s="1"/>
  <c r="AD1090" i="1"/>
  <c r="AE1090" i="1" s="1"/>
  <c r="AH1074" i="1"/>
  <c r="AI1074" i="1" s="1"/>
  <c r="AD1074" i="1"/>
  <c r="AE1074" i="1" s="1"/>
  <c r="AH1107" i="1"/>
  <c r="AI1107" i="1" s="1"/>
  <c r="AD1107" i="1"/>
  <c r="AE1107" i="1" s="1"/>
  <c r="AH1091" i="1"/>
  <c r="AI1091" i="1" s="1"/>
  <c r="AD1091" i="1"/>
  <c r="AE1091" i="1" s="1"/>
  <c r="AH1075" i="1"/>
  <c r="AI1075" i="1" s="1"/>
  <c r="AD1075" i="1"/>
  <c r="AE1075" i="1" s="1"/>
  <c r="AH1154" i="1"/>
  <c r="AI1154" i="1" s="1"/>
  <c r="AD1154" i="1"/>
  <c r="AE1154" i="1" s="1"/>
  <c r="AH1034" i="1"/>
  <c r="AI1034" i="1" s="1"/>
  <c r="AH963" i="1"/>
  <c r="AI963" i="1" s="1"/>
  <c r="AD963" i="1"/>
  <c r="AE963" i="1" s="1"/>
  <c r="AH975" i="1"/>
  <c r="AI975" i="1" s="1"/>
  <c r="AH1037" i="1"/>
  <c r="AI1037" i="1" s="1"/>
  <c r="AH935" i="1"/>
  <c r="AI935" i="1" s="1"/>
  <c r="AD935" i="1"/>
  <c r="AE935" i="1" s="1"/>
  <c r="AH961" i="1"/>
  <c r="AI961" i="1" s="1"/>
  <c r="AH998" i="1"/>
  <c r="AI998" i="1" s="1"/>
  <c r="AH956" i="1"/>
  <c r="AI956" i="1" s="1"/>
  <c r="AH920" i="1"/>
  <c r="AI920" i="1" s="1"/>
  <c r="AD888" i="1"/>
  <c r="AE888" i="1" s="1"/>
  <c r="AH888" i="1"/>
  <c r="AI888" i="1" s="1"/>
  <c r="AH834" i="1"/>
  <c r="AI834" i="1" s="1"/>
  <c r="AH775" i="1"/>
  <c r="AI775" i="1" s="1"/>
  <c r="AH740" i="1"/>
  <c r="AI740" i="1" s="1"/>
  <c r="AH789" i="1"/>
  <c r="AI789" i="1" s="1"/>
  <c r="AH676" i="1"/>
  <c r="AI676" i="1" s="1"/>
  <c r="AD676" i="1"/>
  <c r="AE676" i="1" s="1"/>
  <c r="AH691" i="1"/>
  <c r="AI691" i="1" s="1"/>
  <c r="AH675" i="1"/>
  <c r="AI675" i="1" s="1"/>
  <c r="AH672" i="1"/>
  <c r="AI672" i="1" s="1"/>
  <c r="AH652" i="1"/>
  <c r="AI652" i="1" s="1"/>
  <c r="AH380" i="1"/>
  <c r="AI380" i="1" s="1"/>
  <c r="AD285" i="1"/>
  <c r="AE285" i="1" s="1"/>
  <c r="AH285" i="1"/>
  <c r="AI285" i="1" s="1"/>
  <c r="AD269" i="1"/>
  <c r="AE269" i="1" s="1"/>
  <c r="AH269" i="1"/>
  <c r="AI269" i="1" s="1"/>
  <c r="AH353" i="1"/>
  <c r="AI353" i="1" s="1"/>
  <c r="AH345" i="1"/>
  <c r="AI345" i="1" s="1"/>
  <c r="AH337" i="1"/>
  <c r="AI337" i="1" s="1"/>
  <c r="AH329" i="1"/>
  <c r="AI329" i="1" s="1"/>
  <c r="AH321" i="1"/>
  <c r="AI321" i="1" s="1"/>
  <c r="AH299" i="1"/>
  <c r="AI299" i="1" s="1"/>
  <c r="AD189" i="1"/>
  <c r="AE189" i="1" s="1"/>
  <c r="AH189" i="1"/>
  <c r="AI189" i="1" s="1"/>
  <c r="AH265" i="1"/>
  <c r="AI265" i="1" s="1"/>
  <c r="AH261" i="1"/>
  <c r="AI261" i="1" s="1"/>
  <c r="AH224" i="1"/>
  <c r="AI224" i="1" s="1"/>
  <c r="AH53" i="1"/>
  <c r="AI53" i="1" s="1"/>
  <c r="AD53" i="1"/>
  <c r="AE53" i="1" s="1"/>
  <c r="AH199" i="1"/>
  <c r="AI199" i="1" s="1"/>
  <c r="AD199" i="1"/>
  <c r="AE199" i="1" s="1"/>
  <c r="AH62" i="1"/>
  <c r="AI62" i="1" s="1"/>
  <c r="AD62" i="1"/>
  <c r="AE62" i="1" s="1"/>
  <c r="AD102" i="1"/>
  <c r="AE102" i="1" s="1"/>
  <c r="AH102" i="1"/>
  <c r="AI102" i="1" s="1"/>
  <c r="AH74" i="1"/>
  <c r="AI74" i="1" s="1"/>
  <c r="AH113" i="1"/>
  <c r="AI113" i="1" s="1"/>
  <c r="AH122" i="1"/>
  <c r="AI122" i="1" s="1"/>
  <c r="AH106" i="1"/>
  <c r="AI106" i="1" s="1"/>
  <c r="AH1198" i="1"/>
  <c r="AI1198" i="1" s="1"/>
  <c r="AH1100" i="1"/>
  <c r="AI1100" i="1" s="1"/>
  <c r="AD1100" i="1"/>
  <c r="AE1100" i="1" s="1"/>
  <c r="AH918" i="1"/>
  <c r="AI918" i="1" s="1"/>
  <c r="AD918" i="1"/>
  <c r="AE918" i="1" s="1"/>
  <c r="AH1010" i="1"/>
  <c r="AI1010" i="1" s="1"/>
  <c r="AH886" i="1"/>
  <c r="AI886" i="1" s="1"/>
  <c r="AH902" i="1"/>
  <c r="AI902" i="1" s="1"/>
  <c r="AH882" i="1"/>
  <c r="AI882" i="1" s="1"/>
  <c r="AH827" i="1"/>
  <c r="AI827" i="1" s="1"/>
  <c r="AD827" i="1"/>
  <c r="AE827" i="1" s="1"/>
  <c r="AH772" i="1"/>
  <c r="AI772" i="1" s="1"/>
  <c r="AH788" i="1"/>
  <c r="AI788" i="1" s="1"/>
  <c r="AH692" i="1"/>
  <c r="AI692" i="1" s="1"/>
  <c r="AD692" i="1"/>
  <c r="AE692" i="1" s="1"/>
  <c r="AH685" i="1"/>
  <c r="AI685" i="1" s="1"/>
  <c r="AH683" i="1"/>
  <c r="AI683" i="1" s="1"/>
  <c r="AH644" i="1"/>
  <c r="AI644" i="1" s="1"/>
  <c r="AH385" i="1"/>
  <c r="AI385" i="1" s="1"/>
  <c r="AH372" i="1"/>
  <c r="AI372" i="1" s="1"/>
  <c r="AD302" i="1"/>
  <c r="AE302" i="1" s="1"/>
  <c r="AH302" i="1"/>
  <c r="AI302" i="1" s="1"/>
  <c r="AH419" i="1"/>
  <c r="AI419" i="1" s="1"/>
  <c r="AH352" i="1"/>
  <c r="AI352" i="1" s="1"/>
  <c r="AH344" i="1"/>
  <c r="AI344" i="1" s="1"/>
  <c r="AH336" i="1"/>
  <c r="AI336" i="1" s="1"/>
  <c r="AH328" i="1"/>
  <c r="AI328" i="1" s="1"/>
  <c r="AH320" i="1"/>
  <c r="AI320" i="1" s="1"/>
  <c r="AH298" i="1"/>
  <c r="AI298" i="1" s="1"/>
  <c r="AH280" i="1"/>
  <c r="AI280" i="1" s="1"/>
  <c r="AH288" i="1"/>
  <c r="AI288" i="1" s="1"/>
  <c r="AH238" i="1"/>
  <c r="AI238" i="1" s="1"/>
  <c r="AH206" i="1"/>
  <c r="AI206" i="1" s="1"/>
  <c r="AH194" i="1"/>
  <c r="AI194" i="1" s="1"/>
  <c r="AD194" i="1"/>
  <c r="AE194" i="1" s="1"/>
  <c r="AH233" i="1"/>
  <c r="AI233" i="1" s="1"/>
  <c r="AH191" i="1"/>
  <c r="AI191" i="1" s="1"/>
  <c r="AD191" i="1"/>
  <c r="AE191" i="1" s="1"/>
  <c r="AD301" i="1"/>
  <c r="AE301" i="1" s="1"/>
  <c r="AH301" i="1"/>
  <c r="AI301" i="1" s="1"/>
  <c r="AH187" i="1"/>
  <c r="AI187" i="1" s="1"/>
  <c r="AD187" i="1"/>
  <c r="AE187" i="1" s="1"/>
  <c r="AD142" i="1"/>
  <c r="AE142" i="1" s="1"/>
  <c r="AH142" i="1"/>
  <c r="AI142" i="1" s="1"/>
  <c r="AH56" i="1"/>
  <c r="AI56" i="1" s="1"/>
  <c r="AD56" i="1"/>
  <c r="AE56" i="1" s="1"/>
  <c r="AH138" i="1"/>
  <c r="AI138" i="1" s="1"/>
  <c r="AH109" i="1"/>
  <c r="AI109" i="1" s="1"/>
  <c r="AH180" i="1"/>
  <c r="AI180" i="1" s="1"/>
  <c r="AH19" i="1"/>
  <c r="AI19" i="1" s="1"/>
  <c r="AH17" i="1"/>
  <c r="AI17" i="1" s="1"/>
  <c r="AH21" i="1"/>
  <c r="AI21" i="1" s="1"/>
  <c r="AH20" i="1"/>
  <c r="AI20" i="1" s="1"/>
  <c r="AH15" i="1"/>
  <c r="AI15" i="1" s="1"/>
  <c r="AH16" i="1"/>
  <c r="AI16" i="1" s="1"/>
  <c r="BI5" i="1"/>
  <c r="AG5" i="1" s="1"/>
  <c r="BI6" i="1"/>
  <c r="AG6" i="1" s="1"/>
  <c r="BI7" i="1"/>
  <c r="AG7" i="1" s="1"/>
  <c r="BI8" i="1"/>
  <c r="AG8" i="1" s="1"/>
  <c r="BI9" i="1"/>
  <c r="AG9" i="1" s="1"/>
  <c r="BI10" i="1"/>
  <c r="AG10" i="1" s="1"/>
  <c r="BI11" i="1"/>
  <c r="AG11" i="1" s="1"/>
  <c r="BI12" i="1"/>
  <c r="AG12" i="1" s="1"/>
  <c r="BI13" i="1"/>
  <c r="AG13" i="1" s="1"/>
  <c r="BI4" i="1"/>
  <c r="AG4" i="1" s="1"/>
  <c r="AB5" i="1"/>
  <c r="AR5" i="1" s="1"/>
  <c r="AB6" i="1"/>
  <c r="AB7" i="1"/>
  <c r="AB8" i="1"/>
  <c r="AB9" i="1"/>
  <c r="AB10" i="1"/>
  <c r="AB11" i="1"/>
  <c r="AB12" i="1"/>
  <c r="AB13" i="1"/>
  <c r="Z5" i="1"/>
  <c r="AP5" i="1" s="1"/>
  <c r="Z6" i="1"/>
  <c r="AP6" i="1" s="1"/>
  <c r="Z7" i="1"/>
  <c r="AP7" i="1" s="1"/>
  <c r="Z8" i="1"/>
  <c r="AP8" i="1" s="1"/>
  <c r="Z9" i="1"/>
  <c r="AP9" i="1" s="1"/>
  <c r="Z10" i="1"/>
  <c r="AP10" i="1" s="1"/>
  <c r="Z11" i="1"/>
  <c r="AP11" i="1" s="1"/>
  <c r="Z12" i="1"/>
  <c r="AP12" i="1" s="1"/>
  <c r="Z13" i="1"/>
  <c r="AP13" i="1" s="1"/>
  <c r="D5" i="1"/>
  <c r="D6" i="1"/>
  <c r="D7" i="1"/>
  <c r="D8" i="1"/>
  <c r="D9" i="1"/>
  <c r="D10" i="1"/>
  <c r="D11" i="1"/>
  <c r="D12" i="1"/>
  <c r="D13" i="1"/>
  <c r="D4" i="1"/>
  <c r="AB4" i="1"/>
  <c r="Z4" i="1"/>
  <c r="AP4" i="1" s="1"/>
  <c r="AQ13" i="1"/>
  <c r="O13" i="1"/>
  <c r="AQ12" i="1"/>
  <c r="O12" i="1"/>
  <c r="AQ11" i="1"/>
  <c r="O11" i="1"/>
  <c r="AQ10" i="1"/>
  <c r="O10" i="1"/>
  <c r="AQ4" i="1"/>
  <c r="AQ9" i="1"/>
  <c r="O9" i="1"/>
  <c r="AQ8" i="1"/>
  <c r="O8" i="1"/>
  <c r="AQ7" i="1"/>
  <c r="O7" i="1"/>
  <c r="AQ6" i="1"/>
  <c r="O6" i="1"/>
  <c r="AQ5" i="1"/>
  <c r="O5" i="1"/>
  <c r="O4" i="1"/>
  <c r="BR5" i="1" l="1"/>
  <c r="BO5" i="1"/>
  <c r="AD5" i="1"/>
  <c r="AE5" i="1" s="1"/>
  <c r="AK13" i="1"/>
  <c r="AK5" i="1"/>
  <c r="AK12" i="1"/>
  <c r="AL10" i="1"/>
  <c r="AK4" i="1"/>
  <c r="AK9" i="1"/>
  <c r="AL8" i="1"/>
  <c r="AL11" i="1"/>
  <c r="AL7" i="1"/>
  <c r="AR6" i="1"/>
  <c r="AH5" i="1"/>
  <c r="AI5" i="1" s="1"/>
  <c r="AR10" i="1"/>
  <c r="AR12" i="1"/>
  <c r="AR8" i="1"/>
  <c r="AL6" i="1"/>
  <c r="AR13" i="1"/>
  <c r="AK11" i="1"/>
  <c r="AK10" i="1"/>
  <c r="AK8" i="1"/>
  <c r="AR11" i="1"/>
  <c r="AL9" i="1"/>
  <c r="AR9" i="1"/>
  <c r="AK7" i="1"/>
  <c r="AL13" i="1"/>
  <c r="AL5" i="1"/>
  <c r="AR7" i="1"/>
  <c r="AK6" i="1"/>
  <c r="AL12" i="1"/>
  <c r="AN4" i="1"/>
  <c r="AO4" i="1"/>
  <c r="AL4" i="1"/>
  <c r="AR4" i="1"/>
  <c r="BR12" i="1" l="1"/>
  <c r="BO12" i="1"/>
  <c r="BR9" i="1"/>
  <c r="BO9" i="1"/>
  <c r="BR8" i="1"/>
  <c r="BO8" i="1"/>
  <c r="BR7" i="1"/>
  <c r="BO7" i="1"/>
  <c r="BR6" i="1"/>
  <c r="BO6" i="1"/>
  <c r="BR4" i="1"/>
  <c r="BO4" i="1"/>
  <c r="BR13" i="1"/>
  <c r="BO13" i="1"/>
  <c r="BR11" i="1"/>
  <c r="BO11" i="1"/>
  <c r="BR10" i="1"/>
  <c r="BO10" i="1"/>
  <c r="AD8" i="1"/>
  <c r="AE8" i="1" s="1"/>
  <c r="AD11" i="1"/>
  <c r="AE11" i="1" s="1"/>
  <c r="AD10" i="1"/>
  <c r="AE10" i="1" s="1"/>
  <c r="AD12" i="1"/>
  <c r="AE12" i="1" s="1"/>
  <c r="AD6" i="1"/>
  <c r="AE6" i="1" s="1"/>
  <c r="AD9" i="1"/>
  <c r="AE9" i="1" s="1"/>
  <c r="AD7" i="1"/>
  <c r="AE7" i="1" s="1"/>
  <c r="AD4" i="1"/>
  <c r="AE4" i="1" s="1"/>
  <c r="AD13" i="1"/>
  <c r="AE13" i="1" s="1"/>
  <c r="AH7" i="1"/>
  <c r="AI7" i="1" s="1"/>
  <c r="AH9" i="1"/>
  <c r="AI9" i="1" s="1"/>
  <c r="AH12" i="1"/>
  <c r="AI12" i="1" s="1"/>
  <c r="AH6" i="1"/>
  <c r="AI6" i="1" s="1"/>
  <c r="AH13" i="1"/>
  <c r="AI13" i="1" s="1"/>
  <c r="AH4" i="1"/>
  <c r="AI4" i="1" s="1"/>
  <c r="AH10" i="1"/>
  <c r="AI10" i="1" s="1"/>
  <c r="AH11" i="1"/>
  <c r="AI11" i="1" s="1"/>
  <c r="AH8" i="1"/>
  <c r="AI8" i="1" s="1"/>
</calcChain>
</file>

<file path=xl/sharedStrings.xml><?xml version="1.0" encoding="utf-8"?>
<sst xmlns="http://schemas.openxmlformats.org/spreadsheetml/2006/main" count="12695" uniqueCount="4701">
  <si>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</si>
  <si>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</si>
  <si>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</si>
  <si>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</si>
  <si>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</si>
  <si>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</si>
  <si>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</si>
  <si>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</si>
  <si>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</si>
  <si>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</si>
  <si>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</si>
  <si>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</si>
  <si>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</si>
  <si>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</si>
  <si>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</si>
  <si>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</si>
  <si>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</si>
  <si>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</si>
  <si>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</si>
  <si>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</si>
  <si>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</si>
  <si>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</si>
  <si>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</si>
  <si>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</si>
  <si>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</si>
  <si>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</si>
  <si>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</si>
  <si>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</si>
  <si>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</si>
  <si>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</si>
  <si>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</si>
  <si>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</si>
  <si>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</si>
  <si>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</si>
  <si>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</si>
  <si>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</si>
  <si>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</si>
  <si>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</si>
  <si>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</si>
  <si>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</si>
  <si>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</si>
  <si>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</si>
  <si>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</si>
  <si>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</si>
  <si>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</si>
  <si>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</si>
  <si>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</si>
  <si>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</si>
  <si>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</si>
  <si>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</si>
  <si>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</si>
  <si>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</si>
  <si>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</si>
  <si>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</si>
  <si>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</si>
  <si>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</si>
  <si>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</si>
  <si>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</si>
  <si>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</si>
  <si>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</si>
  <si>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</si>
  <si>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</si>
  <si>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</si>
  <si>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</si>
  <si>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4576AR</t>
  </si>
  <si>
    <t>4577AR</t>
  </si>
  <si>
    <t>4578AR</t>
  </si>
  <si>
    <t>4579AR</t>
  </si>
  <si>
    <t>4580AR</t>
  </si>
  <si>
    <t>4581AR</t>
  </si>
  <si>
    <t>4582AR</t>
  </si>
  <si>
    <t>4583AR</t>
  </si>
  <si>
    <t>4584AR</t>
  </si>
  <si>
    <t>4585AR</t>
  </si>
  <si>
    <t>4586AR</t>
  </si>
  <si>
    <t>4587AR</t>
  </si>
  <si>
    <t>4588AR</t>
  </si>
  <si>
    <t>4589AR</t>
  </si>
  <si>
    <t>6561AJ</t>
  </si>
  <si>
    <t>6562AJ</t>
  </si>
  <si>
    <t>6563AJ</t>
  </si>
  <si>
    <t>6564AJ</t>
  </si>
  <si>
    <t>6572AJ</t>
  </si>
  <si>
    <t>6573AJ</t>
  </si>
  <si>
    <t>6574AJ</t>
  </si>
  <si>
    <t>6575AJ</t>
  </si>
  <si>
    <t>6576AJ</t>
  </si>
  <si>
    <t>6577AJ</t>
  </si>
  <si>
    <t>6578AJ</t>
  </si>
  <si>
    <t>6579AJ</t>
  </si>
  <si>
    <t>6580AJ</t>
  </si>
  <si>
    <t>6587AJ</t>
  </si>
  <si>
    <t>6588AJ</t>
  </si>
  <si>
    <t>6589AJ</t>
  </si>
  <si>
    <t>8813AM</t>
  </si>
  <si>
    <t>8814AM</t>
  </si>
  <si>
    <t>8815AM</t>
  </si>
  <si>
    <t>8817AM</t>
  </si>
  <si>
    <t>8818AM</t>
  </si>
  <si>
    <t>8819AM</t>
  </si>
  <si>
    <t>8820AM</t>
  </si>
  <si>
    <t>8821AM</t>
  </si>
  <si>
    <t>8822AM</t>
  </si>
  <si>
    <t>8845AM</t>
  </si>
  <si>
    <t>8846AM</t>
  </si>
  <si>
    <t>8823AM</t>
  </si>
  <si>
    <t>8824AM</t>
  </si>
  <si>
    <t>8847AM</t>
  </si>
  <si>
    <t>8848AM</t>
  </si>
  <si>
    <t>8825AM</t>
  </si>
  <si>
    <t>8826AM</t>
  </si>
  <si>
    <t>8849AM</t>
  </si>
  <si>
    <t>8850AM</t>
  </si>
  <si>
    <t>8851AM</t>
  </si>
  <si>
    <t>8852AM</t>
  </si>
  <si>
    <t>8827AM</t>
  </si>
  <si>
    <t>8828AM</t>
  </si>
  <si>
    <t>8853AM</t>
  </si>
  <si>
    <t>8854AM</t>
  </si>
  <si>
    <t>8829AM</t>
  </si>
  <si>
    <t>8830AM</t>
  </si>
  <si>
    <t>8855AM</t>
  </si>
  <si>
    <t>8856AM</t>
  </si>
  <si>
    <t>8831AM</t>
  </si>
  <si>
    <t>8832AM</t>
  </si>
  <si>
    <t>8857AM</t>
  </si>
  <si>
    <t>8858AM</t>
  </si>
  <si>
    <t>8859AM</t>
  </si>
  <si>
    <t>8860AM</t>
  </si>
  <si>
    <t>8861AM</t>
  </si>
  <si>
    <t>8862AM</t>
  </si>
  <si>
    <t>8840AM</t>
  </si>
  <si>
    <t>8863AM</t>
  </si>
  <si>
    <t>8864AM</t>
  </si>
  <si>
    <t>8841AM</t>
  </si>
  <si>
    <t>8842AM</t>
  </si>
  <si>
    <t>8843AM</t>
  </si>
  <si>
    <t>8844AM</t>
  </si>
  <si>
    <t>8865AM</t>
  </si>
  <si>
    <t>8866AM</t>
  </si>
  <si>
    <t>J006WM</t>
  </si>
  <si>
    <t>J007WM</t>
  </si>
  <si>
    <t>J064MD</t>
  </si>
  <si>
    <t>J067MD</t>
  </si>
  <si>
    <t>J065MD</t>
  </si>
  <si>
    <t>J068MD</t>
  </si>
  <si>
    <t>J069MD</t>
  </si>
  <si>
    <t>J069WG</t>
  </si>
  <si>
    <t>J068WG</t>
  </si>
  <si>
    <t>J070MD</t>
  </si>
  <si>
    <t>J070WG</t>
  </si>
  <si>
    <t>J071WG</t>
  </si>
  <si>
    <t>J076MD</t>
  </si>
  <si>
    <t>J077MD</t>
  </si>
  <si>
    <t>J078MD</t>
  </si>
  <si>
    <t>J079MD</t>
  </si>
  <si>
    <t>J080MD</t>
  </si>
  <si>
    <t>J079WL</t>
  </si>
  <si>
    <t>J081MD</t>
  </si>
  <si>
    <t>J081WL</t>
  </si>
  <si>
    <t>J082MD</t>
  </si>
  <si>
    <t>J083MD</t>
  </si>
  <si>
    <t>J083WL</t>
  </si>
  <si>
    <t>J084MD</t>
  </si>
  <si>
    <t>J085MD</t>
  </si>
  <si>
    <t>J084WL</t>
  </si>
  <si>
    <t>J086MD</t>
  </si>
  <si>
    <t>J086WL</t>
  </si>
  <si>
    <t>J085WL</t>
  </si>
  <si>
    <t>J087MD</t>
  </si>
  <si>
    <t>J087WL</t>
  </si>
  <si>
    <t>J088WL</t>
  </si>
  <si>
    <t>J089MD</t>
  </si>
  <si>
    <t>J091MD</t>
  </si>
  <si>
    <t>J090MD</t>
  </si>
  <si>
    <t>J091WL</t>
  </si>
  <si>
    <t>J092WL</t>
  </si>
  <si>
    <t>J093WL</t>
  </si>
  <si>
    <t>J094MD</t>
  </si>
  <si>
    <t>J095MD</t>
  </si>
  <si>
    <t>J096MD</t>
  </si>
  <si>
    <t>J097MD</t>
  </si>
  <si>
    <t>J098MD</t>
  </si>
  <si>
    <t>J099MD</t>
  </si>
  <si>
    <t>J100MD</t>
  </si>
  <si>
    <t>J101MD</t>
  </si>
  <si>
    <t>J102MD</t>
  </si>
  <si>
    <t>J104MD</t>
  </si>
  <si>
    <t>J103MD</t>
  </si>
  <si>
    <t>J105MD</t>
  </si>
  <si>
    <t>J106MD</t>
  </si>
  <si>
    <t>J108MD</t>
  </si>
  <si>
    <t>J107MD</t>
  </si>
  <si>
    <t>J109MD</t>
  </si>
  <si>
    <t>J110MD</t>
  </si>
  <si>
    <t>J111MD</t>
  </si>
  <si>
    <t>J112WD</t>
  </si>
  <si>
    <t>J113MD</t>
  </si>
  <si>
    <t>J112MD</t>
  </si>
  <si>
    <t>J114MD</t>
  </si>
  <si>
    <t>J114WF</t>
  </si>
  <si>
    <t>J115WF</t>
  </si>
  <si>
    <t>J113WF</t>
  </si>
  <si>
    <t>J115MD</t>
  </si>
  <si>
    <t>J116MD</t>
  </si>
  <si>
    <t>J116WF</t>
  </si>
  <si>
    <t>J117MD</t>
  </si>
  <si>
    <t>J117WF</t>
  </si>
  <si>
    <t>J118MD</t>
  </si>
  <si>
    <t>J118WF</t>
  </si>
  <si>
    <t>J119MD</t>
  </si>
  <si>
    <t>J120WF</t>
  </si>
  <si>
    <t>J119WF</t>
  </si>
  <si>
    <t>J120MD</t>
  </si>
  <si>
    <t>J121MD</t>
  </si>
  <si>
    <t>J121WF</t>
  </si>
  <si>
    <t>J123MD</t>
  </si>
  <si>
    <t>J123WF</t>
  </si>
  <si>
    <t>J122MD</t>
  </si>
  <si>
    <t>J122WF</t>
  </si>
  <si>
    <t>J124MD</t>
  </si>
  <si>
    <t>J125MD</t>
  </si>
  <si>
    <t>J124WF</t>
  </si>
  <si>
    <t>J126MD</t>
  </si>
  <si>
    <t>J125WF</t>
  </si>
  <si>
    <t>J127MD</t>
  </si>
  <si>
    <t>J126WF</t>
  </si>
  <si>
    <t>J128MD</t>
  </si>
  <si>
    <t>J128WF</t>
  </si>
  <si>
    <t>J129MD</t>
  </si>
  <si>
    <t>J127WF</t>
  </si>
  <si>
    <t>J130MD</t>
  </si>
  <si>
    <t>J129WF</t>
  </si>
  <si>
    <t>J131MD</t>
  </si>
  <si>
    <t>J131WF</t>
  </si>
  <si>
    <t>J132WF</t>
  </si>
  <si>
    <t>J130WF</t>
  </si>
  <si>
    <t>J133WF</t>
  </si>
  <si>
    <t>J134WF</t>
  </si>
  <si>
    <t>J136MD</t>
  </si>
  <si>
    <t>J136WF</t>
  </si>
  <si>
    <t>J137WF</t>
  </si>
  <si>
    <t>J135WF</t>
  </si>
  <si>
    <t>J137MD</t>
  </si>
  <si>
    <t>J139WF</t>
  </si>
  <si>
    <t>J140WF</t>
  </si>
  <si>
    <t>J138WF</t>
  </si>
  <si>
    <t>J140MD</t>
  </si>
  <si>
    <t>J142WF</t>
  </si>
  <si>
    <t>J143WF</t>
  </si>
  <si>
    <t>J141WF</t>
  </si>
  <si>
    <t>J143MD</t>
  </si>
  <si>
    <t>J144WF</t>
  </si>
  <si>
    <t>J146WF</t>
  </si>
  <si>
    <t>J147WF</t>
  </si>
  <si>
    <t>J145WF</t>
  </si>
  <si>
    <t>J147MD</t>
  </si>
  <si>
    <t>J148MD</t>
  </si>
  <si>
    <t>J149MD</t>
  </si>
  <si>
    <t>J148WF</t>
  </si>
  <si>
    <t>J150MD</t>
  </si>
  <si>
    <t>J149WF</t>
  </si>
  <si>
    <t>J149WH</t>
  </si>
  <si>
    <t>J150WF</t>
  </si>
  <si>
    <t>J150WH</t>
  </si>
  <si>
    <t>J151MD</t>
  </si>
  <si>
    <t>J151WF</t>
  </si>
  <si>
    <t>J152WF</t>
  </si>
  <si>
    <t>J152WH</t>
  </si>
  <si>
    <t>J151WH</t>
  </si>
  <si>
    <t>J153WF</t>
  </si>
  <si>
    <t>J153WH</t>
  </si>
  <si>
    <t>J154MD</t>
  </si>
  <si>
    <t>J154WF</t>
  </si>
  <si>
    <t>J154WH</t>
  </si>
  <si>
    <t>J153MD</t>
  </si>
  <si>
    <t>J155MD</t>
  </si>
  <si>
    <t>J155WF</t>
  </si>
  <si>
    <t>J155WH</t>
  </si>
  <si>
    <t>J156MD</t>
  </si>
  <si>
    <t>J156WF</t>
  </si>
  <si>
    <t>J156WH</t>
  </si>
  <si>
    <t>J157WF</t>
  </si>
  <si>
    <t>J157MD</t>
  </si>
  <si>
    <t>J158MD</t>
  </si>
  <si>
    <t>J158WH</t>
  </si>
  <si>
    <t>J157WH</t>
  </si>
  <si>
    <t>J159MD</t>
  </si>
  <si>
    <t>J159WH</t>
  </si>
  <si>
    <t>J160WH</t>
  </si>
  <si>
    <t>J161MD</t>
  </si>
  <si>
    <t>J160MD</t>
  </si>
  <si>
    <t>J162MD</t>
  </si>
  <si>
    <t>J162WF</t>
  </si>
  <si>
    <t>J162WH</t>
  </si>
  <si>
    <t>J161WH</t>
  </si>
  <si>
    <t>J163MD</t>
  </si>
  <si>
    <t>J163WF</t>
  </si>
  <si>
    <t>J163WH</t>
  </si>
  <si>
    <t>J164WF</t>
  </si>
  <si>
    <t>J164WH</t>
  </si>
  <si>
    <t>J164MD</t>
  </si>
  <si>
    <t>J165MD</t>
  </si>
  <si>
    <t>J165WF</t>
  </si>
  <si>
    <t>J165WH</t>
  </si>
  <si>
    <t>J166MD</t>
  </si>
  <si>
    <t>J166WF</t>
  </si>
  <si>
    <t>J166WH</t>
  </si>
  <si>
    <t>J167WF</t>
  </si>
  <si>
    <t>J168WF</t>
  </si>
  <si>
    <t>J168WH</t>
  </si>
  <si>
    <t>J167WH</t>
  </si>
  <si>
    <t>J169WF</t>
  </si>
  <si>
    <t>J170WF</t>
  </si>
  <si>
    <t>J170WH</t>
  </si>
  <si>
    <t>J171WF</t>
  </si>
  <si>
    <t>J171WH</t>
  </si>
  <si>
    <t>J169WH</t>
  </si>
  <si>
    <t>J172WF</t>
  </si>
  <si>
    <t>J173WF</t>
  </si>
  <si>
    <t>J173WH</t>
  </si>
  <si>
    <t>J172WH</t>
  </si>
  <si>
    <t>J174WF</t>
  </si>
  <si>
    <t>J175WF</t>
  </si>
  <si>
    <t>J175WH</t>
  </si>
  <si>
    <t>J174WH</t>
  </si>
  <si>
    <t>J176WF</t>
  </si>
  <si>
    <t>J177WF</t>
  </si>
  <si>
    <t>J177WH</t>
  </si>
  <si>
    <t>J178WF</t>
  </si>
  <si>
    <t>J178WH</t>
  </si>
  <si>
    <t>J176WH</t>
  </si>
  <si>
    <t>J179WF</t>
  </si>
  <si>
    <t>J179WH</t>
  </si>
  <si>
    <t>J180WF</t>
  </si>
  <si>
    <t>J180WH</t>
  </si>
  <si>
    <t>J182WF</t>
  </si>
  <si>
    <t>J181WF</t>
  </si>
  <si>
    <t>J184RR</t>
  </si>
  <si>
    <t>J184RS</t>
  </si>
  <si>
    <t>J184WF</t>
  </si>
  <si>
    <t>J183WF</t>
  </si>
  <si>
    <t>J185RS</t>
  </si>
  <si>
    <t>J185WF</t>
  </si>
  <si>
    <t>J187WF</t>
  </si>
  <si>
    <t>J186RR</t>
  </si>
  <si>
    <t>J186WF</t>
  </si>
  <si>
    <t>J188WF</t>
  </si>
  <si>
    <t>J190WF</t>
  </si>
  <si>
    <t>J189WF</t>
  </si>
  <si>
    <t>J191WF</t>
  </si>
  <si>
    <t>J192RR</t>
  </si>
  <si>
    <t>J192RS</t>
  </si>
  <si>
    <t>J192WF</t>
  </si>
  <si>
    <t>J193WF</t>
  </si>
  <si>
    <t>J194WF</t>
  </si>
  <si>
    <t>J196WF</t>
  </si>
  <si>
    <t>J195WF</t>
  </si>
  <si>
    <t>J197WF</t>
  </si>
  <si>
    <t>J198WF</t>
  </si>
  <si>
    <t>J199WF</t>
  </si>
  <si>
    <t>J200WF</t>
  </si>
  <si>
    <t>J202WF</t>
  </si>
  <si>
    <t>J201WF</t>
  </si>
  <si>
    <t>J204WF</t>
  </si>
  <si>
    <t>J203WF</t>
  </si>
  <si>
    <t>J205WF</t>
  </si>
  <si>
    <t>J207WF</t>
  </si>
  <si>
    <t>J208WF</t>
  </si>
  <si>
    <t>J206WF</t>
  </si>
  <si>
    <t>J209WF</t>
  </si>
  <si>
    <t>J210WF</t>
  </si>
  <si>
    <t>J211WF</t>
  </si>
  <si>
    <t>J212WF</t>
  </si>
  <si>
    <t>J213WF</t>
  </si>
  <si>
    <t>J2186Y</t>
  </si>
  <si>
    <t>J222RR</t>
  </si>
  <si>
    <t>J221RS</t>
  </si>
  <si>
    <t>J2238Y</t>
  </si>
  <si>
    <t>J2239Y</t>
  </si>
  <si>
    <t>J2240Y</t>
  </si>
  <si>
    <t>J2241Y</t>
  </si>
  <si>
    <t>J2242Y</t>
  </si>
  <si>
    <t>J2243Y</t>
  </si>
  <si>
    <t>J2244Y</t>
  </si>
  <si>
    <t>J2245Y</t>
  </si>
  <si>
    <t>J2246Y</t>
  </si>
  <si>
    <t>J2253Y</t>
  </si>
  <si>
    <t>J2254Y</t>
  </si>
  <si>
    <t>J2255Y</t>
  </si>
  <si>
    <t>J2256Y</t>
  </si>
  <si>
    <t>J2247Y</t>
  </si>
  <si>
    <t>J2248Y</t>
  </si>
  <si>
    <t>J2257Y</t>
  </si>
  <si>
    <t>J2258Y</t>
  </si>
  <si>
    <t>J225RR</t>
  </si>
  <si>
    <t>J2260Y</t>
  </si>
  <si>
    <t>J233WL</t>
  </si>
  <si>
    <t>J234WH</t>
  </si>
  <si>
    <t>J235WH</t>
  </si>
  <si>
    <t>J235WL</t>
  </si>
  <si>
    <t>J236WH</t>
  </si>
  <si>
    <t>J234WL</t>
  </si>
  <si>
    <t>J236WL</t>
  </si>
  <si>
    <t>J238WL</t>
  </si>
  <si>
    <t>J237WL</t>
  </si>
  <si>
    <t>J239WL</t>
  </si>
  <si>
    <t>J241WL</t>
  </si>
  <si>
    <t>J240WL</t>
  </si>
  <si>
    <t>J243WH</t>
  </si>
  <si>
    <t>J244WH</t>
  </si>
  <si>
    <t>J246WH</t>
  </si>
  <si>
    <t>J247WH</t>
  </si>
  <si>
    <t>J245WH</t>
  </si>
  <si>
    <t>J248WH</t>
  </si>
  <si>
    <t>J250WH</t>
  </si>
  <si>
    <t>J251WH</t>
  </si>
  <si>
    <t>J249WH</t>
  </si>
  <si>
    <t>J252WH</t>
  </si>
  <si>
    <t>J253WH</t>
  </si>
  <si>
    <t>J255WH</t>
  </si>
  <si>
    <t>J254WH</t>
  </si>
  <si>
    <t>J257RR</t>
  </si>
  <si>
    <t>J256WH</t>
  </si>
  <si>
    <t>J261RR</t>
  </si>
  <si>
    <t>J262RR</t>
  </si>
  <si>
    <t>J262RS</t>
  </si>
  <si>
    <t>J261RS</t>
  </si>
  <si>
    <t>J2690R</t>
  </si>
  <si>
    <t>J2691R</t>
  </si>
  <si>
    <t>J2692R</t>
  </si>
  <si>
    <t>J2693R</t>
  </si>
  <si>
    <t>J2694R</t>
  </si>
  <si>
    <t>J2695R</t>
  </si>
  <si>
    <t>J2698R</t>
  </si>
  <si>
    <t>J2699R</t>
  </si>
  <si>
    <t>J269WL</t>
  </si>
  <si>
    <t>J2700R</t>
  </si>
  <si>
    <t>J2701R</t>
  </si>
  <si>
    <t>J271RR</t>
  </si>
  <si>
    <t>J273RR</t>
  </si>
  <si>
    <t>J378WL</t>
  </si>
  <si>
    <t>J379WL</t>
  </si>
  <si>
    <t>J382RR</t>
  </si>
  <si>
    <t>J384RR</t>
  </si>
  <si>
    <t>J385RR</t>
  </si>
  <si>
    <t>J388RR</t>
  </si>
  <si>
    <t>J396WL</t>
  </si>
  <si>
    <t>J397WL</t>
  </si>
  <si>
    <t>J402RR</t>
  </si>
  <si>
    <t>J401WL</t>
  </si>
  <si>
    <t>J402WL</t>
  </si>
  <si>
    <t>J403WL</t>
  </si>
  <si>
    <t>J404WL</t>
  </si>
  <si>
    <t>J416RR</t>
  </si>
  <si>
    <t>J417MX</t>
  </si>
  <si>
    <t>J418MX</t>
  </si>
  <si>
    <t>J418WL</t>
  </si>
  <si>
    <t>J417WL</t>
  </si>
  <si>
    <t>J419MX</t>
  </si>
  <si>
    <t>J419WL</t>
  </si>
  <si>
    <t>J420MX</t>
  </si>
  <si>
    <t>J420WL</t>
  </si>
  <si>
    <t>J421MX</t>
  </si>
  <si>
    <t>J422MX</t>
  </si>
  <si>
    <t>J422RR</t>
  </si>
  <si>
    <t>J422WL</t>
  </si>
  <si>
    <t>J4244R</t>
  </si>
  <si>
    <t>J4246R</t>
  </si>
  <si>
    <t>J4248R</t>
  </si>
  <si>
    <t>J421WL</t>
  </si>
  <si>
    <t>J423MX</t>
  </si>
  <si>
    <t>J423WL</t>
  </si>
  <si>
    <t>J424RR</t>
  </si>
  <si>
    <t>J4249R</t>
  </si>
  <si>
    <t>J424MX</t>
  </si>
  <si>
    <t>J424WL</t>
  </si>
  <si>
    <t>J4250R</t>
  </si>
  <si>
    <t>J4251R</t>
  </si>
  <si>
    <t>J4252R</t>
  </si>
  <si>
    <t>J4253R</t>
  </si>
  <si>
    <t>J4254R</t>
  </si>
  <si>
    <t>J4255R</t>
  </si>
  <si>
    <t>J4256R</t>
  </si>
  <si>
    <t>J425MX</t>
  </si>
  <si>
    <t>J425WL</t>
  </si>
  <si>
    <t>J4257R</t>
  </si>
  <si>
    <t>J4258R</t>
  </si>
  <si>
    <t>J4260R</t>
  </si>
  <si>
    <t>J4261R</t>
  </si>
  <si>
    <t>J4262R</t>
  </si>
  <si>
    <t>J4263R</t>
  </si>
  <si>
    <t>J426MX</t>
  </si>
  <si>
    <t>J426RR</t>
  </si>
  <si>
    <t>J4264R</t>
  </si>
  <si>
    <t>J4265R</t>
  </si>
  <si>
    <t>J4267R</t>
  </si>
  <si>
    <t>J426WL</t>
  </si>
  <si>
    <t>J4268R</t>
  </si>
  <si>
    <t>J4269R</t>
  </si>
  <si>
    <t>J4271R</t>
  </si>
  <si>
    <t>J4272R</t>
  </si>
  <si>
    <t>J4273R</t>
  </si>
  <si>
    <t>J4274R</t>
  </si>
  <si>
    <t>J4275R</t>
  </si>
  <si>
    <t>J4276R</t>
  </si>
  <si>
    <t>J427WL</t>
  </si>
  <si>
    <t>J4289R</t>
  </si>
  <si>
    <t>J4277R</t>
  </si>
  <si>
    <t>J4278R</t>
  </si>
  <si>
    <t>J428MX</t>
  </si>
  <si>
    <t>J428WL</t>
  </si>
  <si>
    <t>J4290R</t>
  </si>
  <si>
    <t>J4291R</t>
  </si>
  <si>
    <t>J4292R</t>
  </si>
  <si>
    <t>J4293R</t>
  </si>
  <si>
    <t>J4279R</t>
  </si>
  <si>
    <t>J427MX</t>
  </si>
  <si>
    <t>J4295R</t>
  </si>
  <si>
    <t>J4296R</t>
  </si>
  <si>
    <t>J4297R</t>
  </si>
  <si>
    <t>J4298R</t>
  </si>
  <si>
    <t>J4306R</t>
  </si>
  <si>
    <t>J429WL</t>
  </si>
  <si>
    <t>J4302R</t>
  </si>
  <si>
    <t>J4307R</t>
  </si>
  <si>
    <t>J4308R</t>
  </si>
  <si>
    <t>J4303R</t>
  </si>
  <si>
    <t>J4304R</t>
  </si>
  <si>
    <t>J430WE</t>
  </si>
  <si>
    <t>J430WL</t>
  </si>
  <si>
    <t>J4310R</t>
  </si>
  <si>
    <t>J4311R</t>
  </si>
  <si>
    <t>J4312R</t>
  </si>
  <si>
    <t>J4313R</t>
  </si>
  <si>
    <t>J431WE</t>
  </si>
  <si>
    <t>J431WL</t>
  </si>
  <si>
    <t>J4314R</t>
  </si>
  <si>
    <t>J4316R</t>
  </si>
  <si>
    <t>J432WE</t>
  </si>
  <si>
    <t>J432WL</t>
  </si>
  <si>
    <t>J433WE</t>
  </si>
  <si>
    <t>J434WE</t>
  </si>
  <si>
    <t>J433WL</t>
  </si>
  <si>
    <t>J435WE</t>
  </si>
  <si>
    <t>J434WL</t>
  </si>
  <si>
    <t>J436WE</t>
  </si>
  <si>
    <t>J436WL</t>
  </si>
  <si>
    <t>J435WL</t>
  </si>
  <si>
    <t>J437WL</t>
  </si>
  <si>
    <t>J438WL</t>
  </si>
  <si>
    <t>J440WL</t>
  </si>
  <si>
    <t>J439WL</t>
  </si>
  <si>
    <t>J441WL</t>
  </si>
  <si>
    <t>J442WL</t>
  </si>
  <si>
    <t>J444WL</t>
  </si>
  <si>
    <t>J445WL</t>
  </si>
  <si>
    <t>J443WL</t>
  </si>
  <si>
    <t>J446WL</t>
  </si>
  <si>
    <t>J447RR</t>
  </si>
  <si>
    <t>J447WL</t>
  </si>
  <si>
    <t>J448WL</t>
  </si>
  <si>
    <t>J449WL</t>
  </si>
  <si>
    <t>J450RR</t>
  </si>
  <si>
    <t>J450WL</t>
  </si>
  <si>
    <t>J451RR</t>
  </si>
  <si>
    <t>J451WL</t>
  </si>
  <si>
    <t>J452RR</t>
  </si>
  <si>
    <t>J452WL</t>
  </si>
  <si>
    <t>J453RR</t>
  </si>
  <si>
    <t>J453WE</t>
  </si>
  <si>
    <t>J453WL</t>
  </si>
  <si>
    <t>J454WE</t>
  </si>
  <si>
    <t>J454WL</t>
  </si>
  <si>
    <t>J455RR</t>
  </si>
  <si>
    <t>J455WE</t>
  </si>
  <si>
    <t>J455WL</t>
  </si>
  <si>
    <t>J456RR</t>
  </si>
  <si>
    <t>J456WL</t>
  </si>
  <si>
    <t>J457WL</t>
  </si>
  <si>
    <t>J459WL</t>
  </si>
  <si>
    <t>J458WL</t>
  </si>
  <si>
    <t>J461WL</t>
  </si>
  <si>
    <t>J460WL</t>
  </si>
  <si>
    <t>J462WL</t>
  </si>
  <si>
    <t>J464WL</t>
  </si>
  <si>
    <t>J465WL</t>
  </si>
  <si>
    <t>J463WL</t>
  </si>
  <si>
    <t>J466WL</t>
  </si>
  <si>
    <t>J467WL</t>
  </si>
  <si>
    <t>J468WL</t>
  </si>
  <si>
    <t>J469RR</t>
  </si>
  <si>
    <t>J469WL</t>
  </si>
  <si>
    <t>J470RR</t>
  </si>
  <si>
    <t>J470WL</t>
  </si>
  <si>
    <t>J471RR</t>
  </si>
  <si>
    <t>J471WL</t>
  </si>
  <si>
    <t>J472WL</t>
  </si>
  <si>
    <t>J473WL</t>
  </si>
  <si>
    <t>J474WL</t>
  </si>
  <si>
    <t>J475WL</t>
  </si>
  <si>
    <t>J476WL</t>
  </si>
  <si>
    <t>J477WL</t>
  </si>
  <si>
    <t>J478WL</t>
  </si>
  <si>
    <t>J479WL</t>
  </si>
  <si>
    <t>J480RR</t>
  </si>
  <si>
    <t>J480WL</t>
  </si>
  <si>
    <t>J480WP</t>
  </si>
  <si>
    <t>J481WL</t>
  </si>
  <si>
    <t>J482WL</t>
  </si>
  <si>
    <t>J483WL</t>
  </si>
  <si>
    <t>J484WL</t>
  </si>
  <si>
    <t>J485WL</t>
  </si>
  <si>
    <t>J485WP</t>
  </si>
  <si>
    <t>J493WP</t>
  </si>
  <si>
    <t>J496RR</t>
  </si>
  <si>
    <t>J497RR</t>
  </si>
  <si>
    <t>J497WP</t>
  </si>
  <si>
    <t>J498RR</t>
  </si>
  <si>
    <t>J498WP</t>
  </si>
  <si>
    <t>J499RR</t>
  </si>
  <si>
    <t>J503RR</t>
  </si>
  <si>
    <t>J504WP</t>
  </si>
  <si>
    <t>J509WE</t>
  </si>
  <si>
    <t>J510WE</t>
  </si>
  <si>
    <t>J505WP</t>
  </si>
  <si>
    <t>J511WE</t>
  </si>
  <si>
    <t>J512WE</t>
  </si>
  <si>
    <t>J515WE</t>
  </si>
  <si>
    <t>J516WE</t>
  </si>
  <si>
    <t>J518WE</t>
  </si>
  <si>
    <t>J517WE</t>
  </si>
  <si>
    <t>J520WE</t>
  </si>
  <si>
    <t>J519WE</t>
  </si>
  <si>
    <t>J521WE</t>
  </si>
  <si>
    <t>J523WE</t>
  </si>
  <si>
    <t>J524WE</t>
  </si>
  <si>
    <t>J522WE</t>
  </si>
  <si>
    <t>J525WE</t>
  </si>
  <si>
    <t>J526WE</t>
  </si>
  <si>
    <t>J528RR</t>
  </si>
  <si>
    <t>J527WE</t>
  </si>
  <si>
    <t>J529WE</t>
  </si>
  <si>
    <t>J528WE</t>
  </si>
  <si>
    <t>J530WE</t>
  </si>
  <si>
    <t>J531WE</t>
  </si>
  <si>
    <t>J533RR</t>
  </si>
  <si>
    <t>J532WE</t>
  </si>
  <si>
    <t>J534WE</t>
  </si>
  <si>
    <t>J533WE</t>
  </si>
  <si>
    <t>J536WE</t>
  </si>
  <si>
    <t>J537WE</t>
  </si>
  <si>
    <t>J538WE</t>
  </si>
  <si>
    <t>J535WE</t>
  </si>
  <si>
    <t>J539RR</t>
  </si>
  <si>
    <t>J540WE</t>
  </si>
  <si>
    <t>J541WE</t>
  </si>
  <si>
    <t>J539WE</t>
  </si>
  <si>
    <t>J542WE</t>
  </si>
  <si>
    <t>J543WE</t>
  </si>
  <si>
    <t>J545RR</t>
  </si>
  <si>
    <t>J544WE</t>
  </si>
  <si>
    <t>J546WE</t>
  </si>
  <si>
    <t>J545WE</t>
  </si>
  <si>
    <t>J548WE</t>
  </si>
  <si>
    <t>J547WE</t>
  </si>
  <si>
    <t>J549WE</t>
  </si>
  <si>
    <t>J550WE</t>
  </si>
  <si>
    <t>J551RR</t>
  </si>
  <si>
    <t>J551WE</t>
  </si>
  <si>
    <t>J558WE</t>
  </si>
  <si>
    <t>J552WE</t>
  </si>
  <si>
    <t>J559WE</t>
  </si>
  <si>
    <t>J561RR</t>
  </si>
  <si>
    <t>J561WE</t>
  </si>
  <si>
    <t>J560WE</t>
  </si>
  <si>
    <t>J562WE</t>
  </si>
  <si>
    <t>J563WE</t>
  </si>
  <si>
    <t>J564WE</t>
  </si>
  <si>
    <t>J565WE</t>
  </si>
  <si>
    <t>J567WE</t>
  </si>
  <si>
    <t>J566WE</t>
  </si>
  <si>
    <t>J569RR</t>
  </si>
  <si>
    <t>J569WE</t>
  </si>
  <si>
    <t>J568WE</t>
  </si>
  <si>
    <t>J570RR</t>
  </si>
  <si>
    <t>J570WE</t>
  </si>
  <si>
    <t>J571RR</t>
  </si>
  <si>
    <t>J571WE</t>
  </si>
  <si>
    <t>J573WE</t>
  </si>
  <si>
    <t>J572RR</t>
  </si>
  <si>
    <t>J572WE</t>
  </si>
  <si>
    <t>J574WE</t>
  </si>
  <si>
    <t>J580RR</t>
  </si>
  <si>
    <t>J575RR</t>
  </si>
  <si>
    <t>J581RR</t>
  </si>
  <si>
    <t>J582RR</t>
  </si>
  <si>
    <t>J589RR</t>
  </si>
  <si>
    <t>J622WK</t>
  </si>
  <si>
    <t>J623WK</t>
  </si>
  <si>
    <t>J624WK</t>
  </si>
  <si>
    <t>J625WK</t>
  </si>
  <si>
    <t>J626WK</t>
  </si>
  <si>
    <t>J627WK</t>
  </si>
  <si>
    <t>J628WK</t>
  </si>
  <si>
    <t>J630WG</t>
  </si>
  <si>
    <t>J631WG</t>
  </si>
  <si>
    <t>J632WG</t>
  </si>
  <si>
    <t>J633WG</t>
  </si>
  <si>
    <t>J635WG</t>
  </si>
  <si>
    <t>J636WG</t>
  </si>
  <si>
    <t>J634WG</t>
  </si>
  <si>
    <t>J637WG</t>
  </si>
  <si>
    <t>J638WG</t>
  </si>
  <si>
    <t>J640WG</t>
  </si>
  <si>
    <t>J639WG</t>
  </si>
  <si>
    <t>J642WG</t>
  </si>
  <si>
    <t>J643RR</t>
  </si>
  <si>
    <t>J643TN</t>
  </si>
  <si>
    <t>J643WG</t>
  </si>
  <si>
    <t>J644WG</t>
  </si>
  <si>
    <t>J645RR</t>
  </si>
  <si>
    <t>J645WG</t>
  </si>
  <si>
    <t>J641WG</t>
  </si>
  <si>
    <t>J646WG</t>
  </si>
  <si>
    <t>J648WG</t>
  </si>
  <si>
    <t>J647WG</t>
  </si>
  <si>
    <t>J649TN</t>
  </si>
  <si>
    <t>J650TN</t>
  </si>
  <si>
    <t>J650WG</t>
  </si>
  <si>
    <t>J651WG</t>
  </si>
  <si>
    <t>J649WG</t>
  </si>
  <si>
    <t>J652WG</t>
  </si>
  <si>
    <t>J653WG</t>
  </si>
  <si>
    <t>J6540P</t>
  </si>
  <si>
    <t>J6543P</t>
  </si>
  <si>
    <t>J6544P</t>
  </si>
  <si>
    <t>J6546P</t>
  </si>
  <si>
    <t>J6547P</t>
  </si>
  <si>
    <t>J6548P</t>
  </si>
  <si>
    <t>J654WG</t>
  </si>
  <si>
    <t>J6550P</t>
  </si>
  <si>
    <t>J6551P</t>
  </si>
  <si>
    <t>J6552P</t>
  </si>
  <si>
    <t>J6553P</t>
  </si>
  <si>
    <t>J6554P</t>
  </si>
  <si>
    <t>J6555P</t>
  </si>
  <si>
    <t>J6556P</t>
  </si>
  <si>
    <t>J6549P</t>
  </si>
  <si>
    <t>J6559P</t>
  </si>
  <si>
    <t>J655TN</t>
  </si>
  <si>
    <t>J655WG</t>
  </si>
  <si>
    <t>J6564P</t>
  </si>
  <si>
    <t>J6565P</t>
  </si>
  <si>
    <t>J6566P</t>
  </si>
  <si>
    <t>J6567P</t>
  </si>
  <si>
    <t>J6560P</t>
  </si>
  <si>
    <t>J6562P</t>
  </si>
  <si>
    <t>J6563P</t>
  </si>
  <si>
    <t>J656TN</t>
  </si>
  <si>
    <t>J656WG</t>
  </si>
  <si>
    <t>J6570P</t>
  </si>
  <si>
    <t>J6571P</t>
  </si>
  <si>
    <t>J6572P</t>
  </si>
  <si>
    <t>J6573P</t>
  </si>
  <si>
    <t>J6575P</t>
  </si>
  <si>
    <t>J6576P</t>
  </si>
  <si>
    <t>J6577P</t>
  </si>
  <si>
    <t>J6578P</t>
  </si>
  <si>
    <t>J6579P</t>
  </si>
  <si>
    <t>J6569P</t>
  </si>
  <si>
    <t>J657TN</t>
  </si>
  <si>
    <t>J657WG</t>
  </si>
  <si>
    <t>J6580P</t>
  </si>
  <si>
    <t>J6581P</t>
  </si>
  <si>
    <t>J6582P</t>
  </si>
  <si>
    <t>J6583P</t>
  </si>
  <si>
    <t>J6584P</t>
  </si>
  <si>
    <t>J658TN</t>
  </si>
  <si>
    <t>J658WG</t>
  </si>
  <si>
    <t>J6585P</t>
  </si>
  <si>
    <t>J6586P</t>
  </si>
  <si>
    <t>J6590P</t>
  </si>
  <si>
    <t>J6591P</t>
  </si>
  <si>
    <t>J6587P</t>
  </si>
  <si>
    <t>J6592P</t>
  </si>
  <si>
    <t>J6593P</t>
  </si>
  <si>
    <t>J6594P</t>
  </si>
  <si>
    <t>J659TN</t>
  </si>
  <si>
    <t>J659WG</t>
  </si>
  <si>
    <t>J6600P</t>
  </si>
  <si>
    <t>J6601P</t>
  </si>
  <si>
    <t>J6595P</t>
  </si>
  <si>
    <t>J6596P</t>
  </si>
  <si>
    <t>J6602P</t>
  </si>
  <si>
    <t>J6603P</t>
  </si>
  <si>
    <t>J6597P</t>
  </si>
  <si>
    <t>J6598P</t>
  </si>
  <si>
    <t>J6604P</t>
  </si>
  <si>
    <t>J6606P</t>
  </si>
  <si>
    <t>J6607P</t>
  </si>
  <si>
    <t>J6608P</t>
  </si>
  <si>
    <t>J6599P</t>
  </si>
  <si>
    <t>J6610P</t>
  </si>
  <si>
    <t>J6611P</t>
  </si>
  <si>
    <t>J6612P</t>
  </si>
  <si>
    <t>J6609P</t>
  </si>
  <si>
    <t>J660TN</t>
  </si>
  <si>
    <t>J6613P</t>
  </si>
  <si>
    <t>J6614P</t>
  </si>
  <si>
    <t>J6616P</t>
  </si>
  <si>
    <t>J6617P</t>
  </si>
  <si>
    <t>J6618P</t>
  </si>
  <si>
    <t>J6619P</t>
  </si>
  <si>
    <t>J660WG</t>
  </si>
  <si>
    <t>J661TN</t>
  </si>
  <si>
    <t>J661WG</t>
  </si>
  <si>
    <t>J6620P</t>
  </si>
  <si>
    <t>J6621P</t>
  </si>
  <si>
    <t>J6622P</t>
  </si>
  <si>
    <t>J6623P</t>
  </si>
  <si>
    <t>J6624P</t>
  </si>
  <si>
    <t>J6625P</t>
  </si>
  <si>
    <t>J6626P</t>
  </si>
  <si>
    <t>J6627P</t>
  </si>
  <si>
    <t>J6628P</t>
  </si>
  <si>
    <t>J6629P</t>
  </si>
  <si>
    <t>J6638P</t>
  </si>
  <si>
    <t>J662TN</t>
  </si>
  <si>
    <t>J662WG</t>
  </si>
  <si>
    <t>J6630P</t>
  </si>
  <si>
    <t>J6631P</t>
  </si>
  <si>
    <t>J6632P</t>
  </si>
  <si>
    <t>J6633P</t>
  </si>
  <si>
    <t>J6634P</t>
  </si>
  <si>
    <t>J6635P</t>
  </si>
  <si>
    <t>J6639P</t>
  </si>
  <si>
    <t>J663TN</t>
  </si>
  <si>
    <t>J6636P</t>
  </si>
  <si>
    <t>J6637P</t>
  </si>
  <si>
    <t>J663WG</t>
  </si>
  <si>
    <t>J6640P</t>
  </si>
  <si>
    <t>J6642P</t>
  </si>
  <si>
    <t>J6643P</t>
  </si>
  <si>
    <t>J6641P</t>
  </si>
  <si>
    <t>J6644P</t>
  </si>
  <si>
    <t>J6647P</t>
  </si>
  <si>
    <t>J664WG</t>
  </si>
  <si>
    <t>J6650P</t>
  </si>
  <si>
    <t>J6651P</t>
  </si>
  <si>
    <t>J6652P</t>
  </si>
  <si>
    <t>J6653P</t>
  </si>
  <si>
    <t>J6654P</t>
  </si>
  <si>
    <t>J6655P</t>
  </si>
  <si>
    <t>J6656P</t>
  </si>
  <si>
    <t>J6657P</t>
  </si>
  <si>
    <t>J6658P</t>
  </si>
  <si>
    <t>J6659P</t>
  </si>
  <si>
    <t>J6669P</t>
  </si>
  <si>
    <t>J665WG</t>
  </si>
  <si>
    <t>J6660P</t>
  </si>
  <si>
    <t>J6661P</t>
  </si>
  <si>
    <t>J6662P</t>
  </si>
  <si>
    <t>J6663P</t>
  </si>
  <si>
    <t>J6664P</t>
  </si>
  <si>
    <t>J6665P</t>
  </si>
  <si>
    <t>J6666P</t>
  </si>
  <si>
    <t>J6667P</t>
  </si>
  <si>
    <t>J6670P</t>
  </si>
  <si>
    <t>J6668P</t>
  </si>
  <si>
    <t>J6674P</t>
  </si>
  <si>
    <t>J6675P</t>
  </si>
  <si>
    <t>J6676P</t>
  </si>
  <si>
    <t>J6677P</t>
  </si>
  <si>
    <t>J6678P</t>
  </si>
  <si>
    <t>J6671P</t>
  </si>
  <si>
    <t>J6682P</t>
  </si>
  <si>
    <t>J6683P</t>
  </si>
  <si>
    <t>J6685P</t>
  </si>
  <si>
    <t>J6686P</t>
  </si>
  <si>
    <t>J6687P</t>
  </si>
  <si>
    <t>J6692P</t>
  </si>
  <si>
    <t>J6695P</t>
  </si>
  <si>
    <t>J6710P</t>
  </si>
  <si>
    <t>J6711P</t>
  </si>
  <si>
    <t>J6701P</t>
  </si>
  <si>
    <t>J6702P</t>
  </si>
  <si>
    <t>J6703P</t>
  </si>
  <si>
    <t>J6704P</t>
  </si>
  <si>
    <t>J6706P</t>
  </si>
  <si>
    <t>J6707P</t>
  </si>
  <si>
    <t>J6717P</t>
  </si>
  <si>
    <t>J6718P</t>
  </si>
  <si>
    <t>J6708P</t>
  </si>
  <si>
    <t>J6720P</t>
  </si>
  <si>
    <t>J6719P</t>
  </si>
  <si>
    <t>J684TN</t>
  </si>
  <si>
    <t>J683TN</t>
  </si>
  <si>
    <t>J685TN</t>
  </si>
  <si>
    <t>J686TN</t>
  </si>
  <si>
    <t>J688TN</t>
  </si>
  <si>
    <t>J687TN</t>
  </si>
  <si>
    <t>J692TN</t>
  </si>
  <si>
    <t>J693TN</t>
  </si>
  <si>
    <t>J694TN</t>
  </si>
  <si>
    <t>J691TN</t>
  </si>
  <si>
    <t>J695TN</t>
  </si>
  <si>
    <t>J696TN</t>
  </si>
  <si>
    <t>J719LY</t>
  </si>
  <si>
    <t>J716LY</t>
  </si>
  <si>
    <t>J720LY</t>
  </si>
  <si>
    <t>J721LY</t>
  </si>
  <si>
    <t>J722LY</t>
  </si>
  <si>
    <t>J723LY</t>
  </si>
  <si>
    <t>J726LY</t>
  </si>
  <si>
    <t>J725LY</t>
  </si>
  <si>
    <t>J727LY</t>
  </si>
  <si>
    <t>J732LY</t>
  </si>
  <si>
    <t>J733LY</t>
  </si>
  <si>
    <t>J729LY</t>
  </si>
  <si>
    <t>J737LY</t>
  </si>
  <si>
    <t>J736LY</t>
  </si>
  <si>
    <t>J741LY</t>
  </si>
  <si>
    <t>J740LY</t>
  </si>
  <si>
    <t>J743LY</t>
  </si>
  <si>
    <t>J744LY</t>
  </si>
  <si>
    <t>J7461N</t>
  </si>
  <si>
    <t>J7462N</t>
  </si>
  <si>
    <t>J7463N</t>
  </si>
  <si>
    <t>J7459N</t>
  </si>
  <si>
    <t>J745LY</t>
  </si>
  <si>
    <t>J7470N</t>
  </si>
  <si>
    <t>J7471N</t>
  </si>
  <si>
    <t>J7467N</t>
  </si>
  <si>
    <t>J7472N</t>
  </si>
  <si>
    <t>J7473N</t>
  </si>
  <si>
    <t>J7474N</t>
  </si>
  <si>
    <t>J7475N</t>
  </si>
  <si>
    <t>J7469N</t>
  </si>
  <si>
    <t>J7476N</t>
  </si>
  <si>
    <t>J7477N</t>
  </si>
  <si>
    <t>J7478N</t>
  </si>
  <si>
    <t>J7480N</t>
  </si>
  <si>
    <t>J7481N</t>
  </si>
  <si>
    <t>J7482N</t>
  </si>
  <si>
    <t>J7483N</t>
  </si>
  <si>
    <t>J7484N</t>
  </si>
  <si>
    <t>J7485N</t>
  </si>
  <si>
    <t>J7486N</t>
  </si>
  <si>
    <t>J7487N</t>
  </si>
  <si>
    <t>J7488N</t>
  </si>
  <si>
    <t>J7489N</t>
  </si>
  <si>
    <t>J7479N</t>
  </si>
  <si>
    <t>J7490N</t>
  </si>
  <si>
    <t>J7491N</t>
  </si>
  <si>
    <t>J7492N</t>
  </si>
  <si>
    <t>J7496N</t>
  </si>
  <si>
    <t>J7499N</t>
  </si>
  <si>
    <t>J7500N</t>
  </si>
  <si>
    <t>J7502N</t>
  </si>
  <si>
    <t>J7503N</t>
  </si>
  <si>
    <t>J7504N</t>
  </si>
  <si>
    <t>J7505N</t>
  </si>
  <si>
    <t>J7506N</t>
  </si>
  <si>
    <t>J7507N</t>
  </si>
  <si>
    <t>J7508N</t>
  </si>
  <si>
    <t>J7512N</t>
  </si>
  <si>
    <t>J7513N</t>
  </si>
  <si>
    <t>J7514N</t>
  </si>
  <si>
    <t>J7515N</t>
  </si>
  <si>
    <t>J7516N</t>
  </si>
  <si>
    <t>J7517N</t>
  </si>
  <si>
    <t>J7518N</t>
  </si>
  <si>
    <t>J7509N</t>
  </si>
  <si>
    <t>J7520N</t>
  </si>
  <si>
    <t>J7521N</t>
  </si>
  <si>
    <t>J7522N</t>
  </si>
  <si>
    <t>J7523N</t>
  </si>
  <si>
    <t>J7524N</t>
  </si>
  <si>
    <t>J7525N</t>
  </si>
  <si>
    <t>J7526N</t>
  </si>
  <si>
    <t>J7527N</t>
  </si>
  <si>
    <t>J7528N</t>
  </si>
  <si>
    <t>J7519N</t>
  </si>
  <si>
    <t>J7530N</t>
  </si>
  <si>
    <t>J7531N</t>
  </si>
  <si>
    <t>J7532N</t>
  </si>
  <si>
    <t>J7533N</t>
  </si>
  <si>
    <t>J7537N</t>
  </si>
  <si>
    <t>J7529N</t>
  </si>
  <si>
    <t>J7541N</t>
  </si>
  <si>
    <t>J7542N</t>
  </si>
  <si>
    <t>J7543N</t>
  </si>
  <si>
    <t>J7544N</t>
  </si>
  <si>
    <t>J7548N</t>
  </si>
  <si>
    <t>J7545N</t>
  </si>
  <si>
    <t>J7549N</t>
  </si>
  <si>
    <t>J7550N</t>
  </si>
  <si>
    <t>J7551N</t>
  </si>
  <si>
    <t>J763WL</t>
  </si>
  <si>
    <t>J764WL</t>
  </si>
  <si>
    <t>J765WL</t>
  </si>
  <si>
    <t>J767LY</t>
  </si>
  <si>
    <t>J767WL</t>
  </si>
  <si>
    <t>J766WL</t>
  </si>
  <si>
    <t>J769WL</t>
  </si>
  <si>
    <t>J778LY</t>
  </si>
  <si>
    <t>J779LY</t>
  </si>
  <si>
    <t>J780LY</t>
  </si>
  <si>
    <t>J781LY</t>
  </si>
  <si>
    <t>J783LY</t>
  </si>
  <si>
    <t>J782LY</t>
  </si>
  <si>
    <t>J785LY</t>
  </si>
  <si>
    <t>J784LY</t>
  </si>
  <si>
    <t>J786LY</t>
  </si>
  <si>
    <t>J787LY</t>
  </si>
  <si>
    <t>J789LY</t>
  </si>
  <si>
    <t>J788LY</t>
  </si>
  <si>
    <t>J791LY</t>
  </si>
  <si>
    <t>J790LY</t>
  </si>
  <si>
    <t>J793LY</t>
  </si>
  <si>
    <t>J792LY</t>
  </si>
  <si>
    <t>J795LY</t>
  </si>
  <si>
    <t>J794LY</t>
  </si>
  <si>
    <t>J797LY</t>
  </si>
  <si>
    <t>J796LY</t>
  </si>
  <si>
    <t>J799LY</t>
  </si>
  <si>
    <t>J798LY</t>
  </si>
  <si>
    <t>J800LY</t>
  </si>
  <si>
    <t>J801LY</t>
  </si>
  <si>
    <t>J803LY</t>
  </si>
  <si>
    <t>J802LY</t>
  </si>
  <si>
    <t>J805LY</t>
  </si>
  <si>
    <t>J804LY</t>
  </si>
  <si>
    <t>J806LY</t>
  </si>
  <si>
    <t>J807LY</t>
  </si>
  <si>
    <t>J808LY</t>
  </si>
  <si>
    <t>J809LY</t>
  </si>
  <si>
    <t>J810LY</t>
  </si>
  <si>
    <t>J811LY</t>
  </si>
  <si>
    <t>J812LY</t>
  </si>
  <si>
    <t>J813LY</t>
  </si>
  <si>
    <t>J815LY</t>
  </si>
  <si>
    <t>J814LY</t>
  </si>
  <si>
    <t>J816LY</t>
  </si>
  <si>
    <t>J817LY</t>
  </si>
  <si>
    <t>J819LY</t>
  </si>
  <si>
    <t>J818LY</t>
  </si>
  <si>
    <t>J820LY</t>
  </si>
  <si>
    <t>J821LY</t>
  </si>
  <si>
    <t>J823LY</t>
  </si>
  <si>
    <t>J822LY</t>
  </si>
  <si>
    <t>J825LY</t>
  </si>
  <si>
    <t>J824LY</t>
  </si>
  <si>
    <t>J827LY</t>
  </si>
  <si>
    <t>J826LY</t>
  </si>
  <si>
    <t>J828LY</t>
  </si>
  <si>
    <t>J830LY</t>
  </si>
  <si>
    <t>J831LY</t>
  </si>
  <si>
    <t>J829LY</t>
  </si>
  <si>
    <t>J832LY</t>
  </si>
  <si>
    <t>J833LY</t>
  </si>
  <si>
    <t>J835LY</t>
  </si>
  <si>
    <t>J834LY</t>
  </si>
  <si>
    <t>J837LY</t>
  </si>
  <si>
    <t>J836LY</t>
  </si>
  <si>
    <t>J838LY</t>
  </si>
  <si>
    <t>J839LY</t>
  </si>
  <si>
    <t>J841LY</t>
  </si>
  <si>
    <t>J840LY</t>
  </si>
  <si>
    <t>J840WK</t>
  </si>
  <si>
    <t>J842LY</t>
  </si>
  <si>
    <t>J842WK</t>
  </si>
  <si>
    <t>J841WK</t>
  </si>
  <si>
    <t>J843LY</t>
  </si>
  <si>
    <t>J843WK</t>
  </si>
  <si>
    <t>J844WK</t>
  </si>
  <si>
    <t>J844LY</t>
  </si>
  <si>
    <t>J845LY</t>
  </si>
  <si>
    <t>J845WK</t>
  </si>
  <si>
    <t>J847LY</t>
  </si>
  <si>
    <t>J846LY</t>
  </si>
  <si>
    <t>J846WK</t>
  </si>
  <si>
    <t>J848LY</t>
  </si>
  <si>
    <t>J848WK</t>
  </si>
  <si>
    <t>J847WK</t>
  </si>
  <si>
    <t>J849LY</t>
  </si>
  <si>
    <t>J850LY</t>
  </si>
  <si>
    <t>J850WK</t>
  </si>
  <si>
    <t>J849WK</t>
  </si>
  <si>
    <t>J851LY</t>
  </si>
  <si>
    <t>J852LY</t>
  </si>
  <si>
    <t>J852WK</t>
  </si>
  <si>
    <t>J853LY</t>
  </si>
  <si>
    <t>J853WK</t>
  </si>
  <si>
    <t>J855LY</t>
  </si>
  <si>
    <t>J854LY</t>
  </si>
  <si>
    <t>J854WK</t>
  </si>
  <si>
    <t>J855WK</t>
  </si>
  <si>
    <t>J856WK</t>
  </si>
  <si>
    <t>J856LY</t>
  </si>
  <si>
    <t>J857LY</t>
  </si>
  <si>
    <t>J857WK</t>
  </si>
  <si>
    <t>J858WK</t>
  </si>
  <si>
    <t>J858LY</t>
  </si>
  <si>
    <t>J859LY</t>
  </si>
  <si>
    <t>J860LY</t>
  </si>
  <si>
    <t>J860WK</t>
  </si>
  <si>
    <t>J861LY</t>
  </si>
  <si>
    <t>J861WK</t>
  </si>
  <si>
    <t>J859WK</t>
  </si>
  <si>
    <t>J862LY</t>
  </si>
  <si>
    <t>J862WK</t>
  </si>
  <si>
    <t>J863LY</t>
  </si>
  <si>
    <t>J864LY</t>
  </si>
  <si>
    <t>J864WK</t>
  </si>
  <si>
    <t>J865LY</t>
  </si>
  <si>
    <t>J863WK</t>
  </si>
  <si>
    <t>J866LY</t>
  </si>
  <si>
    <t>J867LY</t>
  </si>
  <si>
    <t>J868LY</t>
  </si>
  <si>
    <t>J869LY</t>
  </si>
  <si>
    <t>J870LY</t>
  </si>
  <si>
    <t>J871LY</t>
  </si>
  <si>
    <t>J871WK</t>
  </si>
  <si>
    <t>J872LY</t>
  </si>
  <si>
    <t>J872WK</t>
  </si>
  <si>
    <t>J873WK</t>
  </si>
  <si>
    <t>J873LY</t>
  </si>
  <si>
    <t>J874LY</t>
  </si>
  <si>
    <t>J875LY</t>
  </si>
  <si>
    <t>J875WK</t>
  </si>
  <si>
    <t>J874WK</t>
  </si>
  <si>
    <t>J876LY</t>
  </si>
  <si>
    <t>J876WK</t>
  </si>
  <si>
    <t>J877LY</t>
  </si>
  <si>
    <t>J878LY</t>
  </si>
  <si>
    <t>J878WK</t>
  </si>
  <si>
    <t>J877WK</t>
  </si>
  <si>
    <t>J879LY</t>
  </si>
  <si>
    <t>J880LY</t>
  </si>
  <si>
    <t>J880WK</t>
  </si>
  <si>
    <t>J879WK</t>
  </si>
  <si>
    <t>J881LY</t>
  </si>
  <si>
    <t>J882LY</t>
  </si>
  <si>
    <t>J882WK</t>
  </si>
  <si>
    <t>J881WK</t>
  </si>
  <si>
    <t>J883LY</t>
  </si>
  <si>
    <t>J884LY</t>
  </si>
  <si>
    <t>J884WK</t>
  </si>
  <si>
    <t>J883WK</t>
  </si>
  <si>
    <t>J885LY</t>
  </si>
  <si>
    <t>J885WK</t>
  </si>
  <si>
    <t>J886LY</t>
  </si>
  <si>
    <t>J887LY</t>
  </si>
  <si>
    <t>J887WK</t>
  </si>
  <si>
    <t>J886WK</t>
  </si>
  <si>
    <t>J889LY</t>
  </si>
  <si>
    <t>J888LY</t>
  </si>
  <si>
    <t>J890LY</t>
  </si>
  <si>
    <t>J892LY</t>
  </si>
  <si>
    <t>J893LY</t>
  </si>
  <si>
    <t>J891LY</t>
  </si>
  <si>
    <t>J894LY</t>
  </si>
  <si>
    <t>J895LY</t>
  </si>
  <si>
    <t>J896LY</t>
  </si>
  <si>
    <t>J897LY</t>
  </si>
  <si>
    <t>J898LY</t>
  </si>
  <si>
    <t>J899LY</t>
  </si>
  <si>
    <t>J900LY</t>
  </si>
  <si>
    <t>J901LY</t>
  </si>
  <si>
    <t>J900WM</t>
  </si>
  <si>
    <t>J902LY</t>
  </si>
  <si>
    <t>J903LY</t>
  </si>
  <si>
    <t>J903WM</t>
  </si>
  <si>
    <t>J904WM</t>
  </si>
  <si>
    <t>J904LY</t>
  </si>
  <si>
    <t>J905LY</t>
  </si>
  <si>
    <t>J906LY</t>
  </si>
  <si>
    <t>J906WM</t>
  </si>
  <si>
    <t>J905WM</t>
  </si>
  <si>
    <t>J907LY</t>
  </si>
  <si>
    <t>J907WM</t>
  </si>
  <si>
    <t>J908LY</t>
  </si>
  <si>
    <t>J908WM</t>
  </si>
  <si>
    <t>J909WM</t>
  </si>
  <si>
    <t>J909LY</t>
  </si>
  <si>
    <t>J910LY</t>
  </si>
  <si>
    <t>J910WE</t>
  </si>
  <si>
    <t>J910WM</t>
  </si>
  <si>
    <t>J911LY</t>
  </si>
  <si>
    <t>J911WE</t>
  </si>
  <si>
    <t>J911WM</t>
  </si>
  <si>
    <t>J912WE</t>
  </si>
  <si>
    <t>J912WM</t>
  </si>
  <si>
    <t>J913WE</t>
  </si>
  <si>
    <t>J912LY</t>
  </si>
  <si>
    <t>J914LY</t>
  </si>
  <si>
    <t>J913WM</t>
  </si>
  <si>
    <t>J914WE</t>
  </si>
  <si>
    <t>J915WE</t>
  </si>
  <si>
    <t>J914WM</t>
  </si>
  <si>
    <t>J916LY</t>
  </si>
  <si>
    <t>J916WE</t>
  </si>
  <si>
    <t>J916WM</t>
  </si>
  <si>
    <t>J915WM</t>
  </si>
  <si>
    <t>J917LY</t>
  </si>
  <si>
    <t>J917WE</t>
  </si>
  <si>
    <t>J917WM</t>
  </si>
  <si>
    <t>J918LY</t>
  </si>
  <si>
    <t>J918WE</t>
  </si>
  <si>
    <t>J918WM</t>
  </si>
  <si>
    <t>J919WM</t>
  </si>
  <si>
    <t>J920LY</t>
  </si>
  <si>
    <t>J920WM</t>
  </si>
  <si>
    <t>J919LY</t>
  </si>
  <si>
    <t>J922LY</t>
  </si>
  <si>
    <t>J922WM</t>
  </si>
  <si>
    <t>J923LY</t>
  </si>
  <si>
    <t>J921WM</t>
  </si>
  <si>
    <t>J924LY</t>
  </si>
  <si>
    <t>J923WM</t>
  </si>
  <si>
    <t>J925WM</t>
  </si>
  <si>
    <t>J926WM</t>
  </si>
  <si>
    <t>J927WM</t>
  </si>
  <si>
    <t>J924WM</t>
  </si>
  <si>
    <t>J927LY</t>
  </si>
  <si>
    <t>J928LY</t>
  </si>
  <si>
    <t>J930LY</t>
  </si>
  <si>
    <t>J931LY</t>
  </si>
  <si>
    <t>J929LY</t>
  </si>
  <si>
    <t>J932LY</t>
  </si>
  <si>
    <t>J934LY</t>
  </si>
  <si>
    <t>J935LY</t>
  </si>
  <si>
    <t>J933LY</t>
  </si>
  <si>
    <t>J937LY</t>
  </si>
  <si>
    <t>J936LY</t>
  </si>
  <si>
    <t>J938LY</t>
  </si>
  <si>
    <t>J939LY</t>
  </si>
  <si>
    <t>J941LY</t>
  </si>
  <si>
    <t>J940LY</t>
  </si>
  <si>
    <t>J942LY</t>
  </si>
  <si>
    <t>J943LY</t>
  </si>
  <si>
    <t>J945LY</t>
  </si>
  <si>
    <t>J944LY</t>
  </si>
  <si>
    <t>J946LY</t>
  </si>
  <si>
    <t>J947LY</t>
  </si>
  <si>
    <t>J948LY</t>
  </si>
  <si>
    <t>J951LY</t>
  </si>
  <si>
    <t>J950LY</t>
  </si>
  <si>
    <t>J953LY</t>
  </si>
  <si>
    <t>J954LY</t>
  </si>
  <si>
    <t>J955LY</t>
  </si>
  <si>
    <t>J952LY</t>
  </si>
  <si>
    <t>J959LY</t>
  </si>
  <si>
    <t>J958LY</t>
  </si>
  <si>
    <t>J965RR</t>
  </si>
  <si>
    <t>JB7824</t>
  </si>
  <si>
    <t>JB7829</t>
  </si>
  <si>
    <t>JB7830</t>
  </si>
  <si>
    <t>JB7840</t>
  </si>
  <si>
    <t>JB7842</t>
  </si>
  <si>
    <t>JB7854</t>
  </si>
  <si>
    <t>JB7855</t>
  </si>
  <si>
    <t>JB7858</t>
  </si>
  <si>
    <t>JB7859</t>
  </si>
  <si>
    <t>JB7860</t>
  </si>
  <si>
    <t>JB7868</t>
  </si>
  <si>
    <t>JB7871</t>
  </si>
  <si>
    <t>JB7872</t>
  </si>
  <si>
    <t>JB7874</t>
  </si>
  <si>
    <t>JB7875</t>
  </si>
  <si>
    <t>JB7877</t>
  </si>
  <si>
    <t>JB7879</t>
  </si>
  <si>
    <t>JB7880</t>
  </si>
  <si>
    <t>JB7881</t>
  </si>
  <si>
    <t>JB7883</t>
  </si>
  <si>
    <t>JB7892</t>
  </si>
  <si>
    <t>JB7895</t>
  </si>
  <si>
    <t>JW3650</t>
  </si>
  <si>
    <t>JW3651</t>
  </si>
  <si>
    <t>JB7903</t>
  </si>
  <si>
    <t>ｱｰﾃｯｸ/ﾁｮｺﾍﾞｲｸ 2個ｾｯﾄ/24318</t>
  </si>
  <si>
    <t>ｱｰﾃｯｸ/ﾁｮｺﾍﾞｲｸ 5個ｾｯﾄ/24319</t>
  </si>
  <si>
    <t>ｱｰﾃｯｸ/ﾁｮｺﾍﾞｲｸ 10個ｾｯﾄ/24320</t>
  </si>
  <si>
    <t>ｱｰﾃｯｸ/ﾏｼｭﾏﾛｯﾌﾟ 2個ｾｯﾄ/24321</t>
  </si>
  <si>
    <t>ｱｰﾃｯｸ/ﾏｼｭﾏﾛｯﾌﾟ 5個ｾｯﾄ/24322</t>
  </si>
  <si>
    <t>ｱｰﾃｯｸ/ﾏｼｭﾏﾛｯﾌﾟ 10個ｾｯﾄ/24323</t>
  </si>
  <si>
    <t>ｱｰﾃｯｸ/ｽｸｲｰｽﾞｷｯﾄ 肉球 ﾋﾟﾝｸ/58523</t>
  </si>
  <si>
    <t>ｱｰﾃｯｸ/ｽｸｲｰｽﾞｷｯﾄ 肉球 ﾌﾞﾙｰ/58524</t>
  </si>
  <si>
    <t>ｱｰﾃｯｸ/ｽｸｲｰｽﾞｷｯﾄ ﾌﾟｰﾄﾞﾙ/58525</t>
  </si>
  <si>
    <t>ｱｰﾃｯｸ/ｽｸｲｰｽﾞ用着色剤 ﾋﾟﾝｸ/58569</t>
  </si>
  <si>
    <t>ｱｰﾃｯｸ/ｽｸｲｰｽﾞ用着色剤 ﾌﾞﾙｰ/58570</t>
  </si>
  <si>
    <t>ｱｰﾃｯｸ/ｽｸｲｰｽﾞ用着色剤 ﾌﾞﾗｳﾝ/58571</t>
  </si>
  <si>
    <t>ｱｰﾃｯｸ/ｽｸｲｰｽﾞ用着色剤 ﾎﾜｲﾄ/58572</t>
  </si>
  <si>
    <t>ｱｰﾃｯｸ/ｽｸｲｰｽﾞの素 2液ﾀｲﾌﾟ/58596</t>
  </si>
  <si>
    <t>ｱｰﾃｯｸ/非接触検温計&amp;ｵｰﾄﾃﾞｨｽﾍﾟﾝｻｰ/051535</t>
  </si>
  <si>
    <t>ｱｰﾃｯｸ/ｿﾌﾄｻﾃﾝはちまき 赤 10本組/18950</t>
  </si>
  <si>
    <t>ｱｰﾃｯｸ/ｿﾌﾄｻﾃﾝはちまき 青 10本組/18951</t>
  </si>
  <si>
    <t>ｱｰﾃｯｸ/ｿﾌﾄｻﾃﾝはちまき 黄 10本組/18952</t>
  </si>
  <si>
    <t>ｱｰﾃｯｸ/ｿﾌﾄｻﾃﾝはちまき 白 10本組/18953</t>
  </si>
  <si>
    <t>ｱｰﾃｯｸ/防犯･防鳥用とげﾏｯﾄ 黒 2個入/35214</t>
  </si>
  <si>
    <t>ｱｰﾃｯｸ/ﾀﾋﾟｵｶｽﾗｲﾑねんど 白 袋ﾀｲﾌﾟ/72850</t>
  </si>
  <si>
    <t>ｱｰﾃｯｸ/ﾀﾋﾟｵｶｽﾗｲﾑねんど 赤 袋ﾀｲﾌﾟ/72851</t>
  </si>
  <si>
    <t>ｱｰﾃｯｸ/ﾀﾋﾟｵｶｽﾗｲﾑねんど 青 袋ﾀｲﾌﾟ/72852</t>
  </si>
  <si>
    <t>ｱｰﾃｯｸ/ﾀﾋﾟｵｶｽﾗｲﾑねんど 黄 袋ﾀｲﾌﾟ/72853</t>
  </si>
  <si>
    <t>ｱｰﾃｯｸ/ﾀﾋﾟｵｶｽﾗｲﾑねんど 緑 袋ﾀｲﾌﾟ/72854</t>
  </si>
  <si>
    <t>ｱｰﾃｯｸ/ﾀﾋﾟｵｶｽﾗｲﾑねんど ﾋﾟﾝｸ 袋ﾀｲﾌﾟ/72855</t>
  </si>
  <si>
    <t>ｱｰﾃｯｸ/ﾀﾋﾟｵｶｽﾗｲﾑねんど ｵﾚﾝｼﾞ 袋ﾀｲﾌﾟ/72856</t>
  </si>
  <si>
    <t>ｱｰﾃｯｸ/ﾀﾋﾟｵｶｽﾗｲﾑねんど 茶 袋ﾀｲﾌﾟ/72857</t>
  </si>
  <si>
    <t>ｱｰﾃｯｸ/ｷﾗｷﾗかざぐるま/21849</t>
  </si>
  <si>
    <t>ｱｰﾃｯｸ/ﾀﾋﾟｵｶｽﾗｲﾑねんど 4色ｾｯﾄ 個装袋/155418</t>
  </si>
  <si>
    <t>ｱｰﾃｯｸ/ﾀﾋﾟｵｶｽﾗｲﾑねんど 8色ｾｯﾄ 個装袋/155419</t>
  </si>
  <si>
    <t>ｱｰﾃｯｸ/ｸﾘｰﾝねんど ﾊﾟｰﾙﾎﾜｲﾄ ねんどｹｰｽ入/24407</t>
  </si>
  <si>
    <t>ｱｰﾃｯｸ/ｸﾘｰﾝねんど ﾊﾟｰﾙｸﾞﾘｰﾝ ねんどｹｰｽ入/24408</t>
  </si>
  <si>
    <t>ｱｰﾃｯｸ/ATあぶらねんどM ｹｰｽ/24409</t>
  </si>
  <si>
    <t>ｱｰﾃｯｸ/給食帽 ﾋﾟﾝｸ/52800</t>
  </si>
  <si>
    <t>ｱｰﾃｯｸ/給食帽 ﾌﾞﾙｰ/52801</t>
  </si>
  <si>
    <t>ｱｰﾃｯｸ/給食帽 ｲｴﾛｰ/52802</t>
  </si>
  <si>
    <t>ｱｰﾃｯｸ/給食帽 ｸﾞﾘｰﾝ/52803</t>
  </si>
  <si>
    <t>ｱｰﾃｯｸ/木製ﾏｽ目ｽﾀﾝﾌﾟ30ﾐﾘ角/74878</t>
  </si>
  <si>
    <t>協和紙工/お勉強ｼｰﾙ たいへんよくできました/74880</t>
  </si>
  <si>
    <t>ｱｰﾃｯｸ/5mm方眼ﾉｰﾄ(B5) ﾌﾞﾙｰ 算数 32枚/74688</t>
  </si>
  <si>
    <t>ｱｰﾃｯｸ/5mm方眼ﾉｰﾄ(B5) ｸﾞﾘｰﾝ 理科 32枚/74689</t>
  </si>
  <si>
    <t>協和紙工/ﾎﾟｲﾝﾄｼｰﾙ ごほうびﾀﾞｲﾅｿｰ/74882</t>
  </si>
  <si>
    <t>協和紙工/ｽｸｴｱｼｰﾙ ごほうびｱﾄﾞﾍﾞﾝﾁｬｰ/74883</t>
  </si>
  <si>
    <t>ｱｰﾃｯｸ/5mm方眼ﾉｰﾄ(B5) ｲｴﾛｰ 社会 32枚/74690</t>
  </si>
  <si>
    <t>ｱｰﾃｯｸ/5mm方眼ﾉｰﾄ(A4) ﾚｯﾄﾞ 30枚/74691</t>
  </si>
  <si>
    <t>ｱｰﾃｯｸ/ｸﾘｱおどうぐばこ B 青/74897</t>
  </si>
  <si>
    <t>ｱｰﾃｯｸ/ｼﾝﾌﾟﾙｸﾘｱおどうぐばこ ﾌﾞﾙｰ/74898</t>
  </si>
  <si>
    <t>ｱｰﾃｯｸ/5mm方眼ﾉｰﾄ(A4) ﾌﾞﾙｰ 30枚/74692</t>
  </si>
  <si>
    <t>ｱｰﾃｯｸ/5mm方眼ﾉｰﾄ(A4) ｸﾞﾘｰﾝ 30枚/74693</t>
  </si>
  <si>
    <t>ｱｰﾃｯｸ/5mm方眼ﾉｰﾄ(A4) ｲｴﾛｰ 30枚/74694</t>
  </si>
  <si>
    <t>ｱｰﾃｯｸ/連絡帳 縦書き 10行(B5) 30枚/74695</t>
  </si>
  <si>
    <t>ｱｰﾃｯｸ/おけいこﾊﾞｯｸ A/74899</t>
  </si>
  <si>
    <t>ｱｰﾃｯｸ/おけいこﾊﾞｯｸ B/74900</t>
  </si>
  <si>
    <t>ｱｰﾃｯｸ/自由帳 無地(B5) 30枚/74696</t>
  </si>
  <si>
    <t>ｱｰﾃｯｸ/こくご 8ﾏｽ (B5) 30枚/74697</t>
  </si>
  <si>
    <t>ｱｰﾃｯｸ/ねんどｹｰｽB (ﾍﾗ付)/74908</t>
  </si>
  <si>
    <t>ｱｰﾃｯｸ/三角鉛筆2B (12本組) ｽｶｲﾌﾞﾙｰ/74909</t>
  </si>
  <si>
    <t>ｱｰﾃｯｸ/こくご 10ﾏｽ (B5) 30枚/74698</t>
  </si>
  <si>
    <t>ｱｰﾃｯｸ/かんじれんしゅう 50字 (B5) 30枚/74701</t>
  </si>
  <si>
    <t>ｱｰﾃｯｸ/三角鉛筆2B (12本組) ｸﾘｰﾑｲｴﾛｰ/74910</t>
  </si>
  <si>
    <t>ｱｰﾃｯｸ/三角鉛筆2B (12本組) ﾅﾁｭﾗﾙｳｯﾄﾞ/74911</t>
  </si>
  <si>
    <t>ｱｰﾃｯｸ/かんじれんしゅう 84字 (B5) 30枚/74702</t>
  </si>
  <si>
    <t>ｱｰﾃｯｸ/5mm方眼ﾉｰﾄ(B5) ﾊﾟｰﾌﾟﾙ 32枚/74748</t>
  </si>
  <si>
    <t>ｱｰﾃｯｸ/5mm方眼ﾉｰﾄ(A4) ﾊﾟｰﾌﾟﾙ 30枚/74778</t>
  </si>
  <si>
    <t>ｱｰﾃｯｸ/ｺﾞｰﾙﾄﾞｽｸﾗｯﾁﾎﾞｰﾄﾞ 200×150mm/12280</t>
  </si>
  <si>
    <t>ｱｰﾃｯｸ/ｽｸﾗｯﾁﾎﾞｰﾄﾞ枠無 紙製 150×200mm/12345</t>
  </si>
  <si>
    <t>ｱｰﾃｯｸ/3Dﾗｲﾄｽｸﾗｯﾁ/12367</t>
  </si>
  <si>
    <t>ｱｰﾃｯｸ/5mm方眼ﾉｰﾄ(B5) ﾚｯﾄﾞ 32枚/74683</t>
  </si>
  <si>
    <t>ｱｰﾃｯｸ/朱肉ｽｸﾗｯﾁ 沈金調/12733</t>
  </si>
  <si>
    <t>ｱｰﾃｯｸ/ｽｸﾗｯﾁｽﾏﾎｽﾀﾝﾄﾞ 沈金調/12867</t>
  </si>
  <si>
    <t>ｱｰﾃｯｸ/5mm方眼ﾉｰﾄ(B5) ﾌﾞﾙｰ 32枚/74684</t>
  </si>
  <si>
    <t>ｱｰﾃｯｸ/5mm方眼ﾉｰﾄ(B5) ｸﾞﾘｰﾝ 32枚/74685</t>
  </si>
  <si>
    <t>ｱｰﾃｯｸ/5mm方眼ﾉｰﾄ(B5) ｲｴﾛｰ 32枚/74686</t>
  </si>
  <si>
    <t>ｱｰﾃｯｸ/5mm方眼ﾉｰﾄ(B5) ﾚｯﾄﾞ 国語 32枚/74687</t>
  </si>
  <si>
    <t>ｱｰﾃｯｸ/ﾎﾛｸﾞﾗﾑｽｸﾗｯﾁﾎﾞｰﾄﾞ A4/12891</t>
  </si>
  <si>
    <t>ｱｰﾃｯｸ/ﾎﾛｸﾞﾗﾑｽｸﾗｯﾁﾎﾞｰﾄﾞ A4 II/12892</t>
  </si>
  <si>
    <t>ｱｰﾃｯｸ/ﾌﾟﾛｺﾝｶｰ/91730</t>
  </si>
  <si>
    <t>ｱｰﾃｯｸ/iPadOS対応ﾌﾟﾛｺﾝｶｰ/93289</t>
  </si>
  <si>
    <t>ｱｰﾃｯｸ/衣装ﾍﾞｰｽ S ﾜﾝﾋﾟｰｽ ﾃﾞｲｼﾞｰ/4667</t>
  </si>
  <si>
    <t>ｱｰﾃｯｸ/ﾌｪﾙﾄ付け襟 ﾋﾟﾝｸ/14974</t>
  </si>
  <si>
    <t>ｱｰﾃｯｸ/ｿﾌﾄｻﾃﾝｼｬﾂ Jｻｲｽﾞ 白/14718</t>
  </si>
  <si>
    <t>ｱｰﾃｯｸ/ﾌｪﾙﾄ付け襟 ｲｴﾛｰ/14975</t>
  </si>
  <si>
    <t>ｱｰﾃｯｸ/ﾌｪﾙﾄ付け襟 ﾌﾞﾙｰ/14976</t>
  </si>
  <si>
    <t>ｱｰﾃｯｸ/ﾗﾍﾞｺ用 替ﾃｰﾌﾟ芯 12mm×40mm 150枚/74167</t>
  </si>
  <si>
    <t>ｱｰﾃｯｸ/ﾗﾍﾞﾙﾗｲﾀｰ ﾗﾍﾞｺ/74118</t>
  </si>
  <si>
    <t>ｱｰﾃｯｸ/ﾌｪﾙﾄ付け襟 ｸﾞﾘｰﾝ/14977</t>
  </si>
  <si>
    <t>ｱｰﾃｯｸ/ﾗﾍﾞｺ用 替ﾃｰﾌﾟ芯 14mm×30mm 200枚/74168</t>
  </si>
  <si>
    <t>ｱｰﾃｯｸ/ﾗﾍﾞｺ用 替ﾃｰﾌﾟ芯 15mm×30mm 200枚/74169</t>
  </si>
  <si>
    <t>ｱｰﾃｯｸ/ｿﾌﾄｻﾃﾝﾍﾞｽﾄ Cｻｲｽﾞ 桃/14995</t>
  </si>
  <si>
    <t>ｱｰﾃｯｸ/ｿﾌﾄｻﾃﾝﾍﾞｽﾄ Cｻｲｽﾞ 茶/14996</t>
  </si>
  <si>
    <t>ｱｰﾃｯｸ/ｿﾌﾄｻﾃﾝﾍﾞｽﾄ Cｻｲｽﾞ ｵﾚﾝｼﾞ/14997</t>
  </si>
  <si>
    <t>ｱｰﾃｯｸ/ｿﾌﾄｻﾃﾝﾍﾞｽﾄ Cｻｲｽﾞ 水色/14998</t>
  </si>
  <si>
    <t>ｱｰﾃｯｸ/ｿﾌﾄｻﾃﾝﾍﾞｽﾄ Jｻｲｽﾞ 桃/14999</t>
  </si>
  <si>
    <t>ｱｰﾃｯｸ/ねんどでつくるｱｸｱﾗﾝﾀﾝ ふぐ/21637</t>
  </si>
  <si>
    <t>ｱｰﾃｯｸ/ｿﾌﾄｻﾃﾝﾍﾞｽﾄ Jｻｲｽﾞ 茶/15000</t>
  </si>
  <si>
    <t>ｱｰﾃｯｸ/富士山定規/74627</t>
  </si>
  <si>
    <t>ｱｰﾃｯｸ/ｿﾌﾄｻﾃﾝﾍﾞｽﾄ Jｻｲｽﾞ ｵﾚﾝｼﾞ/15001</t>
  </si>
  <si>
    <t>ｱｰﾃｯｸ/ｿﾌﾄｻﾃﾝﾍﾞｽﾄ Jｻｲｽﾞ 水色/15002</t>
  </si>
  <si>
    <t>ｱｰﾃｯｸ/ばけたび富士山 ｱｸﾘﾙｷｰﾎﾙﾀﾞｰ 丸形/92937</t>
  </si>
  <si>
    <t>ｱｰﾃｯｸ/ｿﾌﾄｻﾃﾝｽﾞﾎﾞﾝ Cｻｲｽﾞ 桃/15003</t>
  </si>
  <si>
    <t>ｱｰﾃｯｸ/ｿﾌﾄｻﾃﾝｽﾞﾎﾞﾝ Cｻｲｽﾞ 茶/15004</t>
  </si>
  <si>
    <t>ｱｰﾃｯｸ/ばけたびｳﾅｷﾞｱｸﾘﾙｷｰﾎﾙﾀﾞ- 丸形/92938</t>
  </si>
  <si>
    <t>ｱｰﾃｯｸ/ｿﾌﾄｻﾃﾝｽﾞﾎﾞﾝ Cｻｲｽﾞ ｵﾚﾝｼﾞ/15005</t>
  </si>
  <si>
    <t>ｱｰﾃｯｸ/ばけたび富士山 ｱｸﾘﾙｷｰﾎﾙﾀﾞｰ 四角/92940</t>
  </si>
  <si>
    <t>ｱｰﾃｯｸ/ばけたびお茶 ｱｸﾘﾙｷｰﾎﾙﾀﾞｰ 丸形/92939</t>
  </si>
  <si>
    <t>ｱｰﾃｯｸ/ｿﾌﾄｻﾃﾝｽﾞﾎﾞﾝ Cｻｲｽﾞ 水色/15006</t>
  </si>
  <si>
    <t>ｱｰﾃｯｸ/ばけたびｳﾅｷﾞｱｸﾘﾙｷｰﾎﾙﾀﾞ- 四角/92941</t>
  </si>
  <si>
    <t>ｱｰﾃｯｸ/ばけたびお茶 ｱｸﾘﾙｷｰﾎﾙﾀﾞｰ 四角/92942</t>
  </si>
  <si>
    <t>ｱｰﾃｯｸ/ｿﾌﾄｻﾃﾝｽﾞﾎﾞﾝ Jｻｲｽﾞ 茶/15008</t>
  </si>
  <si>
    <t>ｱｰﾃｯｸ/ｿﾌﾄｻﾃﾝｽﾞﾎﾞﾝ Jｻｲｽﾞ 水色/15010</t>
  </si>
  <si>
    <t>ｱｰﾃｯｸ/ｿﾌﾄｻﾃﾝｽﾞﾎﾞﾝ Jｻｲｽﾞ ｵﾚﾝｼﾞ/15009</t>
  </si>
  <si>
    <t>ｱｰﾃｯｸ/沖縄ｱｸﾘﾙｷｰﾎﾙﾀﾞｰ はいさい/118774</t>
  </si>
  <si>
    <t>ｱｰﾃｯｸ/沖縄ｱｸﾘﾙｷｰﾎﾙﾀﾞｰ はいたい/118775</t>
  </si>
  <si>
    <t>ｱｰﾃｯｸ/沖縄ｱｸﾘﾙｷｰﾎﾙﾀﾞｰ 琉球/118776</t>
  </si>
  <si>
    <t>ｱｰﾃｯｸ/鈴付 らくらくﾁｱﾎﾟﾝﾎﾟﾝ ｺﾞｰﾙﾄﾞｼﾙﾊﾞｰ 2個/15025</t>
  </si>
  <si>
    <t>ｱｰﾃｯｸ/ｿﾌﾄｻﾃﾝﾏﾝﾄ･ｽｶｰﾄ ｽﾄﾚｰﾄ 茶/15034</t>
  </si>
  <si>
    <t>ｱｰﾃｯｸ/ｿﾌﾄｻﾃﾝﾏﾝﾄ･ｽｶｰﾄ ｽﾄﾚｰﾄ 橙/15035</t>
  </si>
  <si>
    <t>ｱｰﾃｯｸ/ｿﾌﾄｻﾃﾝﾜﾝﾋﾟｰｽ Cｻｲｽﾞ 水色/15036</t>
  </si>
  <si>
    <t>ｱｰﾃｯｸ/ｿﾌﾄｻﾃﾝﾜﾝﾋﾟｰｽ Cｻｲｽﾞ 茶/15037</t>
  </si>
  <si>
    <t>ｱｰﾃｯｸ/ｿﾌﾄｻﾃﾝﾜﾝﾋﾟｰｽ Cｻｲｽﾞ 橙/15038</t>
  </si>
  <si>
    <t>ｱｰﾃｯｸ/ｿﾌﾄｻﾃﾝﾜﾝﾋﾟｰｽ Jｻｲｽﾞ 水色/15039</t>
  </si>
  <si>
    <t>ｱｰﾃｯｸ/ｿﾌﾄｻﾃﾝﾜﾝﾋﾟｰｽ Jｻｲｽﾞ 茶/15040</t>
  </si>
  <si>
    <t>ｱｰﾃｯｸ/ｿﾌﾄｻﾃﾝﾜﾝﾋﾟｰｽ Jｻｲｽﾞ 橙/15041</t>
  </si>
  <si>
    <t>ｱｰﾃｯｸ/ｿﾌﾄｻﾃﾝｼｬﾂ Cｻｲｽﾞ 緑/15043</t>
  </si>
  <si>
    <t>ｱｰﾃｯｸ/ｿﾌﾄｻﾃﾝｼｬﾂ Cｻｲｽﾞ 黄/15042</t>
  </si>
  <si>
    <t>ｱｰﾃｯｸ/ｿﾌﾄｻﾃﾝｼｬﾂ Cｻｲｽﾞ 茶/15044</t>
  </si>
  <si>
    <t>ｱｰﾃｯｸ/ｿﾌﾄｻﾃﾝｼｬﾂ Cｻｲｽﾞ 水色/15045</t>
  </si>
  <si>
    <t>ｱｰﾃｯｸ/ｿﾌﾄｻﾃﾝﾋﾞｽﾁｪ ﾋﾟﾝｸ/15047</t>
  </si>
  <si>
    <t>ｱｰﾃｯｸ/ｿﾌﾄｻﾃﾝｼｬﾂ Cｻｲｽﾞ 橙/15046</t>
  </si>
  <si>
    <t>ｱｰﾃｯｸ/ｿﾌﾄｻﾃﾝﾋﾞｽﾁｪ ﾌﾞﾙｰ/15048</t>
  </si>
  <si>
    <t>ｱｰﾃｯｸ/ｿﾌﾄｻﾃﾝﾋﾞｽﾁｪ ｲｴﾛｰ/15049</t>
  </si>
  <si>
    <t>ｱｰﾃｯｸ/ｿﾌﾄｻﾃﾝ かぼちゃﾊﾟﾝﾂ Cｻｲｽﾞ 赤/15050</t>
  </si>
  <si>
    <t>ｱｰﾃｯｸ/ｸﾘｽﾏｽﾂﾘｰ 120cm ｵｰﾅﾒﾝﾄ付き/11790</t>
  </si>
  <si>
    <t>ｱｰﾃｯｸ/ｿﾌﾄｻﾃﾝ かぼちゃﾊﾟﾝﾂ Cｻｲｽﾞ 黄/15052</t>
  </si>
  <si>
    <t>ｱｰﾃｯｸ/ｿﾌﾄｻﾃﾝ かぼちゃﾊﾟﾝﾂ Cｻｲｽﾞ 青/15051</t>
  </si>
  <si>
    <t>ｱｰﾃｯｸ/ｿﾌﾄｻﾃﾝ かぼちゃﾊﾟﾝﾂ Cｻｲｽﾞ 白/15053</t>
  </si>
  <si>
    <t>ｱｰﾃｯｸ/らくらくﾁｱﾎﾟﾝﾎﾟﾝ 薄紫ｼﾙﾊﾞｰ/18863</t>
  </si>
  <si>
    <t>ｱｰﾃｯｸ/らくらくﾁｱﾎﾟﾝﾎﾟﾝ 小 ﾚｯﾄﾞ/18906</t>
  </si>
  <si>
    <t>ｱｰﾃｯｸ/らくらくﾁｱﾎﾟﾝﾎﾟﾝ ｵﾚﾝｼﾞｼﾙﾊﾞｰ/18862</t>
  </si>
  <si>
    <t>ｱｰﾃｯｸ/ｿﾌﾄｻﾃﾝ かぼちゃﾊﾟﾝﾂ Cｻｲｽﾞ 黒/15054</t>
  </si>
  <si>
    <t>ｱｰﾃｯｸ/ｿﾌﾄｻﾃﾝ かぼちゃﾊﾟﾝﾂ Jｻｲｽﾞ 赤/15055</t>
  </si>
  <si>
    <t>ｱｰﾃｯｸ/らくらくﾁｱﾎﾟﾝﾎﾟﾝ 小 ﾌﾞﾙｰ/18907</t>
  </si>
  <si>
    <t>ｱｰﾃｯｸ/ｿﾌﾄｻﾃﾝ かぼちゃﾊﾟﾝﾂ Jｻｲｽﾞ 青/15056</t>
  </si>
  <si>
    <t>ｱｰﾃｯｸ/らくらくﾁｱﾎﾟﾝﾎﾟﾝ 小 ｺﾞｰﾙﾄﾞ/18908</t>
  </si>
  <si>
    <t>ｱｰﾃｯｸ/ｿﾌﾄｻﾃﾝ かぼちゃﾊﾟﾝﾂ Jｻｲｽﾞ 黄/15057</t>
  </si>
  <si>
    <t>ｱｰﾃｯｸ/らくらくﾁｱﾎﾟﾝﾎﾟﾝ 名札付 ｸﾞﾘｰﾝｼﾙﾊﾞｰ/18909</t>
  </si>
  <si>
    <t>ｱｰﾃｯｸ/ｿﾌﾄｻﾃﾝ かぼちゃﾊﾟﾝﾂ Jｻｲｽﾞ 白/15058</t>
  </si>
  <si>
    <t>ｱｰﾃｯｸ/ﾊﾝﾄﾞﾌﾘｰﾁｱﾎﾟﾝﾎﾟﾝ ﾎﾛｸﾞﾗﾑ ﾌﾞﾙｰｼﾙﾊﾞｰ/19242</t>
  </si>
  <si>
    <t>ｱｰﾃｯｸ/ﾊﾝﾄﾞﾌﾘｰﾁｱﾎﾟﾝﾎﾟﾝ ﾎﾛｸﾞﾗﾑ ﾚｯﾄﾞｼﾙﾊﾞｰ/19241</t>
  </si>
  <si>
    <t>ｱｰﾃｯｸ/ｿﾌﾄｻﾃﾝ かぼちゃﾊﾟﾝﾂ Jｻｲｽﾞ 黒/15059</t>
  </si>
  <si>
    <t>ｱｰﾃｯｸ/ｿﾌﾄｻﾃﾝ ｻﾙｴﾙﾊﾟﾝﾂ Cｻｲｽﾞ 赤/15060</t>
  </si>
  <si>
    <t>ｱｰﾃｯｸ/ﾊﾝﾄﾞﾌﾘｰﾁｱﾎﾟﾝﾎﾟﾝ ﾎﾛｸﾞﾗﾑ ｺﾞｰﾙﾄﾞｼﾙﾊﾞｰ/19243</t>
  </si>
  <si>
    <t>ｱｰﾃｯｸ/ｿﾌﾄｻﾃﾝ ｻﾙｴﾙﾊﾟﾝﾂ Cｻｲｽﾞ 黄/15062</t>
  </si>
  <si>
    <t>ｱｰﾃｯｸ/新体操ﾘﾎﾞﾝ 赤/18937</t>
  </si>
  <si>
    <t>ｱｰﾃｯｸ/ｿﾌﾄｻﾃﾝ ｻﾙｴﾙﾊﾟﾝﾂ Cｻｲｽﾞ 青/15061</t>
  </si>
  <si>
    <t>ｱｰﾃｯｸ/ｷﾗｷﾗﾎﾟﾝﾎﾟﾝﾊﾞﾄﾝ ﾋﾟﾝｸｼﾙﾊﾞｰ/19154</t>
  </si>
  <si>
    <t>ｱｰﾃｯｸ/ｿﾌﾄｻﾃﾝ ｻﾙｴﾙﾊﾟﾝﾂ Jｻｲｽﾞ 赤/15063</t>
  </si>
  <si>
    <t>ｱｰﾃｯｸ/ｿﾌﾄｻﾃﾝ ｻﾙｴﾙﾊﾟﾝﾂ Jｻｲｽﾞ 青/15064</t>
  </si>
  <si>
    <t>ｱｰﾃｯｸ/新体操ﾘﾎﾞﾝ 青/18938</t>
  </si>
  <si>
    <t>ｱｰﾃｯｸ/ｿﾌﾄｻﾃﾝ ｻﾙｴﾙﾊﾟﾝﾂ Jｻｲｽﾞ 黄/15065</t>
  </si>
  <si>
    <t>ｱｰﾃｯｸ/新体操ﾘﾎﾞﾝ 黄/18939</t>
  </si>
  <si>
    <t>ｱｰﾃｯｸ/ｿﾌﾄｻﾃﾝ ﾌﾘﾌﾘｼｬﾂ 赤/15066</t>
  </si>
  <si>
    <t>ｱｰﾃｯｸ/ｻｰｼﾞ ﾐﾆ 紫/18881</t>
  </si>
  <si>
    <t>ｱｰﾃｯｸ/ｿﾌﾄｻﾃﾝ ﾌﾘﾌﾘｼｬﾂ 黄/15067</t>
  </si>
  <si>
    <t>ｱｰﾃｯｸ/本格鳴子 無着色/19225</t>
  </si>
  <si>
    <t>ｱｰﾃｯｸ/ｿﾌﾄｻﾃﾝ ﾌﾘﾌﾘｼｬﾂ 白/15068</t>
  </si>
  <si>
    <t>ｱｰﾃｯｸ/ｽﾘﾑなるこ 赤/18754</t>
  </si>
  <si>
    <t>ｱｰﾃｯｸ/ｿﾌﾄｻﾃﾝ ﾌﾘﾌﾘｼｬﾂ 桃/15069</t>
  </si>
  <si>
    <t>ｱｰﾃｯｸ/ﾒﾀﾘｯｸﾘｽﾄﾊﾞﾝﾄﾞ 黄緑/18877</t>
  </si>
  <si>
    <t>ｱｰﾃｯｸ/ｿﾌﾄｻﾃﾝ ﾌﾘﾌﾘｼｬﾂ 青/15070</t>
  </si>
  <si>
    <t>ｱｰﾃｯｸ/ﾒﾀﾘｯｸﾘｽﾄﾊﾞﾝﾄﾞ 紫/18879</t>
  </si>
  <si>
    <t>ｱｰﾃｯｸ/ｿﾌﾄｻﾃﾝ ｽｶｰﾌ 赤/18857</t>
  </si>
  <si>
    <t>ｱｰﾃｯｸ/ﾒﾀﾘｯｸﾘｽﾄﾊﾞﾝﾄﾞ ｺﾊﾞﾙﾄﾌﾞﾙｰ/18878</t>
  </si>
  <si>
    <t>ｱｰﾃｯｸ/ｿﾌﾄｻﾃﾝ ｽｶｰﾌ 青/18858</t>
  </si>
  <si>
    <t>ｱｰﾃｯｸ/ｿﾌﾄｻﾃﾝ ｽｶｰﾌ 桃/18859</t>
  </si>
  <si>
    <t>ｱｰﾃｯｸ/はなのうでわ 小 鈴付 水色 2個/15084</t>
  </si>
  <si>
    <t>ｱｰﾃｯｸ/ｿﾌﾄｻﾃﾝ ｽｶｰﾌ 紫/18861</t>
  </si>
  <si>
    <t>ｱｰﾃｯｸ/ｶﾗﾌﾙｶﾁｭｰｼｬ ﾋﾟﾝｸ/18899</t>
  </si>
  <si>
    <t>ｱｰﾃｯｸ/ｿﾌﾄｻﾃﾝ ｽｶｰﾌ 水/18860</t>
  </si>
  <si>
    <t>ｱｰﾃｯｸ/はなのうでわ 大 鈴付 ﾚｲﾝﾎﾞｰ 2個/15085</t>
  </si>
  <si>
    <t>ｱｰﾃｯｸ/ｶﾗﾌﾙｶﾁｭｰｼｬ ｲｴﾛｰ/18901</t>
  </si>
  <si>
    <t>ｱｰﾃｯｸ/ｳｻｷﾞ耳付きｶﾁｭｰｼｬ ﾌﾞﾗｯｸ/18783</t>
  </si>
  <si>
    <t>ｱｰﾃｯｸ/ｶﾗﾌﾙｶﾁｭｰｼｬ ﾌﾞﾙｰ/18900</t>
  </si>
  <si>
    <t>ｱｰﾃｯｸ/はなのうでわ 大 鈴付 緑 2個/15088</t>
  </si>
  <si>
    <t>ｱｰﾃｯｸ/ﾎﾟﾝﾎﾟﾝｶﾁｭｰｼｬ 青/18777</t>
  </si>
  <si>
    <t>ｱｰﾃｯｸ/ｷﾗｷﾗ帽子付ｶﾁｭｰｼｬ 黒/18990</t>
  </si>
  <si>
    <t>ｱｰﾃｯｸ/ﾎﾟﾝﾎﾟﾝｶﾁｭｰｼｬ 赤/18776</t>
  </si>
  <si>
    <t>ｱｰﾃｯｸ/衣装ﾍﾞｰｽ ｼｬﾂ Jｻｲｽﾞ ｷﾞﾝｶﾞﾑﾁｪｯｸ 赤/15091</t>
  </si>
  <si>
    <t>ｱｰﾃｯｸ/ｷﾗｷﾗ帽子付ｶﾁｭｰｼｬ ｼﾙﾊﾞｰ/18991</t>
  </si>
  <si>
    <t>ｱｰﾃｯｸ/ｷﾗｷﾗ帽子付ｶﾁｭｰｼｬ 青/18993</t>
  </si>
  <si>
    <t>ｱｰﾃｯｸ/ｷﾗｷﾗ帽子付ｶﾁｭｰｼｬ 黄/18994</t>
  </si>
  <si>
    <t>ｱｰﾃｯｸ/ｷﾗｷﾗ帽子付ｶﾁｭｰｼｬ 赤/18992</t>
  </si>
  <si>
    <t>ｱｰﾃｯｸ/衣装ﾍﾞｰｽ ｼｬﾂ Jｻｲｽﾞ 水玉 赤/15095</t>
  </si>
  <si>
    <t>ｱｰﾃｯｸ/ｶﾗｰ不織布 10m巻 ｷﾞﾝｶﾞﾑﾁｪｯｸ 赤/15096</t>
  </si>
  <si>
    <t>ｱｰﾃｯｸ/ｶﾗｰ不織布 10m巻 ｷﾞﾝｶﾞﾑﾁｪｯｸ 水色/15097</t>
  </si>
  <si>
    <t>ｱｰﾃｯｸ/ｷｬｽｹｯﾄ 赤/18888</t>
  </si>
  <si>
    <t>ｱｰﾃｯｸ/ｶﾗｰ不織布 10m巻 水玉 赤/15098</t>
  </si>
  <si>
    <t>ｱｰﾃｯｸ/ｷｬｽｹｯﾄ 緑/18889</t>
  </si>
  <si>
    <t>ｱｰﾃｯｸ/ﾂﾔぴか 素焼き調ねんど ﾌﾞﾗｳﾝ/24339</t>
  </si>
  <si>
    <t>ｱｰﾃｯｸ/ﾌｪﾙﾄﾏﾘﾝｷｬｯﾌﾟ 赤/19023</t>
  </si>
  <si>
    <t>ｱｰﾃｯｸ/ﾂﾔぴか 素焼き調ねんど ｸﾞﾚｰ/24347</t>
  </si>
  <si>
    <t>ｱｰﾃｯｸ/ｿﾌﾄｻﾃﾝｼﾞｬｹｯﾄ ﾌﾞﾗｯｸ/15099</t>
  </si>
  <si>
    <t>ｱｰﾃｯｸ/ﾌｪﾙﾄﾏﾘﾝｷｬｯﾌﾟ 青/19024</t>
  </si>
  <si>
    <t>ｱｰﾃｯｸ/ﾌｪﾙﾄﾏﾘﾝｷｬｯﾌﾟ 黄/19025</t>
  </si>
  <si>
    <t>ｱｰﾃｯｸ/ﾃﾞﾆﾑﾚｯｽﾝﾊﾞｯｸﾞｾｯﾄ/50640</t>
  </si>
  <si>
    <t>ｱｰﾃｯｸ/蓄光ねんど 超軽量ﾀｲﾌﾟ/24361</t>
  </si>
  <si>
    <t>ｱｰﾃｯｸ/ﾌｪﾙﾄﾍﾞﾚｰ帽子 桃/19036</t>
  </si>
  <si>
    <t>ｱｰﾃｯｸ/ﾎｲｯﾌﾟﾃﾞｺﾄﾚｶｷｯﾄ ﾎﾜｲﾄ/58545</t>
  </si>
  <si>
    <t>ｱｰﾃｯｸ/ﾌｪﾙﾄ ﾜﾝﾋﾟｰｽ Cｻｲｽﾞ ｲｴﾛｰ/18023</t>
  </si>
  <si>
    <t>ｱｰﾃｯｸ/ﾌｪﾙﾄﾍﾞﾚｰ帽子 白/19037</t>
  </si>
  <si>
    <t>ｱｰﾃｯｸ/ﾎｲｯﾌﾟﾃﾞｺﾄﾚｶｷｯﾄ ﾋﾟﾝｸ/58546</t>
  </si>
  <si>
    <t>ｱｰﾃｯｸ/ﾌｪﾙﾄ ﾜﾝﾋﾟｰｽ Cｻｲｽﾞ ﾚｯﾄﾞ/18022</t>
  </si>
  <si>
    <t>ｱｰﾃｯｸ/ﾌｪﾙﾄ ﾜﾝﾋﾟｰｽ Cｻｲｽﾞ ﾎﾜｲﾄ/18024</t>
  </si>
  <si>
    <t>ｱｰﾃｯｸ/ﾌｪﾙﾄﾍﾞﾚｰ帽子 黒/19038</t>
  </si>
  <si>
    <t>ｱｰﾃｯｸ/ﾎｲｯﾌﾟﾃﾞｺﾄﾚｶｷｯﾄ ﾗｲﾄﾌﾞﾙｰ/58547</t>
  </si>
  <si>
    <t>ｱｰﾃｯｸ/ﾌｪﾙﾄ ﾜﾝﾋﾟｰｽ Jｻｲｽﾞ ﾚｯﾄﾞ/18025</t>
  </si>
  <si>
    <t>ｱｰﾃｯｸ/ﾌｪﾙﾄﾍﾞﾚｰ帽子 水/19039</t>
  </si>
  <si>
    <t>ｱｰﾃｯｸ/ﾎｲｯﾌﾟﾃﾞｺﾄﾚｶｷｯﾄ ｵﾚﾝｼﾞ/58548</t>
  </si>
  <si>
    <t>ｱｰﾃｯｸ/ﾌｪﾙﾄﾍﾞﾚｰ帽子 ｸﾞﾚｰ/19040</t>
  </si>
  <si>
    <t>ｱｰﾃｯｸ/ﾌｪﾙﾄ ﾜﾝﾋﾟｰｽ Jｻｲｽﾞ ｲｴﾛｰ/18026</t>
  </si>
  <si>
    <t>ｱｰﾃｯｸ/ﾌｪﾙﾄ ﾜﾝﾋﾟｰｽ Jｻｲｽﾞ ﾎﾜｲﾄ/18027</t>
  </si>
  <si>
    <t>ｱｰﾃｯｸ/ﾎｲｯﾌﾟﾃﾞｺﾄﾚｶｷｯﾄ ﾊﾟｰﾌﾟﾙ/58550</t>
  </si>
  <si>
    <t>ｱｰﾃｯｸ/ﾎｲｯﾌﾟﾃﾞｺﾄﾚｶｷｯﾄ ﾌﾞﾗｯｸ/58549</t>
  </si>
  <si>
    <t>ｱｰﾃｯｸ/らくらくﾁｱﾎﾟﾝﾎﾟﾝ 小 ﾚｯﾄﾞｼﾙﾊﾞｰ 2個/18028</t>
  </si>
  <si>
    <t>ｱｰﾃｯｸ/ﾃﾞｺﾚｰｼｮﾝﾎｲｯﾌﾟｸﾘｰﾑ ﾎﾜｲﾄ/58551</t>
  </si>
  <si>
    <t>ｱｰﾃｯｸ/ﾃﾞｺﾚｰｼｮﾝﾎｲｯﾌﾟｸﾘｰﾑ ﾋﾟﾝｸ/58552</t>
  </si>
  <si>
    <t>ｱｰﾃｯｸ/らくらくﾁｱﾎﾟﾝﾎﾟﾝ 小 ｺﾞｰﾙﾄﾞｼﾙﾊﾞｰ 2個/18030</t>
  </si>
  <si>
    <t>ｱｰﾃｯｸ/らくらくﾁｱﾎﾟﾝﾎﾟﾝ 小 ﾌﾞﾙｰｼﾙﾊﾞｰ 2個/18029</t>
  </si>
  <si>
    <t>ｱｰﾃｯｸ/らくらくﾁｱﾎﾟﾝﾎﾟﾝ 小 ｸﾞﾘｰﾝｼﾙﾊﾞｰ 2個/18031</t>
  </si>
  <si>
    <t>ｱｰﾃｯｸ/ｻｽﾍﾟﾝﾀﾞｰ 赤/18903</t>
  </si>
  <si>
    <t>ｱｰﾃｯｸ/ﾃﾞｺﾚｰｼｮﾝﾎｲｯﾌﾟｸﾘｰﾑ ｵﾚﾝｼﾞ/58554</t>
  </si>
  <si>
    <t>ｱｰﾃｯｸ/ﾃﾞｺﾚｰｼｮﾝﾎｲｯﾌﾟｸﾘｰﾑ ﾗｲﾄﾌﾞﾙｰ/58553</t>
  </si>
  <si>
    <t>ｱｰﾃｯｸ/白不織布ﾛｰﾙ10m巻(水彩可)/18034</t>
  </si>
  <si>
    <t>ｱｰﾃｯｸ/ｻｽﾍﾟﾝﾀﾞｰ 青/18904</t>
  </si>
  <si>
    <t>ｱｰﾃｯｸ/ﾃﾞｺﾚｰｼｮﾝﾎｲｯﾌﾟｸﾘｰﾑ ﾌﾞﾗｯｸ/58555</t>
  </si>
  <si>
    <t>ｱｰﾃｯｸ/ｻｽﾍﾟﾝﾀﾞｰ 黄/18905</t>
  </si>
  <si>
    <t>ｱｰﾃｯｸ/ﾃﾞｺﾚｰｼｮﾝﾎｲｯﾌﾟｸﾘｰﾑ ﾊﾟｰﾌﾟﾙ/58556</t>
  </si>
  <si>
    <t>ｱｰﾃｯｸ/ｿﾌﾄｻﾃﾝｼｬﾂ Jｻｲｽﾞ 赤/18040</t>
  </si>
  <si>
    <t>ｱｰﾃｯｸ/ｿﾌﾄｻﾃﾝｼｬﾂ Jｻｲｽﾞ 青/18041</t>
  </si>
  <si>
    <t>ｱｰﾃｯｸ/ｿﾌﾄｻﾃﾝ 蝶ﾈｸﾀｲ 青/18985</t>
  </si>
  <si>
    <t>ｱｰﾃｯｸ/ｱｸﾘﾙ室名札 白無地 150×150×3mm/92116</t>
  </si>
  <si>
    <t>ｱｰﾃｯｸ/ｿﾌﾄｻﾃﾝｼｬﾂ Jｻｲｽﾞ 黒/18042</t>
  </si>
  <si>
    <t>ｱｰﾃｯｸ/ｿﾌﾄｻﾃﾝ 蝶ﾈｸﾀｲ 黄/18986</t>
  </si>
  <si>
    <t>ｱｰﾃｯｸ/ｱｸﾘﾙ室名札 白無地 200×200×5mm/92117</t>
  </si>
  <si>
    <t>ｱｰﾃｯｸ/ｿﾌﾄｻﾃﾝ 蝶ﾈｸﾀｲ 黒/19196</t>
  </si>
  <si>
    <t>ｱｰﾃｯｸ/ｿﾌﾄｻﾃﾝﾈｸﾀｲ 赤/18850</t>
  </si>
  <si>
    <t>ｱｰﾃｯｸ/ｱｸﾘﾙ室名札 男子ﾄｲﾚ 200×200×5mm/92119</t>
  </si>
  <si>
    <t>ｱｰﾃｯｸ/ｱｸﾘﾙ室名札 男子ﾄｲﾚ 150×150×3mm/92118</t>
  </si>
  <si>
    <t>ｱｰﾃｯｸ/ｿﾌﾄｻﾃﾝﾈｸﾀｲ 青/18849</t>
  </si>
  <si>
    <t>ｱｰﾃｯｸ/ｿﾌﾄｻﾃﾝﾈｸﾀｲ 黄/18851</t>
  </si>
  <si>
    <t>ｱｰﾃｯｸ/ｱｸﾘﾙ室名札 女子ﾄｲﾚ 200×200×5mm/92121</t>
  </si>
  <si>
    <t>ｱｰﾃｯｸ/ｿﾌﾄｻﾃﾝﾈｸﾀｲ 黒/18847</t>
  </si>
  <si>
    <t>ｱｰﾃｯｸ/ｱｸﾘﾙ室名札 お手洗 150×150×3mm/92122</t>
  </si>
  <si>
    <t>ｱｰﾃｯｸ/ｱｸﾘﾙ室名札 女子ﾄｲﾚ 150×150×3mm/92120</t>
  </si>
  <si>
    <t>ｱｰﾃｯｸ/ｿﾌﾄｻﾃﾝﾈｸﾀｲ 白/18848</t>
  </si>
  <si>
    <t>ｱｰﾃｯｸ/ﾊﾟｽﾃﾙﾚｯﾄﾞ ｶﾗｰﾋﾞﾆｰﾙ袋(10枚組)/19041</t>
  </si>
  <si>
    <t>ｱｰﾃｯｸ/ｱｸﾘﾙ室名札 白無地 200×50×3mm/92124</t>
  </si>
  <si>
    <t>ｱｰﾃｯｸ/ｱｸﾘﾙ室名札 お手洗 200×200×5mm/92123</t>
  </si>
  <si>
    <t>ｱｰﾃｯｸ/ﾊﾟｽﾃﾙﾊﾟｰﾌﾟﾙ ｶﾗｰﾋﾞﾆｰﾙ袋(10枚組)/19042</t>
  </si>
  <si>
    <t>ｱｰﾃｯｸ/ﾊﾟｽﾃﾙｸﾞﾘｰﾝ ｶﾗｰﾋﾞﾆｰﾙ袋(10枚組)/19043</t>
  </si>
  <si>
    <t>ｱｰﾃｯｸ/ｱｸﾘﾙ室名札 女子更衣室 200×50×3mm/92126</t>
  </si>
  <si>
    <t>ｱｰﾃｯｸ/ｱｸﾘﾙ室名札 男子更衣室 200×50×3mm/92125</t>
  </si>
  <si>
    <t>ｱｰﾃｯｸ/ﾃﾞｶﾊﾟﾝ競争ﾊﾟﾝﾂ 桃/19203</t>
  </si>
  <si>
    <t>ｱｰﾃｯｸ/ﾃﾞｶﾊﾟﾝ競争ﾊﾟﾝﾂ 紫/19204</t>
  </si>
  <si>
    <t>ｱｰﾃｯｸ/ｱｸﾘﾙ室名札 事務室 200×50×3mm/92128</t>
  </si>
  <si>
    <t>ｱｰﾃｯｸ/ﾃﾞｶﾊﾟﾝ 競争ﾊﾟﾝﾂ 赤 小/21893</t>
  </si>
  <si>
    <t>ｱｰﾃｯｸ/ｱｸﾘﾙ室名札 休憩室 200×50×3mm/92129</t>
  </si>
  <si>
    <t>ｱｰﾃｯｸ/ｱｸﾘﾙ室名札 会議室 200×50×3mm/92127</t>
  </si>
  <si>
    <t>ｱｰﾃｯｸ/ﾃﾞｶﾊﾟﾝ 競争ﾊﾟﾝﾂ 白 小/21894</t>
  </si>
  <si>
    <t>ｱｰﾃｯｸ/ｱｸﾘﾙ室名札 食堂 200×50×3mm/92130</t>
  </si>
  <si>
    <t>ｱｰﾃｯｸ/ﾃﾞｶﾊﾟﾝ 競争ﾊﾟﾝﾂ 黄 小/21895</t>
  </si>
  <si>
    <t>ｱｰﾃｯｸ/ｱｸﾘﾙ室名札 応接室 200×50×3mm/92131</t>
  </si>
  <si>
    <t>ｱｰﾃｯｸ/ﾏｰﾁﾝｸﾞﾄｯﾌﾟ 黄/18882</t>
  </si>
  <si>
    <t>ｱｰﾃｯｸ/ﾃﾞｶﾊﾟﾝ 競争ﾊﾟﾝﾂ 水 小/21896</t>
  </si>
  <si>
    <t>ｱｰﾃｯｸ/わくわくどうぶつえんすごろく/002507</t>
  </si>
  <si>
    <t>ｱｰﾃｯｸ/国旗かるた/002525</t>
  </si>
  <si>
    <t>ｱｰﾃｯｸ/ﾏｰﾁﾝｸﾞﾄｯﾌﾟ 黒/18884</t>
  </si>
  <si>
    <t>ｱｰﾃｯｸ/ﾏｰﾁﾝｸﾞﾄｯﾌﾟ 緑/18883</t>
  </si>
  <si>
    <t>ｱｰﾃｯｸ/ことわざｶｰﾄﾞかるた/002567</t>
  </si>
  <si>
    <t>ｱｰﾃｯｸ/ｿﾌﾄｻﾃﾝﾏｰﾁﾝｸﾞﾄｯﾌﾟ緑/18874</t>
  </si>
  <si>
    <t>ｱｰﾃｯｸ/ｿﾌﾄｻﾃﾝ ﾏｰﾁﾝｸﾞﾄｯﾌﾟ 黒/19033</t>
  </si>
  <si>
    <t>ｱｰﾃｯｸ/わくわくすいぞくかんすごろく/002618</t>
  </si>
  <si>
    <t>ｱｰﾃｯｸ/ｿﾌﾄｻﾃﾝﾏｰﾁﾝｸﾞﾄｯﾌﾟ黄/18873</t>
  </si>
  <si>
    <t>ｱｰﾃｯｸ/ｿﾌﾄｻﾃﾝ 付け襟 白/19249</t>
  </si>
  <si>
    <t>ｱｰﾃｯｸ/ｿﾌﾄｻﾃﾝ ｾｰﾗｰ服 C 赤/18852</t>
  </si>
  <si>
    <t>ｱｰﾃｯｸ/ｿﾌﾄｻﾃﾝ 付け襟 黒/19250</t>
  </si>
  <si>
    <t>ｱｰﾃｯｸ/ｿﾌﾄｻﾃﾝ ｾｰﾗｰ服 C 青/18853</t>
  </si>
  <si>
    <t>ｱｰﾃｯｸ/1年のぎょうじすごろく/002661</t>
  </si>
  <si>
    <t>ｱｰﾃｯｸ/日本地図おつかい旅行すごろく/002662</t>
  </si>
  <si>
    <t>ｱｰﾃｯｸ/ｿﾌﾄｻﾃﾝ ｾｰﾗｰ服 C 緑/18854</t>
  </si>
  <si>
    <t>ｱｰﾃｯｸ/ｿﾌﾄｻﾃﾝ ｾｰﾗｰ服 C 橙/18855</t>
  </si>
  <si>
    <t>ｱｰﾃｯｸ/ｿﾌﾄｻﾃﾝ ｾｰﾗｰ服 C 水/18856</t>
  </si>
  <si>
    <t>ｱｰﾃｯｸ/ｿﾌﾄｻﾃﾝ ﾁｭﾆｯｸ C 青/19007</t>
  </si>
  <si>
    <t>ｱｰﾃｯｸ/ｿﾌﾄｻﾃﾝ ﾁｭﾆｯｸ C 赤/19006</t>
  </si>
  <si>
    <t>ｱｰﾃｯｸ/ｿﾌﾄｻﾃﾝ ﾁｭﾆｯｸ C 黄/19008</t>
  </si>
  <si>
    <t>ｱｰﾃｯｸ/ｿﾌﾄｻﾃﾝ ﾁｭﾆｯｸ C 白/19009</t>
  </si>
  <si>
    <t>ｱｰﾃｯｸ/ｿﾌﾄｻﾃﾝ ﾁｭﾆｯｸ J 赤/19010</t>
  </si>
  <si>
    <t>ｱｰﾃｯｸ/ｿﾌﾄｻﾃﾝ ﾁｭﾆｯｸ J 青/19011</t>
  </si>
  <si>
    <t>ｱｰﾃｯｸ/ｿﾌﾄｻﾃﾝ ﾁｭﾆｯｸ J 白/19013</t>
  </si>
  <si>
    <t>ｱｰﾃｯｸ/ｿﾌﾄｻﾃﾝ ﾁｭﾆｯｸ J 黄/19012</t>
  </si>
  <si>
    <t>ｱｰﾃｯｸ/ｿﾌﾄｻﾃﾝおにのﾊﾟﾝﾂ 赤/18980</t>
  </si>
  <si>
    <t>ｱｰﾃｯｸ/ｿﾌﾄｻﾃﾝ ﾃｰﾗｰﾄﾞｼﾞｬｹｯﾄ C 黒/18880</t>
  </si>
  <si>
    <t>ｱｰﾃｯｸ/ｿﾌﾄｻﾃﾝおにのﾊﾟﾝﾂ 青/18981</t>
  </si>
  <si>
    <t>ｱｰﾃｯｸ/ｿﾌﾄｻﾃﾝ ﾌﾟﾘｰﾂｽｶｰﾄ 緑×白/18872</t>
  </si>
  <si>
    <t>ｱｰﾃｯｸ/ｿﾌﾄｻﾃﾝ ﾌﾟﾘｰﾂｽｶｰﾄ 黄×白/18871</t>
  </si>
  <si>
    <t>ｱｰﾃｯｸ/ｿﾌﾄｻﾃﾝおにのﾊﾟﾝﾂ 緑/18982</t>
  </si>
  <si>
    <t>ｱｰﾃｯｸ/ｿﾌﾄｻﾃﾝ ﾌﾟﾘｰﾂｽｶｰﾄ 黒×白/19034</t>
  </si>
  <si>
    <t>ｱｰﾃｯｸ/ｿﾌﾄｻﾃﾝ ﾁｭｰﾙｽｶｰﾄ 赤/19050</t>
  </si>
  <si>
    <t>ｱｰﾃｯｸ/ｿﾌﾄｻﾃﾝ ﾁｭｰﾙｽｶｰﾄ 桃/19051</t>
  </si>
  <si>
    <t>ｱｰﾃｯｸ/ｿﾌﾄｻﾃﾝ ﾁｭｰﾙｽｶｰﾄ 紫/19074</t>
  </si>
  <si>
    <t>ｱｰﾃｯｸ/ｿﾌﾄｻﾃﾝｽｶｰﾄ 橙/18868</t>
  </si>
  <si>
    <t>ｱｰﾃｯｸ/無臭 油ねんど L/24342</t>
  </si>
  <si>
    <t>ｱｰﾃｯｸ/わくわく世界旅行すごろく/003036</t>
  </si>
  <si>
    <t>ｱｰﾃｯｸ/わくわくﾃｰﾏﾊﾟｰｸすごろく/003035</t>
  </si>
  <si>
    <t>ｱｰﾃｯｸ/ｺｰﾅｰｶﾞｰﾄﾞｸｯｼｮﾝ 白 2mﾛｰﾙ/75452</t>
  </si>
  <si>
    <t>ｱｰﾃｯｸ/ｺｰﾅｰｶﾞｰﾄﾞｸｯｼｮﾝ ｸﾘｰﾑ 2mﾛｰﾙ/92050</t>
  </si>
  <si>
    <t>ｱｰﾃｯｸ/ｺｰﾅｰｶﾞｰﾄﾞｸｯｼｮﾝ ﾅﾁｭﾗﾙ 2mﾛｰﾙ/92051</t>
  </si>
  <si>
    <t>ｱｰﾃｯｸ/ｺｰﾅｰｶﾞｰﾄﾞｸｯｼｮﾝ ﾌﾞﾗｳﾝ 2mﾛｰﾙ/92052</t>
  </si>
  <si>
    <t>ｱｰﾃｯｸ/ｺｰﾅｰｶﾞｰﾄﾞｸｯｼｮﾝ ｸﾞﾚｰ 2mﾛｰﾙ/92053</t>
  </si>
  <si>
    <t>ｱｰﾃｯｸ/ｺｰﾅｰｶﾞｰﾄﾞｸｯｼｮﾝ ﾌﾞﾗｯｸ 2mﾛｰﾙ/92054</t>
  </si>
  <si>
    <t>ｱｰﾃｯｸ/透明ｺｰﾅｰｶﾞｰﾄﾞ 角 L字 10個/75551</t>
  </si>
  <si>
    <t>ｱｰﾃｯｸ/透明ｺｰﾅｰｶﾞｰﾄﾞ 丸 10個/75552</t>
  </si>
  <si>
    <t>ｱｰﾃｯｸ/ﾁｬｲﾙﾄﾞｷｰﾌﾟﾊﾞﾝﾄﾞ ｸﾞﾘｰﾝ/75534</t>
  </si>
  <si>
    <t>ｱｰﾃｯｸ/ｼﾞｬﾝﾌﾟﾎﾞｰﾙ ﾚｯﾄﾞ/75536</t>
  </si>
  <si>
    <t>ｱｰﾃｯｸ/ﾒｯｼｭｸﾘｱﾌﾟﾚｲﾄﾝﾈﾙ/75547</t>
  </si>
  <si>
    <t>ｱｰﾃｯｸ/ｱｰﾃｯｸ 文化教育5点ｾｯﾄ/21659</t>
  </si>
  <si>
    <t>ｱｰﾃｯｸ/ｱｰﾃｯｸ 感覚教育5点ｾｯﾄ/21660</t>
  </si>
  <si>
    <t>ｱｰﾃｯｸ/ﾍﾞﾋﾞｰｶｰ用回転ﾌｯｸ 2個/75537</t>
  </si>
  <si>
    <t>ｱｰﾃｯｸ/ﾍﾞﾋﾞｰｶｰ用 ｽﾏﾎ･ｶｯﾌﾟ 2WAYﾎﾙﾀﾞｰ/75550</t>
  </si>
  <si>
    <t>ｱｰﾃｯｸ/ｱｰﾃｯｸ 言語教育5点ｾｯﾄ/21649</t>
  </si>
  <si>
    <t>ｱｰﾃｯｸ/ｱｰﾃｯｸ 算数教育5点ｾｯﾄ/21639</t>
  </si>
  <si>
    <t>ｱｰﾃｯｸ/ﾄﾞｷﾄﾞｷおばけやしきすごろく/003149</t>
  </si>
  <si>
    <t>ｱｰﾃｯｸ/ｷｯｽﾞﾃﾝﾄ おうち/75553</t>
  </si>
  <si>
    <t>ｱｰﾃｯｸ/Artecﾚｼﾞﾝ着色剤 透明色 10mL ﾎﾜｲﾄ/58676</t>
  </si>
  <si>
    <t>ｱｰﾃｯｸ/吊り下げ式 防鳥ｷﾗｷﾗﾌｸﾛｳくん 2個入/35203</t>
  </si>
  <si>
    <t>ｱｰﾃｯｸ/防鳥ｷﾗｷﾗかざぐるま 10個ｾｯﾄ/35210</t>
  </si>
  <si>
    <t>ｱｰﾃｯｸ/Artecﾚｼﾞﾝ着色剤 透明色 10mL ｸﾞﾘｰﾝ/58678</t>
  </si>
  <si>
    <t>ｱｰﾃｯｸ/防鳥用ｷﾗｷﾗﾃｰﾌﾟ 100m/35212</t>
  </si>
  <si>
    <t>ｱｰﾃｯｸ/Artecﾚｼﾞﾝ着色剤 透明色 10mL ﾀﾞｰｸｸﾞﾘｰﾝ/58677</t>
  </si>
  <si>
    <t>ｱｰﾃｯｸ/Artecﾚｼﾞﾝ着色剤 透明色 10mL ﾗｲﾄｸﾞﾘｰﾝ/58679</t>
  </si>
  <si>
    <t>ｱｰﾃｯｸ/Artecﾚｼﾞﾝ着色剤 透明色 10mL ﾌﾞﾙｰ/58681</t>
  </si>
  <si>
    <t>ｱｰﾃｯｸ/Artecﾚｼﾞﾝ着色剤 透明色 10mL ｽｶｲﾌﾞﾙｰ/58680</t>
  </si>
  <si>
    <t>ｱｰﾃｯｸ/Artecﾚｼﾞﾝ着色剤 透明色 10mL ﾀﾞｰｸﾌﾞﾙｰ/58682</t>
  </si>
  <si>
    <t>ｱｰﾃｯｸ/Artecﾚｼﾞﾝ着色剤 透明色 10mL ヴｧｲｵﾚｯﾄ/58684</t>
  </si>
  <si>
    <t>ｱｰﾃｯｸ/Artecﾚｼﾞﾝ着色剤 透明色 10mL ﾊﾟｰﾌﾟﾙ/58683</t>
  </si>
  <si>
    <t>ｱｰﾃｯｸ/ｶﾗｰ不織布ﾛﾝｸﾞﾊｯﾋﾟ(ﾊﾁﾏｷ付) 黒 襟赤 C/3170</t>
  </si>
  <si>
    <t>ｱｰﾃｯｸ/ﾌｪﾙﾄ ｵｰﾙｲﾝﾜﾝ 桃/18021</t>
  </si>
  <si>
    <t>ｱｰﾃｯｸ/ｿﾌﾄｻﾃﾝ ﾁｭｰﾙｽｶｰﾄ 黒/18718</t>
  </si>
  <si>
    <t>ｱｰﾃｯｸ/ｿﾌﾄｻﾃﾝ ﾁｭｰﾙｽｶｰﾄ 黄/18719</t>
  </si>
  <si>
    <t>ｱｰﾃｯｸ/ｿﾌﾄｻﾃﾝ ﾁｭｰﾙｽｶｰﾄ 白/18717</t>
  </si>
  <si>
    <t>ｱｰﾃｯｸ/ｿﾌﾄｻﾃﾝ ﾍﾞｽﾄ 紫 J/19080</t>
  </si>
  <si>
    <t>ｱｰﾃｯｸ/衣装ﾍﾞｰｽ ﾍﾞｽﾄ 黄緑 S/19128</t>
  </si>
  <si>
    <t>ｱｰﾃｯｸ/衣装ﾍﾞｰｽ ﾍﾞｽﾄ 紫 S/19129</t>
  </si>
  <si>
    <t>ｱｰﾃｯｸ/衣装ﾍﾞｰｽ ﾍﾞｽﾄ ｸﾞﾚｰ S/19127</t>
  </si>
  <si>
    <t>ｱｰﾃｯｸ/衣装ﾍﾞｰｽ ﾜﾝﾋﾟｰｽ ｸﾞﾚｰ S/19133</t>
  </si>
  <si>
    <t>ｱｰﾃｯｸ/衣装ﾍﾞｰｽ ﾜﾝﾋﾟｰｽ 黄緑 S/19134</t>
  </si>
  <si>
    <t>ｱｰﾃｯｸ/衣装ﾍﾞｰｽ かぼちゃﾊﾟﾝﾂ 紫 J/19137</t>
  </si>
  <si>
    <t>ｱｰﾃｯｸ/衣装ﾍﾞｰｽ ﾜﾝﾋﾟｰｽ 紫 S/19135</t>
  </si>
  <si>
    <t>ｱｰﾃｯｸ/おもしろなぞなぞかるた/003362</t>
  </si>
  <si>
    <t>ｱｰﾃｯｸ/妖怪かるた/003379</t>
  </si>
  <si>
    <t>ｱｰﾃｯｸ/どうぶつﾌﾟﾛｼﾞｪｸﾀｰ/003394</t>
  </si>
  <si>
    <t>ｱｰﾃｯｸ/うみのいきものﾌﾟﾛｼﾞｪｸﾀｰ/003395</t>
  </si>
  <si>
    <t>ｱｰﾃｯｸ/ｽﾍﾟｰｽﾌﾟﾛｼﾞｪｸﾀｰ/003393</t>
  </si>
  <si>
    <t>ｱｰﾃｯｸ/ﾊﾞﾆﾗｯﾃｨ 2個ｾｯﾄ/23397</t>
  </si>
  <si>
    <t>ｱｰﾃｯｸ/ﾊﾞﾆﾗｯﾃｨ 5個ｾｯﾄ/23398</t>
  </si>
  <si>
    <t>ｱｰﾃｯｸ/ﾊﾞﾆﾗｯﾃｨ 10個ｾｯﾄ/23399</t>
  </si>
  <si>
    <t>ｱｰﾃｯｸ/樹脂粘土ｾﾚﾈでつくるﾌｪｲｸﾌｰﾄﾞﾍﾞｰｼｯｸｷｯﾄ/23762</t>
  </si>
  <si>
    <t>ｱｰﾃｯｸ/ｼﾞｵﾗﾏ粘土 ｼﾞｵﾍﾞｰｽ ﾗｲﾄﾌﾞﾗｳﾝ 100g ﾍﾞｰｼｯｸ/24301</t>
  </si>
  <si>
    <t>ｱｰﾃｯｸ/ｼﾞｵﾗﾏ粘土 ｼﾞｵﾍﾞｰｽ ﾀﾞｰｸﾌﾞﾗｳﾝ 100g ﾍﾞｰｼｯｸ</t>
  </si>
  <si>
    <t>ｱｰﾃｯｸ/ｼﾞｵﾗﾏ粘土 ｼﾞｵﾍﾞｰｽ ﾗｲﾄﾌﾞﾗｳﾝ 100g 超小粒/24305</t>
  </si>
  <si>
    <t>ｱｰﾃｯｸ/ｼﾞｵﾗﾏ粘土 ｼﾞｵﾍﾞｰｽ ﾀﾞｰｸﾌﾞﾗｳﾝ 100g 超小粒</t>
  </si>
  <si>
    <t>ｱｰﾃｯｸ/ｸﾘｱﾎﾟｹｯﾄ 8切 4穴 10枚/3449</t>
  </si>
  <si>
    <t>ｱｰﾃｯｸ/ｼﾞｵﾗﾏ粘土 ｼﾞｵﾍﾞｰｽ ｻﾝﾄﾞｶﾗｰ 100g/24307</t>
  </si>
  <si>
    <t>ｱｰﾃｯｸ/ｼﾞｵﾗﾏ粘土 ｼﾞｵﾍﾞｰｽ ｸﾞﾚｲ 100g/24308</t>
  </si>
  <si>
    <t>ｱｰﾃｯｸ/変ないきものかるた/003568</t>
  </si>
  <si>
    <t>ｱｰﾃｯｸ/おにぎり屋さんｶｰﾄﾞｹﾞｰﾑ/003584</t>
  </si>
  <si>
    <t>ｱｰﾃｯｸ/ｱｲｼﾝｸﾞｸﾚｲ 100g/24357</t>
  </si>
  <si>
    <t>ｱｰﾃｯｸ/ﾎｲｯﾌﾟﾓｱ/24392</t>
  </si>
  <si>
    <t>ｱｰﾃｯｸ/ﾊﾟｽﾞﾙdeしりとり/006705</t>
  </si>
  <si>
    <t>ｱｰﾃｯｸ/へんしんｱﾆﾏﾙ/006711</t>
  </si>
  <si>
    <t>ｱｰﾃｯｸ/ﾎﾜｲﾄﾎﾞｰﾄﾞらくがき帳/006717</t>
  </si>
  <si>
    <t>ｱｰﾃｯｸ/ｴﾝｼﾞｮｲえあわせﾊﾟｽﾞﾙ くだもの･やさい/006726</t>
  </si>
  <si>
    <t>ｱｰﾃｯｸ/七夕笹 小 10本ｾｯﾄ/70342</t>
  </si>
  <si>
    <t>ｾｲﾜ･ﾌﾟﾛ/ｷﾗｷﾗのりﾍﾟﾝ 10g ﾗｲﾄｶﾗｰ 5色入/75103</t>
  </si>
  <si>
    <t>ｱｰﾃｯｸ/変ないきものﾌﾟﾛｼﾞｪｸﾀｰ/006901</t>
  </si>
  <si>
    <t>ｱｰﾃｯｸ/ﾀﾞﾝﾎﾞｰﾙ製 貯金箱ねんど芯材 ﾊｳｽ/79362</t>
  </si>
  <si>
    <t>ｱｰﾃｯｸ/ﾀﾞﾝﾎﾞｰﾙ製 貯金箱ねんど芯材 恐竜/79363</t>
  </si>
  <si>
    <t>ｱｰﾃｯｸ/ﾎﾞﾙﾄﾎﾞﾙｽﾞのﾋﾞｯｸﾞｴｱﾛｹｯﾄ 5枚組/93060</t>
  </si>
  <si>
    <t>ｱｰﾃｯｸ/ﾎﾞﾙﾄﾎﾞﾙｽﾞのﾋﾞｯｸﾞｴｱﾛｹｯﾄ/93061</t>
  </si>
  <si>
    <t>ｱｰﾃｯｸ/かおｼｰﾙﾌﾞｯｸ2/007183</t>
  </si>
  <si>
    <t>ｱｰﾃｯｸ/作品収納ﾊﾞｯｸ 大 不織布 白 10枚/11315</t>
  </si>
  <si>
    <t>ｱｰﾃｯｸ/作品収納ﾊﾞｯｸ 大 不織布 水色 10枚/11316</t>
  </si>
  <si>
    <t>ｱｰﾃｯｸ/衣装ﾍﾞｰｽ 着物 黄 帯緑/19131</t>
  </si>
  <si>
    <t>ｱｰﾃｯｸ/衣装ﾍﾞｰｽ 着物 赤 帯黄/19130</t>
  </si>
  <si>
    <t>ｱｰﾃｯｸ/作品収納ﾊﾞｯｸ 大 不織布 薄黄 10枚/11317</t>
  </si>
  <si>
    <t>ｱｰﾃｯｸ/衣装ﾍﾞｰｽ ﾉｰｽﾘｰﾌﾞｼｬﾂ 赤 C/19132</t>
  </si>
  <si>
    <t>ｱｰﾃｯｸ/作品収納ﾊﾞｯｸ 大 不織布 黄 10枚/11318</t>
  </si>
  <si>
    <t>ｱｰﾃｯｸ/衣装ﾍﾞｰｽ かぼちゃﾊﾟﾝﾂ 紫 C/19136</t>
  </si>
  <si>
    <t>ｱｰﾃｯｸ/作品収納ﾊﾞｯｸ 大 不織布 黄緑 10枚/11319</t>
  </si>
  <si>
    <t>ｱｰﾃｯｸ/作品収納ﾊﾞｯｸ 大 不織布 ﾊﾟｽﾃﾙｸﾞﾘｰﾝ 10枚/11320</t>
  </si>
  <si>
    <t>ｱｰﾃｯｸ/これはなんの音?かるた/007192</t>
  </si>
  <si>
    <t>ｱｰﾃｯｸ/衣装ﾍﾞｰｽ ﾉｰｽﾘｰﾌﾞｼｬﾂ 黄 C/19156</t>
  </si>
  <si>
    <t>ｱｰﾃｯｸ/木製小物入れ 2ﾎﾟｹｯﾄ/21341</t>
  </si>
  <si>
    <t>ｱｰﾃｯｸ/木製おえかきﾍﾟﾝｽﾀﾝﾄﾞ/21301</t>
  </si>
  <si>
    <t>ｱｰﾃｯｸ/おえかきﾌｫﾄﾌﾚｰﾑｸﾛｯｸ/21300</t>
  </si>
  <si>
    <t>ｱｰﾃｯｸ/衣装ﾍﾞｰｽ ﾉｰｽﾘｰﾌﾞｼｬﾂ 青 C/19155</t>
  </si>
  <si>
    <t>ｱｰﾃｯｸ/作品収納ﾊﾞｯｸ 大 不織布 薄紫 10枚/11321</t>
  </si>
  <si>
    <t>ｱｰﾃｯｸ/衣装ﾍﾞｰｽ ﾉｰｽﾘｰﾌﾞｼｬﾂ 白 C/19157</t>
  </si>
  <si>
    <t>ｱｰﾃｯｸ/海のいきものえあわせｶｰﾄﾞｹﾞｰﾑ/007197</t>
  </si>
  <si>
    <t>ｱｰﾃｯｸ/ﾜﾝﾀｯﾁｸﾘｱﾊﾞｯｼﾞ/58444</t>
  </si>
  <si>
    <t>ｱｰﾃｯｸ/作品収納ﾊﾞｯｸ 大 不織布 青 10枚/11322</t>
  </si>
  <si>
    <t>ｱｰﾃｯｸ/ｿﾌﾄｻﾃﾝ ﾜﾝﾋﾟｰｽ 銀 C/19168</t>
  </si>
  <si>
    <t>ｱｰﾃｯｸ/白雲石ｺｰｽﾀｰ φ100mm/5995</t>
  </si>
  <si>
    <t>ｱｰﾃｯｸ/白雲石ｺｰｽﾀｰ ｽｸｴｱ/5997</t>
  </si>
  <si>
    <t>ｱｰﾃｯｸ/ｼﾞｸﾞｿｰﾊﾟｽﾞﾙ 24ﾋﾟｰｽ/12636</t>
  </si>
  <si>
    <t>ｱｰﾃｯｸ/ｼﾞｸﾞｿｰﾊﾟｽﾞﾙ 24ﾋﾟｰｽ 透明ｽﾀﾝﾄﾞｶﾊﾞｰ付/12638</t>
  </si>
  <si>
    <t>ｱｰﾃｯｸ/ﾜﾝﾀｯﾁｸﾘｱｷｰﾎﾙﾀﾞｰ 丸型/58335</t>
  </si>
  <si>
    <t>ｱｰﾃｯｸ/ﾜﾝﾀｯﾁｸﾘｱｷｰﾎﾙﾀﾞｰ 四角/58336</t>
  </si>
  <si>
    <t>ｱｰﾃｯｸ/ちょこぷりぽっくり/21249</t>
  </si>
  <si>
    <t>ｱｰﾃｯｸ/作品収納ﾊﾞｯｸ 大 不織布 ｵﾚﾝｼﾞ 10枚/11323</t>
  </si>
  <si>
    <t>ｱｰﾃｯｸ/ｿﾌﾄｻﾃﾝ ﾜﾝﾋﾟｰｽ 紫 C/19169</t>
  </si>
  <si>
    <t>ｱｰﾃｯｸ/やわらかﾎﾞｰﾙ うみのいきもの/21246</t>
  </si>
  <si>
    <t>ｱｰﾃｯｸ/ﾋﾞｰｽﾞﾛｰﾌﾟなわとび ｸﾞﾘｰﾝ/21404</t>
  </si>
  <si>
    <t>ｱｰﾃｯｸ/へんしんｱﾆﾏﾙらいおん/21284</t>
  </si>
  <si>
    <t>ｱｰﾃｯｸ/ﾎﾞﾀﾝとﾌｧｽﾅｰあそび てんとうむし/11976</t>
  </si>
  <si>
    <t>ｱｰﾃｯｸ/わくわくｻﾝﾄﾞｲｯﾁづくり/21254</t>
  </si>
  <si>
    <t>ｱｰﾃｯｸ/おはしあそびおこさまﾌﾟﾚｰﾄ/21253</t>
  </si>
  <si>
    <t>ｱｰﾃｯｸ/作品収納ﾊﾞｯｸ 大 不織布 ﾋﾟﾝｸ 10枚/11324</t>
  </si>
  <si>
    <t>ｱｰﾃｯｸ/わくわくお弁当作り DX/007270</t>
  </si>
  <si>
    <t>ｱｰﾃｯｸ/うちゅうﾊﾞﾗﾝｽｹﾞｰﾑ/21283</t>
  </si>
  <si>
    <t>ｱｰﾃｯｸ/はじらいふれんずﾊﾞﾗﾝｽｹﾞｰﾑうみのなかま/21304</t>
  </si>
  <si>
    <t>ｱｰﾃｯｸ/EVAゆうえんちﾊﾟｽﾞﾙ/21276</t>
  </si>
  <si>
    <t>ｱｰﾃｯｸ/ｿﾌﾄｻﾃﾝ ﾜﾝﾋﾟｰｽ 銀 J/19170</t>
  </si>
  <si>
    <t>ｱｰﾃｯｸ/いきものあいうえおｼｰﾄ/21285</t>
  </si>
  <si>
    <t>ｱｰﾃｯｸ/干支こけしｹﾞｰﾑｾｯﾄ/11930</t>
  </si>
  <si>
    <t>ｱｰﾃｯｸ/ｶﾗﾌﾙころころ迷路ﾌﾞﾛｯｸｽｰﾊﾟｰ DX 123ﾋﾟｰｽ/21265</t>
  </si>
  <si>
    <t>ｱｰﾃｯｸ/とびだせ おさかなつりｹﾞｰﾑ/21275</t>
  </si>
  <si>
    <t>ｱｰﾃｯｸ/ﾄﾞｷﾄﾞｷ!おさるﾊﾞﾗﾝｽｹﾞｰﾑ/21340</t>
  </si>
  <si>
    <t>ｱｰﾃｯｸ/ﾜｸﾜｸｼﾞｬﾝｹﾝｽﾛｯﾄ 黄色/21281</t>
  </si>
  <si>
    <t>ｱｰﾃｯｸ/ﾜｸﾜｸｼﾞｬﾝｹﾝｽﾛｯﾄ 水色/21354</t>
  </si>
  <si>
    <t>ｱｰﾃｯｸ/ﾜｸﾜｸじどうはんばいき 黄色/21280</t>
  </si>
  <si>
    <t>ｱｰﾃｯｸ/ｿﾌﾄｻﾃﾝ ﾜﾝﾋﾟｰｽ 黄緑 J/19171</t>
  </si>
  <si>
    <t>ｱｰﾃｯｸ/ｽﾃｨｯｸしゃぼん きょうりゅう/21333</t>
  </si>
  <si>
    <t>ｱｰﾃｯｸ/ﾜｸﾜｸじどうはんばいき 水色/21353</t>
  </si>
  <si>
    <t>ｱｰﾃｯｸ/ﾌｪﾙﾄのおせんべいｹﾞｰﾑ/21202</t>
  </si>
  <si>
    <t>ｱｰﾃｯｸ/作品収納ﾊﾞｯｸ 大 不織布 薄桃 10枚/11326</t>
  </si>
  <si>
    <t>ｱｰﾃｯｸ/ｿﾌﾄｻﾃﾝ ﾜﾝﾋﾟｰｽ 紫 J/19172</t>
  </si>
  <si>
    <t>ｱｰﾃｯｸ/ｽﾃｨｯｸしゃぼん きょうりゅう 24個 BOXｾｯﾄ/21332</t>
  </si>
  <si>
    <t>ｱｰﾃｯｸ/ｽﾃｨｯｸしゃぼん ﾄﾞｰﾅﾂ/21335</t>
  </si>
  <si>
    <t>ｱｰﾃｯｸ/ｽﾃｨｯｸしゃぼん ﾄﾞｰﾅﾂ 24個 BOXｾｯﾄ/21334</t>
  </si>
  <si>
    <t>ｱｰﾃｯｸ/ｽﾃｨｯｸしゃぼん ｱﾆﾏﾙ/21339</t>
  </si>
  <si>
    <t>ｱｰﾃｯｸ/変なぷにゅぷにゅいきもの 5個ｾｯﾄ/21247</t>
  </si>
  <si>
    <t>ｱｰﾃｯｸ/作品収納ﾊﾞｯｸ 大 不織布 黒 10枚/11325</t>
  </si>
  <si>
    <t>ｱｰﾃｯｸ/ｽﾃｨｯｸしゃぼん ﾏｲｸ/21337</t>
  </si>
  <si>
    <t>ｱｰﾃｯｸ/ｽﾃｨｯｸしゃぼん ﾏｲｸ BOXｾｯﾄ(24個入)/21336</t>
  </si>
  <si>
    <t>ｱｰﾃｯｸ/ﾊﾟﾀﾊﾟﾀｽﾃｨｯｸしゃぼん/21367</t>
  </si>
  <si>
    <t>ｱｰﾃｯｸ/ﾊﾟﾀﾊﾟﾀｽﾃｨｯｸしゃぼん 24個 BOXｾｯﾄ/21366</t>
  </si>
  <si>
    <t>ｱｰﾃｯｸ/光るうちわ 星/21365</t>
  </si>
  <si>
    <t>ｱｰﾃｯｸ/ｿﾌﾄｻﾃﾝ ﾜﾝﾋﾟｰｽ 赤 S/19173</t>
  </si>
  <si>
    <t>ｱｰﾃｯｸ/ﾊﾟﾀﾊﾟﾀくん かめ/21269</t>
  </si>
  <si>
    <t>ｱｰﾃｯｸ/腕時計型うみのいきものﾌﾟﾛｼﾞｪｸﾀｰ/21288</t>
  </si>
  <si>
    <t>ｱｰﾃｯｸ/ひろがるむかしばなしｼｰﾙﾌﾞｯｸ/21342</t>
  </si>
  <si>
    <t>ｱｰﾃｯｸ/ﾊﾟﾀﾊﾟﾀ わにさん/21266</t>
  </si>
  <si>
    <t>ｱｰﾃｯｸ/ｱﾆﾏﾙｳｫｰﾀｰﾎﾞｰﾙｼｬﾜｰ/21267</t>
  </si>
  <si>
    <t>ｱｰﾃｯｸ/DIARY雑記帳 A5 10冊/74715</t>
  </si>
  <si>
    <t>ｱｰﾃｯｸ/ｿﾌﾄｻﾃﾝ ﾜﾝﾋﾟｰｽ 青 S/19174</t>
  </si>
  <si>
    <t>ｱｰﾃｯｸ/かいてけしてﾌﾟﾚｲﾌﾞｯｸ うみのいきもの/21329</t>
  </si>
  <si>
    <t>ﾄｰﾖｰ/おりがみﾄｲｽﾞ!/21277</t>
  </si>
  <si>
    <t>ｱｰﾃｯｸ/見ておぼえるとどうふけんﾊﾟｽﾞﾙ ｱﾌﾟﾘ付/11955</t>
  </si>
  <si>
    <t>ｱｰﾃｯｸ/ｺﾞｰﾙﾄﾞお誕生日かんむり&amp;ｶｰﾄﾞｾｯﾄ/21273</t>
  </si>
  <si>
    <t>ｱｰﾃｯｸ/つながってるｶﾚﾝﾀﾞｰ 大/92221</t>
  </si>
  <si>
    <t>ｱｰﾃｯｸ/ｿﾌﾄｻﾃﾝ ﾜﾝﾋﾟｰｽ 黄 S/19175</t>
  </si>
  <si>
    <t>ｱｰﾃｯｸ/12色いろえんぴつ 透明ｹｰｽ入り/21407</t>
  </si>
  <si>
    <t>ｱｰﾃｯｸ/ﾊﾞﾗﾝｽ積み木 白木/21450</t>
  </si>
  <si>
    <t>ｱｰﾃｯｸ/つながってるｶﾚﾝﾀﾞｰ 中 ｲｰｾﾞﾙ付/92222</t>
  </si>
  <si>
    <t>ｱｰﾃｯｸ/ｿﾌﾄｻﾃﾝ ﾜﾝﾋﾟｰｽ 白 S/19176</t>
  </si>
  <si>
    <t>ｱｰﾃｯｸ/つながってるｶﾚﾝﾀﾞｰ 小 ｲｰｾﾞﾙ付/92223</t>
  </si>
  <si>
    <t>ｱｰﾃｯｸ/ﾌﾗｯﾄｽｹｼﾞｭｰﾙﾌﾞｯｸ/92229</t>
  </si>
  <si>
    <t>ｱｰﾃｯｸ/ｿﾌﾄｻﾃﾝ かぼちゃﾊﾟﾝﾂ 橙 C/19177</t>
  </si>
  <si>
    <t>ｱｰﾃｯｸ/年間ｽｹｼﾞｭｰﾙｶﾚﾝﾀﾞｰ 10枚/92233</t>
  </si>
  <si>
    <t>ｱｰﾃｯｸ/ｿﾌﾄｻﾃﾝ かぼちゃﾊﾟﾝﾂ 銀 C/19178</t>
  </si>
  <si>
    <t>ｱｰﾃｯｸ/花のｶﾚﾝﾀﾞｰ/118831</t>
  </si>
  <si>
    <t>ｱｰﾃｯｸ/ｿﾌﾄｻﾃﾝ かぼちゃﾊﾟﾝﾂ 橙 J/19180</t>
  </si>
  <si>
    <t>ｱｰﾃｯｸ/ｿﾌﾄｻﾃﾝ かぼちゃﾊﾟﾝﾂ 緑 J/19179</t>
  </si>
  <si>
    <t>ｱｰﾃｯｸ/ｿﾌﾄｻﾃﾝ かぼちゃﾊﾟﾝﾂ 黄緑 J/19181</t>
  </si>
  <si>
    <t>ｱｰﾃｯｸ/ｿﾌﾄｻﾃﾝ かぼちゃﾊﾟﾝﾂ 紫 J/19182</t>
  </si>
  <si>
    <t>ｱｰﾃｯｸ/ｿﾌﾄｻﾃﾝ 着物 おくみ付 赤 帯黒/19184</t>
  </si>
  <si>
    <t>ｱｰﾃｯｸ/ｿﾌﾄｻﾃﾝ かぼちゃﾊﾟﾝﾂ 銀 J/19183</t>
  </si>
  <si>
    <t>ｱｰﾃｯｸ/ｿﾌﾄｻﾃﾝ 着物 おくみ付 黄 帯緑/19185</t>
  </si>
  <si>
    <t>ｱｰﾃｯｸ/ｿﾌﾄｻﾃﾝ 着物 おくみ付 桃 帯白/19186</t>
  </si>
  <si>
    <t>ｱｰﾃｯｸ/ｿﾌﾄｻﾃﾝ 着物 おくみ付 水 帯桃/19188</t>
  </si>
  <si>
    <t>ｱｰﾃｯｸ/ｿﾌﾄｻﾃﾝ 着物 おくみ付 黄緑 帯黄/19189</t>
  </si>
  <si>
    <t>ｱｰﾃｯｸ/ｿﾌﾄｻﾃﾝ 着物 おくみ付 白 襟帯青/19187</t>
  </si>
  <si>
    <t>ｱｰﾃｯｸ/ｿﾌﾄｻﾃﾝ ｵﾌｼｮﾙﾀﾞｰｼｬﾂ 白 J/19289</t>
  </si>
  <si>
    <t>ｱｰﾃｯｸ/英語で合体!へんてこｱﾆﾏﾙｶｰﾄﾞｹﾞｰﾑ/007421</t>
  </si>
  <si>
    <t>ｱｰﾃｯｸ/衣装ﾍﾞｰｽ 学ﾗﾝ J/19302</t>
  </si>
  <si>
    <t>ｱｰﾃｯｸ/衣装ﾍﾞｰｽ ｵｰﾙｲﾝﾜﾝ 赤/19326</t>
  </si>
  <si>
    <t>ｱｰﾃｯｸ/衣装ﾍﾞｰｽ ｵｰﾙｲﾝﾜﾝ 黄/19327</t>
  </si>
  <si>
    <t>ｱｰﾃｯｸ/このつぎなにするｶｰﾄﾞ/007426</t>
  </si>
  <si>
    <t>ｱｰﾃｯｸ/衣装ﾍﾞｰｽ ｵｰﾙｲﾝﾜﾝ 白/19328</t>
  </si>
  <si>
    <t>ｱｰﾃｯｸ/おんなじことばｶｰﾄﾞｹﾞｰﾑ/007427</t>
  </si>
  <si>
    <t>ｱｰﾃｯｸ/ｿﾌﾄｻﾃﾝ 裾ﾌﾘﾙｽｶｰﾄ 赤/19334</t>
  </si>
  <si>
    <t>ｱｰﾃｯｸ/あいうえおﾎﾟｰｽﾞかるた読み上げｱﾌﾟﾘ付/007428</t>
  </si>
  <si>
    <t>ｱｰﾃｯｸ/ｿﾌﾄｻﾃﾝ 裾ﾌﾘﾙｽｶｰﾄ 青/19335</t>
  </si>
  <si>
    <t>ｱｰﾃｯｸ/ｱﾚのなまえしってる?かるた/007432</t>
  </si>
  <si>
    <t>ｱｰﾃｯｸ/ATｲｰｾﾞﾙ 小/11536</t>
  </si>
  <si>
    <t>ｱｰﾃｯｸ/ｿﾌﾄｻﾃﾝ 裾ﾌﾘﾙｽｶｰﾄ 黄/19336</t>
  </si>
  <si>
    <t>ｱｰﾃｯｸ/ATｲｰｾﾞﾙ 中/11537</t>
  </si>
  <si>
    <t>ｱｰﾃｯｸ/ｿﾌﾄｻﾃﾝ 裾ﾌﾘﾙｽｶｰﾄ 桃/19337</t>
  </si>
  <si>
    <t>ｱｰﾃｯｸ/めいたんていしろくまｰん ことばあそび/007440</t>
  </si>
  <si>
    <t>ｱｰﾃｯｸ/ATｲｰｾﾞﾙ 大/11538</t>
  </si>
  <si>
    <t>ｱｰﾃｯｸ/ﾌｪﾙﾄ三角帽子 赤/19338</t>
  </si>
  <si>
    <t>ｱｰﾃｯｸ/きってはってぬって絵本作り たべもの/007443</t>
  </si>
  <si>
    <t>ｱｰﾃｯｸ/ﾌｪﾙﾄ三角帽子 青/19339</t>
  </si>
  <si>
    <t>ｱｰﾃｯｸ/ﾌｪﾙﾄ三角帽子 黄/19340</t>
  </si>
  <si>
    <t>ｱｰﾃｯｸ/ﾌｪﾙﾄまんまる帽子 青/19342</t>
  </si>
  <si>
    <t>ｱｰﾃｯｸ/ﾌｪﾙﾄまんまる帽子 赤/19341</t>
  </si>
  <si>
    <t>ｱｰﾃｯｸ/ｷﾗｷﾗﾐﾆ三角帽子 赤/19351</t>
  </si>
  <si>
    <t>ｱｰﾃｯｸ/ﾌｪﾙﾄまんまる帽子 黄/19343</t>
  </si>
  <si>
    <t>ｱｰﾃｯｸ/ｷﾗｷﾗﾐﾆ三角帽子 青/19352</t>
  </si>
  <si>
    <t>ｱｰﾃｯｸ/ｿﾌﾄｻﾃﾝ 学ﾗﾝ/19358</t>
  </si>
  <si>
    <t>ｱｰﾃｯｸ/ｿﾌﾄｻﾃﾝ おにのﾊﾟﾝﾂ 黄 J/19365</t>
  </si>
  <si>
    <t>ｱｰﾃｯｸ/ｷﾗｷﾗﾐﾆ三角帽子 黄/19353</t>
  </si>
  <si>
    <t>ｱｰﾃｯｸ/ｿﾌﾄｻﾃﾝ ﾃｰﾊﾟｰﾄﾞﾊﾟﾝﾂﾗｲﾝ 白 J/19377</t>
  </si>
  <si>
    <t>ｱｰﾃｯｸ/ｿﾌﾄｻﾃﾝ ﾃｰﾊﾟｰﾄﾞﾊﾟﾝﾂﾗｲﾝ 黒 J/19378</t>
  </si>
  <si>
    <t>ｱｰﾃｯｸ/ｿﾌﾄｻﾃﾝ ﾌﾘﾌﾘｼｬﾂ 赤 J/19379</t>
  </si>
  <si>
    <t>ｱｰﾃｯｸ/かいてけしてﾏｰｶｰﾌﾟﾚｲﾌﾞｯｸ うちゅう/007479</t>
  </si>
  <si>
    <t>ｱｰﾃｯｸ/ｿﾌﾄｻﾃﾝ ﾌﾘﾌﾘｼｬﾂ 桃 J/19380</t>
  </si>
  <si>
    <t>ｱｰﾃｯｸ/星座ﾄﾗﾝﾌﾟ/007497</t>
  </si>
  <si>
    <t>ｱｰﾃｯｸ/ｿﾌﾄｻﾃﾝ ﾌﾘﾌﾘｼｬﾂ 白 J/19381</t>
  </si>
  <si>
    <t>ｱｰﾃｯｸ/おとぎばなしﾌﾟﾛｼﾞｪｸﾀｰ/007509</t>
  </si>
  <si>
    <t>ｱｰﾃｯｸ/ｿﾌﾄｻﾃﾝ ﾌﾘﾌﾘｼｬﾂ 水 J/19382</t>
  </si>
  <si>
    <t>ｱｰﾃｯｸ/ｿﾌﾄｻﾃﾝ 丸襟付ﾌﾘﾌﾘｼｬﾂ 白 J/19383</t>
  </si>
  <si>
    <t>ｱｰﾃｯｸ/ﾍﾞﾛｱｼﾞｬｹｯﾄ 黒/19384</t>
  </si>
  <si>
    <t>ｱｰﾃｯｸ/ｿﾌﾄｻﾃﾝ 袴ｽﾞﾎﾞﾝ 赤×黄/19516</t>
  </si>
  <si>
    <t>ｱｰﾃｯｸ/ｿﾌﾄｻﾃﾝ 袴ｽﾞﾎﾞﾝ 銀×青/19517</t>
  </si>
  <si>
    <t>ｱｰﾃｯｸ/ｿﾌﾄｻﾃﾝ ｼｭｰｽﾞｶﾊﾞｰ ﾌﾞｰﾂ 黒/19521</t>
  </si>
  <si>
    <t>ｱｰﾃｯｸ/ｿﾌﾄｻﾃﾝ ｼｭｰｽﾞｶﾊﾞｰ ﾌﾞｰﾂ 茶/19522</t>
  </si>
  <si>
    <t>ｱｰﾃｯｸ/ﾌｪﾙﾄ おにの帽子 赤×黄/19536</t>
  </si>
  <si>
    <t>ｱｰﾃｯｸ/ｿﾌﾄｻﾃﾝ ｼｬﾂ 丸襟付 白 J/19602</t>
  </si>
  <si>
    <t>ｱｰﾃｯｸ/きょうりゅうﾌﾟﾛｼﾞｪｸﾀｰ/007642</t>
  </si>
  <si>
    <t>ｱｰﾃｯｸ/ﾌｪﾙﾄ おにの帽子 青×黄/19603</t>
  </si>
  <si>
    <t>ｱｰﾃｯｸ/くまさん手帳型ﾌｪﾙﾄﾌﾚｰﾑ/6996</t>
  </si>
  <si>
    <t>ｱｰﾃｯｸ/ｽﾄﾚｯﾁｻﾃﾝｸﾞﾛｰﾌﾞ 白 C/19604</t>
  </si>
  <si>
    <t>ｱｰﾃｯｸ/ｿﾌﾄｻﾃﾝ ﾁｬｲﾅｼｬﾂ 青 C/21858</t>
  </si>
  <si>
    <t>ｱｰﾃｯｸ/ｿﾌﾄｻﾃﾝ ﾁｬｲﾅｼｬﾂ 黄 C/21859</t>
  </si>
  <si>
    <t>ｱｰﾃｯｸ/ｿﾌﾄｻﾃﾝ ﾁｬｲﾅｼｬﾂ 青 J/21860</t>
  </si>
  <si>
    <t>ｱｰﾃｯｸ/ｿﾌﾄｻﾃﾝ ﾁｬｲﾅｼｬﾂ 黄 J/21861</t>
  </si>
  <si>
    <t>ｱｰﾃｯｸ/はがせるｼｰﾙ 5枚入り/20295</t>
  </si>
  <si>
    <t>ｱｰﾃｯｸ/うちわ 丸柄(ﾌﾟﾗ製) 10本組/38063</t>
  </si>
  <si>
    <t>ｱｰﾃｯｸ/世界のいろいろﾄﾗﾝﾌﾟ/007914</t>
  </si>
  <si>
    <t>ｱｰﾃｯｸ/すうじてんびん/007915</t>
  </si>
  <si>
    <t>ｱｰﾃｯｸ/両面色がみ 大 (25×25cm) 16種24枚/45382</t>
  </si>
  <si>
    <t>ｱｰﾃｯｸ/特産･名産 都道府県ﾄﾗﾝﾌﾟ/007918</t>
  </si>
  <si>
    <t>ｱｰﾃｯｸ/千代紙 (15×15cm) 10種30枚/45383</t>
  </si>
  <si>
    <t>ｱｰﾃｯｸ/つながる知育ﾄﾗﾝﾌﾟ/007925</t>
  </si>
  <si>
    <t>ｱｰﾃｯｸ/せいかつしゅうかんｱﾗｰﾑ時計/007967</t>
  </si>
  <si>
    <t>ｱｰﾃｯｸ/正月 年賀ﾎﾟｽﾀｰ B2(728×515mm)×5枚ｾｯﾄ/92268</t>
  </si>
  <si>
    <t>ｱｰﾃｯｸ/ｶﾗｰ不織布ﾛﾝｸﾞﾊｯﾋﾟ(ﾊﾁﾏｷ付) 桃 J/1164</t>
  </si>
  <si>
    <t>ｱｰﾃｯｸ/ｶﾗｰ不織布ﾛﾝｸﾞﾊｯﾋﾟ(ﾊﾁﾏｷ付) 白 J/1165</t>
  </si>
  <si>
    <t>ｱｰﾃｯｸ/正月 年賀ﾎﾟｽﾀｰ 728×257mm×5枚ｾｯﾄ/92269</t>
  </si>
  <si>
    <t>ｱｰﾃｯｸ/かんたんねじりはちまき 赤/白/金/18789</t>
  </si>
  <si>
    <t>ｱｰﾃｯｸ/ﾑｶﾃﾞ競争用連結ﾍﾞﾙﾄ 黒/18790</t>
  </si>
  <si>
    <t>ｱｰﾃｯｸ/ｶﾗｰ不織布ﾊｯﾋﾟ袖無 黒(青襟)J/18927</t>
  </si>
  <si>
    <t>ｱｰﾃｯｸ/ｶﾗｰ不織布ﾊｯﾋﾟ袖無 黒(黄襟)J/18928</t>
  </si>
  <si>
    <t>ｱｰﾃｯｸ/ﾛﾝｸﾞﾊｯﾋﾟ不織布 ﾂｰﾄﾝｶﾗｰ(帯付) 青 S/18944</t>
  </si>
  <si>
    <t>ｱｰﾃｯｸ/ﾛﾝｸﾞﾊｯﾋﾟ不織布 ﾂｰﾄﾝｶﾗｰ(帯付) 赤 S/18943</t>
  </si>
  <si>
    <t>ｱｰﾃｯｸ/かぶるだけはちまき 赤/19002</t>
  </si>
  <si>
    <t>ｱｰﾃｯｸ/ﾛﾝｸﾞﾊｯﾋﾟ不織布 ﾂｰﾄﾝｶﾗｰ(帯付) 黄 S/18945</t>
  </si>
  <si>
    <t>ｱｰﾃｯｸ/かぶるだけはちまき 青/19003</t>
  </si>
  <si>
    <t>ｱｰﾃｯｸ/かぶるだけはちまき 白/19005</t>
  </si>
  <si>
    <t>ｱｰﾃｯｸ/ｶﾗｰ不織布ﾛﾝｸﾞﾊｯﾋﾟ(ﾊﾁﾏｷ付) 赤 M/19065</t>
  </si>
  <si>
    <t>ｱｰﾃｯｸ/かぶるだけはちまき 黄/19004</t>
  </si>
  <si>
    <t>ｱｰﾃｯｸ/ｶﾗｰ不織布ﾛﾝｸﾞﾊｯﾋﾟ(ﾊﾁﾏｷ付) 青 M/19066</t>
  </si>
  <si>
    <t>ｱｰﾃｯｸ/ｶﾗｰ不織布ﾛﾝｸﾞﾊｯﾋﾟ(ﾊﾁﾏｷ付) 黄 M/19067</t>
  </si>
  <si>
    <t>ｱｰﾃｯｸ/つみつみｺｯﾌﾟ くま/009452</t>
  </si>
  <si>
    <t>ｱｰﾃｯｸ/ｶﾗｰ不織布ﾛﾝｸﾞﾊｯﾋﾟ(ﾊﾁﾏｷ付) 緑 M/19068</t>
  </si>
  <si>
    <t>ｱｰﾃｯｸ/ｶﾗｰ不織布ﾛﾝｸﾞﾊｯﾋﾟ(ﾊﾁﾏｷ付) 黒(青襟) M/19070</t>
  </si>
  <si>
    <t>ｱｰﾃｯｸ/ｶﾗｰ不織布ﾛﾝｸﾞﾊｯﾋﾟ(ﾊﾁﾏｷ付) 黒(赤襟) M/19069</t>
  </si>
  <si>
    <t>ｱｰﾃｯｸ/ｶﾗｰ不織布ﾛﾝｸﾞﾊｯﾋﾟ(ﾊﾁﾏｷ付) 黒(黄襟) M/19071</t>
  </si>
  <si>
    <t>ｱｰﾃｯｸ/ｶﾗｰ不織布ﾛﾝｸﾞﾊｯﾋﾟ(ﾊﾁﾏｷ付) 黒(緑襟) M/19072</t>
  </si>
  <si>
    <t>ｱｰﾃｯｸ/あいうえおにごっこ/009464</t>
  </si>
  <si>
    <t>ｱｰﾃｯｸ/ｶﾗｰ不織布ﾛﾝｸﾞﾊｯﾋﾟ(ﾊﾁﾏｷ付) 黒(紫襟) M/19073</t>
  </si>
  <si>
    <t>ｱｰﾃｯｸ/ｻﾃﾝﾛﾝｸﾞﾊｯﾋﾟ(ﾊﾁﾏｷ付) 青 M/19087</t>
  </si>
  <si>
    <t>ｱｰﾃｯｸ/ｻﾃﾝﾛﾝｸﾞﾊｯﾋﾟ(ﾊﾁﾏｷ付) 赤 M/19086</t>
  </si>
  <si>
    <t>ｱｰﾃｯｸ/ｻﾃﾝﾛﾝｸﾞﾊｯﾋﾟ(ﾊﾁﾏｷ付) 緑 M/19089</t>
  </si>
  <si>
    <t>ｱｰﾃｯｸ/ｻﾃﾝﾛﾝｸﾞﾊｯﾋﾟ(ﾊﾁﾏｷ付) 黒(襟赤) M/19090</t>
  </si>
  <si>
    <t>ｱｰﾃｯｸ/ｻﾃﾝﾛﾝｸﾞﾊｯﾋﾟ(ﾊﾁﾏｷ付) 黒(襟青) M/19091</t>
  </si>
  <si>
    <t>ｱｰﾃｯｸ/ｻﾃﾝﾛﾝｸﾞﾊｯﾋﾟ(ﾊﾁﾏｷ付) 黄 M/19088</t>
  </si>
  <si>
    <t>ｱｰﾃｯｸ/ﾄﾞｷﾄﾞｷ!ﾌﾙｰﾂ合戦ｶｰﾄﾞｹﾞｰﾑ/009476</t>
  </si>
  <si>
    <t>ｱｰﾃｯｸ/ｻﾃﾝﾛﾝｸﾞﾊｯﾋﾟ(ﾊﾁﾏｷ付) 黒(襟緑) M/19093</t>
  </si>
  <si>
    <t>ｱｰﾃｯｸ/ｻﾃﾝﾛﾝｸﾞﾊｯﾋﾟ(ﾊﾁﾏｷ付) 黒(襟紫) M/19094</t>
  </si>
  <si>
    <t>ｱｰﾃｯｸ/ｻﾃﾝﾛﾝｸﾞﾊｯﾋﾟ(ﾊﾁﾏｷ付) 黒(襟黄) M/19092</t>
  </si>
  <si>
    <t>ｱｰﾃｯｸ/ｻﾃﾝﾛﾝｸﾞﾊｯﾋﾟ(ﾊﾁﾏｷ付) 白 M/19095</t>
  </si>
  <si>
    <t>ｱｰﾃｯｸ/ｻﾃﾝﾛﾝｸﾞﾊｯﾋﾟ(ﾊﾁﾏｷ付) 黒 M/19096</t>
  </si>
  <si>
    <t>ｱｰﾃｯｸ/ｼｰﾙﾊﾟｽﾞﾙﾌﾞｯｸ すいぞくかん/009489</t>
  </si>
  <si>
    <t>ｱｰﾃｯｸ/ｻﾃﾝﾛﾝｸﾞﾊｯﾋﾟ(ﾊﾁﾏｷ付) 金 M/19097</t>
  </si>
  <si>
    <t>ｱｰﾃｯｸ/ｻﾃﾝﾛﾝｸﾞﾊｯﾋﾟ(ﾊﾁﾏｷ付) 黒(襟銀) M/19099</t>
  </si>
  <si>
    <t>ｱｰﾃｯｸ/ｻﾃﾝﾛﾝｸﾞﾊｯﾋﾟ(ﾊﾁﾏｷ付) 黒(襟金) M/19098</t>
  </si>
  <si>
    <t>ｱｰﾃｯｸ/ｶﾗｰ不織布ﾊｯﾋﾟ(帯付) 青 M/19139</t>
  </si>
  <si>
    <t>ｱｰﾃｯｸ/ｶﾗｰ不織布ﾊｯﾋﾟ(帯付) 赤 M/19138</t>
  </si>
  <si>
    <t>ｱｰﾃｯｸ/ｶﾗｰ不織布ﾊｯﾋﾟ(帯付) 黄 M/19140</t>
  </si>
  <si>
    <t>ｱｰﾃｯｸ/ｶﾗｰ不織布ﾊｯﾋﾟ(帯付) 黒(襟赤) M/19141</t>
  </si>
  <si>
    <t>ｱｰﾃｯｸ/ｺﾛｺﾛ絵合わせｷｭｰﾌﾞﾊﾟｽﾞﾙ/009501</t>
  </si>
  <si>
    <t>ｱｰﾃｯｸ/ｶﾗｰ不織布ﾊｯﾋﾟ(帯付) 黒(襟青) M/19142</t>
  </si>
  <si>
    <t>ｱｰﾃｯｸ/ｿﾌﾄｻﾃﾝﾛﾝｸﾞﾊｯﾋﾟ(ﾊﾁﾏｷ付) 白 M/19151</t>
  </si>
  <si>
    <t>ｱｰﾃｯｸ/ｶﾗｰ不織布ﾊｯﾋﾟ(帯付) 黒(襟黄) M/19143</t>
  </si>
  <si>
    <t>ｱｰﾃｯｸ/ｿﾌﾄｻﾃﾝﾛﾝｸﾞﾊｯﾋﾟ(ﾊﾁﾏｷ付) 緑 M/19152</t>
  </si>
  <si>
    <t>ｱｰﾃｯｸ/めざせ!たんてい ちびくまｰん1/009513</t>
  </si>
  <si>
    <t>ｱｰﾃｯｸ/ﾒｯｼｭﾛﾝｸﾞﾊｯﾋﾟ(ﾊﾁﾏｷ付) 黒(赤襟) J/19197</t>
  </si>
  <si>
    <t>ｱｰﾃｯｸ/ｿﾌﾄｻﾃﾝﾛﾝｸﾞﾊｯﾋﾟ(ﾊﾁﾏｷ付) 金 M/19153</t>
  </si>
  <si>
    <t>ｱｰﾃｯｸ/ﾒｯｼｭﾛﾝｸﾞﾊｯﾋﾟ(ﾊﾁﾏｷ付) 黒(青襟) J/19198</t>
  </si>
  <si>
    <t>ｱｰﾃｯｸ/ﾒｯｼｭﾛﾝｸﾞﾊｯﾋﾟ(ﾊﾁﾏｷ付) 黒(黄襟) J/19199</t>
  </si>
  <si>
    <t>ｱｰﾃｯｸ/ﾒｯｼｭﾛﾝｸﾞﾊｯﾋﾟ(ﾊﾁﾏｷ付) 黒(赤襟) S/19200</t>
  </si>
  <si>
    <t>ｱｰﾃｯｸ/ﾒｯｼｭﾛﾝｸﾞﾊｯﾋﾟ(ﾊﾁﾏｷ付) 黒(青襟) S/19201</t>
  </si>
  <si>
    <t>ｱｰﾃｯｸ/ｿﾌﾄｻﾃﾝﾛﾝｸﾞﾊｯﾋﾟ(ﾊﾁﾏｷ付) 金 S/19205</t>
  </si>
  <si>
    <t>ｱｰﾃｯｸ/ﾒｯｼｭﾛﾝｸﾞﾊｯﾋﾟ(ﾊﾁﾏｷ付) 黒(黄襟) S/19202</t>
  </si>
  <si>
    <t>ｱｰﾃｯｸ/そっくりﾒﾓﾘｰｶｰﾄﾞ/009526</t>
  </si>
  <si>
    <t>ｱｰﾃｯｸ/ｿﾌﾄｻﾃﾝﾛﾝｸﾞﾊｯﾋﾟ(ﾊﾁﾏｷ付) 黒(襟緑) J/19207</t>
  </si>
  <si>
    <t>ｱｰﾃｯｸ/ｿﾌﾄｻﾃﾝﾛﾝｸﾞﾊｯﾋﾟ(ﾊﾁﾏｷ付) 金 L/19206</t>
  </si>
  <si>
    <t>ｱｰﾃｯｸ/昔ばなしﾄﾗﾝﾌﾟ/009527</t>
  </si>
  <si>
    <t>ｱｰﾃｯｸ/ｿﾌﾄｻﾃﾝﾛﾝｸﾞﾊｯﾋﾟ(ﾊﾁﾏｷ付) 金 J/19208</t>
  </si>
  <si>
    <t>ｱｰﾃｯｸ/ｶﾗﾌﾙﾓﾝｽﾀｰﾋﾝﾄかるた/009528</t>
  </si>
  <si>
    <t>ｱｰﾃｯｸ/ｻﾃﾝﾛﾝｸﾞﾊｯﾋﾟ(ﾊﾁﾏｷ付) 黒(襟緑) J/19209</t>
  </si>
  <si>
    <t>ｱｰﾃｯｸ/ｶﾗｰ両面ｾﾞｯｹﾝ 青/19253</t>
  </si>
  <si>
    <t>ｱｰﾃｯｸ/からだの不思議かるた/009529</t>
  </si>
  <si>
    <t>ｱｰﾃｯｸ/ｶﾗｰ両面ｾﾞｯｹﾝ 赤/19252</t>
  </si>
  <si>
    <t>ｱｰﾃｯｸ/ｶﾗｰ両面ｾﾞｯｹﾝ 黄/19254</t>
  </si>
  <si>
    <t>ｱｰﾃｯｸ/どうぶつﾊﾟｽﾞﾙ ｴﾝｼﾞｮｲｼｰﾄ付/009546</t>
  </si>
  <si>
    <t>ｱｰﾃｯｸ/おはしあそび ﾊﾞｰﾍﾞｷｭｰ/009538</t>
  </si>
  <si>
    <t>ｱｰﾃｯｸ/へんがおならべ/009548</t>
  </si>
  <si>
    <t>ｱｰﾃｯｸ/2人対戦ｹﾞｰﾑ ねこまねき/009551</t>
  </si>
  <si>
    <t>ｱｰﾃｯｸ/爆弾ｶｰﾄﾞｹﾞｰﾑ/009564</t>
  </si>
  <si>
    <t>ｱｰﾃｯｸ/Artecﾚｼﾞﾝ着色剤 透明色 10mL ﾋﾟﾝｸ/58669</t>
  </si>
  <si>
    <t>ｱｰﾃｯｸ/Artecﾚｼﾞﾝ着色剤 透明色 10mL ﾚｯﾄﾞ/58670</t>
  </si>
  <si>
    <t>ｱｰﾃｯｸ/Artecﾚｼﾞﾝ着色剤 透明色 10mL ｽｲｰﾄｵﾚﾝｼﾞ/58671</t>
  </si>
  <si>
    <t>ｱｰﾃｯｸ/Artecﾚｼﾞﾝ着色剤 透明色 10mL ｵﾚﾝｼﾞ/58672</t>
  </si>
  <si>
    <t>ｱｰﾃｯｸ/Artecﾚｼﾞﾝ着色剤 透明色 10mL ｲｴﾛｰ/58673</t>
  </si>
  <si>
    <t>ｱｰﾃｯｸ/Artecﾚｼﾞﾝ着色剤 透明色 10mL ﾌﾞﾗｳﾝ/58674</t>
  </si>
  <si>
    <t>ｱｰﾃｯｸ/Artecﾚｼﾞﾝ着色剤 透明色 10mL ﾌﾞﾗｯｸ/58675</t>
  </si>
  <si>
    <t>ｱｰﾃｯｸ/ｶﾗｰたすき 赤 10本組/18395</t>
  </si>
  <si>
    <t>ｱｰﾃｯｸ/ｶﾗｰたすき 白 10本組/18396</t>
  </si>
  <si>
    <t>ｱｰﾃｯｸ/ｶﾗｰたすき 青 10本組/18397</t>
  </si>
  <si>
    <t>ｱｰﾃｯｸ/ｶﾗｰたすき 黄 10本組/18398</t>
  </si>
  <si>
    <t>ｱｰﾃｯｸ/ｶﾗｰたすき 桃 10本組/18400</t>
  </si>
  <si>
    <t>ｱｰﾃｯｸ/ﾛﾝｸﾞはちまき 赤 10本組/18401</t>
  </si>
  <si>
    <t>ｱｰﾃｯｸ/ｶﾗｰたすき 緑 10本組/18399</t>
  </si>
  <si>
    <t>ｱｰﾃｯｸ/ﾛﾝｸﾞはちまき 白 10本組/18402</t>
  </si>
  <si>
    <t>ｱｰﾃｯｸ/ﾛﾝｸﾞはちまき 黒 10本組/18403</t>
  </si>
  <si>
    <t>ｱｰﾃｯｸ/ﾛﾝｸﾞはちまき 黄 10本組/18405</t>
  </si>
  <si>
    <t>ｱｰﾃｯｸ/ﾛﾝｸﾞはちまき 青 10本組/18404</t>
  </si>
  <si>
    <t>ｱｰﾃｯｸ/ﾛﾝｸﾞはちまき 紫 10本組/18407</t>
  </si>
  <si>
    <t>ｱｰﾃｯｸ/きってはってぬって絵本作り どうぶつえん</t>
  </si>
  <si>
    <t>ｱｰﾃｯｸ/NEOへんがおぽっくり/21810</t>
  </si>
  <si>
    <t>ｱｰﾃｯｸ/ｶﾗｰなるこ 赤(袋入)/18408</t>
  </si>
  <si>
    <t>ｱｰﾃｯｸ/ｶﾗｰなるこ 青(袋入)/18409</t>
  </si>
  <si>
    <t>ｱｰﾃｯｸ/かぞえるﾀｵﾙ きせつのすうじ/011757</t>
  </si>
  <si>
    <t>ｱｰﾃｯｸ/ｶﾗｰなるこ 黄(袋入)/18410</t>
  </si>
  <si>
    <t>ｱｰﾃｯｸ/ﾛﾝｸﾞはちまき 緑 10本組/18406</t>
  </si>
  <si>
    <t>ｱｰﾃｯｸ/なるこ 無着色(袋入)/18411</t>
  </si>
  <si>
    <t>ｱｰﾃｯｸ/大旗 φ12mm 青 10本組/18413</t>
  </si>
  <si>
    <t>ｱｰﾃｯｸ/大旗 φ12mm 赤 10本組/18412</t>
  </si>
  <si>
    <t>ｱｰﾃｯｸ/おえかきﾌｫﾄﾌﾚｰﾑｶﾚﾝﾀﾞｰ/21840</t>
  </si>
  <si>
    <t>ｱｰﾃｯｸ/ﾌｫﾄｽﾀﾝﾄﾞｱﾙﾊﾞﾑ/21740</t>
  </si>
  <si>
    <t>ｱｰﾃｯｸ/大旗 φ12mm 緑 10本組/18415</t>
  </si>
  <si>
    <t>ｱｰﾃｯｸ/大旗 φ12mm 白 10本組/18416</t>
  </si>
  <si>
    <t>ｱｰﾃｯｸ/大旗 φ12mm 黄 10本組/18414</t>
  </si>
  <si>
    <t>ｱｰﾃｯｸ/大旗 φ12mm 橙 10本組/18417</t>
  </si>
  <si>
    <t>ｱｰﾃｯｸ/大旗 φ12mm 桃 10本組/18418</t>
  </si>
  <si>
    <t>ｱｰﾃｯｸ/机と椅子ｼﾞｵﾗﾏﾍﾞｰｽ/001033</t>
  </si>
  <si>
    <t>ｱｰﾃｯｸ/机と椅子ｼﾞｵﾗﾏﾍﾞｰｽ 小/001070</t>
  </si>
  <si>
    <t>ｱｰﾃｯｸ/ﾜﾝﾀｯﾁｸﾘｱｷｰﾎﾙﾀﾞｰ ﾌﾟﾚｾﾞﾝﾄｸﾘｱｶｰﾄﾞｹｰｽ/001761</t>
  </si>
  <si>
    <t>ｱｰﾃｯｸ/素焼風鈴/002435</t>
  </si>
  <si>
    <t>ｱｰﾃｯｸ/手作りﾍﾟﾝ立て/002461</t>
  </si>
  <si>
    <t>ｱｰﾃｯｸ/紙すきｾｯﾄ/002649</t>
  </si>
  <si>
    <t>ｱｰﾃｯｸ/大旗 φ12mm ｺﾊﾞﾙﾄﾌﾞﾙｰ 10本組/18419</t>
  </si>
  <si>
    <t>ｱｰﾃｯｸ/筆まき 290×200mm/003612</t>
  </si>
  <si>
    <t>ｱｰﾃｯｸ/墨液 450cc/003642</t>
  </si>
  <si>
    <t>ｱｰﾃｯｸ/ﾌﾟﾚｾﾞﾝﾄﾃｨｯｼｭｶﾊﾞｰ ﾍﾞｰｼﾞｭ/004613</t>
  </si>
  <si>
    <t>ｱｰﾃｯｸ/ﾌﾟﾚｾﾞﾝﾄﾍﾟｯﾄﾎﾞﾄﾙﾎﾙﾀﾞｰ/004614</t>
  </si>
  <si>
    <t>ｱｰﾃｯｸ/ﾌﾟﾚｾﾞﾝﾄ帆布ﾎﾟｰﾁ/004617</t>
  </si>
  <si>
    <t>ｱｰﾃｯｸ/ﾌﾟﾚｾﾞﾝﾄｳｫｰﾙﾎﾟｹｯﾄ/004622</t>
  </si>
  <si>
    <t>ｱｰﾃｯｸ/ｷｬﾝﾊﾞｽﾎﾞｰﾄﾞ 15×15cm/005918</t>
  </si>
  <si>
    <t>ｱｰﾃｯｸ/ﾐﾆｸﾘｱかざぐるま/002670</t>
  </si>
  <si>
    <t>ｱｰﾃｯｸ/ありがとう ﾎﾜｲﾄﾎﾞｰﾄﾞ/006958</t>
  </si>
  <si>
    <t>ｱｰﾃｯｸ/ﾐﾆｷｬﾝﾊﾞｽ 中/12276</t>
  </si>
  <si>
    <t>ｱｰﾃｯｸ/大旗 φ12mm 蛍光ｸﾞﾘｰﾝ 10本組/18420</t>
  </si>
  <si>
    <t>ｱｰﾃｯｸ/ﾍﾟｲﾝﾄｼﾞｸﾞｿｰ小/007856</t>
  </si>
  <si>
    <t>ｱｰﾃｯｸ/おえかきﾌﾞｰﾒﾗﾝ/007884</t>
  </si>
  <si>
    <t>ｱｰﾃｯｸ/おえかき万華鏡/007886</t>
  </si>
  <si>
    <t>ｱｰﾃｯｸ/化石発掘ｷｯﾄ ﾃｨﾗﾉｻｳﾙｽ/009472</t>
  </si>
  <si>
    <t>ｱｰﾃｯｸ/ｻｳﾝﾄﾞおえかきﾎﾞｰﾄﾞ/007285</t>
  </si>
  <si>
    <t>ｱｰﾃｯｸ/おえかきﾛｹｯﾄ/007569</t>
  </si>
  <si>
    <t>ｱｰﾃｯｸ/おえかきｽｸﾘｭｰﾎﾞｰﾄ/007570</t>
  </si>
  <si>
    <t>ｱｰﾃｯｸ/ﾐﾆｷｬﾝﾊﾞｽ 大/12277</t>
  </si>
  <si>
    <t>ｱｰﾃｯｸ/ｻﾃﾝ大旗 φ12mm ﾒﾀﾘｯｸﾚｯﾄﾞ 10本組/18421</t>
  </si>
  <si>
    <t>ｱｰﾃｯｸ/木製ましかく小物入れ/009582</t>
  </si>
  <si>
    <t>ｱｰﾃｯｸ/高級木軸ﾃﾞｻﾞｲﾝ筆 3本組/010753</t>
  </si>
  <si>
    <t>ｱｰﾃｯｸ/画板 S ひも付/011130</t>
  </si>
  <si>
    <t>ｱｰﾃｯｸ/ぞうのﾌｪﾙﾄ収納ｹｰｽ/011675</t>
  </si>
  <si>
    <t>ｱｰﾃｯｸ/水書紙ｾｯﾄ A4 不織布 2枚組/012006</t>
  </si>
  <si>
    <t>ｱｰﾃｯｸ/水ﾍﾟﾝ/012009</t>
  </si>
  <si>
    <t>ｱｰﾃｯｸ/水ﾍﾟﾝ ｺﾞﾑPUSH型/012021</t>
  </si>
  <si>
    <t>ｱｰﾃｯｸ/お絵かきﾏｸﾞﾈｯﾄｼｰﾄ A4/012500</t>
  </si>
  <si>
    <t>ｱｰﾃｯｸ/けしｺﾞﾑ印 5角形 合格印/012506</t>
  </si>
  <si>
    <t>ｱｰﾃｯｸ/ありがとうﾎﾜｲﾄﾎﾞｰﾄﾞ 森の音楽隊/009568</t>
  </si>
  <si>
    <t>ｱｰﾃｯｸ/ﾐﾆｲｰｾﾞﾙ 中/10295</t>
  </si>
  <si>
    <t>ｱｰﾃｯｸ/ｻﾃﾝ大旗 φ12mm ﾒﾀﾘｯｸﾌﾞﾙｰ 10本組/18422</t>
  </si>
  <si>
    <t>ｱｰﾃｯｸ/LED付作品ﾌﾚｰﾑ 200×150mm/012507</t>
  </si>
  <si>
    <t>ｱｰﾃｯｸ/ﾃﾞｻﾞｲﾝ和傘 未組立て/012515</t>
  </si>
  <si>
    <t>ｱｰﾃｯｸ/ﾃﾞｻﾞｲﾝﾌﾟﾗｽﾁｯｸﾏｽｸﾎﾞｯｸｽ/012516</t>
  </si>
  <si>
    <t>ｱｰﾃｯｸ/ｽﾀｲﾛﾌｫｰﾑ 水色 300*360*30/012539</t>
  </si>
  <si>
    <t>ｱｰﾃｯｸ/ｽﾀｲﾛﾌｫｰﾑ 水色 300*360*50/012540</t>
  </si>
  <si>
    <t>ｱｰﾃｯｸ/木製おまもり/21960</t>
  </si>
  <si>
    <t>ｱｰﾃｯｸ/ｻﾃﾝ大旗 φ12mm ｺﾞｰﾙﾄﾞ 10本組/18423</t>
  </si>
  <si>
    <t>ｱｰﾃｯｸ/ｶﾌﾟｾﾙﾄﾞｰﾑ ﾐﾆ/012557</t>
  </si>
  <si>
    <t>ｱｰﾃｯｸ/ｳｯﾄﾞﾌﾚｰﾑ ﾀﾞｰｸﾌﾞﾗｳﾝ 150×100mm/012561</t>
  </si>
  <si>
    <t>ｱｰﾃｯｸ/きりえ A4/012976</t>
  </si>
  <si>
    <t>ｱｰﾃｯｸ/絵本作り 薄 12ﾍﾟｰｼﾞ/013038</t>
  </si>
  <si>
    <t>ｱｰﾃｯｸ/ｳｯﾄﾞﾌﾚｰﾑ ﾀﾞｰｸﾌﾞﾗｳﾝ 200×150mm/012562</t>
  </si>
  <si>
    <t>ｱｰﾃｯｸ/絵本作り 厚 22ﾍﾟｰｼﾞ/013039</t>
  </si>
  <si>
    <t>ｱｰﾃｯｸ/ﾆｭｰｽﾃﾝﾄﾞﾍﾟﾝ立て ﾈｵｾﾛﾊﾝ 8色組/013096</t>
  </si>
  <si>
    <t>ｱｰﾃｯｸ/簡単絵本作り 8ﾍﾟｰｼﾞ/013167</t>
  </si>
  <si>
    <t>ｱｰﾃｯｸ/3D合金ﾒﾀﾞﾙ ｴﾝｼﾞｮｲﾌﾚﾝｽﾞ/21768</t>
  </si>
  <si>
    <t>ｱｰﾃｯｸ/ｻﾃﾝ大旗 φ12mm ﾒﾀﾘｯｸｸﾞﾘｰﾝ 10本組/18424</t>
  </si>
  <si>
    <t>ｱｰﾃｯｸ/ﾌﾟﾗﾓｻﾞｲｸ 大 12色組 90×90mm ﾎﾞﾝﾄﾞ付/013515</t>
  </si>
  <si>
    <t>ｱｰﾃｯｸ/ﾌﾟﾗﾓｻﾞｲｸ 小 12色組 50×50mm/013516</t>
  </si>
  <si>
    <t>ｱｰﾃｯｸ/LEDﾚｲﾝﾎﾞｰﾗｲﾄ/013248</t>
  </si>
  <si>
    <t>ｱｰﾃｯｸ/ﾆｭｰｽﾃﾝﾄﾞｸﾞﾗｽ ｶｯﾀｰ無/013299</t>
  </si>
  <si>
    <t>ｱｰﾃｯｸ/木彫六角鉛筆立て 未組立/013518</t>
  </si>
  <si>
    <t>ｱｰﾃｯｸ/LED付ちょうちん/013603</t>
  </si>
  <si>
    <t>ｱｰﾃｯｸ/ｶﾞﾗｽ風鈴/013317</t>
  </si>
  <si>
    <t>ｱｰﾃｯｸ/ﾗｲﾄｽｸﾗｯﾁ A5/013347</t>
  </si>
  <si>
    <t>ｱｰﾃｯｸ/わたしの絵本作り A4 6P/013775</t>
  </si>
  <si>
    <t>ｱｰﾃｯｸ/お絵かきましかくｱﾙﾊﾞﾑ 9面ﾀｲﾌﾟ/013860</t>
  </si>
  <si>
    <t>ｱｰﾃｯｸ/ｶﾗｰﾌｫｰﾒｰｼｮﾝ 8切 薄口 5枚組/013900</t>
  </si>
  <si>
    <t>ｱｰﾃｯｸ/ｶﾗｰﾌｫｰﾒｰｼｮﾝ 8切 厚口 5枚組/013901</t>
  </si>
  <si>
    <t>ｱｰﾃｯｸ/ｻｰｸﾙｽﾃﾝﾄﾞ ｶｯﾀｰ無/013410</t>
  </si>
  <si>
    <t>ｱｰﾃｯｸ/新両面ｶﾗｰ方眼紙 4切 薄口 5枚組/013911</t>
  </si>
  <si>
    <t>ｱｰﾃｯｸ/新両面ｶﾗｰ方眼紙 8切 厚口 5枚組/013912</t>
  </si>
  <si>
    <t>ｱｰﾃｯｸ/おはながみ12色12枚組/013914</t>
  </si>
  <si>
    <t>ｱｰﾃｯｸ/新両面ｶﾗｰ方眼紙 8切 薄口 5枚組/013910</t>
  </si>
  <si>
    <t>ｱｰﾃｯｸ/ﾗﾊﾞｰﾏｸﾞﾈｯﾄﾒﾀﾞﾙ ﾌﾚﾝｽﾞ/21767</t>
  </si>
  <si>
    <t>ｱｰﾃｯｸ/おはながみ 6色12枚組/013939</t>
  </si>
  <si>
    <t>ｱｰﾃｯｸ/ｸﾚｰﾌﾟ紙 250×250 6色組/013967</t>
  </si>
  <si>
    <t>ｱｰﾃｯｸ/ﾎﾛｸﾞﾗﾑﾃｰﾌﾟ 紫 10本組/014093</t>
  </si>
  <si>
    <t>ｱｰﾃｯｸ/絵巻きもの A 組立済/014201</t>
  </si>
  <si>
    <t>ｱｰﾃｯｸ/絵巻きもの B/014202</t>
  </si>
  <si>
    <t>ｱｰﾃｯｸ/絵巻もの ｼｮｰﾄﾀｲﾌﾟ 65cm/014203</t>
  </si>
  <si>
    <t>ｱｰﾃｯｸ/ｻﾃﾝ大旗 φ12mm ﾒﾀﾘｯｸﾋﾟﾝｸ 10本組/18425</t>
  </si>
  <si>
    <t>ｱｰﾃｯｸ/あそべるﾌｫﾄｽﾀﾝﾄﾞﾒﾀﾞﾙ ﾌﾚﾝｽﾞ/21813</t>
  </si>
  <si>
    <t>ｱｰﾃｯｸ/ｻﾃﾝ大旗 φ12mm ｼﾙﾊﾞｰ 10本組/18426</t>
  </si>
  <si>
    <t>ｱｰﾃｯｸ/安全版画ﾍﾞﾆﾔ ﾊｶﾞｷ判 150×100×4/020000</t>
  </si>
  <si>
    <t>ｱｰﾃｯｸ/安全版画ﾍﾞﾆﾔ お試し判 75×100×4/020001</t>
  </si>
  <si>
    <t>ｱｰﾃｯｸ/安全版画ﾍﾞﾆﾔ 小 300×225×4/020010</t>
  </si>
  <si>
    <t>ｱｰﾃｯｸ/安全版画ﾍﾞﾆﾔ 大 450×300×4/020011</t>
  </si>
  <si>
    <t>ｱｰﾃｯｸ/安全版画ﾍﾞﾆﾔ 8切 360×260×4/020012</t>
  </si>
  <si>
    <t>ｱｰﾃｯｸ/安全版画ﾍﾞﾆﾔ 4切 500×340×4/020013</t>
  </si>
  <si>
    <t>ｱｰﾃｯｸ/安全厚手版画ﾍﾞﾆﾔ 小 300×225×5.5/020020</t>
  </si>
  <si>
    <t>ｱｰﾃｯｸ/安全厚手版画ﾍﾞﾆﾔ 大 450×300×5.5/020021</t>
  </si>
  <si>
    <t>ｱｰﾃｯｸ/安全厚手版画ﾍﾞﾆﾔ 8切 360×260×5.5/020022</t>
  </si>
  <si>
    <t>ｱｰﾃｯｸ/安全ｶﾗｰ版画ﾍﾞﾆﾔ 小 300×225×4/020030</t>
  </si>
  <si>
    <t>ｱｰﾃｯｸ/ｶﾗｰ版画ﾎﾞｰﾄﾞ 大 450×300×4/020082</t>
  </si>
  <si>
    <t>ｱｰﾃｯｸ/木製おめでとうﾒﾀﾞﾙ(ﾘﾎﾞﾝ付き)/21757</t>
  </si>
  <si>
    <t>ｱｰﾃｯｸ/ｻﾃﾝ大旗 φ12mm ﾒﾀﾘｯｸｵﾚﾝｼﾞ 10本組/18427</t>
  </si>
  <si>
    <t>ｱｰﾃｯｸ/安全ｶﾗｰ版画ﾍﾞﾆﾔ 大 450×300×4/020031</t>
  </si>
  <si>
    <t>ｱｰﾃｯｸ/安全ｶﾗｰ版画ﾍﾞﾆﾔ 8切 360×260×4/020032</t>
  </si>
  <si>
    <t>ｱｰﾃｯｸ/安全ｶﾗｰ版画ﾍﾞﾆﾔ 4切 500×340×4/020033</t>
  </si>
  <si>
    <t>ｱｰﾃｯｸ/安全厚手ｶﾗｰﾍﾞﾆﾔ 小 300×225×5.5/020050</t>
  </si>
  <si>
    <t>ｱｰﾃｯｸ/安全厚手ｶﾗｰﾍﾞﾆﾔ 大 450×300×5.5/020051</t>
  </si>
  <si>
    <t>ｱｰﾃｯｸ/安全厚手ｶﾗｰﾍﾞﾆﾔ 8切 360×260×5.5/020052</t>
  </si>
  <si>
    <t>ｱｰﾃｯｸ/黒彫板B 150×100×10mm/020134</t>
  </si>
  <si>
    <t>ｱｰﾃｯｸ/ｺﾞｰﾙﾄﾞ3Dﾒﾀﾞﾙ ﾌﾚﾝｽﾞ/21766</t>
  </si>
  <si>
    <t>ｱｰﾃｯｸ/ｶﾗｰ版画ﾎﾞｰﾄﾞ 小 300×225×4/020080</t>
  </si>
  <si>
    <t>ｱｰﾃｯｸ/ｶﾗｰ版画ﾎﾞｰﾄﾞ 8切判 360×260×4/020081</t>
  </si>
  <si>
    <t>ｱｰﾃｯｸ/ｻﾃﾝ大旗 φ12mm 蛍光ｸﾞﾘｰﾝ 10本組/18428</t>
  </si>
  <si>
    <t>ｱｰﾃｯｸ/ｶﾗｰ版画SP板 小/020290</t>
  </si>
  <si>
    <t>ｱｰﾃｯｸ/ｶﾗｰ版画SP板 大/020292</t>
  </si>
  <si>
    <t>ｱｰﾃｯｸ/版画彩色和紙 40kg凸凹版用 小 100枚/020811</t>
  </si>
  <si>
    <t>ｱｰﾃｯｸ/ｶﾗｰ版画SP板 8切/020291</t>
  </si>
  <si>
    <t>ｱｰﾃｯｸ/ねんど ｽｰﾊﾟｰﾗｲﾄ 300g ﾍﾗ付/023216</t>
  </si>
  <si>
    <t>ｱｰﾃｯｸ/無臭･抗菌 油ねんど 370g/023303</t>
  </si>
  <si>
    <t>ｱｰﾃｯｸ/ｻﾃﾝ大旗 φ12mm ｺﾊﾞﾙﾄﾌﾞﾙｰ 10本組/18429</t>
  </si>
  <si>
    <t>ｱｰﾃｯｸ/葉脈押し型5種ｾｯﾄ/023335</t>
  </si>
  <si>
    <t>ｱｰﾃｯｸ/ねんどの王様 5個ｾｯﾄ/023368</t>
  </si>
  <si>
    <t>ｱｰﾃｯｸ/ねんどの王様 10個ｾｯﾄ/023369</t>
  </si>
  <si>
    <t>ｱｰﾃｯｸ/ﾊﾟﾃｨｼｴｰﾙｸﾚｲｼﾘｰｽﾞ ﾊﾞﾆﾗｯﾃｨ/023374</t>
  </si>
  <si>
    <t>ｱｰﾃｯｸ/ﾐﾆてんこく作業台/023435</t>
  </si>
  <si>
    <t>ｱｰﾃｯｸ/ﾒｯｼｭお面芯/023604</t>
  </si>
  <si>
    <t>ｱｰﾃｯｸ/首ふり人形芯材 大ﾘｰｶﾞｰ人形/023607</t>
  </si>
  <si>
    <t>ｱｰﾃｯｸ/粘土ﾌｫﾄﾌﾚｰﾑ ﾌﾟﾗ製/023679</t>
  </si>
  <si>
    <t>ｱｰﾃｯｸ/ﾎﾞｯｸｽｱｰﾄ ﾐﾆ/023712</t>
  </si>
  <si>
    <t>ｱｰﾃｯｸ/ﾒｯｼｭ仮面芯/023837</t>
  </si>
  <si>
    <t>ｱｰﾃｯｸ/木彫ｽﾏﾎｽﾀﾝﾄﾞ/030060</t>
  </si>
  <si>
    <t>ｱｰﾃｯｸ/両面ｾﾞｯｹﾝ 10枚ｾｯﾄ/18473</t>
  </si>
  <si>
    <t>ｱｰﾃｯｸ/ﾏｰｶｰﾏｸﾞ 大/027006</t>
  </si>
  <si>
    <t>ｱｰﾃｯｸ/ｺﾝﾊﾟｸﾄﾏｰｶｰﾏｸﾞ/027023</t>
  </si>
  <si>
    <t>ｱｰﾃｯｸ/造形棒 基本4本ｾｯﾄ/027437</t>
  </si>
  <si>
    <t>ｱｰﾃｯｸ/作成ｷｯﾄ 木彫ふでばこ/030000</t>
  </si>
  <si>
    <t>ｱｰﾃｯｸ/はがき箱/030003</t>
  </si>
  <si>
    <t>ｱｰﾃｯｸ/ﾏﾙﾁﾎﾞｯｸｽ六角箱/030007</t>
  </si>
  <si>
    <t>ｱｰﾃｯｸ/木彫小箱/030008</t>
  </si>
  <si>
    <t>ｱｰﾃｯｸ/木彫印かん小箱 ﾐﾆ/030024</t>
  </si>
  <si>
    <t>ｱｰﾃｯｸ/しきし立て印かん小箱/031236</t>
  </si>
  <si>
    <t>ｱｰﾃｯｸ/木彫ｽﾌﾟｰﾝ 小/030059</t>
  </si>
  <si>
    <t>ｱｰﾃｯｸ/ATﾊﾞﾙｻ材 1×80×600mm 10枚組/045076</t>
  </si>
  <si>
    <t>ｱｰﾃｯｸ/ATﾊﾞﾙｻ材 2×80×600mm 10枚組/045077</t>
  </si>
  <si>
    <t>ｱｰﾃｯｸ/ATﾊﾞﾙｻ材 3×80×600mm 10枚組/045078</t>
  </si>
  <si>
    <t>ｱｰﾃｯｸ/ATﾊﾞﾙｻ材 5×80×600mm 10枚組/045079</t>
  </si>
  <si>
    <t>ｱｰﾃｯｸ/ｶﾗｰﾋﾞﾆｰﾙ袋 黒 10枚組/045589</t>
  </si>
  <si>
    <t>ｱｰﾃｯｸ/ｳｸﾚﾚ作り/031408</t>
  </si>
  <si>
    <t>ｱｰﾃｯｸ/ｷﾗｷﾗｳｫｰﾀｰﾍﾟﾝﾗｲﾄｷｯﾄ/055364</t>
  </si>
  <si>
    <t>ｱｰﾃｯｸ/ｽﾗｲﾑでつくる!ﾐﾆﾁｭｱﾄﾞﾘﾝｸﾗｲﾄ/055367</t>
  </si>
  <si>
    <t>ｱｰﾃｯｸ/ｽﾉｰﾄﾞｰﾑｷｯﾄ/055370</t>
  </si>
  <si>
    <t>ｱｰﾃｯｸ/ﾐｻﾝｶﾞでつくるｶﾗﾌﾙ腕時計/055383</t>
  </si>
  <si>
    <t>ｱｰﾃｯｸ/手作り時計ｷｯﾄ/055384</t>
  </si>
  <si>
    <t>ｱｰﾃｯｸ/食品ｻﾝﾌﾟﾙをつくろう!ｼｭﾜｼｭﾜｸﾘｰﾑｿｰﾀﾞｷｯﾄ/055445</t>
  </si>
  <si>
    <t>ｱｰﾃｯｸ/木製観覧車組立ｷｯﾄ/055521</t>
  </si>
  <si>
    <t>ｱｰﾃｯｸ/ﾊﾒﾊﾟﾁくんｷｰﾎﾙﾀﾞｰ ﾐﾗｰ型/055970</t>
  </si>
  <si>
    <t>ｱｰﾃｯｸ/ﾊﾒﾊﾟﾁくんｷｰﾎﾙﾀﾞｰ 動物型/055971</t>
  </si>
  <si>
    <t>ｱｰﾃｯｸ/回転ｱﾆﾒｰｼｮﾝｺﾞﾏ/055529</t>
  </si>
  <si>
    <t>ｱｰﾃｯｸ/宝石ｹｰｽ入り!ｷﾗｷﾗｽﾗｲﾑをつくろう!/055530</t>
  </si>
  <si>
    <t>ｱｰﾃｯｸ/紙せっけんてづくりｷｯﾄ/055532</t>
  </si>
  <si>
    <t>ｱｰﾃｯｸ/温度で色が変わる宝石づくりｷｯﾄ/055534</t>
  </si>
  <si>
    <t>ｱｰﾃｯｸ/ﾋﾞｰｽﾞでつくるｶﾗﾌﾙ腕時計/055540</t>
  </si>
  <si>
    <t>ｱｰﾃｯｸ/ﾐﾆﾁｭｱｽｲｰﾂづくり/055541</t>
  </si>
  <si>
    <t>ｱｰﾃｯｸ/ｷﾗｷﾗ結晶づくり/056939</t>
  </si>
  <si>
    <t>ｱｰﾃｯｸ/ｷﾗｷﾗ粉 2g/060516</t>
  </si>
  <si>
    <t>ｱｰﾃｯｸ/ｷﾗｷﾗ光る!ｽﾉｰﾄﾞｰﾑﾗｲﾄ/055880</t>
  </si>
  <si>
    <t>ｱｰﾃｯｸ/LEDﾄﾚｰｽ台 A4ｻｲｽﾞ/154814</t>
  </si>
  <si>
    <t>ｱｰﾃｯｸ/LEDﾄﾚｰｽ台 A3ｻｲｽﾞ/154813</t>
  </si>
  <si>
    <t>ｱｰﾃｯｸ/ﾋﾟｶﾋﾟｶ棒 青/18941</t>
  </si>
  <si>
    <t>ｱｰﾃｯｸ/ﾋﾟｶﾋﾟｶ棒 赤/18940</t>
  </si>
  <si>
    <t>ｱｰﾃｯｸ/ﾋﾟｶﾋﾟｶ棒 黄/18942</t>
  </si>
  <si>
    <t>ｱｰﾃｯｸ/ﾐﾆえほん ぬりえ すいぞくかん/21765</t>
  </si>
  <si>
    <t>ｱｰﾃｯｸ/はってつくってりかはっけんﾌﾞｯｸ/21742</t>
  </si>
  <si>
    <t>ｱｰﾃｯｸ/おりがみ工作ﾌﾞｯｸ7 生き物たちの大変身!?/21753</t>
  </si>
  <si>
    <t>ｱｰﾃｯｸ/PVAのり 40g ﾊﾟｳﾁ/155189</t>
  </si>
  <si>
    <t>ｱｰﾃｯｸ/育てるやさい ﾄﾏﾄ/102990</t>
  </si>
  <si>
    <t>ｱｰﾃｯｸ/ｷﾞﾗｷﾞﾗｽﾄｰﾝ万華鏡 工作ｷｯﾄ/21898</t>
  </si>
  <si>
    <t>ｱｰﾃｯｸ/PVAのり 60g ﾊﾟｳﾁ/155188</t>
  </si>
  <si>
    <t>ｱｰﾃｯｸ/ましかくだるまおとし/21906</t>
  </si>
  <si>
    <t>ｱｰﾃｯｸ/廃ﾎﾞｰﾙ紙ｺｰｽﾀｰ/21880</t>
  </si>
  <si>
    <t>ｱｰﾃｯｸ/Artecﾌﾞﾛｯｸ ﾘﾑｰﾊﾞｰ/64770</t>
  </si>
  <si>
    <t>ｱｰﾃｯｸ/ｾﾞﾝﾏｲﾛﾎﾞｯﾄ ﾛﾎﾞたま/7199</t>
  </si>
  <si>
    <t>ｱｰﾃｯｸ/Artecﾌﾞﾛｯｸ ﾊｰﾌQ 薄ﾋﾟﾝｸ8pcsｾｯﾄ/76505</t>
  </si>
  <si>
    <t>ｱｰﾃｯｸ/Artecﾌﾞﾛｯｸ ﾊｰﾌD ﾋﾟﾝｸ8pcsｾｯﾄ/76506</t>
  </si>
  <si>
    <t>ｱｰﾃｯｸ/Artecﾌﾞﾛｯｸ ﾊｰﾌC 薄緑8pcsｾｯﾄ/76507</t>
  </si>
  <si>
    <t>ｱｰﾃｯｸ/Artecﾌﾞﾛｯｸ ﾊｰﾌD 緑8pcsｾｯﾄ/76508</t>
  </si>
  <si>
    <t>ｱｰﾃｯｸ/Artecﾌﾞﾛｯｸ ﾊﾞｹﾂ220【ﾋﾞﾋﾞｯﾄ】/76536</t>
  </si>
  <si>
    <t>ｱｰﾃｯｸ/Artecﾌﾞﾛｯｸ ﾄﾞﾘｰﾑｾｯﾄﾍﾞｰｼｯｸ/76535</t>
  </si>
  <si>
    <t>ｱｰﾃｯｸ/Artecﾌﾞﾛｯｸ ﾊﾞｹﾂ220【ﾊﾟｽﾃﾙ】/76537</t>
  </si>
  <si>
    <t>ｱｰﾃｯｸ/Artecﾌﾞﾛｯｸ ｽｸｰﾙﾏｽｾｯﾄ/76542</t>
  </si>
  <si>
    <t>ｱｰﾃｯｸ/Artecﾌﾞﾛｯｸ ﾎﾟｰﾁ54【ﾋﾞﾋﾞｯﾄ】/76543</t>
  </si>
  <si>
    <t>ｱｰﾃｯｸ/Artecﾌﾞﾛｯｸ ﾊﾞｹﾂ112【ﾊﾟｽﾃﾙ】/76539</t>
  </si>
  <si>
    <t>ｱｰﾃｯｸ/Artecﾌﾞﾛｯｸ うみのなかまｾｯﾄ/76660</t>
  </si>
  <si>
    <t>ｱｰﾃｯｸ/Artecﾌﾞﾛｯｸ ｹﾞｰﾑｸﾘｴｲﾀｰｾｯﾄ/76546</t>
  </si>
  <si>
    <t>ｱｰﾃｯｸ/Artecﾌﾞﾛｯｸ ﾚｽｷｭｰｶｰｾｯﾄ/76664</t>
  </si>
  <si>
    <t>ｱｰﾃｯｸ/Artecﾌﾞﾛｯｸ はたらくのりものｾｯﾄ/76663</t>
  </si>
  <si>
    <t>ｱｰﾃｯｸ/Artecﾌﾞﾛｯｸ きょうりゅうｾｯﾄ/76666</t>
  </si>
  <si>
    <t>ｱｰﾃｯｸ/Artecﾌﾞﾛｯｸ こんちゅうｾｯﾄ/76667</t>
  </si>
  <si>
    <t>ｱｰﾃｯｸ/おもいでｱﾙﾊﾞﾑ 春夏秋冬/5951</t>
  </si>
  <si>
    <t>ｱｰﾃｯｸ/鉛筆2B(12本組) ｽｶｲﾌﾞﾙｰ/5956</t>
  </si>
  <si>
    <t>ｱｰﾃｯｸ/鉛筆2B(12本組) ﾁｪﾘｰﾋﾟﾝｸ/5957</t>
  </si>
  <si>
    <t>ｱｰﾃｯｸ/ｺｰﾅｰﾎﾟｹｯﾄｼｰﾙ 1ｼｰﾄ(8ﾋﾟｰｽ)/5940</t>
  </si>
  <si>
    <t>ｱｰﾃｯｸ/Artecﾌﾞﾛｯｸ とりのなかまｾｯﾄ/76668</t>
  </si>
  <si>
    <t>ｱｰﾃｯｸ/ｿﾌﾄｻﾃﾝ かぼちゃﾊﾟﾝﾂ C 桃/18257</t>
  </si>
  <si>
    <t>ｱｰﾃｯｸ/ｿﾌﾄｻﾃﾝ かぼちゃﾊﾟﾝﾂ C 茶/18258</t>
  </si>
  <si>
    <t>ｱｰﾃｯｸ/お絵かきましかくｱﾙﾊﾞﾑ 薄/12604</t>
  </si>
  <si>
    <t>ｱｰﾃｯｸ/ｿﾌﾄｻﾃﾝ かぼちゃﾊﾟﾝﾂ C 水/18259</t>
  </si>
  <si>
    <t>ｱｰﾃｯｸ/ｿﾌﾄｻﾃﾝ かぼちゃﾊﾟﾝﾂ J 桃/18260</t>
  </si>
  <si>
    <t>ｱｰﾃｯｸ/ｿﾌﾄｻﾃﾝ かぼちゃﾊﾟﾝﾂ J 茶/18261</t>
  </si>
  <si>
    <t>ｱｰﾃｯｸ/ｿﾌﾄｻﾃﾝ かぼちゃﾊﾟﾝﾂ J 水/18262</t>
  </si>
  <si>
    <t>ｱｰﾃｯｸ/ｿﾌﾄｻﾃﾝﾜﾝﾋﾟｰｽ J 桃/18256</t>
  </si>
  <si>
    <t>ｱｰﾃｯｸ/ﾊﾟﾌｽﾘｰﾌﾞｿﾌﾄｻﾃﾝｼｬﾂ ﾎﾜｲﾄ/18263</t>
  </si>
  <si>
    <t>ｱｰﾃｯｸ/ﾊﾟﾌｽﾘｰﾌﾞｿﾌﾄｻﾃﾝｼｬﾂ ﾗｲﾄﾌﾞﾙｰ/18264</t>
  </si>
  <si>
    <t>ｱｰﾃｯｸ/ﾊﾟﾌｽﾘｰﾌﾞｿﾌﾄｻﾃﾝｼｬﾂ ﾋﾟﾝｸ/18265</t>
  </si>
  <si>
    <t>ｱｰﾃｯｸ/ｿﾌﾄｻﾃﾝｻﾛﾍﾟｯﾄｽｶｰﾄ ﾎﾜｲﾄ/18277</t>
  </si>
  <si>
    <t>ｱｰﾃｯｸ/ｿﾌﾄｻﾃﾝｻﾛﾍﾟｯﾄｽｶｰﾄ ﾚｯﾄﾞ/18278</t>
  </si>
  <si>
    <t>ｱｰﾃｯｸ/ｿﾌﾄｻﾃﾝｻﾛﾍﾟｯﾄｽｶｰﾄ ﾌﾞﾙｰ/18279</t>
  </si>
  <si>
    <t>ｱｰﾃｯｸ/ｿﾌﾄｻﾃﾝｻﾛﾍﾟｯﾄﾊﾟﾝﾂ Cｻｲｽﾞ ﾚｯﾄﾞ/18280</t>
  </si>
  <si>
    <t>ｱｰﾃｯｸ/ｿﾌﾄｻﾃﾝｻﾛﾍﾟｯﾄﾊﾟﾝﾂ Cｻｲｽﾞ ｲｴﾛｰ/18281</t>
  </si>
  <si>
    <t>ｱｰﾃｯｸ/ｿﾌﾄｻﾃﾝｻﾛﾍﾟｯﾄﾊﾟﾝﾂ Cｻｲｽﾞ ﾌﾞﾙｰ/18282</t>
  </si>
  <si>
    <t>ｱｰﾃｯｸ/ﾍﾞﾛｱﾍﾞｽﾄ Cｻｲｽﾞ 赤/18283</t>
  </si>
  <si>
    <t>ｱｰﾃｯｸ/ﾍﾞﾛｱﾍﾞｽﾄ Cｻｲｽﾞ 白/18284</t>
  </si>
  <si>
    <t>ｱｰﾃｯｸ/ﾍﾞﾛｱﾍﾞｽﾄ Cｻｲｽﾞ 黄/18285</t>
  </si>
  <si>
    <t>ｱｰﾃｯｸ/ﾍﾞﾛｱﾍﾞｽﾄ Cｻｲｽﾞ 黒/18286</t>
  </si>
  <si>
    <t>ｱｰﾃｯｸ/ｿﾌﾄｻﾃﾝﾋﾞｽﾁｪ ﾎﾜｲﾄ/18267</t>
  </si>
  <si>
    <t>ｱｰﾃｯｸ/ﾍﾞﾛｱﾍﾞｽﾄ Jｻｲｽﾞ 赤/18289</t>
  </si>
  <si>
    <t>ｱｰﾃｯｸ/ﾍﾞﾛｱﾍﾞｽﾄ Jｻｲｽﾞ 白/18290</t>
  </si>
  <si>
    <t>ｱｰﾃｯｸ/ﾍﾞﾛｱﾍﾞｽﾄ Jｻｲｽﾞ 黄/18291</t>
  </si>
  <si>
    <t>ｱｰﾃｯｸ/ﾍﾞﾛｱかぼちゃﾊﾟﾝﾂ Cｻｲｽﾞ 黄/18295</t>
  </si>
  <si>
    <t>ｱｰﾃｯｸ/ﾍﾞﾛｱかぼちゃﾊﾟﾝﾂ Jｻｲｽﾞ 白/18298</t>
  </si>
  <si>
    <t>ｱｰﾃｯｸ/ﾍﾞﾛｱかぼちゃﾊﾟﾝﾂ Jｻｲｽﾞ 黄/18299</t>
  </si>
  <si>
    <t>ｱｰﾃｯｸ/ｿﾌﾄｻﾃﾝ かぼちゃﾊﾟﾝﾂ(ｷﾞﾝｶﾞﾑ) Cｻｲｽﾞ ﾚｯﾄﾞ</t>
  </si>
  <si>
    <t>ｱｰﾃｯｸ/ｿﾌﾄｻﾃﾝ かぼちゃﾊﾟﾝﾂ(ｷﾞﾝｶﾞﾑ) Cｻｲｽﾞ ﾌﾞﾙｰ</t>
  </si>
  <si>
    <t>ｱｰﾃｯｸ/ｿﾌﾄｻﾃﾝ かぼちゃﾊﾟﾝﾂ(ｷﾞﾝｶﾞﾑ) Cｻｲｽﾞ ｸﾞﾘｰﾝ</t>
  </si>
  <si>
    <t>ｱｰﾃｯｸ/ｿﾌﾄｻﾃﾝ丸襟付ﾌﾘﾌﾘｼｬﾂ 赤/18320</t>
  </si>
  <si>
    <t>ｱｰﾃｯｸ/ｿﾌﾄｻﾃﾝ丸襟付ﾌﾘﾌﾘｼｬﾂ 黄/18321</t>
  </si>
  <si>
    <t>ｱｰﾃｯｸ/ｿﾌﾄｻﾃﾝ丸襟付ﾌﾘﾌﾘｼｬﾂ 白/18322</t>
  </si>
  <si>
    <t>ｱｰﾃｯｸ/ｿﾌﾄｻﾃﾝ丸襟付ﾌﾘﾌﾘｼｬﾂ 桃/18323</t>
  </si>
  <si>
    <t>ｱｰﾃｯｸ/ｿﾌﾄｻﾃﾝｼｬﾂ 前ﾌﾘﾙ 白/18327</t>
  </si>
  <si>
    <t>ｱｰﾃｯｸ/ﾁｬｲﾅｼｬﾂ C/18334</t>
  </si>
  <si>
    <t>ｱｰﾃｯｸ/ﾁｬｲﾅｼｬﾂ J/18335</t>
  </si>
  <si>
    <t>ｱｰﾃｯｸ/ｿﾌﾄｻﾃﾝﾊﾟﾌｽﾘｰﾌﾞﾜﾝﾋﾟｰｽ 黄色/18336</t>
  </si>
  <si>
    <t>ｱｰﾃｯｸ/ｿﾌﾄｻﾃﾝﾊﾟﾌｽﾘｰﾌﾞﾜﾝﾋﾟｰｽ 白/18337</t>
  </si>
  <si>
    <t>ｱｰﾃｯｸ/ｿﾌﾄｻﾃﾝﾊﾟﾌｽﾘｰﾌﾞﾜﾝﾋﾟｰｽ ﾋﾟﾝｸ/18338</t>
  </si>
  <si>
    <t>ｱｰﾃｯｸ/かぼちゃﾊﾟﾝﾂ C 赤/18339</t>
  </si>
  <si>
    <t>ｱｰﾃｯｸ/ｿﾌﾄｻﾃﾝ丸襟付ﾌﾘﾌﾘｼｬﾂ 青/18324</t>
  </si>
  <si>
    <t>ｱｰﾃｯｸ/かぼちゃﾊﾟﾝﾂ C 緑/18341</t>
  </si>
  <si>
    <t>ｱｰﾃｯｸ/かぼちゃﾊﾟﾝﾂ C 桃/18342</t>
  </si>
  <si>
    <t>ｱｰﾃｯｸ/かぼちゃﾊﾟﾝﾂ C 水/18343</t>
  </si>
  <si>
    <t>ｱｰﾃｯｸ/かぼちゃﾊﾟﾝﾂ C 黄緑/18344</t>
  </si>
  <si>
    <t>ｱｰﾃｯｸ/かぼちゃﾊﾟﾝﾂ J 赤/18345</t>
  </si>
  <si>
    <t>ｱｰﾃｯｸ/かぼちゃﾊﾟﾝﾂ J 黄/18346</t>
  </si>
  <si>
    <t>ｱｰﾃｯｸ/かぼちゃﾊﾟﾝﾂ J 緑/18347</t>
  </si>
  <si>
    <t>ｱｰﾃｯｸ/かぼちゃﾊﾟﾝﾂ J 桃/18348</t>
  </si>
  <si>
    <t>ｱｰﾃｯｸ/かぼちゃﾊﾟﾝﾂ J 水/18349</t>
  </si>
  <si>
    <t>ｱｰﾃｯｸ/かぼちゃﾊﾟﾝﾂ C 黄/18340</t>
  </si>
  <si>
    <t>ｱｰﾃｯｸ/ｿﾌﾄｻﾃﾝｽﾞﾎﾞﾝ ﾃｰﾊﾟｰﾄﾞ C 白/18351</t>
  </si>
  <si>
    <t>ｱｰﾃｯｸ/ｿﾌﾄｻﾃﾝｽﾞﾎﾞﾝ ﾃｰﾊﾟｰﾄﾞ J 白/18352</t>
  </si>
  <si>
    <t>ｱｰﾃｯｸ/ｿﾌﾄｻﾃﾝｽﾞﾎﾞﾝ ﾃｰﾊﾟｰﾄﾞ C 黒/18353</t>
  </si>
  <si>
    <t>ｱｰﾃｯｸ/ｿﾌﾄｻﾃﾝｽﾞﾎﾞﾝ ﾃｰﾊﾟｰﾄﾞ J 黒/18354</t>
  </si>
  <si>
    <t>ｱｰﾃｯｸ/ｿﾌﾄｻﾃﾝ海賊ｼﾞｬｹｯﾄ/21155</t>
  </si>
  <si>
    <t>ｱｰﾃｯｸ/かぼちゃﾊﾟﾝﾂ J 黄緑/18350</t>
  </si>
  <si>
    <t>ｱｰﾃｯｸ/ｸﾞﾘｯﾀｰｼｰﾙ 10枚組/50863</t>
  </si>
  <si>
    <t>ｱｰﾃｯｸ/ｸﾞﾘｯﾀｰﾃｰﾌﾟ 2.5m巻 赤/50864</t>
  </si>
  <si>
    <t>ｱｰﾃｯｸ/ｸﾞﾘｯﾀｰﾃｰﾌﾟ 2.5m巻 水/50865</t>
  </si>
  <si>
    <t>ｱｰﾃｯｸ/ｸﾞﾘｯﾀｰﾃｰﾌﾟ 2.5m巻 金/50866</t>
  </si>
  <si>
    <t>ｱｰﾃｯｸ/透明ｶﾌﾟｾﾙﾎﾙﾀﾞｰ付 ﾊｰﾄ型 10個入/58316</t>
  </si>
  <si>
    <t>ｱｰﾃｯｸ/ｸﾞﾘｯﾀｰﾃｰﾌﾟ 2.5m巻 銀/50867</t>
  </si>
  <si>
    <t>ｱｰﾃｯｸ/透明ｶﾌﾟｾﾙﾎﾙﾀﾞｰ付 φ80mm 10個入/58317</t>
  </si>
  <si>
    <t>ｱｰﾃｯｸ/透明ｶﾌﾟｾﾙﾎﾙﾀﾞｰ付 φ60mm 10個入/58318</t>
  </si>
  <si>
    <t>ｱｰﾃｯｸ/透明ｶﾌﾟｾﾙﾎﾙﾀﾞｰ付 φ100mm 10個入/58319</t>
  </si>
  <si>
    <t>ｱｰﾃｯｸ/折りたたみﾀﾞﾝﾎﾞｰﾙﾃﾞｽｸ/58616</t>
  </si>
  <si>
    <t>ｱｰﾃｯｸ/折りたたみﾀﾞﾝﾎﾞｰﾙﾍﾞﾝﾁ/58617</t>
  </si>
  <si>
    <t>ｱｰﾃｯｸ/ｺﾛｸﾛｽ ｽﾗﾛｰﾑｷｯﾄ/74824</t>
  </si>
  <si>
    <t>ｱｰﾃｯｸ/Artecﾌﾞﾛｯｸ ﾀﾞｲﾉﾋﾞﾙﾀﾞｰｽﾞT-REX/76784</t>
  </si>
  <si>
    <t>ｱｰﾃｯｸ/ｺﾛｸﾛｽ DXｾｯﾄ/74826</t>
  </si>
  <si>
    <t>ｱｰﾃｯｸ/ｺﾛｸﾛｽ ｽﾀﾝﾀﾞｰﾄﾞｾｯﾄ/74825</t>
  </si>
  <si>
    <t>ｱｰﾃｯｸ/組立式ﾀﾞﾝﾎﾞｰﾙ射的台/75804</t>
  </si>
  <si>
    <t>ｱｰﾃｯｸ/Artecﾌﾞﾛｯｸ 基本四角 24P 赤/77735</t>
  </si>
  <si>
    <t>ｱｰﾃｯｸ/Artecﾌﾞﾛｯｸ 基本四角 24P ﾋﾟﾝｸ/77736</t>
  </si>
  <si>
    <t>ｱｰﾃｯｸ/Artecﾌﾞﾛｯｸ 基本四角 24P 薄ﾋﾟﾝｸ/77737</t>
  </si>
  <si>
    <t>ｱｰﾃｯｸ/Artecﾌﾞﾛｯｸ 基本四角 24P 青/77738</t>
  </si>
  <si>
    <t>ｱｰﾃｯｸ/Artecﾌﾞﾛｯｸ 基本四角 24P 薄水/77740</t>
  </si>
  <si>
    <t>ｱｰﾃｯｸ/Artecﾌﾞﾛｯｸ 基本四角 24P 水/77739</t>
  </si>
  <si>
    <t>ｱｰﾃｯｸ/Artecﾌﾞﾛｯｸ 基本四角 24P 薄黄/77742</t>
  </si>
  <si>
    <t>ｱｰﾃｯｸ/Artecﾌﾞﾛｯｸ 基本四角 24P 黄/77741</t>
  </si>
  <si>
    <t>ｱｰﾃｯｸ/Artecﾌﾞﾛｯｸ 基本四角 24P ﾍﾟｰﾙｵﾚﾝｼﾞ/77743</t>
  </si>
  <si>
    <t>ｱｰﾃｯｸ/Artecﾌﾞﾛｯｸ 基本四角 24P ｵﾚﾝｼﾞ/77744</t>
  </si>
  <si>
    <t>ｱｰﾃｯｸ/Artecﾌﾞﾛｯｸ 基本四角 24P 黄緑/77746</t>
  </si>
  <si>
    <t>ｱｰﾃｯｸ/Artecﾌﾞﾛｯｸ 基本四角 24P 緑/77745</t>
  </si>
  <si>
    <t>ｱｰﾃｯｸ/Artecﾌﾞﾛｯｸ 基本四角 24P 薄紫/77749</t>
  </si>
  <si>
    <t>ｱｰﾃｯｸ/Artecﾌﾞﾛｯｸ 基本四角 24P 薄緑/77747</t>
  </si>
  <si>
    <t>ｱｰﾃｯｸ/Artecﾌﾞﾛｯｸ 基本四角 24P 薄ｸﾞﾚｰ/77751</t>
  </si>
  <si>
    <t>ｱｰﾃｯｸ/Artecﾌﾞﾛｯｸ 基本四角 24P ｸﾞﾚｰ/77750</t>
  </si>
  <si>
    <t>ｱｰﾃｯｸ/Artecﾌﾞﾛｯｸ 基本四角 24P 白/77753</t>
  </si>
  <si>
    <t>ｱｰﾃｯｸ/Artecﾌﾞﾛｯｸ 基本四角 24P 茶/77752</t>
  </si>
  <si>
    <t>ｱｰﾃｯｸ/Artecﾌﾞﾛｯｸ ﾊｰﾌA 8P 赤/77755</t>
  </si>
  <si>
    <t>ｱｰﾃｯｸ/Artecﾌﾞﾛｯｸ 基本四角 24P 黒/77754</t>
  </si>
  <si>
    <t>ｱｰﾃｯｸ/Artecﾌﾞﾛｯｸ ﾊｰﾌA 8P 薄ﾋﾟﾝｸ/77757</t>
  </si>
  <si>
    <t>ｱｰﾃｯｸ/Artecﾌﾞﾛｯｸ ﾊｰﾌA 8P ﾋﾟﾝｸ/77756</t>
  </si>
  <si>
    <t>ｱｰﾃｯｸ/Artecﾌﾞﾛｯｸ ﾊｰﾌA 8P 青/77758</t>
  </si>
  <si>
    <t>ｱｰﾃｯｸ/Artecﾌﾞﾛｯｸ ﾊｰﾌA 8P 水/77759</t>
  </si>
  <si>
    <t>ｱｰﾃｯｸ/Artecﾌﾞﾛｯｸ ﾊｰﾌA 8P 黄/77761</t>
  </si>
  <si>
    <t>ｱｰﾃｯｸ/Artecﾌﾞﾛｯｸ ﾊｰﾌA 8P 薄水/77760</t>
  </si>
  <si>
    <t>ｱｰﾃｯｸ/Artecﾌﾞﾛｯｸ ﾊｰﾌA 8P ﾍﾟｰﾙｵﾚﾝｼﾞ/77763</t>
  </si>
  <si>
    <t>ｱｰﾃｯｸ/Artecﾌﾞﾛｯｸ ﾊｰﾌA 8P 薄黄/77762</t>
  </si>
  <si>
    <t>ｱｰﾃｯｸ/Artecﾌﾞﾛｯｸ ﾊｰﾌA 8P ｵﾚﾝｼﾞ/77764</t>
  </si>
  <si>
    <t>ｱｰﾃｯｸ/Artecﾌﾞﾛｯｸ ﾊｰﾌA 8P 緑/77765</t>
  </si>
  <si>
    <t>ｱｰﾃｯｸ/Artecﾌﾞﾛｯｸ ﾊｰﾌA 8P 黄緑/77766</t>
  </si>
  <si>
    <t>ｱｰﾃｯｸ/Artecﾌﾞﾛｯｸ ﾊｰﾌA 8P 薄緑/77767</t>
  </si>
  <si>
    <t>ｱｰﾃｯｸ/Artecﾌﾞﾛｯｸ ﾊｰﾌA 8P 紫/77768</t>
  </si>
  <si>
    <t>ｱｰﾃｯｸ/Artecﾌﾞﾛｯｸ ﾊｰﾌA 8P 薄紫/77769</t>
  </si>
  <si>
    <t>ｱｰﾃｯｸ/Artecﾌﾞﾛｯｸ ﾊｰﾌA 8P ｸﾞﾚｰ/77770</t>
  </si>
  <si>
    <t>ｱｰﾃｯｸ/Artecﾌﾞﾛｯｸ ﾊｰﾌA 8P 薄ｸﾞﾚｰ/77771</t>
  </si>
  <si>
    <t>ｱｰﾃｯｸ/Artecﾌﾞﾛｯｸ ﾊｰﾌA 8P 白/77773</t>
  </si>
  <si>
    <t>ｱｰﾃｯｸ/Artecﾌﾞﾛｯｸ ﾊｰﾌA 8P 茶/77772</t>
  </si>
  <si>
    <t>ｱｰﾃｯｸ/Artecﾌﾞﾛｯｸ ﾊｰﾌA 8P 黒/77774</t>
  </si>
  <si>
    <t>ｱｰﾃｯｸ/Artecﾌﾞﾛｯｸ ﾊｰﾌB 8P 赤/77775</t>
  </si>
  <si>
    <t>ｱｰﾃｯｸ/Artecﾌﾞﾛｯｸ ﾊｰﾌB 8P 薄ﾋﾟﾝｸ/77777</t>
  </si>
  <si>
    <t>ｱｰﾃｯｸ/Artecﾌﾞﾛｯｸ ﾊｰﾌB 8P ﾋﾟﾝｸ/77776</t>
  </si>
  <si>
    <t>ｱｰﾃｯｸ/Artecﾌﾞﾛｯｸ ﾊｰﾌB 8P 青/77778</t>
  </si>
  <si>
    <t>ｱｰﾃｯｸ/Artecﾌﾞﾛｯｸ ﾊｰﾌB 8P 水/77779</t>
  </si>
  <si>
    <t>ｱｰﾃｯｸ/Artecﾌﾞﾛｯｸ ﾊｰﾌB 8P 黄/77781</t>
  </si>
  <si>
    <t>ｱｰﾃｯｸ/Artecﾌﾞﾛｯｸ ﾊｰﾌB 8P 薄水/77780</t>
  </si>
  <si>
    <t>ｱｰﾃｯｸ/Artecﾌﾞﾛｯｸ ﾊｰﾌB 8P ﾍﾟｰﾙｵﾚﾝｼﾞ/77783</t>
  </si>
  <si>
    <t>ｱｰﾃｯｸ/Artecﾌﾞﾛｯｸ ﾊｰﾌB 8P 薄黄/77782</t>
  </si>
  <si>
    <t>ｱｰﾃｯｸ/Artecﾌﾞﾛｯｸ ﾊｰﾌB 8P 緑/77785</t>
  </si>
  <si>
    <t>ｱｰﾃｯｸ/Artecﾌﾞﾛｯｸ ﾊｰﾌB 8P ｵﾚﾝｼﾞ/77784</t>
  </si>
  <si>
    <t>ｱｰﾃｯｸ/Artecﾌﾞﾛｯｸ ﾊｰﾌB 8P 黄緑/77786</t>
  </si>
  <si>
    <t>ｱｰﾃｯｸ/Artecﾌﾞﾛｯｸ ﾊｰﾌB 8P 紫/77788</t>
  </si>
  <si>
    <t>ｱｰﾃｯｸ/Artecﾌﾞﾛｯｸ ﾊｰﾌB 8P 薄紫/77789</t>
  </si>
  <si>
    <t>ｱｰﾃｯｸ/Artecﾌﾞﾛｯｸ ﾊｰﾌB 8P 薄緑/77787</t>
  </si>
  <si>
    <t>ｱｰﾃｯｸ/Artecﾌﾞﾛｯｸ ﾊｰﾌB 8P ｸﾞﾚｰ/77790</t>
  </si>
  <si>
    <t>ｱｰﾃｯｸ/Artecﾌﾞﾛｯｸ ﾊｰﾌB 8P 薄ｸﾞﾚｰ/77791</t>
  </si>
  <si>
    <t>ｱｰﾃｯｸ/Artecﾌﾞﾛｯｸ ﾊｰﾌB 8P 白/77793</t>
  </si>
  <si>
    <t>ｱｰﾃｯｸ/Artecﾌﾞﾛｯｸ ﾊｰﾌB 8P 茶/77792</t>
  </si>
  <si>
    <t>ｱｰﾃｯｸ/Artecﾌﾞﾛｯｸ 三角A 8P 赤/77795</t>
  </si>
  <si>
    <t>ｱｰﾃｯｸ/Artecﾌﾞﾛｯｸ ﾊｰﾌB 8P 黒/77794</t>
  </si>
  <si>
    <t>ｱｰﾃｯｸ/Artecﾌﾞﾛｯｸ 三角A 8P ﾋﾟﾝｸ/77796</t>
  </si>
  <si>
    <t>ｱｰﾃｯｸ/Artecﾌﾞﾛｯｸ 三角A 8P 薄ﾋﾟﾝｸ/77797</t>
  </si>
  <si>
    <t>ｱｰﾃｯｸ/Artecﾌﾞﾛｯｸ 三角A 8P 水/77799</t>
  </si>
  <si>
    <t>ｱｰﾃｯｸ/Artecﾌﾞﾛｯｸ 三角A 8P 青/77798</t>
  </si>
  <si>
    <t>ｱｰﾃｯｸ/ｽｹｼﾞｭｰﾙ帳用ｸﾘｱｽﾀﾝﾌﾟ/74600</t>
  </si>
  <si>
    <t>ｱｰﾃｯｸ/Artecﾌﾞﾛｯｸ 三角A 8P 薄水/77800</t>
  </si>
  <si>
    <t>ｱｰﾃｯｸ/手紙用ｸﾘｱｽﾀﾝﾌﾟ/74602</t>
  </si>
  <si>
    <t>ｱｰﾃｯｸ/発送用ｸﾘｱｽﾀﾝﾌﾟ/74601</t>
  </si>
  <si>
    <t>ｱｰﾃｯｸ/Artecﾌﾞﾛｯｸ 三角A 8P 黄/77801</t>
  </si>
  <si>
    <t>ｱｰﾃｯｸ/ｱｸﾘﾙﾌﾞﾛｯｸ 50×80mm/74628</t>
  </si>
  <si>
    <t>ｱｰﾃｯｸ/ﾏｽｷﾝｸﾞﾃｰﾌﾟ ﾚﾄﾛﾌﾗﾜｰ 木春菊/74642</t>
  </si>
  <si>
    <t>ｱｰﾃｯｸ/Artecﾌﾞﾛｯｸ 三角A 8P 薄黄/77802</t>
  </si>
  <si>
    <t>ｱｰﾃｯｸ/Artecﾌﾞﾛｯｸ 三角A 8P ﾍﾟｰﾙｵﾚﾝｼﾞ/77803</t>
  </si>
  <si>
    <t>ｱｰﾃｯｸ/ﾏｽｷﾝｸﾞﾃｰﾌﾟ ﾚﾄﾛﾌﾗﾜｰ 苺/74643</t>
  </si>
  <si>
    <t>ｱｰﾃｯｸ/Artecﾌﾞﾛｯｸ 三角A 8P 緑/77805</t>
  </si>
  <si>
    <t>ｱｰﾃｯｸ/Artecﾌﾞﾛｯｸ 三角A 8P ｵﾚﾝｼﾞ/77804</t>
  </si>
  <si>
    <t>ｱｰﾃｯｸ/ﾏｽｷﾝｸﾞﾃｰﾌﾟ ﾚﾄﾛﾌﾗﾜｰ 鈴蘭/74644</t>
  </si>
  <si>
    <t>ｱｰﾃｯｸ/Artecﾌﾞﾛｯｸ 三角A 8P 黄緑/77806</t>
  </si>
  <si>
    <t>ｱｰﾃｯｸ/ﾏｽｷﾝｸﾞﾃｰﾌﾟ ゆるいどうぶつ ねこ/74650</t>
  </si>
  <si>
    <t>ｱｰﾃｯｸ/ﾏｽｷﾝｸﾞﾃｰﾌﾟ ﾚﾄﾛﾌﾗﾜｰ 秋桜/74645</t>
  </si>
  <si>
    <t>ｱｰﾃｯｸ/Artecﾌﾞﾛｯｸ 三角A 8P 薄緑/77807</t>
  </si>
  <si>
    <t>ｱｰﾃｯｸ/Artecﾌﾞﾛｯｸ 三角A 8P 紫/77808</t>
  </si>
  <si>
    <t>ｱｰﾃｯｸ/ﾏｽｷﾝｸﾞﾃｰﾌﾟ ゆるいどうぶつ すいぞくかん/74652</t>
  </si>
  <si>
    <t>ｱｰﾃｯｸ/ﾏｽｷﾝｸﾞﾃｰﾌﾟ ゆるいどうぶつ いぬ/74651</t>
  </si>
  <si>
    <t>ｱｰﾃｯｸ/Artecﾌﾞﾛｯｸ 三角A 8P 薄紫/77809</t>
  </si>
  <si>
    <t>ｱｰﾃｯｸ/Artecﾌﾞﾛｯｸ 三角A 8P ｸﾞﾚｰ/77810</t>
  </si>
  <si>
    <t>ｱｰﾃｯｸ/ﾏｽｷﾝｸﾞﾃｰﾌﾟ ｽｲｰﾂﾊﾟｰﾗｰ ﾌﾞﾙｰ/74654</t>
  </si>
  <si>
    <t>ｱｰﾃｯｸ/Artecﾌﾞﾛｯｸ 三角A 8P 薄ｸﾞﾚｰ/77811</t>
  </si>
  <si>
    <t>ｱｰﾃｯｸ/ﾏｽｷﾝｸﾞﾃｰﾌﾟ ｽｲｰﾂﾊﾟｰﾗｰ ﾋﾟﾝｸ/74655</t>
  </si>
  <si>
    <t>ｱｰﾃｯｸ/Artecﾌﾞﾛｯｸ 三角A 8P 白/77813</t>
  </si>
  <si>
    <t>ｱｰﾃｯｸ/Artecﾌﾞﾛｯｸ 三角A 8P 茶/77812</t>
  </si>
  <si>
    <t>ｱｰﾃｯｸ/ﾏｽｷﾝｸﾞﾃｰﾌﾟ ﾚﾄﾛﾎﾟｯﾌﾟ ﾁｬｰﾐｰ/74656</t>
  </si>
  <si>
    <t>ｱｰﾃｯｸ/ﾏｽｷﾝｸﾞﾃｰﾌﾟ ﾚﾄﾛﾎﾟｯﾌﾟ ｼﾃｨｶﾞｰﾙ/74657</t>
  </si>
  <si>
    <t>ｱｰﾃｯｸ/ﾏｽｷﾝｸﾞﾃｰﾌﾟ ｶﾞｰﾙｽﾞﾗｲﾌ/74658</t>
  </si>
  <si>
    <t>ｱｰﾃｯｸ/Artecﾌﾞﾛｯｸ 三角A 8P 黒/77814</t>
  </si>
  <si>
    <t>ｱｰﾃｯｸ/Artecﾌﾞﾛｯｸ 丸単品 10P 白/黒/77815</t>
  </si>
  <si>
    <t>ｱｰﾃｯｸ/ﾏｽｷﾝｸﾞﾃｰﾌﾟ おにぎり/74659</t>
  </si>
  <si>
    <t>ｱｰﾃｯｸ/ﾏｽｷﾝｸﾞﾃｰﾌﾟ おすし/74660</t>
  </si>
  <si>
    <t>ｱｰﾃｯｸ/Artecﾌﾞﾛｯｸ ﾀｲﾔ 8P 黒/77816</t>
  </si>
  <si>
    <t>ｱｰﾃｯｸ/Artecﾌﾞﾛｯｸ 回転軸 8P 白/77817</t>
  </si>
  <si>
    <t>ｱｰﾃｯｸ/Artecﾌﾞﾛｯｸ ﾚｰﾙAx3P Bx2P白/77818</t>
  </si>
  <si>
    <t>ｱｰﾃｯｸ/ﾏｽｷﾝｸﾞﾃｰﾌﾟ ﾈｵﾝｻｲﾝ/74662</t>
  </si>
  <si>
    <t>ｱｰﾃｯｸ/Artecﾌﾞﾛｯｸ ﾐﾆ四角 20P 赤/77819</t>
  </si>
  <si>
    <t>ｱｰﾃｯｸ/木柄ｽﾀﾝﾌﾟ30 ﾚﾄﾛﾌﾗﾜｰ 木春菊/74751</t>
  </si>
  <si>
    <t>ｱｰﾃｯｸ/ﾏｽｷﾝｸﾞﾃｰﾌﾟ 魔法少女/74661</t>
  </si>
  <si>
    <t>ｱｰﾃｯｸ/Artecﾌﾞﾛｯｸ ﾐﾆ四角 20P ﾋﾟﾝｸ/77820</t>
  </si>
  <si>
    <t>ｱｰﾃｯｸ/木柄ｽﾀﾝﾌﾟ10 ﾚﾄﾛﾌﾗﾜｰ 苺/74752</t>
  </si>
  <si>
    <t>ｱｰﾃｯｸ/Artecﾌﾞﾛｯｸ ﾐﾆ四角 20P 薄ﾋﾟﾝｸ/77821</t>
  </si>
  <si>
    <t>ｱｰﾃｯｸ/Artecﾌﾞﾛｯｸ ﾐﾆ四角 20P 青/77822</t>
  </si>
  <si>
    <t>ｱｰﾃｯｸ/木柄ｽﾀﾝﾌﾟ30 ｶﾞｰﾙｽﾞﾗｲﾌ 休日/74754</t>
  </si>
  <si>
    <t>ｱｰﾃｯｸ/Artecﾌﾞﾛｯｸ ﾐﾆ四角 20P 水/77823</t>
  </si>
  <si>
    <t>ｱｰﾃｯｸ/木柄ｽﾀﾝﾌﾟ30 ｶﾞｰﾙｽﾞﾗｲﾌ ｺｰﾋｰﾌﾞﾚｲｸ/74753</t>
  </si>
  <si>
    <t>ｱｰﾃｯｸ/Artecﾌﾞﾛｯｸ ﾐﾆ四角 20P 薄水/77824</t>
  </si>
  <si>
    <t>ｱｰﾃｯｸ/Artecﾌﾞﾛｯｸ ﾐﾆ四角 20P 黄/77825</t>
  </si>
  <si>
    <t>ｱｰﾃｯｸ/Artecﾌﾞﾛｯｸ ﾐﾆ四角 20P 薄黄/77826</t>
  </si>
  <si>
    <t>ｱｰﾃｯｸ/Artecﾌﾞﾛｯｸ ﾐﾆ四角 20P ﾍﾟｰﾙｵﾚﾝｼﾞ/77827</t>
  </si>
  <si>
    <t>ｱｰﾃｯｸ/Artecﾌﾞﾛｯｸ ﾐﾆ四角 20P ｵﾚﾝｼﾞ/77828</t>
  </si>
  <si>
    <t>ｱｰﾃｯｸ/Artecﾌﾞﾛｯｸ ﾐﾆ四角 20P 緑/77829</t>
  </si>
  <si>
    <t>ｱｰﾃｯｸ/木柄ｽﾀﾝﾌﾟ10 ﾜｰﾙﾄﾞﾌｧﾌﾞﾘｯｸ 桜/74761</t>
  </si>
  <si>
    <t>ｱｰﾃｯｸ/Artecﾌﾞﾛｯｸ ﾐﾆ四角 20P 黄緑/77830</t>
  </si>
  <si>
    <t>ｱｰﾃｯｸ/木柄ｽﾀﾝﾌﾟ30 ゆるいどうぶつねこ切手ﾌﾚｰﾑ/74762</t>
  </si>
  <si>
    <t>ｱｰﾃｯｸ/木柄ｽﾀﾝﾌﾟ10 ゆるいどうぶつ いぬ/74763</t>
  </si>
  <si>
    <t>ｱｰﾃｯｸ/Artecﾌﾞﾛｯｸ ﾐﾆ四角 20P 薄緑/77831</t>
  </si>
  <si>
    <t>ｱｰﾃｯｸ/Artecﾌﾞﾛｯｸ ﾐﾆ四角 20P 紫/77832</t>
  </si>
  <si>
    <t>ｱｰﾃｯｸ/Artecﾌﾞﾛｯｸ ﾐﾆ四角 20P 薄紫/77833</t>
  </si>
  <si>
    <t>ｱｰﾃｯｸ/木柄ｽﾀﾝﾌﾟ30 ｶﾞｰﾙｽﾞﾗｲﾌ ﾌﾗﾜｰ 1/74765</t>
  </si>
  <si>
    <t>ｱｰﾃｯｸ/木柄ｽﾀﾝﾌﾟ10 ゆるいどうぶつ らっこ/74764</t>
  </si>
  <si>
    <t>ｱｰﾃｯｸ/Artecﾌﾞﾛｯｸ ﾐﾆ四角 20P ｸﾞﾚｰ/77834</t>
  </si>
  <si>
    <t>ｱｰﾃｯｸ/木柄ｽﾀﾝﾌﾟ30 ｶﾞｰﾙｽﾞﾗｲﾌ ﾌﾗﾜｰ 2/74766</t>
  </si>
  <si>
    <t>ｱｰﾃｯｸ/Artecﾌﾞﾛｯｸ ﾐﾆ四角 20P 薄ｸﾞﾚｰ/77835</t>
  </si>
  <si>
    <t>ｱｰﾃｯｸ/Artecﾌﾞﾛｯｸ ﾐﾆ四角 20P 茶/77836</t>
  </si>
  <si>
    <t>ｱｰﾃｯｸ/木柄ｽﾀﾝﾌﾟ10 日本食 天むす/74768</t>
  </si>
  <si>
    <t>ｱｰﾃｯｸ/木柄ｽﾀﾝﾌﾟ10 日本食 おにぎり/74767</t>
  </si>
  <si>
    <t>ｱｰﾃｯｸ/Artecﾌﾞﾛｯｸ ﾐﾆ四角 20P 黒/77838</t>
  </si>
  <si>
    <t>ｱｰﾃｯｸ/Artecﾌﾞﾛｯｸ 基本四角 100P 赤/77840</t>
  </si>
  <si>
    <t>ｱｰﾃｯｸ/木柄ｽﾀﾝﾌﾟ10 日本食 寿司 えび/74770</t>
  </si>
  <si>
    <t>ｱｰﾃｯｸ/木柄ｽﾀﾝﾌﾟ10 日本食 寿司 いくら/74769</t>
  </si>
  <si>
    <t>ｱｰﾃｯｸ/Artecﾌﾞﾛｯｸ 基本四角 100P ﾋﾟﾝｸ/77841</t>
  </si>
  <si>
    <t>ｱｰﾃｯｸ/Artecﾌﾞﾛｯｸ 基本四角 100P 薄ﾋﾟﾝｸ/77842</t>
  </si>
  <si>
    <t>ｱｰﾃｯｸ/木柄ｽﾀﾝﾌﾟ30 魔法少女 ﾏｼﾞｶﾙｽﾃｯｷ/74772</t>
  </si>
  <si>
    <t>ｱｰﾃｯｸ/木柄ｽﾀﾝﾌﾟ30 魔法少女 変身ｺﾝﾊﾟｸﾄ/74771</t>
  </si>
  <si>
    <t>ｱｰﾃｯｸ/Artecﾌﾞﾛｯｸ 基本四角 100P 青/77843</t>
  </si>
  <si>
    <t>ｱｰﾃｯｸ/Artecﾌﾞﾛｯｸ 基本四角 100P 水/77844</t>
  </si>
  <si>
    <t>ｱｰﾃｯｸ/木柄ｽﾀﾝﾌﾟ10 ﾈｵﾝｻｲﾝ ｿﾌﾄｸﾘｰﾑ/74774</t>
  </si>
  <si>
    <t>ｱｰﾃｯｸ/木柄ｽﾀﾝﾌﾟ30 魔法少女 魔法陣ﾌﾚｰﾑ/74773</t>
  </si>
  <si>
    <t>ｱｰﾃｯｸ/Artecﾌﾞﾛｯｸ 基本四角 100P 薄水/77845</t>
  </si>
  <si>
    <t>ｱｰﾃｯｸ/木柄ｽﾀﾝﾌﾟ10 ﾈｵﾝｻｲﾝ ﾛｰﾗｰｽｹｰﾄ/74775</t>
  </si>
  <si>
    <t>ｱｰﾃｯｸ/Artecﾌﾞﾛｯｸ 基本四角 100P 黄/77846</t>
  </si>
  <si>
    <t>ｱｰﾃｯｸ/Artecﾌﾞﾛｯｸ 基本四角 100P 薄黄/77847</t>
  </si>
  <si>
    <t>ｱｰﾃｯｸ/木柄ｽﾀﾝﾌﾟ30 ﾚﾄﾛﾎﾟｯﾌﾟ ｼﾃｨｶﾞｰﾙ ﾃﾞｲﾘｰﾛｸﾞ/74777</t>
  </si>
  <si>
    <t>ｱｰﾃｯｸ/木柄ｽﾀﾝﾌﾟ30 ﾚﾄﾛﾎﾟｯﾌﾟｽｲｰﾂﾊﾟｰﾗｰ ﾃﾞｲﾘｰﾛｸﾞ/74776</t>
  </si>
  <si>
    <t>ｱｰﾃｯｸ/Artecﾌﾞﾛｯｸ 基本四角 100P ｵﾚﾝｼﾞ/77849</t>
  </si>
  <si>
    <t>ｱｰﾃｯｸ/Artecﾌﾞﾛｯｸ 基本四角 100P ﾍﾟｰﾙｵﾚﾝｼﾞ/77848</t>
  </si>
  <si>
    <t>ｱｰﾃｯｸ/Artecﾌﾞﾛｯｸ 基本四角 100P 緑/77850</t>
  </si>
  <si>
    <t>ｱｰﾃｯｸ/Artecﾌﾞﾛｯｸ 基本四角 100P 薄緑/77852</t>
  </si>
  <si>
    <t>ｱｰﾃｯｸ/Artecﾌﾞﾛｯｸ 基本四角 100P 薄紫/77854</t>
  </si>
  <si>
    <t>ｱｰﾃｯｸ/Artecﾌﾞﾛｯｸ 基本四角 100P 黄緑/77851</t>
  </si>
  <si>
    <t>ｱｰﾃｯｸ/Artecﾌﾞﾛｯｸ 基本四角 100P ｸﾞﾚｰ/77855</t>
  </si>
  <si>
    <t>ｱｰﾃｯｸ/Artecﾌﾞﾛｯｸ 基本四角 100P 薄ｸﾞﾚｰ/77856</t>
  </si>
  <si>
    <t>ｱｰﾃｯｸ/Artecﾌﾞﾛｯｸ 基本四角 100P 茶/77857</t>
  </si>
  <si>
    <t>ｱｰﾃｯｸ/Artecﾌﾞﾛｯｸ 基本四角 100P 白/77858</t>
  </si>
  <si>
    <t>ｱｰﾃｯｸ/Artecﾌﾞﾛｯｸ 基本四角 100P 黒/77859</t>
  </si>
  <si>
    <t>ｱｰﾃｯｸ/Artecﾌﾞﾛｯｸ ﾊﾟｰﾌｪｸﾄﾏｽｾｯﾄ/77860</t>
  </si>
  <si>
    <t>ｱｰﾃｯｸ/Artecﾌﾞﾛｯｸ 基本四角 100P ｸﾘｱ/77868</t>
  </si>
  <si>
    <t>ｱｰﾃｯｸ/ﾘﾝｸ学習ｾｯﾄ/77882</t>
  </si>
  <si>
    <t>ｱｰﾃｯｸ/天然竹製ﾎﾞｰﾙﾍﾟﾝ(ｹｰｽ付)/118760</t>
  </si>
  <si>
    <t>ｱｰﾃｯｸ/かいてんｷﾞﾔｾｯﾄ/77884</t>
  </si>
  <si>
    <t>ｱｰﾃｯｸ/ArtecRobo用超音波ｾﾝｻｰ/82544</t>
  </si>
  <si>
    <t>ｱｰﾃｯｸ/証書ﾌｧｲﾙ ｽｴｰﾄﾞ B4 ﾊﾟｯﾄﾞ有 紺/118837</t>
  </si>
  <si>
    <t>ｱｰﾃｯｸ/証書ﾌｧｲﾙ ｽｴｰﾄﾞ B4 ﾊﾟｯﾄﾞ有 えんじ/118838</t>
  </si>
  <si>
    <t>ｱｰﾃｯｸ/ArtecRobo用ｶﾗｰｾﾝｻｰ/82547</t>
  </si>
  <si>
    <t>ｱｰﾃｯｸ/ﾛﾎﾞｯﾄ用温度ｾﾝｻｰ/86846</t>
  </si>
  <si>
    <t>ｱｰﾃｯｸ/超音波距離ｾﾝｻｰ/86848</t>
  </si>
  <si>
    <t>ｱｰﾃｯｸ/証書ﾌｧｲﾙ ｽｴｰﾄﾞ A ﾊﾟｯﾄﾞ無 えんじ/118840</t>
  </si>
  <si>
    <t>ｱｰﾃｯｸ/証書ﾌｧｲﾙ ｽｴｰﾄﾞ A ﾊﾟｯﾄﾞ無 紺/118839</t>
  </si>
  <si>
    <t>ｱｰﾃｯｸ/ﾛﾎﾞｯﾄ用ｼﾞｬｲﾛ･加速度ｾﾝｻｰ/86849</t>
  </si>
  <si>
    <t>ｱｰﾃｯｸ/証書ﾌｧｲﾙ ｽｴｰﾄﾞ B ﾊﾟｯﾄﾞ無 紺/118841</t>
  </si>
  <si>
    <t>ｱｰﾃｯｸ/ﾛﾎﾞｯﾄ用赤外線ﾘﾓｺﾝ受信ｾﾝｻｰ/86850</t>
  </si>
  <si>
    <t>ｱｰﾃｯｸ/証書ﾌｧｲﾙ ｽｴｰﾄﾞ B ﾊﾟｯﾄﾞ無 えんじ/118842</t>
  </si>
  <si>
    <t>ｱｰﾃｯｸ/証書ﾌｧｲﾙ ｽｴｰﾄﾞ B4 ﾊﾟｯﾄﾞ無 紺/118843</t>
  </si>
  <si>
    <t>ｱｰﾃｯｸ/ﾌﾞﾙｰﾄｩｰｽﾓｼﾞｭｰﾙ/86876</t>
  </si>
  <si>
    <t>ｱｰﾃｯｸ/ｷﾞﾔ用ﾀｲﾔｺﾞﾑφ70mm(2個組)/86877</t>
  </si>
  <si>
    <t>ｱｰﾃｯｸ/ﾌｧｲﾙﾎﾞｯｸｽ 段ﾎﾞｰﾙA4 茶/74572</t>
  </si>
  <si>
    <t>ｱｰﾃｯｸ/証書ﾌｧｲﾙ ｽｴｰﾄﾞ B4 ﾊﾟｯﾄﾞ無 えんじ/118844</t>
  </si>
  <si>
    <t>ｱｰﾃｯｸ/超音波距離ｾﾝｻ接続ｺｰﾄﾞ(4芯30cm)/86881</t>
  </si>
  <si>
    <t>ｱｰﾃｯｸ/ｸﾘｱﾌﾞｯｸA4 横入れ 40ﾎﾟｹｯﾄ ﾚｯﾄﾞ/74592</t>
  </si>
  <si>
    <t>ｱｰﾃｯｸ/証書ﾌｧｲﾙ 布張風 A ﾊﾟｯﾄﾞ有 紺/118845</t>
  </si>
  <si>
    <t>ｱｰﾃｯｸ/ｸﾘｱﾌﾞｯｸA4 横入れ 40ﾎﾟｹｯﾄ ｸﾞﾘｰﾝ/74593</t>
  </si>
  <si>
    <t>ｱｰﾃｯｸ/証書ﾌｧｲﾙ 布張風 A ﾊﾟｯﾄﾞ有 えんじ/118846</t>
  </si>
  <si>
    <t>ｱｰﾃｯｸ/ｸﾘｱﾌﾞｯｸA4 横入れ 40ﾎﾟｹｯﾄ ｲｴﾛｰ/74594</t>
  </si>
  <si>
    <t>ｱｰﾃｯｸ/ｶﾗｰｾﾝｻ接続ｺｰﾄﾞ(4芯30cm)/86882</t>
  </si>
  <si>
    <t>ｱｰﾃｯｸ/温度ｾﾝｻｰ/93642</t>
  </si>
  <si>
    <t>ｱｰﾃｯｸ/証書ﾌｧｲﾙ 布張風 B ﾊﾟｯﾄﾞ有 紺/118847</t>
  </si>
  <si>
    <t>ｱｰﾃｯｸ/ｸﾘｱﾌﾞｯｸA4 横入れ 40ﾎﾟｹｯﾄ ﾌﾞﾙｰ/74595</t>
  </si>
  <si>
    <t>ｱｰﾃｯｸ/ｸﾘｱﾌﾞｯｸA4 横入れ 40ﾎﾟｹｯﾄ ｸﾘｱ/74596</t>
  </si>
  <si>
    <t>ｱｰﾃｯｸ/証書ﾌｧｲﾙ 布張風 B ﾊﾟｯﾄﾞ有 えんじ/118848</t>
  </si>
  <si>
    <t>ｱｰﾃｯｸ/へんしんﾌﾞﾛｯｸﾛﾎﾞ ﾄｺﾄｺｱﾆﾏﾙ/93997</t>
  </si>
  <si>
    <t>ｱｰﾃｯｸ/ｸﾘｱﾌﾞｯｸA4 横入れ 40ﾎﾟｹｯﾄ ｵﾚﾝｼﾞ/74597</t>
  </si>
  <si>
    <t>ｱｰﾃｯｸ/証書ﾌｧｲﾙ 布張風 B4 ﾊﾟｯﾄﾞ有 えんじ/118850</t>
  </si>
  <si>
    <t>ｱｰﾃｯｸ/証書ﾌｧｲﾙ 布張風 B4 ﾊﾟｯﾄﾞ有 紺/118849</t>
  </si>
  <si>
    <t>ｱｰﾃｯｸ/ｱｰﾃｯｸﾛﾎﾞ 2.0 基本ｾｯﾄ/94989</t>
  </si>
  <si>
    <t>山田化学/ﾌｧｲﾙﾎﾞｯｸｽ 縦型A4 ﾎﾜｲﾄ/92063</t>
  </si>
  <si>
    <t>ｱｰﾃｯｸ/ｺｻｰｼﾞｭ ﾚｰｽﾌﾗﾜｰ ﾋﾟﾝｸ/118863</t>
  </si>
  <si>
    <t>ｱｰﾃｯｸ/押すだけかんたんﾌﾟﾛｸﾞﾗﾐﾝｸﾞﾛﾎﾞ/95000</t>
  </si>
  <si>
    <t>ｱｰﾃｯｸ/硬質ｶｰﾄﾞｹｰｽ 10枚入/92079</t>
  </si>
  <si>
    <t>ｱｰﾃｯｸ/ｺｻｰｼﾞｭ ﾚｰｽﾌﾗﾜｰ ﾌﾞﾙｰ/118864</t>
  </si>
  <si>
    <t>ｱｰﾃｯｸ/ｺｻｰｼﾞｭ ﾚｰｽﾌﾗﾜｰ ｲｴﾛｰ/118865</t>
  </si>
  <si>
    <t>ｱｰﾃｯｸ/ﾌﾞﾛｯｸﾛﾎﾞﾘﾝｸ ﾍﾞｰｼｯｸ/95043</t>
  </si>
  <si>
    <t>ｱｰﾃｯｸ/ｺｻｰｼﾞｭ ﾚｰｽﾌﾗﾜｰ ｸﾞﾘｰﾝ/118866</t>
  </si>
  <si>
    <t>ｱｰﾃｯｸ/ﾌﾟﾛｸﾞﾗﾐﾝｸﾞお掃除ﾛﾎﾞ(組立済)/95020</t>
  </si>
  <si>
    <t>ｱｰﾃｯｸ/ｽﾀﾃﾞｨｰﾉﾐﾆDCﾓｰﾀｰ拡張基盤/151091</t>
  </si>
  <si>
    <t>ｱｰﾃｯｸ/ﾛｾﾞｯﾄ ﾈｲﾋﾞｰ/118868</t>
  </si>
  <si>
    <t>ｱｰﾃｯｸ/ｶﾗﾌﾙｸﾛｯｸ基板/151093</t>
  </si>
  <si>
    <t>ｱｰﾃｯｸ/ｺｻｰｼﾞｭ ﾚｰｽﾌﾗﾜｰ ﾎﾜｲﾄ/118867</t>
  </si>
  <si>
    <t>ｱｰﾃｯｸ/雑貨ﾌﾞﾛｯｸ 侍/151456</t>
  </si>
  <si>
    <t>ｱｰﾃｯｸ/ﾛｾﾞｯﾄ ｲｴﾛｰ/118869</t>
  </si>
  <si>
    <t>ｱｰﾃｯｸ/ｺｻｰｼﾞｭ 桜/118873</t>
  </si>
  <si>
    <t>ｱｰﾃｯｸ/鉛筆2B(12本組) ﾈｲﾋﾞｰ/118879</t>
  </si>
  <si>
    <t>ｱｰﾃｯｸ/鉛筆2B(12本組) ﾗﾍﾞﾝﾀﾞｰ/118882</t>
  </si>
  <si>
    <t>ｱｰﾃｯｸ/ﾛｾﾞｯﾄ ｸﾞﾘｰﾝ/118870</t>
  </si>
  <si>
    <t>ｱｰﾃｯｸ/雑貨ﾌﾞﾛｯｸ 忍/151459</t>
  </si>
  <si>
    <t>ｱｰﾃｯｸ/J･Artec Lﾌﾞﾛｯｸ ﾌﾟﾗｲﾏﾘｰ 60ﾋﾟｰｽ/151464</t>
  </si>
  <si>
    <t>ｱｰﾃｯｸ/J･Artec Lﾌﾞﾛｯｸ ﾌﾟﾗｲﾏﾘｰ 120ﾋﾟｰｽ/151467</t>
  </si>
  <si>
    <t>ｱｰﾃｯｸ/Studuino mini(ｽﾀﾃﾞｨｰﾉﾐﾆ)ｹｰｽ入/153015</t>
  </si>
  <si>
    <t>ｱｰﾃｯｸ/J･Artec Lﾌﾞﾛｯｸ ﾏｽｾｯﾄ 120ﾋﾟｰｽ/151465</t>
  </si>
  <si>
    <t>ｱｰﾃｯｸ/USBｺｰﾄﾞmicroB(80cm)品名ｼｰﾙ有/153028</t>
  </si>
  <si>
    <t>ｱｰﾃｯｸ/USBｹｰﾌﾞﾙminiB(80cm)/153101</t>
  </si>
  <si>
    <t>ｱｰﾃｯｸ/電池ﾎﾞｯｸｽ(単3電池3本)/153102</t>
  </si>
  <si>
    <t>ｱｰﾃｯｸ/Studuino(ｽﾀﾃﾞｨｰﾉ)/153100</t>
  </si>
  <si>
    <t>ｱｰﾃｯｸ/ﾛﾎﾞｯﾄ用光ｾﾝｻｰ/153115</t>
  </si>
  <si>
    <t>ｱｰﾃｯｸ/ﾛﾎﾞｯﾄ用音ｾﾝｻｰ/153114</t>
  </si>
  <si>
    <t>ｱｰﾃｯｸ/ﾛﾎﾞｯﾄ用赤外線ﾌｫﾄﾘﾌﾚｸﾀ/153116</t>
  </si>
  <si>
    <t>ｱｰﾃｯｸ/ﾛﾎﾞｯﾄ用ﾀｯﾁｾﾝｻｰ/153117</t>
  </si>
  <si>
    <t>ｱｰﾃｯｸ/ﾛﾎﾞｯﾄ用電子ﾌﾞｻﾞｰ/153119</t>
  </si>
  <si>
    <t>ｱｰﾃｯｸ/ﾛﾎﾞｯﾄ用加速度ｾﾝｻｰ/153118</t>
  </si>
  <si>
    <t>ｱｰﾃｯｸ/ﾛﾎﾞｯﾄ用LED赤/153120</t>
  </si>
  <si>
    <t>ｱｰﾃｯｸ/ﾛﾎﾞｯﾄ用LED緑/153121</t>
  </si>
  <si>
    <t>ｱｰﾃｯｸ/ﾛﾎﾞｯﾄ用LED白/153123</t>
  </si>
  <si>
    <t>ｱｰﾃｯｸ/ﾛﾎﾞｯﾄ用LED青/153122</t>
  </si>
  <si>
    <t>ｱｰﾃｯｸ/ｾﾝｻｰ接続ｺｰﾄﾞ(3芯15cm)/153125</t>
  </si>
  <si>
    <t>ｱｰﾃｯｸ/ｾﾝｻｰ接続ｺｰﾄﾞ(3芯30cm)/153126</t>
  </si>
  <si>
    <t>ｱｰﾃｯｸ/ｾﾝｻｰ接続ｺｰﾄﾞ50cm(加速度ｾﾝｻｰ用)/153127</t>
  </si>
  <si>
    <t>ｱｰﾃｯｸ/Artecﾌﾞﾛｯｸｱｰﾃｯｸﾛﾎﾞ ﾍﾞｰｼｯｸ/153142</t>
  </si>
  <si>
    <t>ｱｰﾃｯｸ/ﾛﾎﾞｯﾄ用基板台座(ﾍｯﾀﾞｰ袋･品名ｼｰﾙ付/153139</t>
  </si>
  <si>
    <t>ｱｰﾃｯｸ/Studuino mini(ｽﾀﾃﾞｨｰﾉﾐﾆ)/153144</t>
  </si>
  <si>
    <t>ｱｰﾃｯｸ/ﾛﾎﾞｯﾄ用ｻｰﾎﾞﾓｰﾀｰ3kg･cm/153148</t>
  </si>
  <si>
    <t>ｱｰﾃｯｸ/ﾛﾎﾞｯﾄ用DCﾓｰﾀｰ/153149</t>
  </si>
  <si>
    <t>ｱｰﾃｯｸ/Artecﾌﾞﾛｯｸｱｰﾃｯｸﾛﾎﾞ ｱﾄﾞﾊﾞﾝｽ/153143</t>
  </si>
  <si>
    <t>ｱｰﾃｯｸ/ﾌﾞﾛｯｸ用電池ﾎﾞｯｸｽｺｰﾄﾞ付(単3電池3本)/154013</t>
  </si>
  <si>
    <t>ｱｰﾃｯｸ/ｻｰﾎﾞﾓｰﾀｰ延長ｺｰﾄﾞ(品名ｼｰﾙ有)/153211</t>
  </si>
  <si>
    <t>ｱｰﾃｯｸ/原子ﾓﾃﾞﾙｶｰﾄﾞｹﾞｰﾑ/094695</t>
  </si>
  <si>
    <t>ｱｰﾃｯｸ/耳が痛くなりにくいﾏｽｸｽﾄﾗｯﾌﾟ 黒/51057</t>
  </si>
  <si>
    <t>ｱｰﾃｯｸ/飛沫防止透明ﾊﾟｰﾃｰｼｮﾝ 1.0 中(450×500×100mm)</t>
  </si>
  <si>
    <t>ｱｰﾃｯｸ/飛沫防止透明ﾊﾟｰﾃｰｼｮﾝ 1.0 大(610×500×100mm)</t>
  </si>
  <si>
    <t>ｱｰﾃｯｸ/ﾌｯﾄﾏｰｸｼｰﾙ 足型/51113</t>
  </si>
  <si>
    <t>ｱｰﾃｯｸ/ｵｰﾄﾃﾞｨｽﾍﾟﾝｻｰ ｱﾙｺｰﾙ消毒液用/51158</t>
  </si>
  <si>
    <t>ｱｰﾃｯｸ/ﾊﾟﾈﾙ 小(350×550mm)/51231</t>
  </si>
  <si>
    <t>ｱｰﾃｯｸ/固定ﾊﾟｰﾂ 十字型 3個/51232</t>
  </si>
  <si>
    <t>ｱｰﾃｯｸ/飛沫防止ﾊﾟｰﾃｰｼｮﾝ 1.0 大(500×610×100mm)窓ｱｷ</t>
  </si>
  <si>
    <t>ｱｰﾃｯｸ/固定ﾊﾟｰﾂ I字型 3個/51239</t>
  </si>
  <si>
    <t>ｱｰﾃｯｸ/固定ﾊﾟｰﾂ ｺｰﾅｰ用 3個/51240</t>
  </si>
  <si>
    <t>ｱｰﾃｯｸ/飛沫防止 AT透明ﾏｳｽｶﾞｰﾄﾞ 10個/51321</t>
  </si>
  <si>
    <t>ｱｰﾃｯｸ/不織布ﾏｽｸﾌｨﾙﾀｰ 3層 50枚/51331</t>
  </si>
  <si>
    <t>ｱｰﾃｯｸ/使い捨て 不織布ﾏｽｸｼｰﾄ 50枚/51332</t>
  </si>
  <si>
    <t>ｱｰﾃｯｸ/不織布ｽﾘｯﾊﾟ 10足/51346</t>
  </si>
  <si>
    <t>ｱｰﾃｯｸ/ﾊﾟｰﾃｰｼｮﾝ台 間仕切 2000×800×420mmｸﾘｯﾌﾟ2個組</t>
  </si>
  <si>
    <t>ｱｰﾃｯｸ/ﾊﾟｰﾃｰｼｮﾝ台 ｽﾀﾝﾃﾞｨﾝｸﾞ 170 透明ﾋﾞﾆｰﾙｼｰﾄ付</t>
  </si>
  <si>
    <t>ｱｰﾃｯｸ/非接触 赤外線検温計 固定式/51372</t>
  </si>
  <si>
    <t>共立電子産業/ACｱﾀﾞﾌﾟﾀｰ DC12V 2A/51388</t>
  </si>
  <si>
    <t>ｱｰﾃｯｸ/ｸﾘｱｼｰﾄﾏｽｸ 10枚/51392</t>
  </si>
  <si>
    <t>ｱｰﾃｯｸ/非接触検温計 携帯用 温たま/51403</t>
  </si>
  <si>
    <t>ｱｰﾃｯｸ/三脚 TP-01/51416</t>
  </si>
  <si>
    <t>ｱｰﾃｯｸ/不織布製ﾍｯﾄﾞｷｬｯﾌﾟ 100枚/51428</t>
  </si>
  <si>
    <t>ｱｰﾃｯｸ/飛沫防止十字型卓上ﾊﾟｰﾃｰｼｮﾝ 正方形ﾀｲﾌﾟ 4ｾｯﾄ</t>
  </si>
  <si>
    <t>ｱｰﾃｯｸ/飛沫防止十字型卓上ﾊﾟｰﾃｰｼｮﾝ 長方形ﾀｲﾌﾟ 5ｾｯﾄ</t>
  </si>
  <si>
    <t>ｱｰﾃｯｸ/固定ﾊﾟｰﾂ T字型 2個/51547</t>
  </si>
  <si>
    <t>-</t>
    <phoneticPr fontId="2"/>
  </si>
  <si>
    <t>アーテック チョコベイク 2個セット 24318 1セット(2包)（直送品）</t>
  </si>
  <si>
    <t>アーテック チョコベイク 5個セット 24319 1包（直送品）</t>
  </si>
  <si>
    <t>アーテック チョコベイク 10個セット 24320 1包（直送品）</t>
  </si>
  <si>
    <t>アーテック マシュマロップ 2個セット 24321 1セット(4包)（直送品）</t>
  </si>
  <si>
    <t>アーテック マシュマロップ 5個セット 24322 1セット(2包)（直送品）</t>
  </si>
  <si>
    <t>【アウトレット】アーテック マシュマロップ 10個セット 24323 1包</t>
  </si>
  <si>
    <t>アーテック スクイーズキット 肉球 ピンク 58523 1個（直送品）</t>
  </si>
  <si>
    <t>アーテック スクイーズキット 肉球 ブルー 58524 1個（直送品）</t>
  </si>
  <si>
    <t>アーテック スクイーズキット プードル 58525 1個（直送品）</t>
  </si>
  <si>
    <t>アーテック スクイーズ用着色剤 ピンク 58569 1セット(1個×8)（直送品）</t>
  </si>
  <si>
    <t>アーテック スクイーズ用着色剤 ブルー 58570 1セット(1個×8)（直送品）</t>
  </si>
  <si>
    <t>アーテック スクイーズ用着色剤 ブラウン 58571 1セット(1個×8)（直送品）</t>
  </si>
  <si>
    <t>アーテック スクイーズ用着色剤 ホワイト 58572 1セット(1個×8)（直送品）</t>
  </si>
  <si>
    <t>アーテック スクイーズの素 2液タイプ 58596 1個（直送品）</t>
  </si>
  <si>
    <t>アーテック 非接触検温計＆オートディスペンサー（アルコール消毒液用） 51535 1台（直送品）</t>
  </si>
  <si>
    <t>アーテック ソフトサテンはちまき 白 10本組 18953 1袋(10本入)（直送品）</t>
  </si>
  <si>
    <t>アーテック 防犯・防鳥用とげマット 黒 35214 1セット(1箱×2)（直送品）</t>
  </si>
  <si>
    <t>アーテック タピオカスライム粘土 白 袋タイプ 72850 1セット(1袋×6)（直送品）</t>
  </si>
  <si>
    <t>アーテック タピオカスライム粘土 赤 袋タイプ 72851 1セット(1袋×6)（直送品）</t>
  </si>
  <si>
    <t>アーテック タピオカスライム粘土 青 袋タイプ 72852 1セット(1袋×6)（直送品）</t>
  </si>
  <si>
    <t>アーテック タピオカスライム粘土 黄 袋タイプ 72853 1セット(1袋×6)（直送品）</t>
  </si>
  <si>
    <t>アーテック タピオカスライム粘土 緑 袋タイプ 72854 1セット(1袋×6)（直送品）</t>
  </si>
  <si>
    <t>アーテック タピオカスライム粘土 ピンク 袋タイプ 72855 1セット(1袋×6)（直送品）</t>
  </si>
  <si>
    <t>アーテック タピオカスライム粘土 オレンジ 袋タイプ 72856 1セット(1袋×6)（直送品）</t>
  </si>
  <si>
    <t>アーテック タピオカスライム粘土 茶 袋タイプ 72857 1セット(1袋×6)（直送品）</t>
  </si>
  <si>
    <t>アーテック キラキラかざぐるま 21849 1セット(1袋×4)（直送品）</t>
  </si>
  <si>
    <t>アーテック タピオカスライムねんど4色セット 個装袋 155418 1セット(1箱×3)（直送品）</t>
  </si>
  <si>
    <t>アーテック タピオカスライムねんど8色セット 個装袋 155419 1セット(1箱×2)（直送品）</t>
  </si>
  <si>
    <t>アーテック クリーンねんど パールホワイト ねんどケース入セットB 24407 1セット(1個×2)（直送品）</t>
  </si>
  <si>
    <t>アーテック クリーンねんど パールグリーン ねんどケース入セットB 24408 1セット(1個×2)（直送品）</t>
  </si>
  <si>
    <t>アーテック ATあぶらねんどM ケースセットB 24409 1セット(1個×2)（直送品）</t>
  </si>
  <si>
    <t>アーテック 給食帽 ピンク 52800 1セット(1個×4)（直送品）</t>
  </si>
  <si>
    <t>アーテック 給食帽 ブルー 52801 1セット(1個×4)（直送品）</t>
  </si>
  <si>
    <t>アーテック 給食帽 イエロー 52802 1セット(1個×4)（直送品）</t>
  </si>
  <si>
    <t>アーテック 給食帽 グリーン 52803 1セット(1個×4)（直送品）</t>
  </si>
  <si>
    <t>アーテック 木製マス目スタンプ30ミリ角 74878 1セット(1個×2)（直送品）</t>
  </si>
  <si>
    <t>アーテック お勉強シール たいへんよくできました 74880 1セット(1枚×8)（直送品）</t>
  </si>
  <si>
    <t>アーテック 5mm方眼ノート(B5) ブルー 科目名入 算数 32枚 74688 1セット(1冊×6)（直送品）</t>
  </si>
  <si>
    <t>アーテック 5mm方眼ノート(B5) グリーン 科目名入 理科 32枚 74689 1セット(1冊×6)（直送品）</t>
  </si>
  <si>
    <t>アーテック ポイントシール ごほうびダイナソー 74882 1セット(1枚×8)（直送品）</t>
  </si>
  <si>
    <t>アーテック スクエアシール ごほうびアドベンチャー 74883 1セット(1枚×8)（直送品）</t>
  </si>
  <si>
    <t>アーテック 5mm方眼ノート(B5) イエロー 科目名入 社会 32枚 74690 1セット(1冊×6)（直送品）</t>
  </si>
  <si>
    <t>アーテック 5mm方眼ノート(A4) レッド 30枚 74691 1セット(1冊×4)（直送品）</t>
  </si>
  <si>
    <t>アーテック クリアおどうぐばこ B 青 74897 1セット(1個×2)（直送品）</t>
  </si>
  <si>
    <t>アーテック シンプルクリアおどうぐばこ ブルー 74898 1セット(1個×2)（直送品）</t>
  </si>
  <si>
    <t>アーテック 5mm方眼ノート(A4) ブルー 30枚 74692 1セット(1冊×4)（直送品）</t>
  </si>
  <si>
    <t>アーテック 5mm方眼ノート(A4) グリーン 30枚 74693 1セット(1冊×4)（直送品）</t>
  </si>
  <si>
    <t>アーテック 5mm方眼ノート(A4) イエロー 30枚 74694 1セット(1冊×4)（直送品）</t>
  </si>
  <si>
    <t>アーテック 連絡帳 縦書き 10行(B5) 30枚 74695 1セット(1冊×6)（直送品）</t>
  </si>
  <si>
    <t>アーテック おけいこバックA 74899 1セット(1枚×3)（直送品）</t>
  </si>
  <si>
    <t>アーテック おけいこバックB 74900 1セット(1枚×3)（直送品）</t>
  </si>
  <si>
    <t>アーテック 自由帳 無地(B5) 30枚 74696 1セット(1冊×6)（直送品）</t>
  </si>
  <si>
    <t>アーテック こくご 8マス (B5) 30枚 74697 1セット(1冊×6)（直送品）</t>
  </si>
  <si>
    <t>アーテック ねんどケースB (ヘラ付) 74908 1セット(1個×5)（直送品）</t>
  </si>
  <si>
    <t>アーテック 三角鉛筆2B(12本組)スカイブルー 74909 1セット(1包×3)（直送品）</t>
  </si>
  <si>
    <t>アーテック こくご 10マス (B5) 30枚 74698 1セット(1冊×6)（直送品）</t>
  </si>
  <si>
    <t>アーテック かんじれんしゅう 50字 (B5) 30枚 74701 1セット(1冊×6)（直送品）</t>
  </si>
  <si>
    <t>アーテック 三角鉛筆2B(12本組)クリームイエロー 74910 1セット(1包×3)（直送品）</t>
  </si>
  <si>
    <t>アーテック 三角鉛筆2B(12本組)ナチュラルウッド 74911 1セット(1包×3)（直送品）</t>
  </si>
  <si>
    <t>アーテック かんじれんしゅう 84字 (B5) 30枚 74702 1セット(1冊×6)（直送品）</t>
  </si>
  <si>
    <t>アーテック 5mm方眼ノート(B5) パープル 32枚 74748 1セット(1冊×6)（直送品）</t>
  </si>
  <si>
    <t>アーテック 5mm方眼ノート(A4) パープル 30枚 74778 1セット(1冊×4)（直送品）</t>
  </si>
  <si>
    <t>アーテック ゴールドスクラッチボード200×150mm 12280 1セット(1枚×6)（直送品）</t>
  </si>
  <si>
    <t>アーテック スクラッチボード 枠無 紙製 150×200mm 12345 1セット(1セット×8)（直送品）</t>
  </si>
  <si>
    <t>アーテック 3Dライトスクラッチ 12367 1個（直送品）</t>
  </si>
  <si>
    <t>アーテック 5mm方眼ノート(B5) レッド 32枚 74683 1セット(1冊×6)（直送品）</t>
  </si>
  <si>
    <t>アーテック 朱肉スクラッチ(沈金調) 12733 1セット(1個×3)（直送品）</t>
  </si>
  <si>
    <t>アーテック スクラッチスマホスタンド(沈金調) 12867 1セット(1セット×2)（直送品）</t>
  </si>
  <si>
    <t>アーテック 5mm方眼ノート(B5) ブルー 32枚 74684 1セット(1冊×6)（直送品）</t>
  </si>
  <si>
    <t>アーテック 5mm方眼ノート(B5) グリーン 32枚 74685 1セット(1冊×6)（直送品）</t>
  </si>
  <si>
    <t>アーテック 5mm方眼ノート(B5) イエロー 32枚 74686 1セット(1冊×6)（直送品）</t>
  </si>
  <si>
    <t>アーテック 5mm方眼ノート(B5) レッド 科目名入 国語 32枚 74687 1セット(1冊×6)（直送品）</t>
  </si>
  <si>
    <t>アーテック ホログラムスクラッチボード A4 12891 1セット(1枚×2)（直送品）</t>
  </si>
  <si>
    <t>アーテック ホログラムスクラッチボード A4 2 12892 1セット(1枚×2)（直送品）</t>
  </si>
  <si>
    <t>アーテック プロコンカー 91730 1個（直送品）</t>
  </si>
  <si>
    <t>アーテック iPadOS対応プロコンカー 93289 1個（直送品）</t>
  </si>
  <si>
    <t>アーテック 衣装ベース Ｓ ワンピース デイジー 4667 3個（直送品）</t>
  </si>
  <si>
    <t>アーテック フェルト付け襟 ピンク 14974 1セット(3個)（直送品）</t>
  </si>
  <si>
    <t>アーテック ソフトサテンシャツ J 白 14718 1セット(2個)（直送品）</t>
  </si>
  <si>
    <t>【アウトレット】アーテック フェルト付け襟 イエロー 14975 1個</t>
  </si>
  <si>
    <t>アーテック フェルト付け襟 ブルー 14976 1セット(3個)（直送品）</t>
  </si>
  <si>
    <t>アーテック ラベコ用 替テープ芯 12mm×40mm 150枚 74167 1セット(1個×2)（直送品）</t>
  </si>
  <si>
    <t>アーテック ラベルライター ラベコ 74118 1台（直送品）</t>
  </si>
  <si>
    <t>アーテック フェルト付け襟 グリーン 14977 1セット(3個)（直送品）</t>
  </si>
  <si>
    <t>アーテック ラベコ用 替テープ芯 14mm×30mm 200枚 74168 1セット(1個×2)（直送品）</t>
  </si>
  <si>
    <t>アーテック ラベコ用 替テープ芯 15mm×30mm 200枚 74169 1セット(1個×2)（直送品）</t>
  </si>
  <si>
    <t>【アウトレット】アーテック ソフトサテンベスト C 桃 14995 1枚</t>
  </si>
  <si>
    <t>【アウトレット】アーテック ソフトサテンベスト C 茶 14996 1枚</t>
  </si>
  <si>
    <t>アーテック ソフトサテンベスト Ｃ オレンジ 14997 3個（直送品）</t>
  </si>
  <si>
    <t>アーテック ソフトサテンベスト Ｃ 水色 14998 3個（直送品）</t>
  </si>
  <si>
    <t>【アウトレット】アーテック ソフトサテンベスト J 桃 14999 1枚</t>
  </si>
  <si>
    <t>アーテック ねんどでつくるアクアランタン ふぐ 21637 1セット(1個×3)（直送品）</t>
  </si>
  <si>
    <t>【アウトレット】アーテック ソフトサテンベスト J 茶 15000 1枚</t>
  </si>
  <si>
    <t>アーテック 富士山定規 74627 1セット(1個×4)（直送品）</t>
  </si>
  <si>
    <t>【アウトレット】アーテック ソフトサテンベスト J オレンジ 15001 1枚</t>
  </si>
  <si>
    <t>アーテック ソフトサテンベスト Ｊ 水色 15002 2個（直送品）</t>
  </si>
  <si>
    <t>アーテック ばけたび富士山 アクリルキーホルダー 丸形 92937 1セット(1個×4)（直送品）</t>
  </si>
  <si>
    <t>アーテック ソフトサテンズボン C 桃 15003 1セット(2枚)</t>
  </si>
  <si>
    <t>アーテック ソフトサテンズボン Ｃ 茶 15004 2個（直送品）</t>
  </si>
  <si>
    <t>アーテック ばけたびウナギアクリルキーホルダー 丸形 92938 1セット(1個×4)（直送品）</t>
  </si>
  <si>
    <t>アーテック ソフトサテンズボン Ｃ オレンジ 15005 2個（直送品）</t>
  </si>
  <si>
    <t>アーテック ばけたび富士山 アクリルキーホルダー 四角 92940 1セット(1個×4)（直送品）</t>
  </si>
  <si>
    <t>アーテック ばけたびお茶 アクリルキーホルダー 丸形 92939 1セット(1個×4)（直送品）</t>
  </si>
  <si>
    <t>アーテック ソフトサテンズボン Ｃ 水色 15006 2個（直送品）</t>
  </si>
  <si>
    <t>アーテック ばけたびウナギアクリルキーホルダー 四角 92941 1セット(1個×4)（直送品）</t>
  </si>
  <si>
    <t>アーテック ばけたびお茶 アクリルキーホルダー 四角 92942 1セット(1個×4)（直送品）</t>
  </si>
  <si>
    <t>【アウトレット】アーテック ソフトサテンズボン J 茶 15008 1枚</t>
  </si>
  <si>
    <t>アーテック ソフトサテンズボン Ｊ 水色 15010 2個（直送品）</t>
  </si>
  <si>
    <t>アーテック ソフトサテンズボン Ｊ オレンジ 15009 2個（直送品）</t>
  </si>
  <si>
    <t>アーテック 沖縄アクリルキーホルダー はいさい 118774 1セット(1個×4)（直送品）</t>
  </si>
  <si>
    <t>アーテック 沖縄アクリルキーホルダー はいたい 118775 1セット(1個×4)（直送品）</t>
  </si>
  <si>
    <t>アーテック 沖縄アクリルキーホルダー 琉球 118776 1セット(1個×4)（直送品）</t>
  </si>
  <si>
    <t>アーテック 鈴付き らくらくチアポンポン ゴールドシルバー 15025 1セット(3個)（直送品）</t>
  </si>
  <si>
    <t>【アウトレット】アーテック ソフトサテンマント・スカート ストレート 茶 15034 1個</t>
  </si>
  <si>
    <t>アーテック ソフトサテンマント・スカート ストレート 橙 15035 1セット(2個)（直送品）</t>
  </si>
  <si>
    <t>【アウトレット】アーテック ソフトサテンワンピース C 水色 15036 1枚</t>
  </si>
  <si>
    <t>アーテック ソフトサテンワンピース Ｃ 茶 15037 2個（直送品）</t>
  </si>
  <si>
    <t>アーテック ソフトサテンワンピース Ｃ 橙 15038 2個（直送品）</t>
  </si>
  <si>
    <t>【アウトレット】アーテック ソフトサテンワンピース J 水色 15039 1枚</t>
  </si>
  <si>
    <t>アーテック ソフトサテンワンピース Ｊ 茶 15040 2個（直送品）</t>
  </si>
  <si>
    <t>アーテック ソフトサテンワンピース Ｊ 橙 15041 2個（直送品）</t>
  </si>
  <si>
    <t>アーテック ソフトサテンシャツ C 緑 15043 1セット(3個)（直送品）</t>
  </si>
  <si>
    <t>アーテック ソフトサテンシャツ C 黄 15042 1セット(3個)（直送品）</t>
  </si>
  <si>
    <t>アーテック ソフトサテンシャツ Ｃ 茶 15044 3個（直送品）</t>
  </si>
  <si>
    <t>アーテック ソフトサテンシャツ C 水色 15045 1セット(3個)（直送品）</t>
  </si>
  <si>
    <t>アーテック ソフトサテンビスチェ ピンク 15047 1セット(2個)（直送品）</t>
  </si>
  <si>
    <t>【アウトレット】アーテック ソフトサテンシャツ Ｃ 橙 15046 1枚</t>
  </si>
  <si>
    <t>アーテック ソフトサテンビスチェ ブルー 15048 1セット(2個)（直送品）</t>
  </si>
  <si>
    <t>アーテック ソフトサテンビスチェ イエロー 15049 1セット(2個)（直送品）</t>
  </si>
  <si>
    <t>アーテック ソフトサテン かぼちゃパンツ Cサイズ 赤 15050 1セット(3個)（直送品）</t>
  </si>
  <si>
    <t>アーテック クリスマスツリー120cm オーナメント付き 11790 1個（直送品）</t>
  </si>
  <si>
    <t>【アウトレット】アーテック ソフトサテン かぼちゃパンツ Ｃサイズ 黄 15052 1枚</t>
  </si>
  <si>
    <t>アーテック ソフトサテン かぼちゃパンツ Cサイズ 青 15051 1セット(3個)</t>
  </si>
  <si>
    <t>アーテック ソフトサテン かぼちゃパンツ Ｃサイズ 白 15053 1枚</t>
  </si>
  <si>
    <t>アーテック らくらくチアポンポン 薄紫シルバー 18863 1セット(1組×5)（直送品）</t>
  </si>
  <si>
    <t>アーテック らくらくチアポンポン 小 レッド 18906 1セット(1組×6)（直送品）</t>
  </si>
  <si>
    <t>アーテック らくらくチアポンポン オレンジシルバー 18862 1セット(1組×5)（直送品）</t>
  </si>
  <si>
    <t>アーテック ソフトサテン かぼちゃパンツ Cサイズ 黒 15054 1セット(3個)</t>
  </si>
  <si>
    <t>アーテック ソフトサテン かぼちゃパンツ Jサイズ 赤 15055 1セット(3個)（直送品）</t>
  </si>
  <si>
    <t>アーテック らくらくチアポンポン 小 ブルー 18907 1セット(1組×6)（直送品）</t>
  </si>
  <si>
    <t>アーテック ソフトサテン かぼちゃパンツ Jサイズ 青 15056 1セット(3個)（直送品）</t>
  </si>
  <si>
    <t>アーテック らくらくチアポンポン 小 ゴールド 18908 1セット(1組×6)（直送品）</t>
  </si>
  <si>
    <t>アーテック ソフトサテン かぼちゃパンツ Jサイズ 黄 15057 1セット(3個)（直送品）</t>
  </si>
  <si>
    <t>アーテック らくらくチアポンポン 名札付 グリーンシルバー 18909 1セット(1組×5)（直送品）</t>
  </si>
  <si>
    <t>アーテック ソフトサテン かぼちゃパンツ Jサイズ 白 15058 1セット(3個)（直送品）</t>
  </si>
  <si>
    <t>アーテック ハンドフリーチアポンポン ホログラム ブルーシルバー 19242 1セット(1組×5)（直送品）</t>
  </si>
  <si>
    <t>アーテック ハンドフリーチアポンポン ホログラム レッドシルバー 19241 1セット(1組×5)（直送品）</t>
  </si>
  <si>
    <t>アーテック ソフトサテン かぼちゃパンツ Jサイズ 黒 15059 1セット(3個)（直送品）</t>
  </si>
  <si>
    <t>アーテック ソフトサテン サルエルパンツ Cサイズ 赤 15060 1セット(2個)（直送品）</t>
  </si>
  <si>
    <t>アーテック ハンドフリーチアポンポン ホログラム ゴールドシルバー 19243 1セット(1組×5)（直送品）</t>
  </si>
  <si>
    <t>アーテック ソフトサテン サルエルパンツ Ｃサイズ 黄 15062 2個（直送品）</t>
  </si>
  <si>
    <t>アーテック 新体操リボン 赤 18937 1セット(1本×5)（直送品）</t>
  </si>
  <si>
    <t>アーテック ソフトサテン サルエルパンツ Cサイズ 青 15061 1セット(2個)（直送品）</t>
  </si>
  <si>
    <t>アーテック キラキラポンポンバトン ピンクシルバー 19154 1セット(1本×7)（直送品）</t>
  </si>
  <si>
    <t>アーテック ソフトサテン サルエルパンツ Jサイズ 赤 15063 1セット(2個)（直送品）</t>
  </si>
  <si>
    <t>アーテック ソフトサテン サルエルパンツ Jサイズ 青 15064 1セット(2個)（直送品）</t>
  </si>
  <si>
    <t>アーテック 新体操リボン 青 18938 1セット(1本×5)（直送品）</t>
  </si>
  <si>
    <t>アーテック ソフトサテン サルエルパンツ Ｊサイズ 黄 15065 2個（直送品）</t>
  </si>
  <si>
    <t>アーテック 新体操リボン 黄 18939 1セット(1本×5)（直送品）</t>
  </si>
  <si>
    <t>アーテック ソフトサテン フリフリシャツ 赤 15066 1セット(3個)（直送品）</t>
  </si>
  <si>
    <t>アーテック サージ ミニ 紫 18881 1セット(1枚×5)（直送品）</t>
  </si>
  <si>
    <t>アーテック ソフトサテン フリフリシャツ 黄 15067 1セット(3個)（直送品）</t>
  </si>
  <si>
    <t>アーテック 本格鳴子 無着色 19225 1セット(1個×3)（直送品）</t>
  </si>
  <si>
    <t>【アウトレット】アーテック ソフトサテン フリフリシャツ 白 15068 1枚</t>
  </si>
  <si>
    <t>アーテック スリムなるこ 赤 18754 1セット(1個×3)（直送品）</t>
  </si>
  <si>
    <t>アーテック ソフトサテン フリフリシャツ 桃 15069 1セット(3個)（直送品）</t>
  </si>
  <si>
    <t>アーテック メタリックリストバンド 黄緑 18877 1セット(1組×5)（直送品）</t>
  </si>
  <si>
    <t>【アウトレット】アーテック ソフトサテン フリフリシャツ 青 15070 1枚</t>
  </si>
  <si>
    <t>アーテック メタリックリストバンド 紫 18879 1セット(1組×5)（直送品）</t>
  </si>
  <si>
    <t>アーテック ソフトサテン スカーフ 赤 18857 1セット(1枚×4)（直送品）</t>
  </si>
  <si>
    <t>アーテック メタリックリストバンド コバルトブルー 18878 1セット(1組×5)（直送品）</t>
  </si>
  <si>
    <t>アーテック ソフトサテン スカーフ 青 18858 1セット(1枚×4)（直送品）</t>
  </si>
  <si>
    <t>アーテック ソフトサテン スカーフ 桃 18859 1セット(1枚×4)（直送品）</t>
  </si>
  <si>
    <t>アーテック はなのうでわ 小 鈴付 水色 15084 1セット(5個)（直送品）</t>
  </si>
  <si>
    <t>アーテック ソフトサテン スカーフ 紫 18861 1セット(1枚×4)（直送品）</t>
  </si>
  <si>
    <t>アーテック カラフルカチューシャ ピンク 18899 1セット(1個×5)（直送品）</t>
  </si>
  <si>
    <t>アーテック ソフトサテン スカーフ 水 18860 1セット(1枚×4)（直送品）</t>
  </si>
  <si>
    <t>アーテック はなのうでわ 大 鈴付 レインボー 15085 4個（直送品）</t>
  </si>
  <si>
    <t>アーテック カラフルカチューシャ イエロー 18901 1セット(1個×5)（直送品）</t>
  </si>
  <si>
    <t>アーテック ウサギ耳付きカチューシャ ブラック 18783 1セット(1個×10)（直送品）</t>
  </si>
  <si>
    <t>アーテック カラフルカチューシャ ブルー 18900 1セット(1個×5)（直送品）</t>
  </si>
  <si>
    <t>アーテック はなのうでわ 大 鈴付 緑 15088 4個（直送品）</t>
  </si>
  <si>
    <t>アーテック ポンポンカチューシャ 青 18777 1セット(1個×7)（直送品）</t>
  </si>
  <si>
    <t>アーテック キラキラ帽子付カチューシャ 黒 18990 1セット(1個×5)（直送品）</t>
  </si>
  <si>
    <t>アーテック ポンポンカチューシャ 赤 18776 1セット(1個×7)（直送品）</t>
  </si>
  <si>
    <t>アーテック 衣装ベース シャツJ ギンガムチェック 赤 15091 1セット(3個)（直送品）</t>
  </si>
  <si>
    <t>アーテック キラキラ帽子付カチューシャ シルバー 18991 1セット(1個×5)（直送品）</t>
  </si>
  <si>
    <t>アーテック キラキラ帽子付カチューシャ 青 18993 1セット(1個×5)（直送品）</t>
  </si>
  <si>
    <t>アーテック キラキラ帽子付カチューシャ 黄 18994 1セット(1個×5)（直送品）</t>
  </si>
  <si>
    <t>アーテック キラキラ帽子付カチューシャ 赤 18992 1セット(1個×5)（直送品）</t>
  </si>
  <si>
    <t>アーテック 衣装ベース シャツJ 水玉 赤 15095 1セット(3個)（直送品）</t>
  </si>
  <si>
    <t>アーテック カラー不織布 10m巻 ギンガムチェック 赤 15096 1個</t>
  </si>
  <si>
    <t>アーテック カラー不織布 10m巻 ギンガムチェック 水色 15097 1個（直送品）</t>
  </si>
  <si>
    <t>アーテック キャスケット 赤 18888 1セット(1個×3)（直送品）</t>
  </si>
  <si>
    <t>アーテック カラー不織布 10m巻 水玉 赤 15098 1個（直送品）</t>
  </si>
  <si>
    <t>アーテック キャスケット 緑 18889 1セット(1個×3)（直送品）</t>
  </si>
  <si>
    <t>アーテック フェルトマリンキャップ 赤 19023 1セット(1個×4)（直送品）</t>
  </si>
  <si>
    <t>アーテック ソフトサテンジャケット ブラック 15099 1セット(2個)（直送品）</t>
  </si>
  <si>
    <t>アーテック フェルトマリンキャップ 青 19024 1セット(1個×4)（直送品）</t>
  </si>
  <si>
    <t>アーテック フェルトマリンキャップ 黄 19025 1セット(1個×4)（直送品）</t>
  </si>
  <si>
    <t>アーテック フェルトベレー帽子 桃 19036 1セット(1個×5)（直送品）</t>
  </si>
  <si>
    <t>アーテック フェルト ワンピース イエロー Ｃサイズ 18023 2個（直送品）</t>
  </si>
  <si>
    <t>アーテック フェルトベレー帽子 白 19037 1セット(1個×5)（直送品）</t>
  </si>
  <si>
    <t>アーテック フェルト ワンピース レッド Ｃサイズ 18022 2個（直送品）</t>
  </si>
  <si>
    <t>アーテック フェルト ワンピース ホワイト Ｃサイズ 18024 2個（直送品）</t>
  </si>
  <si>
    <t>アーテック フェルトベレー帽子 黒 19038 1セット(1個×5)（直送品）</t>
  </si>
  <si>
    <t>アーテック フェルト ワンピース レッド Ｊサイズ 18025 2個（直送品）</t>
  </si>
  <si>
    <t>アーテック フェルトベレー帽子 水 19039 1セット(1個×5)（直送品）</t>
  </si>
  <si>
    <t>アーテック フェルトベレー帽子 グレー 19040 1セット(1個×5)（直送品）</t>
  </si>
  <si>
    <t>アーテック フェルト ワンピース イエロー Ｊサイズ 18026 2個（直送品）</t>
  </si>
  <si>
    <t>アーテック フェルト ワンピース ホワイト Ｊサイズ 18027 2個（直送品）</t>
  </si>
  <si>
    <t>アーテック らくらくチアポンポン 小 レッドシルバー 18028 1双</t>
  </si>
  <si>
    <t>アーテック らくらくチアポンポン 小 ゴールドシルバー 18030 1セット(5個)</t>
  </si>
  <si>
    <t>アーテック らくらくチアポンポン 小 ブルーシルバー 18029 1双</t>
  </si>
  <si>
    <t>アーテック らくらくチアポンポン 小 グリーンシルバー 18031 1組</t>
  </si>
  <si>
    <t>アーテック サスペンダー 赤 18903 1セット(1個×4)（直送品）</t>
  </si>
  <si>
    <t>アーテック 白不織布ロール１０ｍ巻（水彩可） 18034 1個（直送品）</t>
  </si>
  <si>
    <t>アーテック サスペンダー 青 18904 1セット(1個×4)（直送品）</t>
  </si>
  <si>
    <t>アーテック サスペンダー 黄 18905 1セット(1個×4)（直送品）</t>
  </si>
  <si>
    <t>【アウトレット】アーテック ソフトサテンシャツ Ｊ 赤 18040 1枚</t>
  </si>
  <si>
    <t>アーテック ソフトサテンシャツ J 青 18041 1セット(2個)（直送品）</t>
  </si>
  <si>
    <t>アーテック ソフトサテン 蝶ネクタイ 青 18985 1セット(1個×7)（直送品）</t>
  </si>
  <si>
    <t>【アウトレット】アーテック ソフトサテンシャツ Ｊ 黒 18042 1枚</t>
  </si>
  <si>
    <t>アーテック ソフトサテン 蝶ネクタイ 黄 18986 1セット(1個×7)（直送品）</t>
  </si>
  <si>
    <t>アーテック ソフトサテン 蝶ネクタイ 黒 19196 1セット(1個×7)（直送品）</t>
  </si>
  <si>
    <t>アーテック ソフトサテンネクタイ 赤 18850 1セット(1本×4)（直送品）</t>
  </si>
  <si>
    <t>アーテック ソフトサテンネクタイ 青 18849 1セット(1本×4)（直送品）</t>
  </si>
  <si>
    <t>アーテック ソフトサテンネクタイ 黄 18851 1セット(1本×4)（直送品）</t>
  </si>
  <si>
    <t>アーテック ソフトサテンネクタイ 黒 18847 1セット(1本×4)（直送品）</t>
  </si>
  <si>
    <t>アーテック ソフトサテンネクタイ 白 18848 1セット(1本×4)（直送品）</t>
  </si>
  <si>
    <t>アーテック パステルレッド カラービニール袋(10枚組) 19041 1セット(1個×3)（直送品）</t>
  </si>
  <si>
    <t>アーテック パステルパープル カラービニール袋(10枚組) 19042 1セット(1個×3)（直送品）</t>
  </si>
  <si>
    <t>アーテック パステルグリーン カラービニール袋(10枚組) 19043 1セット(1個×3)（直送品）</t>
  </si>
  <si>
    <t>アーテック デカパン競争パンツ 桃 19203 1枚（直送品）</t>
  </si>
  <si>
    <t>アーテック デカパン競争パンツ 紫 19204 1枚（直送品）</t>
  </si>
  <si>
    <t>アーテック デカパン 競争パンツ 赤 小 21893 1枚（直送品）</t>
  </si>
  <si>
    <t>アーテック デカパン 競争パンツ 白 小 21894 1枚（直送品）</t>
  </si>
  <si>
    <t>アーテック デカパン 競争パンツ 黄 小 21895 1枚（直送品）</t>
  </si>
  <si>
    <t>アーテック マーチングトップ 黄 18882 1セット(1枚×3)（直送品）</t>
  </si>
  <si>
    <t>アーテック デカパン 競争パンツ 水 小 21896 1枚（直送品）</t>
  </si>
  <si>
    <t>アーテック わくわくどうぶつえんすごろく 2507 1個</t>
  </si>
  <si>
    <t>アーテック 国旗かるた 2525 2個（直送品）</t>
  </si>
  <si>
    <t>アーテック マーチングトップ 黒 18884 1セット(1枚×3)（直送品）</t>
  </si>
  <si>
    <t>アーテック マーチングトップ 緑 18883 1セット(1枚×3)（直送品）</t>
  </si>
  <si>
    <t>アーテック ことわざカードかるた 2567 1個</t>
  </si>
  <si>
    <t>アーテック ソフトサテンマーチングトップ緑 18874 1セット(1枚×3)（直送品）</t>
  </si>
  <si>
    <t>アーテック ソフトサテン マーチングトップ 黒 19033 1セット(1枚×3)（直送品）</t>
  </si>
  <si>
    <t>アーテック わくわくすいぞくかんすごろく 2618 1個</t>
  </si>
  <si>
    <t>アーテック ソフトサテンマーチングトップ黄 18873 1セット(1枚×3)（直送品）</t>
  </si>
  <si>
    <t>アーテック ソフトサテン 付け襟 白 19249 1セット(1枚×4)（直送品）</t>
  </si>
  <si>
    <t>アーテック ソフトサテン セーラー服 C 赤 18852 1セット(1枚×3)（直送品）</t>
  </si>
  <si>
    <t>アーテック ソフトサテン 付け襟 黒 19250 1セット(1枚×4)（直送品）</t>
  </si>
  <si>
    <t>アーテック ソフトサテン セーラー服 C 青 18853 1セット(1枚×3)（直送品）</t>
  </si>
  <si>
    <t>アーテック 1年のぎょうじすごろく 2661 1セット(2個)</t>
  </si>
  <si>
    <t>アーテック 日本地図おつかい旅行すごろく 1個</t>
  </si>
  <si>
    <t>アーテック ソフトサテン セーラー服 C 緑 18854 1セット(1枚×3)（直送品）</t>
  </si>
  <si>
    <t>アーテック ソフトサテン セーラー服 C 橙 18855 1セット(1枚×3)（直送品）</t>
  </si>
  <si>
    <t>アーテック ソフトサテン セーラー服 C 水 18856 1セット(1枚×3)（直送品）</t>
  </si>
  <si>
    <t>アーテック ソフトサテン チュニック C 青 19007 1セット(1枚×2)（直送品）</t>
  </si>
  <si>
    <t>アーテック ソフトサテン チュニック C 赤 19006 1セット(1枚×2)（直送品）</t>
  </si>
  <si>
    <t>アーテック ソフトサテン チュニック C 黄 19008 1セット(1枚×2)（直送品）</t>
  </si>
  <si>
    <t>アーテック ソフトサテン チュニック C 白 19009 1セット(1枚×2)（直送品）</t>
  </si>
  <si>
    <t>アーテック ソフトサテン チュニック J 赤 19010 1セット(1枚×2)（直送品）</t>
  </si>
  <si>
    <t>アーテック ソフトサテン チュニック J 青 19011 1セット(1枚×2)（直送品）</t>
  </si>
  <si>
    <t>アーテック ソフトサテン チュニック J 白 19013 1セット(1枚×2)（直送品）</t>
  </si>
  <si>
    <t>アーテック ソフトサテン チュニック J 黄 19012 1セット(1枚×2)（直送品）</t>
  </si>
  <si>
    <t>アーテック ソフトサテンおにのパンツ 赤 18980 1セット(1枚×3)（直送品）</t>
  </si>
  <si>
    <t>アーテック ソフトサテン テーラードジャケット C 黒 18880 1セット(1枚×3)（直送品）</t>
  </si>
  <si>
    <t>アーテック ソフトサテンおにのパンツ 青 18981 1セット(1枚×3)（直送品）</t>
  </si>
  <si>
    <t>アーテック ソフトサテン プリーツスカート 緑×白 18872 1セット(1枚×3)（直送品）</t>
  </si>
  <si>
    <t>アーテック ソフトサテン プリーツスカート 黄×白 18871 1セット(1枚×3)（直送品）</t>
  </si>
  <si>
    <t>アーテック ソフトサテンおにのパンツ 緑 18982 1セット(1枚×3)（直送品）</t>
  </si>
  <si>
    <t>アーテック ソフトサテン プリーツスカート 黒×白 19034 1セット(1枚×3)（直送品）</t>
  </si>
  <si>
    <t>アーテック ソフトサテン チュールスカート 赤 19050 1セット(1枚×2)（直送品）</t>
  </si>
  <si>
    <t>アーテック ソフトサテン チュールスカート 桃 19051 1セット(1枚×2)（直送品）</t>
  </si>
  <si>
    <t>アーテック ソフトサテン チュールスカート 紫 19074 1セット(1枚×2)（直送品）</t>
  </si>
  <si>
    <t>アーテック ソフトサテンスカート 橙 18868 1セット(1枚×3)（直送品）</t>
  </si>
  <si>
    <t>アーテック 無臭 油ねんど L 24342 1セット(1個×2)（直送品）</t>
  </si>
  <si>
    <t>アーテック わくわく世界旅行すごろく 3036 1セット(2個)</t>
  </si>
  <si>
    <t>アーテック わくわくテーマパークすごろく 3035 1セット(5個)</t>
  </si>
  <si>
    <t>アーテック コーナーガードクッション白 2mロール 7194 1セット（3個）</t>
  </si>
  <si>
    <t>アーテック コーナーガードクッション クリーム 2mロール 92050 1セット(1個×2)（直送品）</t>
  </si>
  <si>
    <t>アーテック コーナーガードクッション ナチュラル 2mロール 92051 1セット(1個×2)（直送品）</t>
  </si>
  <si>
    <t>アーテック コーナーガードクッション ブラウン 2mロール 92052 1セット(1個×2)（直送品）</t>
  </si>
  <si>
    <t>アーテック コーナーガードクッション グレー 2mロール 92053 1セット(1個×2)（直送品）</t>
  </si>
  <si>
    <t>アーテック コーナーガードクッション ブラック 2mロール 92054 1セット(1個×2)（直送品）</t>
  </si>
  <si>
    <t>アーテック 透明コーナーガード 角 L字 10ヶ組 75551 1セット(1組×2)（直送品）</t>
  </si>
  <si>
    <t>アーテック 透明コーナーガード 丸 10ヶ組 75552 1セット(1組×2)（直送品）</t>
  </si>
  <si>
    <t>アーテック チャイルドキープバンド グリーン 75534 1セット(1個×2)（直送品）</t>
  </si>
  <si>
    <t>アーテック ジャンプボール レッド 75536 1セット(1個×2)（直送品）</t>
  </si>
  <si>
    <t>アーテック メッシュクリアプレイトンネル 75547 1個（直送品）</t>
  </si>
  <si>
    <t>アーテック 文化教育5点セット 21659 1セット</t>
  </si>
  <si>
    <t>アーテック 感覚教育5点セット 21660 1セット</t>
  </si>
  <si>
    <t>アーテック ベビーカー用回転フック 2ヶ組 75537 1セット(1組×3)（直送品）</t>
  </si>
  <si>
    <t>アーテック ベビーカー用 スマホ・カップ 2WAYホルダー 75550 1個（直送品）</t>
  </si>
  <si>
    <t>アーテック 言語教育5点セット 21649 1セット</t>
  </si>
  <si>
    <t>アーテック 算数教育5点セット 21639 1セット</t>
  </si>
  <si>
    <t>アーテック ドキドキおばけやしきすごろく おもちゃ 知育玩具 家中遊び 3149 1個</t>
  </si>
  <si>
    <t>アーテック キッズテント おうち 75553 1個（直送品）</t>
  </si>
  <si>
    <t>アーテック フェルト オールインワン ピンク 18021 1セット(2枚)（直送品）</t>
  </si>
  <si>
    <t>アーテック ソフトサテン チュールスカート 黒 18718 1枚</t>
  </si>
  <si>
    <t>アーテック ソフトサテン チュールスカート 黄 18719 1セット(1枚×2)（直送品）</t>
  </si>
  <si>
    <t>アーテック ソフトサテン チュールスカート 白 18717 1枚</t>
  </si>
  <si>
    <t>アーテック ソフトサテン ベスト 紫 J 19080 1セット(1枚×3)（直送品）</t>
  </si>
  <si>
    <t>アーテック 衣装ベース ベスト 黄緑 S 19128 1セット(1枚×5)（直送品）</t>
  </si>
  <si>
    <t>アーテック 衣装ベース ベスト 紫 S 19129 1セット(1枚×5)（直送品）</t>
  </si>
  <si>
    <t>アーテック 衣装ベース ベスト グレー S 19127 1セット(1枚×5)（直送品）</t>
  </si>
  <si>
    <t>アーテック 衣装ベース ワンピース グレー S 19133 1セット(1枚×4)（直送品）</t>
  </si>
  <si>
    <t>アーテック 衣装ベース ワンピース 黄緑 S 19134 1セット(1枚×4)（直送品）</t>
  </si>
  <si>
    <t>アーテック 衣装ベース かぼちゃパンツ 紫 J 19137 1セット(1枚×3)（直送品）</t>
  </si>
  <si>
    <t>アーテック 衣装ベース ワンピース 紫 S 19135 1セット(1枚×4)（直送品）</t>
  </si>
  <si>
    <t>アーテック おもしろなぞなぞかるた 3362 1箱</t>
  </si>
  <si>
    <t>アーテック 妖怪かるた 1個</t>
  </si>
  <si>
    <t>アーテック どうぶつプロジェクター 1個</t>
  </si>
  <si>
    <t>アーテック うみのいきものプロジェクター 1個</t>
  </si>
  <si>
    <t>アーテック スペースプロジェクター 3393 2セット（直送品）</t>
  </si>
  <si>
    <t>アーテック バニラッティ 2個セット 23397 1セット(2包)（直送品）</t>
  </si>
  <si>
    <t>アーテック バニラッティ 5個セット 23398 1包（直送品）</t>
  </si>
  <si>
    <t>アーテック バニラッティ 10個セット 23399 1包（直送品）</t>
  </si>
  <si>
    <t>アーテック 樹脂粘土セレネでつくるフェイクフードベーシックキット 23762 1個</t>
  </si>
  <si>
    <t>アーテック ジオラマ粘土 ジオベース ライトブラウン 100g ベーシック 24301 1セット(2個)（直送品）</t>
  </si>
  <si>
    <t>アーテック ジオラマ粘土 ジオベース ダークブラウン 100g ベーシック 24302 1セット(2個)（直送品）</t>
  </si>
  <si>
    <t>アーテック ジオラマ粘土 ジオベース ライトブラウン 100g 超小粒 24305 1セット(2個)（直送品）</t>
  </si>
  <si>
    <t>アーテック ジオラマ粘土 ジオベース ダークブラウン 100g 超小粒 24306 1セット(2個)（直送品）</t>
  </si>
  <si>
    <t>アーテック ジオラマ粘土 ジオベース サンドカラー 100g 24307 1セット(2個)（直送品）</t>
  </si>
  <si>
    <t>アーテック ジオラマ粘土 ジオベース グレイ 100g 24308 1セット(2個)（直送品）</t>
  </si>
  <si>
    <t>アーテック 変ないきものかるた 3568 1セット(5個)</t>
  </si>
  <si>
    <t>アーテック おにぎり屋さんカードゲーム 3584 1セット(1個×3)</t>
  </si>
  <si>
    <t>アーテック アイシングクレイ100g 24357 1セット(1個×2)（直送品）</t>
  </si>
  <si>
    <t>アーテック パズルdeしりとり 1個</t>
  </si>
  <si>
    <t>アーテック へんしんアニマル 6711 1セット(1個×6)</t>
  </si>
  <si>
    <t>アーテック ホワイトボードらくがき帳 6717 1セット(3個)（直送品）</t>
  </si>
  <si>
    <t>アーテック エンジョイえあわせパズル くだもの・やさい 6726 1セット(3個)（直送品）</t>
  </si>
  <si>
    <t>アーテック 七夕笹 小 10本セット 70342 1包（直送品）</t>
  </si>
  <si>
    <t>アーテック 変ないきものプロジェクター 6901 1セット(2セット)（直送品）</t>
  </si>
  <si>
    <t>アーテック かおシールブック2 1個</t>
  </si>
  <si>
    <t>アーテック 作品収納バッグ 大 不織布 白 11315 1セット（5個）</t>
  </si>
  <si>
    <t>アーテック 作品収納バック大不織布製 水色 11316 1セット(20枚)（直送品）</t>
  </si>
  <si>
    <t>アーテック 作品収納バック大不織布製 薄黄 11317 1セット(20枚)（直送品）</t>
  </si>
  <si>
    <t>アーテック 作品収納バック大不織布製 黄 11318 1セット(20枚)（直送品）</t>
  </si>
  <si>
    <t>アーテック 作品収納バック大不織布製 黄緑 11319 1セット(20枚)（直送品）</t>
  </si>
  <si>
    <t>アーテック 作品収納バック大不織布製 パステルグリーン 11320 1セット(20枚)（直送品）</t>
  </si>
  <si>
    <t>アーテック これはなんの音?かるた 7192 1セット(3個)（直送品）</t>
  </si>
  <si>
    <t>アーテック 木製小物入れ 2ポケット 21341 1セット(4個)（直送品）</t>
  </si>
  <si>
    <t>アーテック 木製おえかきペンスタンド 21301 1セット(6個)（直送品）</t>
  </si>
  <si>
    <t>アーテック おえかきフォトフレームクロック 21300 1セット(4包)（直送品）</t>
  </si>
  <si>
    <t>アーテック 作品収納バック大不織布製 薄紫 11321 1セット(20枚)（直送品）</t>
  </si>
  <si>
    <t>アーテック 海のいきものえあわせカードゲーム 7197 1セット(1個×5)</t>
  </si>
  <si>
    <t>アーテック 作品収納バック大不織布製 青 11322 1セット(20枚)（直送品）</t>
  </si>
  <si>
    <t>アーテック 白雲石コースター φ100mm 5995 1セット(1個×6)（直送品）</t>
  </si>
  <si>
    <t>アーテック 白雲石コースター スクエア 5997 1セット(1個×5)（直送品）</t>
  </si>
  <si>
    <t>アーテック ジグソーパズル 24ピース 12636 1セット(6個)（直送品）</t>
  </si>
  <si>
    <t>アーテック ジグソーパズル 24ピース 透明スタンドカバー付 12638 1セット(2個)（直送品）</t>
  </si>
  <si>
    <t>アーテック ワンタッチクリアキーホルダー 丸型 58335 1セット(1個×5)（直送品）</t>
  </si>
  <si>
    <t>アーテック ワンタッチクリアキーホルダー 四角 58336 1セット(1個×5)（直送品）</t>
  </si>
  <si>
    <t>アーテック ちょこぷりぽっくり 21249 1セット(4個)（直送品）</t>
  </si>
  <si>
    <t>アーテック 作品収納バック大不織布製 オレンジ 11323 1セット(20枚)（直送品）</t>
  </si>
  <si>
    <t>アーテック やわらかボール うみのいきもの 21246 1個</t>
  </si>
  <si>
    <t>アーテック ビーズロープなわとび グリーン 21404 1セット(1個×3)（直送品）</t>
  </si>
  <si>
    <t>アーテック へんしんアニマルらいおん 21284 1セット(1個×5)（直送品）</t>
  </si>
  <si>
    <t>アーテック ボタンとファスナーあそび てんとうむし 11976 1セット(8個)（直送品）</t>
  </si>
  <si>
    <t>アーテック わくわくサンドイッチづくり 21254 1セット(6個)（直送品）</t>
  </si>
  <si>
    <t>アーテック おはしあそびおこさまプレート 21253 1セット(6個)（直送品）</t>
  </si>
  <si>
    <t>アーテック 作品収納バック大不織布製 ピンク 11324 1セット(20枚)（直送品）</t>
  </si>
  <si>
    <t>アーテック わくわくお弁当作り DX 1個</t>
  </si>
  <si>
    <t>アーテック うちゅうバランスゲーム 21283 1セット(1個×3)（直送品）</t>
  </si>
  <si>
    <t>アーテック はじらいふれんずバランスゲームうみのなかま 21304 1セット(4個)（直送品）</t>
  </si>
  <si>
    <t>アーテック EVAゆうえんちパズル 21276 1セット(1個×3)（直送品）</t>
  </si>
  <si>
    <t>アーテック いきものあいうえおシート 21285 1セット(1個×2)（直送品）</t>
  </si>
  <si>
    <t>アーテック 干支こけしゲームセット 11930 1セット(4個)（直送品）</t>
  </si>
  <si>
    <t>アーテック カラフルころころ迷路ブロックスーパー DX(123ピース) 21265 1セット(2個)（直送品）</t>
  </si>
  <si>
    <t>アーテック とびだせ おさかなつりゲーム 21275 1セット(1個×2)（直送品）</t>
  </si>
  <si>
    <t>アーテック ドキドキ!おさるバランスゲーム 21340 1セット(4個)（直送品）</t>
  </si>
  <si>
    <t>アーテック ワクワクジャンケンスロット 黄色 21281 1セット(1個×5)（直送品）</t>
  </si>
  <si>
    <t>アーテック ワクワクジャンケンスロット 水色 21354 1セット(1個×5)（直送品）</t>
  </si>
  <si>
    <t>アーテック ワクワクじどうはんばいき 黄色 21280 1セット(1個×3)（直送品）</t>
  </si>
  <si>
    <t>アーテック スティックしゃぼん きょうりゅう 21333 1個</t>
  </si>
  <si>
    <t>アーテック ワクワクじどうはんばいき 水色 21353 1セット(1個×3)（直送品）</t>
  </si>
  <si>
    <t>アーテック フェルトのおせんべいゲーム 21202 1セット(1個×3)（直送品）</t>
  </si>
  <si>
    <t>アーテック 作品収納バック大不織布製 薄桃 11326 1セット(20枚)（直送品）</t>
  </si>
  <si>
    <t>アーテック スティックしゃぼんきょうりゅう BOXセット(24個入) 21332 1セット(24個入)（直送品）</t>
  </si>
  <si>
    <t>アーテック スティックしゃぼん ドーナツ 21335 1セット(1個×10)（直送品）</t>
  </si>
  <si>
    <t>アーテック スティックしゃぼん ドーナツ BOXセット 21334 1セット（24個入）</t>
  </si>
  <si>
    <t>アーテック スティックしゃぼん アニマル 21339 1セット(1個×9)（直送品）</t>
  </si>
  <si>
    <t>アーテック 変なぷにゅぷにゅいきもの5個セット 21247 1セット(5個組×4)（直送品）</t>
  </si>
  <si>
    <t>アーテック 作品収納バック大不織布製 黒 11325 1セット(20枚)（直送品）</t>
  </si>
  <si>
    <t>アーテック スティックしゃぼん マイク 21337 1セット(1個×9)（直送品）</t>
  </si>
  <si>
    <t>アーテック スティックしゃぼん マイク BOXセット(24個入) 21336 1セット(24個入)（直送品）</t>
  </si>
  <si>
    <t>アーテック パタパタスティックしゃぼん 21367 1セット(1個×6)（直送品）</t>
  </si>
  <si>
    <t>アーテック パタパタスティックしゃぼんBOXセット(24個入) 21366 1セット(24個入)（直送品）</t>
  </si>
  <si>
    <t>アーテック 光るうちわ 星 21365 1個</t>
  </si>
  <si>
    <t>アーテック パタパタくん かめ 21269 1セット(1個×4)（直送品）</t>
  </si>
  <si>
    <t>アーテック 腕時計型うみのいきものプロジェクター 21288 1セット(3個)（直送品）</t>
  </si>
  <si>
    <t>アーテック ひろがるむかしばなしシールブック 21342 1セット(1冊×3)（直送品）</t>
  </si>
  <si>
    <t>アーテック パタパタ わにさん 21266 1セット(6個)（直送品）</t>
  </si>
  <si>
    <t>アーテック アニマルウォーターボールシャワー 21267 1セット(6個)（直送品）</t>
  </si>
  <si>
    <t>アーテック DIARY雑記帳 A5 10冊 74715 1包（直送品）</t>
  </si>
  <si>
    <t>アーテック かいてけしてマーカープレイブック うみのいきもの 21329 1セット(1包×4)（直送品）</t>
  </si>
  <si>
    <t>トーヨー おりがみトイズ! 005112 1セット(5冊)</t>
  </si>
  <si>
    <t>アーテック 見ておぼえるとどうふけんパズル アプリ付 11955 1セット(1枚×3)（直送品）</t>
  </si>
  <si>
    <t>アーテック ゴールドお誕生日かんむり&amp;カードセット 21273 1セット(1個×4)（直送品）</t>
  </si>
  <si>
    <t>アーテック つながってるカレンダー 大 92221 1セット(1個×2)（直送品）</t>
  </si>
  <si>
    <t>アーテック 12色いろえんぴつ 透明ケース入り 21407 1セット(1個×3)（直送品）</t>
  </si>
  <si>
    <t>アーテック バランス積み木 白木 21450 1セット(1個×3)（直送品）</t>
  </si>
  <si>
    <t>アーテック フラットスケジュールブック 92229 1セット(1冊×3)（直送品）</t>
  </si>
  <si>
    <t>アーテック 年間スケジュールカレンダー 10枚 92233 1セット(1包×2)（直送品）</t>
  </si>
  <si>
    <t>アーテック 花のカレンダー 118831 1セット(1個×2)（直送品）</t>
  </si>
  <si>
    <t>アーテック 英語で合体!へんてこアニマルカードゲーム 7421 英語教育 幼児 小学生 神経衰弱 トランプ 1セット(4個)（直送品）</t>
  </si>
  <si>
    <t>アーテック このつぎなにするカード 7426 1セット(5個)（直送品）</t>
  </si>
  <si>
    <t>アーテック おんなじことばカードゲーム 1個</t>
  </si>
  <si>
    <t>アーテック あいうえおポーズかるた読み上げアプリ付 知育玩具　みんなで遊べる　室内遊び　おうち遊び 7428 1セット</t>
  </si>
  <si>
    <t>アーテック アレのなまえしってる?かるた 7432 1セット(3個)（直送品）</t>
  </si>
  <si>
    <t>アーテック ATイーゼル 小 11536 1セット(1個×6)（直送品）</t>
  </si>
  <si>
    <t>アーテック ATイーゼル 中 11537 1セット(1個×4)（直送品）</t>
  </si>
  <si>
    <t>アーテック めいたんていしろくまーん ことばあそび 7440 1セット(6セット)（直送品）</t>
  </si>
  <si>
    <t>アーテック ATイーゼル 大 11538 1セット(1個×3)（直送品）</t>
  </si>
  <si>
    <t>アーテック きってはってぬって絵本作り　たべもの 7443 5セット（直送品）</t>
  </si>
  <si>
    <t>アーテック かいてけしてマーカープレイブック うちゅう 7479 1セット(4個)（直送品）</t>
  </si>
  <si>
    <t>アーテック 星座トランプ 7497 5個</t>
  </si>
  <si>
    <t>アーテック おとぎばなしプロジェクター 7509 1セット(3個)（直送品）</t>
  </si>
  <si>
    <t>アーテック きょうりゅうプロジェクター 7642 1セット(3個)（直送品）</t>
  </si>
  <si>
    <t>アーテック くまさん手帳型フェルトフレーム 6996 1セット(10個)（直送品）</t>
  </si>
  <si>
    <t>アーテック はがせるシール 5枚入り 20295 1セット(6包)（直送品）</t>
  </si>
  <si>
    <t>アーテック うちわ 丸柄(プラ製) 10本組 38063 1包（直送品）</t>
  </si>
  <si>
    <t>アーテック 世界のいろいろトランプ 7914 1セット(5個)（直送品）</t>
  </si>
  <si>
    <t>【アウトレット】アーテック すうじてんびん 7915 1個</t>
  </si>
  <si>
    <t>両面おりがみ25cm 24枚 WC-3525 10パック エヒメ紙工（直送品）</t>
  </si>
  <si>
    <t>アーテック 特産・名産 都道府県トランプ 7918 1セット(1個×5)</t>
  </si>
  <si>
    <t>和紙友禅千代紙【華】15cm 30枚 YUH-2415 10パック エヒメ紙工（直送品）</t>
  </si>
  <si>
    <t>アーテック つながる知育トランプ 7925 1セット(5個)</t>
  </si>
  <si>
    <t>アーテック せいかつしゅうかんアラーム時計 1個</t>
  </si>
  <si>
    <t>アーテック 正月 年賀ポスター B2(728×515mm)×5枚セット 92268 1包（直送品）</t>
  </si>
  <si>
    <t>アーテック カラー不織布ロングハッピ(ハチマキ付) 桃 J 1164 1セット(1枚×5)（直送品）</t>
  </si>
  <si>
    <t>アーテック カラー不織布ロングハッピ(ハチマキ付) 白 J 1165 1セット(1枚×5)（直送品）</t>
  </si>
  <si>
    <t>アーテック 正月 年賀ポスター 728×257mm×5枚セット 92269 1セット(1包×2)（直送品）</t>
  </si>
  <si>
    <t>アーテック かんたんねじりはちまき 赤/白/金 18789 1セット(1本×3)（直送品）</t>
  </si>
  <si>
    <t>アーテック ムカデ競争用連結ベルト 黒 18790 1セット(1個×2)（直送品）</t>
  </si>
  <si>
    <t>アーテック カラー不織布ハッピ袖無 黒(青襟)J 18927 1セット(1枚×4)（直送品）</t>
  </si>
  <si>
    <t>アーテック カラー不織布ハッピ袖無 黒(黄襟)J 18928 1セット(1枚×4)（直送品）</t>
  </si>
  <si>
    <t>アーテック ロングハッピ不織布 ツートンカラー(帯付) 青 S 18944 1セット(1枚×3)（直送品）</t>
  </si>
  <si>
    <t>アーテック ロングハッピ不織布 ツートンカラー(帯付) 赤 S 18943 1セット(1枚×3)（直送品）</t>
  </si>
  <si>
    <t>アーテック かぶるだけはちまき 赤 19002 1セット(1本×11)（直送品）</t>
  </si>
  <si>
    <t>アーテック ロングハッピ不織布 ツートンカラー(帯付) 黄 S 18945 1セット(1枚×3)（直送品）</t>
  </si>
  <si>
    <t>アーテック かぶるだけはちまき 青 19003 1セット(1本×11)（直送品）</t>
  </si>
  <si>
    <t>アーテック かぶるだけはちまき 白 19005 1セット(1本×11)（直送品）</t>
  </si>
  <si>
    <t>アーテック カラー不織布ロングハッピ(ハチマキ付) 赤 M 19065 1セット(1枚×4)（直送品）</t>
  </si>
  <si>
    <t>アーテック かぶるだけはちまき 黄 19004 1セット(1本×11)（直送品）</t>
  </si>
  <si>
    <t>アーテック カラー不織布ロングハッピ(ハチマキ付) 青 M 19066 1セット(1枚×4)（直送品）</t>
  </si>
  <si>
    <t>アーテック カラー不織布ロングハッピ(ハチマキ付) 黄 M 19067 1セット(1枚×4)（直送品）</t>
  </si>
  <si>
    <t>アーテック つみつみコップ くま 1個</t>
  </si>
  <si>
    <t>アーテック カラー不織布ロングハッピ(ハチマキ付) 緑 M 19068 1セット(1枚×4)（直送品）</t>
  </si>
  <si>
    <t>アーテック カラー不織布ロングハッピ(ハチマキ付) 黒(青襟) M 19070 1セット(1枚×4)（直送品）</t>
  </si>
  <si>
    <t>アーテック カラー不織布ロングハッピ(ハチマキ付) 黒(赤襟) M 19069 1セット(1枚×4)（直送品）</t>
  </si>
  <si>
    <t>アーテック カラー不織布ロングハッピ(ハチマキ付) 黒(黄襟) M 19071 1セット(1枚×4)（直送品）</t>
  </si>
  <si>
    <t>アーテック カラー不織布ロングハッピ(ハチマキ付) 黒(緑襟) M 19072 1セット(1枚×4)（直送品）</t>
  </si>
  <si>
    <t>アーテック あいうえおにごっこ 9464 1個（直送品）</t>
  </si>
  <si>
    <t>アーテック カラー不織布ロングハッピ(ハチマキ付) 黒(紫襟) M 19073 1セット(1枚×4)（直送品）</t>
  </si>
  <si>
    <t>アーテック サテンロングハッピ(ハチマキ付) 青 M 19087 1セット(1枚×2)（直送品）</t>
  </si>
  <si>
    <t>アーテック サテンロングハッピ(ハチマキ付) 赤 M 19086 1セット(1枚×2)（直送品）</t>
  </si>
  <si>
    <t>アーテック サテンロングハッピ(ハチマキ付) 緑 M 19089 1セット(1枚×2)（直送品）</t>
  </si>
  <si>
    <t>アーテック サテンロングハッピ(ハチマキ付) 黒(襟赤) M 19090 1セット(1枚×2)（直送品）</t>
  </si>
  <si>
    <t>アーテック サテンロングハッピ(ハチマキ付) 黒(襟青) M 19091 1セット(1枚×2)（直送品）</t>
  </si>
  <si>
    <t>アーテック サテンロングハッピ(ハチマキ付) 黄 M 19088 1セット(1枚×2)（直送品）</t>
  </si>
  <si>
    <t>アーテック ドキドキ!フルーツ合戦カードゲーム 9476 1セット(3個)（直送品）</t>
  </si>
  <si>
    <t>アーテック サテンロングハッピ(ハチマキ付) 黒(襟緑) M 19093 1セット(1枚×2)（直送品）</t>
  </si>
  <si>
    <t>アーテック サテンロングハッピ(ハチマキ付) 黒(襟紫) M 19094 1セット(1枚×2)（直送品）</t>
  </si>
  <si>
    <t>アーテック サテンロングハッピ(ハチマキ付) 黒(襟黄) M 19092 1セット(1枚×2)（直送品）</t>
  </si>
  <si>
    <t>アーテック サテンロングハッピ(ハチマキ付) 白 M 19095 1セット(1枚×2)（直送品）</t>
  </si>
  <si>
    <t>アーテック サテンロングハッピ(ハチマキ付) 黒 M 19096 1セット(1枚×2)（直送品）</t>
  </si>
  <si>
    <t>アーテック シールパズルブック すいぞくかん 9489 1セット(3個)（直送品）</t>
  </si>
  <si>
    <t>アーテック サテンロングハッピ(ハチマキ付) 金 M 19097 1セット(1枚×2)（直送品）</t>
  </si>
  <si>
    <t>アーテック サテンロングハッピ(ハチマキ付) 黒(襟銀) M 19099 1セット(1枚×2)（直送品）</t>
  </si>
  <si>
    <t>アーテック サテンロングハッピ(ハチマキ付) 黒(襟金) M 19098 1セット(1枚×2)（直送品）</t>
  </si>
  <si>
    <t>アーテック カラー不織布ハッピ(帯付) 青 M 19139 1セット(1枚×4)（直送品）</t>
  </si>
  <si>
    <t>アーテック カラー不織布ハッピ(帯付) 赤 M 19138 1セット(1枚×4)（直送品）</t>
  </si>
  <si>
    <t>アーテック カラー不織布ハッピ(帯付) 黄 M 19140 1セット(1枚×4)（直送品）</t>
  </si>
  <si>
    <t>アーテック カラー不織布ハッピ(帯付) 黒(襟赤) M 19141 1セット(1枚×4)（直送品）</t>
  </si>
  <si>
    <t>アーテック コロコロ絵合わせキューブパズル 9501 1セット(4個)（直送品）</t>
  </si>
  <si>
    <t>アーテック カラー不織布ハッピ(帯付) 黒(襟青) M 19142 1セット(1枚×4)（直送品）</t>
  </si>
  <si>
    <t>アーテック ソフトサテンロングハッピ(ハチマキ付) 白 M 19151 1セット(1枚×2)（直送品）</t>
  </si>
  <si>
    <t>アーテック カラー不織布ハッピ(帯付) 黒(襟黄) M 19143 1セット(1枚×4)（直送品）</t>
  </si>
  <si>
    <t>アーテック ソフトサテンロングハッピ(ハチマキ付) 緑 M 19152 1セット(1枚×2)（直送品）</t>
  </si>
  <si>
    <t>アーテック めざせ!たんてい ちびくまーん1 9513 1セット(5冊)（直送品）</t>
  </si>
  <si>
    <t>アーテック メッシュロングハッピ(ハチマキ付) 黒(赤襟) J 19197 1セット(1枚×2)（直送品）</t>
  </si>
  <si>
    <t>アーテック ソフトサテンロングハッピ(ハチマキ付) 金 M 19153 1セット(1枚×2)（直送品）</t>
  </si>
  <si>
    <t>アーテック メッシュロングハッピ(ハチマキ付) 黒(青襟) J 19198 1セット(1枚×2)（直送品）</t>
  </si>
  <si>
    <t>アーテック メッシュロングハッピ(ハチマキ付) 黒(黄襟) J 19199 1セット(1枚×2)（直送品）</t>
  </si>
  <si>
    <t>アーテック メッシュロングハッピ(ハチマキ付) 黒(赤襟) S 19200 1セット(1枚×2)（直送品）</t>
  </si>
  <si>
    <t>アーテック メッシュロングハッピ(ハチマキ付) 黒(青襟) S 19201 1セット(1枚×2)（直送品）</t>
  </si>
  <si>
    <t>アーテック ソフトサテンロングハッピ(ハチマキ付) 金 S 19205 1セット(1枚×2)（直送品）</t>
  </si>
  <si>
    <t>アーテック メッシュロングハッピ(ハチマキ付) 黒(黄襟) S 19202 1セット(1枚×2)（直送品）</t>
  </si>
  <si>
    <t>アーテック そっくりメモリーカード 9526 1セット(1個×4)</t>
  </si>
  <si>
    <t>アーテック ソフトサテンロングハッピ(ハチマキ付) 黒(襟緑) J 19207 1セット(1枚×2)（直送品）</t>
  </si>
  <si>
    <t>アーテック ソフトサテンロングハッピ(ハチマキ付) 金 L 19206 1セット(1枚×2)（直送品）</t>
  </si>
  <si>
    <t>アーテック 昔ばなしトランプ 9527 1セット(1個×4)</t>
  </si>
  <si>
    <t>アーテック ソフトサテンロングハッピ(ハチマキ付) 金 J 19208 1セット(1枚×2)（直送品）</t>
  </si>
  <si>
    <t>アーテック カラフルモンスターヒントかるた 9528 1個</t>
  </si>
  <si>
    <t>アーテック サテンロングハッピ(ハチマキ付) 黒(襟緑) J 19209 1セット(1枚×2)（直送品）</t>
  </si>
  <si>
    <t>アーテック カラー両面ゼッケン 青 19253 1セット(1枚×3)（直送品）</t>
  </si>
  <si>
    <t>アーテック からだの不思議かるた 9529 1セット(3個)</t>
  </si>
  <si>
    <t>アーテック カラー両面ゼッケン 赤 19252 1セット(1枚×3)（直送品）</t>
  </si>
  <si>
    <t>アーテック カラー両面ゼッケン 黄 19254 1セット(1枚×3)（直送品）</t>
  </si>
  <si>
    <t>アーテック どうぶつパズル エンジョイシート付 9546 1セット(3個)（直送品）</t>
  </si>
  <si>
    <t>アーテック おはしあそび バーベキュー 9538 1セット(3個)（直送品）</t>
  </si>
  <si>
    <t>アーテック へんがおならべ 1個</t>
  </si>
  <si>
    <t>アーテック ２人対戦ゲーム　ねこまねき 9551 2個（直送品）</t>
  </si>
  <si>
    <t>アーテック 爆弾カードゲーム 9564 2個（直送品）</t>
  </si>
  <si>
    <t>アーテック カラーたすき 赤 18395 1パック（10本組）</t>
  </si>
  <si>
    <t>アーテック カラーたすき 白 18396 1パック（10本組）</t>
  </si>
  <si>
    <t>アーテック カラーたすき 青 18397 1パック（10本組）</t>
  </si>
  <si>
    <t>アーテック カラーたすき 黄 18398 1パック（10本組）</t>
  </si>
  <si>
    <t>アーテック カラーたすき 桃 18400 1パック（10本組）</t>
  </si>
  <si>
    <t>アーテック ロングはちまき 赤 10本組 18401 1包（直送品）</t>
  </si>
  <si>
    <t>アーテック カラーたすき 緑 18399 1パック（10本組）</t>
  </si>
  <si>
    <t>アーテック ロングはちまき 白 10本組 18402 1包（直送品）</t>
  </si>
  <si>
    <t>アーテック ロングはちまき 黒 10本組 18403 1包（直送品）</t>
  </si>
  <si>
    <t>アーテック ロングはちまき 黄 10本組 18405 1包（直送品）</t>
  </si>
  <si>
    <t>アーテック ロングはちまき 青 10本組 18404 1包（直送品）</t>
  </si>
  <si>
    <t>アーテック ロングはちまき 紫 10本組 18407 1包（直送品）</t>
  </si>
  <si>
    <t>アーテック きってはってぬって絵本作り どうぶつえん 11706 1セット(5個)（直送品）</t>
  </si>
  <si>
    <t>アーテック カラーなるこ赤(銀JAN付) 18408 1セット(10個)（直送品）</t>
  </si>
  <si>
    <t>アーテック カラーなるこ青(銀JAN付) 18409 1セット(10個)（直送品）</t>
  </si>
  <si>
    <t>アーテック かぞえるタオル きせつのすうじ 11757 1セット(3個)（直送品）</t>
  </si>
  <si>
    <t>アーテック カラーなるこ黄(銀JAN付) 18410 1セット(10個)（直送品）</t>
  </si>
  <si>
    <t>アーテック ロングはちまき 緑 10本組 18406 1包（直送品）</t>
  </si>
  <si>
    <t>アーテック なるこ 無着色 (銀JAN付) 18411 1セット(10個)（直送品）</t>
  </si>
  <si>
    <t>アーテック 大旗 青 丸棒φ12mm 10本組 18413 1包（直送品）</t>
  </si>
  <si>
    <t>アーテック 大旗 赤 丸棒φ12mm 10本組 18412 1包（直送品）</t>
  </si>
  <si>
    <t>アーテック 大旗 緑 丸棒φ12mm 10本組 18415 1包（直送品）</t>
  </si>
  <si>
    <t>アーテック 大旗 白 丸棒φ12mm 10本組 18416 1包（直送品）</t>
  </si>
  <si>
    <t>アーテック 大旗 黄 丸棒φ12mm 10本組 18414 1包（直送品）</t>
  </si>
  <si>
    <t>アーテック 大旗 オレンジ 丸棒φ12mm 10本組 18417 1包（直送品）</t>
  </si>
  <si>
    <t>アーテック 大旗 桃 丸棒φ12mm 10本組 18418 1包（直送品）</t>
  </si>
  <si>
    <t>アーテック 机と椅子ジオラマベース 1033 1セット(2個)（直送品）</t>
  </si>
  <si>
    <t>アーテック 机と椅子ジオラマベース小 1070 1セット(5個)（直送品）</t>
  </si>
  <si>
    <t>アーテック ワンタッチクリアキーホルダー(プレゼントクリアカードケース) 1761 1セット(10個)</t>
  </si>
  <si>
    <t>アーテック 素焼風鈴 2435 1セット(3個)（直送品）</t>
  </si>
  <si>
    <t>アーテック 手作りペン立て 2461 1個</t>
  </si>
  <si>
    <t>アーテック 紙すきセット 2649 2個</t>
  </si>
  <si>
    <t>アーテック 大旗 コバルトブルー 丸棒φ12mm 10本組 18419 1包（直送品）</t>
  </si>
  <si>
    <t>墨運堂 墨の精 墨液450ml 12205 6本（直送品）</t>
  </si>
  <si>
    <t>アーテック プレゼントティッシュカバー(ベージュ) 4613 1セット(3個)（直送品）</t>
  </si>
  <si>
    <t>アーテック プレゼントペットボトルホルダー 4614 1セット(2個)（直送品）</t>
  </si>
  <si>
    <t>アーテック プレゼント帆布ポーチ 4617 1セット(3個)（直送品）</t>
  </si>
  <si>
    <t>アーテック プレゼントウォールポケット 4622 3個</t>
  </si>
  <si>
    <t>アーテック キャンバスボード(15×15cm) 5918 1セット(4個)（直送品）</t>
  </si>
  <si>
    <t>アーテック ミニクリアかざぐるま 2670 1セット(5個)（直送品）</t>
  </si>
  <si>
    <t>アーテック ありがとうボード 母の日 父の日 6958 1セット(3個)（直送品）</t>
  </si>
  <si>
    <t>アーテック 大旗 蛍光グリーン 丸棒φ12mm 10本組 18420 1包（直送品）</t>
  </si>
  <si>
    <t>アーテック ペイントジグソー小 7856 1セット(3個)（直送品）</t>
  </si>
  <si>
    <t>アーテック おえかきブーメラン 7884 5個（直送品）</t>
  </si>
  <si>
    <t>アーテック おえかき万華鏡 7886 1セット(3個)（直送品）</t>
  </si>
  <si>
    <t>アーテック 化石発掘キット ティラノサウルス 9472 1セット（直送品）</t>
  </si>
  <si>
    <t>アーテック サウンドおえかきボード 1個</t>
  </si>
  <si>
    <t>【アウトレット】アーテック おえかきロケット 7569 1個</t>
  </si>
  <si>
    <t>アーテック おえかきスクリューボート 7570 1セット(3個)（直送品）</t>
  </si>
  <si>
    <t>アーテック サテン大旗 メタリックレッド φ12mm 10本組 18421 1包（直送品）</t>
  </si>
  <si>
    <t>アーテック 木製ましかく小物入れ 9582 1セット(5個)（直送品）</t>
  </si>
  <si>
    <t>アーテック 高級木軸デザイン筆 3本組 10753 1セット（直送品）</t>
  </si>
  <si>
    <t>アーテック 画板 S 11130（直送品）</t>
  </si>
  <si>
    <t>アーテック ぞうのフェルト収納ケース 11675 1セット(3個)（直送品）</t>
  </si>
  <si>
    <t>アーテック 水書紙セット A4 2枚組(不織布) 12006 1セット(5セット)（直送品）</t>
  </si>
  <si>
    <t>アーテック 水ペン 12009 1セット(5本)（直送品）</t>
  </si>
  <si>
    <t>アーテック 水ペン ゴムPUSH型 12021 1セット(5本)（直送品）</t>
  </si>
  <si>
    <t>アーテック お絵かきマグネットシート(A4) 12500 1セット(2枚)（直送品）</t>
  </si>
  <si>
    <t>アーテック けしゴム印 5角形(合格印) 12506 1セット(4個)（直送品）</t>
  </si>
  <si>
    <t>アーテック ありがとうホワイトボード 森の音楽隊 9568 1セット(4個)（直送品）</t>
  </si>
  <si>
    <t>アーテック サテン大旗 メタリックブルー φ12mm 10本組 18422 1包（直送品）</t>
  </si>
  <si>
    <t>アーテック ＬＥＤ付作品フレーム（２００×１５０ｍｍ） 12507 1個（直送品）</t>
  </si>
  <si>
    <t>アーテック デザイン和傘〈未組立て) 12515 1セット(3個)</t>
  </si>
  <si>
    <t>アーテック デザインプラスチックマスクボックス 12516 3セット（直送品）</t>
  </si>
  <si>
    <t>アーテック スタイロフォーム　水色　３００＊３６０＊３０ 12539 2枚（直送品）</t>
  </si>
  <si>
    <t>アーテック スタイロフォーム　水色　３００＊３６０＊５０ 12540 1枚（直送品）</t>
  </si>
  <si>
    <t>アーテック サテン大旗 ゴールド φ12mm 10本組 18423 1包（直送品）</t>
  </si>
  <si>
    <t>アーテック カプセルドーム ミニ 12557 1セット(4個)（直送品）</t>
  </si>
  <si>
    <t>アーテック ウッドフレーム ダークブラウン 150×100mm 12561 1セット(4個)（直送品）</t>
  </si>
  <si>
    <t>アーテック きりえＡ４ 12976 4セット（直送品）</t>
  </si>
  <si>
    <t>アーテック 絵本作り(薄) 13038 1セット(3冊)（直送品）</t>
  </si>
  <si>
    <t>アーテック ウッドフレーム ダークブラウン 200×150mm 12562 1セット(3個)（直送品）</t>
  </si>
  <si>
    <t>アーテック 絵本作り(厚) 13039 1セット(2冊)（直送品）</t>
  </si>
  <si>
    <t>アーテック 簡単絵本作り 13167 1セット(3冊)（直送品）</t>
  </si>
  <si>
    <t>アーテック サテン大旗 メタリックグリーン φ12mm 10本組 18424 1包（直送品）</t>
  </si>
  <si>
    <t>アーテック プラモザイク 大 12色組 90x90mm(ボンド付) 13515 1セット(2個)（直送品）</t>
  </si>
  <si>
    <t>アーテック プラモザイク 小12色組 13516 1セット(3セット)（直送品）</t>
  </si>
  <si>
    <t>【アウトレット】アーテック LEDレインボーライト 13248 1個</t>
  </si>
  <si>
    <t>【アウトレット】アーテック ニューステンドグラス(カッター無) 13299 1個</t>
  </si>
  <si>
    <t>アーテック 木彫六角鉛筆立て(未組立) 13518 1セット(2個)（直送品）</t>
  </si>
  <si>
    <t>アーテック LED付ちょうちん 13603 1個</t>
  </si>
  <si>
    <t>アーテック ガラス風鈴 13317 2個（直送品）</t>
  </si>
  <si>
    <t>アーテック ライトスクラッチ A5 13347（直送品）</t>
  </si>
  <si>
    <t>アーテック わたしの絵本作り A4 6P 13775 1セット(5冊)（直送品）</t>
  </si>
  <si>
    <t>アーテック お絵かきましかくアルバム 9面タイプ 13860 1冊（直送品）</t>
  </si>
  <si>
    <t>アーテック カラーフォーメーション 8切 薄口 5枚組 13900 1セット(5個)（直送品）</t>
  </si>
  <si>
    <t>アーテック カラーフォーメーション 8切 厚口 5枚組 13901　1セット（15枚：5枚入×3）（直送品）</t>
  </si>
  <si>
    <t>アーテック サークルステンド(カッター無) 13410 1セット(2個)（直送品）</t>
  </si>
  <si>
    <t>アーテック 新両面カラー方眼紙 4切 薄口 5枚組 13911 1セット(2個)（直送品）</t>
  </si>
  <si>
    <t>アーテック 新両面カラー方眼紙 8切 厚口 13912 1組(5枚)</t>
  </si>
  <si>
    <t>アーテック 新両面カラー方眼紙 8切 薄口 5枚組 13910 1セット(3個)（直送品）</t>
  </si>
  <si>
    <t>アーテック おはながみ 6色12枚組 13939 1セット(10セット)（直送品）</t>
  </si>
  <si>
    <t>アーテック クレープ紙 250×250 6色組 13967 10セット</t>
  </si>
  <si>
    <t>アーテック ホログラムテープ（8m巻）（10本組）紫 14093（直送品）</t>
  </si>
  <si>
    <t>アーテック 絵巻きものA(組立済) 14201 1セット(3個)（直送品）</t>
  </si>
  <si>
    <t>アーテック 絵巻ものショートタイプ(65cm) 14203 1セット(4個)（直送品）</t>
  </si>
  <si>
    <t>アーテック サテン大旗 メタリックピンク φ12mm 10本組 18425 1包（直送品）</t>
  </si>
  <si>
    <t>アーテック サテン大旗 シルバー φ12mm 10本組 18426 1包（直送品）</t>
  </si>
  <si>
    <t>アーテック 安全版画ベニヤ お試し判 75x100x4 20001 1セット(20枚)（直送品）</t>
  </si>
  <si>
    <t>アーテック 安全版画ベニヤ 小 300x225x4 20010 1セット(5枚)（直送品）</t>
  </si>
  <si>
    <t>アーテック 安全版画ベニヤ　８切　３６０ｘ２６０ｘ４ 20012 5枚（直送品）</t>
  </si>
  <si>
    <t>アーテック 安全版画ベニヤ 4切 500x340x4 20013 1セット(3枚)（直送品）</t>
  </si>
  <si>
    <t>アーテック 安全厚手版画ベニヤ8切360x260x5.5 20022 1セット(4枚)（直送品）</t>
  </si>
  <si>
    <t>アーテック 安全カラー版画ベニヤ小３００ｘ２２５ｘ４ 20030 5枚（直送品）</t>
  </si>
  <si>
    <t>アーテック カラー版画ボード大４５０ｘ３００ｘ４ 20082 5枚（直送品）</t>
  </si>
  <si>
    <t>アーテック サテン大旗 メタリックオレンジ φ12mm 10本組 18427 1包（直送品）</t>
  </si>
  <si>
    <t>アーテック 安全厚手カラーベニヤ小300x225x5.5 20050 1セット(5枚)（直送品）</t>
  </si>
  <si>
    <t>アーテック 安全厚手カラーベニヤ大450x300x5.5 20051 1セット(3枚)（直送品）</t>
  </si>
  <si>
    <t>アーテック 安全厚手カラーベニヤ8切360x260x5.5 20052 1セット(3枚)（直送品）</t>
  </si>
  <si>
    <t>アーテック 黒彫板Ｂ　１５０ｘ１００ｘ１０mm 20134 5枚（直送品）</t>
  </si>
  <si>
    <t>アーテック サテン大旗 蛍光グリーン φ12mm 10本組 18428 1包（直送品）</t>
  </si>
  <si>
    <t>アーテック カラー版画SP板 小 20290 1セット(6枚)（直送品）</t>
  </si>
  <si>
    <t>アーテック カラー版画SP板 大 20292 1セット(4枚)（直送品）</t>
  </si>
  <si>
    <t>アーテック 版画彩色和紙 40kg凸凹版用 小(100枚) 20811 1セット(2セット)（直送品）</t>
  </si>
  <si>
    <t>アーテック カラー版画SP板 8切 20291 1セット(5枚)（直送品）</t>
  </si>
  <si>
    <t>アーテック スーパーライト 300g ヘラ付 23216 1セット(3セット)（直送品）</t>
  </si>
  <si>
    <t>アーテック 無臭・抗菌 油ねんど Mサイズ 23303 1セット(5個)</t>
  </si>
  <si>
    <t>アーテック サテン大旗 コバルトブルー φ12mm 10本組 18429 1包（直送品）</t>
  </si>
  <si>
    <t>アーテック 葉脈押し型５種セット 23335 2セット（直送品）</t>
  </si>
  <si>
    <t>アーテック ねんどの王様 5個セット 23368 1セット</t>
  </si>
  <si>
    <t>アーテック ねんどの王様　１０個セット 23369 1セット（直送品）</t>
  </si>
  <si>
    <t>アーテック パティシエールクレイシリーズ バニラッティ 23374 1個</t>
  </si>
  <si>
    <t>アーテック ミニてんこく作業台 23435 1セット(3台)（直送品）</t>
  </si>
  <si>
    <t>アーテック ねんどフォトフレーム（芯材のみ） 23679 3個（直送品）</t>
  </si>
  <si>
    <t>アーテック ボックスアート ミニ 23712 2個（直送品）</t>
  </si>
  <si>
    <t>アーテック メッシュ仮面芯 23837 1セット(5個)（直送品）</t>
  </si>
  <si>
    <t>アーテック 木彫スマホスタンド 30060 1セット(3個)（直送品）</t>
  </si>
  <si>
    <t>アーテック 両面ゼッケン 10枚セット 18473 1包（直送品）</t>
  </si>
  <si>
    <t>アーテック マーカーマグ(大) 27006 1個</t>
  </si>
  <si>
    <t>アーテック コンパクトマーカーマグ 27023 1個</t>
  </si>
  <si>
    <t>アーテック 造形棒 基本4本セット 27437 1セット(6セット)（直送品）</t>
  </si>
  <si>
    <t>アーテック 木彫ふでばこ 30000 1セット(2個)（直送品）</t>
  </si>
  <si>
    <t>アーテック はがき箱 30003（直送品）</t>
  </si>
  <si>
    <t>アーテック マルチボックス六角箱 30007 1セット(2個)（直送品）</t>
  </si>
  <si>
    <t>アーテック 木彫小箱 30008 2個（直送品）</t>
  </si>
  <si>
    <t>アーテック 木彫印かん小箱 ミニ 30024 1セット(2個)（直送品）</t>
  </si>
  <si>
    <t>アーテック しきし立て印かん小箱 31236 1セット(2個)（直送品）</t>
  </si>
  <si>
    <t>アーテック 木彫スプーン　小 30059 4個（直送品）</t>
  </si>
  <si>
    <t>アーテック ATバルサ材 1×80×600mm 10枚組 45076 1セット（直送品）</t>
  </si>
  <si>
    <t>アーテック ATバルサ材 2×80×600mm 10枚組 45077 1セット（直送品）</t>
  </si>
  <si>
    <t>アーテック ATバルサ材 3×80×600mm 10枚組 45078 1セット（直送品）</t>
  </si>
  <si>
    <t>アーテック ATバルサ材 5×80×600mm 10枚組 45079 1セット（直送品）</t>
  </si>
  <si>
    <t>アーテック 黒 カラービニール袋(10枚組) 45589 1セット(3個)</t>
  </si>
  <si>
    <t>アーテック ウクレレ作り 31408（直送品）</t>
  </si>
  <si>
    <t>アーテック スライムでつくる!ミニチュアドリンクライト 55367 1セット（直送品）</t>
  </si>
  <si>
    <t>アーテック スノードームキット 55370 1セット(1個×4)</t>
  </si>
  <si>
    <t>アーテック ミサンガでつくるカラフル腕時計 55383 1セット（直送品）</t>
  </si>
  <si>
    <t>アーテック 手作り時計キット 55384 1個</t>
  </si>
  <si>
    <t>アーテック 食品サンプルをつくろう!シュワシュワクリームソーダキット 55445 1セット（直送品）</t>
  </si>
  <si>
    <t>アーテック 木製観覧車組立キット 55521 1個（直送品）</t>
  </si>
  <si>
    <t>アーテック ハメパチくんキーホルダー ミラー型 55970 1セット(3セット)（直送品）</t>
  </si>
  <si>
    <t>アーテック ハメパチくんキーホルダー 動物型 55971 1セット(4セット)（直送品）</t>
  </si>
  <si>
    <t>アーテック 回転アニメーションゴマ 55529 1セット（直送品）</t>
  </si>
  <si>
    <t>アーテック 宝石ケース入り！キラキラスライムをつくろう！ 55530 1セット（直送品）</t>
  </si>
  <si>
    <t>アーテック 紙せっけんてづくりキット 55532 1セット(1個×3)</t>
  </si>
  <si>
    <t>アーテック 温度で色が変わる宝石づくりキット 55534 1セット（直送品）</t>
  </si>
  <si>
    <t>【アウトレット】アーテック ビーズでつくるカラフル腕時計 55540 1個</t>
  </si>
  <si>
    <t>アーテック ミニチュアスイーツづくり 55541 2セット（直送品）</t>
  </si>
  <si>
    <t>アーテック キラキラ結晶づくり 56939 2セット（直送品）</t>
  </si>
  <si>
    <t>アーテック キラキラ粉　２ｇ 60516 20個（直送品）</t>
  </si>
  <si>
    <t>アーテック キラキラ光る!スノードームライト クラフト 55880 2セット（直送品）</t>
  </si>
  <si>
    <t>アーテック LEDトレース台 A4サイズ 154814 1台（直送品）</t>
  </si>
  <si>
    <t>アーテック ＬＥＤトレース台Ａ３サイズ 154813 1台（直送品）</t>
  </si>
  <si>
    <t>アーテック 育てるやさい トマト 102990 1セット(6包)（直送品）</t>
  </si>
  <si>
    <t>アーテック アーテックブロック リムーバー 64770 11本（直送品）</t>
  </si>
  <si>
    <t>アーテック ゼンマイロボット ロボたま 1個</t>
  </si>
  <si>
    <t>アーテック Artecブロック ハーフC 薄ピンク8pcsセット 76505 1セット(10包)（直送品）</t>
  </si>
  <si>
    <t>アーテック Artecブロック ハーフD ピンク8pcsセット 76506 1セット(10包)（直送品）</t>
  </si>
  <si>
    <t>アーテック Artecブロック ハーフC 薄緑8pcsセット 76507 1セット(10包)（直送品）</t>
  </si>
  <si>
    <t>アーテック Artecブロック ハーフD 緑8pcsセット 76508 1セット(10包)（直送品）</t>
  </si>
  <si>
    <t>アーテック Artecブロック バケツ220【ビビット】 76536 1個</t>
  </si>
  <si>
    <t>アーテック Artecブロック ドリームセットベーシック 76535（直送品）</t>
  </si>
  <si>
    <t>アーテック Artecブロック バケツ220【パステル】 76537（直送品）</t>
  </si>
  <si>
    <t>アーテック Artecブロック スクールマスセット 76542（直送品）</t>
  </si>
  <si>
    <t>アーテック Artecブロック ポーチ54【ビビット】 76543（直送品）</t>
  </si>
  <si>
    <t>アーテック Artecブロック バケツ112【パステル】 76539（直送品）</t>
  </si>
  <si>
    <t>アーテック Artecブロック うみのなかまセット 76660（直送品）</t>
  </si>
  <si>
    <t>アーテック Artecブロック ゲームクリエイターセット 76546（直送品）</t>
  </si>
  <si>
    <t>アーテック Artecブロック レスキューカーセット 76664（直送品）</t>
  </si>
  <si>
    <t>アーテック Artecブロック はたらくのりものセット 76663（直送品）</t>
  </si>
  <si>
    <t>アーテック Artecブロック きょうりゅうセット 76666（直送品）</t>
  </si>
  <si>
    <t>アーテック Artecブロック こんちゅうセット 76667（直送品）</t>
  </si>
  <si>
    <t>アーテック おもいでアルバム 春夏秋冬 5951 1個</t>
  </si>
  <si>
    <t>アーテック 鉛筆2B 12本組 チェリーピンク 5957 1セット(5包)（直送品）</t>
  </si>
  <si>
    <t>アーテック コーナーポケットシール1シート 8ピース 5940 1台</t>
  </si>
  <si>
    <t>アーテック Artecブロック とりのなかまセット 76668（直送品）</t>
  </si>
  <si>
    <t>アーテック ソフトサテン かぼちゃパンツ C 桃 18257 1セット(6個)（直送品）</t>
  </si>
  <si>
    <t>アーテック ソフトサテン かぼちゃパンツ C 茶 18258 1セット(6個)（直送品）</t>
  </si>
  <si>
    <t>アーテック お絵かきましかくアルバム 薄 12604 1セット(2個)（直送品）</t>
  </si>
  <si>
    <t>アーテック ソフトサテン かぼちゃパンツ C 水 18259 1セット(6個)（直送品）</t>
  </si>
  <si>
    <t>アーテック ソフトサテン かぼちゃパンツ J 桃 18260 1セット(5個)（直送品）</t>
  </si>
  <si>
    <t>アーテック ソフトサテン かぼちゃパンツ J 茶 18261 1セット(5個)（直送品）</t>
  </si>
  <si>
    <t>アーテック ソフトサテン かぼちゃパンツ J 水 18262 1セット(5個)（直送品）</t>
  </si>
  <si>
    <t>アーテック ソフトサテンワンピース J 桃 18256 1セット(4枚)（直送品）</t>
  </si>
  <si>
    <t>アーテック ソフトサテン シャツ パフスリーブ 白 1枚</t>
  </si>
  <si>
    <t>アーテック ソフトサテン シャツ パフスリーブ 水 1枚</t>
  </si>
  <si>
    <t>アーテック ソフトサテン シャツ パフスリーブ 桃 1枚</t>
  </si>
  <si>
    <t>アーテック ソフトサテンサロペットスカート ホワイト 18277 1セット(3枚)（直送品）</t>
  </si>
  <si>
    <t>アーテック ソフトサテンサロペットスカート レッド 18278 1セット(3枚)（直送品）</t>
  </si>
  <si>
    <t>アーテック ソフトサテンサロペットスカート ブルー 18279 1セット(3枚)（直送品）</t>
  </si>
  <si>
    <t>アーテック ソフトサテンサロペットパンツ Cサイズ レッド 18280 1セット(4枚)（直送品）</t>
  </si>
  <si>
    <t>アーテック ソフトサテンサロペットパンツ Cサイズ イエロー 18281 1セット(4枚)（直送品）</t>
  </si>
  <si>
    <t>アーテック ソフトサテンサロペットパンツ Cサイズ ブルー 18282 1セット(4枚)（直送品）</t>
  </si>
  <si>
    <t>アーテック ベロアベスト Cサイズ 赤 18283 1セット(4個)（直送品）</t>
  </si>
  <si>
    <t>アーテック ベロアベスト Cサイズ 白 18284 1セット(4個)（直送品）</t>
  </si>
  <si>
    <t>アーテック ベロアベスト Cサイズ 黄 18285 1セット(4個)（直送品）</t>
  </si>
  <si>
    <t>アーテック ベロアベスト Cサイズ 黒 18286 1セット(4個)（直送品）</t>
  </si>
  <si>
    <t>アーテック ソフトサテンビスチェ ホワイト 18267 1セット(5個)（直送品）</t>
  </si>
  <si>
    <t>アーテック ベロアベスト Jサイズ 赤 18289 1セット(4個)（直送品）</t>
  </si>
  <si>
    <t>アーテック ベロアベスト Jサイズ 白 18290 1セット(4個)（直送品）</t>
  </si>
  <si>
    <t>アーテック ベロアベスト Jサイズ 黄 18291 1セット(4個)（直送品）</t>
  </si>
  <si>
    <t>アーテック ベロアかぼちゃパンツ Cサイズ 黄 18295 1セット(3個)（直送品）</t>
  </si>
  <si>
    <t>アーテック ベロアかぼちゃパンツ Jサイズ 白 18298 1セット(3個)（直送品）</t>
  </si>
  <si>
    <t>アーテック ベロアかぼちゃパンツ Jサイズ 黄 18299 1セット(3個)（直送品）</t>
  </si>
  <si>
    <t>アーテック ソフトサテンかぼちゃパンツ ギンガム Cサイズ レッド 18316 1セット(5個)（直送品）</t>
  </si>
  <si>
    <t>アーテック ソフトサテンかぼちゃパンツ ギンガム Cサイズ ブルー 18317 1セット(5個)（直送品）</t>
  </si>
  <si>
    <t>アーテック ソフトサテンかぼちゃパンツ ギンガム Cサイズ グリーン 18318 1セット(5個)（直送品）</t>
  </si>
  <si>
    <t>アーテック ソフトサテン 丸襟付フリフリシャツ 赤 18320 1セット(4枚)（直送品）</t>
  </si>
  <si>
    <t>アーテック ソフトサテン 丸襟付フリフリシャツ 黄 18321 1セット(4枚)（直送品）</t>
  </si>
  <si>
    <t>アーテック ソフトサテン 丸襟付フリフリシャツ 白 18322 1セット(4枚)（直送品）</t>
  </si>
  <si>
    <t>アーテック ソフトサテン 丸襟付フリフリシャツ 桃 18323 1セット(4枚)（直送品）</t>
  </si>
  <si>
    <t>アーテック ソフトサテンシャツ 前フリル 白 18327 1セット(5枚)（直送品）</t>
  </si>
  <si>
    <t>アーテック チャイナシャツ C 18334 1セット(5枚)（直送品）</t>
  </si>
  <si>
    <t>アーテック チャイナシャツ J 18335 1セット(4枚)（直送品）</t>
  </si>
  <si>
    <t>アーテック ソフトサテンパフスリーブワンピース 黄色 18336 1セット(4枚)（直送品）</t>
  </si>
  <si>
    <t>アーテック ソフトサテンパフスリーブワンピース 白 18337 1セット(4枚)（直送品）</t>
  </si>
  <si>
    <t>アーテック ソフトサテンパフスリーブワンピース ピンク 18338 1セット(4枚)（直送品）</t>
  </si>
  <si>
    <t>アーテック かぼちゃパンツ C 赤 18339 1セット(6個)（直送品）</t>
  </si>
  <si>
    <t>アーテック ソフトサテン 丸襟付フリフリシャツ 青 18324 1セット(4枚)（直送品）</t>
  </si>
  <si>
    <t>アーテック かぼちゃパンツ C 緑 18341 1セット(6個)（直送品）</t>
  </si>
  <si>
    <t>アーテック かぼちゃパンツ C 桃 18342 1セット(6個)（直送品）</t>
  </si>
  <si>
    <t>アーテック かぼちゃパンツ C 水 18343 1セット(6個)（直送品）</t>
  </si>
  <si>
    <t>アーテック かぼちゃパンツ C 黄緑 18344 1セット(6個)（直送品）</t>
  </si>
  <si>
    <t>アーテック かぼちゃパンツ J 赤 18345 1セット(6個)（直送品）</t>
  </si>
  <si>
    <t>アーテック かぼちゃパンツ J 黄 18346 1セット(6個)（直送品）</t>
  </si>
  <si>
    <t>アーテック かぼちゃパンツ J 緑 18347 1セット(6個)（直送品）</t>
  </si>
  <si>
    <t>アーテック かぼちゃパンツ J 桃 18348 1セット(6個)（直送品）</t>
  </si>
  <si>
    <t>アーテック かぼちゃパンツ J 水 18349 1セット(6個)（直送品）</t>
  </si>
  <si>
    <t>【アウトレット】アーテック かぼちゃパンツ C 黄 18340 1個</t>
  </si>
  <si>
    <t>アーテック ソフトサテンズボン テーパード C 白 18351 1セット(6枚)（直送品）</t>
  </si>
  <si>
    <t>アーテック ソフトサテンズボン テーパード J 白 18352 1セット(5枚)（直送品）</t>
  </si>
  <si>
    <t>アーテック ソフトサテンズボン テーパード C 黒 18353 1セット(6枚)（直送品）</t>
  </si>
  <si>
    <t>【アウトレット】アーテック ソフトサテンズボン テーパード J 黒 18354 1枚</t>
  </si>
  <si>
    <t>アーテック ソフトサテン海賊ジャケット 21155 1セット(4個)（直送品）</t>
  </si>
  <si>
    <t>アーテック かぼちゃパンツ J 黄緑 18350 1セット(6個)（直送品）</t>
  </si>
  <si>
    <t>アーテック グリッターシール 10枚組 50863 1セット(6組)（直送品）</t>
  </si>
  <si>
    <t>アーテック グリッターテープ 2.5m巻 赤 50864 1セット(1本×10)</t>
  </si>
  <si>
    <t>アーテック グリッターテープ 2.5m巻 水 50865 1セット(1本×10)</t>
  </si>
  <si>
    <t>アーテック グリッターテープ 2.5m巻 金 50866 1本</t>
  </si>
  <si>
    <t>アーテック 透明カプセルホルダー付 ハート型 10個入 58316 1セット(2包)（直送品）</t>
  </si>
  <si>
    <t>アーテック グリッターテープ 2.5m巻 銀 50867 1セット(10本)（直送品）</t>
  </si>
  <si>
    <t>アーテック 透明カプセルホルダー付 φ80mm 10個入 58317 1セット(2包)（直送品）</t>
  </si>
  <si>
    <t>アーテック 透明カプセル ホルダー付 φ60mm 10個入 58318 1セット(4包)（直送品）</t>
  </si>
  <si>
    <t>アーテック 透明カプセルホルダー付 φ100mm 10個入 58319 1セット(2包)（直送品）</t>
  </si>
  <si>
    <t>アーテック Artecブロック ダイノビルダーズT-REX 76784（直送品）</t>
  </si>
  <si>
    <t>アーテック Artecブロック 基本四角 24P 赤 77735 1セット(2個)（直送品）</t>
  </si>
  <si>
    <t>アーテック Artecブロック 基本四角 24P ピンク 77736 1セット(2個)（直送品）</t>
  </si>
  <si>
    <t>アーテック Artecブロック 基本四角 24P 薄ピンク 77737 1セット(2個)（直送品）</t>
  </si>
  <si>
    <t>アーテック Artecブロック 基本四角 24P 青 77738 1セット(2個)（直送品）</t>
  </si>
  <si>
    <t>アーテック Artecブロック 基本四角 24P 薄水 77740 1セット(2個)（直送品）</t>
  </si>
  <si>
    <t>アーテック Artecブロック 基本四角 24P 水 77739 1セット(2個)（直送品）</t>
  </si>
  <si>
    <t>アーテック Artecブロック 基本四角 24P 薄黄 77742 1セット(2個)（直送品）</t>
  </si>
  <si>
    <t>アーテック Artecブロック 基本四角 24P 黄 77741 1セット(2個)（直送品）</t>
  </si>
  <si>
    <t>アーテック Artecブロック 基本四角 24P ペールオレンジ 77743 2個（直送品）</t>
  </si>
  <si>
    <t>アーテック Artecブロック 基本四角 24P オレンジ 77744 1セット(2個)（直送品）</t>
  </si>
  <si>
    <t>アーテック Artecブロック 基本四角 24P 黄緑 77746 1セット(2個)（直送品）</t>
  </si>
  <si>
    <t>アーテック Artecブロック 基本四角 24P 緑 77745 2個（直送品）</t>
  </si>
  <si>
    <t>アーテック Artecブロック 基本四角 24P 薄紫 77749 1セット(2個)（直送品）</t>
  </si>
  <si>
    <t>アーテック Artecブロック 基本四角 24P 薄緑 77747 1セット(2個)（直送品）</t>
  </si>
  <si>
    <t>アーテック Artecブロック 基本四角 24P 薄グレー 77751 1セット(2個)（直送品）</t>
  </si>
  <si>
    <t>アーテック Artecブロック 基本四角 24P グレー 77750 1セット(2個)（直送品）</t>
  </si>
  <si>
    <t>アーテック Artecブロック 基本四角 24P 白 77753 1セット(2個)（直送品）</t>
  </si>
  <si>
    <t>アーテック Artecブロック 基本四角 24P 茶 77752 1セット(2個)（直送品）</t>
  </si>
  <si>
    <t>アーテック Artecブロック ハーフA 8P 赤 77755 1セット(5個)（直送品）</t>
  </si>
  <si>
    <t>アーテック Artecブロック 基本四角 24P 黒 77754 1セット(2個)（直送品）</t>
  </si>
  <si>
    <t>アーテック Artecブロック ハーフA 8P 薄ピンク 77757 1セット(5個)（直送品）</t>
  </si>
  <si>
    <t>アーテック Artecブロック ハーフA 8P ピンク 77756 1セット(5個)（直送品）</t>
  </si>
  <si>
    <t>アーテック Artecブロック ハーフA 8P 青 77758 1セット(5個)（直送品）</t>
  </si>
  <si>
    <t>アーテック Artecブロック ハーフA 8P 水 77759 1セット(5個)（直送品）</t>
  </si>
  <si>
    <t>アーテック Artecブロック ハーフA 8P 黄 77761 1セット(5個)（直送品）</t>
  </si>
  <si>
    <t>アーテック Artecブロック ハーフA 8P 薄水 77760 1セット(5個)（直送品）</t>
  </si>
  <si>
    <t>アーテック Artecブロック ハーフA 8P ペールオレンジ 77763 1セット(5個)（直送品）</t>
  </si>
  <si>
    <t>アーテック Artecブロック ハーフA 8P 薄黄 77762 1セット(5個)（直送品）</t>
  </si>
  <si>
    <t>アーテック Artecブロック ハーフA 8P オレンジ 77764 1セット(5個)（直送品）</t>
  </si>
  <si>
    <t>アーテック Artecブロック ハーフA 8P 緑 77765 1セット(5個)（直送品）</t>
  </si>
  <si>
    <t>アーテック Artecブロック ハーフA 8P 黄緑 77766 1セット(5個)（直送品）</t>
  </si>
  <si>
    <t>アーテック Artecブロック ハーフA 8P 薄緑 77767 1セット(5個)（直送品）</t>
  </si>
  <si>
    <t>アーテック Artecブロック ハーフA 8P 紫 77768 1セット(5個)（直送品）</t>
  </si>
  <si>
    <t>アーテック Artecブロック ハーフA 8P 薄紫 77769 1セット(5個)（直送品）</t>
  </si>
  <si>
    <t>アーテック Artecブロック ハーフA 8P グレー 77770 1セット(5個)（直送品）</t>
  </si>
  <si>
    <t>アーテック Artecブロック ハーフA 8P 薄グレー 77771 5個（直送品）</t>
  </si>
  <si>
    <t>アーテック Artecブロック ハーフA 8P 白 77773 1セット(5個)（直送品）</t>
  </si>
  <si>
    <t>アーテック Artecブロック ハーフA 8P 茶 77772 1セット(5個)（直送品）</t>
  </si>
  <si>
    <t>アーテック Artecブロック ハーフA 8P 黒 77774 1セット(5個)（直送品）</t>
  </si>
  <si>
    <t>アーテック Artecブロック ハーフB 8P 赤 77775 1セット(5個)（直送品）</t>
  </si>
  <si>
    <t>アーテック Artecブロック ハーフB 8P 薄ピンク 77777 1セット(5個)（直送品）</t>
  </si>
  <si>
    <t>アーテック Artecブロック ハーフB 8P ピンク 77776 1セット(5個)（直送品）</t>
  </si>
  <si>
    <t>アーテック Artecブロック ハーフB 8P 青 77778 1セット(5個)（直送品）</t>
  </si>
  <si>
    <t>アーテック Artecブロック ハーフB 8P 水 77779 1セット(5個)（直送品）</t>
  </si>
  <si>
    <t>アーテック Artecブロック ハーフB 8P 黄 77781 1セット(5個)（直送品）</t>
  </si>
  <si>
    <t>アーテック Artecブロック ハーフB 8P 薄水 77780 1セット(5個)（直送品）</t>
  </si>
  <si>
    <t>アーテック Artecブロック ハーフB 8P ペールオレンジ 77783 1セット(5個)（直送品）</t>
  </si>
  <si>
    <t>アーテック Artecブロック ハーフB 8P 薄黄 77782 1セット(5個)（直送品）</t>
  </si>
  <si>
    <t>アーテック Artecブロック ハーフB 8P 緑 77785 1セット(5個)（直送品）</t>
  </si>
  <si>
    <t>アーテック Artecブロック ハーフB 8P オレンジ 77784 1セット(5個)（直送品）</t>
  </si>
  <si>
    <t>アーテック Artecブロック ハーフB 8P 黄緑 77786 1セット(5個)（直送品）</t>
  </si>
  <si>
    <t>アーテック Artecブロック ハーフB 8P 紫 77788 1セット(5個)（直送品）</t>
  </si>
  <si>
    <t>アーテック Artecブロック ハーフB 8P 薄紫 77789 1セット(5個)（直送品）</t>
  </si>
  <si>
    <t>アーテック Artecブロック ハーフB 8P 薄緑 77787 1セット(5個)（直送品）</t>
  </si>
  <si>
    <t>アーテック Artecブロック ハーフB 8P グレー 77790 1セット(5個)（直送品）</t>
  </si>
  <si>
    <t>アーテック Artecブロック ハーフB 8P 薄グレー 77791 1セット(5個)（直送品）</t>
  </si>
  <si>
    <t>アーテック Artecブロック ハーフB 8P 白 77793 1セット(5個)（直送品）</t>
  </si>
  <si>
    <t>アーテック Artecブロック ハーフB 8P 茶 77792 1セット(5個)（直送品）</t>
  </si>
  <si>
    <t>アーテック Artecブロック 三角A 8P 赤 77795 1セット(5個)（直送品）</t>
  </si>
  <si>
    <t>アーテック Artecブロック ハーフB 8P 黒 77794 1セット(5個)（直送品）</t>
  </si>
  <si>
    <t>アーテック Artecブロック 三角A 8P ピンク 77796 1セット(5個)（直送品）</t>
  </si>
  <si>
    <t>アーテック Artecブロック 三角A 8P 薄ピンク 77797 1セット(5個)（直送品）</t>
  </si>
  <si>
    <t>アーテック Artecブロック 三角A 8P 水 77799 1セット(5個)（直送品）</t>
  </si>
  <si>
    <t>アーテック Artecブロック 三角A 8P 青 77798 1セット(5個)（直送品）</t>
  </si>
  <si>
    <t>アーテック スケジュール帳用クリアスタンプ 74600 1セット(1個×2)（直送品）</t>
  </si>
  <si>
    <t>アーテック Artecブロック 三角A 8P 薄水 77800 1セット(5個)（直送品）</t>
  </si>
  <si>
    <t>アーテック 手紙用クリアスタンプ 74602 1セット(1個×2)（直送品）</t>
  </si>
  <si>
    <t>アーテック 発送用クリアスタンプ 74601 1セット(1個×2)（直送品）</t>
  </si>
  <si>
    <t>アーテック Artecブロック 三角A 8P 黄 77801 1セット(5個)（直送品）</t>
  </si>
  <si>
    <t>アーテック アクリルブロック 50×80mm 74628 1セット(1個×4)（直送品）</t>
  </si>
  <si>
    <t>アーテック マスキングテープ レトロフラワー 木春菊 74642 1セット(1個×3)（直送品）</t>
  </si>
  <si>
    <t>アーテック Artecブロック 三角A 8P 薄黄 77802 1セット(5個)（直送品）</t>
  </si>
  <si>
    <t>アーテック Artecブロック 三角A 8P ペールオレンジ 77803 1セット(5個)（直送品）</t>
  </si>
  <si>
    <t>アーテック マスキングテープ レトロフラワー 苺 74643 1セット(1個×3)（直送品）</t>
  </si>
  <si>
    <t>アーテック Artecブロック 三角A 8P 緑 77805 1セット(5個)（直送品）</t>
  </si>
  <si>
    <t>アーテック Artecブロック 三角A 8P オレンジ 77804 1セット(5個)（直送品）</t>
  </si>
  <si>
    <t>アーテック マスキングテープ レトロフラワー 鈴蘭 74644 1セット(1個×3)（直送品）</t>
  </si>
  <si>
    <t>アーテック Artecブロック 三角A 8P 黄緑 77806 1セット(5個)（直送品）</t>
  </si>
  <si>
    <t>アーテック マスキングテープ ゆるいいきもの ねこ 74650 1セット(1個×3)（直送品）</t>
  </si>
  <si>
    <t>アーテック マスキングテープ レトロフラワー 秋桜 74645 1セット(1個×3)（直送品）</t>
  </si>
  <si>
    <t>アーテック Artecブロック 三角A 8P 薄緑 77807 1セット(5個)（直送品）</t>
  </si>
  <si>
    <t>アーテック Artecブロック 三角A 8P 紫 77808 1セット(5個)（直送品）</t>
  </si>
  <si>
    <t>アーテック マスキングテープ ゆるいいきもの すいぞくかん 74652 1セット(1個×3)（直送品）</t>
  </si>
  <si>
    <t>アーテック マスキングテープ ゆるいいきもの いぬ 74651 1セット(1個×3)（直送品）</t>
  </si>
  <si>
    <t>アーテック Artecブロック 三角A 8P 薄紫 77809 1セット(5個)（直送品）</t>
  </si>
  <si>
    <t>アーテック Artecブロック 三角A 8P グレー 77810 1セット(5個)（直送品）</t>
  </si>
  <si>
    <t>アーテック マスキングテープ スイーツパーラー ブルー 74654 1セット(1個×3)（直送品）</t>
  </si>
  <si>
    <t>アーテック Artecブロック 三角A 8P 薄グレー 77811 5個（直送品）</t>
  </si>
  <si>
    <t>アーテック マスキングテープ スイーツパーラー ピンク 74655 1セット(1個×3)（直送品）</t>
  </si>
  <si>
    <t>アーテック Artecブロック 三角A 8P 白 77813 1セット(5個)（直送品）</t>
  </si>
  <si>
    <t>アーテック Artecブロック 三角A 8P 茶 77812 1セット(5個)（直送品）</t>
  </si>
  <si>
    <t>アーテック マスキングテープ レトロポップ チャーミー 74656 1セット(1個×3)（直送品）</t>
  </si>
  <si>
    <t>アーテック マスキングテープ レトロポップ シティガール 74657 1セット(1個×3)（直送品）</t>
  </si>
  <si>
    <t>アーテック マスキングテープ ガールズライフ 74658 1セット(1個×3)（直送品）</t>
  </si>
  <si>
    <t>アーテック Artecブロック 三角A 8P 黒 77814 1セット(5個)（直送品）</t>
  </si>
  <si>
    <t>アーテック Artecブロック 丸単品 10P 白/黒 77815 5個（直送品）</t>
  </si>
  <si>
    <t>アーテック マスキングテープ おにぎり 74659 1セット(1個×3)（直送品）</t>
  </si>
  <si>
    <t>アーテック マスキングテープ おすし 74660 1セット(1個×3)（直送品）</t>
  </si>
  <si>
    <t>アーテック Artecブロック タイヤ 8P 黒 77816 1セット(5個)（直送品）</t>
  </si>
  <si>
    <t>アーテック Artecブロック 回転軸 8P 白 77817 1セット(5個)（直送品）</t>
  </si>
  <si>
    <t>アーテック Artecブロック レールAx3P Bx2P白 77818 1セット(5個)（直送品）</t>
  </si>
  <si>
    <t>アーテック マスキングテープ ネオンサイン 74662 1セット(1個×3)（直送品）</t>
  </si>
  <si>
    <t>アーテック Artecブロック ミニ四角 20P 赤 77819 5個（直送品）</t>
  </si>
  <si>
    <t>アーテック 木柄スタンプ30 レトロフラワー 木春菊 74751 1セット(1個×2)（直送品）</t>
  </si>
  <si>
    <t>アーテック マスキングテープ 魔法少女 74661 1セット(1個×3)（直送品）</t>
  </si>
  <si>
    <t>アーテック Artecブロック ミニ四角 20P ピンク 77820 1セット(5個)（直送品）</t>
  </si>
  <si>
    <t>アーテック 木柄スタンプ10 レトロフラワー 苺 74752 1セット(1個×4)（直送品）</t>
  </si>
  <si>
    <t>アーテック Artecブロック ミニ四角 20P 薄ピンク 77821 1セット(5個)（直送品）</t>
  </si>
  <si>
    <t>アーテック Artecブロック ミニ四角 20P 青 77822 1セット(5個)（直送品）</t>
  </si>
  <si>
    <t>アーテック 木柄スタンプ30 ガールズライフ 休日 74754 1セット(1個×2)（直送品）</t>
  </si>
  <si>
    <t>アーテック Artecブロック ミニ四角 20P 水 77823 1セット(5個)（直送品）</t>
  </si>
  <si>
    <t>アーテック 木柄スタンプ30 ガールズライフ コーヒーブレイク 74753 1セット(1個×3)（直送品）</t>
  </si>
  <si>
    <t>アーテック Artecブロック ミニ四角 20P 薄水 77824 1セット(5個)（直送品）</t>
  </si>
  <si>
    <t>アーテック Artecブロック ミニ四角 20P 黄 77825 1セット(5個)（直送品）</t>
  </si>
  <si>
    <t>アーテック Artecブロック ミニ四角 20P 薄黄 77826 1セット(5個)（直送品）</t>
  </si>
  <si>
    <t>アーテック Artecブロック ミニ四角 20P ペールオレンジ 77827 1セット(5個)（直送品）</t>
  </si>
  <si>
    <t>アーテック Artecブロック ミニ四角 20P オレンジ 77828 1セット(5個)（直送品）</t>
  </si>
  <si>
    <t>アーテック Artecブロック ミニ四角 20P 緑 77829 1セット(5個)（直送品）</t>
  </si>
  <si>
    <t>アーテック 木柄スタンプ10 ワールドファブリック 桜 74761 1セット(1個×4)（直送品）</t>
  </si>
  <si>
    <t>アーテック Artecブロック ミニ四角 20P 黄緑 77830 1セット(5個)（直送品）</t>
  </si>
  <si>
    <t>アーテック 木柄スタンプ30 ゆるいどうぶつ ねこ 切手フレーム 74762 1セット(1個×2)（直送品）</t>
  </si>
  <si>
    <t>アーテック 木柄スタンプ10 ゆるいどうぶつ いぬ 74763 1セット(1個×4)（直送品）</t>
  </si>
  <si>
    <t>アーテック Artecブロック ミニ四角 20P 薄緑 77831 1セット(5個)（直送品）</t>
  </si>
  <si>
    <t>アーテック Artecブロック ミニ四角 20P 紫 77832 1セット(5個)（直送品）</t>
  </si>
  <si>
    <t>アーテック Artecブロック ミニ四角 20P 薄紫 77833 1セット(5個)（直送品）</t>
  </si>
  <si>
    <t>アーテック 木柄スタンプ30 ガールズライフ フラワー 1 74765 1セット(1個×2)（直送品）</t>
  </si>
  <si>
    <t>アーテック 木柄スタンプ10 ゆるいどうぶつ らっこ 74764 1セット(1個×4)（直送品）</t>
  </si>
  <si>
    <t>アーテック Artecブロック ミニ四角 20P グレー 77834 1セット(5個)（直送品）</t>
  </si>
  <si>
    <t>アーテック 木柄スタンプ30 ガールズライフ フラワー 2 74766 1セット(1個×2)（直送品）</t>
  </si>
  <si>
    <t>アーテック Artecブロック ミニ四角 20P 薄グレー 77835 1セット(5個)（直送品）</t>
  </si>
  <si>
    <t>アーテック Artecブロック ミニ四角 20P 茶 77836 1セット(5個)（直送品）</t>
  </si>
  <si>
    <t>アーテック 木柄スタンプ10 日本食 天むす 74768 1セット(1個×4)（直送品）</t>
  </si>
  <si>
    <t>アーテック 木柄スタンプ10 日本食 おにぎり 74767 1セット(1個×4)（直送品）</t>
  </si>
  <si>
    <t>アーテック Artecブロック ミニ四角 20P 黒 77838 1セット(5個)（直送品）</t>
  </si>
  <si>
    <t>アーテック Artecブロック 基本四角 100P 赤 77840（直送品）</t>
  </si>
  <si>
    <t>アーテック 木柄スタンプ10 日本食 寿司 えび 74770 1セット(1個×4)（直送品）</t>
  </si>
  <si>
    <t>アーテック 木柄スタンプ10 日本食 寿司 いくら 74769 1セット(1個×4)（直送品）</t>
  </si>
  <si>
    <t>アーテック Artecブロック 基本四角 100P ピンク 77841（直送品）</t>
  </si>
  <si>
    <t>アーテック Artecブロック 基本四角 100P 薄ピンク 77842（直送品）</t>
  </si>
  <si>
    <t>アーテック 木柄スタンプ30 魔法少女 マジカルステッキ 74772 1セット(1個×2)（直送品）</t>
  </si>
  <si>
    <t>アーテック 木柄スタンプ30 魔法少女 変身コンパクト 74771 1セット(1個×2)（直送品）</t>
  </si>
  <si>
    <t>アーテック Artecブロック 基本四角 100P 青 77843（直送品）</t>
  </si>
  <si>
    <t>アーテック Artecブロック 基本四角 100P 水 77844（直送品）</t>
  </si>
  <si>
    <t>アーテック 木柄スタンプ10 ネオンサイン ソフトクリーム 74774 1セット(1個×4)（直送品）</t>
  </si>
  <si>
    <t>アーテック 木柄スタンプ30 魔法少女 魔法陣フレーム 74773 1セット(1個×2)（直送品）</t>
  </si>
  <si>
    <t>アーテック Artecブロック 基本四角 100P 薄水 77845（直送品）</t>
  </si>
  <si>
    <t>アーテック 木柄スタンプ10 ネオンサイン ローラースケート 74775 1セット(1個×4)（直送品）</t>
  </si>
  <si>
    <t>アーテック Artecブロック 基本四角 100P 黄 77846（直送品）</t>
  </si>
  <si>
    <t>アーテック Artecブロック 基本四角 100P 薄黄 77847（直送品）</t>
  </si>
  <si>
    <t>アーテック 木柄スタンプ30 レトロポップ シティガール デイリーログ 74777 1セット(1個×2)（直送品）</t>
  </si>
  <si>
    <t>アーテック 木柄スタンプ30 レトロポップ スイーツパーラー デイリーログ 74776 1セット(1個×2)（直送品）</t>
  </si>
  <si>
    <t>アーテック Artecブロック 基本四角 100P オレンジ 77849（直送品）</t>
  </si>
  <si>
    <t>アーテック Artecブロック 基本四角 100P ペールオレンジ 77848（直送品）</t>
  </si>
  <si>
    <t>アーテック Artecブロック 基本四角 100P 緑 77850（直送品）</t>
  </si>
  <si>
    <t>アーテック Artecブロック 基本四角 100P 薄緑 77852（直送品）</t>
  </si>
  <si>
    <t>アーテック Artecブロック 基本四角 100P 薄紫 77854（直送品）</t>
  </si>
  <si>
    <t>アーテック Artecブロック 基本四角 100P 黄緑 77851（直送品）</t>
  </si>
  <si>
    <t>アーテック Artecブロック 基本四角 100P グレー 77855（直送品）</t>
  </si>
  <si>
    <t>アーテック Artecブロック 基本四角 100P 薄グレー 77856（直送品）</t>
  </si>
  <si>
    <t>アーテック Artecブロック 基本四角 100P 茶 77857（直送品）</t>
  </si>
  <si>
    <t>アーテック Artecブロック 基本四角 100P 白 77858（直送品）</t>
  </si>
  <si>
    <t>アーテック Artecブロック 基本四角 100P 黒 77859（直送品）</t>
  </si>
  <si>
    <t>アーテック Artecブロック パーフェクトマスセット 77860（直送品）</t>
  </si>
  <si>
    <t>アーテック Artecブロック 基本四角 100P クリア 77868（直送品）</t>
  </si>
  <si>
    <t>アーテック リンク学習セット 77882（直送品）</t>
  </si>
  <si>
    <t>アーテック 天然竹製ボールペン(ケース付) 118760 1個（直送品）</t>
  </si>
  <si>
    <t>アーテック かいてんギヤセット 77884 1個</t>
  </si>
  <si>
    <t>アーテック ＡｒｔｅｃＲｏｂｏ用超音波センサー 82544 1個（直送品）</t>
  </si>
  <si>
    <t>アーテック 証書ファイル スエード B4 パッド有 紺 118837 1セット(1冊×2)（直送品）</t>
  </si>
  <si>
    <t>アーテック 証書ファイル スエード B4 パッド有 えんじ 118838 1セット(1冊×2)（直送品）</t>
  </si>
  <si>
    <t>アーテック ＡｒｔｅｃＲｏｂｏ用カラーセンサー 82547 1個（直送品）</t>
  </si>
  <si>
    <t>アーテック ロボット用温度センサー プログラミング　86846（直送品）</t>
  </si>
  <si>
    <t>アーテック 超音波距離センサー 86848（直送品）</t>
  </si>
  <si>
    <t>アーテック 証書ファイル スエード A パッド無 えんじ 118840 1セット(1冊×2)（直送品）</t>
  </si>
  <si>
    <t>アーテック 証書ファイル スエード A パッド無 紺 118839 1セット(1冊×2)（直送品）</t>
  </si>
  <si>
    <t>アーテック ロボット用ジャイロ・加速度センサー プログラミング　86849（直送品）</t>
  </si>
  <si>
    <t>アーテック 証書ファイル スエード B パッド無 紺 118841 1セット(1冊×2)（直送品）</t>
  </si>
  <si>
    <t>アーテック ロボット用赤外線リモコン受信センサープログラミング　 86850（直送品）</t>
  </si>
  <si>
    <t>アーテック 証書ファイル スエード B パッド無 えんじ 118842 1セット(1冊×2)（直送品）</t>
  </si>
  <si>
    <t>アーテック 証書ファイル スエード B4 パッド無 紺 118843 1セット(1冊×2)（直送品）</t>
  </si>
  <si>
    <t>アーテック ブルートゥースモジュール 86876（直送品）</t>
  </si>
  <si>
    <t>アーテック タイヤゴムφ70mm(2個組) 86877 1セット(2個組×2)（直送品）</t>
  </si>
  <si>
    <t>アーテック ファイルボックス 段ボールA4(茶) 74572 1セット(1個×8)（直送品）</t>
  </si>
  <si>
    <t>アーテック 証書ファイル スエード B4 パッド無 えんじ 118844 1セット(1冊×2)（直送品）</t>
  </si>
  <si>
    <t>アーテック 超音波距離センサ接続コード(4芯30cm) 86881 1セット(2個)（直送品）</t>
  </si>
  <si>
    <t>アーテック クリアブックA4 横入れ 40ポケット レッド 74592 1セット(1個×5)（直送品）</t>
  </si>
  <si>
    <t>アーテック 証書ファイル 高級布張風 A パッド有 紺 118845 1セット(1冊×2)（直送品）</t>
  </si>
  <si>
    <t>アーテック クリアブックA4 横入れ 40ポケット グリーン 74593 1セット(1個×5)（直送品）</t>
  </si>
  <si>
    <t>アーテック 証書ファイル 高級布張風 A パッド有 えんじ 118846 1セット(1冊×2)（直送品）</t>
  </si>
  <si>
    <t>アーテック クリアブックA4 横入れ 40ポケット イエロー 74594 1セット(1個×5)（直送品）</t>
  </si>
  <si>
    <t>アーテック カラーセンサ接続コード（4芯30cm） 86882 2個（直送品）</t>
  </si>
  <si>
    <t>アーテック 温度センサー 93642 1セット(13個)（直送品）</t>
  </si>
  <si>
    <t>アーテック 証書ファイル 高級布張風 B パッド有 紺 118847 1セット(1冊×2)（直送品）</t>
  </si>
  <si>
    <t>アーテック クリアブックA4 横入れ 40ポケット ブルー 74595 1セット(1個×5)（直送品）</t>
  </si>
  <si>
    <t>アーテック クリアブックA4 横入れ 40ポケット クリア 74596 1セット(1個×5)（直送品）</t>
  </si>
  <si>
    <t>アーテック 証書ファイル 高級布張風 B パッド有 えんじ 118848 1セット(1冊×2)（直送品）</t>
  </si>
  <si>
    <t>アーテック へんしんブロックロボ トコトコアニマル 93997 1セット（直送品）</t>
  </si>
  <si>
    <t>アーテック クリアブックA4 横入れ 40ポケット オレンジ 74597 1セット(1個×5)（直送品）</t>
  </si>
  <si>
    <t>アーテック 証書ファイル 高級布張風 B4 パッド有 えんじ 118850 1セット(1冊×2)（直送品）</t>
  </si>
  <si>
    <t>アーテック 証書ファイル 高級布張風 B4 パッド有 紺 118849 1セット(1冊×2)（直送品）</t>
  </si>
  <si>
    <t>アーテック アーテックロボ2.0 基本セット プログラミングロボット 94989 1セット（直送品）</t>
  </si>
  <si>
    <t>アーテック ファイルボックス 縦型A4 ホワイト 92063 1セット(1個×6)（直送品）</t>
  </si>
  <si>
    <t>アーテック コサージュ レースフラワー ピンク 118863 1セット(1個×6)（直送品）</t>
  </si>
  <si>
    <t>アーテック 押すだけかんたんプログラミングロボ 95000（直送品）</t>
  </si>
  <si>
    <t>アーテック 硬質カードケース(10枚入) 92079 1セット(1包×3)（直送品）</t>
  </si>
  <si>
    <t>アーテック コサージュ レースフラワー ブルー 118864 1セット(1個×6)（直送品）</t>
  </si>
  <si>
    <t>アーテック コサージュ レースフラワー イエロー 118865 1セット(1個×6)（直送品）</t>
  </si>
  <si>
    <t>アーテック ブロックロボリンク　ベーシック　095043 1セット（直送品）</t>
  </si>
  <si>
    <t>アーテック コサージュ レースフラワー グリーン 118866 1セット(1個×6)（直送品）</t>
  </si>
  <si>
    <t>アーテック プログラミングお掃除ロボ 組立済 95020 1包（直送品）</t>
  </si>
  <si>
    <t>アーテック スタディーノミニDCモーター拡張基盤 151091 1セット(2個)（直送品）</t>
  </si>
  <si>
    <t>アーテック ロゼット ネイビー 118868 1セット(1個×8)（直送品）</t>
  </si>
  <si>
    <t>アーテック カラフルクロック基板 151093 1セット(2個)（直送品）</t>
  </si>
  <si>
    <t>アーテック コサージュ レースフラワー ホワイト 118867 1セット(1個×6)（直送品）</t>
  </si>
  <si>
    <t>アーテック 雑貨ブロック 侍 151456（直送品）</t>
  </si>
  <si>
    <t>アーテック ロゼット イエロー 118869 1セット(1個×8)（直送品）</t>
  </si>
  <si>
    <t>アーテック コサージュ 桜 118873 1セット(1個×3)（直送品）</t>
  </si>
  <si>
    <t>アーテック 鉛筆2B(12本組) ネイビー 118879 1セット(1包×4)（直送品）</t>
  </si>
  <si>
    <t>アーテック 鉛筆2B(12本組) ラベンダー 118882 1セット(1包×4)（直送品）</t>
  </si>
  <si>
    <t>アーテック ロゼット グリーン 118870 1セット(1個×8)（直送品）</t>
  </si>
  <si>
    <t>アーテック 雑貨ブロック 忍 151459（直送品）</t>
  </si>
  <si>
    <t>アーテック J・Artec Lブロック プライマリー 60ピース 151464（直送品）</t>
  </si>
  <si>
    <t>アーテック J・Artec Lブロック プライマリー 120ピース 151467（直送品）</t>
  </si>
  <si>
    <t>アーテック Studuino mini スタディーノミニ ケース入 153015 1個（直送品）</t>
  </si>
  <si>
    <t>アーテック J・Artec Lブロック マスセット 120ピース 151465（直送品）</t>
  </si>
  <si>
    <t>アーテック USBコードmicroB(80cm)品名シール 153028 1セット(6個)（直送品）</t>
  </si>
  <si>
    <t>アーテック ＵＳＢケーブルｍｉｎｉＢ（80ｃｍ） 153101 1本</t>
  </si>
  <si>
    <t>アーテック 電池ボックス(単3電池3本) 153102 1セット(3個)（直送品）</t>
  </si>
  <si>
    <t>アーテック Studuino（スタディーノ） プログラミング　153100（直送品）</t>
  </si>
  <si>
    <t>アーテック ロボット用光センサー プログラミング　153115（直送品）</t>
  </si>
  <si>
    <t>アーテック ロボット用音センサー プログラミング　153114（直送品）</t>
  </si>
  <si>
    <t>アーテック ロボット用赤外線フォトリフレクタ　プログラミング　 153116（直送品）</t>
  </si>
  <si>
    <t>アーテック ロボット用タッチセンサー プログラミング153117（直送品）</t>
  </si>
  <si>
    <t>アーテック ロボット用電子ブザー プログラミング　153119（直送品）</t>
  </si>
  <si>
    <t>アーテック ロボット用加速度センサープログラミング 153118（直送品）</t>
  </si>
  <si>
    <t>アーテック ロボット用LED赤　プログラミング 153120 2個（直送品）</t>
  </si>
  <si>
    <t>アーテック ロボット用LED緑 プログラミング　153121 2個（直送品）</t>
  </si>
  <si>
    <t>アーテック ロボット用LED白 プログラミング　153123 2個（直送品）</t>
  </si>
  <si>
    <t>アーテック ロボット用LED青 プログラミング　153122 2個（直送品）</t>
  </si>
  <si>
    <t>アーテック センサー接続コ-ド（3芯15cm） 153125 5本（直送品）</t>
  </si>
  <si>
    <t>アーテック センサー接続コード(3芯30cm) 153126 1セット(3本)（直送品）</t>
  </si>
  <si>
    <t>アーテック センサー接続コード50cm(加速度センサー用) 153127 1セット(3本)（直送品）</t>
  </si>
  <si>
    <t>アーテック ブロックロボティストベーシック 153142 1セット（直送品）</t>
  </si>
  <si>
    <t>アーテック ロボット用基板台座（ヘッダー袋・品名シール付）プログラミング　 153139 2個（直送品）</t>
  </si>
  <si>
    <t>アーテック Studuino mini（スタディーノミニ） 153144（直送品）</t>
  </si>
  <si>
    <t>アーテック ロボット用サーボモーター3kg・cm プログラミング　153148（直送品）</t>
  </si>
  <si>
    <t>アーテック ロボット用DCモーター プログラミング　153149（直送品）</t>
  </si>
  <si>
    <t>アーテック ブロックロボティスト アドバンス 153143 1セット（直送品）</t>
  </si>
  <si>
    <t>アーテック ブロック用電池ボックスコード付 単3電池3本 154013 1セット(4個)（直送品）</t>
  </si>
  <si>
    <t>アーテック サーボモーター延長コード(品名シール有) 153211 1セット(3個)（直送品）</t>
  </si>
  <si>
    <t>アーテック 原子モデルカードゲーム 94695 1セット(2個)</t>
  </si>
  <si>
    <t>アーテック 耳が痛くなりにくいマスクストラップ(黒)ストラップ　男女兼用　マスク用　マスク　滑り止め　ブラック 51057　1セット（10本）（直送品）</t>
  </si>
  <si>
    <t>アーテック 飛沫防止透明軽量パーテーション 大 1.0mm厚 H500×W610×D100mm 51080 1セット(本体1枚 スタンド</t>
  </si>
  <si>
    <t>アーテック フットマークシール足型 靴跡 51113 1セット(3枚)</t>
  </si>
  <si>
    <t>オートディスペンサー(アルコール消毒液用)消毒 ハンドディスペンサー オート　ディスペンサー センサー 手指消毒 詰め替え　ウイルス対策 非接触（直送品）</t>
  </si>
  <si>
    <t>【アウトレット】アーテック パネル小(350×550mm)1枚 飛沫防止パーテーション 拡張用 机上 感染防止 51231 1枚</t>
  </si>
  <si>
    <t>アーテック 十字型固定パーツ3個組 飛沫防止パーテーション 拡張用 机上 感染防止 51232 1セット(12個:3個×4)</t>
  </si>
  <si>
    <t>アーテック 飛沫防止透明パーテーション 大1.0 窓あきタイプ 卓上カーテン 机上 飛沫防止 感染防止 51238 1セット(本体1枚 スタンド</t>
  </si>
  <si>
    <t>アーテック I字型固定パーツ3個組 飛沫防止パーテーション 拡張用 机上 感染防止 51239 4セット(12個入:3個×4)</t>
  </si>
  <si>
    <t>アーテック コーナー用固定パーツ3個組 飛沫防止パーテーション 拡張用 机上 感染防止 51240 4セット(12個入:3個×4)</t>
  </si>
  <si>
    <t>アーテック AT透明マウスガード 51321飛沫防止 透明マスク 接客 受付 表情が見える 口元が見える 1セット(20個:10個入×2)（直送品）</t>
  </si>
  <si>
    <t>アーテック 不織布マスクフィルター3層 50枚入 51331　1箱（直送品）</t>
  </si>
  <si>
    <t>アーテック 使い捨て不織布マスクシート 50枚入 51332 1セット(200枚:50枚×4)（直送品）</t>
  </si>
  <si>
    <t>アーテック 不織布スリッパ(10足組) 51346 使い捨て ホテル 使い捨てスリッパ 衛生 2セット</t>
  </si>
  <si>
    <t>アーテック 間仕切りパーテーション台200 クリップ2個組付 51358 1セット</t>
  </si>
  <si>
    <t>アーテック スタンディングパーテーション台170 透明ビニールシート付 51366 1セット</t>
  </si>
  <si>
    <t>アーテック クリアシートマスク10枚組 51392 飛沫防止 感染対策 透明マスク 接客 受付 表情が見える 口元が見える 2WAY 講演会</t>
  </si>
  <si>
    <t>アーテック 携帯用非接触検温計　温たま 51403　1個（直送品）</t>
  </si>
  <si>
    <t>アーテック 三脚 TP-01 収納袋付 軽量 アルミ製 カメラ 固定式非接触赤外線検温計 サーマルカメラ 51416 1台</t>
  </si>
  <si>
    <t>アーテック 不織布製ヘッドキャップ(100枚入) 51428 感染対策 介護 使い捨て 衛生 清掃 調理 検品 1セット</t>
  </si>
  <si>
    <t>アーテック T字型固定パーツ2個組 51547 1セット(5セット)（直送品）</t>
  </si>
  <si>
    <t>-</t>
  </si>
  <si>
    <t>XU36745</t>
  </si>
  <si>
    <t>1セット（2包）</t>
  </si>
  <si>
    <t>XU37003</t>
  </si>
  <si>
    <t>1包</t>
  </si>
  <si>
    <t>XU36383</t>
  </si>
  <si>
    <t>XU36410</t>
  </si>
  <si>
    <t>1セット（4包）</t>
  </si>
  <si>
    <t>XU36674</t>
  </si>
  <si>
    <t>XU36759</t>
  </si>
  <si>
    <t>WAK1894</t>
  </si>
  <si>
    <t>1個</t>
  </si>
  <si>
    <t>WAK1893</t>
  </si>
  <si>
    <t>WAK1895</t>
  </si>
  <si>
    <t>WAK2119</t>
  </si>
  <si>
    <t>1セット（1個×8）</t>
  </si>
  <si>
    <t>WAK2108</t>
  </si>
  <si>
    <t>WAK1976</t>
  </si>
  <si>
    <t>WAK1930</t>
  </si>
  <si>
    <t>WAK1942</t>
  </si>
  <si>
    <t>HN84789</t>
  </si>
  <si>
    <t>1台</t>
  </si>
  <si>
    <t>AHN8694</t>
  </si>
  <si>
    <t>1袋(10本入)</t>
  </si>
  <si>
    <t>AHN8453</t>
  </si>
  <si>
    <t>1セット（1箱×2）</t>
  </si>
  <si>
    <t>AHN9739</t>
  </si>
  <si>
    <t>1セット（1袋×6）</t>
  </si>
  <si>
    <t>AHN9679</t>
  </si>
  <si>
    <t>AHN8920</t>
  </si>
  <si>
    <t>AHN9718</t>
  </si>
  <si>
    <t>AHN9542</t>
  </si>
  <si>
    <t>AHN8652</t>
  </si>
  <si>
    <t>AHN8661</t>
  </si>
  <si>
    <t>AHN8607</t>
  </si>
  <si>
    <t>AHN8761</t>
  </si>
  <si>
    <t>1セット（1袋×4）</t>
  </si>
  <si>
    <t>AHK9396</t>
  </si>
  <si>
    <t>1セット（1箱×3）</t>
  </si>
  <si>
    <t>AHK9395</t>
  </si>
  <si>
    <t>WPH7925</t>
  </si>
  <si>
    <t>1セット（1個×2）</t>
  </si>
  <si>
    <t>WPH7800</t>
  </si>
  <si>
    <t>WPH7949</t>
  </si>
  <si>
    <t>WPH8073</t>
  </si>
  <si>
    <t>1セット（1個×4）</t>
  </si>
  <si>
    <t>WPH7701</t>
  </si>
  <si>
    <t>WPH7918</t>
  </si>
  <si>
    <t>WPH7702</t>
  </si>
  <si>
    <t>WPH8095</t>
  </si>
  <si>
    <t>WPH7894</t>
  </si>
  <si>
    <t>1セット（1枚×8）</t>
  </si>
  <si>
    <t>WPH7748</t>
  </si>
  <si>
    <t>1セット（1冊×6）</t>
  </si>
  <si>
    <t>WPH7749</t>
  </si>
  <si>
    <t>WPH7906</t>
  </si>
  <si>
    <t>WPH8004</t>
  </si>
  <si>
    <t>WPH7750</t>
  </si>
  <si>
    <t>WPH7751</t>
  </si>
  <si>
    <t>1セット（1冊×4）</t>
  </si>
  <si>
    <t>WPH7761</t>
  </si>
  <si>
    <t>WPH7762</t>
  </si>
  <si>
    <t>WPH7754</t>
  </si>
  <si>
    <t>WPH7753</t>
  </si>
  <si>
    <t>WPH7752</t>
  </si>
  <si>
    <t>WPH7988</t>
  </si>
  <si>
    <t>WPH7763</t>
  </si>
  <si>
    <t>1セット（1枚×3）</t>
  </si>
  <si>
    <t>WPH7764</t>
  </si>
  <si>
    <t>WPH8102</t>
  </si>
  <si>
    <t>WPH7755</t>
  </si>
  <si>
    <t>WPH7765</t>
  </si>
  <si>
    <t>1セット（1個×5）</t>
  </si>
  <si>
    <t>WPH7766</t>
  </si>
  <si>
    <t>1セット（1包×3）</t>
  </si>
  <si>
    <t>WPH7756</t>
  </si>
  <si>
    <t>WPH7758</t>
  </si>
  <si>
    <t>WPH7768</t>
  </si>
  <si>
    <t>WPH7767</t>
  </si>
  <si>
    <t>WPH7759</t>
  </si>
  <si>
    <t>WPH7757</t>
  </si>
  <si>
    <t>WPH7760</t>
  </si>
  <si>
    <t>WPH8048</t>
  </si>
  <si>
    <t>1セット（1枚×6）</t>
  </si>
  <si>
    <t>WPH8055</t>
  </si>
  <si>
    <t>1セット（1セット×8）</t>
  </si>
  <si>
    <t>WPH8024</t>
  </si>
  <si>
    <t>WPH7744</t>
  </si>
  <si>
    <t>WPH7954</t>
  </si>
  <si>
    <t>1セット（1個×3）</t>
  </si>
  <si>
    <t>WPH7970</t>
  </si>
  <si>
    <t>1セット（1セット×2）</t>
  </si>
  <si>
    <t>WPH7746</t>
  </si>
  <si>
    <t>WPH7805</t>
  </si>
  <si>
    <t>WPH7948</t>
  </si>
  <si>
    <t>WPH7747</t>
  </si>
  <si>
    <t>WPH8214</t>
  </si>
  <si>
    <t>1セット（1枚×2）</t>
  </si>
  <si>
    <t>WPH8120</t>
  </si>
  <si>
    <t>XU36852</t>
  </si>
  <si>
    <t>AUR1444</t>
  </si>
  <si>
    <t>NN90283</t>
  </si>
  <si>
    <t>1セット(3枚)</t>
  </si>
  <si>
    <t>NN90169</t>
  </si>
  <si>
    <t>1セット(3個)</t>
  </si>
  <si>
    <t>NN90168</t>
  </si>
  <si>
    <t>1セット(2個)</t>
  </si>
  <si>
    <t>EW69614</t>
  </si>
  <si>
    <t>NN90174</t>
  </si>
  <si>
    <t>AHN9876</t>
  </si>
  <si>
    <t>AHN9629</t>
  </si>
  <si>
    <t>NN90170</t>
  </si>
  <si>
    <t>AHN8662</t>
  </si>
  <si>
    <t>AHN9241</t>
  </si>
  <si>
    <t>EW69627</t>
  </si>
  <si>
    <t>1枚</t>
  </si>
  <si>
    <t>RR49486</t>
  </si>
  <si>
    <t>NN90183</t>
  </si>
  <si>
    <t>NN90181</t>
  </si>
  <si>
    <t>EW69626</t>
  </si>
  <si>
    <t>AUR1579</t>
  </si>
  <si>
    <t>EW69633</t>
  </si>
  <si>
    <t>AUR1204</t>
  </si>
  <si>
    <t>EW69634</t>
  </si>
  <si>
    <t>NN90187</t>
  </si>
  <si>
    <t>1セット(2枚)</t>
  </si>
  <si>
    <t>AUR1260</t>
  </si>
  <si>
    <t>NN90188</t>
  </si>
  <si>
    <t>1セット（2枚）</t>
  </si>
  <si>
    <t>NN90189</t>
  </si>
  <si>
    <t>AUR1261</t>
  </si>
  <si>
    <t>NN90191</t>
  </si>
  <si>
    <t>AUR1403</t>
  </si>
  <si>
    <t>AUR1631</t>
  </si>
  <si>
    <t>NN90190</t>
  </si>
  <si>
    <t>AUR1262</t>
  </si>
  <si>
    <t>AUR1634</t>
  </si>
  <si>
    <t>EW69637</t>
  </si>
  <si>
    <t>NN90198</t>
  </si>
  <si>
    <t>NN90192</t>
  </si>
  <si>
    <t>AUR1154</t>
  </si>
  <si>
    <t>AUR1155</t>
  </si>
  <si>
    <t>AUR1156</t>
  </si>
  <si>
    <t>NN90200</t>
  </si>
  <si>
    <t>EJ98226</t>
  </si>
  <si>
    <t>NN90201</t>
  </si>
  <si>
    <t>EW69638</t>
  </si>
  <si>
    <t>NN90203</t>
  </si>
  <si>
    <t>NN90205</t>
  </si>
  <si>
    <t>EW69640</t>
  </si>
  <si>
    <t>NN90209</t>
  </si>
  <si>
    <t>NN90207</t>
  </si>
  <si>
    <t>NN90210</t>
  </si>
  <si>
    <t>NN90208</t>
  </si>
  <si>
    <t>NN90211</t>
  </si>
  <si>
    <t>NN90214</t>
  </si>
  <si>
    <t>NN90212</t>
  </si>
  <si>
    <t>EW69639</t>
  </si>
  <si>
    <t>NN90215</t>
  </si>
  <si>
    <t>NN90216</t>
  </si>
  <si>
    <t>NN90217</t>
  </si>
  <si>
    <t>NU79790</t>
  </si>
  <si>
    <t>EW69641</t>
  </si>
  <si>
    <t>NN90219</t>
  </si>
  <si>
    <t>1セット（3個）</t>
  </si>
  <si>
    <t>EW69644</t>
  </si>
  <si>
    <t>AHN8628</t>
  </si>
  <si>
    <t>1セット（1組×5）</t>
  </si>
  <si>
    <t>AHN8734</t>
  </si>
  <si>
    <t>1セット（1組×6）</t>
  </si>
  <si>
    <t>AHN9816</t>
  </si>
  <si>
    <t>NN90221</t>
  </si>
  <si>
    <t>NN90222</t>
  </si>
  <si>
    <t>AHN9531</t>
  </si>
  <si>
    <t>NN90220</t>
  </si>
  <si>
    <t>AHN9529</t>
  </si>
  <si>
    <t>NN90223</t>
  </si>
  <si>
    <t>AHN8444</t>
  </si>
  <si>
    <t>NN90227</t>
  </si>
  <si>
    <t>AHN8378</t>
  </si>
  <si>
    <t>AHN8448</t>
  </si>
  <si>
    <t>NN90225</t>
  </si>
  <si>
    <t>NN90226</t>
  </si>
  <si>
    <t>AHN9174</t>
  </si>
  <si>
    <t>NN90229</t>
  </si>
  <si>
    <t>AHN9979</t>
  </si>
  <si>
    <t>1セット（1本×5）</t>
  </si>
  <si>
    <t>NN90228</t>
  </si>
  <si>
    <t>AHN9152</t>
  </si>
  <si>
    <t>1セット（1本×7）</t>
  </si>
  <si>
    <t>NN90231</t>
  </si>
  <si>
    <t>NN90230</t>
  </si>
  <si>
    <t>AHN8701</t>
  </si>
  <si>
    <t>NN90232</t>
  </si>
  <si>
    <t>AHN8439</t>
  </si>
  <si>
    <t>NN90235</t>
  </si>
  <si>
    <t>AHN8646</t>
  </si>
  <si>
    <t>1セット（1枚×5）</t>
  </si>
  <si>
    <t>NN90234</t>
  </si>
  <si>
    <t>AHH0028</t>
  </si>
  <si>
    <t>EW69645</t>
  </si>
  <si>
    <t>AHN8905</t>
  </si>
  <si>
    <t>NN90236</t>
  </si>
  <si>
    <t>AHN9251</t>
  </si>
  <si>
    <t>EW69649</t>
  </si>
  <si>
    <t>AHN9579</t>
  </si>
  <si>
    <t>AHN8578</t>
  </si>
  <si>
    <t>1セット（1枚×4）</t>
  </si>
  <si>
    <t>AHN9784</t>
  </si>
  <si>
    <t>AHN8299</t>
  </si>
  <si>
    <t>AHN8333</t>
  </si>
  <si>
    <t>NN90242</t>
  </si>
  <si>
    <t>1セット(5個)</t>
  </si>
  <si>
    <t>AHN8515</t>
  </si>
  <si>
    <t>AHN9666</t>
  </si>
  <si>
    <t>AHN9475</t>
  </si>
  <si>
    <t>NN90243</t>
  </si>
  <si>
    <t>1セット(4本)</t>
  </si>
  <si>
    <t>AHN9250</t>
  </si>
  <si>
    <t>AHK9408</t>
  </si>
  <si>
    <t>1セット（1個×10）</t>
  </si>
  <si>
    <t>AHN9314</t>
  </si>
  <si>
    <t>NN90246</t>
  </si>
  <si>
    <t>AHN8900</t>
  </si>
  <si>
    <t>1セット（1個×7）</t>
  </si>
  <si>
    <t>AHN8613</t>
  </si>
  <si>
    <t>AHK9407</t>
  </si>
  <si>
    <t>NN90248</t>
  </si>
  <si>
    <t>AHN9550</t>
  </si>
  <si>
    <t>AHN9483</t>
  </si>
  <si>
    <t>AHN9636</t>
  </si>
  <si>
    <t>AHN8419</t>
  </si>
  <si>
    <t>NN90253</t>
  </si>
  <si>
    <t>NN90254</t>
  </si>
  <si>
    <t>NN90256</t>
  </si>
  <si>
    <t>AHN8505</t>
  </si>
  <si>
    <t>NN90255</t>
  </si>
  <si>
    <t>AHN9305</t>
  </si>
  <si>
    <t>AHN8970</t>
  </si>
  <si>
    <t>NN90257</t>
  </si>
  <si>
    <t>AHN9862</t>
  </si>
  <si>
    <t>AHN9553</t>
  </si>
  <si>
    <t>AHN9376</t>
  </si>
  <si>
    <t>NN90262</t>
  </si>
  <si>
    <t>AHN9290</t>
  </si>
  <si>
    <t>NN90260</t>
  </si>
  <si>
    <t>NN90261</t>
  </si>
  <si>
    <t>AHN8680</t>
  </si>
  <si>
    <t>NN90259</t>
  </si>
  <si>
    <t>AHN9168</t>
  </si>
  <si>
    <t>AHN8442</t>
  </si>
  <si>
    <t>NN90263</t>
  </si>
  <si>
    <t>NN90265</t>
  </si>
  <si>
    <t>EW69650</t>
  </si>
  <si>
    <t>1双</t>
  </si>
  <si>
    <t>NN90269</t>
  </si>
  <si>
    <t>1セット（5個）</t>
  </si>
  <si>
    <t>EW69651</t>
  </si>
  <si>
    <t>XA62186</t>
  </si>
  <si>
    <t>1組</t>
  </si>
  <si>
    <t>AHN9383</t>
  </si>
  <si>
    <t>NN90268</t>
  </si>
  <si>
    <t>AHN9313</t>
  </si>
  <si>
    <t>AHN9491</t>
  </si>
  <si>
    <t>EW69652</t>
  </si>
  <si>
    <t>NN90276</t>
  </si>
  <si>
    <t>AHN8885</t>
  </si>
  <si>
    <t>EW69655</t>
  </si>
  <si>
    <t>AHN8609</t>
  </si>
  <si>
    <t>AHN9203</t>
  </si>
  <si>
    <t>AHN8525</t>
  </si>
  <si>
    <t>1セット（1本×4）</t>
  </si>
  <si>
    <t>AHN8659</t>
  </si>
  <si>
    <t>AHN9404</t>
  </si>
  <si>
    <t>AHK9410</t>
  </si>
  <si>
    <t>AHN8903</t>
  </si>
  <si>
    <t>AHN9961</t>
  </si>
  <si>
    <t>AHN8750</t>
  </si>
  <si>
    <t>AHK9417</t>
  </si>
  <si>
    <t>AHN9638</t>
  </si>
  <si>
    <t>AHN8569</t>
  </si>
  <si>
    <t>AHH0042</t>
  </si>
  <si>
    <t>AHN8912</t>
  </si>
  <si>
    <t>AHN8869</t>
  </si>
  <si>
    <t>AHN8817</t>
  </si>
  <si>
    <t>AHN9595</t>
  </si>
  <si>
    <t>KA01870</t>
  </si>
  <si>
    <t>A821996</t>
  </si>
  <si>
    <t>AHN9674</t>
  </si>
  <si>
    <t>AHN8887</t>
  </si>
  <si>
    <t>KA01864</t>
  </si>
  <si>
    <t>AHH0061</t>
  </si>
  <si>
    <t>AHN9180</t>
  </si>
  <si>
    <t>KA01863</t>
  </si>
  <si>
    <t>AHH0032</t>
  </si>
  <si>
    <t>AHN8502</t>
  </si>
  <si>
    <t>AHN8292</t>
  </si>
  <si>
    <t>AHN8303</t>
  </si>
  <si>
    <t>AHN9538</t>
  </si>
  <si>
    <t>A093184</t>
  </si>
  <si>
    <t>1セット（2個）</t>
  </si>
  <si>
    <t>RU40084</t>
  </si>
  <si>
    <t>AHN8364</t>
  </si>
  <si>
    <t>AHN8806</t>
  </si>
  <si>
    <t>AHN9149</t>
  </si>
  <si>
    <t>AHH0013</t>
  </si>
  <si>
    <t>AHN9447</t>
  </si>
  <si>
    <t>AHN8782</t>
  </si>
  <si>
    <t>AHN9448</t>
  </si>
  <si>
    <t>AHN9873</t>
  </si>
  <si>
    <t>AHN9533</t>
  </si>
  <si>
    <t>AHN9772</t>
  </si>
  <si>
    <t>AHN9628</t>
  </si>
  <si>
    <t>AHK9415</t>
  </si>
  <si>
    <t>AHN8671</t>
  </si>
  <si>
    <t>AHN9439</t>
  </si>
  <si>
    <t>AHN9537</t>
  </si>
  <si>
    <t>AHH0035</t>
  </si>
  <si>
    <t>AHN9842</t>
  </si>
  <si>
    <t>AHN8640</t>
  </si>
  <si>
    <t>AHN9207</t>
  </si>
  <si>
    <t>AHN9204</t>
  </si>
  <si>
    <t>AHN9378</t>
  </si>
  <si>
    <t>AHN9901</t>
  </si>
  <si>
    <t>AHN9178</t>
  </si>
  <si>
    <t>A822041</t>
  </si>
  <si>
    <t>KA32585</t>
  </si>
  <si>
    <t>KR09710</t>
  </si>
  <si>
    <t>AHK9462</t>
  </si>
  <si>
    <t>AHK9465</t>
  </si>
  <si>
    <t>AHK9463</t>
  </si>
  <si>
    <t>AHN8808</t>
  </si>
  <si>
    <t>AHN9318</t>
  </si>
  <si>
    <t>AHK9461</t>
  </si>
  <si>
    <t>1セット（1組×2）</t>
  </si>
  <si>
    <t>AHN8867</t>
  </si>
  <si>
    <t>AHN8839</t>
  </si>
  <si>
    <t>AHN8826</t>
  </si>
  <si>
    <t>AHN8339</t>
  </si>
  <si>
    <t>UK45313</t>
  </si>
  <si>
    <t>1セット</t>
  </si>
  <si>
    <t>UK45303</t>
  </si>
  <si>
    <t>AHN9887</t>
  </si>
  <si>
    <t>1セット（1組×3）</t>
  </si>
  <si>
    <t>AHN9980</t>
  </si>
  <si>
    <t>UK45312</t>
  </si>
  <si>
    <t>UK45309</t>
  </si>
  <si>
    <t>EJ96933</t>
  </si>
  <si>
    <t>AHN8904</t>
  </si>
  <si>
    <t>EP30649</t>
  </si>
  <si>
    <t>UU85538</t>
  </si>
  <si>
    <t>AEX0876</t>
  </si>
  <si>
    <t>UU85336</t>
  </si>
  <si>
    <t>AEX0625</t>
  </si>
  <si>
    <t>AEX1040</t>
  </si>
  <si>
    <t>AEX1004</t>
  </si>
  <si>
    <t>AEX0519</t>
  </si>
  <si>
    <t>AEX0361</t>
  </si>
  <si>
    <t>AEX0315</t>
  </si>
  <si>
    <t>AEX0952</t>
  </si>
  <si>
    <t>AEX0751</t>
  </si>
  <si>
    <t>EW70200</t>
  </si>
  <si>
    <t>1箱</t>
  </si>
  <si>
    <t>RU40080</t>
  </si>
  <si>
    <t>RU40228</t>
  </si>
  <si>
    <t>RU40225</t>
  </si>
  <si>
    <t>P877035</t>
  </si>
  <si>
    <t>1セット(2セット)</t>
  </si>
  <si>
    <t>XU36490</t>
  </si>
  <si>
    <t>XU36353</t>
  </si>
  <si>
    <t>XU36884</t>
  </si>
  <si>
    <t>EP30662</t>
  </si>
  <si>
    <t>EP30674</t>
  </si>
  <si>
    <t>EP30606</t>
  </si>
  <si>
    <t>EP30586</t>
  </si>
  <si>
    <t>EP30687</t>
  </si>
  <si>
    <t>EP30663</t>
  </si>
  <si>
    <t>EP30485</t>
  </si>
  <si>
    <t>KA32594</t>
  </si>
  <si>
    <t>P877334</t>
  </si>
  <si>
    <t>1セット(1個×3)</t>
  </si>
  <si>
    <t>WPH8030</t>
  </si>
  <si>
    <t>RU40245</t>
  </si>
  <si>
    <t>HN89317</t>
  </si>
  <si>
    <t>1セット(1個×6)</t>
  </si>
  <si>
    <t>HN88891</t>
  </si>
  <si>
    <t>HN89851</t>
  </si>
  <si>
    <t>XU36732</t>
  </si>
  <si>
    <t>E754332</t>
  </si>
  <si>
    <t>RU40258</t>
  </si>
  <si>
    <t>KA32604</t>
  </si>
  <si>
    <t>XH60321</t>
  </si>
  <si>
    <t>1セット（20枚）</t>
  </si>
  <si>
    <t>XH60744</t>
  </si>
  <si>
    <t>XH60995</t>
  </si>
  <si>
    <t>XH60426</t>
  </si>
  <si>
    <t>XH60934</t>
  </si>
  <si>
    <t>HN84836</t>
  </si>
  <si>
    <t>XU37042</t>
  </si>
  <si>
    <t>1セット（4個）</t>
  </si>
  <si>
    <t>XU36867</t>
  </si>
  <si>
    <t>1セット（6個）</t>
  </si>
  <si>
    <t>XU36454</t>
  </si>
  <si>
    <t>XH61172</t>
  </si>
  <si>
    <t>HN84835</t>
  </si>
  <si>
    <t>1セット(1個×5)</t>
  </si>
  <si>
    <t>XH60703</t>
  </si>
  <si>
    <t>APP1149</t>
  </si>
  <si>
    <t>APP0845</t>
  </si>
  <si>
    <t>XU36899</t>
  </si>
  <si>
    <t>XU36372</t>
  </si>
  <si>
    <t>APP1157</t>
  </si>
  <si>
    <t>APP0627</t>
  </si>
  <si>
    <t>XU36381</t>
  </si>
  <si>
    <t>XH60542</t>
  </si>
  <si>
    <t>UU85354</t>
  </si>
  <si>
    <t>APP0948</t>
  </si>
  <si>
    <t>APP1059</t>
  </si>
  <si>
    <t>XU36658</t>
  </si>
  <si>
    <t>1セット（8個）</t>
  </si>
  <si>
    <t>XU36522</t>
  </si>
  <si>
    <t>XU36348</t>
  </si>
  <si>
    <t>XH61169</t>
  </si>
  <si>
    <t>RU40229</t>
  </si>
  <si>
    <t>APP1069</t>
  </si>
  <si>
    <t>XU37199</t>
  </si>
  <si>
    <t>APP0854</t>
  </si>
  <si>
    <t>APP1018</t>
  </si>
  <si>
    <t>1セット(1個×2)</t>
  </si>
  <si>
    <t>XH61217</t>
  </si>
  <si>
    <t>XU36816</t>
  </si>
  <si>
    <t>APP0788</t>
  </si>
  <si>
    <t>XU36397</t>
  </si>
  <si>
    <t>APP1074</t>
  </si>
  <si>
    <t>APP0958</t>
  </si>
  <si>
    <t>APP0870</t>
  </si>
  <si>
    <t>UU85555</t>
  </si>
  <si>
    <t>APP1135</t>
  </si>
  <si>
    <t>APP0831</t>
  </si>
  <si>
    <t>XH61162</t>
  </si>
  <si>
    <t>APP1125</t>
  </si>
  <si>
    <t>1セット(24個入)</t>
  </si>
  <si>
    <t>APP0926</t>
  </si>
  <si>
    <t>1セット(1個×10)</t>
  </si>
  <si>
    <t>UU85558</t>
  </si>
  <si>
    <t>1セット（24個入）</t>
  </si>
  <si>
    <t>APP1161</t>
  </si>
  <si>
    <t>1セット(1個×9)</t>
  </si>
  <si>
    <t>APP0617</t>
  </si>
  <si>
    <t>1セット(5個組×4)</t>
  </si>
  <si>
    <t>XH60957</t>
  </si>
  <si>
    <t>APP0920</t>
  </si>
  <si>
    <t>APP1121</t>
  </si>
  <si>
    <t>APP0849</t>
  </si>
  <si>
    <t>APP0949</t>
  </si>
  <si>
    <t>UU85557</t>
  </si>
  <si>
    <t>APP1027</t>
  </si>
  <si>
    <t>1セット(1個×4)</t>
  </si>
  <si>
    <t>XH61110</t>
  </si>
  <si>
    <t>APP1133</t>
  </si>
  <si>
    <t>1セット(1冊×3)</t>
  </si>
  <si>
    <t>XU37241</t>
  </si>
  <si>
    <t>XU37142</t>
  </si>
  <si>
    <t>AHK9458</t>
  </si>
  <si>
    <t>APP0995</t>
  </si>
  <si>
    <t>1セット(1包×4)</t>
  </si>
  <si>
    <t>XN37782</t>
  </si>
  <si>
    <t>1セット（5冊）</t>
  </si>
  <si>
    <t>APP0908</t>
  </si>
  <si>
    <t>1セット(1枚×3)</t>
  </si>
  <si>
    <t>APP0893</t>
  </si>
  <si>
    <t>AEX0481</t>
  </si>
  <si>
    <t>APP1113</t>
  </si>
  <si>
    <t>APP0843</t>
  </si>
  <si>
    <t>AEX0896</t>
  </si>
  <si>
    <t>1セット（1冊×3）</t>
  </si>
  <si>
    <t>AEX0907</t>
  </si>
  <si>
    <t>1セット（1包×2）</t>
  </si>
  <si>
    <t>AEE5408</t>
  </si>
  <si>
    <t>U458313</t>
  </si>
  <si>
    <t>1セット(4個)</t>
  </si>
  <si>
    <t>HN89417</t>
  </si>
  <si>
    <t>RU40082</t>
  </si>
  <si>
    <t>EJ98955</t>
  </si>
  <si>
    <t>HN89148</t>
  </si>
  <si>
    <t>AEX1210</t>
  </si>
  <si>
    <t>1セット（1個×6）</t>
  </si>
  <si>
    <t>AEX0736</t>
  </si>
  <si>
    <t>HN89741</t>
  </si>
  <si>
    <t>1セット(6セット)</t>
  </si>
  <si>
    <t>AEX0445</t>
  </si>
  <si>
    <t>HN90676</t>
  </si>
  <si>
    <t>HN89404</t>
  </si>
  <si>
    <t>A093189</t>
  </si>
  <si>
    <t>5個</t>
  </si>
  <si>
    <t>HN89169</t>
  </si>
  <si>
    <t>HN90696</t>
  </si>
  <si>
    <t>XU37272</t>
  </si>
  <si>
    <t>1セット（10個）</t>
  </si>
  <si>
    <t>XU34831</t>
  </si>
  <si>
    <t>1セット（6包）</t>
  </si>
  <si>
    <t>WAK2126</t>
  </si>
  <si>
    <t>A093193</t>
  </si>
  <si>
    <t>EW68568</t>
  </si>
  <si>
    <t>EJ41610</t>
  </si>
  <si>
    <t>1セット(10パック)</t>
  </si>
  <si>
    <t>A822192</t>
  </si>
  <si>
    <t>EJ41614</t>
  </si>
  <si>
    <t>A822193</t>
  </si>
  <si>
    <t>RU40226</t>
  </si>
  <si>
    <t>WAK1903</t>
  </si>
  <si>
    <t>AHN8852</t>
  </si>
  <si>
    <t>AHN9827</t>
  </si>
  <si>
    <t>WAK1928</t>
  </si>
  <si>
    <t>AHK9409</t>
  </si>
  <si>
    <t>1セット（1本×3）</t>
  </si>
  <si>
    <t>AHN8845</t>
  </si>
  <si>
    <t>AHN8954</t>
  </si>
  <si>
    <t>AHK9414</t>
  </si>
  <si>
    <t>AHN9854</t>
  </si>
  <si>
    <t>AHN9852</t>
  </si>
  <si>
    <t>AHH0062</t>
  </si>
  <si>
    <t>1セット（1本×11）</t>
  </si>
  <si>
    <t>AHN8764</t>
  </si>
  <si>
    <t>AHN8537</t>
  </si>
  <si>
    <t>AHN9396</t>
  </si>
  <si>
    <t>AHN8853</t>
  </si>
  <si>
    <t>AHH0067</t>
  </si>
  <si>
    <t>AHN9461</t>
  </si>
  <si>
    <t>AHN9894</t>
  </si>
  <si>
    <t>RU40239</t>
  </si>
  <si>
    <t>AHN8509</t>
  </si>
  <si>
    <t>AHN8684</t>
  </si>
  <si>
    <t>AHN9555</t>
  </si>
  <si>
    <t>AHN8317</t>
  </si>
  <si>
    <t>AHN9892</t>
  </si>
  <si>
    <t>HJ77900</t>
  </si>
  <si>
    <t>AHN9577</t>
  </si>
  <si>
    <t>AHH0044</t>
  </si>
  <si>
    <t>AHN8978</t>
  </si>
  <si>
    <t>AHN9785</t>
  </si>
  <si>
    <t>AHH0002</t>
  </si>
  <si>
    <t>AHN9934</t>
  </si>
  <si>
    <t>AHN9424</t>
  </si>
  <si>
    <t>HN89414</t>
  </si>
  <si>
    <t>AHK9419</t>
  </si>
  <si>
    <t>AHN9300</t>
  </si>
  <si>
    <t>AHN9928</t>
  </si>
  <si>
    <t>AHK9420</t>
  </si>
  <si>
    <t>AHN9298</t>
  </si>
  <si>
    <t>HN90493</t>
  </si>
  <si>
    <t>AHN8751</t>
  </si>
  <si>
    <t>AHN9511</t>
  </si>
  <si>
    <t>AHN9346</t>
  </si>
  <si>
    <t>AHN9335</t>
  </si>
  <si>
    <t>AHN8798</t>
  </si>
  <si>
    <t>AHN8443</t>
  </si>
  <si>
    <t>AHN9947</t>
  </si>
  <si>
    <t>HN90040</t>
  </si>
  <si>
    <t>AHN8786</t>
  </si>
  <si>
    <t>AHN8882</t>
  </si>
  <si>
    <t>AHK9421</t>
  </si>
  <si>
    <t>AHN9649</t>
  </si>
  <si>
    <t>HN84881</t>
  </si>
  <si>
    <t>1セット(5冊)</t>
  </si>
  <si>
    <t>AHN8651</t>
  </si>
  <si>
    <t>AHN8825</t>
  </si>
  <si>
    <t>AHN9267</t>
  </si>
  <si>
    <t>AHN8429</t>
  </si>
  <si>
    <t>AHN8942</t>
  </si>
  <si>
    <t>AHN9904</t>
  </si>
  <si>
    <t>AHN9893</t>
  </si>
  <si>
    <t>AHN9746</t>
  </si>
  <si>
    <t>HN84883</t>
  </si>
  <si>
    <t>AHN9606</t>
  </si>
  <si>
    <t>AHN9189</t>
  </si>
  <si>
    <t>HN84884</t>
  </si>
  <si>
    <t>AHN8911</t>
  </si>
  <si>
    <t>XA64412</t>
  </si>
  <si>
    <t>AHN9247</t>
  </si>
  <si>
    <t>AHN8318</t>
  </si>
  <si>
    <t>HN90595</t>
  </si>
  <si>
    <t>AHN9845</t>
  </si>
  <si>
    <t>AHN9844</t>
  </si>
  <si>
    <t>HN90786</t>
  </si>
  <si>
    <t>HN84890</t>
  </si>
  <si>
    <t>RU40083</t>
  </si>
  <si>
    <t>HN90022</t>
  </si>
  <si>
    <t>HN84898</t>
  </si>
  <si>
    <t>XH65165</t>
  </si>
  <si>
    <t>1パック（10本組）</t>
  </si>
  <si>
    <t>XH65168</t>
  </si>
  <si>
    <t>XH65149</t>
  </si>
  <si>
    <t>XH65151</t>
  </si>
  <si>
    <t>XH65146</t>
  </si>
  <si>
    <t>XU36640</t>
  </si>
  <si>
    <t>XH65137</t>
  </si>
  <si>
    <t>XU36573</t>
  </si>
  <si>
    <t>XU36340</t>
  </si>
  <si>
    <t>XU36812</t>
  </si>
  <si>
    <t>XU36922</t>
  </si>
  <si>
    <t>XU36606</t>
  </si>
  <si>
    <t>HN89512</t>
  </si>
  <si>
    <t>XU36417</t>
  </si>
  <si>
    <t>XU36382</t>
  </si>
  <si>
    <t>HN89042</t>
  </si>
  <si>
    <t>XU37052</t>
  </si>
  <si>
    <t>XU36705</t>
  </si>
  <si>
    <t>XU36576</t>
  </si>
  <si>
    <t>XU37290</t>
  </si>
  <si>
    <t>XU36727</t>
  </si>
  <si>
    <t>XU36849</t>
  </si>
  <si>
    <t>XU37171</t>
  </si>
  <si>
    <t>XU36376</t>
  </si>
  <si>
    <t>XU36650</t>
  </si>
  <si>
    <t>XU36569</t>
  </si>
  <si>
    <t>A821869</t>
  </si>
  <si>
    <t>A821872</t>
  </si>
  <si>
    <t>ER50138</t>
  </si>
  <si>
    <t>A821993</t>
  </si>
  <si>
    <t>ER29524</t>
  </si>
  <si>
    <t>A822004</t>
  </si>
  <si>
    <t>2個</t>
  </si>
  <si>
    <t>XU36516</t>
  </si>
  <si>
    <t>P988184</t>
  </si>
  <si>
    <t>1セット（6本）</t>
  </si>
  <si>
    <t>W005744</t>
  </si>
  <si>
    <t>W005745</t>
  </si>
  <si>
    <t>W005746</t>
  </si>
  <si>
    <t>A819852</t>
  </si>
  <si>
    <t>3個</t>
  </si>
  <si>
    <t>HN89867</t>
  </si>
  <si>
    <t>A822014</t>
  </si>
  <si>
    <t>AH98896</t>
  </si>
  <si>
    <t>XU36528</t>
  </si>
  <si>
    <t>A822180</t>
  </si>
  <si>
    <t>A822185</t>
  </si>
  <si>
    <t>A822186</t>
  </si>
  <si>
    <t>HN90550</t>
  </si>
  <si>
    <t>RU40251</t>
  </si>
  <si>
    <t>XN21257</t>
  </si>
  <si>
    <t>A822152</t>
  </si>
  <si>
    <t>XU37149</t>
  </si>
  <si>
    <t>HN90431</t>
  </si>
  <si>
    <t>J687059</t>
  </si>
  <si>
    <t>P430863</t>
  </si>
  <si>
    <t>HN89715</t>
  </si>
  <si>
    <t>HN90635</t>
  </si>
  <si>
    <t>1セット(5セット)</t>
  </si>
  <si>
    <t>HN89010</t>
  </si>
  <si>
    <t>1セット(5本)</t>
  </si>
  <si>
    <t>HN89897</t>
  </si>
  <si>
    <t>HN89900</t>
  </si>
  <si>
    <t>HN90850</t>
  </si>
  <si>
    <t>HN89228</t>
  </si>
  <si>
    <t>XU37009</t>
  </si>
  <si>
    <t>HN88948</t>
  </si>
  <si>
    <t>HN89654</t>
  </si>
  <si>
    <t>HN89860</t>
  </si>
  <si>
    <t>1セット(3セット)</t>
  </si>
  <si>
    <t>HN88927</t>
  </si>
  <si>
    <t>HN88703</t>
  </si>
  <si>
    <t>XU37278</t>
  </si>
  <si>
    <t>HN89767</t>
  </si>
  <si>
    <t>HN90122</t>
  </si>
  <si>
    <t>HN88845</t>
  </si>
  <si>
    <t>1セット(4セット)</t>
  </si>
  <si>
    <t>P430985</t>
  </si>
  <si>
    <t>1セット(3冊)</t>
  </si>
  <si>
    <t>HN88756</t>
  </si>
  <si>
    <t>P430986</t>
  </si>
  <si>
    <t>1セット(2冊)</t>
  </si>
  <si>
    <t>A819773</t>
  </si>
  <si>
    <t>XU36814</t>
  </si>
  <si>
    <t>W005492</t>
  </si>
  <si>
    <t>P431069</t>
  </si>
  <si>
    <t>EW68554</t>
  </si>
  <si>
    <t>RR52528</t>
  </si>
  <si>
    <t>A821918</t>
  </si>
  <si>
    <t>EN73832</t>
  </si>
  <si>
    <t>ER62622</t>
  </si>
  <si>
    <t>W005489</t>
  </si>
  <si>
    <t>HN90688</t>
  </si>
  <si>
    <t>HN89101</t>
  </si>
  <si>
    <t>1冊</t>
  </si>
  <si>
    <t>A904163</t>
  </si>
  <si>
    <t>A887558</t>
  </si>
  <si>
    <t>1セット（15枚</t>
  </si>
  <si>
    <t>HN89955</t>
  </si>
  <si>
    <t>W114613</t>
  </si>
  <si>
    <t>RR52540</t>
  </si>
  <si>
    <t>1組（5枚）</t>
  </si>
  <si>
    <t>W114612</t>
  </si>
  <si>
    <t>HN84720</t>
  </si>
  <si>
    <t>1セット(10セット)</t>
  </si>
  <si>
    <t>A821933</t>
  </si>
  <si>
    <t>10セット</t>
  </si>
  <si>
    <t>P431129</t>
  </si>
  <si>
    <t>HN90141</t>
  </si>
  <si>
    <t>HN89368</t>
  </si>
  <si>
    <t>XU37147</t>
  </si>
  <si>
    <t>XU37113</t>
  </si>
  <si>
    <t>HN90107</t>
  </si>
  <si>
    <t>1セット(20枚)</t>
  </si>
  <si>
    <t>HN90871</t>
  </si>
  <si>
    <t>1セット(5枚)</t>
  </si>
  <si>
    <t>HN89438</t>
  </si>
  <si>
    <t>HN89282</t>
  </si>
  <si>
    <t>HN89815</t>
  </si>
  <si>
    <t>1セット(4枚)</t>
  </si>
  <si>
    <t>HN88875</t>
  </si>
  <si>
    <t>HN89150</t>
  </si>
  <si>
    <t>XU34826</t>
  </si>
  <si>
    <t>HN89800</t>
  </si>
  <si>
    <t>HN90433</t>
  </si>
  <si>
    <t>HN89499</t>
  </si>
  <si>
    <t>HN90459</t>
  </si>
  <si>
    <t>XU36734</t>
  </si>
  <si>
    <t>HN89262</t>
  </si>
  <si>
    <t>1セット(6枚)</t>
  </si>
  <si>
    <t>HN90209</t>
  </si>
  <si>
    <t>HN89200</t>
  </si>
  <si>
    <t>HN90753</t>
  </si>
  <si>
    <t>HN89394</t>
  </si>
  <si>
    <t>EH64049</t>
  </si>
  <si>
    <t>XU34827</t>
  </si>
  <si>
    <t>HN88937</t>
  </si>
  <si>
    <t>HN90470</t>
  </si>
  <si>
    <t>HN90370</t>
  </si>
  <si>
    <t>RR52543</t>
  </si>
  <si>
    <t>HN90018</t>
  </si>
  <si>
    <t>1セット(3台)</t>
  </si>
  <si>
    <t>P431437</t>
  </si>
  <si>
    <t>P431442</t>
  </si>
  <si>
    <t>A821987</t>
  </si>
  <si>
    <t>HN89593</t>
  </si>
  <si>
    <t>XU36641</t>
  </si>
  <si>
    <t>A822019</t>
  </si>
  <si>
    <t>AH98854</t>
  </si>
  <si>
    <t>HN90573</t>
  </si>
  <si>
    <t>W115412</t>
  </si>
  <si>
    <t>W115413</t>
  </si>
  <si>
    <t>W005675</t>
  </si>
  <si>
    <t>A822035</t>
  </si>
  <si>
    <t>P431554</t>
  </si>
  <si>
    <t>A822049</t>
  </si>
  <si>
    <t>HN89288</t>
  </si>
  <si>
    <t>HN89929</t>
  </si>
  <si>
    <t>HN89518</t>
  </si>
  <si>
    <t>HN88816</t>
  </si>
  <si>
    <t>HN84782</t>
  </si>
  <si>
    <t>HN84779</t>
  </si>
  <si>
    <t>W005692</t>
  </si>
  <si>
    <t>HX55784</t>
  </si>
  <si>
    <t>HX55991</t>
  </si>
  <si>
    <t>HX55958</t>
  </si>
  <si>
    <t>EN74515</t>
  </si>
  <si>
    <t>HX55950</t>
  </si>
  <si>
    <t>HN88713</t>
  </si>
  <si>
    <t>HN89836</t>
  </si>
  <si>
    <t>HN84816</t>
  </si>
  <si>
    <t>HN88795</t>
  </si>
  <si>
    <t>HN89660</t>
  </si>
  <si>
    <t>HN89779</t>
  </si>
  <si>
    <t>HN89357</t>
  </si>
  <si>
    <t>HN89498</t>
  </si>
  <si>
    <t>HN84808</t>
  </si>
  <si>
    <t>HN89459</t>
  </si>
  <si>
    <t>HN89972</t>
  </si>
  <si>
    <t>1セット(20個)</t>
  </si>
  <si>
    <t>X352226</t>
  </si>
  <si>
    <t>HN84725</t>
  </si>
  <si>
    <t>HN84724</t>
  </si>
  <si>
    <t>XU37107</t>
  </si>
  <si>
    <t>P431977</t>
  </si>
  <si>
    <t>1セット(11本)</t>
  </si>
  <si>
    <t>RU40256</t>
  </si>
  <si>
    <t>XU34913</t>
  </si>
  <si>
    <t>1セット（10包）</t>
  </si>
  <si>
    <t>XU34914</t>
  </si>
  <si>
    <t>XU34915</t>
  </si>
  <si>
    <t>XU34916</t>
  </si>
  <si>
    <t>A887711</t>
  </si>
  <si>
    <t>A887710</t>
  </si>
  <si>
    <t>A887712</t>
  </si>
  <si>
    <t>A887717</t>
  </si>
  <si>
    <t>A887718</t>
  </si>
  <si>
    <t>A887714</t>
  </si>
  <si>
    <t>A904304</t>
  </si>
  <si>
    <t>A887721</t>
  </si>
  <si>
    <t>A904307</t>
  </si>
  <si>
    <t>A904306</t>
  </si>
  <si>
    <t>A887727</t>
  </si>
  <si>
    <t>A887728</t>
  </si>
  <si>
    <t>ER38262</t>
  </si>
  <si>
    <t>XH60630</t>
  </si>
  <si>
    <t>1セット（5包）</t>
  </si>
  <si>
    <t>RR51135</t>
  </si>
  <si>
    <t>A904309</t>
  </si>
  <si>
    <t>XH61087</t>
  </si>
  <si>
    <t>XH61339</t>
  </si>
  <si>
    <t>XU37114</t>
  </si>
  <si>
    <t>XH60784</t>
  </si>
  <si>
    <t>XH61174</t>
  </si>
  <si>
    <t>XH60302</t>
  </si>
  <si>
    <t>XH61038</t>
  </si>
  <si>
    <t>XH60760</t>
  </si>
  <si>
    <t>1セット（4枚）</t>
  </si>
  <si>
    <t>RU40268</t>
  </si>
  <si>
    <t>RU40262</t>
  </si>
  <si>
    <t>RU40270</t>
  </si>
  <si>
    <t>XH60395</t>
  </si>
  <si>
    <t>1セット（3枚）</t>
  </si>
  <si>
    <t>XH60592</t>
  </si>
  <si>
    <t>XH60404</t>
  </si>
  <si>
    <t>XH61011</t>
  </si>
  <si>
    <t>XH61028</t>
  </si>
  <si>
    <t>XH60796</t>
  </si>
  <si>
    <t>XH61006</t>
  </si>
  <si>
    <t>XH60822</t>
  </si>
  <si>
    <t>XH60529</t>
  </si>
  <si>
    <t>XH60609</t>
  </si>
  <si>
    <t>XH61120</t>
  </si>
  <si>
    <t>XH61098</t>
  </si>
  <si>
    <t>XH60564</t>
  </si>
  <si>
    <t>XH60484</t>
  </si>
  <si>
    <t>XH60640</t>
  </si>
  <si>
    <t>XH60885</t>
  </si>
  <si>
    <t>XH60896</t>
  </si>
  <si>
    <t>XH60971</t>
  </si>
  <si>
    <t>XH60818</t>
  </si>
  <si>
    <t>XH61102</t>
  </si>
  <si>
    <t>XH61025</t>
  </si>
  <si>
    <t>XH60354</t>
  </si>
  <si>
    <t>XH60786</t>
  </si>
  <si>
    <t>XH60340</t>
  </si>
  <si>
    <t>XH60650</t>
  </si>
  <si>
    <t>1セット（5枚）</t>
  </si>
  <si>
    <t>XH60283</t>
  </si>
  <si>
    <t>XH61318</t>
  </si>
  <si>
    <t>XH61055</t>
  </si>
  <si>
    <t>XH60749</t>
  </si>
  <si>
    <t>XH60598</t>
  </si>
  <si>
    <t>XH61115</t>
  </si>
  <si>
    <t>XH60862</t>
  </si>
  <si>
    <t>XH60505</t>
  </si>
  <si>
    <t>XH60528</t>
  </si>
  <si>
    <t>XH61123</t>
  </si>
  <si>
    <t>XH60973</t>
  </si>
  <si>
    <t>XH61031</t>
  </si>
  <si>
    <t>XH60893</t>
  </si>
  <si>
    <t>XH61166</t>
  </si>
  <si>
    <t>XH60844</t>
  </si>
  <si>
    <t>XH61125</t>
  </si>
  <si>
    <t>UA91303</t>
  </si>
  <si>
    <t>XH60871</t>
  </si>
  <si>
    <t>1セット（6枚）</t>
  </si>
  <si>
    <t>XH60668</t>
  </si>
  <si>
    <t>XH60717</t>
  </si>
  <si>
    <t>UA91304</t>
  </si>
  <si>
    <t>XH60623</t>
  </si>
  <si>
    <t>XH60679</t>
  </si>
  <si>
    <t>XH60830</t>
  </si>
  <si>
    <t>1セット（6組）</t>
  </si>
  <si>
    <t>XH59939</t>
  </si>
  <si>
    <t>1セット(1本×10)</t>
  </si>
  <si>
    <t>XH61282</t>
  </si>
  <si>
    <t>UA91301</t>
  </si>
  <si>
    <t>1本</t>
  </si>
  <si>
    <t>XU34896</t>
  </si>
  <si>
    <t>XH60363</t>
  </si>
  <si>
    <t>1セット（10本）</t>
  </si>
  <si>
    <t>XU34897</t>
  </si>
  <si>
    <t>XU36513</t>
  </si>
  <si>
    <t>XU34898</t>
  </si>
  <si>
    <t>R977128</t>
  </si>
  <si>
    <t>A887737</t>
  </si>
  <si>
    <t>A887738</t>
  </si>
  <si>
    <t>A887739</t>
  </si>
  <si>
    <t>A887740</t>
  </si>
  <si>
    <t>A887742</t>
  </si>
  <si>
    <t>A887741</t>
  </si>
  <si>
    <t>A904317</t>
  </si>
  <si>
    <t>A904316</t>
  </si>
  <si>
    <t>A904318</t>
  </si>
  <si>
    <t>A904319</t>
  </si>
  <si>
    <t>A887744</t>
  </si>
  <si>
    <t>A887743</t>
  </si>
  <si>
    <t>A887747</t>
  </si>
  <si>
    <t>A887745</t>
  </si>
  <si>
    <t>A887749</t>
  </si>
  <si>
    <t>A887748</t>
  </si>
  <si>
    <t>A887751</t>
  </si>
  <si>
    <t>A887750</t>
  </si>
  <si>
    <t>A887753</t>
  </si>
  <si>
    <t>A887752</t>
  </si>
  <si>
    <t>A887755</t>
  </si>
  <si>
    <t>A887754</t>
  </si>
  <si>
    <t>A887756</t>
  </si>
  <si>
    <t>A887757</t>
  </si>
  <si>
    <t>A887759</t>
  </si>
  <si>
    <t>A887758</t>
  </si>
  <si>
    <t>A887761</t>
  </si>
  <si>
    <t>A887760</t>
  </si>
  <si>
    <t>A887762</t>
  </si>
  <si>
    <t>A887763</t>
  </si>
  <si>
    <t>A887764</t>
  </si>
  <si>
    <t>A887765</t>
  </si>
  <si>
    <t>A887766</t>
  </si>
  <si>
    <t>A887767</t>
  </si>
  <si>
    <t>A887768</t>
  </si>
  <si>
    <t>A904320</t>
  </si>
  <si>
    <t>A887769</t>
  </si>
  <si>
    <t>A904321</t>
  </si>
  <si>
    <t>A904322</t>
  </si>
  <si>
    <t>A887770</t>
  </si>
  <si>
    <t>A904323</t>
  </si>
  <si>
    <t>A887771</t>
  </si>
  <si>
    <t>A904324</t>
  </si>
  <si>
    <t>A887772</t>
  </si>
  <si>
    <t>A887774</t>
  </si>
  <si>
    <t>A887773</t>
  </si>
  <si>
    <t>A904325</t>
  </si>
  <si>
    <t>A887775</t>
  </si>
  <si>
    <t>A887776</t>
  </si>
  <si>
    <t>A904326</t>
  </si>
  <si>
    <t>A887777</t>
  </si>
  <si>
    <t>A887779</t>
  </si>
  <si>
    <t>A887780</t>
  </si>
  <si>
    <t>A887778</t>
  </si>
  <si>
    <t>A887781</t>
  </si>
  <si>
    <t>A887782</t>
  </si>
  <si>
    <t>A887784</t>
  </si>
  <si>
    <t>A887783</t>
  </si>
  <si>
    <t>A887786</t>
  </si>
  <si>
    <t>A887785</t>
  </si>
  <si>
    <t>A887787</t>
  </si>
  <si>
    <t>A887788</t>
  </si>
  <si>
    <t>A887790</t>
  </si>
  <si>
    <t>A887789</t>
  </si>
  <si>
    <t>AUR1584</t>
  </si>
  <si>
    <t>A887791</t>
  </si>
  <si>
    <t>AUR1534</t>
  </si>
  <si>
    <t>AUR1569</t>
  </si>
  <si>
    <t>A887792</t>
  </si>
  <si>
    <t>AUR1459</t>
  </si>
  <si>
    <t>AUR1638</t>
  </si>
  <si>
    <t>A887793</t>
  </si>
  <si>
    <t>A904327</t>
  </si>
  <si>
    <t>AUR1205</t>
  </si>
  <si>
    <t>A904328</t>
  </si>
  <si>
    <t>A887794</t>
  </si>
  <si>
    <t>AUR1207</t>
  </si>
  <si>
    <t>A887795</t>
  </si>
  <si>
    <t>AUR1435</t>
  </si>
  <si>
    <t>AUR1206</t>
  </si>
  <si>
    <t>A904329</t>
  </si>
  <si>
    <t>A887796</t>
  </si>
  <si>
    <t>AUR1563</t>
  </si>
  <si>
    <t>AUR1208</t>
  </si>
  <si>
    <t>A887797</t>
  </si>
  <si>
    <t>A887798</t>
  </si>
  <si>
    <t>AUR1483</t>
  </si>
  <si>
    <t>A887799</t>
  </si>
  <si>
    <t>AUR1209</t>
  </si>
  <si>
    <t>A887801</t>
  </si>
  <si>
    <t>A887800</t>
  </si>
  <si>
    <t>AUR1594</t>
  </si>
  <si>
    <t>AUR1210</t>
  </si>
  <si>
    <t>AUR1211</t>
  </si>
  <si>
    <t>A887802</t>
  </si>
  <si>
    <t>A887803</t>
  </si>
  <si>
    <t>AUR1486</t>
  </si>
  <si>
    <t>AUR1624</t>
  </si>
  <si>
    <t>A887804</t>
  </si>
  <si>
    <t>A887805</t>
  </si>
  <si>
    <t>A887806</t>
  </si>
  <si>
    <t>AUR1660</t>
  </si>
  <si>
    <t>A887807</t>
  </si>
  <si>
    <t>AUR1238</t>
  </si>
  <si>
    <t>AUR1212</t>
  </si>
  <si>
    <t>A887808</t>
  </si>
  <si>
    <t>AUR1239</t>
  </si>
  <si>
    <t>A904330</t>
  </si>
  <si>
    <t>A904331</t>
  </si>
  <si>
    <t>AUR1241</t>
  </si>
  <si>
    <t>A904332</t>
  </si>
  <si>
    <t>AUR1240</t>
  </si>
  <si>
    <t>A904333</t>
  </si>
  <si>
    <t>A887809</t>
  </si>
  <si>
    <t>A887810</t>
  </si>
  <si>
    <t>A887811</t>
  </si>
  <si>
    <t>A887812</t>
  </si>
  <si>
    <t>A887813</t>
  </si>
  <si>
    <t>AUR1408</t>
  </si>
  <si>
    <t>A887814</t>
  </si>
  <si>
    <t>AUR1524</t>
  </si>
  <si>
    <t>AUR1248</t>
  </si>
  <si>
    <t>A887815</t>
  </si>
  <si>
    <t>A887816</t>
  </si>
  <si>
    <t>A887817</t>
  </si>
  <si>
    <t>AUR1250</t>
  </si>
  <si>
    <t>AUR1249</t>
  </si>
  <si>
    <t>A887818</t>
  </si>
  <si>
    <t>AUR1251</t>
  </si>
  <si>
    <t>A887819</t>
  </si>
  <si>
    <t>A887820</t>
  </si>
  <si>
    <t>AUR1253</t>
  </si>
  <si>
    <t>AUR1252</t>
  </si>
  <si>
    <t>A904335</t>
  </si>
  <si>
    <t>A904336</t>
  </si>
  <si>
    <t>AUR1661</t>
  </si>
  <si>
    <t>AUR1670</t>
  </si>
  <si>
    <t>A887821</t>
  </si>
  <si>
    <t>A887822</t>
  </si>
  <si>
    <t>AUR1651</t>
  </si>
  <si>
    <t>AUR1580</t>
  </si>
  <si>
    <t>A904337</t>
  </si>
  <si>
    <t>A887823</t>
  </si>
  <si>
    <t>AUR1255</t>
  </si>
  <si>
    <t>AUR1415</t>
  </si>
  <si>
    <t>A904338</t>
  </si>
  <si>
    <t>AUR1254</t>
  </si>
  <si>
    <t>A904339</t>
  </si>
  <si>
    <t>A887824</t>
  </si>
  <si>
    <t>AUR1257</t>
  </si>
  <si>
    <t>AUR1256</t>
  </si>
  <si>
    <t>A904341</t>
  </si>
  <si>
    <t>A904340</t>
  </si>
  <si>
    <t>A904342</t>
  </si>
  <si>
    <t>A887825</t>
  </si>
  <si>
    <t>A887826</t>
  </si>
  <si>
    <t>A904343</t>
  </si>
  <si>
    <t>A887827</t>
  </si>
  <si>
    <t>A887828</t>
  </si>
  <si>
    <t>A887829</t>
  </si>
  <si>
    <t>A904345</t>
  </si>
  <si>
    <t>A904346</t>
  </si>
  <si>
    <t>A819905</t>
  </si>
  <si>
    <t>A887830</t>
  </si>
  <si>
    <t>A887831</t>
  </si>
  <si>
    <t>AUR1145</t>
  </si>
  <si>
    <t>A904348</t>
  </si>
  <si>
    <t>HN90021</t>
  </si>
  <si>
    <t>AUR1162</t>
  </si>
  <si>
    <t>1セット（1冊×2）</t>
  </si>
  <si>
    <t>AUR1163</t>
  </si>
  <si>
    <t>HN89346</t>
  </si>
  <si>
    <t>W005811</t>
  </si>
  <si>
    <t>R977150</t>
  </si>
  <si>
    <t>AUR1165</t>
  </si>
  <si>
    <t>AUR1450</t>
  </si>
  <si>
    <t>R977151</t>
  </si>
  <si>
    <t>AUR1164</t>
  </si>
  <si>
    <t>R977152</t>
  </si>
  <si>
    <t>AUR1676</t>
  </si>
  <si>
    <t>AUR1166</t>
  </si>
  <si>
    <t>R977153</t>
  </si>
  <si>
    <t>R977154</t>
  </si>
  <si>
    <t>1セット(2個組×2)</t>
  </si>
  <si>
    <t>AEH1932</t>
  </si>
  <si>
    <t>AUR1167</t>
  </si>
  <si>
    <t>W005812</t>
  </si>
  <si>
    <t>AEH1933</t>
  </si>
  <si>
    <t>AUR1412</t>
  </si>
  <si>
    <t>AEH1934</t>
  </si>
  <si>
    <t>AUR1168</t>
  </si>
  <si>
    <t>AEH1935</t>
  </si>
  <si>
    <t>R977155</t>
  </si>
  <si>
    <t>XH60891</t>
  </si>
  <si>
    <t>1セット（13個）</t>
  </si>
  <si>
    <t>AUR1169</t>
  </si>
  <si>
    <t>AEH1936</t>
  </si>
  <si>
    <t>AEH1937</t>
  </si>
  <si>
    <t>AUR1539</t>
  </si>
  <si>
    <t>P877264</t>
  </si>
  <si>
    <t>AEH1938</t>
  </si>
  <si>
    <t>AUR1171</t>
  </si>
  <si>
    <t>AUR1170</t>
  </si>
  <si>
    <t>E681924</t>
  </si>
  <si>
    <t>AEH2277</t>
  </si>
  <si>
    <t>AUR1174</t>
  </si>
  <si>
    <t>E754321</t>
  </si>
  <si>
    <t>AEH2446</t>
  </si>
  <si>
    <t>AUR1172</t>
  </si>
  <si>
    <t>AUR1173</t>
  </si>
  <si>
    <t>AJ48712</t>
  </si>
  <si>
    <t>AUR1175</t>
  </si>
  <si>
    <t>XH59958</t>
  </si>
  <si>
    <t>XH59919</t>
  </si>
  <si>
    <t>AUR1176</t>
  </si>
  <si>
    <t>XH60485</t>
  </si>
  <si>
    <t>AUR1615</t>
  </si>
  <si>
    <t>R977030</t>
  </si>
  <si>
    <t>AUR1177</t>
  </si>
  <si>
    <t>AUR1180</t>
  </si>
  <si>
    <t>AUR1184</t>
  </si>
  <si>
    <t>1セット（1包×4）</t>
  </si>
  <si>
    <t>AUR1183</t>
  </si>
  <si>
    <t>AUR1179</t>
  </si>
  <si>
    <t>R977033</t>
  </si>
  <si>
    <t>A887576</t>
  </si>
  <si>
    <t>A904184</t>
  </si>
  <si>
    <t>XH59918</t>
  </si>
  <si>
    <t>A887577</t>
  </si>
  <si>
    <t>E754324</t>
  </si>
  <si>
    <t>1セット(6個)</t>
  </si>
  <si>
    <t>AWA9872</t>
  </si>
  <si>
    <t>A092744</t>
  </si>
  <si>
    <t>A821946</t>
  </si>
  <si>
    <t>A819776</t>
  </si>
  <si>
    <t>A819775</t>
  </si>
  <si>
    <t>A819777</t>
  </si>
  <si>
    <t>A819778</t>
  </si>
  <si>
    <t>A819780</t>
  </si>
  <si>
    <t>A819779</t>
  </si>
  <si>
    <t>A819781</t>
  </si>
  <si>
    <t>A819782</t>
  </si>
  <si>
    <t>A819784</t>
  </si>
  <si>
    <t>A819783</t>
  </si>
  <si>
    <t>A820243</t>
  </si>
  <si>
    <t>A819785</t>
  </si>
  <si>
    <t>1セット(3本)</t>
  </si>
  <si>
    <t>A819786</t>
  </si>
  <si>
    <t>A819787</t>
  </si>
  <si>
    <t>A820537</t>
  </si>
  <si>
    <t>A819789</t>
  </si>
  <si>
    <t>A821948</t>
  </si>
  <si>
    <t>A819790</t>
  </si>
  <si>
    <t>A819788</t>
  </si>
  <si>
    <t>XH60935</t>
  </si>
  <si>
    <t>A819793</t>
  </si>
  <si>
    <t>A092862</t>
  </si>
  <si>
    <t>X859843</t>
  </si>
  <si>
    <t>X798799</t>
  </si>
  <si>
    <t>1セット（本体1枚　スタンド</t>
  </si>
  <si>
    <t>X859852</t>
  </si>
  <si>
    <t>X859864</t>
  </si>
  <si>
    <t>X887505</t>
  </si>
  <si>
    <t>X887498</t>
  </si>
  <si>
    <t>1セット（12個</t>
  </si>
  <si>
    <t>X887496</t>
  </si>
  <si>
    <t>U457000</t>
  </si>
  <si>
    <t>4セット（12個入り</t>
  </si>
  <si>
    <t>U456999</t>
  </si>
  <si>
    <t>U296982</t>
  </si>
  <si>
    <t>1セット（20個</t>
  </si>
  <si>
    <t>U907879</t>
  </si>
  <si>
    <t>U907878</t>
  </si>
  <si>
    <t>1セット（200枚</t>
  </si>
  <si>
    <t>U296978</t>
  </si>
  <si>
    <t>2セット</t>
  </si>
  <si>
    <t>U907884</t>
  </si>
  <si>
    <t>U907886</t>
  </si>
  <si>
    <t>AH76860</t>
  </si>
  <si>
    <t>1セット（10枚組）</t>
  </si>
  <si>
    <t>U907885</t>
  </si>
  <si>
    <t>U629323</t>
  </si>
  <si>
    <t>U296981</t>
  </si>
  <si>
    <t>HN89384</t>
  </si>
  <si>
    <t>5月
たの</t>
    <rPh sb="1" eb="2">
      <t>ガツ</t>
    </rPh>
    <phoneticPr fontId="2"/>
  </si>
  <si>
    <t>5月
カウ</t>
    <rPh sb="1" eb="2">
      <t>ガツ</t>
    </rPh>
    <phoneticPr fontId="2"/>
  </si>
  <si>
    <t>カウ
ｽﾗｲﾄﾞ</t>
    <phoneticPr fontId="2"/>
  </si>
  <si>
    <t>たの
ｽﾗｲﾄﾞ</t>
    <phoneticPr fontId="2"/>
  </si>
  <si>
    <t>6月売価</t>
    <rPh sb="1" eb="2">
      <t>ガツ</t>
    </rPh>
    <rPh sb="2" eb="4">
      <t>バイカ</t>
    </rPh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</si>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</sst>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176" fontId="0" fillId="3" borderId="4" xfId="0" applyNumberFormat="1" applyFill="1" applyBorder="1">
      <alignment vertical="center"/>
    </xf>
    <xf numFmtId="0" fontId="0" fillId="3" borderId="4" xfId="0" applyFill="1" applyBorder="1">
      <alignment vertical="center"/>
    </xf>
    <xf numFmtId="176" fontId="0" fillId="6" borderId="4" xfId="0" applyNumberFormat="1" applyFill="1" applyBorder="1">
      <alignment vertical="center"/>
    </xf>
    <xf numFmtId="0" fontId="0" fillId="7" borderId="3" xfId="0" applyFill="1" applyBorder="1">
      <alignment vertical="center"/>
    </xf>
    <xf numFmtId="0" fontId="0" fillId="8" borderId="3" xfId="0" applyFill="1" applyBorder="1">
      <alignment vertical="center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S1222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1" width="7.625" customWidth="1"/>
    <col min="32" max="32" width="5.5" style="30" customWidth="1"/>
    <col min="33" max="33" width="7.625" customWidth="1"/>
    <col min="34" max="34" width="7.625" style="30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55" width="7.625" customWidth="1"/>
    <col min="56" max="56" width="5.125" customWidth="1"/>
    <col min="57" max="57" width="4.875" customWidth="1"/>
    <col min="58" max="58" width="9" customWidth="1"/>
    <col min="59" max="60" width="6.5" customWidth="1"/>
    <col min="61" max="64" width="7.625" customWidth="1"/>
    <col min="65" max="70" width="6" customWidth="1"/>
  </cols>
  <sheetData>
    <row r="1" spans="1:71" x14ac:dyDescent="0.4">
      <c r="C1" s="29" t="s">
        <v>49</v>
      </c>
      <c r="Y1" s="50" t="s">
        <v>46</v>
      </c>
      <c r="Z1" s="51"/>
      <c r="AA1" s="51"/>
      <c r="AB1" s="52"/>
    </row>
    <row r="2" spans="1:71" x14ac:dyDescent="0.4">
      <c r="C2" s="8" t="s">
        <v>33</v>
      </c>
      <c r="D2" s="9" t="s">
        <v>34</v>
      </c>
      <c r="E2" s="9" t="s">
        <v>35</v>
      </c>
      <c r="F2" s="10"/>
      <c r="G2" s="10"/>
      <c r="H2" s="36"/>
      <c r="I2" s="36"/>
      <c r="J2" s="47" t="s">
        <v>36</v>
      </c>
      <c r="K2" s="49"/>
      <c r="L2" s="47" t="s">
        <v>2</v>
      </c>
      <c r="M2" s="48"/>
      <c r="N2" s="48"/>
      <c r="O2" s="49"/>
      <c r="P2" s="11"/>
      <c r="Q2" s="35"/>
      <c r="R2" s="35"/>
      <c r="S2" s="35"/>
      <c r="T2" s="35"/>
      <c r="U2" s="35"/>
      <c r="V2" s="35"/>
      <c r="W2" s="35"/>
      <c r="X2" s="35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31"/>
      <c r="AG2" s="11"/>
      <c r="AH2" s="31"/>
      <c r="AI2" s="11"/>
      <c r="AJ2" s="22" t="s">
        <v>47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J2">
        <v>14</v>
      </c>
      <c r="BK2">
        <v>28</v>
      </c>
    </row>
    <row r="3" spans="1:71" ht="75" x14ac:dyDescent="0.4">
      <c r="A3" s="1" t="s">
        <v>57</v>
      </c>
      <c r="B3" s="1" t="s">
        <v>63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59</v>
      </c>
      <c r="I3" s="12" t="s">
        <v>60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53</v>
      </c>
      <c r="Q3" s="12" t="s">
        <v>20</v>
      </c>
      <c r="R3" s="12" t="s">
        <v>21</v>
      </c>
      <c r="S3" s="12" t="s">
        <v>54</v>
      </c>
      <c r="T3" s="12" t="s">
        <v>23</v>
      </c>
      <c r="U3" s="12" t="s">
        <v>24</v>
      </c>
      <c r="V3" s="12" t="s">
        <v>55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32" t="s">
        <v>50</v>
      </c>
      <c r="AG3" s="12" t="s">
        <v>45</v>
      </c>
      <c r="AH3" s="37" t="s">
        <v>61</v>
      </c>
      <c r="AI3" s="2" t="s">
        <v>16</v>
      </c>
      <c r="AJ3" s="13" t="s">
        <v>37</v>
      </c>
      <c r="AK3" s="2" t="s">
        <v>16</v>
      </c>
      <c r="AL3" s="2" t="s">
        <v>38</v>
      </c>
      <c r="AM3" s="26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2" t="s">
        <v>62</v>
      </c>
      <c r="BH3" s="2" t="s">
        <v>4698</v>
      </c>
      <c r="BI3" s="2" t="s">
        <v>15</v>
      </c>
      <c r="BJ3" s="18" t="s">
        <v>51</v>
      </c>
      <c r="BK3" s="18" t="s">
        <v>52</v>
      </c>
      <c r="BL3" s="15" t="s">
        <v>58</v>
      </c>
      <c r="BM3" s="46" t="s">
        <v>4694</v>
      </c>
      <c r="BN3" s="43" t="s">
        <v>4699</v>
      </c>
      <c r="BO3" s="44" t="s">
        <v>4697</v>
      </c>
      <c r="BP3" s="44" t="s">
        <v>4695</v>
      </c>
      <c r="BQ3" s="44" t="s">
        <v>4700</v>
      </c>
      <c r="BR3" s="44" t="s">
        <v>4696</v>
      </c>
      <c r="BS3" s="34" t="s">
        <v>56</v>
      </c>
    </row>
    <row r="4" spans="1:71" x14ac:dyDescent="0.4">
      <c r="A4" s="3">
        <v>1</v>
      </c>
      <c r="B4" s="3">
        <v>1</v>
      </c>
      <c r="C4" s="4" t="s">
        <v>64</v>
      </c>
      <c r="D4" s="4" t="str">
        <f>TEXT(C4,"000000")</f>
        <v>4576AR</v>
      </c>
      <c r="E4" s="4" t="s">
        <v>64</v>
      </c>
      <c r="F4" s="4" t="s">
        <v>1282</v>
      </c>
      <c r="G4" s="5">
        <v>4521718243184</v>
      </c>
      <c r="H4" s="5"/>
      <c r="I4" s="5"/>
      <c r="J4" s="5">
        <v>1</v>
      </c>
      <c r="K4" s="5">
        <v>1</v>
      </c>
      <c r="L4" s="4">
        <v>1840</v>
      </c>
      <c r="M4" s="4">
        <v>1200</v>
      </c>
      <c r="N4" s="4">
        <v>827</v>
      </c>
      <c r="O4" s="6">
        <f t="shared" ref="O4:O13" si="0">1-N4/M4</f>
        <v>0.31083333333333329</v>
      </c>
      <c r="P4" s="4" t="s">
        <v>2500</v>
      </c>
      <c r="Q4" s="4"/>
      <c r="R4" s="4"/>
      <c r="S4" s="4"/>
      <c r="T4" s="4"/>
      <c r="U4" s="4"/>
      <c r="V4" s="4"/>
      <c r="W4" s="4"/>
      <c r="X4" s="4"/>
      <c r="Y4" s="4">
        <v>1273</v>
      </c>
      <c r="Z4" s="4">
        <f>IF(AC4="",Y4,Y4*AC4)</f>
        <v>1273</v>
      </c>
      <c r="AA4" s="4">
        <v>891</v>
      </c>
      <c r="AB4" s="4">
        <f>IF(AC4="",AA4,AA4*AC4)</f>
        <v>891</v>
      </c>
      <c r="AC4" s="4"/>
      <c r="AD4" s="21">
        <f>ROUND(M4*AR4,0)</f>
        <v>1293</v>
      </c>
      <c r="AE4" s="6">
        <f>1-AB4/AD4</f>
        <v>0.31090487238979114</v>
      </c>
      <c r="AF4" s="33">
        <v>0</v>
      </c>
      <c r="AG4" s="4">
        <f>BI4</f>
        <v>2140</v>
      </c>
      <c r="AH4" s="33">
        <f t="shared" ref="AH4:AH67" si="1">AG4*AR4</f>
        <v>2305.6106408706169</v>
      </c>
      <c r="AI4" s="6">
        <f>1-AB4/AH4</f>
        <v>0.61355140186915891</v>
      </c>
      <c r="AJ4" s="7">
        <v>1273</v>
      </c>
      <c r="AK4" s="6">
        <f>1-AB4/AJ4</f>
        <v>0.30007855459544386</v>
      </c>
      <c r="AL4" s="4">
        <f>AJ4-AB4</f>
        <v>382</v>
      </c>
      <c r="AM4" s="28"/>
      <c r="AN4" s="6" t="e">
        <f>1-AB4/AM4</f>
        <v>#DIV/0!</v>
      </c>
      <c r="AO4" s="4">
        <f>AM4-AB4</f>
        <v>-891</v>
      </c>
      <c r="AP4" s="6">
        <f>Z4/L4</f>
        <v>0.6918478260869565</v>
      </c>
      <c r="AQ4" s="6">
        <f>AJ4/M4</f>
        <v>1.0608333333333333</v>
      </c>
      <c r="AR4" s="6">
        <f>AB4/N4</f>
        <v>1.0773881499395406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>
        <v>0</v>
      </c>
      <c r="BC4" s="4" t="s">
        <v>3535</v>
      </c>
      <c r="BD4" s="4"/>
      <c r="BE4" s="4"/>
      <c r="BF4" s="4" t="s">
        <v>3536</v>
      </c>
      <c r="BG4" s="4">
        <v>2140</v>
      </c>
      <c r="BH4" s="4">
        <v>2140</v>
      </c>
      <c r="BI4" s="4">
        <f t="shared" ref="BI4:BI5" si="2">IF(BD4="",BH4,BD4/BE4*BH4)</f>
        <v>2140</v>
      </c>
      <c r="BJ4" s="19">
        <v>4</v>
      </c>
      <c r="BK4" s="19">
        <v>8</v>
      </c>
      <c r="BL4" s="16">
        <v>6</v>
      </c>
      <c r="BM4" s="45" t="s">
        <v>3534</v>
      </c>
      <c r="BN4" t="s">
        <v>3534</v>
      </c>
      <c r="BO4" t="str">
        <f>IFERROR(BN4*AR4,"-")</f>
        <v>-</v>
      </c>
      <c r="BP4" t="s">
        <v>3534</v>
      </c>
      <c r="BQ4">
        <v>1654</v>
      </c>
      <c r="BR4">
        <f>IFERROR(BQ4*AR4,"-")</f>
        <v>1782</v>
      </c>
      <c r="BS4" t="s">
        <v>2501</v>
      </c>
    </row>
    <row r="5" spans="1:71" x14ac:dyDescent="0.4">
      <c r="A5" s="3">
        <v>2</v>
      </c>
      <c r="B5" s="3">
        <v>2</v>
      </c>
      <c r="C5" s="4" t="s">
        <v>65</v>
      </c>
      <c r="D5" s="4" t="str">
        <f t="shared" ref="D5:D13" si="3">TEXT(C5,"000000")</f>
        <v>4577AR</v>
      </c>
      <c r="E5" s="4" t="s">
        <v>65</v>
      </c>
      <c r="F5" s="4" t="s">
        <v>1283</v>
      </c>
      <c r="G5" s="5">
        <v>4521718243191</v>
      </c>
      <c r="H5" s="5"/>
      <c r="I5" s="5"/>
      <c r="J5" s="5">
        <v>1</v>
      </c>
      <c r="K5" s="5">
        <v>1</v>
      </c>
      <c r="L5" s="4">
        <v>3680</v>
      </c>
      <c r="M5" s="4">
        <v>2380</v>
      </c>
      <c r="N5" s="4">
        <v>1655</v>
      </c>
      <c r="O5" s="6">
        <f t="shared" si="0"/>
        <v>0.30462184873949583</v>
      </c>
      <c r="P5" s="4" t="s">
        <v>2500</v>
      </c>
      <c r="Q5" s="4"/>
      <c r="R5" s="4"/>
      <c r="S5" s="4"/>
      <c r="T5" s="4"/>
      <c r="U5" s="4"/>
      <c r="V5" s="4"/>
      <c r="W5" s="4"/>
      <c r="X5" s="4"/>
      <c r="Y5" s="4">
        <v>2546</v>
      </c>
      <c r="Z5" s="4">
        <f t="shared" ref="Z5:Z13" si="4">IF(AC5="",Y5,Y5*AC5)</f>
        <v>2546</v>
      </c>
      <c r="AA5" s="4">
        <v>1782</v>
      </c>
      <c r="AB5" s="4">
        <f t="shared" ref="AB5:AB13" si="5">IF(AC5="",AA5,AA5*AC5)</f>
        <v>1782</v>
      </c>
      <c r="AC5" s="4"/>
      <c r="AD5" s="21">
        <f>ROUND(M5*AR5,0)</f>
        <v>2563</v>
      </c>
      <c r="AE5" s="6">
        <f>1-AB5/AD5</f>
        <v>0.30472103004291851</v>
      </c>
      <c r="AF5" s="33">
        <v>0</v>
      </c>
      <c r="AG5" s="4">
        <f t="shared" ref="AG5:AG13" si="6">BI5</f>
        <v>2600</v>
      </c>
      <c r="AH5" s="33">
        <f t="shared" si="1"/>
        <v>2799.5166163141994</v>
      </c>
      <c r="AI5" s="6">
        <f>1-AB5/AH5</f>
        <v>0.3634615384615385</v>
      </c>
      <c r="AJ5" s="7">
        <v>2546</v>
      </c>
      <c r="AK5" s="6">
        <f>1-AB5/AJ5</f>
        <v>0.30007855459544386</v>
      </c>
      <c r="AL5" s="4">
        <f>AJ5-AB5</f>
        <v>764</v>
      </c>
      <c r="AM5" s="28"/>
      <c r="AN5" s="6"/>
      <c r="AO5" s="6"/>
      <c r="AP5" s="6">
        <f>Z5/L5</f>
        <v>0.6918478260869565</v>
      </c>
      <c r="AQ5" s="6">
        <f>AJ5/M5</f>
        <v>1.0697478991596638</v>
      </c>
      <c r="AR5" s="6">
        <f>AB5/N5</f>
        <v>1.076737160120846</v>
      </c>
      <c r="AS5" s="4"/>
      <c r="AT5" s="4"/>
      <c r="AU5" s="4"/>
      <c r="AV5" s="4"/>
      <c r="AW5" s="4"/>
      <c r="AX5" s="4"/>
      <c r="AY5" s="4"/>
      <c r="AZ5" s="4"/>
      <c r="BA5" s="4"/>
      <c r="BB5" s="4">
        <v>0</v>
      </c>
      <c r="BC5" s="4" t="s">
        <v>3537</v>
      </c>
      <c r="BD5" s="4"/>
      <c r="BE5" s="4"/>
      <c r="BF5" s="4" t="s">
        <v>3538</v>
      </c>
      <c r="BG5" s="4">
        <v>2600</v>
      </c>
      <c r="BH5" s="4">
        <v>2600</v>
      </c>
      <c r="BI5" s="4">
        <f t="shared" si="2"/>
        <v>2600</v>
      </c>
      <c r="BJ5" s="19">
        <v>4</v>
      </c>
      <c r="BK5" s="19">
        <v>8</v>
      </c>
      <c r="BL5" s="16">
        <v>6</v>
      </c>
      <c r="BM5" s="45" t="s">
        <v>3534</v>
      </c>
      <c r="BN5" t="s">
        <v>3534</v>
      </c>
      <c r="BO5" t="str">
        <f t="shared" ref="BO5:BO68" si="7">IFERROR(BN5*AR5,"-")</f>
        <v>-</v>
      </c>
      <c r="BP5" t="s">
        <v>3534</v>
      </c>
      <c r="BQ5">
        <v>3310</v>
      </c>
      <c r="BR5">
        <f t="shared" ref="BR5:BR68" si="8">IFERROR(BQ5*AR5,"-")</f>
        <v>3564</v>
      </c>
      <c r="BS5" t="s">
        <v>2502</v>
      </c>
    </row>
    <row r="6" spans="1:71" x14ac:dyDescent="0.4">
      <c r="A6" s="3">
        <v>3</v>
      </c>
      <c r="B6" s="3">
        <v>3</v>
      </c>
      <c r="C6" s="17" t="s">
        <v>66</v>
      </c>
      <c r="D6" s="4" t="str">
        <f t="shared" si="3"/>
        <v>4578AR</v>
      </c>
      <c r="E6" s="4" t="s">
        <v>66</v>
      </c>
      <c r="F6" s="4" t="s">
        <v>1284</v>
      </c>
      <c r="G6" s="5">
        <v>4521718243207</v>
      </c>
      <c r="H6" s="5"/>
      <c r="I6" s="5"/>
      <c r="J6" s="5">
        <v>1</v>
      </c>
      <c r="K6" s="5">
        <v>1</v>
      </c>
      <c r="L6" s="4">
        <v>7880</v>
      </c>
      <c r="M6" s="4">
        <v>5200</v>
      </c>
      <c r="N6" s="4">
        <v>3546</v>
      </c>
      <c r="O6" s="6">
        <f t="shared" si="0"/>
        <v>0.31807692307692303</v>
      </c>
      <c r="P6" s="4" t="s">
        <v>2500</v>
      </c>
      <c r="Q6" s="4"/>
      <c r="R6" s="4"/>
      <c r="S6" s="4"/>
      <c r="T6" s="4"/>
      <c r="U6" s="4"/>
      <c r="V6" s="4"/>
      <c r="W6" s="4"/>
      <c r="X6" s="4"/>
      <c r="Y6" s="4">
        <v>5455</v>
      </c>
      <c r="Z6" s="4">
        <f t="shared" si="4"/>
        <v>5455</v>
      </c>
      <c r="AA6" s="4">
        <v>3819</v>
      </c>
      <c r="AB6" s="4">
        <f t="shared" si="5"/>
        <v>3819</v>
      </c>
      <c r="AC6" s="4"/>
      <c r="AD6" s="21">
        <f>ROUND(M6*AR6,0)</f>
        <v>5600</v>
      </c>
      <c r="AE6" s="6">
        <f>1-AB6/AD6</f>
        <v>0.31803571428571431</v>
      </c>
      <c r="AF6" s="33">
        <v>0</v>
      </c>
      <c r="AG6" s="4">
        <f t="shared" si="6"/>
        <v>5000</v>
      </c>
      <c r="AH6" s="33">
        <f t="shared" si="1"/>
        <v>5384.9407783417937</v>
      </c>
      <c r="AI6" s="6">
        <f>1-AB6/AH6</f>
        <v>0.29080000000000006</v>
      </c>
      <c r="AJ6" s="7">
        <v>5384</v>
      </c>
      <c r="AK6" s="6">
        <f>1-AB6/AJ6</f>
        <v>0.29067607726597322</v>
      </c>
      <c r="AL6" s="4">
        <f>AJ6-AB6</f>
        <v>1565</v>
      </c>
      <c r="AM6" s="28"/>
      <c r="AN6" s="6"/>
      <c r="AO6" s="6"/>
      <c r="AP6" s="6">
        <f>Z6/L6</f>
        <v>0.69225888324873097</v>
      </c>
      <c r="AQ6" s="6">
        <f>AJ6/M6</f>
        <v>1.0353846153846153</v>
      </c>
      <c r="AR6" s="6">
        <f>AB6/N6</f>
        <v>1.0769881556683587</v>
      </c>
      <c r="AS6" s="4"/>
      <c r="AT6" s="4"/>
      <c r="AU6" s="4"/>
      <c r="AV6" s="4"/>
      <c r="AW6" s="4"/>
      <c r="AX6" s="4"/>
      <c r="AY6" s="4"/>
      <c r="AZ6" s="4"/>
      <c r="BA6" s="4"/>
      <c r="BB6" s="4">
        <v>0</v>
      </c>
      <c r="BC6" s="4" t="s">
        <v>3539</v>
      </c>
      <c r="BD6" s="4"/>
      <c r="BE6" s="4"/>
      <c r="BF6" s="4" t="s">
        <v>3538</v>
      </c>
      <c r="BG6" s="4">
        <v>5000</v>
      </c>
      <c r="BH6" s="4">
        <v>5000</v>
      </c>
      <c r="BI6" s="4">
        <f t="shared" ref="BI6:BI13" si="9">IF(BD6="",BH6,BD6/BE6*BH6)</f>
        <v>5000</v>
      </c>
      <c r="BJ6" s="19">
        <v>4</v>
      </c>
      <c r="BK6" s="19">
        <v>8</v>
      </c>
      <c r="BL6" s="16">
        <v>6</v>
      </c>
      <c r="BM6" s="45" t="s">
        <v>3534</v>
      </c>
      <c r="BN6" t="s">
        <v>3534</v>
      </c>
      <c r="BO6" t="str">
        <f t="shared" si="7"/>
        <v>-</v>
      </c>
      <c r="BP6" t="s">
        <v>3534</v>
      </c>
      <c r="BQ6">
        <v>7092</v>
      </c>
      <c r="BR6">
        <f t="shared" si="8"/>
        <v>7638</v>
      </c>
      <c r="BS6" t="s">
        <v>2503</v>
      </c>
    </row>
    <row r="7" spans="1:71" x14ac:dyDescent="0.4">
      <c r="A7" s="3">
        <v>4</v>
      </c>
      <c r="B7" s="3">
        <v>4</v>
      </c>
      <c r="C7" s="17" t="s">
        <v>67</v>
      </c>
      <c r="D7" s="4" t="str">
        <f t="shared" si="3"/>
        <v>4579AR</v>
      </c>
      <c r="E7" s="4" t="s">
        <v>67</v>
      </c>
      <c r="F7" s="4" t="s">
        <v>1285</v>
      </c>
      <c r="G7" s="5">
        <v>4521718243214</v>
      </c>
      <c r="H7" s="5"/>
      <c r="I7" s="5"/>
      <c r="J7" s="5">
        <v>1</v>
      </c>
      <c r="K7" s="5">
        <v>1</v>
      </c>
      <c r="L7" s="4">
        <v>1000</v>
      </c>
      <c r="M7" s="4">
        <v>650</v>
      </c>
      <c r="N7" s="4">
        <v>449</v>
      </c>
      <c r="O7" s="6">
        <f t="shared" si="0"/>
        <v>0.3092307692307692</v>
      </c>
      <c r="P7" s="4" t="s">
        <v>2500</v>
      </c>
      <c r="Q7" s="4"/>
      <c r="R7" s="4"/>
      <c r="S7" s="4"/>
      <c r="T7" s="4"/>
      <c r="U7" s="4"/>
      <c r="V7" s="4"/>
      <c r="W7" s="4"/>
      <c r="X7" s="4"/>
      <c r="Y7" s="4">
        <v>691</v>
      </c>
      <c r="Z7" s="4">
        <f t="shared" si="4"/>
        <v>691</v>
      </c>
      <c r="AA7" s="4">
        <v>484</v>
      </c>
      <c r="AB7" s="4">
        <f t="shared" si="5"/>
        <v>484</v>
      </c>
      <c r="AC7" s="4"/>
      <c r="AD7" s="21">
        <f>ROUND(M7*AR7,0)</f>
        <v>701</v>
      </c>
      <c r="AE7" s="6">
        <f>1-AB7/AD7</f>
        <v>0.30955777460770328</v>
      </c>
      <c r="AF7" s="33">
        <v>0</v>
      </c>
      <c r="AG7" s="4">
        <f t="shared" si="6"/>
        <v>1080</v>
      </c>
      <c r="AH7" s="33">
        <f t="shared" si="1"/>
        <v>1164.1870824053451</v>
      </c>
      <c r="AI7" s="6">
        <f>1-AB7/AH7</f>
        <v>0.58425925925925926</v>
      </c>
      <c r="AJ7" s="7">
        <v>691</v>
      </c>
      <c r="AK7" s="6">
        <f>1-AB7/AJ7</f>
        <v>0.29956584659913166</v>
      </c>
      <c r="AL7" s="4">
        <f>AJ7-AB7</f>
        <v>207</v>
      </c>
      <c r="AM7" s="28"/>
      <c r="AN7" s="6"/>
      <c r="AO7" s="6"/>
      <c r="AP7" s="6">
        <f>Z7/L7</f>
        <v>0.69099999999999995</v>
      </c>
      <c r="AQ7" s="6">
        <f>AJ7/M7</f>
        <v>1.063076923076923</v>
      </c>
      <c r="AR7" s="6">
        <f>AB7/N7</f>
        <v>1.0779510022271714</v>
      </c>
      <c r="AS7" s="4"/>
      <c r="AT7" s="4"/>
      <c r="AU7" s="4"/>
      <c r="AV7" s="4"/>
      <c r="AW7" s="4"/>
      <c r="AX7" s="4"/>
      <c r="AY7" s="4"/>
      <c r="AZ7" s="4"/>
      <c r="BA7" s="4"/>
      <c r="BB7" s="4">
        <v>0</v>
      </c>
      <c r="BC7" s="4" t="s">
        <v>3540</v>
      </c>
      <c r="BD7" s="4">
        <v>1</v>
      </c>
      <c r="BE7" s="4">
        <v>2</v>
      </c>
      <c r="BF7" s="4" t="s">
        <v>3541</v>
      </c>
      <c r="BG7" s="4">
        <v>2160</v>
      </c>
      <c r="BH7" s="4">
        <v>2160</v>
      </c>
      <c r="BI7" s="4">
        <f t="shared" si="9"/>
        <v>1080</v>
      </c>
      <c r="BJ7" s="19">
        <v>4</v>
      </c>
      <c r="BK7" s="19">
        <v>8</v>
      </c>
      <c r="BL7" s="16">
        <v>6</v>
      </c>
      <c r="BM7" s="45" t="s">
        <v>3534</v>
      </c>
      <c r="BN7" t="s">
        <v>3534</v>
      </c>
      <c r="BO7" t="str">
        <f t="shared" si="7"/>
        <v>-</v>
      </c>
      <c r="BP7" t="s">
        <v>3534</v>
      </c>
      <c r="BQ7">
        <v>898</v>
      </c>
      <c r="BR7">
        <f t="shared" si="8"/>
        <v>968</v>
      </c>
      <c r="BS7" t="s">
        <v>2504</v>
      </c>
    </row>
    <row r="8" spans="1:71" x14ac:dyDescent="0.4">
      <c r="A8" s="3">
        <v>5</v>
      </c>
      <c r="B8" s="3">
        <v>5</v>
      </c>
      <c r="C8" s="17" t="s">
        <v>68</v>
      </c>
      <c r="D8" s="4" t="str">
        <f t="shared" si="3"/>
        <v>4580AR</v>
      </c>
      <c r="E8" s="4" t="s">
        <v>68</v>
      </c>
      <c r="F8" s="4" t="s">
        <v>1286</v>
      </c>
      <c r="G8" s="5">
        <v>4521718243221</v>
      </c>
      <c r="H8" s="5"/>
      <c r="I8" s="5"/>
      <c r="J8" s="5">
        <v>1</v>
      </c>
      <c r="K8" s="5">
        <v>1</v>
      </c>
      <c r="L8" s="4">
        <v>2500</v>
      </c>
      <c r="M8" s="4">
        <v>1650</v>
      </c>
      <c r="N8" s="4">
        <v>1123</v>
      </c>
      <c r="O8" s="6">
        <f t="shared" si="0"/>
        <v>0.31939393939393934</v>
      </c>
      <c r="P8" s="4" t="s">
        <v>2500</v>
      </c>
      <c r="Q8" s="4"/>
      <c r="R8" s="4"/>
      <c r="S8" s="4"/>
      <c r="T8" s="4"/>
      <c r="U8" s="4"/>
      <c r="V8" s="4"/>
      <c r="W8" s="4"/>
      <c r="X8" s="4"/>
      <c r="Y8" s="4">
        <v>1728</v>
      </c>
      <c r="Z8" s="4">
        <f t="shared" si="4"/>
        <v>1728</v>
      </c>
      <c r="AA8" s="4">
        <v>1210</v>
      </c>
      <c r="AB8" s="4">
        <f t="shared" si="5"/>
        <v>1210</v>
      </c>
      <c r="AC8" s="4"/>
      <c r="AD8" s="21">
        <f>ROUND(M8*AR8,0)</f>
        <v>1778</v>
      </c>
      <c r="AE8" s="6">
        <f>1-AB8/AD8</f>
        <v>0.31946006749156353</v>
      </c>
      <c r="AF8" s="33">
        <v>0</v>
      </c>
      <c r="AG8" s="4">
        <f t="shared" si="6"/>
        <v>2600</v>
      </c>
      <c r="AH8" s="33">
        <f t="shared" si="1"/>
        <v>2801.4247551202134</v>
      </c>
      <c r="AI8" s="6">
        <f>1-AB8/AH8</f>
        <v>0.56807692307692303</v>
      </c>
      <c r="AJ8" s="7">
        <v>1728</v>
      </c>
      <c r="AK8" s="6">
        <f>1-AB8/AJ8</f>
        <v>0.29976851851851849</v>
      </c>
      <c r="AL8" s="4">
        <f>AJ8-AB8</f>
        <v>518</v>
      </c>
      <c r="AM8" s="28"/>
      <c r="AN8" s="6"/>
      <c r="AO8" s="6"/>
      <c r="AP8" s="6">
        <f>Z8/L8</f>
        <v>0.69120000000000004</v>
      </c>
      <c r="AQ8" s="6">
        <f>AJ8/M8</f>
        <v>1.0472727272727274</v>
      </c>
      <c r="AR8" s="6">
        <f>AB8/N8</f>
        <v>1.0774710596616206</v>
      </c>
      <c r="AS8" s="4"/>
      <c r="AT8" s="4"/>
      <c r="AU8" s="4"/>
      <c r="AV8" s="4"/>
      <c r="AW8" s="4"/>
      <c r="AX8" s="4"/>
      <c r="AY8" s="4"/>
      <c r="AZ8" s="4"/>
      <c r="BA8" s="4"/>
      <c r="BB8" s="4">
        <v>0</v>
      </c>
      <c r="BC8" s="4" t="s">
        <v>3542</v>
      </c>
      <c r="BD8" s="4"/>
      <c r="BE8" s="4"/>
      <c r="BF8" s="4" t="s">
        <v>3536</v>
      </c>
      <c r="BG8" s="4">
        <v>2600</v>
      </c>
      <c r="BH8" s="4">
        <v>2600</v>
      </c>
      <c r="BI8" s="4">
        <f t="shared" si="9"/>
        <v>2600</v>
      </c>
      <c r="BJ8" s="19">
        <v>4</v>
      </c>
      <c r="BK8" s="19">
        <v>8</v>
      </c>
      <c r="BL8" s="16">
        <v>6</v>
      </c>
      <c r="BM8" s="45" t="s">
        <v>3534</v>
      </c>
      <c r="BN8" t="s">
        <v>3534</v>
      </c>
      <c r="BO8" t="str">
        <f t="shared" si="7"/>
        <v>-</v>
      </c>
      <c r="BP8" t="s">
        <v>3534</v>
      </c>
      <c r="BQ8">
        <v>2246</v>
      </c>
      <c r="BR8">
        <f t="shared" si="8"/>
        <v>2420</v>
      </c>
      <c r="BS8" t="s">
        <v>2505</v>
      </c>
    </row>
    <row r="9" spans="1:71" x14ac:dyDescent="0.4">
      <c r="A9" s="3">
        <v>6</v>
      </c>
      <c r="B9" s="3">
        <v>6</v>
      </c>
      <c r="C9" s="17" t="s">
        <v>69</v>
      </c>
      <c r="D9" s="4" t="str">
        <f t="shared" si="3"/>
        <v>4581AR</v>
      </c>
      <c r="E9" s="4" t="s">
        <v>69</v>
      </c>
      <c r="F9" s="4" t="s">
        <v>1287</v>
      </c>
      <c r="G9" s="5">
        <v>4521718243238</v>
      </c>
      <c r="H9" s="5"/>
      <c r="I9" s="5"/>
      <c r="J9" s="5">
        <v>1</v>
      </c>
      <c r="K9" s="5">
        <v>1</v>
      </c>
      <c r="L9" s="4">
        <v>4730</v>
      </c>
      <c r="M9" s="4">
        <v>3080</v>
      </c>
      <c r="N9" s="4">
        <v>2127</v>
      </c>
      <c r="O9" s="6">
        <f t="shared" si="0"/>
        <v>0.30941558441558437</v>
      </c>
      <c r="P9" s="4" t="s">
        <v>2500</v>
      </c>
      <c r="Q9" s="4"/>
      <c r="R9" s="4"/>
      <c r="S9" s="4"/>
      <c r="T9" s="4"/>
      <c r="U9" s="4"/>
      <c r="V9" s="4"/>
      <c r="W9" s="4"/>
      <c r="X9" s="4"/>
      <c r="Y9" s="4">
        <v>3273</v>
      </c>
      <c r="Z9" s="4">
        <f t="shared" si="4"/>
        <v>3273</v>
      </c>
      <c r="AA9" s="4">
        <v>2291</v>
      </c>
      <c r="AB9" s="4">
        <f t="shared" si="5"/>
        <v>2291</v>
      </c>
      <c r="AC9" s="4"/>
      <c r="AD9" s="21">
        <f>ROUND(M9*AR9,0)</f>
        <v>3317</v>
      </c>
      <c r="AE9" s="6">
        <f>1-AB9/AD9</f>
        <v>0.3093156466686765</v>
      </c>
      <c r="AF9" s="33">
        <v>0</v>
      </c>
      <c r="AG9" s="4">
        <f t="shared" si="6"/>
        <v>1250</v>
      </c>
      <c r="AH9" s="33">
        <f t="shared" si="1"/>
        <v>1346.3798777621064</v>
      </c>
      <c r="AI9" s="6">
        <f>1-AB9/AH9</f>
        <v>-0.70159999999999978</v>
      </c>
      <c r="AJ9" s="7">
        <v>3273</v>
      </c>
      <c r="AK9" s="6">
        <f>1-AB9/AJ9</f>
        <v>0.30003055300947146</v>
      </c>
      <c r="AL9" s="4">
        <f>AJ9-AB9</f>
        <v>982</v>
      </c>
      <c r="AM9" s="28"/>
      <c r="AN9" s="6"/>
      <c r="AO9" s="6"/>
      <c r="AP9" s="6">
        <f>Z9/L9</f>
        <v>0.69196617336152222</v>
      </c>
      <c r="AQ9" s="6">
        <f>AJ9/M9</f>
        <v>1.0626623376623376</v>
      </c>
      <c r="AR9" s="6">
        <f>AB9/N9</f>
        <v>1.0771039022096851</v>
      </c>
      <c r="AS9" s="4"/>
      <c r="AT9" s="4"/>
      <c r="AU9" s="4"/>
      <c r="AV9" s="4"/>
      <c r="AW9" s="4"/>
      <c r="AX9" s="4"/>
      <c r="AY9" s="4"/>
      <c r="AZ9" s="4"/>
      <c r="BA9" s="4"/>
      <c r="BB9" s="4">
        <v>0</v>
      </c>
      <c r="BC9" s="4" t="s">
        <v>3543</v>
      </c>
      <c r="BD9" s="4"/>
      <c r="BE9" s="4"/>
      <c r="BF9" s="4" t="s">
        <v>3538</v>
      </c>
      <c r="BG9" s="4">
        <v>1250</v>
      </c>
      <c r="BH9" s="4">
        <v>1250</v>
      </c>
      <c r="BI9" s="4">
        <f t="shared" si="9"/>
        <v>1250</v>
      </c>
      <c r="BJ9" s="19">
        <v>4</v>
      </c>
      <c r="BK9" s="19">
        <v>8</v>
      </c>
      <c r="BL9" s="16">
        <v>6</v>
      </c>
      <c r="BM9" s="45" t="s">
        <v>3534</v>
      </c>
      <c r="BN9" t="s">
        <v>3534</v>
      </c>
      <c r="BO9" t="str">
        <f t="shared" si="7"/>
        <v>-</v>
      </c>
      <c r="BP9" t="s">
        <v>3534</v>
      </c>
      <c r="BQ9">
        <v>4254</v>
      </c>
      <c r="BR9">
        <f t="shared" si="8"/>
        <v>4582</v>
      </c>
      <c r="BS9" t="s">
        <v>2506</v>
      </c>
    </row>
    <row r="10" spans="1:71" x14ac:dyDescent="0.4">
      <c r="A10" s="3">
        <v>7</v>
      </c>
      <c r="B10" s="3">
        <v>7</v>
      </c>
      <c r="C10" s="4" t="s">
        <v>70</v>
      </c>
      <c r="D10" s="4" t="str">
        <f t="shared" si="3"/>
        <v>4582AR</v>
      </c>
      <c r="E10" s="4" t="s">
        <v>70</v>
      </c>
      <c r="F10" s="4" t="s">
        <v>1288</v>
      </c>
      <c r="G10" s="5">
        <v>4521718585239</v>
      </c>
      <c r="H10" s="5"/>
      <c r="I10" s="5"/>
      <c r="J10" s="5">
        <v>1</v>
      </c>
      <c r="K10" s="5">
        <v>1</v>
      </c>
      <c r="L10" s="4">
        <v>1770</v>
      </c>
      <c r="M10" s="4">
        <v>1350</v>
      </c>
      <c r="N10" s="4">
        <v>922</v>
      </c>
      <c r="O10" s="6">
        <f t="shared" si="0"/>
        <v>0.31703703703703701</v>
      </c>
      <c r="P10" s="4" t="s">
        <v>2500</v>
      </c>
      <c r="Q10" s="4"/>
      <c r="R10" s="4"/>
      <c r="S10" s="4"/>
      <c r="T10" s="4"/>
      <c r="U10" s="4"/>
      <c r="V10" s="4"/>
      <c r="W10" s="4"/>
      <c r="X10" s="4"/>
      <c r="Y10" s="4">
        <v>1455</v>
      </c>
      <c r="Z10" s="4">
        <f t="shared" si="4"/>
        <v>1455</v>
      </c>
      <c r="AA10" s="4">
        <v>946</v>
      </c>
      <c r="AB10" s="4">
        <f t="shared" si="5"/>
        <v>946</v>
      </c>
      <c r="AC10" s="4"/>
      <c r="AD10" s="21">
        <f>ROUND(M10*AR10,0)</f>
        <v>1385</v>
      </c>
      <c r="AE10" s="6">
        <f>1-AB10/AD10</f>
        <v>0.31696750902527071</v>
      </c>
      <c r="AF10" s="33">
        <v>0</v>
      </c>
      <c r="AG10" s="4">
        <f t="shared" si="6"/>
        <v>1770</v>
      </c>
      <c r="AH10" s="33">
        <f t="shared" si="1"/>
        <v>1816.0737527114968</v>
      </c>
      <c r="AI10" s="6">
        <f>1-AB10/AH10</f>
        <v>0.47909604519774018</v>
      </c>
      <c r="AJ10" s="7">
        <v>1455</v>
      </c>
      <c r="AK10" s="6">
        <f>1-AB10/AJ10</f>
        <v>0.34982817869415805</v>
      </c>
      <c r="AL10" s="4">
        <f>AJ10-AB10</f>
        <v>509</v>
      </c>
      <c r="AM10" s="28"/>
      <c r="AN10" s="6"/>
      <c r="AO10" s="6"/>
      <c r="AP10" s="6">
        <f>Z10/L10</f>
        <v>0.82203389830508478</v>
      </c>
      <c r="AQ10" s="6">
        <f>AJ10/M10</f>
        <v>1.0777777777777777</v>
      </c>
      <c r="AR10" s="6">
        <f>AB10/N10</f>
        <v>1.0260303687635575</v>
      </c>
      <c r="AS10" s="4"/>
      <c r="AT10" s="4"/>
      <c r="AU10" s="4"/>
      <c r="AV10" s="4"/>
      <c r="AW10" s="4"/>
      <c r="AX10" s="4"/>
      <c r="AY10" s="4"/>
      <c r="AZ10" s="4"/>
      <c r="BA10" s="4"/>
      <c r="BB10" s="4">
        <v>0</v>
      </c>
      <c r="BC10" s="4" t="s">
        <v>3544</v>
      </c>
      <c r="BD10" s="4"/>
      <c r="BE10" s="4"/>
      <c r="BF10" s="4" t="s">
        <v>3545</v>
      </c>
      <c r="BG10" s="4">
        <v>1770</v>
      </c>
      <c r="BH10" s="4">
        <v>1770</v>
      </c>
      <c r="BI10" s="4">
        <f t="shared" si="9"/>
        <v>1770</v>
      </c>
      <c r="BJ10" s="19">
        <v>4</v>
      </c>
      <c r="BK10" s="19">
        <v>8</v>
      </c>
      <c r="BL10" s="16">
        <v>6</v>
      </c>
      <c r="BM10" s="45" t="s">
        <v>3534</v>
      </c>
      <c r="BN10" t="s">
        <v>3534</v>
      </c>
      <c r="BO10" t="str">
        <f t="shared" si="7"/>
        <v>-</v>
      </c>
      <c r="BP10" t="s">
        <v>3534</v>
      </c>
      <c r="BQ10" t="s">
        <v>3534</v>
      </c>
      <c r="BR10" t="str">
        <f t="shared" si="8"/>
        <v>-</v>
      </c>
      <c r="BS10" t="s">
        <v>2507</v>
      </c>
    </row>
    <row r="11" spans="1:71" x14ac:dyDescent="0.4">
      <c r="A11" s="3">
        <v>8</v>
      </c>
      <c r="B11" s="3">
        <v>8</v>
      </c>
      <c r="C11" s="4" t="s">
        <v>71</v>
      </c>
      <c r="D11" s="4" t="str">
        <f t="shared" si="3"/>
        <v>4583AR</v>
      </c>
      <c r="E11" s="4" t="s">
        <v>71</v>
      </c>
      <c r="F11" s="4" t="s">
        <v>1289</v>
      </c>
      <c r="G11" s="5">
        <v>4521718585246</v>
      </c>
      <c r="H11" s="5"/>
      <c r="I11" s="5"/>
      <c r="J11" s="5">
        <v>1</v>
      </c>
      <c r="K11" s="5">
        <v>1</v>
      </c>
      <c r="L11" s="4">
        <v>1770</v>
      </c>
      <c r="M11" s="4">
        <v>1350</v>
      </c>
      <c r="N11" s="4">
        <v>922</v>
      </c>
      <c r="O11" s="6">
        <f t="shared" si="0"/>
        <v>0.31703703703703701</v>
      </c>
      <c r="P11" s="4" t="s">
        <v>2500</v>
      </c>
      <c r="Q11" s="4"/>
      <c r="R11" s="4"/>
      <c r="S11" s="4"/>
      <c r="T11" s="4"/>
      <c r="U11" s="4"/>
      <c r="V11" s="4"/>
      <c r="W11" s="4"/>
      <c r="X11" s="4"/>
      <c r="Y11" s="4">
        <v>1455</v>
      </c>
      <c r="Z11" s="4">
        <f t="shared" si="4"/>
        <v>1455</v>
      </c>
      <c r="AA11" s="4">
        <v>946</v>
      </c>
      <c r="AB11" s="4">
        <f t="shared" si="5"/>
        <v>946</v>
      </c>
      <c r="AC11" s="4"/>
      <c r="AD11" s="21">
        <f>ROUND(M11*AR11,0)</f>
        <v>1385</v>
      </c>
      <c r="AE11" s="6">
        <f>1-AB11/AD11</f>
        <v>0.31696750902527071</v>
      </c>
      <c r="AF11" s="33">
        <v>0</v>
      </c>
      <c r="AG11" s="4">
        <f t="shared" si="6"/>
        <v>1770</v>
      </c>
      <c r="AH11" s="33">
        <f t="shared" si="1"/>
        <v>1816.0737527114968</v>
      </c>
      <c r="AI11" s="6">
        <f>1-AB11/AH11</f>
        <v>0.47909604519774018</v>
      </c>
      <c r="AJ11" s="7">
        <v>1455</v>
      </c>
      <c r="AK11" s="6">
        <f>1-AB11/AJ11</f>
        <v>0.34982817869415805</v>
      </c>
      <c r="AL11" s="4">
        <f>AJ11-AB11</f>
        <v>509</v>
      </c>
      <c r="AM11" s="28"/>
      <c r="AN11" s="6"/>
      <c r="AO11" s="6"/>
      <c r="AP11" s="6">
        <f>Z11/L11</f>
        <v>0.82203389830508478</v>
      </c>
      <c r="AQ11" s="6">
        <f>AJ11/M11</f>
        <v>1.0777777777777777</v>
      </c>
      <c r="AR11" s="6">
        <f>AB11/N11</f>
        <v>1.0260303687635575</v>
      </c>
      <c r="AS11" s="4"/>
      <c r="AT11" s="4"/>
      <c r="AU11" s="4"/>
      <c r="AV11" s="4"/>
      <c r="AW11" s="4"/>
      <c r="AX11" s="4"/>
      <c r="AY11" s="4"/>
      <c r="AZ11" s="4"/>
      <c r="BA11" s="4"/>
      <c r="BB11" s="4">
        <v>0</v>
      </c>
      <c r="BC11" s="4" t="s">
        <v>3546</v>
      </c>
      <c r="BD11" s="4"/>
      <c r="BE11" s="4"/>
      <c r="BF11" s="4" t="s">
        <v>3545</v>
      </c>
      <c r="BG11" s="4">
        <v>1770</v>
      </c>
      <c r="BH11" s="4">
        <v>1770</v>
      </c>
      <c r="BI11" s="4">
        <f t="shared" si="9"/>
        <v>1770</v>
      </c>
      <c r="BJ11" s="19">
        <v>4</v>
      </c>
      <c r="BK11" s="19">
        <v>8</v>
      </c>
      <c r="BL11" s="16">
        <v>6</v>
      </c>
      <c r="BM11" s="45" t="s">
        <v>3534</v>
      </c>
      <c r="BN11" t="s">
        <v>3534</v>
      </c>
      <c r="BO11" t="str">
        <f t="shared" si="7"/>
        <v>-</v>
      </c>
      <c r="BP11" t="s">
        <v>3534</v>
      </c>
      <c r="BQ11" t="s">
        <v>3534</v>
      </c>
      <c r="BR11" t="str">
        <f t="shared" si="8"/>
        <v>-</v>
      </c>
      <c r="BS11" t="s">
        <v>2508</v>
      </c>
    </row>
    <row r="12" spans="1:71" x14ac:dyDescent="0.4">
      <c r="A12" s="3">
        <v>9</v>
      </c>
      <c r="B12" s="3">
        <v>9</v>
      </c>
      <c r="C12" s="4" t="s">
        <v>72</v>
      </c>
      <c r="D12" s="4" t="str">
        <f t="shared" si="3"/>
        <v>4584AR</v>
      </c>
      <c r="E12" s="4" t="s">
        <v>72</v>
      </c>
      <c r="F12" s="4" t="s">
        <v>1290</v>
      </c>
      <c r="G12" s="5">
        <v>4521718585253</v>
      </c>
      <c r="H12" s="5"/>
      <c r="I12" s="5"/>
      <c r="J12" s="5">
        <v>1</v>
      </c>
      <c r="K12" s="5">
        <v>1</v>
      </c>
      <c r="L12" s="4">
        <v>1770</v>
      </c>
      <c r="M12" s="4">
        <v>1350</v>
      </c>
      <c r="N12" s="4">
        <v>887</v>
      </c>
      <c r="O12" s="6">
        <f t="shared" si="0"/>
        <v>0.34296296296296291</v>
      </c>
      <c r="P12" s="4" t="s">
        <v>2500</v>
      </c>
      <c r="Q12" s="4"/>
      <c r="R12" s="4"/>
      <c r="S12" s="4"/>
      <c r="T12" s="4"/>
      <c r="U12" s="4"/>
      <c r="V12" s="4"/>
      <c r="W12" s="4"/>
      <c r="X12" s="4"/>
      <c r="Y12" s="4">
        <v>1437</v>
      </c>
      <c r="Z12" s="4">
        <f t="shared" si="4"/>
        <v>1437</v>
      </c>
      <c r="AA12" s="4">
        <v>934</v>
      </c>
      <c r="AB12" s="4">
        <f t="shared" si="5"/>
        <v>934</v>
      </c>
      <c r="AC12" s="4"/>
      <c r="AD12" s="21">
        <f>ROUND(M12*AR12,0)</f>
        <v>1422</v>
      </c>
      <c r="AE12" s="6">
        <f>1-AB12/AD12</f>
        <v>0.34317862165963431</v>
      </c>
      <c r="AF12" s="33">
        <v>0</v>
      </c>
      <c r="AG12" s="4">
        <f t="shared" si="6"/>
        <v>1770</v>
      </c>
      <c r="AH12" s="33">
        <f t="shared" si="1"/>
        <v>1863.7880496054115</v>
      </c>
      <c r="AI12" s="6">
        <f>1-AB12/AH12</f>
        <v>0.4988700564971752</v>
      </c>
      <c r="AJ12" s="7">
        <v>1437</v>
      </c>
      <c r="AK12" s="6">
        <f>1-AB12/AJ12</f>
        <v>0.35003479471120391</v>
      </c>
      <c r="AL12" s="4">
        <f>AJ12-AB12</f>
        <v>503</v>
      </c>
      <c r="AM12" s="28"/>
      <c r="AN12" s="6"/>
      <c r="AO12" s="6"/>
      <c r="AP12" s="6">
        <f>Z12/L12</f>
        <v>0.81186440677966099</v>
      </c>
      <c r="AQ12" s="6">
        <f>AJ12/M12</f>
        <v>1.0644444444444445</v>
      </c>
      <c r="AR12" s="6">
        <f>AB12/N12</f>
        <v>1.0529875986471251</v>
      </c>
      <c r="AS12" s="4"/>
      <c r="AT12" s="4"/>
      <c r="AU12" s="4"/>
      <c r="AV12" s="4"/>
      <c r="AW12" s="4"/>
      <c r="AX12" s="4"/>
      <c r="AY12" s="4"/>
      <c r="AZ12" s="4"/>
      <c r="BA12" s="4"/>
      <c r="BB12" s="4">
        <v>0</v>
      </c>
      <c r="BC12" s="4" t="s">
        <v>3547</v>
      </c>
      <c r="BD12" s="4"/>
      <c r="BE12" s="4"/>
      <c r="BF12" s="4" t="s">
        <v>3545</v>
      </c>
      <c r="BG12" s="4">
        <v>1770</v>
      </c>
      <c r="BH12" s="4">
        <v>1770</v>
      </c>
      <c r="BI12" s="4">
        <f t="shared" si="9"/>
        <v>1770</v>
      </c>
      <c r="BJ12" s="19">
        <v>4</v>
      </c>
      <c r="BK12" s="19">
        <v>8</v>
      </c>
      <c r="BL12" s="16">
        <v>6</v>
      </c>
      <c r="BM12" s="45" t="s">
        <v>3534</v>
      </c>
      <c r="BN12" t="s">
        <v>3534</v>
      </c>
      <c r="BO12" t="str">
        <f t="shared" si="7"/>
        <v>-</v>
      </c>
      <c r="BP12" t="s">
        <v>3534</v>
      </c>
      <c r="BQ12" t="s">
        <v>3534</v>
      </c>
      <c r="BR12" t="str">
        <f t="shared" si="8"/>
        <v>-</v>
      </c>
      <c r="BS12" t="s">
        <v>2509</v>
      </c>
    </row>
    <row r="13" spans="1:71" x14ac:dyDescent="0.4">
      <c r="A13" s="3">
        <v>10</v>
      </c>
      <c r="B13" s="3">
        <v>10</v>
      </c>
      <c r="C13" s="4" t="s">
        <v>73</v>
      </c>
      <c r="D13" s="4" t="str">
        <f t="shared" si="3"/>
        <v>4585AR</v>
      </c>
      <c r="E13" s="4" t="s">
        <v>73</v>
      </c>
      <c r="F13" s="4" t="s">
        <v>1291</v>
      </c>
      <c r="G13" s="5">
        <v>4521718585697</v>
      </c>
      <c r="H13" s="5"/>
      <c r="I13" s="5"/>
      <c r="J13" s="5">
        <v>1</v>
      </c>
      <c r="K13" s="5">
        <v>1</v>
      </c>
      <c r="L13" s="4">
        <v>170</v>
      </c>
      <c r="M13" s="4">
        <v>128</v>
      </c>
      <c r="N13" s="4">
        <v>89</v>
      </c>
      <c r="O13" s="6">
        <f t="shared" si="0"/>
        <v>0.3046875</v>
      </c>
      <c r="P13" s="4" t="s">
        <v>2500</v>
      </c>
      <c r="Q13" s="4"/>
      <c r="R13" s="4"/>
      <c r="S13" s="4"/>
      <c r="T13" s="4"/>
      <c r="U13" s="4"/>
      <c r="V13" s="4"/>
      <c r="W13" s="4"/>
      <c r="X13" s="4"/>
      <c r="Y13" s="4">
        <v>137</v>
      </c>
      <c r="Z13" s="4">
        <f t="shared" si="4"/>
        <v>137</v>
      </c>
      <c r="AA13" s="4">
        <v>89</v>
      </c>
      <c r="AB13" s="4">
        <f t="shared" si="5"/>
        <v>89</v>
      </c>
      <c r="AC13" s="4"/>
      <c r="AD13" s="21">
        <f>ROUND(M13*AR13,0)</f>
        <v>128</v>
      </c>
      <c r="AE13" s="6">
        <f>1-AB13/AD13</f>
        <v>0.3046875</v>
      </c>
      <c r="AF13" s="33">
        <v>0</v>
      </c>
      <c r="AG13" s="4">
        <f t="shared" si="6"/>
        <v>170</v>
      </c>
      <c r="AH13" s="33">
        <f t="shared" si="1"/>
        <v>170</v>
      </c>
      <c r="AI13" s="6">
        <f>1-AB13/AH13</f>
        <v>0.47647058823529409</v>
      </c>
      <c r="AJ13" s="7">
        <v>137</v>
      </c>
      <c r="AK13" s="6">
        <f>1-AB13/AJ13</f>
        <v>0.35036496350364965</v>
      </c>
      <c r="AL13" s="4">
        <f>AJ13-AB13</f>
        <v>48</v>
      </c>
      <c r="AM13" s="28"/>
      <c r="AN13" s="6"/>
      <c r="AO13" s="6"/>
      <c r="AP13" s="6">
        <f>Z13/L13</f>
        <v>0.80588235294117649</v>
      </c>
      <c r="AQ13" s="6">
        <f>AJ13/M13</f>
        <v>1.0703125</v>
      </c>
      <c r="AR13" s="6">
        <f>AB13/N13</f>
        <v>1</v>
      </c>
      <c r="AS13" s="4"/>
      <c r="AT13" s="4"/>
      <c r="AU13" s="4"/>
      <c r="AV13" s="4"/>
      <c r="AW13" s="4"/>
      <c r="AX13" s="4"/>
      <c r="AY13" s="4"/>
      <c r="AZ13" s="4"/>
      <c r="BA13" s="4"/>
      <c r="BB13" s="4">
        <v>0</v>
      </c>
      <c r="BC13" s="4" t="s">
        <v>3548</v>
      </c>
      <c r="BD13" s="4">
        <v>1</v>
      </c>
      <c r="BE13" s="4">
        <v>8</v>
      </c>
      <c r="BF13" s="4" t="s">
        <v>3549</v>
      </c>
      <c r="BG13" s="4">
        <v>1360</v>
      </c>
      <c r="BH13" s="4">
        <v>1360</v>
      </c>
      <c r="BI13" s="4">
        <f t="shared" si="9"/>
        <v>170</v>
      </c>
      <c r="BJ13" s="19">
        <v>4</v>
      </c>
      <c r="BK13" s="19">
        <v>8</v>
      </c>
      <c r="BL13" s="16">
        <v>6</v>
      </c>
      <c r="BM13" s="45" t="s">
        <v>3534</v>
      </c>
      <c r="BN13" t="s">
        <v>3534</v>
      </c>
      <c r="BO13" t="str">
        <f t="shared" si="7"/>
        <v>-</v>
      </c>
      <c r="BP13" t="s">
        <v>3534</v>
      </c>
      <c r="BQ13" t="s">
        <v>3534</v>
      </c>
      <c r="BR13" t="str">
        <f t="shared" si="8"/>
        <v>-</v>
      </c>
      <c r="BS13" t="s">
        <v>2510</v>
      </c>
    </row>
    <row r="14" spans="1:71" x14ac:dyDescent="0.4">
      <c r="A14" s="3">
        <v>11</v>
      </c>
      <c r="B14" s="3">
        <v>11</v>
      </c>
      <c r="C14" s="4" t="s">
        <v>74</v>
      </c>
      <c r="D14" s="4" t="str">
        <f t="shared" ref="D14:D22" si="10">TEXT(C14,"000000")</f>
        <v>4586AR</v>
      </c>
      <c r="E14" s="4" t="s">
        <v>74</v>
      </c>
      <c r="F14" s="4" t="s">
        <v>1292</v>
      </c>
      <c r="G14" s="5">
        <v>4521718585703</v>
      </c>
      <c r="H14" s="5"/>
      <c r="I14" s="5"/>
      <c r="J14" s="5">
        <v>1</v>
      </c>
      <c r="K14" s="5">
        <v>1</v>
      </c>
      <c r="L14" s="4">
        <v>170</v>
      </c>
      <c r="M14" s="4">
        <v>128</v>
      </c>
      <c r="N14" s="4">
        <v>89</v>
      </c>
      <c r="O14" s="6">
        <f t="shared" ref="O14:O22" si="11">1-N14/M14</f>
        <v>0.3046875</v>
      </c>
      <c r="P14" s="4" t="s">
        <v>2500</v>
      </c>
      <c r="Q14" s="4"/>
      <c r="R14" s="4"/>
      <c r="S14" s="4"/>
      <c r="T14" s="4"/>
      <c r="U14" s="4"/>
      <c r="V14" s="4"/>
      <c r="W14" s="4"/>
      <c r="X14" s="4"/>
      <c r="Y14" s="4">
        <v>137</v>
      </c>
      <c r="Z14" s="4">
        <f t="shared" ref="Z14:Z22" si="12">IF(AC14="",Y14,Y14*AC14)</f>
        <v>137</v>
      </c>
      <c r="AA14" s="4">
        <v>89</v>
      </c>
      <c r="AB14" s="4">
        <f t="shared" ref="AB14:AB22" si="13">IF(AC14="",AA14,AA14*AC14)</f>
        <v>89</v>
      </c>
      <c r="AC14" s="4"/>
      <c r="AD14" s="21">
        <f>ROUND(M14*AR14,0)</f>
        <v>128</v>
      </c>
      <c r="AE14" s="6">
        <f>1-AB14/AD14</f>
        <v>0.3046875</v>
      </c>
      <c r="AF14" s="33">
        <v>0</v>
      </c>
      <c r="AG14" s="4">
        <f t="shared" ref="AG14:AG22" si="14">BI14</f>
        <v>170</v>
      </c>
      <c r="AH14" s="33">
        <f t="shared" si="1"/>
        <v>170</v>
      </c>
      <c r="AI14" s="6">
        <f>1-AB14/AH14</f>
        <v>0.47647058823529409</v>
      </c>
      <c r="AJ14" s="7">
        <v>137</v>
      </c>
      <c r="AK14" s="6">
        <f>1-AB14/AJ14</f>
        <v>0.35036496350364965</v>
      </c>
      <c r="AL14" s="4">
        <f>AJ14-AB14</f>
        <v>48</v>
      </c>
      <c r="AM14" s="28"/>
      <c r="AN14" s="6"/>
      <c r="AO14" s="6"/>
      <c r="AP14" s="6">
        <f>Z14/L14</f>
        <v>0.80588235294117649</v>
      </c>
      <c r="AQ14" s="6">
        <f>AJ14/M14</f>
        <v>1.0703125</v>
      </c>
      <c r="AR14" s="6">
        <f>AB14/N14</f>
        <v>1</v>
      </c>
      <c r="AS14" s="4"/>
      <c r="AT14" s="4"/>
      <c r="AU14" s="4"/>
      <c r="AV14" s="4"/>
      <c r="AW14" s="4"/>
      <c r="AX14" s="4"/>
      <c r="AY14" s="4"/>
      <c r="AZ14" s="4"/>
      <c r="BA14" s="4"/>
      <c r="BB14" s="4">
        <v>0</v>
      </c>
      <c r="BC14" s="4" t="s">
        <v>3550</v>
      </c>
      <c r="BD14" s="4">
        <v>1</v>
      </c>
      <c r="BE14" s="4">
        <v>8</v>
      </c>
      <c r="BF14" s="4" t="s">
        <v>3549</v>
      </c>
      <c r="BG14" s="4">
        <v>1360</v>
      </c>
      <c r="BH14" s="4">
        <v>1360</v>
      </c>
      <c r="BI14" s="4">
        <f t="shared" ref="BI14:BI22" si="15">IF(BD14="",BH14,BD14/BE14*BH14)</f>
        <v>170</v>
      </c>
      <c r="BJ14" s="19">
        <v>4</v>
      </c>
      <c r="BK14" s="19">
        <v>8</v>
      </c>
      <c r="BL14" s="16">
        <v>6</v>
      </c>
      <c r="BM14" s="45" t="s">
        <v>3534</v>
      </c>
      <c r="BN14" t="s">
        <v>3534</v>
      </c>
      <c r="BO14" t="str">
        <f t="shared" si="7"/>
        <v>-</v>
      </c>
      <c r="BP14" t="s">
        <v>3534</v>
      </c>
      <c r="BQ14" t="s">
        <v>3534</v>
      </c>
      <c r="BR14" t="str">
        <f t="shared" si="8"/>
        <v>-</v>
      </c>
      <c r="BS14" t="s">
        <v>2511</v>
      </c>
    </row>
    <row r="15" spans="1:71" x14ac:dyDescent="0.4">
      <c r="A15" s="3">
        <v>12</v>
      </c>
      <c r="B15" s="3">
        <v>12</v>
      </c>
      <c r="C15" s="4" t="s">
        <v>75</v>
      </c>
      <c r="D15" s="4" t="str">
        <f t="shared" si="10"/>
        <v>4587AR</v>
      </c>
      <c r="E15" s="4" t="s">
        <v>75</v>
      </c>
      <c r="F15" s="4" t="s">
        <v>1293</v>
      </c>
      <c r="G15" s="5">
        <v>4521718585710</v>
      </c>
      <c r="H15" s="5"/>
      <c r="I15" s="5"/>
      <c r="J15" s="5">
        <v>1</v>
      </c>
      <c r="K15" s="5">
        <v>1</v>
      </c>
      <c r="L15" s="4">
        <v>170</v>
      </c>
      <c r="M15" s="4">
        <v>128</v>
      </c>
      <c r="N15" s="4">
        <v>89</v>
      </c>
      <c r="O15" s="6">
        <f t="shared" si="11"/>
        <v>0.3046875</v>
      </c>
      <c r="P15" s="4" t="s">
        <v>2500</v>
      </c>
      <c r="Q15" s="4"/>
      <c r="R15" s="4"/>
      <c r="S15" s="4"/>
      <c r="T15" s="4"/>
      <c r="U15" s="4"/>
      <c r="V15" s="4"/>
      <c r="W15" s="4"/>
      <c r="X15" s="4"/>
      <c r="Y15" s="4">
        <v>137</v>
      </c>
      <c r="Z15" s="4">
        <f t="shared" si="12"/>
        <v>137</v>
      </c>
      <c r="AA15" s="4">
        <v>89</v>
      </c>
      <c r="AB15" s="4">
        <f t="shared" si="13"/>
        <v>89</v>
      </c>
      <c r="AC15" s="4"/>
      <c r="AD15" s="21">
        <f>ROUND(M15*AR15,0)</f>
        <v>128</v>
      </c>
      <c r="AE15" s="6">
        <f>1-AB15/AD15</f>
        <v>0.3046875</v>
      </c>
      <c r="AF15" s="33">
        <v>0</v>
      </c>
      <c r="AG15" s="4">
        <f t="shared" si="14"/>
        <v>170</v>
      </c>
      <c r="AH15" s="33">
        <f t="shared" si="1"/>
        <v>170</v>
      </c>
      <c r="AI15" s="6">
        <f>1-AB15/AH15</f>
        <v>0.47647058823529409</v>
      </c>
      <c r="AJ15" s="7">
        <v>137</v>
      </c>
      <c r="AK15" s="6">
        <f>1-AB15/AJ15</f>
        <v>0.35036496350364965</v>
      </c>
      <c r="AL15" s="4">
        <f>AJ15-AB15</f>
        <v>48</v>
      </c>
      <c r="AM15" s="28"/>
      <c r="AN15" s="6"/>
      <c r="AO15" s="6"/>
      <c r="AP15" s="6">
        <f>Z15/L15</f>
        <v>0.80588235294117649</v>
      </c>
      <c r="AQ15" s="6">
        <f>AJ15/M15</f>
        <v>1.0703125</v>
      </c>
      <c r="AR15" s="6">
        <f>AB15/N15</f>
        <v>1</v>
      </c>
      <c r="AS15" s="4"/>
      <c r="AT15" s="4"/>
      <c r="AU15" s="4"/>
      <c r="AV15" s="4"/>
      <c r="AW15" s="4"/>
      <c r="AX15" s="4"/>
      <c r="AY15" s="4"/>
      <c r="AZ15" s="4"/>
      <c r="BA15" s="4"/>
      <c r="BB15" s="4">
        <v>0</v>
      </c>
      <c r="BC15" s="4" t="s">
        <v>3551</v>
      </c>
      <c r="BD15" s="4">
        <v>1</v>
      </c>
      <c r="BE15" s="4">
        <v>8</v>
      </c>
      <c r="BF15" s="4" t="s">
        <v>3549</v>
      </c>
      <c r="BG15" s="4">
        <v>1360</v>
      </c>
      <c r="BH15" s="4">
        <v>1360</v>
      </c>
      <c r="BI15" s="4">
        <f t="shared" si="15"/>
        <v>170</v>
      </c>
      <c r="BJ15" s="19">
        <v>4</v>
      </c>
      <c r="BK15" s="19">
        <v>8</v>
      </c>
      <c r="BL15" s="16">
        <v>6</v>
      </c>
      <c r="BM15" s="45" t="s">
        <v>3534</v>
      </c>
      <c r="BN15" t="s">
        <v>3534</v>
      </c>
      <c r="BO15" t="str">
        <f t="shared" si="7"/>
        <v>-</v>
      </c>
      <c r="BP15" t="s">
        <v>3534</v>
      </c>
      <c r="BQ15" t="s">
        <v>3534</v>
      </c>
      <c r="BR15" t="str">
        <f t="shared" si="8"/>
        <v>-</v>
      </c>
      <c r="BS15" t="s">
        <v>2512</v>
      </c>
    </row>
    <row r="16" spans="1:71" x14ac:dyDescent="0.4">
      <c r="A16" s="3">
        <v>13</v>
      </c>
      <c r="B16" s="3">
        <v>13</v>
      </c>
      <c r="C16" s="4" t="s">
        <v>76</v>
      </c>
      <c r="D16" s="4" t="str">
        <f t="shared" si="10"/>
        <v>4588AR</v>
      </c>
      <c r="E16" s="4" t="s">
        <v>76</v>
      </c>
      <c r="F16" s="4" t="s">
        <v>1294</v>
      </c>
      <c r="G16" s="5">
        <v>4521718585727</v>
      </c>
      <c r="H16" s="5"/>
      <c r="I16" s="5"/>
      <c r="J16" s="5">
        <v>1</v>
      </c>
      <c r="K16" s="5">
        <v>1</v>
      </c>
      <c r="L16" s="4">
        <v>170</v>
      </c>
      <c r="M16" s="4">
        <v>128</v>
      </c>
      <c r="N16" s="4">
        <v>89</v>
      </c>
      <c r="O16" s="6">
        <f t="shared" si="11"/>
        <v>0.3046875</v>
      </c>
      <c r="P16" s="4" t="s">
        <v>2500</v>
      </c>
      <c r="Q16" s="4"/>
      <c r="R16" s="4"/>
      <c r="S16" s="4"/>
      <c r="T16" s="4"/>
      <c r="U16" s="4"/>
      <c r="V16" s="4"/>
      <c r="W16" s="4"/>
      <c r="X16" s="4"/>
      <c r="Y16" s="4">
        <v>137</v>
      </c>
      <c r="Z16" s="4">
        <f t="shared" si="12"/>
        <v>137</v>
      </c>
      <c r="AA16" s="4">
        <v>89</v>
      </c>
      <c r="AB16" s="4">
        <f t="shared" si="13"/>
        <v>89</v>
      </c>
      <c r="AC16" s="4"/>
      <c r="AD16" s="21">
        <f>ROUND(M16*AR16,0)</f>
        <v>128</v>
      </c>
      <c r="AE16" s="6">
        <f>1-AB16/AD16</f>
        <v>0.3046875</v>
      </c>
      <c r="AF16" s="33">
        <v>0</v>
      </c>
      <c r="AG16" s="4">
        <f t="shared" si="14"/>
        <v>170</v>
      </c>
      <c r="AH16" s="33">
        <f t="shared" si="1"/>
        <v>170</v>
      </c>
      <c r="AI16" s="6">
        <f>1-AB16/AH16</f>
        <v>0.47647058823529409</v>
      </c>
      <c r="AJ16" s="7">
        <v>137</v>
      </c>
      <c r="AK16" s="6">
        <f>1-AB16/AJ16</f>
        <v>0.35036496350364965</v>
      </c>
      <c r="AL16" s="4">
        <f>AJ16-AB16</f>
        <v>48</v>
      </c>
      <c r="AM16" s="28"/>
      <c r="AN16" s="6"/>
      <c r="AO16" s="6"/>
      <c r="AP16" s="6">
        <f>Z16/L16</f>
        <v>0.80588235294117649</v>
      </c>
      <c r="AQ16" s="6">
        <f>AJ16/M16</f>
        <v>1.0703125</v>
      </c>
      <c r="AR16" s="6">
        <f>AB16/N16</f>
        <v>1</v>
      </c>
      <c r="AS16" s="4"/>
      <c r="AT16" s="4"/>
      <c r="AU16" s="4"/>
      <c r="AV16" s="4"/>
      <c r="AW16" s="4"/>
      <c r="AX16" s="4"/>
      <c r="AY16" s="4"/>
      <c r="AZ16" s="4"/>
      <c r="BA16" s="4"/>
      <c r="BB16" s="4">
        <v>0</v>
      </c>
      <c r="BC16" s="4" t="s">
        <v>3552</v>
      </c>
      <c r="BD16" s="4">
        <v>1</v>
      </c>
      <c r="BE16" s="4">
        <v>8</v>
      </c>
      <c r="BF16" s="4" t="s">
        <v>3549</v>
      </c>
      <c r="BG16" s="4">
        <v>1360</v>
      </c>
      <c r="BH16" s="4">
        <v>1360</v>
      </c>
      <c r="BI16" s="4">
        <f t="shared" si="15"/>
        <v>170</v>
      </c>
      <c r="BJ16" s="19">
        <v>4</v>
      </c>
      <c r="BK16" s="19">
        <v>8</v>
      </c>
      <c r="BL16" s="16">
        <v>6</v>
      </c>
      <c r="BM16" s="45" t="s">
        <v>3534</v>
      </c>
      <c r="BN16" t="s">
        <v>3534</v>
      </c>
      <c r="BO16" t="str">
        <f t="shared" si="7"/>
        <v>-</v>
      </c>
      <c r="BP16" t="s">
        <v>3534</v>
      </c>
      <c r="BQ16" t="s">
        <v>3534</v>
      </c>
      <c r="BR16" t="str">
        <f t="shared" si="8"/>
        <v>-</v>
      </c>
      <c r="BS16" t="s">
        <v>2513</v>
      </c>
    </row>
    <row r="17" spans="1:71" x14ac:dyDescent="0.4">
      <c r="A17" s="3">
        <v>14</v>
      </c>
      <c r="B17" s="3">
        <v>14</v>
      </c>
      <c r="C17" s="4" t="s">
        <v>77</v>
      </c>
      <c r="D17" s="4" t="str">
        <f t="shared" si="10"/>
        <v>4589AR</v>
      </c>
      <c r="E17" s="4" t="s">
        <v>77</v>
      </c>
      <c r="F17" s="4" t="s">
        <v>1295</v>
      </c>
      <c r="G17" s="5">
        <v>4521718585963</v>
      </c>
      <c r="H17" s="5"/>
      <c r="I17" s="5"/>
      <c r="J17" s="5">
        <v>1</v>
      </c>
      <c r="K17" s="5">
        <v>1</v>
      </c>
      <c r="L17" s="4">
        <v>1250</v>
      </c>
      <c r="M17" s="4">
        <v>940</v>
      </c>
      <c r="N17" s="4">
        <v>650</v>
      </c>
      <c r="O17" s="6">
        <f t="shared" si="11"/>
        <v>0.30851063829787229</v>
      </c>
      <c r="P17" s="4" t="s">
        <v>2500</v>
      </c>
      <c r="Q17" s="4"/>
      <c r="R17" s="4"/>
      <c r="S17" s="4"/>
      <c r="T17" s="4"/>
      <c r="U17" s="4"/>
      <c r="V17" s="4"/>
      <c r="W17" s="4"/>
      <c r="X17" s="4"/>
      <c r="Y17" s="4">
        <v>1046</v>
      </c>
      <c r="Z17" s="4">
        <f t="shared" si="12"/>
        <v>1046</v>
      </c>
      <c r="AA17" s="4">
        <v>680</v>
      </c>
      <c r="AB17" s="4">
        <f t="shared" si="13"/>
        <v>680</v>
      </c>
      <c r="AC17" s="4"/>
      <c r="AD17" s="21">
        <f>ROUND(M17*AR17,0)</f>
        <v>983</v>
      </c>
      <c r="AE17" s="6">
        <f>1-AB17/AD17</f>
        <v>0.30824008138351988</v>
      </c>
      <c r="AF17" s="33">
        <v>0</v>
      </c>
      <c r="AG17" s="4">
        <f t="shared" si="14"/>
        <v>1250</v>
      </c>
      <c r="AH17" s="33">
        <f t="shared" si="1"/>
        <v>1307.6923076923078</v>
      </c>
      <c r="AI17" s="6">
        <f>1-AB17/AH17</f>
        <v>0.48000000000000009</v>
      </c>
      <c r="AJ17" s="7">
        <v>1046</v>
      </c>
      <c r="AK17" s="6">
        <f>1-AB17/AJ17</f>
        <v>0.34990439770554493</v>
      </c>
      <c r="AL17" s="4">
        <f>AJ17-AB17</f>
        <v>366</v>
      </c>
      <c r="AM17" s="28"/>
      <c r="AN17" s="6"/>
      <c r="AO17" s="6"/>
      <c r="AP17" s="6">
        <f>Z17/L17</f>
        <v>0.83679999999999999</v>
      </c>
      <c r="AQ17" s="6">
        <f>AJ17/M17</f>
        <v>1.1127659574468085</v>
      </c>
      <c r="AR17" s="6">
        <f>AB17/N17</f>
        <v>1.0461538461538462</v>
      </c>
      <c r="AS17" s="4"/>
      <c r="AT17" s="4"/>
      <c r="AU17" s="4"/>
      <c r="AV17" s="4"/>
      <c r="AW17" s="4"/>
      <c r="AX17" s="4"/>
      <c r="AY17" s="4"/>
      <c r="AZ17" s="4"/>
      <c r="BA17" s="4"/>
      <c r="BB17" s="4">
        <v>0</v>
      </c>
      <c r="BC17" s="4" t="s">
        <v>3553</v>
      </c>
      <c r="BD17" s="4"/>
      <c r="BE17" s="4"/>
      <c r="BF17" s="4" t="s">
        <v>3545</v>
      </c>
      <c r="BG17" s="4">
        <v>1250</v>
      </c>
      <c r="BH17" s="4">
        <v>1250</v>
      </c>
      <c r="BI17" s="4">
        <f t="shared" si="15"/>
        <v>1250</v>
      </c>
      <c r="BJ17" s="19">
        <v>4</v>
      </c>
      <c r="BK17" s="19">
        <v>8</v>
      </c>
      <c r="BL17" s="16">
        <v>6</v>
      </c>
      <c r="BM17" s="45" t="s">
        <v>3534</v>
      </c>
      <c r="BN17" t="s">
        <v>3534</v>
      </c>
      <c r="BO17" t="str">
        <f t="shared" si="7"/>
        <v>-</v>
      </c>
      <c r="BP17" t="s">
        <v>3534</v>
      </c>
      <c r="BQ17" t="s">
        <v>3534</v>
      </c>
      <c r="BR17" t="str">
        <f t="shared" si="8"/>
        <v>-</v>
      </c>
      <c r="BS17" t="s">
        <v>2514</v>
      </c>
    </row>
    <row r="18" spans="1:71" x14ac:dyDescent="0.4">
      <c r="A18" s="3">
        <v>15</v>
      </c>
      <c r="B18" s="3">
        <v>15</v>
      </c>
      <c r="C18" s="4">
        <v>156467</v>
      </c>
      <c r="D18" s="4" t="str">
        <f t="shared" si="10"/>
        <v>156467</v>
      </c>
      <c r="E18" s="4">
        <v>156467</v>
      </c>
      <c r="F18" s="4" t="s">
        <v>1296</v>
      </c>
      <c r="G18" s="5">
        <v>4521718515359</v>
      </c>
      <c r="H18" s="5"/>
      <c r="I18" s="5"/>
      <c r="J18" s="5">
        <v>1</v>
      </c>
      <c r="K18" s="5">
        <v>1</v>
      </c>
      <c r="L18" s="4">
        <v>6200</v>
      </c>
      <c r="M18" s="4">
        <v>4735</v>
      </c>
      <c r="N18" s="4">
        <v>4650</v>
      </c>
      <c r="O18" s="6">
        <f t="shared" si="11"/>
        <v>1.7951425554382228E-2</v>
      </c>
      <c r="P18" s="4" t="s">
        <v>2500</v>
      </c>
      <c r="Q18" s="4"/>
      <c r="R18" s="4"/>
      <c r="S18" s="4"/>
      <c r="T18" s="4"/>
      <c r="U18" s="4"/>
      <c r="V18" s="4"/>
      <c r="W18" s="4"/>
      <c r="X18" s="4"/>
      <c r="Y18" s="4">
        <v>5000</v>
      </c>
      <c r="Z18" s="4">
        <f t="shared" si="12"/>
        <v>5000</v>
      </c>
      <c r="AA18" s="4">
        <v>3750</v>
      </c>
      <c r="AB18" s="4">
        <f t="shared" si="13"/>
        <v>3750</v>
      </c>
      <c r="AC18" s="4"/>
      <c r="AD18" s="21">
        <f>ROUND(M18*AR18,0)</f>
        <v>3819</v>
      </c>
      <c r="AE18" s="6">
        <f>1-AB18/AD18</f>
        <v>1.8067556952081731E-2</v>
      </c>
      <c r="AF18" s="33">
        <v>0</v>
      </c>
      <c r="AG18" s="4">
        <f t="shared" si="14"/>
        <v>11172</v>
      </c>
      <c r="AH18" s="33">
        <f t="shared" si="1"/>
        <v>9009.677419354839</v>
      </c>
      <c r="AI18" s="6">
        <f>1-AB18/AH18</f>
        <v>0.58378088077336199</v>
      </c>
      <c r="AJ18" s="7">
        <v>5000</v>
      </c>
      <c r="AK18" s="6">
        <f>1-AB18/AJ18</f>
        <v>0.25</v>
      </c>
      <c r="AL18" s="4">
        <f>AJ18-AB18</f>
        <v>1250</v>
      </c>
      <c r="AM18" s="28"/>
      <c r="AN18" s="6"/>
      <c r="AO18" s="6"/>
      <c r="AP18" s="6">
        <f>Z18/L18</f>
        <v>0.80645161290322576</v>
      </c>
      <c r="AQ18" s="6">
        <f>AJ18/M18</f>
        <v>1.0559662090813093</v>
      </c>
      <c r="AR18" s="6">
        <f>AB18/N18</f>
        <v>0.80645161290322576</v>
      </c>
      <c r="AS18" s="4"/>
      <c r="AT18" s="4"/>
      <c r="AU18" s="4"/>
      <c r="AV18" s="4"/>
      <c r="AW18" s="4"/>
      <c r="AX18" s="4"/>
      <c r="AY18" s="4"/>
      <c r="AZ18" s="4"/>
      <c r="BA18" s="4"/>
      <c r="BB18" s="4">
        <v>0</v>
      </c>
      <c r="BC18" s="4" t="s">
        <v>3554</v>
      </c>
      <c r="BD18" s="4"/>
      <c r="BE18" s="4"/>
      <c r="BF18" s="4" t="s">
        <v>3555</v>
      </c>
      <c r="BG18" s="4">
        <v>11172</v>
      </c>
      <c r="BH18" s="4">
        <v>11172</v>
      </c>
      <c r="BI18" s="4">
        <f t="shared" si="15"/>
        <v>11172</v>
      </c>
      <c r="BJ18" s="19">
        <v>4</v>
      </c>
      <c r="BK18" s="19">
        <v>8</v>
      </c>
      <c r="BL18" s="16">
        <v>19</v>
      </c>
      <c r="BM18" s="45" t="s">
        <v>3534</v>
      </c>
      <c r="BN18" t="s">
        <v>3534</v>
      </c>
      <c r="BO18" t="str">
        <f t="shared" si="7"/>
        <v>-</v>
      </c>
      <c r="BP18" t="s">
        <v>3534</v>
      </c>
      <c r="BQ18">
        <v>6200</v>
      </c>
      <c r="BR18">
        <f t="shared" si="8"/>
        <v>5000</v>
      </c>
      <c r="BS18" t="s">
        <v>2515</v>
      </c>
    </row>
    <row r="19" spans="1:71" x14ac:dyDescent="0.4">
      <c r="A19" s="3">
        <v>16</v>
      </c>
      <c r="B19" s="3">
        <v>16</v>
      </c>
      <c r="C19" s="4" t="s">
        <v>78</v>
      </c>
      <c r="D19" s="4" t="str">
        <f t="shared" si="10"/>
        <v>6561AJ</v>
      </c>
      <c r="E19" s="4" t="s">
        <v>78</v>
      </c>
      <c r="F19" s="4" t="s">
        <v>1297</v>
      </c>
      <c r="G19" s="5">
        <v>4521718189505</v>
      </c>
      <c r="H19" s="5"/>
      <c r="I19" s="5"/>
      <c r="J19" s="5">
        <v>1</v>
      </c>
      <c r="K19" s="5">
        <v>1</v>
      </c>
      <c r="L19" s="4">
        <v>1760</v>
      </c>
      <c r="M19" s="4">
        <v>1072</v>
      </c>
      <c r="N19" s="4">
        <v>790</v>
      </c>
      <c r="O19" s="6">
        <f t="shared" si="11"/>
        <v>0.26305970149253732</v>
      </c>
      <c r="P19" s="4" t="s">
        <v>2500</v>
      </c>
      <c r="Q19" s="4"/>
      <c r="R19" s="4"/>
      <c r="S19" s="4"/>
      <c r="T19" s="4"/>
      <c r="U19" s="4"/>
      <c r="V19" s="4"/>
      <c r="W19" s="4"/>
      <c r="X19" s="4"/>
      <c r="Y19" s="4">
        <v>1128</v>
      </c>
      <c r="Z19" s="4">
        <f t="shared" si="12"/>
        <v>1128</v>
      </c>
      <c r="AA19" s="4">
        <v>790</v>
      </c>
      <c r="AB19" s="4">
        <f t="shared" si="13"/>
        <v>790</v>
      </c>
      <c r="AC19" s="4"/>
      <c r="AD19" s="21">
        <f>ROUND(M19*AR19,0)</f>
        <v>1072</v>
      </c>
      <c r="AE19" s="6">
        <f>1-AB19/AD19</f>
        <v>0.26305970149253732</v>
      </c>
      <c r="AF19" s="33">
        <v>0</v>
      </c>
      <c r="AG19" s="4" t="str">
        <f t="shared" si="14"/>
        <v>-</v>
      </c>
      <c r="AH19" s="33" t="e">
        <f t="shared" si="1"/>
        <v>#VALUE!</v>
      </c>
      <c r="AI19" s="6" t="e">
        <f>1-AB19/AH19</f>
        <v>#VALUE!</v>
      </c>
      <c r="AJ19" s="7">
        <v>1128</v>
      </c>
      <c r="AK19" s="6">
        <f>1-AB19/AJ19</f>
        <v>0.29964539007092195</v>
      </c>
      <c r="AL19" s="4">
        <f>AJ19-AB19</f>
        <v>338</v>
      </c>
      <c r="AM19" s="28"/>
      <c r="AN19" s="6"/>
      <c r="AO19" s="6"/>
      <c r="AP19" s="6">
        <f>Z19/L19</f>
        <v>0.64090909090909087</v>
      </c>
      <c r="AQ19" s="6">
        <f>AJ19/M19</f>
        <v>1.0522388059701493</v>
      </c>
      <c r="AR19" s="6">
        <f>AB19/N19</f>
        <v>1</v>
      </c>
      <c r="AS19" s="4"/>
      <c r="AT19" s="4"/>
      <c r="AU19" s="4"/>
      <c r="AV19" s="4"/>
      <c r="AW19" s="4"/>
      <c r="AX19" s="4"/>
      <c r="AY19" s="4"/>
      <c r="AZ19" s="4"/>
      <c r="BA19" s="4"/>
      <c r="BB19" s="4">
        <v>0</v>
      </c>
      <c r="BC19" s="4" t="s">
        <v>3534</v>
      </c>
      <c r="BD19" s="4"/>
      <c r="BE19" s="4"/>
      <c r="BF19" s="4" t="s">
        <v>3534</v>
      </c>
      <c r="BG19" s="4" t="s">
        <v>3534</v>
      </c>
      <c r="BH19" s="4" t="s">
        <v>3534</v>
      </c>
      <c r="BI19" s="4" t="str">
        <f t="shared" si="15"/>
        <v>-</v>
      </c>
      <c r="BJ19" s="19">
        <v>4</v>
      </c>
      <c r="BK19" s="19">
        <v>8</v>
      </c>
      <c r="BL19" s="16">
        <v>6</v>
      </c>
      <c r="BM19" s="45" t="s">
        <v>3534</v>
      </c>
      <c r="BN19" t="s">
        <v>3534</v>
      </c>
      <c r="BO19" t="str">
        <f t="shared" si="7"/>
        <v>-</v>
      </c>
      <c r="BP19">
        <v>1128</v>
      </c>
      <c r="BQ19">
        <v>1128</v>
      </c>
      <c r="BR19">
        <f t="shared" si="8"/>
        <v>1128</v>
      </c>
      <c r="BS19" t="s">
        <v>3534</v>
      </c>
    </row>
    <row r="20" spans="1:71" x14ac:dyDescent="0.4">
      <c r="A20" s="3">
        <v>17</v>
      </c>
      <c r="B20" s="3">
        <v>17</v>
      </c>
      <c r="C20" s="4" t="s">
        <v>79</v>
      </c>
      <c r="D20" s="4" t="str">
        <f t="shared" si="10"/>
        <v>6562AJ</v>
      </c>
      <c r="E20" s="4" t="s">
        <v>79</v>
      </c>
      <c r="F20" s="4" t="s">
        <v>1298</v>
      </c>
      <c r="G20" s="5">
        <v>4521718189512</v>
      </c>
      <c r="H20" s="5"/>
      <c r="I20" s="5"/>
      <c r="J20" s="5">
        <v>1</v>
      </c>
      <c r="K20" s="5">
        <v>1</v>
      </c>
      <c r="L20" s="4">
        <v>1760</v>
      </c>
      <c r="M20" s="4">
        <v>1072</v>
      </c>
      <c r="N20" s="4">
        <v>790</v>
      </c>
      <c r="O20" s="6">
        <f t="shared" si="11"/>
        <v>0.26305970149253732</v>
      </c>
      <c r="P20" s="4" t="s">
        <v>2500</v>
      </c>
      <c r="Q20" s="4"/>
      <c r="R20" s="4"/>
      <c r="S20" s="4"/>
      <c r="T20" s="4"/>
      <c r="U20" s="4"/>
      <c r="V20" s="4"/>
      <c r="W20" s="4"/>
      <c r="X20" s="4"/>
      <c r="Y20" s="4">
        <v>1128</v>
      </c>
      <c r="Z20" s="4">
        <f t="shared" si="12"/>
        <v>1128</v>
      </c>
      <c r="AA20" s="4">
        <v>790</v>
      </c>
      <c r="AB20" s="4">
        <f t="shared" si="13"/>
        <v>790</v>
      </c>
      <c r="AC20" s="4"/>
      <c r="AD20" s="21">
        <f>ROUND(M20*AR20,0)</f>
        <v>1072</v>
      </c>
      <c r="AE20" s="6">
        <f>1-AB20/AD20</f>
        <v>0.26305970149253732</v>
      </c>
      <c r="AF20" s="33">
        <v>0</v>
      </c>
      <c r="AG20" s="4" t="str">
        <f t="shared" si="14"/>
        <v>-</v>
      </c>
      <c r="AH20" s="33" t="e">
        <f t="shared" si="1"/>
        <v>#VALUE!</v>
      </c>
      <c r="AI20" s="6" t="e">
        <f>1-AB20/AH20</f>
        <v>#VALUE!</v>
      </c>
      <c r="AJ20" s="7">
        <v>1128</v>
      </c>
      <c r="AK20" s="6">
        <f>1-AB20/AJ20</f>
        <v>0.29964539007092195</v>
      </c>
      <c r="AL20" s="4">
        <f>AJ20-AB20</f>
        <v>338</v>
      </c>
      <c r="AM20" s="28"/>
      <c r="AN20" s="6"/>
      <c r="AO20" s="6"/>
      <c r="AP20" s="6">
        <f>Z20/L20</f>
        <v>0.64090909090909087</v>
      </c>
      <c r="AQ20" s="6">
        <f>AJ20/M20</f>
        <v>1.0522388059701493</v>
      </c>
      <c r="AR20" s="6">
        <f>AB20/N20</f>
        <v>1</v>
      </c>
      <c r="AS20" s="4"/>
      <c r="AT20" s="4"/>
      <c r="AU20" s="4"/>
      <c r="AV20" s="4"/>
      <c r="AW20" s="4"/>
      <c r="AX20" s="4"/>
      <c r="AY20" s="4"/>
      <c r="AZ20" s="4"/>
      <c r="BA20" s="4"/>
      <c r="BB20" s="4">
        <v>0</v>
      </c>
      <c r="BC20" s="4" t="s">
        <v>3534</v>
      </c>
      <c r="BD20" s="4"/>
      <c r="BE20" s="4"/>
      <c r="BF20" s="4" t="s">
        <v>3534</v>
      </c>
      <c r="BG20" s="4" t="s">
        <v>3534</v>
      </c>
      <c r="BH20" s="4" t="s">
        <v>3534</v>
      </c>
      <c r="BI20" s="4" t="str">
        <f t="shared" si="15"/>
        <v>-</v>
      </c>
      <c r="BJ20" s="19">
        <v>4</v>
      </c>
      <c r="BK20" s="19">
        <v>8</v>
      </c>
      <c r="BL20" s="16">
        <v>6</v>
      </c>
      <c r="BM20" s="45" t="s">
        <v>3534</v>
      </c>
      <c r="BN20" t="s">
        <v>3534</v>
      </c>
      <c r="BO20" t="str">
        <f t="shared" si="7"/>
        <v>-</v>
      </c>
      <c r="BP20">
        <v>1128</v>
      </c>
      <c r="BQ20">
        <v>1128</v>
      </c>
      <c r="BR20">
        <f t="shared" si="8"/>
        <v>1128</v>
      </c>
      <c r="BS20" t="s">
        <v>3534</v>
      </c>
    </row>
    <row r="21" spans="1:71" x14ac:dyDescent="0.4">
      <c r="A21" s="3">
        <v>18</v>
      </c>
      <c r="B21" s="3">
        <v>18</v>
      </c>
      <c r="C21" s="4" t="s">
        <v>80</v>
      </c>
      <c r="D21" s="4" t="str">
        <f t="shared" si="10"/>
        <v>6563AJ</v>
      </c>
      <c r="E21" s="4" t="s">
        <v>80</v>
      </c>
      <c r="F21" s="4" t="s">
        <v>1299</v>
      </c>
      <c r="G21" s="5">
        <v>4521718189529</v>
      </c>
      <c r="H21" s="5"/>
      <c r="I21" s="5"/>
      <c r="J21" s="5">
        <v>1</v>
      </c>
      <c r="K21" s="5">
        <v>1</v>
      </c>
      <c r="L21" s="4">
        <v>1760</v>
      </c>
      <c r="M21" s="4">
        <v>1072</v>
      </c>
      <c r="N21" s="4">
        <v>790</v>
      </c>
      <c r="O21" s="6">
        <f t="shared" si="11"/>
        <v>0.26305970149253732</v>
      </c>
      <c r="P21" s="4" t="s">
        <v>2500</v>
      </c>
      <c r="Q21" s="4"/>
      <c r="R21" s="4"/>
      <c r="S21" s="4"/>
      <c r="T21" s="4"/>
      <c r="U21" s="4"/>
      <c r="V21" s="4"/>
      <c r="W21" s="4"/>
      <c r="X21" s="4"/>
      <c r="Y21" s="4">
        <v>1128</v>
      </c>
      <c r="Z21" s="4">
        <f t="shared" si="12"/>
        <v>1128</v>
      </c>
      <c r="AA21" s="4">
        <v>790</v>
      </c>
      <c r="AB21" s="4">
        <f t="shared" si="13"/>
        <v>790</v>
      </c>
      <c r="AC21" s="4"/>
      <c r="AD21" s="21">
        <f>ROUND(M21*AR21,0)</f>
        <v>1072</v>
      </c>
      <c r="AE21" s="6">
        <f>1-AB21/AD21</f>
        <v>0.26305970149253732</v>
      </c>
      <c r="AF21" s="33">
        <v>0</v>
      </c>
      <c r="AG21" s="4" t="str">
        <f t="shared" si="14"/>
        <v>-</v>
      </c>
      <c r="AH21" s="33" t="e">
        <f t="shared" si="1"/>
        <v>#VALUE!</v>
      </c>
      <c r="AI21" s="6" t="e">
        <f>1-AB21/AH21</f>
        <v>#VALUE!</v>
      </c>
      <c r="AJ21" s="7">
        <v>1128</v>
      </c>
      <c r="AK21" s="6">
        <f>1-AB21/AJ21</f>
        <v>0.29964539007092195</v>
      </c>
      <c r="AL21" s="4">
        <f>AJ21-AB21</f>
        <v>338</v>
      </c>
      <c r="AM21" s="28"/>
      <c r="AN21" s="6"/>
      <c r="AO21" s="6"/>
      <c r="AP21" s="6">
        <f>Z21/L21</f>
        <v>0.64090909090909087</v>
      </c>
      <c r="AQ21" s="6">
        <f>AJ21/M21</f>
        <v>1.0522388059701493</v>
      </c>
      <c r="AR21" s="6">
        <f>AB21/N21</f>
        <v>1</v>
      </c>
      <c r="AS21" s="4"/>
      <c r="AT21" s="4"/>
      <c r="AU21" s="4"/>
      <c r="AV21" s="4"/>
      <c r="AW21" s="4"/>
      <c r="AX21" s="4"/>
      <c r="AY21" s="4"/>
      <c r="AZ21" s="4"/>
      <c r="BA21" s="4"/>
      <c r="BB21" s="4">
        <v>0</v>
      </c>
      <c r="BC21" s="4" t="s">
        <v>3534</v>
      </c>
      <c r="BD21" s="4"/>
      <c r="BE21" s="4"/>
      <c r="BF21" s="4" t="s">
        <v>3534</v>
      </c>
      <c r="BG21" s="4" t="s">
        <v>3534</v>
      </c>
      <c r="BH21" s="4" t="s">
        <v>3534</v>
      </c>
      <c r="BI21" s="4" t="str">
        <f t="shared" si="15"/>
        <v>-</v>
      </c>
      <c r="BJ21" s="19">
        <v>4</v>
      </c>
      <c r="BK21" s="19">
        <v>8</v>
      </c>
      <c r="BL21" s="16">
        <v>6</v>
      </c>
      <c r="BM21" s="45" t="s">
        <v>3534</v>
      </c>
      <c r="BN21" t="s">
        <v>3534</v>
      </c>
      <c r="BO21" t="str">
        <f t="shared" si="7"/>
        <v>-</v>
      </c>
      <c r="BP21">
        <v>1128</v>
      </c>
      <c r="BQ21">
        <v>1128</v>
      </c>
      <c r="BR21">
        <f t="shared" si="8"/>
        <v>1128</v>
      </c>
      <c r="BS21" t="s">
        <v>3534</v>
      </c>
    </row>
    <row r="22" spans="1:71" x14ac:dyDescent="0.4">
      <c r="A22" s="3">
        <v>19</v>
      </c>
      <c r="B22" s="3">
        <v>19</v>
      </c>
      <c r="C22" s="4" t="s">
        <v>81</v>
      </c>
      <c r="D22" s="4" t="str">
        <f t="shared" si="10"/>
        <v>6564AJ</v>
      </c>
      <c r="E22" s="4" t="s">
        <v>81</v>
      </c>
      <c r="F22" s="4" t="s">
        <v>1300</v>
      </c>
      <c r="G22" s="5">
        <v>4521718189536</v>
      </c>
      <c r="H22" s="5"/>
      <c r="I22" s="5"/>
      <c r="J22" s="5">
        <v>1</v>
      </c>
      <c r="K22" s="5">
        <v>1</v>
      </c>
      <c r="L22" s="4">
        <v>1760</v>
      </c>
      <c r="M22" s="4">
        <v>1072</v>
      </c>
      <c r="N22" s="4">
        <v>790</v>
      </c>
      <c r="O22" s="6">
        <f t="shared" si="11"/>
        <v>0.26305970149253732</v>
      </c>
      <c r="P22" s="4" t="s">
        <v>2500</v>
      </c>
      <c r="Q22" s="4"/>
      <c r="R22" s="4"/>
      <c r="S22" s="4"/>
      <c r="T22" s="4"/>
      <c r="U22" s="4"/>
      <c r="V22" s="4"/>
      <c r="W22" s="4"/>
      <c r="X22" s="4"/>
      <c r="Y22" s="4">
        <v>1128</v>
      </c>
      <c r="Z22" s="4">
        <f t="shared" si="12"/>
        <v>1128</v>
      </c>
      <c r="AA22" s="4">
        <v>790</v>
      </c>
      <c r="AB22" s="4">
        <f t="shared" si="13"/>
        <v>790</v>
      </c>
      <c r="AC22" s="4"/>
      <c r="AD22" s="21">
        <f>ROUND(M22*AR22,0)</f>
        <v>1072</v>
      </c>
      <c r="AE22" s="6">
        <f>1-AB22/AD22</f>
        <v>0.26305970149253732</v>
      </c>
      <c r="AF22" s="33">
        <v>0</v>
      </c>
      <c r="AG22" s="4">
        <f t="shared" si="14"/>
        <v>1760</v>
      </c>
      <c r="AH22" s="33">
        <f t="shared" si="1"/>
        <v>1760</v>
      </c>
      <c r="AI22" s="6">
        <f>1-AB22/AH22</f>
        <v>0.55113636363636365</v>
      </c>
      <c r="AJ22" s="7">
        <v>1128</v>
      </c>
      <c r="AK22" s="6">
        <f>1-AB22/AJ22</f>
        <v>0.29964539007092195</v>
      </c>
      <c r="AL22" s="4">
        <f>AJ22-AB22</f>
        <v>338</v>
      </c>
      <c r="AM22" s="28"/>
      <c r="AN22" s="6"/>
      <c r="AO22" s="6"/>
      <c r="AP22" s="6">
        <f>Z22/L22</f>
        <v>0.64090909090909087</v>
      </c>
      <c r="AQ22" s="6">
        <f>AJ22/M22</f>
        <v>1.0522388059701493</v>
      </c>
      <c r="AR22" s="6">
        <f>AB22/N22</f>
        <v>1</v>
      </c>
      <c r="AS22" s="4"/>
      <c r="AT22" s="4"/>
      <c r="AU22" s="4"/>
      <c r="AV22" s="4"/>
      <c r="AW22" s="4"/>
      <c r="AX22" s="4"/>
      <c r="AY22" s="4"/>
      <c r="AZ22" s="4"/>
      <c r="BA22" s="4"/>
      <c r="BB22" s="4">
        <v>0</v>
      </c>
      <c r="BC22" s="4" t="s">
        <v>3556</v>
      </c>
      <c r="BD22" s="4"/>
      <c r="BE22" s="4"/>
      <c r="BF22" s="4" t="s">
        <v>3557</v>
      </c>
      <c r="BG22" s="4">
        <v>1760</v>
      </c>
      <c r="BH22" s="4">
        <v>1760</v>
      </c>
      <c r="BI22" s="4">
        <f t="shared" si="15"/>
        <v>1760</v>
      </c>
      <c r="BJ22" s="19">
        <v>4</v>
      </c>
      <c r="BK22" s="19">
        <v>8</v>
      </c>
      <c r="BL22" s="16">
        <v>6</v>
      </c>
      <c r="BM22" s="45" t="s">
        <v>3534</v>
      </c>
      <c r="BN22" t="s">
        <v>3534</v>
      </c>
      <c r="BO22" t="str">
        <f t="shared" si="7"/>
        <v>-</v>
      </c>
      <c r="BP22">
        <v>1128</v>
      </c>
      <c r="BQ22">
        <v>1128</v>
      </c>
      <c r="BR22">
        <f t="shared" si="8"/>
        <v>1128</v>
      </c>
      <c r="BS22" t="s">
        <v>2516</v>
      </c>
    </row>
    <row r="23" spans="1:71" x14ac:dyDescent="0.4">
      <c r="A23" s="3">
        <v>20</v>
      </c>
      <c r="B23" s="3">
        <v>20</v>
      </c>
      <c r="C23" s="4" t="s">
        <v>82</v>
      </c>
      <c r="D23" s="4" t="str">
        <f t="shared" ref="D23:D86" si="16">TEXT(C23,"000000")</f>
        <v>6572AJ</v>
      </c>
      <c r="E23" s="4" t="s">
        <v>82</v>
      </c>
      <c r="F23" s="4" t="s">
        <v>1301</v>
      </c>
      <c r="G23" s="5">
        <v>4521718352145</v>
      </c>
      <c r="H23" s="5"/>
      <c r="I23" s="5"/>
      <c r="J23" s="5">
        <v>1</v>
      </c>
      <c r="K23" s="5">
        <v>1</v>
      </c>
      <c r="L23" s="4">
        <v>640</v>
      </c>
      <c r="M23" s="4">
        <v>608</v>
      </c>
      <c r="N23" s="4">
        <v>416</v>
      </c>
      <c r="O23" s="6">
        <f t="shared" ref="O23:O86" si="17">1-N23/M23</f>
        <v>0.31578947368421051</v>
      </c>
      <c r="P23" s="4" t="s">
        <v>2500</v>
      </c>
      <c r="Q23" s="4"/>
      <c r="R23" s="4"/>
      <c r="S23" s="4"/>
      <c r="T23" s="4"/>
      <c r="U23" s="4"/>
      <c r="V23" s="4"/>
      <c r="W23" s="4"/>
      <c r="X23" s="4"/>
      <c r="Y23" s="4">
        <v>637</v>
      </c>
      <c r="Z23" s="4">
        <f t="shared" ref="Z23:Z86" si="18">IF(AC23="",Y23,Y23*AC23)</f>
        <v>637</v>
      </c>
      <c r="AA23" s="4">
        <v>446</v>
      </c>
      <c r="AB23" s="4">
        <f t="shared" ref="AB23:AB86" si="19">IF(AC23="",AA23,AA23*AC23)</f>
        <v>446</v>
      </c>
      <c r="AC23" s="4"/>
      <c r="AD23" s="21">
        <f>ROUND(M23*AR23,0)</f>
        <v>652</v>
      </c>
      <c r="AE23" s="6">
        <f>1-AB23/AD23</f>
        <v>0.31595092024539873</v>
      </c>
      <c r="AF23" s="33">
        <v>0.75</v>
      </c>
      <c r="AG23" s="4">
        <f t="shared" ref="AG23:AG86" si="20">BI23</f>
        <v>640</v>
      </c>
      <c r="AH23" s="33">
        <f t="shared" si="1"/>
        <v>686.15384615384619</v>
      </c>
      <c r="AI23" s="6">
        <f>1-AB23/AH23</f>
        <v>0.35</v>
      </c>
      <c r="AJ23" s="7">
        <v>637</v>
      </c>
      <c r="AK23" s="6">
        <f>1-AB23/AJ23</f>
        <v>0.29984301412872838</v>
      </c>
      <c r="AL23" s="4">
        <f>AJ23-AB23</f>
        <v>191</v>
      </c>
      <c r="AM23" s="28"/>
      <c r="AN23" s="6"/>
      <c r="AO23" s="6"/>
      <c r="AP23" s="6">
        <f>Z23/L23</f>
        <v>0.99531250000000004</v>
      </c>
      <c r="AQ23" s="6">
        <f>AJ23/M23</f>
        <v>1.0476973684210527</v>
      </c>
      <c r="AR23" s="6">
        <f>AB23/N23</f>
        <v>1.0721153846153846</v>
      </c>
      <c r="AS23" s="4"/>
      <c r="AT23" s="4"/>
      <c r="AU23" s="4"/>
      <c r="AV23" s="4"/>
      <c r="AW23" s="4"/>
      <c r="AX23" s="4"/>
      <c r="AY23" s="4"/>
      <c r="AZ23" s="4"/>
      <c r="BA23" s="4"/>
      <c r="BB23" s="4">
        <v>0</v>
      </c>
      <c r="BC23" s="4" t="s">
        <v>3558</v>
      </c>
      <c r="BD23" s="4">
        <v>1</v>
      </c>
      <c r="BE23" s="4">
        <v>2</v>
      </c>
      <c r="BF23" s="4" t="s">
        <v>3559</v>
      </c>
      <c r="BG23" s="4">
        <v>1280</v>
      </c>
      <c r="BH23" s="4">
        <v>1280</v>
      </c>
      <c r="BI23" s="4">
        <f t="shared" ref="BI23:BI86" si="21">IF(BD23="",BH23,BD23/BE23*BH23)</f>
        <v>640</v>
      </c>
      <c r="BJ23" s="19">
        <v>4</v>
      </c>
      <c r="BK23" s="19">
        <v>8</v>
      </c>
      <c r="BL23" s="16">
        <v>19</v>
      </c>
      <c r="BM23" s="45" t="s">
        <v>3534</v>
      </c>
      <c r="BN23" t="s">
        <v>3534</v>
      </c>
      <c r="BO23" t="str">
        <f t="shared" si="7"/>
        <v>-</v>
      </c>
      <c r="BP23" t="s">
        <v>3534</v>
      </c>
      <c r="BQ23">
        <v>640</v>
      </c>
      <c r="BR23">
        <f t="shared" si="8"/>
        <v>686.15384615384619</v>
      </c>
      <c r="BS23" t="s">
        <v>2517</v>
      </c>
    </row>
    <row r="24" spans="1:71" x14ac:dyDescent="0.4">
      <c r="A24" s="3">
        <v>21</v>
      </c>
      <c r="B24" s="3">
        <v>21</v>
      </c>
      <c r="C24" s="4" t="s">
        <v>83</v>
      </c>
      <c r="D24" s="4" t="str">
        <f t="shared" si="16"/>
        <v>6573AJ</v>
      </c>
      <c r="E24" s="4" t="s">
        <v>83</v>
      </c>
      <c r="F24" s="4" t="s">
        <v>1302</v>
      </c>
      <c r="G24" s="5">
        <v>4521718728506</v>
      </c>
      <c r="H24" s="5"/>
      <c r="I24" s="5"/>
      <c r="J24" s="5">
        <v>1</v>
      </c>
      <c r="K24" s="5">
        <v>1</v>
      </c>
      <c r="L24" s="4">
        <v>180</v>
      </c>
      <c r="M24" s="4">
        <v>171</v>
      </c>
      <c r="N24" s="4">
        <v>117</v>
      </c>
      <c r="O24" s="6">
        <f t="shared" si="17"/>
        <v>0.31578947368421051</v>
      </c>
      <c r="P24" s="4" t="s">
        <v>2500</v>
      </c>
      <c r="Q24" s="4"/>
      <c r="R24" s="4"/>
      <c r="S24" s="4"/>
      <c r="T24" s="4"/>
      <c r="U24" s="4"/>
      <c r="V24" s="4"/>
      <c r="W24" s="4"/>
      <c r="X24" s="4"/>
      <c r="Y24" s="4">
        <v>182</v>
      </c>
      <c r="Z24" s="4">
        <f t="shared" si="18"/>
        <v>182</v>
      </c>
      <c r="AA24" s="4">
        <v>127</v>
      </c>
      <c r="AB24" s="4">
        <f t="shared" si="19"/>
        <v>127</v>
      </c>
      <c r="AC24" s="4"/>
      <c r="AD24" s="21">
        <f>ROUND(M24*AR24,0)</f>
        <v>186</v>
      </c>
      <c r="AE24" s="6">
        <f>1-AB24/AD24</f>
        <v>0.31720430107526887</v>
      </c>
      <c r="AF24" s="33">
        <v>2</v>
      </c>
      <c r="AG24" s="4">
        <f t="shared" si="20"/>
        <v>180</v>
      </c>
      <c r="AH24" s="33">
        <f t="shared" si="1"/>
        <v>195.38461538461536</v>
      </c>
      <c r="AI24" s="6">
        <f>1-AB24/AH24</f>
        <v>0.34999999999999987</v>
      </c>
      <c r="AJ24" s="7">
        <v>182</v>
      </c>
      <c r="AK24" s="6">
        <f>1-AB24/AJ24</f>
        <v>0.30219780219780223</v>
      </c>
      <c r="AL24" s="4">
        <f>AJ24-AB24</f>
        <v>55</v>
      </c>
      <c r="AM24" s="28"/>
      <c r="AN24" s="6"/>
      <c r="AO24" s="6"/>
      <c r="AP24" s="6">
        <f>Z24/L24</f>
        <v>1.0111111111111111</v>
      </c>
      <c r="AQ24" s="6">
        <f>AJ24/M24</f>
        <v>1.064327485380117</v>
      </c>
      <c r="AR24" s="6">
        <f>AB24/N24</f>
        <v>1.0854700854700854</v>
      </c>
      <c r="AS24" s="4"/>
      <c r="AT24" s="4"/>
      <c r="AU24" s="4"/>
      <c r="AV24" s="4"/>
      <c r="AW24" s="4"/>
      <c r="AX24" s="4"/>
      <c r="AY24" s="4"/>
      <c r="AZ24" s="4"/>
      <c r="BA24" s="4"/>
      <c r="BB24" s="4">
        <v>0</v>
      </c>
      <c r="BC24" s="4" t="s">
        <v>3560</v>
      </c>
      <c r="BD24" s="4">
        <v>1</v>
      </c>
      <c r="BE24" s="4">
        <v>6</v>
      </c>
      <c r="BF24" s="4" t="s">
        <v>3561</v>
      </c>
      <c r="BG24" s="4">
        <v>1080</v>
      </c>
      <c r="BH24" s="4">
        <v>1080</v>
      </c>
      <c r="BI24" s="4">
        <f t="shared" si="21"/>
        <v>180</v>
      </c>
      <c r="BJ24" s="19">
        <v>4</v>
      </c>
      <c r="BK24" s="19">
        <v>8</v>
      </c>
      <c r="BL24" s="16">
        <v>6</v>
      </c>
      <c r="BM24" s="45" t="s">
        <v>3534</v>
      </c>
      <c r="BN24" t="s">
        <v>3534</v>
      </c>
      <c r="BO24" t="str">
        <f t="shared" si="7"/>
        <v>-</v>
      </c>
      <c r="BP24">
        <v>180</v>
      </c>
      <c r="BQ24">
        <v>180</v>
      </c>
      <c r="BR24">
        <f t="shared" si="8"/>
        <v>195.38461538461536</v>
      </c>
      <c r="BS24" t="s">
        <v>2518</v>
      </c>
    </row>
    <row r="25" spans="1:71" x14ac:dyDescent="0.4">
      <c r="A25" s="3">
        <v>22</v>
      </c>
      <c r="B25" s="3">
        <v>22</v>
      </c>
      <c r="C25" s="4" t="s">
        <v>84</v>
      </c>
      <c r="D25" s="4" t="str">
        <f t="shared" si="16"/>
        <v>6574AJ</v>
      </c>
      <c r="E25" s="4" t="s">
        <v>84</v>
      </c>
      <c r="F25" s="4" t="s">
        <v>1303</v>
      </c>
      <c r="G25" s="5">
        <v>4521718728513</v>
      </c>
      <c r="H25" s="5"/>
      <c r="I25" s="5"/>
      <c r="J25" s="5">
        <v>1</v>
      </c>
      <c r="K25" s="5">
        <v>1</v>
      </c>
      <c r="L25" s="4">
        <v>180</v>
      </c>
      <c r="M25" s="4">
        <v>171</v>
      </c>
      <c r="N25" s="4">
        <v>117</v>
      </c>
      <c r="O25" s="6">
        <f t="shared" si="17"/>
        <v>0.31578947368421051</v>
      </c>
      <c r="P25" s="4" t="s">
        <v>2500</v>
      </c>
      <c r="Q25" s="4"/>
      <c r="R25" s="4"/>
      <c r="S25" s="4"/>
      <c r="T25" s="4"/>
      <c r="U25" s="4"/>
      <c r="V25" s="4"/>
      <c r="W25" s="4"/>
      <c r="X25" s="4"/>
      <c r="Y25" s="4">
        <v>182</v>
      </c>
      <c r="Z25" s="4">
        <f t="shared" si="18"/>
        <v>182</v>
      </c>
      <c r="AA25" s="4">
        <v>127</v>
      </c>
      <c r="AB25" s="4">
        <f t="shared" si="19"/>
        <v>127</v>
      </c>
      <c r="AC25" s="4"/>
      <c r="AD25" s="21">
        <f>ROUND(M25*AR25,0)</f>
        <v>186</v>
      </c>
      <c r="AE25" s="6">
        <f>1-AB25/AD25</f>
        <v>0.31720430107526887</v>
      </c>
      <c r="AF25" s="33">
        <v>0</v>
      </c>
      <c r="AG25" s="4">
        <f t="shared" si="20"/>
        <v>180</v>
      </c>
      <c r="AH25" s="33">
        <f t="shared" si="1"/>
        <v>195.38461538461536</v>
      </c>
      <c r="AI25" s="6">
        <f>1-AB25/AH25</f>
        <v>0.34999999999999987</v>
      </c>
      <c r="AJ25" s="7">
        <v>182</v>
      </c>
      <c r="AK25" s="6">
        <f>1-AB25/AJ25</f>
        <v>0.30219780219780223</v>
      </c>
      <c r="AL25" s="4">
        <f>AJ25-AB25</f>
        <v>55</v>
      </c>
      <c r="AM25" s="28"/>
      <c r="AN25" s="6"/>
      <c r="AO25" s="6"/>
      <c r="AP25" s="6">
        <f>Z25/L25</f>
        <v>1.0111111111111111</v>
      </c>
      <c r="AQ25" s="6">
        <f>AJ25/M25</f>
        <v>1.064327485380117</v>
      </c>
      <c r="AR25" s="6">
        <f>AB25/N25</f>
        <v>1.0854700854700854</v>
      </c>
      <c r="AS25" s="4"/>
      <c r="AT25" s="4"/>
      <c r="AU25" s="4"/>
      <c r="AV25" s="4"/>
      <c r="AW25" s="4"/>
      <c r="AX25" s="4"/>
      <c r="AY25" s="4"/>
      <c r="AZ25" s="4"/>
      <c r="BA25" s="4"/>
      <c r="BB25" s="4">
        <v>0</v>
      </c>
      <c r="BC25" s="4" t="s">
        <v>3562</v>
      </c>
      <c r="BD25" s="4">
        <v>1</v>
      </c>
      <c r="BE25" s="4">
        <v>6</v>
      </c>
      <c r="BF25" s="4" t="s">
        <v>3561</v>
      </c>
      <c r="BG25" s="4">
        <v>1080</v>
      </c>
      <c r="BH25" s="4">
        <v>1080</v>
      </c>
      <c r="BI25" s="4">
        <f t="shared" si="21"/>
        <v>180</v>
      </c>
      <c r="BJ25" s="19">
        <v>4</v>
      </c>
      <c r="BK25" s="19">
        <v>8</v>
      </c>
      <c r="BL25" s="16">
        <v>6</v>
      </c>
      <c r="BM25" s="45" t="s">
        <v>3534</v>
      </c>
      <c r="BN25" t="s">
        <v>3534</v>
      </c>
      <c r="BO25" t="str">
        <f t="shared" si="7"/>
        <v>-</v>
      </c>
      <c r="BP25">
        <v>180</v>
      </c>
      <c r="BQ25">
        <v>180</v>
      </c>
      <c r="BR25">
        <f t="shared" si="8"/>
        <v>195.38461538461536</v>
      </c>
      <c r="BS25" t="s">
        <v>2519</v>
      </c>
    </row>
    <row r="26" spans="1:71" x14ac:dyDescent="0.4">
      <c r="A26" s="3">
        <v>23</v>
      </c>
      <c r="B26" s="3">
        <v>23</v>
      </c>
      <c r="C26" s="4" t="s">
        <v>85</v>
      </c>
      <c r="D26" s="4" t="str">
        <f t="shared" si="16"/>
        <v>6575AJ</v>
      </c>
      <c r="E26" s="4" t="s">
        <v>85</v>
      </c>
      <c r="F26" s="4" t="s">
        <v>1304</v>
      </c>
      <c r="G26" s="5">
        <v>4521718728520</v>
      </c>
      <c r="H26" s="5"/>
      <c r="I26" s="5"/>
      <c r="J26" s="5">
        <v>1</v>
      </c>
      <c r="K26" s="5">
        <v>1</v>
      </c>
      <c r="L26" s="4">
        <v>180</v>
      </c>
      <c r="M26" s="4">
        <v>171</v>
      </c>
      <c r="N26" s="4">
        <v>117</v>
      </c>
      <c r="O26" s="6">
        <f t="shared" si="17"/>
        <v>0.31578947368421051</v>
      </c>
      <c r="P26" s="4" t="s">
        <v>2500</v>
      </c>
      <c r="Q26" s="4"/>
      <c r="R26" s="4"/>
      <c r="S26" s="4"/>
      <c r="T26" s="4"/>
      <c r="U26" s="4"/>
      <c r="V26" s="4"/>
      <c r="W26" s="4"/>
      <c r="X26" s="4"/>
      <c r="Y26" s="4">
        <v>182</v>
      </c>
      <c r="Z26" s="4">
        <f t="shared" si="18"/>
        <v>182</v>
      </c>
      <c r="AA26" s="4">
        <v>127</v>
      </c>
      <c r="AB26" s="4">
        <f t="shared" si="19"/>
        <v>127</v>
      </c>
      <c r="AC26" s="4"/>
      <c r="AD26" s="21">
        <f>ROUND(M26*AR26,0)</f>
        <v>186</v>
      </c>
      <c r="AE26" s="6">
        <f>1-AB26/AD26</f>
        <v>0.31720430107526887</v>
      </c>
      <c r="AF26" s="33">
        <v>0</v>
      </c>
      <c r="AG26" s="4">
        <f t="shared" si="20"/>
        <v>180</v>
      </c>
      <c r="AH26" s="33">
        <f t="shared" si="1"/>
        <v>195.38461538461536</v>
      </c>
      <c r="AI26" s="6">
        <f>1-AB26/AH26</f>
        <v>0.34999999999999987</v>
      </c>
      <c r="AJ26" s="7">
        <v>182</v>
      </c>
      <c r="AK26" s="6">
        <f>1-AB26/AJ26</f>
        <v>0.30219780219780223</v>
      </c>
      <c r="AL26" s="4">
        <f>AJ26-AB26</f>
        <v>55</v>
      </c>
      <c r="AM26" s="28"/>
      <c r="AN26" s="6"/>
      <c r="AO26" s="6"/>
      <c r="AP26" s="6">
        <f>Z26/L26</f>
        <v>1.0111111111111111</v>
      </c>
      <c r="AQ26" s="6">
        <f>AJ26/M26</f>
        <v>1.064327485380117</v>
      </c>
      <c r="AR26" s="6">
        <f>AB26/N26</f>
        <v>1.0854700854700854</v>
      </c>
      <c r="AS26" s="4"/>
      <c r="AT26" s="4"/>
      <c r="AU26" s="4"/>
      <c r="AV26" s="4"/>
      <c r="AW26" s="4"/>
      <c r="AX26" s="4"/>
      <c r="AY26" s="4"/>
      <c r="AZ26" s="4"/>
      <c r="BA26" s="4"/>
      <c r="BB26" s="4">
        <v>0</v>
      </c>
      <c r="BC26" s="4" t="s">
        <v>3563</v>
      </c>
      <c r="BD26" s="4">
        <v>1</v>
      </c>
      <c r="BE26" s="4">
        <v>6</v>
      </c>
      <c r="BF26" s="4" t="s">
        <v>3561</v>
      </c>
      <c r="BG26" s="4">
        <v>1080</v>
      </c>
      <c r="BH26" s="4">
        <v>1080</v>
      </c>
      <c r="BI26" s="4">
        <f t="shared" si="21"/>
        <v>180</v>
      </c>
      <c r="BJ26" s="19">
        <v>4</v>
      </c>
      <c r="BK26" s="19">
        <v>8</v>
      </c>
      <c r="BL26" s="16">
        <v>6</v>
      </c>
      <c r="BM26" s="45" t="s">
        <v>3534</v>
      </c>
      <c r="BN26" t="s">
        <v>3534</v>
      </c>
      <c r="BO26" t="str">
        <f t="shared" si="7"/>
        <v>-</v>
      </c>
      <c r="BP26">
        <v>180</v>
      </c>
      <c r="BQ26">
        <v>180</v>
      </c>
      <c r="BR26">
        <f t="shared" si="8"/>
        <v>195.38461538461536</v>
      </c>
      <c r="BS26" t="s">
        <v>2520</v>
      </c>
    </row>
    <row r="27" spans="1:71" x14ac:dyDescent="0.4">
      <c r="A27" s="3">
        <v>24</v>
      </c>
      <c r="B27" s="3">
        <v>24</v>
      </c>
      <c r="C27" s="4" t="s">
        <v>86</v>
      </c>
      <c r="D27" s="4" t="str">
        <f t="shared" si="16"/>
        <v>6576AJ</v>
      </c>
      <c r="E27" s="4" t="s">
        <v>86</v>
      </c>
      <c r="F27" s="4" t="s">
        <v>1305</v>
      </c>
      <c r="G27" s="5">
        <v>4521718728537</v>
      </c>
      <c r="H27" s="5"/>
      <c r="I27" s="5"/>
      <c r="J27" s="5">
        <v>1</v>
      </c>
      <c r="K27" s="5">
        <v>1</v>
      </c>
      <c r="L27" s="4">
        <v>180</v>
      </c>
      <c r="M27" s="4">
        <v>171</v>
      </c>
      <c r="N27" s="4">
        <v>117</v>
      </c>
      <c r="O27" s="6">
        <f t="shared" si="17"/>
        <v>0.31578947368421051</v>
      </c>
      <c r="P27" s="4" t="s">
        <v>2500</v>
      </c>
      <c r="Q27" s="4"/>
      <c r="R27" s="4"/>
      <c r="S27" s="4"/>
      <c r="T27" s="4"/>
      <c r="U27" s="4"/>
      <c r="V27" s="4"/>
      <c r="W27" s="4"/>
      <c r="X27" s="4"/>
      <c r="Y27" s="4">
        <v>182</v>
      </c>
      <c r="Z27" s="4">
        <f t="shared" si="18"/>
        <v>182</v>
      </c>
      <c r="AA27" s="4">
        <v>118</v>
      </c>
      <c r="AB27" s="4">
        <f t="shared" si="19"/>
        <v>118</v>
      </c>
      <c r="AC27" s="4"/>
      <c r="AD27" s="21">
        <f>ROUND(M27*AR27,0)</f>
        <v>172</v>
      </c>
      <c r="AE27" s="6">
        <f>1-AB27/AD27</f>
        <v>0.31395348837209303</v>
      </c>
      <c r="AF27" s="33">
        <v>0.25</v>
      </c>
      <c r="AG27" s="4">
        <f t="shared" si="20"/>
        <v>180</v>
      </c>
      <c r="AH27" s="33">
        <f t="shared" si="1"/>
        <v>181.53846153846155</v>
      </c>
      <c r="AI27" s="6">
        <f>1-AB27/AH27</f>
        <v>0.35</v>
      </c>
      <c r="AJ27" s="7">
        <v>181</v>
      </c>
      <c r="AK27" s="6">
        <f>1-AB27/AJ27</f>
        <v>0.34806629834254144</v>
      </c>
      <c r="AL27" s="4">
        <f>AJ27-AB27</f>
        <v>63</v>
      </c>
      <c r="AM27" s="28"/>
      <c r="AN27" s="6"/>
      <c r="AO27" s="6"/>
      <c r="AP27" s="6">
        <f>Z27/L27</f>
        <v>1.0111111111111111</v>
      </c>
      <c r="AQ27" s="6">
        <f>AJ27/M27</f>
        <v>1.0584795321637428</v>
      </c>
      <c r="AR27" s="6">
        <f>AB27/N27</f>
        <v>1.0085470085470085</v>
      </c>
      <c r="AS27" s="4"/>
      <c r="AT27" s="4"/>
      <c r="AU27" s="4"/>
      <c r="AV27" s="4"/>
      <c r="AW27" s="4"/>
      <c r="AX27" s="4"/>
      <c r="AY27" s="4"/>
      <c r="AZ27" s="4"/>
      <c r="BA27" s="4"/>
      <c r="BB27" s="4">
        <v>0</v>
      </c>
      <c r="BC27" s="4" t="s">
        <v>3564</v>
      </c>
      <c r="BD27" s="4">
        <v>1</v>
      </c>
      <c r="BE27" s="4">
        <v>6</v>
      </c>
      <c r="BF27" s="4" t="s">
        <v>3561</v>
      </c>
      <c r="BG27" s="4">
        <v>1080</v>
      </c>
      <c r="BH27" s="4">
        <v>1080</v>
      </c>
      <c r="BI27" s="4">
        <f t="shared" si="21"/>
        <v>180</v>
      </c>
      <c r="BJ27" s="19">
        <v>4</v>
      </c>
      <c r="BK27" s="19">
        <v>8</v>
      </c>
      <c r="BL27" s="16">
        <v>6</v>
      </c>
      <c r="BM27" s="45" t="s">
        <v>3534</v>
      </c>
      <c r="BN27" t="s">
        <v>3534</v>
      </c>
      <c r="BO27" t="str">
        <f t="shared" si="7"/>
        <v>-</v>
      </c>
      <c r="BP27">
        <v>180</v>
      </c>
      <c r="BQ27">
        <v>180</v>
      </c>
      <c r="BR27">
        <f t="shared" si="8"/>
        <v>181.53846153846155</v>
      </c>
      <c r="BS27" t="s">
        <v>2521</v>
      </c>
    </row>
    <row r="28" spans="1:71" x14ac:dyDescent="0.4">
      <c r="A28" s="3">
        <v>25</v>
      </c>
      <c r="B28" s="3">
        <v>25</v>
      </c>
      <c r="C28" s="4" t="s">
        <v>87</v>
      </c>
      <c r="D28" s="4" t="str">
        <f t="shared" si="16"/>
        <v>6577AJ</v>
      </c>
      <c r="E28" s="4" t="s">
        <v>87</v>
      </c>
      <c r="F28" s="4" t="s">
        <v>1306</v>
      </c>
      <c r="G28" s="5">
        <v>4521718728544</v>
      </c>
      <c r="H28" s="5"/>
      <c r="I28" s="5"/>
      <c r="J28" s="5">
        <v>1</v>
      </c>
      <c r="K28" s="5">
        <v>1</v>
      </c>
      <c r="L28" s="4">
        <v>180</v>
      </c>
      <c r="M28" s="4">
        <v>171</v>
      </c>
      <c r="N28" s="4">
        <v>117</v>
      </c>
      <c r="O28" s="6">
        <f t="shared" si="17"/>
        <v>0.31578947368421051</v>
      </c>
      <c r="P28" s="4" t="s">
        <v>2500</v>
      </c>
      <c r="Q28" s="4"/>
      <c r="R28" s="4"/>
      <c r="S28" s="4"/>
      <c r="T28" s="4"/>
      <c r="U28" s="4"/>
      <c r="V28" s="4"/>
      <c r="W28" s="4"/>
      <c r="X28" s="4"/>
      <c r="Y28" s="4">
        <v>182</v>
      </c>
      <c r="Z28" s="4">
        <f t="shared" si="18"/>
        <v>182</v>
      </c>
      <c r="AA28" s="4">
        <v>118</v>
      </c>
      <c r="AB28" s="4">
        <f t="shared" si="19"/>
        <v>118</v>
      </c>
      <c r="AC28" s="4"/>
      <c r="AD28" s="21">
        <f>ROUND(M28*AR28,0)</f>
        <v>172</v>
      </c>
      <c r="AE28" s="6">
        <f>1-AB28/AD28</f>
        <v>0.31395348837209303</v>
      </c>
      <c r="AF28" s="33">
        <v>0</v>
      </c>
      <c r="AG28" s="4">
        <f t="shared" si="20"/>
        <v>180</v>
      </c>
      <c r="AH28" s="33">
        <f t="shared" si="1"/>
        <v>181.53846153846155</v>
      </c>
      <c r="AI28" s="6">
        <f>1-AB28/AH28</f>
        <v>0.35</v>
      </c>
      <c r="AJ28" s="7">
        <v>181</v>
      </c>
      <c r="AK28" s="6">
        <f>1-AB28/AJ28</f>
        <v>0.34806629834254144</v>
      </c>
      <c r="AL28" s="4">
        <f>AJ28-AB28</f>
        <v>63</v>
      </c>
      <c r="AM28" s="28"/>
      <c r="AN28" s="6"/>
      <c r="AO28" s="6"/>
      <c r="AP28" s="6">
        <f>Z28/L28</f>
        <v>1.0111111111111111</v>
      </c>
      <c r="AQ28" s="6">
        <f>AJ28/M28</f>
        <v>1.0584795321637428</v>
      </c>
      <c r="AR28" s="6">
        <f>AB28/N28</f>
        <v>1.0085470085470085</v>
      </c>
      <c r="AS28" s="4"/>
      <c r="AT28" s="4"/>
      <c r="AU28" s="4"/>
      <c r="AV28" s="4"/>
      <c r="AW28" s="4"/>
      <c r="AX28" s="4"/>
      <c r="AY28" s="4"/>
      <c r="AZ28" s="4"/>
      <c r="BA28" s="4"/>
      <c r="BB28" s="4">
        <v>0</v>
      </c>
      <c r="BC28" s="4" t="s">
        <v>3565</v>
      </c>
      <c r="BD28" s="4">
        <v>1</v>
      </c>
      <c r="BE28" s="4">
        <v>6</v>
      </c>
      <c r="BF28" s="4" t="s">
        <v>3561</v>
      </c>
      <c r="BG28" s="4">
        <v>1080</v>
      </c>
      <c r="BH28" s="4">
        <v>1080</v>
      </c>
      <c r="BI28" s="4">
        <f t="shared" si="21"/>
        <v>180</v>
      </c>
      <c r="BJ28" s="19">
        <v>4</v>
      </c>
      <c r="BK28" s="19">
        <v>8</v>
      </c>
      <c r="BL28" s="16">
        <v>6</v>
      </c>
      <c r="BM28" s="45" t="s">
        <v>3534</v>
      </c>
      <c r="BN28" t="s">
        <v>3534</v>
      </c>
      <c r="BO28" t="str">
        <f t="shared" si="7"/>
        <v>-</v>
      </c>
      <c r="BP28">
        <v>180</v>
      </c>
      <c r="BQ28">
        <v>180</v>
      </c>
      <c r="BR28">
        <f t="shared" si="8"/>
        <v>181.53846153846155</v>
      </c>
      <c r="BS28" t="s">
        <v>2522</v>
      </c>
    </row>
    <row r="29" spans="1:71" x14ac:dyDescent="0.4">
      <c r="A29" s="3">
        <v>26</v>
      </c>
      <c r="B29" s="3">
        <v>26</v>
      </c>
      <c r="C29" s="4" t="s">
        <v>88</v>
      </c>
      <c r="D29" s="4" t="str">
        <f t="shared" si="16"/>
        <v>6578AJ</v>
      </c>
      <c r="E29" s="4" t="s">
        <v>88</v>
      </c>
      <c r="F29" s="4" t="s">
        <v>1307</v>
      </c>
      <c r="G29" s="5">
        <v>4521718728551</v>
      </c>
      <c r="H29" s="5"/>
      <c r="I29" s="5"/>
      <c r="J29" s="5">
        <v>1</v>
      </c>
      <c r="K29" s="5">
        <v>1</v>
      </c>
      <c r="L29" s="4">
        <v>180</v>
      </c>
      <c r="M29" s="4">
        <v>171</v>
      </c>
      <c r="N29" s="4">
        <v>117</v>
      </c>
      <c r="O29" s="6">
        <f t="shared" si="17"/>
        <v>0.31578947368421051</v>
      </c>
      <c r="P29" s="4" t="s">
        <v>2500</v>
      </c>
      <c r="Q29" s="4"/>
      <c r="R29" s="4"/>
      <c r="S29" s="4"/>
      <c r="T29" s="4"/>
      <c r="U29" s="4"/>
      <c r="V29" s="4"/>
      <c r="W29" s="4"/>
      <c r="X29" s="4"/>
      <c r="Y29" s="4">
        <v>182</v>
      </c>
      <c r="Z29" s="4">
        <f t="shared" si="18"/>
        <v>182</v>
      </c>
      <c r="AA29" s="4">
        <v>118</v>
      </c>
      <c r="AB29" s="4">
        <f t="shared" si="19"/>
        <v>118</v>
      </c>
      <c r="AC29" s="4"/>
      <c r="AD29" s="21">
        <f>ROUND(M29*AR29,0)</f>
        <v>172</v>
      </c>
      <c r="AE29" s="6">
        <f>1-AB29/AD29</f>
        <v>0.31395348837209303</v>
      </c>
      <c r="AF29" s="33">
        <v>0.5</v>
      </c>
      <c r="AG29" s="4">
        <f t="shared" si="20"/>
        <v>180</v>
      </c>
      <c r="AH29" s="33">
        <f t="shared" si="1"/>
        <v>181.53846153846155</v>
      </c>
      <c r="AI29" s="6">
        <f>1-AB29/AH29</f>
        <v>0.35</v>
      </c>
      <c r="AJ29" s="7">
        <v>181</v>
      </c>
      <c r="AK29" s="6">
        <f>1-AB29/AJ29</f>
        <v>0.34806629834254144</v>
      </c>
      <c r="AL29" s="4">
        <f>AJ29-AB29</f>
        <v>63</v>
      </c>
      <c r="AM29" s="28"/>
      <c r="AN29" s="6"/>
      <c r="AO29" s="6"/>
      <c r="AP29" s="6">
        <f>Z29/L29</f>
        <v>1.0111111111111111</v>
      </c>
      <c r="AQ29" s="6">
        <f>AJ29/M29</f>
        <v>1.0584795321637428</v>
      </c>
      <c r="AR29" s="6">
        <f>AB29/N29</f>
        <v>1.0085470085470085</v>
      </c>
      <c r="AS29" s="4"/>
      <c r="AT29" s="4"/>
      <c r="AU29" s="4"/>
      <c r="AV29" s="4"/>
      <c r="AW29" s="4"/>
      <c r="AX29" s="4"/>
      <c r="AY29" s="4"/>
      <c r="AZ29" s="4"/>
      <c r="BA29" s="4"/>
      <c r="BB29" s="4">
        <v>0</v>
      </c>
      <c r="BC29" s="4" t="s">
        <v>3566</v>
      </c>
      <c r="BD29" s="4">
        <v>1</v>
      </c>
      <c r="BE29" s="4">
        <v>6</v>
      </c>
      <c r="BF29" s="4" t="s">
        <v>3561</v>
      </c>
      <c r="BG29" s="4">
        <v>1080</v>
      </c>
      <c r="BH29" s="4">
        <v>1080</v>
      </c>
      <c r="BI29" s="4">
        <f t="shared" si="21"/>
        <v>180</v>
      </c>
      <c r="BJ29" s="19">
        <v>4</v>
      </c>
      <c r="BK29" s="19">
        <v>8</v>
      </c>
      <c r="BL29" s="16">
        <v>6</v>
      </c>
      <c r="BM29" s="45" t="s">
        <v>3534</v>
      </c>
      <c r="BN29" t="s">
        <v>3534</v>
      </c>
      <c r="BO29" t="str">
        <f t="shared" si="7"/>
        <v>-</v>
      </c>
      <c r="BP29">
        <v>180</v>
      </c>
      <c r="BQ29">
        <v>180</v>
      </c>
      <c r="BR29">
        <f t="shared" si="8"/>
        <v>181.53846153846155</v>
      </c>
      <c r="BS29" t="s">
        <v>2523</v>
      </c>
    </row>
    <row r="30" spans="1:71" x14ac:dyDescent="0.4">
      <c r="A30" s="3">
        <v>27</v>
      </c>
      <c r="B30" s="3">
        <v>27</v>
      </c>
      <c r="C30" s="4" t="s">
        <v>89</v>
      </c>
      <c r="D30" s="4" t="str">
        <f t="shared" si="16"/>
        <v>6579AJ</v>
      </c>
      <c r="E30" s="4" t="s">
        <v>89</v>
      </c>
      <c r="F30" s="4" t="s">
        <v>1308</v>
      </c>
      <c r="G30" s="5">
        <v>4521718728568</v>
      </c>
      <c r="H30" s="5"/>
      <c r="I30" s="5"/>
      <c r="J30" s="5">
        <v>1</v>
      </c>
      <c r="K30" s="5">
        <v>1</v>
      </c>
      <c r="L30" s="4">
        <v>180</v>
      </c>
      <c r="M30" s="4">
        <v>171</v>
      </c>
      <c r="N30" s="4">
        <v>117</v>
      </c>
      <c r="O30" s="6">
        <f t="shared" si="17"/>
        <v>0.31578947368421051</v>
      </c>
      <c r="P30" s="4" t="s">
        <v>2500</v>
      </c>
      <c r="Q30" s="4"/>
      <c r="R30" s="4"/>
      <c r="S30" s="4"/>
      <c r="T30" s="4"/>
      <c r="U30" s="4"/>
      <c r="V30" s="4"/>
      <c r="W30" s="4"/>
      <c r="X30" s="4"/>
      <c r="Y30" s="4">
        <v>182</v>
      </c>
      <c r="Z30" s="4">
        <f t="shared" si="18"/>
        <v>182</v>
      </c>
      <c r="AA30" s="4">
        <v>118</v>
      </c>
      <c r="AB30" s="4">
        <f t="shared" si="19"/>
        <v>118</v>
      </c>
      <c r="AC30" s="4"/>
      <c r="AD30" s="21">
        <f>ROUND(M30*AR30,0)</f>
        <v>172</v>
      </c>
      <c r="AE30" s="6">
        <f>1-AB30/AD30</f>
        <v>0.31395348837209303</v>
      </c>
      <c r="AF30" s="33">
        <v>0</v>
      </c>
      <c r="AG30" s="4">
        <f t="shared" si="20"/>
        <v>180</v>
      </c>
      <c r="AH30" s="33">
        <f t="shared" si="1"/>
        <v>181.53846153846155</v>
      </c>
      <c r="AI30" s="6">
        <f>1-AB30/AH30</f>
        <v>0.35</v>
      </c>
      <c r="AJ30" s="7">
        <v>181</v>
      </c>
      <c r="AK30" s="6">
        <f>1-AB30/AJ30</f>
        <v>0.34806629834254144</v>
      </c>
      <c r="AL30" s="4">
        <f>AJ30-AB30</f>
        <v>63</v>
      </c>
      <c r="AM30" s="28"/>
      <c r="AN30" s="6"/>
      <c r="AO30" s="6"/>
      <c r="AP30" s="6">
        <f>Z30/L30</f>
        <v>1.0111111111111111</v>
      </c>
      <c r="AQ30" s="6">
        <f>AJ30/M30</f>
        <v>1.0584795321637428</v>
      </c>
      <c r="AR30" s="6">
        <f>AB30/N30</f>
        <v>1.0085470085470085</v>
      </c>
      <c r="AS30" s="4"/>
      <c r="AT30" s="4"/>
      <c r="AU30" s="4"/>
      <c r="AV30" s="4"/>
      <c r="AW30" s="4"/>
      <c r="AX30" s="4"/>
      <c r="AY30" s="4"/>
      <c r="AZ30" s="4"/>
      <c r="BA30" s="4"/>
      <c r="BB30" s="4">
        <v>0</v>
      </c>
      <c r="BC30" s="4" t="s">
        <v>3567</v>
      </c>
      <c r="BD30" s="4">
        <v>1</v>
      </c>
      <c r="BE30" s="4">
        <v>6</v>
      </c>
      <c r="BF30" s="4" t="s">
        <v>3561</v>
      </c>
      <c r="BG30" s="4">
        <v>1080</v>
      </c>
      <c r="BH30" s="4">
        <v>1080</v>
      </c>
      <c r="BI30" s="4">
        <f t="shared" si="21"/>
        <v>180</v>
      </c>
      <c r="BJ30" s="19">
        <v>4</v>
      </c>
      <c r="BK30" s="19">
        <v>8</v>
      </c>
      <c r="BL30" s="16">
        <v>6</v>
      </c>
      <c r="BM30" s="45" t="s">
        <v>3534</v>
      </c>
      <c r="BN30" t="s">
        <v>3534</v>
      </c>
      <c r="BO30" t="str">
        <f t="shared" si="7"/>
        <v>-</v>
      </c>
      <c r="BP30">
        <v>180</v>
      </c>
      <c r="BQ30">
        <v>180</v>
      </c>
      <c r="BR30">
        <f t="shared" si="8"/>
        <v>181.53846153846155</v>
      </c>
      <c r="BS30" t="s">
        <v>2524</v>
      </c>
    </row>
    <row r="31" spans="1:71" x14ac:dyDescent="0.4">
      <c r="A31" s="3">
        <v>28</v>
      </c>
      <c r="B31" s="3">
        <v>28</v>
      </c>
      <c r="C31" s="4" t="s">
        <v>90</v>
      </c>
      <c r="D31" s="4" t="str">
        <f t="shared" si="16"/>
        <v>6580AJ</v>
      </c>
      <c r="E31" s="4" t="s">
        <v>90</v>
      </c>
      <c r="F31" s="4" t="s">
        <v>1309</v>
      </c>
      <c r="G31" s="5">
        <v>4521718728575</v>
      </c>
      <c r="H31" s="5"/>
      <c r="I31" s="5"/>
      <c r="J31" s="5">
        <v>1</v>
      </c>
      <c r="K31" s="5">
        <v>1</v>
      </c>
      <c r="L31" s="4">
        <v>180</v>
      </c>
      <c r="M31" s="4">
        <v>171</v>
      </c>
      <c r="N31" s="4">
        <v>117</v>
      </c>
      <c r="O31" s="6">
        <f t="shared" si="17"/>
        <v>0.31578947368421051</v>
      </c>
      <c r="P31" s="4" t="s">
        <v>2500</v>
      </c>
      <c r="Q31" s="4"/>
      <c r="R31" s="4"/>
      <c r="S31" s="4"/>
      <c r="T31" s="4"/>
      <c r="U31" s="4"/>
      <c r="V31" s="4"/>
      <c r="W31" s="4"/>
      <c r="X31" s="4"/>
      <c r="Y31" s="4">
        <v>182</v>
      </c>
      <c r="Z31" s="4">
        <f t="shared" si="18"/>
        <v>182</v>
      </c>
      <c r="AA31" s="4">
        <v>118</v>
      </c>
      <c r="AB31" s="4">
        <f t="shared" si="19"/>
        <v>118</v>
      </c>
      <c r="AC31" s="4"/>
      <c r="AD31" s="21">
        <f>ROUND(M31*AR31,0)</f>
        <v>172</v>
      </c>
      <c r="AE31" s="6">
        <f>1-AB31/AD31</f>
        <v>0.31395348837209303</v>
      </c>
      <c r="AF31" s="33">
        <v>0</v>
      </c>
      <c r="AG31" s="4">
        <f t="shared" si="20"/>
        <v>180</v>
      </c>
      <c r="AH31" s="33">
        <f t="shared" si="1"/>
        <v>181.53846153846155</v>
      </c>
      <c r="AI31" s="6">
        <f>1-AB31/AH31</f>
        <v>0.35</v>
      </c>
      <c r="AJ31" s="7">
        <v>181</v>
      </c>
      <c r="AK31" s="6">
        <f>1-AB31/AJ31</f>
        <v>0.34806629834254144</v>
      </c>
      <c r="AL31" s="4">
        <f>AJ31-AB31</f>
        <v>63</v>
      </c>
      <c r="AM31" s="28"/>
      <c r="AN31" s="6"/>
      <c r="AO31" s="6"/>
      <c r="AP31" s="6">
        <f>Z31/L31</f>
        <v>1.0111111111111111</v>
      </c>
      <c r="AQ31" s="6">
        <f>AJ31/M31</f>
        <v>1.0584795321637428</v>
      </c>
      <c r="AR31" s="6">
        <f>AB31/N31</f>
        <v>1.0085470085470085</v>
      </c>
      <c r="AS31" s="4"/>
      <c r="AT31" s="4"/>
      <c r="AU31" s="4"/>
      <c r="AV31" s="4"/>
      <c r="AW31" s="4"/>
      <c r="AX31" s="4"/>
      <c r="AY31" s="4"/>
      <c r="AZ31" s="4"/>
      <c r="BA31" s="4"/>
      <c r="BB31" s="4">
        <v>0</v>
      </c>
      <c r="BC31" s="4" t="s">
        <v>3568</v>
      </c>
      <c r="BD31" s="4">
        <v>1</v>
      </c>
      <c r="BE31" s="4">
        <v>6</v>
      </c>
      <c r="BF31" s="4" t="s">
        <v>3561</v>
      </c>
      <c r="BG31" s="4">
        <v>1080</v>
      </c>
      <c r="BH31" s="4">
        <v>1080</v>
      </c>
      <c r="BI31" s="4">
        <f t="shared" si="21"/>
        <v>180</v>
      </c>
      <c r="BJ31" s="19">
        <v>4</v>
      </c>
      <c r="BK31" s="19">
        <v>8</v>
      </c>
      <c r="BL31" s="16">
        <v>6</v>
      </c>
      <c r="BM31" s="45" t="s">
        <v>3534</v>
      </c>
      <c r="BN31" t="s">
        <v>3534</v>
      </c>
      <c r="BO31" t="str">
        <f t="shared" si="7"/>
        <v>-</v>
      </c>
      <c r="BP31">
        <v>180</v>
      </c>
      <c r="BQ31">
        <v>180</v>
      </c>
      <c r="BR31">
        <f t="shared" si="8"/>
        <v>181.53846153846155</v>
      </c>
      <c r="BS31" t="s">
        <v>2525</v>
      </c>
    </row>
    <row r="32" spans="1:71" x14ac:dyDescent="0.4">
      <c r="A32" s="3">
        <v>29</v>
      </c>
      <c r="B32" s="3">
        <v>29</v>
      </c>
      <c r="C32" s="4" t="s">
        <v>91</v>
      </c>
      <c r="D32" s="4" t="str">
        <f t="shared" si="16"/>
        <v>6587AJ</v>
      </c>
      <c r="E32" s="4" t="s">
        <v>91</v>
      </c>
      <c r="F32" s="4" t="s">
        <v>1310</v>
      </c>
      <c r="G32" s="5">
        <v>4521718218496</v>
      </c>
      <c r="H32" s="5"/>
      <c r="I32" s="5"/>
      <c r="J32" s="5">
        <v>1</v>
      </c>
      <c r="K32" s="5">
        <v>1</v>
      </c>
      <c r="L32" s="4">
        <v>350</v>
      </c>
      <c r="M32" s="4">
        <v>266</v>
      </c>
      <c r="N32" s="4">
        <v>183</v>
      </c>
      <c r="O32" s="6">
        <f t="shared" si="17"/>
        <v>0.31203007518796988</v>
      </c>
      <c r="P32" s="4" t="s">
        <v>2500</v>
      </c>
      <c r="Q32" s="4"/>
      <c r="R32" s="4"/>
      <c r="S32" s="4"/>
      <c r="T32" s="4"/>
      <c r="U32" s="4"/>
      <c r="V32" s="4"/>
      <c r="W32" s="4"/>
      <c r="X32" s="4"/>
      <c r="Y32" s="4">
        <v>282</v>
      </c>
      <c r="Z32" s="4">
        <f t="shared" si="18"/>
        <v>282</v>
      </c>
      <c r="AA32" s="4">
        <v>183</v>
      </c>
      <c r="AB32" s="4">
        <f t="shared" si="19"/>
        <v>183</v>
      </c>
      <c r="AC32" s="4"/>
      <c r="AD32" s="21">
        <f>ROUND(M32*AR32,0)</f>
        <v>266</v>
      </c>
      <c r="AE32" s="6">
        <f>1-AB32/AD32</f>
        <v>0.31203007518796988</v>
      </c>
      <c r="AF32" s="33">
        <v>0.5</v>
      </c>
      <c r="AG32" s="4">
        <f t="shared" si="20"/>
        <v>350</v>
      </c>
      <c r="AH32" s="33">
        <f t="shared" si="1"/>
        <v>350</v>
      </c>
      <c r="AI32" s="6">
        <f>1-AB32/AH32</f>
        <v>0.47714285714285709</v>
      </c>
      <c r="AJ32" s="7">
        <v>282</v>
      </c>
      <c r="AK32" s="6">
        <f>1-AB32/AJ32</f>
        <v>0.35106382978723405</v>
      </c>
      <c r="AL32" s="4">
        <f>AJ32-AB32</f>
        <v>99</v>
      </c>
      <c r="AM32" s="28"/>
      <c r="AN32" s="6"/>
      <c r="AO32" s="6"/>
      <c r="AP32" s="6">
        <f>Z32/L32</f>
        <v>0.80571428571428572</v>
      </c>
      <c r="AQ32" s="6">
        <f>AJ32/M32</f>
        <v>1.0601503759398496</v>
      </c>
      <c r="AR32" s="6">
        <f>AB32/N32</f>
        <v>1</v>
      </c>
      <c r="AS32" s="4"/>
      <c r="AT32" s="4"/>
      <c r="AU32" s="4"/>
      <c r="AV32" s="4"/>
      <c r="AW32" s="4"/>
      <c r="AX32" s="4"/>
      <c r="AY32" s="4"/>
      <c r="AZ32" s="4"/>
      <c r="BA32" s="4"/>
      <c r="BB32" s="4">
        <v>0</v>
      </c>
      <c r="BC32" s="4" t="s">
        <v>3569</v>
      </c>
      <c r="BD32" s="4">
        <v>1</v>
      </c>
      <c r="BE32" s="4">
        <v>4</v>
      </c>
      <c r="BF32" s="4" t="s">
        <v>3570</v>
      </c>
      <c r="BG32" s="4">
        <v>1400</v>
      </c>
      <c r="BH32" s="4">
        <v>1400</v>
      </c>
      <c r="BI32" s="4">
        <f t="shared" si="21"/>
        <v>350</v>
      </c>
      <c r="BJ32" s="19">
        <v>4</v>
      </c>
      <c r="BK32" s="19">
        <v>8</v>
      </c>
      <c r="BL32" s="16">
        <v>6</v>
      </c>
      <c r="BM32" s="45" t="s">
        <v>3534</v>
      </c>
      <c r="BN32" t="s">
        <v>3534</v>
      </c>
      <c r="BO32" t="str">
        <f t="shared" si="7"/>
        <v>-</v>
      </c>
      <c r="BP32" t="s">
        <v>3534</v>
      </c>
      <c r="BQ32">
        <v>282</v>
      </c>
      <c r="BR32">
        <f t="shared" si="8"/>
        <v>282</v>
      </c>
      <c r="BS32" t="s">
        <v>2526</v>
      </c>
    </row>
    <row r="33" spans="1:71" x14ac:dyDescent="0.4">
      <c r="A33" s="3">
        <v>30</v>
      </c>
      <c r="B33" s="3">
        <v>30</v>
      </c>
      <c r="C33" s="4" t="s">
        <v>92</v>
      </c>
      <c r="D33" s="4" t="str">
        <f t="shared" si="16"/>
        <v>6588AJ</v>
      </c>
      <c r="E33" s="4" t="s">
        <v>92</v>
      </c>
      <c r="F33" s="4" t="s">
        <v>1311</v>
      </c>
      <c r="G33" s="5">
        <v>4548030554187</v>
      </c>
      <c r="H33" s="5"/>
      <c r="I33" s="5"/>
      <c r="J33" s="5">
        <v>1</v>
      </c>
      <c r="K33" s="5">
        <v>1</v>
      </c>
      <c r="L33" s="4">
        <v>540</v>
      </c>
      <c r="M33" s="4">
        <v>431</v>
      </c>
      <c r="N33" s="4">
        <v>306</v>
      </c>
      <c r="O33" s="6">
        <f t="shared" si="17"/>
        <v>0.29002320185614849</v>
      </c>
      <c r="P33" s="4" t="s">
        <v>2500</v>
      </c>
      <c r="Q33" s="4"/>
      <c r="R33" s="4"/>
      <c r="S33" s="4"/>
      <c r="T33" s="4"/>
      <c r="U33" s="4"/>
      <c r="V33" s="4"/>
      <c r="W33" s="4"/>
      <c r="X33" s="4"/>
      <c r="Y33" s="4">
        <v>540</v>
      </c>
      <c r="Z33" s="4">
        <f t="shared" si="18"/>
        <v>540</v>
      </c>
      <c r="AA33" s="4">
        <v>378</v>
      </c>
      <c r="AB33" s="4">
        <f t="shared" si="19"/>
        <v>378</v>
      </c>
      <c r="AC33" s="4"/>
      <c r="AD33" s="21">
        <f>ROUND(M33*AR33,0)</f>
        <v>532</v>
      </c>
      <c r="AE33" s="6">
        <f>1-AB33/AD33</f>
        <v>0.28947368421052633</v>
      </c>
      <c r="AF33" s="33">
        <v>0</v>
      </c>
      <c r="AG33" s="4">
        <f t="shared" si="20"/>
        <v>540</v>
      </c>
      <c r="AH33" s="33">
        <f t="shared" si="1"/>
        <v>667.05882352941182</v>
      </c>
      <c r="AI33" s="6">
        <f>1-AB33/AH33</f>
        <v>0.43333333333333335</v>
      </c>
      <c r="AJ33" s="7">
        <v>540</v>
      </c>
      <c r="AK33" s="6">
        <f>1-AB33/AJ33</f>
        <v>0.30000000000000004</v>
      </c>
      <c r="AL33" s="4">
        <f>AJ33-AB33</f>
        <v>162</v>
      </c>
      <c r="AM33" s="28"/>
      <c r="AN33" s="6"/>
      <c r="AO33" s="6"/>
      <c r="AP33" s="6">
        <f>Z33/L33</f>
        <v>1</v>
      </c>
      <c r="AQ33" s="6">
        <f>AJ33/M33</f>
        <v>1.2529002320185614</v>
      </c>
      <c r="AR33" s="6">
        <f>AB33/N33</f>
        <v>1.2352941176470589</v>
      </c>
      <c r="AS33" s="4"/>
      <c r="AT33" s="4"/>
      <c r="AU33" s="4"/>
      <c r="AV33" s="4"/>
      <c r="AW33" s="4"/>
      <c r="AX33" s="4"/>
      <c r="AY33" s="4"/>
      <c r="AZ33" s="4"/>
      <c r="BA33" s="4"/>
      <c r="BB33" s="4">
        <v>0</v>
      </c>
      <c r="BC33" s="4" t="s">
        <v>3571</v>
      </c>
      <c r="BD33" s="4">
        <v>1</v>
      </c>
      <c r="BE33" s="4">
        <v>3</v>
      </c>
      <c r="BF33" s="4" t="s">
        <v>3572</v>
      </c>
      <c r="BG33" s="4">
        <v>1620</v>
      </c>
      <c r="BH33" s="4">
        <v>1620</v>
      </c>
      <c r="BI33" s="4">
        <f t="shared" si="21"/>
        <v>540</v>
      </c>
      <c r="BJ33" s="19">
        <v>4</v>
      </c>
      <c r="BK33" s="19">
        <v>8</v>
      </c>
      <c r="BL33" s="16">
        <v>6</v>
      </c>
      <c r="BM33" s="45" t="s">
        <v>3534</v>
      </c>
      <c r="BN33" t="s">
        <v>3534</v>
      </c>
      <c r="BO33" t="str">
        <f t="shared" si="7"/>
        <v>-</v>
      </c>
      <c r="BP33">
        <v>437</v>
      </c>
      <c r="BQ33">
        <v>437</v>
      </c>
      <c r="BR33">
        <f t="shared" si="8"/>
        <v>539.82352941176475</v>
      </c>
      <c r="BS33" t="s">
        <v>2527</v>
      </c>
    </row>
    <row r="34" spans="1:71" x14ac:dyDescent="0.4">
      <c r="A34" s="3">
        <v>31</v>
      </c>
      <c r="B34" s="3">
        <v>31</v>
      </c>
      <c r="C34" s="4" t="s">
        <v>93</v>
      </c>
      <c r="D34" s="4" t="str">
        <f t="shared" si="16"/>
        <v>6589AJ</v>
      </c>
      <c r="E34" s="4" t="s">
        <v>93</v>
      </c>
      <c r="F34" s="4" t="s">
        <v>1312</v>
      </c>
      <c r="G34" s="5">
        <v>4548030554194</v>
      </c>
      <c r="H34" s="5"/>
      <c r="I34" s="5"/>
      <c r="J34" s="5">
        <v>1</v>
      </c>
      <c r="K34" s="5">
        <v>1</v>
      </c>
      <c r="L34" s="4">
        <v>900</v>
      </c>
      <c r="M34" s="4">
        <v>727</v>
      </c>
      <c r="N34" s="4">
        <v>503</v>
      </c>
      <c r="O34" s="6">
        <f t="shared" si="17"/>
        <v>0.30811554332874824</v>
      </c>
      <c r="P34" s="4" t="s">
        <v>2500</v>
      </c>
      <c r="Q34" s="4"/>
      <c r="R34" s="4"/>
      <c r="S34" s="4"/>
      <c r="T34" s="4"/>
      <c r="U34" s="4"/>
      <c r="V34" s="4"/>
      <c r="W34" s="4"/>
      <c r="X34" s="4"/>
      <c r="Y34" s="4">
        <v>746</v>
      </c>
      <c r="Z34" s="4">
        <f t="shared" si="18"/>
        <v>746</v>
      </c>
      <c r="AA34" s="4">
        <v>522</v>
      </c>
      <c r="AB34" s="4">
        <f t="shared" si="19"/>
        <v>522</v>
      </c>
      <c r="AC34" s="4"/>
      <c r="AD34" s="21">
        <f>ROUND(M34*AR34,0)</f>
        <v>754</v>
      </c>
      <c r="AE34" s="6">
        <f>1-AB34/AD34</f>
        <v>0.30769230769230771</v>
      </c>
      <c r="AF34" s="33">
        <v>0.5</v>
      </c>
      <c r="AG34" s="4">
        <f t="shared" si="20"/>
        <v>900</v>
      </c>
      <c r="AH34" s="33">
        <f t="shared" si="1"/>
        <v>933.99602385685876</v>
      </c>
      <c r="AI34" s="6">
        <f>1-AB34/AH34</f>
        <v>0.44111111111111101</v>
      </c>
      <c r="AJ34" s="7">
        <v>746</v>
      </c>
      <c r="AK34" s="6">
        <f>1-AB34/AJ34</f>
        <v>0.30026809651474529</v>
      </c>
      <c r="AL34" s="4">
        <f>AJ34-AB34</f>
        <v>224</v>
      </c>
      <c r="AM34" s="28"/>
      <c r="AN34" s="6"/>
      <c r="AO34" s="6"/>
      <c r="AP34" s="6">
        <f>Z34/L34</f>
        <v>0.8288888888888889</v>
      </c>
      <c r="AQ34" s="6">
        <f>AJ34/M34</f>
        <v>1.0261348005502062</v>
      </c>
      <c r="AR34" s="6">
        <f>AB34/N34</f>
        <v>1.0377733598409542</v>
      </c>
      <c r="AS34" s="4"/>
      <c r="AT34" s="4"/>
      <c r="AU34" s="4"/>
      <c r="AV34" s="4"/>
      <c r="AW34" s="4"/>
      <c r="AX34" s="4"/>
      <c r="AY34" s="4"/>
      <c r="AZ34" s="4"/>
      <c r="BA34" s="4"/>
      <c r="BB34" s="4">
        <v>0</v>
      </c>
      <c r="BC34" s="4" t="s">
        <v>3573</v>
      </c>
      <c r="BD34" s="4">
        <v>1</v>
      </c>
      <c r="BE34" s="4">
        <v>2</v>
      </c>
      <c r="BF34" s="4" t="s">
        <v>3559</v>
      </c>
      <c r="BG34" s="4">
        <v>1800</v>
      </c>
      <c r="BH34" s="4">
        <v>1800</v>
      </c>
      <c r="BI34" s="4">
        <f t="shared" si="21"/>
        <v>900</v>
      </c>
      <c r="BJ34" s="19">
        <v>4</v>
      </c>
      <c r="BK34" s="19">
        <v>8</v>
      </c>
      <c r="BL34" s="16">
        <v>6</v>
      </c>
      <c r="BM34" s="45" t="s">
        <v>3534</v>
      </c>
      <c r="BN34" t="s">
        <v>3534</v>
      </c>
      <c r="BO34" t="str">
        <f t="shared" si="7"/>
        <v>-</v>
      </c>
      <c r="BP34">
        <v>719</v>
      </c>
      <c r="BQ34">
        <v>719</v>
      </c>
      <c r="BR34">
        <f t="shared" si="8"/>
        <v>746.15904572564602</v>
      </c>
      <c r="BS34" t="s">
        <v>2528</v>
      </c>
    </row>
    <row r="35" spans="1:71" x14ac:dyDescent="0.4">
      <c r="A35" s="3">
        <v>32</v>
      </c>
      <c r="B35" s="3">
        <v>32</v>
      </c>
      <c r="C35" s="4" t="s">
        <v>94</v>
      </c>
      <c r="D35" s="4" t="str">
        <f t="shared" si="16"/>
        <v>8813AM</v>
      </c>
      <c r="E35" s="4" t="s">
        <v>94</v>
      </c>
      <c r="F35" s="4" t="s">
        <v>1313</v>
      </c>
      <c r="G35" s="5">
        <v>4521718244075</v>
      </c>
      <c r="H35" s="5"/>
      <c r="I35" s="5"/>
      <c r="J35" s="5">
        <v>1</v>
      </c>
      <c r="K35" s="5">
        <v>1</v>
      </c>
      <c r="L35" s="4">
        <v>1080</v>
      </c>
      <c r="M35" s="4">
        <v>700</v>
      </c>
      <c r="N35" s="4">
        <v>485</v>
      </c>
      <c r="O35" s="6">
        <f t="shared" si="17"/>
        <v>0.30714285714285716</v>
      </c>
      <c r="P35" s="4" t="s">
        <v>2500</v>
      </c>
      <c r="Q35" s="4"/>
      <c r="R35" s="4"/>
      <c r="S35" s="4"/>
      <c r="T35" s="4"/>
      <c r="U35" s="4"/>
      <c r="V35" s="4"/>
      <c r="W35" s="4"/>
      <c r="X35" s="4"/>
      <c r="Y35" s="4">
        <v>728</v>
      </c>
      <c r="Z35" s="4">
        <f t="shared" si="18"/>
        <v>728</v>
      </c>
      <c r="AA35" s="4">
        <v>485</v>
      </c>
      <c r="AB35" s="4">
        <f t="shared" si="19"/>
        <v>485</v>
      </c>
      <c r="AC35" s="4"/>
      <c r="AD35" s="21">
        <f>ROUND(M35*AR35,0)</f>
        <v>700</v>
      </c>
      <c r="AE35" s="6">
        <f>1-AB35/AD35</f>
        <v>0.30714285714285716</v>
      </c>
      <c r="AF35" s="33">
        <v>0</v>
      </c>
      <c r="AG35" s="4">
        <f t="shared" si="20"/>
        <v>1080</v>
      </c>
      <c r="AH35" s="33">
        <f t="shared" si="1"/>
        <v>1080</v>
      </c>
      <c r="AI35" s="6">
        <f>1-AB35/AH35</f>
        <v>0.55092592592592593</v>
      </c>
      <c r="AJ35" s="7">
        <v>728</v>
      </c>
      <c r="AK35" s="6">
        <f>1-AB35/AJ35</f>
        <v>0.33379120879120883</v>
      </c>
      <c r="AL35" s="4">
        <f>AJ35-AB35</f>
        <v>243</v>
      </c>
      <c r="AM35" s="28"/>
      <c r="AN35" s="6"/>
      <c r="AO35" s="6"/>
      <c r="AP35" s="6">
        <f>Z35/L35</f>
        <v>0.67407407407407405</v>
      </c>
      <c r="AQ35" s="6">
        <f>AJ35/M35</f>
        <v>1.04</v>
      </c>
      <c r="AR35" s="6">
        <f>AB35/N35</f>
        <v>1</v>
      </c>
      <c r="AS35" s="4"/>
      <c r="AT35" s="4"/>
      <c r="AU35" s="4"/>
      <c r="AV35" s="4"/>
      <c r="AW35" s="4"/>
      <c r="AX35" s="4"/>
      <c r="AY35" s="4"/>
      <c r="AZ35" s="4"/>
      <c r="BA35" s="4"/>
      <c r="BB35" s="4">
        <v>0</v>
      </c>
      <c r="BC35" s="4" t="s">
        <v>3574</v>
      </c>
      <c r="BD35" s="4">
        <v>1</v>
      </c>
      <c r="BE35" s="4">
        <v>2</v>
      </c>
      <c r="BF35" s="4" t="s">
        <v>3575</v>
      </c>
      <c r="BG35" s="4">
        <v>2160</v>
      </c>
      <c r="BH35" s="4">
        <v>2160</v>
      </c>
      <c r="BI35" s="4">
        <f t="shared" si="21"/>
        <v>1080</v>
      </c>
      <c r="BJ35" s="19">
        <v>4</v>
      </c>
      <c r="BK35" s="19">
        <v>8</v>
      </c>
      <c r="BL35" s="16">
        <v>6</v>
      </c>
      <c r="BM35" s="45" t="s">
        <v>3534</v>
      </c>
      <c r="BN35" t="s">
        <v>3534</v>
      </c>
      <c r="BO35" t="str">
        <f t="shared" si="7"/>
        <v>-</v>
      </c>
      <c r="BP35" t="s">
        <v>3534</v>
      </c>
      <c r="BQ35" t="s">
        <v>3534</v>
      </c>
      <c r="BR35" t="str">
        <f t="shared" si="8"/>
        <v>-</v>
      </c>
      <c r="BS35" t="s">
        <v>2529</v>
      </c>
    </row>
    <row r="36" spans="1:71" x14ac:dyDescent="0.4">
      <c r="A36" s="3">
        <v>33</v>
      </c>
      <c r="B36" s="3">
        <v>33</v>
      </c>
      <c r="C36" s="4" t="s">
        <v>95</v>
      </c>
      <c r="D36" s="4" t="str">
        <f t="shared" si="16"/>
        <v>8814AM</v>
      </c>
      <c r="E36" s="4" t="s">
        <v>95</v>
      </c>
      <c r="F36" s="4" t="s">
        <v>1314</v>
      </c>
      <c r="G36" s="5">
        <v>4521718244082</v>
      </c>
      <c r="H36" s="5"/>
      <c r="I36" s="5"/>
      <c r="J36" s="5">
        <v>1</v>
      </c>
      <c r="K36" s="5">
        <v>1</v>
      </c>
      <c r="L36" s="4">
        <v>1080</v>
      </c>
      <c r="M36" s="4">
        <v>700</v>
      </c>
      <c r="N36" s="4">
        <v>485</v>
      </c>
      <c r="O36" s="6">
        <f t="shared" si="17"/>
        <v>0.30714285714285716</v>
      </c>
      <c r="P36" s="4" t="s">
        <v>2500</v>
      </c>
      <c r="Q36" s="4"/>
      <c r="R36" s="4"/>
      <c r="S36" s="4"/>
      <c r="T36" s="4"/>
      <c r="U36" s="4"/>
      <c r="V36" s="4"/>
      <c r="W36" s="4"/>
      <c r="X36" s="4"/>
      <c r="Y36" s="4">
        <v>728</v>
      </c>
      <c r="Z36" s="4">
        <f t="shared" si="18"/>
        <v>728</v>
      </c>
      <c r="AA36" s="4">
        <v>485</v>
      </c>
      <c r="AB36" s="4">
        <f t="shared" si="19"/>
        <v>485</v>
      </c>
      <c r="AC36" s="4"/>
      <c r="AD36" s="21">
        <f>ROUND(M36*AR36,0)</f>
        <v>700</v>
      </c>
      <c r="AE36" s="6">
        <f>1-AB36/AD36</f>
        <v>0.30714285714285716</v>
      </c>
      <c r="AF36" s="33">
        <v>0</v>
      </c>
      <c r="AG36" s="4">
        <f t="shared" si="20"/>
        <v>1080</v>
      </c>
      <c r="AH36" s="33">
        <f t="shared" si="1"/>
        <v>1080</v>
      </c>
      <c r="AI36" s="6">
        <f>1-AB36/AH36</f>
        <v>0.55092592592592593</v>
      </c>
      <c r="AJ36" s="7">
        <v>728</v>
      </c>
      <c r="AK36" s="6">
        <f>1-AB36/AJ36</f>
        <v>0.33379120879120883</v>
      </c>
      <c r="AL36" s="4">
        <f>AJ36-AB36</f>
        <v>243</v>
      </c>
      <c r="AM36" s="28"/>
      <c r="AN36" s="6"/>
      <c r="AO36" s="6"/>
      <c r="AP36" s="6">
        <f>Z36/L36</f>
        <v>0.67407407407407405</v>
      </c>
      <c r="AQ36" s="6">
        <f>AJ36/M36</f>
        <v>1.04</v>
      </c>
      <c r="AR36" s="6">
        <f>AB36/N36</f>
        <v>1</v>
      </c>
      <c r="AS36" s="4"/>
      <c r="AT36" s="4"/>
      <c r="AU36" s="4"/>
      <c r="AV36" s="4"/>
      <c r="AW36" s="4"/>
      <c r="AX36" s="4"/>
      <c r="AY36" s="4"/>
      <c r="AZ36" s="4"/>
      <c r="BA36" s="4"/>
      <c r="BB36" s="4">
        <v>0</v>
      </c>
      <c r="BC36" s="4" t="s">
        <v>3576</v>
      </c>
      <c r="BD36" s="4">
        <v>1</v>
      </c>
      <c r="BE36" s="4">
        <v>2</v>
      </c>
      <c r="BF36" s="4" t="s">
        <v>3575</v>
      </c>
      <c r="BG36" s="4">
        <v>2160</v>
      </c>
      <c r="BH36" s="4">
        <v>2160</v>
      </c>
      <c r="BI36" s="4">
        <f t="shared" si="21"/>
        <v>1080</v>
      </c>
      <c r="BJ36" s="19">
        <v>4</v>
      </c>
      <c r="BK36" s="19">
        <v>8</v>
      </c>
      <c r="BL36" s="16">
        <v>6</v>
      </c>
      <c r="BM36" s="45" t="s">
        <v>3534</v>
      </c>
      <c r="BN36" t="s">
        <v>3534</v>
      </c>
      <c r="BO36" t="str">
        <f t="shared" si="7"/>
        <v>-</v>
      </c>
      <c r="BP36" t="s">
        <v>3534</v>
      </c>
      <c r="BQ36" t="s">
        <v>3534</v>
      </c>
      <c r="BR36" t="str">
        <f t="shared" si="8"/>
        <v>-</v>
      </c>
      <c r="BS36" t="s">
        <v>2530</v>
      </c>
    </row>
    <row r="37" spans="1:71" x14ac:dyDescent="0.4">
      <c r="A37" s="3">
        <v>34</v>
      </c>
      <c r="B37" s="3">
        <v>34</v>
      </c>
      <c r="C37" s="4" t="s">
        <v>96</v>
      </c>
      <c r="D37" s="4" t="str">
        <f t="shared" si="16"/>
        <v>8815AM</v>
      </c>
      <c r="E37" s="4" t="s">
        <v>96</v>
      </c>
      <c r="F37" s="4" t="s">
        <v>1315</v>
      </c>
      <c r="G37" s="5">
        <v>4521718244099</v>
      </c>
      <c r="H37" s="5"/>
      <c r="I37" s="5"/>
      <c r="J37" s="5">
        <v>1</v>
      </c>
      <c r="K37" s="5">
        <v>1</v>
      </c>
      <c r="L37" s="4">
        <v>1070</v>
      </c>
      <c r="M37" s="4">
        <v>690</v>
      </c>
      <c r="N37" s="4">
        <v>479</v>
      </c>
      <c r="O37" s="6">
        <f t="shared" si="17"/>
        <v>0.30579710144927541</v>
      </c>
      <c r="P37" s="4" t="s">
        <v>2500</v>
      </c>
      <c r="Q37" s="4"/>
      <c r="R37" s="4"/>
      <c r="S37" s="4"/>
      <c r="T37" s="4"/>
      <c r="U37" s="4"/>
      <c r="V37" s="4"/>
      <c r="W37" s="4"/>
      <c r="X37" s="4"/>
      <c r="Y37" s="4">
        <v>719</v>
      </c>
      <c r="Z37" s="4">
        <f t="shared" si="18"/>
        <v>719</v>
      </c>
      <c r="AA37" s="4">
        <v>479</v>
      </c>
      <c r="AB37" s="4">
        <f t="shared" si="19"/>
        <v>479</v>
      </c>
      <c r="AC37" s="4"/>
      <c r="AD37" s="21">
        <f>ROUND(M37*AR37,0)</f>
        <v>690</v>
      </c>
      <c r="AE37" s="6">
        <f>1-AB37/AD37</f>
        <v>0.30579710144927541</v>
      </c>
      <c r="AF37" s="33">
        <v>0</v>
      </c>
      <c r="AG37" s="4">
        <f t="shared" si="20"/>
        <v>1070</v>
      </c>
      <c r="AH37" s="33">
        <f t="shared" si="1"/>
        <v>1070</v>
      </c>
      <c r="AI37" s="6">
        <f>1-AB37/AH37</f>
        <v>0.5523364485981308</v>
      </c>
      <c r="AJ37" s="7">
        <v>719</v>
      </c>
      <c r="AK37" s="6">
        <f>1-AB37/AJ37</f>
        <v>0.33379694019471484</v>
      </c>
      <c r="AL37" s="4">
        <f>AJ37-AB37</f>
        <v>240</v>
      </c>
      <c r="AM37" s="28"/>
      <c r="AN37" s="6"/>
      <c r="AO37" s="6"/>
      <c r="AP37" s="6">
        <f>Z37/L37</f>
        <v>0.67196261682242986</v>
      </c>
      <c r="AQ37" s="6">
        <f>AJ37/M37</f>
        <v>1.0420289855072464</v>
      </c>
      <c r="AR37" s="6">
        <f>AB37/N37</f>
        <v>1</v>
      </c>
      <c r="AS37" s="4"/>
      <c r="AT37" s="4"/>
      <c r="AU37" s="4"/>
      <c r="AV37" s="4"/>
      <c r="AW37" s="4"/>
      <c r="AX37" s="4"/>
      <c r="AY37" s="4"/>
      <c r="AZ37" s="4"/>
      <c r="BA37" s="4"/>
      <c r="BB37" s="4">
        <v>0</v>
      </c>
      <c r="BC37" s="4" t="s">
        <v>3577</v>
      </c>
      <c r="BD37" s="4">
        <v>1</v>
      </c>
      <c r="BE37" s="4">
        <v>2</v>
      </c>
      <c r="BF37" s="4" t="s">
        <v>3575</v>
      </c>
      <c r="BG37" s="4">
        <v>2140</v>
      </c>
      <c r="BH37" s="4">
        <v>2140</v>
      </c>
      <c r="BI37" s="4">
        <f t="shared" si="21"/>
        <v>1070</v>
      </c>
      <c r="BJ37" s="19">
        <v>4</v>
      </c>
      <c r="BK37" s="19">
        <v>8</v>
      </c>
      <c r="BL37" s="16">
        <v>6</v>
      </c>
      <c r="BM37" s="45" t="s">
        <v>3534</v>
      </c>
      <c r="BN37" t="s">
        <v>3534</v>
      </c>
      <c r="BO37" t="str">
        <f t="shared" si="7"/>
        <v>-</v>
      </c>
      <c r="BP37" t="s">
        <v>3534</v>
      </c>
      <c r="BQ37" t="s">
        <v>3534</v>
      </c>
      <c r="BR37" t="str">
        <f t="shared" si="8"/>
        <v>-</v>
      </c>
      <c r="BS37" t="s">
        <v>2531</v>
      </c>
    </row>
    <row r="38" spans="1:71" x14ac:dyDescent="0.4">
      <c r="A38" s="3">
        <v>35</v>
      </c>
      <c r="B38" s="3">
        <v>35</v>
      </c>
      <c r="C38" s="4" t="s">
        <v>97</v>
      </c>
      <c r="D38" s="4" t="str">
        <f t="shared" si="16"/>
        <v>8817AM</v>
      </c>
      <c r="E38" s="4" t="s">
        <v>97</v>
      </c>
      <c r="F38" s="4" t="s">
        <v>1316</v>
      </c>
      <c r="G38" s="5">
        <v>4521718528007</v>
      </c>
      <c r="H38" s="5"/>
      <c r="I38" s="5"/>
      <c r="J38" s="5">
        <v>1</v>
      </c>
      <c r="K38" s="5">
        <v>1</v>
      </c>
      <c r="L38" s="4">
        <v>500</v>
      </c>
      <c r="M38" s="4">
        <v>320</v>
      </c>
      <c r="N38" s="4">
        <v>223</v>
      </c>
      <c r="O38" s="6">
        <f t="shared" si="17"/>
        <v>0.30312499999999998</v>
      </c>
      <c r="P38" s="4" t="s">
        <v>2500</v>
      </c>
      <c r="Q38" s="4"/>
      <c r="R38" s="4"/>
      <c r="S38" s="4"/>
      <c r="T38" s="4"/>
      <c r="U38" s="4"/>
      <c r="V38" s="4"/>
      <c r="W38" s="4"/>
      <c r="X38" s="4"/>
      <c r="Y38" s="4">
        <v>319</v>
      </c>
      <c r="Z38" s="4">
        <f t="shared" si="18"/>
        <v>319</v>
      </c>
      <c r="AA38" s="4">
        <v>223</v>
      </c>
      <c r="AB38" s="4">
        <f t="shared" si="19"/>
        <v>223</v>
      </c>
      <c r="AC38" s="4"/>
      <c r="AD38" s="21">
        <f>ROUND(M38*AR38,0)</f>
        <v>320</v>
      </c>
      <c r="AE38" s="6">
        <f>1-AB38/AD38</f>
        <v>0.30312499999999998</v>
      </c>
      <c r="AF38" s="33">
        <v>0</v>
      </c>
      <c r="AG38" s="4">
        <f t="shared" si="20"/>
        <v>500</v>
      </c>
      <c r="AH38" s="33">
        <f t="shared" si="1"/>
        <v>500</v>
      </c>
      <c r="AI38" s="6">
        <f>1-AB38/AH38</f>
        <v>0.55400000000000005</v>
      </c>
      <c r="AJ38" s="7">
        <v>319</v>
      </c>
      <c r="AK38" s="6">
        <f>1-AB38/AJ38</f>
        <v>0.30094043887147337</v>
      </c>
      <c r="AL38" s="4">
        <f>AJ38-AB38</f>
        <v>96</v>
      </c>
      <c r="AM38" s="28"/>
      <c r="AN38" s="6"/>
      <c r="AO38" s="6"/>
      <c r="AP38" s="6">
        <f>Z38/L38</f>
        <v>0.63800000000000001</v>
      </c>
      <c r="AQ38" s="6">
        <f>AJ38/M38</f>
        <v>0.99687499999999996</v>
      </c>
      <c r="AR38" s="6">
        <f>AB38/N38</f>
        <v>1</v>
      </c>
      <c r="AS38" s="4"/>
      <c r="AT38" s="4"/>
      <c r="AU38" s="4"/>
      <c r="AV38" s="4"/>
      <c r="AW38" s="4"/>
      <c r="AX38" s="4"/>
      <c r="AY38" s="4"/>
      <c r="AZ38" s="4"/>
      <c r="BA38" s="4"/>
      <c r="BB38" s="4">
        <v>0</v>
      </c>
      <c r="BC38" s="4" t="s">
        <v>3578</v>
      </c>
      <c r="BD38" s="4">
        <v>1</v>
      </c>
      <c r="BE38" s="4">
        <v>4</v>
      </c>
      <c r="BF38" s="4" t="s">
        <v>3579</v>
      </c>
      <c r="BG38" s="4">
        <v>2000</v>
      </c>
      <c r="BH38" s="4">
        <v>2000</v>
      </c>
      <c r="BI38" s="4">
        <f t="shared" si="21"/>
        <v>500</v>
      </c>
      <c r="BJ38" s="19">
        <v>4</v>
      </c>
      <c r="BK38" s="19">
        <v>8</v>
      </c>
      <c r="BL38" s="16">
        <v>6</v>
      </c>
      <c r="BM38" s="45" t="s">
        <v>3534</v>
      </c>
      <c r="BN38" t="s">
        <v>3534</v>
      </c>
      <c r="BO38" t="str">
        <f t="shared" si="7"/>
        <v>-</v>
      </c>
      <c r="BP38" t="s">
        <v>3534</v>
      </c>
      <c r="BQ38" t="s">
        <v>3534</v>
      </c>
      <c r="BR38" t="str">
        <f t="shared" si="8"/>
        <v>-</v>
      </c>
      <c r="BS38" t="s">
        <v>2532</v>
      </c>
    </row>
    <row r="39" spans="1:71" x14ac:dyDescent="0.4">
      <c r="A39" s="3">
        <v>36</v>
      </c>
      <c r="B39" s="3">
        <v>36</v>
      </c>
      <c r="C39" s="4" t="s">
        <v>98</v>
      </c>
      <c r="D39" s="4" t="str">
        <f t="shared" si="16"/>
        <v>8818AM</v>
      </c>
      <c r="E39" s="4" t="s">
        <v>98</v>
      </c>
      <c r="F39" s="4" t="s">
        <v>1317</v>
      </c>
      <c r="G39" s="5">
        <v>4521718528014</v>
      </c>
      <c r="H39" s="5"/>
      <c r="I39" s="5"/>
      <c r="J39" s="5">
        <v>1</v>
      </c>
      <c r="K39" s="5">
        <v>1</v>
      </c>
      <c r="L39" s="4">
        <v>500</v>
      </c>
      <c r="M39" s="4">
        <v>320</v>
      </c>
      <c r="N39" s="4">
        <v>223</v>
      </c>
      <c r="O39" s="6">
        <f t="shared" si="17"/>
        <v>0.30312499999999998</v>
      </c>
      <c r="P39" s="4" t="s">
        <v>2500</v>
      </c>
      <c r="Q39" s="4"/>
      <c r="R39" s="4"/>
      <c r="S39" s="4"/>
      <c r="T39" s="4"/>
      <c r="U39" s="4"/>
      <c r="V39" s="4"/>
      <c r="W39" s="4"/>
      <c r="X39" s="4"/>
      <c r="Y39" s="4">
        <v>319</v>
      </c>
      <c r="Z39" s="4">
        <f t="shared" si="18"/>
        <v>319</v>
      </c>
      <c r="AA39" s="4">
        <v>223</v>
      </c>
      <c r="AB39" s="4">
        <f t="shared" si="19"/>
        <v>223</v>
      </c>
      <c r="AC39" s="4"/>
      <c r="AD39" s="21">
        <f>ROUND(M39*AR39,0)</f>
        <v>320</v>
      </c>
      <c r="AE39" s="6">
        <f>1-AB39/AD39</f>
        <v>0.30312499999999998</v>
      </c>
      <c r="AF39" s="33">
        <v>0</v>
      </c>
      <c r="AG39" s="4">
        <f t="shared" si="20"/>
        <v>500</v>
      </c>
      <c r="AH39" s="33">
        <f t="shared" si="1"/>
        <v>500</v>
      </c>
      <c r="AI39" s="6">
        <f>1-AB39/AH39</f>
        <v>0.55400000000000005</v>
      </c>
      <c r="AJ39" s="7">
        <v>319</v>
      </c>
      <c r="AK39" s="6">
        <f>1-AB39/AJ39</f>
        <v>0.30094043887147337</v>
      </c>
      <c r="AL39" s="4">
        <f>AJ39-AB39</f>
        <v>96</v>
      </c>
      <c r="AM39" s="28"/>
      <c r="AN39" s="6"/>
      <c r="AO39" s="6"/>
      <c r="AP39" s="6">
        <f>Z39/L39</f>
        <v>0.63800000000000001</v>
      </c>
      <c r="AQ39" s="6">
        <f>AJ39/M39</f>
        <v>0.99687499999999996</v>
      </c>
      <c r="AR39" s="6">
        <f>AB39/N39</f>
        <v>1</v>
      </c>
      <c r="AS39" s="4"/>
      <c r="AT39" s="4"/>
      <c r="AU39" s="4"/>
      <c r="AV39" s="4"/>
      <c r="AW39" s="4"/>
      <c r="AX39" s="4"/>
      <c r="AY39" s="4"/>
      <c r="AZ39" s="4"/>
      <c r="BA39" s="4"/>
      <c r="BB39" s="4">
        <v>0</v>
      </c>
      <c r="BC39" s="4" t="s">
        <v>3580</v>
      </c>
      <c r="BD39" s="4">
        <v>1</v>
      </c>
      <c r="BE39" s="4">
        <v>4</v>
      </c>
      <c r="BF39" s="4" t="s">
        <v>3579</v>
      </c>
      <c r="BG39" s="4">
        <v>2000</v>
      </c>
      <c r="BH39" s="4">
        <v>2000</v>
      </c>
      <c r="BI39" s="4">
        <f t="shared" si="21"/>
        <v>500</v>
      </c>
      <c r="BJ39" s="19">
        <v>4</v>
      </c>
      <c r="BK39" s="19">
        <v>8</v>
      </c>
      <c r="BL39" s="16">
        <v>6</v>
      </c>
      <c r="BM39" s="45" t="s">
        <v>3534</v>
      </c>
      <c r="BN39" t="s">
        <v>3534</v>
      </c>
      <c r="BO39" t="str">
        <f t="shared" si="7"/>
        <v>-</v>
      </c>
      <c r="BP39" t="s">
        <v>3534</v>
      </c>
      <c r="BQ39" t="s">
        <v>3534</v>
      </c>
      <c r="BR39" t="str">
        <f t="shared" si="8"/>
        <v>-</v>
      </c>
      <c r="BS39" t="s">
        <v>2533</v>
      </c>
    </row>
    <row r="40" spans="1:71" x14ac:dyDescent="0.4">
      <c r="A40" s="3">
        <v>37</v>
      </c>
      <c r="B40" s="3">
        <v>37</v>
      </c>
      <c r="C40" s="4" t="s">
        <v>99</v>
      </c>
      <c r="D40" s="4" t="str">
        <f t="shared" si="16"/>
        <v>8819AM</v>
      </c>
      <c r="E40" s="4" t="s">
        <v>99</v>
      </c>
      <c r="F40" s="4" t="s">
        <v>1318</v>
      </c>
      <c r="G40" s="5">
        <v>4521718528021</v>
      </c>
      <c r="H40" s="5"/>
      <c r="I40" s="5"/>
      <c r="J40" s="5">
        <v>1</v>
      </c>
      <c r="K40" s="5">
        <v>1</v>
      </c>
      <c r="L40" s="4">
        <v>500</v>
      </c>
      <c r="M40" s="4">
        <v>320</v>
      </c>
      <c r="N40" s="4">
        <v>223</v>
      </c>
      <c r="O40" s="6">
        <f t="shared" si="17"/>
        <v>0.30312499999999998</v>
      </c>
      <c r="P40" s="4" t="s">
        <v>2500</v>
      </c>
      <c r="Q40" s="4"/>
      <c r="R40" s="4"/>
      <c r="S40" s="4"/>
      <c r="T40" s="4"/>
      <c r="U40" s="4"/>
      <c r="V40" s="4"/>
      <c r="W40" s="4"/>
      <c r="X40" s="4"/>
      <c r="Y40" s="4">
        <v>319</v>
      </c>
      <c r="Z40" s="4">
        <f t="shared" si="18"/>
        <v>319</v>
      </c>
      <c r="AA40" s="4">
        <v>223</v>
      </c>
      <c r="AB40" s="4">
        <f t="shared" si="19"/>
        <v>223</v>
      </c>
      <c r="AC40" s="4"/>
      <c r="AD40" s="21">
        <f>ROUND(M40*AR40,0)</f>
        <v>320</v>
      </c>
      <c r="AE40" s="6">
        <f>1-AB40/AD40</f>
        <v>0.30312499999999998</v>
      </c>
      <c r="AF40" s="33">
        <v>0</v>
      </c>
      <c r="AG40" s="4">
        <f t="shared" si="20"/>
        <v>500</v>
      </c>
      <c r="AH40" s="33">
        <f t="shared" si="1"/>
        <v>500</v>
      </c>
      <c r="AI40" s="6">
        <f>1-AB40/AH40</f>
        <v>0.55400000000000005</v>
      </c>
      <c r="AJ40" s="7">
        <v>319</v>
      </c>
      <c r="AK40" s="6">
        <f>1-AB40/AJ40</f>
        <v>0.30094043887147337</v>
      </c>
      <c r="AL40" s="4">
        <f>AJ40-AB40</f>
        <v>96</v>
      </c>
      <c r="AM40" s="28"/>
      <c r="AN40" s="6"/>
      <c r="AO40" s="6"/>
      <c r="AP40" s="6">
        <f>Z40/L40</f>
        <v>0.63800000000000001</v>
      </c>
      <c r="AQ40" s="6">
        <f>AJ40/M40</f>
        <v>0.99687499999999996</v>
      </c>
      <c r="AR40" s="6">
        <f>AB40/N40</f>
        <v>1</v>
      </c>
      <c r="AS40" s="4"/>
      <c r="AT40" s="4"/>
      <c r="AU40" s="4"/>
      <c r="AV40" s="4"/>
      <c r="AW40" s="4"/>
      <c r="AX40" s="4"/>
      <c r="AY40" s="4"/>
      <c r="AZ40" s="4"/>
      <c r="BA40" s="4"/>
      <c r="BB40" s="4">
        <v>0</v>
      </c>
      <c r="BC40" s="4" t="s">
        <v>3581</v>
      </c>
      <c r="BD40" s="4">
        <v>1</v>
      </c>
      <c r="BE40" s="4">
        <v>4</v>
      </c>
      <c r="BF40" s="4" t="s">
        <v>3579</v>
      </c>
      <c r="BG40" s="4">
        <v>2000</v>
      </c>
      <c r="BH40" s="4">
        <v>2000</v>
      </c>
      <c r="BI40" s="4">
        <f t="shared" si="21"/>
        <v>500</v>
      </c>
      <c r="BJ40" s="19">
        <v>4</v>
      </c>
      <c r="BK40" s="19">
        <v>8</v>
      </c>
      <c r="BL40" s="16">
        <v>6</v>
      </c>
      <c r="BM40" s="45" t="s">
        <v>3534</v>
      </c>
      <c r="BN40" t="s">
        <v>3534</v>
      </c>
      <c r="BO40" t="str">
        <f t="shared" si="7"/>
        <v>-</v>
      </c>
      <c r="BP40" t="s">
        <v>3534</v>
      </c>
      <c r="BQ40" t="s">
        <v>3534</v>
      </c>
      <c r="BR40" t="str">
        <f t="shared" si="8"/>
        <v>-</v>
      </c>
      <c r="BS40" t="s">
        <v>2534</v>
      </c>
    </row>
    <row r="41" spans="1:71" x14ac:dyDescent="0.4">
      <c r="A41" s="3">
        <v>38</v>
      </c>
      <c r="B41" s="3">
        <v>38</v>
      </c>
      <c r="C41" s="4" t="s">
        <v>100</v>
      </c>
      <c r="D41" s="4" t="str">
        <f t="shared" si="16"/>
        <v>8820AM</v>
      </c>
      <c r="E41" s="4" t="s">
        <v>100</v>
      </c>
      <c r="F41" s="4" t="s">
        <v>1319</v>
      </c>
      <c r="G41" s="5">
        <v>4521718528038</v>
      </c>
      <c r="H41" s="5"/>
      <c r="I41" s="5"/>
      <c r="J41" s="5">
        <v>1</v>
      </c>
      <c r="K41" s="5">
        <v>1</v>
      </c>
      <c r="L41" s="4">
        <v>500</v>
      </c>
      <c r="M41" s="4">
        <v>320</v>
      </c>
      <c r="N41" s="4">
        <v>223</v>
      </c>
      <c r="O41" s="6">
        <f t="shared" si="17"/>
        <v>0.30312499999999998</v>
      </c>
      <c r="P41" s="4" t="s">
        <v>2500</v>
      </c>
      <c r="Q41" s="4"/>
      <c r="R41" s="4"/>
      <c r="S41" s="4"/>
      <c r="T41" s="4"/>
      <c r="U41" s="4"/>
      <c r="V41" s="4"/>
      <c r="W41" s="4"/>
      <c r="X41" s="4"/>
      <c r="Y41" s="4">
        <v>319</v>
      </c>
      <c r="Z41" s="4">
        <f t="shared" si="18"/>
        <v>319</v>
      </c>
      <c r="AA41" s="4">
        <v>223</v>
      </c>
      <c r="AB41" s="4">
        <f t="shared" si="19"/>
        <v>223</v>
      </c>
      <c r="AC41" s="4"/>
      <c r="AD41" s="21">
        <f>ROUND(M41*AR41,0)</f>
        <v>320</v>
      </c>
      <c r="AE41" s="6">
        <f>1-AB41/AD41</f>
        <v>0.30312499999999998</v>
      </c>
      <c r="AF41" s="33">
        <v>0</v>
      </c>
      <c r="AG41" s="4">
        <f t="shared" si="20"/>
        <v>500</v>
      </c>
      <c r="AH41" s="33">
        <f t="shared" si="1"/>
        <v>500</v>
      </c>
      <c r="AI41" s="6">
        <f>1-AB41/AH41</f>
        <v>0.55400000000000005</v>
      </c>
      <c r="AJ41" s="7">
        <v>319</v>
      </c>
      <c r="AK41" s="6">
        <f>1-AB41/AJ41</f>
        <v>0.30094043887147337</v>
      </c>
      <c r="AL41" s="4">
        <f>AJ41-AB41</f>
        <v>96</v>
      </c>
      <c r="AM41" s="28"/>
      <c r="AN41" s="6"/>
      <c r="AO41" s="6"/>
      <c r="AP41" s="6">
        <f>Z41/L41</f>
        <v>0.63800000000000001</v>
      </c>
      <c r="AQ41" s="6">
        <f>AJ41/M41</f>
        <v>0.99687499999999996</v>
      </c>
      <c r="AR41" s="6">
        <f>AB41/N41</f>
        <v>1</v>
      </c>
      <c r="AS41" s="4"/>
      <c r="AT41" s="4"/>
      <c r="AU41" s="4"/>
      <c r="AV41" s="4"/>
      <c r="AW41" s="4"/>
      <c r="AX41" s="4"/>
      <c r="AY41" s="4"/>
      <c r="AZ41" s="4"/>
      <c r="BA41" s="4"/>
      <c r="BB41" s="4">
        <v>0</v>
      </c>
      <c r="BC41" s="4" t="s">
        <v>3582</v>
      </c>
      <c r="BD41" s="4">
        <v>1</v>
      </c>
      <c r="BE41" s="4">
        <v>4</v>
      </c>
      <c r="BF41" s="4" t="s">
        <v>3579</v>
      </c>
      <c r="BG41" s="4">
        <v>2000</v>
      </c>
      <c r="BH41" s="4">
        <v>2000</v>
      </c>
      <c r="BI41" s="4">
        <f t="shared" si="21"/>
        <v>500</v>
      </c>
      <c r="BJ41" s="19">
        <v>4</v>
      </c>
      <c r="BK41" s="19">
        <v>8</v>
      </c>
      <c r="BL41" s="16">
        <v>6</v>
      </c>
      <c r="BM41" s="45" t="s">
        <v>3534</v>
      </c>
      <c r="BN41" t="s">
        <v>3534</v>
      </c>
      <c r="BO41" t="str">
        <f t="shared" si="7"/>
        <v>-</v>
      </c>
      <c r="BP41" t="s">
        <v>3534</v>
      </c>
      <c r="BQ41" t="s">
        <v>3534</v>
      </c>
      <c r="BR41" t="str">
        <f t="shared" si="8"/>
        <v>-</v>
      </c>
      <c r="BS41" t="s">
        <v>2535</v>
      </c>
    </row>
    <row r="42" spans="1:71" x14ac:dyDescent="0.4">
      <c r="A42" s="3">
        <v>39</v>
      </c>
      <c r="B42" s="3">
        <v>39</v>
      </c>
      <c r="C42" s="4" t="s">
        <v>101</v>
      </c>
      <c r="D42" s="4" t="str">
        <f t="shared" si="16"/>
        <v>8821AM</v>
      </c>
      <c r="E42" s="4" t="s">
        <v>101</v>
      </c>
      <c r="F42" s="4" t="s">
        <v>1320</v>
      </c>
      <c r="G42" s="5">
        <v>4521718748788</v>
      </c>
      <c r="H42" s="5"/>
      <c r="I42" s="5"/>
      <c r="J42" s="5">
        <v>1</v>
      </c>
      <c r="K42" s="5">
        <v>1</v>
      </c>
      <c r="L42" s="4">
        <v>630</v>
      </c>
      <c r="M42" s="4">
        <v>480</v>
      </c>
      <c r="N42" s="4">
        <v>325</v>
      </c>
      <c r="O42" s="6">
        <f t="shared" si="17"/>
        <v>0.32291666666666663</v>
      </c>
      <c r="P42" s="4" t="s">
        <v>2500</v>
      </c>
      <c r="Q42" s="4"/>
      <c r="R42" s="4"/>
      <c r="S42" s="4"/>
      <c r="T42" s="4"/>
      <c r="U42" s="4"/>
      <c r="V42" s="4"/>
      <c r="W42" s="4"/>
      <c r="X42" s="4"/>
      <c r="Y42" s="4">
        <v>500</v>
      </c>
      <c r="Z42" s="4">
        <f t="shared" si="18"/>
        <v>500</v>
      </c>
      <c r="AA42" s="4">
        <v>325</v>
      </c>
      <c r="AB42" s="4">
        <f t="shared" si="19"/>
        <v>325</v>
      </c>
      <c r="AC42" s="4"/>
      <c r="AD42" s="21">
        <f>ROUND(M42*AR42,0)</f>
        <v>480</v>
      </c>
      <c r="AE42" s="6">
        <f>1-AB42/AD42</f>
        <v>0.32291666666666663</v>
      </c>
      <c r="AF42" s="33">
        <v>0</v>
      </c>
      <c r="AG42" s="4">
        <f t="shared" si="20"/>
        <v>630</v>
      </c>
      <c r="AH42" s="33">
        <f t="shared" si="1"/>
        <v>630</v>
      </c>
      <c r="AI42" s="6">
        <f>1-AB42/AH42</f>
        <v>0.48412698412698407</v>
      </c>
      <c r="AJ42" s="7">
        <v>500</v>
      </c>
      <c r="AK42" s="6">
        <f>1-AB42/AJ42</f>
        <v>0.35</v>
      </c>
      <c r="AL42" s="4">
        <f>AJ42-AB42</f>
        <v>175</v>
      </c>
      <c r="AM42" s="28"/>
      <c r="AN42" s="6"/>
      <c r="AO42" s="6"/>
      <c r="AP42" s="6">
        <f>Z42/L42</f>
        <v>0.79365079365079361</v>
      </c>
      <c r="AQ42" s="6">
        <f>AJ42/M42</f>
        <v>1.0416666666666667</v>
      </c>
      <c r="AR42" s="6">
        <f>AB42/N42</f>
        <v>1</v>
      </c>
      <c r="AS42" s="4"/>
      <c r="AT42" s="4"/>
      <c r="AU42" s="4"/>
      <c r="AV42" s="4"/>
      <c r="AW42" s="4"/>
      <c r="AX42" s="4"/>
      <c r="AY42" s="4"/>
      <c r="AZ42" s="4"/>
      <c r="BA42" s="4"/>
      <c r="BB42" s="4">
        <v>0</v>
      </c>
      <c r="BC42" s="4" t="s">
        <v>3583</v>
      </c>
      <c r="BD42" s="4">
        <v>1</v>
      </c>
      <c r="BE42" s="4">
        <v>2</v>
      </c>
      <c r="BF42" s="4" t="s">
        <v>3575</v>
      </c>
      <c r="BG42" s="4">
        <v>1260</v>
      </c>
      <c r="BH42" s="4">
        <v>1260</v>
      </c>
      <c r="BI42" s="4">
        <f t="shared" si="21"/>
        <v>630</v>
      </c>
      <c r="BJ42" s="19">
        <v>4</v>
      </c>
      <c r="BK42" s="19">
        <v>8</v>
      </c>
      <c r="BL42" s="16">
        <v>7</v>
      </c>
      <c r="BM42" s="45" t="s">
        <v>3534</v>
      </c>
      <c r="BN42" t="s">
        <v>3534</v>
      </c>
      <c r="BO42" t="str">
        <f t="shared" si="7"/>
        <v>-</v>
      </c>
      <c r="BP42" t="s">
        <v>3534</v>
      </c>
      <c r="BQ42" t="s">
        <v>3534</v>
      </c>
      <c r="BR42" t="str">
        <f t="shared" si="8"/>
        <v>-</v>
      </c>
      <c r="BS42" t="s">
        <v>2536</v>
      </c>
    </row>
    <row r="43" spans="1:71" x14ac:dyDescent="0.4">
      <c r="A43" s="3">
        <v>40</v>
      </c>
      <c r="B43" s="3">
        <v>40</v>
      </c>
      <c r="C43" s="4" t="s">
        <v>102</v>
      </c>
      <c r="D43" s="4" t="str">
        <f t="shared" si="16"/>
        <v>8822AM</v>
      </c>
      <c r="E43" s="4" t="s">
        <v>102</v>
      </c>
      <c r="F43" s="4" t="s">
        <v>1321</v>
      </c>
      <c r="G43" s="5">
        <v>4969757111475</v>
      </c>
      <c r="H43" s="5"/>
      <c r="I43" s="5"/>
      <c r="J43" s="5">
        <v>1</v>
      </c>
      <c r="K43" s="5">
        <v>1</v>
      </c>
      <c r="L43" s="4">
        <v>200</v>
      </c>
      <c r="M43" s="4">
        <v>130</v>
      </c>
      <c r="N43" s="4">
        <v>90</v>
      </c>
      <c r="O43" s="6">
        <f t="shared" si="17"/>
        <v>0.30769230769230771</v>
      </c>
      <c r="P43" s="4" t="s">
        <v>2500</v>
      </c>
      <c r="Q43" s="4"/>
      <c r="R43" s="4"/>
      <c r="S43" s="4"/>
      <c r="T43" s="4"/>
      <c r="U43" s="4"/>
      <c r="V43" s="4"/>
      <c r="W43" s="4"/>
      <c r="X43" s="4"/>
      <c r="Y43" s="4">
        <v>128</v>
      </c>
      <c r="Z43" s="4">
        <f t="shared" si="18"/>
        <v>128</v>
      </c>
      <c r="AA43" s="4">
        <v>90</v>
      </c>
      <c r="AB43" s="4">
        <f t="shared" si="19"/>
        <v>90</v>
      </c>
      <c r="AC43" s="4"/>
      <c r="AD43" s="21">
        <f>ROUND(M43*AR43,0)</f>
        <v>130</v>
      </c>
      <c r="AE43" s="6">
        <f>1-AB43/AD43</f>
        <v>0.30769230769230771</v>
      </c>
      <c r="AF43" s="33">
        <v>0</v>
      </c>
      <c r="AG43" s="4">
        <f t="shared" si="20"/>
        <v>200</v>
      </c>
      <c r="AH43" s="33">
        <f t="shared" si="1"/>
        <v>200</v>
      </c>
      <c r="AI43" s="6">
        <f>1-AB43/AH43</f>
        <v>0.55000000000000004</v>
      </c>
      <c r="AJ43" s="7">
        <v>128</v>
      </c>
      <c r="AK43" s="6">
        <f>1-AB43/AJ43</f>
        <v>0.296875</v>
      </c>
      <c r="AL43" s="4">
        <f>AJ43-AB43</f>
        <v>38</v>
      </c>
      <c r="AM43" s="28"/>
      <c r="AN43" s="6"/>
      <c r="AO43" s="6"/>
      <c r="AP43" s="6">
        <f>Z43/L43</f>
        <v>0.64</v>
      </c>
      <c r="AQ43" s="6">
        <f>AJ43/M43</f>
        <v>0.98461538461538467</v>
      </c>
      <c r="AR43" s="6">
        <f>AB43/N43</f>
        <v>1</v>
      </c>
      <c r="AS43" s="4"/>
      <c r="AT43" s="4"/>
      <c r="AU43" s="4"/>
      <c r="AV43" s="4"/>
      <c r="AW43" s="4"/>
      <c r="AX43" s="4"/>
      <c r="AY43" s="4"/>
      <c r="AZ43" s="4"/>
      <c r="BA43" s="4"/>
      <c r="BB43" s="4">
        <v>0</v>
      </c>
      <c r="BC43" s="4" t="s">
        <v>3584</v>
      </c>
      <c r="BD43" s="4">
        <v>1</v>
      </c>
      <c r="BE43" s="4">
        <v>8</v>
      </c>
      <c r="BF43" s="4" t="s">
        <v>3585</v>
      </c>
      <c r="BG43" s="4">
        <v>1600</v>
      </c>
      <c r="BH43" s="4">
        <v>1600</v>
      </c>
      <c r="BI43" s="4">
        <f t="shared" si="21"/>
        <v>200</v>
      </c>
      <c r="BJ43" s="19">
        <v>4</v>
      </c>
      <c r="BK43" s="19">
        <v>8</v>
      </c>
      <c r="BL43" s="16">
        <v>6</v>
      </c>
      <c r="BM43" s="45" t="s">
        <v>3534</v>
      </c>
      <c r="BN43" t="s">
        <v>3534</v>
      </c>
      <c r="BO43" t="str">
        <f t="shared" si="7"/>
        <v>-</v>
      </c>
      <c r="BP43" t="s">
        <v>3534</v>
      </c>
      <c r="BQ43" t="s">
        <v>3534</v>
      </c>
      <c r="BR43" t="str">
        <f t="shared" si="8"/>
        <v>-</v>
      </c>
      <c r="BS43" t="s">
        <v>2537</v>
      </c>
    </row>
    <row r="44" spans="1:71" x14ac:dyDescent="0.4">
      <c r="A44" s="3">
        <v>41</v>
      </c>
      <c r="B44" s="3">
        <v>41</v>
      </c>
      <c r="C44" s="4" t="s">
        <v>103</v>
      </c>
      <c r="D44" s="4" t="str">
        <f t="shared" si="16"/>
        <v>8845AM</v>
      </c>
      <c r="E44" s="4" t="s">
        <v>103</v>
      </c>
      <c r="F44" s="4" t="s">
        <v>1322</v>
      </c>
      <c r="G44" s="5">
        <v>4521718746883</v>
      </c>
      <c r="H44" s="5"/>
      <c r="I44" s="5"/>
      <c r="J44" s="5">
        <v>1</v>
      </c>
      <c r="K44" s="5">
        <v>1</v>
      </c>
      <c r="L44" s="4">
        <v>180</v>
      </c>
      <c r="M44" s="4">
        <v>148</v>
      </c>
      <c r="N44" s="4">
        <v>99</v>
      </c>
      <c r="O44" s="6">
        <f t="shared" si="17"/>
        <v>0.33108108108108103</v>
      </c>
      <c r="P44" s="4" t="s">
        <v>2500</v>
      </c>
      <c r="Q44" s="4"/>
      <c r="R44" s="4"/>
      <c r="S44" s="4"/>
      <c r="T44" s="4"/>
      <c r="U44" s="4"/>
      <c r="V44" s="4"/>
      <c r="W44" s="4"/>
      <c r="X44" s="4"/>
      <c r="Y44" s="4">
        <v>180</v>
      </c>
      <c r="Z44" s="4">
        <f t="shared" si="18"/>
        <v>180</v>
      </c>
      <c r="AA44" s="4">
        <v>99</v>
      </c>
      <c r="AB44" s="4">
        <f t="shared" si="19"/>
        <v>99</v>
      </c>
      <c r="AC44" s="4"/>
      <c r="AD44" s="21">
        <f>ROUND(M44*AR44,0)</f>
        <v>148</v>
      </c>
      <c r="AE44" s="6">
        <f>1-AB44/AD44</f>
        <v>0.33108108108108103</v>
      </c>
      <c r="AF44" s="33">
        <v>0</v>
      </c>
      <c r="AG44" s="4">
        <f t="shared" si="20"/>
        <v>180</v>
      </c>
      <c r="AH44" s="33">
        <f t="shared" si="1"/>
        <v>180</v>
      </c>
      <c r="AI44" s="6">
        <f>1-AB44/AH44</f>
        <v>0.44999999999999996</v>
      </c>
      <c r="AJ44" s="7">
        <v>152</v>
      </c>
      <c r="AK44" s="6">
        <f>1-AB44/AJ44</f>
        <v>0.34868421052631582</v>
      </c>
      <c r="AL44" s="4">
        <f>AJ44-AB44</f>
        <v>53</v>
      </c>
      <c r="AM44" s="28"/>
      <c r="AN44" s="6"/>
      <c r="AO44" s="6"/>
      <c r="AP44" s="6">
        <f>Z44/L44</f>
        <v>1</v>
      </c>
      <c r="AQ44" s="6">
        <f>AJ44/M44</f>
        <v>1.027027027027027</v>
      </c>
      <c r="AR44" s="6">
        <f>AB44/N44</f>
        <v>1</v>
      </c>
      <c r="AS44" s="4"/>
      <c r="AT44" s="4"/>
      <c r="AU44" s="4"/>
      <c r="AV44" s="4"/>
      <c r="AW44" s="4"/>
      <c r="AX44" s="4"/>
      <c r="AY44" s="4"/>
      <c r="AZ44" s="4"/>
      <c r="BA44" s="4"/>
      <c r="BB44" s="4">
        <v>0</v>
      </c>
      <c r="BC44" s="4" t="s">
        <v>3586</v>
      </c>
      <c r="BD44" s="4">
        <v>1</v>
      </c>
      <c r="BE44" s="4">
        <v>6</v>
      </c>
      <c r="BF44" s="4" t="s">
        <v>3587</v>
      </c>
      <c r="BG44" s="4">
        <v>1080</v>
      </c>
      <c r="BH44" s="4">
        <v>1080</v>
      </c>
      <c r="BI44" s="4">
        <f t="shared" si="21"/>
        <v>180</v>
      </c>
      <c r="BJ44" s="19">
        <v>4</v>
      </c>
      <c r="BK44" s="19">
        <v>8</v>
      </c>
      <c r="BL44" s="16">
        <v>4</v>
      </c>
      <c r="BM44" s="45" t="s">
        <v>3534</v>
      </c>
      <c r="BN44" t="s">
        <v>3534</v>
      </c>
      <c r="BO44" t="str">
        <f t="shared" si="7"/>
        <v>-</v>
      </c>
      <c r="BP44" t="s">
        <v>3534</v>
      </c>
      <c r="BQ44" t="s">
        <v>3534</v>
      </c>
      <c r="BR44" t="str">
        <f t="shared" si="8"/>
        <v>-</v>
      </c>
      <c r="BS44" t="s">
        <v>2538</v>
      </c>
    </row>
    <row r="45" spans="1:71" x14ac:dyDescent="0.4">
      <c r="A45" s="3">
        <v>42</v>
      </c>
      <c r="B45" s="3">
        <v>42</v>
      </c>
      <c r="C45" s="4" t="s">
        <v>104</v>
      </c>
      <c r="D45" s="4" t="str">
        <f t="shared" si="16"/>
        <v>8846AM</v>
      </c>
      <c r="E45" s="4" t="s">
        <v>104</v>
      </c>
      <c r="F45" s="4" t="s">
        <v>1323</v>
      </c>
      <c r="G45" s="5">
        <v>4521718746890</v>
      </c>
      <c r="H45" s="5"/>
      <c r="I45" s="5"/>
      <c r="J45" s="5">
        <v>1</v>
      </c>
      <c r="K45" s="5">
        <v>1</v>
      </c>
      <c r="L45" s="4">
        <v>180</v>
      </c>
      <c r="M45" s="4">
        <v>148</v>
      </c>
      <c r="N45" s="4">
        <v>99</v>
      </c>
      <c r="O45" s="6">
        <f t="shared" si="17"/>
        <v>0.33108108108108103</v>
      </c>
      <c r="P45" s="4" t="s">
        <v>2500</v>
      </c>
      <c r="Q45" s="4"/>
      <c r="R45" s="4"/>
      <c r="S45" s="4"/>
      <c r="T45" s="4"/>
      <c r="U45" s="4"/>
      <c r="V45" s="4"/>
      <c r="W45" s="4"/>
      <c r="X45" s="4"/>
      <c r="Y45" s="4">
        <v>180</v>
      </c>
      <c r="Z45" s="4">
        <f t="shared" si="18"/>
        <v>180</v>
      </c>
      <c r="AA45" s="4">
        <v>99</v>
      </c>
      <c r="AB45" s="4">
        <f t="shared" si="19"/>
        <v>99</v>
      </c>
      <c r="AC45" s="4"/>
      <c r="AD45" s="21">
        <f>ROUND(M45*AR45,0)</f>
        <v>148</v>
      </c>
      <c r="AE45" s="6">
        <f>1-AB45/AD45</f>
        <v>0.33108108108108103</v>
      </c>
      <c r="AF45" s="33">
        <v>0</v>
      </c>
      <c r="AG45" s="4">
        <f t="shared" si="20"/>
        <v>180</v>
      </c>
      <c r="AH45" s="33">
        <f t="shared" si="1"/>
        <v>180</v>
      </c>
      <c r="AI45" s="6">
        <f>1-AB45/AH45</f>
        <v>0.44999999999999996</v>
      </c>
      <c r="AJ45" s="7">
        <v>152</v>
      </c>
      <c r="AK45" s="6">
        <f>1-AB45/AJ45</f>
        <v>0.34868421052631582</v>
      </c>
      <c r="AL45" s="4">
        <f>AJ45-AB45</f>
        <v>53</v>
      </c>
      <c r="AM45" s="28"/>
      <c r="AN45" s="6"/>
      <c r="AO45" s="6"/>
      <c r="AP45" s="6">
        <f>Z45/L45</f>
        <v>1</v>
      </c>
      <c r="AQ45" s="6">
        <f>AJ45/M45</f>
        <v>1.027027027027027</v>
      </c>
      <c r="AR45" s="6">
        <f>AB45/N45</f>
        <v>1</v>
      </c>
      <c r="AS45" s="4"/>
      <c r="AT45" s="4"/>
      <c r="AU45" s="4"/>
      <c r="AV45" s="4"/>
      <c r="AW45" s="4"/>
      <c r="AX45" s="4"/>
      <c r="AY45" s="4"/>
      <c r="AZ45" s="4"/>
      <c r="BA45" s="4"/>
      <c r="BB45" s="4">
        <v>0</v>
      </c>
      <c r="BC45" s="4" t="s">
        <v>3588</v>
      </c>
      <c r="BD45" s="4">
        <v>1</v>
      </c>
      <c r="BE45" s="4">
        <v>6</v>
      </c>
      <c r="BF45" s="4" t="s">
        <v>3587</v>
      </c>
      <c r="BG45" s="4">
        <v>1080</v>
      </c>
      <c r="BH45" s="4">
        <v>1080</v>
      </c>
      <c r="BI45" s="4">
        <f t="shared" si="21"/>
        <v>180</v>
      </c>
      <c r="BJ45" s="19">
        <v>4</v>
      </c>
      <c r="BK45" s="19">
        <v>8</v>
      </c>
      <c r="BL45" s="16">
        <v>4</v>
      </c>
      <c r="BM45" s="45" t="s">
        <v>3534</v>
      </c>
      <c r="BN45" t="s">
        <v>3534</v>
      </c>
      <c r="BO45" t="str">
        <f t="shared" si="7"/>
        <v>-</v>
      </c>
      <c r="BP45" t="s">
        <v>3534</v>
      </c>
      <c r="BQ45" t="s">
        <v>3534</v>
      </c>
      <c r="BR45" t="str">
        <f t="shared" si="8"/>
        <v>-</v>
      </c>
      <c r="BS45" t="s">
        <v>2539</v>
      </c>
    </row>
    <row r="46" spans="1:71" x14ac:dyDescent="0.4">
      <c r="A46" s="3">
        <v>43</v>
      </c>
      <c r="B46" s="3">
        <v>43</v>
      </c>
      <c r="C46" s="4" t="s">
        <v>105</v>
      </c>
      <c r="D46" s="4" t="str">
        <f t="shared" si="16"/>
        <v>8823AM</v>
      </c>
      <c r="E46" s="4" t="s">
        <v>105</v>
      </c>
      <c r="F46" s="4" t="s">
        <v>1324</v>
      </c>
      <c r="G46" s="5">
        <v>4969757166550</v>
      </c>
      <c r="H46" s="5"/>
      <c r="I46" s="5"/>
      <c r="J46" s="5">
        <v>1</v>
      </c>
      <c r="K46" s="5">
        <v>1</v>
      </c>
      <c r="L46" s="4">
        <v>200</v>
      </c>
      <c r="M46" s="4">
        <v>130</v>
      </c>
      <c r="N46" s="4">
        <v>90</v>
      </c>
      <c r="O46" s="6">
        <f t="shared" si="17"/>
        <v>0.30769230769230771</v>
      </c>
      <c r="P46" s="4" t="s">
        <v>2500</v>
      </c>
      <c r="Q46" s="4"/>
      <c r="R46" s="4"/>
      <c r="S46" s="4"/>
      <c r="T46" s="4"/>
      <c r="U46" s="4"/>
      <c r="V46" s="4"/>
      <c r="W46" s="4"/>
      <c r="X46" s="4"/>
      <c r="Y46" s="4">
        <v>128</v>
      </c>
      <c r="Z46" s="4">
        <f t="shared" si="18"/>
        <v>128</v>
      </c>
      <c r="AA46" s="4">
        <v>90</v>
      </c>
      <c r="AB46" s="4">
        <f t="shared" si="19"/>
        <v>90</v>
      </c>
      <c r="AC46" s="4"/>
      <c r="AD46" s="21">
        <f>ROUND(M46*AR46,0)</f>
        <v>130</v>
      </c>
      <c r="AE46" s="6">
        <f>1-AB46/AD46</f>
        <v>0.30769230769230771</v>
      </c>
      <c r="AF46" s="33">
        <v>0</v>
      </c>
      <c r="AG46" s="4">
        <f t="shared" si="20"/>
        <v>200</v>
      </c>
      <c r="AH46" s="33">
        <f t="shared" si="1"/>
        <v>200</v>
      </c>
      <c r="AI46" s="6">
        <f>1-AB46/AH46</f>
        <v>0.55000000000000004</v>
      </c>
      <c r="AJ46" s="7">
        <v>128</v>
      </c>
      <c r="AK46" s="6">
        <f>1-AB46/AJ46</f>
        <v>0.296875</v>
      </c>
      <c r="AL46" s="4">
        <f>AJ46-AB46</f>
        <v>38</v>
      </c>
      <c r="AM46" s="28"/>
      <c r="AN46" s="6"/>
      <c r="AO46" s="6"/>
      <c r="AP46" s="6">
        <f>Z46/L46</f>
        <v>0.64</v>
      </c>
      <c r="AQ46" s="6">
        <f>AJ46/M46</f>
        <v>0.98461538461538467</v>
      </c>
      <c r="AR46" s="6">
        <f>AB46/N46</f>
        <v>1</v>
      </c>
      <c r="AS46" s="4"/>
      <c r="AT46" s="4"/>
      <c r="AU46" s="4"/>
      <c r="AV46" s="4"/>
      <c r="AW46" s="4"/>
      <c r="AX46" s="4"/>
      <c r="AY46" s="4"/>
      <c r="AZ46" s="4"/>
      <c r="BA46" s="4"/>
      <c r="BB46" s="4">
        <v>0</v>
      </c>
      <c r="BC46" s="4" t="s">
        <v>3589</v>
      </c>
      <c r="BD46" s="4">
        <v>1</v>
      </c>
      <c r="BE46" s="4">
        <v>8</v>
      </c>
      <c r="BF46" s="4" t="s">
        <v>3585</v>
      </c>
      <c r="BG46" s="4">
        <v>1600</v>
      </c>
      <c r="BH46" s="4">
        <v>1600</v>
      </c>
      <c r="BI46" s="4">
        <f t="shared" si="21"/>
        <v>200</v>
      </c>
      <c r="BJ46" s="19">
        <v>4</v>
      </c>
      <c r="BK46" s="19">
        <v>8</v>
      </c>
      <c r="BL46" s="16">
        <v>6</v>
      </c>
      <c r="BM46" s="45" t="s">
        <v>3534</v>
      </c>
      <c r="BN46" t="s">
        <v>3534</v>
      </c>
      <c r="BO46" t="str">
        <f t="shared" si="7"/>
        <v>-</v>
      </c>
      <c r="BP46" t="s">
        <v>3534</v>
      </c>
      <c r="BQ46" t="s">
        <v>3534</v>
      </c>
      <c r="BR46" t="str">
        <f t="shared" si="8"/>
        <v>-</v>
      </c>
      <c r="BS46" t="s">
        <v>2540</v>
      </c>
    </row>
    <row r="47" spans="1:71" x14ac:dyDescent="0.4">
      <c r="A47" s="3">
        <v>44</v>
      </c>
      <c r="B47" s="3">
        <v>44</v>
      </c>
      <c r="C47" s="4" t="s">
        <v>106</v>
      </c>
      <c r="D47" s="4" t="str">
        <f t="shared" si="16"/>
        <v>8824AM</v>
      </c>
      <c r="E47" s="4" t="s">
        <v>106</v>
      </c>
      <c r="F47" s="4" t="s">
        <v>1325</v>
      </c>
      <c r="G47" s="5">
        <v>4969757151303</v>
      </c>
      <c r="H47" s="5"/>
      <c r="I47" s="5"/>
      <c r="J47" s="5">
        <v>1</v>
      </c>
      <c r="K47" s="5">
        <v>1</v>
      </c>
      <c r="L47" s="4">
        <v>200</v>
      </c>
      <c r="M47" s="4">
        <v>130</v>
      </c>
      <c r="N47" s="4">
        <v>90</v>
      </c>
      <c r="O47" s="6">
        <f t="shared" si="17"/>
        <v>0.30769230769230771</v>
      </c>
      <c r="P47" s="4" t="s">
        <v>2500</v>
      </c>
      <c r="Q47" s="4"/>
      <c r="R47" s="4"/>
      <c r="S47" s="4"/>
      <c r="T47" s="4"/>
      <c r="U47" s="4"/>
      <c r="V47" s="4"/>
      <c r="W47" s="4"/>
      <c r="X47" s="4"/>
      <c r="Y47" s="4">
        <v>128</v>
      </c>
      <c r="Z47" s="4">
        <f t="shared" si="18"/>
        <v>128</v>
      </c>
      <c r="AA47" s="4">
        <v>90</v>
      </c>
      <c r="AB47" s="4">
        <f t="shared" si="19"/>
        <v>90</v>
      </c>
      <c r="AC47" s="4"/>
      <c r="AD47" s="21">
        <f>ROUND(M47*AR47,0)</f>
        <v>130</v>
      </c>
      <c r="AE47" s="6">
        <f>1-AB47/AD47</f>
        <v>0.30769230769230771</v>
      </c>
      <c r="AF47" s="33">
        <v>0</v>
      </c>
      <c r="AG47" s="4">
        <f t="shared" si="20"/>
        <v>200</v>
      </c>
      <c r="AH47" s="33">
        <f t="shared" si="1"/>
        <v>200</v>
      </c>
      <c r="AI47" s="6">
        <f>1-AB47/AH47</f>
        <v>0.55000000000000004</v>
      </c>
      <c r="AJ47" s="7">
        <v>128</v>
      </c>
      <c r="AK47" s="6">
        <f>1-AB47/AJ47</f>
        <v>0.296875</v>
      </c>
      <c r="AL47" s="4">
        <f>AJ47-AB47</f>
        <v>38</v>
      </c>
      <c r="AM47" s="28"/>
      <c r="AN47" s="6"/>
      <c r="AO47" s="6"/>
      <c r="AP47" s="6">
        <f>Z47/L47</f>
        <v>0.64</v>
      </c>
      <c r="AQ47" s="6">
        <f>AJ47/M47</f>
        <v>0.98461538461538467</v>
      </c>
      <c r="AR47" s="6">
        <f>AB47/N47</f>
        <v>1</v>
      </c>
      <c r="AS47" s="4"/>
      <c r="AT47" s="4"/>
      <c r="AU47" s="4"/>
      <c r="AV47" s="4"/>
      <c r="AW47" s="4"/>
      <c r="AX47" s="4"/>
      <c r="AY47" s="4"/>
      <c r="AZ47" s="4"/>
      <c r="BA47" s="4"/>
      <c r="BB47" s="4">
        <v>0</v>
      </c>
      <c r="BC47" s="4" t="s">
        <v>3590</v>
      </c>
      <c r="BD47" s="4">
        <v>1</v>
      </c>
      <c r="BE47" s="4">
        <v>8</v>
      </c>
      <c r="BF47" s="4" t="s">
        <v>3585</v>
      </c>
      <c r="BG47" s="4">
        <v>1600</v>
      </c>
      <c r="BH47" s="4">
        <v>1600</v>
      </c>
      <c r="BI47" s="4">
        <f t="shared" si="21"/>
        <v>200</v>
      </c>
      <c r="BJ47" s="19">
        <v>4</v>
      </c>
      <c r="BK47" s="19">
        <v>8</v>
      </c>
      <c r="BL47" s="16">
        <v>6</v>
      </c>
      <c r="BM47" s="45" t="s">
        <v>3534</v>
      </c>
      <c r="BN47" t="s">
        <v>3534</v>
      </c>
      <c r="BO47" t="str">
        <f t="shared" si="7"/>
        <v>-</v>
      </c>
      <c r="BP47" t="s">
        <v>3534</v>
      </c>
      <c r="BQ47" t="s">
        <v>3534</v>
      </c>
      <c r="BR47" t="str">
        <f t="shared" si="8"/>
        <v>-</v>
      </c>
      <c r="BS47" t="s">
        <v>2541</v>
      </c>
    </row>
    <row r="48" spans="1:71" x14ac:dyDescent="0.4">
      <c r="A48" s="3">
        <v>45</v>
      </c>
      <c r="B48" s="3">
        <v>45</v>
      </c>
      <c r="C48" s="4" t="s">
        <v>107</v>
      </c>
      <c r="D48" s="4" t="str">
        <f t="shared" si="16"/>
        <v>8847AM</v>
      </c>
      <c r="E48" s="4" t="s">
        <v>107</v>
      </c>
      <c r="F48" s="4" t="s">
        <v>1326</v>
      </c>
      <c r="G48" s="5">
        <v>4521718746906</v>
      </c>
      <c r="H48" s="5"/>
      <c r="I48" s="5"/>
      <c r="J48" s="5">
        <v>1</v>
      </c>
      <c r="K48" s="5">
        <v>1</v>
      </c>
      <c r="L48" s="4">
        <v>180</v>
      </c>
      <c r="M48" s="4">
        <v>148</v>
      </c>
      <c r="N48" s="4">
        <v>99</v>
      </c>
      <c r="O48" s="6">
        <f t="shared" si="17"/>
        <v>0.33108108108108103</v>
      </c>
      <c r="P48" s="4" t="s">
        <v>2500</v>
      </c>
      <c r="Q48" s="4"/>
      <c r="R48" s="4"/>
      <c r="S48" s="4"/>
      <c r="T48" s="4"/>
      <c r="U48" s="4"/>
      <c r="V48" s="4"/>
      <c r="W48" s="4"/>
      <c r="X48" s="4"/>
      <c r="Y48" s="4">
        <v>180</v>
      </c>
      <c r="Z48" s="4">
        <f t="shared" si="18"/>
        <v>180</v>
      </c>
      <c r="AA48" s="4">
        <v>99</v>
      </c>
      <c r="AB48" s="4">
        <f t="shared" si="19"/>
        <v>99</v>
      </c>
      <c r="AC48" s="4"/>
      <c r="AD48" s="21">
        <f>ROUND(M48*AR48,0)</f>
        <v>148</v>
      </c>
      <c r="AE48" s="6">
        <f>1-AB48/AD48</f>
        <v>0.33108108108108103</v>
      </c>
      <c r="AF48" s="33">
        <v>0</v>
      </c>
      <c r="AG48" s="4">
        <f t="shared" si="20"/>
        <v>180</v>
      </c>
      <c r="AH48" s="33">
        <f t="shared" si="1"/>
        <v>180</v>
      </c>
      <c r="AI48" s="6">
        <f>1-AB48/AH48</f>
        <v>0.44999999999999996</v>
      </c>
      <c r="AJ48" s="7">
        <v>152</v>
      </c>
      <c r="AK48" s="6">
        <f>1-AB48/AJ48</f>
        <v>0.34868421052631582</v>
      </c>
      <c r="AL48" s="4">
        <f>AJ48-AB48</f>
        <v>53</v>
      </c>
      <c r="AM48" s="28"/>
      <c r="AN48" s="6"/>
      <c r="AO48" s="6"/>
      <c r="AP48" s="6">
        <f>Z48/L48</f>
        <v>1</v>
      </c>
      <c r="AQ48" s="6">
        <f>AJ48/M48</f>
        <v>1.027027027027027</v>
      </c>
      <c r="AR48" s="6">
        <f>AB48/N48</f>
        <v>1</v>
      </c>
      <c r="AS48" s="4"/>
      <c r="AT48" s="4"/>
      <c r="AU48" s="4"/>
      <c r="AV48" s="4"/>
      <c r="AW48" s="4"/>
      <c r="AX48" s="4"/>
      <c r="AY48" s="4"/>
      <c r="AZ48" s="4"/>
      <c r="BA48" s="4"/>
      <c r="BB48" s="4">
        <v>0</v>
      </c>
      <c r="BC48" s="4" t="s">
        <v>3591</v>
      </c>
      <c r="BD48" s="4">
        <v>1</v>
      </c>
      <c r="BE48" s="4">
        <v>6</v>
      </c>
      <c r="BF48" s="4" t="s">
        <v>3587</v>
      </c>
      <c r="BG48" s="4">
        <v>1080</v>
      </c>
      <c r="BH48" s="4">
        <v>1080</v>
      </c>
      <c r="BI48" s="4">
        <f t="shared" si="21"/>
        <v>180</v>
      </c>
      <c r="BJ48" s="19">
        <v>4</v>
      </c>
      <c r="BK48" s="19">
        <v>8</v>
      </c>
      <c r="BL48" s="16">
        <v>4</v>
      </c>
      <c r="BM48" s="45" t="s">
        <v>3534</v>
      </c>
      <c r="BN48" t="s">
        <v>3534</v>
      </c>
      <c r="BO48" t="str">
        <f t="shared" si="7"/>
        <v>-</v>
      </c>
      <c r="BP48" t="s">
        <v>3534</v>
      </c>
      <c r="BQ48" t="s">
        <v>3534</v>
      </c>
      <c r="BR48" t="str">
        <f t="shared" si="8"/>
        <v>-</v>
      </c>
      <c r="BS48" t="s">
        <v>2542</v>
      </c>
    </row>
    <row r="49" spans="1:71" x14ac:dyDescent="0.4">
      <c r="A49" s="3">
        <v>46</v>
      </c>
      <c r="B49" s="3">
        <v>46</v>
      </c>
      <c r="C49" s="4" t="s">
        <v>108</v>
      </c>
      <c r="D49" s="4" t="str">
        <f t="shared" si="16"/>
        <v>8848AM</v>
      </c>
      <c r="E49" s="4" t="s">
        <v>108</v>
      </c>
      <c r="F49" s="4" t="s">
        <v>1327</v>
      </c>
      <c r="G49" s="5">
        <v>4521718746913</v>
      </c>
      <c r="H49" s="5"/>
      <c r="I49" s="5"/>
      <c r="J49" s="5">
        <v>1</v>
      </c>
      <c r="K49" s="5">
        <v>1</v>
      </c>
      <c r="L49" s="4">
        <v>250</v>
      </c>
      <c r="M49" s="4">
        <v>200</v>
      </c>
      <c r="N49" s="4">
        <v>138</v>
      </c>
      <c r="O49" s="6">
        <f t="shared" si="17"/>
        <v>0.31000000000000005</v>
      </c>
      <c r="P49" s="4" t="s">
        <v>2500</v>
      </c>
      <c r="Q49" s="4"/>
      <c r="R49" s="4"/>
      <c r="S49" s="4"/>
      <c r="T49" s="4"/>
      <c r="U49" s="4"/>
      <c r="V49" s="4"/>
      <c r="W49" s="4"/>
      <c r="X49" s="4"/>
      <c r="Y49" s="4">
        <v>250</v>
      </c>
      <c r="Z49" s="4">
        <f t="shared" si="18"/>
        <v>250</v>
      </c>
      <c r="AA49" s="4">
        <v>138</v>
      </c>
      <c r="AB49" s="4">
        <f t="shared" si="19"/>
        <v>138</v>
      </c>
      <c r="AC49" s="4"/>
      <c r="AD49" s="21">
        <f>ROUND(M49*AR49,0)</f>
        <v>200</v>
      </c>
      <c r="AE49" s="6">
        <f>1-AB49/AD49</f>
        <v>0.31000000000000005</v>
      </c>
      <c r="AF49" s="33">
        <v>0</v>
      </c>
      <c r="AG49" s="4">
        <f t="shared" si="20"/>
        <v>250</v>
      </c>
      <c r="AH49" s="33">
        <f t="shared" si="1"/>
        <v>250</v>
      </c>
      <c r="AI49" s="6">
        <f>1-AB49/AH49</f>
        <v>0.44799999999999995</v>
      </c>
      <c r="AJ49" s="7">
        <f>ROUND(AB49/0.65,0)</f>
        <v>212</v>
      </c>
      <c r="AK49" s="6">
        <f>1-AB49/AJ49</f>
        <v>0.34905660377358494</v>
      </c>
      <c r="AL49" s="4">
        <f>AJ49-AB49</f>
        <v>74</v>
      </c>
      <c r="AM49" s="28"/>
      <c r="AN49" s="6"/>
      <c r="AO49" s="6"/>
      <c r="AP49" s="6">
        <f>Z49/L49</f>
        <v>1</v>
      </c>
      <c r="AQ49" s="6">
        <f>AJ49/M49</f>
        <v>1.06</v>
      </c>
      <c r="AR49" s="6">
        <f>AB49/N49</f>
        <v>1</v>
      </c>
      <c r="AS49" s="4"/>
      <c r="AT49" s="4"/>
      <c r="AU49" s="4"/>
      <c r="AV49" s="4"/>
      <c r="AW49" s="4"/>
      <c r="AX49" s="4"/>
      <c r="AY49" s="4"/>
      <c r="AZ49" s="4"/>
      <c r="BA49" s="4"/>
      <c r="BB49" s="4">
        <v>0</v>
      </c>
      <c r="BC49" s="4" t="s">
        <v>3592</v>
      </c>
      <c r="BD49" s="4">
        <v>1</v>
      </c>
      <c r="BE49" s="4">
        <v>4</v>
      </c>
      <c r="BF49" s="4" t="s">
        <v>3593</v>
      </c>
      <c r="BG49" s="4">
        <v>1000</v>
      </c>
      <c r="BH49" s="4">
        <v>1000</v>
      </c>
      <c r="BI49" s="4">
        <f t="shared" si="21"/>
        <v>250</v>
      </c>
      <c r="BJ49" s="19">
        <v>4</v>
      </c>
      <c r="BK49" s="19">
        <v>8</v>
      </c>
      <c r="BL49" s="16">
        <v>4</v>
      </c>
      <c r="BM49" s="45" t="s">
        <v>3534</v>
      </c>
      <c r="BN49" t="s">
        <v>3534</v>
      </c>
      <c r="BO49" t="str">
        <f t="shared" si="7"/>
        <v>-</v>
      </c>
      <c r="BP49" t="s">
        <v>3534</v>
      </c>
      <c r="BQ49" t="s">
        <v>3534</v>
      </c>
      <c r="BR49" t="str">
        <f t="shared" si="8"/>
        <v>-</v>
      </c>
      <c r="BS49" t="s">
        <v>2543</v>
      </c>
    </row>
    <row r="50" spans="1:71" x14ac:dyDescent="0.4">
      <c r="A50" s="3">
        <v>47</v>
      </c>
      <c r="B50" s="3">
        <v>47</v>
      </c>
      <c r="C50" s="4" t="s">
        <v>109</v>
      </c>
      <c r="D50" s="4" t="str">
        <f t="shared" si="16"/>
        <v>8825AM</v>
      </c>
      <c r="E50" s="4" t="s">
        <v>109</v>
      </c>
      <c r="F50" s="4" t="s">
        <v>1328</v>
      </c>
      <c r="G50" s="5">
        <v>4521718748979</v>
      </c>
      <c r="H50" s="5"/>
      <c r="I50" s="5"/>
      <c r="J50" s="5">
        <v>1</v>
      </c>
      <c r="K50" s="5">
        <v>1</v>
      </c>
      <c r="L50" s="4">
        <v>990</v>
      </c>
      <c r="M50" s="4">
        <v>800</v>
      </c>
      <c r="N50" s="4">
        <v>554</v>
      </c>
      <c r="O50" s="6">
        <f t="shared" si="17"/>
        <v>0.3075</v>
      </c>
      <c r="P50" s="4" t="s">
        <v>2500</v>
      </c>
      <c r="Q50" s="4"/>
      <c r="R50" s="4"/>
      <c r="S50" s="4"/>
      <c r="T50" s="4"/>
      <c r="U50" s="4"/>
      <c r="V50" s="4"/>
      <c r="W50" s="4"/>
      <c r="X50" s="4"/>
      <c r="Y50" s="4">
        <v>791</v>
      </c>
      <c r="Z50" s="4">
        <f t="shared" si="18"/>
        <v>791</v>
      </c>
      <c r="AA50" s="4">
        <v>554</v>
      </c>
      <c r="AB50" s="4">
        <f t="shared" si="19"/>
        <v>554</v>
      </c>
      <c r="AC50" s="4"/>
      <c r="AD50" s="21">
        <f>ROUND(M50*AR50,0)</f>
        <v>800</v>
      </c>
      <c r="AE50" s="6">
        <f>1-AB50/AD50</f>
        <v>0.3075</v>
      </c>
      <c r="AF50" s="33">
        <v>0</v>
      </c>
      <c r="AG50" s="4">
        <f t="shared" si="20"/>
        <v>990</v>
      </c>
      <c r="AH50" s="33">
        <f t="shared" si="1"/>
        <v>990</v>
      </c>
      <c r="AI50" s="6">
        <f>1-AB50/AH50</f>
        <v>0.44040404040404035</v>
      </c>
      <c r="AJ50" s="7">
        <v>791</v>
      </c>
      <c r="AK50" s="6">
        <f>1-AB50/AJ50</f>
        <v>0.29962073324905181</v>
      </c>
      <c r="AL50" s="4">
        <f>AJ50-AB50</f>
        <v>237</v>
      </c>
      <c r="AM50" s="28"/>
      <c r="AN50" s="6"/>
      <c r="AO50" s="6"/>
      <c r="AP50" s="6">
        <f>Z50/L50</f>
        <v>0.79898989898989903</v>
      </c>
      <c r="AQ50" s="6">
        <f>AJ50/M50</f>
        <v>0.98875000000000002</v>
      </c>
      <c r="AR50" s="6">
        <f>AB50/N50</f>
        <v>1</v>
      </c>
      <c r="AS50" s="4"/>
      <c r="AT50" s="4"/>
      <c r="AU50" s="4"/>
      <c r="AV50" s="4"/>
      <c r="AW50" s="4"/>
      <c r="AX50" s="4"/>
      <c r="AY50" s="4"/>
      <c r="AZ50" s="4"/>
      <c r="BA50" s="4"/>
      <c r="BB50" s="4">
        <v>0</v>
      </c>
      <c r="BC50" s="4" t="s">
        <v>3594</v>
      </c>
      <c r="BD50" s="4">
        <v>1</v>
      </c>
      <c r="BE50" s="4">
        <v>2</v>
      </c>
      <c r="BF50" s="4" t="s">
        <v>3575</v>
      </c>
      <c r="BG50" s="4">
        <v>1980</v>
      </c>
      <c r="BH50" s="4">
        <v>1980</v>
      </c>
      <c r="BI50" s="4">
        <f t="shared" si="21"/>
        <v>990</v>
      </c>
      <c r="BJ50" s="19">
        <v>4</v>
      </c>
      <c r="BK50" s="19">
        <v>8</v>
      </c>
      <c r="BL50" s="16">
        <v>6</v>
      </c>
      <c r="BM50" s="45" t="s">
        <v>3534</v>
      </c>
      <c r="BN50" t="s">
        <v>3534</v>
      </c>
      <c r="BO50" t="str">
        <f t="shared" si="7"/>
        <v>-</v>
      </c>
      <c r="BP50" t="s">
        <v>3534</v>
      </c>
      <c r="BQ50" t="s">
        <v>3534</v>
      </c>
      <c r="BR50" t="str">
        <f t="shared" si="8"/>
        <v>-</v>
      </c>
      <c r="BS50" t="s">
        <v>2544</v>
      </c>
    </row>
    <row r="51" spans="1:71" x14ac:dyDescent="0.4">
      <c r="A51" s="3">
        <v>48</v>
      </c>
      <c r="B51" s="3">
        <v>48</v>
      </c>
      <c r="C51" s="4" t="s">
        <v>110</v>
      </c>
      <c r="D51" s="4" t="str">
        <f t="shared" si="16"/>
        <v>8826AM</v>
      </c>
      <c r="E51" s="4" t="s">
        <v>110</v>
      </c>
      <c r="F51" s="4" t="s">
        <v>1329</v>
      </c>
      <c r="G51" s="5">
        <v>4521718748986</v>
      </c>
      <c r="H51" s="5"/>
      <c r="I51" s="5"/>
      <c r="J51" s="5">
        <v>1</v>
      </c>
      <c r="K51" s="5">
        <v>1</v>
      </c>
      <c r="L51" s="4">
        <v>960</v>
      </c>
      <c r="M51" s="4">
        <v>780</v>
      </c>
      <c r="N51" s="4">
        <v>535</v>
      </c>
      <c r="O51" s="6">
        <f t="shared" si="17"/>
        <v>0.3141025641025641</v>
      </c>
      <c r="P51" s="4" t="s">
        <v>2500</v>
      </c>
      <c r="Q51" s="4"/>
      <c r="R51" s="4"/>
      <c r="S51" s="4"/>
      <c r="T51" s="4"/>
      <c r="U51" s="4"/>
      <c r="V51" s="4"/>
      <c r="W51" s="4"/>
      <c r="X51" s="4"/>
      <c r="Y51" s="4">
        <v>764</v>
      </c>
      <c r="Z51" s="4">
        <f t="shared" si="18"/>
        <v>764</v>
      </c>
      <c r="AA51" s="4">
        <v>535</v>
      </c>
      <c r="AB51" s="4">
        <f t="shared" si="19"/>
        <v>535</v>
      </c>
      <c r="AC51" s="4"/>
      <c r="AD51" s="21">
        <f>ROUND(M51*AR51,0)</f>
        <v>780</v>
      </c>
      <c r="AE51" s="6">
        <f>1-AB51/AD51</f>
        <v>0.3141025641025641</v>
      </c>
      <c r="AF51" s="33">
        <v>0</v>
      </c>
      <c r="AG51" s="4">
        <f t="shared" si="20"/>
        <v>960</v>
      </c>
      <c r="AH51" s="33">
        <f t="shared" si="1"/>
        <v>960</v>
      </c>
      <c r="AI51" s="6">
        <f>1-AB51/AH51</f>
        <v>0.44270833333333337</v>
      </c>
      <c r="AJ51" s="7">
        <v>764</v>
      </c>
      <c r="AK51" s="6">
        <f>1-AB51/AJ51</f>
        <v>0.29973821989528793</v>
      </c>
      <c r="AL51" s="4">
        <f>AJ51-AB51</f>
        <v>229</v>
      </c>
      <c r="AM51" s="28"/>
      <c r="AN51" s="6"/>
      <c r="AO51" s="6"/>
      <c r="AP51" s="6">
        <f>Z51/L51</f>
        <v>0.79583333333333328</v>
      </c>
      <c r="AQ51" s="6">
        <f>AJ51/M51</f>
        <v>0.97948717948717945</v>
      </c>
      <c r="AR51" s="6">
        <f>AB51/N51</f>
        <v>1</v>
      </c>
      <c r="AS51" s="4"/>
      <c r="AT51" s="4"/>
      <c r="AU51" s="4"/>
      <c r="AV51" s="4"/>
      <c r="AW51" s="4"/>
      <c r="AX51" s="4"/>
      <c r="AY51" s="4"/>
      <c r="AZ51" s="4"/>
      <c r="BA51" s="4"/>
      <c r="BB51" s="4">
        <v>0</v>
      </c>
      <c r="BC51" s="4" t="s">
        <v>3595</v>
      </c>
      <c r="BD51" s="4">
        <v>1</v>
      </c>
      <c r="BE51" s="4">
        <v>2</v>
      </c>
      <c r="BF51" s="4" t="s">
        <v>3575</v>
      </c>
      <c r="BG51" s="4">
        <v>1920</v>
      </c>
      <c r="BH51" s="4">
        <v>1920</v>
      </c>
      <c r="BI51" s="4">
        <f t="shared" si="21"/>
        <v>960</v>
      </c>
      <c r="BJ51" s="19">
        <v>4</v>
      </c>
      <c r="BK51" s="19">
        <v>8</v>
      </c>
      <c r="BL51" s="16">
        <v>6</v>
      </c>
      <c r="BM51" s="45" t="s">
        <v>3534</v>
      </c>
      <c r="BN51" t="s">
        <v>3534</v>
      </c>
      <c r="BO51" t="str">
        <f t="shared" si="7"/>
        <v>-</v>
      </c>
      <c r="BP51" t="s">
        <v>3534</v>
      </c>
      <c r="BQ51" t="s">
        <v>3534</v>
      </c>
      <c r="BR51" t="str">
        <f t="shared" si="8"/>
        <v>-</v>
      </c>
      <c r="BS51" t="s">
        <v>2545</v>
      </c>
    </row>
    <row r="52" spans="1:71" x14ac:dyDescent="0.4">
      <c r="A52" s="3">
        <v>49</v>
      </c>
      <c r="B52" s="3">
        <v>49</v>
      </c>
      <c r="C52" s="4" t="s">
        <v>111</v>
      </c>
      <c r="D52" s="4" t="str">
        <f t="shared" si="16"/>
        <v>8849AM</v>
      </c>
      <c r="E52" s="4" t="s">
        <v>111</v>
      </c>
      <c r="F52" s="4" t="s">
        <v>1330</v>
      </c>
      <c r="G52" s="5">
        <v>4521718746920</v>
      </c>
      <c r="H52" s="5"/>
      <c r="I52" s="5"/>
      <c r="J52" s="5">
        <v>1</v>
      </c>
      <c r="K52" s="5">
        <v>1</v>
      </c>
      <c r="L52" s="4">
        <v>250</v>
      </c>
      <c r="M52" s="4">
        <v>200</v>
      </c>
      <c r="N52" s="4">
        <v>138</v>
      </c>
      <c r="O52" s="6">
        <f t="shared" si="17"/>
        <v>0.31000000000000005</v>
      </c>
      <c r="P52" s="4" t="s">
        <v>2500</v>
      </c>
      <c r="Q52" s="4"/>
      <c r="R52" s="4"/>
      <c r="S52" s="4"/>
      <c r="T52" s="4"/>
      <c r="U52" s="4"/>
      <c r="V52" s="4"/>
      <c r="W52" s="4"/>
      <c r="X52" s="4"/>
      <c r="Y52" s="4">
        <v>250</v>
      </c>
      <c r="Z52" s="4">
        <f t="shared" si="18"/>
        <v>250</v>
      </c>
      <c r="AA52" s="4">
        <v>138</v>
      </c>
      <c r="AB52" s="4">
        <f t="shared" si="19"/>
        <v>138</v>
      </c>
      <c r="AC52" s="4"/>
      <c r="AD52" s="21">
        <f>ROUND(M52*AR52,0)</f>
        <v>200</v>
      </c>
      <c r="AE52" s="6">
        <f>1-AB52/AD52</f>
        <v>0.31000000000000005</v>
      </c>
      <c r="AF52" s="33">
        <v>0</v>
      </c>
      <c r="AG52" s="4">
        <f t="shared" si="20"/>
        <v>250</v>
      </c>
      <c r="AH52" s="33">
        <f t="shared" si="1"/>
        <v>250</v>
      </c>
      <c r="AI52" s="6">
        <f>1-AB52/AH52</f>
        <v>0.44799999999999995</v>
      </c>
      <c r="AJ52" s="7">
        <f>ROUND(AB52/0.65,0)</f>
        <v>212</v>
      </c>
      <c r="AK52" s="6">
        <f>1-AB52/AJ52</f>
        <v>0.34905660377358494</v>
      </c>
      <c r="AL52" s="4">
        <f>AJ52-AB52</f>
        <v>74</v>
      </c>
      <c r="AM52" s="28"/>
      <c r="AN52" s="6"/>
      <c r="AO52" s="6"/>
      <c r="AP52" s="6">
        <f>Z52/L52</f>
        <v>1</v>
      </c>
      <c r="AQ52" s="6">
        <f>AJ52/M52</f>
        <v>1.06</v>
      </c>
      <c r="AR52" s="6">
        <f>AB52/N52</f>
        <v>1</v>
      </c>
      <c r="AS52" s="4"/>
      <c r="AT52" s="4"/>
      <c r="AU52" s="4"/>
      <c r="AV52" s="4"/>
      <c r="AW52" s="4"/>
      <c r="AX52" s="4"/>
      <c r="AY52" s="4"/>
      <c r="AZ52" s="4"/>
      <c r="BA52" s="4"/>
      <c r="BB52" s="4">
        <v>0</v>
      </c>
      <c r="BC52" s="4" t="s">
        <v>3596</v>
      </c>
      <c r="BD52" s="4">
        <v>1</v>
      </c>
      <c r="BE52" s="4">
        <v>4</v>
      </c>
      <c r="BF52" s="4" t="s">
        <v>3593</v>
      </c>
      <c r="BG52" s="4">
        <v>1000</v>
      </c>
      <c r="BH52" s="4">
        <v>1000</v>
      </c>
      <c r="BI52" s="4">
        <f t="shared" si="21"/>
        <v>250</v>
      </c>
      <c r="BJ52" s="19">
        <v>4</v>
      </c>
      <c r="BK52" s="19">
        <v>8</v>
      </c>
      <c r="BL52" s="16">
        <v>4</v>
      </c>
      <c r="BM52" s="45" t="s">
        <v>3534</v>
      </c>
      <c r="BN52" t="s">
        <v>3534</v>
      </c>
      <c r="BO52" t="str">
        <f t="shared" si="7"/>
        <v>-</v>
      </c>
      <c r="BP52" t="s">
        <v>3534</v>
      </c>
      <c r="BQ52" t="s">
        <v>3534</v>
      </c>
      <c r="BR52" t="str">
        <f t="shared" si="8"/>
        <v>-</v>
      </c>
      <c r="BS52" t="s">
        <v>2546</v>
      </c>
    </row>
    <row r="53" spans="1:71" x14ac:dyDescent="0.4">
      <c r="A53" s="3">
        <v>50</v>
      </c>
      <c r="B53" s="3">
        <v>50</v>
      </c>
      <c r="C53" s="4" t="s">
        <v>112</v>
      </c>
      <c r="D53" s="4" t="str">
        <f t="shared" si="16"/>
        <v>8850AM</v>
      </c>
      <c r="E53" s="4" t="s">
        <v>112</v>
      </c>
      <c r="F53" s="4" t="s">
        <v>1331</v>
      </c>
      <c r="G53" s="5">
        <v>4521718746937</v>
      </c>
      <c r="H53" s="5"/>
      <c r="I53" s="5"/>
      <c r="J53" s="5">
        <v>1</v>
      </c>
      <c r="K53" s="5">
        <v>1</v>
      </c>
      <c r="L53" s="4">
        <v>250</v>
      </c>
      <c r="M53" s="4">
        <v>200</v>
      </c>
      <c r="N53" s="4">
        <v>138</v>
      </c>
      <c r="O53" s="6">
        <f t="shared" si="17"/>
        <v>0.31000000000000005</v>
      </c>
      <c r="P53" s="4" t="s">
        <v>2500</v>
      </c>
      <c r="Q53" s="4"/>
      <c r="R53" s="4"/>
      <c r="S53" s="4"/>
      <c r="T53" s="4"/>
      <c r="U53" s="4"/>
      <c r="V53" s="4"/>
      <c r="W53" s="4"/>
      <c r="X53" s="4"/>
      <c r="Y53" s="4">
        <v>250</v>
      </c>
      <c r="Z53" s="4">
        <f t="shared" si="18"/>
        <v>250</v>
      </c>
      <c r="AA53" s="4">
        <v>138</v>
      </c>
      <c r="AB53" s="4">
        <f t="shared" si="19"/>
        <v>138</v>
      </c>
      <c r="AC53" s="4"/>
      <c r="AD53" s="21">
        <f>ROUND(M53*AR53,0)</f>
        <v>200</v>
      </c>
      <c r="AE53" s="6">
        <f>1-AB53/AD53</f>
        <v>0.31000000000000005</v>
      </c>
      <c r="AF53" s="33">
        <v>0</v>
      </c>
      <c r="AG53" s="4">
        <f t="shared" si="20"/>
        <v>250</v>
      </c>
      <c r="AH53" s="33">
        <f t="shared" si="1"/>
        <v>250</v>
      </c>
      <c r="AI53" s="6">
        <f>1-AB53/AH53</f>
        <v>0.44799999999999995</v>
      </c>
      <c r="AJ53" s="7">
        <f>ROUND(AB53/0.65,0)</f>
        <v>212</v>
      </c>
      <c r="AK53" s="6">
        <f>1-AB53/AJ53</f>
        <v>0.34905660377358494</v>
      </c>
      <c r="AL53" s="4">
        <f>AJ53-AB53</f>
        <v>74</v>
      </c>
      <c r="AM53" s="28"/>
      <c r="AN53" s="6"/>
      <c r="AO53" s="6"/>
      <c r="AP53" s="6">
        <f>Z53/L53</f>
        <v>1</v>
      </c>
      <c r="AQ53" s="6">
        <f>AJ53/M53</f>
        <v>1.06</v>
      </c>
      <c r="AR53" s="6">
        <f>AB53/N53</f>
        <v>1</v>
      </c>
      <c r="AS53" s="4"/>
      <c r="AT53" s="4"/>
      <c r="AU53" s="4"/>
      <c r="AV53" s="4"/>
      <c r="AW53" s="4"/>
      <c r="AX53" s="4"/>
      <c r="AY53" s="4"/>
      <c r="AZ53" s="4"/>
      <c r="BA53" s="4"/>
      <c r="BB53" s="4">
        <v>0</v>
      </c>
      <c r="BC53" s="4" t="s">
        <v>3597</v>
      </c>
      <c r="BD53" s="4">
        <v>1</v>
      </c>
      <c r="BE53" s="4">
        <v>4</v>
      </c>
      <c r="BF53" s="4" t="s">
        <v>3593</v>
      </c>
      <c r="BG53" s="4">
        <v>1000</v>
      </c>
      <c r="BH53" s="4">
        <v>1000</v>
      </c>
      <c r="BI53" s="4">
        <f t="shared" si="21"/>
        <v>250</v>
      </c>
      <c r="BJ53" s="19">
        <v>4</v>
      </c>
      <c r="BK53" s="19">
        <v>8</v>
      </c>
      <c r="BL53" s="16">
        <v>4</v>
      </c>
      <c r="BM53" s="45" t="s">
        <v>3534</v>
      </c>
      <c r="BN53" t="s">
        <v>3534</v>
      </c>
      <c r="BO53" t="str">
        <f t="shared" si="7"/>
        <v>-</v>
      </c>
      <c r="BP53" t="s">
        <v>3534</v>
      </c>
      <c r="BQ53" t="s">
        <v>3534</v>
      </c>
      <c r="BR53" t="str">
        <f t="shared" si="8"/>
        <v>-</v>
      </c>
      <c r="BS53" t="s">
        <v>2547</v>
      </c>
    </row>
    <row r="54" spans="1:71" x14ac:dyDescent="0.4">
      <c r="A54" s="3">
        <v>51</v>
      </c>
      <c r="B54" s="3">
        <v>51</v>
      </c>
      <c r="C54" s="4" t="s">
        <v>113</v>
      </c>
      <c r="D54" s="4" t="str">
        <f t="shared" si="16"/>
        <v>8851AM</v>
      </c>
      <c r="E54" s="4" t="s">
        <v>113</v>
      </c>
      <c r="F54" s="4" t="s">
        <v>1332</v>
      </c>
      <c r="G54" s="5">
        <v>4521718746944</v>
      </c>
      <c r="H54" s="5"/>
      <c r="I54" s="5"/>
      <c r="J54" s="5">
        <v>1</v>
      </c>
      <c r="K54" s="5">
        <v>1</v>
      </c>
      <c r="L54" s="4">
        <v>250</v>
      </c>
      <c r="M54" s="4">
        <v>200</v>
      </c>
      <c r="N54" s="4">
        <v>138</v>
      </c>
      <c r="O54" s="6">
        <f t="shared" si="17"/>
        <v>0.31000000000000005</v>
      </c>
      <c r="P54" s="4" t="s">
        <v>2500</v>
      </c>
      <c r="Q54" s="4"/>
      <c r="R54" s="4"/>
      <c r="S54" s="4"/>
      <c r="T54" s="4"/>
      <c r="U54" s="4"/>
      <c r="V54" s="4"/>
      <c r="W54" s="4"/>
      <c r="X54" s="4"/>
      <c r="Y54" s="4">
        <v>250</v>
      </c>
      <c r="Z54" s="4">
        <f t="shared" si="18"/>
        <v>250</v>
      </c>
      <c r="AA54" s="4">
        <v>138</v>
      </c>
      <c r="AB54" s="4">
        <f t="shared" si="19"/>
        <v>138</v>
      </c>
      <c r="AC54" s="4"/>
      <c r="AD54" s="21">
        <f>ROUND(M54*AR54,0)</f>
        <v>200</v>
      </c>
      <c r="AE54" s="6">
        <f>1-AB54/AD54</f>
        <v>0.31000000000000005</v>
      </c>
      <c r="AF54" s="33">
        <v>0</v>
      </c>
      <c r="AG54" s="4">
        <f t="shared" si="20"/>
        <v>250</v>
      </c>
      <c r="AH54" s="33">
        <f t="shared" si="1"/>
        <v>250</v>
      </c>
      <c r="AI54" s="6">
        <f>1-AB54/AH54</f>
        <v>0.44799999999999995</v>
      </c>
      <c r="AJ54" s="7">
        <f>ROUND(AB54/0.65,0)</f>
        <v>212</v>
      </c>
      <c r="AK54" s="6">
        <f>1-AB54/AJ54</f>
        <v>0.34905660377358494</v>
      </c>
      <c r="AL54" s="4">
        <f>AJ54-AB54</f>
        <v>74</v>
      </c>
      <c r="AM54" s="28"/>
      <c r="AN54" s="6"/>
      <c r="AO54" s="6"/>
      <c r="AP54" s="6">
        <f>Z54/L54</f>
        <v>1</v>
      </c>
      <c r="AQ54" s="6">
        <f>AJ54/M54</f>
        <v>1.06</v>
      </c>
      <c r="AR54" s="6">
        <f>AB54/N54</f>
        <v>1</v>
      </c>
      <c r="AS54" s="4"/>
      <c r="AT54" s="4"/>
      <c r="AU54" s="4"/>
      <c r="AV54" s="4"/>
      <c r="AW54" s="4"/>
      <c r="AX54" s="4"/>
      <c r="AY54" s="4"/>
      <c r="AZ54" s="4"/>
      <c r="BA54" s="4"/>
      <c r="BB54" s="4">
        <v>0</v>
      </c>
      <c r="BC54" s="4" t="s">
        <v>3598</v>
      </c>
      <c r="BD54" s="4">
        <v>1</v>
      </c>
      <c r="BE54" s="4">
        <v>4</v>
      </c>
      <c r="BF54" s="4" t="s">
        <v>3593</v>
      </c>
      <c r="BG54" s="4">
        <v>1000</v>
      </c>
      <c r="BH54" s="4">
        <v>1000</v>
      </c>
      <c r="BI54" s="4">
        <f t="shared" si="21"/>
        <v>250</v>
      </c>
      <c r="BJ54" s="19">
        <v>4</v>
      </c>
      <c r="BK54" s="19">
        <v>8</v>
      </c>
      <c r="BL54" s="16">
        <v>4</v>
      </c>
      <c r="BM54" s="45" t="s">
        <v>3534</v>
      </c>
      <c r="BN54" t="s">
        <v>3534</v>
      </c>
      <c r="BO54" t="str">
        <f t="shared" si="7"/>
        <v>-</v>
      </c>
      <c r="BP54" t="s">
        <v>3534</v>
      </c>
      <c r="BQ54" t="s">
        <v>3534</v>
      </c>
      <c r="BR54" t="str">
        <f t="shared" si="8"/>
        <v>-</v>
      </c>
      <c r="BS54" t="s">
        <v>2548</v>
      </c>
    </row>
    <row r="55" spans="1:71" x14ac:dyDescent="0.4">
      <c r="A55" s="3">
        <v>52</v>
      </c>
      <c r="B55" s="3">
        <v>52</v>
      </c>
      <c r="C55" s="4" t="s">
        <v>114</v>
      </c>
      <c r="D55" s="4" t="str">
        <f t="shared" si="16"/>
        <v>8852AM</v>
      </c>
      <c r="E55" s="4" t="s">
        <v>114</v>
      </c>
      <c r="F55" s="4" t="s">
        <v>1333</v>
      </c>
      <c r="G55" s="5">
        <v>4521718746951</v>
      </c>
      <c r="H55" s="5"/>
      <c r="I55" s="5"/>
      <c r="J55" s="5">
        <v>1</v>
      </c>
      <c r="K55" s="5">
        <v>1</v>
      </c>
      <c r="L55" s="4">
        <v>180</v>
      </c>
      <c r="M55" s="4">
        <v>148</v>
      </c>
      <c r="N55" s="4">
        <v>99</v>
      </c>
      <c r="O55" s="6">
        <f t="shared" si="17"/>
        <v>0.33108108108108103</v>
      </c>
      <c r="P55" s="4" t="s">
        <v>2500</v>
      </c>
      <c r="Q55" s="4"/>
      <c r="R55" s="4"/>
      <c r="S55" s="4"/>
      <c r="T55" s="4"/>
      <c r="U55" s="4"/>
      <c r="V55" s="4"/>
      <c r="W55" s="4"/>
      <c r="X55" s="4"/>
      <c r="Y55" s="4">
        <v>180</v>
      </c>
      <c r="Z55" s="4">
        <f t="shared" si="18"/>
        <v>180</v>
      </c>
      <c r="AA55" s="4">
        <v>99</v>
      </c>
      <c r="AB55" s="4">
        <f t="shared" si="19"/>
        <v>99</v>
      </c>
      <c r="AC55" s="4"/>
      <c r="AD55" s="21">
        <f>ROUND(M55*AR55,0)</f>
        <v>148</v>
      </c>
      <c r="AE55" s="6">
        <f>1-AB55/AD55</f>
        <v>0.33108108108108103</v>
      </c>
      <c r="AF55" s="33">
        <v>0</v>
      </c>
      <c r="AG55" s="4">
        <f t="shared" si="20"/>
        <v>180</v>
      </c>
      <c r="AH55" s="33">
        <f t="shared" si="1"/>
        <v>180</v>
      </c>
      <c r="AI55" s="6">
        <f>1-AB55/AH55</f>
        <v>0.44999999999999996</v>
      </c>
      <c r="AJ55" s="7">
        <f>ROUND(AB55/0.65,0)</f>
        <v>152</v>
      </c>
      <c r="AK55" s="6">
        <f>1-AB55/AJ55</f>
        <v>0.34868421052631582</v>
      </c>
      <c r="AL55" s="4">
        <f>AJ55-AB55</f>
        <v>53</v>
      </c>
      <c r="AM55" s="28"/>
      <c r="AN55" s="6"/>
      <c r="AO55" s="6"/>
      <c r="AP55" s="6">
        <f>Z55/L55</f>
        <v>1</v>
      </c>
      <c r="AQ55" s="6">
        <f>AJ55/M55</f>
        <v>1.027027027027027</v>
      </c>
      <c r="AR55" s="6">
        <f>AB55/N55</f>
        <v>1</v>
      </c>
      <c r="AS55" s="4"/>
      <c r="AT55" s="4"/>
      <c r="AU55" s="4"/>
      <c r="AV55" s="4"/>
      <c r="AW55" s="4"/>
      <c r="AX55" s="4"/>
      <c r="AY55" s="4"/>
      <c r="AZ55" s="4"/>
      <c r="BA55" s="4"/>
      <c r="BB55" s="4">
        <v>0</v>
      </c>
      <c r="BC55" s="4" t="s">
        <v>3599</v>
      </c>
      <c r="BD55" s="4">
        <v>1</v>
      </c>
      <c r="BE55" s="4">
        <v>6</v>
      </c>
      <c r="BF55" s="4" t="s">
        <v>3587</v>
      </c>
      <c r="BG55" s="4">
        <v>1080</v>
      </c>
      <c r="BH55" s="4">
        <v>1080</v>
      </c>
      <c r="BI55" s="4">
        <f t="shared" si="21"/>
        <v>180</v>
      </c>
      <c r="BJ55" s="19">
        <v>4</v>
      </c>
      <c r="BK55" s="19">
        <v>8</v>
      </c>
      <c r="BL55" s="16">
        <v>4</v>
      </c>
      <c r="BM55" s="45" t="s">
        <v>3534</v>
      </c>
      <c r="BN55" t="s">
        <v>3534</v>
      </c>
      <c r="BO55" t="str">
        <f t="shared" si="7"/>
        <v>-</v>
      </c>
      <c r="BP55" t="s">
        <v>3534</v>
      </c>
      <c r="BQ55" t="s">
        <v>3534</v>
      </c>
      <c r="BR55" t="str">
        <f t="shared" si="8"/>
        <v>-</v>
      </c>
      <c r="BS55" t="s">
        <v>2549</v>
      </c>
    </row>
    <row r="56" spans="1:71" x14ac:dyDescent="0.4">
      <c r="A56" s="3">
        <v>53</v>
      </c>
      <c r="B56" s="3">
        <v>53</v>
      </c>
      <c r="C56" s="4" t="s">
        <v>115</v>
      </c>
      <c r="D56" s="4" t="str">
        <f t="shared" si="16"/>
        <v>8827AM</v>
      </c>
      <c r="E56" s="4" t="s">
        <v>115</v>
      </c>
      <c r="F56" s="4" t="s">
        <v>1334</v>
      </c>
      <c r="G56" s="5">
        <v>4521718748993</v>
      </c>
      <c r="H56" s="5"/>
      <c r="I56" s="5"/>
      <c r="J56" s="5">
        <v>1</v>
      </c>
      <c r="K56" s="5">
        <v>1</v>
      </c>
      <c r="L56" s="4">
        <v>520</v>
      </c>
      <c r="M56" s="4">
        <v>430</v>
      </c>
      <c r="N56" s="4">
        <v>293</v>
      </c>
      <c r="O56" s="6">
        <f t="shared" si="17"/>
        <v>0.31860465116279069</v>
      </c>
      <c r="P56" s="4" t="s">
        <v>2500</v>
      </c>
      <c r="Q56" s="4"/>
      <c r="R56" s="4"/>
      <c r="S56" s="4"/>
      <c r="T56" s="4"/>
      <c r="U56" s="4"/>
      <c r="V56" s="4"/>
      <c r="W56" s="4"/>
      <c r="X56" s="4"/>
      <c r="Y56" s="4">
        <v>419</v>
      </c>
      <c r="Z56" s="4">
        <f t="shared" si="18"/>
        <v>419</v>
      </c>
      <c r="AA56" s="4">
        <v>293</v>
      </c>
      <c r="AB56" s="4">
        <f t="shared" si="19"/>
        <v>293</v>
      </c>
      <c r="AC56" s="4"/>
      <c r="AD56" s="21">
        <f>ROUND(M56*AR56,0)</f>
        <v>430</v>
      </c>
      <c r="AE56" s="6">
        <f>1-AB56/AD56</f>
        <v>0.31860465116279069</v>
      </c>
      <c r="AF56" s="33">
        <v>0</v>
      </c>
      <c r="AG56" s="4">
        <f t="shared" si="20"/>
        <v>520</v>
      </c>
      <c r="AH56" s="33">
        <f t="shared" si="1"/>
        <v>520</v>
      </c>
      <c r="AI56" s="6">
        <f>1-AB56/AH56</f>
        <v>0.43653846153846154</v>
      </c>
      <c r="AJ56" s="7">
        <v>419</v>
      </c>
      <c r="AK56" s="6">
        <f>1-AB56/AJ56</f>
        <v>0.30071599045346065</v>
      </c>
      <c r="AL56" s="4">
        <f>AJ56-AB56</f>
        <v>126</v>
      </c>
      <c r="AM56" s="28"/>
      <c r="AN56" s="6"/>
      <c r="AO56" s="6"/>
      <c r="AP56" s="6">
        <f>Z56/L56</f>
        <v>0.80576923076923079</v>
      </c>
      <c r="AQ56" s="6">
        <f>AJ56/M56</f>
        <v>0.97441860465116281</v>
      </c>
      <c r="AR56" s="6">
        <f>AB56/N56</f>
        <v>1</v>
      </c>
      <c r="AS56" s="4"/>
      <c r="AT56" s="4"/>
      <c r="AU56" s="4"/>
      <c r="AV56" s="4"/>
      <c r="AW56" s="4"/>
      <c r="AX56" s="4"/>
      <c r="AY56" s="4"/>
      <c r="AZ56" s="4"/>
      <c r="BA56" s="4"/>
      <c r="BB56" s="4">
        <v>0</v>
      </c>
      <c r="BC56" s="4" t="s">
        <v>3600</v>
      </c>
      <c r="BD56" s="4">
        <v>1</v>
      </c>
      <c r="BE56" s="4">
        <v>3</v>
      </c>
      <c r="BF56" s="4" t="s">
        <v>3601</v>
      </c>
      <c r="BG56" s="4">
        <v>1560</v>
      </c>
      <c r="BH56" s="4">
        <v>1560</v>
      </c>
      <c r="BI56" s="4">
        <f t="shared" si="21"/>
        <v>520</v>
      </c>
      <c r="BJ56" s="19">
        <v>4</v>
      </c>
      <c r="BK56" s="19">
        <v>8</v>
      </c>
      <c r="BL56" s="16">
        <v>6</v>
      </c>
      <c r="BM56" s="45" t="s">
        <v>3534</v>
      </c>
      <c r="BN56" t="s">
        <v>3534</v>
      </c>
      <c r="BO56" t="str">
        <f t="shared" si="7"/>
        <v>-</v>
      </c>
      <c r="BP56" t="s">
        <v>3534</v>
      </c>
      <c r="BQ56" t="s">
        <v>3534</v>
      </c>
      <c r="BR56" t="str">
        <f t="shared" si="8"/>
        <v>-</v>
      </c>
      <c r="BS56" t="s">
        <v>2550</v>
      </c>
    </row>
    <row r="57" spans="1:71" x14ac:dyDescent="0.4">
      <c r="A57" s="3">
        <v>54</v>
      </c>
      <c r="B57" s="3">
        <v>54</v>
      </c>
      <c r="C57" s="4" t="s">
        <v>116</v>
      </c>
      <c r="D57" s="4" t="str">
        <f t="shared" si="16"/>
        <v>8828AM</v>
      </c>
      <c r="E57" s="4" t="s">
        <v>116</v>
      </c>
      <c r="F57" s="4" t="s">
        <v>1335</v>
      </c>
      <c r="G57" s="5">
        <v>4521718749006</v>
      </c>
      <c r="H57" s="5"/>
      <c r="I57" s="5"/>
      <c r="J57" s="5">
        <v>1</v>
      </c>
      <c r="K57" s="5">
        <v>1</v>
      </c>
      <c r="L57" s="4">
        <v>610</v>
      </c>
      <c r="M57" s="4">
        <v>500</v>
      </c>
      <c r="N57" s="4">
        <v>344</v>
      </c>
      <c r="O57" s="6">
        <f t="shared" si="17"/>
        <v>0.31200000000000006</v>
      </c>
      <c r="P57" s="4" t="s">
        <v>2500</v>
      </c>
      <c r="Q57" s="4"/>
      <c r="R57" s="4"/>
      <c r="S57" s="4"/>
      <c r="T57" s="4"/>
      <c r="U57" s="4"/>
      <c r="V57" s="4"/>
      <c r="W57" s="4"/>
      <c r="X57" s="4"/>
      <c r="Y57" s="4">
        <v>491</v>
      </c>
      <c r="Z57" s="4">
        <f t="shared" si="18"/>
        <v>491</v>
      </c>
      <c r="AA57" s="4">
        <v>344</v>
      </c>
      <c r="AB57" s="4">
        <f t="shared" si="19"/>
        <v>344</v>
      </c>
      <c r="AC57" s="4"/>
      <c r="AD57" s="21">
        <f>ROUND(M57*AR57,0)</f>
        <v>500</v>
      </c>
      <c r="AE57" s="6">
        <f>1-AB57/AD57</f>
        <v>0.31200000000000006</v>
      </c>
      <c r="AF57" s="33">
        <v>0</v>
      </c>
      <c r="AG57" s="4">
        <f t="shared" si="20"/>
        <v>610</v>
      </c>
      <c r="AH57" s="33">
        <f t="shared" si="1"/>
        <v>610</v>
      </c>
      <c r="AI57" s="6">
        <f>1-AB57/AH57</f>
        <v>0.43606557377049182</v>
      </c>
      <c r="AJ57" s="7">
        <v>491</v>
      </c>
      <c r="AK57" s="6">
        <f>1-AB57/AJ57</f>
        <v>0.29938900203665986</v>
      </c>
      <c r="AL57" s="4">
        <f>AJ57-AB57</f>
        <v>147</v>
      </c>
      <c r="AM57" s="28"/>
      <c r="AN57" s="6"/>
      <c r="AO57" s="6"/>
      <c r="AP57" s="6">
        <f>Z57/L57</f>
        <v>0.80491803278688523</v>
      </c>
      <c r="AQ57" s="6">
        <f>AJ57/M57</f>
        <v>0.98199999999999998</v>
      </c>
      <c r="AR57" s="6">
        <f>AB57/N57</f>
        <v>1</v>
      </c>
      <c r="AS57" s="4"/>
      <c r="AT57" s="4"/>
      <c r="AU57" s="4"/>
      <c r="AV57" s="4"/>
      <c r="AW57" s="4"/>
      <c r="AX57" s="4"/>
      <c r="AY57" s="4"/>
      <c r="AZ57" s="4"/>
      <c r="BA57" s="4"/>
      <c r="BB57" s="4">
        <v>0</v>
      </c>
      <c r="BC57" s="4" t="s">
        <v>3602</v>
      </c>
      <c r="BD57" s="4">
        <v>1</v>
      </c>
      <c r="BE57" s="4">
        <v>3</v>
      </c>
      <c r="BF57" s="4" t="s">
        <v>3601</v>
      </c>
      <c r="BG57" s="4">
        <v>1830</v>
      </c>
      <c r="BH57" s="4">
        <v>1830</v>
      </c>
      <c r="BI57" s="4">
        <f t="shared" si="21"/>
        <v>610</v>
      </c>
      <c r="BJ57" s="19">
        <v>4</v>
      </c>
      <c r="BK57" s="19">
        <v>8</v>
      </c>
      <c r="BL57" s="16">
        <v>6</v>
      </c>
      <c r="BM57" s="45" t="s">
        <v>3534</v>
      </c>
      <c r="BN57" t="s">
        <v>3534</v>
      </c>
      <c r="BO57" t="str">
        <f t="shared" si="7"/>
        <v>-</v>
      </c>
      <c r="BP57" t="s">
        <v>3534</v>
      </c>
      <c r="BQ57" t="s">
        <v>3534</v>
      </c>
      <c r="BR57" t="str">
        <f t="shared" si="8"/>
        <v>-</v>
      </c>
      <c r="BS57" t="s">
        <v>2551</v>
      </c>
    </row>
    <row r="58" spans="1:71" x14ac:dyDescent="0.4">
      <c r="A58" s="3">
        <v>55</v>
      </c>
      <c r="B58" s="3">
        <v>55</v>
      </c>
      <c r="C58" s="4" t="s">
        <v>117</v>
      </c>
      <c r="D58" s="4" t="str">
        <f t="shared" si="16"/>
        <v>8853AM</v>
      </c>
      <c r="E58" s="4" t="s">
        <v>117</v>
      </c>
      <c r="F58" s="4" t="s">
        <v>1336</v>
      </c>
      <c r="G58" s="5">
        <v>4521718746968</v>
      </c>
      <c r="H58" s="5"/>
      <c r="I58" s="5"/>
      <c r="J58" s="5">
        <v>1</v>
      </c>
      <c r="K58" s="5">
        <v>1</v>
      </c>
      <c r="L58" s="4">
        <v>180</v>
      </c>
      <c r="M58" s="4">
        <v>148</v>
      </c>
      <c r="N58" s="4">
        <v>99</v>
      </c>
      <c r="O58" s="6">
        <f t="shared" si="17"/>
        <v>0.33108108108108103</v>
      </c>
      <c r="P58" s="4" t="s">
        <v>2500</v>
      </c>
      <c r="Q58" s="4"/>
      <c r="R58" s="4"/>
      <c r="S58" s="4"/>
      <c r="T58" s="4"/>
      <c r="U58" s="4"/>
      <c r="V58" s="4"/>
      <c r="W58" s="4"/>
      <c r="X58" s="4"/>
      <c r="Y58" s="4">
        <v>180</v>
      </c>
      <c r="Z58" s="4">
        <f t="shared" si="18"/>
        <v>180</v>
      </c>
      <c r="AA58" s="4">
        <v>99</v>
      </c>
      <c r="AB58" s="4">
        <f t="shared" si="19"/>
        <v>99</v>
      </c>
      <c r="AC58" s="4"/>
      <c r="AD58" s="21">
        <f>ROUND(M58*AR58,0)</f>
        <v>148</v>
      </c>
      <c r="AE58" s="6">
        <f>1-AB58/AD58</f>
        <v>0.33108108108108103</v>
      </c>
      <c r="AF58" s="33">
        <v>0</v>
      </c>
      <c r="AG58" s="4">
        <f t="shared" si="20"/>
        <v>180</v>
      </c>
      <c r="AH58" s="33">
        <f t="shared" si="1"/>
        <v>180</v>
      </c>
      <c r="AI58" s="6">
        <f>1-AB58/AH58</f>
        <v>0.44999999999999996</v>
      </c>
      <c r="AJ58" s="7">
        <f>ROUND(AB58/0.65,0)</f>
        <v>152</v>
      </c>
      <c r="AK58" s="6">
        <f>1-AB58/AJ58</f>
        <v>0.34868421052631582</v>
      </c>
      <c r="AL58" s="4">
        <f>AJ58-AB58</f>
        <v>53</v>
      </c>
      <c r="AM58" s="28"/>
      <c r="AN58" s="6"/>
      <c r="AO58" s="6"/>
      <c r="AP58" s="6">
        <f>Z58/L58</f>
        <v>1</v>
      </c>
      <c r="AQ58" s="6">
        <f>AJ58/M58</f>
        <v>1.027027027027027</v>
      </c>
      <c r="AR58" s="6">
        <f>AB58/N58</f>
        <v>1</v>
      </c>
      <c r="AS58" s="4"/>
      <c r="AT58" s="4"/>
      <c r="AU58" s="4"/>
      <c r="AV58" s="4"/>
      <c r="AW58" s="4"/>
      <c r="AX58" s="4"/>
      <c r="AY58" s="4"/>
      <c r="AZ58" s="4"/>
      <c r="BA58" s="4"/>
      <c r="BB58" s="4">
        <v>0</v>
      </c>
      <c r="BC58" s="4" t="s">
        <v>3603</v>
      </c>
      <c r="BD58" s="4">
        <v>1</v>
      </c>
      <c r="BE58" s="4">
        <v>6</v>
      </c>
      <c r="BF58" s="4" t="s">
        <v>3587</v>
      </c>
      <c r="BG58" s="4">
        <v>1080</v>
      </c>
      <c r="BH58" s="4">
        <v>1080</v>
      </c>
      <c r="BI58" s="4">
        <f t="shared" si="21"/>
        <v>180</v>
      </c>
      <c r="BJ58" s="19">
        <v>4</v>
      </c>
      <c r="BK58" s="19">
        <v>8</v>
      </c>
      <c r="BL58" s="16">
        <v>4</v>
      </c>
      <c r="BM58" s="45" t="s">
        <v>3534</v>
      </c>
      <c r="BN58" t="s">
        <v>3534</v>
      </c>
      <c r="BO58" t="str">
        <f t="shared" si="7"/>
        <v>-</v>
      </c>
      <c r="BP58" t="s">
        <v>3534</v>
      </c>
      <c r="BQ58" t="s">
        <v>3534</v>
      </c>
      <c r="BR58" t="str">
        <f t="shared" si="8"/>
        <v>-</v>
      </c>
      <c r="BS58" t="s">
        <v>2552</v>
      </c>
    </row>
    <row r="59" spans="1:71" x14ac:dyDescent="0.4">
      <c r="A59" s="3">
        <v>56</v>
      </c>
      <c r="B59" s="3">
        <v>56</v>
      </c>
      <c r="C59" s="4" t="s">
        <v>118</v>
      </c>
      <c r="D59" s="4" t="str">
        <f t="shared" si="16"/>
        <v>8854AM</v>
      </c>
      <c r="E59" s="4" t="s">
        <v>118</v>
      </c>
      <c r="F59" s="4" t="s">
        <v>1337</v>
      </c>
      <c r="G59" s="5">
        <v>4521718746975</v>
      </c>
      <c r="H59" s="5"/>
      <c r="I59" s="5"/>
      <c r="J59" s="5">
        <v>1</v>
      </c>
      <c r="K59" s="5">
        <v>1</v>
      </c>
      <c r="L59" s="4">
        <v>180</v>
      </c>
      <c r="M59" s="4">
        <v>148</v>
      </c>
      <c r="N59" s="4">
        <v>99</v>
      </c>
      <c r="O59" s="6">
        <f t="shared" si="17"/>
        <v>0.33108108108108103</v>
      </c>
      <c r="P59" s="4" t="s">
        <v>2500</v>
      </c>
      <c r="Q59" s="4"/>
      <c r="R59" s="4"/>
      <c r="S59" s="4"/>
      <c r="T59" s="4"/>
      <c r="U59" s="4"/>
      <c r="V59" s="4"/>
      <c r="W59" s="4"/>
      <c r="X59" s="4"/>
      <c r="Y59" s="4">
        <v>180</v>
      </c>
      <c r="Z59" s="4">
        <f t="shared" si="18"/>
        <v>180</v>
      </c>
      <c r="AA59" s="4">
        <v>99</v>
      </c>
      <c r="AB59" s="4">
        <f t="shared" si="19"/>
        <v>99</v>
      </c>
      <c r="AC59" s="4"/>
      <c r="AD59" s="21">
        <f>ROUND(M59*AR59,0)</f>
        <v>148</v>
      </c>
      <c r="AE59" s="6">
        <f>1-AB59/AD59</f>
        <v>0.33108108108108103</v>
      </c>
      <c r="AF59" s="33">
        <v>0</v>
      </c>
      <c r="AG59" s="4">
        <f t="shared" si="20"/>
        <v>180</v>
      </c>
      <c r="AH59" s="33">
        <f t="shared" si="1"/>
        <v>180</v>
      </c>
      <c r="AI59" s="6">
        <f>1-AB59/AH59</f>
        <v>0.44999999999999996</v>
      </c>
      <c r="AJ59" s="7">
        <f>ROUND(AB59/0.65,0)</f>
        <v>152</v>
      </c>
      <c r="AK59" s="6">
        <f>1-AB59/AJ59</f>
        <v>0.34868421052631582</v>
      </c>
      <c r="AL59" s="4">
        <f>AJ59-AB59</f>
        <v>53</v>
      </c>
      <c r="AM59" s="28"/>
      <c r="AN59" s="6"/>
      <c r="AO59" s="6"/>
      <c r="AP59" s="6">
        <f>Z59/L59</f>
        <v>1</v>
      </c>
      <c r="AQ59" s="6">
        <f>AJ59/M59</f>
        <v>1.027027027027027</v>
      </c>
      <c r="AR59" s="6">
        <f>AB59/N59</f>
        <v>1</v>
      </c>
      <c r="AS59" s="4"/>
      <c r="AT59" s="4"/>
      <c r="AU59" s="4"/>
      <c r="AV59" s="4"/>
      <c r="AW59" s="4"/>
      <c r="AX59" s="4"/>
      <c r="AY59" s="4"/>
      <c r="AZ59" s="4"/>
      <c r="BA59" s="4"/>
      <c r="BB59" s="4">
        <v>0</v>
      </c>
      <c r="BC59" s="4" t="s">
        <v>3604</v>
      </c>
      <c r="BD59" s="4">
        <v>1</v>
      </c>
      <c r="BE59" s="4">
        <v>6</v>
      </c>
      <c r="BF59" s="4" t="s">
        <v>3587</v>
      </c>
      <c r="BG59" s="4">
        <v>1080</v>
      </c>
      <c r="BH59" s="4">
        <v>1080</v>
      </c>
      <c r="BI59" s="4">
        <f t="shared" si="21"/>
        <v>180</v>
      </c>
      <c r="BJ59" s="19">
        <v>4</v>
      </c>
      <c r="BK59" s="19">
        <v>8</v>
      </c>
      <c r="BL59" s="16">
        <v>4</v>
      </c>
      <c r="BM59" s="45" t="s">
        <v>3534</v>
      </c>
      <c r="BN59" t="s">
        <v>3534</v>
      </c>
      <c r="BO59" t="str">
        <f t="shared" si="7"/>
        <v>-</v>
      </c>
      <c r="BP59" t="s">
        <v>3534</v>
      </c>
      <c r="BQ59" t="s">
        <v>3534</v>
      </c>
      <c r="BR59" t="str">
        <f t="shared" si="8"/>
        <v>-</v>
      </c>
      <c r="BS59" t="s">
        <v>2553</v>
      </c>
    </row>
    <row r="60" spans="1:71" x14ac:dyDescent="0.4">
      <c r="A60" s="3">
        <v>57</v>
      </c>
      <c r="B60" s="3">
        <v>57</v>
      </c>
      <c r="C60" s="4" t="s">
        <v>119</v>
      </c>
      <c r="D60" s="4" t="str">
        <f t="shared" si="16"/>
        <v>8829AM</v>
      </c>
      <c r="E60" s="4" t="s">
        <v>119</v>
      </c>
      <c r="F60" s="4" t="s">
        <v>1338</v>
      </c>
      <c r="G60" s="5">
        <v>4521718749082</v>
      </c>
      <c r="H60" s="5"/>
      <c r="I60" s="5"/>
      <c r="J60" s="5">
        <v>1</v>
      </c>
      <c r="K60" s="5">
        <v>1</v>
      </c>
      <c r="L60" s="4">
        <v>390</v>
      </c>
      <c r="M60" s="4">
        <v>250</v>
      </c>
      <c r="N60" s="4">
        <v>172</v>
      </c>
      <c r="O60" s="6">
        <f t="shared" si="17"/>
        <v>0.31200000000000006</v>
      </c>
      <c r="P60" s="4" t="s">
        <v>2500</v>
      </c>
      <c r="Q60" s="4"/>
      <c r="R60" s="4"/>
      <c r="S60" s="4"/>
      <c r="T60" s="4"/>
      <c r="U60" s="4"/>
      <c r="V60" s="4"/>
      <c r="W60" s="4"/>
      <c r="X60" s="4"/>
      <c r="Y60" s="4">
        <v>246</v>
      </c>
      <c r="Z60" s="4">
        <f t="shared" si="18"/>
        <v>246</v>
      </c>
      <c r="AA60" s="4">
        <v>172</v>
      </c>
      <c r="AB60" s="4">
        <f t="shared" si="19"/>
        <v>172</v>
      </c>
      <c r="AC60" s="4"/>
      <c r="AD60" s="21">
        <f>ROUND(M60*AR60,0)</f>
        <v>250</v>
      </c>
      <c r="AE60" s="6">
        <f>1-AB60/AD60</f>
        <v>0.31200000000000006</v>
      </c>
      <c r="AF60" s="33">
        <v>0</v>
      </c>
      <c r="AG60" s="4">
        <f t="shared" si="20"/>
        <v>390</v>
      </c>
      <c r="AH60" s="33">
        <f t="shared" si="1"/>
        <v>390</v>
      </c>
      <c r="AI60" s="6">
        <f>1-AB60/AH60</f>
        <v>0.55897435897435899</v>
      </c>
      <c r="AJ60" s="7">
        <v>246</v>
      </c>
      <c r="AK60" s="6">
        <f>1-AB60/AJ60</f>
        <v>0.30081300813008127</v>
      </c>
      <c r="AL60" s="4">
        <f>AJ60-AB60</f>
        <v>74</v>
      </c>
      <c r="AM60" s="28"/>
      <c r="AN60" s="6"/>
      <c r="AO60" s="6"/>
      <c r="AP60" s="6">
        <f>Z60/L60</f>
        <v>0.63076923076923075</v>
      </c>
      <c r="AQ60" s="6">
        <f>AJ60/M60</f>
        <v>0.98399999999999999</v>
      </c>
      <c r="AR60" s="6">
        <f>AB60/N60</f>
        <v>1</v>
      </c>
      <c r="AS60" s="4"/>
      <c r="AT60" s="4"/>
      <c r="AU60" s="4"/>
      <c r="AV60" s="4"/>
      <c r="AW60" s="4"/>
      <c r="AX60" s="4"/>
      <c r="AY60" s="4"/>
      <c r="AZ60" s="4"/>
      <c r="BA60" s="4"/>
      <c r="BB60" s="4">
        <v>0</v>
      </c>
      <c r="BC60" s="4" t="s">
        <v>3605</v>
      </c>
      <c r="BD60" s="4">
        <v>1</v>
      </c>
      <c r="BE60" s="4">
        <v>5</v>
      </c>
      <c r="BF60" s="4" t="s">
        <v>3606</v>
      </c>
      <c r="BG60" s="4">
        <v>1950</v>
      </c>
      <c r="BH60" s="4">
        <v>1950</v>
      </c>
      <c r="BI60" s="4">
        <f t="shared" si="21"/>
        <v>390</v>
      </c>
      <c r="BJ60" s="19">
        <v>4</v>
      </c>
      <c r="BK60" s="19">
        <v>8</v>
      </c>
      <c r="BL60" s="16">
        <v>6</v>
      </c>
      <c r="BM60" s="45" t="s">
        <v>3534</v>
      </c>
      <c r="BN60" t="s">
        <v>3534</v>
      </c>
      <c r="BO60" t="str">
        <f t="shared" si="7"/>
        <v>-</v>
      </c>
      <c r="BP60" t="s">
        <v>3534</v>
      </c>
      <c r="BQ60" t="s">
        <v>3534</v>
      </c>
      <c r="BR60" t="str">
        <f t="shared" si="8"/>
        <v>-</v>
      </c>
      <c r="BS60" t="s">
        <v>2554</v>
      </c>
    </row>
    <row r="61" spans="1:71" x14ac:dyDescent="0.4">
      <c r="A61" s="3">
        <v>58</v>
      </c>
      <c r="B61" s="3">
        <v>58</v>
      </c>
      <c r="C61" s="4" t="s">
        <v>120</v>
      </c>
      <c r="D61" s="4" t="str">
        <f t="shared" si="16"/>
        <v>8830AM</v>
      </c>
      <c r="E61" s="4" t="s">
        <v>120</v>
      </c>
      <c r="F61" s="4" t="s">
        <v>1339</v>
      </c>
      <c r="G61" s="5">
        <v>4521718749099</v>
      </c>
      <c r="H61" s="5"/>
      <c r="I61" s="5"/>
      <c r="J61" s="5">
        <v>1</v>
      </c>
      <c r="K61" s="5">
        <v>1</v>
      </c>
      <c r="L61" s="4">
        <v>520</v>
      </c>
      <c r="M61" s="4">
        <v>330</v>
      </c>
      <c r="N61" s="4">
        <v>231</v>
      </c>
      <c r="O61" s="6">
        <f t="shared" si="17"/>
        <v>0.30000000000000004</v>
      </c>
      <c r="P61" s="4" t="s">
        <v>2500</v>
      </c>
      <c r="Q61" s="4"/>
      <c r="R61" s="4"/>
      <c r="S61" s="4"/>
      <c r="T61" s="4"/>
      <c r="U61" s="4"/>
      <c r="V61" s="4"/>
      <c r="W61" s="4"/>
      <c r="X61" s="4"/>
      <c r="Y61" s="4">
        <v>355</v>
      </c>
      <c r="Z61" s="4">
        <f t="shared" si="18"/>
        <v>355</v>
      </c>
      <c r="AA61" s="4">
        <v>231</v>
      </c>
      <c r="AB61" s="4">
        <f t="shared" si="19"/>
        <v>231</v>
      </c>
      <c r="AC61" s="4"/>
      <c r="AD61" s="21">
        <f>ROUND(M61*AR61,0)</f>
        <v>330</v>
      </c>
      <c r="AE61" s="6">
        <f>1-AB61/AD61</f>
        <v>0.30000000000000004</v>
      </c>
      <c r="AF61" s="33">
        <v>0</v>
      </c>
      <c r="AG61" s="4">
        <f t="shared" si="20"/>
        <v>520</v>
      </c>
      <c r="AH61" s="33">
        <f t="shared" si="1"/>
        <v>520</v>
      </c>
      <c r="AI61" s="6">
        <f>1-AB61/AH61</f>
        <v>0.55576923076923079</v>
      </c>
      <c r="AJ61" s="7">
        <v>355</v>
      </c>
      <c r="AK61" s="6">
        <f>1-AB61/AJ61</f>
        <v>0.3492957746478873</v>
      </c>
      <c r="AL61" s="4">
        <f>AJ61-AB61</f>
        <v>124</v>
      </c>
      <c r="AM61" s="28"/>
      <c r="AN61" s="6"/>
      <c r="AO61" s="6"/>
      <c r="AP61" s="6">
        <f>Z61/L61</f>
        <v>0.68269230769230771</v>
      </c>
      <c r="AQ61" s="6">
        <f>AJ61/M61</f>
        <v>1.0757575757575757</v>
      </c>
      <c r="AR61" s="6">
        <f>AB61/N61</f>
        <v>1</v>
      </c>
      <c r="AS61" s="4"/>
      <c r="AT61" s="4"/>
      <c r="AU61" s="4"/>
      <c r="AV61" s="4"/>
      <c r="AW61" s="4"/>
      <c r="AX61" s="4"/>
      <c r="AY61" s="4"/>
      <c r="AZ61" s="4"/>
      <c r="BA61" s="4"/>
      <c r="BB61" s="4">
        <v>0</v>
      </c>
      <c r="BC61" s="4" t="s">
        <v>3607</v>
      </c>
      <c r="BD61" s="4">
        <v>1</v>
      </c>
      <c r="BE61" s="4">
        <v>3</v>
      </c>
      <c r="BF61" s="4" t="s">
        <v>3608</v>
      </c>
      <c r="BG61" s="4">
        <v>1560</v>
      </c>
      <c r="BH61" s="4">
        <v>1560</v>
      </c>
      <c r="BI61" s="4">
        <f t="shared" si="21"/>
        <v>520</v>
      </c>
      <c r="BJ61" s="19">
        <v>4</v>
      </c>
      <c r="BK61" s="19">
        <v>8</v>
      </c>
      <c r="BL61" s="16">
        <v>5</v>
      </c>
      <c r="BM61" s="45" t="s">
        <v>3534</v>
      </c>
      <c r="BN61" t="s">
        <v>3534</v>
      </c>
      <c r="BO61" t="str">
        <f t="shared" si="7"/>
        <v>-</v>
      </c>
      <c r="BP61" t="s">
        <v>3534</v>
      </c>
      <c r="BQ61">
        <v>494</v>
      </c>
      <c r="BR61">
        <f t="shared" si="8"/>
        <v>494</v>
      </c>
      <c r="BS61" t="s">
        <v>2555</v>
      </c>
    </row>
    <row r="62" spans="1:71" x14ac:dyDescent="0.4">
      <c r="A62" s="3">
        <v>59</v>
      </c>
      <c r="B62" s="3">
        <v>59</v>
      </c>
      <c r="C62" s="4" t="s">
        <v>121</v>
      </c>
      <c r="D62" s="4" t="str">
        <f t="shared" si="16"/>
        <v>8855AM</v>
      </c>
      <c r="E62" s="4" t="s">
        <v>121</v>
      </c>
      <c r="F62" s="4" t="s">
        <v>1340</v>
      </c>
      <c r="G62" s="5">
        <v>4521718746982</v>
      </c>
      <c r="H62" s="5"/>
      <c r="I62" s="5"/>
      <c r="J62" s="5">
        <v>1</v>
      </c>
      <c r="K62" s="5">
        <v>1</v>
      </c>
      <c r="L62" s="4">
        <v>180</v>
      </c>
      <c r="M62" s="4">
        <v>148</v>
      </c>
      <c r="N62" s="4">
        <v>99</v>
      </c>
      <c r="O62" s="6">
        <f t="shared" si="17"/>
        <v>0.33108108108108103</v>
      </c>
      <c r="P62" s="4" t="s">
        <v>2500</v>
      </c>
      <c r="Q62" s="4"/>
      <c r="R62" s="4"/>
      <c r="S62" s="4"/>
      <c r="T62" s="4"/>
      <c r="U62" s="4"/>
      <c r="V62" s="4"/>
      <c r="W62" s="4"/>
      <c r="X62" s="4"/>
      <c r="Y62" s="4">
        <v>180</v>
      </c>
      <c r="Z62" s="4">
        <f t="shared" si="18"/>
        <v>180</v>
      </c>
      <c r="AA62" s="4">
        <v>99</v>
      </c>
      <c r="AB62" s="4">
        <f t="shared" si="19"/>
        <v>99</v>
      </c>
      <c r="AC62" s="4"/>
      <c r="AD62" s="21">
        <f>ROUND(M62*AR62,0)</f>
        <v>148</v>
      </c>
      <c r="AE62" s="6">
        <f>1-AB62/AD62</f>
        <v>0.33108108108108103</v>
      </c>
      <c r="AF62" s="33">
        <v>0</v>
      </c>
      <c r="AG62" s="4">
        <f t="shared" si="20"/>
        <v>180</v>
      </c>
      <c r="AH62" s="33">
        <f t="shared" si="1"/>
        <v>180</v>
      </c>
      <c r="AI62" s="6">
        <f>1-AB62/AH62</f>
        <v>0.44999999999999996</v>
      </c>
      <c r="AJ62" s="7">
        <f>ROUND(AB62/0.65,0)</f>
        <v>152</v>
      </c>
      <c r="AK62" s="6">
        <f>1-AB62/AJ62</f>
        <v>0.34868421052631582</v>
      </c>
      <c r="AL62" s="4">
        <f>AJ62-AB62</f>
        <v>53</v>
      </c>
      <c r="AM62" s="28"/>
      <c r="AN62" s="6"/>
      <c r="AO62" s="6"/>
      <c r="AP62" s="6">
        <f>Z62/L62</f>
        <v>1</v>
      </c>
      <c r="AQ62" s="6">
        <f>AJ62/M62</f>
        <v>1.027027027027027</v>
      </c>
      <c r="AR62" s="6">
        <f>AB62/N62</f>
        <v>1</v>
      </c>
      <c r="AS62" s="4"/>
      <c r="AT62" s="4"/>
      <c r="AU62" s="4"/>
      <c r="AV62" s="4"/>
      <c r="AW62" s="4"/>
      <c r="AX62" s="4"/>
      <c r="AY62" s="4"/>
      <c r="AZ62" s="4"/>
      <c r="BA62" s="4"/>
      <c r="BB62" s="4">
        <v>0</v>
      </c>
      <c r="BC62" s="4" t="s">
        <v>3609</v>
      </c>
      <c r="BD62" s="4">
        <v>1</v>
      </c>
      <c r="BE62" s="4">
        <v>6</v>
      </c>
      <c r="BF62" s="4" t="s">
        <v>3587</v>
      </c>
      <c r="BG62" s="4">
        <v>1080</v>
      </c>
      <c r="BH62" s="4">
        <v>1080</v>
      </c>
      <c r="BI62" s="4">
        <f t="shared" si="21"/>
        <v>180</v>
      </c>
      <c r="BJ62" s="19">
        <v>4</v>
      </c>
      <c r="BK62" s="19">
        <v>8</v>
      </c>
      <c r="BL62" s="16">
        <v>4</v>
      </c>
      <c r="BM62" s="45" t="s">
        <v>3534</v>
      </c>
      <c r="BN62" t="s">
        <v>3534</v>
      </c>
      <c r="BO62" t="str">
        <f t="shared" si="7"/>
        <v>-</v>
      </c>
      <c r="BP62" t="s">
        <v>3534</v>
      </c>
      <c r="BQ62" t="s">
        <v>3534</v>
      </c>
      <c r="BR62" t="str">
        <f t="shared" si="8"/>
        <v>-</v>
      </c>
      <c r="BS62" t="s">
        <v>2556</v>
      </c>
    </row>
    <row r="63" spans="1:71" x14ac:dyDescent="0.4">
      <c r="A63" s="3">
        <v>60</v>
      </c>
      <c r="B63" s="3">
        <v>60</v>
      </c>
      <c r="C63" s="4" t="s">
        <v>122</v>
      </c>
      <c r="D63" s="4" t="str">
        <f t="shared" si="16"/>
        <v>8856AM</v>
      </c>
      <c r="E63" s="4" t="s">
        <v>122</v>
      </c>
      <c r="F63" s="4" t="s">
        <v>1341</v>
      </c>
      <c r="G63" s="5">
        <v>4521718747019</v>
      </c>
      <c r="H63" s="5"/>
      <c r="I63" s="5"/>
      <c r="J63" s="5">
        <v>1</v>
      </c>
      <c r="K63" s="5">
        <v>1</v>
      </c>
      <c r="L63" s="4">
        <v>180</v>
      </c>
      <c r="M63" s="4">
        <v>148</v>
      </c>
      <c r="N63" s="4">
        <v>99</v>
      </c>
      <c r="O63" s="6">
        <f t="shared" si="17"/>
        <v>0.33108108108108103</v>
      </c>
      <c r="P63" s="4" t="s">
        <v>2500</v>
      </c>
      <c r="Q63" s="4"/>
      <c r="R63" s="4"/>
      <c r="S63" s="4"/>
      <c r="T63" s="4"/>
      <c r="U63" s="4"/>
      <c r="V63" s="4"/>
      <c r="W63" s="4"/>
      <c r="X63" s="4"/>
      <c r="Y63" s="4">
        <v>180</v>
      </c>
      <c r="Z63" s="4">
        <f t="shared" si="18"/>
        <v>180</v>
      </c>
      <c r="AA63" s="4">
        <v>99</v>
      </c>
      <c r="AB63" s="4">
        <f t="shared" si="19"/>
        <v>99</v>
      </c>
      <c r="AC63" s="4"/>
      <c r="AD63" s="21">
        <f>ROUND(M63*AR63,0)</f>
        <v>148</v>
      </c>
      <c r="AE63" s="6">
        <f>1-AB63/AD63</f>
        <v>0.33108108108108103</v>
      </c>
      <c r="AF63" s="33">
        <v>0</v>
      </c>
      <c r="AG63" s="4">
        <f t="shared" si="20"/>
        <v>180</v>
      </c>
      <c r="AH63" s="33">
        <f t="shared" si="1"/>
        <v>180</v>
      </c>
      <c r="AI63" s="6">
        <f>1-AB63/AH63</f>
        <v>0.44999999999999996</v>
      </c>
      <c r="AJ63" s="7">
        <f>ROUND(AB63/0.65,0)</f>
        <v>152</v>
      </c>
      <c r="AK63" s="6">
        <f>1-AB63/AJ63</f>
        <v>0.34868421052631582</v>
      </c>
      <c r="AL63" s="4">
        <f>AJ63-AB63</f>
        <v>53</v>
      </c>
      <c r="AM63" s="28"/>
      <c r="AN63" s="6"/>
      <c r="AO63" s="6"/>
      <c r="AP63" s="6">
        <f>Z63/L63</f>
        <v>1</v>
      </c>
      <c r="AQ63" s="6">
        <f>AJ63/M63</f>
        <v>1.027027027027027</v>
      </c>
      <c r="AR63" s="6">
        <f>AB63/N63</f>
        <v>1</v>
      </c>
      <c r="AS63" s="4"/>
      <c r="AT63" s="4"/>
      <c r="AU63" s="4"/>
      <c r="AV63" s="4"/>
      <c r="AW63" s="4"/>
      <c r="AX63" s="4"/>
      <c r="AY63" s="4"/>
      <c r="AZ63" s="4"/>
      <c r="BA63" s="4"/>
      <c r="BB63" s="4">
        <v>0</v>
      </c>
      <c r="BC63" s="4" t="s">
        <v>3610</v>
      </c>
      <c r="BD63" s="4">
        <v>1</v>
      </c>
      <c r="BE63" s="4">
        <v>6</v>
      </c>
      <c r="BF63" s="4" t="s">
        <v>3587</v>
      </c>
      <c r="BG63" s="4">
        <v>1080</v>
      </c>
      <c r="BH63" s="4">
        <v>1080</v>
      </c>
      <c r="BI63" s="4">
        <f t="shared" si="21"/>
        <v>180</v>
      </c>
      <c r="BJ63" s="19">
        <v>4</v>
      </c>
      <c r="BK63" s="19">
        <v>8</v>
      </c>
      <c r="BL63" s="16">
        <v>4</v>
      </c>
      <c r="BM63" s="45" t="s">
        <v>3534</v>
      </c>
      <c r="BN63" t="s">
        <v>3534</v>
      </c>
      <c r="BO63" t="str">
        <f t="shared" si="7"/>
        <v>-</v>
      </c>
      <c r="BP63" t="s">
        <v>3534</v>
      </c>
      <c r="BQ63" t="s">
        <v>3534</v>
      </c>
      <c r="BR63" t="str">
        <f t="shared" si="8"/>
        <v>-</v>
      </c>
      <c r="BS63" t="s">
        <v>2557</v>
      </c>
    </row>
    <row r="64" spans="1:71" x14ac:dyDescent="0.4">
      <c r="A64" s="3">
        <v>61</v>
      </c>
      <c r="B64" s="3">
        <v>61</v>
      </c>
      <c r="C64" s="4" t="s">
        <v>123</v>
      </c>
      <c r="D64" s="4" t="str">
        <f t="shared" si="16"/>
        <v>8831AM</v>
      </c>
      <c r="E64" s="4" t="s">
        <v>123</v>
      </c>
      <c r="F64" s="4" t="s">
        <v>1342</v>
      </c>
      <c r="G64" s="5">
        <v>4521718749105</v>
      </c>
      <c r="H64" s="5"/>
      <c r="I64" s="5"/>
      <c r="J64" s="5">
        <v>1</v>
      </c>
      <c r="K64" s="5">
        <v>1</v>
      </c>
      <c r="L64" s="4">
        <v>520</v>
      </c>
      <c r="M64" s="4">
        <v>330</v>
      </c>
      <c r="N64" s="4">
        <v>231</v>
      </c>
      <c r="O64" s="6">
        <f t="shared" si="17"/>
        <v>0.30000000000000004</v>
      </c>
      <c r="P64" s="4" t="s">
        <v>2500</v>
      </c>
      <c r="Q64" s="4"/>
      <c r="R64" s="4"/>
      <c r="S64" s="4"/>
      <c r="T64" s="4"/>
      <c r="U64" s="4"/>
      <c r="V64" s="4"/>
      <c r="W64" s="4"/>
      <c r="X64" s="4"/>
      <c r="Y64" s="4">
        <v>355</v>
      </c>
      <c r="Z64" s="4">
        <f t="shared" si="18"/>
        <v>355</v>
      </c>
      <c r="AA64" s="4">
        <v>231</v>
      </c>
      <c r="AB64" s="4">
        <f t="shared" si="19"/>
        <v>231</v>
      </c>
      <c r="AC64" s="4"/>
      <c r="AD64" s="21">
        <f>ROUND(M64*AR64,0)</f>
        <v>330</v>
      </c>
      <c r="AE64" s="6">
        <f>1-AB64/AD64</f>
        <v>0.30000000000000004</v>
      </c>
      <c r="AF64" s="33">
        <v>0</v>
      </c>
      <c r="AG64" s="4">
        <f t="shared" si="20"/>
        <v>520</v>
      </c>
      <c r="AH64" s="33">
        <f t="shared" si="1"/>
        <v>520</v>
      </c>
      <c r="AI64" s="6">
        <f>1-AB64/AH64</f>
        <v>0.55576923076923079</v>
      </c>
      <c r="AJ64" s="7">
        <v>355</v>
      </c>
      <c r="AK64" s="6">
        <f>1-AB64/AJ64</f>
        <v>0.3492957746478873</v>
      </c>
      <c r="AL64" s="4">
        <f>AJ64-AB64</f>
        <v>124</v>
      </c>
      <c r="AM64" s="28"/>
      <c r="AN64" s="6"/>
      <c r="AO64" s="6"/>
      <c r="AP64" s="6">
        <f>Z64/L64</f>
        <v>0.68269230769230771</v>
      </c>
      <c r="AQ64" s="6">
        <f>AJ64/M64</f>
        <v>1.0757575757575757</v>
      </c>
      <c r="AR64" s="6">
        <f>AB64/N64</f>
        <v>1</v>
      </c>
      <c r="AS64" s="4"/>
      <c r="AT64" s="4"/>
      <c r="AU64" s="4"/>
      <c r="AV64" s="4"/>
      <c r="AW64" s="4"/>
      <c r="AX64" s="4"/>
      <c r="AY64" s="4"/>
      <c r="AZ64" s="4"/>
      <c r="BA64" s="4"/>
      <c r="BB64" s="4">
        <v>0</v>
      </c>
      <c r="BC64" s="4" t="s">
        <v>3611</v>
      </c>
      <c r="BD64" s="4">
        <v>1</v>
      </c>
      <c r="BE64" s="4">
        <v>3</v>
      </c>
      <c r="BF64" s="4" t="s">
        <v>3608</v>
      </c>
      <c r="BG64" s="4">
        <v>1560</v>
      </c>
      <c r="BH64" s="4">
        <v>1560</v>
      </c>
      <c r="BI64" s="4">
        <f t="shared" si="21"/>
        <v>520</v>
      </c>
      <c r="BJ64" s="19">
        <v>4</v>
      </c>
      <c r="BK64" s="19">
        <v>8</v>
      </c>
      <c r="BL64" s="16">
        <v>5</v>
      </c>
      <c r="BM64" s="45" t="s">
        <v>3534</v>
      </c>
      <c r="BN64" t="s">
        <v>3534</v>
      </c>
      <c r="BO64" t="str">
        <f t="shared" si="7"/>
        <v>-</v>
      </c>
      <c r="BP64" t="s">
        <v>3534</v>
      </c>
      <c r="BQ64" t="s">
        <v>3534</v>
      </c>
      <c r="BR64" t="str">
        <f t="shared" si="8"/>
        <v>-</v>
      </c>
      <c r="BS64" t="s">
        <v>2558</v>
      </c>
    </row>
    <row r="65" spans="1:71" x14ac:dyDescent="0.4">
      <c r="A65" s="3">
        <v>62</v>
      </c>
      <c r="B65" s="3">
        <v>62</v>
      </c>
      <c r="C65" s="4" t="s">
        <v>124</v>
      </c>
      <c r="D65" s="4" t="str">
        <f t="shared" si="16"/>
        <v>8832AM</v>
      </c>
      <c r="E65" s="4" t="s">
        <v>124</v>
      </c>
      <c r="F65" s="4" t="s">
        <v>1343</v>
      </c>
      <c r="G65" s="5">
        <v>4521718749112</v>
      </c>
      <c r="H65" s="5"/>
      <c r="I65" s="5"/>
      <c r="J65" s="5">
        <v>1</v>
      </c>
      <c r="K65" s="5">
        <v>1</v>
      </c>
      <c r="L65" s="4">
        <v>520</v>
      </c>
      <c r="M65" s="4">
        <v>330</v>
      </c>
      <c r="N65" s="4">
        <v>231</v>
      </c>
      <c r="O65" s="6">
        <f t="shared" si="17"/>
        <v>0.30000000000000004</v>
      </c>
      <c r="P65" s="4" t="s">
        <v>2500</v>
      </c>
      <c r="Q65" s="4"/>
      <c r="R65" s="4"/>
      <c r="S65" s="4"/>
      <c r="T65" s="4"/>
      <c r="U65" s="4"/>
      <c r="V65" s="4"/>
      <c r="W65" s="4"/>
      <c r="X65" s="4"/>
      <c r="Y65" s="4">
        <v>355</v>
      </c>
      <c r="Z65" s="4">
        <f t="shared" si="18"/>
        <v>355</v>
      </c>
      <c r="AA65" s="4">
        <v>231</v>
      </c>
      <c r="AB65" s="4">
        <f t="shared" si="19"/>
        <v>231</v>
      </c>
      <c r="AC65" s="4"/>
      <c r="AD65" s="21">
        <f>ROUND(M65*AR65,0)</f>
        <v>330</v>
      </c>
      <c r="AE65" s="6">
        <f>1-AB65/AD65</f>
        <v>0.30000000000000004</v>
      </c>
      <c r="AF65" s="33">
        <v>0</v>
      </c>
      <c r="AG65" s="4">
        <f t="shared" si="20"/>
        <v>520</v>
      </c>
      <c r="AH65" s="33">
        <f t="shared" si="1"/>
        <v>520</v>
      </c>
      <c r="AI65" s="6">
        <f>1-AB65/AH65</f>
        <v>0.55576923076923079</v>
      </c>
      <c r="AJ65" s="7">
        <v>355</v>
      </c>
      <c r="AK65" s="6">
        <f>1-AB65/AJ65</f>
        <v>0.3492957746478873</v>
      </c>
      <c r="AL65" s="4">
        <f>AJ65-AB65</f>
        <v>124</v>
      </c>
      <c r="AM65" s="28"/>
      <c r="AN65" s="6"/>
      <c r="AO65" s="6"/>
      <c r="AP65" s="6">
        <f>Z65/L65</f>
        <v>0.68269230769230771</v>
      </c>
      <c r="AQ65" s="6">
        <f>AJ65/M65</f>
        <v>1.0757575757575757</v>
      </c>
      <c r="AR65" s="6">
        <f>AB65/N65</f>
        <v>1</v>
      </c>
      <c r="AS65" s="4"/>
      <c r="AT65" s="4"/>
      <c r="AU65" s="4"/>
      <c r="AV65" s="4"/>
      <c r="AW65" s="4"/>
      <c r="AX65" s="4"/>
      <c r="AY65" s="4"/>
      <c r="AZ65" s="4"/>
      <c r="BA65" s="4"/>
      <c r="BB65" s="4">
        <v>0</v>
      </c>
      <c r="BC65" s="4" t="s">
        <v>3612</v>
      </c>
      <c r="BD65" s="4">
        <v>1</v>
      </c>
      <c r="BE65" s="4">
        <v>3</v>
      </c>
      <c r="BF65" s="4" t="s">
        <v>3608</v>
      </c>
      <c r="BG65" s="4">
        <v>1560</v>
      </c>
      <c r="BH65" s="4">
        <v>1560</v>
      </c>
      <c r="BI65" s="4">
        <f t="shared" si="21"/>
        <v>520</v>
      </c>
      <c r="BJ65" s="19">
        <v>4</v>
      </c>
      <c r="BK65" s="19">
        <v>8</v>
      </c>
      <c r="BL65" s="16">
        <v>5</v>
      </c>
      <c r="BM65" s="45" t="s">
        <v>3534</v>
      </c>
      <c r="BN65" t="s">
        <v>3534</v>
      </c>
      <c r="BO65" t="str">
        <f t="shared" si="7"/>
        <v>-</v>
      </c>
      <c r="BP65" t="s">
        <v>3534</v>
      </c>
      <c r="BQ65" t="s">
        <v>3534</v>
      </c>
      <c r="BR65" t="str">
        <f t="shared" si="8"/>
        <v>-</v>
      </c>
      <c r="BS65" t="s">
        <v>2559</v>
      </c>
    </row>
    <row r="66" spans="1:71" x14ac:dyDescent="0.4">
      <c r="A66" s="3">
        <v>63</v>
      </c>
      <c r="B66" s="3">
        <v>63</v>
      </c>
      <c r="C66" s="4" t="s">
        <v>125</v>
      </c>
      <c r="D66" s="4" t="str">
        <f t="shared" si="16"/>
        <v>8857AM</v>
      </c>
      <c r="E66" s="4" t="s">
        <v>125</v>
      </c>
      <c r="F66" s="4" t="s">
        <v>1344</v>
      </c>
      <c r="G66" s="5">
        <v>4521718747026</v>
      </c>
      <c r="H66" s="5"/>
      <c r="I66" s="5"/>
      <c r="J66" s="5">
        <v>1</v>
      </c>
      <c r="K66" s="5">
        <v>1</v>
      </c>
      <c r="L66" s="4">
        <v>180</v>
      </c>
      <c r="M66" s="4">
        <v>148</v>
      </c>
      <c r="N66" s="4">
        <v>99</v>
      </c>
      <c r="O66" s="6">
        <f t="shared" si="17"/>
        <v>0.33108108108108103</v>
      </c>
      <c r="P66" s="4" t="s">
        <v>2500</v>
      </c>
      <c r="Q66" s="4"/>
      <c r="R66" s="4"/>
      <c r="S66" s="4"/>
      <c r="T66" s="4"/>
      <c r="U66" s="4"/>
      <c r="V66" s="4"/>
      <c r="W66" s="4"/>
      <c r="X66" s="4"/>
      <c r="Y66" s="4">
        <v>180</v>
      </c>
      <c r="Z66" s="4">
        <f t="shared" si="18"/>
        <v>180</v>
      </c>
      <c r="AA66" s="4">
        <v>99</v>
      </c>
      <c r="AB66" s="4">
        <f t="shared" si="19"/>
        <v>99</v>
      </c>
      <c r="AC66" s="4"/>
      <c r="AD66" s="21">
        <f>ROUND(M66*AR66,0)</f>
        <v>148</v>
      </c>
      <c r="AE66" s="6">
        <f>1-AB66/AD66</f>
        <v>0.33108108108108103</v>
      </c>
      <c r="AF66" s="33">
        <v>0</v>
      </c>
      <c r="AG66" s="4">
        <f t="shared" si="20"/>
        <v>180</v>
      </c>
      <c r="AH66" s="33">
        <f t="shared" si="1"/>
        <v>180</v>
      </c>
      <c r="AI66" s="6">
        <f>1-AB66/AH66</f>
        <v>0.44999999999999996</v>
      </c>
      <c r="AJ66" s="7">
        <f>ROUND(AB66/0.65,0)</f>
        <v>152</v>
      </c>
      <c r="AK66" s="6">
        <f>1-AB66/AJ66</f>
        <v>0.34868421052631582</v>
      </c>
      <c r="AL66" s="4">
        <f>AJ66-AB66</f>
        <v>53</v>
      </c>
      <c r="AM66" s="28"/>
      <c r="AN66" s="6"/>
      <c r="AO66" s="6"/>
      <c r="AP66" s="6">
        <f>Z66/L66</f>
        <v>1</v>
      </c>
      <c r="AQ66" s="6">
        <f>AJ66/M66</f>
        <v>1.027027027027027</v>
      </c>
      <c r="AR66" s="6">
        <f>AB66/N66</f>
        <v>1</v>
      </c>
      <c r="AS66" s="4"/>
      <c r="AT66" s="4"/>
      <c r="AU66" s="4"/>
      <c r="AV66" s="4"/>
      <c r="AW66" s="4"/>
      <c r="AX66" s="4"/>
      <c r="AY66" s="4"/>
      <c r="AZ66" s="4"/>
      <c r="BA66" s="4"/>
      <c r="BB66" s="4">
        <v>0</v>
      </c>
      <c r="BC66" s="4" t="s">
        <v>3613</v>
      </c>
      <c r="BD66" s="4">
        <v>1</v>
      </c>
      <c r="BE66" s="4">
        <v>6</v>
      </c>
      <c r="BF66" s="4" t="s">
        <v>3587</v>
      </c>
      <c r="BG66" s="4">
        <v>1080</v>
      </c>
      <c r="BH66" s="4">
        <v>1080</v>
      </c>
      <c r="BI66" s="4">
        <f t="shared" si="21"/>
        <v>180</v>
      </c>
      <c r="BJ66" s="19">
        <v>4</v>
      </c>
      <c r="BK66" s="19">
        <v>8</v>
      </c>
      <c r="BL66" s="16">
        <v>4</v>
      </c>
      <c r="BM66" s="45" t="s">
        <v>3534</v>
      </c>
      <c r="BN66" t="s">
        <v>3534</v>
      </c>
      <c r="BO66" t="str">
        <f t="shared" si="7"/>
        <v>-</v>
      </c>
      <c r="BP66" t="s">
        <v>3534</v>
      </c>
      <c r="BQ66" t="s">
        <v>3534</v>
      </c>
      <c r="BR66" t="str">
        <f t="shared" si="8"/>
        <v>-</v>
      </c>
      <c r="BS66" t="s">
        <v>2560</v>
      </c>
    </row>
    <row r="67" spans="1:71" x14ac:dyDescent="0.4">
      <c r="A67" s="3">
        <v>64</v>
      </c>
      <c r="B67" s="3">
        <v>64</v>
      </c>
      <c r="C67" s="4" t="s">
        <v>126</v>
      </c>
      <c r="D67" s="4" t="str">
        <f t="shared" si="16"/>
        <v>8858AM</v>
      </c>
      <c r="E67" s="4" t="s">
        <v>126</v>
      </c>
      <c r="F67" s="4" t="s">
        <v>1345</v>
      </c>
      <c r="G67" s="5">
        <v>4521718747484</v>
      </c>
      <c r="H67" s="5"/>
      <c r="I67" s="5"/>
      <c r="J67" s="5">
        <v>1</v>
      </c>
      <c r="K67" s="5">
        <v>1</v>
      </c>
      <c r="L67" s="4">
        <v>180</v>
      </c>
      <c r="M67" s="4">
        <v>148</v>
      </c>
      <c r="N67" s="4">
        <v>99</v>
      </c>
      <c r="O67" s="6">
        <f t="shared" si="17"/>
        <v>0.33108108108108103</v>
      </c>
      <c r="P67" s="4" t="s">
        <v>2500</v>
      </c>
      <c r="Q67" s="4"/>
      <c r="R67" s="4"/>
      <c r="S67" s="4"/>
      <c r="T67" s="4"/>
      <c r="U67" s="4"/>
      <c r="V67" s="4"/>
      <c r="W67" s="4"/>
      <c r="X67" s="4"/>
      <c r="Y67" s="4">
        <v>180</v>
      </c>
      <c r="Z67" s="4">
        <f t="shared" si="18"/>
        <v>180</v>
      </c>
      <c r="AA67" s="4">
        <v>99</v>
      </c>
      <c r="AB67" s="4">
        <f t="shared" si="19"/>
        <v>99</v>
      </c>
      <c r="AC67" s="4"/>
      <c r="AD67" s="21">
        <f>ROUND(M67*AR67,0)</f>
        <v>148</v>
      </c>
      <c r="AE67" s="6">
        <f>1-AB67/AD67</f>
        <v>0.33108108108108103</v>
      </c>
      <c r="AF67" s="33">
        <v>0</v>
      </c>
      <c r="AG67" s="4">
        <f t="shared" si="20"/>
        <v>180</v>
      </c>
      <c r="AH67" s="33">
        <f t="shared" si="1"/>
        <v>180</v>
      </c>
      <c r="AI67" s="6">
        <f>1-AB67/AH67</f>
        <v>0.44999999999999996</v>
      </c>
      <c r="AJ67" s="7">
        <f>ROUND(AB67/0.65,0)</f>
        <v>152</v>
      </c>
      <c r="AK67" s="6">
        <f>1-AB67/AJ67</f>
        <v>0.34868421052631582</v>
      </c>
      <c r="AL67" s="4">
        <f>AJ67-AB67</f>
        <v>53</v>
      </c>
      <c r="AM67" s="28"/>
      <c r="AN67" s="6"/>
      <c r="AO67" s="6"/>
      <c r="AP67" s="6">
        <f>Z67/L67</f>
        <v>1</v>
      </c>
      <c r="AQ67" s="6">
        <f>AJ67/M67</f>
        <v>1.027027027027027</v>
      </c>
      <c r="AR67" s="6">
        <f>AB67/N67</f>
        <v>1</v>
      </c>
      <c r="AS67" s="4"/>
      <c r="AT67" s="4"/>
      <c r="AU67" s="4"/>
      <c r="AV67" s="4"/>
      <c r="AW67" s="4"/>
      <c r="AX67" s="4"/>
      <c r="AY67" s="4"/>
      <c r="AZ67" s="4"/>
      <c r="BA67" s="4"/>
      <c r="BB67" s="4">
        <v>0</v>
      </c>
      <c r="BC67" s="4" t="s">
        <v>3614</v>
      </c>
      <c r="BD67" s="4">
        <v>1</v>
      </c>
      <c r="BE67" s="4">
        <v>6</v>
      </c>
      <c r="BF67" s="4" t="s">
        <v>3587</v>
      </c>
      <c r="BG67" s="4">
        <v>1080</v>
      </c>
      <c r="BH67" s="4">
        <v>1080</v>
      </c>
      <c r="BI67" s="4">
        <f t="shared" si="21"/>
        <v>180</v>
      </c>
      <c r="BJ67" s="19">
        <v>4</v>
      </c>
      <c r="BK67" s="19">
        <v>8</v>
      </c>
      <c r="BL67" s="16">
        <v>4</v>
      </c>
      <c r="BM67" s="45" t="s">
        <v>3534</v>
      </c>
      <c r="BN67" t="s">
        <v>3534</v>
      </c>
      <c r="BO67" t="str">
        <f t="shared" si="7"/>
        <v>-</v>
      </c>
      <c r="BP67" t="s">
        <v>3534</v>
      </c>
      <c r="BQ67" t="s">
        <v>3534</v>
      </c>
      <c r="BR67" t="str">
        <f t="shared" si="8"/>
        <v>-</v>
      </c>
      <c r="BS67" t="s">
        <v>2561</v>
      </c>
    </row>
    <row r="68" spans="1:71" x14ac:dyDescent="0.4">
      <c r="A68" s="3">
        <v>65</v>
      </c>
      <c r="B68" s="3">
        <v>65</v>
      </c>
      <c r="C68" s="4" t="s">
        <v>127</v>
      </c>
      <c r="D68" s="4" t="str">
        <f t="shared" si="16"/>
        <v>8859AM</v>
      </c>
      <c r="E68" s="4" t="s">
        <v>127</v>
      </c>
      <c r="F68" s="4" t="s">
        <v>1346</v>
      </c>
      <c r="G68" s="5">
        <v>4521718747781</v>
      </c>
      <c r="H68" s="5"/>
      <c r="I68" s="5"/>
      <c r="J68" s="5">
        <v>1</v>
      </c>
      <c r="K68" s="5">
        <v>1</v>
      </c>
      <c r="L68" s="4">
        <v>250</v>
      </c>
      <c r="M68" s="4">
        <v>200</v>
      </c>
      <c r="N68" s="4">
        <v>138</v>
      </c>
      <c r="O68" s="6">
        <f t="shared" si="17"/>
        <v>0.31000000000000005</v>
      </c>
      <c r="P68" s="4" t="s">
        <v>2500</v>
      </c>
      <c r="Q68" s="4"/>
      <c r="R68" s="4"/>
      <c r="S68" s="4"/>
      <c r="T68" s="4"/>
      <c r="U68" s="4"/>
      <c r="V68" s="4"/>
      <c r="W68" s="4"/>
      <c r="X68" s="4"/>
      <c r="Y68" s="4">
        <v>250</v>
      </c>
      <c r="Z68" s="4">
        <f t="shared" si="18"/>
        <v>250</v>
      </c>
      <c r="AA68" s="4">
        <v>138</v>
      </c>
      <c r="AB68" s="4">
        <f t="shared" si="19"/>
        <v>138</v>
      </c>
      <c r="AC68" s="4"/>
      <c r="AD68" s="21">
        <f>ROUND(M68*AR68,0)</f>
        <v>200</v>
      </c>
      <c r="AE68" s="6">
        <f>1-AB68/AD68</f>
        <v>0.31000000000000005</v>
      </c>
      <c r="AF68" s="33">
        <v>0</v>
      </c>
      <c r="AG68" s="4">
        <f t="shared" si="20"/>
        <v>250</v>
      </c>
      <c r="AH68" s="33">
        <f t="shared" ref="AH68:AH131" si="22">AG68*AR68</f>
        <v>250</v>
      </c>
      <c r="AI68" s="6">
        <f>1-AB68/AH68</f>
        <v>0.44799999999999995</v>
      </c>
      <c r="AJ68" s="7">
        <f>ROUND(AB68/0.65,0)</f>
        <v>212</v>
      </c>
      <c r="AK68" s="6">
        <f>1-AB68/AJ68</f>
        <v>0.34905660377358494</v>
      </c>
      <c r="AL68" s="4">
        <f>AJ68-AB68</f>
        <v>74</v>
      </c>
      <c r="AM68" s="28"/>
      <c r="AN68" s="6"/>
      <c r="AO68" s="6"/>
      <c r="AP68" s="6">
        <f>Z68/L68</f>
        <v>1</v>
      </c>
      <c r="AQ68" s="6">
        <f>AJ68/M68</f>
        <v>1.06</v>
      </c>
      <c r="AR68" s="6">
        <f>AB68/N68</f>
        <v>1</v>
      </c>
      <c r="AS68" s="4"/>
      <c r="AT68" s="4"/>
      <c r="AU68" s="4"/>
      <c r="AV68" s="4"/>
      <c r="AW68" s="4"/>
      <c r="AX68" s="4"/>
      <c r="AY68" s="4"/>
      <c r="AZ68" s="4"/>
      <c r="BA68" s="4"/>
      <c r="BB68" s="4">
        <v>0</v>
      </c>
      <c r="BC68" s="4" t="s">
        <v>3615</v>
      </c>
      <c r="BD68" s="4">
        <v>1</v>
      </c>
      <c r="BE68" s="4">
        <v>4</v>
      </c>
      <c r="BF68" s="4" t="s">
        <v>3593</v>
      </c>
      <c r="BG68" s="4">
        <v>1000</v>
      </c>
      <c r="BH68" s="4">
        <v>1000</v>
      </c>
      <c r="BI68" s="4">
        <f t="shared" si="21"/>
        <v>250</v>
      </c>
      <c r="BJ68" s="19">
        <v>4</v>
      </c>
      <c r="BK68" s="19">
        <v>8</v>
      </c>
      <c r="BL68" s="16">
        <v>4</v>
      </c>
      <c r="BM68" s="45" t="s">
        <v>3534</v>
      </c>
      <c r="BN68" t="s">
        <v>3534</v>
      </c>
      <c r="BO68" t="str">
        <f t="shared" si="7"/>
        <v>-</v>
      </c>
      <c r="BP68" t="s">
        <v>3534</v>
      </c>
      <c r="BQ68" t="s">
        <v>3534</v>
      </c>
      <c r="BR68" t="str">
        <f t="shared" si="8"/>
        <v>-</v>
      </c>
      <c r="BS68" t="s">
        <v>2562</v>
      </c>
    </row>
    <row r="69" spans="1:71" x14ac:dyDescent="0.4">
      <c r="A69" s="3">
        <v>66</v>
      </c>
      <c r="B69" s="3">
        <v>66</v>
      </c>
      <c r="C69" s="4" t="s">
        <v>128</v>
      </c>
      <c r="D69" s="4" t="str">
        <f t="shared" si="16"/>
        <v>8860AM</v>
      </c>
      <c r="E69" s="4" t="s">
        <v>128</v>
      </c>
      <c r="F69" s="4" t="s">
        <v>1347</v>
      </c>
      <c r="G69" s="5">
        <v>4521718122809</v>
      </c>
      <c r="H69" s="5"/>
      <c r="I69" s="5"/>
      <c r="J69" s="5">
        <v>1</v>
      </c>
      <c r="K69" s="5">
        <v>1</v>
      </c>
      <c r="L69" s="4">
        <v>270</v>
      </c>
      <c r="M69" s="4">
        <v>170</v>
      </c>
      <c r="N69" s="4">
        <v>118</v>
      </c>
      <c r="O69" s="6">
        <f t="shared" si="17"/>
        <v>0.30588235294117649</v>
      </c>
      <c r="P69" s="4" t="s">
        <v>2500</v>
      </c>
      <c r="Q69" s="4"/>
      <c r="R69" s="4"/>
      <c r="S69" s="4"/>
      <c r="T69" s="4"/>
      <c r="U69" s="4"/>
      <c r="V69" s="4"/>
      <c r="W69" s="4"/>
      <c r="X69" s="4"/>
      <c r="Y69" s="4">
        <v>182</v>
      </c>
      <c r="Z69" s="4">
        <f t="shared" si="18"/>
        <v>182</v>
      </c>
      <c r="AA69" s="4">
        <v>118</v>
      </c>
      <c r="AB69" s="4">
        <f t="shared" si="19"/>
        <v>118</v>
      </c>
      <c r="AC69" s="4"/>
      <c r="AD69" s="21">
        <f>ROUND(M69*AR69,0)</f>
        <v>170</v>
      </c>
      <c r="AE69" s="6">
        <f>1-AB69/AD69</f>
        <v>0.30588235294117649</v>
      </c>
      <c r="AF69" s="33">
        <v>0</v>
      </c>
      <c r="AG69" s="4">
        <f t="shared" si="20"/>
        <v>270</v>
      </c>
      <c r="AH69" s="33">
        <f t="shared" si="22"/>
        <v>270</v>
      </c>
      <c r="AI69" s="6">
        <f>1-AB69/AH69</f>
        <v>0.56296296296296289</v>
      </c>
      <c r="AJ69" s="7">
        <f>ROUND(AB69/0.65,0)</f>
        <v>182</v>
      </c>
      <c r="AK69" s="6">
        <f>1-AB69/AJ69</f>
        <v>0.35164835164835162</v>
      </c>
      <c r="AL69" s="4">
        <f>AJ69-AB69</f>
        <v>64</v>
      </c>
      <c r="AM69" s="28"/>
      <c r="AN69" s="6"/>
      <c r="AO69" s="6"/>
      <c r="AP69" s="6">
        <f>Z69/L69</f>
        <v>0.67407407407407405</v>
      </c>
      <c r="AQ69" s="6">
        <f>AJ69/M69</f>
        <v>1.0705882352941176</v>
      </c>
      <c r="AR69" s="6">
        <f>AB69/N69</f>
        <v>1</v>
      </c>
      <c r="AS69" s="4"/>
      <c r="AT69" s="4"/>
      <c r="AU69" s="4"/>
      <c r="AV69" s="4"/>
      <c r="AW69" s="4"/>
      <c r="AX69" s="4"/>
      <c r="AY69" s="4"/>
      <c r="AZ69" s="4"/>
      <c r="BA69" s="4"/>
      <c r="BB69" s="4">
        <v>0</v>
      </c>
      <c r="BC69" s="4" t="s">
        <v>3616</v>
      </c>
      <c r="BD69" s="4">
        <v>1</v>
      </c>
      <c r="BE69" s="4">
        <v>6</v>
      </c>
      <c r="BF69" s="4" t="s">
        <v>3617</v>
      </c>
      <c r="BG69" s="4">
        <v>1620</v>
      </c>
      <c r="BH69" s="4">
        <v>1620</v>
      </c>
      <c r="BI69" s="4">
        <f t="shared" si="21"/>
        <v>270</v>
      </c>
      <c r="BJ69" s="19">
        <v>4</v>
      </c>
      <c r="BK69" s="19">
        <v>8</v>
      </c>
      <c r="BL69" s="16">
        <v>6</v>
      </c>
      <c r="BM69" s="45" t="s">
        <v>3534</v>
      </c>
      <c r="BN69" t="s">
        <v>3534</v>
      </c>
      <c r="BO69" t="str">
        <f t="shared" ref="BO69:BO132" si="23">IFERROR(BN69*AR69,"-")</f>
        <v>-</v>
      </c>
      <c r="BP69" t="s">
        <v>3534</v>
      </c>
      <c r="BQ69" t="s">
        <v>3534</v>
      </c>
      <c r="BR69" t="str">
        <f t="shared" ref="BR69:BR132" si="24">IFERROR(BQ69*AR69,"-")</f>
        <v>-</v>
      </c>
      <c r="BS69" t="s">
        <v>2563</v>
      </c>
    </row>
    <row r="70" spans="1:71" x14ac:dyDescent="0.4">
      <c r="A70" s="3">
        <v>67</v>
      </c>
      <c r="B70" s="3">
        <v>67</v>
      </c>
      <c r="C70" s="4" t="s">
        <v>129</v>
      </c>
      <c r="D70" s="4" t="str">
        <f t="shared" si="16"/>
        <v>8861AM</v>
      </c>
      <c r="E70" s="4" t="s">
        <v>129</v>
      </c>
      <c r="F70" s="4" t="s">
        <v>1348</v>
      </c>
      <c r="G70" s="5">
        <v>4521718123455</v>
      </c>
      <c r="H70" s="5"/>
      <c r="I70" s="5"/>
      <c r="J70" s="5">
        <v>1</v>
      </c>
      <c r="K70" s="5">
        <v>1</v>
      </c>
      <c r="L70" s="4">
        <v>200</v>
      </c>
      <c r="M70" s="4">
        <v>130</v>
      </c>
      <c r="N70" s="4">
        <v>89</v>
      </c>
      <c r="O70" s="6">
        <f t="shared" si="17"/>
        <v>0.31538461538461537</v>
      </c>
      <c r="P70" s="4" t="s">
        <v>2500</v>
      </c>
      <c r="Q70" s="4"/>
      <c r="R70" s="4"/>
      <c r="S70" s="4"/>
      <c r="T70" s="4"/>
      <c r="U70" s="4"/>
      <c r="V70" s="4"/>
      <c r="W70" s="4"/>
      <c r="X70" s="4"/>
      <c r="Y70" s="4">
        <v>137</v>
      </c>
      <c r="Z70" s="4">
        <f t="shared" si="18"/>
        <v>137</v>
      </c>
      <c r="AA70" s="4">
        <v>89</v>
      </c>
      <c r="AB70" s="4">
        <f t="shared" si="19"/>
        <v>89</v>
      </c>
      <c r="AC70" s="4"/>
      <c r="AD70" s="21">
        <f>ROUND(M70*AR70,0)</f>
        <v>130</v>
      </c>
      <c r="AE70" s="6">
        <f>1-AB70/AD70</f>
        <v>0.31538461538461537</v>
      </c>
      <c r="AF70" s="33">
        <v>0</v>
      </c>
      <c r="AG70" s="4">
        <f t="shared" si="20"/>
        <v>200</v>
      </c>
      <c r="AH70" s="33">
        <f t="shared" si="22"/>
        <v>200</v>
      </c>
      <c r="AI70" s="6">
        <f>1-AB70/AH70</f>
        <v>0.55499999999999994</v>
      </c>
      <c r="AJ70" s="7">
        <f>ROUND(AB70/0.65,0)</f>
        <v>137</v>
      </c>
      <c r="AK70" s="6">
        <f>1-AB70/AJ70</f>
        <v>0.35036496350364965</v>
      </c>
      <c r="AL70" s="4">
        <f>AJ70-AB70</f>
        <v>48</v>
      </c>
      <c r="AM70" s="28"/>
      <c r="AN70" s="6"/>
      <c r="AO70" s="6"/>
      <c r="AP70" s="6">
        <f>Z70/L70</f>
        <v>0.68500000000000005</v>
      </c>
      <c r="AQ70" s="6">
        <f>AJ70/M70</f>
        <v>1.0538461538461539</v>
      </c>
      <c r="AR70" s="6">
        <f>AB70/N70</f>
        <v>1</v>
      </c>
      <c r="AS70" s="4"/>
      <c r="AT70" s="4"/>
      <c r="AU70" s="4"/>
      <c r="AV70" s="4"/>
      <c r="AW70" s="4"/>
      <c r="AX70" s="4"/>
      <c r="AY70" s="4"/>
      <c r="AZ70" s="4"/>
      <c r="BA70" s="4"/>
      <c r="BB70" s="4">
        <v>0</v>
      </c>
      <c r="BC70" s="4" t="s">
        <v>3618</v>
      </c>
      <c r="BD70" s="4">
        <v>1</v>
      </c>
      <c r="BE70" s="4">
        <v>8</v>
      </c>
      <c r="BF70" s="4" t="s">
        <v>3619</v>
      </c>
      <c r="BG70" s="4">
        <v>1600</v>
      </c>
      <c r="BH70" s="4">
        <v>1600</v>
      </c>
      <c r="BI70" s="4">
        <f t="shared" si="21"/>
        <v>200</v>
      </c>
      <c r="BJ70" s="19">
        <v>4</v>
      </c>
      <c r="BK70" s="19">
        <v>8</v>
      </c>
      <c r="BL70" s="16">
        <v>6</v>
      </c>
      <c r="BM70" s="45" t="s">
        <v>3534</v>
      </c>
      <c r="BN70" t="s">
        <v>3534</v>
      </c>
      <c r="BO70" t="str">
        <f t="shared" si="23"/>
        <v>-</v>
      </c>
      <c r="BP70" t="s">
        <v>3534</v>
      </c>
      <c r="BQ70" t="s">
        <v>3534</v>
      </c>
      <c r="BR70" t="str">
        <f t="shared" si="24"/>
        <v>-</v>
      </c>
      <c r="BS70" t="s">
        <v>2564</v>
      </c>
    </row>
    <row r="71" spans="1:71" x14ac:dyDescent="0.4">
      <c r="A71" s="3">
        <v>68</v>
      </c>
      <c r="B71" s="3">
        <v>68</v>
      </c>
      <c r="C71" s="4" t="s">
        <v>130</v>
      </c>
      <c r="D71" s="4" t="str">
        <f t="shared" si="16"/>
        <v>8862AM</v>
      </c>
      <c r="E71" s="4" t="s">
        <v>130</v>
      </c>
      <c r="F71" s="4" t="s">
        <v>1349</v>
      </c>
      <c r="G71" s="5">
        <v>4521718123677</v>
      </c>
      <c r="H71" s="5"/>
      <c r="I71" s="5"/>
      <c r="J71" s="5">
        <v>1</v>
      </c>
      <c r="K71" s="5">
        <v>1</v>
      </c>
      <c r="L71" s="4">
        <v>1700</v>
      </c>
      <c r="M71" s="4">
        <v>1100</v>
      </c>
      <c r="N71" s="4">
        <v>764</v>
      </c>
      <c r="O71" s="6">
        <f t="shared" si="17"/>
        <v>0.30545454545454542</v>
      </c>
      <c r="P71" s="4" t="s">
        <v>2500</v>
      </c>
      <c r="Q71" s="4"/>
      <c r="R71" s="4"/>
      <c r="S71" s="4"/>
      <c r="T71" s="4"/>
      <c r="U71" s="4"/>
      <c r="V71" s="4"/>
      <c r="W71" s="4"/>
      <c r="X71" s="4"/>
      <c r="Y71" s="4">
        <v>1137</v>
      </c>
      <c r="Z71" s="4">
        <f t="shared" si="18"/>
        <v>1137</v>
      </c>
      <c r="AA71" s="4">
        <v>796</v>
      </c>
      <c r="AB71" s="4">
        <f t="shared" si="19"/>
        <v>796</v>
      </c>
      <c r="AC71" s="4"/>
      <c r="AD71" s="21">
        <f>ROUND(M71*AR71,0)</f>
        <v>1146</v>
      </c>
      <c r="AE71" s="6">
        <f>1-AB71/AD71</f>
        <v>0.30541012216404884</v>
      </c>
      <c r="AF71" s="33">
        <v>0</v>
      </c>
      <c r="AG71" s="4">
        <f t="shared" si="20"/>
        <v>1700</v>
      </c>
      <c r="AH71" s="33">
        <f t="shared" si="22"/>
        <v>1771.2041884816754</v>
      </c>
      <c r="AI71" s="6">
        <f>1-AB71/AH71</f>
        <v>0.5505882352941176</v>
      </c>
      <c r="AJ71" s="7">
        <v>1137</v>
      </c>
      <c r="AK71" s="6">
        <f>1-AB71/AJ71</f>
        <v>0.29991204925241866</v>
      </c>
      <c r="AL71" s="4">
        <f>AJ71-AB71</f>
        <v>341</v>
      </c>
      <c r="AM71" s="28"/>
      <c r="AN71" s="6"/>
      <c r="AO71" s="6"/>
      <c r="AP71" s="6">
        <f>Z71/L71</f>
        <v>0.66882352941176471</v>
      </c>
      <c r="AQ71" s="6">
        <f>AJ71/M71</f>
        <v>1.0336363636363637</v>
      </c>
      <c r="AR71" s="6">
        <f>AB71/N71</f>
        <v>1.0418848167539267</v>
      </c>
      <c r="AS71" s="4"/>
      <c r="AT71" s="4"/>
      <c r="AU71" s="4"/>
      <c r="AV71" s="4"/>
      <c r="AW71" s="4"/>
      <c r="AX71" s="4"/>
      <c r="AY71" s="4"/>
      <c r="AZ71" s="4"/>
      <c r="BA71" s="4"/>
      <c r="BB71" s="4">
        <v>0</v>
      </c>
      <c r="BC71" s="4" t="s">
        <v>3620</v>
      </c>
      <c r="BD71" s="4"/>
      <c r="BE71" s="4"/>
      <c r="BF71" s="4" t="s">
        <v>3545</v>
      </c>
      <c r="BG71" s="4">
        <v>1700</v>
      </c>
      <c r="BH71" s="4">
        <v>1700</v>
      </c>
      <c r="BI71" s="4">
        <f t="shared" si="21"/>
        <v>1700</v>
      </c>
      <c r="BJ71" s="19">
        <v>4</v>
      </c>
      <c r="BK71" s="19">
        <v>8</v>
      </c>
      <c r="BL71" s="16">
        <v>6</v>
      </c>
      <c r="BM71" s="45" t="s">
        <v>3534</v>
      </c>
      <c r="BN71" t="s">
        <v>3534</v>
      </c>
      <c r="BO71" t="str">
        <f t="shared" si="23"/>
        <v>-</v>
      </c>
      <c r="BP71" t="s">
        <v>3534</v>
      </c>
      <c r="BQ71" t="s">
        <v>3534</v>
      </c>
      <c r="BR71" t="str">
        <f t="shared" si="24"/>
        <v>-</v>
      </c>
      <c r="BS71" t="s">
        <v>2565</v>
      </c>
    </row>
    <row r="72" spans="1:71" x14ac:dyDescent="0.4">
      <c r="A72" s="3">
        <v>69</v>
      </c>
      <c r="B72" s="3">
        <v>69</v>
      </c>
      <c r="C72" s="4" t="s">
        <v>131</v>
      </c>
      <c r="D72" s="4" t="str">
        <f t="shared" si="16"/>
        <v>8840AM</v>
      </c>
      <c r="E72" s="4" t="s">
        <v>131</v>
      </c>
      <c r="F72" s="4" t="s">
        <v>1350</v>
      </c>
      <c r="G72" s="5">
        <v>4521718746838</v>
      </c>
      <c r="H72" s="5"/>
      <c r="I72" s="5"/>
      <c r="J72" s="5">
        <v>1</v>
      </c>
      <c r="K72" s="5">
        <v>1</v>
      </c>
      <c r="L72" s="4">
        <v>180</v>
      </c>
      <c r="M72" s="4">
        <v>148</v>
      </c>
      <c r="N72" s="4">
        <v>99</v>
      </c>
      <c r="O72" s="6">
        <f t="shared" si="17"/>
        <v>0.33108108108108103</v>
      </c>
      <c r="P72" s="4" t="s">
        <v>2500</v>
      </c>
      <c r="Q72" s="4"/>
      <c r="R72" s="4"/>
      <c r="S72" s="4"/>
      <c r="T72" s="4"/>
      <c r="U72" s="4"/>
      <c r="V72" s="4"/>
      <c r="W72" s="4"/>
      <c r="X72" s="4"/>
      <c r="Y72" s="4">
        <v>180</v>
      </c>
      <c r="Z72" s="4">
        <f t="shared" si="18"/>
        <v>180</v>
      </c>
      <c r="AA72" s="4">
        <v>99</v>
      </c>
      <c r="AB72" s="4">
        <f t="shared" si="19"/>
        <v>99</v>
      </c>
      <c r="AC72" s="4"/>
      <c r="AD72" s="21">
        <f>ROUND(M72*AR72,0)</f>
        <v>148</v>
      </c>
      <c r="AE72" s="6">
        <f>1-AB72/AD72</f>
        <v>0.33108108108108103</v>
      </c>
      <c r="AF72" s="33">
        <v>0</v>
      </c>
      <c r="AG72" s="4">
        <f t="shared" si="20"/>
        <v>180</v>
      </c>
      <c r="AH72" s="33">
        <f t="shared" si="22"/>
        <v>180</v>
      </c>
      <c r="AI72" s="6">
        <f>1-AB72/AH72</f>
        <v>0.44999999999999996</v>
      </c>
      <c r="AJ72" s="7">
        <f>ROUND(AB72/0.65,0)</f>
        <v>152</v>
      </c>
      <c r="AK72" s="6">
        <f>1-AB72/AJ72</f>
        <v>0.34868421052631582</v>
      </c>
      <c r="AL72" s="4">
        <f>AJ72-AB72</f>
        <v>53</v>
      </c>
      <c r="AM72" s="28"/>
      <c r="AN72" s="6"/>
      <c r="AO72" s="6"/>
      <c r="AP72" s="6">
        <f>Z72/L72</f>
        <v>1</v>
      </c>
      <c r="AQ72" s="6">
        <f>AJ72/M72</f>
        <v>1.027027027027027</v>
      </c>
      <c r="AR72" s="6">
        <f>AB72/N72</f>
        <v>1</v>
      </c>
      <c r="AS72" s="4"/>
      <c r="AT72" s="4"/>
      <c r="AU72" s="4"/>
      <c r="AV72" s="4"/>
      <c r="AW72" s="4"/>
      <c r="AX72" s="4"/>
      <c r="AY72" s="4"/>
      <c r="AZ72" s="4"/>
      <c r="BA72" s="4"/>
      <c r="BB72" s="4">
        <v>0</v>
      </c>
      <c r="BC72" s="4" t="s">
        <v>3621</v>
      </c>
      <c r="BD72" s="4">
        <v>1</v>
      </c>
      <c r="BE72" s="4">
        <v>6</v>
      </c>
      <c r="BF72" s="4" t="s">
        <v>3587</v>
      </c>
      <c r="BG72" s="4">
        <v>1080</v>
      </c>
      <c r="BH72" s="4">
        <v>1080</v>
      </c>
      <c r="BI72" s="4">
        <f t="shared" si="21"/>
        <v>180</v>
      </c>
      <c r="BJ72" s="19">
        <v>4</v>
      </c>
      <c r="BK72" s="19">
        <v>8</v>
      </c>
      <c r="BL72" s="16">
        <v>4</v>
      </c>
      <c r="BM72" s="45" t="s">
        <v>3534</v>
      </c>
      <c r="BN72" t="s">
        <v>3534</v>
      </c>
      <c r="BO72" t="str">
        <f t="shared" si="23"/>
        <v>-</v>
      </c>
      <c r="BP72" t="s">
        <v>3534</v>
      </c>
      <c r="BQ72" t="s">
        <v>3534</v>
      </c>
      <c r="BR72" t="str">
        <f t="shared" si="24"/>
        <v>-</v>
      </c>
      <c r="BS72" t="s">
        <v>2566</v>
      </c>
    </row>
    <row r="73" spans="1:71" x14ac:dyDescent="0.4">
      <c r="A73" s="3">
        <v>70</v>
      </c>
      <c r="B73" s="3">
        <v>70</v>
      </c>
      <c r="C73" s="4" t="s">
        <v>132</v>
      </c>
      <c r="D73" s="4" t="str">
        <f t="shared" si="16"/>
        <v>8863AM</v>
      </c>
      <c r="E73" s="4" t="s">
        <v>132</v>
      </c>
      <c r="F73" s="4" t="s">
        <v>1351</v>
      </c>
      <c r="G73" s="5">
        <v>4521718127330</v>
      </c>
      <c r="H73" s="5"/>
      <c r="I73" s="5"/>
      <c r="J73" s="5">
        <v>1</v>
      </c>
      <c r="K73" s="5">
        <v>1</v>
      </c>
      <c r="L73" s="4">
        <v>640</v>
      </c>
      <c r="M73" s="4">
        <v>420</v>
      </c>
      <c r="N73" s="4">
        <v>284</v>
      </c>
      <c r="O73" s="6">
        <f t="shared" si="17"/>
        <v>0.32380952380952377</v>
      </c>
      <c r="P73" s="4" t="s">
        <v>2500</v>
      </c>
      <c r="Q73" s="4"/>
      <c r="R73" s="4"/>
      <c r="S73" s="4"/>
      <c r="T73" s="4"/>
      <c r="U73" s="4"/>
      <c r="V73" s="4"/>
      <c r="W73" s="4"/>
      <c r="X73" s="4"/>
      <c r="Y73" s="4">
        <v>455</v>
      </c>
      <c r="Z73" s="4">
        <f t="shared" si="18"/>
        <v>455</v>
      </c>
      <c r="AA73" s="4">
        <v>296</v>
      </c>
      <c r="AB73" s="4">
        <f t="shared" si="19"/>
        <v>296</v>
      </c>
      <c r="AC73" s="4"/>
      <c r="AD73" s="21">
        <f>ROUND(M73*AR73,0)</f>
        <v>438</v>
      </c>
      <c r="AE73" s="6">
        <f>1-AB73/AD73</f>
        <v>0.32420091324200917</v>
      </c>
      <c r="AF73" s="33">
        <v>0</v>
      </c>
      <c r="AG73" s="4">
        <f t="shared" si="20"/>
        <v>640</v>
      </c>
      <c r="AH73" s="33">
        <f t="shared" si="22"/>
        <v>667.04225352112667</v>
      </c>
      <c r="AI73" s="6">
        <f>1-AB73/AH73</f>
        <v>0.55624999999999991</v>
      </c>
      <c r="AJ73" s="7">
        <v>455</v>
      </c>
      <c r="AK73" s="6">
        <f>1-AB73/AJ73</f>
        <v>0.34945054945054943</v>
      </c>
      <c r="AL73" s="4">
        <f>AJ73-AB73</f>
        <v>159</v>
      </c>
      <c r="AM73" s="28"/>
      <c r="AN73" s="6"/>
      <c r="AO73" s="6"/>
      <c r="AP73" s="6">
        <f>Z73/L73</f>
        <v>0.7109375</v>
      </c>
      <c r="AQ73" s="6">
        <f>AJ73/M73</f>
        <v>1.0833333333333333</v>
      </c>
      <c r="AR73" s="6">
        <f>AB73/N73</f>
        <v>1.0422535211267605</v>
      </c>
      <c r="AS73" s="4"/>
      <c r="AT73" s="4"/>
      <c r="AU73" s="4"/>
      <c r="AV73" s="4"/>
      <c r="AW73" s="4"/>
      <c r="AX73" s="4"/>
      <c r="AY73" s="4"/>
      <c r="AZ73" s="4"/>
      <c r="BA73" s="4"/>
      <c r="BB73" s="4">
        <v>0</v>
      </c>
      <c r="BC73" s="4" t="s">
        <v>3622</v>
      </c>
      <c r="BD73" s="4">
        <v>1</v>
      </c>
      <c r="BE73" s="4">
        <v>3</v>
      </c>
      <c r="BF73" s="4" t="s">
        <v>3623</v>
      </c>
      <c r="BG73" s="4">
        <v>1920</v>
      </c>
      <c r="BH73" s="4">
        <v>1920</v>
      </c>
      <c r="BI73" s="4">
        <f t="shared" si="21"/>
        <v>640</v>
      </c>
      <c r="BJ73" s="19">
        <v>4</v>
      </c>
      <c r="BK73" s="19">
        <v>8</v>
      </c>
      <c r="BL73" s="16">
        <v>6</v>
      </c>
      <c r="BM73" s="45" t="s">
        <v>3534</v>
      </c>
      <c r="BN73" t="s">
        <v>3534</v>
      </c>
      <c r="BO73" t="str">
        <f t="shared" si="23"/>
        <v>-</v>
      </c>
      <c r="BP73" t="s">
        <v>3534</v>
      </c>
      <c r="BQ73" t="s">
        <v>3534</v>
      </c>
      <c r="BR73" t="str">
        <f t="shared" si="24"/>
        <v>-</v>
      </c>
      <c r="BS73" t="s">
        <v>2567</v>
      </c>
    </row>
    <row r="74" spans="1:71" x14ac:dyDescent="0.4">
      <c r="A74" s="3">
        <v>71</v>
      </c>
      <c r="B74" s="3">
        <v>71</v>
      </c>
      <c r="C74" s="4" t="s">
        <v>133</v>
      </c>
      <c r="D74" s="4" t="str">
        <f t="shared" si="16"/>
        <v>8864AM</v>
      </c>
      <c r="E74" s="4" t="s">
        <v>133</v>
      </c>
      <c r="F74" s="4" t="s">
        <v>1352</v>
      </c>
      <c r="G74" s="5">
        <v>4521718128672</v>
      </c>
      <c r="H74" s="5"/>
      <c r="I74" s="5"/>
      <c r="J74" s="5">
        <v>1</v>
      </c>
      <c r="K74" s="5">
        <v>1</v>
      </c>
      <c r="L74" s="4">
        <v>910</v>
      </c>
      <c r="M74" s="4">
        <v>590</v>
      </c>
      <c r="N74" s="4">
        <v>408</v>
      </c>
      <c r="O74" s="6">
        <f t="shared" si="17"/>
        <v>0.30847457627118646</v>
      </c>
      <c r="P74" s="4" t="s">
        <v>2500</v>
      </c>
      <c r="Q74" s="4"/>
      <c r="R74" s="4"/>
      <c r="S74" s="4"/>
      <c r="T74" s="4"/>
      <c r="U74" s="4"/>
      <c r="V74" s="4"/>
      <c r="W74" s="4"/>
      <c r="X74" s="4"/>
      <c r="Y74" s="4">
        <v>637</v>
      </c>
      <c r="Z74" s="4">
        <f t="shared" si="18"/>
        <v>637</v>
      </c>
      <c r="AA74" s="4">
        <v>414</v>
      </c>
      <c r="AB74" s="4">
        <f t="shared" si="19"/>
        <v>414</v>
      </c>
      <c r="AC74" s="4"/>
      <c r="AD74" s="21">
        <f>ROUND(M74*AR74,0)</f>
        <v>599</v>
      </c>
      <c r="AE74" s="6">
        <f>1-AB74/AD74</f>
        <v>0.30884808013355591</v>
      </c>
      <c r="AF74" s="33">
        <v>0</v>
      </c>
      <c r="AG74" s="4">
        <f t="shared" si="20"/>
        <v>910</v>
      </c>
      <c r="AH74" s="33">
        <f t="shared" si="22"/>
        <v>923.38235294117646</v>
      </c>
      <c r="AI74" s="6">
        <f>1-AB74/AH74</f>
        <v>0.55164835164835169</v>
      </c>
      <c r="AJ74" s="7">
        <f>ROUND(AB74/0.65,0)</f>
        <v>637</v>
      </c>
      <c r="AK74" s="6">
        <f>1-AB74/AJ74</f>
        <v>0.35007849293563575</v>
      </c>
      <c r="AL74" s="4">
        <f>AJ74-AB74</f>
        <v>223</v>
      </c>
      <c r="AM74" s="28"/>
      <c r="AN74" s="6"/>
      <c r="AO74" s="6"/>
      <c r="AP74" s="6">
        <f>Z74/L74</f>
        <v>0.7</v>
      </c>
      <c r="AQ74" s="6">
        <f>AJ74/M74</f>
        <v>1.0796610169491525</v>
      </c>
      <c r="AR74" s="6">
        <f>AB74/N74</f>
        <v>1.0147058823529411</v>
      </c>
      <c r="AS74" s="4"/>
      <c r="AT74" s="4"/>
      <c r="AU74" s="4"/>
      <c r="AV74" s="4"/>
      <c r="AW74" s="4"/>
      <c r="AX74" s="4"/>
      <c r="AY74" s="4"/>
      <c r="AZ74" s="4"/>
      <c r="BA74" s="4"/>
      <c r="BB74" s="4">
        <v>0</v>
      </c>
      <c r="BC74" s="4" t="s">
        <v>3624</v>
      </c>
      <c r="BD74" s="4">
        <v>1</v>
      </c>
      <c r="BE74" s="4">
        <v>2</v>
      </c>
      <c r="BF74" s="4" t="s">
        <v>3625</v>
      </c>
      <c r="BG74" s="4">
        <v>1820</v>
      </c>
      <c r="BH74" s="4">
        <v>1820</v>
      </c>
      <c r="BI74" s="4">
        <f t="shared" si="21"/>
        <v>910</v>
      </c>
      <c r="BJ74" s="19">
        <v>4</v>
      </c>
      <c r="BK74" s="19">
        <v>8</v>
      </c>
      <c r="BL74" s="16">
        <v>6</v>
      </c>
      <c r="BM74" s="45" t="s">
        <v>3534</v>
      </c>
      <c r="BN74" t="s">
        <v>3534</v>
      </c>
      <c r="BO74" t="str">
        <f t="shared" si="23"/>
        <v>-</v>
      </c>
      <c r="BP74" t="s">
        <v>3534</v>
      </c>
      <c r="BQ74" t="s">
        <v>3534</v>
      </c>
      <c r="BR74" t="str">
        <f t="shared" si="24"/>
        <v>-</v>
      </c>
      <c r="BS74" t="s">
        <v>2568</v>
      </c>
    </row>
    <row r="75" spans="1:71" x14ac:dyDescent="0.4">
      <c r="A75" s="3">
        <v>72</v>
      </c>
      <c r="B75" s="3">
        <v>72</v>
      </c>
      <c r="C75" s="4" t="s">
        <v>134</v>
      </c>
      <c r="D75" s="4" t="str">
        <f t="shared" si="16"/>
        <v>8841AM</v>
      </c>
      <c r="E75" s="4" t="s">
        <v>134</v>
      </c>
      <c r="F75" s="4" t="s">
        <v>1353</v>
      </c>
      <c r="G75" s="5">
        <v>4521718746845</v>
      </c>
      <c r="H75" s="5"/>
      <c r="I75" s="5"/>
      <c r="J75" s="5">
        <v>1</v>
      </c>
      <c r="K75" s="5">
        <v>1</v>
      </c>
      <c r="L75" s="4">
        <v>180</v>
      </c>
      <c r="M75" s="4">
        <v>148</v>
      </c>
      <c r="N75" s="4">
        <v>99</v>
      </c>
      <c r="O75" s="6">
        <f t="shared" si="17"/>
        <v>0.33108108108108103</v>
      </c>
      <c r="P75" s="4" t="s">
        <v>2500</v>
      </c>
      <c r="Q75" s="4"/>
      <c r="R75" s="4"/>
      <c r="S75" s="4"/>
      <c r="T75" s="4"/>
      <c r="U75" s="4"/>
      <c r="V75" s="4"/>
      <c r="W75" s="4"/>
      <c r="X75" s="4"/>
      <c r="Y75" s="4">
        <v>180</v>
      </c>
      <c r="Z75" s="4">
        <f t="shared" si="18"/>
        <v>180</v>
      </c>
      <c r="AA75" s="4">
        <v>99</v>
      </c>
      <c r="AB75" s="4">
        <f t="shared" si="19"/>
        <v>99</v>
      </c>
      <c r="AC75" s="4"/>
      <c r="AD75" s="21">
        <f>ROUND(M75*AR75,0)</f>
        <v>148</v>
      </c>
      <c r="AE75" s="6">
        <f>1-AB75/AD75</f>
        <v>0.33108108108108103</v>
      </c>
      <c r="AF75" s="33">
        <v>0</v>
      </c>
      <c r="AG75" s="4">
        <f t="shared" si="20"/>
        <v>180</v>
      </c>
      <c r="AH75" s="33">
        <f t="shared" si="22"/>
        <v>180</v>
      </c>
      <c r="AI75" s="6">
        <f>1-AB75/AH75</f>
        <v>0.44999999999999996</v>
      </c>
      <c r="AJ75" s="7">
        <f>ROUND(AB75/0.65,0)</f>
        <v>152</v>
      </c>
      <c r="AK75" s="6">
        <f>1-AB75/AJ75</f>
        <v>0.34868421052631582</v>
      </c>
      <c r="AL75" s="4">
        <f>AJ75-AB75</f>
        <v>53</v>
      </c>
      <c r="AM75" s="28"/>
      <c r="AN75" s="6"/>
      <c r="AO75" s="6"/>
      <c r="AP75" s="6">
        <f>Z75/L75</f>
        <v>1</v>
      </c>
      <c r="AQ75" s="6">
        <f>AJ75/M75</f>
        <v>1.027027027027027</v>
      </c>
      <c r="AR75" s="6">
        <f>AB75/N75</f>
        <v>1</v>
      </c>
      <c r="AS75" s="4"/>
      <c r="AT75" s="4"/>
      <c r="AU75" s="4"/>
      <c r="AV75" s="4"/>
      <c r="AW75" s="4"/>
      <c r="AX75" s="4"/>
      <c r="AY75" s="4"/>
      <c r="AZ75" s="4"/>
      <c r="BA75" s="4"/>
      <c r="BB75" s="4">
        <v>0</v>
      </c>
      <c r="BC75" s="4" t="s">
        <v>3626</v>
      </c>
      <c r="BD75" s="4">
        <v>1</v>
      </c>
      <c r="BE75" s="4">
        <v>6</v>
      </c>
      <c r="BF75" s="4" t="s">
        <v>3587</v>
      </c>
      <c r="BG75" s="4">
        <v>1080</v>
      </c>
      <c r="BH75" s="4">
        <v>1080</v>
      </c>
      <c r="BI75" s="4">
        <f t="shared" si="21"/>
        <v>180</v>
      </c>
      <c r="BJ75" s="19">
        <v>4</v>
      </c>
      <c r="BK75" s="19">
        <v>8</v>
      </c>
      <c r="BL75" s="16">
        <v>4</v>
      </c>
      <c r="BM75" s="45" t="s">
        <v>3534</v>
      </c>
      <c r="BN75" t="s">
        <v>3534</v>
      </c>
      <c r="BO75" t="str">
        <f t="shared" si="23"/>
        <v>-</v>
      </c>
      <c r="BP75" t="s">
        <v>3534</v>
      </c>
      <c r="BQ75" t="s">
        <v>3534</v>
      </c>
      <c r="BR75" t="str">
        <f t="shared" si="24"/>
        <v>-</v>
      </c>
      <c r="BS75" t="s">
        <v>2569</v>
      </c>
    </row>
    <row r="76" spans="1:71" x14ac:dyDescent="0.4">
      <c r="A76" s="3">
        <v>73</v>
      </c>
      <c r="B76" s="3">
        <v>73</v>
      </c>
      <c r="C76" s="4" t="s">
        <v>135</v>
      </c>
      <c r="D76" s="4" t="str">
        <f t="shared" si="16"/>
        <v>8842AM</v>
      </c>
      <c r="E76" s="4" t="s">
        <v>135</v>
      </c>
      <c r="F76" s="4" t="s">
        <v>1354</v>
      </c>
      <c r="G76" s="5">
        <v>4521718746852</v>
      </c>
      <c r="H76" s="5"/>
      <c r="I76" s="5"/>
      <c r="J76" s="5">
        <v>1</v>
      </c>
      <c r="K76" s="5">
        <v>1</v>
      </c>
      <c r="L76" s="4">
        <v>180</v>
      </c>
      <c r="M76" s="4">
        <v>148</v>
      </c>
      <c r="N76" s="4">
        <v>99</v>
      </c>
      <c r="O76" s="6">
        <f t="shared" si="17"/>
        <v>0.33108108108108103</v>
      </c>
      <c r="P76" s="4" t="s">
        <v>2500</v>
      </c>
      <c r="Q76" s="4"/>
      <c r="R76" s="4"/>
      <c r="S76" s="4"/>
      <c r="T76" s="4"/>
      <c r="U76" s="4"/>
      <c r="V76" s="4"/>
      <c r="W76" s="4"/>
      <c r="X76" s="4"/>
      <c r="Y76" s="4">
        <v>180</v>
      </c>
      <c r="Z76" s="4">
        <f t="shared" si="18"/>
        <v>180</v>
      </c>
      <c r="AA76" s="4">
        <v>99</v>
      </c>
      <c r="AB76" s="4">
        <f t="shared" si="19"/>
        <v>99</v>
      </c>
      <c r="AC76" s="4"/>
      <c r="AD76" s="21">
        <f>ROUND(M76*AR76,0)</f>
        <v>148</v>
      </c>
      <c r="AE76" s="6">
        <f>1-AB76/AD76</f>
        <v>0.33108108108108103</v>
      </c>
      <c r="AF76" s="33">
        <v>0</v>
      </c>
      <c r="AG76" s="4">
        <f t="shared" si="20"/>
        <v>180</v>
      </c>
      <c r="AH76" s="33">
        <f t="shared" si="22"/>
        <v>180</v>
      </c>
      <c r="AI76" s="6">
        <f>1-AB76/AH76</f>
        <v>0.44999999999999996</v>
      </c>
      <c r="AJ76" s="7">
        <f>ROUND(AB76/0.65,0)</f>
        <v>152</v>
      </c>
      <c r="AK76" s="6">
        <f>1-AB76/AJ76</f>
        <v>0.34868421052631582</v>
      </c>
      <c r="AL76" s="4">
        <f>AJ76-AB76</f>
        <v>53</v>
      </c>
      <c r="AM76" s="28"/>
      <c r="AN76" s="6"/>
      <c r="AO76" s="6"/>
      <c r="AP76" s="6">
        <f>Z76/L76</f>
        <v>1</v>
      </c>
      <c r="AQ76" s="6">
        <f>AJ76/M76</f>
        <v>1.027027027027027</v>
      </c>
      <c r="AR76" s="6">
        <f>AB76/N76</f>
        <v>1</v>
      </c>
      <c r="AS76" s="4"/>
      <c r="AT76" s="4"/>
      <c r="AU76" s="4"/>
      <c r="AV76" s="4"/>
      <c r="AW76" s="4"/>
      <c r="AX76" s="4"/>
      <c r="AY76" s="4"/>
      <c r="AZ76" s="4"/>
      <c r="BA76" s="4"/>
      <c r="BB76" s="4">
        <v>0</v>
      </c>
      <c r="BC76" s="4" t="s">
        <v>3627</v>
      </c>
      <c r="BD76" s="4">
        <v>1</v>
      </c>
      <c r="BE76" s="4">
        <v>6</v>
      </c>
      <c r="BF76" s="4" t="s">
        <v>3587</v>
      </c>
      <c r="BG76" s="4">
        <v>1080</v>
      </c>
      <c r="BH76" s="4">
        <v>1080</v>
      </c>
      <c r="BI76" s="4">
        <f t="shared" si="21"/>
        <v>180</v>
      </c>
      <c r="BJ76" s="19">
        <v>4</v>
      </c>
      <c r="BK76" s="19">
        <v>8</v>
      </c>
      <c r="BL76" s="16">
        <v>4</v>
      </c>
      <c r="BM76" s="45" t="s">
        <v>3534</v>
      </c>
      <c r="BN76" t="s">
        <v>3534</v>
      </c>
      <c r="BO76" t="str">
        <f t="shared" si="23"/>
        <v>-</v>
      </c>
      <c r="BP76" t="s">
        <v>3534</v>
      </c>
      <c r="BQ76" t="s">
        <v>3534</v>
      </c>
      <c r="BR76" t="str">
        <f t="shared" si="24"/>
        <v>-</v>
      </c>
      <c r="BS76" t="s">
        <v>2570</v>
      </c>
    </row>
    <row r="77" spans="1:71" x14ac:dyDescent="0.4">
      <c r="A77" s="3">
        <v>74</v>
      </c>
      <c r="B77" s="3">
        <v>74</v>
      </c>
      <c r="C77" s="4" t="s">
        <v>136</v>
      </c>
      <c r="D77" s="4" t="str">
        <f t="shared" si="16"/>
        <v>8843AM</v>
      </c>
      <c r="E77" s="4" t="s">
        <v>136</v>
      </c>
      <c r="F77" s="4" t="s">
        <v>1355</v>
      </c>
      <c r="G77" s="5">
        <v>4521718746869</v>
      </c>
      <c r="H77" s="5"/>
      <c r="I77" s="5"/>
      <c r="J77" s="5">
        <v>1</v>
      </c>
      <c r="K77" s="5">
        <v>1</v>
      </c>
      <c r="L77" s="4">
        <v>180</v>
      </c>
      <c r="M77" s="4">
        <v>148</v>
      </c>
      <c r="N77" s="4">
        <v>99</v>
      </c>
      <c r="O77" s="6">
        <f t="shared" si="17"/>
        <v>0.33108108108108103</v>
      </c>
      <c r="P77" s="4" t="s">
        <v>2500</v>
      </c>
      <c r="Q77" s="4"/>
      <c r="R77" s="4"/>
      <c r="S77" s="4"/>
      <c r="T77" s="4"/>
      <c r="U77" s="4"/>
      <c r="V77" s="4"/>
      <c r="W77" s="4"/>
      <c r="X77" s="4"/>
      <c r="Y77" s="4">
        <v>180</v>
      </c>
      <c r="Z77" s="4">
        <f t="shared" si="18"/>
        <v>180</v>
      </c>
      <c r="AA77" s="4">
        <v>99</v>
      </c>
      <c r="AB77" s="4">
        <f t="shared" si="19"/>
        <v>99</v>
      </c>
      <c r="AC77" s="4"/>
      <c r="AD77" s="21">
        <f>ROUND(M77*AR77,0)</f>
        <v>148</v>
      </c>
      <c r="AE77" s="6">
        <f>1-AB77/AD77</f>
        <v>0.33108108108108103</v>
      </c>
      <c r="AF77" s="33">
        <v>0</v>
      </c>
      <c r="AG77" s="4">
        <f t="shared" si="20"/>
        <v>180</v>
      </c>
      <c r="AH77" s="33">
        <f t="shared" si="22"/>
        <v>180</v>
      </c>
      <c r="AI77" s="6">
        <f>1-AB77/AH77</f>
        <v>0.44999999999999996</v>
      </c>
      <c r="AJ77" s="7">
        <f>ROUND(AB77/0.65,0)</f>
        <v>152</v>
      </c>
      <c r="AK77" s="6">
        <f>1-AB77/AJ77</f>
        <v>0.34868421052631582</v>
      </c>
      <c r="AL77" s="4">
        <f>AJ77-AB77</f>
        <v>53</v>
      </c>
      <c r="AM77" s="28"/>
      <c r="AN77" s="6"/>
      <c r="AO77" s="6"/>
      <c r="AP77" s="6">
        <f>Z77/L77</f>
        <v>1</v>
      </c>
      <c r="AQ77" s="6">
        <f>AJ77/M77</f>
        <v>1.027027027027027</v>
      </c>
      <c r="AR77" s="6">
        <f>AB77/N77</f>
        <v>1</v>
      </c>
      <c r="AS77" s="4"/>
      <c r="AT77" s="4"/>
      <c r="AU77" s="4"/>
      <c r="AV77" s="4"/>
      <c r="AW77" s="4"/>
      <c r="AX77" s="4"/>
      <c r="AY77" s="4"/>
      <c r="AZ77" s="4"/>
      <c r="BA77" s="4"/>
      <c r="BB77" s="4">
        <v>0</v>
      </c>
      <c r="BC77" s="4" t="s">
        <v>3628</v>
      </c>
      <c r="BD77" s="4">
        <v>1</v>
      </c>
      <c r="BE77" s="4">
        <v>6</v>
      </c>
      <c r="BF77" s="4" t="s">
        <v>3587</v>
      </c>
      <c r="BG77" s="4">
        <v>1080</v>
      </c>
      <c r="BH77" s="4">
        <v>1080</v>
      </c>
      <c r="BI77" s="4">
        <f t="shared" si="21"/>
        <v>180</v>
      </c>
      <c r="BJ77" s="19">
        <v>4</v>
      </c>
      <c r="BK77" s="19">
        <v>8</v>
      </c>
      <c r="BL77" s="16">
        <v>4</v>
      </c>
      <c r="BM77" s="45" t="s">
        <v>3534</v>
      </c>
      <c r="BN77" t="s">
        <v>3534</v>
      </c>
      <c r="BO77" t="str">
        <f t="shared" si="23"/>
        <v>-</v>
      </c>
      <c r="BP77" t="s">
        <v>3534</v>
      </c>
      <c r="BQ77" t="s">
        <v>3534</v>
      </c>
      <c r="BR77" t="str">
        <f t="shared" si="24"/>
        <v>-</v>
      </c>
      <c r="BS77" t="s">
        <v>2571</v>
      </c>
    </row>
    <row r="78" spans="1:71" x14ac:dyDescent="0.4">
      <c r="A78" s="3">
        <v>75</v>
      </c>
      <c r="B78" s="3">
        <v>75</v>
      </c>
      <c r="C78" s="4" t="s">
        <v>137</v>
      </c>
      <c r="D78" s="4" t="str">
        <f t="shared" si="16"/>
        <v>8844AM</v>
      </c>
      <c r="E78" s="4" t="s">
        <v>137</v>
      </c>
      <c r="F78" s="4" t="s">
        <v>1356</v>
      </c>
      <c r="G78" s="5">
        <v>4521718746876</v>
      </c>
      <c r="H78" s="5"/>
      <c r="I78" s="5"/>
      <c r="J78" s="5">
        <v>1</v>
      </c>
      <c r="K78" s="5">
        <v>1</v>
      </c>
      <c r="L78" s="4">
        <v>180</v>
      </c>
      <c r="M78" s="4">
        <v>148</v>
      </c>
      <c r="N78" s="4">
        <v>99</v>
      </c>
      <c r="O78" s="6">
        <f t="shared" si="17"/>
        <v>0.33108108108108103</v>
      </c>
      <c r="P78" s="4" t="s">
        <v>2500</v>
      </c>
      <c r="Q78" s="4"/>
      <c r="R78" s="4"/>
      <c r="S78" s="4"/>
      <c r="T78" s="4"/>
      <c r="U78" s="4"/>
      <c r="V78" s="4"/>
      <c r="W78" s="4"/>
      <c r="X78" s="4"/>
      <c r="Y78" s="4">
        <v>180</v>
      </c>
      <c r="Z78" s="4">
        <f t="shared" si="18"/>
        <v>180</v>
      </c>
      <c r="AA78" s="4">
        <v>99</v>
      </c>
      <c r="AB78" s="4">
        <f t="shared" si="19"/>
        <v>99</v>
      </c>
      <c r="AC78" s="4"/>
      <c r="AD78" s="21">
        <f>ROUND(M78*AR78,0)</f>
        <v>148</v>
      </c>
      <c r="AE78" s="6">
        <f>1-AB78/AD78</f>
        <v>0.33108108108108103</v>
      </c>
      <c r="AF78" s="33">
        <v>0</v>
      </c>
      <c r="AG78" s="4">
        <f t="shared" si="20"/>
        <v>180</v>
      </c>
      <c r="AH78" s="33">
        <f t="shared" si="22"/>
        <v>180</v>
      </c>
      <c r="AI78" s="6">
        <f>1-AB78/AH78</f>
        <v>0.44999999999999996</v>
      </c>
      <c r="AJ78" s="7">
        <f>ROUND(AB78/0.65,0)</f>
        <v>152</v>
      </c>
      <c r="AK78" s="6">
        <f>1-AB78/AJ78</f>
        <v>0.34868421052631582</v>
      </c>
      <c r="AL78" s="4">
        <f>AJ78-AB78</f>
        <v>53</v>
      </c>
      <c r="AM78" s="28"/>
      <c r="AN78" s="6"/>
      <c r="AO78" s="6"/>
      <c r="AP78" s="6">
        <f>Z78/L78</f>
        <v>1</v>
      </c>
      <c r="AQ78" s="6">
        <f>AJ78/M78</f>
        <v>1.027027027027027</v>
      </c>
      <c r="AR78" s="6">
        <f>AB78/N78</f>
        <v>1</v>
      </c>
      <c r="AS78" s="4"/>
      <c r="AT78" s="4"/>
      <c r="AU78" s="4"/>
      <c r="AV78" s="4"/>
      <c r="AW78" s="4"/>
      <c r="AX78" s="4"/>
      <c r="AY78" s="4"/>
      <c r="AZ78" s="4"/>
      <c r="BA78" s="4"/>
      <c r="BB78" s="4">
        <v>0</v>
      </c>
      <c r="BC78" s="4" t="s">
        <v>3629</v>
      </c>
      <c r="BD78" s="4">
        <v>1</v>
      </c>
      <c r="BE78" s="4">
        <v>6</v>
      </c>
      <c r="BF78" s="4" t="s">
        <v>3587</v>
      </c>
      <c r="BG78" s="4">
        <v>1080</v>
      </c>
      <c r="BH78" s="4">
        <v>1080</v>
      </c>
      <c r="BI78" s="4">
        <f t="shared" si="21"/>
        <v>180</v>
      </c>
      <c r="BJ78" s="19">
        <v>4</v>
      </c>
      <c r="BK78" s="19">
        <v>8</v>
      </c>
      <c r="BL78" s="16">
        <v>4</v>
      </c>
      <c r="BM78" s="45" t="s">
        <v>3534</v>
      </c>
      <c r="BN78" t="s">
        <v>3534</v>
      </c>
      <c r="BO78" t="str">
        <f t="shared" si="23"/>
        <v>-</v>
      </c>
      <c r="BP78" t="s">
        <v>3534</v>
      </c>
      <c r="BQ78" t="s">
        <v>3534</v>
      </c>
      <c r="BR78" t="str">
        <f t="shared" si="24"/>
        <v>-</v>
      </c>
      <c r="BS78" t="s">
        <v>2572</v>
      </c>
    </row>
    <row r="79" spans="1:71" x14ac:dyDescent="0.4">
      <c r="A79" s="3">
        <v>76</v>
      </c>
      <c r="B79" s="3">
        <v>76</v>
      </c>
      <c r="C79" s="4" t="s">
        <v>138</v>
      </c>
      <c r="D79" s="4" t="str">
        <f t="shared" si="16"/>
        <v>8865AM</v>
      </c>
      <c r="E79" s="4" t="s">
        <v>138</v>
      </c>
      <c r="F79" s="4" t="s">
        <v>1357</v>
      </c>
      <c r="G79" s="5">
        <v>4521718128917</v>
      </c>
      <c r="H79" s="5"/>
      <c r="I79" s="5"/>
      <c r="J79" s="5">
        <v>1</v>
      </c>
      <c r="K79" s="5">
        <v>1</v>
      </c>
      <c r="L79" s="4">
        <v>740</v>
      </c>
      <c r="M79" s="4">
        <v>490</v>
      </c>
      <c r="N79" s="4">
        <v>332</v>
      </c>
      <c r="O79" s="6">
        <f t="shared" si="17"/>
        <v>0.32244897959183672</v>
      </c>
      <c r="P79" s="4" t="s">
        <v>2500</v>
      </c>
      <c r="Q79" s="4"/>
      <c r="R79" s="4"/>
      <c r="S79" s="4"/>
      <c r="T79" s="4"/>
      <c r="U79" s="4"/>
      <c r="V79" s="4"/>
      <c r="W79" s="4"/>
      <c r="X79" s="4"/>
      <c r="Y79" s="4">
        <v>537</v>
      </c>
      <c r="Z79" s="4">
        <f t="shared" si="18"/>
        <v>537</v>
      </c>
      <c r="AA79" s="4">
        <v>349</v>
      </c>
      <c r="AB79" s="4">
        <f t="shared" si="19"/>
        <v>349</v>
      </c>
      <c r="AC79" s="4"/>
      <c r="AD79" s="21">
        <f>ROUND(M79*AR79,0)</f>
        <v>515</v>
      </c>
      <c r="AE79" s="6">
        <f>1-AB79/AD79</f>
        <v>0.32233009708737859</v>
      </c>
      <c r="AF79" s="33">
        <v>0</v>
      </c>
      <c r="AG79" s="4">
        <f t="shared" si="20"/>
        <v>740</v>
      </c>
      <c r="AH79" s="33">
        <f t="shared" si="22"/>
        <v>777.89156626506019</v>
      </c>
      <c r="AI79" s="6">
        <f>1-AB79/AH79</f>
        <v>0.55135135135135127</v>
      </c>
      <c r="AJ79" s="7">
        <f>ROUND(AB79/0.65,0)</f>
        <v>537</v>
      </c>
      <c r="AK79" s="6">
        <f>1-AB79/AJ79</f>
        <v>0.35009310986964615</v>
      </c>
      <c r="AL79" s="4">
        <f>AJ79-AB79</f>
        <v>188</v>
      </c>
      <c r="AM79" s="28"/>
      <c r="AN79" s="6"/>
      <c r="AO79" s="6"/>
      <c r="AP79" s="6">
        <f>Z79/L79</f>
        <v>0.7256756756756757</v>
      </c>
      <c r="AQ79" s="6">
        <f>AJ79/M79</f>
        <v>1.0959183673469388</v>
      </c>
      <c r="AR79" s="6">
        <f>AB79/N79</f>
        <v>1.0512048192771084</v>
      </c>
      <c r="AS79" s="4"/>
      <c r="AT79" s="4"/>
      <c r="AU79" s="4"/>
      <c r="AV79" s="4"/>
      <c r="AW79" s="4"/>
      <c r="AX79" s="4"/>
      <c r="AY79" s="4"/>
      <c r="AZ79" s="4"/>
      <c r="BA79" s="4"/>
      <c r="BB79" s="4">
        <v>0</v>
      </c>
      <c r="BC79" s="4" t="s">
        <v>3630</v>
      </c>
      <c r="BD79" s="4">
        <v>1</v>
      </c>
      <c r="BE79" s="4">
        <v>2</v>
      </c>
      <c r="BF79" s="4" t="s">
        <v>3631</v>
      </c>
      <c r="BG79" s="4">
        <v>1480</v>
      </c>
      <c r="BH79" s="4">
        <v>1480</v>
      </c>
      <c r="BI79" s="4">
        <f t="shared" si="21"/>
        <v>740</v>
      </c>
      <c r="BJ79" s="19">
        <v>4</v>
      </c>
      <c r="BK79" s="19">
        <v>8</v>
      </c>
      <c r="BL79" s="16">
        <v>6</v>
      </c>
      <c r="BM79" s="45" t="s">
        <v>3534</v>
      </c>
      <c r="BN79" t="s">
        <v>3534</v>
      </c>
      <c r="BO79" t="str">
        <f t="shared" si="23"/>
        <v>-</v>
      </c>
      <c r="BP79" t="s">
        <v>3534</v>
      </c>
      <c r="BQ79" t="s">
        <v>3534</v>
      </c>
      <c r="BR79" t="str">
        <f t="shared" si="24"/>
        <v>-</v>
      </c>
      <c r="BS79" t="s">
        <v>2573</v>
      </c>
    </row>
    <row r="80" spans="1:71" x14ac:dyDescent="0.4">
      <c r="A80" s="3">
        <v>77</v>
      </c>
      <c r="B80" s="3">
        <v>77</v>
      </c>
      <c r="C80" s="4" t="s">
        <v>139</v>
      </c>
      <c r="D80" s="4" t="str">
        <f t="shared" si="16"/>
        <v>8866AM</v>
      </c>
      <c r="E80" s="4" t="s">
        <v>139</v>
      </c>
      <c r="F80" s="4" t="s">
        <v>1358</v>
      </c>
      <c r="G80" s="5">
        <v>4521718128924</v>
      </c>
      <c r="H80" s="5"/>
      <c r="I80" s="5"/>
      <c r="J80" s="5">
        <v>1</v>
      </c>
      <c r="K80" s="5">
        <v>1</v>
      </c>
      <c r="L80" s="4">
        <v>740</v>
      </c>
      <c r="M80" s="4">
        <v>490</v>
      </c>
      <c r="N80" s="4">
        <v>332</v>
      </c>
      <c r="O80" s="6">
        <f t="shared" si="17"/>
        <v>0.32244897959183672</v>
      </c>
      <c r="P80" s="4" t="s">
        <v>2500</v>
      </c>
      <c r="Q80" s="4"/>
      <c r="R80" s="4"/>
      <c r="S80" s="4"/>
      <c r="T80" s="4"/>
      <c r="U80" s="4"/>
      <c r="V80" s="4"/>
      <c r="W80" s="4"/>
      <c r="X80" s="4"/>
      <c r="Y80" s="4">
        <v>537</v>
      </c>
      <c r="Z80" s="4">
        <f t="shared" si="18"/>
        <v>537</v>
      </c>
      <c r="AA80" s="4">
        <v>349</v>
      </c>
      <c r="AB80" s="4">
        <f t="shared" si="19"/>
        <v>349</v>
      </c>
      <c r="AC80" s="4"/>
      <c r="AD80" s="21">
        <f>ROUND(M80*AR80,0)</f>
        <v>515</v>
      </c>
      <c r="AE80" s="6">
        <f>1-AB80/AD80</f>
        <v>0.32233009708737859</v>
      </c>
      <c r="AF80" s="33">
        <v>0</v>
      </c>
      <c r="AG80" s="4">
        <f t="shared" si="20"/>
        <v>740</v>
      </c>
      <c r="AH80" s="33">
        <f t="shared" si="22"/>
        <v>777.89156626506019</v>
      </c>
      <c r="AI80" s="6">
        <f>1-AB80/AH80</f>
        <v>0.55135135135135127</v>
      </c>
      <c r="AJ80" s="7">
        <f>ROUND(AB80/0.65,0)</f>
        <v>537</v>
      </c>
      <c r="AK80" s="6">
        <f>1-AB80/AJ80</f>
        <v>0.35009310986964615</v>
      </c>
      <c r="AL80" s="4">
        <f>AJ80-AB80</f>
        <v>188</v>
      </c>
      <c r="AM80" s="28"/>
      <c r="AN80" s="6"/>
      <c r="AO80" s="6"/>
      <c r="AP80" s="6">
        <f>Z80/L80</f>
        <v>0.7256756756756757</v>
      </c>
      <c r="AQ80" s="6">
        <f>AJ80/M80</f>
        <v>1.0959183673469388</v>
      </c>
      <c r="AR80" s="6">
        <f>AB80/N80</f>
        <v>1.0512048192771084</v>
      </c>
      <c r="AS80" s="4"/>
      <c r="AT80" s="4"/>
      <c r="AU80" s="4"/>
      <c r="AV80" s="4"/>
      <c r="AW80" s="4"/>
      <c r="AX80" s="4"/>
      <c r="AY80" s="4"/>
      <c r="AZ80" s="4"/>
      <c r="BA80" s="4"/>
      <c r="BB80" s="4">
        <v>0</v>
      </c>
      <c r="BC80" s="4" t="s">
        <v>3632</v>
      </c>
      <c r="BD80" s="4">
        <v>1</v>
      </c>
      <c r="BE80" s="4">
        <v>2</v>
      </c>
      <c r="BF80" s="4" t="s">
        <v>3631</v>
      </c>
      <c r="BG80" s="4">
        <v>1480</v>
      </c>
      <c r="BH80" s="4">
        <v>1480</v>
      </c>
      <c r="BI80" s="4">
        <f t="shared" si="21"/>
        <v>740</v>
      </c>
      <c r="BJ80" s="19">
        <v>4</v>
      </c>
      <c r="BK80" s="19">
        <v>8</v>
      </c>
      <c r="BL80" s="16">
        <v>6</v>
      </c>
      <c r="BM80" s="45" t="s">
        <v>3534</v>
      </c>
      <c r="BN80" t="s">
        <v>3534</v>
      </c>
      <c r="BO80" t="str">
        <f t="shared" si="23"/>
        <v>-</v>
      </c>
      <c r="BP80" t="s">
        <v>3534</v>
      </c>
      <c r="BQ80" t="s">
        <v>3534</v>
      </c>
      <c r="BR80" t="str">
        <f t="shared" si="24"/>
        <v>-</v>
      </c>
      <c r="BS80" t="s">
        <v>2574</v>
      </c>
    </row>
    <row r="81" spans="1:71" x14ac:dyDescent="0.4">
      <c r="A81" s="3">
        <v>78</v>
      </c>
      <c r="B81" s="3">
        <v>78</v>
      </c>
      <c r="C81" s="4" t="s">
        <v>140</v>
      </c>
      <c r="D81" s="4" t="str">
        <f t="shared" si="16"/>
        <v>J006WM</v>
      </c>
      <c r="E81" s="4" t="s">
        <v>140</v>
      </c>
      <c r="F81" s="4" t="s">
        <v>1359</v>
      </c>
      <c r="G81" s="5">
        <v>4521718917306</v>
      </c>
      <c r="H81" s="5"/>
      <c r="I81" s="5"/>
      <c r="J81" s="5">
        <v>1</v>
      </c>
      <c r="K81" s="5">
        <v>1</v>
      </c>
      <c r="L81" s="4">
        <v>5460</v>
      </c>
      <c r="M81" s="4">
        <v>4980</v>
      </c>
      <c r="N81" s="4">
        <v>3273</v>
      </c>
      <c r="O81" s="6">
        <f t="shared" si="17"/>
        <v>0.34277108433734937</v>
      </c>
      <c r="P81" s="4" t="s">
        <v>2500</v>
      </c>
      <c r="Q81" s="4"/>
      <c r="R81" s="4"/>
      <c r="S81" s="4"/>
      <c r="T81" s="4"/>
      <c r="U81" s="4"/>
      <c r="V81" s="4"/>
      <c r="W81" s="4"/>
      <c r="X81" s="4"/>
      <c r="Y81" s="4">
        <v>4364</v>
      </c>
      <c r="Z81" s="4">
        <f t="shared" si="18"/>
        <v>4364</v>
      </c>
      <c r="AA81" s="4">
        <v>3273</v>
      </c>
      <c r="AB81" s="4">
        <f t="shared" si="19"/>
        <v>3273</v>
      </c>
      <c r="AC81" s="4"/>
      <c r="AD81" s="21">
        <f>ROUND(M81*AR81,0)</f>
        <v>4980</v>
      </c>
      <c r="AE81" s="6">
        <f>1-AB81/AD81</f>
        <v>0.34277108433734937</v>
      </c>
      <c r="AF81" s="33">
        <v>0</v>
      </c>
      <c r="AG81" s="4">
        <f t="shared" si="20"/>
        <v>5460</v>
      </c>
      <c r="AH81" s="33">
        <f t="shared" si="22"/>
        <v>5460</v>
      </c>
      <c r="AI81" s="6">
        <f>1-AB81/AH81</f>
        <v>0.40054945054945057</v>
      </c>
      <c r="AJ81" s="7">
        <v>4364</v>
      </c>
      <c r="AK81" s="6">
        <f>1-AB81/AJ81</f>
        <v>0.25</v>
      </c>
      <c r="AL81" s="4">
        <f>AJ81-AB81</f>
        <v>1091</v>
      </c>
      <c r="AM81" s="28"/>
      <c r="AN81" s="6"/>
      <c r="AO81" s="6"/>
      <c r="AP81" s="6">
        <f>Z81/L81</f>
        <v>0.79926739926739931</v>
      </c>
      <c r="AQ81" s="6">
        <f>AJ81/M81</f>
        <v>0.87630522088353413</v>
      </c>
      <c r="AR81" s="6">
        <f>AB81/N81</f>
        <v>1</v>
      </c>
      <c r="AS81" s="4"/>
      <c r="AT81" s="4"/>
      <c r="AU81" s="4"/>
      <c r="AV81" s="4"/>
      <c r="AW81" s="4"/>
      <c r="AX81" s="4"/>
      <c r="AY81" s="4"/>
      <c r="AZ81" s="4"/>
      <c r="BA81" s="4"/>
      <c r="BB81" s="4">
        <v>0</v>
      </c>
      <c r="BC81" s="4" t="s">
        <v>3633</v>
      </c>
      <c r="BD81" s="4"/>
      <c r="BE81" s="4"/>
      <c r="BF81" s="4" t="s">
        <v>3545</v>
      </c>
      <c r="BG81" s="4">
        <v>5460</v>
      </c>
      <c r="BH81" s="4">
        <v>5460</v>
      </c>
      <c r="BI81" s="4">
        <f t="shared" si="21"/>
        <v>5460</v>
      </c>
      <c r="BJ81" s="19">
        <v>4</v>
      </c>
      <c r="BK81" s="19">
        <v>8</v>
      </c>
      <c r="BL81" s="16">
        <v>6</v>
      </c>
      <c r="BM81" s="45" t="s">
        <v>3534</v>
      </c>
      <c r="BN81" t="s">
        <v>3534</v>
      </c>
      <c r="BO81" t="str">
        <f t="shared" si="23"/>
        <v>-</v>
      </c>
      <c r="BP81" t="s">
        <v>3534</v>
      </c>
      <c r="BQ81" t="s">
        <v>3534</v>
      </c>
      <c r="BR81" t="str">
        <f t="shared" si="24"/>
        <v>-</v>
      </c>
      <c r="BS81" t="s">
        <v>2575</v>
      </c>
    </row>
    <row r="82" spans="1:71" x14ac:dyDescent="0.4">
      <c r="A82" s="3">
        <v>79</v>
      </c>
      <c r="B82" s="3">
        <v>79</v>
      </c>
      <c r="C82" s="4" t="s">
        <v>141</v>
      </c>
      <c r="D82" s="4" t="str">
        <f t="shared" si="16"/>
        <v>J007WM</v>
      </c>
      <c r="E82" s="4" t="s">
        <v>141</v>
      </c>
      <c r="F82" s="4" t="s">
        <v>1360</v>
      </c>
      <c r="G82" s="5">
        <v>4521718932897</v>
      </c>
      <c r="H82" s="5"/>
      <c r="I82" s="5"/>
      <c r="J82" s="5">
        <v>1</v>
      </c>
      <c r="K82" s="5">
        <v>1</v>
      </c>
      <c r="L82" s="4">
        <v>6190</v>
      </c>
      <c r="M82" s="4">
        <v>5580</v>
      </c>
      <c r="N82" s="4">
        <v>3716</v>
      </c>
      <c r="O82" s="6">
        <f t="shared" si="17"/>
        <v>0.33405017921146951</v>
      </c>
      <c r="P82" s="4" t="s">
        <v>2500</v>
      </c>
      <c r="Q82" s="4"/>
      <c r="R82" s="4"/>
      <c r="S82" s="4"/>
      <c r="T82" s="4"/>
      <c r="U82" s="4"/>
      <c r="V82" s="4"/>
      <c r="W82" s="4"/>
      <c r="X82" s="4"/>
      <c r="Y82" s="4">
        <v>4955</v>
      </c>
      <c r="Z82" s="4">
        <f t="shared" si="18"/>
        <v>4955</v>
      </c>
      <c r="AA82" s="4">
        <v>3716</v>
      </c>
      <c r="AB82" s="4">
        <f t="shared" si="19"/>
        <v>3716</v>
      </c>
      <c r="AC82" s="4"/>
      <c r="AD82" s="21">
        <f>ROUND(M82*AR82,0)</f>
        <v>5580</v>
      </c>
      <c r="AE82" s="6">
        <f>1-AB82/AD82</f>
        <v>0.33405017921146951</v>
      </c>
      <c r="AF82" s="33">
        <v>0</v>
      </c>
      <c r="AG82" s="4">
        <f t="shared" si="20"/>
        <v>6190</v>
      </c>
      <c r="AH82" s="33">
        <f t="shared" si="22"/>
        <v>6190</v>
      </c>
      <c r="AI82" s="6">
        <f>1-AB82/AH82</f>
        <v>0.39967689822294028</v>
      </c>
      <c r="AJ82" s="7">
        <v>4955</v>
      </c>
      <c r="AK82" s="6">
        <f>1-AB82/AJ82</f>
        <v>0.25005045408678106</v>
      </c>
      <c r="AL82" s="4">
        <f>AJ82-AB82</f>
        <v>1239</v>
      </c>
      <c r="AM82" s="28"/>
      <c r="AN82" s="6"/>
      <c r="AO82" s="6"/>
      <c r="AP82" s="6">
        <f>Z82/L82</f>
        <v>0.80048465266558966</v>
      </c>
      <c r="AQ82" s="6">
        <f>AJ82/M82</f>
        <v>0.88799283154121866</v>
      </c>
      <c r="AR82" s="6">
        <f>AB82/N82</f>
        <v>1</v>
      </c>
      <c r="AS82" s="4"/>
      <c r="AT82" s="4"/>
      <c r="AU82" s="4"/>
      <c r="AV82" s="4"/>
      <c r="AW82" s="4"/>
      <c r="AX82" s="4"/>
      <c r="AY82" s="4"/>
      <c r="AZ82" s="4"/>
      <c r="BA82" s="4"/>
      <c r="BB82" s="4">
        <v>0</v>
      </c>
      <c r="BC82" s="4" t="s">
        <v>3634</v>
      </c>
      <c r="BD82" s="4"/>
      <c r="BE82" s="4"/>
      <c r="BF82" s="4" t="s">
        <v>3545</v>
      </c>
      <c r="BG82" s="4">
        <v>6190</v>
      </c>
      <c r="BH82" s="4">
        <v>6190</v>
      </c>
      <c r="BI82" s="4">
        <f t="shared" si="21"/>
        <v>6190</v>
      </c>
      <c r="BJ82" s="19">
        <v>4</v>
      </c>
      <c r="BK82" s="19">
        <v>8</v>
      </c>
      <c r="BL82" s="16">
        <v>6</v>
      </c>
      <c r="BM82" s="45" t="s">
        <v>3534</v>
      </c>
      <c r="BN82" t="s">
        <v>3534</v>
      </c>
      <c r="BO82" t="str">
        <f t="shared" si="23"/>
        <v>-</v>
      </c>
      <c r="BP82" t="s">
        <v>3534</v>
      </c>
      <c r="BQ82" t="s">
        <v>3534</v>
      </c>
      <c r="BR82" t="str">
        <f t="shared" si="24"/>
        <v>-</v>
      </c>
      <c r="BS82" t="s">
        <v>2576</v>
      </c>
    </row>
    <row r="83" spans="1:71" x14ac:dyDescent="0.4">
      <c r="A83" s="3">
        <v>80</v>
      </c>
      <c r="B83" s="3">
        <v>80</v>
      </c>
      <c r="C83" s="4" t="s">
        <v>142</v>
      </c>
      <c r="D83" s="4" t="str">
        <f t="shared" si="16"/>
        <v>J064MD</v>
      </c>
      <c r="E83" s="4" t="s">
        <v>142</v>
      </c>
      <c r="F83" s="4" t="s">
        <v>1361</v>
      </c>
      <c r="G83" s="5">
        <v>4521718046679</v>
      </c>
      <c r="H83" s="5"/>
      <c r="I83" s="5"/>
      <c r="J83" s="5">
        <v>1</v>
      </c>
      <c r="K83" s="5">
        <v>1</v>
      </c>
      <c r="L83" s="4">
        <v>380</v>
      </c>
      <c r="M83" s="4">
        <v>251</v>
      </c>
      <c r="N83" s="4">
        <v>195</v>
      </c>
      <c r="O83" s="6">
        <f t="shared" si="17"/>
        <v>0.22310756972111556</v>
      </c>
      <c r="P83" s="4" t="s">
        <v>2500</v>
      </c>
      <c r="Q83" s="4"/>
      <c r="R83" s="4"/>
      <c r="S83" s="4"/>
      <c r="T83" s="4"/>
      <c r="U83" s="4"/>
      <c r="V83" s="4"/>
      <c r="W83" s="4"/>
      <c r="X83" s="4"/>
      <c r="Y83" s="4">
        <v>300</v>
      </c>
      <c r="Z83" s="4">
        <f t="shared" si="18"/>
        <v>300</v>
      </c>
      <c r="AA83" s="4">
        <v>195</v>
      </c>
      <c r="AB83" s="4">
        <f t="shared" si="19"/>
        <v>195</v>
      </c>
      <c r="AC83" s="4"/>
      <c r="AD83" s="21">
        <f>ROUND(M83*AR83,0)</f>
        <v>251</v>
      </c>
      <c r="AE83" s="6">
        <f>1-AB83/AD83</f>
        <v>0.22310756972111556</v>
      </c>
      <c r="AF83" s="33">
        <v>0</v>
      </c>
      <c r="AG83" s="4">
        <f t="shared" si="20"/>
        <v>440</v>
      </c>
      <c r="AH83" s="33">
        <f t="shared" si="22"/>
        <v>440</v>
      </c>
      <c r="AI83" s="6">
        <f>1-AB83/AH83</f>
        <v>0.55681818181818188</v>
      </c>
      <c r="AJ83" s="7">
        <v>300</v>
      </c>
      <c r="AK83" s="6">
        <f>1-AB83/AJ83</f>
        <v>0.35</v>
      </c>
      <c r="AL83" s="4">
        <f>AJ83-AB83</f>
        <v>105</v>
      </c>
      <c r="AM83" s="28"/>
      <c r="AN83" s="6"/>
      <c r="AO83" s="6"/>
      <c r="AP83" s="6">
        <f>Z83/L83</f>
        <v>0.78947368421052633</v>
      </c>
      <c r="AQ83" s="6">
        <f>AJ83/M83</f>
        <v>1.1952191235059761</v>
      </c>
      <c r="AR83" s="6">
        <f>AB83/N83</f>
        <v>1</v>
      </c>
      <c r="AS83" s="4"/>
      <c r="AT83" s="4"/>
      <c r="AU83" s="4"/>
      <c r="AV83" s="4"/>
      <c r="AW83" s="4"/>
      <c r="AX83" s="4"/>
      <c r="AY83" s="4"/>
      <c r="AZ83" s="4"/>
      <c r="BA83" s="4"/>
      <c r="BB83" s="4">
        <v>0</v>
      </c>
      <c r="BC83" s="4" t="s">
        <v>3635</v>
      </c>
      <c r="BD83" s="4">
        <v>1</v>
      </c>
      <c r="BE83" s="4">
        <v>3</v>
      </c>
      <c r="BF83" s="4" t="s">
        <v>3636</v>
      </c>
      <c r="BG83" s="4">
        <v>1320</v>
      </c>
      <c r="BH83" s="4">
        <v>1320</v>
      </c>
      <c r="BI83" s="4">
        <f t="shared" si="21"/>
        <v>440</v>
      </c>
      <c r="BJ83" s="19">
        <v>4</v>
      </c>
      <c r="BK83" s="19">
        <v>8</v>
      </c>
      <c r="BL83" s="16">
        <v>6</v>
      </c>
      <c r="BM83" s="45" t="s">
        <v>3534</v>
      </c>
      <c r="BN83" t="s">
        <v>3534</v>
      </c>
      <c r="BO83" t="str">
        <f t="shared" si="23"/>
        <v>-</v>
      </c>
      <c r="BP83" t="s">
        <v>3534</v>
      </c>
      <c r="BQ83">
        <v>301</v>
      </c>
      <c r="BR83">
        <f t="shared" si="24"/>
        <v>301</v>
      </c>
      <c r="BS83" t="s">
        <v>2577</v>
      </c>
    </row>
    <row r="84" spans="1:71" x14ac:dyDescent="0.4">
      <c r="A84" s="3">
        <v>81</v>
      </c>
      <c r="B84" s="3">
        <v>81</v>
      </c>
      <c r="C84" s="4" t="s">
        <v>143</v>
      </c>
      <c r="D84" s="4" t="str">
        <f t="shared" si="16"/>
        <v>J067MD</v>
      </c>
      <c r="E84" s="4" t="s">
        <v>143</v>
      </c>
      <c r="F84" s="4" t="s">
        <v>1362</v>
      </c>
      <c r="G84" s="5">
        <v>4521718149745</v>
      </c>
      <c r="H84" s="5"/>
      <c r="I84" s="5"/>
      <c r="J84" s="5">
        <v>1</v>
      </c>
      <c r="K84" s="5">
        <v>1</v>
      </c>
      <c r="L84" s="4">
        <v>480</v>
      </c>
      <c r="M84" s="4">
        <v>310</v>
      </c>
      <c r="N84" s="4">
        <v>213</v>
      </c>
      <c r="O84" s="6">
        <f t="shared" si="17"/>
        <v>0.31290322580645158</v>
      </c>
      <c r="P84" s="4" t="s">
        <v>2500</v>
      </c>
      <c r="Q84" s="4"/>
      <c r="R84" s="4"/>
      <c r="S84" s="4"/>
      <c r="T84" s="4"/>
      <c r="U84" s="4"/>
      <c r="V84" s="4"/>
      <c r="W84" s="4"/>
      <c r="X84" s="4"/>
      <c r="Y84" s="4">
        <v>328</v>
      </c>
      <c r="Z84" s="4">
        <f t="shared" si="18"/>
        <v>328</v>
      </c>
      <c r="AA84" s="4">
        <v>213</v>
      </c>
      <c r="AB84" s="4">
        <f t="shared" si="19"/>
        <v>213</v>
      </c>
      <c r="AC84" s="4"/>
      <c r="AD84" s="21">
        <f>ROUND(M84*AR84,0)</f>
        <v>310</v>
      </c>
      <c r="AE84" s="6">
        <f>1-AB84/AD84</f>
        <v>0.31290322580645158</v>
      </c>
      <c r="AF84" s="33">
        <v>0</v>
      </c>
      <c r="AG84" s="4">
        <f t="shared" si="20"/>
        <v>480</v>
      </c>
      <c r="AH84" s="33">
        <f t="shared" si="22"/>
        <v>480</v>
      </c>
      <c r="AI84" s="6">
        <f>1-AB84/AH84</f>
        <v>0.55625000000000002</v>
      </c>
      <c r="AJ84" s="7">
        <v>310</v>
      </c>
      <c r="AK84" s="6">
        <f>1-AB84/AJ84</f>
        <v>0.31290322580645158</v>
      </c>
      <c r="AL84" s="4">
        <f>AJ84-AB84</f>
        <v>97</v>
      </c>
      <c r="AM84" s="28"/>
      <c r="AN84" s="6"/>
      <c r="AO84" s="6"/>
      <c r="AP84" s="6">
        <f>Z84/L84</f>
        <v>0.68333333333333335</v>
      </c>
      <c r="AQ84" s="6">
        <f>AJ84/M84</f>
        <v>1</v>
      </c>
      <c r="AR84" s="6">
        <f>AB84/N84</f>
        <v>1</v>
      </c>
      <c r="AS84" s="4"/>
      <c r="AT84" s="4"/>
      <c r="AU84" s="4"/>
      <c r="AV84" s="4"/>
      <c r="AW84" s="4"/>
      <c r="AX84" s="4"/>
      <c r="AY84" s="4"/>
      <c r="AZ84" s="4"/>
      <c r="BA84" s="4"/>
      <c r="BB84" s="4">
        <v>0</v>
      </c>
      <c r="BC84" s="4" t="s">
        <v>3637</v>
      </c>
      <c r="BD84" s="4">
        <v>1</v>
      </c>
      <c r="BE84" s="4">
        <v>3</v>
      </c>
      <c r="BF84" s="4" t="s">
        <v>3638</v>
      </c>
      <c r="BG84" s="4">
        <v>1440</v>
      </c>
      <c r="BH84" s="4">
        <v>1440</v>
      </c>
      <c r="BI84" s="4">
        <f t="shared" si="21"/>
        <v>480</v>
      </c>
      <c r="BJ84" s="19">
        <v>4</v>
      </c>
      <c r="BK84" s="19">
        <v>8</v>
      </c>
      <c r="BL84" s="16">
        <v>6</v>
      </c>
      <c r="BM84" s="45" t="s">
        <v>3534</v>
      </c>
      <c r="BN84" t="s">
        <v>3534</v>
      </c>
      <c r="BO84" t="str">
        <f t="shared" si="23"/>
        <v>-</v>
      </c>
      <c r="BP84" t="s">
        <v>3534</v>
      </c>
      <c r="BQ84">
        <v>310</v>
      </c>
      <c r="BR84">
        <f t="shared" si="24"/>
        <v>310</v>
      </c>
      <c r="BS84" t="s">
        <v>2578</v>
      </c>
    </row>
    <row r="85" spans="1:71" x14ac:dyDescent="0.4">
      <c r="A85" s="3">
        <v>82</v>
      </c>
      <c r="B85" s="3">
        <v>82</v>
      </c>
      <c r="C85" s="4" t="s">
        <v>144</v>
      </c>
      <c r="D85" s="4" t="str">
        <f t="shared" si="16"/>
        <v>J065MD</v>
      </c>
      <c r="E85" s="4" t="s">
        <v>144</v>
      </c>
      <c r="F85" s="4" t="s">
        <v>1363</v>
      </c>
      <c r="G85" s="5">
        <v>4521718147185</v>
      </c>
      <c r="H85" s="5"/>
      <c r="I85" s="5"/>
      <c r="J85" s="5">
        <v>1</v>
      </c>
      <c r="K85" s="5">
        <v>1</v>
      </c>
      <c r="L85" s="4">
        <v>570</v>
      </c>
      <c r="M85" s="4">
        <v>329</v>
      </c>
      <c r="N85" s="4">
        <v>254</v>
      </c>
      <c r="O85" s="6">
        <f t="shared" si="17"/>
        <v>0.22796352583586621</v>
      </c>
      <c r="P85" s="4" t="s">
        <v>2500</v>
      </c>
      <c r="Q85" s="4"/>
      <c r="R85" s="4"/>
      <c r="S85" s="4"/>
      <c r="T85" s="4"/>
      <c r="U85" s="4"/>
      <c r="V85" s="4"/>
      <c r="W85" s="4"/>
      <c r="X85" s="4"/>
      <c r="Y85" s="4">
        <v>364</v>
      </c>
      <c r="Z85" s="4">
        <f t="shared" si="18"/>
        <v>364</v>
      </c>
      <c r="AA85" s="4">
        <v>237</v>
      </c>
      <c r="AB85" s="4">
        <f t="shared" si="19"/>
        <v>237</v>
      </c>
      <c r="AC85" s="4"/>
      <c r="AD85" s="21">
        <f>ROUND(M85*AR85,0)</f>
        <v>307</v>
      </c>
      <c r="AE85" s="6">
        <f>1-AB85/AD85</f>
        <v>0.2280130293159609</v>
      </c>
      <c r="AF85" s="33">
        <v>0</v>
      </c>
      <c r="AG85" s="4">
        <f t="shared" si="20"/>
        <v>599.5</v>
      </c>
      <c r="AH85" s="33">
        <f t="shared" si="22"/>
        <v>559.37598425196848</v>
      </c>
      <c r="AI85" s="6">
        <f>1-AB85/AH85</f>
        <v>0.57631359466221843</v>
      </c>
      <c r="AJ85" s="7">
        <v>364</v>
      </c>
      <c r="AK85" s="6">
        <f>1-AB85/AJ85</f>
        <v>0.34890109890109888</v>
      </c>
      <c r="AL85" s="4">
        <f>AJ85-AB85</f>
        <v>127</v>
      </c>
      <c r="AM85" s="28"/>
      <c r="AN85" s="6"/>
      <c r="AO85" s="6"/>
      <c r="AP85" s="6">
        <f>Z85/L85</f>
        <v>0.63859649122807016</v>
      </c>
      <c r="AQ85" s="6">
        <f>AJ85/M85</f>
        <v>1.1063829787234043</v>
      </c>
      <c r="AR85" s="6">
        <f>AB85/N85</f>
        <v>0.93307086614173229</v>
      </c>
      <c r="AS85" s="4"/>
      <c r="AT85" s="4"/>
      <c r="AU85" s="4"/>
      <c r="AV85" s="4"/>
      <c r="AW85" s="4"/>
      <c r="AX85" s="4"/>
      <c r="AY85" s="4"/>
      <c r="AZ85" s="4"/>
      <c r="BA85" s="4"/>
      <c r="BB85" s="4">
        <v>0</v>
      </c>
      <c r="BC85" s="4" t="s">
        <v>3639</v>
      </c>
      <c r="BD85" s="4">
        <v>1</v>
      </c>
      <c r="BE85" s="4">
        <v>2</v>
      </c>
      <c r="BF85" s="4" t="s">
        <v>3640</v>
      </c>
      <c r="BG85" s="4">
        <v>1199</v>
      </c>
      <c r="BH85" s="4">
        <v>1199</v>
      </c>
      <c r="BI85" s="4">
        <f t="shared" si="21"/>
        <v>599.5</v>
      </c>
      <c r="BJ85" s="19">
        <v>4</v>
      </c>
      <c r="BK85" s="19">
        <v>8</v>
      </c>
      <c r="BL85" s="16">
        <v>6</v>
      </c>
      <c r="BM85" s="45" t="s">
        <v>3534</v>
      </c>
      <c r="BN85" t="s">
        <v>3534</v>
      </c>
      <c r="BO85" t="str">
        <f t="shared" si="23"/>
        <v>-</v>
      </c>
      <c r="BP85" t="s">
        <v>3534</v>
      </c>
      <c r="BQ85">
        <v>392</v>
      </c>
      <c r="BR85">
        <f t="shared" si="24"/>
        <v>365.76377952755905</v>
      </c>
      <c r="BS85" t="s">
        <v>2579</v>
      </c>
    </row>
    <row r="86" spans="1:71" x14ac:dyDescent="0.4">
      <c r="A86" s="3">
        <v>83</v>
      </c>
      <c r="B86" s="3">
        <v>83</v>
      </c>
      <c r="C86" s="4" t="s">
        <v>145</v>
      </c>
      <c r="D86" s="4" t="str">
        <f t="shared" si="16"/>
        <v>J068MD</v>
      </c>
      <c r="E86" s="4" t="s">
        <v>145</v>
      </c>
      <c r="F86" s="4" t="s">
        <v>1364</v>
      </c>
      <c r="G86" s="5">
        <v>4521718149752</v>
      </c>
      <c r="H86" s="5"/>
      <c r="I86" s="5"/>
      <c r="J86" s="5">
        <v>1</v>
      </c>
      <c r="K86" s="5">
        <v>1</v>
      </c>
      <c r="L86" s="4">
        <v>480</v>
      </c>
      <c r="M86" s="4">
        <v>310</v>
      </c>
      <c r="N86" s="4">
        <v>213</v>
      </c>
      <c r="O86" s="6">
        <f t="shared" si="17"/>
        <v>0.31290322580645158</v>
      </c>
      <c r="P86" s="4" t="s">
        <v>2500</v>
      </c>
      <c r="Q86" s="4"/>
      <c r="R86" s="4"/>
      <c r="S86" s="4"/>
      <c r="T86" s="4"/>
      <c r="U86" s="4"/>
      <c r="V86" s="4"/>
      <c r="W86" s="4"/>
      <c r="X86" s="4"/>
      <c r="Y86" s="4">
        <v>328</v>
      </c>
      <c r="Z86" s="4">
        <f t="shared" si="18"/>
        <v>328</v>
      </c>
      <c r="AA86" s="4">
        <v>213</v>
      </c>
      <c r="AB86" s="4">
        <f t="shared" si="19"/>
        <v>213</v>
      </c>
      <c r="AC86" s="4"/>
      <c r="AD86" s="21">
        <f>ROUND(M86*AR86,0)</f>
        <v>310</v>
      </c>
      <c r="AE86" s="6">
        <f>1-AB86/AD86</f>
        <v>0.31290322580645158</v>
      </c>
      <c r="AF86" s="33">
        <v>0.25</v>
      </c>
      <c r="AG86" s="4">
        <f t="shared" si="20"/>
        <v>226</v>
      </c>
      <c r="AH86" s="33">
        <f t="shared" si="22"/>
        <v>226</v>
      </c>
      <c r="AI86" s="6">
        <f>1-AB86/AH86</f>
        <v>5.7522123893805288E-2</v>
      </c>
      <c r="AJ86" s="7">
        <f>ROUND(AB86/0.65,0)</f>
        <v>328</v>
      </c>
      <c r="AK86" s="6">
        <f>1-AB86/AJ86</f>
        <v>0.35060975609756095</v>
      </c>
      <c r="AL86" s="4">
        <f>AJ86-AB86</f>
        <v>115</v>
      </c>
      <c r="AM86" s="28"/>
      <c r="AN86" s="6"/>
      <c r="AO86" s="6"/>
      <c r="AP86" s="6">
        <f>Z86/L86</f>
        <v>0.68333333333333335</v>
      </c>
      <c r="AQ86" s="6">
        <f>AJ86/M86</f>
        <v>1.0580645161290323</v>
      </c>
      <c r="AR86" s="6">
        <f>AB86/N86</f>
        <v>1</v>
      </c>
      <c r="AS86" s="4"/>
      <c r="AT86" s="4"/>
      <c r="AU86" s="4"/>
      <c r="AV86" s="4"/>
      <c r="AW86" s="4"/>
      <c r="AX86" s="4"/>
      <c r="AY86" s="4"/>
      <c r="AZ86" s="4"/>
      <c r="BA86" s="4"/>
      <c r="BB86" s="4">
        <v>0</v>
      </c>
      <c r="BC86" s="4" t="s">
        <v>3641</v>
      </c>
      <c r="BD86" s="4"/>
      <c r="BE86" s="4"/>
      <c r="BF86" s="4" t="s">
        <v>3545</v>
      </c>
      <c r="BG86" s="4">
        <v>226</v>
      </c>
      <c r="BH86" s="4">
        <v>226</v>
      </c>
      <c r="BI86" s="4">
        <f t="shared" si="21"/>
        <v>226</v>
      </c>
      <c r="BJ86" s="19">
        <v>4</v>
      </c>
      <c r="BK86" s="19">
        <v>8</v>
      </c>
      <c r="BL86" s="16">
        <v>6</v>
      </c>
      <c r="BM86" s="45" t="s">
        <v>3534</v>
      </c>
      <c r="BN86" t="s">
        <v>3534</v>
      </c>
      <c r="BO86" t="str">
        <f t="shared" si="23"/>
        <v>-</v>
      </c>
      <c r="BP86" t="s">
        <v>3534</v>
      </c>
      <c r="BQ86">
        <v>310</v>
      </c>
      <c r="BR86">
        <f t="shared" si="24"/>
        <v>310</v>
      </c>
      <c r="BS86" t="s">
        <v>2580</v>
      </c>
    </row>
    <row r="87" spans="1:71" x14ac:dyDescent="0.4">
      <c r="A87" s="3">
        <v>84</v>
      </c>
      <c r="B87" s="3">
        <v>84</v>
      </c>
      <c r="C87" s="4" t="s">
        <v>146</v>
      </c>
      <c r="D87" s="4" t="str">
        <f t="shared" ref="D87:D150" si="25">TEXT(C87,"000000")</f>
        <v>J069MD</v>
      </c>
      <c r="E87" s="4" t="s">
        <v>146</v>
      </c>
      <c r="F87" s="4" t="s">
        <v>1365</v>
      </c>
      <c r="G87" s="5">
        <v>4521718149769</v>
      </c>
      <c r="H87" s="5"/>
      <c r="I87" s="5"/>
      <c r="J87" s="5">
        <v>1</v>
      </c>
      <c r="K87" s="5">
        <v>1</v>
      </c>
      <c r="L87" s="4">
        <v>480</v>
      </c>
      <c r="M87" s="4">
        <v>310</v>
      </c>
      <c r="N87" s="4">
        <v>213</v>
      </c>
      <c r="O87" s="6">
        <f t="shared" ref="O87:O150" si="26">1-N87/M87</f>
        <v>0.31290322580645158</v>
      </c>
      <c r="P87" s="4" t="s">
        <v>2500</v>
      </c>
      <c r="Q87" s="4"/>
      <c r="R87" s="4"/>
      <c r="S87" s="4"/>
      <c r="T87" s="4"/>
      <c r="U87" s="4"/>
      <c r="V87" s="4"/>
      <c r="W87" s="4"/>
      <c r="X87" s="4"/>
      <c r="Y87" s="4">
        <v>328</v>
      </c>
      <c r="Z87" s="4">
        <f t="shared" ref="Z87:Z150" si="27">IF(AC87="",Y87,Y87*AC87)</f>
        <v>328</v>
      </c>
      <c r="AA87" s="4">
        <v>213</v>
      </c>
      <c r="AB87" s="4">
        <f t="shared" ref="AB87:AB150" si="28">IF(AC87="",AA87,AA87*AC87)</f>
        <v>213</v>
      </c>
      <c r="AC87" s="4"/>
      <c r="AD87" s="21">
        <f>ROUND(M87*AR87,0)</f>
        <v>310</v>
      </c>
      <c r="AE87" s="6">
        <f>1-AB87/AD87</f>
        <v>0.31290322580645158</v>
      </c>
      <c r="AF87" s="33">
        <v>0.25</v>
      </c>
      <c r="AG87" s="4">
        <f t="shared" ref="AG87:AG150" si="29">BI87</f>
        <v>480</v>
      </c>
      <c r="AH87" s="33">
        <f t="shared" si="22"/>
        <v>480</v>
      </c>
      <c r="AI87" s="6">
        <f>1-AB87/AH87</f>
        <v>0.55625000000000002</v>
      </c>
      <c r="AJ87" s="7">
        <f>ROUND(AB87/0.65,0)</f>
        <v>328</v>
      </c>
      <c r="AK87" s="6">
        <f>1-AB87/AJ87</f>
        <v>0.35060975609756095</v>
      </c>
      <c r="AL87" s="4">
        <f>AJ87-AB87</f>
        <v>115</v>
      </c>
      <c r="AM87" s="28"/>
      <c r="AN87" s="6"/>
      <c r="AO87" s="6"/>
      <c r="AP87" s="6">
        <f>Z87/L87</f>
        <v>0.68333333333333335</v>
      </c>
      <c r="AQ87" s="6">
        <f>AJ87/M87</f>
        <v>1.0580645161290323</v>
      </c>
      <c r="AR87" s="6">
        <f>AB87/N87</f>
        <v>1</v>
      </c>
      <c r="AS87" s="4"/>
      <c r="AT87" s="4"/>
      <c r="AU87" s="4"/>
      <c r="AV87" s="4"/>
      <c r="AW87" s="4"/>
      <c r="AX87" s="4"/>
      <c r="AY87" s="4"/>
      <c r="AZ87" s="4"/>
      <c r="BA87" s="4"/>
      <c r="BB87" s="4">
        <v>0</v>
      </c>
      <c r="BC87" s="4" t="s">
        <v>3642</v>
      </c>
      <c r="BD87" s="4">
        <v>1</v>
      </c>
      <c r="BE87" s="4">
        <v>3</v>
      </c>
      <c r="BF87" s="4" t="s">
        <v>3638</v>
      </c>
      <c r="BG87" s="4">
        <v>1440</v>
      </c>
      <c r="BH87" s="4">
        <v>1440</v>
      </c>
      <c r="BI87" s="4">
        <f t="shared" ref="BI87:BI150" si="30">IF(BD87="",BH87,BD87/BE87*BH87)</f>
        <v>480</v>
      </c>
      <c r="BJ87" s="19">
        <v>4</v>
      </c>
      <c r="BK87" s="19">
        <v>8</v>
      </c>
      <c r="BL87" s="16">
        <v>6</v>
      </c>
      <c r="BM87" s="45" t="s">
        <v>3534</v>
      </c>
      <c r="BN87" t="s">
        <v>3534</v>
      </c>
      <c r="BO87" t="str">
        <f t="shared" si="23"/>
        <v>-</v>
      </c>
      <c r="BP87" t="s">
        <v>3534</v>
      </c>
      <c r="BQ87">
        <v>327</v>
      </c>
      <c r="BR87">
        <f t="shared" si="24"/>
        <v>327</v>
      </c>
      <c r="BS87" t="s">
        <v>2581</v>
      </c>
    </row>
    <row r="88" spans="1:71" x14ac:dyDescent="0.4">
      <c r="A88" s="3">
        <v>85</v>
      </c>
      <c r="B88" s="3">
        <v>85</v>
      </c>
      <c r="C88" s="4" t="s">
        <v>147</v>
      </c>
      <c r="D88" s="4" t="str">
        <f t="shared" si="25"/>
        <v>J069WG</v>
      </c>
      <c r="E88" s="4" t="s">
        <v>147</v>
      </c>
      <c r="F88" s="4" t="s">
        <v>1366</v>
      </c>
      <c r="G88" s="5">
        <v>4521718741673</v>
      </c>
      <c r="H88" s="5"/>
      <c r="I88" s="5"/>
      <c r="J88" s="5">
        <v>1</v>
      </c>
      <c r="K88" s="5">
        <v>1</v>
      </c>
      <c r="L88" s="4">
        <v>700</v>
      </c>
      <c r="M88" s="4">
        <v>680</v>
      </c>
      <c r="N88" s="4">
        <v>490</v>
      </c>
      <c r="O88" s="6">
        <f t="shared" si="26"/>
        <v>0.27941176470588236</v>
      </c>
      <c r="P88" s="4" t="s">
        <v>2500</v>
      </c>
      <c r="Q88" s="4"/>
      <c r="R88" s="4"/>
      <c r="S88" s="4"/>
      <c r="T88" s="4"/>
      <c r="U88" s="4"/>
      <c r="V88" s="4"/>
      <c r="W88" s="4"/>
      <c r="X88" s="4"/>
      <c r="Y88" s="4">
        <v>564</v>
      </c>
      <c r="Z88" s="4">
        <f t="shared" si="27"/>
        <v>564</v>
      </c>
      <c r="AA88" s="4">
        <v>395</v>
      </c>
      <c r="AB88" s="4">
        <f t="shared" si="28"/>
        <v>395</v>
      </c>
      <c r="AC88" s="4"/>
      <c r="AD88" s="21">
        <f>ROUND(M88*AR88,0)</f>
        <v>548</v>
      </c>
      <c r="AE88" s="6">
        <f>1-AB88/AD88</f>
        <v>0.27919708029197077</v>
      </c>
      <c r="AF88" s="33">
        <v>0</v>
      </c>
      <c r="AG88" s="4">
        <f t="shared" si="29"/>
        <v>700</v>
      </c>
      <c r="AH88" s="33">
        <f t="shared" si="22"/>
        <v>564.28571428571433</v>
      </c>
      <c r="AI88" s="6">
        <f>1-AB88/AH88</f>
        <v>0.30000000000000004</v>
      </c>
      <c r="AJ88" s="7">
        <v>564</v>
      </c>
      <c r="AK88" s="6">
        <f>1-AB88/AJ88</f>
        <v>0.29964539007092195</v>
      </c>
      <c r="AL88" s="4">
        <f>AJ88-AB88</f>
        <v>169</v>
      </c>
      <c r="AM88" s="28"/>
      <c r="AN88" s="6"/>
      <c r="AO88" s="6"/>
      <c r="AP88" s="6">
        <f>Z88/L88</f>
        <v>0.80571428571428572</v>
      </c>
      <c r="AQ88" s="6">
        <f>AJ88/M88</f>
        <v>0.8294117647058824</v>
      </c>
      <c r="AR88" s="6">
        <f>AB88/N88</f>
        <v>0.80612244897959184</v>
      </c>
      <c r="AS88" s="4"/>
      <c r="AT88" s="4"/>
      <c r="AU88" s="4"/>
      <c r="AV88" s="4"/>
      <c r="AW88" s="4"/>
      <c r="AX88" s="4"/>
      <c r="AY88" s="4"/>
      <c r="AZ88" s="4"/>
      <c r="BA88" s="4"/>
      <c r="BB88" s="4">
        <v>0</v>
      </c>
      <c r="BC88" s="4" t="s">
        <v>3643</v>
      </c>
      <c r="BD88" s="4">
        <v>1</v>
      </c>
      <c r="BE88" s="4">
        <v>2</v>
      </c>
      <c r="BF88" s="4" t="s">
        <v>3575</v>
      </c>
      <c r="BG88" s="4">
        <v>1400</v>
      </c>
      <c r="BH88" s="4">
        <v>1400</v>
      </c>
      <c r="BI88" s="4">
        <f t="shared" si="30"/>
        <v>700</v>
      </c>
      <c r="BJ88" s="19">
        <v>4</v>
      </c>
      <c r="BK88" s="19">
        <v>8</v>
      </c>
      <c r="BL88" s="16">
        <v>11</v>
      </c>
      <c r="BM88" s="45" t="s">
        <v>3534</v>
      </c>
      <c r="BN88" t="s">
        <v>3534</v>
      </c>
      <c r="BO88" t="str">
        <f t="shared" si="23"/>
        <v>-</v>
      </c>
      <c r="BP88">
        <v>564</v>
      </c>
      <c r="BQ88">
        <v>564</v>
      </c>
      <c r="BR88">
        <f t="shared" si="24"/>
        <v>454.65306122448982</v>
      </c>
      <c r="BS88" t="s">
        <v>2582</v>
      </c>
    </row>
    <row r="89" spans="1:71" x14ac:dyDescent="0.4">
      <c r="A89" s="3">
        <v>86</v>
      </c>
      <c r="B89" s="3">
        <v>86</v>
      </c>
      <c r="C89" s="4" t="s">
        <v>148</v>
      </c>
      <c r="D89" s="4" t="str">
        <f t="shared" si="25"/>
        <v>J068WG</v>
      </c>
      <c r="E89" s="4" t="s">
        <v>148</v>
      </c>
      <c r="F89" s="4" t="s">
        <v>1367</v>
      </c>
      <c r="G89" s="5">
        <v>4521718741185</v>
      </c>
      <c r="H89" s="5"/>
      <c r="I89" s="5"/>
      <c r="J89" s="5">
        <v>1</v>
      </c>
      <c r="K89" s="5">
        <v>1</v>
      </c>
      <c r="L89" s="4">
        <v>5400</v>
      </c>
      <c r="M89" s="4">
        <v>5400</v>
      </c>
      <c r="N89" s="4">
        <v>3780</v>
      </c>
      <c r="O89" s="6">
        <f t="shared" si="26"/>
        <v>0.30000000000000004</v>
      </c>
      <c r="P89" s="4" t="s">
        <v>2500</v>
      </c>
      <c r="Q89" s="4"/>
      <c r="R89" s="4"/>
      <c r="S89" s="4"/>
      <c r="T89" s="4"/>
      <c r="U89" s="4"/>
      <c r="V89" s="4"/>
      <c r="W89" s="4"/>
      <c r="X89" s="4"/>
      <c r="Y89" s="4">
        <v>5600</v>
      </c>
      <c r="Z89" s="4">
        <f t="shared" si="27"/>
        <v>5600</v>
      </c>
      <c r="AA89" s="4">
        <v>3920</v>
      </c>
      <c r="AB89" s="4">
        <f t="shared" si="28"/>
        <v>3920</v>
      </c>
      <c r="AC89" s="4"/>
      <c r="AD89" s="21">
        <f>ROUND(M89*AR89,0)</f>
        <v>5600</v>
      </c>
      <c r="AE89" s="6">
        <f>1-AB89/AD89</f>
        <v>0.30000000000000004</v>
      </c>
      <c r="AF89" s="33">
        <v>0</v>
      </c>
      <c r="AG89" s="4">
        <f t="shared" si="29"/>
        <v>5400</v>
      </c>
      <c r="AH89" s="33">
        <f t="shared" si="22"/>
        <v>5600</v>
      </c>
      <c r="AI89" s="6">
        <f>1-AB89/AH89</f>
        <v>0.30000000000000004</v>
      </c>
      <c r="AJ89" s="7">
        <v>5600</v>
      </c>
      <c r="AK89" s="6">
        <f>1-AB89/AJ89</f>
        <v>0.30000000000000004</v>
      </c>
      <c r="AL89" s="4">
        <f>AJ89-AB89</f>
        <v>1680</v>
      </c>
      <c r="AM89" s="28"/>
      <c r="AN89" s="6"/>
      <c r="AO89" s="6"/>
      <c r="AP89" s="6">
        <f>Z89/L89</f>
        <v>1.037037037037037</v>
      </c>
      <c r="AQ89" s="6">
        <f>AJ89/M89</f>
        <v>1.037037037037037</v>
      </c>
      <c r="AR89" s="6">
        <f>AB89/N89</f>
        <v>1.037037037037037</v>
      </c>
      <c r="AS89" s="4"/>
      <c r="AT89" s="4"/>
      <c r="AU89" s="4"/>
      <c r="AV89" s="4"/>
      <c r="AW89" s="4"/>
      <c r="AX89" s="4"/>
      <c r="AY89" s="4"/>
      <c r="AZ89" s="4"/>
      <c r="BA89" s="4"/>
      <c r="BB89" s="4">
        <v>0</v>
      </c>
      <c r="BC89" s="4" t="s">
        <v>3644</v>
      </c>
      <c r="BD89" s="4"/>
      <c r="BE89" s="4"/>
      <c r="BF89" s="4" t="s">
        <v>3555</v>
      </c>
      <c r="BG89" s="4">
        <v>5400</v>
      </c>
      <c r="BH89" s="4">
        <v>5400</v>
      </c>
      <c r="BI89" s="4">
        <f t="shared" si="30"/>
        <v>5400</v>
      </c>
      <c r="BJ89" s="19">
        <v>4</v>
      </c>
      <c r="BK89" s="19">
        <v>8</v>
      </c>
      <c r="BL89" s="16">
        <v>11</v>
      </c>
      <c r="BM89" s="45" t="s">
        <v>3534</v>
      </c>
      <c r="BN89" t="s">
        <v>3534</v>
      </c>
      <c r="BO89" t="str">
        <f t="shared" si="23"/>
        <v>-</v>
      </c>
      <c r="BP89">
        <v>5600</v>
      </c>
      <c r="BQ89">
        <v>5600</v>
      </c>
      <c r="BR89">
        <f t="shared" si="24"/>
        <v>5807.4074074074069</v>
      </c>
      <c r="BS89" t="s">
        <v>2583</v>
      </c>
    </row>
    <row r="90" spans="1:71" x14ac:dyDescent="0.4">
      <c r="A90" s="3">
        <v>87</v>
      </c>
      <c r="B90" s="3">
        <v>87</v>
      </c>
      <c r="C90" s="4" t="s">
        <v>149</v>
      </c>
      <c r="D90" s="4" t="str">
        <f t="shared" si="25"/>
        <v>J070MD</v>
      </c>
      <c r="E90" s="4" t="s">
        <v>149</v>
      </c>
      <c r="F90" s="4" t="s">
        <v>1368</v>
      </c>
      <c r="G90" s="5">
        <v>4521718149776</v>
      </c>
      <c r="H90" s="5"/>
      <c r="I90" s="5"/>
      <c r="J90" s="5">
        <v>1</v>
      </c>
      <c r="K90" s="5">
        <v>1</v>
      </c>
      <c r="L90" s="4">
        <v>480</v>
      </c>
      <c r="M90" s="4">
        <v>310</v>
      </c>
      <c r="N90" s="4">
        <v>213</v>
      </c>
      <c r="O90" s="6">
        <f t="shared" si="26"/>
        <v>0.31290322580645158</v>
      </c>
      <c r="P90" s="4" t="s">
        <v>2500</v>
      </c>
      <c r="Q90" s="4"/>
      <c r="R90" s="4"/>
      <c r="S90" s="4"/>
      <c r="T90" s="4"/>
      <c r="U90" s="4"/>
      <c r="V90" s="4"/>
      <c r="W90" s="4"/>
      <c r="X90" s="4"/>
      <c r="Y90" s="4">
        <v>328</v>
      </c>
      <c r="Z90" s="4">
        <f t="shared" si="27"/>
        <v>328</v>
      </c>
      <c r="AA90" s="4">
        <v>213</v>
      </c>
      <c r="AB90" s="4">
        <f t="shared" si="28"/>
        <v>213</v>
      </c>
      <c r="AC90" s="4"/>
      <c r="AD90" s="21">
        <f>ROUND(M90*AR90,0)</f>
        <v>310</v>
      </c>
      <c r="AE90" s="6">
        <f>1-AB90/AD90</f>
        <v>0.31290322580645158</v>
      </c>
      <c r="AF90" s="33">
        <v>0.5</v>
      </c>
      <c r="AG90" s="4">
        <f t="shared" si="29"/>
        <v>480</v>
      </c>
      <c r="AH90" s="33">
        <f t="shared" si="22"/>
        <v>480</v>
      </c>
      <c r="AI90" s="6">
        <f>1-AB90/AH90</f>
        <v>0.55625000000000002</v>
      </c>
      <c r="AJ90" s="7">
        <f>ROUND(AB90/0.65,0)</f>
        <v>328</v>
      </c>
      <c r="AK90" s="6">
        <f>1-AB90/AJ90</f>
        <v>0.35060975609756095</v>
      </c>
      <c r="AL90" s="4">
        <f>AJ90-AB90</f>
        <v>115</v>
      </c>
      <c r="AM90" s="28"/>
      <c r="AN90" s="6"/>
      <c r="AO90" s="6"/>
      <c r="AP90" s="6">
        <f>Z90/L90</f>
        <v>0.68333333333333335</v>
      </c>
      <c r="AQ90" s="6">
        <f>AJ90/M90</f>
        <v>1.0580645161290323</v>
      </c>
      <c r="AR90" s="6">
        <f>AB90/N90</f>
        <v>1</v>
      </c>
      <c r="AS90" s="4"/>
      <c r="AT90" s="4"/>
      <c r="AU90" s="4"/>
      <c r="AV90" s="4"/>
      <c r="AW90" s="4"/>
      <c r="AX90" s="4"/>
      <c r="AY90" s="4"/>
      <c r="AZ90" s="4"/>
      <c r="BA90" s="4"/>
      <c r="BB90" s="4">
        <v>0</v>
      </c>
      <c r="BC90" s="4" t="s">
        <v>3645</v>
      </c>
      <c r="BD90" s="4">
        <v>1</v>
      </c>
      <c r="BE90" s="4">
        <v>3</v>
      </c>
      <c r="BF90" s="4" t="s">
        <v>3638</v>
      </c>
      <c r="BG90" s="4">
        <v>1440</v>
      </c>
      <c r="BH90" s="4">
        <v>1440</v>
      </c>
      <c r="BI90" s="4">
        <f t="shared" si="30"/>
        <v>480</v>
      </c>
      <c r="BJ90" s="19">
        <v>4</v>
      </c>
      <c r="BK90" s="19">
        <v>8</v>
      </c>
      <c r="BL90" s="16">
        <v>6</v>
      </c>
      <c r="BM90" s="45" t="s">
        <v>3534</v>
      </c>
      <c r="BN90" t="s">
        <v>3534</v>
      </c>
      <c r="BO90" t="str">
        <f t="shared" si="23"/>
        <v>-</v>
      </c>
      <c r="BP90" t="s">
        <v>3534</v>
      </c>
      <c r="BQ90">
        <v>327</v>
      </c>
      <c r="BR90">
        <f t="shared" si="24"/>
        <v>327</v>
      </c>
      <c r="BS90" t="s">
        <v>2584</v>
      </c>
    </row>
    <row r="91" spans="1:71" x14ac:dyDescent="0.4">
      <c r="A91" s="3">
        <v>88</v>
      </c>
      <c r="B91" s="3">
        <v>88</v>
      </c>
      <c r="C91" s="4" t="s">
        <v>150</v>
      </c>
      <c r="D91" s="4" t="str">
        <f t="shared" si="25"/>
        <v>J070WG</v>
      </c>
      <c r="E91" s="4" t="s">
        <v>150</v>
      </c>
      <c r="F91" s="4" t="s">
        <v>1369</v>
      </c>
      <c r="G91" s="5">
        <v>4521718741680</v>
      </c>
      <c r="H91" s="5"/>
      <c r="I91" s="5"/>
      <c r="J91" s="5">
        <v>1</v>
      </c>
      <c r="K91" s="5">
        <v>1</v>
      </c>
      <c r="L91" s="4">
        <v>700</v>
      </c>
      <c r="M91" s="4">
        <v>680</v>
      </c>
      <c r="N91" s="4">
        <v>490</v>
      </c>
      <c r="O91" s="6">
        <f t="shared" si="26"/>
        <v>0.27941176470588236</v>
      </c>
      <c r="P91" s="4" t="s">
        <v>2500</v>
      </c>
      <c r="Q91" s="4"/>
      <c r="R91" s="4"/>
      <c r="S91" s="4"/>
      <c r="T91" s="4"/>
      <c r="U91" s="4"/>
      <c r="V91" s="4"/>
      <c r="W91" s="4"/>
      <c r="X91" s="4"/>
      <c r="Y91" s="4">
        <v>564</v>
      </c>
      <c r="Z91" s="4">
        <f t="shared" si="27"/>
        <v>564</v>
      </c>
      <c r="AA91" s="4">
        <v>395</v>
      </c>
      <c r="AB91" s="4">
        <f t="shared" si="28"/>
        <v>395</v>
      </c>
      <c r="AC91" s="4"/>
      <c r="AD91" s="21">
        <f>ROUND(M91*AR91,0)</f>
        <v>548</v>
      </c>
      <c r="AE91" s="6">
        <f>1-AB91/AD91</f>
        <v>0.27919708029197077</v>
      </c>
      <c r="AF91" s="33">
        <v>0</v>
      </c>
      <c r="AG91" s="4">
        <f t="shared" si="29"/>
        <v>700</v>
      </c>
      <c r="AH91" s="33">
        <f t="shared" si="22"/>
        <v>564.28571428571433</v>
      </c>
      <c r="AI91" s="6">
        <f>1-AB91/AH91</f>
        <v>0.30000000000000004</v>
      </c>
      <c r="AJ91" s="7">
        <v>564</v>
      </c>
      <c r="AK91" s="6">
        <f>1-AB91/AJ91</f>
        <v>0.29964539007092195</v>
      </c>
      <c r="AL91" s="4">
        <f>AJ91-AB91</f>
        <v>169</v>
      </c>
      <c r="AM91" s="28"/>
      <c r="AN91" s="6"/>
      <c r="AO91" s="6"/>
      <c r="AP91" s="6">
        <f>Z91/L91</f>
        <v>0.80571428571428572</v>
      </c>
      <c r="AQ91" s="6">
        <f>AJ91/M91</f>
        <v>0.8294117647058824</v>
      </c>
      <c r="AR91" s="6">
        <f>AB91/N91</f>
        <v>0.80612244897959184</v>
      </c>
      <c r="AS91" s="4"/>
      <c r="AT91" s="4"/>
      <c r="AU91" s="4"/>
      <c r="AV91" s="4"/>
      <c r="AW91" s="4"/>
      <c r="AX91" s="4"/>
      <c r="AY91" s="4"/>
      <c r="AZ91" s="4"/>
      <c r="BA91" s="4"/>
      <c r="BB91" s="4">
        <v>0</v>
      </c>
      <c r="BC91" s="4" t="s">
        <v>3646</v>
      </c>
      <c r="BD91" s="4">
        <v>1</v>
      </c>
      <c r="BE91" s="4">
        <v>2</v>
      </c>
      <c r="BF91" s="4" t="s">
        <v>3575</v>
      </c>
      <c r="BG91" s="4">
        <v>1400</v>
      </c>
      <c r="BH91" s="4">
        <v>1400</v>
      </c>
      <c r="BI91" s="4">
        <f t="shared" si="30"/>
        <v>700</v>
      </c>
      <c r="BJ91" s="19">
        <v>4</v>
      </c>
      <c r="BK91" s="19">
        <v>8</v>
      </c>
      <c r="BL91" s="16">
        <v>11</v>
      </c>
      <c r="BM91" s="45" t="s">
        <v>3534</v>
      </c>
      <c r="BN91" t="s">
        <v>3534</v>
      </c>
      <c r="BO91" t="str">
        <f t="shared" si="23"/>
        <v>-</v>
      </c>
      <c r="BP91">
        <v>564</v>
      </c>
      <c r="BQ91">
        <v>564</v>
      </c>
      <c r="BR91">
        <f t="shared" si="24"/>
        <v>454.65306122448982</v>
      </c>
      <c r="BS91" t="s">
        <v>2585</v>
      </c>
    </row>
    <row r="92" spans="1:71" x14ac:dyDescent="0.4">
      <c r="A92" s="3">
        <v>89</v>
      </c>
      <c r="B92" s="3">
        <v>89</v>
      </c>
      <c r="C92" s="4" t="s">
        <v>151</v>
      </c>
      <c r="D92" s="4" t="str">
        <f t="shared" si="25"/>
        <v>J071WG</v>
      </c>
      <c r="E92" s="4" t="s">
        <v>151</v>
      </c>
      <c r="F92" s="4" t="s">
        <v>1370</v>
      </c>
      <c r="G92" s="5">
        <v>4521718741697</v>
      </c>
      <c r="H92" s="5"/>
      <c r="I92" s="5"/>
      <c r="J92" s="5">
        <v>1</v>
      </c>
      <c r="K92" s="5">
        <v>1</v>
      </c>
      <c r="L92" s="4">
        <v>700</v>
      </c>
      <c r="M92" s="4">
        <v>680</v>
      </c>
      <c r="N92" s="4">
        <v>490</v>
      </c>
      <c r="O92" s="6">
        <f t="shared" si="26"/>
        <v>0.27941176470588236</v>
      </c>
      <c r="P92" s="4" t="s">
        <v>2500</v>
      </c>
      <c r="Q92" s="4"/>
      <c r="R92" s="4"/>
      <c r="S92" s="4"/>
      <c r="T92" s="4"/>
      <c r="U92" s="4"/>
      <c r="V92" s="4"/>
      <c r="W92" s="4"/>
      <c r="X92" s="4"/>
      <c r="Y92" s="4">
        <v>564</v>
      </c>
      <c r="Z92" s="4">
        <f t="shared" si="27"/>
        <v>564</v>
      </c>
      <c r="AA92" s="4">
        <v>395</v>
      </c>
      <c r="AB92" s="4">
        <f t="shared" si="28"/>
        <v>395</v>
      </c>
      <c r="AC92" s="4"/>
      <c r="AD92" s="21">
        <f>ROUND(M92*AR92,0)</f>
        <v>548</v>
      </c>
      <c r="AE92" s="6">
        <f>1-AB92/AD92</f>
        <v>0.27919708029197077</v>
      </c>
      <c r="AF92" s="33">
        <v>0</v>
      </c>
      <c r="AG92" s="4">
        <f t="shared" si="29"/>
        <v>700</v>
      </c>
      <c r="AH92" s="33">
        <f t="shared" si="22"/>
        <v>564.28571428571433</v>
      </c>
      <c r="AI92" s="6">
        <f>1-AB92/AH92</f>
        <v>0.30000000000000004</v>
      </c>
      <c r="AJ92" s="7">
        <v>564</v>
      </c>
      <c r="AK92" s="6">
        <f>1-AB92/AJ92</f>
        <v>0.29964539007092195</v>
      </c>
      <c r="AL92" s="4">
        <f>AJ92-AB92</f>
        <v>169</v>
      </c>
      <c r="AM92" s="28"/>
      <c r="AN92" s="6"/>
      <c r="AO92" s="6"/>
      <c r="AP92" s="6">
        <f>Z92/L92</f>
        <v>0.80571428571428572</v>
      </c>
      <c r="AQ92" s="6">
        <f>AJ92/M92</f>
        <v>0.8294117647058824</v>
      </c>
      <c r="AR92" s="6">
        <f>AB92/N92</f>
        <v>0.80612244897959184</v>
      </c>
      <c r="AS92" s="4"/>
      <c r="AT92" s="4"/>
      <c r="AU92" s="4"/>
      <c r="AV92" s="4"/>
      <c r="AW92" s="4"/>
      <c r="AX92" s="4"/>
      <c r="AY92" s="4"/>
      <c r="AZ92" s="4"/>
      <c r="BA92" s="4"/>
      <c r="BB92" s="4">
        <v>0</v>
      </c>
      <c r="BC92" s="4" t="s">
        <v>3647</v>
      </c>
      <c r="BD92" s="4">
        <v>1</v>
      </c>
      <c r="BE92" s="4">
        <v>2</v>
      </c>
      <c r="BF92" s="4" t="s">
        <v>3575</v>
      </c>
      <c r="BG92" s="4">
        <v>1400</v>
      </c>
      <c r="BH92" s="4">
        <v>1400</v>
      </c>
      <c r="BI92" s="4">
        <f t="shared" si="30"/>
        <v>700</v>
      </c>
      <c r="BJ92" s="19">
        <v>4</v>
      </c>
      <c r="BK92" s="19">
        <v>8</v>
      </c>
      <c r="BL92" s="16">
        <v>11</v>
      </c>
      <c r="BM92" s="45" t="s">
        <v>3534</v>
      </c>
      <c r="BN92" t="s">
        <v>3534</v>
      </c>
      <c r="BO92" t="str">
        <f t="shared" si="23"/>
        <v>-</v>
      </c>
      <c r="BP92">
        <v>564</v>
      </c>
      <c r="BQ92">
        <v>564</v>
      </c>
      <c r="BR92">
        <f t="shared" si="24"/>
        <v>454.65306122448982</v>
      </c>
      <c r="BS92" t="s">
        <v>2586</v>
      </c>
    </row>
    <row r="93" spans="1:71" x14ac:dyDescent="0.4">
      <c r="A93" s="3">
        <v>90</v>
      </c>
      <c r="B93" s="3">
        <v>90</v>
      </c>
      <c r="C93" s="4" t="s">
        <v>152</v>
      </c>
      <c r="D93" s="4" t="str">
        <f t="shared" si="25"/>
        <v>J076MD</v>
      </c>
      <c r="E93" s="4" t="s">
        <v>152</v>
      </c>
      <c r="F93" s="4" t="s">
        <v>1371</v>
      </c>
      <c r="G93" s="5">
        <v>4521718149950</v>
      </c>
      <c r="H93" s="5"/>
      <c r="I93" s="5"/>
      <c r="J93" s="5">
        <v>1</v>
      </c>
      <c r="K93" s="5">
        <v>1</v>
      </c>
      <c r="L93" s="4">
        <v>500</v>
      </c>
      <c r="M93" s="4">
        <v>290</v>
      </c>
      <c r="N93" s="4">
        <v>225</v>
      </c>
      <c r="O93" s="6">
        <f t="shared" si="26"/>
        <v>0.22413793103448276</v>
      </c>
      <c r="P93" s="4" t="s">
        <v>2500</v>
      </c>
      <c r="Q93" s="4"/>
      <c r="R93" s="4"/>
      <c r="S93" s="4"/>
      <c r="T93" s="4"/>
      <c r="U93" s="4"/>
      <c r="V93" s="4"/>
      <c r="W93" s="4"/>
      <c r="X93" s="4"/>
      <c r="Y93" s="4">
        <v>346</v>
      </c>
      <c r="Z93" s="4">
        <f t="shared" si="27"/>
        <v>346</v>
      </c>
      <c r="AA93" s="4">
        <v>225</v>
      </c>
      <c r="AB93" s="4">
        <f t="shared" si="28"/>
        <v>225</v>
      </c>
      <c r="AC93" s="4"/>
      <c r="AD93" s="21">
        <f>ROUND(M93*AR93,0)</f>
        <v>290</v>
      </c>
      <c r="AE93" s="6">
        <f>1-AB93/AD93</f>
        <v>0.22413793103448276</v>
      </c>
      <c r="AF93" s="33">
        <v>0.5</v>
      </c>
      <c r="AG93" s="4">
        <f t="shared" si="29"/>
        <v>226</v>
      </c>
      <c r="AH93" s="33">
        <f t="shared" si="22"/>
        <v>226</v>
      </c>
      <c r="AI93" s="6">
        <f>1-AB93/AH93</f>
        <v>4.4247787610619538E-3</v>
      </c>
      <c r="AJ93" s="7">
        <v>346</v>
      </c>
      <c r="AK93" s="6">
        <f>1-AB93/AJ93</f>
        <v>0.3497109826589595</v>
      </c>
      <c r="AL93" s="4">
        <f>AJ93-AB93</f>
        <v>121</v>
      </c>
      <c r="AM93" s="28"/>
      <c r="AN93" s="6"/>
      <c r="AO93" s="6"/>
      <c r="AP93" s="6">
        <f>Z93/L93</f>
        <v>0.69199999999999995</v>
      </c>
      <c r="AQ93" s="6">
        <f>AJ93/M93</f>
        <v>1.193103448275862</v>
      </c>
      <c r="AR93" s="6">
        <f>AB93/N93</f>
        <v>1</v>
      </c>
      <c r="AS93" s="4"/>
      <c r="AT93" s="4"/>
      <c r="AU93" s="4"/>
      <c r="AV93" s="4"/>
      <c r="AW93" s="4"/>
      <c r="AX93" s="4"/>
      <c r="AY93" s="4"/>
      <c r="AZ93" s="4"/>
      <c r="BA93" s="4"/>
      <c r="BB93" s="4">
        <v>0</v>
      </c>
      <c r="BC93" s="4" t="s">
        <v>3648</v>
      </c>
      <c r="BD93" s="4"/>
      <c r="BE93" s="4"/>
      <c r="BF93" s="4" t="s">
        <v>3649</v>
      </c>
      <c r="BG93" s="4">
        <v>226</v>
      </c>
      <c r="BH93" s="4">
        <v>226</v>
      </c>
      <c r="BI93" s="4">
        <f t="shared" si="30"/>
        <v>226</v>
      </c>
      <c r="BJ93" s="19">
        <v>4</v>
      </c>
      <c r="BK93" s="19">
        <v>8</v>
      </c>
      <c r="BL93" s="16">
        <v>6</v>
      </c>
      <c r="BM93" s="45" t="s">
        <v>3534</v>
      </c>
      <c r="BN93" t="s">
        <v>3534</v>
      </c>
      <c r="BO93" t="str">
        <f t="shared" si="23"/>
        <v>-</v>
      </c>
      <c r="BP93" t="s">
        <v>3534</v>
      </c>
      <c r="BQ93">
        <v>346</v>
      </c>
      <c r="BR93">
        <f t="shared" si="24"/>
        <v>346</v>
      </c>
      <c r="BS93" t="s">
        <v>2587</v>
      </c>
    </row>
    <row r="94" spans="1:71" x14ac:dyDescent="0.4">
      <c r="A94" s="3">
        <v>91</v>
      </c>
      <c r="B94" s="3">
        <v>91</v>
      </c>
      <c r="C94" s="4" t="s">
        <v>153</v>
      </c>
      <c r="D94" s="4" t="str">
        <f t="shared" si="25"/>
        <v>J077MD</v>
      </c>
      <c r="E94" s="4" t="s">
        <v>153</v>
      </c>
      <c r="F94" s="4" t="s">
        <v>1372</v>
      </c>
      <c r="G94" s="5">
        <v>4521718149967</v>
      </c>
      <c r="H94" s="5"/>
      <c r="I94" s="5"/>
      <c r="J94" s="5">
        <v>1</v>
      </c>
      <c r="K94" s="5">
        <v>1</v>
      </c>
      <c r="L94" s="4">
        <v>500</v>
      </c>
      <c r="M94" s="4">
        <v>290</v>
      </c>
      <c r="N94" s="4">
        <v>225</v>
      </c>
      <c r="O94" s="6">
        <f t="shared" si="26"/>
        <v>0.22413793103448276</v>
      </c>
      <c r="P94" s="4" t="s">
        <v>2500</v>
      </c>
      <c r="Q94" s="4"/>
      <c r="R94" s="4"/>
      <c r="S94" s="4"/>
      <c r="T94" s="4"/>
      <c r="U94" s="4"/>
      <c r="V94" s="4"/>
      <c r="W94" s="4"/>
      <c r="X94" s="4"/>
      <c r="Y94" s="4">
        <v>346</v>
      </c>
      <c r="Z94" s="4">
        <f t="shared" si="27"/>
        <v>346</v>
      </c>
      <c r="AA94" s="4">
        <v>225</v>
      </c>
      <c r="AB94" s="4">
        <f t="shared" si="28"/>
        <v>225</v>
      </c>
      <c r="AC94" s="4"/>
      <c r="AD94" s="21">
        <f>ROUND(M94*AR94,0)</f>
        <v>290</v>
      </c>
      <c r="AE94" s="6">
        <f>1-AB94/AD94</f>
        <v>0.22413793103448276</v>
      </c>
      <c r="AF94" s="33">
        <v>0.25</v>
      </c>
      <c r="AG94" s="4">
        <f t="shared" si="29"/>
        <v>231</v>
      </c>
      <c r="AH94" s="33">
        <f t="shared" si="22"/>
        <v>231</v>
      </c>
      <c r="AI94" s="6">
        <f>1-AB94/AH94</f>
        <v>2.5974025974025983E-2</v>
      </c>
      <c r="AJ94" s="7">
        <v>346</v>
      </c>
      <c r="AK94" s="6">
        <f>1-AB94/AJ94</f>
        <v>0.3497109826589595</v>
      </c>
      <c r="AL94" s="4">
        <f>AJ94-AB94</f>
        <v>121</v>
      </c>
      <c r="AM94" s="28"/>
      <c r="AN94" s="6"/>
      <c r="AO94" s="6"/>
      <c r="AP94" s="6">
        <f>Z94/L94</f>
        <v>0.69199999999999995</v>
      </c>
      <c r="AQ94" s="6">
        <f>AJ94/M94</f>
        <v>1.193103448275862</v>
      </c>
      <c r="AR94" s="6">
        <f>AB94/N94</f>
        <v>1</v>
      </c>
      <c r="AS94" s="4"/>
      <c r="AT94" s="4"/>
      <c r="AU94" s="4"/>
      <c r="AV94" s="4"/>
      <c r="AW94" s="4"/>
      <c r="AX94" s="4"/>
      <c r="AY94" s="4"/>
      <c r="AZ94" s="4"/>
      <c r="BA94" s="4"/>
      <c r="BB94" s="4">
        <v>0</v>
      </c>
      <c r="BC94" s="4" t="s">
        <v>3650</v>
      </c>
      <c r="BD94" s="4"/>
      <c r="BE94" s="4"/>
      <c r="BF94" s="4" t="s">
        <v>3649</v>
      </c>
      <c r="BG94" s="4">
        <v>231</v>
      </c>
      <c r="BH94" s="4">
        <v>231</v>
      </c>
      <c r="BI94" s="4">
        <f t="shared" si="30"/>
        <v>231</v>
      </c>
      <c r="BJ94" s="19">
        <v>4</v>
      </c>
      <c r="BK94" s="19">
        <v>8</v>
      </c>
      <c r="BL94" s="16">
        <v>6</v>
      </c>
      <c r="BM94" s="45" t="s">
        <v>3534</v>
      </c>
      <c r="BN94" t="s">
        <v>3534</v>
      </c>
      <c r="BO94" t="str">
        <f t="shared" si="23"/>
        <v>-</v>
      </c>
      <c r="BP94" t="s">
        <v>3534</v>
      </c>
      <c r="BQ94">
        <v>346</v>
      </c>
      <c r="BR94">
        <f t="shared" si="24"/>
        <v>346</v>
      </c>
      <c r="BS94" t="s">
        <v>2588</v>
      </c>
    </row>
    <row r="95" spans="1:71" x14ac:dyDescent="0.4">
      <c r="A95" s="3">
        <v>92</v>
      </c>
      <c r="B95" s="3">
        <v>92</v>
      </c>
      <c r="C95" s="4" t="s">
        <v>154</v>
      </c>
      <c r="D95" s="4" t="str">
        <f t="shared" si="25"/>
        <v>J078MD</v>
      </c>
      <c r="E95" s="4" t="s">
        <v>154</v>
      </c>
      <c r="F95" s="4" t="s">
        <v>1373</v>
      </c>
      <c r="G95" s="5">
        <v>4521718149974</v>
      </c>
      <c r="H95" s="5"/>
      <c r="I95" s="5"/>
      <c r="J95" s="5">
        <v>1</v>
      </c>
      <c r="K95" s="5">
        <v>1</v>
      </c>
      <c r="L95" s="4">
        <v>500</v>
      </c>
      <c r="M95" s="4">
        <v>290</v>
      </c>
      <c r="N95" s="4">
        <v>225</v>
      </c>
      <c r="O95" s="6">
        <f t="shared" si="26"/>
        <v>0.22413793103448276</v>
      </c>
      <c r="P95" s="4" t="s">
        <v>2500</v>
      </c>
      <c r="Q95" s="4"/>
      <c r="R95" s="4"/>
      <c r="S95" s="4"/>
      <c r="T95" s="4"/>
      <c r="U95" s="4"/>
      <c r="V95" s="4"/>
      <c r="W95" s="4"/>
      <c r="X95" s="4"/>
      <c r="Y95" s="4">
        <v>346</v>
      </c>
      <c r="Z95" s="4">
        <f t="shared" si="27"/>
        <v>346</v>
      </c>
      <c r="AA95" s="4">
        <v>225</v>
      </c>
      <c r="AB95" s="4">
        <f t="shared" si="28"/>
        <v>225</v>
      </c>
      <c r="AC95" s="4"/>
      <c r="AD95" s="21">
        <f>ROUND(M95*AR95,0)</f>
        <v>290</v>
      </c>
      <c r="AE95" s="6">
        <f>1-AB95/AD95</f>
        <v>0.22413793103448276</v>
      </c>
      <c r="AF95" s="33">
        <v>0</v>
      </c>
      <c r="AG95" s="4">
        <f t="shared" si="29"/>
        <v>535.33333333333326</v>
      </c>
      <c r="AH95" s="33">
        <f t="shared" si="22"/>
        <v>535.33333333333326</v>
      </c>
      <c r="AI95" s="6">
        <f>1-AB95/AH95</f>
        <v>0.57970112079701108</v>
      </c>
      <c r="AJ95" s="7">
        <v>346</v>
      </c>
      <c r="AK95" s="6">
        <f>1-AB95/AJ95</f>
        <v>0.3497109826589595</v>
      </c>
      <c r="AL95" s="4">
        <f>AJ95-AB95</f>
        <v>121</v>
      </c>
      <c r="AM95" s="28"/>
      <c r="AN95" s="6"/>
      <c r="AO95" s="6"/>
      <c r="AP95" s="6">
        <f>Z95/L95</f>
        <v>0.69199999999999995</v>
      </c>
      <c r="AQ95" s="6">
        <f>AJ95/M95</f>
        <v>1.193103448275862</v>
      </c>
      <c r="AR95" s="6">
        <f>AB95/N95</f>
        <v>1</v>
      </c>
      <c r="AS95" s="4"/>
      <c r="AT95" s="4"/>
      <c r="AU95" s="4"/>
      <c r="AV95" s="4"/>
      <c r="AW95" s="4"/>
      <c r="AX95" s="4"/>
      <c r="AY95" s="4"/>
      <c r="AZ95" s="4"/>
      <c r="BA95" s="4"/>
      <c r="BB95" s="4">
        <v>0</v>
      </c>
      <c r="BC95" s="4" t="s">
        <v>3651</v>
      </c>
      <c r="BD95" s="4">
        <v>1</v>
      </c>
      <c r="BE95" s="4">
        <v>3</v>
      </c>
      <c r="BF95" s="4" t="s">
        <v>3636</v>
      </c>
      <c r="BG95" s="4">
        <v>1606</v>
      </c>
      <c r="BH95" s="4">
        <v>1606</v>
      </c>
      <c r="BI95" s="4">
        <f t="shared" si="30"/>
        <v>535.33333333333326</v>
      </c>
      <c r="BJ95" s="19">
        <v>4</v>
      </c>
      <c r="BK95" s="19">
        <v>8</v>
      </c>
      <c r="BL95" s="16">
        <v>6</v>
      </c>
      <c r="BM95" s="45" t="s">
        <v>3534</v>
      </c>
      <c r="BN95" t="s">
        <v>3534</v>
      </c>
      <c r="BO95" t="str">
        <f t="shared" si="23"/>
        <v>-</v>
      </c>
      <c r="BP95" t="s">
        <v>3534</v>
      </c>
      <c r="BQ95">
        <v>346</v>
      </c>
      <c r="BR95">
        <f t="shared" si="24"/>
        <v>346</v>
      </c>
      <c r="BS95" t="s">
        <v>2589</v>
      </c>
    </row>
    <row r="96" spans="1:71" x14ac:dyDescent="0.4">
      <c r="A96" s="3">
        <v>93</v>
      </c>
      <c r="B96" s="3">
        <v>93</v>
      </c>
      <c r="C96" s="4" t="s">
        <v>155</v>
      </c>
      <c r="D96" s="4" t="str">
        <f t="shared" si="25"/>
        <v>J079MD</v>
      </c>
      <c r="E96" s="4" t="s">
        <v>155</v>
      </c>
      <c r="F96" s="4" t="s">
        <v>1374</v>
      </c>
      <c r="G96" s="5">
        <v>4521718149981</v>
      </c>
      <c r="H96" s="5"/>
      <c r="I96" s="5"/>
      <c r="J96" s="5">
        <v>1</v>
      </c>
      <c r="K96" s="5">
        <v>1</v>
      </c>
      <c r="L96" s="4">
        <v>500</v>
      </c>
      <c r="M96" s="4">
        <v>290</v>
      </c>
      <c r="N96" s="4">
        <v>225</v>
      </c>
      <c r="O96" s="6">
        <f t="shared" si="26"/>
        <v>0.22413793103448276</v>
      </c>
      <c r="P96" s="4" t="s">
        <v>2500</v>
      </c>
      <c r="Q96" s="4"/>
      <c r="R96" s="4"/>
      <c r="S96" s="4"/>
      <c r="T96" s="4"/>
      <c r="U96" s="4"/>
      <c r="V96" s="4"/>
      <c r="W96" s="4"/>
      <c r="X96" s="4"/>
      <c r="Y96" s="4">
        <v>346</v>
      </c>
      <c r="Z96" s="4">
        <f t="shared" si="27"/>
        <v>346</v>
      </c>
      <c r="AA96" s="4">
        <v>225</v>
      </c>
      <c r="AB96" s="4">
        <f t="shared" si="28"/>
        <v>225</v>
      </c>
      <c r="AC96" s="4"/>
      <c r="AD96" s="21">
        <f>ROUND(M96*AR96,0)</f>
        <v>290</v>
      </c>
      <c r="AE96" s="6">
        <f>1-AB96/AD96</f>
        <v>0.22413793103448276</v>
      </c>
      <c r="AF96" s="33">
        <v>0.75</v>
      </c>
      <c r="AG96" s="4">
        <f t="shared" si="29"/>
        <v>535.33333333333326</v>
      </c>
      <c r="AH96" s="33">
        <f t="shared" si="22"/>
        <v>535.33333333333326</v>
      </c>
      <c r="AI96" s="6">
        <f>1-AB96/AH96</f>
        <v>0.57970112079701108</v>
      </c>
      <c r="AJ96" s="7">
        <v>346</v>
      </c>
      <c r="AK96" s="6">
        <f>1-AB96/AJ96</f>
        <v>0.3497109826589595</v>
      </c>
      <c r="AL96" s="4">
        <f>AJ96-AB96</f>
        <v>121</v>
      </c>
      <c r="AM96" s="28"/>
      <c r="AN96" s="6"/>
      <c r="AO96" s="6"/>
      <c r="AP96" s="6">
        <f>Z96/L96</f>
        <v>0.69199999999999995</v>
      </c>
      <c r="AQ96" s="6">
        <f>AJ96/M96</f>
        <v>1.193103448275862</v>
      </c>
      <c r="AR96" s="6">
        <f>AB96/N96</f>
        <v>1</v>
      </c>
      <c r="AS96" s="4"/>
      <c r="AT96" s="4"/>
      <c r="AU96" s="4"/>
      <c r="AV96" s="4"/>
      <c r="AW96" s="4"/>
      <c r="AX96" s="4"/>
      <c r="AY96" s="4"/>
      <c r="AZ96" s="4"/>
      <c r="BA96" s="4"/>
      <c r="BB96" s="4">
        <v>0</v>
      </c>
      <c r="BC96" s="4" t="s">
        <v>3652</v>
      </c>
      <c r="BD96" s="4">
        <v>1</v>
      </c>
      <c r="BE96" s="4">
        <v>3</v>
      </c>
      <c r="BF96" s="4" t="s">
        <v>3636</v>
      </c>
      <c r="BG96" s="4">
        <v>1606</v>
      </c>
      <c r="BH96" s="4">
        <v>1606</v>
      </c>
      <c r="BI96" s="4">
        <f t="shared" si="30"/>
        <v>535.33333333333326</v>
      </c>
      <c r="BJ96" s="19">
        <v>4</v>
      </c>
      <c r="BK96" s="19">
        <v>8</v>
      </c>
      <c r="BL96" s="16">
        <v>6</v>
      </c>
      <c r="BM96" s="45" t="s">
        <v>3534</v>
      </c>
      <c r="BN96" t="s">
        <v>3534</v>
      </c>
      <c r="BO96" t="str">
        <f t="shared" si="23"/>
        <v>-</v>
      </c>
      <c r="BP96" t="s">
        <v>3534</v>
      </c>
      <c r="BQ96">
        <v>346</v>
      </c>
      <c r="BR96">
        <f t="shared" si="24"/>
        <v>346</v>
      </c>
      <c r="BS96" t="s">
        <v>2590</v>
      </c>
    </row>
    <row r="97" spans="1:71" x14ac:dyDescent="0.4">
      <c r="A97" s="3">
        <v>94</v>
      </c>
      <c r="B97" s="3">
        <v>94</v>
      </c>
      <c r="C97" s="4" t="s">
        <v>156</v>
      </c>
      <c r="D97" s="4" t="str">
        <f t="shared" si="25"/>
        <v>J080MD</v>
      </c>
      <c r="E97" s="4" t="s">
        <v>156</v>
      </c>
      <c r="F97" s="4" t="s">
        <v>1375</v>
      </c>
      <c r="G97" s="5">
        <v>4521718149998</v>
      </c>
      <c r="H97" s="5"/>
      <c r="I97" s="5"/>
      <c r="J97" s="5">
        <v>1</v>
      </c>
      <c r="K97" s="5">
        <v>1</v>
      </c>
      <c r="L97" s="4">
        <v>570</v>
      </c>
      <c r="M97" s="4">
        <v>328</v>
      </c>
      <c r="N97" s="4">
        <v>254</v>
      </c>
      <c r="O97" s="6">
        <f t="shared" si="26"/>
        <v>0.22560975609756095</v>
      </c>
      <c r="P97" s="4" t="s">
        <v>2500</v>
      </c>
      <c r="Q97" s="4"/>
      <c r="R97" s="4"/>
      <c r="S97" s="4"/>
      <c r="T97" s="4"/>
      <c r="U97" s="4"/>
      <c r="V97" s="4"/>
      <c r="W97" s="4"/>
      <c r="X97" s="4"/>
      <c r="Y97" s="4">
        <v>391</v>
      </c>
      <c r="Z97" s="4">
        <f t="shared" si="27"/>
        <v>391</v>
      </c>
      <c r="AA97" s="4">
        <v>254</v>
      </c>
      <c r="AB97" s="4">
        <f t="shared" si="28"/>
        <v>254</v>
      </c>
      <c r="AC97" s="4"/>
      <c r="AD97" s="21">
        <f>ROUND(M97*AR97,0)</f>
        <v>328</v>
      </c>
      <c r="AE97" s="6">
        <f>1-AB97/AD97</f>
        <v>0.22560975609756095</v>
      </c>
      <c r="AF97" s="33">
        <v>0</v>
      </c>
      <c r="AG97" s="4">
        <f t="shared" si="29"/>
        <v>252</v>
      </c>
      <c r="AH97" s="33">
        <f t="shared" si="22"/>
        <v>252</v>
      </c>
      <c r="AI97" s="6">
        <f>1-AB97/AH97</f>
        <v>-7.9365079365079083E-3</v>
      </c>
      <c r="AJ97" s="7">
        <f>ROUND(AB97/0.65,0)</f>
        <v>391</v>
      </c>
      <c r="AK97" s="6">
        <f>1-AB97/AJ97</f>
        <v>0.35038363171355502</v>
      </c>
      <c r="AL97" s="4">
        <f>AJ97-AB97</f>
        <v>137</v>
      </c>
      <c r="AM97" s="28"/>
      <c r="AN97" s="6"/>
      <c r="AO97" s="6"/>
      <c r="AP97" s="6">
        <f>Z97/L97</f>
        <v>0.68596491228070178</v>
      </c>
      <c r="AQ97" s="6">
        <f>AJ97/M97</f>
        <v>1.1920731707317074</v>
      </c>
      <c r="AR97" s="6">
        <f>AB97/N97</f>
        <v>1</v>
      </c>
      <c r="AS97" s="4"/>
      <c r="AT97" s="4"/>
      <c r="AU97" s="4"/>
      <c r="AV97" s="4"/>
      <c r="AW97" s="4"/>
      <c r="AX97" s="4"/>
      <c r="AY97" s="4"/>
      <c r="AZ97" s="4"/>
      <c r="BA97" s="4"/>
      <c r="BB97" s="4">
        <v>0</v>
      </c>
      <c r="BC97" s="4" t="s">
        <v>3653</v>
      </c>
      <c r="BD97" s="4"/>
      <c r="BE97" s="4"/>
      <c r="BF97" s="4" t="s">
        <v>3649</v>
      </c>
      <c r="BG97" s="4">
        <v>252</v>
      </c>
      <c r="BH97" s="4">
        <v>252</v>
      </c>
      <c r="BI97" s="4">
        <f t="shared" si="30"/>
        <v>252</v>
      </c>
      <c r="BJ97" s="19">
        <v>4</v>
      </c>
      <c r="BK97" s="19">
        <v>8</v>
      </c>
      <c r="BL97" s="16">
        <v>6</v>
      </c>
      <c r="BM97" s="45" t="s">
        <v>3534</v>
      </c>
      <c r="BN97" t="s">
        <v>3534</v>
      </c>
      <c r="BO97" t="str">
        <f t="shared" si="23"/>
        <v>-</v>
      </c>
      <c r="BP97" t="s">
        <v>3534</v>
      </c>
      <c r="BQ97">
        <v>392</v>
      </c>
      <c r="BR97">
        <f t="shared" si="24"/>
        <v>392</v>
      </c>
      <c r="BS97" t="s">
        <v>2591</v>
      </c>
    </row>
    <row r="98" spans="1:71" x14ac:dyDescent="0.4">
      <c r="A98" s="3">
        <v>95</v>
      </c>
      <c r="B98" s="3">
        <v>95</v>
      </c>
      <c r="C98" s="4" t="s">
        <v>157</v>
      </c>
      <c r="D98" s="4" t="str">
        <f t="shared" si="25"/>
        <v>J079WL</v>
      </c>
      <c r="E98" s="4" t="s">
        <v>157</v>
      </c>
      <c r="F98" s="4" t="s">
        <v>1376</v>
      </c>
      <c r="G98" s="5">
        <v>4521718216379</v>
      </c>
      <c r="H98" s="5"/>
      <c r="I98" s="5"/>
      <c r="J98" s="5">
        <v>1</v>
      </c>
      <c r="K98" s="5">
        <v>1</v>
      </c>
      <c r="L98" s="4">
        <v>610</v>
      </c>
      <c r="M98" s="4">
        <v>392</v>
      </c>
      <c r="N98" s="4">
        <v>274</v>
      </c>
      <c r="O98" s="6">
        <f t="shared" si="26"/>
        <v>0.30102040816326525</v>
      </c>
      <c r="P98" s="4" t="s">
        <v>2500</v>
      </c>
      <c r="Q98" s="4"/>
      <c r="R98" s="4"/>
      <c r="S98" s="4"/>
      <c r="T98" s="4"/>
      <c r="U98" s="4"/>
      <c r="V98" s="4"/>
      <c r="W98" s="4"/>
      <c r="X98" s="4"/>
      <c r="Y98" s="4">
        <v>391</v>
      </c>
      <c r="Z98" s="4">
        <f t="shared" si="27"/>
        <v>391</v>
      </c>
      <c r="AA98" s="4">
        <v>274</v>
      </c>
      <c r="AB98" s="4">
        <f t="shared" si="28"/>
        <v>274</v>
      </c>
      <c r="AC98" s="4"/>
      <c r="AD98" s="21">
        <f>ROUND(M98*AR98,0)</f>
        <v>392</v>
      </c>
      <c r="AE98" s="6">
        <f>1-AB98/AD98</f>
        <v>0.30102040816326525</v>
      </c>
      <c r="AF98" s="33">
        <v>0</v>
      </c>
      <c r="AG98" s="4">
        <f t="shared" si="29"/>
        <v>610</v>
      </c>
      <c r="AH98" s="33">
        <f t="shared" si="22"/>
        <v>610</v>
      </c>
      <c r="AI98" s="6">
        <f>1-AB98/AH98</f>
        <v>0.55081967213114758</v>
      </c>
      <c r="AJ98" s="7">
        <v>391</v>
      </c>
      <c r="AK98" s="6">
        <f>1-AB98/AJ98</f>
        <v>0.29923273657289007</v>
      </c>
      <c r="AL98" s="4">
        <f>AJ98-AB98</f>
        <v>117</v>
      </c>
      <c r="AM98" s="28"/>
      <c r="AN98" s="6"/>
      <c r="AO98" s="6"/>
      <c r="AP98" s="6">
        <f>Z98/L98</f>
        <v>0.64098360655737707</v>
      </c>
      <c r="AQ98" s="6">
        <f>AJ98/M98</f>
        <v>0.99744897959183676</v>
      </c>
      <c r="AR98" s="6">
        <f>AB98/N98</f>
        <v>1</v>
      </c>
      <c r="AS98" s="4"/>
      <c r="AT98" s="4"/>
      <c r="AU98" s="4"/>
      <c r="AV98" s="4"/>
      <c r="AW98" s="4"/>
      <c r="AX98" s="4"/>
      <c r="AY98" s="4"/>
      <c r="AZ98" s="4"/>
      <c r="BA98" s="4"/>
      <c r="BB98" s="4">
        <v>0</v>
      </c>
      <c r="BC98" s="4" t="s">
        <v>3654</v>
      </c>
      <c r="BD98" s="4">
        <v>1</v>
      </c>
      <c r="BE98" s="4">
        <v>3</v>
      </c>
      <c r="BF98" s="4" t="s">
        <v>3623</v>
      </c>
      <c r="BG98" s="4">
        <v>1830</v>
      </c>
      <c r="BH98" s="4">
        <v>1830</v>
      </c>
      <c r="BI98" s="4">
        <f t="shared" si="30"/>
        <v>610</v>
      </c>
      <c r="BJ98" s="19">
        <v>4</v>
      </c>
      <c r="BK98" s="19">
        <v>8</v>
      </c>
      <c r="BL98" s="16">
        <v>6</v>
      </c>
      <c r="BM98" s="45" t="s">
        <v>3534</v>
      </c>
      <c r="BN98" t="s">
        <v>3534</v>
      </c>
      <c r="BO98" t="str">
        <f t="shared" si="23"/>
        <v>-</v>
      </c>
      <c r="BP98" t="s">
        <v>3534</v>
      </c>
      <c r="BQ98" t="s">
        <v>3534</v>
      </c>
      <c r="BR98" t="str">
        <f t="shared" si="24"/>
        <v>-</v>
      </c>
      <c r="BS98" t="s">
        <v>2592</v>
      </c>
    </row>
    <row r="99" spans="1:71" x14ac:dyDescent="0.4">
      <c r="A99" s="3">
        <v>96</v>
      </c>
      <c r="B99" s="3">
        <v>96</v>
      </c>
      <c r="C99" s="4" t="s">
        <v>158</v>
      </c>
      <c r="D99" s="4" t="str">
        <f t="shared" si="25"/>
        <v>J081MD</v>
      </c>
      <c r="E99" s="4" t="s">
        <v>158</v>
      </c>
      <c r="F99" s="4" t="s">
        <v>1377</v>
      </c>
      <c r="G99" s="5">
        <v>4521718150000</v>
      </c>
      <c r="H99" s="5"/>
      <c r="I99" s="5"/>
      <c r="J99" s="5">
        <v>1</v>
      </c>
      <c r="K99" s="5">
        <v>1</v>
      </c>
      <c r="L99" s="4">
        <v>570</v>
      </c>
      <c r="M99" s="4">
        <v>328</v>
      </c>
      <c r="N99" s="4">
        <v>254</v>
      </c>
      <c r="O99" s="6">
        <f t="shared" si="26"/>
        <v>0.22560975609756095</v>
      </c>
      <c r="P99" s="4" t="s">
        <v>2500</v>
      </c>
      <c r="Q99" s="4"/>
      <c r="R99" s="4"/>
      <c r="S99" s="4"/>
      <c r="T99" s="4"/>
      <c r="U99" s="4"/>
      <c r="V99" s="4"/>
      <c r="W99" s="4"/>
      <c r="X99" s="4"/>
      <c r="Y99" s="4">
        <v>391</v>
      </c>
      <c r="Z99" s="4">
        <f t="shared" si="27"/>
        <v>391</v>
      </c>
      <c r="AA99" s="4">
        <v>254</v>
      </c>
      <c r="AB99" s="4">
        <f t="shared" si="28"/>
        <v>254</v>
      </c>
      <c r="AC99" s="4"/>
      <c r="AD99" s="21">
        <f>ROUND(M99*AR99,0)</f>
        <v>328</v>
      </c>
      <c r="AE99" s="6">
        <f>1-AB99/AD99</f>
        <v>0.22560975609756095</v>
      </c>
      <c r="AF99" s="33">
        <v>0.5</v>
      </c>
      <c r="AG99" s="4">
        <f t="shared" si="29"/>
        <v>290</v>
      </c>
      <c r="AH99" s="33">
        <f t="shared" si="22"/>
        <v>290</v>
      </c>
      <c r="AI99" s="6">
        <f>1-AB99/AH99</f>
        <v>0.12413793103448278</v>
      </c>
      <c r="AJ99" s="7">
        <f>ROUND(AB99/0.65,0)</f>
        <v>391</v>
      </c>
      <c r="AK99" s="6">
        <f>1-AB99/AJ99</f>
        <v>0.35038363171355502</v>
      </c>
      <c r="AL99" s="4">
        <f>AJ99-AB99</f>
        <v>137</v>
      </c>
      <c r="AM99" s="28"/>
      <c r="AN99" s="6"/>
      <c r="AO99" s="6"/>
      <c r="AP99" s="6">
        <f>Z99/L99</f>
        <v>0.68596491228070178</v>
      </c>
      <c r="AQ99" s="6">
        <f>AJ99/M99</f>
        <v>1.1920731707317074</v>
      </c>
      <c r="AR99" s="6">
        <f>AB99/N99</f>
        <v>1</v>
      </c>
      <c r="AS99" s="4"/>
      <c r="AT99" s="4"/>
      <c r="AU99" s="4"/>
      <c r="AV99" s="4"/>
      <c r="AW99" s="4"/>
      <c r="AX99" s="4"/>
      <c r="AY99" s="4"/>
      <c r="AZ99" s="4"/>
      <c r="BA99" s="4"/>
      <c r="BB99" s="4">
        <v>0</v>
      </c>
      <c r="BC99" s="4" t="s">
        <v>3655</v>
      </c>
      <c r="BD99" s="4"/>
      <c r="BE99" s="4"/>
      <c r="BF99" s="4" t="s">
        <v>3649</v>
      </c>
      <c r="BG99" s="4">
        <v>290</v>
      </c>
      <c r="BH99" s="4">
        <v>290</v>
      </c>
      <c r="BI99" s="4">
        <f t="shared" si="30"/>
        <v>290</v>
      </c>
      <c r="BJ99" s="19">
        <v>4</v>
      </c>
      <c r="BK99" s="19">
        <v>8</v>
      </c>
      <c r="BL99" s="16">
        <v>6</v>
      </c>
      <c r="BM99" s="45" t="s">
        <v>3534</v>
      </c>
      <c r="BN99" t="s">
        <v>3534</v>
      </c>
      <c r="BO99" t="str">
        <f t="shared" si="23"/>
        <v>-</v>
      </c>
      <c r="BP99" t="s">
        <v>3534</v>
      </c>
      <c r="BQ99">
        <v>392</v>
      </c>
      <c r="BR99">
        <f t="shared" si="24"/>
        <v>392</v>
      </c>
      <c r="BS99" t="s">
        <v>2593</v>
      </c>
    </row>
    <row r="100" spans="1:71" x14ac:dyDescent="0.4">
      <c r="A100" s="3">
        <v>97</v>
      </c>
      <c r="B100" s="3">
        <v>97</v>
      </c>
      <c r="C100" s="4" t="s">
        <v>159</v>
      </c>
      <c r="D100" s="4" t="str">
        <f t="shared" si="25"/>
        <v>J081WL</v>
      </c>
      <c r="E100" s="4" t="s">
        <v>159</v>
      </c>
      <c r="F100" s="4" t="s">
        <v>1378</v>
      </c>
      <c r="G100" s="5">
        <v>4521718746272</v>
      </c>
      <c r="H100" s="5"/>
      <c r="I100" s="5"/>
      <c r="J100" s="5">
        <v>1</v>
      </c>
      <c r="K100" s="5">
        <v>1</v>
      </c>
      <c r="L100" s="4">
        <v>400</v>
      </c>
      <c r="M100" s="4">
        <v>253</v>
      </c>
      <c r="N100" s="4">
        <v>177</v>
      </c>
      <c r="O100" s="6">
        <f t="shared" si="26"/>
        <v>0.30039525691699609</v>
      </c>
      <c r="P100" s="4" t="s">
        <v>2500</v>
      </c>
      <c r="Q100" s="4"/>
      <c r="R100" s="4"/>
      <c r="S100" s="4"/>
      <c r="T100" s="4"/>
      <c r="U100" s="4"/>
      <c r="V100" s="4"/>
      <c r="W100" s="4"/>
      <c r="X100" s="4"/>
      <c r="Y100" s="4">
        <v>400</v>
      </c>
      <c r="Z100" s="4">
        <f t="shared" si="27"/>
        <v>400</v>
      </c>
      <c r="AA100" s="4">
        <v>180</v>
      </c>
      <c r="AB100" s="4">
        <f t="shared" si="28"/>
        <v>180</v>
      </c>
      <c r="AC100" s="4"/>
      <c r="AD100" s="21">
        <f>ROUND(M100*AR100,0)</f>
        <v>257</v>
      </c>
      <c r="AE100" s="6">
        <f>1-AB100/AD100</f>
        <v>0.29961089494163429</v>
      </c>
      <c r="AF100" s="33">
        <v>0</v>
      </c>
      <c r="AG100" s="4">
        <f t="shared" si="29"/>
        <v>400</v>
      </c>
      <c r="AH100" s="33">
        <f t="shared" si="22"/>
        <v>406.77966101694915</v>
      </c>
      <c r="AI100" s="6">
        <f>1-AB100/AH100</f>
        <v>0.5575</v>
      </c>
      <c r="AJ100" s="7">
        <f>ROUND(AB100/0.65,0)</f>
        <v>277</v>
      </c>
      <c r="AK100" s="6">
        <f>1-AB100/AJ100</f>
        <v>0.35018050541516244</v>
      </c>
      <c r="AL100" s="4">
        <f>AJ100-AB100</f>
        <v>97</v>
      </c>
      <c r="AM100" s="28"/>
      <c r="AN100" s="6"/>
      <c r="AO100" s="6"/>
      <c r="AP100" s="6">
        <f>Z100/L100</f>
        <v>1</v>
      </c>
      <c r="AQ100" s="6">
        <f>AJ100/M100</f>
        <v>1.0948616600790513</v>
      </c>
      <c r="AR100" s="6">
        <f>AB100/N100</f>
        <v>1.0169491525423728</v>
      </c>
      <c r="AS100" s="4"/>
      <c r="AT100" s="4"/>
      <c r="AU100" s="4"/>
      <c r="AV100" s="4"/>
      <c r="AW100" s="4"/>
      <c r="AX100" s="4"/>
      <c r="AY100" s="4"/>
      <c r="AZ100" s="4"/>
      <c r="BA100" s="4"/>
      <c r="BB100" s="4">
        <v>0</v>
      </c>
      <c r="BC100" s="4" t="s">
        <v>3656</v>
      </c>
      <c r="BD100" s="4">
        <v>1</v>
      </c>
      <c r="BE100" s="4">
        <v>4</v>
      </c>
      <c r="BF100" s="4" t="s">
        <v>3579</v>
      </c>
      <c r="BG100" s="4">
        <v>1600</v>
      </c>
      <c r="BH100" s="4">
        <v>1600</v>
      </c>
      <c r="BI100" s="4">
        <f t="shared" si="30"/>
        <v>400</v>
      </c>
      <c r="BJ100" s="19">
        <v>4</v>
      </c>
      <c r="BK100" s="19">
        <v>8</v>
      </c>
      <c r="BL100" s="16">
        <v>6</v>
      </c>
      <c r="BM100" s="45" t="s">
        <v>3534</v>
      </c>
      <c r="BN100" t="s">
        <v>3534</v>
      </c>
      <c r="BO100" t="str">
        <f t="shared" si="23"/>
        <v>-</v>
      </c>
      <c r="BP100" t="s">
        <v>3534</v>
      </c>
      <c r="BQ100" t="s">
        <v>3534</v>
      </c>
      <c r="BR100" t="str">
        <f t="shared" si="24"/>
        <v>-</v>
      </c>
      <c r="BS100" t="s">
        <v>2594</v>
      </c>
    </row>
    <row r="101" spans="1:71" x14ac:dyDescent="0.4">
      <c r="A101" s="3">
        <v>98</v>
      </c>
      <c r="B101" s="3">
        <v>98</v>
      </c>
      <c r="C101" s="4" t="s">
        <v>160</v>
      </c>
      <c r="D101" s="4" t="str">
        <f t="shared" si="25"/>
        <v>J082MD</v>
      </c>
      <c r="E101" s="4" t="s">
        <v>160</v>
      </c>
      <c r="F101" s="4" t="s">
        <v>1379</v>
      </c>
      <c r="G101" s="5">
        <v>4521718150017</v>
      </c>
      <c r="H101" s="5"/>
      <c r="I101" s="5"/>
      <c r="J101" s="5">
        <v>1</v>
      </c>
      <c r="K101" s="5">
        <v>1</v>
      </c>
      <c r="L101" s="4">
        <v>570</v>
      </c>
      <c r="M101" s="4">
        <v>328</v>
      </c>
      <c r="N101" s="4">
        <v>254</v>
      </c>
      <c r="O101" s="6">
        <f t="shared" si="26"/>
        <v>0.22560975609756095</v>
      </c>
      <c r="P101" s="4" t="s">
        <v>2500</v>
      </c>
      <c r="Q101" s="4"/>
      <c r="R101" s="4"/>
      <c r="S101" s="4"/>
      <c r="T101" s="4"/>
      <c r="U101" s="4"/>
      <c r="V101" s="4"/>
      <c r="W101" s="4"/>
      <c r="X101" s="4"/>
      <c r="Y101" s="4">
        <v>391</v>
      </c>
      <c r="Z101" s="4">
        <f t="shared" si="27"/>
        <v>391</v>
      </c>
      <c r="AA101" s="4">
        <v>254</v>
      </c>
      <c r="AB101" s="4">
        <f t="shared" si="28"/>
        <v>254</v>
      </c>
      <c r="AC101" s="4"/>
      <c r="AD101" s="21">
        <f>ROUND(M101*AR101,0)</f>
        <v>328</v>
      </c>
      <c r="AE101" s="6">
        <f>1-AB101/AD101</f>
        <v>0.22560975609756095</v>
      </c>
      <c r="AF101" s="33">
        <v>0</v>
      </c>
      <c r="AG101" s="4">
        <f t="shared" si="29"/>
        <v>290</v>
      </c>
      <c r="AH101" s="33">
        <f t="shared" si="22"/>
        <v>290</v>
      </c>
      <c r="AI101" s="6">
        <f>1-AB101/AH101</f>
        <v>0.12413793103448278</v>
      </c>
      <c r="AJ101" s="7">
        <f>ROUND(AB101/0.65,0)</f>
        <v>391</v>
      </c>
      <c r="AK101" s="6">
        <f>1-AB101/AJ101</f>
        <v>0.35038363171355502</v>
      </c>
      <c r="AL101" s="4">
        <f>AJ101-AB101</f>
        <v>137</v>
      </c>
      <c r="AM101" s="28"/>
      <c r="AN101" s="6"/>
      <c r="AO101" s="6"/>
      <c r="AP101" s="6">
        <f>Z101/L101</f>
        <v>0.68596491228070178</v>
      </c>
      <c r="AQ101" s="6">
        <f>AJ101/M101</f>
        <v>1.1920731707317074</v>
      </c>
      <c r="AR101" s="6">
        <f>AB101/N101</f>
        <v>1</v>
      </c>
      <c r="AS101" s="4"/>
      <c r="AT101" s="4"/>
      <c r="AU101" s="4"/>
      <c r="AV101" s="4"/>
      <c r="AW101" s="4"/>
      <c r="AX101" s="4"/>
      <c r="AY101" s="4"/>
      <c r="AZ101" s="4"/>
      <c r="BA101" s="4"/>
      <c r="BB101" s="4">
        <v>0</v>
      </c>
      <c r="BC101" s="4" t="s">
        <v>3657</v>
      </c>
      <c r="BD101" s="4"/>
      <c r="BE101" s="4"/>
      <c r="BF101" s="4" t="s">
        <v>3649</v>
      </c>
      <c r="BG101" s="4">
        <v>290</v>
      </c>
      <c r="BH101" s="4">
        <v>290</v>
      </c>
      <c r="BI101" s="4">
        <f t="shared" si="30"/>
        <v>290</v>
      </c>
      <c r="BJ101" s="19">
        <v>4</v>
      </c>
      <c r="BK101" s="19">
        <v>8</v>
      </c>
      <c r="BL101" s="16">
        <v>6</v>
      </c>
      <c r="BM101" s="45" t="s">
        <v>3534</v>
      </c>
      <c r="BN101" t="s">
        <v>3534</v>
      </c>
      <c r="BO101" t="str">
        <f t="shared" si="23"/>
        <v>-</v>
      </c>
      <c r="BP101" t="s">
        <v>3534</v>
      </c>
      <c r="BQ101">
        <v>392</v>
      </c>
      <c r="BR101">
        <f t="shared" si="24"/>
        <v>392</v>
      </c>
      <c r="BS101" t="s">
        <v>2595</v>
      </c>
    </row>
    <row r="102" spans="1:71" x14ac:dyDescent="0.4">
      <c r="A102" s="3">
        <v>99</v>
      </c>
      <c r="B102" s="3">
        <v>99</v>
      </c>
      <c r="C102" s="4" t="s">
        <v>161</v>
      </c>
      <c r="D102" s="4" t="str">
        <f t="shared" si="25"/>
        <v>J083MD</v>
      </c>
      <c r="E102" s="4" t="s">
        <v>161</v>
      </c>
      <c r="F102" s="4" t="s">
        <v>1380</v>
      </c>
      <c r="G102" s="5">
        <v>4521718150024</v>
      </c>
      <c r="H102" s="5"/>
      <c r="I102" s="5"/>
      <c r="J102" s="5">
        <v>1</v>
      </c>
      <c r="K102" s="5">
        <v>1</v>
      </c>
      <c r="L102" s="4">
        <v>570</v>
      </c>
      <c r="M102" s="4">
        <v>328</v>
      </c>
      <c r="N102" s="4">
        <v>254</v>
      </c>
      <c r="O102" s="6">
        <f t="shared" si="26"/>
        <v>0.22560975609756095</v>
      </c>
      <c r="P102" s="4" t="s">
        <v>2500</v>
      </c>
      <c r="Q102" s="4"/>
      <c r="R102" s="4"/>
      <c r="S102" s="4"/>
      <c r="T102" s="4"/>
      <c r="U102" s="4"/>
      <c r="V102" s="4"/>
      <c r="W102" s="4"/>
      <c r="X102" s="4"/>
      <c r="Y102" s="4">
        <v>391</v>
      </c>
      <c r="Z102" s="4">
        <f t="shared" si="27"/>
        <v>391</v>
      </c>
      <c r="AA102" s="4">
        <v>254</v>
      </c>
      <c r="AB102" s="4">
        <f t="shared" si="28"/>
        <v>254</v>
      </c>
      <c r="AC102" s="4"/>
      <c r="AD102" s="21">
        <f>ROUND(M102*AR102,0)</f>
        <v>328</v>
      </c>
      <c r="AE102" s="6">
        <f>1-AB102/AD102</f>
        <v>0.22560975609756095</v>
      </c>
      <c r="AF102" s="33">
        <v>0</v>
      </c>
      <c r="AG102" s="4">
        <f t="shared" si="29"/>
        <v>594.5</v>
      </c>
      <c r="AH102" s="33">
        <f t="shared" si="22"/>
        <v>594.5</v>
      </c>
      <c r="AI102" s="6">
        <f>1-AB102/AH102</f>
        <v>0.57275021026072337</v>
      </c>
      <c r="AJ102" s="7">
        <f>ROUND(AB102/0.65,0)</f>
        <v>391</v>
      </c>
      <c r="AK102" s="6">
        <f>1-AB102/AJ102</f>
        <v>0.35038363171355502</v>
      </c>
      <c r="AL102" s="4">
        <f>AJ102-AB102</f>
        <v>137</v>
      </c>
      <c r="AM102" s="28"/>
      <c r="AN102" s="6"/>
      <c r="AO102" s="6"/>
      <c r="AP102" s="6">
        <f>Z102/L102</f>
        <v>0.68596491228070178</v>
      </c>
      <c r="AQ102" s="6">
        <f>AJ102/M102</f>
        <v>1.1920731707317074</v>
      </c>
      <c r="AR102" s="6">
        <f>AB102/N102</f>
        <v>1</v>
      </c>
      <c r="AS102" s="4"/>
      <c r="AT102" s="4"/>
      <c r="AU102" s="4"/>
      <c r="AV102" s="4"/>
      <c r="AW102" s="4"/>
      <c r="AX102" s="4"/>
      <c r="AY102" s="4"/>
      <c r="AZ102" s="4"/>
      <c r="BA102" s="4"/>
      <c r="BB102" s="4">
        <v>0</v>
      </c>
      <c r="BC102" s="4" t="s">
        <v>3658</v>
      </c>
      <c r="BD102" s="4">
        <v>1</v>
      </c>
      <c r="BE102" s="4">
        <v>2</v>
      </c>
      <c r="BF102" s="4" t="s">
        <v>3659</v>
      </c>
      <c r="BG102" s="4">
        <v>1189</v>
      </c>
      <c r="BH102" s="4">
        <v>1189</v>
      </c>
      <c r="BI102" s="4">
        <f t="shared" si="30"/>
        <v>594.5</v>
      </c>
      <c r="BJ102" s="19">
        <v>4</v>
      </c>
      <c r="BK102" s="19">
        <v>8</v>
      </c>
      <c r="BL102" s="16">
        <v>6</v>
      </c>
      <c r="BM102" s="45" t="s">
        <v>3534</v>
      </c>
      <c r="BN102" t="s">
        <v>3534</v>
      </c>
      <c r="BO102" t="str">
        <f t="shared" si="23"/>
        <v>-</v>
      </c>
      <c r="BP102" t="s">
        <v>3534</v>
      </c>
      <c r="BQ102">
        <v>392</v>
      </c>
      <c r="BR102">
        <f t="shared" si="24"/>
        <v>392</v>
      </c>
      <c r="BS102" t="s">
        <v>2596</v>
      </c>
    </row>
    <row r="103" spans="1:71" x14ac:dyDescent="0.4">
      <c r="A103" s="3">
        <v>100</v>
      </c>
      <c r="B103" s="3">
        <v>100</v>
      </c>
      <c r="C103" s="4" t="s">
        <v>162</v>
      </c>
      <c r="D103" s="4" t="str">
        <f t="shared" si="25"/>
        <v>J083WL</v>
      </c>
      <c r="E103" s="4" t="s">
        <v>162</v>
      </c>
      <c r="F103" s="4" t="s">
        <v>1381</v>
      </c>
      <c r="G103" s="5">
        <v>4521718929378</v>
      </c>
      <c r="H103" s="5"/>
      <c r="I103" s="5"/>
      <c r="J103" s="5">
        <v>1</v>
      </c>
      <c r="K103" s="5">
        <v>1</v>
      </c>
      <c r="L103" s="4">
        <v>450</v>
      </c>
      <c r="M103" s="4">
        <v>289</v>
      </c>
      <c r="N103" s="4">
        <v>202</v>
      </c>
      <c r="O103" s="6">
        <f t="shared" si="26"/>
        <v>0.30103806228373697</v>
      </c>
      <c r="P103" s="4" t="s">
        <v>2500</v>
      </c>
      <c r="Q103" s="4"/>
      <c r="R103" s="4"/>
      <c r="S103" s="4"/>
      <c r="T103" s="4"/>
      <c r="U103" s="4"/>
      <c r="V103" s="4"/>
      <c r="W103" s="4"/>
      <c r="X103" s="4"/>
      <c r="Y103" s="4">
        <v>455</v>
      </c>
      <c r="Z103" s="4">
        <f t="shared" si="27"/>
        <v>455</v>
      </c>
      <c r="AA103" s="4">
        <v>205</v>
      </c>
      <c r="AB103" s="4">
        <f t="shared" si="28"/>
        <v>205</v>
      </c>
      <c r="AC103" s="4"/>
      <c r="AD103" s="21">
        <f>ROUND(M103*AR103,0)</f>
        <v>293</v>
      </c>
      <c r="AE103" s="6">
        <f>1-AB103/AD103</f>
        <v>0.30034129692832767</v>
      </c>
      <c r="AF103" s="33">
        <v>0</v>
      </c>
      <c r="AG103" s="4">
        <f t="shared" si="29"/>
        <v>450</v>
      </c>
      <c r="AH103" s="33">
        <f t="shared" si="22"/>
        <v>456.68316831683171</v>
      </c>
      <c r="AI103" s="6">
        <f>1-AB103/AH103</f>
        <v>0.55111111111111111</v>
      </c>
      <c r="AJ103" s="7">
        <f>ROUND(AB103/0.65,0)</f>
        <v>315</v>
      </c>
      <c r="AK103" s="6">
        <f>1-AB103/AJ103</f>
        <v>0.34920634920634919</v>
      </c>
      <c r="AL103" s="4">
        <f>AJ103-AB103</f>
        <v>110</v>
      </c>
      <c r="AM103" s="28"/>
      <c r="AN103" s="6"/>
      <c r="AO103" s="6"/>
      <c r="AP103" s="6">
        <f>Z103/L103</f>
        <v>1.0111111111111111</v>
      </c>
      <c r="AQ103" s="6">
        <f>AJ103/M103</f>
        <v>1.0899653979238755</v>
      </c>
      <c r="AR103" s="6">
        <f>AB103/N103</f>
        <v>1.0148514851485149</v>
      </c>
      <c r="AS103" s="4"/>
      <c r="AT103" s="4"/>
      <c r="AU103" s="4"/>
      <c r="AV103" s="4"/>
      <c r="AW103" s="4"/>
      <c r="AX103" s="4"/>
      <c r="AY103" s="4"/>
      <c r="AZ103" s="4"/>
      <c r="BA103" s="4"/>
      <c r="BB103" s="4">
        <v>0</v>
      </c>
      <c r="BC103" s="4" t="s">
        <v>3660</v>
      </c>
      <c r="BD103" s="4">
        <v>1</v>
      </c>
      <c r="BE103" s="4">
        <v>4</v>
      </c>
      <c r="BF103" s="4" t="s">
        <v>3579</v>
      </c>
      <c r="BG103" s="4">
        <v>1800</v>
      </c>
      <c r="BH103" s="4">
        <v>1800</v>
      </c>
      <c r="BI103" s="4">
        <f t="shared" si="30"/>
        <v>450</v>
      </c>
      <c r="BJ103" s="19">
        <v>4</v>
      </c>
      <c r="BK103" s="19">
        <v>8</v>
      </c>
      <c r="BL103" s="16">
        <v>6</v>
      </c>
      <c r="BM103" s="45" t="s">
        <v>3534</v>
      </c>
      <c r="BN103" t="s">
        <v>3534</v>
      </c>
      <c r="BO103" t="str">
        <f t="shared" si="23"/>
        <v>-</v>
      </c>
      <c r="BP103" t="s">
        <v>3534</v>
      </c>
      <c r="BQ103" t="s">
        <v>3534</v>
      </c>
      <c r="BR103" t="str">
        <f t="shared" si="24"/>
        <v>-</v>
      </c>
      <c r="BS103" t="s">
        <v>2597</v>
      </c>
    </row>
    <row r="104" spans="1:71" x14ac:dyDescent="0.4">
      <c r="A104" s="3">
        <v>101</v>
      </c>
      <c r="B104" s="3">
        <v>101</v>
      </c>
      <c r="C104" s="4" t="s">
        <v>163</v>
      </c>
      <c r="D104" s="4" t="str">
        <f t="shared" si="25"/>
        <v>J084MD</v>
      </c>
      <c r="E104" s="4" t="s">
        <v>163</v>
      </c>
      <c r="F104" s="4" t="s">
        <v>1382</v>
      </c>
      <c r="G104" s="5">
        <v>4521718150031</v>
      </c>
      <c r="H104" s="5"/>
      <c r="I104" s="5"/>
      <c r="J104" s="5">
        <v>1</v>
      </c>
      <c r="K104" s="5">
        <v>1</v>
      </c>
      <c r="L104" s="4">
        <v>610</v>
      </c>
      <c r="M104" s="4">
        <v>350</v>
      </c>
      <c r="N104" s="4">
        <v>272</v>
      </c>
      <c r="O104" s="6">
        <f t="shared" si="26"/>
        <v>0.22285714285714286</v>
      </c>
      <c r="P104" s="4" t="s">
        <v>2500</v>
      </c>
      <c r="Q104" s="4"/>
      <c r="R104" s="4"/>
      <c r="S104" s="4"/>
      <c r="T104" s="4"/>
      <c r="U104" s="4"/>
      <c r="V104" s="4"/>
      <c r="W104" s="4"/>
      <c r="X104" s="4"/>
      <c r="Y104" s="4">
        <v>419</v>
      </c>
      <c r="Z104" s="4">
        <f t="shared" si="27"/>
        <v>419</v>
      </c>
      <c r="AA104" s="4">
        <v>272</v>
      </c>
      <c r="AB104" s="4">
        <f t="shared" si="28"/>
        <v>272</v>
      </c>
      <c r="AC104" s="4"/>
      <c r="AD104" s="21">
        <f>ROUND(M104*AR104,0)</f>
        <v>350</v>
      </c>
      <c r="AE104" s="6">
        <f>1-AB104/AD104</f>
        <v>0.22285714285714286</v>
      </c>
      <c r="AF104" s="33">
        <v>0</v>
      </c>
      <c r="AG104" s="4">
        <f t="shared" si="29"/>
        <v>523.5</v>
      </c>
      <c r="AH104" s="33">
        <f t="shared" si="22"/>
        <v>523.5</v>
      </c>
      <c r="AI104" s="6">
        <f>1-AB104/AH104</f>
        <v>0.48042024832855779</v>
      </c>
      <c r="AJ104" s="7">
        <f>ROUND(AB104/0.65,0)</f>
        <v>418</v>
      </c>
      <c r="AK104" s="6">
        <f>1-AB104/AJ104</f>
        <v>0.34928229665071775</v>
      </c>
      <c r="AL104" s="4">
        <f>AJ104-AB104</f>
        <v>146</v>
      </c>
      <c r="AM104" s="28"/>
      <c r="AN104" s="6"/>
      <c r="AO104" s="6"/>
      <c r="AP104" s="6">
        <f>Z104/L104</f>
        <v>0.68688524590163935</v>
      </c>
      <c r="AQ104" s="6">
        <f>AJ104/M104</f>
        <v>1.1942857142857144</v>
      </c>
      <c r="AR104" s="6">
        <f>AB104/N104</f>
        <v>1</v>
      </c>
      <c r="AS104" s="4"/>
      <c r="AT104" s="4"/>
      <c r="AU104" s="4"/>
      <c r="AV104" s="4"/>
      <c r="AW104" s="4"/>
      <c r="AX104" s="4"/>
      <c r="AY104" s="4"/>
      <c r="AZ104" s="4"/>
      <c r="BA104" s="4"/>
      <c r="BB104" s="4">
        <v>0</v>
      </c>
      <c r="BC104" s="4" t="s">
        <v>3661</v>
      </c>
      <c r="BD104" s="4">
        <v>1</v>
      </c>
      <c r="BE104" s="4">
        <v>2</v>
      </c>
      <c r="BF104" s="4" t="s">
        <v>3662</v>
      </c>
      <c r="BG104" s="4">
        <v>1047</v>
      </c>
      <c r="BH104" s="4">
        <v>1047</v>
      </c>
      <c r="BI104" s="4">
        <f t="shared" si="30"/>
        <v>523.5</v>
      </c>
      <c r="BJ104" s="19">
        <v>4</v>
      </c>
      <c r="BK104" s="19">
        <v>8</v>
      </c>
      <c r="BL104" s="16">
        <v>6</v>
      </c>
      <c r="BM104" s="45" t="s">
        <v>3534</v>
      </c>
      <c r="BN104" t="s">
        <v>3534</v>
      </c>
      <c r="BO104" t="str">
        <f t="shared" si="23"/>
        <v>-</v>
      </c>
      <c r="BP104" t="s">
        <v>3534</v>
      </c>
      <c r="BQ104">
        <v>420</v>
      </c>
      <c r="BR104">
        <f t="shared" si="24"/>
        <v>420</v>
      </c>
      <c r="BS104" t="s">
        <v>2598</v>
      </c>
    </row>
    <row r="105" spans="1:71" x14ac:dyDescent="0.4">
      <c r="A105" s="3">
        <v>102</v>
      </c>
      <c r="B105" s="3">
        <v>102</v>
      </c>
      <c r="C105" s="4" t="s">
        <v>164</v>
      </c>
      <c r="D105" s="4" t="str">
        <f t="shared" si="25"/>
        <v>J085MD</v>
      </c>
      <c r="E105" s="4" t="s">
        <v>164</v>
      </c>
      <c r="F105" s="4" t="s">
        <v>1383</v>
      </c>
      <c r="G105" s="5">
        <v>4521718150048</v>
      </c>
      <c r="H105" s="5"/>
      <c r="I105" s="5"/>
      <c r="J105" s="5">
        <v>1</v>
      </c>
      <c r="K105" s="5">
        <v>1</v>
      </c>
      <c r="L105" s="4">
        <v>610</v>
      </c>
      <c r="M105" s="4">
        <v>350</v>
      </c>
      <c r="N105" s="4">
        <v>272</v>
      </c>
      <c r="O105" s="6">
        <f t="shared" si="26"/>
        <v>0.22285714285714286</v>
      </c>
      <c r="P105" s="4" t="s">
        <v>2500</v>
      </c>
      <c r="Q105" s="4"/>
      <c r="R105" s="4"/>
      <c r="S105" s="4"/>
      <c r="T105" s="4"/>
      <c r="U105" s="4"/>
      <c r="V105" s="4"/>
      <c r="W105" s="4"/>
      <c r="X105" s="4"/>
      <c r="Y105" s="4">
        <v>419</v>
      </c>
      <c r="Z105" s="4">
        <f t="shared" si="27"/>
        <v>419</v>
      </c>
      <c r="AA105" s="4">
        <v>272</v>
      </c>
      <c r="AB105" s="4">
        <f t="shared" si="28"/>
        <v>272</v>
      </c>
      <c r="AC105" s="4"/>
      <c r="AD105" s="21">
        <f>ROUND(M105*AR105,0)</f>
        <v>350</v>
      </c>
      <c r="AE105" s="6">
        <f>1-AB105/AD105</f>
        <v>0.22285714285714286</v>
      </c>
      <c r="AF105" s="33">
        <v>0.25</v>
      </c>
      <c r="AG105" s="4">
        <f t="shared" si="29"/>
        <v>626</v>
      </c>
      <c r="AH105" s="33">
        <f t="shared" si="22"/>
        <v>626</v>
      </c>
      <c r="AI105" s="6">
        <f>1-AB105/AH105</f>
        <v>0.56549520766773165</v>
      </c>
      <c r="AJ105" s="7">
        <f>ROUND(AB105/0.65,0)</f>
        <v>418</v>
      </c>
      <c r="AK105" s="6">
        <f>1-AB105/AJ105</f>
        <v>0.34928229665071775</v>
      </c>
      <c r="AL105" s="4">
        <f>AJ105-AB105</f>
        <v>146</v>
      </c>
      <c r="AM105" s="28"/>
      <c r="AN105" s="6"/>
      <c r="AO105" s="6"/>
      <c r="AP105" s="6">
        <f>Z105/L105</f>
        <v>0.68688524590163935</v>
      </c>
      <c r="AQ105" s="6">
        <f>AJ105/M105</f>
        <v>1.1942857142857144</v>
      </c>
      <c r="AR105" s="6">
        <f>AB105/N105</f>
        <v>1</v>
      </c>
      <c r="AS105" s="4"/>
      <c r="AT105" s="4"/>
      <c r="AU105" s="4"/>
      <c r="AV105" s="4"/>
      <c r="AW105" s="4"/>
      <c r="AX105" s="4"/>
      <c r="AY105" s="4"/>
      <c r="AZ105" s="4"/>
      <c r="BA105" s="4"/>
      <c r="BB105" s="4">
        <v>0</v>
      </c>
      <c r="BC105" s="4" t="s">
        <v>3663</v>
      </c>
      <c r="BD105" s="4">
        <v>1</v>
      </c>
      <c r="BE105" s="4">
        <v>2</v>
      </c>
      <c r="BF105" s="4" t="s">
        <v>3659</v>
      </c>
      <c r="BG105" s="4">
        <v>1252</v>
      </c>
      <c r="BH105" s="4">
        <v>1252</v>
      </c>
      <c r="BI105" s="4">
        <f t="shared" si="30"/>
        <v>626</v>
      </c>
      <c r="BJ105" s="19">
        <v>4</v>
      </c>
      <c r="BK105" s="19">
        <v>8</v>
      </c>
      <c r="BL105" s="16">
        <v>6</v>
      </c>
      <c r="BM105" s="45" t="s">
        <v>3534</v>
      </c>
      <c r="BN105" t="s">
        <v>3534</v>
      </c>
      <c r="BO105" t="str">
        <f t="shared" si="23"/>
        <v>-</v>
      </c>
      <c r="BP105" t="s">
        <v>3534</v>
      </c>
      <c r="BQ105">
        <v>420</v>
      </c>
      <c r="BR105">
        <f t="shared" si="24"/>
        <v>420</v>
      </c>
      <c r="BS105" t="s">
        <v>2599</v>
      </c>
    </row>
    <row r="106" spans="1:71" x14ac:dyDescent="0.4">
      <c r="A106" s="3">
        <v>103</v>
      </c>
      <c r="B106" s="3">
        <v>103</v>
      </c>
      <c r="C106" s="4" t="s">
        <v>165</v>
      </c>
      <c r="D106" s="4" t="str">
        <f t="shared" si="25"/>
        <v>J084WL</v>
      </c>
      <c r="E106" s="4" t="s">
        <v>165</v>
      </c>
      <c r="F106" s="4" t="s">
        <v>1384</v>
      </c>
      <c r="G106" s="5">
        <v>4521718929385</v>
      </c>
      <c r="H106" s="5"/>
      <c r="I106" s="5"/>
      <c r="J106" s="5">
        <v>1</v>
      </c>
      <c r="K106" s="5">
        <v>1</v>
      </c>
      <c r="L106" s="4">
        <v>450</v>
      </c>
      <c r="M106" s="4">
        <v>289</v>
      </c>
      <c r="N106" s="4">
        <v>202</v>
      </c>
      <c r="O106" s="6">
        <f t="shared" si="26"/>
        <v>0.30103806228373697</v>
      </c>
      <c r="P106" s="4" t="s">
        <v>2500</v>
      </c>
      <c r="Q106" s="4"/>
      <c r="R106" s="4"/>
      <c r="S106" s="4"/>
      <c r="T106" s="4"/>
      <c r="U106" s="4"/>
      <c r="V106" s="4"/>
      <c r="W106" s="4"/>
      <c r="X106" s="4"/>
      <c r="Y106" s="4">
        <v>455</v>
      </c>
      <c r="Z106" s="4">
        <f t="shared" si="27"/>
        <v>455</v>
      </c>
      <c r="AA106" s="4">
        <v>205</v>
      </c>
      <c r="AB106" s="4">
        <f t="shared" si="28"/>
        <v>205</v>
      </c>
      <c r="AC106" s="4"/>
      <c r="AD106" s="21">
        <f>ROUND(M106*AR106,0)</f>
        <v>293</v>
      </c>
      <c r="AE106" s="6">
        <f>1-AB106/AD106</f>
        <v>0.30034129692832767</v>
      </c>
      <c r="AF106" s="33">
        <v>0</v>
      </c>
      <c r="AG106" s="4">
        <f t="shared" si="29"/>
        <v>450</v>
      </c>
      <c r="AH106" s="33">
        <f t="shared" si="22"/>
        <v>456.68316831683171</v>
      </c>
      <c r="AI106" s="6">
        <f>1-AB106/AH106</f>
        <v>0.55111111111111111</v>
      </c>
      <c r="AJ106" s="7">
        <f>ROUND(AB106/0.65,0)</f>
        <v>315</v>
      </c>
      <c r="AK106" s="6">
        <f>1-AB106/AJ106</f>
        <v>0.34920634920634919</v>
      </c>
      <c r="AL106" s="4">
        <f>AJ106-AB106</f>
        <v>110</v>
      </c>
      <c r="AM106" s="28"/>
      <c r="AN106" s="6"/>
      <c r="AO106" s="6"/>
      <c r="AP106" s="6">
        <f>Z106/L106</f>
        <v>1.0111111111111111</v>
      </c>
      <c r="AQ106" s="6">
        <f>AJ106/M106</f>
        <v>1.0899653979238755</v>
      </c>
      <c r="AR106" s="6">
        <f>AB106/N106</f>
        <v>1.0148514851485149</v>
      </c>
      <c r="AS106" s="4"/>
      <c r="AT106" s="4"/>
      <c r="AU106" s="4"/>
      <c r="AV106" s="4"/>
      <c r="AW106" s="4"/>
      <c r="AX106" s="4"/>
      <c r="AY106" s="4"/>
      <c r="AZ106" s="4"/>
      <c r="BA106" s="4"/>
      <c r="BB106" s="4">
        <v>0</v>
      </c>
      <c r="BC106" s="4" t="s">
        <v>3664</v>
      </c>
      <c r="BD106" s="4">
        <v>1</v>
      </c>
      <c r="BE106" s="4">
        <v>4</v>
      </c>
      <c r="BF106" s="4" t="s">
        <v>3579</v>
      </c>
      <c r="BG106" s="4">
        <v>1800</v>
      </c>
      <c r="BH106" s="4">
        <v>1800</v>
      </c>
      <c r="BI106" s="4">
        <f t="shared" si="30"/>
        <v>450</v>
      </c>
      <c r="BJ106" s="19">
        <v>4</v>
      </c>
      <c r="BK106" s="19">
        <v>8</v>
      </c>
      <c r="BL106" s="16">
        <v>6</v>
      </c>
      <c r="BM106" s="45" t="s">
        <v>3534</v>
      </c>
      <c r="BN106" t="s">
        <v>3534</v>
      </c>
      <c r="BO106" t="str">
        <f t="shared" si="23"/>
        <v>-</v>
      </c>
      <c r="BP106" t="s">
        <v>3534</v>
      </c>
      <c r="BQ106" t="s">
        <v>3534</v>
      </c>
      <c r="BR106" t="str">
        <f t="shared" si="24"/>
        <v>-</v>
      </c>
      <c r="BS106" t="s">
        <v>2600</v>
      </c>
    </row>
    <row r="107" spans="1:71" x14ac:dyDescent="0.4">
      <c r="A107" s="3">
        <v>104</v>
      </c>
      <c r="B107" s="3">
        <v>104</v>
      </c>
      <c r="C107" s="4" t="s">
        <v>166</v>
      </c>
      <c r="D107" s="4" t="str">
        <f t="shared" si="25"/>
        <v>J086MD</v>
      </c>
      <c r="E107" s="4" t="s">
        <v>166</v>
      </c>
      <c r="F107" s="4" t="s">
        <v>1385</v>
      </c>
      <c r="G107" s="5">
        <v>4521718150055</v>
      </c>
      <c r="H107" s="5"/>
      <c r="I107" s="5"/>
      <c r="J107" s="5">
        <v>1</v>
      </c>
      <c r="K107" s="5">
        <v>1</v>
      </c>
      <c r="L107" s="4">
        <v>610</v>
      </c>
      <c r="M107" s="4">
        <v>315</v>
      </c>
      <c r="N107" s="4">
        <v>272</v>
      </c>
      <c r="O107" s="6">
        <f t="shared" si="26"/>
        <v>0.13650793650793647</v>
      </c>
      <c r="P107" s="4" t="s">
        <v>2500</v>
      </c>
      <c r="Q107" s="4"/>
      <c r="R107" s="4"/>
      <c r="S107" s="4"/>
      <c r="T107" s="4"/>
      <c r="U107" s="4"/>
      <c r="V107" s="4"/>
      <c r="W107" s="4"/>
      <c r="X107" s="4"/>
      <c r="Y107" s="4">
        <v>419</v>
      </c>
      <c r="Z107" s="4">
        <f t="shared" si="27"/>
        <v>419</v>
      </c>
      <c r="AA107" s="4">
        <v>272</v>
      </c>
      <c r="AB107" s="4">
        <f t="shared" si="28"/>
        <v>272</v>
      </c>
      <c r="AC107" s="4"/>
      <c r="AD107" s="21">
        <f>ROUND(M107*AR107,0)</f>
        <v>315</v>
      </c>
      <c r="AE107" s="6">
        <f>1-AB107/AD107</f>
        <v>0.13650793650793647</v>
      </c>
      <c r="AF107" s="33">
        <v>0.5</v>
      </c>
      <c r="AG107" s="4">
        <f t="shared" si="29"/>
        <v>626</v>
      </c>
      <c r="AH107" s="33">
        <f t="shared" si="22"/>
        <v>626</v>
      </c>
      <c r="AI107" s="6">
        <f>1-AB107/AH107</f>
        <v>0.56549520766773165</v>
      </c>
      <c r="AJ107" s="7">
        <f>ROUND(AB107/0.65,0)</f>
        <v>418</v>
      </c>
      <c r="AK107" s="6">
        <f>1-AB107/AJ107</f>
        <v>0.34928229665071775</v>
      </c>
      <c r="AL107" s="4">
        <f>AJ107-AB107</f>
        <v>146</v>
      </c>
      <c r="AM107" s="28"/>
      <c r="AN107" s="6"/>
      <c r="AO107" s="6"/>
      <c r="AP107" s="6">
        <f>Z107/L107</f>
        <v>0.68688524590163935</v>
      </c>
      <c r="AQ107" s="6">
        <f>AJ107/M107</f>
        <v>1.3269841269841269</v>
      </c>
      <c r="AR107" s="6">
        <f>AB107/N107</f>
        <v>1</v>
      </c>
      <c r="AS107" s="4"/>
      <c r="AT107" s="4"/>
      <c r="AU107" s="4"/>
      <c r="AV107" s="4"/>
      <c r="AW107" s="4"/>
      <c r="AX107" s="4"/>
      <c r="AY107" s="4"/>
      <c r="AZ107" s="4"/>
      <c r="BA107" s="4"/>
      <c r="BB107" s="4">
        <v>0</v>
      </c>
      <c r="BC107" s="4" t="s">
        <v>3665</v>
      </c>
      <c r="BD107" s="4">
        <v>1</v>
      </c>
      <c r="BE107" s="4">
        <v>2</v>
      </c>
      <c r="BF107" s="4" t="s">
        <v>3659</v>
      </c>
      <c r="BG107" s="4">
        <v>1252</v>
      </c>
      <c r="BH107" s="4">
        <v>1252</v>
      </c>
      <c r="BI107" s="4">
        <f t="shared" si="30"/>
        <v>626</v>
      </c>
      <c r="BJ107" s="19">
        <v>4</v>
      </c>
      <c r="BK107" s="19">
        <v>8</v>
      </c>
      <c r="BL107" s="16">
        <v>6</v>
      </c>
      <c r="BM107" s="45" t="s">
        <v>3534</v>
      </c>
      <c r="BN107" t="s">
        <v>3534</v>
      </c>
      <c r="BO107" t="str">
        <f t="shared" si="23"/>
        <v>-</v>
      </c>
      <c r="BP107" t="s">
        <v>3534</v>
      </c>
      <c r="BQ107">
        <v>420</v>
      </c>
      <c r="BR107">
        <f t="shared" si="24"/>
        <v>420</v>
      </c>
      <c r="BS107" t="s">
        <v>2601</v>
      </c>
    </row>
    <row r="108" spans="1:71" x14ac:dyDescent="0.4">
      <c r="A108" s="3">
        <v>105</v>
      </c>
      <c r="B108" s="3">
        <v>105</v>
      </c>
      <c r="C108" s="4" t="s">
        <v>167</v>
      </c>
      <c r="D108" s="4" t="str">
        <f t="shared" si="25"/>
        <v>J086WL</v>
      </c>
      <c r="E108" s="4" t="s">
        <v>167</v>
      </c>
      <c r="F108" s="4" t="s">
        <v>1386</v>
      </c>
      <c r="G108" s="5">
        <v>4521718929408</v>
      </c>
      <c r="H108" s="5"/>
      <c r="I108" s="5"/>
      <c r="J108" s="5">
        <v>1</v>
      </c>
      <c r="K108" s="5">
        <v>1</v>
      </c>
      <c r="L108" s="4">
        <v>450</v>
      </c>
      <c r="M108" s="4">
        <v>289</v>
      </c>
      <c r="N108" s="4">
        <v>202</v>
      </c>
      <c r="O108" s="6">
        <f t="shared" si="26"/>
        <v>0.30103806228373697</v>
      </c>
      <c r="P108" s="4" t="s">
        <v>2500</v>
      </c>
      <c r="Q108" s="4"/>
      <c r="R108" s="4"/>
      <c r="S108" s="4"/>
      <c r="T108" s="4"/>
      <c r="U108" s="4"/>
      <c r="V108" s="4"/>
      <c r="W108" s="4"/>
      <c r="X108" s="4"/>
      <c r="Y108" s="4">
        <v>455</v>
      </c>
      <c r="Z108" s="4">
        <f t="shared" si="27"/>
        <v>455</v>
      </c>
      <c r="AA108" s="4">
        <v>205</v>
      </c>
      <c r="AB108" s="4">
        <f t="shared" si="28"/>
        <v>205</v>
      </c>
      <c r="AC108" s="4"/>
      <c r="AD108" s="21">
        <f>ROUND(M108*AR108,0)</f>
        <v>293</v>
      </c>
      <c r="AE108" s="6">
        <f>1-AB108/AD108</f>
        <v>0.30034129692832767</v>
      </c>
      <c r="AF108" s="33">
        <v>0</v>
      </c>
      <c r="AG108" s="4">
        <f t="shared" si="29"/>
        <v>450</v>
      </c>
      <c r="AH108" s="33">
        <f t="shared" si="22"/>
        <v>456.68316831683171</v>
      </c>
      <c r="AI108" s="6">
        <f>1-AB108/AH108</f>
        <v>0.55111111111111111</v>
      </c>
      <c r="AJ108" s="7">
        <f>ROUND(AB108/0.65,0)</f>
        <v>315</v>
      </c>
      <c r="AK108" s="6">
        <f>1-AB108/AJ108</f>
        <v>0.34920634920634919</v>
      </c>
      <c r="AL108" s="4">
        <f>AJ108-AB108</f>
        <v>110</v>
      </c>
      <c r="AM108" s="28"/>
      <c r="AN108" s="6"/>
      <c r="AO108" s="6"/>
      <c r="AP108" s="6">
        <f>Z108/L108</f>
        <v>1.0111111111111111</v>
      </c>
      <c r="AQ108" s="6">
        <f>AJ108/M108</f>
        <v>1.0899653979238755</v>
      </c>
      <c r="AR108" s="6">
        <f>AB108/N108</f>
        <v>1.0148514851485149</v>
      </c>
      <c r="AS108" s="4"/>
      <c r="AT108" s="4"/>
      <c r="AU108" s="4"/>
      <c r="AV108" s="4"/>
      <c r="AW108" s="4"/>
      <c r="AX108" s="4"/>
      <c r="AY108" s="4"/>
      <c r="AZ108" s="4"/>
      <c r="BA108" s="4"/>
      <c r="BB108" s="4">
        <v>0</v>
      </c>
      <c r="BC108" s="4" t="s">
        <v>3666</v>
      </c>
      <c r="BD108" s="4">
        <v>1</v>
      </c>
      <c r="BE108" s="4">
        <v>4</v>
      </c>
      <c r="BF108" s="4" t="s">
        <v>3579</v>
      </c>
      <c r="BG108" s="4">
        <v>1800</v>
      </c>
      <c r="BH108" s="4">
        <v>1800</v>
      </c>
      <c r="BI108" s="4">
        <f t="shared" si="30"/>
        <v>450</v>
      </c>
      <c r="BJ108" s="19">
        <v>4</v>
      </c>
      <c r="BK108" s="19">
        <v>8</v>
      </c>
      <c r="BL108" s="16">
        <v>6</v>
      </c>
      <c r="BM108" s="45" t="s">
        <v>3534</v>
      </c>
      <c r="BN108" t="s">
        <v>3534</v>
      </c>
      <c r="BO108" t="str">
        <f t="shared" si="23"/>
        <v>-</v>
      </c>
      <c r="BP108" t="s">
        <v>3534</v>
      </c>
      <c r="BQ108" t="s">
        <v>3534</v>
      </c>
      <c r="BR108" t="str">
        <f t="shared" si="24"/>
        <v>-</v>
      </c>
      <c r="BS108" t="s">
        <v>2602</v>
      </c>
    </row>
    <row r="109" spans="1:71" x14ac:dyDescent="0.4">
      <c r="A109" s="3">
        <v>106</v>
      </c>
      <c r="B109" s="3">
        <v>106</v>
      </c>
      <c r="C109" s="4" t="s">
        <v>168</v>
      </c>
      <c r="D109" s="4" t="str">
        <f t="shared" si="25"/>
        <v>J085WL</v>
      </c>
      <c r="E109" s="4" t="s">
        <v>168</v>
      </c>
      <c r="F109" s="4" t="s">
        <v>1387</v>
      </c>
      <c r="G109" s="5">
        <v>4521718929392</v>
      </c>
      <c r="H109" s="5"/>
      <c r="I109" s="5"/>
      <c r="J109" s="5">
        <v>1</v>
      </c>
      <c r="K109" s="5">
        <v>1</v>
      </c>
      <c r="L109" s="4">
        <v>450</v>
      </c>
      <c r="M109" s="4">
        <v>289</v>
      </c>
      <c r="N109" s="4">
        <v>202</v>
      </c>
      <c r="O109" s="6">
        <f t="shared" si="26"/>
        <v>0.30103806228373697</v>
      </c>
      <c r="P109" s="4" t="s">
        <v>2500</v>
      </c>
      <c r="Q109" s="4"/>
      <c r="R109" s="4"/>
      <c r="S109" s="4"/>
      <c r="T109" s="4"/>
      <c r="U109" s="4"/>
      <c r="V109" s="4"/>
      <c r="W109" s="4"/>
      <c r="X109" s="4"/>
      <c r="Y109" s="4">
        <v>455</v>
      </c>
      <c r="Z109" s="4">
        <f t="shared" si="27"/>
        <v>455</v>
      </c>
      <c r="AA109" s="4">
        <v>205</v>
      </c>
      <c r="AB109" s="4">
        <f t="shared" si="28"/>
        <v>205</v>
      </c>
      <c r="AC109" s="4"/>
      <c r="AD109" s="21">
        <f>ROUND(M109*AR109,0)</f>
        <v>293</v>
      </c>
      <c r="AE109" s="6">
        <f>1-AB109/AD109</f>
        <v>0.30034129692832767</v>
      </c>
      <c r="AF109" s="33">
        <v>0</v>
      </c>
      <c r="AG109" s="4">
        <f t="shared" si="29"/>
        <v>450</v>
      </c>
      <c r="AH109" s="33">
        <f t="shared" si="22"/>
        <v>456.68316831683171</v>
      </c>
      <c r="AI109" s="6">
        <f>1-AB109/AH109</f>
        <v>0.55111111111111111</v>
      </c>
      <c r="AJ109" s="7">
        <f>ROUND(AB109/0.65,0)</f>
        <v>315</v>
      </c>
      <c r="AK109" s="6">
        <f>1-AB109/AJ109</f>
        <v>0.34920634920634919</v>
      </c>
      <c r="AL109" s="4">
        <f>AJ109-AB109</f>
        <v>110</v>
      </c>
      <c r="AM109" s="28"/>
      <c r="AN109" s="6"/>
      <c r="AO109" s="6"/>
      <c r="AP109" s="6">
        <f>Z109/L109</f>
        <v>1.0111111111111111</v>
      </c>
      <c r="AQ109" s="6">
        <f>AJ109/M109</f>
        <v>1.0899653979238755</v>
      </c>
      <c r="AR109" s="6">
        <f>AB109/N109</f>
        <v>1.0148514851485149</v>
      </c>
      <c r="AS109" s="4"/>
      <c r="AT109" s="4"/>
      <c r="AU109" s="4"/>
      <c r="AV109" s="4"/>
      <c r="AW109" s="4"/>
      <c r="AX109" s="4"/>
      <c r="AY109" s="4"/>
      <c r="AZ109" s="4"/>
      <c r="BA109" s="4"/>
      <c r="BB109" s="4">
        <v>0</v>
      </c>
      <c r="BC109" s="4" t="s">
        <v>3667</v>
      </c>
      <c r="BD109" s="4">
        <v>1</v>
      </c>
      <c r="BE109" s="4">
        <v>4</v>
      </c>
      <c r="BF109" s="4" t="s">
        <v>3579</v>
      </c>
      <c r="BG109" s="4">
        <v>1800</v>
      </c>
      <c r="BH109" s="4">
        <v>1800</v>
      </c>
      <c r="BI109" s="4">
        <f t="shared" si="30"/>
        <v>450</v>
      </c>
      <c r="BJ109" s="19">
        <v>4</v>
      </c>
      <c r="BK109" s="19">
        <v>8</v>
      </c>
      <c r="BL109" s="16">
        <v>6</v>
      </c>
      <c r="BM109" s="45" t="s">
        <v>3534</v>
      </c>
      <c r="BN109" t="s">
        <v>3534</v>
      </c>
      <c r="BO109" t="str">
        <f t="shared" si="23"/>
        <v>-</v>
      </c>
      <c r="BP109" t="s">
        <v>3534</v>
      </c>
      <c r="BQ109" t="s">
        <v>3534</v>
      </c>
      <c r="BR109" t="str">
        <f t="shared" si="24"/>
        <v>-</v>
      </c>
      <c r="BS109" t="s">
        <v>2603</v>
      </c>
    </row>
    <row r="110" spans="1:71" x14ac:dyDescent="0.4">
      <c r="A110" s="3">
        <v>107</v>
      </c>
      <c r="B110" s="3">
        <v>107</v>
      </c>
      <c r="C110" s="4" t="s">
        <v>169</v>
      </c>
      <c r="D110" s="4" t="str">
        <f t="shared" si="25"/>
        <v>J087MD</v>
      </c>
      <c r="E110" s="4" t="s">
        <v>169</v>
      </c>
      <c r="F110" s="4" t="s">
        <v>1388</v>
      </c>
      <c r="G110" s="5">
        <v>4521718150062</v>
      </c>
      <c r="H110" s="5"/>
      <c r="I110" s="5"/>
      <c r="J110" s="5">
        <v>1</v>
      </c>
      <c r="K110" s="5">
        <v>1</v>
      </c>
      <c r="L110" s="4">
        <v>610</v>
      </c>
      <c r="M110" s="4">
        <v>350</v>
      </c>
      <c r="N110" s="4">
        <v>272</v>
      </c>
      <c r="O110" s="6">
        <f t="shared" si="26"/>
        <v>0.22285714285714286</v>
      </c>
      <c r="P110" s="4" t="s">
        <v>2500</v>
      </c>
      <c r="Q110" s="4"/>
      <c r="R110" s="4"/>
      <c r="S110" s="4"/>
      <c r="T110" s="4"/>
      <c r="U110" s="4"/>
      <c r="V110" s="4"/>
      <c r="W110" s="4"/>
      <c r="X110" s="4"/>
      <c r="Y110" s="4">
        <v>419</v>
      </c>
      <c r="Z110" s="4">
        <f t="shared" si="27"/>
        <v>419</v>
      </c>
      <c r="AA110" s="4">
        <v>272</v>
      </c>
      <c r="AB110" s="4">
        <f t="shared" si="28"/>
        <v>272</v>
      </c>
      <c r="AC110" s="4"/>
      <c r="AD110" s="21">
        <f>ROUND(M110*AR110,0)</f>
        <v>350</v>
      </c>
      <c r="AE110" s="6">
        <f>1-AB110/AD110</f>
        <v>0.22285714285714286</v>
      </c>
      <c r="AF110" s="33">
        <v>0</v>
      </c>
      <c r="AG110" s="4">
        <f t="shared" si="29"/>
        <v>626</v>
      </c>
      <c r="AH110" s="33">
        <f t="shared" si="22"/>
        <v>626</v>
      </c>
      <c r="AI110" s="6">
        <f>1-AB110/AH110</f>
        <v>0.56549520766773165</v>
      </c>
      <c r="AJ110" s="7">
        <f>ROUND(AB110/0.65,0)</f>
        <v>418</v>
      </c>
      <c r="AK110" s="6">
        <f>1-AB110/AJ110</f>
        <v>0.34928229665071775</v>
      </c>
      <c r="AL110" s="4">
        <f>AJ110-AB110</f>
        <v>146</v>
      </c>
      <c r="AM110" s="28"/>
      <c r="AN110" s="6"/>
      <c r="AO110" s="6"/>
      <c r="AP110" s="6">
        <f>Z110/L110</f>
        <v>0.68688524590163935</v>
      </c>
      <c r="AQ110" s="6">
        <f>AJ110/M110</f>
        <v>1.1942857142857144</v>
      </c>
      <c r="AR110" s="6">
        <f>AB110/N110</f>
        <v>1</v>
      </c>
      <c r="AS110" s="4"/>
      <c r="AT110" s="4"/>
      <c r="AU110" s="4"/>
      <c r="AV110" s="4"/>
      <c r="AW110" s="4"/>
      <c r="AX110" s="4"/>
      <c r="AY110" s="4"/>
      <c r="AZ110" s="4"/>
      <c r="BA110" s="4"/>
      <c r="BB110" s="4">
        <v>0</v>
      </c>
      <c r="BC110" s="4" t="s">
        <v>3668</v>
      </c>
      <c r="BD110" s="4">
        <v>1</v>
      </c>
      <c r="BE110" s="4">
        <v>2</v>
      </c>
      <c r="BF110" s="4" t="s">
        <v>3659</v>
      </c>
      <c r="BG110" s="4">
        <v>1252</v>
      </c>
      <c r="BH110" s="4">
        <v>1252</v>
      </c>
      <c r="BI110" s="4">
        <f t="shared" si="30"/>
        <v>626</v>
      </c>
      <c r="BJ110" s="19">
        <v>4</v>
      </c>
      <c r="BK110" s="19">
        <v>8</v>
      </c>
      <c r="BL110" s="16">
        <v>6</v>
      </c>
      <c r="BM110" s="45" t="s">
        <v>3534</v>
      </c>
      <c r="BN110" t="s">
        <v>3534</v>
      </c>
      <c r="BO110" t="str">
        <f t="shared" si="23"/>
        <v>-</v>
      </c>
      <c r="BP110" t="s">
        <v>3534</v>
      </c>
      <c r="BQ110">
        <v>420</v>
      </c>
      <c r="BR110">
        <f t="shared" si="24"/>
        <v>420</v>
      </c>
      <c r="BS110" t="s">
        <v>2604</v>
      </c>
    </row>
    <row r="111" spans="1:71" x14ac:dyDescent="0.4">
      <c r="A111" s="3">
        <v>108</v>
      </c>
      <c r="B111" s="3">
        <v>108</v>
      </c>
      <c r="C111" s="4" t="s">
        <v>170</v>
      </c>
      <c r="D111" s="4" t="str">
        <f t="shared" si="25"/>
        <v>J087WL</v>
      </c>
      <c r="E111" s="4" t="s">
        <v>170</v>
      </c>
      <c r="F111" s="4" t="s">
        <v>1389</v>
      </c>
      <c r="G111" s="5">
        <v>4521718929415</v>
      </c>
      <c r="H111" s="5"/>
      <c r="I111" s="5"/>
      <c r="J111" s="5">
        <v>1</v>
      </c>
      <c r="K111" s="5">
        <v>1</v>
      </c>
      <c r="L111" s="4">
        <v>450</v>
      </c>
      <c r="M111" s="4">
        <v>289</v>
      </c>
      <c r="N111" s="4">
        <v>202</v>
      </c>
      <c r="O111" s="6">
        <f t="shared" si="26"/>
        <v>0.30103806228373697</v>
      </c>
      <c r="P111" s="4" t="s">
        <v>2500</v>
      </c>
      <c r="Q111" s="4"/>
      <c r="R111" s="4"/>
      <c r="S111" s="4"/>
      <c r="T111" s="4"/>
      <c r="U111" s="4"/>
      <c r="V111" s="4"/>
      <c r="W111" s="4"/>
      <c r="X111" s="4"/>
      <c r="Y111" s="4">
        <v>455</v>
      </c>
      <c r="Z111" s="4">
        <f t="shared" si="27"/>
        <v>455</v>
      </c>
      <c r="AA111" s="4">
        <v>205</v>
      </c>
      <c r="AB111" s="4">
        <f t="shared" si="28"/>
        <v>205</v>
      </c>
      <c r="AC111" s="4"/>
      <c r="AD111" s="21">
        <f>ROUND(M111*AR111,0)</f>
        <v>293</v>
      </c>
      <c r="AE111" s="6">
        <f>1-AB111/AD111</f>
        <v>0.30034129692832767</v>
      </c>
      <c r="AF111" s="33">
        <v>0</v>
      </c>
      <c r="AG111" s="4">
        <f t="shared" si="29"/>
        <v>450</v>
      </c>
      <c r="AH111" s="33">
        <f t="shared" si="22"/>
        <v>456.68316831683171</v>
      </c>
      <c r="AI111" s="6">
        <f>1-AB111/AH111</f>
        <v>0.55111111111111111</v>
      </c>
      <c r="AJ111" s="7">
        <f>ROUND(AB111/0.65,0)</f>
        <v>315</v>
      </c>
      <c r="AK111" s="6">
        <f>1-AB111/AJ111</f>
        <v>0.34920634920634919</v>
      </c>
      <c r="AL111" s="4">
        <f>AJ111-AB111</f>
        <v>110</v>
      </c>
      <c r="AM111" s="28"/>
      <c r="AN111" s="6"/>
      <c r="AO111" s="6"/>
      <c r="AP111" s="6">
        <f>Z111/L111</f>
        <v>1.0111111111111111</v>
      </c>
      <c r="AQ111" s="6">
        <f>AJ111/M111</f>
        <v>1.0899653979238755</v>
      </c>
      <c r="AR111" s="6">
        <f>AB111/N111</f>
        <v>1.0148514851485149</v>
      </c>
      <c r="AS111" s="4"/>
      <c r="AT111" s="4"/>
      <c r="AU111" s="4"/>
      <c r="AV111" s="4"/>
      <c r="AW111" s="4"/>
      <c r="AX111" s="4"/>
      <c r="AY111" s="4"/>
      <c r="AZ111" s="4"/>
      <c r="BA111" s="4"/>
      <c r="BB111" s="4">
        <v>0</v>
      </c>
      <c r="BC111" s="4" t="s">
        <v>3669</v>
      </c>
      <c r="BD111" s="4">
        <v>1</v>
      </c>
      <c r="BE111" s="4">
        <v>4</v>
      </c>
      <c r="BF111" s="4" t="s">
        <v>3579</v>
      </c>
      <c r="BG111" s="4">
        <v>1800</v>
      </c>
      <c r="BH111" s="4">
        <v>1800</v>
      </c>
      <c r="BI111" s="4">
        <f t="shared" si="30"/>
        <v>450</v>
      </c>
      <c r="BJ111" s="19">
        <v>4</v>
      </c>
      <c r="BK111" s="19">
        <v>8</v>
      </c>
      <c r="BL111" s="16">
        <v>6</v>
      </c>
      <c r="BM111" s="45" t="s">
        <v>3534</v>
      </c>
      <c r="BN111" t="s">
        <v>3534</v>
      </c>
      <c r="BO111" t="str">
        <f t="shared" si="23"/>
        <v>-</v>
      </c>
      <c r="BP111" t="s">
        <v>3534</v>
      </c>
      <c r="BQ111" t="s">
        <v>3534</v>
      </c>
      <c r="BR111" t="str">
        <f t="shared" si="24"/>
        <v>-</v>
      </c>
      <c r="BS111" t="s">
        <v>2605</v>
      </c>
    </row>
    <row r="112" spans="1:71" x14ac:dyDescent="0.4">
      <c r="A112" s="3">
        <v>109</v>
      </c>
      <c r="B112" s="3">
        <v>109</v>
      </c>
      <c r="C112" s="4" t="s">
        <v>171</v>
      </c>
      <c r="D112" s="4" t="str">
        <f t="shared" si="25"/>
        <v>J088WL</v>
      </c>
      <c r="E112" s="4" t="s">
        <v>171</v>
      </c>
      <c r="F112" s="4" t="s">
        <v>1390</v>
      </c>
      <c r="G112" s="5">
        <v>4521718929422</v>
      </c>
      <c r="H112" s="5"/>
      <c r="I112" s="5"/>
      <c r="J112" s="5">
        <v>1</v>
      </c>
      <c r="K112" s="5">
        <v>1</v>
      </c>
      <c r="L112" s="4">
        <v>450</v>
      </c>
      <c r="M112" s="4">
        <v>289</v>
      </c>
      <c r="N112" s="4">
        <v>202</v>
      </c>
      <c r="O112" s="6">
        <f t="shared" si="26"/>
        <v>0.30103806228373697</v>
      </c>
      <c r="P112" s="4" t="s">
        <v>2500</v>
      </c>
      <c r="Q112" s="4"/>
      <c r="R112" s="4"/>
      <c r="S112" s="4"/>
      <c r="T112" s="4"/>
      <c r="U112" s="4"/>
      <c r="V112" s="4"/>
      <c r="W112" s="4"/>
      <c r="X112" s="4"/>
      <c r="Y112" s="4">
        <v>455</v>
      </c>
      <c r="Z112" s="4">
        <f t="shared" si="27"/>
        <v>455</v>
      </c>
      <c r="AA112" s="4">
        <v>205</v>
      </c>
      <c r="AB112" s="4">
        <f t="shared" si="28"/>
        <v>205</v>
      </c>
      <c r="AC112" s="4"/>
      <c r="AD112" s="21">
        <f>ROUND(M112*AR112,0)</f>
        <v>293</v>
      </c>
      <c r="AE112" s="6">
        <f>1-AB112/AD112</f>
        <v>0.30034129692832767</v>
      </c>
      <c r="AF112" s="33">
        <v>0</v>
      </c>
      <c r="AG112" s="4">
        <f t="shared" si="29"/>
        <v>450</v>
      </c>
      <c r="AH112" s="33">
        <f t="shared" si="22"/>
        <v>456.68316831683171</v>
      </c>
      <c r="AI112" s="6">
        <f>1-AB112/AH112</f>
        <v>0.55111111111111111</v>
      </c>
      <c r="AJ112" s="7">
        <f>ROUND(AB112/0.65,0)</f>
        <v>315</v>
      </c>
      <c r="AK112" s="6">
        <f>1-AB112/AJ112</f>
        <v>0.34920634920634919</v>
      </c>
      <c r="AL112" s="4">
        <f>AJ112-AB112</f>
        <v>110</v>
      </c>
      <c r="AM112" s="28"/>
      <c r="AN112" s="6"/>
      <c r="AO112" s="6"/>
      <c r="AP112" s="6">
        <f>Z112/L112</f>
        <v>1.0111111111111111</v>
      </c>
      <c r="AQ112" s="6">
        <f>AJ112/M112</f>
        <v>1.0899653979238755</v>
      </c>
      <c r="AR112" s="6">
        <f>AB112/N112</f>
        <v>1.0148514851485149</v>
      </c>
      <c r="AS112" s="4"/>
      <c r="AT112" s="4"/>
      <c r="AU112" s="4"/>
      <c r="AV112" s="4"/>
      <c r="AW112" s="4"/>
      <c r="AX112" s="4"/>
      <c r="AY112" s="4"/>
      <c r="AZ112" s="4"/>
      <c r="BA112" s="4"/>
      <c r="BB112" s="4">
        <v>0</v>
      </c>
      <c r="BC112" s="4" t="s">
        <v>3670</v>
      </c>
      <c r="BD112" s="4">
        <v>1</v>
      </c>
      <c r="BE112" s="4">
        <v>4</v>
      </c>
      <c r="BF112" s="4" t="s">
        <v>3579</v>
      </c>
      <c r="BG112" s="4">
        <v>1800</v>
      </c>
      <c r="BH112" s="4">
        <v>1800</v>
      </c>
      <c r="BI112" s="4">
        <f t="shared" si="30"/>
        <v>450</v>
      </c>
      <c r="BJ112" s="19">
        <v>4</v>
      </c>
      <c r="BK112" s="19">
        <v>8</v>
      </c>
      <c r="BL112" s="16">
        <v>6</v>
      </c>
      <c r="BM112" s="45" t="s">
        <v>3534</v>
      </c>
      <c r="BN112" t="s">
        <v>3534</v>
      </c>
      <c r="BO112" t="str">
        <f t="shared" si="23"/>
        <v>-</v>
      </c>
      <c r="BP112" t="s">
        <v>3534</v>
      </c>
      <c r="BQ112" t="s">
        <v>3534</v>
      </c>
      <c r="BR112" t="str">
        <f t="shared" si="24"/>
        <v>-</v>
      </c>
      <c r="BS112" t="s">
        <v>2606</v>
      </c>
    </row>
    <row r="113" spans="1:71" x14ac:dyDescent="0.4">
      <c r="A113" s="3">
        <v>110</v>
      </c>
      <c r="B113" s="3">
        <v>110</v>
      </c>
      <c r="C113" s="4" t="s">
        <v>172</v>
      </c>
      <c r="D113" s="4" t="str">
        <f t="shared" si="25"/>
        <v>J089MD</v>
      </c>
      <c r="E113" s="4" t="s">
        <v>172</v>
      </c>
      <c r="F113" s="4" t="s">
        <v>1391</v>
      </c>
      <c r="G113" s="5">
        <v>4521718150086</v>
      </c>
      <c r="H113" s="5"/>
      <c r="I113" s="5"/>
      <c r="J113" s="5">
        <v>1</v>
      </c>
      <c r="K113" s="5">
        <v>1</v>
      </c>
      <c r="L113" s="4">
        <v>640</v>
      </c>
      <c r="M113" s="4">
        <v>366</v>
      </c>
      <c r="N113" s="4">
        <v>284</v>
      </c>
      <c r="O113" s="6">
        <f t="shared" si="26"/>
        <v>0.22404371584699456</v>
      </c>
      <c r="P113" s="4" t="s">
        <v>2500</v>
      </c>
      <c r="Q113" s="4"/>
      <c r="R113" s="4"/>
      <c r="S113" s="4"/>
      <c r="T113" s="4"/>
      <c r="U113" s="4"/>
      <c r="V113" s="4"/>
      <c r="W113" s="4"/>
      <c r="X113" s="4"/>
      <c r="Y113" s="4">
        <v>437</v>
      </c>
      <c r="Z113" s="4">
        <f t="shared" si="27"/>
        <v>437</v>
      </c>
      <c r="AA113" s="4">
        <v>284</v>
      </c>
      <c r="AB113" s="4">
        <f t="shared" si="28"/>
        <v>284</v>
      </c>
      <c r="AC113" s="4"/>
      <c r="AD113" s="21">
        <f>ROUND(M113*AR113,0)</f>
        <v>366</v>
      </c>
      <c r="AE113" s="6">
        <f>1-AB113/AD113</f>
        <v>0.22404371584699456</v>
      </c>
      <c r="AF113" s="33">
        <v>0.25</v>
      </c>
      <c r="AG113" s="4">
        <f t="shared" si="29"/>
        <v>283</v>
      </c>
      <c r="AH113" s="33">
        <f t="shared" si="22"/>
        <v>283</v>
      </c>
      <c r="AI113" s="6">
        <f>1-AB113/AH113</f>
        <v>-3.5335689045936647E-3</v>
      </c>
      <c r="AJ113" s="7">
        <f>ROUND(AB113/0.65,0)</f>
        <v>437</v>
      </c>
      <c r="AK113" s="6">
        <f>1-AB113/AJ113</f>
        <v>0.35011441647597252</v>
      </c>
      <c r="AL113" s="4">
        <f>AJ113-AB113</f>
        <v>153</v>
      </c>
      <c r="AM113" s="28"/>
      <c r="AN113" s="6"/>
      <c r="AO113" s="6"/>
      <c r="AP113" s="6">
        <f>Z113/L113</f>
        <v>0.68281250000000004</v>
      </c>
      <c r="AQ113" s="6">
        <f>AJ113/M113</f>
        <v>1.1939890710382515</v>
      </c>
      <c r="AR113" s="6">
        <f>AB113/N113</f>
        <v>1</v>
      </c>
      <c r="AS113" s="4"/>
      <c r="AT113" s="4"/>
      <c r="AU113" s="4"/>
      <c r="AV113" s="4"/>
      <c r="AW113" s="4"/>
      <c r="AX113" s="4"/>
      <c r="AY113" s="4"/>
      <c r="AZ113" s="4"/>
      <c r="BA113" s="4"/>
      <c r="BB113" s="4">
        <v>0</v>
      </c>
      <c r="BC113" s="4" t="s">
        <v>3671</v>
      </c>
      <c r="BD113" s="4"/>
      <c r="BE113" s="4"/>
      <c r="BF113" s="4" t="s">
        <v>3649</v>
      </c>
      <c r="BG113" s="4">
        <v>283</v>
      </c>
      <c r="BH113" s="4">
        <v>283</v>
      </c>
      <c r="BI113" s="4">
        <f t="shared" si="30"/>
        <v>283</v>
      </c>
      <c r="BJ113" s="19">
        <v>4</v>
      </c>
      <c r="BK113" s="19">
        <v>8</v>
      </c>
      <c r="BL113" s="16">
        <v>6</v>
      </c>
      <c r="BM113" s="45" t="s">
        <v>3534</v>
      </c>
      <c r="BN113" t="s">
        <v>3534</v>
      </c>
      <c r="BO113" t="str">
        <f t="shared" si="23"/>
        <v>-</v>
      </c>
      <c r="BP113" t="s">
        <v>3534</v>
      </c>
      <c r="BQ113">
        <v>439</v>
      </c>
      <c r="BR113">
        <f t="shared" si="24"/>
        <v>439</v>
      </c>
      <c r="BS113" t="s">
        <v>2607</v>
      </c>
    </row>
    <row r="114" spans="1:71" x14ac:dyDescent="0.4">
      <c r="A114" s="3">
        <v>111</v>
      </c>
      <c r="B114" s="3">
        <v>111</v>
      </c>
      <c r="C114" s="4" t="s">
        <v>173</v>
      </c>
      <c r="D114" s="4" t="str">
        <f t="shared" si="25"/>
        <v>J091MD</v>
      </c>
      <c r="E114" s="4" t="s">
        <v>173</v>
      </c>
      <c r="F114" s="4" t="s">
        <v>1392</v>
      </c>
      <c r="G114" s="5">
        <v>4521718150109</v>
      </c>
      <c r="H114" s="5"/>
      <c r="I114" s="5"/>
      <c r="J114" s="5">
        <v>1</v>
      </c>
      <c r="K114" s="5">
        <v>1</v>
      </c>
      <c r="L114" s="4">
        <v>640</v>
      </c>
      <c r="M114" s="4">
        <v>366</v>
      </c>
      <c r="N114" s="4">
        <v>284</v>
      </c>
      <c r="O114" s="6">
        <f t="shared" si="26"/>
        <v>0.22404371584699456</v>
      </c>
      <c r="P114" s="4" t="s">
        <v>2500</v>
      </c>
      <c r="Q114" s="4"/>
      <c r="R114" s="4"/>
      <c r="S114" s="4"/>
      <c r="T114" s="4"/>
      <c r="U114" s="4"/>
      <c r="V114" s="4"/>
      <c r="W114" s="4"/>
      <c r="X114" s="4"/>
      <c r="Y114" s="4">
        <v>437</v>
      </c>
      <c r="Z114" s="4">
        <f t="shared" si="27"/>
        <v>437</v>
      </c>
      <c r="AA114" s="4">
        <v>284</v>
      </c>
      <c r="AB114" s="4">
        <f t="shared" si="28"/>
        <v>284</v>
      </c>
      <c r="AC114" s="4"/>
      <c r="AD114" s="21">
        <f>ROUND(M114*AR114,0)</f>
        <v>366</v>
      </c>
      <c r="AE114" s="6">
        <f>1-AB114/AD114</f>
        <v>0.22404371584699456</v>
      </c>
      <c r="AF114" s="33">
        <v>0.5</v>
      </c>
      <c r="AG114" s="4">
        <f t="shared" si="29"/>
        <v>671</v>
      </c>
      <c r="AH114" s="33">
        <f t="shared" si="22"/>
        <v>671</v>
      </c>
      <c r="AI114" s="6">
        <f>1-AB114/AH114</f>
        <v>0.57675111773472432</v>
      </c>
      <c r="AJ114" s="7">
        <f>ROUND(AB114/0.65,0)</f>
        <v>437</v>
      </c>
      <c r="AK114" s="6">
        <f>1-AB114/AJ114</f>
        <v>0.35011441647597252</v>
      </c>
      <c r="AL114" s="4">
        <f>AJ114-AB114</f>
        <v>153</v>
      </c>
      <c r="AM114" s="28"/>
      <c r="AN114" s="6"/>
      <c r="AO114" s="6"/>
      <c r="AP114" s="6">
        <f>Z114/L114</f>
        <v>0.68281250000000004</v>
      </c>
      <c r="AQ114" s="6">
        <f>AJ114/M114</f>
        <v>1.1939890710382515</v>
      </c>
      <c r="AR114" s="6">
        <f>AB114/N114</f>
        <v>1</v>
      </c>
      <c r="AS114" s="4"/>
      <c r="AT114" s="4"/>
      <c r="AU114" s="4"/>
      <c r="AV114" s="4"/>
      <c r="AW114" s="4"/>
      <c r="AX114" s="4"/>
      <c r="AY114" s="4"/>
      <c r="AZ114" s="4"/>
      <c r="BA114" s="4"/>
      <c r="BB114" s="4">
        <v>0</v>
      </c>
      <c r="BC114" s="4" t="s">
        <v>3672</v>
      </c>
      <c r="BD114" s="4">
        <v>1</v>
      </c>
      <c r="BE114" s="4">
        <v>2</v>
      </c>
      <c r="BF114" s="4" t="s">
        <v>3659</v>
      </c>
      <c r="BG114" s="4">
        <v>1342</v>
      </c>
      <c r="BH114" s="4">
        <v>1342</v>
      </c>
      <c r="BI114" s="4">
        <f t="shared" si="30"/>
        <v>671</v>
      </c>
      <c r="BJ114" s="19">
        <v>4</v>
      </c>
      <c r="BK114" s="19">
        <v>8</v>
      </c>
      <c r="BL114" s="16">
        <v>6</v>
      </c>
      <c r="BM114" s="45" t="s">
        <v>3534</v>
      </c>
      <c r="BN114" t="s">
        <v>3534</v>
      </c>
      <c r="BO114" t="str">
        <f t="shared" si="23"/>
        <v>-</v>
      </c>
      <c r="BP114" t="s">
        <v>3534</v>
      </c>
      <c r="BQ114">
        <v>439</v>
      </c>
      <c r="BR114">
        <f t="shared" si="24"/>
        <v>439</v>
      </c>
      <c r="BS114" t="s">
        <v>2608</v>
      </c>
    </row>
    <row r="115" spans="1:71" x14ac:dyDescent="0.4">
      <c r="A115" s="3">
        <v>112</v>
      </c>
      <c r="B115" s="3">
        <v>112</v>
      </c>
      <c r="C115" s="4" t="s">
        <v>174</v>
      </c>
      <c r="D115" s="4" t="str">
        <f t="shared" si="25"/>
        <v>J090MD</v>
      </c>
      <c r="E115" s="4" t="s">
        <v>174</v>
      </c>
      <c r="F115" s="4" t="s">
        <v>1393</v>
      </c>
      <c r="G115" s="5">
        <v>4521718150093</v>
      </c>
      <c r="H115" s="5"/>
      <c r="I115" s="5"/>
      <c r="J115" s="5">
        <v>1</v>
      </c>
      <c r="K115" s="5">
        <v>1</v>
      </c>
      <c r="L115" s="4">
        <v>640</v>
      </c>
      <c r="M115" s="4">
        <v>366</v>
      </c>
      <c r="N115" s="4">
        <v>284</v>
      </c>
      <c r="O115" s="6">
        <f t="shared" si="26"/>
        <v>0.22404371584699456</v>
      </c>
      <c r="P115" s="4" t="s">
        <v>2500</v>
      </c>
      <c r="Q115" s="4"/>
      <c r="R115" s="4"/>
      <c r="S115" s="4"/>
      <c r="T115" s="4"/>
      <c r="U115" s="4"/>
      <c r="V115" s="4"/>
      <c r="W115" s="4"/>
      <c r="X115" s="4"/>
      <c r="Y115" s="4">
        <v>437</v>
      </c>
      <c r="Z115" s="4">
        <f t="shared" si="27"/>
        <v>437</v>
      </c>
      <c r="AA115" s="4">
        <v>284</v>
      </c>
      <c r="AB115" s="4">
        <f t="shared" si="28"/>
        <v>284</v>
      </c>
      <c r="AC115" s="4"/>
      <c r="AD115" s="21">
        <f>ROUND(M115*AR115,0)</f>
        <v>366</v>
      </c>
      <c r="AE115" s="6">
        <f>1-AB115/AD115</f>
        <v>0.22404371584699456</v>
      </c>
      <c r="AF115" s="33">
        <v>0</v>
      </c>
      <c r="AG115" s="4">
        <f t="shared" si="29"/>
        <v>671</v>
      </c>
      <c r="AH115" s="33">
        <f t="shared" si="22"/>
        <v>671</v>
      </c>
      <c r="AI115" s="6">
        <f>1-AB115/AH115</f>
        <v>0.57675111773472432</v>
      </c>
      <c r="AJ115" s="7">
        <f>ROUND(AB115/0.65,0)</f>
        <v>437</v>
      </c>
      <c r="AK115" s="6">
        <f>1-AB115/AJ115</f>
        <v>0.35011441647597252</v>
      </c>
      <c r="AL115" s="4">
        <f>AJ115-AB115</f>
        <v>153</v>
      </c>
      <c r="AM115" s="28"/>
      <c r="AN115" s="6"/>
      <c r="AO115" s="6"/>
      <c r="AP115" s="6">
        <f>Z115/L115</f>
        <v>0.68281250000000004</v>
      </c>
      <c r="AQ115" s="6">
        <f>AJ115/M115</f>
        <v>1.1939890710382515</v>
      </c>
      <c r="AR115" s="6">
        <f>AB115/N115</f>
        <v>1</v>
      </c>
      <c r="AS115" s="4"/>
      <c r="AT115" s="4"/>
      <c r="AU115" s="4"/>
      <c r="AV115" s="4"/>
      <c r="AW115" s="4"/>
      <c r="AX115" s="4"/>
      <c r="AY115" s="4"/>
      <c r="AZ115" s="4"/>
      <c r="BA115" s="4"/>
      <c r="BB115" s="4">
        <v>0</v>
      </c>
      <c r="BC115" s="4" t="s">
        <v>3673</v>
      </c>
      <c r="BD115" s="4">
        <v>1</v>
      </c>
      <c r="BE115" s="4">
        <v>2</v>
      </c>
      <c r="BF115" s="4" t="s">
        <v>3659</v>
      </c>
      <c r="BG115" s="4">
        <v>1342</v>
      </c>
      <c r="BH115" s="4">
        <v>1342</v>
      </c>
      <c r="BI115" s="4">
        <f t="shared" si="30"/>
        <v>671</v>
      </c>
      <c r="BJ115" s="19">
        <v>4</v>
      </c>
      <c r="BK115" s="19">
        <v>8</v>
      </c>
      <c r="BL115" s="16">
        <v>6</v>
      </c>
      <c r="BM115" s="45" t="s">
        <v>3534</v>
      </c>
      <c r="BN115" t="s">
        <v>3534</v>
      </c>
      <c r="BO115" t="str">
        <f t="shared" si="23"/>
        <v>-</v>
      </c>
      <c r="BP115" t="s">
        <v>3534</v>
      </c>
      <c r="BQ115">
        <v>439</v>
      </c>
      <c r="BR115">
        <f t="shared" si="24"/>
        <v>439</v>
      </c>
      <c r="BS115" t="s">
        <v>2609</v>
      </c>
    </row>
    <row r="116" spans="1:71" x14ac:dyDescent="0.4">
      <c r="A116" s="3">
        <v>113</v>
      </c>
      <c r="B116" s="3">
        <v>113</v>
      </c>
      <c r="C116" s="4" t="s">
        <v>175</v>
      </c>
      <c r="D116" s="4" t="str">
        <f t="shared" si="25"/>
        <v>J091WL</v>
      </c>
      <c r="E116" s="4" t="s">
        <v>175</v>
      </c>
      <c r="F116" s="4" t="s">
        <v>1394</v>
      </c>
      <c r="G116" s="5">
        <v>4548030187743</v>
      </c>
      <c r="H116" s="5"/>
      <c r="I116" s="5"/>
      <c r="J116" s="5">
        <v>1</v>
      </c>
      <c r="K116" s="5">
        <v>1</v>
      </c>
      <c r="L116" s="4">
        <v>450</v>
      </c>
      <c r="M116" s="4">
        <v>289</v>
      </c>
      <c r="N116" s="4">
        <v>202</v>
      </c>
      <c r="O116" s="6">
        <f t="shared" si="26"/>
        <v>0.30103806228373697</v>
      </c>
      <c r="P116" s="4" t="s">
        <v>2500</v>
      </c>
      <c r="Q116" s="4"/>
      <c r="R116" s="4"/>
      <c r="S116" s="4"/>
      <c r="T116" s="4"/>
      <c r="U116" s="4"/>
      <c r="V116" s="4"/>
      <c r="W116" s="4"/>
      <c r="X116" s="4"/>
      <c r="Y116" s="4">
        <v>455</v>
      </c>
      <c r="Z116" s="4">
        <f t="shared" si="27"/>
        <v>455</v>
      </c>
      <c r="AA116" s="4">
        <v>205</v>
      </c>
      <c r="AB116" s="4">
        <f t="shared" si="28"/>
        <v>205</v>
      </c>
      <c r="AC116" s="4"/>
      <c r="AD116" s="21">
        <f>ROUND(M116*AR116,0)</f>
        <v>293</v>
      </c>
      <c r="AE116" s="6">
        <f>1-AB116/AD116</f>
        <v>0.30034129692832767</v>
      </c>
      <c r="AF116" s="33">
        <v>0</v>
      </c>
      <c r="AG116" s="4">
        <f t="shared" si="29"/>
        <v>450</v>
      </c>
      <c r="AH116" s="33">
        <f t="shared" si="22"/>
        <v>456.68316831683171</v>
      </c>
      <c r="AI116" s="6">
        <f>1-AB116/AH116</f>
        <v>0.55111111111111111</v>
      </c>
      <c r="AJ116" s="7">
        <f>ROUND(AB116/0.65,0)</f>
        <v>315</v>
      </c>
      <c r="AK116" s="6">
        <f>1-AB116/AJ116</f>
        <v>0.34920634920634919</v>
      </c>
      <c r="AL116" s="4">
        <f>AJ116-AB116</f>
        <v>110</v>
      </c>
      <c r="AM116" s="28"/>
      <c r="AN116" s="6"/>
      <c r="AO116" s="6"/>
      <c r="AP116" s="6">
        <f>Z116/L116</f>
        <v>1.0111111111111111</v>
      </c>
      <c r="AQ116" s="6">
        <f>AJ116/M116</f>
        <v>1.0899653979238755</v>
      </c>
      <c r="AR116" s="6">
        <f>AB116/N116</f>
        <v>1.0148514851485149</v>
      </c>
      <c r="AS116" s="4"/>
      <c r="AT116" s="4"/>
      <c r="AU116" s="4"/>
      <c r="AV116" s="4"/>
      <c r="AW116" s="4"/>
      <c r="AX116" s="4"/>
      <c r="AY116" s="4"/>
      <c r="AZ116" s="4"/>
      <c r="BA116" s="4"/>
      <c r="BB116" s="4">
        <v>0</v>
      </c>
      <c r="BC116" s="4" t="s">
        <v>3674</v>
      </c>
      <c r="BD116" s="4">
        <v>1</v>
      </c>
      <c r="BE116" s="4">
        <v>4</v>
      </c>
      <c r="BF116" s="4" t="s">
        <v>3579</v>
      </c>
      <c r="BG116" s="4">
        <v>1800</v>
      </c>
      <c r="BH116" s="4">
        <v>1800</v>
      </c>
      <c r="BI116" s="4">
        <f t="shared" si="30"/>
        <v>450</v>
      </c>
      <c r="BJ116" s="19">
        <v>4</v>
      </c>
      <c r="BK116" s="19">
        <v>8</v>
      </c>
      <c r="BL116" s="16">
        <v>6</v>
      </c>
      <c r="BM116" s="45" t="s">
        <v>3534</v>
      </c>
      <c r="BN116" t="s">
        <v>3534</v>
      </c>
      <c r="BO116" t="str">
        <f t="shared" si="23"/>
        <v>-</v>
      </c>
      <c r="BP116" t="s">
        <v>3534</v>
      </c>
      <c r="BQ116" t="s">
        <v>3534</v>
      </c>
      <c r="BR116" t="str">
        <f t="shared" si="24"/>
        <v>-</v>
      </c>
      <c r="BS116" t="s">
        <v>2610</v>
      </c>
    </row>
    <row r="117" spans="1:71" x14ac:dyDescent="0.4">
      <c r="A117" s="3">
        <v>114</v>
      </c>
      <c r="B117" s="3">
        <v>114</v>
      </c>
      <c r="C117" s="4" t="s">
        <v>176</v>
      </c>
      <c r="D117" s="4" t="str">
        <f t="shared" si="25"/>
        <v>J092WL</v>
      </c>
      <c r="E117" s="4" t="s">
        <v>176</v>
      </c>
      <c r="F117" s="4" t="s">
        <v>1395</v>
      </c>
      <c r="G117" s="5">
        <v>4548030187750</v>
      </c>
      <c r="H117" s="5"/>
      <c r="I117" s="5"/>
      <c r="J117" s="5">
        <v>1</v>
      </c>
      <c r="K117" s="5">
        <v>1</v>
      </c>
      <c r="L117" s="4">
        <v>450</v>
      </c>
      <c r="M117" s="4">
        <v>289</v>
      </c>
      <c r="N117" s="4">
        <v>202</v>
      </c>
      <c r="O117" s="6">
        <f t="shared" si="26"/>
        <v>0.30103806228373697</v>
      </c>
      <c r="P117" s="4" t="s">
        <v>2500</v>
      </c>
      <c r="Q117" s="4"/>
      <c r="R117" s="4"/>
      <c r="S117" s="4"/>
      <c r="T117" s="4"/>
      <c r="U117" s="4"/>
      <c r="V117" s="4"/>
      <c r="W117" s="4"/>
      <c r="X117" s="4"/>
      <c r="Y117" s="4">
        <v>455</v>
      </c>
      <c r="Z117" s="4">
        <f t="shared" si="27"/>
        <v>455</v>
      </c>
      <c r="AA117" s="4">
        <v>205</v>
      </c>
      <c r="AB117" s="4">
        <f t="shared" si="28"/>
        <v>205</v>
      </c>
      <c r="AC117" s="4"/>
      <c r="AD117" s="21">
        <f>ROUND(M117*AR117,0)</f>
        <v>293</v>
      </c>
      <c r="AE117" s="6">
        <f>1-AB117/AD117</f>
        <v>0.30034129692832767</v>
      </c>
      <c r="AF117" s="33">
        <v>0</v>
      </c>
      <c r="AG117" s="4">
        <f t="shared" si="29"/>
        <v>450</v>
      </c>
      <c r="AH117" s="33">
        <f t="shared" si="22"/>
        <v>456.68316831683171</v>
      </c>
      <c r="AI117" s="6">
        <f>1-AB117/AH117</f>
        <v>0.55111111111111111</v>
      </c>
      <c r="AJ117" s="7">
        <f>ROUND(AB117/0.65,0)</f>
        <v>315</v>
      </c>
      <c r="AK117" s="6">
        <f>1-AB117/AJ117</f>
        <v>0.34920634920634919</v>
      </c>
      <c r="AL117" s="4">
        <f>AJ117-AB117</f>
        <v>110</v>
      </c>
      <c r="AM117" s="28"/>
      <c r="AN117" s="6"/>
      <c r="AO117" s="6"/>
      <c r="AP117" s="6">
        <f>Z117/L117</f>
        <v>1.0111111111111111</v>
      </c>
      <c r="AQ117" s="6">
        <f>AJ117/M117</f>
        <v>1.0899653979238755</v>
      </c>
      <c r="AR117" s="6">
        <f>AB117/N117</f>
        <v>1.0148514851485149</v>
      </c>
      <c r="AS117" s="4"/>
      <c r="AT117" s="4"/>
      <c r="AU117" s="4"/>
      <c r="AV117" s="4"/>
      <c r="AW117" s="4"/>
      <c r="AX117" s="4"/>
      <c r="AY117" s="4"/>
      <c r="AZ117" s="4"/>
      <c r="BA117" s="4"/>
      <c r="BB117" s="4">
        <v>0</v>
      </c>
      <c r="BC117" s="4" t="s">
        <v>3675</v>
      </c>
      <c r="BD117" s="4">
        <v>1</v>
      </c>
      <c r="BE117" s="4">
        <v>4</v>
      </c>
      <c r="BF117" s="4" t="s">
        <v>3579</v>
      </c>
      <c r="BG117" s="4">
        <v>1800</v>
      </c>
      <c r="BH117" s="4">
        <v>1800</v>
      </c>
      <c r="BI117" s="4">
        <f t="shared" si="30"/>
        <v>450</v>
      </c>
      <c r="BJ117" s="19">
        <v>4</v>
      </c>
      <c r="BK117" s="19">
        <v>8</v>
      </c>
      <c r="BL117" s="16">
        <v>6</v>
      </c>
      <c r="BM117" s="45" t="s">
        <v>3534</v>
      </c>
      <c r="BN117" t="s">
        <v>3534</v>
      </c>
      <c r="BO117" t="str">
        <f t="shared" si="23"/>
        <v>-</v>
      </c>
      <c r="BP117" t="s">
        <v>3534</v>
      </c>
      <c r="BQ117" t="s">
        <v>3534</v>
      </c>
      <c r="BR117" t="str">
        <f t="shared" si="24"/>
        <v>-</v>
      </c>
      <c r="BS117" t="s">
        <v>2611</v>
      </c>
    </row>
    <row r="118" spans="1:71" x14ac:dyDescent="0.4">
      <c r="A118" s="3">
        <v>115</v>
      </c>
      <c r="B118" s="3">
        <v>115</v>
      </c>
      <c r="C118" s="4" t="s">
        <v>177</v>
      </c>
      <c r="D118" s="4" t="str">
        <f t="shared" si="25"/>
        <v>J093WL</v>
      </c>
      <c r="E118" s="4" t="s">
        <v>177</v>
      </c>
      <c r="F118" s="4" t="s">
        <v>1396</v>
      </c>
      <c r="G118" s="5">
        <v>4548030187767</v>
      </c>
      <c r="H118" s="5"/>
      <c r="I118" s="5"/>
      <c r="J118" s="5">
        <v>1</v>
      </c>
      <c r="K118" s="5">
        <v>1</v>
      </c>
      <c r="L118" s="4">
        <v>450</v>
      </c>
      <c r="M118" s="4">
        <v>289</v>
      </c>
      <c r="N118" s="4">
        <v>202</v>
      </c>
      <c r="O118" s="6">
        <f t="shared" si="26"/>
        <v>0.30103806228373697</v>
      </c>
      <c r="P118" s="4" t="s">
        <v>2500</v>
      </c>
      <c r="Q118" s="4"/>
      <c r="R118" s="4"/>
      <c r="S118" s="4"/>
      <c r="T118" s="4"/>
      <c r="U118" s="4"/>
      <c r="V118" s="4"/>
      <c r="W118" s="4"/>
      <c r="X118" s="4"/>
      <c r="Y118" s="4">
        <v>455</v>
      </c>
      <c r="Z118" s="4">
        <f t="shared" si="27"/>
        <v>455</v>
      </c>
      <c r="AA118" s="4">
        <v>205</v>
      </c>
      <c r="AB118" s="4">
        <f t="shared" si="28"/>
        <v>205</v>
      </c>
      <c r="AC118" s="4"/>
      <c r="AD118" s="21">
        <f>ROUND(M118*AR118,0)</f>
        <v>293</v>
      </c>
      <c r="AE118" s="6">
        <f>1-AB118/AD118</f>
        <v>0.30034129692832767</v>
      </c>
      <c r="AF118" s="33">
        <v>0</v>
      </c>
      <c r="AG118" s="4">
        <f t="shared" si="29"/>
        <v>450</v>
      </c>
      <c r="AH118" s="33">
        <f t="shared" si="22"/>
        <v>456.68316831683171</v>
      </c>
      <c r="AI118" s="6">
        <f>1-AB118/AH118</f>
        <v>0.55111111111111111</v>
      </c>
      <c r="AJ118" s="7">
        <f>ROUND(AB118/0.65,0)</f>
        <v>315</v>
      </c>
      <c r="AK118" s="6">
        <f>1-AB118/AJ118</f>
        <v>0.34920634920634919</v>
      </c>
      <c r="AL118" s="4">
        <f>AJ118-AB118</f>
        <v>110</v>
      </c>
      <c r="AM118" s="28"/>
      <c r="AN118" s="6"/>
      <c r="AO118" s="6"/>
      <c r="AP118" s="6">
        <f>Z118/L118</f>
        <v>1.0111111111111111</v>
      </c>
      <c r="AQ118" s="6">
        <f>AJ118/M118</f>
        <v>1.0899653979238755</v>
      </c>
      <c r="AR118" s="6">
        <f>AB118/N118</f>
        <v>1.0148514851485149</v>
      </c>
      <c r="AS118" s="4"/>
      <c r="AT118" s="4"/>
      <c r="AU118" s="4"/>
      <c r="AV118" s="4"/>
      <c r="AW118" s="4"/>
      <c r="AX118" s="4"/>
      <c r="AY118" s="4"/>
      <c r="AZ118" s="4"/>
      <c r="BA118" s="4"/>
      <c r="BB118" s="4">
        <v>0</v>
      </c>
      <c r="BC118" s="4" t="s">
        <v>3676</v>
      </c>
      <c r="BD118" s="4">
        <v>1</v>
      </c>
      <c r="BE118" s="4">
        <v>4</v>
      </c>
      <c r="BF118" s="4" t="s">
        <v>3579</v>
      </c>
      <c r="BG118" s="4">
        <v>1800</v>
      </c>
      <c r="BH118" s="4">
        <v>1800</v>
      </c>
      <c r="BI118" s="4">
        <f t="shared" si="30"/>
        <v>450</v>
      </c>
      <c r="BJ118" s="19">
        <v>4</v>
      </c>
      <c r="BK118" s="19">
        <v>8</v>
      </c>
      <c r="BL118" s="16">
        <v>6</v>
      </c>
      <c r="BM118" s="45" t="s">
        <v>3534</v>
      </c>
      <c r="BN118" t="s">
        <v>3534</v>
      </c>
      <c r="BO118" t="str">
        <f t="shared" si="23"/>
        <v>-</v>
      </c>
      <c r="BP118" t="s">
        <v>3534</v>
      </c>
      <c r="BQ118" t="s">
        <v>3534</v>
      </c>
      <c r="BR118" t="str">
        <f t="shared" si="24"/>
        <v>-</v>
      </c>
      <c r="BS118" t="s">
        <v>2612</v>
      </c>
    </row>
    <row r="119" spans="1:71" x14ac:dyDescent="0.4">
      <c r="A119" s="3">
        <v>116</v>
      </c>
      <c r="B119" s="3">
        <v>116</v>
      </c>
      <c r="C119" s="4" t="s">
        <v>178</v>
      </c>
      <c r="D119" s="4" t="str">
        <f t="shared" si="25"/>
        <v>J094MD</v>
      </c>
      <c r="E119" s="4" t="s">
        <v>178</v>
      </c>
      <c r="F119" s="4" t="s">
        <v>1397</v>
      </c>
      <c r="G119" s="5">
        <v>4521718150253</v>
      </c>
      <c r="H119" s="5"/>
      <c r="I119" s="5"/>
      <c r="J119" s="5">
        <v>1</v>
      </c>
      <c r="K119" s="5">
        <v>1</v>
      </c>
      <c r="L119" s="4">
        <v>260</v>
      </c>
      <c r="M119" s="4">
        <v>192</v>
      </c>
      <c r="N119" s="4">
        <v>147</v>
      </c>
      <c r="O119" s="6">
        <f t="shared" si="26"/>
        <v>0.234375</v>
      </c>
      <c r="P119" s="4" t="s">
        <v>2500</v>
      </c>
      <c r="Q119" s="4"/>
      <c r="R119" s="4"/>
      <c r="S119" s="4"/>
      <c r="T119" s="4"/>
      <c r="U119" s="4"/>
      <c r="V119" s="4"/>
      <c r="W119" s="4"/>
      <c r="X119" s="4"/>
      <c r="Y119" s="4">
        <v>210</v>
      </c>
      <c r="Z119" s="4">
        <f t="shared" si="27"/>
        <v>210</v>
      </c>
      <c r="AA119" s="4">
        <v>147</v>
      </c>
      <c r="AB119" s="4">
        <f t="shared" si="28"/>
        <v>147</v>
      </c>
      <c r="AC119" s="4"/>
      <c r="AD119" s="21">
        <f>ROUND(M119*AR119,0)</f>
        <v>192</v>
      </c>
      <c r="AE119" s="6">
        <f>1-AB119/AD119</f>
        <v>0.234375</v>
      </c>
      <c r="AF119" s="33">
        <v>0</v>
      </c>
      <c r="AG119" s="4">
        <f t="shared" si="29"/>
        <v>380</v>
      </c>
      <c r="AH119" s="33">
        <f t="shared" si="22"/>
        <v>380</v>
      </c>
      <c r="AI119" s="6">
        <f>1-AB119/AH119</f>
        <v>0.61315789473684212</v>
      </c>
      <c r="AJ119" s="7">
        <v>210</v>
      </c>
      <c r="AK119" s="6">
        <f>1-AB119/AJ119</f>
        <v>0.30000000000000004</v>
      </c>
      <c r="AL119" s="4">
        <f>AJ119-AB119</f>
        <v>63</v>
      </c>
      <c r="AM119" s="28"/>
      <c r="AN119" s="6"/>
      <c r="AO119" s="6"/>
      <c r="AP119" s="6">
        <f>Z119/L119</f>
        <v>0.80769230769230771</v>
      </c>
      <c r="AQ119" s="6">
        <f>AJ119/M119</f>
        <v>1.09375</v>
      </c>
      <c r="AR119" s="6">
        <f>AB119/N119</f>
        <v>1</v>
      </c>
      <c r="AS119" s="4"/>
      <c r="AT119" s="4"/>
      <c r="AU119" s="4"/>
      <c r="AV119" s="4"/>
      <c r="AW119" s="4"/>
      <c r="AX119" s="4"/>
      <c r="AY119" s="4"/>
      <c r="AZ119" s="4"/>
      <c r="BA119" s="4"/>
      <c r="BB119" s="4">
        <v>0</v>
      </c>
      <c r="BC119" s="4" t="s">
        <v>3677</v>
      </c>
      <c r="BD119" s="4">
        <v>1</v>
      </c>
      <c r="BE119" s="4">
        <v>3</v>
      </c>
      <c r="BF119" s="4" t="s">
        <v>3638</v>
      </c>
      <c r="BG119" s="4">
        <v>1140</v>
      </c>
      <c r="BH119" s="4">
        <v>1140</v>
      </c>
      <c r="BI119" s="4">
        <f t="shared" si="30"/>
        <v>380</v>
      </c>
      <c r="BJ119" s="19">
        <v>4</v>
      </c>
      <c r="BK119" s="19">
        <v>8</v>
      </c>
      <c r="BL119" s="16">
        <v>6</v>
      </c>
      <c r="BM119" s="45" t="s">
        <v>3534</v>
      </c>
      <c r="BN119" t="s">
        <v>3534</v>
      </c>
      <c r="BO119" t="str">
        <f t="shared" si="23"/>
        <v>-</v>
      </c>
      <c r="BP119" t="s">
        <v>3534</v>
      </c>
      <c r="BQ119">
        <v>210</v>
      </c>
      <c r="BR119">
        <f t="shared" si="24"/>
        <v>210</v>
      </c>
      <c r="BS119" t="s">
        <v>2613</v>
      </c>
    </row>
    <row r="120" spans="1:71" x14ac:dyDescent="0.4">
      <c r="A120" s="3">
        <v>117</v>
      </c>
      <c r="B120" s="3">
        <v>117</v>
      </c>
      <c r="C120" s="4" t="s">
        <v>179</v>
      </c>
      <c r="D120" s="4" t="str">
        <f t="shared" si="25"/>
        <v>J095MD</v>
      </c>
      <c r="E120" s="4" t="s">
        <v>179</v>
      </c>
      <c r="F120" s="4" t="s">
        <v>1398</v>
      </c>
      <c r="G120" s="5">
        <v>4521718150345</v>
      </c>
      <c r="H120" s="5"/>
      <c r="I120" s="5"/>
      <c r="J120" s="5">
        <v>1</v>
      </c>
      <c r="K120" s="5">
        <v>1</v>
      </c>
      <c r="L120" s="4">
        <v>650</v>
      </c>
      <c r="M120" s="4">
        <v>373</v>
      </c>
      <c r="N120" s="4">
        <v>290</v>
      </c>
      <c r="O120" s="6">
        <f t="shared" si="26"/>
        <v>0.22252010723860594</v>
      </c>
      <c r="P120" s="4" t="s">
        <v>2500</v>
      </c>
      <c r="Q120" s="4"/>
      <c r="R120" s="4"/>
      <c r="S120" s="4"/>
      <c r="T120" s="4"/>
      <c r="U120" s="4"/>
      <c r="V120" s="4"/>
      <c r="W120" s="4"/>
      <c r="X120" s="4"/>
      <c r="Y120" s="4">
        <v>446</v>
      </c>
      <c r="Z120" s="4">
        <f t="shared" si="27"/>
        <v>446</v>
      </c>
      <c r="AA120" s="4">
        <v>290</v>
      </c>
      <c r="AB120" s="4">
        <f t="shared" si="28"/>
        <v>290</v>
      </c>
      <c r="AC120" s="4"/>
      <c r="AD120" s="21">
        <f>ROUND(M120*AR120,0)</f>
        <v>373</v>
      </c>
      <c r="AE120" s="6">
        <f>1-AB120/AD120</f>
        <v>0.22252010723860594</v>
      </c>
      <c r="AF120" s="33">
        <v>0</v>
      </c>
      <c r="AG120" s="4">
        <f t="shared" si="29"/>
        <v>296</v>
      </c>
      <c r="AH120" s="33">
        <f t="shared" si="22"/>
        <v>296</v>
      </c>
      <c r="AI120" s="6">
        <f>1-AB120/AH120</f>
        <v>2.0270270270270285E-2</v>
      </c>
      <c r="AJ120" s="7">
        <v>446</v>
      </c>
      <c r="AK120" s="6">
        <f>1-AB120/AJ120</f>
        <v>0.34977578475336324</v>
      </c>
      <c r="AL120" s="4">
        <f>AJ120-AB120</f>
        <v>156</v>
      </c>
      <c r="AM120" s="28"/>
      <c r="AN120" s="6"/>
      <c r="AO120" s="6"/>
      <c r="AP120" s="6">
        <f>Z120/L120</f>
        <v>0.68615384615384611</v>
      </c>
      <c r="AQ120" s="6">
        <f>AJ120/M120</f>
        <v>1.195710455764075</v>
      </c>
      <c r="AR120" s="6">
        <f>AB120/N120</f>
        <v>1</v>
      </c>
      <c r="AS120" s="4"/>
      <c r="AT120" s="4"/>
      <c r="AU120" s="4"/>
      <c r="AV120" s="4"/>
      <c r="AW120" s="4"/>
      <c r="AX120" s="4"/>
      <c r="AY120" s="4"/>
      <c r="AZ120" s="4"/>
      <c r="BA120" s="4"/>
      <c r="BB120" s="4">
        <v>0</v>
      </c>
      <c r="BC120" s="4" t="s">
        <v>3678</v>
      </c>
      <c r="BD120" s="4"/>
      <c r="BE120" s="4"/>
      <c r="BF120" s="4" t="s">
        <v>3545</v>
      </c>
      <c r="BG120" s="4">
        <v>296</v>
      </c>
      <c r="BH120" s="4">
        <v>296</v>
      </c>
      <c r="BI120" s="4">
        <f t="shared" si="30"/>
        <v>296</v>
      </c>
      <c r="BJ120" s="19">
        <v>4</v>
      </c>
      <c r="BK120" s="19">
        <v>8</v>
      </c>
      <c r="BL120" s="16">
        <v>6</v>
      </c>
      <c r="BM120" s="45" t="s">
        <v>3534</v>
      </c>
      <c r="BN120" t="s">
        <v>3534</v>
      </c>
      <c r="BO120" t="str">
        <f t="shared" si="23"/>
        <v>-</v>
      </c>
      <c r="BP120" t="s">
        <v>3534</v>
      </c>
      <c r="BQ120">
        <v>446</v>
      </c>
      <c r="BR120">
        <f t="shared" si="24"/>
        <v>446</v>
      </c>
      <c r="BS120" t="s">
        <v>2614</v>
      </c>
    </row>
    <row r="121" spans="1:71" x14ac:dyDescent="0.4">
      <c r="A121" s="3">
        <v>118</v>
      </c>
      <c r="B121" s="3">
        <v>118</v>
      </c>
      <c r="C121" s="4" t="s">
        <v>180</v>
      </c>
      <c r="D121" s="4" t="str">
        <f t="shared" si="25"/>
        <v>J096MD</v>
      </c>
      <c r="E121" s="4" t="s">
        <v>180</v>
      </c>
      <c r="F121" s="4" t="s">
        <v>1399</v>
      </c>
      <c r="G121" s="5">
        <v>4521718150352</v>
      </c>
      <c r="H121" s="5"/>
      <c r="I121" s="5"/>
      <c r="J121" s="5">
        <v>1</v>
      </c>
      <c r="K121" s="5">
        <v>1</v>
      </c>
      <c r="L121" s="4">
        <v>650</v>
      </c>
      <c r="M121" s="4">
        <v>407</v>
      </c>
      <c r="N121" s="4">
        <v>290</v>
      </c>
      <c r="O121" s="6">
        <f t="shared" si="26"/>
        <v>0.28746928746928746</v>
      </c>
      <c r="P121" s="4" t="s">
        <v>2500</v>
      </c>
      <c r="Q121" s="4"/>
      <c r="R121" s="4"/>
      <c r="S121" s="4"/>
      <c r="T121" s="4"/>
      <c r="U121" s="4"/>
      <c r="V121" s="4"/>
      <c r="W121" s="4"/>
      <c r="X121" s="4"/>
      <c r="Y121" s="4">
        <v>446</v>
      </c>
      <c r="Z121" s="4">
        <f t="shared" si="27"/>
        <v>446</v>
      </c>
      <c r="AA121" s="4">
        <v>290</v>
      </c>
      <c r="AB121" s="4">
        <f t="shared" si="28"/>
        <v>290</v>
      </c>
      <c r="AC121" s="4"/>
      <c r="AD121" s="21">
        <f>ROUND(M121*AR121,0)</f>
        <v>407</v>
      </c>
      <c r="AE121" s="6">
        <f>1-AB121/AD121</f>
        <v>0.28746928746928746</v>
      </c>
      <c r="AF121" s="33">
        <v>0</v>
      </c>
      <c r="AG121" s="4">
        <f t="shared" si="29"/>
        <v>674.5</v>
      </c>
      <c r="AH121" s="33">
        <f t="shared" si="22"/>
        <v>674.5</v>
      </c>
      <c r="AI121" s="6">
        <f>1-AB121/AH121</f>
        <v>0.57005189028910297</v>
      </c>
      <c r="AJ121" s="7">
        <v>446</v>
      </c>
      <c r="AK121" s="6">
        <f>1-AB121/AJ121</f>
        <v>0.34977578475336324</v>
      </c>
      <c r="AL121" s="4">
        <f>AJ121-AB121</f>
        <v>156</v>
      </c>
      <c r="AM121" s="28"/>
      <c r="AN121" s="6"/>
      <c r="AO121" s="6"/>
      <c r="AP121" s="6">
        <f>Z121/L121</f>
        <v>0.68615384615384611</v>
      </c>
      <c r="AQ121" s="6">
        <f>AJ121/M121</f>
        <v>1.0958230958230959</v>
      </c>
      <c r="AR121" s="6">
        <f>AB121/N121</f>
        <v>1</v>
      </c>
      <c r="AS121" s="4"/>
      <c r="AT121" s="4"/>
      <c r="AU121" s="4"/>
      <c r="AV121" s="4"/>
      <c r="AW121" s="4"/>
      <c r="AX121" s="4"/>
      <c r="AY121" s="4"/>
      <c r="AZ121" s="4"/>
      <c r="BA121" s="4"/>
      <c r="BB121" s="4">
        <v>0</v>
      </c>
      <c r="BC121" s="4" t="s">
        <v>3679</v>
      </c>
      <c r="BD121" s="4">
        <v>1</v>
      </c>
      <c r="BE121" s="4">
        <v>2</v>
      </c>
      <c r="BF121" s="4" t="s">
        <v>3640</v>
      </c>
      <c r="BG121" s="4">
        <v>1349</v>
      </c>
      <c r="BH121" s="4">
        <v>1349</v>
      </c>
      <c r="BI121" s="4">
        <f t="shared" si="30"/>
        <v>674.5</v>
      </c>
      <c r="BJ121" s="19">
        <v>4</v>
      </c>
      <c r="BK121" s="19">
        <v>8</v>
      </c>
      <c r="BL121" s="16">
        <v>6</v>
      </c>
      <c r="BM121" s="45" t="s">
        <v>3534</v>
      </c>
      <c r="BN121" t="s">
        <v>3534</v>
      </c>
      <c r="BO121" t="str">
        <f t="shared" si="23"/>
        <v>-</v>
      </c>
      <c r="BP121" t="s">
        <v>3534</v>
      </c>
      <c r="BQ121">
        <v>446</v>
      </c>
      <c r="BR121">
        <f t="shared" si="24"/>
        <v>446</v>
      </c>
      <c r="BS121" t="s">
        <v>2615</v>
      </c>
    </row>
    <row r="122" spans="1:71" x14ac:dyDescent="0.4">
      <c r="A122" s="3">
        <v>119</v>
      </c>
      <c r="B122" s="3">
        <v>119</v>
      </c>
      <c r="C122" s="4" t="s">
        <v>181</v>
      </c>
      <c r="D122" s="4" t="str">
        <f t="shared" si="25"/>
        <v>J097MD</v>
      </c>
      <c r="E122" s="4" t="s">
        <v>181</v>
      </c>
      <c r="F122" s="4" t="s">
        <v>1400</v>
      </c>
      <c r="G122" s="5">
        <v>4521718150369</v>
      </c>
      <c r="H122" s="5"/>
      <c r="I122" s="5"/>
      <c r="J122" s="5">
        <v>1</v>
      </c>
      <c r="K122" s="5">
        <v>1</v>
      </c>
      <c r="L122" s="4">
        <v>620</v>
      </c>
      <c r="M122" s="4">
        <v>358</v>
      </c>
      <c r="N122" s="4">
        <v>278</v>
      </c>
      <c r="O122" s="6">
        <f t="shared" si="26"/>
        <v>0.22346368715083798</v>
      </c>
      <c r="P122" s="4" t="s">
        <v>2500</v>
      </c>
      <c r="Q122" s="4"/>
      <c r="R122" s="4"/>
      <c r="S122" s="4"/>
      <c r="T122" s="4"/>
      <c r="U122" s="4"/>
      <c r="V122" s="4"/>
      <c r="W122" s="4"/>
      <c r="X122" s="4"/>
      <c r="Y122" s="4">
        <v>428</v>
      </c>
      <c r="Z122" s="4">
        <f t="shared" si="27"/>
        <v>428</v>
      </c>
      <c r="AA122" s="4">
        <v>278</v>
      </c>
      <c r="AB122" s="4">
        <f t="shared" si="28"/>
        <v>278</v>
      </c>
      <c r="AC122" s="4"/>
      <c r="AD122" s="21">
        <f>ROUND(M122*AR122,0)</f>
        <v>358</v>
      </c>
      <c r="AE122" s="6">
        <f>1-AB122/AD122</f>
        <v>0.22346368715083798</v>
      </c>
      <c r="AF122" s="33">
        <v>0</v>
      </c>
      <c r="AG122" s="4">
        <f t="shared" si="29"/>
        <v>270</v>
      </c>
      <c r="AH122" s="33">
        <f t="shared" si="22"/>
        <v>270</v>
      </c>
      <c r="AI122" s="6">
        <f>1-AB122/AH122</f>
        <v>-2.9629629629629672E-2</v>
      </c>
      <c r="AJ122" s="7">
        <f>ROUND(AB122/0.65,0)</f>
        <v>428</v>
      </c>
      <c r="AK122" s="6">
        <f>1-AB122/AJ122</f>
        <v>0.35046728971962615</v>
      </c>
      <c r="AL122" s="4">
        <f>AJ122-AB122</f>
        <v>150</v>
      </c>
      <c r="AM122" s="28"/>
      <c r="AN122" s="6"/>
      <c r="AO122" s="6"/>
      <c r="AP122" s="6">
        <f>Z122/L122</f>
        <v>0.69032258064516128</v>
      </c>
      <c r="AQ122" s="6">
        <f>AJ122/M122</f>
        <v>1.1955307262569832</v>
      </c>
      <c r="AR122" s="6">
        <f>AB122/N122</f>
        <v>1</v>
      </c>
      <c r="AS122" s="4"/>
      <c r="AT122" s="4"/>
      <c r="AU122" s="4"/>
      <c r="AV122" s="4"/>
      <c r="AW122" s="4"/>
      <c r="AX122" s="4"/>
      <c r="AY122" s="4"/>
      <c r="AZ122" s="4"/>
      <c r="BA122" s="4"/>
      <c r="BB122" s="4">
        <v>0</v>
      </c>
      <c r="BC122" s="4" t="s">
        <v>3680</v>
      </c>
      <c r="BD122" s="4"/>
      <c r="BE122" s="4"/>
      <c r="BF122" s="4" t="s">
        <v>3649</v>
      </c>
      <c r="BG122" s="4">
        <v>270</v>
      </c>
      <c r="BH122" s="4">
        <v>270</v>
      </c>
      <c r="BI122" s="4">
        <f t="shared" si="30"/>
        <v>270</v>
      </c>
      <c r="BJ122" s="19">
        <v>4</v>
      </c>
      <c r="BK122" s="19">
        <v>8</v>
      </c>
      <c r="BL122" s="16">
        <v>6</v>
      </c>
      <c r="BM122" s="45" t="s">
        <v>3534</v>
      </c>
      <c r="BN122" t="s">
        <v>3534</v>
      </c>
      <c r="BO122" t="str">
        <f t="shared" si="23"/>
        <v>-</v>
      </c>
      <c r="BP122" t="s">
        <v>3534</v>
      </c>
      <c r="BQ122">
        <v>429</v>
      </c>
      <c r="BR122">
        <f t="shared" si="24"/>
        <v>429</v>
      </c>
      <c r="BS122" t="s">
        <v>2616</v>
      </c>
    </row>
    <row r="123" spans="1:71" x14ac:dyDescent="0.4">
      <c r="A123" s="3">
        <v>120</v>
      </c>
      <c r="B123" s="3">
        <v>120</v>
      </c>
      <c r="C123" s="4" t="s">
        <v>182</v>
      </c>
      <c r="D123" s="4" t="str">
        <f t="shared" si="25"/>
        <v>J098MD</v>
      </c>
      <c r="E123" s="4" t="s">
        <v>182</v>
      </c>
      <c r="F123" s="4" t="s">
        <v>1401</v>
      </c>
      <c r="G123" s="5">
        <v>4521718150376</v>
      </c>
      <c r="H123" s="5"/>
      <c r="I123" s="5"/>
      <c r="J123" s="5">
        <v>1</v>
      </c>
      <c r="K123" s="5">
        <v>1</v>
      </c>
      <c r="L123" s="4">
        <v>620</v>
      </c>
      <c r="M123" s="4">
        <v>358</v>
      </c>
      <c r="N123" s="4">
        <v>278</v>
      </c>
      <c r="O123" s="6">
        <f t="shared" si="26"/>
        <v>0.22346368715083798</v>
      </c>
      <c r="P123" s="4" t="s">
        <v>2500</v>
      </c>
      <c r="Q123" s="4"/>
      <c r="R123" s="4"/>
      <c r="S123" s="4"/>
      <c r="T123" s="4"/>
      <c r="U123" s="4"/>
      <c r="V123" s="4"/>
      <c r="W123" s="4"/>
      <c r="X123" s="4"/>
      <c r="Y123" s="4">
        <v>428</v>
      </c>
      <c r="Z123" s="4">
        <f t="shared" si="27"/>
        <v>428</v>
      </c>
      <c r="AA123" s="4">
        <v>278</v>
      </c>
      <c r="AB123" s="4">
        <f t="shared" si="28"/>
        <v>278</v>
      </c>
      <c r="AC123" s="4"/>
      <c r="AD123" s="21">
        <f>ROUND(M123*AR123,0)</f>
        <v>358</v>
      </c>
      <c r="AE123" s="6">
        <f>1-AB123/AD123</f>
        <v>0.22346368715083798</v>
      </c>
      <c r="AF123" s="33">
        <v>0</v>
      </c>
      <c r="AG123" s="4">
        <f t="shared" si="29"/>
        <v>651</v>
      </c>
      <c r="AH123" s="33">
        <f t="shared" si="22"/>
        <v>651</v>
      </c>
      <c r="AI123" s="6">
        <f>1-AB123/AH123</f>
        <v>0.57296466973886329</v>
      </c>
      <c r="AJ123" s="7">
        <f>ROUND(AB123/0.65,0)</f>
        <v>428</v>
      </c>
      <c r="AK123" s="6">
        <f>1-AB123/AJ123</f>
        <v>0.35046728971962615</v>
      </c>
      <c r="AL123" s="4">
        <f>AJ123-AB123</f>
        <v>150</v>
      </c>
      <c r="AM123" s="28"/>
      <c r="AN123" s="6"/>
      <c r="AO123" s="6"/>
      <c r="AP123" s="6">
        <f>Z123/L123</f>
        <v>0.69032258064516128</v>
      </c>
      <c r="AQ123" s="6">
        <f>AJ123/M123</f>
        <v>1.1955307262569832</v>
      </c>
      <c r="AR123" s="6">
        <f>AB123/N123</f>
        <v>1</v>
      </c>
      <c r="AS123" s="4"/>
      <c r="AT123" s="4"/>
      <c r="AU123" s="4"/>
      <c r="AV123" s="4"/>
      <c r="AW123" s="4"/>
      <c r="AX123" s="4"/>
      <c r="AY123" s="4"/>
      <c r="AZ123" s="4"/>
      <c r="BA123" s="4"/>
      <c r="BB123" s="4">
        <v>0</v>
      </c>
      <c r="BC123" s="4" t="s">
        <v>3681</v>
      </c>
      <c r="BD123" s="4">
        <v>1</v>
      </c>
      <c r="BE123" s="4">
        <v>2</v>
      </c>
      <c r="BF123" s="4" t="s">
        <v>3659</v>
      </c>
      <c r="BG123" s="4">
        <v>1302</v>
      </c>
      <c r="BH123" s="4">
        <v>1302</v>
      </c>
      <c r="BI123" s="4">
        <f t="shared" si="30"/>
        <v>651</v>
      </c>
      <c r="BJ123" s="19">
        <v>4</v>
      </c>
      <c r="BK123" s="19">
        <v>8</v>
      </c>
      <c r="BL123" s="16">
        <v>6</v>
      </c>
      <c r="BM123" s="45" t="s">
        <v>3534</v>
      </c>
      <c r="BN123" t="s">
        <v>3534</v>
      </c>
      <c r="BO123" t="str">
        <f t="shared" si="23"/>
        <v>-</v>
      </c>
      <c r="BP123" t="s">
        <v>3534</v>
      </c>
      <c r="BQ123">
        <v>429</v>
      </c>
      <c r="BR123">
        <f t="shared" si="24"/>
        <v>429</v>
      </c>
      <c r="BS123" t="s">
        <v>2617</v>
      </c>
    </row>
    <row r="124" spans="1:71" x14ac:dyDescent="0.4">
      <c r="A124" s="3">
        <v>121</v>
      </c>
      <c r="B124" s="3">
        <v>121</v>
      </c>
      <c r="C124" s="4" t="s">
        <v>183</v>
      </c>
      <c r="D124" s="4" t="str">
        <f t="shared" si="25"/>
        <v>J099MD</v>
      </c>
      <c r="E124" s="4" t="s">
        <v>183</v>
      </c>
      <c r="F124" s="4" t="s">
        <v>1402</v>
      </c>
      <c r="G124" s="5">
        <v>4521718150383</v>
      </c>
      <c r="H124" s="5"/>
      <c r="I124" s="5"/>
      <c r="J124" s="5">
        <v>1</v>
      </c>
      <c r="K124" s="5">
        <v>1</v>
      </c>
      <c r="L124" s="4">
        <v>620</v>
      </c>
      <c r="M124" s="4">
        <v>358</v>
      </c>
      <c r="N124" s="4">
        <v>278</v>
      </c>
      <c r="O124" s="6">
        <f t="shared" si="26"/>
        <v>0.22346368715083798</v>
      </c>
      <c r="P124" s="4" t="s">
        <v>2500</v>
      </c>
      <c r="Q124" s="4"/>
      <c r="R124" s="4"/>
      <c r="S124" s="4"/>
      <c r="T124" s="4"/>
      <c r="U124" s="4"/>
      <c r="V124" s="4"/>
      <c r="W124" s="4"/>
      <c r="X124" s="4"/>
      <c r="Y124" s="4">
        <v>428</v>
      </c>
      <c r="Z124" s="4">
        <f t="shared" si="27"/>
        <v>428</v>
      </c>
      <c r="AA124" s="4">
        <v>278</v>
      </c>
      <c r="AB124" s="4">
        <f t="shared" si="28"/>
        <v>278</v>
      </c>
      <c r="AC124" s="4"/>
      <c r="AD124" s="21">
        <f>ROUND(M124*AR124,0)</f>
        <v>358</v>
      </c>
      <c r="AE124" s="6">
        <f>1-AB124/AD124</f>
        <v>0.22346368715083798</v>
      </c>
      <c r="AF124" s="33">
        <v>0</v>
      </c>
      <c r="AG124" s="4">
        <f t="shared" si="29"/>
        <v>651</v>
      </c>
      <c r="AH124" s="33">
        <f t="shared" si="22"/>
        <v>651</v>
      </c>
      <c r="AI124" s="6">
        <f>1-AB124/AH124</f>
        <v>0.57296466973886329</v>
      </c>
      <c r="AJ124" s="7">
        <f>ROUND(AB124/0.65,0)</f>
        <v>428</v>
      </c>
      <c r="AK124" s="6">
        <f>1-AB124/AJ124</f>
        <v>0.35046728971962615</v>
      </c>
      <c r="AL124" s="4">
        <f>AJ124-AB124</f>
        <v>150</v>
      </c>
      <c r="AM124" s="28"/>
      <c r="AN124" s="6"/>
      <c r="AO124" s="6"/>
      <c r="AP124" s="6">
        <f>Z124/L124</f>
        <v>0.69032258064516128</v>
      </c>
      <c r="AQ124" s="6">
        <f>AJ124/M124</f>
        <v>1.1955307262569832</v>
      </c>
      <c r="AR124" s="6">
        <f>AB124/N124</f>
        <v>1</v>
      </c>
      <c r="AS124" s="4"/>
      <c r="AT124" s="4"/>
      <c r="AU124" s="4"/>
      <c r="AV124" s="4"/>
      <c r="AW124" s="4"/>
      <c r="AX124" s="4"/>
      <c r="AY124" s="4"/>
      <c r="AZ124" s="4"/>
      <c r="BA124" s="4"/>
      <c r="BB124" s="4">
        <v>0</v>
      </c>
      <c r="BC124" s="4" t="s">
        <v>3682</v>
      </c>
      <c r="BD124" s="4">
        <v>1</v>
      </c>
      <c r="BE124" s="4">
        <v>2</v>
      </c>
      <c r="BF124" s="4" t="s">
        <v>3659</v>
      </c>
      <c r="BG124" s="4">
        <v>1302</v>
      </c>
      <c r="BH124" s="4">
        <v>1302</v>
      </c>
      <c r="BI124" s="4">
        <f t="shared" si="30"/>
        <v>651</v>
      </c>
      <c r="BJ124" s="19">
        <v>4</v>
      </c>
      <c r="BK124" s="19">
        <v>8</v>
      </c>
      <c r="BL124" s="16">
        <v>6</v>
      </c>
      <c r="BM124" s="45" t="s">
        <v>3534</v>
      </c>
      <c r="BN124" t="s">
        <v>3534</v>
      </c>
      <c r="BO124" t="str">
        <f t="shared" si="23"/>
        <v>-</v>
      </c>
      <c r="BP124" t="s">
        <v>3534</v>
      </c>
      <c r="BQ124">
        <v>429</v>
      </c>
      <c r="BR124">
        <f t="shared" si="24"/>
        <v>429</v>
      </c>
      <c r="BS124" t="s">
        <v>2618</v>
      </c>
    </row>
    <row r="125" spans="1:71" x14ac:dyDescent="0.4">
      <c r="A125" s="3">
        <v>122</v>
      </c>
      <c r="B125" s="3">
        <v>122</v>
      </c>
      <c r="C125" s="4" t="s">
        <v>184</v>
      </c>
      <c r="D125" s="4" t="str">
        <f t="shared" si="25"/>
        <v>J100MD</v>
      </c>
      <c r="E125" s="4" t="s">
        <v>184</v>
      </c>
      <c r="F125" s="4" t="s">
        <v>1403</v>
      </c>
      <c r="G125" s="5">
        <v>4521718150390</v>
      </c>
      <c r="H125" s="5"/>
      <c r="I125" s="5"/>
      <c r="J125" s="5">
        <v>1</v>
      </c>
      <c r="K125" s="5">
        <v>1</v>
      </c>
      <c r="L125" s="4">
        <v>700</v>
      </c>
      <c r="M125" s="4">
        <v>403</v>
      </c>
      <c r="N125" s="4">
        <v>313</v>
      </c>
      <c r="O125" s="6">
        <f t="shared" si="26"/>
        <v>0.22332506203473945</v>
      </c>
      <c r="P125" s="4" t="s">
        <v>2500</v>
      </c>
      <c r="Q125" s="4"/>
      <c r="R125" s="4"/>
      <c r="S125" s="4"/>
      <c r="T125" s="4"/>
      <c r="U125" s="4"/>
      <c r="V125" s="4"/>
      <c r="W125" s="4"/>
      <c r="X125" s="4"/>
      <c r="Y125" s="4">
        <v>482</v>
      </c>
      <c r="Z125" s="4">
        <f t="shared" si="27"/>
        <v>482</v>
      </c>
      <c r="AA125" s="4">
        <v>313</v>
      </c>
      <c r="AB125" s="4">
        <f t="shared" si="28"/>
        <v>313</v>
      </c>
      <c r="AC125" s="4"/>
      <c r="AD125" s="21">
        <f>ROUND(M125*AR125,0)</f>
        <v>403</v>
      </c>
      <c r="AE125" s="6">
        <f>1-AB125/AD125</f>
        <v>0.22332506203473945</v>
      </c>
      <c r="AF125" s="33">
        <v>0</v>
      </c>
      <c r="AG125" s="4">
        <f t="shared" si="29"/>
        <v>313</v>
      </c>
      <c r="AH125" s="33">
        <f t="shared" si="22"/>
        <v>313</v>
      </c>
      <c r="AI125" s="6">
        <f>1-AB125/AH125</f>
        <v>0</v>
      </c>
      <c r="AJ125" s="7">
        <f>ROUND(AB125/0.65,0)</f>
        <v>482</v>
      </c>
      <c r="AK125" s="6">
        <f>1-AB125/AJ125</f>
        <v>0.35062240663900412</v>
      </c>
      <c r="AL125" s="4">
        <f>AJ125-AB125</f>
        <v>169</v>
      </c>
      <c r="AM125" s="28"/>
      <c r="AN125" s="6"/>
      <c r="AO125" s="6"/>
      <c r="AP125" s="6">
        <f>Z125/L125</f>
        <v>0.68857142857142861</v>
      </c>
      <c r="AQ125" s="6">
        <f>AJ125/M125</f>
        <v>1.1960297766749379</v>
      </c>
      <c r="AR125" s="6">
        <f>AB125/N125</f>
        <v>1</v>
      </c>
      <c r="AS125" s="4"/>
      <c r="AT125" s="4"/>
      <c r="AU125" s="4"/>
      <c r="AV125" s="4"/>
      <c r="AW125" s="4"/>
      <c r="AX125" s="4"/>
      <c r="AY125" s="4"/>
      <c r="AZ125" s="4"/>
      <c r="BA125" s="4"/>
      <c r="BB125" s="4">
        <v>0</v>
      </c>
      <c r="BC125" s="4" t="s">
        <v>3683</v>
      </c>
      <c r="BD125" s="4"/>
      <c r="BE125" s="4"/>
      <c r="BF125" s="4" t="s">
        <v>3649</v>
      </c>
      <c r="BG125" s="4">
        <v>313</v>
      </c>
      <c r="BH125" s="4">
        <v>313</v>
      </c>
      <c r="BI125" s="4">
        <f t="shared" si="30"/>
        <v>313</v>
      </c>
      <c r="BJ125" s="19">
        <v>4</v>
      </c>
      <c r="BK125" s="19">
        <v>8</v>
      </c>
      <c r="BL125" s="16">
        <v>6</v>
      </c>
      <c r="BM125" s="45" t="s">
        <v>3534</v>
      </c>
      <c r="BN125" t="s">
        <v>3534</v>
      </c>
      <c r="BO125" t="str">
        <f t="shared" si="23"/>
        <v>-</v>
      </c>
      <c r="BP125" t="s">
        <v>3534</v>
      </c>
      <c r="BQ125">
        <v>483</v>
      </c>
      <c r="BR125">
        <f t="shared" si="24"/>
        <v>483</v>
      </c>
      <c r="BS125" t="s">
        <v>2619</v>
      </c>
    </row>
    <row r="126" spans="1:71" x14ac:dyDescent="0.4">
      <c r="A126" s="3">
        <v>123</v>
      </c>
      <c r="B126" s="3">
        <v>123</v>
      </c>
      <c r="C126" s="4" t="s">
        <v>185</v>
      </c>
      <c r="D126" s="4" t="str">
        <f t="shared" si="25"/>
        <v>J101MD</v>
      </c>
      <c r="E126" s="4" t="s">
        <v>185</v>
      </c>
      <c r="F126" s="4" t="s">
        <v>1404</v>
      </c>
      <c r="G126" s="5">
        <v>4521718150406</v>
      </c>
      <c r="H126" s="5"/>
      <c r="I126" s="5"/>
      <c r="J126" s="5">
        <v>1</v>
      </c>
      <c r="K126" s="5">
        <v>1</v>
      </c>
      <c r="L126" s="4">
        <v>700</v>
      </c>
      <c r="M126" s="4">
        <v>403</v>
      </c>
      <c r="N126" s="4">
        <v>313</v>
      </c>
      <c r="O126" s="6">
        <f t="shared" si="26"/>
        <v>0.22332506203473945</v>
      </c>
      <c r="P126" s="4" t="s">
        <v>2500</v>
      </c>
      <c r="Q126" s="4"/>
      <c r="R126" s="4"/>
      <c r="S126" s="4"/>
      <c r="T126" s="4"/>
      <c r="U126" s="4"/>
      <c r="V126" s="4"/>
      <c r="W126" s="4"/>
      <c r="X126" s="4"/>
      <c r="Y126" s="4">
        <v>482</v>
      </c>
      <c r="Z126" s="4">
        <f t="shared" si="27"/>
        <v>482</v>
      </c>
      <c r="AA126" s="4">
        <v>313</v>
      </c>
      <c r="AB126" s="4">
        <f t="shared" si="28"/>
        <v>313</v>
      </c>
      <c r="AC126" s="4"/>
      <c r="AD126" s="21">
        <f>ROUND(M126*AR126,0)</f>
        <v>403</v>
      </c>
      <c r="AE126" s="6">
        <f>1-AB126/AD126</f>
        <v>0.22332506203473945</v>
      </c>
      <c r="AF126" s="33">
        <v>0</v>
      </c>
      <c r="AG126" s="4">
        <f t="shared" si="29"/>
        <v>728.5</v>
      </c>
      <c r="AH126" s="33">
        <f t="shared" si="22"/>
        <v>728.5</v>
      </c>
      <c r="AI126" s="6">
        <f>1-AB126/AH126</f>
        <v>0.57035003431708997</v>
      </c>
      <c r="AJ126" s="7">
        <f>ROUND(AB126/0.65,0)</f>
        <v>482</v>
      </c>
      <c r="AK126" s="6">
        <f>1-AB126/AJ126</f>
        <v>0.35062240663900412</v>
      </c>
      <c r="AL126" s="4">
        <f>AJ126-AB126</f>
        <v>169</v>
      </c>
      <c r="AM126" s="28"/>
      <c r="AN126" s="6"/>
      <c r="AO126" s="6"/>
      <c r="AP126" s="6">
        <f>Z126/L126</f>
        <v>0.68857142857142861</v>
      </c>
      <c r="AQ126" s="6">
        <f>AJ126/M126</f>
        <v>1.1960297766749379</v>
      </c>
      <c r="AR126" s="6">
        <f>AB126/N126</f>
        <v>1</v>
      </c>
      <c r="AS126" s="4"/>
      <c r="AT126" s="4"/>
      <c r="AU126" s="4"/>
      <c r="AV126" s="4"/>
      <c r="AW126" s="4"/>
      <c r="AX126" s="4"/>
      <c r="AY126" s="4"/>
      <c r="AZ126" s="4"/>
      <c r="BA126" s="4"/>
      <c r="BB126" s="4">
        <v>0</v>
      </c>
      <c r="BC126" s="4" t="s">
        <v>3684</v>
      </c>
      <c r="BD126" s="4">
        <v>1</v>
      </c>
      <c r="BE126" s="4">
        <v>2</v>
      </c>
      <c r="BF126" s="4" t="s">
        <v>3659</v>
      </c>
      <c r="BG126" s="4">
        <v>1457</v>
      </c>
      <c r="BH126" s="4">
        <v>1457</v>
      </c>
      <c r="BI126" s="4">
        <f t="shared" si="30"/>
        <v>728.5</v>
      </c>
      <c r="BJ126" s="19">
        <v>4</v>
      </c>
      <c r="BK126" s="19">
        <v>8</v>
      </c>
      <c r="BL126" s="16">
        <v>6</v>
      </c>
      <c r="BM126" s="45" t="s">
        <v>3534</v>
      </c>
      <c r="BN126" t="s">
        <v>3534</v>
      </c>
      <c r="BO126" t="str">
        <f t="shared" si="23"/>
        <v>-</v>
      </c>
      <c r="BP126" t="s">
        <v>3534</v>
      </c>
      <c r="BQ126">
        <v>483</v>
      </c>
      <c r="BR126">
        <f t="shared" si="24"/>
        <v>483</v>
      </c>
      <c r="BS126" t="s">
        <v>2620</v>
      </c>
    </row>
    <row r="127" spans="1:71" x14ac:dyDescent="0.4">
      <c r="A127" s="3">
        <v>124</v>
      </c>
      <c r="B127" s="3">
        <v>124</v>
      </c>
      <c r="C127" s="4" t="s">
        <v>186</v>
      </c>
      <c r="D127" s="4" t="str">
        <f t="shared" si="25"/>
        <v>J102MD</v>
      </c>
      <c r="E127" s="4" t="s">
        <v>186</v>
      </c>
      <c r="F127" s="4" t="s">
        <v>1405</v>
      </c>
      <c r="G127" s="5">
        <v>4521718150413</v>
      </c>
      <c r="H127" s="5"/>
      <c r="I127" s="5"/>
      <c r="J127" s="5">
        <v>1</v>
      </c>
      <c r="K127" s="5">
        <v>1</v>
      </c>
      <c r="L127" s="4">
        <v>700</v>
      </c>
      <c r="M127" s="4">
        <v>403</v>
      </c>
      <c r="N127" s="4">
        <v>313</v>
      </c>
      <c r="O127" s="6">
        <f t="shared" si="26"/>
        <v>0.22332506203473945</v>
      </c>
      <c r="P127" s="4" t="s">
        <v>2500</v>
      </c>
      <c r="Q127" s="4"/>
      <c r="R127" s="4"/>
      <c r="S127" s="4"/>
      <c r="T127" s="4"/>
      <c r="U127" s="4"/>
      <c r="V127" s="4"/>
      <c r="W127" s="4"/>
      <c r="X127" s="4"/>
      <c r="Y127" s="4">
        <v>482</v>
      </c>
      <c r="Z127" s="4">
        <f t="shared" si="27"/>
        <v>482</v>
      </c>
      <c r="AA127" s="4">
        <v>313</v>
      </c>
      <c r="AB127" s="4">
        <f t="shared" si="28"/>
        <v>313</v>
      </c>
      <c r="AC127" s="4"/>
      <c r="AD127" s="21">
        <f>ROUND(M127*AR127,0)</f>
        <v>403</v>
      </c>
      <c r="AE127" s="6">
        <f>1-AB127/AD127</f>
        <v>0.22332506203473945</v>
      </c>
      <c r="AF127" s="33">
        <v>0</v>
      </c>
      <c r="AG127" s="4">
        <f t="shared" si="29"/>
        <v>728.5</v>
      </c>
      <c r="AH127" s="33">
        <f t="shared" si="22"/>
        <v>728.5</v>
      </c>
      <c r="AI127" s="6">
        <f>1-AB127/AH127</f>
        <v>0.57035003431708997</v>
      </c>
      <c r="AJ127" s="7">
        <f>ROUND(AB127/0.65,0)</f>
        <v>482</v>
      </c>
      <c r="AK127" s="6">
        <f>1-AB127/AJ127</f>
        <v>0.35062240663900412</v>
      </c>
      <c r="AL127" s="4">
        <f>AJ127-AB127</f>
        <v>169</v>
      </c>
      <c r="AM127" s="28"/>
      <c r="AN127" s="6"/>
      <c r="AO127" s="6"/>
      <c r="AP127" s="6">
        <f>Z127/L127</f>
        <v>0.68857142857142861</v>
      </c>
      <c r="AQ127" s="6">
        <f>AJ127/M127</f>
        <v>1.1960297766749379</v>
      </c>
      <c r="AR127" s="6">
        <f>AB127/N127</f>
        <v>1</v>
      </c>
      <c r="AS127" s="4"/>
      <c r="AT127" s="4"/>
      <c r="AU127" s="4"/>
      <c r="AV127" s="4"/>
      <c r="AW127" s="4"/>
      <c r="AX127" s="4"/>
      <c r="AY127" s="4"/>
      <c r="AZ127" s="4"/>
      <c r="BA127" s="4"/>
      <c r="BB127" s="4">
        <v>0</v>
      </c>
      <c r="BC127" s="4" t="s">
        <v>3685</v>
      </c>
      <c r="BD127" s="4">
        <v>1</v>
      </c>
      <c r="BE127" s="4">
        <v>2</v>
      </c>
      <c r="BF127" s="4" t="s">
        <v>3659</v>
      </c>
      <c r="BG127" s="4">
        <v>1457</v>
      </c>
      <c r="BH127" s="4">
        <v>1457</v>
      </c>
      <c r="BI127" s="4">
        <f t="shared" si="30"/>
        <v>728.5</v>
      </c>
      <c r="BJ127" s="19">
        <v>4</v>
      </c>
      <c r="BK127" s="19">
        <v>8</v>
      </c>
      <c r="BL127" s="16">
        <v>6</v>
      </c>
      <c r="BM127" s="45" t="s">
        <v>3534</v>
      </c>
      <c r="BN127" t="s">
        <v>3534</v>
      </c>
      <c r="BO127" t="str">
        <f t="shared" si="23"/>
        <v>-</v>
      </c>
      <c r="BP127" t="s">
        <v>3534</v>
      </c>
      <c r="BQ127">
        <v>483</v>
      </c>
      <c r="BR127">
        <f t="shared" si="24"/>
        <v>483</v>
      </c>
      <c r="BS127" t="s">
        <v>2621</v>
      </c>
    </row>
    <row r="128" spans="1:71" x14ac:dyDescent="0.4">
      <c r="A128" s="3">
        <v>125</v>
      </c>
      <c r="B128" s="3">
        <v>125</v>
      </c>
      <c r="C128" s="4" t="s">
        <v>187</v>
      </c>
      <c r="D128" s="4" t="str">
        <f t="shared" si="25"/>
        <v>J104MD</v>
      </c>
      <c r="E128" s="4" t="s">
        <v>187</v>
      </c>
      <c r="F128" s="4" t="s">
        <v>1406</v>
      </c>
      <c r="G128" s="5">
        <v>4521718150437</v>
      </c>
      <c r="H128" s="5"/>
      <c r="I128" s="5"/>
      <c r="J128" s="5">
        <v>1</v>
      </c>
      <c r="K128" s="5">
        <v>1</v>
      </c>
      <c r="L128" s="4">
        <v>480</v>
      </c>
      <c r="M128" s="4">
        <v>279</v>
      </c>
      <c r="N128" s="4">
        <v>213</v>
      </c>
      <c r="O128" s="6">
        <f t="shared" si="26"/>
        <v>0.23655913978494625</v>
      </c>
      <c r="P128" s="4" t="s">
        <v>2500</v>
      </c>
      <c r="Q128" s="4"/>
      <c r="R128" s="4"/>
      <c r="S128" s="4"/>
      <c r="T128" s="4"/>
      <c r="U128" s="4"/>
      <c r="V128" s="4"/>
      <c r="W128" s="4"/>
      <c r="X128" s="4"/>
      <c r="Y128" s="4">
        <v>328</v>
      </c>
      <c r="Z128" s="4">
        <f t="shared" si="27"/>
        <v>328</v>
      </c>
      <c r="AA128" s="4">
        <v>213</v>
      </c>
      <c r="AB128" s="4">
        <f t="shared" si="28"/>
        <v>213</v>
      </c>
      <c r="AC128" s="4"/>
      <c r="AD128" s="21">
        <f>ROUND(M128*AR128,0)</f>
        <v>279</v>
      </c>
      <c r="AE128" s="6">
        <f>1-AB128/AD128</f>
        <v>0.23655913978494625</v>
      </c>
      <c r="AF128" s="33">
        <v>0.25</v>
      </c>
      <c r="AG128" s="4">
        <f t="shared" si="29"/>
        <v>492.33333333333331</v>
      </c>
      <c r="AH128" s="33">
        <f t="shared" si="22"/>
        <v>492.33333333333331</v>
      </c>
      <c r="AI128" s="6">
        <f>1-AB128/AH128</f>
        <v>0.56736628300609349</v>
      </c>
      <c r="AJ128" s="7">
        <f>ROUND(AB128/0.65,0)</f>
        <v>328</v>
      </c>
      <c r="AK128" s="6">
        <f>1-AB128/AJ128</f>
        <v>0.35060975609756095</v>
      </c>
      <c r="AL128" s="4">
        <f>AJ128-AB128</f>
        <v>115</v>
      </c>
      <c r="AM128" s="28"/>
      <c r="AN128" s="6"/>
      <c r="AO128" s="6"/>
      <c r="AP128" s="6">
        <f>Z128/L128</f>
        <v>0.68333333333333335</v>
      </c>
      <c r="AQ128" s="6">
        <f>AJ128/M128</f>
        <v>1.1756272401433692</v>
      </c>
      <c r="AR128" s="6">
        <f>AB128/N128</f>
        <v>1</v>
      </c>
      <c r="AS128" s="4"/>
      <c r="AT128" s="4"/>
      <c r="AU128" s="4"/>
      <c r="AV128" s="4"/>
      <c r="AW128" s="4"/>
      <c r="AX128" s="4"/>
      <c r="AY128" s="4"/>
      <c r="AZ128" s="4"/>
      <c r="BA128" s="4"/>
      <c r="BB128" s="4">
        <v>0</v>
      </c>
      <c r="BC128" s="4" t="s">
        <v>3686</v>
      </c>
      <c r="BD128" s="4">
        <v>1</v>
      </c>
      <c r="BE128" s="4">
        <v>3</v>
      </c>
      <c r="BF128" s="4" t="s">
        <v>3638</v>
      </c>
      <c r="BG128" s="4">
        <v>1477</v>
      </c>
      <c r="BH128" s="4">
        <v>1477</v>
      </c>
      <c r="BI128" s="4">
        <f t="shared" si="30"/>
        <v>492.33333333333331</v>
      </c>
      <c r="BJ128" s="19">
        <v>4</v>
      </c>
      <c r="BK128" s="19">
        <v>8</v>
      </c>
      <c r="BL128" s="16">
        <v>6</v>
      </c>
      <c r="BM128" s="45" t="s">
        <v>3534</v>
      </c>
      <c r="BN128" t="s">
        <v>3534</v>
      </c>
      <c r="BO128" t="str">
        <f t="shared" si="23"/>
        <v>-</v>
      </c>
      <c r="BP128" t="s">
        <v>3534</v>
      </c>
      <c r="BQ128">
        <v>328</v>
      </c>
      <c r="BR128">
        <f t="shared" si="24"/>
        <v>328</v>
      </c>
      <c r="BS128" t="s">
        <v>2622</v>
      </c>
    </row>
    <row r="129" spans="1:71" x14ac:dyDescent="0.4">
      <c r="A129" s="3">
        <v>126</v>
      </c>
      <c r="B129" s="3">
        <v>126</v>
      </c>
      <c r="C129" s="4" t="s">
        <v>188</v>
      </c>
      <c r="D129" s="4" t="str">
        <f t="shared" si="25"/>
        <v>J103MD</v>
      </c>
      <c r="E129" s="4" t="s">
        <v>188</v>
      </c>
      <c r="F129" s="4" t="s">
        <v>1407</v>
      </c>
      <c r="G129" s="5">
        <v>4521718150420</v>
      </c>
      <c r="H129" s="5"/>
      <c r="I129" s="5"/>
      <c r="J129" s="5">
        <v>1</v>
      </c>
      <c r="K129" s="5">
        <v>1</v>
      </c>
      <c r="L129" s="4">
        <v>480</v>
      </c>
      <c r="M129" s="4">
        <v>274</v>
      </c>
      <c r="N129" s="4">
        <v>213</v>
      </c>
      <c r="O129" s="6">
        <f t="shared" si="26"/>
        <v>0.22262773722627738</v>
      </c>
      <c r="P129" s="4" t="s">
        <v>2500</v>
      </c>
      <c r="Q129" s="4"/>
      <c r="R129" s="4"/>
      <c r="S129" s="4"/>
      <c r="T129" s="4"/>
      <c r="U129" s="4"/>
      <c r="V129" s="4"/>
      <c r="W129" s="4"/>
      <c r="X129" s="4"/>
      <c r="Y129" s="4">
        <v>328</v>
      </c>
      <c r="Z129" s="4">
        <f t="shared" si="27"/>
        <v>328</v>
      </c>
      <c r="AA129" s="4">
        <v>213</v>
      </c>
      <c r="AB129" s="4">
        <f t="shared" si="28"/>
        <v>213</v>
      </c>
      <c r="AC129" s="4"/>
      <c r="AD129" s="21">
        <f>ROUND(M129*AR129,0)</f>
        <v>274</v>
      </c>
      <c r="AE129" s="6">
        <f>1-AB129/AD129</f>
        <v>0.22262773722627738</v>
      </c>
      <c r="AF129" s="33">
        <v>0</v>
      </c>
      <c r="AG129" s="4">
        <f t="shared" si="29"/>
        <v>492.33333333333331</v>
      </c>
      <c r="AH129" s="33">
        <f t="shared" si="22"/>
        <v>492.33333333333331</v>
      </c>
      <c r="AI129" s="6">
        <f>1-AB129/AH129</f>
        <v>0.56736628300609349</v>
      </c>
      <c r="AJ129" s="7">
        <f>ROUND(AB129/0.65,0)</f>
        <v>328</v>
      </c>
      <c r="AK129" s="6">
        <f>1-AB129/AJ129</f>
        <v>0.35060975609756095</v>
      </c>
      <c r="AL129" s="4">
        <f>AJ129-AB129</f>
        <v>115</v>
      </c>
      <c r="AM129" s="28"/>
      <c r="AN129" s="6"/>
      <c r="AO129" s="6"/>
      <c r="AP129" s="6">
        <f>Z129/L129</f>
        <v>0.68333333333333335</v>
      </c>
      <c r="AQ129" s="6">
        <f>AJ129/M129</f>
        <v>1.197080291970803</v>
      </c>
      <c r="AR129" s="6">
        <f>AB129/N129</f>
        <v>1</v>
      </c>
      <c r="AS129" s="4"/>
      <c r="AT129" s="4"/>
      <c r="AU129" s="4"/>
      <c r="AV129" s="4"/>
      <c r="AW129" s="4"/>
      <c r="AX129" s="4"/>
      <c r="AY129" s="4"/>
      <c r="AZ129" s="4"/>
      <c r="BA129" s="4"/>
      <c r="BB129" s="4">
        <v>0</v>
      </c>
      <c r="BC129" s="4" t="s">
        <v>3687</v>
      </c>
      <c r="BD129" s="4">
        <v>1</v>
      </c>
      <c r="BE129" s="4">
        <v>3</v>
      </c>
      <c r="BF129" s="4" t="s">
        <v>3638</v>
      </c>
      <c r="BG129" s="4">
        <v>1477</v>
      </c>
      <c r="BH129" s="4">
        <v>1477</v>
      </c>
      <c r="BI129" s="4">
        <f t="shared" si="30"/>
        <v>492.33333333333331</v>
      </c>
      <c r="BJ129" s="19">
        <v>4</v>
      </c>
      <c r="BK129" s="19">
        <v>8</v>
      </c>
      <c r="BL129" s="16">
        <v>6</v>
      </c>
      <c r="BM129" s="45" t="s">
        <v>3534</v>
      </c>
      <c r="BN129" t="s">
        <v>3534</v>
      </c>
      <c r="BO129" t="str">
        <f t="shared" si="23"/>
        <v>-</v>
      </c>
      <c r="BP129" t="s">
        <v>3534</v>
      </c>
      <c r="BQ129">
        <v>328</v>
      </c>
      <c r="BR129">
        <f t="shared" si="24"/>
        <v>328</v>
      </c>
      <c r="BS129" t="s">
        <v>2623</v>
      </c>
    </row>
    <row r="130" spans="1:71" x14ac:dyDescent="0.4">
      <c r="A130" s="3">
        <v>127</v>
      </c>
      <c r="B130" s="3">
        <v>127</v>
      </c>
      <c r="C130" s="4" t="s">
        <v>189</v>
      </c>
      <c r="D130" s="4" t="str">
        <f t="shared" si="25"/>
        <v>J105MD</v>
      </c>
      <c r="E130" s="4" t="s">
        <v>189</v>
      </c>
      <c r="F130" s="4" t="s">
        <v>1408</v>
      </c>
      <c r="G130" s="5">
        <v>4521718150444</v>
      </c>
      <c r="H130" s="5"/>
      <c r="I130" s="5"/>
      <c r="J130" s="5">
        <v>1</v>
      </c>
      <c r="K130" s="5">
        <v>1</v>
      </c>
      <c r="L130" s="4">
        <v>480</v>
      </c>
      <c r="M130" s="4">
        <v>279</v>
      </c>
      <c r="N130" s="4">
        <v>213</v>
      </c>
      <c r="O130" s="6">
        <f t="shared" si="26"/>
        <v>0.23655913978494625</v>
      </c>
      <c r="P130" s="4" t="s">
        <v>2500</v>
      </c>
      <c r="Q130" s="4"/>
      <c r="R130" s="4"/>
      <c r="S130" s="4"/>
      <c r="T130" s="4"/>
      <c r="U130" s="4"/>
      <c r="V130" s="4"/>
      <c r="W130" s="4"/>
      <c r="X130" s="4"/>
      <c r="Y130" s="4">
        <v>328</v>
      </c>
      <c r="Z130" s="4">
        <f t="shared" si="27"/>
        <v>328</v>
      </c>
      <c r="AA130" s="4">
        <v>213</v>
      </c>
      <c r="AB130" s="4">
        <f t="shared" si="28"/>
        <v>213</v>
      </c>
      <c r="AC130" s="4"/>
      <c r="AD130" s="21">
        <f>ROUND(M130*AR130,0)</f>
        <v>279</v>
      </c>
      <c r="AE130" s="6">
        <f>1-AB130/AD130</f>
        <v>0.23655913978494625</v>
      </c>
      <c r="AF130" s="33">
        <v>0.25</v>
      </c>
      <c r="AG130" s="4">
        <f t="shared" si="29"/>
        <v>492.33333333333331</v>
      </c>
      <c r="AH130" s="33">
        <f t="shared" si="22"/>
        <v>492.33333333333331</v>
      </c>
      <c r="AI130" s="6">
        <f>1-AB130/AH130</f>
        <v>0.56736628300609349</v>
      </c>
      <c r="AJ130" s="7">
        <f>ROUND(AB130/0.65,0)</f>
        <v>328</v>
      </c>
      <c r="AK130" s="6">
        <f>1-AB130/AJ130</f>
        <v>0.35060975609756095</v>
      </c>
      <c r="AL130" s="4">
        <f>AJ130-AB130</f>
        <v>115</v>
      </c>
      <c r="AM130" s="28"/>
      <c r="AN130" s="6"/>
      <c r="AO130" s="6"/>
      <c r="AP130" s="6">
        <f>Z130/L130</f>
        <v>0.68333333333333335</v>
      </c>
      <c r="AQ130" s="6">
        <f>AJ130/M130</f>
        <v>1.1756272401433692</v>
      </c>
      <c r="AR130" s="6">
        <f>AB130/N130</f>
        <v>1</v>
      </c>
      <c r="AS130" s="4"/>
      <c r="AT130" s="4"/>
      <c r="AU130" s="4"/>
      <c r="AV130" s="4"/>
      <c r="AW130" s="4"/>
      <c r="AX130" s="4"/>
      <c r="AY130" s="4"/>
      <c r="AZ130" s="4"/>
      <c r="BA130" s="4"/>
      <c r="BB130" s="4">
        <v>0</v>
      </c>
      <c r="BC130" s="4" t="s">
        <v>3688</v>
      </c>
      <c r="BD130" s="4">
        <v>1</v>
      </c>
      <c r="BE130" s="4">
        <v>3</v>
      </c>
      <c r="BF130" s="4" t="s">
        <v>3638</v>
      </c>
      <c r="BG130" s="4">
        <v>1477</v>
      </c>
      <c r="BH130" s="4">
        <v>1477</v>
      </c>
      <c r="BI130" s="4">
        <f t="shared" si="30"/>
        <v>492.33333333333331</v>
      </c>
      <c r="BJ130" s="19">
        <v>4</v>
      </c>
      <c r="BK130" s="19">
        <v>8</v>
      </c>
      <c r="BL130" s="16">
        <v>6</v>
      </c>
      <c r="BM130" s="45" t="s">
        <v>3534</v>
      </c>
      <c r="BN130" t="s">
        <v>3534</v>
      </c>
      <c r="BO130" t="str">
        <f t="shared" si="23"/>
        <v>-</v>
      </c>
      <c r="BP130" t="s">
        <v>3534</v>
      </c>
      <c r="BQ130">
        <v>328</v>
      </c>
      <c r="BR130">
        <f t="shared" si="24"/>
        <v>328</v>
      </c>
      <c r="BS130" t="s">
        <v>2624</v>
      </c>
    </row>
    <row r="131" spans="1:71" x14ac:dyDescent="0.4">
      <c r="A131" s="3">
        <v>128</v>
      </c>
      <c r="B131" s="3">
        <v>128</v>
      </c>
      <c r="C131" s="4" t="s">
        <v>190</v>
      </c>
      <c r="D131" s="4" t="str">
        <f t="shared" si="25"/>
        <v>J106MD</v>
      </c>
      <c r="E131" s="4" t="s">
        <v>190</v>
      </c>
      <c r="F131" s="4" t="s">
        <v>1409</v>
      </c>
      <c r="G131" s="5">
        <v>4521718150451</v>
      </c>
      <c r="H131" s="5"/>
      <c r="I131" s="5"/>
      <c r="J131" s="5">
        <v>1</v>
      </c>
      <c r="K131" s="5">
        <v>1</v>
      </c>
      <c r="L131" s="4">
        <v>480</v>
      </c>
      <c r="M131" s="4">
        <v>274</v>
      </c>
      <c r="N131" s="4">
        <v>213</v>
      </c>
      <c r="O131" s="6">
        <f t="shared" si="26"/>
        <v>0.22262773722627738</v>
      </c>
      <c r="P131" s="4" t="s">
        <v>2500</v>
      </c>
      <c r="Q131" s="4"/>
      <c r="R131" s="4"/>
      <c r="S131" s="4"/>
      <c r="T131" s="4"/>
      <c r="U131" s="4"/>
      <c r="V131" s="4"/>
      <c r="W131" s="4"/>
      <c r="X131" s="4"/>
      <c r="Y131" s="4">
        <v>328</v>
      </c>
      <c r="Z131" s="4">
        <f t="shared" si="27"/>
        <v>328</v>
      </c>
      <c r="AA131" s="4">
        <v>213</v>
      </c>
      <c r="AB131" s="4">
        <f t="shared" si="28"/>
        <v>213</v>
      </c>
      <c r="AC131" s="4"/>
      <c r="AD131" s="21">
        <f>ROUND(M131*AR131,0)</f>
        <v>274</v>
      </c>
      <c r="AE131" s="6">
        <f>1-AB131/AD131</f>
        <v>0.22262773722627738</v>
      </c>
      <c r="AF131" s="33">
        <v>0.25</v>
      </c>
      <c r="AG131" s="4">
        <f t="shared" si="29"/>
        <v>492.33333333333331</v>
      </c>
      <c r="AH131" s="33">
        <f t="shared" si="22"/>
        <v>492.33333333333331</v>
      </c>
      <c r="AI131" s="6">
        <f>1-AB131/AH131</f>
        <v>0.56736628300609349</v>
      </c>
      <c r="AJ131" s="7">
        <f>ROUND(AB131/0.65,0)</f>
        <v>328</v>
      </c>
      <c r="AK131" s="6">
        <f>1-AB131/AJ131</f>
        <v>0.35060975609756095</v>
      </c>
      <c r="AL131" s="4">
        <f>AJ131-AB131</f>
        <v>115</v>
      </c>
      <c r="AM131" s="28"/>
      <c r="AN131" s="6"/>
      <c r="AO131" s="6"/>
      <c r="AP131" s="6">
        <f>Z131/L131</f>
        <v>0.68333333333333335</v>
      </c>
      <c r="AQ131" s="6">
        <f>AJ131/M131</f>
        <v>1.197080291970803</v>
      </c>
      <c r="AR131" s="6">
        <f>AB131/N131</f>
        <v>1</v>
      </c>
      <c r="AS131" s="4"/>
      <c r="AT131" s="4"/>
      <c r="AU131" s="4"/>
      <c r="AV131" s="4"/>
      <c r="AW131" s="4"/>
      <c r="AX131" s="4"/>
      <c r="AY131" s="4"/>
      <c r="AZ131" s="4"/>
      <c r="BA131" s="4"/>
      <c r="BB131" s="4">
        <v>0</v>
      </c>
      <c r="BC131" s="4" t="s">
        <v>3689</v>
      </c>
      <c r="BD131" s="4">
        <v>1</v>
      </c>
      <c r="BE131" s="4">
        <v>3</v>
      </c>
      <c r="BF131" s="4" t="s">
        <v>3638</v>
      </c>
      <c r="BG131" s="4">
        <v>1477</v>
      </c>
      <c r="BH131" s="4">
        <v>1477</v>
      </c>
      <c r="BI131" s="4">
        <f t="shared" si="30"/>
        <v>492.33333333333331</v>
      </c>
      <c r="BJ131" s="19">
        <v>4</v>
      </c>
      <c r="BK131" s="19">
        <v>8</v>
      </c>
      <c r="BL131" s="16">
        <v>6</v>
      </c>
      <c r="BM131" s="45" t="s">
        <v>3534</v>
      </c>
      <c r="BN131" t="s">
        <v>3534</v>
      </c>
      <c r="BO131" t="str">
        <f t="shared" si="23"/>
        <v>-</v>
      </c>
      <c r="BP131" t="s">
        <v>3534</v>
      </c>
      <c r="BQ131">
        <v>328</v>
      </c>
      <c r="BR131">
        <f t="shared" si="24"/>
        <v>328</v>
      </c>
      <c r="BS131" t="s">
        <v>2625</v>
      </c>
    </row>
    <row r="132" spans="1:71" x14ac:dyDescent="0.4">
      <c r="A132" s="3">
        <v>129</v>
      </c>
      <c r="B132" s="3">
        <v>129</v>
      </c>
      <c r="C132" s="4" t="s">
        <v>191</v>
      </c>
      <c r="D132" s="4" t="str">
        <f t="shared" si="25"/>
        <v>J108MD</v>
      </c>
      <c r="E132" s="4" t="s">
        <v>191</v>
      </c>
      <c r="F132" s="4" t="s">
        <v>1410</v>
      </c>
      <c r="G132" s="5">
        <v>4521718150475</v>
      </c>
      <c r="H132" s="5"/>
      <c r="I132" s="5"/>
      <c r="J132" s="5">
        <v>1</v>
      </c>
      <c r="K132" s="5">
        <v>1</v>
      </c>
      <c r="L132" s="4">
        <v>620</v>
      </c>
      <c r="M132" s="4">
        <v>358</v>
      </c>
      <c r="N132" s="4">
        <v>278</v>
      </c>
      <c r="O132" s="6">
        <f t="shared" si="26"/>
        <v>0.22346368715083798</v>
      </c>
      <c r="P132" s="4" t="s">
        <v>2500</v>
      </c>
      <c r="Q132" s="4"/>
      <c r="R132" s="4"/>
      <c r="S132" s="4"/>
      <c r="T132" s="4"/>
      <c r="U132" s="4"/>
      <c r="V132" s="4"/>
      <c r="W132" s="4"/>
      <c r="X132" s="4"/>
      <c r="Y132" s="4">
        <v>428</v>
      </c>
      <c r="Z132" s="4">
        <f t="shared" si="27"/>
        <v>428</v>
      </c>
      <c r="AA132" s="4">
        <v>278</v>
      </c>
      <c r="AB132" s="4">
        <f t="shared" si="28"/>
        <v>278</v>
      </c>
      <c r="AC132" s="4"/>
      <c r="AD132" s="21">
        <f>ROUND(M132*AR132,0)</f>
        <v>358</v>
      </c>
      <c r="AE132" s="6">
        <f>1-AB132/AD132</f>
        <v>0.22346368715083798</v>
      </c>
      <c r="AF132" s="33">
        <v>0.25</v>
      </c>
      <c r="AG132" s="4">
        <f t="shared" si="29"/>
        <v>651</v>
      </c>
      <c r="AH132" s="33">
        <f t="shared" ref="AH132:AH195" si="31">AG132*AR132</f>
        <v>651</v>
      </c>
      <c r="AI132" s="6">
        <f>1-AB132/AH132</f>
        <v>0.57296466973886329</v>
      </c>
      <c r="AJ132" s="7">
        <f>ROUND(AB132/0.65,0)</f>
        <v>428</v>
      </c>
      <c r="AK132" s="6">
        <f>1-AB132/AJ132</f>
        <v>0.35046728971962615</v>
      </c>
      <c r="AL132" s="4">
        <f>AJ132-AB132</f>
        <v>150</v>
      </c>
      <c r="AM132" s="28"/>
      <c r="AN132" s="6"/>
      <c r="AO132" s="6"/>
      <c r="AP132" s="6">
        <f>Z132/L132</f>
        <v>0.69032258064516128</v>
      </c>
      <c r="AQ132" s="6">
        <f>AJ132/M132</f>
        <v>1.1955307262569832</v>
      </c>
      <c r="AR132" s="6">
        <f>AB132/N132</f>
        <v>1</v>
      </c>
      <c r="AS132" s="4"/>
      <c r="AT132" s="4"/>
      <c r="AU132" s="4"/>
      <c r="AV132" s="4"/>
      <c r="AW132" s="4"/>
      <c r="AX132" s="4"/>
      <c r="AY132" s="4"/>
      <c r="AZ132" s="4"/>
      <c r="BA132" s="4"/>
      <c r="BB132" s="4">
        <v>0</v>
      </c>
      <c r="BC132" s="4" t="s">
        <v>3690</v>
      </c>
      <c r="BD132" s="4">
        <v>1</v>
      </c>
      <c r="BE132" s="4">
        <v>2</v>
      </c>
      <c r="BF132" s="4" t="s">
        <v>3640</v>
      </c>
      <c r="BG132" s="4">
        <v>1302</v>
      </c>
      <c r="BH132" s="4">
        <v>1302</v>
      </c>
      <c r="BI132" s="4">
        <f t="shared" si="30"/>
        <v>651</v>
      </c>
      <c r="BJ132" s="19">
        <v>4</v>
      </c>
      <c r="BK132" s="19">
        <v>8</v>
      </c>
      <c r="BL132" s="16">
        <v>6</v>
      </c>
      <c r="BM132" s="45" t="s">
        <v>3534</v>
      </c>
      <c r="BN132" t="s">
        <v>3534</v>
      </c>
      <c r="BO132" t="str">
        <f t="shared" si="23"/>
        <v>-</v>
      </c>
      <c r="BP132" t="s">
        <v>3534</v>
      </c>
      <c r="BQ132">
        <v>429</v>
      </c>
      <c r="BR132">
        <f t="shared" si="24"/>
        <v>429</v>
      </c>
      <c r="BS132" t="s">
        <v>2626</v>
      </c>
    </row>
    <row r="133" spans="1:71" x14ac:dyDescent="0.4">
      <c r="A133" s="3">
        <v>130</v>
      </c>
      <c r="B133" s="3">
        <v>130</v>
      </c>
      <c r="C133" s="4" t="s">
        <v>192</v>
      </c>
      <c r="D133" s="4" t="str">
        <f t="shared" si="25"/>
        <v>J107MD</v>
      </c>
      <c r="E133" s="4" t="s">
        <v>192</v>
      </c>
      <c r="F133" s="4" t="s">
        <v>1411</v>
      </c>
      <c r="G133" s="5">
        <v>4521718150468</v>
      </c>
      <c r="H133" s="5"/>
      <c r="I133" s="5"/>
      <c r="J133" s="5">
        <v>1</v>
      </c>
      <c r="K133" s="5">
        <v>1</v>
      </c>
      <c r="L133" s="4">
        <v>480</v>
      </c>
      <c r="M133" s="4">
        <v>279</v>
      </c>
      <c r="N133" s="4">
        <v>213</v>
      </c>
      <c r="O133" s="6">
        <f t="shared" si="26"/>
        <v>0.23655913978494625</v>
      </c>
      <c r="P133" s="4" t="s">
        <v>2500</v>
      </c>
      <c r="Q133" s="4"/>
      <c r="R133" s="4"/>
      <c r="S133" s="4"/>
      <c r="T133" s="4"/>
      <c r="U133" s="4"/>
      <c r="V133" s="4"/>
      <c r="W133" s="4"/>
      <c r="X133" s="4"/>
      <c r="Y133" s="4">
        <v>328</v>
      </c>
      <c r="Z133" s="4">
        <f t="shared" si="27"/>
        <v>328</v>
      </c>
      <c r="AA133" s="4">
        <v>213</v>
      </c>
      <c r="AB133" s="4">
        <f t="shared" si="28"/>
        <v>213</v>
      </c>
      <c r="AC133" s="4"/>
      <c r="AD133" s="21">
        <f>ROUND(M133*AR133,0)</f>
        <v>279</v>
      </c>
      <c r="AE133" s="6">
        <f>1-AB133/AD133</f>
        <v>0.23655913978494625</v>
      </c>
      <c r="AF133" s="33">
        <v>0</v>
      </c>
      <c r="AG133" s="4">
        <f t="shared" si="29"/>
        <v>261</v>
      </c>
      <c r="AH133" s="33">
        <f t="shared" si="31"/>
        <v>261</v>
      </c>
      <c r="AI133" s="6">
        <f>1-AB133/AH133</f>
        <v>0.18390804597701149</v>
      </c>
      <c r="AJ133" s="7">
        <f>ROUND(AB133/0.65,0)</f>
        <v>328</v>
      </c>
      <c r="AK133" s="6">
        <f>1-AB133/AJ133</f>
        <v>0.35060975609756095</v>
      </c>
      <c r="AL133" s="4">
        <f>AJ133-AB133</f>
        <v>115</v>
      </c>
      <c r="AM133" s="28"/>
      <c r="AN133" s="6"/>
      <c r="AO133" s="6"/>
      <c r="AP133" s="6">
        <f>Z133/L133</f>
        <v>0.68333333333333335</v>
      </c>
      <c r="AQ133" s="6">
        <f>AJ133/M133</f>
        <v>1.1756272401433692</v>
      </c>
      <c r="AR133" s="6">
        <f>AB133/N133</f>
        <v>1</v>
      </c>
      <c r="AS133" s="4"/>
      <c r="AT133" s="4"/>
      <c r="AU133" s="4"/>
      <c r="AV133" s="4"/>
      <c r="AW133" s="4"/>
      <c r="AX133" s="4"/>
      <c r="AY133" s="4"/>
      <c r="AZ133" s="4"/>
      <c r="BA133" s="4"/>
      <c r="BB133" s="4">
        <v>0</v>
      </c>
      <c r="BC133" s="4" t="s">
        <v>3691</v>
      </c>
      <c r="BD133" s="4"/>
      <c r="BE133" s="4"/>
      <c r="BF133" s="4" t="s">
        <v>3545</v>
      </c>
      <c r="BG133" s="4">
        <v>261</v>
      </c>
      <c r="BH133" s="4">
        <v>261</v>
      </c>
      <c r="BI133" s="4">
        <f t="shared" si="30"/>
        <v>261</v>
      </c>
      <c r="BJ133" s="19">
        <v>4</v>
      </c>
      <c r="BK133" s="19">
        <v>8</v>
      </c>
      <c r="BL133" s="16">
        <v>6</v>
      </c>
      <c r="BM133" s="45" t="s">
        <v>3534</v>
      </c>
      <c r="BN133" t="s">
        <v>3534</v>
      </c>
      <c r="BO133" t="str">
        <f t="shared" ref="BO133:BO196" si="32">IFERROR(BN133*AR133,"-")</f>
        <v>-</v>
      </c>
      <c r="BP133" t="s">
        <v>3534</v>
      </c>
      <c r="BQ133">
        <v>328</v>
      </c>
      <c r="BR133">
        <f t="shared" ref="BR133:BR196" si="33">IFERROR(BQ133*AR133,"-")</f>
        <v>328</v>
      </c>
      <c r="BS133" t="s">
        <v>2627</v>
      </c>
    </row>
    <row r="134" spans="1:71" x14ac:dyDescent="0.4">
      <c r="A134" s="3">
        <v>131</v>
      </c>
      <c r="B134" s="3">
        <v>131</v>
      </c>
      <c r="C134" s="4" t="s">
        <v>193</v>
      </c>
      <c r="D134" s="4" t="str">
        <f t="shared" si="25"/>
        <v>J109MD</v>
      </c>
      <c r="E134" s="4" t="s">
        <v>193</v>
      </c>
      <c r="F134" s="4" t="s">
        <v>1412</v>
      </c>
      <c r="G134" s="5">
        <v>4521718150482</v>
      </c>
      <c r="H134" s="5"/>
      <c r="I134" s="5"/>
      <c r="J134" s="5">
        <v>1</v>
      </c>
      <c r="K134" s="5">
        <v>1</v>
      </c>
      <c r="L134" s="4">
        <v>620</v>
      </c>
      <c r="M134" s="4">
        <v>358</v>
      </c>
      <c r="N134" s="4">
        <v>278</v>
      </c>
      <c r="O134" s="6">
        <f t="shared" si="26"/>
        <v>0.22346368715083798</v>
      </c>
      <c r="P134" s="4" t="s">
        <v>2500</v>
      </c>
      <c r="Q134" s="4"/>
      <c r="R134" s="4"/>
      <c r="S134" s="4"/>
      <c r="T134" s="4"/>
      <c r="U134" s="4"/>
      <c r="V134" s="4"/>
      <c r="W134" s="4"/>
      <c r="X134" s="4"/>
      <c r="Y134" s="4">
        <v>428</v>
      </c>
      <c r="Z134" s="4">
        <f t="shared" si="27"/>
        <v>428</v>
      </c>
      <c r="AA134" s="4">
        <v>278</v>
      </c>
      <c r="AB134" s="4">
        <f t="shared" si="28"/>
        <v>278</v>
      </c>
      <c r="AC134" s="4"/>
      <c r="AD134" s="21">
        <f>ROUND(M134*AR134,0)</f>
        <v>358</v>
      </c>
      <c r="AE134" s="6">
        <f>1-AB134/AD134</f>
        <v>0.22346368715083798</v>
      </c>
      <c r="AF134" s="33">
        <v>0</v>
      </c>
      <c r="AG134" s="4">
        <f t="shared" si="29"/>
        <v>651</v>
      </c>
      <c r="AH134" s="33">
        <f t="shared" si="31"/>
        <v>651</v>
      </c>
      <c r="AI134" s="6">
        <f>1-AB134/AH134</f>
        <v>0.57296466973886329</v>
      </c>
      <c r="AJ134" s="7">
        <f>ROUND(AB134/0.65,0)</f>
        <v>428</v>
      </c>
      <c r="AK134" s="6">
        <f>1-AB134/AJ134</f>
        <v>0.35046728971962615</v>
      </c>
      <c r="AL134" s="4">
        <f>AJ134-AB134</f>
        <v>150</v>
      </c>
      <c r="AM134" s="28"/>
      <c r="AN134" s="6"/>
      <c r="AO134" s="6"/>
      <c r="AP134" s="6">
        <f>Z134/L134</f>
        <v>0.69032258064516128</v>
      </c>
      <c r="AQ134" s="6">
        <f>AJ134/M134</f>
        <v>1.1955307262569832</v>
      </c>
      <c r="AR134" s="6">
        <f>AB134/N134</f>
        <v>1</v>
      </c>
      <c r="AS134" s="4"/>
      <c r="AT134" s="4"/>
      <c r="AU134" s="4"/>
      <c r="AV134" s="4"/>
      <c r="AW134" s="4"/>
      <c r="AX134" s="4"/>
      <c r="AY134" s="4"/>
      <c r="AZ134" s="4"/>
      <c r="BA134" s="4"/>
      <c r="BB134" s="4">
        <v>0</v>
      </c>
      <c r="BC134" s="4" t="s">
        <v>3692</v>
      </c>
      <c r="BD134" s="4">
        <v>1</v>
      </c>
      <c r="BE134" s="4">
        <v>2</v>
      </c>
      <c r="BF134" s="4" t="s">
        <v>3640</v>
      </c>
      <c r="BG134" s="4">
        <v>1302</v>
      </c>
      <c r="BH134" s="4">
        <v>1302</v>
      </c>
      <c r="BI134" s="4">
        <f t="shared" si="30"/>
        <v>651</v>
      </c>
      <c r="BJ134" s="19">
        <v>4</v>
      </c>
      <c r="BK134" s="19">
        <v>8</v>
      </c>
      <c r="BL134" s="16">
        <v>6</v>
      </c>
      <c r="BM134" s="45" t="s">
        <v>3534</v>
      </c>
      <c r="BN134" t="s">
        <v>3534</v>
      </c>
      <c r="BO134" t="str">
        <f t="shared" si="32"/>
        <v>-</v>
      </c>
      <c r="BP134" t="s">
        <v>3534</v>
      </c>
      <c r="BQ134">
        <v>429</v>
      </c>
      <c r="BR134">
        <f t="shared" si="33"/>
        <v>429</v>
      </c>
      <c r="BS134" t="s">
        <v>2628</v>
      </c>
    </row>
    <row r="135" spans="1:71" x14ac:dyDescent="0.4">
      <c r="A135" s="3">
        <v>132</v>
      </c>
      <c r="B135" s="3">
        <v>132</v>
      </c>
      <c r="C135" s="4" t="s">
        <v>194</v>
      </c>
      <c r="D135" s="4" t="str">
        <f t="shared" si="25"/>
        <v>J110MD</v>
      </c>
      <c r="E135" s="4" t="s">
        <v>194</v>
      </c>
      <c r="F135" s="4" t="s">
        <v>1413</v>
      </c>
      <c r="G135" s="5">
        <v>4521718150499</v>
      </c>
      <c r="H135" s="5"/>
      <c r="I135" s="5"/>
      <c r="J135" s="5">
        <v>1</v>
      </c>
      <c r="K135" s="5">
        <v>1</v>
      </c>
      <c r="L135" s="4">
        <v>620</v>
      </c>
      <c r="M135" s="4">
        <v>358</v>
      </c>
      <c r="N135" s="4">
        <v>278</v>
      </c>
      <c r="O135" s="6">
        <f t="shared" si="26"/>
        <v>0.22346368715083798</v>
      </c>
      <c r="P135" s="4" t="s">
        <v>2500</v>
      </c>
      <c r="Q135" s="4"/>
      <c r="R135" s="4"/>
      <c r="S135" s="4"/>
      <c r="T135" s="4"/>
      <c r="U135" s="4"/>
      <c r="V135" s="4"/>
      <c r="W135" s="4"/>
      <c r="X135" s="4"/>
      <c r="Y135" s="4">
        <v>428</v>
      </c>
      <c r="Z135" s="4">
        <f t="shared" si="27"/>
        <v>428</v>
      </c>
      <c r="AA135" s="4">
        <v>278</v>
      </c>
      <c r="AB135" s="4">
        <f t="shared" si="28"/>
        <v>278</v>
      </c>
      <c r="AC135" s="4"/>
      <c r="AD135" s="21">
        <f>ROUND(M135*AR135,0)</f>
        <v>358</v>
      </c>
      <c r="AE135" s="6">
        <f>1-AB135/AD135</f>
        <v>0.22346368715083798</v>
      </c>
      <c r="AF135" s="33">
        <v>0.25</v>
      </c>
      <c r="AG135" s="4">
        <f t="shared" si="29"/>
        <v>651</v>
      </c>
      <c r="AH135" s="33">
        <f t="shared" si="31"/>
        <v>651</v>
      </c>
      <c r="AI135" s="6">
        <f>1-AB135/AH135</f>
        <v>0.57296466973886329</v>
      </c>
      <c r="AJ135" s="7">
        <f>ROUND(AB135/0.65,0)</f>
        <v>428</v>
      </c>
      <c r="AK135" s="6">
        <f>1-AB135/AJ135</f>
        <v>0.35046728971962615</v>
      </c>
      <c r="AL135" s="4">
        <f>AJ135-AB135</f>
        <v>150</v>
      </c>
      <c r="AM135" s="28"/>
      <c r="AN135" s="6"/>
      <c r="AO135" s="6"/>
      <c r="AP135" s="6">
        <f>Z135/L135</f>
        <v>0.69032258064516128</v>
      </c>
      <c r="AQ135" s="6">
        <f>AJ135/M135</f>
        <v>1.1955307262569832</v>
      </c>
      <c r="AR135" s="6">
        <f>AB135/N135</f>
        <v>1</v>
      </c>
      <c r="AS135" s="4"/>
      <c r="AT135" s="4"/>
      <c r="AU135" s="4"/>
      <c r="AV135" s="4"/>
      <c r="AW135" s="4"/>
      <c r="AX135" s="4"/>
      <c r="AY135" s="4"/>
      <c r="AZ135" s="4"/>
      <c r="BA135" s="4"/>
      <c r="BB135" s="4">
        <v>0</v>
      </c>
      <c r="BC135" s="4" t="s">
        <v>3693</v>
      </c>
      <c r="BD135" s="4">
        <v>1</v>
      </c>
      <c r="BE135" s="4">
        <v>2</v>
      </c>
      <c r="BF135" s="4" t="s">
        <v>3640</v>
      </c>
      <c r="BG135" s="4">
        <v>1302</v>
      </c>
      <c r="BH135" s="4">
        <v>1302</v>
      </c>
      <c r="BI135" s="4">
        <f t="shared" si="30"/>
        <v>651</v>
      </c>
      <c r="BJ135" s="19">
        <v>4</v>
      </c>
      <c r="BK135" s="19">
        <v>8</v>
      </c>
      <c r="BL135" s="16">
        <v>6</v>
      </c>
      <c r="BM135" s="45" t="s">
        <v>3534</v>
      </c>
      <c r="BN135" t="s">
        <v>3534</v>
      </c>
      <c r="BO135" t="str">
        <f t="shared" si="32"/>
        <v>-</v>
      </c>
      <c r="BP135" t="s">
        <v>3534</v>
      </c>
      <c r="BQ135">
        <v>429</v>
      </c>
      <c r="BR135">
        <f t="shared" si="33"/>
        <v>429</v>
      </c>
      <c r="BS135" t="s">
        <v>2629</v>
      </c>
    </row>
    <row r="136" spans="1:71" x14ac:dyDescent="0.4">
      <c r="A136" s="3">
        <v>133</v>
      </c>
      <c r="B136" s="3">
        <v>133</v>
      </c>
      <c r="C136" s="4" t="s">
        <v>195</v>
      </c>
      <c r="D136" s="4" t="str">
        <f t="shared" si="25"/>
        <v>J111MD</v>
      </c>
      <c r="E136" s="4" t="s">
        <v>195</v>
      </c>
      <c r="F136" s="4" t="s">
        <v>1414</v>
      </c>
      <c r="G136" s="5">
        <v>4521718150505</v>
      </c>
      <c r="H136" s="5"/>
      <c r="I136" s="5"/>
      <c r="J136" s="5">
        <v>1</v>
      </c>
      <c r="K136" s="5">
        <v>1</v>
      </c>
      <c r="L136" s="4">
        <v>500</v>
      </c>
      <c r="M136" s="4">
        <v>321</v>
      </c>
      <c r="N136" s="4">
        <v>225</v>
      </c>
      <c r="O136" s="6">
        <f t="shared" si="26"/>
        <v>0.2990654205607477</v>
      </c>
      <c r="P136" s="4" t="s">
        <v>2500</v>
      </c>
      <c r="Q136" s="4"/>
      <c r="R136" s="4"/>
      <c r="S136" s="4"/>
      <c r="T136" s="4"/>
      <c r="U136" s="4"/>
      <c r="V136" s="4"/>
      <c r="W136" s="4"/>
      <c r="X136" s="4"/>
      <c r="Y136" s="4">
        <v>346</v>
      </c>
      <c r="Z136" s="4">
        <f t="shared" si="27"/>
        <v>346</v>
      </c>
      <c r="AA136" s="4">
        <v>225</v>
      </c>
      <c r="AB136" s="4">
        <f t="shared" si="28"/>
        <v>225</v>
      </c>
      <c r="AC136" s="4"/>
      <c r="AD136" s="21">
        <f>ROUND(M136*AR136,0)</f>
        <v>321</v>
      </c>
      <c r="AE136" s="6">
        <f>1-AB136/AD136</f>
        <v>0.2990654205607477</v>
      </c>
      <c r="AF136" s="33">
        <v>0.25</v>
      </c>
      <c r="AG136" s="4">
        <f t="shared" si="29"/>
        <v>531</v>
      </c>
      <c r="AH136" s="33">
        <f t="shared" si="31"/>
        <v>531</v>
      </c>
      <c r="AI136" s="6">
        <f>1-AB136/AH136</f>
        <v>0.57627118644067798</v>
      </c>
      <c r="AJ136" s="7">
        <v>346</v>
      </c>
      <c r="AK136" s="6">
        <f>1-AB136/AJ136</f>
        <v>0.3497109826589595</v>
      </c>
      <c r="AL136" s="4">
        <f>AJ136-AB136</f>
        <v>121</v>
      </c>
      <c r="AM136" s="28"/>
      <c r="AN136" s="6"/>
      <c r="AO136" s="6"/>
      <c r="AP136" s="6">
        <f>Z136/L136</f>
        <v>0.69199999999999995</v>
      </c>
      <c r="AQ136" s="6">
        <f>AJ136/M136</f>
        <v>1.0778816199376946</v>
      </c>
      <c r="AR136" s="6">
        <f>AB136/N136</f>
        <v>1</v>
      </c>
      <c r="AS136" s="4"/>
      <c r="AT136" s="4"/>
      <c r="AU136" s="4"/>
      <c r="AV136" s="4"/>
      <c r="AW136" s="4"/>
      <c r="AX136" s="4"/>
      <c r="AY136" s="4"/>
      <c r="AZ136" s="4"/>
      <c r="BA136" s="4"/>
      <c r="BB136" s="4">
        <v>0</v>
      </c>
      <c r="BC136" s="4" t="s">
        <v>3694</v>
      </c>
      <c r="BD136" s="4">
        <v>1</v>
      </c>
      <c r="BE136" s="4">
        <v>3</v>
      </c>
      <c r="BF136" s="4" t="s">
        <v>3638</v>
      </c>
      <c r="BG136" s="4">
        <v>1593</v>
      </c>
      <c r="BH136" s="4">
        <v>1593</v>
      </c>
      <c r="BI136" s="4">
        <f t="shared" si="30"/>
        <v>531</v>
      </c>
      <c r="BJ136" s="19">
        <v>4</v>
      </c>
      <c r="BK136" s="19">
        <v>8</v>
      </c>
      <c r="BL136" s="16">
        <v>6</v>
      </c>
      <c r="BM136" s="45" t="s">
        <v>3534</v>
      </c>
      <c r="BN136" t="s">
        <v>3534</v>
      </c>
      <c r="BO136" t="str">
        <f t="shared" si="32"/>
        <v>-</v>
      </c>
      <c r="BP136" t="s">
        <v>3534</v>
      </c>
      <c r="BQ136">
        <v>347</v>
      </c>
      <c r="BR136">
        <f t="shared" si="33"/>
        <v>347</v>
      </c>
      <c r="BS136" t="s">
        <v>2630</v>
      </c>
    </row>
    <row r="137" spans="1:71" x14ac:dyDescent="0.4">
      <c r="A137" s="41">
        <v>134</v>
      </c>
      <c r="B137" s="3">
        <v>134</v>
      </c>
      <c r="C137" s="39" t="s">
        <v>196</v>
      </c>
      <c r="D137" s="4" t="str">
        <f t="shared" si="25"/>
        <v>J112WD</v>
      </c>
      <c r="E137" s="4" t="s">
        <v>196</v>
      </c>
      <c r="F137" s="4" t="s">
        <v>1415</v>
      </c>
      <c r="G137" s="5">
        <v>4521718117904</v>
      </c>
      <c r="H137" s="5"/>
      <c r="I137" s="5"/>
      <c r="J137" s="38">
        <v>2</v>
      </c>
      <c r="K137" s="5">
        <v>1</v>
      </c>
      <c r="L137" s="4">
        <v>9330</v>
      </c>
      <c r="M137" s="4">
        <v>6455</v>
      </c>
      <c r="N137" s="4">
        <v>5146</v>
      </c>
      <c r="O137" s="6">
        <f t="shared" si="26"/>
        <v>0.20278853601859026</v>
      </c>
      <c r="P137" s="4" t="s">
        <v>2500</v>
      </c>
      <c r="Q137" s="4"/>
      <c r="R137" s="4"/>
      <c r="S137" s="4"/>
      <c r="T137" s="4"/>
      <c r="U137" s="4"/>
      <c r="V137" s="4"/>
      <c r="W137" s="4"/>
      <c r="X137" s="4"/>
      <c r="Y137" s="4">
        <v>6455</v>
      </c>
      <c r="Z137" s="4">
        <f t="shared" si="27"/>
        <v>6455</v>
      </c>
      <c r="AA137" s="4">
        <v>4519</v>
      </c>
      <c r="AB137" s="4">
        <f t="shared" si="28"/>
        <v>4519</v>
      </c>
      <c r="AC137" s="4"/>
      <c r="AD137" s="21">
        <f>ROUND(M137*AR137,0)</f>
        <v>5669</v>
      </c>
      <c r="AE137" s="6">
        <f>1-AB137/AD137</f>
        <v>0.20285764685129648</v>
      </c>
      <c r="AF137" s="33">
        <v>0</v>
      </c>
      <c r="AG137" s="4">
        <f t="shared" si="29"/>
        <v>9908</v>
      </c>
      <c r="AH137" s="33">
        <f t="shared" si="31"/>
        <v>8700.7874076952976</v>
      </c>
      <c r="AI137" s="6">
        <f>1-AB137/AH137</f>
        <v>0.48062171982236579</v>
      </c>
      <c r="AJ137" s="7">
        <v>6455</v>
      </c>
      <c r="AK137" s="6">
        <f>1-AB137/AJ137</f>
        <v>0.29992254066615032</v>
      </c>
      <c r="AL137" s="4">
        <f>AJ137-AB137</f>
        <v>1936</v>
      </c>
      <c r="AM137" s="28"/>
      <c r="AN137" s="6"/>
      <c r="AO137" s="6"/>
      <c r="AP137" s="6">
        <f>Z137/L137</f>
        <v>0.69185423365487675</v>
      </c>
      <c r="AQ137" s="6">
        <f>AJ137/M137</f>
        <v>1</v>
      </c>
      <c r="AR137" s="6">
        <f>AB137/N137</f>
        <v>0.87815779246016323</v>
      </c>
      <c r="AS137" s="4"/>
      <c r="AT137" s="4"/>
      <c r="AU137" s="4"/>
      <c r="AV137" s="4"/>
      <c r="AW137" s="4"/>
      <c r="AX137" s="4"/>
      <c r="AY137" s="4"/>
      <c r="AZ137" s="4"/>
      <c r="BA137" s="4"/>
      <c r="BB137" s="4">
        <v>0</v>
      </c>
      <c r="BC137" s="4" t="s">
        <v>3695</v>
      </c>
      <c r="BD137" s="4"/>
      <c r="BE137" s="4"/>
      <c r="BF137" s="4" t="s">
        <v>3545</v>
      </c>
      <c r="BG137" s="4">
        <v>9908</v>
      </c>
      <c r="BH137" s="4">
        <v>9908</v>
      </c>
      <c r="BI137" s="4">
        <f t="shared" si="30"/>
        <v>9908</v>
      </c>
      <c r="BJ137" s="19">
        <v>4</v>
      </c>
      <c r="BK137" s="19">
        <v>9</v>
      </c>
      <c r="BL137" s="16">
        <v>19</v>
      </c>
      <c r="BM137" s="45" t="s">
        <v>3534</v>
      </c>
      <c r="BN137" t="s">
        <v>3534</v>
      </c>
      <c r="BO137" t="str">
        <f t="shared" si="32"/>
        <v>-</v>
      </c>
      <c r="BP137" t="s">
        <v>3534</v>
      </c>
      <c r="BQ137">
        <v>10925</v>
      </c>
      <c r="BR137">
        <f t="shared" si="33"/>
        <v>9593.8738826272838</v>
      </c>
      <c r="BS137" t="s">
        <v>2631</v>
      </c>
    </row>
    <row r="138" spans="1:71" x14ac:dyDescent="0.4">
      <c r="A138" s="3">
        <v>135</v>
      </c>
      <c r="B138" s="3">
        <v>135</v>
      </c>
      <c r="C138" s="4" t="s">
        <v>197</v>
      </c>
      <c r="D138" s="4" t="str">
        <f t="shared" si="25"/>
        <v>J113MD</v>
      </c>
      <c r="E138" s="4" t="s">
        <v>197</v>
      </c>
      <c r="F138" s="4" t="s">
        <v>1416</v>
      </c>
      <c r="G138" s="5">
        <v>4521718150529</v>
      </c>
      <c r="H138" s="5"/>
      <c r="I138" s="5"/>
      <c r="J138" s="5">
        <v>1</v>
      </c>
      <c r="K138" s="5">
        <v>1</v>
      </c>
      <c r="L138" s="4">
        <v>500</v>
      </c>
      <c r="M138" s="4">
        <v>321</v>
      </c>
      <c r="N138" s="4">
        <v>225</v>
      </c>
      <c r="O138" s="6">
        <f t="shared" si="26"/>
        <v>0.2990654205607477</v>
      </c>
      <c r="P138" s="4" t="s">
        <v>2500</v>
      </c>
      <c r="Q138" s="4"/>
      <c r="R138" s="4"/>
      <c r="S138" s="4"/>
      <c r="T138" s="4"/>
      <c r="U138" s="4"/>
      <c r="V138" s="4"/>
      <c r="W138" s="4"/>
      <c r="X138" s="4"/>
      <c r="Y138" s="4">
        <v>346</v>
      </c>
      <c r="Z138" s="4">
        <f t="shared" si="27"/>
        <v>346</v>
      </c>
      <c r="AA138" s="4">
        <v>225</v>
      </c>
      <c r="AB138" s="4">
        <f t="shared" si="28"/>
        <v>225</v>
      </c>
      <c r="AC138" s="4"/>
      <c r="AD138" s="21">
        <f>ROUND(M138*AR138,0)</f>
        <v>321</v>
      </c>
      <c r="AE138" s="6">
        <f>1-AB138/AD138</f>
        <v>0.2990654205607477</v>
      </c>
      <c r="AF138" s="33">
        <v>2.25</v>
      </c>
      <c r="AG138" s="4">
        <f t="shared" si="29"/>
        <v>209</v>
      </c>
      <c r="AH138" s="33">
        <f t="shared" si="31"/>
        <v>209</v>
      </c>
      <c r="AI138" s="6">
        <f>1-AB138/AH138</f>
        <v>-7.6555023923444931E-2</v>
      </c>
      <c r="AJ138" s="7">
        <v>346</v>
      </c>
      <c r="AK138" s="6">
        <f>1-AB138/AJ138</f>
        <v>0.3497109826589595</v>
      </c>
      <c r="AL138" s="4">
        <f>AJ138-AB138</f>
        <v>121</v>
      </c>
      <c r="AM138" s="28"/>
      <c r="AN138" s="6"/>
      <c r="AO138" s="6"/>
      <c r="AP138" s="6">
        <f>Z138/L138</f>
        <v>0.69199999999999995</v>
      </c>
      <c r="AQ138" s="6">
        <f>AJ138/M138</f>
        <v>1.0778816199376946</v>
      </c>
      <c r="AR138" s="6">
        <f>AB138/N138</f>
        <v>1</v>
      </c>
      <c r="AS138" s="4"/>
      <c r="AT138" s="4"/>
      <c r="AU138" s="4"/>
      <c r="AV138" s="4"/>
      <c r="AW138" s="4"/>
      <c r="AX138" s="4"/>
      <c r="AY138" s="4"/>
      <c r="AZ138" s="4"/>
      <c r="BA138" s="4"/>
      <c r="BB138" s="4">
        <v>0</v>
      </c>
      <c r="BC138" s="4" t="s">
        <v>3696</v>
      </c>
      <c r="BD138" s="4"/>
      <c r="BE138" s="4"/>
      <c r="BF138" s="4" t="s">
        <v>3545</v>
      </c>
      <c r="BG138" s="4">
        <v>209</v>
      </c>
      <c r="BH138" s="4">
        <v>209</v>
      </c>
      <c r="BI138" s="4">
        <f t="shared" si="30"/>
        <v>209</v>
      </c>
      <c r="BJ138" s="19">
        <v>4</v>
      </c>
      <c r="BK138" s="19">
        <v>8</v>
      </c>
      <c r="BL138" s="16">
        <v>6</v>
      </c>
      <c r="BM138" s="45" t="s">
        <v>3534</v>
      </c>
      <c r="BN138" t="s">
        <v>3534</v>
      </c>
      <c r="BO138" t="str">
        <f t="shared" si="32"/>
        <v>-</v>
      </c>
      <c r="BP138" t="s">
        <v>3534</v>
      </c>
      <c r="BQ138">
        <v>347</v>
      </c>
      <c r="BR138">
        <f t="shared" si="33"/>
        <v>347</v>
      </c>
      <c r="BS138" t="s">
        <v>2632</v>
      </c>
    </row>
    <row r="139" spans="1:71" x14ac:dyDescent="0.4">
      <c r="A139" s="3">
        <v>136</v>
      </c>
      <c r="B139" s="3">
        <v>136</v>
      </c>
      <c r="C139" s="4" t="s">
        <v>198</v>
      </c>
      <c r="D139" s="4" t="str">
        <f t="shared" si="25"/>
        <v>J112MD</v>
      </c>
      <c r="E139" s="4" t="s">
        <v>198</v>
      </c>
      <c r="F139" s="4" t="s">
        <v>1417</v>
      </c>
      <c r="G139" s="5">
        <v>4521718150512</v>
      </c>
      <c r="H139" s="5"/>
      <c r="I139" s="5"/>
      <c r="J139" s="5">
        <v>1</v>
      </c>
      <c r="K139" s="5">
        <v>1</v>
      </c>
      <c r="L139" s="4">
        <v>500</v>
      </c>
      <c r="M139" s="4">
        <v>290</v>
      </c>
      <c r="N139" s="4">
        <v>225</v>
      </c>
      <c r="O139" s="6">
        <f t="shared" si="26"/>
        <v>0.22413793103448276</v>
      </c>
      <c r="P139" s="4" t="s">
        <v>2500</v>
      </c>
      <c r="Q139" s="4"/>
      <c r="R139" s="4"/>
      <c r="S139" s="4"/>
      <c r="T139" s="4"/>
      <c r="U139" s="4"/>
      <c r="V139" s="4"/>
      <c r="W139" s="4"/>
      <c r="X139" s="4"/>
      <c r="Y139" s="4">
        <v>346</v>
      </c>
      <c r="Z139" s="4">
        <f t="shared" si="27"/>
        <v>346</v>
      </c>
      <c r="AA139" s="4">
        <v>225</v>
      </c>
      <c r="AB139" s="4">
        <f t="shared" si="28"/>
        <v>225</v>
      </c>
      <c r="AC139" s="4"/>
      <c r="AD139" s="21">
        <f>ROUND(M139*AR139,0)</f>
        <v>290</v>
      </c>
      <c r="AE139" s="6">
        <f>1-AB139/AD139</f>
        <v>0.22413793103448276</v>
      </c>
      <c r="AF139" s="33">
        <v>0.25</v>
      </c>
      <c r="AG139" s="4">
        <f t="shared" si="29"/>
        <v>403.33333333333331</v>
      </c>
      <c r="AH139" s="33">
        <f t="shared" si="31"/>
        <v>403.33333333333331</v>
      </c>
      <c r="AI139" s="6">
        <f>1-AB139/AH139</f>
        <v>0.44214876033057848</v>
      </c>
      <c r="AJ139" s="7">
        <v>346</v>
      </c>
      <c r="AK139" s="6">
        <f>1-AB139/AJ139</f>
        <v>0.3497109826589595</v>
      </c>
      <c r="AL139" s="4">
        <f>AJ139-AB139</f>
        <v>121</v>
      </c>
      <c r="AM139" s="28"/>
      <c r="AN139" s="6"/>
      <c r="AO139" s="6"/>
      <c r="AP139" s="6">
        <f>Z139/L139</f>
        <v>0.69199999999999995</v>
      </c>
      <c r="AQ139" s="6">
        <f>AJ139/M139</f>
        <v>1.193103448275862</v>
      </c>
      <c r="AR139" s="6">
        <f>AB139/N139</f>
        <v>1</v>
      </c>
      <c r="AS139" s="4"/>
      <c r="AT139" s="4"/>
      <c r="AU139" s="4"/>
      <c r="AV139" s="4"/>
      <c r="AW139" s="4"/>
      <c r="AX139" s="4"/>
      <c r="AY139" s="4"/>
      <c r="AZ139" s="4"/>
      <c r="BA139" s="4"/>
      <c r="BB139" s="4">
        <v>0</v>
      </c>
      <c r="BC139" s="4" t="s">
        <v>3697</v>
      </c>
      <c r="BD139" s="4">
        <v>1</v>
      </c>
      <c r="BE139" s="4">
        <v>3</v>
      </c>
      <c r="BF139" s="4" t="s">
        <v>3698</v>
      </c>
      <c r="BG139" s="4">
        <v>1210</v>
      </c>
      <c r="BH139" s="4">
        <v>1210</v>
      </c>
      <c r="BI139" s="4">
        <f t="shared" si="30"/>
        <v>403.33333333333331</v>
      </c>
      <c r="BJ139" s="19">
        <v>4</v>
      </c>
      <c r="BK139" s="19">
        <v>8</v>
      </c>
      <c r="BL139" s="16">
        <v>6</v>
      </c>
      <c r="BM139" s="45" t="s">
        <v>3534</v>
      </c>
      <c r="BN139" t="s">
        <v>3534</v>
      </c>
      <c r="BO139" t="str">
        <f t="shared" si="32"/>
        <v>-</v>
      </c>
      <c r="BP139" t="s">
        <v>3534</v>
      </c>
      <c r="BQ139">
        <v>347</v>
      </c>
      <c r="BR139">
        <f t="shared" si="33"/>
        <v>347</v>
      </c>
      <c r="BS139" t="s">
        <v>2633</v>
      </c>
    </row>
    <row r="140" spans="1:71" x14ac:dyDescent="0.4">
      <c r="A140" s="3">
        <v>137</v>
      </c>
      <c r="B140" s="3">
        <v>137</v>
      </c>
      <c r="C140" s="4" t="s">
        <v>199</v>
      </c>
      <c r="D140" s="4" t="str">
        <f t="shared" si="25"/>
        <v>J114MD</v>
      </c>
      <c r="E140" s="4" t="s">
        <v>199</v>
      </c>
      <c r="F140" s="4" t="s">
        <v>1418</v>
      </c>
      <c r="G140" s="5">
        <v>4521718150536</v>
      </c>
      <c r="H140" s="5"/>
      <c r="I140" s="5"/>
      <c r="J140" s="5">
        <v>1</v>
      </c>
      <c r="K140" s="5">
        <v>1</v>
      </c>
      <c r="L140" s="4">
        <v>500</v>
      </c>
      <c r="M140" s="4">
        <v>290</v>
      </c>
      <c r="N140" s="4">
        <v>225</v>
      </c>
      <c r="O140" s="6">
        <f t="shared" si="26"/>
        <v>0.22413793103448276</v>
      </c>
      <c r="P140" s="4" t="s">
        <v>2500</v>
      </c>
      <c r="Q140" s="4"/>
      <c r="R140" s="4"/>
      <c r="S140" s="4"/>
      <c r="T140" s="4"/>
      <c r="U140" s="4"/>
      <c r="V140" s="4"/>
      <c r="W140" s="4"/>
      <c r="X140" s="4"/>
      <c r="Y140" s="4">
        <v>346</v>
      </c>
      <c r="Z140" s="4">
        <f t="shared" si="27"/>
        <v>346</v>
      </c>
      <c r="AA140" s="4">
        <v>225</v>
      </c>
      <c r="AB140" s="4">
        <f t="shared" si="28"/>
        <v>225</v>
      </c>
      <c r="AC140" s="4"/>
      <c r="AD140" s="21">
        <f>ROUND(M140*AR140,0)</f>
        <v>290</v>
      </c>
      <c r="AE140" s="6">
        <f>1-AB140/AD140</f>
        <v>0.22413793103448276</v>
      </c>
      <c r="AF140" s="33">
        <v>0.5</v>
      </c>
      <c r="AG140" s="4">
        <f t="shared" si="29"/>
        <v>417</v>
      </c>
      <c r="AH140" s="33">
        <f t="shared" si="31"/>
        <v>417</v>
      </c>
      <c r="AI140" s="6">
        <f>1-AB140/AH140</f>
        <v>0.46043165467625902</v>
      </c>
      <c r="AJ140" s="7">
        <v>346</v>
      </c>
      <c r="AK140" s="6">
        <f>1-AB140/AJ140</f>
        <v>0.3497109826589595</v>
      </c>
      <c r="AL140" s="4">
        <f>AJ140-AB140</f>
        <v>121</v>
      </c>
      <c r="AM140" s="28"/>
      <c r="AN140" s="6"/>
      <c r="AO140" s="6"/>
      <c r="AP140" s="6">
        <f>Z140/L140</f>
        <v>0.69199999999999995</v>
      </c>
      <c r="AQ140" s="6">
        <f>AJ140/M140</f>
        <v>1.193103448275862</v>
      </c>
      <c r="AR140" s="6">
        <f>AB140/N140</f>
        <v>1</v>
      </c>
      <c r="AS140" s="4"/>
      <c r="AT140" s="4"/>
      <c r="AU140" s="4"/>
      <c r="AV140" s="4"/>
      <c r="AW140" s="4"/>
      <c r="AX140" s="4"/>
      <c r="AY140" s="4"/>
      <c r="AZ140" s="4"/>
      <c r="BA140" s="4"/>
      <c r="BB140" s="4">
        <v>0</v>
      </c>
      <c r="BC140" s="4" t="s">
        <v>3699</v>
      </c>
      <c r="BD140" s="4"/>
      <c r="BE140" s="4"/>
      <c r="BF140" s="4" t="s">
        <v>3545</v>
      </c>
      <c r="BG140" s="4">
        <v>417</v>
      </c>
      <c r="BH140" s="4">
        <v>417</v>
      </c>
      <c r="BI140" s="4">
        <f t="shared" si="30"/>
        <v>417</v>
      </c>
      <c r="BJ140" s="19">
        <v>4</v>
      </c>
      <c r="BK140" s="19">
        <v>8</v>
      </c>
      <c r="BL140" s="16">
        <v>6</v>
      </c>
      <c r="BM140" s="45" t="s">
        <v>3534</v>
      </c>
      <c r="BN140" t="s">
        <v>3534</v>
      </c>
      <c r="BO140" t="str">
        <f t="shared" si="32"/>
        <v>-</v>
      </c>
      <c r="BP140" t="s">
        <v>3534</v>
      </c>
      <c r="BQ140">
        <v>347</v>
      </c>
      <c r="BR140">
        <f t="shared" si="33"/>
        <v>347</v>
      </c>
      <c r="BS140" t="s">
        <v>2634</v>
      </c>
    </row>
    <row r="141" spans="1:71" x14ac:dyDescent="0.4">
      <c r="A141" s="3">
        <v>138</v>
      </c>
      <c r="B141" s="3">
        <v>138</v>
      </c>
      <c r="C141" s="4" t="s">
        <v>200</v>
      </c>
      <c r="D141" s="4" t="str">
        <f t="shared" si="25"/>
        <v>J114WF</v>
      </c>
      <c r="E141" s="4" t="s">
        <v>200</v>
      </c>
      <c r="F141" s="4" t="s">
        <v>1419</v>
      </c>
      <c r="G141" s="5">
        <v>4521718188638</v>
      </c>
      <c r="H141" s="5"/>
      <c r="I141" s="5"/>
      <c r="J141" s="5">
        <v>1</v>
      </c>
      <c r="K141" s="5">
        <v>1</v>
      </c>
      <c r="L141" s="4">
        <v>320</v>
      </c>
      <c r="M141" s="4">
        <v>288</v>
      </c>
      <c r="N141" s="4">
        <v>140</v>
      </c>
      <c r="O141" s="6">
        <f t="shared" si="26"/>
        <v>0.51388888888888884</v>
      </c>
      <c r="P141" s="4" t="s">
        <v>2500</v>
      </c>
      <c r="Q141" s="4"/>
      <c r="R141" s="4"/>
      <c r="S141" s="4"/>
      <c r="T141" s="4"/>
      <c r="U141" s="4"/>
      <c r="V141" s="4"/>
      <c r="W141" s="4"/>
      <c r="X141" s="4"/>
      <c r="Y141" s="4">
        <v>200</v>
      </c>
      <c r="Z141" s="4">
        <f t="shared" si="27"/>
        <v>200</v>
      </c>
      <c r="AA141" s="4">
        <v>140</v>
      </c>
      <c r="AB141" s="4">
        <f t="shared" si="28"/>
        <v>140</v>
      </c>
      <c r="AC141" s="4"/>
      <c r="AD141" s="21">
        <f>ROUND(M141*AR141,0)</f>
        <v>288</v>
      </c>
      <c r="AE141" s="6">
        <f>1-AB141/AD141</f>
        <v>0.51388888888888884</v>
      </c>
      <c r="AF141" s="33">
        <v>0</v>
      </c>
      <c r="AG141" s="4">
        <f t="shared" si="29"/>
        <v>320</v>
      </c>
      <c r="AH141" s="33">
        <f t="shared" si="31"/>
        <v>320</v>
      </c>
      <c r="AI141" s="6">
        <f>1-AB141/AH141</f>
        <v>0.5625</v>
      </c>
      <c r="AJ141" s="7">
        <v>200</v>
      </c>
      <c r="AK141" s="6">
        <f>1-AB141/AJ141</f>
        <v>0.30000000000000004</v>
      </c>
      <c r="AL141" s="4">
        <f>AJ141-AB141</f>
        <v>60</v>
      </c>
      <c r="AM141" s="28"/>
      <c r="AN141" s="6"/>
      <c r="AO141" s="6"/>
      <c r="AP141" s="6">
        <f>Z141/L141</f>
        <v>0.625</v>
      </c>
      <c r="AQ141" s="6">
        <f>AJ141/M141</f>
        <v>0.69444444444444442</v>
      </c>
      <c r="AR141" s="6">
        <f>AB141/N141</f>
        <v>1</v>
      </c>
      <c r="AS141" s="4"/>
      <c r="AT141" s="4"/>
      <c r="AU141" s="4"/>
      <c r="AV141" s="4"/>
      <c r="AW141" s="4"/>
      <c r="AX141" s="4"/>
      <c r="AY141" s="4"/>
      <c r="AZ141" s="4"/>
      <c r="BA141" s="4"/>
      <c r="BB141" s="4">
        <v>0</v>
      </c>
      <c r="BC141" s="4" t="s">
        <v>3700</v>
      </c>
      <c r="BD141" s="4">
        <v>1</v>
      </c>
      <c r="BE141" s="4">
        <v>5</v>
      </c>
      <c r="BF141" s="4" t="s">
        <v>3701</v>
      </c>
      <c r="BG141" s="4">
        <v>1600</v>
      </c>
      <c r="BH141" s="4">
        <v>1600</v>
      </c>
      <c r="BI141" s="4">
        <f t="shared" si="30"/>
        <v>320</v>
      </c>
      <c r="BJ141" s="19">
        <v>4</v>
      </c>
      <c r="BK141" s="19">
        <v>8</v>
      </c>
      <c r="BL141" s="16">
        <v>6</v>
      </c>
      <c r="BM141" s="45" t="s">
        <v>3534</v>
      </c>
      <c r="BN141" t="s">
        <v>3534</v>
      </c>
      <c r="BO141" t="str">
        <f t="shared" si="32"/>
        <v>-</v>
      </c>
      <c r="BP141" t="s">
        <v>3534</v>
      </c>
      <c r="BQ141">
        <v>200</v>
      </c>
      <c r="BR141">
        <f t="shared" si="33"/>
        <v>200</v>
      </c>
      <c r="BS141" t="s">
        <v>2635</v>
      </c>
    </row>
    <row r="142" spans="1:71" x14ac:dyDescent="0.4">
      <c r="A142" s="3">
        <v>139</v>
      </c>
      <c r="B142" s="3">
        <v>139</v>
      </c>
      <c r="C142" s="4" t="s">
        <v>201</v>
      </c>
      <c r="D142" s="4" t="str">
        <f t="shared" si="25"/>
        <v>J115WF</v>
      </c>
      <c r="E142" s="4" t="s">
        <v>201</v>
      </c>
      <c r="F142" s="4" t="s">
        <v>1420</v>
      </c>
      <c r="G142" s="5">
        <v>4521718189062</v>
      </c>
      <c r="H142" s="5"/>
      <c r="I142" s="5"/>
      <c r="J142" s="5">
        <v>1</v>
      </c>
      <c r="K142" s="5">
        <v>1</v>
      </c>
      <c r="L142" s="4">
        <v>270</v>
      </c>
      <c r="M142" s="4">
        <v>243</v>
      </c>
      <c r="N142" s="4">
        <v>121</v>
      </c>
      <c r="O142" s="6">
        <f t="shared" si="26"/>
        <v>0.50205761316872421</v>
      </c>
      <c r="P142" s="4" t="s">
        <v>2500</v>
      </c>
      <c r="Q142" s="4"/>
      <c r="R142" s="4"/>
      <c r="S142" s="4"/>
      <c r="T142" s="4"/>
      <c r="U142" s="4"/>
      <c r="V142" s="4"/>
      <c r="W142" s="4"/>
      <c r="X142" s="4"/>
      <c r="Y142" s="4">
        <v>182</v>
      </c>
      <c r="Z142" s="4">
        <f t="shared" si="27"/>
        <v>182</v>
      </c>
      <c r="AA142" s="4">
        <v>127</v>
      </c>
      <c r="AB142" s="4">
        <f t="shared" si="28"/>
        <v>127</v>
      </c>
      <c r="AC142" s="4"/>
      <c r="AD142" s="21">
        <f>ROUND(M142*AR142,0)</f>
        <v>255</v>
      </c>
      <c r="AE142" s="6">
        <f>1-AB142/AD142</f>
        <v>0.50196078431372548</v>
      </c>
      <c r="AF142" s="33">
        <v>0</v>
      </c>
      <c r="AG142" s="4">
        <f t="shared" si="29"/>
        <v>270</v>
      </c>
      <c r="AH142" s="33">
        <f t="shared" si="31"/>
        <v>283.38842975206614</v>
      </c>
      <c r="AI142" s="6">
        <f>1-AB142/AH142</f>
        <v>0.55185185185185182</v>
      </c>
      <c r="AJ142" s="7">
        <v>182</v>
      </c>
      <c r="AK142" s="6">
        <f>1-AB142/AJ142</f>
        <v>0.30219780219780223</v>
      </c>
      <c r="AL142" s="4">
        <f>AJ142-AB142</f>
        <v>55</v>
      </c>
      <c r="AM142" s="28"/>
      <c r="AN142" s="6"/>
      <c r="AO142" s="6"/>
      <c r="AP142" s="6">
        <f>Z142/L142</f>
        <v>0.67407407407407405</v>
      </c>
      <c r="AQ142" s="6">
        <f>AJ142/M142</f>
        <v>0.74897119341563789</v>
      </c>
      <c r="AR142" s="6">
        <f>AB142/N142</f>
        <v>1.0495867768595042</v>
      </c>
      <c r="AS142" s="4"/>
      <c r="AT142" s="4"/>
      <c r="AU142" s="4"/>
      <c r="AV142" s="4"/>
      <c r="AW142" s="4"/>
      <c r="AX142" s="4"/>
      <c r="AY142" s="4"/>
      <c r="AZ142" s="4"/>
      <c r="BA142" s="4"/>
      <c r="BB142" s="4">
        <v>0</v>
      </c>
      <c r="BC142" s="4" t="s">
        <v>3702</v>
      </c>
      <c r="BD142" s="4">
        <v>1</v>
      </c>
      <c r="BE142" s="4">
        <v>6</v>
      </c>
      <c r="BF142" s="4" t="s">
        <v>3703</v>
      </c>
      <c r="BG142" s="4">
        <v>1620</v>
      </c>
      <c r="BH142" s="4">
        <v>1620</v>
      </c>
      <c r="BI142" s="4">
        <f t="shared" si="30"/>
        <v>270</v>
      </c>
      <c r="BJ142" s="19">
        <v>4</v>
      </c>
      <c r="BK142" s="19">
        <v>8</v>
      </c>
      <c r="BL142" s="16">
        <v>6</v>
      </c>
      <c r="BM142" s="45" t="s">
        <v>3534</v>
      </c>
      <c r="BN142" t="s">
        <v>3534</v>
      </c>
      <c r="BO142" t="str">
        <f t="shared" si="32"/>
        <v>-</v>
      </c>
      <c r="BP142" t="s">
        <v>3534</v>
      </c>
      <c r="BQ142">
        <v>173</v>
      </c>
      <c r="BR142">
        <f t="shared" si="33"/>
        <v>181.57851239669424</v>
      </c>
      <c r="BS142" t="s">
        <v>2636</v>
      </c>
    </row>
    <row r="143" spans="1:71" x14ac:dyDescent="0.4">
      <c r="A143" s="3">
        <v>140</v>
      </c>
      <c r="B143" s="3">
        <v>140</v>
      </c>
      <c r="C143" s="4" t="s">
        <v>202</v>
      </c>
      <c r="D143" s="4" t="str">
        <f t="shared" si="25"/>
        <v>J113WF</v>
      </c>
      <c r="E143" s="4" t="s">
        <v>202</v>
      </c>
      <c r="F143" s="4" t="s">
        <v>1421</v>
      </c>
      <c r="G143" s="5">
        <v>4521718188621</v>
      </c>
      <c r="H143" s="5"/>
      <c r="I143" s="5"/>
      <c r="J143" s="5">
        <v>1</v>
      </c>
      <c r="K143" s="5">
        <v>1</v>
      </c>
      <c r="L143" s="4">
        <v>320</v>
      </c>
      <c r="M143" s="4">
        <v>288</v>
      </c>
      <c r="N143" s="4">
        <v>140</v>
      </c>
      <c r="O143" s="6">
        <f t="shared" si="26"/>
        <v>0.51388888888888884</v>
      </c>
      <c r="P143" s="4" t="s">
        <v>2500</v>
      </c>
      <c r="Q143" s="4"/>
      <c r="R143" s="4"/>
      <c r="S143" s="4"/>
      <c r="T143" s="4"/>
      <c r="U143" s="4"/>
      <c r="V143" s="4"/>
      <c r="W143" s="4"/>
      <c r="X143" s="4"/>
      <c r="Y143" s="4">
        <v>200</v>
      </c>
      <c r="Z143" s="4">
        <f t="shared" si="27"/>
        <v>200</v>
      </c>
      <c r="AA143" s="4">
        <v>140</v>
      </c>
      <c r="AB143" s="4">
        <f t="shared" si="28"/>
        <v>140</v>
      </c>
      <c r="AC143" s="4"/>
      <c r="AD143" s="21">
        <f>ROUND(M143*AR143,0)</f>
        <v>288</v>
      </c>
      <c r="AE143" s="6">
        <f>1-AB143/AD143</f>
        <v>0.51388888888888884</v>
      </c>
      <c r="AF143" s="33">
        <v>0</v>
      </c>
      <c r="AG143" s="4">
        <f t="shared" si="29"/>
        <v>320</v>
      </c>
      <c r="AH143" s="33">
        <f t="shared" si="31"/>
        <v>320</v>
      </c>
      <c r="AI143" s="6">
        <f>1-AB143/AH143</f>
        <v>0.5625</v>
      </c>
      <c r="AJ143" s="7">
        <v>200</v>
      </c>
      <c r="AK143" s="6">
        <f>1-AB143/AJ143</f>
        <v>0.30000000000000004</v>
      </c>
      <c r="AL143" s="4">
        <f>AJ143-AB143</f>
        <v>60</v>
      </c>
      <c r="AM143" s="28"/>
      <c r="AN143" s="6"/>
      <c r="AO143" s="6"/>
      <c r="AP143" s="6">
        <f>Z143/L143</f>
        <v>0.625</v>
      </c>
      <c r="AQ143" s="6">
        <f>AJ143/M143</f>
        <v>0.69444444444444442</v>
      </c>
      <c r="AR143" s="6">
        <f>AB143/N143</f>
        <v>1</v>
      </c>
      <c r="AS143" s="4"/>
      <c r="AT143" s="4"/>
      <c r="AU143" s="4"/>
      <c r="AV143" s="4"/>
      <c r="AW143" s="4"/>
      <c r="AX143" s="4"/>
      <c r="AY143" s="4"/>
      <c r="AZ143" s="4"/>
      <c r="BA143" s="4"/>
      <c r="BB143" s="4">
        <v>0</v>
      </c>
      <c r="BC143" s="4" t="s">
        <v>3704</v>
      </c>
      <c r="BD143" s="4">
        <v>1</v>
      </c>
      <c r="BE143" s="4">
        <v>5</v>
      </c>
      <c r="BF143" s="4" t="s">
        <v>3701</v>
      </c>
      <c r="BG143" s="4">
        <v>1600</v>
      </c>
      <c r="BH143" s="4">
        <v>1600</v>
      </c>
      <c r="BI143" s="4">
        <f t="shared" si="30"/>
        <v>320</v>
      </c>
      <c r="BJ143" s="19">
        <v>4</v>
      </c>
      <c r="BK143" s="19">
        <v>8</v>
      </c>
      <c r="BL143" s="16">
        <v>6</v>
      </c>
      <c r="BM143" s="45" t="s">
        <v>3534</v>
      </c>
      <c r="BN143" t="s">
        <v>3534</v>
      </c>
      <c r="BO143" t="str">
        <f t="shared" si="32"/>
        <v>-</v>
      </c>
      <c r="BP143" t="s">
        <v>3534</v>
      </c>
      <c r="BQ143">
        <v>200</v>
      </c>
      <c r="BR143">
        <f t="shared" si="33"/>
        <v>200</v>
      </c>
      <c r="BS143" t="s">
        <v>2637</v>
      </c>
    </row>
    <row r="144" spans="1:71" x14ac:dyDescent="0.4">
      <c r="A144" s="3">
        <v>141</v>
      </c>
      <c r="B144" s="3">
        <v>141</v>
      </c>
      <c r="C144" s="4" t="s">
        <v>203</v>
      </c>
      <c r="D144" s="4" t="str">
        <f t="shared" si="25"/>
        <v>J115MD</v>
      </c>
      <c r="E144" s="4" t="s">
        <v>203</v>
      </c>
      <c r="F144" s="4" t="s">
        <v>1422</v>
      </c>
      <c r="G144" s="5">
        <v>4521718150543</v>
      </c>
      <c r="H144" s="5"/>
      <c r="I144" s="5"/>
      <c r="J144" s="5">
        <v>1</v>
      </c>
      <c r="K144" s="5">
        <v>1</v>
      </c>
      <c r="L144" s="4">
        <v>500</v>
      </c>
      <c r="M144" s="4">
        <v>289</v>
      </c>
      <c r="N144" s="4">
        <v>225</v>
      </c>
      <c r="O144" s="6">
        <f t="shared" si="26"/>
        <v>0.22145328719723179</v>
      </c>
      <c r="P144" s="4" t="s">
        <v>2500</v>
      </c>
      <c r="Q144" s="4"/>
      <c r="R144" s="4"/>
      <c r="S144" s="4"/>
      <c r="T144" s="4"/>
      <c r="U144" s="4"/>
      <c r="V144" s="4"/>
      <c r="W144" s="4"/>
      <c r="X144" s="4"/>
      <c r="Y144" s="4">
        <v>346</v>
      </c>
      <c r="Z144" s="4">
        <f t="shared" si="27"/>
        <v>346</v>
      </c>
      <c r="AA144" s="4">
        <v>225</v>
      </c>
      <c r="AB144" s="4">
        <f t="shared" si="28"/>
        <v>225</v>
      </c>
      <c r="AC144" s="4"/>
      <c r="AD144" s="21">
        <f>ROUND(M144*AR144,0)</f>
        <v>289</v>
      </c>
      <c r="AE144" s="6">
        <f>1-AB144/AD144</f>
        <v>0.22145328719723179</v>
      </c>
      <c r="AF144" s="33">
        <v>0.25</v>
      </c>
      <c r="AG144" s="4">
        <f t="shared" si="29"/>
        <v>403.33333333333331</v>
      </c>
      <c r="AH144" s="33">
        <f t="shared" si="31"/>
        <v>403.33333333333331</v>
      </c>
      <c r="AI144" s="6">
        <f>1-AB144/AH144</f>
        <v>0.44214876033057848</v>
      </c>
      <c r="AJ144" s="7">
        <v>346</v>
      </c>
      <c r="AK144" s="6">
        <f>1-AB144/AJ144</f>
        <v>0.3497109826589595</v>
      </c>
      <c r="AL144" s="4">
        <f>AJ144-AB144</f>
        <v>121</v>
      </c>
      <c r="AM144" s="28"/>
      <c r="AN144" s="6"/>
      <c r="AO144" s="6"/>
      <c r="AP144" s="6">
        <f>Z144/L144</f>
        <v>0.69199999999999995</v>
      </c>
      <c r="AQ144" s="6">
        <f>AJ144/M144</f>
        <v>1.1972318339100345</v>
      </c>
      <c r="AR144" s="6">
        <f>AB144/N144</f>
        <v>1</v>
      </c>
      <c r="AS144" s="4"/>
      <c r="AT144" s="4"/>
      <c r="AU144" s="4"/>
      <c r="AV144" s="4"/>
      <c r="AW144" s="4"/>
      <c r="AX144" s="4"/>
      <c r="AY144" s="4"/>
      <c r="AZ144" s="4"/>
      <c r="BA144" s="4"/>
      <c r="BB144" s="4">
        <v>0</v>
      </c>
      <c r="BC144" s="4" t="s">
        <v>3705</v>
      </c>
      <c r="BD144" s="4">
        <v>1</v>
      </c>
      <c r="BE144" s="4">
        <v>3</v>
      </c>
      <c r="BF144" s="4" t="s">
        <v>3698</v>
      </c>
      <c r="BG144" s="4">
        <v>1210</v>
      </c>
      <c r="BH144" s="4">
        <v>1210</v>
      </c>
      <c r="BI144" s="4">
        <f t="shared" si="30"/>
        <v>403.33333333333331</v>
      </c>
      <c r="BJ144" s="19">
        <v>4</v>
      </c>
      <c r="BK144" s="19">
        <v>8</v>
      </c>
      <c r="BL144" s="16">
        <v>6</v>
      </c>
      <c r="BM144" s="45" t="s">
        <v>3534</v>
      </c>
      <c r="BN144" t="s">
        <v>3534</v>
      </c>
      <c r="BO144" t="str">
        <f t="shared" si="32"/>
        <v>-</v>
      </c>
      <c r="BP144" t="s">
        <v>3534</v>
      </c>
      <c r="BQ144">
        <v>542</v>
      </c>
      <c r="BR144">
        <f t="shared" si="33"/>
        <v>542</v>
      </c>
      <c r="BS144" t="s">
        <v>2638</v>
      </c>
    </row>
    <row r="145" spans="1:71" x14ac:dyDescent="0.4">
      <c r="A145" s="3">
        <v>142</v>
      </c>
      <c r="B145" s="3">
        <v>142</v>
      </c>
      <c r="C145" s="4" t="s">
        <v>204</v>
      </c>
      <c r="D145" s="4" t="str">
        <f t="shared" si="25"/>
        <v>J116MD</v>
      </c>
      <c r="E145" s="4" t="s">
        <v>204</v>
      </c>
      <c r="F145" s="4" t="s">
        <v>1423</v>
      </c>
      <c r="G145" s="5">
        <v>4521718150550</v>
      </c>
      <c r="H145" s="5"/>
      <c r="I145" s="5"/>
      <c r="J145" s="5">
        <v>1</v>
      </c>
      <c r="K145" s="5">
        <v>1</v>
      </c>
      <c r="L145" s="4">
        <v>560</v>
      </c>
      <c r="M145" s="4">
        <v>320</v>
      </c>
      <c r="N145" s="4">
        <v>248</v>
      </c>
      <c r="O145" s="6">
        <f t="shared" si="26"/>
        <v>0.22499999999999998</v>
      </c>
      <c r="P145" s="4" t="s">
        <v>2500</v>
      </c>
      <c r="Q145" s="4"/>
      <c r="R145" s="4"/>
      <c r="S145" s="4"/>
      <c r="T145" s="4"/>
      <c r="U145" s="4"/>
      <c r="V145" s="4"/>
      <c r="W145" s="4"/>
      <c r="X145" s="4"/>
      <c r="Y145" s="4">
        <v>382</v>
      </c>
      <c r="Z145" s="4">
        <f t="shared" si="27"/>
        <v>382</v>
      </c>
      <c r="AA145" s="4">
        <v>248</v>
      </c>
      <c r="AB145" s="4">
        <f t="shared" si="28"/>
        <v>248</v>
      </c>
      <c r="AC145" s="4"/>
      <c r="AD145" s="21">
        <f>ROUND(M145*AR145,0)</f>
        <v>320</v>
      </c>
      <c r="AE145" s="6">
        <f>1-AB145/AD145</f>
        <v>0.22499999999999998</v>
      </c>
      <c r="AF145" s="33">
        <v>0</v>
      </c>
      <c r="AG145" s="4">
        <f t="shared" si="29"/>
        <v>606.33333333333326</v>
      </c>
      <c r="AH145" s="33">
        <f t="shared" si="31"/>
        <v>606.33333333333326</v>
      </c>
      <c r="AI145" s="6">
        <f>1-AB145/AH145</f>
        <v>0.59098405717427149</v>
      </c>
      <c r="AJ145" s="7">
        <f>ROUND(AB145/0.65,0)</f>
        <v>382</v>
      </c>
      <c r="AK145" s="6">
        <f>1-AB145/AJ145</f>
        <v>0.35078534031413611</v>
      </c>
      <c r="AL145" s="4">
        <f>AJ145-AB145</f>
        <v>134</v>
      </c>
      <c r="AM145" s="28"/>
      <c r="AN145" s="6"/>
      <c r="AO145" s="6"/>
      <c r="AP145" s="6">
        <f>Z145/L145</f>
        <v>0.68214285714285716</v>
      </c>
      <c r="AQ145" s="6">
        <f>AJ145/M145</f>
        <v>1.1937500000000001</v>
      </c>
      <c r="AR145" s="6">
        <f>AB145/N145</f>
        <v>1</v>
      </c>
      <c r="AS145" s="4"/>
      <c r="AT145" s="4"/>
      <c r="AU145" s="4"/>
      <c r="AV145" s="4"/>
      <c r="AW145" s="4"/>
      <c r="AX145" s="4"/>
      <c r="AY145" s="4"/>
      <c r="AZ145" s="4"/>
      <c r="BA145" s="4"/>
      <c r="BB145" s="4">
        <v>0</v>
      </c>
      <c r="BC145" s="4" t="s">
        <v>3706</v>
      </c>
      <c r="BD145" s="4">
        <v>1</v>
      </c>
      <c r="BE145" s="4">
        <v>3</v>
      </c>
      <c r="BF145" s="4" t="s">
        <v>3638</v>
      </c>
      <c r="BG145" s="4">
        <v>1819</v>
      </c>
      <c r="BH145" s="4">
        <v>1819</v>
      </c>
      <c r="BI145" s="4">
        <f t="shared" si="30"/>
        <v>606.33333333333326</v>
      </c>
      <c r="BJ145" s="19">
        <v>4</v>
      </c>
      <c r="BK145" s="19">
        <v>8</v>
      </c>
      <c r="BL145" s="16">
        <v>6</v>
      </c>
      <c r="BM145" s="45" t="s">
        <v>3534</v>
      </c>
      <c r="BN145" t="s">
        <v>3534</v>
      </c>
      <c r="BO145" t="str">
        <f t="shared" si="32"/>
        <v>-</v>
      </c>
      <c r="BP145" t="s">
        <v>3534</v>
      </c>
      <c r="BQ145">
        <v>383</v>
      </c>
      <c r="BR145">
        <f t="shared" si="33"/>
        <v>383</v>
      </c>
      <c r="BS145" t="s">
        <v>2639</v>
      </c>
    </row>
    <row r="146" spans="1:71" x14ac:dyDescent="0.4">
      <c r="A146" s="3">
        <v>143</v>
      </c>
      <c r="B146" s="3">
        <v>143</v>
      </c>
      <c r="C146" s="4" t="s">
        <v>205</v>
      </c>
      <c r="D146" s="4" t="str">
        <f t="shared" si="25"/>
        <v>J116WF</v>
      </c>
      <c r="E146" s="4" t="s">
        <v>205</v>
      </c>
      <c r="F146" s="4" t="s">
        <v>1424</v>
      </c>
      <c r="G146" s="5">
        <v>4521718189079</v>
      </c>
      <c r="H146" s="5"/>
      <c r="I146" s="5"/>
      <c r="J146" s="5">
        <v>1</v>
      </c>
      <c r="K146" s="5">
        <v>1</v>
      </c>
      <c r="L146" s="4">
        <v>270</v>
      </c>
      <c r="M146" s="4">
        <v>243</v>
      </c>
      <c r="N146" s="4">
        <v>121</v>
      </c>
      <c r="O146" s="6">
        <f t="shared" si="26"/>
        <v>0.50205761316872421</v>
      </c>
      <c r="P146" s="4" t="s">
        <v>2500</v>
      </c>
      <c r="Q146" s="4"/>
      <c r="R146" s="4"/>
      <c r="S146" s="4"/>
      <c r="T146" s="4"/>
      <c r="U146" s="4"/>
      <c r="V146" s="4"/>
      <c r="W146" s="4"/>
      <c r="X146" s="4"/>
      <c r="Y146" s="4">
        <v>182</v>
      </c>
      <c r="Z146" s="4">
        <f t="shared" si="27"/>
        <v>182</v>
      </c>
      <c r="AA146" s="4">
        <v>127</v>
      </c>
      <c r="AB146" s="4">
        <f t="shared" si="28"/>
        <v>127</v>
      </c>
      <c r="AC146" s="4"/>
      <c r="AD146" s="21">
        <f>ROUND(M146*AR146,0)</f>
        <v>255</v>
      </c>
      <c r="AE146" s="6">
        <f>1-AB146/AD146</f>
        <v>0.50196078431372548</v>
      </c>
      <c r="AF146" s="33">
        <v>0</v>
      </c>
      <c r="AG146" s="4">
        <f t="shared" si="29"/>
        <v>270</v>
      </c>
      <c r="AH146" s="33">
        <f t="shared" si="31"/>
        <v>283.38842975206614</v>
      </c>
      <c r="AI146" s="6">
        <f>1-AB146/AH146</f>
        <v>0.55185185185185182</v>
      </c>
      <c r="AJ146" s="7">
        <v>182</v>
      </c>
      <c r="AK146" s="6">
        <f>1-AB146/AJ146</f>
        <v>0.30219780219780223</v>
      </c>
      <c r="AL146" s="4">
        <f>AJ146-AB146</f>
        <v>55</v>
      </c>
      <c r="AM146" s="28"/>
      <c r="AN146" s="6"/>
      <c r="AO146" s="6"/>
      <c r="AP146" s="6">
        <f>Z146/L146</f>
        <v>0.67407407407407405</v>
      </c>
      <c r="AQ146" s="6">
        <f>AJ146/M146</f>
        <v>0.74897119341563789</v>
      </c>
      <c r="AR146" s="6">
        <f>AB146/N146</f>
        <v>1.0495867768595042</v>
      </c>
      <c r="AS146" s="4"/>
      <c r="AT146" s="4"/>
      <c r="AU146" s="4"/>
      <c r="AV146" s="4"/>
      <c r="AW146" s="4"/>
      <c r="AX146" s="4"/>
      <c r="AY146" s="4"/>
      <c r="AZ146" s="4"/>
      <c r="BA146" s="4"/>
      <c r="BB146" s="4">
        <v>0</v>
      </c>
      <c r="BC146" s="4" t="s">
        <v>3707</v>
      </c>
      <c r="BD146" s="4">
        <v>1</v>
      </c>
      <c r="BE146" s="4">
        <v>6</v>
      </c>
      <c r="BF146" s="4" t="s">
        <v>3703</v>
      </c>
      <c r="BG146" s="4">
        <v>1620</v>
      </c>
      <c r="BH146" s="4">
        <v>1620</v>
      </c>
      <c r="BI146" s="4">
        <f t="shared" si="30"/>
        <v>270</v>
      </c>
      <c r="BJ146" s="19">
        <v>4</v>
      </c>
      <c r="BK146" s="19">
        <v>8</v>
      </c>
      <c r="BL146" s="16">
        <v>6</v>
      </c>
      <c r="BM146" s="45" t="s">
        <v>3534</v>
      </c>
      <c r="BN146" t="s">
        <v>3534</v>
      </c>
      <c r="BO146" t="str">
        <f t="shared" si="32"/>
        <v>-</v>
      </c>
      <c r="BP146" t="s">
        <v>3534</v>
      </c>
      <c r="BQ146">
        <v>173</v>
      </c>
      <c r="BR146">
        <f t="shared" si="33"/>
        <v>181.57851239669424</v>
      </c>
      <c r="BS146" t="s">
        <v>2640</v>
      </c>
    </row>
    <row r="147" spans="1:71" x14ac:dyDescent="0.4">
      <c r="A147" s="3">
        <v>144</v>
      </c>
      <c r="B147" s="3">
        <v>144</v>
      </c>
      <c r="C147" s="4" t="s">
        <v>206</v>
      </c>
      <c r="D147" s="4" t="str">
        <f t="shared" si="25"/>
        <v>J117MD</v>
      </c>
      <c r="E147" s="4" t="s">
        <v>206</v>
      </c>
      <c r="F147" s="4" t="s">
        <v>1425</v>
      </c>
      <c r="G147" s="5">
        <v>4521718150567</v>
      </c>
      <c r="H147" s="5"/>
      <c r="I147" s="5"/>
      <c r="J147" s="5">
        <v>1</v>
      </c>
      <c r="K147" s="5">
        <v>1</v>
      </c>
      <c r="L147" s="4">
        <v>560</v>
      </c>
      <c r="M147" s="4">
        <v>320</v>
      </c>
      <c r="N147" s="4">
        <v>248</v>
      </c>
      <c r="O147" s="6">
        <f t="shared" si="26"/>
        <v>0.22499999999999998</v>
      </c>
      <c r="P147" s="4" t="s">
        <v>2500</v>
      </c>
      <c r="Q147" s="4"/>
      <c r="R147" s="4"/>
      <c r="S147" s="4"/>
      <c r="T147" s="4"/>
      <c r="U147" s="4"/>
      <c r="V147" s="4"/>
      <c r="W147" s="4"/>
      <c r="X147" s="4"/>
      <c r="Y147" s="4">
        <v>382</v>
      </c>
      <c r="Z147" s="4">
        <f t="shared" si="27"/>
        <v>382</v>
      </c>
      <c r="AA147" s="4">
        <v>248</v>
      </c>
      <c r="AB147" s="4">
        <f t="shared" si="28"/>
        <v>248</v>
      </c>
      <c r="AC147" s="4"/>
      <c r="AD147" s="21">
        <f>ROUND(M147*AR147,0)</f>
        <v>320</v>
      </c>
      <c r="AE147" s="6">
        <f>1-AB147/AD147</f>
        <v>0.22499999999999998</v>
      </c>
      <c r="AF147" s="33">
        <v>0.25</v>
      </c>
      <c r="AG147" s="4">
        <f t="shared" si="29"/>
        <v>606.33333333333326</v>
      </c>
      <c r="AH147" s="33">
        <f t="shared" si="31"/>
        <v>606.33333333333326</v>
      </c>
      <c r="AI147" s="6">
        <f>1-AB147/AH147</f>
        <v>0.59098405717427149</v>
      </c>
      <c r="AJ147" s="7">
        <f>ROUND(AB147/0.65,0)</f>
        <v>382</v>
      </c>
      <c r="AK147" s="6">
        <f>1-AB147/AJ147</f>
        <v>0.35078534031413611</v>
      </c>
      <c r="AL147" s="4">
        <f>AJ147-AB147</f>
        <v>134</v>
      </c>
      <c r="AM147" s="28"/>
      <c r="AN147" s="6"/>
      <c r="AO147" s="6"/>
      <c r="AP147" s="6">
        <f>Z147/L147</f>
        <v>0.68214285714285716</v>
      </c>
      <c r="AQ147" s="6">
        <f>AJ147/M147</f>
        <v>1.1937500000000001</v>
      </c>
      <c r="AR147" s="6">
        <f>AB147/N147</f>
        <v>1</v>
      </c>
      <c r="AS147" s="4"/>
      <c r="AT147" s="4"/>
      <c r="AU147" s="4"/>
      <c r="AV147" s="4"/>
      <c r="AW147" s="4"/>
      <c r="AX147" s="4"/>
      <c r="AY147" s="4"/>
      <c r="AZ147" s="4"/>
      <c r="BA147" s="4"/>
      <c r="BB147" s="4">
        <v>0</v>
      </c>
      <c r="BC147" s="4" t="s">
        <v>3708</v>
      </c>
      <c r="BD147" s="4">
        <v>1</v>
      </c>
      <c r="BE147" s="4">
        <v>3</v>
      </c>
      <c r="BF147" s="4" t="s">
        <v>3638</v>
      </c>
      <c r="BG147" s="4">
        <v>1819</v>
      </c>
      <c r="BH147" s="4">
        <v>1819</v>
      </c>
      <c r="BI147" s="4">
        <f t="shared" si="30"/>
        <v>606.33333333333326</v>
      </c>
      <c r="BJ147" s="19">
        <v>4</v>
      </c>
      <c r="BK147" s="19">
        <v>8</v>
      </c>
      <c r="BL147" s="16">
        <v>6</v>
      </c>
      <c r="BM147" s="45" t="s">
        <v>3534</v>
      </c>
      <c r="BN147" t="s">
        <v>3534</v>
      </c>
      <c r="BO147" t="str">
        <f t="shared" si="32"/>
        <v>-</v>
      </c>
      <c r="BP147" t="s">
        <v>3534</v>
      </c>
      <c r="BQ147">
        <v>383</v>
      </c>
      <c r="BR147">
        <f t="shared" si="33"/>
        <v>383</v>
      </c>
      <c r="BS147" t="s">
        <v>2641</v>
      </c>
    </row>
    <row r="148" spans="1:71" x14ac:dyDescent="0.4">
      <c r="A148" s="3">
        <v>145</v>
      </c>
      <c r="B148" s="3">
        <v>145</v>
      </c>
      <c r="C148" s="4" t="s">
        <v>207</v>
      </c>
      <c r="D148" s="4" t="str">
        <f t="shared" si="25"/>
        <v>J117WF</v>
      </c>
      <c r="E148" s="4" t="s">
        <v>207</v>
      </c>
      <c r="F148" s="4" t="s">
        <v>1426</v>
      </c>
      <c r="G148" s="5">
        <v>4521718189086</v>
      </c>
      <c r="H148" s="5"/>
      <c r="I148" s="5"/>
      <c r="J148" s="5">
        <v>1</v>
      </c>
      <c r="K148" s="5">
        <v>1</v>
      </c>
      <c r="L148" s="4">
        <v>270</v>
      </c>
      <c r="M148" s="4">
        <v>243</v>
      </c>
      <c r="N148" s="4">
        <v>121</v>
      </c>
      <c r="O148" s="6">
        <f t="shared" si="26"/>
        <v>0.50205761316872421</v>
      </c>
      <c r="P148" s="4" t="s">
        <v>2500</v>
      </c>
      <c r="Q148" s="4"/>
      <c r="R148" s="4"/>
      <c r="S148" s="4"/>
      <c r="T148" s="4"/>
      <c r="U148" s="4"/>
      <c r="V148" s="4"/>
      <c r="W148" s="4"/>
      <c r="X148" s="4"/>
      <c r="Y148" s="4">
        <v>182</v>
      </c>
      <c r="Z148" s="4">
        <f t="shared" si="27"/>
        <v>182</v>
      </c>
      <c r="AA148" s="4">
        <v>127</v>
      </c>
      <c r="AB148" s="4">
        <f t="shared" si="28"/>
        <v>127</v>
      </c>
      <c r="AC148" s="4"/>
      <c r="AD148" s="21">
        <f>ROUND(M148*AR148,0)</f>
        <v>255</v>
      </c>
      <c r="AE148" s="6">
        <f>1-AB148/AD148</f>
        <v>0.50196078431372548</v>
      </c>
      <c r="AF148" s="33">
        <v>0</v>
      </c>
      <c r="AG148" s="4">
        <f t="shared" si="29"/>
        <v>270</v>
      </c>
      <c r="AH148" s="33">
        <f t="shared" si="31"/>
        <v>283.38842975206614</v>
      </c>
      <c r="AI148" s="6">
        <f>1-AB148/AH148</f>
        <v>0.55185185185185182</v>
      </c>
      <c r="AJ148" s="7">
        <v>182</v>
      </c>
      <c r="AK148" s="6">
        <f>1-AB148/AJ148</f>
        <v>0.30219780219780223</v>
      </c>
      <c r="AL148" s="4">
        <f>AJ148-AB148</f>
        <v>55</v>
      </c>
      <c r="AM148" s="28"/>
      <c r="AN148" s="6"/>
      <c r="AO148" s="6"/>
      <c r="AP148" s="6">
        <f>Z148/L148</f>
        <v>0.67407407407407405</v>
      </c>
      <c r="AQ148" s="6">
        <f>AJ148/M148</f>
        <v>0.74897119341563789</v>
      </c>
      <c r="AR148" s="6">
        <f>AB148/N148</f>
        <v>1.0495867768595042</v>
      </c>
      <c r="AS148" s="4"/>
      <c r="AT148" s="4"/>
      <c r="AU148" s="4"/>
      <c r="AV148" s="4"/>
      <c r="AW148" s="4"/>
      <c r="AX148" s="4"/>
      <c r="AY148" s="4"/>
      <c r="AZ148" s="4"/>
      <c r="BA148" s="4"/>
      <c r="BB148" s="4">
        <v>0</v>
      </c>
      <c r="BC148" s="4" t="s">
        <v>3709</v>
      </c>
      <c r="BD148" s="4">
        <v>1</v>
      </c>
      <c r="BE148" s="4">
        <v>6</v>
      </c>
      <c r="BF148" s="4" t="s">
        <v>3703</v>
      </c>
      <c r="BG148" s="4">
        <v>1620</v>
      </c>
      <c r="BH148" s="4">
        <v>1620</v>
      </c>
      <c r="BI148" s="4">
        <f t="shared" si="30"/>
        <v>270</v>
      </c>
      <c r="BJ148" s="19">
        <v>4</v>
      </c>
      <c r="BK148" s="19">
        <v>8</v>
      </c>
      <c r="BL148" s="16">
        <v>6</v>
      </c>
      <c r="BM148" s="45" t="s">
        <v>3534</v>
      </c>
      <c r="BN148" t="s">
        <v>3534</v>
      </c>
      <c r="BO148" t="str">
        <f t="shared" si="32"/>
        <v>-</v>
      </c>
      <c r="BP148" t="s">
        <v>3534</v>
      </c>
      <c r="BQ148">
        <v>173</v>
      </c>
      <c r="BR148">
        <f t="shared" si="33"/>
        <v>181.57851239669424</v>
      </c>
      <c r="BS148" t="s">
        <v>2642</v>
      </c>
    </row>
    <row r="149" spans="1:71" x14ac:dyDescent="0.4">
      <c r="A149" s="3">
        <v>146</v>
      </c>
      <c r="B149" s="3">
        <v>146</v>
      </c>
      <c r="C149" s="4" t="s">
        <v>208</v>
      </c>
      <c r="D149" s="4" t="str">
        <f t="shared" si="25"/>
        <v>J118MD</v>
      </c>
      <c r="E149" s="4" t="s">
        <v>208</v>
      </c>
      <c r="F149" s="4" t="s">
        <v>1427</v>
      </c>
      <c r="G149" s="5">
        <v>4521718150574</v>
      </c>
      <c r="H149" s="5"/>
      <c r="I149" s="5"/>
      <c r="J149" s="5">
        <v>1</v>
      </c>
      <c r="K149" s="5">
        <v>1</v>
      </c>
      <c r="L149" s="4">
        <v>560</v>
      </c>
      <c r="M149" s="4">
        <v>320</v>
      </c>
      <c r="N149" s="4">
        <v>248</v>
      </c>
      <c r="O149" s="6">
        <f t="shared" si="26"/>
        <v>0.22499999999999998</v>
      </c>
      <c r="P149" s="4" t="s">
        <v>2500</v>
      </c>
      <c r="Q149" s="4"/>
      <c r="R149" s="4"/>
      <c r="S149" s="4"/>
      <c r="T149" s="4"/>
      <c r="U149" s="4"/>
      <c r="V149" s="4"/>
      <c r="W149" s="4"/>
      <c r="X149" s="4"/>
      <c r="Y149" s="4">
        <v>382</v>
      </c>
      <c r="Z149" s="4">
        <f t="shared" si="27"/>
        <v>382</v>
      </c>
      <c r="AA149" s="4">
        <v>248</v>
      </c>
      <c r="AB149" s="4">
        <f t="shared" si="28"/>
        <v>248</v>
      </c>
      <c r="AC149" s="4"/>
      <c r="AD149" s="21">
        <f>ROUND(M149*AR149,0)</f>
        <v>320</v>
      </c>
      <c r="AE149" s="6">
        <f>1-AB149/AD149</f>
        <v>0.22499999999999998</v>
      </c>
      <c r="AF149" s="33">
        <v>0</v>
      </c>
      <c r="AG149" s="4">
        <f t="shared" si="29"/>
        <v>606.33333333333326</v>
      </c>
      <c r="AH149" s="33">
        <f t="shared" si="31"/>
        <v>606.33333333333326</v>
      </c>
      <c r="AI149" s="6">
        <f>1-AB149/AH149</f>
        <v>0.59098405717427149</v>
      </c>
      <c r="AJ149" s="7">
        <f>ROUND(AB149/0.65,0)</f>
        <v>382</v>
      </c>
      <c r="AK149" s="6">
        <f>1-AB149/AJ149</f>
        <v>0.35078534031413611</v>
      </c>
      <c r="AL149" s="4">
        <f>AJ149-AB149</f>
        <v>134</v>
      </c>
      <c r="AM149" s="28"/>
      <c r="AN149" s="6"/>
      <c r="AO149" s="6"/>
      <c r="AP149" s="6">
        <f>Z149/L149</f>
        <v>0.68214285714285716</v>
      </c>
      <c r="AQ149" s="6">
        <f>AJ149/M149</f>
        <v>1.1937500000000001</v>
      </c>
      <c r="AR149" s="6">
        <f>AB149/N149</f>
        <v>1</v>
      </c>
      <c r="AS149" s="4"/>
      <c r="AT149" s="4"/>
      <c r="AU149" s="4"/>
      <c r="AV149" s="4"/>
      <c r="AW149" s="4"/>
      <c r="AX149" s="4"/>
      <c r="AY149" s="4"/>
      <c r="AZ149" s="4"/>
      <c r="BA149" s="4"/>
      <c r="BB149" s="4">
        <v>0</v>
      </c>
      <c r="BC149" s="4" t="s">
        <v>3710</v>
      </c>
      <c r="BD149" s="4">
        <v>1</v>
      </c>
      <c r="BE149" s="4">
        <v>3</v>
      </c>
      <c r="BF149" s="4" t="s">
        <v>3638</v>
      </c>
      <c r="BG149" s="4">
        <v>1819</v>
      </c>
      <c r="BH149" s="4">
        <v>1819</v>
      </c>
      <c r="BI149" s="4">
        <f t="shared" si="30"/>
        <v>606.33333333333326</v>
      </c>
      <c r="BJ149" s="19">
        <v>4</v>
      </c>
      <c r="BK149" s="19">
        <v>8</v>
      </c>
      <c r="BL149" s="16">
        <v>6</v>
      </c>
      <c r="BM149" s="45" t="s">
        <v>3534</v>
      </c>
      <c r="BN149" t="s">
        <v>3534</v>
      </c>
      <c r="BO149" t="str">
        <f t="shared" si="32"/>
        <v>-</v>
      </c>
      <c r="BP149" t="s">
        <v>3534</v>
      </c>
      <c r="BQ149">
        <v>383</v>
      </c>
      <c r="BR149">
        <f t="shared" si="33"/>
        <v>383</v>
      </c>
      <c r="BS149" t="s">
        <v>2643</v>
      </c>
    </row>
    <row r="150" spans="1:71" x14ac:dyDescent="0.4">
      <c r="A150" s="3">
        <v>147</v>
      </c>
      <c r="B150" s="3">
        <v>147</v>
      </c>
      <c r="C150" s="4" t="s">
        <v>209</v>
      </c>
      <c r="D150" s="4" t="str">
        <f t="shared" si="25"/>
        <v>J118WF</v>
      </c>
      <c r="E150" s="4" t="s">
        <v>209</v>
      </c>
      <c r="F150" s="4" t="s">
        <v>1428</v>
      </c>
      <c r="G150" s="5">
        <v>4521718189093</v>
      </c>
      <c r="H150" s="5"/>
      <c r="I150" s="5"/>
      <c r="J150" s="5">
        <v>1</v>
      </c>
      <c r="K150" s="5">
        <v>1</v>
      </c>
      <c r="L150" s="4">
        <v>330</v>
      </c>
      <c r="M150" s="4">
        <v>297</v>
      </c>
      <c r="N150" s="4">
        <v>147</v>
      </c>
      <c r="O150" s="6">
        <f t="shared" si="26"/>
        <v>0.50505050505050497</v>
      </c>
      <c r="P150" s="4" t="s">
        <v>2500</v>
      </c>
      <c r="Q150" s="4"/>
      <c r="R150" s="4"/>
      <c r="S150" s="4"/>
      <c r="T150" s="4"/>
      <c r="U150" s="4"/>
      <c r="V150" s="4"/>
      <c r="W150" s="4"/>
      <c r="X150" s="4"/>
      <c r="Y150" s="4">
        <v>219</v>
      </c>
      <c r="Z150" s="4">
        <f t="shared" si="27"/>
        <v>219</v>
      </c>
      <c r="AA150" s="4">
        <v>153</v>
      </c>
      <c r="AB150" s="4">
        <f t="shared" si="28"/>
        <v>153</v>
      </c>
      <c r="AC150" s="4"/>
      <c r="AD150" s="21">
        <f>ROUND(M150*AR150,0)</f>
        <v>309</v>
      </c>
      <c r="AE150" s="6">
        <f>1-AB150/AD150</f>
        <v>0.50485436893203883</v>
      </c>
      <c r="AF150" s="33">
        <v>0</v>
      </c>
      <c r="AG150" s="4">
        <f t="shared" si="29"/>
        <v>330</v>
      </c>
      <c r="AH150" s="33">
        <f t="shared" si="31"/>
        <v>343.46938775510205</v>
      </c>
      <c r="AI150" s="6">
        <f>1-AB150/AH150</f>
        <v>0.55454545454545456</v>
      </c>
      <c r="AJ150" s="7">
        <v>219</v>
      </c>
      <c r="AK150" s="6">
        <f>1-AB150/AJ150</f>
        <v>0.30136986301369861</v>
      </c>
      <c r="AL150" s="4">
        <f>AJ150-AB150</f>
        <v>66</v>
      </c>
      <c r="AM150" s="28"/>
      <c r="AN150" s="6"/>
      <c r="AO150" s="6"/>
      <c r="AP150" s="6">
        <f>Z150/L150</f>
        <v>0.66363636363636369</v>
      </c>
      <c r="AQ150" s="6">
        <f>AJ150/M150</f>
        <v>0.73737373737373735</v>
      </c>
      <c r="AR150" s="6">
        <f>AB150/N150</f>
        <v>1.0408163265306123</v>
      </c>
      <c r="AS150" s="4"/>
      <c r="AT150" s="4"/>
      <c r="AU150" s="4"/>
      <c r="AV150" s="4"/>
      <c r="AW150" s="4"/>
      <c r="AX150" s="4"/>
      <c r="AY150" s="4"/>
      <c r="AZ150" s="4"/>
      <c r="BA150" s="4"/>
      <c r="BB150" s="4">
        <v>0</v>
      </c>
      <c r="BC150" s="4" t="s">
        <v>3711</v>
      </c>
      <c r="BD150" s="4">
        <v>1</v>
      </c>
      <c r="BE150" s="4">
        <v>5</v>
      </c>
      <c r="BF150" s="4" t="s">
        <v>3701</v>
      </c>
      <c r="BG150" s="4">
        <v>1650</v>
      </c>
      <c r="BH150" s="4">
        <v>1650</v>
      </c>
      <c r="BI150" s="4">
        <f t="shared" si="30"/>
        <v>330</v>
      </c>
      <c r="BJ150" s="19">
        <v>4</v>
      </c>
      <c r="BK150" s="19">
        <v>8</v>
      </c>
      <c r="BL150" s="16">
        <v>6</v>
      </c>
      <c r="BM150" s="45" t="s">
        <v>3534</v>
      </c>
      <c r="BN150" t="s">
        <v>3534</v>
      </c>
      <c r="BO150" t="str">
        <f t="shared" si="32"/>
        <v>-</v>
      </c>
      <c r="BP150" t="s">
        <v>3534</v>
      </c>
      <c r="BQ150">
        <v>210</v>
      </c>
      <c r="BR150">
        <f t="shared" si="33"/>
        <v>218.57142857142858</v>
      </c>
      <c r="BS150" t="s">
        <v>2644</v>
      </c>
    </row>
    <row r="151" spans="1:71" x14ac:dyDescent="0.4">
      <c r="A151" s="3">
        <v>148</v>
      </c>
      <c r="B151" s="3">
        <v>148</v>
      </c>
      <c r="C151" s="4" t="s">
        <v>210</v>
      </c>
      <c r="D151" s="4" t="str">
        <f t="shared" ref="D151:D214" si="34">TEXT(C151,"000000")</f>
        <v>J119MD</v>
      </c>
      <c r="E151" s="4" t="s">
        <v>210</v>
      </c>
      <c r="F151" s="4" t="s">
        <v>1429</v>
      </c>
      <c r="G151" s="5">
        <v>4521718150581</v>
      </c>
      <c r="H151" s="5"/>
      <c r="I151" s="5"/>
      <c r="J151" s="5">
        <v>1</v>
      </c>
      <c r="K151" s="5">
        <v>1</v>
      </c>
      <c r="L151" s="4">
        <v>560</v>
      </c>
      <c r="M151" s="4">
        <v>320</v>
      </c>
      <c r="N151" s="4">
        <v>248</v>
      </c>
      <c r="O151" s="6">
        <f t="shared" ref="O151:O214" si="35">1-N151/M151</f>
        <v>0.22499999999999998</v>
      </c>
      <c r="P151" s="4" t="s">
        <v>2500</v>
      </c>
      <c r="Q151" s="4"/>
      <c r="R151" s="4"/>
      <c r="S151" s="4"/>
      <c r="T151" s="4"/>
      <c r="U151" s="4"/>
      <c r="V151" s="4"/>
      <c r="W151" s="4"/>
      <c r="X151" s="4"/>
      <c r="Y151" s="4">
        <v>382</v>
      </c>
      <c r="Z151" s="4">
        <f t="shared" ref="Z151:Z214" si="36">IF(AC151="",Y151,Y151*AC151)</f>
        <v>382</v>
      </c>
      <c r="AA151" s="4">
        <v>248</v>
      </c>
      <c r="AB151" s="4">
        <f t="shared" ref="AB151:AB214" si="37">IF(AC151="",AA151,AA151*AC151)</f>
        <v>248</v>
      </c>
      <c r="AC151" s="4"/>
      <c r="AD151" s="21">
        <f>ROUND(M151*AR151,0)</f>
        <v>320</v>
      </c>
      <c r="AE151" s="6">
        <f>1-AB151/AD151</f>
        <v>0.22499999999999998</v>
      </c>
      <c r="AF151" s="33">
        <v>0.25</v>
      </c>
      <c r="AG151" s="4">
        <f t="shared" ref="AG151:AG214" si="38">BI151</f>
        <v>606.33333333333326</v>
      </c>
      <c r="AH151" s="33">
        <f t="shared" si="31"/>
        <v>606.33333333333326</v>
      </c>
      <c r="AI151" s="6">
        <f>1-AB151/AH151</f>
        <v>0.59098405717427149</v>
      </c>
      <c r="AJ151" s="7">
        <f>ROUND(AB151/0.65,0)</f>
        <v>382</v>
      </c>
      <c r="AK151" s="6">
        <f>1-AB151/AJ151</f>
        <v>0.35078534031413611</v>
      </c>
      <c r="AL151" s="4">
        <f>AJ151-AB151</f>
        <v>134</v>
      </c>
      <c r="AM151" s="28"/>
      <c r="AN151" s="6"/>
      <c r="AO151" s="6"/>
      <c r="AP151" s="6">
        <f>Z151/L151</f>
        <v>0.68214285714285716</v>
      </c>
      <c r="AQ151" s="6">
        <f>AJ151/M151</f>
        <v>1.1937500000000001</v>
      </c>
      <c r="AR151" s="6">
        <f>AB151/N151</f>
        <v>1</v>
      </c>
      <c r="AS151" s="4"/>
      <c r="AT151" s="4"/>
      <c r="AU151" s="4"/>
      <c r="AV151" s="4"/>
      <c r="AW151" s="4"/>
      <c r="AX151" s="4"/>
      <c r="AY151" s="4"/>
      <c r="AZ151" s="4"/>
      <c r="BA151" s="4"/>
      <c r="BB151" s="4">
        <v>0</v>
      </c>
      <c r="BC151" s="4" t="s">
        <v>3712</v>
      </c>
      <c r="BD151" s="4">
        <v>1</v>
      </c>
      <c r="BE151" s="4">
        <v>3</v>
      </c>
      <c r="BF151" s="4" t="s">
        <v>3638</v>
      </c>
      <c r="BG151" s="4">
        <v>1819</v>
      </c>
      <c r="BH151" s="4">
        <v>1819</v>
      </c>
      <c r="BI151" s="4">
        <f t="shared" ref="BI151:BI214" si="39">IF(BD151="",BH151,BD151/BE151*BH151)</f>
        <v>606.33333333333326</v>
      </c>
      <c r="BJ151" s="19">
        <v>4</v>
      </c>
      <c r="BK151" s="19">
        <v>8</v>
      </c>
      <c r="BL151" s="16">
        <v>6</v>
      </c>
      <c r="BM151" s="45" t="s">
        <v>3534</v>
      </c>
      <c r="BN151" t="s">
        <v>3534</v>
      </c>
      <c r="BO151" t="str">
        <f t="shared" si="32"/>
        <v>-</v>
      </c>
      <c r="BP151" t="s">
        <v>3534</v>
      </c>
      <c r="BQ151">
        <v>383</v>
      </c>
      <c r="BR151">
        <f t="shared" si="33"/>
        <v>383</v>
      </c>
      <c r="BS151" t="s">
        <v>2645</v>
      </c>
    </row>
    <row r="152" spans="1:71" x14ac:dyDescent="0.4">
      <c r="A152" s="3">
        <v>149</v>
      </c>
      <c r="B152" s="3">
        <v>149</v>
      </c>
      <c r="C152" s="4" t="s">
        <v>211</v>
      </c>
      <c r="D152" s="4" t="str">
        <f t="shared" si="34"/>
        <v>J120WF</v>
      </c>
      <c r="E152" s="4" t="s">
        <v>211</v>
      </c>
      <c r="F152" s="4" t="s">
        <v>1430</v>
      </c>
      <c r="G152" s="5">
        <v>4521718192420</v>
      </c>
      <c r="H152" s="5"/>
      <c r="I152" s="5"/>
      <c r="J152" s="5">
        <v>1</v>
      </c>
      <c r="K152" s="5">
        <v>1</v>
      </c>
      <c r="L152" s="4">
        <v>360</v>
      </c>
      <c r="M152" s="4">
        <v>324</v>
      </c>
      <c r="N152" s="4">
        <v>160</v>
      </c>
      <c r="O152" s="6">
        <f t="shared" si="35"/>
        <v>0.50617283950617287</v>
      </c>
      <c r="P152" s="4" t="s">
        <v>2500</v>
      </c>
      <c r="Q152" s="4"/>
      <c r="R152" s="4"/>
      <c r="S152" s="4"/>
      <c r="T152" s="4"/>
      <c r="U152" s="4"/>
      <c r="V152" s="4"/>
      <c r="W152" s="4"/>
      <c r="X152" s="4"/>
      <c r="Y152" s="4">
        <v>228</v>
      </c>
      <c r="Z152" s="4">
        <f t="shared" si="36"/>
        <v>228</v>
      </c>
      <c r="AA152" s="4">
        <v>160</v>
      </c>
      <c r="AB152" s="4">
        <f t="shared" si="37"/>
        <v>160</v>
      </c>
      <c r="AC152" s="4"/>
      <c r="AD152" s="21">
        <f>ROUND(M152*AR152,0)</f>
        <v>324</v>
      </c>
      <c r="AE152" s="6">
        <f>1-AB152/AD152</f>
        <v>0.50617283950617287</v>
      </c>
      <c r="AF152" s="33">
        <v>0</v>
      </c>
      <c r="AG152" s="4">
        <f t="shared" si="38"/>
        <v>360</v>
      </c>
      <c r="AH152" s="33">
        <f t="shared" si="31"/>
        <v>360</v>
      </c>
      <c r="AI152" s="6">
        <f>1-AB152/AH152</f>
        <v>0.55555555555555558</v>
      </c>
      <c r="AJ152" s="7">
        <v>228</v>
      </c>
      <c r="AK152" s="6">
        <f>1-AB152/AJ152</f>
        <v>0.29824561403508776</v>
      </c>
      <c r="AL152" s="4">
        <f>AJ152-AB152</f>
        <v>68</v>
      </c>
      <c r="AM152" s="28"/>
      <c r="AN152" s="6"/>
      <c r="AO152" s="6"/>
      <c r="AP152" s="6">
        <f>Z152/L152</f>
        <v>0.6333333333333333</v>
      </c>
      <c r="AQ152" s="6">
        <f>AJ152/M152</f>
        <v>0.70370370370370372</v>
      </c>
      <c r="AR152" s="6">
        <f>AB152/N152</f>
        <v>1</v>
      </c>
      <c r="AS152" s="4"/>
      <c r="AT152" s="4"/>
      <c r="AU152" s="4"/>
      <c r="AV152" s="4"/>
      <c r="AW152" s="4"/>
      <c r="AX152" s="4"/>
      <c r="AY152" s="4"/>
      <c r="AZ152" s="4"/>
      <c r="BA152" s="4"/>
      <c r="BB152" s="4">
        <v>0</v>
      </c>
      <c r="BC152" s="4" t="s">
        <v>3713</v>
      </c>
      <c r="BD152" s="4">
        <v>1</v>
      </c>
      <c r="BE152" s="4">
        <v>5</v>
      </c>
      <c r="BF152" s="4" t="s">
        <v>3701</v>
      </c>
      <c r="BG152" s="4">
        <v>1800</v>
      </c>
      <c r="BH152" s="4">
        <v>1800</v>
      </c>
      <c r="BI152" s="4">
        <f t="shared" si="39"/>
        <v>360</v>
      </c>
      <c r="BJ152" s="19">
        <v>4</v>
      </c>
      <c r="BK152" s="19">
        <v>8</v>
      </c>
      <c r="BL152" s="16">
        <v>6</v>
      </c>
      <c r="BM152" s="45" t="s">
        <v>3534</v>
      </c>
      <c r="BN152" t="s">
        <v>3534</v>
      </c>
      <c r="BO152" t="str">
        <f t="shared" si="32"/>
        <v>-</v>
      </c>
      <c r="BP152" t="s">
        <v>3534</v>
      </c>
      <c r="BQ152">
        <v>228</v>
      </c>
      <c r="BR152">
        <f t="shared" si="33"/>
        <v>228</v>
      </c>
      <c r="BS152" t="s">
        <v>2646</v>
      </c>
    </row>
    <row r="153" spans="1:71" x14ac:dyDescent="0.4">
      <c r="A153" s="3">
        <v>150</v>
      </c>
      <c r="B153" s="3">
        <v>150</v>
      </c>
      <c r="C153" s="4" t="s">
        <v>212</v>
      </c>
      <c r="D153" s="4" t="str">
        <f t="shared" si="34"/>
        <v>J119WF</v>
      </c>
      <c r="E153" s="4" t="s">
        <v>212</v>
      </c>
      <c r="F153" s="4" t="s">
        <v>1431</v>
      </c>
      <c r="G153" s="5">
        <v>4521718192413</v>
      </c>
      <c r="H153" s="5"/>
      <c r="I153" s="5"/>
      <c r="J153" s="5">
        <v>1</v>
      </c>
      <c r="K153" s="5">
        <v>1</v>
      </c>
      <c r="L153" s="4">
        <v>360</v>
      </c>
      <c r="M153" s="4">
        <v>324</v>
      </c>
      <c r="N153" s="4">
        <v>160</v>
      </c>
      <c r="O153" s="6">
        <f t="shared" si="35"/>
        <v>0.50617283950617287</v>
      </c>
      <c r="P153" s="4" t="s">
        <v>2500</v>
      </c>
      <c r="Q153" s="4"/>
      <c r="R153" s="4"/>
      <c r="S153" s="4"/>
      <c r="T153" s="4"/>
      <c r="U153" s="4"/>
      <c r="V153" s="4"/>
      <c r="W153" s="4"/>
      <c r="X153" s="4"/>
      <c r="Y153" s="4">
        <v>228</v>
      </c>
      <c r="Z153" s="4">
        <f t="shared" si="36"/>
        <v>228</v>
      </c>
      <c r="AA153" s="4">
        <v>160</v>
      </c>
      <c r="AB153" s="4">
        <f t="shared" si="37"/>
        <v>160</v>
      </c>
      <c r="AC153" s="4"/>
      <c r="AD153" s="21">
        <f>ROUND(M153*AR153,0)</f>
        <v>324</v>
      </c>
      <c r="AE153" s="6">
        <f>1-AB153/AD153</f>
        <v>0.50617283950617287</v>
      </c>
      <c r="AF153" s="33">
        <v>0</v>
      </c>
      <c r="AG153" s="4">
        <f t="shared" si="38"/>
        <v>360</v>
      </c>
      <c r="AH153" s="33">
        <f t="shared" si="31"/>
        <v>360</v>
      </c>
      <c r="AI153" s="6">
        <f>1-AB153/AH153</f>
        <v>0.55555555555555558</v>
      </c>
      <c r="AJ153" s="7">
        <v>228</v>
      </c>
      <c r="AK153" s="6">
        <f>1-AB153/AJ153</f>
        <v>0.29824561403508776</v>
      </c>
      <c r="AL153" s="4">
        <f>AJ153-AB153</f>
        <v>68</v>
      </c>
      <c r="AM153" s="28"/>
      <c r="AN153" s="6"/>
      <c r="AO153" s="6"/>
      <c r="AP153" s="6">
        <f>Z153/L153</f>
        <v>0.6333333333333333</v>
      </c>
      <c r="AQ153" s="6">
        <f>AJ153/M153</f>
        <v>0.70370370370370372</v>
      </c>
      <c r="AR153" s="6">
        <f>AB153/N153</f>
        <v>1</v>
      </c>
      <c r="AS153" s="4"/>
      <c r="AT153" s="4"/>
      <c r="AU153" s="4"/>
      <c r="AV153" s="4"/>
      <c r="AW153" s="4"/>
      <c r="AX153" s="4"/>
      <c r="AY153" s="4"/>
      <c r="AZ153" s="4"/>
      <c r="BA153" s="4"/>
      <c r="BB153" s="4">
        <v>0</v>
      </c>
      <c r="BC153" s="4" t="s">
        <v>3714</v>
      </c>
      <c r="BD153" s="4">
        <v>1</v>
      </c>
      <c r="BE153" s="4">
        <v>5</v>
      </c>
      <c r="BF153" s="4" t="s">
        <v>3701</v>
      </c>
      <c r="BG153" s="4">
        <v>1800</v>
      </c>
      <c r="BH153" s="4">
        <v>1800</v>
      </c>
      <c r="BI153" s="4">
        <f t="shared" si="39"/>
        <v>360</v>
      </c>
      <c r="BJ153" s="19">
        <v>4</v>
      </c>
      <c r="BK153" s="19">
        <v>8</v>
      </c>
      <c r="BL153" s="16">
        <v>6</v>
      </c>
      <c r="BM153" s="45" t="s">
        <v>3534</v>
      </c>
      <c r="BN153" t="s">
        <v>3534</v>
      </c>
      <c r="BO153" t="str">
        <f t="shared" si="32"/>
        <v>-</v>
      </c>
      <c r="BP153" t="s">
        <v>3534</v>
      </c>
      <c r="BQ153">
        <v>228</v>
      </c>
      <c r="BR153">
        <f t="shared" si="33"/>
        <v>228</v>
      </c>
      <c r="BS153" t="s">
        <v>2647</v>
      </c>
    </row>
    <row r="154" spans="1:71" x14ac:dyDescent="0.4">
      <c r="A154" s="3">
        <v>151</v>
      </c>
      <c r="B154" s="3">
        <v>151</v>
      </c>
      <c r="C154" s="4" t="s">
        <v>213</v>
      </c>
      <c r="D154" s="4" t="str">
        <f t="shared" si="34"/>
        <v>J120MD</v>
      </c>
      <c r="E154" s="4" t="s">
        <v>213</v>
      </c>
      <c r="F154" s="4" t="s">
        <v>1432</v>
      </c>
      <c r="G154" s="5">
        <v>4521718150598</v>
      </c>
      <c r="H154" s="5"/>
      <c r="I154" s="5"/>
      <c r="J154" s="5">
        <v>1</v>
      </c>
      <c r="K154" s="5">
        <v>1</v>
      </c>
      <c r="L154" s="4">
        <v>560</v>
      </c>
      <c r="M154" s="4">
        <v>325</v>
      </c>
      <c r="N154" s="4">
        <v>248</v>
      </c>
      <c r="O154" s="6">
        <f t="shared" si="35"/>
        <v>0.2369230769230769</v>
      </c>
      <c r="P154" s="4" t="s">
        <v>2500</v>
      </c>
      <c r="Q154" s="4"/>
      <c r="R154" s="4"/>
      <c r="S154" s="4"/>
      <c r="T154" s="4"/>
      <c r="U154" s="4"/>
      <c r="V154" s="4"/>
      <c r="W154" s="4"/>
      <c r="X154" s="4"/>
      <c r="Y154" s="4">
        <v>382</v>
      </c>
      <c r="Z154" s="4">
        <f t="shared" si="36"/>
        <v>382</v>
      </c>
      <c r="AA154" s="4">
        <v>248</v>
      </c>
      <c r="AB154" s="4">
        <f t="shared" si="37"/>
        <v>248</v>
      </c>
      <c r="AC154" s="4"/>
      <c r="AD154" s="21">
        <f>ROUND(M154*AR154,0)</f>
        <v>325</v>
      </c>
      <c r="AE154" s="6">
        <f>1-AB154/AD154</f>
        <v>0.2369230769230769</v>
      </c>
      <c r="AF154" s="33">
        <v>0.5</v>
      </c>
      <c r="AG154" s="4">
        <f t="shared" si="38"/>
        <v>606.33333333333326</v>
      </c>
      <c r="AH154" s="33">
        <f t="shared" si="31"/>
        <v>606.33333333333326</v>
      </c>
      <c r="AI154" s="6">
        <f>1-AB154/AH154</f>
        <v>0.59098405717427149</v>
      </c>
      <c r="AJ154" s="7">
        <f>ROUND(AB154/0.65,0)</f>
        <v>382</v>
      </c>
      <c r="AK154" s="6">
        <f>1-AB154/AJ154</f>
        <v>0.35078534031413611</v>
      </c>
      <c r="AL154" s="4">
        <f>AJ154-AB154</f>
        <v>134</v>
      </c>
      <c r="AM154" s="28"/>
      <c r="AN154" s="6"/>
      <c r="AO154" s="6"/>
      <c r="AP154" s="6">
        <f>Z154/L154</f>
        <v>0.68214285714285716</v>
      </c>
      <c r="AQ154" s="6">
        <f>AJ154/M154</f>
        <v>1.1753846153846155</v>
      </c>
      <c r="AR154" s="6">
        <f>AB154/N154</f>
        <v>1</v>
      </c>
      <c r="AS154" s="4"/>
      <c r="AT154" s="4"/>
      <c r="AU154" s="4"/>
      <c r="AV154" s="4"/>
      <c r="AW154" s="4"/>
      <c r="AX154" s="4"/>
      <c r="AY154" s="4"/>
      <c r="AZ154" s="4"/>
      <c r="BA154" s="4"/>
      <c r="BB154" s="4">
        <v>0</v>
      </c>
      <c r="BC154" s="4" t="s">
        <v>3715</v>
      </c>
      <c r="BD154" s="4">
        <v>1</v>
      </c>
      <c r="BE154" s="4">
        <v>3</v>
      </c>
      <c r="BF154" s="4" t="s">
        <v>3638</v>
      </c>
      <c r="BG154" s="4">
        <v>1819</v>
      </c>
      <c r="BH154" s="4">
        <v>1819</v>
      </c>
      <c r="BI154" s="4">
        <f t="shared" si="39"/>
        <v>606.33333333333326</v>
      </c>
      <c r="BJ154" s="19">
        <v>4</v>
      </c>
      <c r="BK154" s="19">
        <v>8</v>
      </c>
      <c r="BL154" s="16">
        <v>6</v>
      </c>
      <c r="BM154" s="45" t="s">
        <v>3534</v>
      </c>
      <c r="BN154" t="s">
        <v>3534</v>
      </c>
      <c r="BO154" t="str">
        <f t="shared" si="32"/>
        <v>-</v>
      </c>
      <c r="BP154" t="s">
        <v>3534</v>
      </c>
      <c r="BQ154">
        <v>383</v>
      </c>
      <c r="BR154">
        <f t="shared" si="33"/>
        <v>383</v>
      </c>
      <c r="BS154" t="s">
        <v>2648</v>
      </c>
    </row>
    <row r="155" spans="1:71" x14ac:dyDescent="0.4">
      <c r="A155" s="3">
        <v>152</v>
      </c>
      <c r="B155" s="3">
        <v>152</v>
      </c>
      <c r="C155" s="4" t="s">
        <v>214</v>
      </c>
      <c r="D155" s="4" t="str">
        <f t="shared" si="34"/>
        <v>J121MD</v>
      </c>
      <c r="E155" s="4" t="s">
        <v>214</v>
      </c>
      <c r="F155" s="4" t="s">
        <v>1433</v>
      </c>
      <c r="G155" s="5">
        <v>4521718150604</v>
      </c>
      <c r="H155" s="5"/>
      <c r="I155" s="5"/>
      <c r="J155" s="5">
        <v>1</v>
      </c>
      <c r="K155" s="5">
        <v>1</v>
      </c>
      <c r="L155" s="4">
        <v>650</v>
      </c>
      <c r="M155" s="4">
        <v>373</v>
      </c>
      <c r="N155" s="4">
        <v>290</v>
      </c>
      <c r="O155" s="6">
        <f t="shared" si="35"/>
        <v>0.22252010723860594</v>
      </c>
      <c r="P155" s="4" t="s">
        <v>2500</v>
      </c>
      <c r="Q155" s="4"/>
      <c r="R155" s="4"/>
      <c r="S155" s="4"/>
      <c r="T155" s="4"/>
      <c r="U155" s="4"/>
      <c r="V155" s="4"/>
      <c r="W155" s="4"/>
      <c r="X155" s="4"/>
      <c r="Y155" s="4">
        <v>446</v>
      </c>
      <c r="Z155" s="4">
        <f t="shared" si="36"/>
        <v>446</v>
      </c>
      <c r="AA155" s="4">
        <v>290</v>
      </c>
      <c r="AB155" s="4">
        <f t="shared" si="37"/>
        <v>290</v>
      </c>
      <c r="AC155" s="4"/>
      <c r="AD155" s="21">
        <f>ROUND(M155*AR155,0)</f>
        <v>373</v>
      </c>
      <c r="AE155" s="6">
        <f>1-AB155/AD155</f>
        <v>0.22252010723860594</v>
      </c>
      <c r="AF155" s="33">
        <v>1</v>
      </c>
      <c r="AG155" s="4">
        <f t="shared" si="38"/>
        <v>681</v>
      </c>
      <c r="AH155" s="33">
        <f t="shared" si="31"/>
        <v>681</v>
      </c>
      <c r="AI155" s="6">
        <f>1-AB155/AH155</f>
        <v>0.57415565345080766</v>
      </c>
      <c r="AJ155" s="7">
        <v>446</v>
      </c>
      <c r="AK155" s="6">
        <f>1-AB155/AJ155</f>
        <v>0.34977578475336324</v>
      </c>
      <c r="AL155" s="4">
        <f>AJ155-AB155</f>
        <v>156</v>
      </c>
      <c r="AM155" s="28"/>
      <c r="AN155" s="6"/>
      <c r="AO155" s="6"/>
      <c r="AP155" s="6">
        <f>Z155/L155</f>
        <v>0.68615384615384611</v>
      </c>
      <c r="AQ155" s="6">
        <f>AJ155/M155</f>
        <v>1.195710455764075</v>
      </c>
      <c r="AR155" s="6">
        <f>AB155/N155</f>
        <v>1</v>
      </c>
      <c r="AS155" s="4"/>
      <c r="AT155" s="4"/>
      <c r="AU155" s="4"/>
      <c r="AV155" s="4"/>
      <c r="AW155" s="4"/>
      <c r="AX155" s="4"/>
      <c r="AY155" s="4"/>
      <c r="AZ155" s="4"/>
      <c r="BA155" s="4"/>
      <c r="BB155" s="4">
        <v>0</v>
      </c>
      <c r="BC155" s="4" t="s">
        <v>3716</v>
      </c>
      <c r="BD155" s="4">
        <v>1</v>
      </c>
      <c r="BE155" s="4">
        <v>2</v>
      </c>
      <c r="BF155" s="4" t="s">
        <v>3640</v>
      </c>
      <c r="BG155" s="4">
        <v>1362</v>
      </c>
      <c r="BH155" s="4">
        <v>1362</v>
      </c>
      <c r="BI155" s="4">
        <f t="shared" si="39"/>
        <v>681</v>
      </c>
      <c r="BJ155" s="19">
        <v>4</v>
      </c>
      <c r="BK155" s="19">
        <v>8</v>
      </c>
      <c r="BL155" s="16">
        <v>6</v>
      </c>
      <c r="BM155" s="45" t="s">
        <v>3534</v>
      </c>
      <c r="BN155" t="s">
        <v>3534</v>
      </c>
      <c r="BO155" t="str">
        <f t="shared" si="32"/>
        <v>-</v>
      </c>
      <c r="BP155" t="s">
        <v>3534</v>
      </c>
      <c r="BQ155">
        <v>447</v>
      </c>
      <c r="BR155">
        <f t="shared" si="33"/>
        <v>447</v>
      </c>
      <c r="BS155" t="s">
        <v>2649</v>
      </c>
    </row>
    <row r="156" spans="1:71" x14ac:dyDescent="0.4">
      <c r="A156" s="3">
        <v>153</v>
      </c>
      <c r="B156" s="3">
        <v>153</v>
      </c>
      <c r="C156" s="4" t="s">
        <v>215</v>
      </c>
      <c r="D156" s="4" t="str">
        <f t="shared" si="34"/>
        <v>J121WF</v>
      </c>
      <c r="E156" s="4" t="s">
        <v>215</v>
      </c>
      <c r="F156" s="4" t="s">
        <v>1434</v>
      </c>
      <c r="G156" s="5">
        <v>4521718192437</v>
      </c>
      <c r="H156" s="5"/>
      <c r="I156" s="5"/>
      <c r="J156" s="5">
        <v>1</v>
      </c>
      <c r="K156" s="5">
        <v>1</v>
      </c>
      <c r="L156" s="4">
        <v>360</v>
      </c>
      <c r="M156" s="4">
        <v>324</v>
      </c>
      <c r="N156" s="4">
        <v>160</v>
      </c>
      <c r="O156" s="6">
        <f t="shared" si="35"/>
        <v>0.50617283950617287</v>
      </c>
      <c r="P156" s="4" t="s">
        <v>2500</v>
      </c>
      <c r="Q156" s="4"/>
      <c r="R156" s="4"/>
      <c r="S156" s="4"/>
      <c r="T156" s="4"/>
      <c r="U156" s="4"/>
      <c r="V156" s="4"/>
      <c r="W156" s="4"/>
      <c r="X156" s="4"/>
      <c r="Y156" s="4">
        <v>228</v>
      </c>
      <c r="Z156" s="4">
        <f t="shared" si="36"/>
        <v>228</v>
      </c>
      <c r="AA156" s="4">
        <v>160</v>
      </c>
      <c r="AB156" s="4">
        <f t="shared" si="37"/>
        <v>160</v>
      </c>
      <c r="AC156" s="4"/>
      <c r="AD156" s="21">
        <f>ROUND(M156*AR156,0)</f>
        <v>324</v>
      </c>
      <c r="AE156" s="6">
        <f>1-AB156/AD156</f>
        <v>0.50617283950617287</v>
      </c>
      <c r="AF156" s="33">
        <v>0</v>
      </c>
      <c r="AG156" s="4">
        <f t="shared" si="38"/>
        <v>360</v>
      </c>
      <c r="AH156" s="33">
        <f t="shared" si="31"/>
        <v>360</v>
      </c>
      <c r="AI156" s="6">
        <f>1-AB156/AH156</f>
        <v>0.55555555555555558</v>
      </c>
      <c r="AJ156" s="7">
        <v>228</v>
      </c>
      <c r="AK156" s="6">
        <f>1-AB156/AJ156</f>
        <v>0.29824561403508776</v>
      </c>
      <c r="AL156" s="4">
        <f>AJ156-AB156</f>
        <v>68</v>
      </c>
      <c r="AM156" s="28"/>
      <c r="AN156" s="6"/>
      <c r="AO156" s="6"/>
      <c r="AP156" s="6">
        <f>Z156/L156</f>
        <v>0.6333333333333333</v>
      </c>
      <c r="AQ156" s="6">
        <f>AJ156/M156</f>
        <v>0.70370370370370372</v>
      </c>
      <c r="AR156" s="6">
        <f>AB156/N156</f>
        <v>1</v>
      </c>
      <c r="AS156" s="4"/>
      <c r="AT156" s="4"/>
      <c r="AU156" s="4"/>
      <c r="AV156" s="4"/>
      <c r="AW156" s="4"/>
      <c r="AX156" s="4"/>
      <c r="AY156" s="4"/>
      <c r="AZ156" s="4"/>
      <c r="BA156" s="4"/>
      <c r="BB156" s="4">
        <v>0</v>
      </c>
      <c r="BC156" s="4" t="s">
        <v>3717</v>
      </c>
      <c r="BD156" s="4">
        <v>1</v>
      </c>
      <c r="BE156" s="4">
        <v>5</v>
      </c>
      <c r="BF156" s="4" t="s">
        <v>3701</v>
      </c>
      <c r="BG156" s="4">
        <v>1800</v>
      </c>
      <c r="BH156" s="4">
        <v>1800</v>
      </c>
      <c r="BI156" s="4">
        <f t="shared" si="39"/>
        <v>360</v>
      </c>
      <c r="BJ156" s="19">
        <v>4</v>
      </c>
      <c r="BK156" s="19">
        <v>8</v>
      </c>
      <c r="BL156" s="16">
        <v>6</v>
      </c>
      <c r="BM156" s="45" t="s">
        <v>3534</v>
      </c>
      <c r="BN156" t="s">
        <v>3534</v>
      </c>
      <c r="BO156" t="str">
        <f t="shared" si="32"/>
        <v>-</v>
      </c>
      <c r="BP156" t="s">
        <v>3534</v>
      </c>
      <c r="BQ156">
        <v>228</v>
      </c>
      <c r="BR156">
        <f t="shared" si="33"/>
        <v>228</v>
      </c>
      <c r="BS156" t="s">
        <v>2650</v>
      </c>
    </row>
    <row r="157" spans="1:71" x14ac:dyDescent="0.4">
      <c r="A157" s="3">
        <v>154</v>
      </c>
      <c r="B157" s="3">
        <v>154</v>
      </c>
      <c r="C157" s="4" t="s">
        <v>216</v>
      </c>
      <c r="D157" s="4" t="str">
        <f t="shared" si="34"/>
        <v>J123MD</v>
      </c>
      <c r="E157" s="4" t="s">
        <v>216</v>
      </c>
      <c r="F157" s="4" t="s">
        <v>1435</v>
      </c>
      <c r="G157" s="5">
        <v>4521718150628</v>
      </c>
      <c r="H157" s="5"/>
      <c r="I157" s="5"/>
      <c r="J157" s="5">
        <v>1</v>
      </c>
      <c r="K157" s="5">
        <v>1</v>
      </c>
      <c r="L157" s="4">
        <v>650</v>
      </c>
      <c r="M157" s="4">
        <v>373</v>
      </c>
      <c r="N157" s="4">
        <v>290</v>
      </c>
      <c r="O157" s="6">
        <f t="shared" si="35"/>
        <v>0.22252010723860594</v>
      </c>
      <c r="P157" s="4" t="s">
        <v>2500</v>
      </c>
      <c r="Q157" s="4"/>
      <c r="R157" s="4"/>
      <c r="S157" s="4"/>
      <c r="T157" s="4"/>
      <c r="U157" s="4"/>
      <c r="V157" s="4"/>
      <c r="W157" s="4"/>
      <c r="X157" s="4"/>
      <c r="Y157" s="4">
        <v>446</v>
      </c>
      <c r="Z157" s="4">
        <f t="shared" si="36"/>
        <v>446</v>
      </c>
      <c r="AA157" s="4">
        <v>290</v>
      </c>
      <c r="AB157" s="4">
        <f t="shared" si="37"/>
        <v>290</v>
      </c>
      <c r="AC157" s="4"/>
      <c r="AD157" s="21">
        <f>ROUND(M157*AR157,0)</f>
        <v>373</v>
      </c>
      <c r="AE157" s="6">
        <f>1-AB157/AD157</f>
        <v>0.22252010723860594</v>
      </c>
      <c r="AF157" s="33">
        <v>1.5</v>
      </c>
      <c r="AG157" s="4">
        <f t="shared" si="38"/>
        <v>681</v>
      </c>
      <c r="AH157" s="33">
        <f t="shared" si="31"/>
        <v>681</v>
      </c>
      <c r="AI157" s="6">
        <f>1-AB157/AH157</f>
        <v>0.57415565345080766</v>
      </c>
      <c r="AJ157" s="7">
        <v>446</v>
      </c>
      <c r="AK157" s="6">
        <f>1-AB157/AJ157</f>
        <v>0.34977578475336324</v>
      </c>
      <c r="AL157" s="4">
        <f>AJ157-AB157</f>
        <v>156</v>
      </c>
      <c r="AM157" s="28"/>
      <c r="AN157" s="6"/>
      <c r="AO157" s="6"/>
      <c r="AP157" s="6">
        <f>Z157/L157</f>
        <v>0.68615384615384611</v>
      </c>
      <c r="AQ157" s="6">
        <f>AJ157/M157</f>
        <v>1.195710455764075</v>
      </c>
      <c r="AR157" s="6">
        <f>AB157/N157</f>
        <v>1</v>
      </c>
      <c r="AS157" s="4"/>
      <c r="AT157" s="4"/>
      <c r="AU157" s="4"/>
      <c r="AV157" s="4"/>
      <c r="AW157" s="4"/>
      <c r="AX157" s="4"/>
      <c r="AY157" s="4"/>
      <c r="AZ157" s="4"/>
      <c r="BA157" s="4"/>
      <c r="BB157" s="4">
        <v>0</v>
      </c>
      <c r="BC157" s="4" t="s">
        <v>3718</v>
      </c>
      <c r="BD157" s="4">
        <v>1</v>
      </c>
      <c r="BE157" s="4">
        <v>2</v>
      </c>
      <c r="BF157" s="4" t="s">
        <v>3640</v>
      </c>
      <c r="BG157" s="4">
        <v>1362</v>
      </c>
      <c r="BH157" s="4">
        <v>1362</v>
      </c>
      <c r="BI157" s="4">
        <f t="shared" si="39"/>
        <v>681</v>
      </c>
      <c r="BJ157" s="19">
        <v>4</v>
      </c>
      <c r="BK157" s="19">
        <v>8</v>
      </c>
      <c r="BL157" s="16">
        <v>6</v>
      </c>
      <c r="BM157" s="45" t="s">
        <v>3534</v>
      </c>
      <c r="BN157" t="s">
        <v>3534</v>
      </c>
      <c r="BO157" t="str">
        <f t="shared" si="32"/>
        <v>-</v>
      </c>
      <c r="BP157" t="s">
        <v>3534</v>
      </c>
      <c r="BQ157">
        <v>447</v>
      </c>
      <c r="BR157">
        <f t="shared" si="33"/>
        <v>447</v>
      </c>
      <c r="BS157" t="s">
        <v>2651</v>
      </c>
    </row>
    <row r="158" spans="1:71" x14ac:dyDescent="0.4">
      <c r="A158" s="3">
        <v>155</v>
      </c>
      <c r="B158" s="3">
        <v>155</v>
      </c>
      <c r="C158" s="4" t="s">
        <v>217</v>
      </c>
      <c r="D158" s="4" t="str">
        <f t="shared" si="34"/>
        <v>J123WF</v>
      </c>
      <c r="E158" s="4" t="s">
        <v>217</v>
      </c>
      <c r="F158" s="4" t="s">
        <v>1436</v>
      </c>
      <c r="G158" s="5">
        <v>4521718189376</v>
      </c>
      <c r="H158" s="5"/>
      <c r="I158" s="5"/>
      <c r="J158" s="5">
        <v>1</v>
      </c>
      <c r="K158" s="5">
        <v>1</v>
      </c>
      <c r="L158" s="4">
        <v>330</v>
      </c>
      <c r="M158" s="4">
        <v>297</v>
      </c>
      <c r="N158" s="4">
        <v>148</v>
      </c>
      <c r="O158" s="6">
        <f t="shared" si="35"/>
        <v>0.50168350168350173</v>
      </c>
      <c r="P158" s="4" t="s">
        <v>2500</v>
      </c>
      <c r="Q158" s="4"/>
      <c r="R158" s="4"/>
      <c r="S158" s="4"/>
      <c r="T158" s="4"/>
      <c r="U158" s="4"/>
      <c r="V158" s="4"/>
      <c r="W158" s="4"/>
      <c r="X158" s="4"/>
      <c r="Y158" s="4">
        <v>237</v>
      </c>
      <c r="Z158" s="4">
        <f t="shared" si="36"/>
        <v>237</v>
      </c>
      <c r="AA158" s="4">
        <v>154</v>
      </c>
      <c r="AB158" s="4">
        <f t="shared" si="37"/>
        <v>154</v>
      </c>
      <c r="AC158" s="4"/>
      <c r="AD158" s="21">
        <f>ROUND(M158*AR158,0)</f>
        <v>309</v>
      </c>
      <c r="AE158" s="6">
        <f>1-AB158/AD158</f>
        <v>0.5016181229773462</v>
      </c>
      <c r="AF158" s="33">
        <v>0.5</v>
      </c>
      <c r="AG158" s="4">
        <f t="shared" si="38"/>
        <v>330</v>
      </c>
      <c r="AH158" s="33">
        <f t="shared" si="31"/>
        <v>343.37837837837839</v>
      </c>
      <c r="AI158" s="6">
        <f>1-AB158/AH158</f>
        <v>0.55151515151515151</v>
      </c>
      <c r="AJ158" s="7">
        <f>ROUND(AB158/0.65,0)</f>
        <v>237</v>
      </c>
      <c r="AK158" s="6">
        <f>1-AB158/AJ158</f>
        <v>0.35021097046413507</v>
      </c>
      <c r="AL158" s="4">
        <f>AJ158-AB158</f>
        <v>83</v>
      </c>
      <c r="AM158" s="28"/>
      <c r="AN158" s="6"/>
      <c r="AO158" s="6"/>
      <c r="AP158" s="6">
        <f>Z158/L158</f>
        <v>0.71818181818181814</v>
      </c>
      <c r="AQ158" s="6">
        <f>AJ158/M158</f>
        <v>0.79797979797979801</v>
      </c>
      <c r="AR158" s="6">
        <f>AB158/N158</f>
        <v>1.0405405405405406</v>
      </c>
      <c r="AS158" s="4"/>
      <c r="AT158" s="4"/>
      <c r="AU158" s="4"/>
      <c r="AV158" s="4"/>
      <c r="AW158" s="4"/>
      <c r="AX158" s="4"/>
      <c r="AY158" s="4"/>
      <c r="AZ158" s="4"/>
      <c r="BA158" s="4"/>
      <c r="BB158" s="4">
        <v>0</v>
      </c>
      <c r="BC158" s="4" t="s">
        <v>3719</v>
      </c>
      <c r="BD158" s="4">
        <v>1</v>
      </c>
      <c r="BE158" s="4">
        <v>5</v>
      </c>
      <c r="BF158" s="4" t="s">
        <v>3720</v>
      </c>
      <c r="BG158" s="4">
        <v>1650</v>
      </c>
      <c r="BH158" s="4">
        <v>1650</v>
      </c>
      <c r="BI158" s="4">
        <f t="shared" si="39"/>
        <v>330</v>
      </c>
      <c r="BJ158" s="19">
        <v>4</v>
      </c>
      <c r="BK158" s="19">
        <v>8</v>
      </c>
      <c r="BL158" s="16">
        <v>6</v>
      </c>
      <c r="BM158" s="45" t="s">
        <v>3534</v>
      </c>
      <c r="BN158" t="s">
        <v>3534</v>
      </c>
      <c r="BO158" t="str">
        <f t="shared" si="32"/>
        <v>-</v>
      </c>
      <c r="BP158" t="s">
        <v>3534</v>
      </c>
      <c r="BQ158">
        <v>228</v>
      </c>
      <c r="BR158">
        <f t="shared" si="33"/>
        <v>237.24324324324326</v>
      </c>
      <c r="BS158" t="s">
        <v>2652</v>
      </c>
    </row>
    <row r="159" spans="1:71" x14ac:dyDescent="0.4">
      <c r="A159" s="3">
        <v>156</v>
      </c>
      <c r="B159" s="3">
        <v>156</v>
      </c>
      <c r="C159" s="4" t="s">
        <v>218</v>
      </c>
      <c r="D159" s="4" t="str">
        <f t="shared" si="34"/>
        <v>J122MD</v>
      </c>
      <c r="E159" s="4" t="s">
        <v>218</v>
      </c>
      <c r="F159" s="4" t="s">
        <v>1437</v>
      </c>
      <c r="G159" s="5">
        <v>4521718150611</v>
      </c>
      <c r="H159" s="5"/>
      <c r="I159" s="5"/>
      <c r="J159" s="5">
        <v>1</v>
      </c>
      <c r="K159" s="5">
        <v>1</v>
      </c>
      <c r="L159" s="4">
        <v>650</v>
      </c>
      <c r="M159" s="4">
        <v>373</v>
      </c>
      <c r="N159" s="4">
        <v>290</v>
      </c>
      <c r="O159" s="6">
        <f t="shared" si="35"/>
        <v>0.22252010723860594</v>
      </c>
      <c r="P159" s="4" t="s">
        <v>2500</v>
      </c>
      <c r="Q159" s="4"/>
      <c r="R159" s="4"/>
      <c r="S159" s="4"/>
      <c r="T159" s="4"/>
      <c r="U159" s="4"/>
      <c r="V159" s="4"/>
      <c r="W159" s="4"/>
      <c r="X159" s="4"/>
      <c r="Y159" s="4">
        <v>446</v>
      </c>
      <c r="Z159" s="4">
        <f t="shared" si="36"/>
        <v>446</v>
      </c>
      <c r="AA159" s="4">
        <v>290</v>
      </c>
      <c r="AB159" s="4">
        <f t="shared" si="37"/>
        <v>290</v>
      </c>
      <c r="AC159" s="4"/>
      <c r="AD159" s="21">
        <f>ROUND(M159*AR159,0)</f>
        <v>373</v>
      </c>
      <c r="AE159" s="6">
        <f>1-AB159/AD159</f>
        <v>0.22252010723860594</v>
      </c>
      <c r="AF159" s="33">
        <v>0</v>
      </c>
      <c r="AG159" s="4">
        <f t="shared" si="38"/>
        <v>681</v>
      </c>
      <c r="AH159" s="33">
        <f t="shared" si="31"/>
        <v>681</v>
      </c>
      <c r="AI159" s="6">
        <f>1-AB159/AH159</f>
        <v>0.57415565345080766</v>
      </c>
      <c r="AJ159" s="7">
        <v>446</v>
      </c>
      <c r="AK159" s="6">
        <f>1-AB159/AJ159</f>
        <v>0.34977578475336324</v>
      </c>
      <c r="AL159" s="4">
        <f>AJ159-AB159</f>
        <v>156</v>
      </c>
      <c r="AM159" s="28"/>
      <c r="AN159" s="6"/>
      <c r="AO159" s="6"/>
      <c r="AP159" s="6">
        <f>Z159/L159</f>
        <v>0.68615384615384611</v>
      </c>
      <c r="AQ159" s="6">
        <f>AJ159/M159</f>
        <v>1.195710455764075</v>
      </c>
      <c r="AR159" s="6">
        <f>AB159/N159</f>
        <v>1</v>
      </c>
      <c r="AS159" s="4"/>
      <c r="AT159" s="4"/>
      <c r="AU159" s="4"/>
      <c r="AV159" s="4"/>
      <c r="AW159" s="4"/>
      <c r="AX159" s="4"/>
      <c r="AY159" s="4"/>
      <c r="AZ159" s="4"/>
      <c r="BA159" s="4"/>
      <c r="BB159" s="4">
        <v>0</v>
      </c>
      <c r="BC159" s="4" t="s">
        <v>3721</v>
      </c>
      <c r="BD159" s="4">
        <v>1</v>
      </c>
      <c r="BE159" s="4">
        <v>2</v>
      </c>
      <c r="BF159" s="4" t="s">
        <v>3640</v>
      </c>
      <c r="BG159" s="4">
        <v>1362</v>
      </c>
      <c r="BH159" s="4">
        <v>1362</v>
      </c>
      <c r="BI159" s="4">
        <f t="shared" si="39"/>
        <v>681</v>
      </c>
      <c r="BJ159" s="19">
        <v>4</v>
      </c>
      <c r="BK159" s="19">
        <v>8</v>
      </c>
      <c r="BL159" s="16">
        <v>6</v>
      </c>
      <c r="BM159" s="45" t="s">
        <v>3534</v>
      </c>
      <c r="BN159" t="s">
        <v>3534</v>
      </c>
      <c r="BO159" t="str">
        <f t="shared" si="32"/>
        <v>-</v>
      </c>
      <c r="BP159" t="s">
        <v>3534</v>
      </c>
      <c r="BQ159">
        <v>447</v>
      </c>
      <c r="BR159">
        <f t="shared" si="33"/>
        <v>447</v>
      </c>
      <c r="BS159" t="s">
        <v>2653</v>
      </c>
    </row>
    <row r="160" spans="1:71" x14ac:dyDescent="0.4">
      <c r="A160" s="3">
        <v>157</v>
      </c>
      <c r="B160" s="3">
        <v>157</v>
      </c>
      <c r="C160" s="4" t="s">
        <v>219</v>
      </c>
      <c r="D160" s="4" t="str">
        <f t="shared" si="34"/>
        <v>J122WF</v>
      </c>
      <c r="E160" s="4" t="s">
        <v>219</v>
      </c>
      <c r="F160" s="4" t="s">
        <v>1438</v>
      </c>
      <c r="G160" s="5">
        <v>4521718191546</v>
      </c>
      <c r="H160" s="5"/>
      <c r="I160" s="5"/>
      <c r="J160" s="5">
        <v>1</v>
      </c>
      <c r="K160" s="5">
        <v>1</v>
      </c>
      <c r="L160" s="4">
        <v>230</v>
      </c>
      <c r="M160" s="4">
        <v>207</v>
      </c>
      <c r="N160" s="4">
        <v>102</v>
      </c>
      <c r="O160" s="6">
        <f t="shared" si="35"/>
        <v>0.50724637681159424</v>
      </c>
      <c r="P160" s="4" t="s">
        <v>2500</v>
      </c>
      <c r="Q160" s="4"/>
      <c r="R160" s="4"/>
      <c r="S160" s="4"/>
      <c r="T160" s="4"/>
      <c r="U160" s="4"/>
      <c r="V160" s="4"/>
      <c r="W160" s="4"/>
      <c r="X160" s="4"/>
      <c r="Y160" s="4">
        <v>146</v>
      </c>
      <c r="Z160" s="4">
        <f t="shared" si="36"/>
        <v>146</v>
      </c>
      <c r="AA160" s="4">
        <v>102</v>
      </c>
      <c r="AB160" s="4">
        <f t="shared" si="37"/>
        <v>102</v>
      </c>
      <c r="AC160" s="4"/>
      <c r="AD160" s="21">
        <f>ROUND(M160*AR160,0)</f>
        <v>207</v>
      </c>
      <c r="AE160" s="6">
        <f>1-AB160/AD160</f>
        <v>0.50724637681159424</v>
      </c>
      <c r="AF160" s="33">
        <v>0</v>
      </c>
      <c r="AG160" s="4">
        <f t="shared" si="38"/>
        <v>230</v>
      </c>
      <c r="AH160" s="33">
        <f t="shared" si="31"/>
        <v>230</v>
      </c>
      <c r="AI160" s="6">
        <f>1-AB160/AH160</f>
        <v>0.55652173913043479</v>
      </c>
      <c r="AJ160" s="7">
        <v>146</v>
      </c>
      <c r="AK160" s="6">
        <f>1-AB160/AJ160</f>
        <v>0.30136986301369861</v>
      </c>
      <c r="AL160" s="4">
        <f>AJ160-AB160</f>
        <v>44</v>
      </c>
      <c r="AM160" s="28"/>
      <c r="AN160" s="6"/>
      <c r="AO160" s="6"/>
      <c r="AP160" s="6">
        <f>Z160/L160</f>
        <v>0.63478260869565217</v>
      </c>
      <c r="AQ160" s="6">
        <f>AJ160/M160</f>
        <v>0.70531400966183577</v>
      </c>
      <c r="AR160" s="6">
        <f>AB160/N160</f>
        <v>1</v>
      </c>
      <c r="AS160" s="4"/>
      <c r="AT160" s="4"/>
      <c r="AU160" s="4"/>
      <c r="AV160" s="4"/>
      <c r="AW160" s="4"/>
      <c r="AX160" s="4"/>
      <c r="AY160" s="4"/>
      <c r="AZ160" s="4"/>
      <c r="BA160" s="4"/>
      <c r="BB160" s="4">
        <v>0</v>
      </c>
      <c r="BC160" s="4" t="s">
        <v>3722</v>
      </c>
      <c r="BD160" s="4">
        <v>1</v>
      </c>
      <c r="BE160" s="4">
        <v>7</v>
      </c>
      <c r="BF160" s="4" t="s">
        <v>3723</v>
      </c>
      <c r="BG160" s="4">
        <v>1610</v>
      </c>
      <c r="BH160" s="4">
        <v>1610</v>
      </c>
      <c r="BI160" s="4">
        <f t="shared" si="39"/>
        <v>230</v>
      </c>
      <c r="BJ160" s="19">
        <v>4</v>
      </c>
      <c r="BK160" s="19">
        <v>8</v>
      </c>
      <c r="BL160" s="16">
        <v>6</v>
      </c>
      <c r="BM160" s="45" t="s">
        <v>3534</v>
      </c>
      <c r="BN160" t="s">
        <v>3534</v>
      </c>
      <c r="BO160" t="str">
        <f t="shared" si="32"/>
        <v>-</v>
      </c>
      <c r="BP160" t="s">
        <v>3534</v>
      </c>
      <c r="BQ160">
        <v>146</v>
      </c>
      <c r="BR160">
        <f t="shared" si="33"/>
        <v>146</v>
      </c>
      <c r="BS160" t="s">
        <v>2654</v>
      </c>
    </row>
    <row r="161" spans="1:71" x14ac:dyDescent="0.4">
      <c r="A161" s="3">
        <v>158</v>
      </c>
      <c r="B161" s="3">
        <v>158</v>
      </c>
      <c r="C161" s="4" t="s">
        <v>220</v>
      </c>
      <c r="D161" s="4" t="str">
        <f t="shared" si="34"/>
        <v>J124MD</v>
      </c>
      <c r="E161" s="4" t="s">
        <v>220</v>
      </c>
      <c r="F161" s="4" t="s">
        <v>1439</v>
      </c>
      <c r="G161" s="5">
        <v>4521718150635</v>
      </c>
      <c r="H161" s="5"/>
      <c r="I161" s="5"/>
      <c r="J161" s="5">
        <v>1</v>
      </c>
      <c r="K161" s="5">
        <v>1</v>
      </c>
      <c r="L161" s="4">
        <v>700</v>
      </c>
      <c r="M161" s="4">
        <v>404</v>
      </c>
      <c r="N161" s="4">
        <v>313</v>
      </c>
      <c r="O161" s="6">
        <f t="shared" si="35"/>
        <v>0.22524752475247523</v>
      </c>
      <c r="P161" s="4" t="s">
        <v>2500</v>
      </c>
      <c r="Q161" s="4"/>
      <c r="R161" s="4"/>
      <c r="S161" s="4"/>
      <c r="T161" s="4"/>
      <c r="U161" s="4"/>
      <c r="V161" s="4"/>
      <c r="W161" s="4"/>
      <c r="X161" s="4"/>
      <c r="Y161" s="4">
        <v>482</v>
      </c>
      <c r="Z161" s="4">
        <f t="shared" si="36"/>
        <v>482</v>
      </c>
      <c r="AA161" s="4">
        <v>313</v>
      </c>
      <c r="AB161" s="4">
        <f t="shared" si="37"/>
        <v>313</v>
      </c>
      <c r="AC161" s="4"/>
      <c r="AD161" s="21">
        <f>ROUND(M161*AR161,0)</f>
        <v>404</v>
      </c>
      <c r="AE161" s="6">
        <f>1-AB161/AD161</f>
        <v>0.22524752475247523</v>
      </c>
      <c r="AF161" s="33">
        <v>0</v>
      </c>
      <c r="AG161" s="4">
        <f t="shared" si="38"/>
        <v>732</v>
      </c>
      <c r="AH161" s="33">
        <f t="shared" si="31"/>
        <v>732</v>
      </c>
      <c r="AI161" s="6">
        <f>1-AB161/AH161</f>
        <v>0.57240437158469948</v>
      </c>
      <c r="AJ161" s="7">
        <f>ROUND(AB161/0.65,0)</f>
        <v>482</v>
      </c>
      <c r="AK161" s="6">
        <f>1-AB161/AJ161</f>
        <v>0.35062240663900412</v>
      </c>
      <c r="AL161" s="4">
        <f>AJ161-AB161</f>
        <v>169</v>
      </c>
      <c r="AM161" s="28"/>
      <c r="AN161" s="6"/>
      <c r="AO161" s="6"/>
      <c r="AP161" s="6">
        <f>Z161/L161</f>
        <v>0.68857142857142861</v>
      </c>
      <c r="AQ161" s="6">
        <f>AJ161/M161</f>
        <v>1.193069306930693</v>
      </c>
      <c r="AR161" s="6">
        <f>AB161/N161</f>
        <v>1</v>
      </c>
      <c r="AS161" s="4"/>
      <c r="AT161" s="4"/>
      <c r="AU161" s="4"/>
      <c r="AV161" s="4"/>
      <c r="AW161" s="4"/>
      <c r="AX161" s="4"/>
      <c r="AY161" s="4"/>
      <c r="AZ161" s="4"/>
      <c r="BA161" s="4"/>
      <c r="BB161" s="4">
        <v>0</v>
      </c>
      <c r="BC161" s="4" t="s">
        <v>3724</v>
      </c>
      <c r="BD161" s="4">
        <v>1</v>
      </c>
      <c r="BE161" s="4">
        <v>2</v>
      </c>
      <c r="BF161" s="4" t="s">
        <v>3640</v>
      </c>
      <c r="BG161" s="4">
        <v>1464</v>
      </c>
      <c r="BH161" s="4">
        <v>1464</v>
      </c>
      <c r="BI161" s="4">
        <f t="shared" si="39"/>
        <v>732</v>
      </c>
      <c r="BJ161" s="19">
        <v>4</v>
      </c>
      <c r="BK161" s="19">
        <v>8</v>
      </c>
      <c r="BL161" s="16">
        <v>6</v>
      </c>
      <c r="BM161" s="45" t="s">
        <v>3534</v>
      </c>
      <c r="BN161" t="s">
        <v>3534</v>
      </c>
      <c r="BO161" t="str">
        <f t="shared" si="32"/>
        <v>-</v>
      </c>
      <c r="BP161" t="s">
        <v>3534</v>
      </c>
      <c r="BQ161">
        <v>483</v>
      </c>
      <c r="BR161">
        <f t="shared" si="33"/>
        <v>483</v>
      </c>
      <c r="BS161" t="s">
        <v>2655</v>
      </c>
    </row>
    <row r="162" spans="1:71" x14ac:dyDescent="0.4">
      <c r="A162" s="3">
        <v>159</v>
      </c>
      <c r="B162" s="3">
        <v>159</v>
      </c>
      <c r="C162" s="4" t="s">
        <v>221</v>
      </c>
      <c r="D162" s="4" t="str">
        <f t="shared" si="34"/>
        <v>J125MD</v>
      </c>
      <c r="E162" s="4" t="s">
        <v>221</v>
      </c>
      <c r="F162" s="4" t="s">
        <v>1440</v>
      </c>
      <c r="G162" s="5">
        <v>4521718150642</v>
      </c>
      <c r="H162" s="5"/>
      <c r="I162" s="5"/>
      <c r="J162" s="5">
        <v>1</v>
      </c>
      <c r="K162" s="5">
        <v>1</v>
      </c>
      <c r="L162" s="4">
        <v>700</v>
      </c>
      <c r="M162" s="4">
        <v>404</v>
      </c>
      <c r="N162" s="4">
        <v>313</v>
      </c>
      <c r="O162" s="6">
        <f t="shared" si="35"/>
        <v>0.22524752475247523</v>
      </c>
      <c r="P162" s="4" t="s">
        <v>2500</v>
      </c>
      <c r="Q162" s="4"/>
      <c r="R162" s="4"/>
      <c r="S162" s="4"/>
      <c r="T162" s="4"/>
      <c r="U162" s="4"/>
      <c r="V162" s="4"/>
      <c r="W162" s="4"/>
      <c r="X162" s="4"/>
      <c r="Y162" s="4">
        <v>482</v>
      </c>
      <c r="Z162" s="4">
        <f t="shared" si="36"/>
        <v>482</v>
      </c>
      <c r="AA162" s="4">
        <v>313</v>
      </c>
      <c r="AB162" s="4">
        <f t="shared" si="37"/>
        <v>313</v>
      </c>
      <c r="AC162" s="4"/>
      <c r="AD162" s="21">
        <f>ROUND(M162*AR162,0)</f>
        <v>404</v>
      </c>
      <c r="AE162" s="6">
        <f>1-AB162/AD162</f>
        <v>0.22524752475247523</v>
      </c>
      <c r="AF162" s="33">
        <v>0</v>
      </c>
      <c r="AG162" s="4">
        <f t="shared" si="38"/>
        <v>732</v>
      </c>
      <c r="AH162" s="33">
        <f t="shared" si="31"/>
        <v>732</v>
      </c>
      <c r="AI162" s="6">
        <f>1-AB162/AH162</f>
        <v>0.57240437158469948</v>
      </c>
      <c r="AJ162" s="7">
        <f>ROUND(AB162/0.65,0)</f>
        <v>482</v>
      </c>
      <c r="AK162" s="6">
        <f>1-AB162/AJ162</f>
        <v>0.35062240663900412</v>
      </c>
      <c r="AL162" s="4">
        <f>AJ162-AB162</f>
        <v>169</v>
      </c>
      <c r="AM162" s="28"/>
      <c r="AN162" s="6"/>
      <c r="AO162" s="6"/>
      <c r="AP162" s="6">
        <f>Z162/L162</f>
        <v>0.68857142857142861</v>
      </c>
      <c r="AQ162" s="6">
        <f>AJ162/M162</f>
        <v>1.193069306930693</v>
      </c>
      <c r="AR162" s="6">
        <f>AB162/N162</f>
        <v>1</v>
      </c>
      <c r="AS162" s="4"/>
      <c r="AT162" s="4"/>
      <c r="AU162" s="4"/>
      <c r="AV162" s="4"/>
      <c r="AW162" s="4"/>
      <c r="AX162" s="4"/>
      <c r="AY162" s="4"/>
      <c r="AZ162" s="4"/>
      <c r="BA162" s="4"/>
      <c r="BB162" s="4">
        <v>0</v>
      </c>
      <c r="BC162" s="4" t="s">
        <v>3725</v>
      </c>
      <c r="BD162" s="4">
        <v>1</v>
      </c>
      <c r="BE162" s="4">
        <v>2</v>
      </c>
      <c r="BF162" s="4" t="s">
        <v>3640</v>
      </c>
      <c r="BG162" s="4">
        <v>1464</v>
      </c>
      <c r="BH162" s="4">
        <v>1464</v>
      </c>
      <c r="BI162" s="4">
        <f t="shared" si="39"/>
        <v>732</v>
      </c>
      <c r="BJ162" s="19">
        <v>4</v>
      </c>
      <c r="BK162" s="19">
        <v>8</v>
      </c>
      <c r="BL162" s="16">
        <v>6</v>
      </c>
      <c r="BM162" s="45" t="s">
        <v>3534</v>
      </c>
      <c r="BN162" t="s">
        <v>3534</v>
      </c>
      <c r="BO162" t="str">
        <f t="shared" si="32"/>
        <v>-</v>
      </c>
      <c r="BP162" t="s">
        <v>3534</v>
      </c>
      <c r="BQ162">
        <v>483</v>
      </c>
      <c r="BR162">
        <f t="shared" si="33"/>
        <v>483</v>
      </c>
      <c r="BS162" t="s">
        <v>2656</v>
      </c>
    </row>
    <row r="163" spans="1:71" x14ac:dyDescent="0.4">
      <c r="A163" s="3">
        <v>160</v>
      </c>
      <c r="B163" s="3">
        <v>160</v>
      </c>
      <c r="C163" s="4" t="s">
        <v>222</v>
      </c>
      <c r="D163" s="4" t="str">
        <f t="shared" si="34"/>
        <v>J124WF</v>
      </c>
      <c r="E163" s="4" t="s">
        <v>222</v>
      </c>
      <c r="F163" s="4" t="s">
        <v>1441</v>
      </c>
      <c r="G163" s="5">
        <v>4521718189383</v>
      </c>
      <c r="H163" s="5"/>
      <c r="I163" s="5"/>
      <c r="J163" s="5">
        <v>1</v>
      </c>
      <c r="K163" s="5">
        <v>1</v>
      </c>
      <c r="L163" s="4">
        <v>330</v>
      </c>
      <c r="M163" s="4">
        <v>297</v>
      </c>
      <c r="N163" s="4">
        <v>148</v>
      </c>
      <c r="O163" s="6">
        <f t="shared" si="35"/>
        <v>0.50168350168350173</v>
      </c>
      <c r="P163" s="4" t="s">
        <v>2500</v>
      </c>
      <c r="Q163" s="4"/>
      <c r="R163" s="4"/>
      <c r="S163" s="4"/>
      <c r="T163" s="4"/>
      <c r="U163" s="4"/>
      <c r="V163" s="4"/>
      <c r="W163" s="4"/>
      <c r="X163" s="4"/>
      <c r="Y163" s="4">
        <v>237</v>
      </c>
      <c r="Z163" s="4">
        <f t="shared" si="36"/>
        <v>237</v>
      </c>
      <c r="AA163" s="4">
        <v>154</v>
      </c>
      <c r="AB163" s="4">
        <f t="shared" si="37"/>
        <v>154</v>
      </c>
      <c r="AC163" s="4"/>
      <c r="AD163" s="21">
        <f>ROUND(M163*AR163,0)</f>
        <v>309</v>
      </c>
      <c r="AE163" s="6">
        <f>1-AB163/AD163</f>
        <v>0.5016181229773462</v>
      </c>
      <c r="AF163" s="33">
        <v>0</v>
      </c>
      <c r="AG163" s="4">
        <f t="shared" si="38"/>
        <v>330</v>
      </c>
      <c r="AH163" s="33">
        <f t="shared" si="31"/>
        <v>343.37837837837839</v>
      </c>
      <c r="AI163" s="6">
        <f>1-AB163/AH163</f>
        <v>0.55151515151515151</v>
      </c>
      <c r="AJ163" s="7">
        <f>ROUND(AB163/0.65,0)</f>
        <v>237</v>
      </c>
      <c r="AK163" s="6">
        <f>1-AB163/AJ163</f>
        <v>0.35021097046413507</v>
      </c>
      <c r="AL163" s="4">
        <f>AJ163-AB163</f>
        <v>83</v>
      </c>
      <c r="AM163" s="28"/>
      <c r="AN163" s="6"/>
      <c r="AO163" s="6"/>
      <c r="AP163" s="6">
        <f>Z163/L163</f>
        <v>0.71818181818181814</v>
      </c>
      <c r="AQ163" s="6">
        <f>AJ163/M163</f>
        <v>0.79797979797979801</v>
      </c>
      <c r="AR163" s="6">
        <f>AB163/N163</f>
        <v>1.0405405405405406</v>
      </c>
      <c r="AS163" s="4"/>
      <c r="AT163" s="4"/>
      <c r="AU163" s="4"/>
      <c r="AV163" s="4"/>
      <c r="AW163" s="4"/>
      <c r="AX163" s="4"/>
      <c r="AY163" s="4"/>
      <c r="AZ163" s="4"/>
      <c r="BA163" s="4"/>
      <c r="BB163" s="4">
        <v>0</v>
      </c>
      <c r="BC163" s="4" t="s">
        <v>3726</v>
      </c>
      <c r="BD163" s="4">
        <v>1</v>
      </c>
      <c r="BE163" s="4">
        <v>5</v>
      </c>
      <c r="BF163" s="4" t="s">
        <v>3720</v>
      </c>
      <c r="BG163" s="4">
        <v>1650</v>
      </c>
      <c r="BH163" s="4">
        <v>1650</v>
      </c>
      <c r="BI163" s="4">
        <f t="shared" si="39"/>
        <v>330</v>
      </c>
      <c r="BJ163" s="19">
        <v>4</v>
      </c>
      <c r="BK163" s="19">
        <v>8</v>
      </c>
      <c r="BL163" s="16">
        <v>6</v>
      </c>
      <c r="BM163" s="45" t="s">
        <v>3534</v>
      </c>
      <c r="BN163" t="s">
        <v>3534</v>
      </c>
      <c r="BO163" t="str">
        <f t="shared" si="32"/>
        <v>-</v>
      </c>
      <c r="BP163" t="s">
        <v>3534</v>
      </c>
      <c r="BQ163">
        <v>228</v>
      </c>
      <c r="BR163">
        <f t="shared" si="33"/>
        <v>237.24324324324326</v>
      </c>
      <c r="BS163" t="s">
        <v>2657</v>
      </c>
    </row>
    <row r="164" spans="1:71" x14ac:dyDescent="0.4">
      <c r="A164" s="3">
        <v>161</v>
      </c>
      <c r="B164" s="3">
        <v>161</v>
      </c>
      <c r="C164" s="4" t="s">
        <v>223</v>
      </c>
      <c r="D164" s="4" t="str">
        <f t="shared" si="34"/>
        <v>J126MD</v>
      </c>
      <c r="E164" s="4" t="s">
        <v>223</v>
      </c>
      <c r="F164" s="4" t="s">
        <v>1442</v>
      </c>
      <c r="G164" s="5">
        <v>4521718150659</v>
      </c>
      <c r="H164" s="5"/>
      <c r="I164" s="5"/>
      <c r="J164" s="5">
        <v>1</v>
      </c>
      <c r="K164" s="5">
        <v>1</v>
      </c>
      <c r="L164" s="4">
        <v>700</v>
      </c>
      <c r="M164" s="4">
        <v>404</v>
      </c>
      <c r="N164" s="4">
        <v>313</v>
      </c>
      <c r="O164" s="6">
        <f t="shared" si="35"/>
        <v>0.22524752475247523</v>
      </c>
      <c r="P164" s="4" t="s">
        <v>2500</v>
      </c>
      <c r="Q164" s="4"/>
      <c r="R164" s="4"/>
      <c r="S164" s="4"/>
      <c r="T164" s="4"/>
      <c r="U164" s="4"/>
      <c r="V164" s="4"/>
      <c r="W164" s="4"/>
      <c r="X164" s="4"/>
      <c r="Y164" s="4">
        <v>482</v>
      </c>
      <c r="Z164" s="4">
        <f t="shared" si="36"/>
        <v>482</v>
      </c>
      <c r="AA164" s="4">
        <v>313</v>
      </c>
      <c r="AB164" s="4">
        <f t="shared" si="37"/>
        <v>313</v>
      </c>
      <c r="AC164" s="4"/>
      <c r="AD164" s="21">
        <f>ROUND(M164*AR164,0)</f>
        <v>404</v>
      </c>
      <c r="AE164" s="6">
        <f>1-AB164/AD164</f>
        <v>0.22524752475247523</v>
      </c>
      <c r="AF164" s="33">
        <v>0.25</v>
      </c>
      <c r="AG164" s="4">
        <f t="shared" si="38"/>
        <v>732</v>
      </c>
      <c r="AH164" s="33">
        <f t="shared" si="31"/>
        <v>732</v>
      </c>
      <c r="AI164" s="6">
        <f>1-AB164/AH164</f>
        <v>0.57240437158469948</v>
      </c>
      <c r="AJ164" s="7">
        <f>ROUND(AB164/0.65,0)</f>
        <v>482</v>
      </c>
      <c r="AK164" s="6">
        <f>1-AB164/AJ164</f>
        <v>0.35062240663900412</v>
      </c>
      <c r="AL164" s="4">
        <f>AJ164-AB164</f>
        <v>169</v>
      </c>
      <c r="AM164" s="28"/>
      <c r="AN164" s="6"/>
      <c r="AO164" s="6"/>
      <c r="AP164" s="6">
        <f>Z164/L164</f>
        <v>0.68857142857142861</v>
      </c>
      <c r="AQ164" s="6">
        <f>AJ164/M164</f>
        <v>1.193069306930693</v>
      </c>
      <c r="AR164" s="6">
        <f>AB164/N164</f>
        <v>1</v>
      </c>
      <c r="AS164" s="4"/>
      <c r="AT164" s="4"/>
      <c r="AU164" s="4"/>
      <c r="AV164" s="4"/>
      <c r="AW164" s="4"/>
      <c r="AX164" s="4"/>
      <c r="AY164" s="4"/>
      <c r="AZ164" s="4"/>
      <c r="BA164" s="4"/>
      <c r="BB164" s="4">
        <v>0</v>
      </c>
      <c r="BC164" s="4" t="s">
        <v>3727</v>
      </c>
      <c r="BD164" s="4">
        <v>1</v>
      </c>
      <c r="BE164" s="4">
        <v>2</v>
      </c>
      <c r="BF164" s="4" t="s">
        <v>3640</v>
      </c>
      <c r="BG164" s="4">
        <v>1464</v>
      </c>
      <c r="BH164" s="4">
        <v>1464</v>
      </c>
      <c r="BI164" s="4">
        <f t="shared" si="39"/>
        <v>732</v>
      </c>
      <c r="BJ164" s="19">
        <v>4</v>
      </c>
      <c r="BK164" s="19">
        <v>8</v>
      </c>
      <c r="BL164" s="16">
        <v>6</v>
      </c>
      <c r="BM164" s="45" t="s">
        <v>3534</v>
      </c>
      <c r="BN164" t="s">
        <v>3534</v>
      </c>
      <c r="BO164" t="str">
        <f t="shared" si="32"/>
        <v>-</v>
      </c>
      <c r="BP164" t="s">
        <v>3534</v>
      </c>
      <c r="BQ164">
        <v>483</v>
      </c>
      <c r="BR164">
        <f t="shared" si="33"/>
        <v>483</v>
      </c>
      <c r="BS164" t="s">
        <v>2658</v>
      </c>
    </row>
    <row r="165" spans="1:71" x14ac:dyDescent="0.4">
      <c r="A165" s="3">
        <v>162</v>
      </c>
      <c r="B165" s="3">
        <v>162</v>
      </c>
      <c r="C165" s="4" t="s">
        <v>224</v>
      </c>
      <c r="D165" s="4" t="str">
        <f t="shared" si="34"/>
        <v>J125WF</v>
      </c>
      <c r="E165" s="4" t="s">
        <v>224</v>
      </c>
      <c r="F165" s="4" t="s">
        <v>1443</v>
      </c>
      <c r="G165" s="5">
        <v>4521718189390</v>
      </c>
      <c r="H165" s="5"/>
      <c r="I165" s="5"/>
      <c r="J165" s="5">
        <v>1</v>
      </c>
      <c r="K165" s="5">
        <v>1</v>
      </c>
      <c r="L165" s="4">
        <v>330</v>
      </c>
      <c r="M165" s="4">
        <v>297</v>
      </c>
      <c r="N165" s="4">
        <v>148</v>
      </c>
      <c r="O165" s="6">
        <f t="shared" si="35"/>
        <v>0.50168350168350173</v>
      </c>
      <c r="P165" s="4" t="s">
        <v>2500</v>
      </c>
      <c r="Q165" s="4"/>
      <c r="R165" s="4"/>
      <c r="S165" s="4"/>
      <c r="T165" s="4"/>
      <c r="U165" s="4"/>
      <c r="V165" s="4"/>
      <c r="W165" s="4"/>
      <c r="X165" s="4"/>
      <c r="Y165" s="4">
        <v>237</v>
      </c>
      <c r="Z165" s="4">
        <f t="shared" si="36"/>
        <v>237</v>
      </c>
      <c r="AA165" s="4">
        <v>154</v>
      </c>
      <c r="AB165" s="4">
        <f t="shared" si="37"/>
        <v>154</v>
      </c>
      <c r="AC165" s="4"/>
      <c r="AD165" s="21">
        <f>ROUND(M165*AR165,0)</f>
        <v>309</v>
      </c>
      <c r="AE165" s="6">
        <f>1-AB165/AD165</f>
        <v>0.5016181229773462</v>
      </c>
      <c r="AF165" s="33">
        <v>0</v>
      </c>
      <c r="AG165" s="4">
        <f t="shared" si="38"/>
        <v>330</v>
      </c>
      <c r="AH165" s="33">
        <f t="shared" si="31"/>
        <v>343.37837837837839</v>
      </c>
      <c r="AI165" s="6">
        <f>1-AB165/AH165</f>
        <v>0.55151515151515151</v>
      </c>
      <c r="AJ165" s="7">
        <f>ROUND(AB165/0.65,0)</f>
        <v>237</v>
      </c>
      <c r="AK165" s="6">
        <f>1-AB165/AJ165</f>
        <v>0.35021097046413507</v>
      </c>
      <c r="AL165" s="4">
        <f>AJ165-AB165</f>
        <v>83</v>
      </c>
      <c r="AM165" s="28"/>
      <c r="AN165" s="6"/>
      <c r="AO165" s="6"/>
      <c r="AP165" s="6">
        <f>Z165/L165</f>
        <v>0.71818181818181814</v>
      </c>
      <c r="AQ165" s="6">
        <f>AJ165/M165</f>
        <v>0.79797979797979801</v>
      </c>
      <c r="AR165" s="6">
        <f>AB165/N165</f>
        <v>1.0405405405405406</v>
      </c>
      <c r="AS165" s="4"/>
      <c r="AT165" s="4"/>
      <c r="AU165" s="4"/>
      <c r="AV165" s="4"/>
      <c r="AW165" s="4"/>
      <c r="AX165" s="4"/>
      <c r="AY165" s="4"/>
      <c r="AZ165" s="4"/>
      <c r="BA165" s="4"/>
      <c r="BB165" s="4">
        <v>0</v>
      </c>
      <c r="BC165" s="4" t="s">
        <v>3728</v>
      </c>
      <c r="BD165" s="4">
        <v>1</v>
      </c>
      <c r="BE165" s="4">
        <v>5</v>
      </c>
      <c r="BF165" s="4" t="s">
        <v>3720</v>
      </c>
      <c r="BG165" s="4">
        <v>1650</v>
      </c>
      <c r="BH165" s="4">
        <v>1650</v>
      </c>
      <c r="BI165" s="4">
        <f t="shared" si="39"/>
        <v>330</v>
      </c>
      <c r="BJ165" s="19">
        <v>4</v>
      </c>
      <c r="BK165" s="19">
        <v>8</v>
      </c>
      <c r="BL165" s="16">
        <v>6</v>
      </c>
      <c r="BM165" s="45" t="s">
        <v>3534</v>
      </c>
      <c r="BN165" t="s">
        <v>3534</v>
      </c>
      <c r="BO165" t="str">
        <f t="shared" si="32"/>
        <v>-</v>
      </c>
      <c r="BP165" t="s">
        <v>3534</v>
      </c>
      <c r="BQ165">
        <v>228</v>
      </c>
      <c r="BR165">
        <f t="shared" si="33"/>
        <v>237.24324324324326</v>
      </c>
      <c r="BS165" t="s">
        <v>2659</v>
      </c>
    </row>
    <row r="166" spans="1:71" x14ac:dyDescent="0.4">
      <c r="A166" s="3">
        <v>163</v>
      </c>
      <c r="B166" s="3">
        <v>163</v>
      </c>
      <c r="C166" s="4" t="s">
        <v>225</v>
      </c>
      <c r="D166" s="4" t="str">
        <f t="shared" si="34"/>
        <v>J127MD</v>
      </c>
      <c r="E166" s="4" t="s">
        <v>225</v>
      </c>
      <c r="F166" s="4" t="s">
        <v>1444</v>
      </c>
      <c r="G166" s="5">
        <v>4521718150666</v>
      </c>
      <c r="H166" s="5"/>
      <c r="I166" s="5"/>
      <c r="J166" s="5">
        <v>1</v>
      </c>
      <c r="K166" s="5">
        <v>1</v>
      </c>
      <c r="L166" s="4">
        <v>530</v>
      </c>
      <c r="M166" s="4">
        <v>305</v>
      </c>
      <c r="N166" s="4">
        <v>237</v>
      </c>
      <c r="O166" s="6">
        <f t="shared" si="35"/>
        <v>0.22295081967213115</v>
      </c>
      <c r="P166" s="4" t="s">
        <v>2500</v>
      </c>
      <c r="Q166" s="4"/>
      <c r="R166" s="4"/>
      <c r="S166" s="4"/>
      <c r="T166" s="4"/>
      <c r="U166" s="4"/>
      <c r="V166" s="4"/>
      <c r="W166" s="4"/>
      <c r="X166" s="4"/>
      <c r="Y166" s="4">
        <v>364</v>
      </c>
      <c r="Z166" s="4">
        <f t="shared" si="36"/>
        <v>364</v>
      </c>
      <c r="AA166" s="4">
        <v>237</v>
      </c>
      <c r="AB166" s="4">
        <f t="shared" si="37"/>
        <v>237</v>
      </c>
      <c r="AC166" s="4"/>
      <c r="AD166" s="21">
        <f>ROUND(M166*AR166,0)</f>
        <v>305</v>
      </c>
      <c r="AE166" s="6">
        <f>1-AB166/AD166</f>
        <v>0.22295081967213115</v>
      </c>
      <c r="AF166" s="33">
        <v>0</v>
      </c>
      <c r="AG166" s="4">
        <f t="shared" si="38"/>
        <v>557</v>
      </c>
      <c r="AH166" s="33">
        <f t="shared" si="31"/>
        <v>557</v>
      </c>
      <c r="AI166" s="6">
        <f>1-AB166/AH166</f>
        <v>0.57450628366247758</v>
      </c>
      <c r="AJ166" s="7">
        <v>364</v>
      </c>
      <c r="AK166" s="6">
        <f>1-AB166/AJ166</f>
        <v>0.34890109890109888</v>
      </c>
      <c r="AL166" s="4">
        <f>AJ166-AB166</f>
        <v>127</v>
      </c>
      <c r="AM166" s="28"/>
      <c r="AN166" s="6"/>
      <c r="AO166" s="6"/>
      <c r="AP166" s="6">
        <f>Z166/L166</f>
        <v>0.68679245283018864</v>
      </c>
      <c r="AQ166" s="6">
        <f>AJ166/M166</f>
        <v>1.1934426229508197</v>
      </c>
      <c r="AR166" s="6">
        <f>AB166/N166</f>
        <v>1</v>
      </c>
      <c r="AS166" s="4"/>
      <c r="AT166" s="4"/>
      <c r="AU166" s="4"/>
      <c r="AV166" s="4"/>
      <c r="AW166" s="4"/>
      <c r="AX166" s="4"/>
      <c r="AY166" s="4"/>
      <c r="AZ166" s="4"/>
      <c r="BA166" s="4"/>
      <c r="BB166" s="4">
        <v>0</v>
      </c>
      <c r="BC166" s="4" t="s">
        <v>3729</v>
      </c>
      <c r="BD166" s="4">
        <v>1</v>
      </c>
      <c r="BE166" s="4">
        <v>3</v>
      </c>
      <c r="BF166" s="4" t="s">
        <v>3638</v>
      </c>
      <c r="BG166" s="4">
        <v>1671</v>
      </c>
      <c r="BH166" s="4">
        <v>1671</v>
      </c>
      <c r="BI166" s="4">
        <f t="shared" si="39"/>
        <v>557</v>
      </c>
      <c r="BJ166" s="19">
        <v>4</v>
      </c>
      <c r="BK166" s="19">
        <v>8</v>
      </c>
      <c r="BL166" s="16">
        <v>6</v>
      </c>
      <c r="BM166" s="45" t="s">
        <v>3534</v>
      </c>
      <c r="BN166" t="s">
        <v>3534</v>
      </c>
      <c r="BO166" t="str">
        <f t="shared" si="32"/>
        <v>-</v>
      </c>
      <c r="BP166" t="s">
        <v>3534</v>
      </c>
      <c r="BQ166">
        <v>366</v>
      </c>
      <c r="BR166">
        <f t="shared" si="33"/>
        <v>366</v>
      </c>
      <c r="BS166" t="s">
        <v>2660</v>
      </c>
    </row>
    <row r="167" spans="1:71" x14ac:dyDescent="0.4">
      <c r="A167" s="3">
        <v>164</v>
      </c>
      <c r="B167" s="3">
        <v>164</v>
      </c>
      <c r="C167" s="4" t="s">
        <v>226</v>
      </c>
      <c r="D167" s="4" t="str">
        <f t="shared" si="34"/>
        <v>J126WF</v>
      </c>
      <c r="E167" s="4" t="s">
        <v>226</v>
      </c>
      <c r="F167" s="4" t="s">
        <v>1445</v>
      </c>
      <c r="G167" s="5">
        <v>4521718188812</v>
      </c>
      <c r="H167" s="5"/>
      <c r="I167" s="5"/>
      <c r="J167" s="5">
        <v>1</v>
      </c>
      <c r="K167" s="5">
        <v>1</v>
      </c>
      <c r="L167" s="4">
        <v>360</v>
      </c>
      <c r="M167" s="4">
        <v>324</v>
      </c>
      <c r="N167" s="4">
        <v>160</v>
      </c>
      <c r="O167" s="6">
        <f t="shared" si="35"/>
        <v>0.50617283950617287</v>
      </c>
      <c r="P167" s="4" t="s">
        <v>2500</v>
      </c>
      <c r="Q167" s="4"/>
      <c r="R167" s="4"/>
      <c r="S167" s="4"/>
      <c r="T167" s="4"/>
      <c r="U167" s="4"/>
      <c r="V167" s="4"/>
      <c r="W167" s="4"/>
      <c r="X167" s="4"/>
      <c r="Y167" s="4">
        <v>255</v>
      </c>
      <c r="Z167" s="4">
        <f t="shared" si="36"/>
        <v>255</v>
      </c>
      <c r="AA167" s="4">
        <v>166</v>
      </c>
      <c r="AB167" s="4">
        <f t="shared" si="37"/>
        <v>166</v>
      </c>
      <c r="AC167" s="4"/>
      <c r="AD167" s="21">
        <f>ROUND(M167*AR167,0)</f>
        <v>336</v>
      </c>
      <c r="AE167" s="6">
        <f>1-AB167/AD167</f>
        <v>0.50595238095238093</v>
      </c>
      <c r="AF167" s="33">
        <v>0</v>
      </c>
      <c r="AG167" s="4">
        <f t="shared" si="38"/>
        <v>360</v>
      </c>
      <c r="AH167" s="33">
        <f t="shared" si="31"/>
        <v>373.50000000000006</v>
      </c>
      <c r="AI167" s="6">
        <f>1-AB167/AH167</f>
        <v>0.55555555555555558</v>
      </c>
      <c r="AJ167" s="7">
        <v>255</v>
      </c>
      <c r="AK167" s="6">
        <f>1-AB167/AJ167</f>
        <v>0.34901960784313724</v>
      </c>
      <c r="AL167" s="4">
        <f>AJ167-AB167</f>
        <v>89</v>
      </c>
      <c r="AM167" s="28"/>
      <c r="AN167" s="6"/>
      <c r="AO167" s="6"/>
      <c r="AP167" s="6">
        <f>Z167/L167</f>
        <v>0.70833333333333337</v>
      </c>
      <c r="AQ167" s="6">
        <f>AJ167/M167</f>
        <v>0.78703703703703709</v>
      </c>
      <c r="AR167" s="6">
        <f>AB167/N167</f>
        <v>1.0375000000000001</v>
      </c>
      <c r="AS167" s="4"/>
      <c r="AT167" s="4"/>
      <c r="AU167" s="4"/>
      <c r="AV167" s="4"/>
      <c r="AW167" s="4"/>
      <c r="AX167" s="4"/>
      <c r="AY167" s="4"/>
      <c r="AZ167" s="4"/>
      <c r="BA167" s="4"/>
      <c r="BB167" s="4">
        <v>0</v>
      </c>
      <c r="BC167" s="4" t="s">
        <v>3730</v>
      </c>
      <c r="BD167" s="4">
        <v>1</v>
      </c>
      <c r="BE167" s="4">
        <v>5</v>
      </c>
      <c r="BF167" s="4" t="s">
        <v>3731</v>
      </c>
      <c r="BG167" s="4">
        <v>1800</v>
      </c>
      <c r="BH167" s="4">
        <v>1800</v>
      </c>
      <c r="BI167" s="4">
        <f t="shared" si="39"/>
        <v>360</v>
      </c>
      <c r="BJ167" s="19">
        <v>4</v>
      </c>
      <c r="BK167" s="19">
        <v>8</v>
      </c>
      <c r="BL167" s="16">
        <v>6</v>
      </c>
      <c r="BM167" s="45" t="s">
        <v>3534</v>
      </c>
      <c r="BN167" t="s">
        <v>3534</v>
      </c>
      <c r="BO167" t="str">
        <f t="shared" si="32"/>
        <v>-</v>
      </c>
      <c r="BP167" t="s">
        <v>3534</v>
      </c>
      <c r="BQ167">
        <v>246</v>
      </c>
      <c r="BR167">
        <f t="shared" si="33"/>
        <v>255.22500000000002</v>
      </c>
      <c r="BS167" t="s">
        <v>2661</v>
      </c>
    </row>
    <row r="168" spans="1:71" x14ac:dyDescent="0.4">
      <c r="A168" s="3">
        <v>165</v>
      </c>
      <c r="B168" s="3">
        <v>165</v>
      </c>
      <c r="C168" s="4" t="s">
        <v>227</v>
      </c>
      <c r="D168" s="4" t="str">
        <f t="shared" si="34"/>
        <v>J128MD</v>
      </c>
      <c r="E168" s="4" t="s">
        <v>227</v>
      </c>
      <c r="F168" s="4" t="s">
        <v>1446</v>
      </c>
      <c r="G168" s="5">
        <v>4521718150673</v>
      </c>
      <c r="H168" s="5"/>
      <c r="I168" s="5"/>
      <c r="J168" s="5">
        <v>1</v>
      </c>
      <c r="K168" s="5">
        <v>1</v>
      </c>
      <c r="L168" s="4">
        <v>530</v>
      </c>
      <c r="M168" s="4">
        <v>305</v>
      </c>
      <c r="N168" s="4">
        <v>237</v>
      </c>
      <c r="O168" s="6">
        <f t="shared" si="35"/>
        <v>0.22295081967213115</v>
      </c>
      <c r="P168" s="4" t="s">
        <v>2500</v>
      </c>
      <c r="Q168" s="4"/>
      <c r="R168" s="4"/>
      <c r="S168" s="4"/>
      <c r="T168" s="4"/>
      <c r="U168" s="4"/>
      <c r="V168" s="4"/>
      <c r="W168" s="4"/>
      <c r="X168" s="4"/>
      <c r="Y168" s="4">
        <v>364</v>
      </c>
      <c r="Z168" s="4">
        <f t="shared" si="36"/>
        <v>364</v>
      </c>
      <c r="AA168" s="4">
        <v>237</v>
      </c>
      <c r="AB168" s="4">
        <f t="shared" si="37"/>
        <v>237</v>
      </c>
      <c r="AC168" s="4"/>
      <c r="AD168" s="21">
        <f>ROUND(M168*AR168,0)</f>
        <v>305</v>
      </c>
      <c r="AE168" s="6">
        <f>1-AB168/AD168</f>
        <v>0.22295081967213115</v>
      </c>
      <c r="AF168" s="33">
        <v>0</v>
      </c>
      <c r="AG168" s="4">
        <f t="shared" si="38"/>
        <v>557</v>
      </c>
      <c r="AH168" s="33">
        <f t="shared" si="31"/>
        <v>557</v>
      </c>
      <c r="AI168" s="6">
        <f>1-AB168/AH168</f>
        <v>0.57450628366247758</v>
      </c>
      <c r="AJ168" s="7">
        <v>364</v>
      </c>
      <c r="AK168" s="6">
        <f>1-AB168/AJ168</f>
        <v>0.34890109890109888</v>
      </c>
      <c r="AL168" s="4">
        <f>AJ168-AB168</f>
        <v>127</v>
      </c>
      <c r="AM168" s="28"/>
      <c r="AN168" s="6"/>
      <c r="AO168" s="6"/>
      <c r="AP168" s="6">
        <f>Z168/L168</f>
        <v>0.68679245283018864</v>
      </c>
      <c r="AQ168" s="6">
        <f>AJ168/M168</f>
        <v>1.1934426229508197</v>
      </c>
      <c r="AR168" s="6">
        <f>AB168/N168</f>
        <v>1</v>
      </c>
      <c r="AS168" s="4"/>
      <c r="AT168" s="4"/>
      <c r="AU168" s="4"/>
      <c r="AV168" s="4"/>
      <c r="AW168" s="4"/>
      <c r="AX168" s="4"/>
      <c r="AY168" s="4"/>
      <c r="AZ168" s="4"/>
      <c r="BA168" s="4"/>
      <c r="BB168" s="4">
        <v>0</v>
      </c>
      <c r="BC168" s="4" t="s">
        <v>3732</v>
      </c>
      <c r="BD168" s="4">
        <v>1</v>
      </c>
      <c r="BE168" s="4">
        <v>3</v>
      </c>
      <c r="BF168" s="4" t="s">
        <v>3638</v>
      </c>
      <c r="BG168" s="4">
        <v>1671</v>
      </c>
      <c r="BH168" s="4">
        <v>1671</v>
      </c>
      <c r="BI168" s="4">
        <f t="shared" si="39"/>
        <v>557</v>
      </c>
      <c r="BJ168" s="19">
        <v>4</v>
      </c>
      <c r="BK168" s="19">
        <v>8</v>
      </c>
      <c r="BL168" s="16">
        <v>6</v>
      </c>
      <c r="BM168" s="45" t="s">
        <v>3534</v>
      </c>
      <c r="BN168" t="s">
        <v>3534</v>
      </c>
      <c r="BO168" t="str">
        <f t="shared" si="32"/>
        <v>-</v>
      </c>
      <c r="BP168" t="s">
        <v>3534</v>
      </c>
      <c r="BQ168">
        <v>366</v>
      </c>
      <c r="BR168">
        <f t="shared" si="33"/>
        <v>366</v>
      </c>
      <c r="BS168" t="s">
        <v>2662</v>
      </c>
    </row>
    <row r="169" spans="1:71" x14ac:dyDescent="0.4">
      <c r="A169" s="3">
        <v>166</v>
      </c>
      <c r="B169" s="3">
        <v>166</v>
      </c>
      <c r="C169" s="4" t="s">
        <v>228</v>
      </c>
      <c r="D169" s="4" t="str">
        <f t="shared" si="34"/>
        <v>J128WF</v>
      </c>
      <c r="E169" s="4" t="s">
        <v>228</v>
      </c>
      <c r="F169" s="4" t="s">
        <v>1447</v>
      </c>
      <c r="G169" s="5">
        <v>4521718192253</v>
      </c>
      <c r="H169" s="5"/>
      <c r="I169" s="5"/>
      <c r="J169" s="5">
        <v>1</v>
      </c>
      <c r="K169" s="5">
        <v>1</v>
      </c>
      <c r="L169" s="4">
        <v>540</v>
      </c>
      <c r="M169" s="4">
        <v>486</v>
      </c>
      <c r="N169" s="4">
        <v>242</v>
      </c>
      <c r="O169" s="6">
        <f t="shared" si="35"/>
        <v>0.50205761316872421</v>
      </c>
      <c r="P169" s="4" t="s">
        <v>2500</v>
      </c>
      <c r="Q169" s="4"/>
      <c r="R169" s="4"/>
      <c r="S169" s="4"/>
      <c r="T169" s="4"/>
      <c r="U169" s="4"/>
      <c r="V169" s="4"/>
      <c r="W169" s="4"/>
      <c r="X169" s="4"/>
      <c r="Y169" s="4">
        <v>310</v>
      </c>
      <c r="Z169" s="4">
        <f t="shared" si="36"/>
        <v>310</v>
      </c>
      <c r="AA169" s="4">
        <v>217</v>
      </c>
      <c r="AB169" s="4">
        <f t="shared" si="37"/>
        <v>217</v>
      </c>
      <c r="AC169" s="4"/>
      <c r="AD169" s="21">
        <f>ROUND(M169*AR169,0)</f>
        <v>436</v>
      </c>
      <c r="AE169" s="6">
        <f>1-AB169/AD169</f>
        <v>0.50229357798165131</v>
      </c>
      <c r="AF169" s="33">
        <v>0</v>
      </c>
      <c r="AG169" s="4">
        <f t="shared" si="38"/>
        <v>540</v>
      </c>
      <c r="AH169" s="33">
        <f t="shared" si="31"/>
        <v>484.21487603305786</v>
      </c>
      <c r="AI169" s="6">
        <f>1-AB169/AH169</f>
        <v>0.55185185185185182</v>
      </c>
      <c r="AJ169" s="7">
        <v>310</v>
      </c>
      <c r="AK169" s="6">
        <f>1-AB169/AJ169</f>
        <v>0.30000000000000004</v>
      </c>
      <c r="AL169" s="4">
        <f>AJ169-AB169</f>
        <v>93</v>
      </c>
      <c r="AM169" s="28"/>
      <c r="AN169" s="6"/>
      <c r="AO169" s="6"/>
      <c r="AP169" s="6">
        <f>Z169/L169</f>
        <v>0.57407407407407407</v>
      </c>
      <c r="AQ169" s="6">
        <f>AJ169/M169</f>
        <v>0.63786008230452673</v>
      </c>
      <c r="AR169" s="6">
        <f>AB169/N169</f>
        <v>0.89669421487603307</v>
      </c>
      <c r="AS169" s="4"/>
      <c r="AT169" s="4"/>
      <c r="AU169" s="4"/>
      <c r="AV169" s="4"/>
      <c r="AW169" s="4"/>
      <c r="AX169" s="4"/>
      <c r="AY169" s="4"/>
      <c r="AZ169" s="4"/>
      <c r="BA169" s="4"/>
      <c r="BB169" s="4">
        <v>0</v>
      </c>
      <c r="BC169" s="4" t="s">
        <v>3733</v>
      </c>
      <c r="BD169" s="4">
        <v>1</v>
      </c>
      <c r="BE169" s="4">
        <v>3</v>
      </c>
      <c r="BF169" s="4" t="s">
        <v>3623</v>
      </c>
      <c r="BG169" s="4">
        <v>1620</v>
      </c>
      <c r="BH169" s="4">
        <v>1620</v>
      </c>
      <c r="BI169" s="4">
        <f t="shared" si="39"/>
        <v>540</v>
      </c>
      <c r="BJ169" s="19">
        <v>4</v>
      </c>
      <c r="BK169" s="19">
        <v>8</v>
      </c>
      <c r="BL169" s="16">
        <v>6</v>
      </c>
      <c r="BM169" s="45" t="s">
        <v>3534</v>
      </c>
      <c r="BN169" t="s">
        <v>3534</v>
      </c>
      <c r="BO169" t="str">
        <f t="shared" si="32"/>
        <v>-</v>
      </c>
      <c r="BP169" t="s">
        <v>3534</v>
      </c>
      <c r="BQ169">
        <v>346</v>
      </c>
      <c r="BR169">
        <f t="shared" si="33"/>
        <v>310.25619834710744</v>
      </c>
      <c r="BS169" t="s">
        <v>2663</v>
      </c>
    </row>
    <row r="170" spans="1:71" x14ac:dyDescent="0.4">
      <c r="A170" s="3">
        <v>167</v>
      </c>
      <c r="B170" s="3">
        <v>167</v>
      </c>
      <c r="C170" s="4" t="s">
        <v>229</v>
      </c>
      <c r="D170" s="4" t="str">
        <f t="shared" si="34"/>
        <v>J129MD</v>
      </c>
      <c r="E170" s="4" t="s">
        <v>229</v>
      </c>
      <c r="F170" s="4" t="s">
        <v>1448</v>
      </c>
      <c r="G170" s="5">
        <v>4521718150680</v>
      </c>
      <c r="H170" s="5"/>
      <c r="I170" s="5"/>
      <c r="J170" s="5">
        <v>1</v>
      </c>
      <c r="K170" s="5">
        <v>1</v>
      </c>
      <c r="L170" s="4">
        <v>530</v>
      </c>
      <c r="M170" s="4">
        <v>305</v>
      </c>
      <c r="N170" s="4">
        <v>237</v>
      </c>
      <c r="O170" s="6">
        <f t="shared" si="35"/>
        <v>0.22295081967213115</v>
      </c>
      <c r="P170" s="4" t="s">
        <v>2500</v>
      </c>
      <c r="Q170" s="4"/>
      <c r="R170" s="4"/>
      <c r="S170" s="4"/>
      <c r="T170" s="4"/>
      <c r="U170" s="4"/>
      <c r="V170" s="4"/>
      <c r="W170" s="4"/>
      <c r="X170" s="4"/>
      <c r="Y170" s="4">
        <v>364</v>
      </c>
      <c r="Z170" s="4">
        <f t="shared" si="36"/>
        <v>364</v>
      </c>
      <c r="AA170" s="4">
        <v>237</v>
      </c>
      <c r="AB170" s="4">
        <f t="shared" si="37"/>
        <v>237</v>
      </c>
      <c r="AC170" s="4"/>
      <c r="AD170" s="21">
        <f>ROUND(M170*AR170,0)</f>
        <v>305</v>
      </c>
      <c r="AE170" s="6">
        <f>1-AB170/AD170</f>
        <v>0.22295081967213115</v>
      </c>
      <c r="AF170" s="33">
        <v>0.25</v>
      </c>
      <c r="AG170" s="4">
        <f t="shared" si="38"/>
        <v>235</v>
      </c>
      <c r="AH170" s="33">
        <f t="shared" si="31"/>
        <v>235</v>
      </c>
      <c r="AI170" s="6">
        <f>1-AB170/AH170</f>
        <v>-8.5106382978723527E-3</v>
      </c>
      <c r="AJ170" s="7">
        <v>364</v>
      </c>
      <c r="AK170" s="6">
        <f>1-AB170/AJ170</f>
        <v>0.34890109890109888</v>
      </c>
      <c r="AL170" s="4">
        <f>AJ170-AB170</f>
        <v>127</v>
      </c>
      <c r="AM170" s="28"/>
      <c r="AN170" s="6"/>
      <c r="AO170" s="6"/>
      <c r="AP170" s="6">
        <f>Z170/L170</f>
        <v>0.68679245283018864</v>
      </c>
      <c r="AQ170" s="6">
        <f>AJ170/M170</f>
        <v>1.1934426229508197</v>
      </c>
      <c r="AR170" s="6">
        <f>AB170/N170</f>
        <v>1</v>
      </c>
      <c r="AS170" s="4"/>
      <c r="AT170" s="4"/>
      <c r="AU170" s="4"/>
      <c r="AV170" s="4"/>
      <c r="AW170" s="4"/>
      <c r="AX170" s="4"/>
      <c r="AY170" s="4"/>
      <c r="AZ170" s="4"/>
      <c r="BA170" s="4"/>
      <c r="BB170" s="4">
        <v>0</v>
      </c>
      <c r="BC170" s="4" t="s">
        <v>3734</v>
      </c>
      <c r="BD170" s="4"/>
      <c r="BE170" s="4"/>
      <c r="BF170" s="4" t="s">
        <v>3649</v>
      </c>
      <c r="BG170" s="4">
        <v>235</v>
      </c>
      <c r="BH170" s="4">
        <v>235</v>
      </c>
      <c r="BI170" s="4">
        <f t="shared" si="39"/>
        <v>235</v>
      </c>
      <c r="BJ170" s="19">
        <v>4</v>
      </c>
      <c r="BK170" s="19">
        <v>8</v>
      </c>
      <c r="BL170" s="16">
        <v>6</v>
      </c>
      <c r="BM170" s="45" t="s">
        <v>3534</v>
      </c>
      <c r="BN170" t="s">
        <v>3534</v>
      </c>
      <c r="BO170" t="str">
        <f t="shared" si="32"/>
        <v>-</v>
      </c>
      <c r="BP170" t="s">
        <v>3534</v>
      </c>
      <c r="BQ170">
        <v>366</v>
      </c>
      <c r="BR170">
        <f t="shared" si="33"/>
        <v>366</v>
      </c>
      <c r="BS170" t="s">
        <v>2664</v>
      </c>
    </row>
    <row r="171" spans="1:71" x14ac:dyDescent="0.4">
      <c r="A171" s="3">
        <v>168</v>
      </c>
      <c r="B171" s="3">
        <v>168</v>
      </c>
      <c r="C171" s="4" t="s">
        <v>230</v>
      </c>
      <c r="D171" s="4" t="str">
        <f t="shared" si="34"/>
        <v>J127WF</v>
      </c>
      <c r="E171" s="4" t="s">
        <v>230</v>
      </c>
      <c r="F171" s="4" t="s">
        <v>1449</v>
      </c>
      <c r="G171" s="5">
        <v>4521718187549</v>
      </c>
      <c r="H171" s="5"/>
      <c r="I171" s="5"/>
      <c r="J171" s="5">
        <v>1</v>
      </c>
      <c r="K171" s="5">
        <v>1</v>
      </c>
      <c r="L171" s="4">
        <v>600</v>
      </c>
      <c r="M171" s="4">
        <v>540</v>
      </c>
      <c r="N171" s="4">
        <v>267</v>
      </c>
      <c r="O171" s="6">
        <f t="shared" si="35"/>
        <v>0.50555555555555554</v>
      </c>
      <c r="P171" s="4" t="s">
        <v>2500</v>
      </c>
      <c r="Q171" s="4"/>
      <c r="R171" s="4"/>
      <c r="S171" s="4"/>
      <c r="T171" s="4"/>
      <c r="U171" s="4"/>
      <c r="V171" s="4"/>
      <c r="W171" s="4"/>
      <c r="X171" s="4"/>
      <c r="Y171" s="4">
        <v>410</v>
      </c>
      <c r="Z171" s="4">
        <f t="shared" si="36"/>
        <v>410</v>
      </c>
      <c r="AA171" s="4">
        <v>267</v>
      </c>
      <c r="AB171" s="4">
        <f t="shared" si="37"/>
        <v>267</v>
      </c>
      <c r="AC171" s="4"/>
      <c r="AD171" s="21">
        <f>ROUND(M171*AR171,0)</f>
        <v>540</v>
      </c>
      <c r="AE171" s="6">
        <f>1-AB171/AD171</f>
        <v>0.50555555555555554</v>
      </c>
      <c r="AF171" s="33">
        <v>0</v>
      </c>
      <c r="AG171" s="4">
        <f t="shared" si="38"/>
        <v>600</v>
      </c>
      <c r="AH171" s="33">
        <f t="shared" si="31"/>
        <v>600</v>
      </c>
      <c r="AI171" s="6">
        <f>1-AB171/AH171</f>
        <v>0.55499999999999994</v>
      </c>
      <c r="AJ171" s="7">
        <v>410</v>
      </c>
      <c r="AK171" s="6">
        <f>1-AB171/AJ171</f>
        <v>0.34878048780487803</v>
      </c>
      <c r="AL171" s="4">
        <f>AJ171-AB171</f>
        <v>143</v>
      </c>
      <c r="AM171" s="28"/>
      <c r="AN171" s="6"/>
      <c r="AO171" s="6"/>
      <c r="AP171" s="6">
        <f>Z171/L171</f>
        <v>0.68333333333333335</v>
      </c>
      <c r="AQ171" s="6">
        <f>AJ171/M171</f>
        <v>0.7592592592592593</v>
      </c>
      <c r="AR171" s="6">
        <f>AB171/N171</f>
        <v>1</v>
      </c>
      <c r="AS171" s="4"/>
      <c r="AT171" s="4"/>
      <c r="AU171" s="4"/>
      <c r="AV171" s="4"/>
      <c r="AW171" s="4"/>
      <c r="AX171" s="4"/>
      <c r="AY171" s="4"/>
      <c r="AZ171" s="4"/>
      <c r="BA171" s="4"/>
      <c r="BB171" s="4">
        <v>0</v>
      </c>
      <c r="BC171" s="4" t="s">
        <v>3735</v>
      </c>
      <c r="BD171" s="4">
        <v>1</v>
      </c>
      <c r="BE171" s="4">
        <v>3</v>
      </c>
      <c r="BF171" s="4" t="s">
        <v>3623</v>
      </c>
      <c r="BG171" s="4">
        <v>1800</v>
      </c>
      <c r="BH171" s="4">
        <v>1800</v>
      </c>
      <c r="BI171" s="4">
        <f t="shared" si="39"/>
        <v>600</v>
      </c>
      <c r="BJ171" s="19">
        <v>4</v>
      </c>
      <c r="BK171" s="19">
        <v>8</v>
      </c>
      <c r="BL171" s="16">
        <v>6</v>
      </c>
      <c r="BM171" s="45" t="s">
        <v>3534</v>
      </c>
      <c r="BN171" t="s">
        <v>3534</v>
      </c>
      <c r="BO171" t="str">
        <f t="shared" si="32"/>
        <v>-</v>
      </c>
      <c r="BP171" t="s">
        <v>3534</v>
      </c>
      <c r="BQ171">
        <v>410</v>
      </c>
      <c r="BR171">
        <f t="shared" si="33"/>
        <v>410</v>
      </c>
      <c r="BS171" t="s">
        <v>2665</v>
      </c>
    </row>
    <row r="172" spans="1:71" x14ac:dyDescent="0.4">
      <c r="A172" s="3">
        <v>169</v>
      </c>
      <c r="B172" s="3">
        <v>169</v>
      </c>
      <c r="C172" s="4" t="s">
        <v>231</v>
      </c>
      <c r="D172" s="4" t="str">
        <f t="shared" si="34"/>
        <v>J130MD</v>
      </c>
      <c r="E172" s="4" t="s">
        <v>231</v>
      </c>
      <c r="F172" s="4" t="s">
        <v>1450</v>
      </c>
      <c r="G172" s="5">
        <v>4521718150697</v>
      </c>
      <c r="H172" s="5"/>
      <c r="I172" s="5"/>
      <c r="J172" s="5">
        <v>1</v>
      </c>
      <c r="K172" s="5">
        <v>1</v>
      </c>
      <c r="L172" s="4">
        <v>530</v>
      </c>
      <c r="M172" s="4">
        <v>305</v>
      </c>
      <c r="N172" s="4">
        <v>237</v>
      </c>
      <c r="O172" s="6">
        <f t="shared" si="35"/>
        <v>0.22295081967213115</v>
      </c>
      <c r="P172" s="4" t="s">
        <v>2500</v>
      </c>
      <c r="Q172" s="4"/>
      <c r="R172" s="4"/>
      <c r="S172" s="4"/>
      <c r="T172" s="4"/>
      <c r="U172" s="4"/>
      <c r="V172" s="4"/>
      <c r="W172" s="4"/>
      <c r="X172" s="4"/>
      <c r="Y172" s="4">
        <v>364</v>
      </c>
      <c r="Z172" s="4">
        <f t="shared" si="36"/>
        <v>364</v>
      </c>
      <c r="AA172" s="4">
        <v>237</v>
      </c>
      <c r="AB172" s="4">
        <f t="shared" si="37"/>
        <v>237</v>
      </c>
      <c r="AC172" s="4"/>
      <c r="AD172" s="21">
        <f>ROUND(M172*AR172,0)</f>
        <v>305</v>
      </c>
      <c r="AE172" s="6">
        <f>1-AB172/AD172</f>
        <v>0.22295081967213115</v>
      </c>
      <c r="AF172" s="33">
        <v>0.25</v>
      </c>
      <c r="AG172" s="4">
        <f t="shared" si="38"/>
        <v>557</v>
      </c>
      <c r="AH172" s="33">
        <f t="shared" si="31"/>
        <v>557</v>
      </c>
      <c r="AI172" s="6">
        <f>1-AB172/AH172</f>
        <v>0.57450628366247758</v>
      </c>
      <c r="AJ172" s="7">
        <v>364</v>
      </c>
      <c r="AK172" s="6">
        <f>1-AB172/AJ172</f>
        <v>0.34890109890109888</v>
      </c>
      <c r="AL172" s="4">
        <f>AJ172-AB172</f>
        <v>127</v>
      </c>
      <c r="AM172" s="28"/>
      <c r="AN172" s="6"/>
      <c r="AO172" s="6"/>
      <c r="AP172" s="6">
        <f>Z172/L172</f>
        <v>0.68679245283018864</v>
      </c>
      <c r="AQ172" s="6">
        <f>AJ172/M172</f>
        <v>1.1934426229508197</v>
      </c>
      <c r="AR172" s="6">
        <f>AB172/N172</f>
        <v>1</v>
      </c>
      <c r="AS172" s="4"/>
      <c r="AT172" s="4"/>
      <c r="AU172" s="4"/>
      <c r="AV172" s="4"/>
      <c r="AW172" s="4"/>
      <c r="AX172" s="4"/>
      <c r="AY172" s="4"/>
      <c r="AZ172" s="4"/>
      <c r="BA172" s="4"/>
      <c r="BB172" s="4">
        <v>0</v>
      </c>
      <c r="BC172" s="4" t="s">
        <v>3736</v>
      </c>
      <c r="BD172" s="4">
        <v>1</v>
      </c>
      <c r="BE172" s="4">
        <v>3</v>
      </c>
      <c r="BF172" s="4" t="s">
        <v>3638</v>
      </c>
      <c r="BG172" s="4">
        <v>1671</v>
      </c>
      <c r="BH172" s="4">
        <v>1671</v>
      </c>
      <c r="BI172" s="4">
        <f t="shared" si="39"/>
        <v>557</v>
      </c>
      <c r="BJ172" s="19">
        <v>4</v>
      </c>
      <c r="BK172" s="19">
        <v>8</v>
      </c>
      <c r="BL172" s="16">
        <v>6</v>
      </c>
      <c r="BM172" s="45" t="s">
        <v>3534</v>
      </c>
      <c r="BN172" t="s">
        <v>3534</v>
      </c>
      <c r="BO172" t="str">
        <f t="shared" si="32"/>
        <v>-</v>
      </c>
      <c r="BP172" t="s">
        <v>3534</v>
      </c>
      <c r="BQ172">
        <v>366</v>
      </c>
      <c r="BR172">
        <f t="shared" si="33"/>
        <v>366</v>
      </c>
      <c r="BS172" t="s">
        <v>2666</v>
      </c>
    </row>
    <row r="173" spans="1:71" x14ac:dyDescent="0.4">
      <c r="A173" s="3">
        <v>170</v>
      </c>
      <c r="B173" s="3">
        <v>170</v>
      </c>
      <c r="C173" s="4" t="s">
        <v>232</v>
      </c>
      <c r="D173" s="4" t="str">
        <f t="shared" si="34"/>
        <v>J129WF</v>
      </c>
      <c r="E173" s="4" t="s">
        <v>232</v>
      </c>
      <c r="F173" s="4" t="s">
        <v>1451</v>
      </c>
      <c r="G173" s="5">
        <v>4521718188775</v>
      </c>
      <c r="H173" s="5"/>
      <c r="I173" s="5"/>
      <c r="J173" s="5">
        <v>1</v>
      </c>
      <c r="K173" s="5">
        <v>1</v>
      </c>
      <c r="L173" s="4">
        <v>290</v>
      </c>
      <c r="M173" s="4">
        <v>261</v>
      </c>
      <c r="N173" s="4">
        <v>130</v>
      </c>
      <c r="O173" s="6">
        <f t="shared" si="35"/>
        <v>0.50191570881226055</v>
      </c>
      <c r="P173" s="4" t="s">
        <v>2500</v>
      </c>
      <c r="Q173" s="4"/>
      <c r="R173" s="4"/>
      <c r="S173" s="4"/>
      <c r="T173" s="4"/>
      <c r="U173" s="4"/>
      <c r="V173" s="4"/>
      <c r="W173" s="4"/>
      <c r="X173" s="4"/>
      <c r="Y173" s="4">
        <v>200</v>
      </c>
      <c r="Z173" s="4">
        <f t="shared" si="36"/>
        <v>200</v>
      </c>
      <c r="AA173" s="4">
        <v>130</v>
      </c>
      <c r="AB173" s="4">
        <f t="shared" si="37"/>
        <v>130</v>
      </c>
      <c r="AC173" s="4"/>
      <c r="AD173" s="21">
        <f>ROUND(M173*AR173,0)</f>
        <v>261</v>
      </c>
      <c r="AE173" s="6">
        <f>1-AB173/AD173</f>
        <v>0.50191570881226055</v>
      </c>
      <c r="AF173" s="33">
        <v>0</v>
      </c>
      <c r="AG173" s="4">
        <f t="shared" si="38"/>
        <v>290</v>
      </c>
      <c r="AH173" s="33">
        <f t="shared" si="31"/>
        <v>290</v>
      </c>
      <c r="AI173" s="6">
        <f>1-AB173/AH173</f>
        <v>0.55172413793103448</v>
      </c>
      <c r="AJ173" s="7">
        <v>200</v>
      </c>
      <c r="AK173" s="6">
        <f>1-AB173/AJ173</f>
        <v>0.35</v>
      </c>
      <c r="AL173" s="4">
        <f>AJ173-AB173</f>
        <v>70</v>
      </c>
      <c r="AM173" s="28"/>
      <c r="AN173" s="6"/>
      <c r="AO173" s="6"/>
      <c r="AP173" s="6">
        <f>Z173/L173</f>
        <v>0.68965517241379315</v>
      </c>
      <c r="AQ173" s="6">
        <f>AJ173/M173</f>
        <v>0.76628352490421459</v>
      </c>
      <c r="AR173" s="6">
        <f>AB173/N173</f>
        <v>1</v>
      </c>
      <c r="AS173" s="4"/>
      <c r="AT173" s="4"/>
      <c r="AU173" s="4"/>
      <c r="AV173" s="4"/>
      <c r="AW173" s="4"/>
      <c r="AX173" s="4"/>
      <c r="AY173" s="4"/>
      <c r="AZ173" s="4"/>
      <c r="BA173" s="4"/>
      <c r="BB173" s="4">
        <v>0</v>
      </c>
      <c r="BC173" s="4" t="s">
        <v>3737</v>
      </c>
      <c r="BD173" s="4">
        <v>1</v>
      </c>
      <c r="BE173" s="4">
        <v>5</v>
      </c>
      <c r="BF173" s="4" t="s">
        <v>3701</v>
      </c>
      <c r="BG173" s="4">
        <v>1450</v>
      </c>
      <c r="BH173" s="4">
        <v>1450</v>
      </c>
      <c r="BI173" s="4">
        <f t="shared" si="39"/>
        <v>290</v>
      </c>
      <c r="BJ173" s="19">
        <v>4</v>
      </c>
      <c r="BK173" s="19">
        <v>8</v>
      </c>
      <c r="BL173" s="16">
        <v>6</v>
      </c>
      <c r="BM173" s="45" t="s">
        <v>3534</v>
      </c>
      <c r="BN173" t="s">
        <v>3534</v>
      </c>
      <c r="BO173" t="str">
        <f t="shared" si="32"/>
        <v>-</v>
      </c>
      <c r="BP173" t="s">
        <v>3534</v>
      </c>
      <c r="BQ173">
        <v>200</v>
      </c>
      <c r="BR173">
        <f t="shared" si="33"/>
        <v>200</v>
      </c>
      <c r="BS173" t="s">
        <v>2667</v>
      </c>
    </row>
    <row r="174" spans="1:71" x14ac:dyDescent="0.4">
      <c r="A174" s="3">
        <v>171</v>
      </c>
      <c r="B174" s="3">
        <v>171</v>
      </c>
      <c r="C174" s="4" t="s">
        <v>233</v>
      </c>
      <c r="D174" s="4" t="str">
        <f t="shared" si="34"/>
        <v>J131MD</v>
      </c>
      <c r="E174" s="4" t="s">
        <v>233</v>
      </c>
      <c r="F174" s="4" t="s">
        <v>1452</v>
      </c>
      <c r="G174" s="5">
        <v>4521718150703</v>
      </c>
      <c r="H174" s="5"/>
      <c r="I174" s="5"/>
      <c r="J174" s="5">
        <v>1</v>
      </c>
      <c r="K174" s="5">
        <v>1</v>
      </c>
      <c r="L174" s="4">
        <v>530</v>
      </c>
      <c r="M174" s="4">
        <v>305</v>
      </c>
      <c r="N174" s="4">
        <v>237</v>
      </c>
      <c r="O174" s="6">
        <f t="shared" si="35"/>
        <v>0.22295081967213115</v>
      </c>
      <c r="P174" s="4" t="s">
        <v>2500</v>
      </c>
      <c r="Q174" s="4"/>
      <c r="R174" s="4"/>
      <c r="S174" s="4"/>
      <c r="T174" s="4"/>
      <c r="U174" s="4"/>
      <c r="V174" s="4"/>
      <c r="W174" s="4"/>
      <c r="X174" s="4"/>
      <c r="Y174" s="4">
        <v>364</v>
      </c>
      <c r="Z174" s="4">
        <f t="shared" si="36"/>
        <v>364</v>
      </c>
      <c r="AA174" s="4">
        <v>237</v>
      </c>
      <c r="AB174" s="4">
        <f t="shared" si="37"/>
        <v>237</v>
      </c>
      <c r="AC174" s="4"/>
      <c r="AD174" s="21">
        <f>ROUND(M174*AR174,0)</f>
        <v>305</v>
      </c>
      <c r="AE174" s="6">
        <f>1-AB174/AD174</f>
        <v>0.22295081967213115</v>
      </c>
      <c r="AF174" s="33">
        <v>0.5</v>
      </c>
      <c r="AG174" s="4">
        <f t="shared" si="38"/>
        <v>235</v>
      </c>
      <c r="AH174" s="33">
        <f t="shared" si="31"/>
        <v>235</v>
      </c>
      <c r="AI174" s="6">
        <f>1-AB174/AH174</f>
        <v>-8.5106382978723527E-3</v>
      </c>
      <c r="AJ174" s="7">
        <v>364</v>
      </c>
      <c r="AK174" s="6">
        <f>1-AB174/AJ174</f>
        <v>0.34890109890109888</v>
      </c>
      <c r="AL174" s="4">
        <f>AJ174-AB174</f>
        <v>127</v>
      </c>
      <c r="AM174" s="28"/>
      <c r="AN174" s="6"/>
      <c r="AO174" s="6"/>
      <c r="AP174" s="6">
        <f>Z174/L174</f>
        <v>0.68679245283018864</v>
      </c>
      <c r="AQ174" s="6">
        <f>AJ174/M174</f>
        <v>1.1934426229508197</v>
      </c>
      <c r="AR174" s="6">
        <f>AB174/N174</f>
        <v>1</v>
      </c>
      <c r="AS174" s="4"/>
      <c r="AT174" s="4"/>
      <c r="AU174" s="4"/>
      <c r="AV174" s="4"/>
      <c r="AW174" s="4"/>
      <c r="AX174" s="4"/>
      <c r="AY174" s="4"/>
      <c r="AZ174" s="4"/>
      <c r="BA174" s="4"/>
      <c r="BB174" s="4">
        <v>0</v>
      </c>
      <c r="BC174" s="4" t="s">
        <v>3738</v>
      </c>
      <c r="BD174" s="4"/>
      <c r="BE174" s="4"/>
      <c r="BF174" s="4" t="s">
        <v>3649</v>
      </c>
      <c r="BG174" s="4">
        <v>235</v>
      </c>
      <c r="BH174" s="4">
        <v>235</v>
      </c>
      <c r="BI174" s="4">
        <f t="shared" si="39"/>
        <v>235</v>
      </c>
      <c r="BJ174" s="19">
        <v>4</v>
      </c>
      <c r="BK174" s="19">
        <v>8</v>
      </c>
      <c r="BL174" s="16">
        <v>6</v>
      </c>
      <c r="BM174" s="45" t="s">
        <v>3534</v>
      </c>
      <c r="BN174" t="s">
        <v>3534</v>
      </c>
      <c r="BO174" t="str">
        <f t="shared" si="32"/>
        <v>-</v>
      </c>
      <c r="BP174" t="s">
        <v>3534</v>
      </c>
      <c r="BQ174">
        <v>366</v>
      </c>
      <c r="BR174">
        <f t="shared" si="33"/>
        <v>366</v>
      </c>
      <c r="BS174" t="s">
        <v>2668</v>
      </c>
    </row>
    <row r="175" spans="1:71" x14ac:dyDescent="0.4">
      <c r="A175" s="3">
        <v>172</v>
      </c>
      <c r="B175" s="3">
        <v>172</v>
      </c>
      <c r="C175" s="4" t="s">
        <v>234</v>
      </c>
      <c r="D175" s="4" t="str">
        <f t="shared" si="34"/>
        <v>J131WF</v>
      </c>
      <c r="E175" s="4" t="s">
        <v>234</v>
      </c>
      <c r="F175" s="4" t="s">
        <v>1453</v>
      </c>
      <c r="G175" s="5">
        <v>4521718188799</v>
      </c>
      <c r="H175" s="5"/>
      <c r="I175" s="5"/>
      <c r="J175" s="5">
        <v>1</v>
      </c>
      <c r="K175" s="5">
        <v>1</v>
      </c>
      <c r="L175" s="4">
        <v>290</v>
      </c>
      <c r="M175" s="4">
        <v>261</v>
      </c>
      <c r="N175" s="4">
        <v>130</v>
      </c>
      <c r="O175" s="6">
        <f t="shared" si="35"/>
        <v>0.50191570881226055</v>
      </c>
      <c r="P175" s="4" t="s">
        <v>2500</v>
      </c>
      <c r="Q175" s="4"/>
      <c r="R175" s="4"/>
      <c r="S175" s="4"/>
      <c r="T175" s="4"/>
      <c r="U175" s="4"/>
      <c r="V175" s="4"/>
      <c r="W175" s="4"/>
      <c r="X175" s="4"/>
      <c r="Y175" s="4">
        <v>200</v>
      </c>
      <c r="Z175" s="4">
        <f t="shared" si="36"/>
        <v>200</v>
      </c>
      <c r="AA175" s="4">
        <v>130</v>
      </c>
      <c r="AB175" s="4">
        <f t="shared" si="37"/>
        <v>130</v>
      </c>
      <c r="AC175" s="4"/>
      <c r="AD175" s="21">
        <f>ROUND(M175*AR175,0)</f>
        <v>261</v>
      </c>
      <c r="AE175" s="6">
        <f>1-AB175/AD175</f>
        <v>0.50191570881226055</v>
      </c>
      <c r="AF175" s="33">
        <v>0</v>
      </c>
      <c r="AG175" s="4">
        <f t="shared" si="38"/>
        <v>290</v>
      </c>
      <c r="AH175" s="33">
        <f t="shared" si="31"/>
        <v>290</v>
      </c>
      <c r="AI175" s="6">
        <f>1-AB175/AH175</f>
        <v>0.55172413793103448</v>
      </c>
      <c r="AJ175" s="7">
        <v>200</v>
      </c>
      <c r="AK175" s="6">
        <f>1-AB175/AJ175</f>
        <v>0.35</v>
      </c>
      <c r="AL175" s="4">
        <f>AJ175-AB175</f>
        <v>70</v>
      </c>
      <c r="AM175" s="28"/>
      <c r="AN175" s="6"/>
      <c r="AO175" s="6"/>
      <c r="AP175" s="6">
        <f>Z175/L175</f>
        <v>0.68965517241379315</v>
      </c>
      <c r="AQ175" s="6">
        <f>AJ175/M175</f>
        <v>0.76628352490421459</v>
      </c>
      <c r="AR175" s="6">
        <f>AB175/N175</f>
        <v>1</v>
      </c>
      <c r="AS175" s="4"/>
      <c r="AT175" s="4"/>
      <c r="AU175" s="4"/>
      <c r="AV175" s="4"/>
      <c r="AW175" s="4"/>
      <c r="AX175" s="4"/>
      <c r="AY175" s="4"/>
      <c r="AZ175" s="4"/>
      <c r="BA175" s="4"/>
      <c r="BB175" s="4">
        <v>0</v>
      </c>
      <c r="BC175" s="4" t="s">
        <v>3739</v>
      </c>
      <c r="BD175" s="4">
        <v>1</v>
      </c>
      <c r="BE175" s="4">
        <v>5</v>
      </c>
      <c r="BF175" s="4" t="s">
        <v>3701</v>
      </c>
      <c r="BG175" s="4">
        <v>1450</v>
      </c>
      <c r="BH175" s="4">
        <v>1450</v>
      </c>
      <c r="BI175" s="4">
        <f t="shared" si="39"/>
        <v>290</v>
      </c>
      <c r="BJ175" s="19">
        <v>4</v>
      </c>
      <c r="BK175" s="19">
        <v>8</v>
      </c>
      <c r="BL175" s="16">
        <v>6</v>
      </c>
      <c r="BM175" s="45" t="s">
        <v>3534</v>
      </c>
      <c r="BN175" t="s">
        <v>3534</v>
      </c>
      <c r="BO175" t="str">
        <f t="shared" si="32"/>
        <v>-</v>
      </c>
      <c r="BP175" t="s">
        <v>3534</v>
      </c>
      <c r="BQ175">
        <v>200</v>
      </c>
      <c r="BR175">
        <f t="shared" si="33"/>
        <v>200</v>
      </c>
      <c r="BS175" t="s">
        <v>2669</v>
      </c>
    </row>
    <row r="176" spans="1:71" x14ac:dyDescent="0.4">
      <c r="A176" s="3">
        <v>173</v>
      </c>
      <c r="B176" s="3">
        <v>173</v>
      </c>
      <c r="C176" s="4" t="s">
        <v>235</v>
      </c>
      <c r="D176" s="4" t="str">
        <f t="shared" si="34"/>
        <v>J132WF</v>
      </c>
      <c r="E176" s="4" t="s">
        <v>235</v>
      </c>
      <c r="F176" s="4" t="s">
        <v>1454</v>
      </c>
      <c r="G176" s="5">
        <v>4521718188577</v>
      </c>
      <c r="H176" s="5"/>
      <c r="I176" s="5"/>
      <c r="J176" s="5">
        <v>1</v>
      </c>
      <c r="K176" s="5">
        <v>1</v>
      </c>
      <c r="L176" s="4">
        <v>420</v>
      </c>
      <c r="M176" s="4">
        <v>378</v>
      </c>
      <c r="N176" s="4">
        <v>189</v>
      </c>
      <c r="O176" s="6">
        <f t="shared" si="35"/>
        <v>0.5</v>
      </c>
      <c r="P176" s="4" t="s">
        <v>2500</v>
      </c>
      <c r="Q176" s="4"/>
      <c r="R176" s="4"/>
      <c r="S176" s="4"/>
      <c r="T176" s="4"/>
      <c r="U176" s="4"/>
      <c r="V176" s="4"/>
      <c r="W176" s="4"/>
      <c r="X176" s="4"/>
      <c r="Y176" s="4">
        <v>291</v>
      </c>
      <c r="Z176" s="4">
        <f t="shared" si="36"/>
        <v>291</v>
      </c>
      <c r="AA176" s="4">
        <v>189</v>
      </c>
      <c r="AB176" s="4">
        <f t="shared" si="37"/>
        <v>189</v>
      </c>
      <c r="AC176" s="4"/>
      <c r="AD176" s="21">
        <f>ROUND(M176*AR176,0)</f>
        <v>378</v>
      </c>
      <c r="AE176" s="6">
        <f>1-AB176/AD176</f>
        <v>0.5</v>
      </c>
      <c r="AF176" s="33">
        <v>0</v>
      </c>
      <c r="AG176" s="4">
        <f t="shared" si="38"/>
        <v>420</v>
      </c>
      <c r="AH176" s="33">
        <f t="shared" si="31"/>
        <v>420</v>
      </c>
      <c r="AI176" s="6">
        <f>1-AB176/AH176</f>
        <v>0.55000000000000004</v>
      </c>
      <c r="AJ176" s="7">
        <f>ROUND(AB176/0.65,0)</f>
        <v>291</v>
      </c>
      <c r="AK176" s="6">
        <f>1-AB176/AJ176</f>
        <v>0.35051546391752575</v>
      </c>
      <c r="AL176" s="4">
        <f>AJ176-AB176</f>
        <v>102</v>
      </c>
      <c r="AM176" s="28"/>
      <c r="AN176" s="6"/>
      <c r="AO176" s="6"/>
      <c r="AP176" s="6">
        <f>Z176/L176</f>
        <v>0.69285714285714284</v>
      </c>
      <c r="AQ176" s="6">
        <f>AJ176/M176</f>
        <v>0.76984126984126988</v>
      </c>
      <c r="AR176" s="6">
        <f>AB176/N176</f>
        <v>1</v>
      </c>
      <c r="AS176" s="4"/>
      <c r="AT176" s="4"/>
      <c r="AU176" s="4"/>
      <c r="AV176" s="4"/>
      <c r="AW176" s="4"/>
      <c r="AX176" s="4"/>
      <c r="AY176" s="4"/>
      <c r="AZ176" s="4"/>
      <c r="BA176" s="4"/>
      <c r="BB176" s="4">
        <v>0</v>
      </c>
      <c r="BC176" s="4" t="s">
        <v>3740</v>
      </c>
      <c r="BD176" s="4">
        <v>1</v>
      </c>
      <c r="BE176" s="4">
        <v>4</v>
      </c>
      <c r="BF176" s="4" t="s">
        <v>3741</v>
      </c>
      <c r="BG176" s="4">
        <v>1680</v>
      </c>
      <c r="BH176" s="4">
        <v>1680</v>
      </c>
      <c r="BI176" s="4">
        <f t="shared" si="39"/>
        <v>420</v>
      </c>
      <c r="BJ176" s="19">
        <v>4</v>
      </c>
      <c r="BK176" s="19">
        <v>8</v>
      </c>
      <c r="BL176" s="16">
        <v>6</v>
      </c>
      <c r="BM176" s="45" t="s">
        <v>3534</v>
      </c>
      <c r="BN176" t="s">
        <v>3534</v>
      </c>
      <c r="BO176" t="str">
        <f t="shared" si="32"/>
        <v>-</v>
      </c>
      <c r="BP176" t="s">
        <v>3534</v>
      </c>
      <c r="BQ176">
        <v>291</v>
      </c>
      <c r="BR176">
        <f t="shared" si="33"/>
        <v>291</v>
      </c>
      <c r="BS176" t="s">
        <v>2670</v>
      </c>
    </row>
    <row r="177" spans="1:71" x14ac:dyDescent="0.4">
      <c r="A177" s="3">
        <v>174</v>
      </c>
      <c r="B177" s="3">
        <v>174</v>
      </c>
      <c r="C177" s="4" t="s">
        <v>236</v>
      </c>
      <c r="D177" s="4" t="str">
        <f t="shared" si="34"/>
        <v>J130WF</v>
      </c>
      <c r="E177" s="4" t="s">
        <v>236</v>
      </c>
      <c r="F177" s="4" t="s">
        <v>1455</v>
      </c>
      <c r="G177" s="5">
        <v>4521718188782</v>
      </c>
      <c r="H177" s="5"/>
      <c r="I177" s="5"/>
      <c r="J177" s="5">
        <v>1</v>
      </c>
      <c r="K177" s="5">
        <v>1</v>
      </c>
      <c r="L177" s="4">
        <v>290</v>
      </c>
      <c r="M177" s="4">
        <v>261</v>
      </c>
      <c r="N177" s="4">
        <v>130</v>
      </c>
      <c r="O177" s="6">
        <f t="shared" si="35"/>
        <v>0.50191570881226055</v>
      </c>
      <c r="P177" s="4" t="s">
        <v>2500</v>
      </c>
      <c r="Q177" s="4"/>
      <c r="R177" s="4"/>
      <c r="S177" s="4"/>
      <c r="T177" s="4"/>
      <c r="U177" s="4"/>
      <c r="V177" s="4"/>
      <c r="W177" s="4"/>
      <c r="X177" s="4"/>
      <c r="Y177" s="4">
        <v>200</v>
      </c>
      <c r="Z177" s="4">
        <f t="shared" si="36"/>
        <v>200</v>
      </c>
      <c r="AA177" s="4">
        <v>130</v>
      </c>
      <c r="AB177" s="4">
        <f t="shared" si="37"/>
        <v>130</v>
      </c>
      <c r="AC177" s="4"/>
      <c r="AD177" s="21">
        <f>ROUND(M177*AR177,0)</f>
        <v>261</v>
      </c>
      <c r="AE177" s="6">
        <f>1-AB177/AD177</f>
        <v>0.50191570881226055</v>
      </c>
      <c r="AF177" s="33">
        <v>0</v>
      </c>
      <c r="AG177" s="4">
        <f t="shared" si="38"/>
        <v>290</v>
      </c>
      <c r="AH177" s="33">
        <f t="shared" si="31"/>
        <v>290</v>
      </c>
      <c r="AI177" s="6">
        <f>1-AB177/AH177</f>
        <v>0.55172413793103448</v>
      </c>
      <c r="AJ177" s="7">
        <v>200</v>
      </c>
      <c r="AK177" s="6">
        <f>1-AB177/AJ177</f>
        <v>0.35</v>
      </c>
      <c r="AL177" s="4">
        <f>AJ177-AB177</f>
        <v>70</v>
      </c>
      <c r="AM177" s="28"/>
      <c r="AN177" s="6"/>
      <c r="AO177" s="6"/>
      <c r="AP177" s="6">
        <f>Z177/L177</f>
        <v>0.68965517241379315</v>
      </c>
      <c r="AQ177" s="6">
        <f>AJ177/M177</f>
        <v>0.76628352490421459</v>
      </c>
      <c r="AR177" s="6">
        <f>AB177/N177</f>
        <v>1</v>
      </c>
      <c r="AS177" s="4"/>
      <c r="AT177" s="4"/>
      <c r="AU177" s="4"/>
      <c r="AV177" s="4"/>
      <c r="AW177" s="4"/>
      <c r="AX177" s="4"/>
      <c r="AY177" s="4"/>
      <c r="AZ177" s="4"/>
      <c r="BA177" s="4"/>
      <c r="BB177" s="4">
        <v>0</v>
      </c>
      <c r="BC177" s="4" t="s">
        <v>3742</v>
      </c>
      <c r="BD177" s="4">
        <v>1</v>
      </c>
      <c r="BE177" s="4">
        <v>5</v>
      </c>
      <c r="BF177" s="4" t="s">
        <v>3701</v>
      </c>
      <c r="BG177" s="4">
        <v>1450</v>
      </c>
      <c r="BH177" s="4">
        <v>1450</v>
      </c>
      <c r="BI177" s="4">
        <f t="shared" si="39"/>
        <v>290</v>
      </c>
      <c r="BJ177" s="19">
        <v>4</v>
      </c>
      <c r="BK177" s="19">
        <v>8</v>
      </c>
      <c r="BL177" s="16">
        <v>6</v>
      </c>
      <c r="BM177" s="45" t="s">
        <v>3534</v>
      </c>
      <c r="BN177" t="s">
        <v>3534</v>
      </c>
      <c r="BO177" t="str">
        <f t="shared" si="32"/>
        <v>-</v>
      </c>
      <c r="BP177" t="s">
        <v>3534</v>
      </c>
      <c r="BQ177">
        <v>200</v>
      </c>
      <c r="BR177">
        <f t="shared" si="33"/>
        <v>200</v>
      </c>
      <c r="BS177" t="s">
        <v>2671</v>
      </c>
    </row>
    <row r="178" spans="1:71" x14ac:dyDescent="0.4">
      <c r="A178" s="3">
        <v>175</v>
      </c>
      <c r="B178" s="3">
        <v>175</v>
      </c>
      <c r="C178" s="4" t="s">
        <v>237</v>
      </c>
      <c r="D178" s="4" t="str">
        <f t="shared" si="34"/>
        <v>J133WF</v>
      </c>
      <c r="E178" s="4" t="s">
        <v>237</v>
      </c>
      <c r="F178" s="4" t="s">
        <v>1456</v>
      </c>
      <c r="G178" s="5">
        <v>4521718188584</v>
      </c>
      <c r="H178" s="5"/>
      <c r="I178" s="5"/>
      <c r="J178" s="5">
        <v>1</v>
      </c>
      <c r="K178" s="5">
        <v>1</v>
      </c>
      <c r="L178" s="4">
        <v>420</v>
      </c>
      <c r="M178" s="4">
        <v>378</v>
      </c>
      <c r="N178" s="4">
        <v>189</v>
      </c>
      <c r="O178" s="6">
        <f t="shared" si="35"/>
        <v>0.5</v>
      </c>
      <c r="P178" s="4" t="s">
        <v>2500</v>
      </c>
      <c r="Q178" s="4"/>
      <c r="R178" s="4"/>
      <c r="S178" s="4"/>
      <c r="T178" s="4"/>
      <c r="U178" s="4"/>
      <c r="V178" s="4"/>
      <c r="W178" s="4"/>
      <c r="X178" s="4"/>
      <c r="Y178" s="4">
        <v>291</v>
      </c>
      <c r="Z178" s="4">
        <f t="shared" si="36"/>
        <v>291</v>
      </c>
      <c r="AA178" s="4">
        <v>189</v>
      </c>
      <c r="AB178" s="4">
        <f t="shared" si="37"/>
        <v>189</v>
      </c>
      <c r="AC178" s="4"/>
      <c r="AD178" s="21">
        <f>ROUND(M178*AR178,0)</f>
        <v>378</v>
      </c>
      <c r="AE178" s="6">
        <f>1-AB178/AD178</f>
        <v>0.5</v>
      </c>
      <c r="AF178" s="33">
        <v>0</v>
      </c>
      <c r="AG178" s="4">
        <f t="shared" si="38"/>
        <v>420</v>
      </c>
      <c r="AH178" s="33">
        <f t="shared" si="31"/>
        <v>420</v>
      </c>
      <c r="AI178" s="6">
        <f>1-AB178/AH178</f>
        <v>0.55000000000000004</v>
      </c>
      <c r="AJ178" s="7">
        <f>ROUND(AB178/0.65,0)</f>
        <v>291</v>
      </c>
      <c r="AK178" s="6">
        <f>1-AB178/AJ178</f>
        <v>0.35051546391752575</v>
      </c>
      <c r="AL178" s="4">
        <f>AJ178-AB178</f>
        <v>102</v>
      </c>
      <c r="AM178" s="28"/>
      <c r="AN178" s="6"/>
      <c r="AO178" s="6"/>
      <c r="AP178" s="6">
        <f>Z178/L178</f>
        <v>0.69285714285714284</v>
      </c>
      <c r="AQ178" s="6">
        <f>AJ178/M178</f>
        <v>0.76984126984126988</v>
      </c>
      <c r="AR178" s="6">
        <f>AB178/N178</f>
        <v>1</v>
      </c>
      <c r="AS178" s="4"/>
      <c r="AT178" s="4"/>
      <c r="AU178" s="4"/>
      <c r="AV178" s="4"/>
      <c r="AW178" s="4"/>
      <c r="AX178" s="4"/>
      <c r="AY178" s="4"/>
      <c r="AZ178" s="4"/>
      <c r="BA178" s="4"/>
      <c r="BB178" s="4">
        <v>0</v>
      </c>
      <c r="BC178" s="4" t="s">
        <v>3743</v>
      </c>
      <c r="BD178" s="4">
        <v>1</v>
      </c>
      <c r="BE178" s="4">
        <v>4</v>
      </c>
      <c r="BF178" s="4" t="s">
        <v>3741</v>
      </c>
      <c r="BG178" s="4">
        <v>1680</v>
      </c>
      <c r="BH178" s="4">
        <v>1680</v>
      </c>
      <c r="BI178" s="4">
        <f t="shared" si="39"/>
        <v>420</v>
      </c>
      <c r="BJ178" s="19">
        <v>4</v>
      </c>
      <c r="BK178" s="19">
        <v>8</v>
      </c>
      <c r="BL178" s="16">
        <v>6</v>
      </c>
      <c r="BM178" s="45" t="s">
        <v>3534</v>
      </c>
      <c r="BN178" t="s">
        <v>3534</v>
      </c>
      <c r="BO178" t="str">
        <f t="shared" si="32"/>
        <v>-</v>
      </c>
      <c r="BP178" t="s">
        <v>3534</v>
      </c>
      <c r="BQ178">
        <v>291</v>
      </c>
      <c r="BR178">
        <f t="shared" si="33"/>
        <v>291</v>
      </c>
      <c r="BS178" t="s">
        <v>2672</v>
      </c>
    </row>
    <row r="179" spans="1:71" x14ac:dyDescent="0.4">
      <c r="A179" s="3">
        <v>176</v>
      </c>
      <c r="B179" s="3">
        <v>176</v>
      </c>
      <c r="C179" s="4" t="s">
        <v>238</v>
      </c>
      <c r="D179" s="4" t="str">
        <f t="shared" si="34"/>
        <v>J134WF</v>
      </c>
      <c r="E179" s="4" t="s">
        <v>238</v>
      </c>
      <c r="F179" s="4" t="s">
        <v>1457</v>
      </c>
      <c r="G179" s="5">
        <v>4521718188591</v>
      </c>
      <c r="H179" s="5"/>
      <c r="I179" s="5"/>
      <c r="J179" s="5">
        <v>1</v>
      </c>
      <c r="K179" s="5">
        <v>1</v>
      </c>
      <c r="L179" s="4">
        <v>420</v>
      </c>
      <c r="M179" s="4">
        <v>374</v>
      </c>
      <c r="N179" s="4">
        <v>189</v>
      </c>
      <c r="O179" s="6">
        <f t="shared" si="35"/>
        <v>0.49465240641711228</v>
      </c>
      <c r="P179" s="4" t="s">
        <v>2500</v>
      </c>
      <c r="Q179" s="4"/>
      <c r="R179" s="4"/>
      <c r="S179" s="4"/>
      <c r="T179" s="4"/>
      <c r="U179" s="4"/>
      <c r="V179" s="4"/>
      <c r="W179" s="4"/>
      <c r="X179" s="4"/>
      <c r="Y179" s="4">
        <v>291</v>
      </c>
      <c r="Z179" s="4">
        <f t="shared" si="36"/>
        <v>291</v>
      </c>
      <c r="AA179" s="4">
        <v>189</v>
      </c>
      <c r="AB179" s="4">
        <f t="shared" si="37"/>
        <v>189</v>
      </c>
      <c r="AC179" s="4"/>
      <c r="AD179" s="21">
        <f>ROUND(M179*AR179,0)</f>
        <v>374</v>
      </c>
      <c r="AE179" s="6">
        <f>1-AB179/AD179</f>
        <v>0.49465240641711228</v>
      </c>
      <c r="AF179" s="33">
        <v>0</v>
      </c>
      <c r="AG179" s="4">
        <f t="shared" si="38"/>
        <v>420</v>
      </c>
      <c r="AH179" s="33">
        <f t="shared" si="31"/>
        <v>420</v>
      </c>
      <c r="AI179" s="6">
        <f>1-AB179/AH179</f>
        <v>0.55000000000000004</v>
      </c>
      <c r="AJ179" s="7">
        <f>ROUND(AB179/0.65,0)</f>
        <v>291</v>
      </c>
      <c r="AK179" s="6">
        <f>1-AB179/AJ179</f>
        <v>0.35051546391752575</v>
      </c>
      <c r="AL179" s="4">
        <f>AJ179-AB179</f>
        <v>102</v>
      </c>
      <c r="AM179" s="28"/>
      <c r="AN179" s="6"/>
      <c r="AO179" s="6"/>
      <c r="AP179" s="6">
        <f>Z179/L179</f>
        <v>0.69285714285714284</v>
      </c>
      <c r="AQ179" s="6">
        <f>AJ179/M179</f>
        <v>0.77807486631016043</v>
      </c>
      <c r="AR179" s="6">
        <f>AB179/N179</f>
        <v>1</v>
      </c>
      <c r="AS179" s="4"/>
      <c r="AT179" s="4"/>
      <c r="AU179" s="4"/>
      <c r="AV179" s="4"/>
      <c r="AW179" s="4"/>
      <c r="AX179" s="4"/>
      <c r="AY179" s="4"/>
      <c r="AZ179" s="4"/>
      <c r="BA179" s="4"/>
      <c r="BB179" s="4">
        <v>0</v>
      </c>
      <c r="BC179" s="4" t="s">
        <v>3744</v>
      </c>
      <c r="BD179" s="4">
        <v>1</v>
      </c>
      <c r="BE179" s="4">
        <v>4</v>
      </c>
      <c r="BF179" s="4" t="s">
        <v>3741</v>
      </c>
      <c r="BG179" s="4">
        <v>1680</v>
      </c>
      <c r="BH179" s="4">
        <v>1680</v>
      </c>
      <c r="BI179" s="4">
        <f t="shared" si="39"/>
        <v>420</v>
      </c>
      <c r="BJ179" s="19">
        <v>4</v>
      </c>
      <c r="BK179" s="19">
        <v>8</v>
      </c>
      <c r="BL179" s="16">
        <v>6</v>
      </c>
      <c r="BM179" s="45" t="s">
        <v>3534</v>
      </c>
      <c r="BN179" t="s">
        <v>3534</v>
      </c>
      <c r="BO179" t="str">
        <f t="shared" si="32"/>
        <v>-</v>
      </c>
      <c r="BP179" t="s">
        <v>3534</v>
      </c>
      <c r="BQ179">
        <v>291</v>
      </c>
      <c r="BR179">
        <f t="shared" si="33"/>
        <v>291</v>
      </c>
      <c r="BS179" t="s">
        <v>2673</v>
      </c>
    </row>
    <row r="180" spans="1:71" x14ac:dyDescent="0.4">
      <c r="A180" s="3">
        <v>177</v>
      </c>
      <c r="B180" s="3">
        <v>177</v>
      </c>
      <c r="C180" s="4" t="s">
        <v>239</v>
      </c>
      <c r="D180" s="4" t="str">
        <f t="shared" si="34"/>
        <v>J136MD</v>
      </c>
      <c r="E180" s="4" t="s">
        <v>239</v>
      </c>
      <c r="F180" s="4" t="s">
        <v>1458</v>
      </c>
      <c r="G180" s="5">
        <v>4521718150840</v>
      </c>
      <c r="H180" s="5"/>
      <c r="I180" s="5"/>
      <c r="J180" s="5">
        <v>1</v>
      </c>
      <c r="K180" s="5">
        <v>1</v>
      </c>
      <c r="L180" s="4">
        <v>320</v>
      </c>
      <c r="M180" s="4">
        <v>180</v>
      </c>
      <c r="N180" s="4">
        <v>140</v>
      </c>
      <c r="O180" s="6">
        <f t="shared" si="35"/>
        <v>0.22222222222222221</v>
      </c>
      <c r="P180" s="4" t="s">
        <v>2500</v>
      </c>
      <c r="Q180" s="4"/>
      <c r="R180" s="4"/>
      <c r="S180" s="4"/>
      <c r="T180" s="4"/>
      <c r="U180" s="4"/>
      <c r="V180" s="4"/>
      <c r="W180" s="4"/>
      <c r="X180" s="4"/>
      <c r="Y180" s="4">
        <v>210</v>
      </c>
      <c r="Z180" s="4">
        <f t="shared" si="36"/>
        <v>210</v>
      </c>
      <c r="AA180" s="4">
        <v>147</v>
      </c>
      <c r="AB180" s="4">
        <f t="shared" si="37"/>
        <v>147</v>
      </c>
      <c r="AC180" s="4"/>
      <c r="AD180" s="21">
        <f>ROUND(M180*AR180,0)</f>
        <v>189</v>
      </c>
      <c r="AE180" s="6">
        <f>1-AB180/AD180</f>
        <v>0.22222222222222221</v>
      </c>
      <c r="AF180" s="33">
        <v>0</v>
      </c>
      <c r="AG180" s="4">
        <f t="shared" si="38"/>
        <v>320</v>
      </c>
      <c r="AH180" s="33">
        <f t="shared" si="31"/>
        <v>336</v>
      </c>
      <c r="AI180" s="6">
        <f>1-AB180/AH180</f>
        <v>0.5625</v>
      </c>
      <c r="AJ180" s="7">
        <v>210</v>
      </c>
      <c r="AK180" s="6">
        <f>1-AB180/AJ180</f>
        <v>0.30000000000000004</v>
      </c>
      <c r="AL180" s="4">
        <f>AJ180-AB180</f>
        <v>63</v>
      </c>
      <c r="AM180" s="28"/>
      <c r="AN180" s="6"/>
      <c r="AO180" s="6"/>
      <c r="AP180" s="6">
        <f>Z180/L180</f>
        <v>0.65625</v>
      </c>
      <c r="AQ180" s="6">
        <f>AJ180/M180</f>
        <v>1.1666666666666667</v>
      </c>
      <c r="AR180" s="6">
        <f>AB180/N180</f>
        <v>1.05</v>
      </c>
      <c r="AS180" s="4"/>
      <c r="AT180" s="4"/>
      <c r="AU180" s="4"/>
      <c r="AV180" s="4"/>
      <c r="AW180" s="4"/>
      <c r="AX180" s="4"/>
      <c r="AY180" s="4"/>
      <c r="AZ180" s="4"/>
      <c r="BA180" s="4"/>
      <c r="BB180" s="4">
        <v>0</v>
      </c>
      <c r="BC180" s="4" t="s">
        <v>3745</v>
      </c>
      <c r="BD180" s="4">
        <v>1</v>
      </c>
      <c r="BE180" s="4">
        <v>5</v>
      </c>
      <c r="BF180" s="4" t="s">
        <v>3746</v>
      </c>
      <c r="BG180" s="4">
        <v>1600</v>
      </c>
      <c r="BH180" s="4">
        <v>1600</v>
      </c>
      <c r="BI180" s="4">
        <f t="shared" si="39"/>
        <v>320</v>
      </c>
      <c r="BJ180" s="19">
        <v>4</v>
      </c>
      <c r="BK180" s="19">
        <v>8</v>
      </c>
      <c r="BL180" s="16">
        <v>6</v>
      </c>
      <c r="BM180" s="45" t="s">
        <v>3534</v>
      </c>
      <c r="BN180" t="s">
        <v>3534</v>
      </c>
      <c r="BO180" t="str">
        <f t="shared" si="32"/>
        <v>-</v>
      </c>
      <c r="BP180" t="s">
        <v>3534</v>
      </c>
      <c r="BQ180">
        <v>173</v>
      </c>
      <c r="BR180">
        <f t="shared" si="33"/>
        <v>181.65</v>
      </c>
      <c r="BS180" t="s">
        <v>2674</v>
      </c>
    </row>
    <row r="181" spans="1:71" x14ac:dyDescent="0.4">
      <c r="A181" s="3">
        <v>178</v>
      </c>
      <c r="B181" s="3">
        <v>178</v>
      </c>
      <c r="C181" s="4" t="s">
        <v>240</v>
      </c>
      <c r="D181" s="4" t="str">
        <f t="shared" si="34"/>
        <v>J136WF</v>
      </c>
      <c r="E181" s="4" t="s">
        <v>240</v>
      </c>
      <c r="F181" s="4" t="s">
        <v>1459</v>
      </c>
      <c r="G181" s="5">
        <v>4521718188614</v>
      </c>
      <c r="H181" s="5"/>
      <c r="I181" s="5"/>
      <c r="J181" s="5">
        <v>1</v>
      </c>
      <c r="K181" s="5">
        <v>1</v>
      </c>
      <c r="L181" s="4">
        <v>420</v>
      </c>
      <c r="M181" s="4">
        <v>374</v>
      </c>
      <c r="N181" s="4">
        <v>189</v>
      </c>
      <c r="O181" s="6">
        <f t="shared" si="35"/>
        <v>0.49465240641711228</v>
      </c>
      <c r="P181" s="4" t="s">
        <v>2500</v>
      </c>
      <c r="Q181" s="4"/>
      <c r="R181" s="4"/>
      <c r="S181" s="4"/>
      <c r="T181" s="4"/>
      <c r="U181" s="4"/>
      <c r="V181" s="4"/>
      <c r="W181" s="4"/>
      <c r="X181" s="4"/>
      <c r="Y181" s="4">
        <v>291</v>
      </c>
      <c r="Z181" s="4">
        <f t="shared" si="36"/>
        <v>291</v>
      </c>
      <c r="AA181" s="4">
        <v>189</v>
      </c>
      <c r="AB181" s="4">
        <f t="shared" si="37"/>
        <v>189</v>
      </c>
      <c r="AC181" s="4"/>
      <c r="AD181" s="21">
        <f>ROUND(M181*AR181,0)</f>
        <v>374</v>
      </c>
      <c r="AE181" s="6">
        <f>1-AB181/AD181</f>
        <v>0.49465240641711228</v>
      </c>
      <c r="AF181" s="33">
        <v>0</v>
      </c>
      <c r="AG181" s="4">
        <f t="shared" si="38"/>
        <v>420</v>
      </c>
      <c r="AH181" s="33">
        <f t="shared" si="31"/>
        <v>420</v>
      </c>
      <c r="AI181" s="6">
        <f>1-AB181/AH181</f>
        <v>0.55000000000000004</v>
      </c>
      <c r="AJ181" s="7">
        <f>ROUND(AB181/0.65,0)</f>
        <v>291</v>
      </c>
      <c r="AK181" s="6">
        <f>1-AB181/AJ181</f>
        <v>0.35051546391752575</v>
      </c>
      <c r="AL181" s="4">
        <f>AJ181-AB181</f>
        <v>102</v>
      </c>
      <c r="AM181" s="28"/>
      <c r="AN181" s="6"/>
      <c r="AO181" s="6"/>
      <c r="AP181" s="6">
        <f>Z181/L181</f>
        <v>0.69285714285714284</v>
      </c>
      <c r="AQ181" s="6">
        <f>AJ181/M181</f>
        <v>0.77807486631016043</v>
      </c>
      <c r="AR181" s="6">
        <f>AB181/N181</f>
        <v>1</v>
      </c>
      <c r="AS181" s="4"/>
      <c r="AT181" s="4"/>
      <c r="AU181" s="4"/>
      <c r="AV181" s="4"/>
      <c r="AW181" s="4"/>
      <c r="AX181" s="4"/>
      <c r="AY181" s="4"/>
      <c r="AZ181" s="4"/>
      <c r="BA181" s="4"/>
      <c r="BB181" s="4">
        <v>0</v>
      </c>
      <c r="BC181" s="4" t="s">
        <v>3747</v>
      </c>
      <c r="BD181" s="4">
        <v>1</v>
      </c>
      <c r="BE181" s="4">
        <v>4</v>
      </c>
      <c r="BF181" s="4" t="s">
        <v>3741</v>
      </c>
      <c r="BG181" s="4">
        <v>1680</v>
      </c>
      <c r="BH181" s="4">
        <v>1680</v>
      </c>
      <c r="BI181" s="4">
        <f t="shared" si="39"/>
        <v>420</v>
      </c>
      <c r="BJ181" s="19">
        <v>4</v>
      </c>
      <c r="BK181" s="19">
        <v>8</v>
      </c>
      <c r="BL181" s="16">
        <v>6</v>
      </c>
      <c r="BM181" s="45" t="s">
        <v>3534</v>
      </c>
      <c r="BN181" t="s">
        <v>3534</v>
      </c>
      <c r="BO181" t="str">
        <f t="shared" si="32"/>
        <v>-</v>
      </c>
      <c r="BP181" t="s">
        <v>3534</v>
      </c>
      <c r="BQ181">
        <v>291</v>
      </c>
      <c r="BR181">
        <f t="shared" si="33"/>
        <v>291</v>
      </c>
      <c r="BS181" t="s">
        <v>2675</v>
      </c>
    </row>
    <row r="182" spans="1:71" x14ac:dyDescent="0.4">
      <c r="A182" s="3">
        <v>179</v>
      </c>
      <c r="B182" s="3">
        <v>179</v>
      </c>
      <c r="C182" s="4" t="s">
        <v>241</v>
      </c>
      <c r="D182" s="4" t="str">
        <f t="shared" si="34"/>
        <v>J137WF</v>
      </c>
      <c r="E182" s="4" t="s">
        <v>241</v>
      </c>
      <c r="F182" s="4" t="s">
        <v>1460</v>
      </c>
      <c r="G182" s="5">
        <v>4521718188997</v>
      </c>
      <c r="H182" s="5"/>
      <c r="I182" s="5"/>
      <c r="J182" s="5">
        <v>1</v>
      </c>
      <c r="K182" s="5">
        <v>1</v>
      </c>
      <c r="L182" s="4">
        <v>360</v>
      </c>
      <c r="M182" s="4">
        <v>324</v>
      </c>
      <c r="N182" s="4">
        <v>160</v>
      </c>
      <c r="O182" s="6">
        <f t="shared" si="35"/>
        <v>0.50617283950617287</v>
      </c>
      <c r="P182" s="4" t="s">
        <v>2500</v>
      </c>
      <c r="Q182" s="4"/>
      <c r="R182" s="4"/>
      <c r="S182" s="4"/>
      <c r="T182" s="4"/>
      <c r="U182" s="4"/>
      <c r="V182" s="4"/>
      <c r="W182" s="4"/>
      <c r="X182" s="4"/>
      <c r="Y182" s="4">
        <v>228</v>
      </c>
      <c r="Z182" s="4">
        <f t="shared" si="36"/>
        <v>228</v>
      </c>
      <c r="AA182" s="4">
        <v>160</v>
      </c>
      <c r="AB182" s="4">
        <f t="shared" si="37"/>
        <v>160</v>
      </c>
      <c r="AC182" s="4"/>
      <c r="AD182" s="21">
        <f>ROUND(M182*AR182,0)</f>
        <v>324</v>
      </c>
      <c r="AE182" s="6">
        <f>1-AB182/AD182</f>
        <v>0.50617283950617287</v>
      </c>
      <c r="AF182" s="33">
        <v>0</v>
      </c>
      <c r="AG182" s="4">
        <f t="shared" si="38"/>
        <v>360</v>
      </c>
      <c r="AH182" s="33">
        <f t="shared" si="31"/>
        <v>360</v>
      </c>
      <c r="AI182" s="6">
        <f>1-AB182/AH182</f>
        <v>0.55555555555555558</v>
      </c>
      <c r="AJ182" s="7">
        <v>228</v>
      </c>
      <c r="AK182" s="6">
        <f>1-AB182/AJ182</f>
        <v>0.29824561403508776</v>
      </c>
      <c r="AL182" s="4">
        <f>AJ182-AB182</f>
        <v>68</v>
      </c>
      <c r="AM182" s="28"/>
      <c r="AN182" s="6"/>
      <c r="AO182" s="6"/>
      <c r="AP182" s="6">
        <f>Z182/L182</f>
        <v>0.6333333333333333</v>
      </c>
      <c r="AQ182" s="6">
        <f>AJ182/M182</f>
        <v>0.70370370370370372</v>
      </c>
      <c r="AR182" s="6">
        <f>AB182/N182</f>
        <v>1</v>
      </c>
      <c r="AS182" s="4"/>
      <c r="AT182" s="4"/>
      <c r="AU182" s="4"/>
      <c r="AV182" s="4"/>
      <c r="AW182" s="4"/>
      <c r="AX182" s="4"/>
      <c r="AY182" s="4"/>
      <c r="AZ182" s="4"/>
      <c r="BA182" s="4"/>
      <c r="BB182" s="4">
        <v>0</v>
      </c>
      <c r="BC182" s="4" t="s">
        <v>3748</v>
      </c>
      <c r="BD182" s="4">
        <v>1</v>
      </c>
      <c r="BE182" s="4">
        <v>5</v>
      </c>
      <c r="BF182" s="4" t="s">
        <v>3606</v>
      </c>
      <c r="BG182" s="4">
        <v>1800</v>
      </c>
      <c r="BH182" s="4">
        <v>1800</v>
      </c>
      <c r="BI182" s="4">
        <f t="shared" si="39"/>
        <v>360</v>
      </c>
      <c r="BJ182" s="19">
        <v>4</v>
      </c>
      <c r="BK182" s="19">
        <v>8</v>
      </c>
      <c r="BL182" s="16">
        <v>6</v>
      </c>
      <c r="BM182" s="45" t="s">
        <v>3534</v>
      </c>
      <c r="BN182" t="s">
        <v>3534</v>
      </c>
      <c r="BO182" t="str">
        <f t="shared" si="32"/>
        <v>-</v>
      </c>
      <c r="BP182" t="s">
        <v>3534</v>
      </c>
      <c r="BQ182">
        <v>228</v>
      </c>
      <c r="BR182">
        <f t="shared" si="33"/>
        <v>228</v>
      </c>
      <c r="BS182" t="s">
        <v>2676</v>
      </c>
    </row>
    <row r="183" spans="1:71" x14ac:dyDescent="0.4">
      <c r="A183" s="3">
        <v>180</v>
      </c>
      <c r="B183" s="3">
        <v>180</v>
      </c>
      <c r="C183" s="4" t="s">
        <v>242</v>
      </c>
      <c r="D183" s="4" t="str">
        <f t="shared" si="34"/>
        <v>J135WF</v>
      </c>
      <c r="E183" s="4" t="s">
        <v>242</v>
      </c>
      <c r="F183" s="4" t="s">
        <v>1461</v>
      </c>
      <c r="G183" s="5">
        <v>4521718188607</v>
      </c>
      <c r="H183" s="5"/>
      <c r="I183" s="5"/>
      <c r="J183" s="5">
        <v>1</v>
      </c>
      <c r="K183" s="5">
        <v>1</v>
      </c>
      <c r="L183" s="4">
        <v>420</v>
      </c>
      <c r="M183" s="4">
        <v>378</v>
      </c>
      <c r="N183" s="4">
        <v>189</v>
      </c>
      <c r="O183" s="6">
        <f t="shared" si="35"/>
        <v>0.5</v>
      </c>
      <c r="P183" s="4" t="s">
        <v>2500</v>
      </c>
      <c r="Q183" s="4"/>
      <c r="R183" s="4"/>
      <c r="S183" s="4"/>
      <c r="T183" s="4"/>
      <c r="U183" s="4"/>
      <c r="V183" s="4"/>
      <c r="W183" s="4"/>
      <c r="X183" s="4"/>
      <c r="Y183" s="4">
        <v>291</v>
      </c>
      <c r="Z183" s="4">
        <f t="shared" si="36"/>
        <v>291</v>
      </c>
      <c r="AA183" s="4">
        <v>189</v>
      </c>
      <c r="AB183" s="4">
        <f t="shared" si="37"/>
        <v>189</v>
      </c>
      <c r="AC183" s="4"/>
      <c r="AD183" s="21">
        <f>ROUND(M183*AR183,0)</f>
        <v>378</v>
      </c>
      <c r="AE183" s="6">
        <f>1-AB183/AD183</f>
        <v>0.5</v>
      </c>
      <c r="AF183" s="33">
        <v>0</v>
      </c>
      <c r="AG183" s="4">
        <f t="shared" si="38"/>
        <v>420</v>
      </c>
      <c r="AH183" s="33">
        <f t="shared" si="31"/>
        <v>420</v>
      </c>
      <c r="AI183" s="6">
        <f>1-AB183/AH183</f>
        <v>0.55000000000000004</v>
      </c>
      <c r="AJ183" s="7">
        <f>ROUND(AB183/0.65,0)</f>
        <v>291</v>
      </c>
      <c r="AK183" s="6">
        <f>1-AB183/AJ183</f>
        <v>0.35051546391752575</v>
      </c>
      <c r="AL183" s="4">
        <f>AJ183-AB183</f>
        <v>102</v>
      </c>
      <c r="AM183" s="28"/>
      <c r="AN183" s="6"/>
      <c r="AO183" s="6"/>
      <c r="AP183" s="6">
        <f>Z183/L183</f>
        <v>0.69285714285714284</v>
      </c>
      <c r="AQ183" s="6">
        <f>AJ183/M183</f>
        <v>0.76984126984126988</v>
      </c>
      <c r="AR183" s="6">
        <f>AB183/N183</f>
        <v>1</v>
      </c>
      <c r="AS183" s="4"/>
      <c r="AT183" s="4"/>
      <c r="AU183" s="4"/>
      <c r="AV183" s="4"/>
      <c r="AW183" s="4"/>
      <c r="AX183" s="4"/>
      <c r="AY183" s="4"/>
      <c r="AZ183" s="4"/>
      <c r="BA183" s="4"/>
      <c r="BB183" s="4">
        <v>0</v>
      </c>
      <c r="BC183" s="4" t="s">
        <v>3749</v>
      </c>
      <c r="BD183" s="4">
        <v>1</v>
      </c>
      <c r="BE183" s="4">
        <v>4</v>
      </c>
      <c r="BF183" s="4" t="s">
        <v>3741</v>
      </c>
      <c r="BG183" s="4">
        <v>1680</v>
      </c>
      <c r="BH183" s="4">
        <v>1680</v>
      </c>
      <c r="BI183" s="4">
        <f t="shared" si="39"/>
        <v>420</v>
      </c>
      <c r="BJ183" s="19">
        <v>4</v>
      </c>
      <c r="BK183" s="19">
        <v>8</v>
      </c>
      <c r="BL183" s="16">
        <v>6</v>
      </c>
      <c r="BM183" s="45" t="s">
        <v>3534</v>
      </c>
      <c r="BN183" t="s">
        <v>3534</v>
      </c>
      <c r="BO183" t="str">
        <f t="shared" si="32"/>
        <v>-</v>
      </c>
      <c r="BP183" t="s">
        <v>3534</v>
      </c>
      <c r="BQ183">
        <v>291</v>
      </c>
      <c r="BR183">
        <f t="shared" si="33"/>
        <v>291</v>
      </c>
      <c r="BS183" t="s">
        <v>2677</v>
      </c>
    </row>
    <row r="184" spans="1:71" x14ac:dyDescent="0.4">
      <c r="A184" s="3">
        <v>181</v>
      </c>
      <c r="B184" s="3">
        <v>181</v>
      </c>
      <c r="C184" s="4" t="s">
        <v>243</v>
      </c>
      <c r="D184" s="4" t="str">
        <f t="shared" si="34"/>
        <v>J137MD</v>
      </c>
      <c r="E184" s="4" t="s">
        <v>243</v>
      </c>
      <c r="F184" s="4" t="s">
        <v>1462</v>
      </c>
      <c r="G184" s="5">
        <v>4521718150857</v>
      </c>
      <c r="H184" s="5"/>
      <c r="I184" s="5"/>
      <c r="J184" s="5">
        <v>1</v>
      </c>
      <c r="K184" s="5">
        <v>1</v>
      </c>
      <c r="L184" s="4">
        <v>250</v>
      </c>
      <c r="M184" s="4">
        <v>180</v>
      </c>
      <c r="N184" s="4">
        <v>140</v>
      </c>
      <c r="O184" s="6">
        <f t="shared" si="35"/>
        <v>0.22222222222222221</v>
      </c>
      <c r="P184" s="4" t="s">
        <v>2500</v>
      </c>
      <c r="Q184" s="4"/>
      <c r="R184" s="4"/>
      <c r="S184" s="4"/>
      <c r="T184" s="4"/>
      <c r="U184" s="4"/>
      <c r="V184" s="4"/>
      <c r="W184" s="4"/>
      <c r="X184" s="4"/>
      <c r="Y184" s="4">
        <v>210</v>
      </c>
      <c r="Z184" s="4">
        <f t="shared" si="36"/>
        <v>210</v>
      </c>
      <c r="AA184" s="4">
        <v>147</v>
      </c>
      <c r="AB184" s="4">
        <f t="shared" si="37"/>
        <v>147</v>
      </c>
      <c r="AC184" s="4"/>
      <c r="AD184" s="21">
        <f>ROUND(M184*AR184,0)</f>
        <v>189</v>
      </c>
      <c r="AE184" s="6">
        <f>1-AB184/AD184</f>
        <v>0.22222222222222221</v>
      </c>
      <c r="AF184" s="33">
        <v>0</v>
      </c>
      <c r="AG184" s="4">
        <f t="shared" si="38"/>
        <v>350</v>
      </c>
      <c r="AH184" s="33">
        <f t="shared" si="31"/>
        <v>367.5</v>
      </c>
      <c r="AI184" s="6">
        <f>1-AB184/AH184</f>
        <v>0.6</v>
      </c>
      <c r="AJ184" s="7">
        <v>210</v>
      </c>
      <c r="AK184" s="6">
        <f>1-AB184/AJ184</f>
        <v>0.30000000000000004</v>
      </c>
      <c r="AL184" s="4">
        <f>AJ184-AB184</f>
        <v>63</v>
      </c>
      <c r="AM184" s="28"/>
      <c r="AN184" s="6"/>
      <c r="AO184" s="6"/>
      <c r="AP184" s="6">
        <f>Z184/L184</f>
        <v>0.84</v>
      </c>
      <c r="AQ184" s="6">
        <f>AJ184/M184</f>
        <v>1.1666666666666667</v>
      </c>
      <c r="AR184" s="6">
        <f>AB184/N184</f>
        <v>1.05</v>
      </c>
      <c r="AS184" s="4"/>
      <c r="AT184" s="4"/>
      <c r="AU184" s="4"/>
      <c r="AV184" s="4"/>
      <c r="AW184" s="4"/>
      <c r="AX184" s="4"/>
      <c r="AY184" s="4"/>
      <c r="AZ184" s="4"/>
      <c r="BA184" s="4"/>
      <c r="BB184" s="4">
        <v>0</v>
      </c>
      <c r="BC184" s="4" t="s">
        <v>3750</v>
      </c>
      <c r="BD184" s="4">
        <v>1</v>
      </c>
      <c r="BE184" s="4">
        <v>4</v>
      </c>
      <c r="BF184" s="4" t="s">
        <v>3751</v>
      </c>
      <c r="BG184" s="4">
        <v>1400</v>
      </c>
      <c r="BH184" s="4">
        <v>1400</v>
      </c>
      <c r="BI184" s="4">
        <f t="shared" si="39"/>
        <v>350</v>
      </c>
      <c r="BJ184" s="19">
        <v>4</v>
      </c>
      <c r="BK184" s="19">
        <v>8</v>
      </c>
      <c r="BL184" s="16">
        <v>6</v>
      </c>
      <c r="BM184" s="45" t="s">
        <v>3534</v>
      </c>
      <c r="BN184" t="s">
        <v>3534</v>
      </c>
      <c r="BO184" t="str">
        <f t="shared" si="32"/>
        <v>-</v>
      </c>
      <c r="BP184" t="s">
        <v>3534</v>
      </c>
      <c r="BQ184">
        <v>200</v>
      </c>
      <c r="BR184">
        <f t="shared" si="33"/>
        <v>210</v>
      </c>
      <c r="BS184" t="s">
        <v>2678</v>
      </c>
    </row>
    <row r="185" spans="1:71" x14ac:dyDescent="0.4">
      <c r="A185" s="3">
        <v>182</v>
      </c>
      <c r="B185" s="3">
        <v>182</v>
      </c>
      <c r="C185" s="4" t="s">
        <v>244</v>
      </c>
      <c r="D185" s="4" t="str">
        <f t="shared" si="34"/>
        <v>J139WF</v>
      </c>
      <c r="E185" s="4" t="s">
        <v>244</v>
      </c>
      <c r="F185" s="4" t="s">
        <v>1463</v>
      </c>
      <c r="G185" s="5">
        <v>4521718189017</v>
      </c>
      <c r="H185" s="5"/>
      <c r="I185" s="5"/>
      <c r="J185" s="5">
        <v>1</v>
      </c>
      <c r="K185" s="5">
        <v>1</v>
      </c>
      <c r="L185" s="4">
        <v>360</v>
      </c>
      <c r="M185" s="4">
        <v>324</v>
      </c>
      <c r="N185" s="4">
        <v>160</v>
      </c>
      <c r="O185" s="6">
        <f t="shared" si="35"/>
        <v>0.50617283950617287</v>
      </c>
      <c r="P185" s="4" t="s">
        <v>2500</v>
      </c>
      <c r="Q185" s="4"/>
      <c r="R185" s="4"/>
      <c r="S185" s="4"/>
      <c r="T185" s="4"/>
      <c r="U185" s="4"/>
      <c r="V185" s="4"/>
      <c r="W185" s="4"/>
      <c r="X185" s="4"/>
      <c r="Y185" s="4">
        <v>228</v>
      </c>
      <c r="Z185" s="4">
        <f t="shared" si="36"/>
        <v>228</v>
      </c>
      <c r="AA185" s="4">
        <v>160</v>
      </c>
      <c r="AB185" s="4">
        <f t="shared" si="37"/>
        <v>160</v>
      </c>
      <c r="AC185" s="4"/>
      <c r="AD185" s="21">
        <f>ROUND(M185*AR185,0)</f>
        <v>324</v>
      </c>
      <c r="AE185" s="6">
        <f>1-AB185/AD185</f>
        <v>0.50617283950617287</v>
      </c>
      <c r="AF185" s="33">
        <v>0</v>
      </c>
      <c r="AG185" s="4">
        <f t="shared" si="38"/>
        <v>360</v>
      </c>
      <c r="AH185" s="33">
        <f t="shared" si="31"/>
        <v>360</v>
      </c>
      <c r="AI185" s="6">
        <f>1-AB185/AH185</f>
        <v>0.55555555555555558</v>
      </c>
      <c r="AJ185" s="7">
        <v>228</v>
      </c>
      <c r="AK185" s="6">
        <f>1-AB185/AJ185</f>
        <v>0.29824561403508776</v>
      </c>
      <c r="AL185" s="4">
        <f>AJ185-AB185</f>
        <v>68</v>
      </c>
      <c r="AM185" s="28"/>
      <c r="AN185" s="6"/>
      <c r="AO185" s="6"/>
      <c r="AP185" s="6">
        <f>Z185/L185</f>
        <v>0.6333333333333333</v>
      </c>
      <c r="AQ185" s="6">
        <f>AJ185/M185</f>
        <v>0.70370370370370372</v>
      </c>
      <c r="AR185" s="6">
        <f>AB185/N185</f>
        <v>1</v>
      </c>
      <c r="AS185" s="4"/>
      <c r="AT185" s="4"/>
      <c r="AU185" s="4"/>
      <c r="AV185" s="4"/>
      <c r="AW185" s="4"/>
      <c r="AX185" s="4"/>
      <c r="AY185" s="4"/>
      <c r="AZ185" s="4"/>
      <c r="BA185" s="4"/>
      <c r="BB185" s="4">
        <v>0</v>
      </c>
      <c r="BC185" s="4" t="s">
        <v>3752</v>
      </c>
      <c r="BD185" s="4">
        <v>1</v>
      </c>
      <c r="BE185" s="4">
        <v>5</v>
      </c>
      <c r="BF185" s="4" t="s">
        <v>3606</v>
      </c>
      <c r="BG185" s="4">
        <v>1800</v>
      </c>
      <c r="BH185" s="4">
        <v>1800</v>
      </c>
      <c r="BI185" s="4">
        <f t="shared" si="39"/>
        <v>360</v>
      </c>
      <c r="BJ185" s="19">
        <v>4</v>
      </c>
      <c r="BK185" s="19">
        <v>8</v>
      </c>
      <c r="BL185" s="16">
        <v>6</v>
      </c>
      <c r="BM185" s="45" t="s">
        <v>3534</v>
      </c>
      <c r="BN185" t="s">
        <v>3534</v>
      </c>
      <c r="BO185" t="str">
        <f t="shared" si="32"/>
        <v>-</v>
      </c>
      <c r="BP185" t="s">
        <v>3534</v>
      </c>
      <c r="BQ185">
        <v>228</v>
      </c>
      <c r="BR185">
        <f t="shared" si="33"/>
        <v>228</v>
      </c>
      <c r="BS185" t="s">
        <v>2679</v>
      </c>
    </row>
    <row r="186" spans="1:71" x14ac:dyDescent="0.4">
      <c r="A186" s="3">
        <v>183</v>
      </c>
      <c r="B186" s="3">
        <v>183</v>
      </c>
      <c r="C186" s="4" t="s">
        <v>245</v>
      </c>
      <c r="D186" s="4" t="str">
        <f t="shared" si="34"/>
        <v>J140WF</v>
      </c>
      <c r="E186" s="4" t="s">
        <v>245</v>
      </c>
      <c r="F186" s="4" t="s">
        <v>1464</v>
      </c>
      <c r="G186" s="5">
        <v>4521718187839</v>
      </c>
      <c r="H186" s="5"/>
      <c r="I186" s="5"/>
      <c r="J186" s="5">
        <v>1</v>
      </c>
      <c r="K186" s="5">
        <v>1</v>
      </c>
      <c r="L186" s="4">
        <v>150</v>
      </c>
      <c r="M186" s="4">
        <v>135</v>
      </c>
      <c r="N186" s="4">
        <v>65</v>
      </c>
      <c r="O186" s="6">
        <f t="shared" si="35"/>
        <v>0.5185185185185186</v>
      </c>
      <c r="P186" s="4" t="s">
        <v>2500</v>
      </c>
      <c r="Q186" s="4"/>
      <c r="R186" s="4"/>
      <c r="S186" s="4"/>
      <c r="T186" s="4"/>
      <c r="U186" s="4"/>
      <c r="V186" s="4"/>
      <c r="W186" s="4"/>
      <c r="X186" s="4"/>
      <c r="Y186" s="4">
        <v>110</v>
      </c>
      <c r="Z186" s="4">
        <f t="shared" si="36"/>
        <v>110</v>
      </c>
      <c r="AA186" s="4">
        <v>72</v>
      </c>
      <c r="AB186" s="4">
        <f t="shared" si="37"/>
        <v>72</v>
      </c>
      <c r="AC186" s="4"/>
      <c r="AD186" s="21">
        <f>ROUND(M186*AR186,0)</f>
        <v>150</v>
      </c>
      <c r="AE186" s="6">
        <f>1-AB186/AD186</f>
        <v>0.52</v>
      </c>
      <c r="AF186" s="33">
        <v>0</v>
      </c>
      <c r="AG186" s="4">
        <f t="shared" si="38"/>
        <v>150</v>
      </c>
      <c r="AH186" s="33">
        <f t="shared" si="31"/>
        <v>166.15384615384616</v>
      </c>
      <c r="AI186" s="6">
        <f>1-AB186/AH186</f>
        <v>0.56666666666666665</v>
      </c>
      <c r="AJ186" s="7">
        <v>110</v>
      </c>
      <c r="AK186" s="6">
        <f>1-AB186/AJ186</f>
        <v>0.34545454545454546</v>
      </c>
      <c r="AL186" s="4">
        <f>AJ186-AB186</f>
        <v>38</v>
      </c>
      <c r="AM186" s="28"/>
      <c r="AN186" s="6"/>
      <c r="AO186" s="6"/>
      <c r="AP186" s="6">
        <f>Z186/L186</f>
        <v>0.73333333333333328</v>
      </c>
      <c r="AQ186" s="6">
        <f>AJ186/M186</f>
        <v>0.81481481481481477</v>
      </c>
      <c r="AR186" s="6">
        <f>AB186/N186</f>
        <v>1.1076923076923078</v>
      </c>
      <c r="AS186" s="4"/>
      <c r="AT186" s="4"/>
      <c r="AU186" s="4"/>
      <c r="AV186" s="4"/>
      <c r="AW186" s="4"/>
      <c r="AX186" s="4"/>
      <c r="AY186" s="4"/>
      <c r="AZ186" s="4"/>
      <c r="BA186" s="4"/>
      <c r="BB186" s="4">
        <v>0</v>
      </c>
      <c r="BC186" s="4" t="s">
        <v>3753</v>
      </c>
      <c r="BD186" s="4">
        <v>1</v>
      </c>
      <c r="BE186" s="4">
        <v>10</v>
      </c>
      <c r="BF186" s="4" t="s">
        <v>3754</v>
      </c>
      <c r="BG186" s="4">
        <v>1500</v>
      </c>
      <c r="BH186" s="4">
        <v>1500</v>
      </c>
      <c r="BI186" s="4">
        <f t="shared" si="39"/>
        <v>150</v>
      </c>
      <c r="BJ186" s="19">
        <v>4</v>
      </c>
      <c r="BK186" s="19">
        <v>8</v>
      </c>
      <c r="BL186" s="16">
        <v>6</v>
      </c>
      <c r="BM186" s="45" t="s">
        <v>3534</v>
      </c>
      <c r="BN186" t="s">
        <v>3534</v>
      </c>
      <c r="BO186" t="str">
        <f t="shared" si="32"/>
        <v>-</v>
      </c>
      <c r="BP186" t="s">
        <v>3534</v>
      </c>
      <c r="BQ186">
        <v>100</v>
      </c>
      <c r="BR186">
        <f t="shared" si="33"/>
        <v>110.76923076923077</v>
      </c>
      <c r="BS186" t="s">
        <v>2680</v>
      </c>
    </row>
    <row r="187" spans="1:71" x14ac:dyDescent="0.4">
      <c r="A187" s="3">
        <v>184</v>
      </c>
      <c r="B187" s="3">
        <v>184</v>
      </c>
      <c r="C187" s="4" t="s">
        <v>246</v>
      </c>
      <c r="D187" s="4" t="str">
        <f t="shared" si="34"/>
        <v>J138WF</v>
      </c>
      <c r="E187" s="4" t="s">
        <v>246</v>
      </c>
      <c r="F187" s="4" t="s">
        <v>1465</v>
      </c>
      <c r="G187" s="5">
        <v>4521718189000</v>
      </c>
      <c r="H187" s="5"/>
      <c r="I187" s="5"/>
      <c r="J187" s="5">
        <v>1</v>
      </c>
      <c r="K187" s="5">
        <v>1</v>
      </c>
      <c r="L187" s="4">
        <v>360</v>
      </c>
      <c r="M187" s="4">
        <v>324</v>
      </c>
      <c r="N187" s="4">
        <v>160</v>
      </c>
      <c r="O187" s="6">
        <f t="shared" si="35"/>
        <v>0.50617283950617287</v>
      </c>
      <c r="P187" s="4" t="s">
        <v>2500</v>
      </c>
      <c r="Q187" s="4"/>
      <c r="R187" s="4"/>
      <c r="S187" s="4"/>
      <c r="T187" s="4"/>
      <c r="U187" s="4"/>
      <c r="V187" s="4"/>
      <c r="W187" s="4"/>
      <c r="X187" s="4"/>
      <c r="Y187" s="4">
        <v>228</v>
      </c>
      <c r="Z187" s="4">
        <f t="shared" si="36"/>
        <v>228</v>
      </c>
      <c r="AA187" s="4">
        <v>160</v>
      </c>
      <c r="AB187" s="4">
        <f t="shared" si="37"/>
        <v>160</v>
      </c>
      <c r="AC187" s="4"/>
      <c r="AD187" s="21">
        <f>ROUND(M187*AR187,0)</f>
        <v>324</v>
      </c>
      <c r="AE187" s="6">
        <f>1-AB187/AD187</f>
        <v>0.50617283950617287</v>
      </c>
      <c r="AF187" s="33">
        <v>0</v>
      </c>
      <c r="AG187" s="4">
        <f t="shared" si="38"/>
        <v>360</v>
      </c>
      <c r="AH187" s="33">
        <f t="shared" si="31"/>
        <v>360</v>
      </c>
      <c r="AI187" s="6">
        <f>1-AB187/AH187</f>
        <v>0.55555555555555558</v>
      </c>
      <c r="AJ187" s="7">
        <v>228</v>
      </c>
      <c r="AK187" s="6">
        <f>1-AB187/AJ187</f>
        <v>0.29824561403508776</v>
      </c>
      <c r="AL187" s="4">
        <f>AJ187-AB187</f>
        <v>68</v>
      </c>
      <c r="AM187" s="28"/>
      <c r="AN187" s="6"/>
      <c r="AO187" s="6"/>
      <c r="AP187" s="6">
        <f>Z187/L187</f>
        <v>0.6333333333333333</v>
      </c>
      <c r="AQ187" s="6">
        <f>AJ187/M187</f>
        <v>0.70370370370370372</v>
      </c>
      <c r="AR187" s="6">
        <f>AB187/N187</f>
        <v>1</v>
      </c>
      <c r="AS187" s="4"/>
      <c r="AT187" s="4"/>
      <c r="AU187" s="4"/>
      <c r="AV187" s="4"/>
      <c r="AW187" s="4"/>
      <c r="AX187" s="4"/>
      <c r="AY187" s="4"/>
      <c r="AZ187" s="4"/>
      <c r="BA187" s="4"/>
      <c r="BB187" s="4">
        <v>0</v>
      </c>
      <c r="BC187" s="4" t="s">
        <v>3755</v>
      </c>
      <c r="BD187" s="4">
        <v>1</v>
      </c>
      <c r="BE187" s="4">
        <v>5</v>
      </c>
      <c r="BF187" s="4" t="s">
        <v>3606</v>
      </c>
      <c r="BG187" s="4">
        <v>1800</v>
      </c>
      <c r="BH187" s="4">
        <v>1800</v>
      </c>
      <c r="BI187" s="4">
        <f t="shared" si="39"/>
        <v>360</v>
      </c>
      <c r="BJ187" s="19">
        <v>4</v>
      </c>
      <c r="BK187" s="19">
        <v>8</v>
      </c>
      <c r="BL187" s="16">
        <v>6</v>
      </c>
      <c r="BM187" s="45" t="s">
        <v>3534</v>
      </c>
      <c r="BN187" t="s">
        <v>3534</v>
      </c>
      <c r="BO187" t="str">
        <f t="shared" si="32"/>
        <v>-</v>
      </c>
      <c r="BP187" t="s">
        <v>3534</v>
      </c>
      <c r="BQ187">
        <v>228</v>
      </c>
      <c r="BR187">
        <f t="shared" si="33"/>
        <v>228</v>
      </c>
      <c r="BS187" t="s">
        <v>2681</v>
      </c>
    </row>
    <row r="188" spans="1:71" x14ac:dyDescent="0.4">
      <c r="A188" s="3">
        <v>185</v>
      </c>
      <c r="B188" s="3">
        <v>185</v>
      </c>
      <c r="C188" s="4" t="s">
        <v>247</v>
      </c>
      <c r="D188" s="4" t="str">
        <f t="shared" si="34"/>
        <v>J140MD</v>
      </c>
      <c r="E188" s="4" t="s">
        <v>247</v>
      </c>
      <c r="F188" s="4" t="s">
        <v>1466</v>
      </c>
      <c r="G188" s="5">
        <v>4521718150888</v>
      </c>
      <c r="H188" s="5"/>
      <c r="I188" s="5"/>
      <c r="J188" s="5">
        <v>1</v>
      </c>
      <c r="K188" s="5">
        <v>1</v>
      </c>
      <c r="L188" s="4">
        <v>250</v>
      </c>
      <c r="M188" s="4">
        <v>180</v>
      </c>
      <c r="N188" s="4">
        <v>140</v>
      </c>
      <c r="O188" s="6">
        <f t="shared" si="35"/>
        <v>0.22222222222222221</v>
      </c>
      <c r="P188" s="4" t="s">
        <v>2500</v>
      </c>
      <c r="Q188" s="4"/>
      <c r="R188" s="4"/>
      <c r="S188" s="4"/>
      <c r="T188" s="4"/>
      <c r="U188" s="4"/>
      <c r="V188" s="4"/>
      <c r="W188" s="4"/>
      <c r="X188" s="4"/>
      <c r="Y188" s="4">
        <v>210</v>
      </c>
      <c r="Z188" s="4">
        <f t="shared" si="36"/>
        <v>210</v>
      </c>
      <c r="AA188" s="4">
        <v>147</v>
      </c>
      <c r="AB188" s="4">
        <f t="shared" si="37"/>
        <v>147</v>
      </c>
      <c r="AC188" s="4"/>
      <c r="AD188" s="21">
        <f>ROUND(M188*AR188,0)</f>
        <v>189</v>
      </c>
      <c r="AE188" s="6">
        <f>1-AB188/AD188</f>
        <v>0.22222222222222221</v>
      </c>
      <c r="AF188" s="33">
        <v>0</v>
      </c>
      <c r="AG188" s="4">
        <f t="shared" si="38"/>
        <v>350</v>
      </c>
      <c r="AH188" s="33">
        <f t="shared" si="31"/>
        <v>367.5</v>
      </c>
      <c r="AI188" s="6">
        <f>1-AB188/AH188</f>
        <v>0.6</v>
      </c>
      <c r="AJ188" s="7">
        <v>210</v>
      </c>
      <c r="AK188" s="6">
        <f>1-AB188/AJ188</f>
        <v>0.30000000000000004</v>
      </c>
      <c r="AL188" s="4">
        <f>AJ188-AB188</f>
        <v>63</v>
      </c>
      <c r="AM188" s="28"/>
      <c r="AN188" s="6"/>
      <c r="AO188" s="6"/>
      <c r="AP188" s="6">
        <f>Z188/L188</f>
        <v>0.84</v>
      </c>
      <c r="AQ188" s="6">
        <f>AJ188/M188</f>
        <v>1.1666666666666667</v>
      </c>
      <c r="AR188" s="6">
        <f>AB188/N188</f>
        <v>1.05</v>
      </c>
      <c r="AS188" s="4"/>
      <c r="AT188" s="4"/>
      <c r="AU188" s="4"/>
      <c r="AV188" s="4"/>
      <c r="AW188" s="4"/>
      <c r="AX188" s="4"/>
      <c r="AY188" s="4"/>
      <c r="AZ188" s="4"/>
      <c r="BA188" s="4"/>
      <c r="BB188" s="4">
        <v>0</v>
      </c>
      <c r="BC188" s="4" t="s">
        <v>3756</v>
      </c>
      <c r="BD188" s="4">
        <v>1</v>
      </c>
      <c r="BE188" s="4">
        <v>4</v>
      </c>
      <c r="BF188" s="4" t="s">
        <v>3751</v>
      </c>
      <c r="BG188" s="4">
        <v>1400</v>
      </c>
      <c r="BH188" s="4">
        <v>1400</v>
      </c>
      <c r="BI188" s="4">
        <f t="shared" si="39"/>
        <v>350</v>
      </c>
      <c r="BJ188" s="19">
        <v>4</v>
      </c>
      <c r="BK188" s="19">
        <v>8</v>
      </c>
      <c r="BL188" s="16">
        <v>6</v>
      </c>
      <c r="BM188" s="45" t="s">
        <v>3534</v>
      </c>
      <c r="BN188" t="s">
        <v>3534</v>
      </c>
      <c r="BO188" t="str">
        <f t="shared" si="32"/>
        <v>-</v>
      </c>
      <c r="BP188" t="s">
        <v>3534</v>
      </c>
      <c r="BQ188">
        <v>200</v>
      </c>
      <c r="BR188">
        <f t="shared" si="33"/>
        <v>210</v>
      </c>
      <c r="BS188" t="s">
        <v>2682</v>
      </c>
    </row>
    <row r="189" spans="1:71" x14ac:dyDescent="0.4">
      <c r="A189" s="3">
        <v>186</v>
      </c>
      <c r="B189" s="3">
        <v>186</v>
      </c>
      <c r="C189" s="4" t="s">
        <v>248</v>
      </c>
      <c r="D189" s="4" t="str">
        <f t="shared" si="34"/>
        <v>J142WF</v>
      </c>
      <c r="E189" s="4" t="s">
        <v>248</v>
      </c>
      <c r="F189" s="4" t="s">
        <v>1467</v>
      </c>
      <c r="G189" s="5">
        <v>4521718187778</v>
      </c>
      <c r="H189" s="5"/>
      <c r="I189" s="5"/>
      <c r="J189" s="5">
        <v>1</v>
      </c>
      <c r="K189" s="5">
        <v>1</v>
      </c>
      <c r="L189" s="4">
        <v>230</v>
      </c>
      <c r="M189" s="4">
        <v>207</v>
      </c>
      <c r="N189" s="4">
        <v>101</v>
      </c>
      <c r="O189" s="6">
        <f t="shared" si="35"/>
        <v>0.51207729468599039</v>
      </c>
      <c r="P189" s="4" t="s">
        <v>2500</v>
      </c>
      <c r="Q189" s="4"/>
      <c r="R189" s="4"/>
      <c r="S189" s="4"/>
      <c r="T189" s="4"/>
      <c r="U189" s="4"/>
      <c r="V189" s="4"/>
      <c r="W189" s="4"/>
      <c r="X189" s="4"/>
      <c r="Y189" s="4">
        <v>164</v>
      </c>
      <c r="Z189" s="4">
        <f t="shared" si="36"/>
        <v>164</v>
      </c>
      <c r="AA189" s="4">
        <v>107</v>
      </c>
      <c r="AB189" s="4">
        <f t="shared" si="37"/>
        <v>107</v>
      </c>
      <c r="AC189" s="4"/>
      <c r="AD189" s="21">
        <f>ROUND(M189*AR189,0)</f>
        <v>219</v>
      </c>
      <c r="AE189" s="6">
        <f>1-AB189/AD189</f>
        <v>0.51141552511415522</v>
      </c>
      <c r="AF189" s="33">
        <v>0</v>
      </c>
      <c r="AG189" s="4">
        <f t="shared" si="38"/>
        <v>230</v>
      </c>
      <c r="AH189" s="33">
        <f t="shared" si="31"/>
        <v>243.66336633663369</v>
      </c>
      <c r="AI189" s="6">
        <f>1-AB189/AH189</f>
        <v>0.5608695652173914</v>
      </c>
      <c r="AJ189" s="7">
        <v>164</v>
      </c>
      <c r="AK189" s="6">
        <f>1-AB189/AJ189</f>
        <v>0.34756097560975607</v>
      </c>
      <c r="AL189" s="4">
        <f>AJ189-AB189</f>
        <v>57</v>
      </c>
      <c r="AM189" s="28"/>
      <c r="AN189" s="6"/>
      <c r="AO189" s="6"/>
      <c r="AP189" s="6">
        <f>Z189/L189</f>
        <v>0.71304347826086956</v>
      </c>
      <c r="AQ189" s="6">
        <f>AJ189/M189</f>
        <v>0.79227053140096615</v>
      </c>
      <c r="AR189" s="6">
        <f>AB189/N189</f>
        <v>1.0594059405940595</v>
      </c>
      <c r="AS189" s="4"/>
      <c r="AT189" s="4"/>
      <c r="AU189" s="4"/>
      <c r="AV189" s="4"/>
      <c r="AW189" s="4"/>
      <c r="AX189" s="4"/>
      <c r="AY189" s="4"/>
      <c r="AZ189" s="4"/>
      <c r="BA189" s="4"/>
      <c r="BB189" s="4">
        <v>0</v>
      </c>
      <c r="BC189" s="4" t="s">
        <v>3757</v>
      </c>
      <c r="BD189" s="4">
        <v>1</v>
      </c>
      <c r="BE189" s="4">
        <v>7</v>
      </c>
      <c r="BF189" s="4" t="s">
        <v>3758</v>
      </c>
      <c r="BG189" s="4">
        <v>1610</v>
      </c>
      <c r="BH189" s="4">
        <v>1610</v>
      </c>
      <c r="BI189" s="4">
        <f t="shared" si="39"/>
        <v>230</v>
      </c>
      <c r="BJ189" s="19">
        <v>4</v>
      </c>
      <c r="BK189" s="19">
        <v>8</v>
      </c>
      <c r="BL189" s="16">
        <v>6</v>
      </c>
      <c r="BM189" s="45" t="s">
        <v>3534</v>
      </c>
      <c r="BN189" t="s">
        <v>3534</v>
      </c>
      <c r="BO189" t="str">
        <f t="shared" si="32"/>
        <v>-</v>
      </c>
      <c r="BP189" t="s">
        <v>3534</v>
      </c>
      <c r="BQ189">
        <v>155</v>
      </c>
      <c r="BR189">
        <f t="shared" si="33"/>
        <v>164.20792079207922</v>
      </c>
      <c r="BS189" t="s">
        <v>2683</v>
      </c>
    </row>
    <row r="190" spans="1:71" x14ac:dyDescent="0.4">
      <c r="A190" s="3">
        <v>187</v>
      </c>
      <c r="B190" s="3">
        <v>187</v>
      </c>
      <c r="C190" s="4" t="s">
        <v>249</v>
      </c>
      <c r="D190" s="4" t="str">
        <f t="shared" si="34"/>
        <v>J143WF</v>
      </c>
      <c r="E190" s="4" t="s">
        <v>249</v>
      </c>
      <c r="F190" s="4" t="s">
        <v>1468</v>
      </c>
      <c r="G190" s="5">
        <v>4521718189901</v>
      </c>
      <c r="H190" s="5"/>
      <c r="I190" s="5"/>
      <c r="J190" s="5">
        <v>1</v>
      </c>
      <c r="K190" s="5">
        <v>1</v>
      </c>
      <c r="L190" s="4">
        <v>370</v>
      </c>
      <c r="M190" s="4">
        <v>333</v>
      </c>
      <c r="N190" s="4">
        <v>166</v>
      </c>
      <c r="O190" s="6">
        <f t="shared" si="35"/>
        <v>0.50150150150150152</v>
      </c>
      <c r="P190" s="4" t="s">
        <v>2500</v>
      </c>
      <c r="Q190" s="4"/>
      <c r="R190" s="4"/>
      <c r="S190" s="4"/>
      <c r="T190" s="4"/>
      <c r="U190" s="4"/>
      <c r="V190" s="4"/>
      <c r="W190" s="4"/>
      <c r="X190" s="4"/>
      <c r="Y190" s="4">
        <v>246</v>
      </c>
      <c r="Z190" s="4">
        <f t="shared" si="36"/>
        <v>246</v>
      </c>
      <c r="AA190" s="4">
        <v>172</v>
      </c>
      <c r="AB190" s="4">
        <f t="shared" si="37"/>
        <v>172</v>
      </c>
      <c r="AC190" s="4"/>
      <c r="AD190" s="21">
        <f>ROUND(M190*AR190,0)</f>
        <v>345</v>
      </c>
      <c r="AE190" s="6">
        <f>1-AB190/AD190</f>
        <v>0.50144927536231876</v>
      </c>
      <c r="AF190" s="33">
        <v>0</v>
      </c>
      <c r="AG190" s="4">
        <f t="shared" si="38"/>
        <v>370</v>
      </c>
      <c r="AH190" s="33">
        <f t="shared" si="31"/>
        <v>383.37349397590361</v>
      </c>
      <c r="AI190" s="6">
        <f>1-AB190/AH190</f>
        <v>0.55135135135135127</v>
      </c>
      <c r="AJ190" s="7">
        <v>246</v>
      </c>
      <c r="AK190" s="6">
        <f>1-AB190/AJ190</f>
        <v>0.30081300813008127</v>
      </c>
      <c r="AL190" s="4">
        <f>AJ190-AB190</f>
        <v>74</v>
      </c>
      <c r="AM190" s="28"/>
      <c r="AN190" s="6"/>
      <c r="AO190" s="6"/>
      <c r="AP190" s="6">
        <f>Z190/L190</f>
        <v>0.66486486486486485</v>
      </c>
      <c r="AQ190" s="6">
        <f>AJ190/M190</f>
        <v>0.73873873873873874</v>
      </c>
      <c r="AR190" s="6">
        <f>AB190/N190</f>
        <v>1.036144578313253</v>
      </c>
      <c r="AS190" s="4"/>
      <c r="AT190" s="4"/>
      <c r="AU190" s="4"/>
      <c r="AV190" s="4"/>
      <c r="AW190" s="4"/>
      <c r="AX190" s="4"/>
      <c r="AY190" s="4"/>
      <c r="AZ190" s="4"/>
      <c r="BA190" s="4"/>
      <c r="BB190" s="4">
        <v>0</v>
      </c>
      <c r="BC190" s="4" t="s">
        <v>3759</v>
      </c>
      <c r="BD190" s="4">
        <v>1</v>
      </c>
      <c r="BE190" s="4">
        <v>5</v>
      </c>
      <c r="BF190" s="4" t="s">
        <v>3606</v>
      </c>
      <c r="BG190" s="4">
        <v>1850</v>
      </c>
      <c r="BH190" s="4">
        <v>1850</v>
      </c>
      <c r="BI190" s="4">
        <f t="shared" si="39"/>
        <v>370</v>
      </c>
      <c r="BJ190" s="19">
        <v>4</v>
      </c>
      <c r="BK190" s="19">
        <v>8</v>
      </c>
      <c r="BL190" s="16">
        <v>6</v>
      </c>
      <c r="BM190" s="45" t="s">
        <v>3534</v>
      </c>
      <c r="BN190" t="s">
        <v>3534</v>
      </c>
      <c r="BO190" t="str">
        <f t="shared" si="32"/>
        <v>-</v>
      </c>
      <c r="BP190" t="s">
        <v>3534</v>
      </c>
      <c r="BQ190">
        <v>237</v>
      </c>
      <c r="BR190">
        <f t="shared" si="33"/>
        <v>245.56626506024097</v>
      </c>
      <c r="BS190" t="s">
        <v>2684</v>
      </c>
    </row>
    <row r="191" spans="1:71" x14ac:dyDescent="0.4">
      <c r="A191" s="3">
        <v>188</v>
      </c>
      <c r="B191" s="3">
        <v>188</v>
      </c>
      <c r="C191" s="4" t="s">
        <v>250</v>
      </c>
      <c r="D191" s="4" t="str">
        <f t="shared" si="34"/>
        <v>J141WF</v>
      </c>
      <c r="E191" s="4" t="s">
        <v>250</v>
      </c>
      <c r="F191" s="4" t="s">
        <v>1469</v>
      </c>
      <c r="G191" s="5">
        <v>4521718187761</v>
      </c>
      <c r="H191" s="5"/>
      <c r="I191" s="5"/>
      <c r="J191" s="5">
        <v>1</v>
      </c>
      <c r="K191" s="5">
        <v>1</v>
      </c>
      <c r="L191" s="4">
        <v>230</v>
      </c>
      <c r="M191" s="4">
        <v>207</v>
      </c>
      <c r="N191" s="4">
        <v>101</v>
      </c>
      <c r="O191" s="6">
        <f t="shared" si="35"/>
        <v>0.51207729468599039</v>
      </c>
      <c r="P191" s="4" t="s">
        <v>2500</v>
      </c>
      <c r="Q191" s="4"/>
      <c r="R191" s="4"/>
      <c r="S191" s="4"/>
      <c r="T191" s="4"/>
      <c r="U191" s="4"/>
      <c r="V191" s="4"/>
      <c r="W191" s="4"/>
      <c r="X191" s="4"/>
      <c r="Y191" s="4">
        <v>164</v>
      </c>
      <c r="Z191" s="4">
        <f t="shared" si="36"/>
        <v>164</v>
      </c>
      <c r="AA191" s="4">
        <v>107</v>
      </c>
      <c r="AB191" s="4">
        <f t="shared" si="37"/>
        <v>107</v>
      </c>
      <c r="AC191" s="4"/>
      <c r="AD191" s="21">
        <f>ROUND(M191*AR191,0)</f>
        <v>219</v>
      </c>
      <c r="AE191" s="6">
        <f>1-AB191/AD191</f>
        <v>0.51141552511415522</v>
      </c>
      <c r="AF191" s="33">
        <v>1.7500000000000002</v>
      </c>
      <c r="AG191" s="4">
        <f t="shared" si="38"/>
        <v>230</v>
      </c>
      <c r="AH191" s="33">
        <f t="shared" si="31"/>
        <v>243.66336633663369</v>
      </c>
      <c r="AI191" s="6">
        <f>1-AB191/AH191</f>
        <v>0.5608695652173914</v>
      </c>
      <c r="AJ191" s="7">
        <v>164</v>
      </c>
      <c r="AK191" s="6">
        <f>1-AB191/AJ191</f>
        <v>0.34756097560975607</v>
      </c>
      <c r="AL191" s="4">
        <f>AJ191-AB191</f>
        <v>57</v>
      </c>
      <c r="AM191" s="28"/>
      <c r="AN191" s="6"/>
      <c r="AO191" s="6"/>
      <c r="AP191" s="6">
        <f>Z191/L191</f>
        <v>0.71304347826086956</v>
      </c>
      <c r="AQ191" s="6">
        <f>AJ191/M191</f>
        <v>0.79227053140096615</v>
      </c>
      <c r="AR191" s="6">
        <f>AB191/N191</f>
        <v>1.0594059405940595</v>
      </c>
      <c r="AS191" s="4"/>
      <c r="AT191" s="4"/>
      <c r="AU191" s="4"/>
      <c r="AV191" s="4"/>
      <c r="AW191" s="4"/>
      <c r="AX191" s="4"/>
      <c r="AY191" s="4"/>
      <c r="AZ191" s="4"/>
      <c r="BA191" s="4"/>
      <c r="BB191" s="4">
        <v>0</v>
      </c>
      <c r="BC191" s="4" t="s">
        <v>3760</v>
      </c>
      <c r="BD191" s="4">
        <v>1</v>
      </c>
      <c r="BE191" s="4">
        <v>7</v>
      </c>
      <c r="BF191" s="4" t="s">
        <v>3758</v>
      </c>
      <c r="BG191" s="4">
        <v>1610</v>
      </c>
      <c r="BH191" s="4">
        <v>1610</v>
      </c>
      <c r="BI191" s="4">
        <f t="shared" si="39"/>
        <v>230</v>
      </c>
      <c r="BJ191" s="19">
        <v>4</v>
      </c>
      <c r="BK191" s="19">
        <v>8</v>
      </c>
      <c r="BL191" s="16">
        <v>6</v>
      </c>
      <c r="BM191" s="45" t="s">
        <v>3534</v>
      </c>
      <c r="BN191" t="s">
        <v>3534</v>
      </c>
      <c r="BO191" t="str">
        <f t="shared" si="32"/>
        <v>-</v>
      </c>
      <c r="BP191" t="s">
        <v>3534</v>
      </c>
      <c r="BQ191">
        <v>155</v>
      </c>
      <c r="BR191">
        <f t="shared" si="33"/>
        <v>164.20792079207922</v>
      </c>
      <c r="BS191" t="s">
        <v>2685</v>
      </c>
    </row>
    <row r="192" spans="1:71" x14ac:dyDescent="0.4">
      <c r="A192" s="3">
        <v>189</v>
      </c>
      <c r="B192" s="3">
        <v>189</v>
      </c>
      <c r="C192" s="4" t="s">
        <v>251</v>
      </c>
      <c r="D192" s="4" t="str">
        <f t="shared" si="34"/>
        <v>J143MD</v>
      </c>
      <c r="E192" s="4" t="s">
        <v>251</v>
      </c>
      <c r="F192" s="4" t="s">
        <v>1470</v>
      </c>
      <c r="G192" s="5">
        <v>4521718150918</v>
      </c>
      <c r="H192" s="5"/>
      <c r="I192" s="5"/>
      <c r="J192" s="5">
        <v>1</v>
      </c>
      <c r="K192" s="5">
        <v>1</v>
      </c>
      <c r="L192" s="4">
        <v>430</v>
      </c>
      <c r="M192" s="4">
        <v>250</v>
      </c>
      <c r="N192" s="4">
        <v>191</v>
      </c>
      <c r="O192" s="6">
        <f t="shared" si="35"/>
        <v>0.23599999999999999</v>
      </c>
      <c r="P192" s="4" t="s">
        <v>2500</v>
      </c>
      <c r="Q192" s="4"/>
      <c r="R192" s="4"/>
      <c r="S192" s="4"/>
      <c r="T192" s="4"/>
      <c r="U192" s="4"/>
      <c r="V192" s="4"/>
      <c r="W192" s="4"/>
      <c r="X192" s="4"/>
      <c r="Y192" s="4">
        <v>273</v>
      </c>
      <c r="Z192" s="4">
        <f t="shared" si="36"/>
        <v>273</v>
      </c>
      <c r="AA192" s="4">
        <v>191</v>
      </c>
      <c r="AB192" s="4">
        <f t="shared" si="37"/>
        <v>191</v>
      </c>
      <c r="AC192" s="4"/>
      <c r="AD192" s="21">
        <f>ROUND(M192*AR192,0)</f>
        <v>250</v>
      </c>
      <c r="AE192" s="6">
        <f>1-AB192/AD192</f>
        <v>0.23599999999999999</v>
      </c>
      <c r="AF192" s="33">
        <v>0</v>
      </c>
      <c r="AG192" s="4">
        <f t="shared" si="38"/>
        <v>450</v>
      </c>
      <c r="AH192" s="33">
        <f t="shared" si="31"/>
        <v>450</v>
      </c>
      <c r="AI192" s="6">
        <f>1-AB192/AH192</f>
        <v>0.5755555555555556</v>
      </c>
      <c r="AJ192" s="7">
        <v>273</v>
      </c>
      <c r="AK192" s="6">
        <f>1-AB192/AJ192</f>
        <v>0.30036630036630041</v>
      </c>
      <c r="AL192" s="4">
        <f>AJ192-AB192</f>
        <v>82</v>
      </c>
      <c r="AM192" s="28"/>
      <c r="AN192" s="6"/>
      <c r="AO192" s="6"/>
      <c r="AP192" s="6">
        <f>Z192/L192</f>
        <v>0.6348837209302326</v>
      </c>
      <c r="AQ192" s="6">
        <f>AJ192/M192</f>
        <v>1.0920000000000001</v>
      </c>
      <c r="AR192" s="6">
        <f>AB192/N192</f>
        <v>1</v>
      </c>
      <c r="AS192" s="4"/>
      <c r="AT192" s="4"/>
      <c r="AU192" s="4"/>
      <c r="AV192" s="4"/>
      <c r="AW192" s="4"/>
      <c r="AX192" s="4"/>
      <c r="AY192" s="4"/>
      <c r="AZ192" s="4"/>
      <c r="BA192" s="4"/>
      <c r="BB192" s="4">
        <v>0</v>
      </c>
      <c r="BC192" s="4" t="s">
        <v>3761</v>
      </c>
      <c r="BD192" s="4">
        <v>1</v>
      </c>
      <c r="BE192" s="4">
        <v>3</v>
      </c>
      <c r="BF192" s="4" t="s">
        <v>3638</v>
      </c>
      <c r="BG192" s="4">
        <v>1350</v>
      </c>
      <c r="BH192" s="4">
        <v>1350</v>
      </c>
      <c r="BI192" s="4">
        <f t="shared" si="39"/>
        <v>450</v>
      </c>
      <c r="BJ192" s="19">
        <v>4</v>
      </c>
      <c r="BK192" s="19">
        <v>8</v>
      </c>
      <c r="BL192" s="16">
        <v>6</v>
      </c>
      <c r="BM192" s="45" t="s">
        <v>3534</v>
      </c>
      <c r="BN192" t="s">
        <v>3534</v>
      </c>
      <c r="BO192" t="str">
        <f t="shared" si="32"/>
        <v>-</v>
      </c>
      <c r="BP192" t="s">
        <v>3534</v>
      </c>
      <c r="BQ192">
        <v>273</v>
      </c>
      <c r="BR192">
        <f t="shared" si="33"/>
        <v>273</v>
      </c>
      <c r="BS192" t="s">
        <v>2686</v>
      </c>
    </row>
    <row r="193" spans="1:71" x14ac:dyDescent="0.4">
      <c r="A193" s="3">
        <v>190</v>
      </c>
      <c r="B193" s="3">
        <v>190</v>
      </c>
      <c r="C193" s="4" t="s">
        <v>252</v>
      </c>
      <c r="D193" s="4" t="str">
        <f t="shared" si="34"/>
        <v>J144WF</v>
      </c>
      <c r="E193" s="4" t="s">
        <v>252</v>
      </c>
      <c r="F193" s="4" t="s">
        <v>1471</v>
      </c>
      <c r="G193" s="5">
        <v>4521718189918</v>
      </c>
      <c r="H193" s="5"/>
      <c r="I193" s="5"/>
      <c r="J193" s="5">
        <v>1</v>
      </c>
      <c r="K193" s="5">
        <v>1</v>
      </c>
      <c r="L193" s="4">
        <v>370</v>
      </c>
      <c r="M193" s="4">
        <v>333</v>
      </c>
      <c r="N193" s="4">
        <v>166</v>
      </c>
      <c r="O193" s="6">
        <f t="shared" si="35"/>
        <v>0.50150150150150152</v>
      </c>
      <c r="P193" s="4" t="s">
        <v>2500</v>
      </c>
      <c r="Q193" s="4"/>
      <c r="R193" s="4"/>
      <c r="S193" s="4"/>
      <c r="T193" s="4"/>
      <c r="U193" s="4"/>
      <c r="V193" s="4"/>
      <c r="W193" s="4"/>
      <c r="X193" s="4"/>
      <c r="Y193" s="4">
        <v>246</v>
      </c>
      <c r="Z193" s="4">
        <f t="shared" si="36"/>
        <v>246</v>
      </c>
      <c r="AA193" s="4">
        <v>172</v>
      </c>
      <c r="AB193" s="4">
        <f t="shared" si="37"/>
        <v>172</v>
      </c>
      <c r="AC193" s="4"/>
      <c r="AD193" s="21">
        <f>ROUND(M193*AR193,0)</f>
        <v>345</v>
      </c>
      <c r="AE193" s="6">
        <f>1-AB193/AD193</f>
        <v>0.50144927536231876</v>
      </c>
      <c r="AF193" s="33">
        <v>0</v>
      </c>
      <c r="AG193" s="4">
        <f t="shared" si="38"/>
        <v>370</v>
      </c>
      <c r="AH193" s="33">
        <f t="shared" si="31"/>
        <v>383.37349397590361</v>
      </c>
      <c r="AI193" s="6">
        <f>1-AB193/AH193</f>
        <v>0.55135135135135127</v>
      </c>
      <c r="AJ193" s="7">
        <v>246</v>
      </c>
      <c r="AK193" s="6">
        <f>1-AB193/AJ193</f>
        <v>0.30081300813008127</v>
      </c>
      <c r="AL193" s="4">
        <f>AJ193-AB193</f>
        <v>74</v>
      </c>
      <c r="AM193" s="28"/>
      <c r="AN193" s="6"/>
      <c r="AO193" s="6"/>
      <c r="AP193" s="6">
        <f>Z193/L193</f>
        <v>0.66486486486486485</v>
      </c>
      <c r="AQ193" s="6">
        <f>AJ193/M193</f>
        <v>0.73873873873873874</v>
      </c>
      <c r="AR193" s="6">
        <f>AB193/N193</f>
        <v>1.036144578313253</v>
      </c>
      <c r="AS193" s="4"/>
      <c r="AT193" s="4"/>
      <c r="AU193" s="4"/>
      <c r="AV193" s="4"/>
      <c r="AW193" s="4"/>
      <c r="AX193" s="4"/>
      <c r="AY193" s="4"/>
      <c r="AZ193" s="4"/>
      <c r="BA193" s="4"/>
      <c r="BB193" s="4">
        <v>0</v>
      </c>
      <c r="BC193" s="4" t="s">
        <v>3762</v>
      </c>
      <c r="BD193" s="4">
        <v>1</v>
      </c>
      <c r="BE193" s="4">
        <v>5</v>
      </c>
      <c r="BF193" s="4" t="s">
        <v>3606</v>
      </c>
      <c r="BG193" s="4">
        <v>1850</v>
      </c>
      <c r="BH193" s="4">
        <v>1850</v>
      </c>
      <c r="BI193" s="4">
        <f t="shared" si="39"/>
        <v>370</v>
      </c>
      <c r="BJ193" s="19">
        <v>4</v>
      </c>
      <c r="BK193" s="19">
        <v>8</v>
      </c>
      <c r="BL193" s="16">
        <v>6</v>
      </c>
      <c r="BM193" s="45" t="s">
        <v>3534</v>
      </c>
      <c r="BN193" t="s">
        <v>3534</v>
      </c>
      <c r="BO193" t="str">
        <f t="shared" si="32"/>
        <v>-</v>
      </c>
      <c r="BP193" t="s">
        <v>3534</v>
      </c>
      <c r="BQ193">
        <v>237</v>
      </c>
      <c r="BR193">
        <f t="shared" si="33"/>
        <v>245.56626506024097</v>
      </c>
      <c r="BS193" t="s">
        <v>2687</v>
      </c>
    </row>
    <row r="194" spans="1:71" x14ac:dyDescent="0.4">
      <c r="A194" s="3">
        <v>191</v>
      </c>
      <c r="B194" s="3">
        <v>191</v>
      </c>
      <c r="C194" s="4" t="s">
        <v>253</v>
      </c>
      <c r="D194" s="4" t="str">
        <f t="shared" si="34"/>
        <v>J146WF</v>
      </c>
      <c r="E194" s="4" t="s">
        <v>253</v>
      </c>
      <c r="F194" s="4" t="s">
        <v>1472</v>
      </c>
      <c r="G194" s="5">
        <v>4521718189932</v>
      </c>
      <c r="H194" s="5"/>
      <c r="I194" s="5"/>
      <c r="J194" s="5">
        <v>1</v>
      </c>
      <c r="K194" s="5">
        <v>1</v>
      </c>
      <c r="L194" s="4">
        <v>370</v>
      </c>
      <c r="M194" s="4">
        <v>333</v>
      </c>
      <c r="N194" s="4">
        <v>166</v>
      </c>
      <c r="O194" s="6">
        <f t="shared" si="35"/>
        <v>0.50150150150150152</v>
      </c>
      <c r="P194" s="4" t="s">
        <v>2500</v>
      </c>
      <c r="Q194" s="4"/>
      <c r="R194" s="4"/>
      <c r="S194" s="4"/>
      <c r="T194" s="4"/>
      <c r="U194" s="4"/>
      <c r="V194" s="4"/>
      <c r="W194" s="4"/>
      <c r="X194" s="4"/>
      <c r="Y194" s="4">
        <v>246</v>
      </c>
      <c r="Z194" s="4">
        <f t="shared" si="36"/>
        <v>246</v>
      </c>
      <c r="AA194" s="4">
        <v>172</v>
      </c>
      <c r="AB194" s="4">
        <f t="shared" si="37"/>
        <v>172</v>
      </c>
      <c r="AC194" s="4"/>
      <c r="AD194" s="21">
        <f>ROUND(M194*AR194,0)</f>
        <v>345</v>
      </c>
      <c r="AE194" s="6">
        <f>1-AB194/AD194</f>
        <v>0.50144927536231876</v>
      </c>
      <c r="AF194" s="33">
        <v>0</v>
      </c>
      <c r="AG194" s="4">
        <f t="shared" si="38"/>
        <v>370</v>
      </c>
      <c r="AH194" s="33">
        <f t="shared" si="31"/>
        <v>383.37349397590361</v>
      </c>
      <c r="AI194" s="6">
        <f>1-AB194/AH194</f>
        <v>0.55135135135135127</v>
      </c>
      <c r="AJ194" s="7">
        <v>246</v>
      </c>
      <c r="AK194" s="6">
        <f>1-AB194/AJ194</f>
        <v>0.30081300813008127</v>
      </c>
      <c r="AL194" s="4">
        <f>AJ194-AB194</f>
        <v>74</v>
      </c>
      <c r="AM194" s="28"/>
      <c r="AN194" s="6"/>
      <c r="AO194" s="6"/>
      <c r="AP194" s="6">
        <f>Z194/L194</f>
        <v>0.66486486486486485</v>
      </c>
      <c r="AQ194" s="6">
        <f>AJ194/M194</f>
        <v>0.73873873873873874</v>
      </c>
      <c r="AR194" s="6">
        <f>AB194/N194</f>
        <v>1.036144578313253</v>
      </c>
      <c r="AS194" s="4"/>
      <c r="AT194" s="4"/>
      <c r="AU194" s="4"/>
      <c r="AV194" s="4"/>
      <c r="AW194" s="4"/>
      <c r="AX194" s="4"/>
      <c r="AY194" s="4"/>
      <c r="AZ194" s="4"/>
      <c r="BA194" s="4"/>
      <c r="BB194" s="4">
        <v>0</v>
      </c>
      <c r="BC194" s="4" t="s">
        <v>3763</v>
      </c>
      <c r="BD194" s="4">
        <v>1</v>
      </c>
      <c r="BE194" s="4">
        <v>5</v>
      </c>
      <c r="BF194" s="4" t="s">
        <v>3606</v>
      </c>
      <c r="BG194" s="4">
        <v>1850</v>
      </c>
      <c r="BH194" s="4">
        <v>1850</v>
      </c>
      <c r="BI194" s="4">
        <f t="shared" si="39"/>
        <v>370</v>
      </c>
      <c r="BJ194" s="19">
        <v>4</v>
      </c>
      <c r="BK194" s="19">
        <v>8</v>
      </c>
      <c r="BL194" s="16">
        <v>6</v>
      </c>
      <c r="BM194" s="45" t="s">
        <v>3534</v>
      </c>
      <c r="BN194" t="s">
        <v>3534</v>
      </c>
      <c r="BO194" t="str">
        <f t="shared" si="32"/>
        <v>-</v>
      </c>
      <c r="BP194" t="s">
        <v>3534</v>
      </c>
      <c r="BQ194">
        <v>237</v>
      </c>
      <c r="BR194">
        <f t="shared" si="33"/>
        <v>245.56626506024097</v>
      </c>
      <c r="BS194" t="s">
        <v>2688</v>
      </c>
    </row>
    <row r="195" spans="1:71" x14ac:dyDescent="0.4">
      <c r="A195" s="3">
        <v>192</v>
      </c>
      <c r="B195" s="3">
        <v>192</v>
      </c>
      <c r="C195" s="4" t="s">
        <v>254</v>
      </c>
      <c r="D195" s="4" t="str">
        <f t="shared" si="34"/>
        <v>J147WF</v>
      </c>
      <c r="E195" s="4" t="s">
        <v>254</v>
      </c>
      <c r="F195" s="4" t="s">
        <v>1473</v>
      </c>
      <c r="G195" s="5">
        <v>4521718189949</v>
      </c>
      <c r="H195" s="5"/>
      <c r="I195" s="5"/>
      <c r="J195" s="5">
        <v>1</v>
      </c>
      <c r="K195" s="5">
        <v>1</v>
      </c>
      <c r="L195" s="4">
        <v>370</v>
      </c>
      <c r="M195" s="4">
        <v>333</v>
      </c>
      <c r="N195" s="4">
        <v>166</v>
      </c>
      <c r="O195" s="6">
        <f t="shared" si="35"/>
        <v>0.50150150150150152</v>
      </c>
      <c r="P195" s="4" t="s">
        <v>2500</v>
      </c>
      <c r="Q195" s="4"/>
      <c r="R195" s="4"/>
      <c r="S195" s="4"/>
      <c r="T195" s="4"/>
      <c r="U195" s="4"/>
      <c r="V195" s="4"/>
      <c r="W195" s="4"/>
      <c r="X195" s="4"/>
      <c r="Y195" s="4">
        <v>246</v>
      </c>
      <c r="Z195" s="4">
        <f t="shared" si="36"/>
        <v>246</v>
      </c>
      <c r="AA195" s="4">
        <v>172</v>
      </c>
      <c r="AB195" s="4">
        <f t="shared" si="37"/>
        <v>172</v>
      </c>
      <c r="AC195" s="4"/>
      <c r="AD195" s="21">
        <f>ROUND(M195*AR195,0)</f>
        <v>345</v>
      </c>
      <c r="AE195" s="6">
        <f>1-AB195/AD195</f>
        <v>0.50144927536231876</v>
      </c>
      <c r="AF195" s="33">
        <v>0</v>
      </c>
      <c r="AG195" s="4">
        <f t="shared" si="38"/>
        <v>370</v>
      </c>
      <c r="AH195" s="33">
        <f t="shared" si="31"/>
        <v>383.37349397590361</v>
      </c>
      <c r="AI195" s="6">
        <f>1-AB195/AH195</f>
        <v>0.55135135135135127</v>
      </c>
      <c r="AJ195" s="7">
        <v>246</v>
      </c>
      <c r="AK195" s="6">
        <f>1-AB195/AJ195</f>
        <v>0.30081300813008127</v>
      </c>
      <c r="AL195" s="4">
        <f>AJ195-AB195</f>
        <v>74</v>
      </c>
      <c r="AM195" s="28"/>
      <c r="AN195" s="6"/>
      <c r="AO195" s="6"/>
      <c r="AP195" s="6">
        <f>Z195/L195</f>
        <v>0.66486486486486485</v>
      </c>
      <c r="AQ195" s="6">
        <f>AJ195/M195</f>
        <v>0.73873873873873874</v>
      </c>
      <c r="AR195" s="6">
        <f>AB195/N195</f>
        <v>1.036144578313253</v>
      </c>
      <c r="AS195" s="4"/>
      <c r="AT195" s="4"/>
      <c r="AU195" s="4"/>
      <c r="AV195" s="4"/>
      <c r="AW195" s="4"/>
      <c r="AX195" s="4"/>
      <c r="AY195" s="4"/>
      <c r="AZ195" s="4"/>
      <c r="BA195" s="4"/>
      <c r="BB195" s="4">
        <v>0</v>
      </c>
      <c r="BC195" s="4" t="s">
        <v>3764</v>
      </c>
      <c r="BD195" s="4">
        <v>1</v>
      </c>
      <c r="BE195" s="4">
        <v>5</v>
      </c>
      <c r="BF195" s="4" t="s">
        <v>3606</v>
      </c>
      <c r="BG195" s="4">
        <v>1850</v>
      </c>
      <c r="BH195" s="4">
        <v>1850</v>
      </c>
      <c r="BI195" s="4">
        <f t="shared" si="39"/>
        <v>370</v>
      </c>
      <c r="BJ195" s="19">
        <v>4</v>
      </c>
      <c r="BK195" s="19">
        <v>8</v>
      </c>
      <c r="BL195" s="16">
        <v>6</v>
      </c>
      <c r="BM195" s="45" t="s">
        <v>3534</v>
      </c>
      <c r="BN195" t="s">
        <v>3534</v>
      </c>
      <c r="BO195" t="str">
        <f t="shared" si="32"/>
        <v>-</v>
      </c>
      <c r="BP195" t="s">
        <v>3534</v>
      </c>
      <c r="BQ195">
        <v>237</v>
      </c>
      <c r="BR195">
        <f t="shared" si="33"/>
        <v>245.56626506024097</v>
      </c>
      <c r="BS195" t="s">
        <v>2689</v>
      </c>
    </row>
    <row r="196" spans="1:71" x14ac:dyDescent="0.4">
      <c r="A196" s="3">
        <v>193</v>
      </c>
      <c r="B196" s="3">
        <v>193</v>
      </c>
      <c r="C196" s="4" t="s">
        <v>255</v>
      </c>
      <c r="D196" s="4" t="str">
        <f t="shared" si="34"/>
        <v>J145WF</v>
      </c>
      <c r="E196" s="4" t="s">
        <v>255</v>
      </c>
      <c r="F196" s="4" t="s">
        <v>1474</v>
      </c>
      <c r="G196" s="5">
        <v>4521718189925</v>
      </c>
      <c r="H196" s="5"/>
      <c r="I196" s="5"/>
      <c r="J196" s="5">
        <v>1</v>
      </c>
      <c r="K196" s="5">
        <v>1</v>
      </c>
      <c r="L196" s="4">
        <v>370</v>
      </c>
      <c r="M196" s="4">
        <v>333</v>
      </c>
      <c r="N196" s="4">
        <v>166</v>
      </c>
      <c r="O196" s="6">
        <f t="shared" si="35"/>
        <v>0.50150150150150152</v>
      </c>
      <c r="P196" s="4" t="s">
        <v>2500</v>
      </c>
      <c r="Q196" s="4"/>
      <c r="R196" s="4"/>
      <c r="S196" s="4"/>
      <c r="T196" s="4"/>
      <c r="U196" s="4"/>
      <c r="V196" s="4"/>
      <c r="W196" s="4"/>
      <c r="X196" s="4"/>
      <c r="Y196" s="4">
        <v>246</v>
      </c>
      <c r="Z196" s="4">
        <f t="shared" si="36"/>
        <v>246</v>
      </c>
      <c r="AA196" s="4">
        <v>172</v>
      </c>
      <c r="AB196" s="4">
        <f t="shared" si="37"/>
        <v>172</v>
      </c>
      <c r="AC196" s="4"/>
      <c r="AD196" s="21">
        <f>ROUND(M196*AR196,0)</f>
        <v>345</v>
      </c>
      <c r="AE196" s="6">
        <f>1-AB196/AD196</f>
        <v>0.50144927536231876</v>
      </c>
      <c r="AF196" s="33">
        <v>0</v>
      </c>
      <c r="AG196" s="4">
        <f t="shared" si="38"/>
        <v>370</v>
      </c>
      <c r="AH196" s="33">
        <f t="shared" ref="AH196:AH259" si="40">AG196*AR196</f>
        <v>383.37349397590361</v>
      </c>
      <c r="AI196" s="6">
        <f>1-AB196/AH196</f>
        <v>0.55135135135135127</v>
      </c>
      <c r="AJ196" s="7">
        <v>246</v>
      </c>
      <c r="AK196" s="6">
        <f>1-AB196/AJ196</f>
        <v>0.30081300813008127</v>
      </c>
      <c r="AL196" s="4">
        <f>AJ196-AB196</f>
        <v>74</v>
      </c>
      <c r="AM196" s="28"/>
      <c r="AN196" s="6"/>
      <c r="AO196" s="6"/>
      <c r="AP196" s="6">
        <f>Z196/L196</f>
        <v>0.66486486486486485</v>
      </c>
      <c r="AQ196" s="6">
        <f>AJ196/M196</f>
        <v>0.73873873873873874</v>
      </c>
      <c r="AR196" s="6">
        <f>AB196/N196</f>
        <v>1.036144578313253</v>
      </c>
      <c r="AS196" s="4"/>
      <c r="AT196" s="4"/>
      <c r="AU196" s="4"/>
      <c r="AV196" s="4"/>
      <c r="AW196" s="4"/>
      <c r="AX196" s="4"/>
      <c r="AY196" s="4"/>
      <c r="AZ196" s="4"/>
      <c r="BA196" s="4"/>
      <c r="BB196" s="4">
        <v>0</v>
      </c>
      <c r="BC196" s="4" t="s">
        <v>3765</v>
      </c>
      <c r="BD196" s="4">
        <v>1</v>
      </c>
      <c r="BE196" s="4">
        <v>5</v>
      </c>
      <c r="BF196" s="4" t="s">
        <v>3606</v>
      </c>
      <c r="BG196" s="4">
        <v>1850</v>
      </c>
      <c r="BH196" s="4">
        <v>1850</v>
      </c>
      <c r="BI196" s="4">
        <f t="shared" si="39"/>
        <v>370</v>
      </c>
      <c r="BJ196" s="19">
        <v>4</v>
      </c>
      <c r="BK196" s="19">
        <v>8</v>
      </c>
      <c r="BL196" s="16">
        <v>6</v>
      </c>
      <c r="BM196" s="45" t="s">
        <v>3534</v>
      </c>
      <c r="BN196" t="s">
        <v>3534</v>
      </c>
      <c r="BO196" t="str">
        <f t="shared" si="32"/>
        <v>-</v>
      </c>
      <c r="BP196" t="s">
        <v>3534</v>
      </c>
      <c r="BQ196">
        <v>237</v>
      </c>
      <c r="BR196">
        <f t="shared" si="33"/>
        <v>245.56626506024097</v>
      </c>
      <c r="BS196" t="s">
        <v>2690</v>
      </c>
    </row>
    <row r="197" spans="1:71" x14ac:dyDescent="0.4">
      <c r="A197" s="3">
        <v>194</v>
      </c>
      <c r="B197" s="3">
        <v>194</v>
      </c>
      <c r="C197" s="4" t="s">
        <v>256</v>
      </c>
      <c r="D197" s="4" t="str">
        <f t="shared" si="34"/>
        <v>J147MD</v>
      </c>
      <c r="E197" s="4" t="s">
        <v>256</v>
      </c>
      <c r="F197" s="4" t="s">
        <v>1475</v>
      </c>
      <c r="G197" s="5">
        <v>4521718150956</v>
      </c>
      <c r="H197" s="5"/>
      <c r="I197" s="5"/>
      <c r="J197" s="5">
        <v>1</v>
      </c>
      <c r="K197" s="5">
        <v>1</v>
      </c>
      <c r="L197" s="4">
        <v>430</v>
      </c>
      <c r="M197" s="4">
        <v>246</v>
      </c>
      <c r="N197" s="4">
        <v>191</v>
      </c>
      <c r="O197" s="6">
        <f t="shared" si="35"/>
        <v>0.22357723577235777</v>
      </c>
      <c r="P197" s="4" t="s">
        <v>2500</v>
      </c>
      <c r="Q197" s="4"/>
      <c r="R197" s="4"/>
      <c r="S197" s="4"/>
      <c r="T197" s="4"/>
      <c r="U197" s="4"/>
      <c r="V197" s="4"/>
      <c r="W197" s="4"/>
      <c r="X197" s="4"/>
      <c r="Y197" s="4">
        <v>273</v>
      </c>
      <c r="Z197" s="4">
        <f t="shared" si="36"/>
        <v>273</v>
      </c>
      <c r="AA197" s="4">
        <v>191</v>
      </c>
      <c r="AB197" s="4">
        <f t="shared" si="37"/>
        <v>191</v>
      </c>
      <c r="AC197" s="4"/>
      <c r="AD197" s="21">
        <f>ROUND(M197*AR197,0)</f>
        <v>246</v>
      </c>
      <c r="AE197" s="6">
        <f>1-AB197/AD197</f>
        <v>0.22357723577235777</v>
      </c>
      <c r="AF197" s="33">
        <v>0</v>
      </c>
      <c r="AG197" s="4">
        <f t="shared" si="38"/>
        <v>450</v>
      </c>
      <c r="AH197" s="33">
        <f t="shared" si="40"/>
        <v>450</v>
      </c>
      <c r="AI197" s="6">
        <f>1-AB197/AH197</f>
        <v>0.5755555555555556</v>
      </c>
      <c r="AJ197" s="7">
        <v>273</v>
      </c>
      <c r="AK197" s="6">
        <f>1-AB197/AJ197</f>
        <v>0.30036630036630041</v>
      </c>
      <c r="AL197" s="4">
        <f>AJ197-AB197</f>
        <v>82</v>
      </c>
      <c r="AM197" s="28"/>
      <c r="AN197" s="6"/>
      <c r="AO197" s="6"/>
      <c r="AP197" s="6">
        <f>Z197/L197</f>
        <v>0.6348837209302326</v>
      </c>
      <c r="AQ197" s="6">
        <f>AJ197/M197</f>
        <v>1.1097560975609757</v>
      </c>
      <c r="AR197" s="6">
        <f>AB197/N197</f>
        <v>1</v>
      </c>
      <c r="AS197" s="4"/>
      <c r="AT197" s="4"/>
      <c r="AU197" s="4"/>
      <c r="AV197" s="4"/>
      <c r="AW197" s="4"/>
      <c r="AX197" s="4"/>
      <c r="AY197" s="4"/>
      <c r="AZ197" s="4"/>
      <c r="BA197" s="4"/>
      <c r="BB197" s="4">
        <v>0</v>
      </c>
      <c r="BC197" s="4" t="s">
        <v>3766</v>
      </c>
      <c r="BD197" s="4">
        <v>1</v>
      </c>
      <c r="BE197" s="4">
        <v>3</v>
      </c>
      <c r="BF197" s="4" t="s">
        <v>3638</v>
      </c>
      <c r="BG197" s="4">
        <v>1350</v>
      </c>
      <c r="BH197" s="4">
        <v>1350</v>
      </c>
      <c r="BI197" s="4">
        <f t="shared" si="39"/>
        <v>450</v>
      </c>
      <c r="BJ197" s="19">
        <v>4</v>
      </c>
      <c r="BK197" s="19">
        <v>8</v>
      </c>
      <c r="BL197" s="16">
        <v>6</v>
      </c>
      <c r="BM197" s="45" t="s">
        <v>3534</v>
      </c>
      <c r="BN197" t="s">
        <v>3534</v>
      </c>
      <c r="BO197" t="str">
        <f t="shared" ref="BO197:BO260" si="41">IFERROR(BN197*AR197,"-")</f>
        <v>-</v>
      </c>
      <c r="BP197" t="s">
        <v>3534</v>
      </c>
      <c r="BQ197">
        <v>273</v>
      </c>
      <c r="BR197">
        <f t="shared" ref="BR197:BR260" si="42">IFERROR(BQ197*AR197,"-")</f>
        <v>273</v>
      </c>
      <c r="BS197" t="s">
        <v>2691</v>
      </c>
    </row>
    <row r="198" spans="1:71" x14ac:dyDescent="0.4">
      <c r="A198" s="42">
        <v>195</v>
      </c>
      <c r="B198" s="3">
        <v>195</v>
      </c>
      <c r="C198" s="4" t="s">
        <v>257</v>
      </c>
      <c r="D198" s="4" t="str">
        <f t="shared" si="34"/>
        <v>J148MD</v>
      </c>
      <c r="E198" s="4" t="s">
        <v>257</v>
      </c>
      <c r="F198" s="4" t="s">
        <v>1476</v>
      </c>
      <c r="G198" s="5">
        <v>4521718150963</v>
      </c>
      <c r="H198" s="5"/>
      <c r="I198" s="5"/>
      <c r="J198" s="5">
        <v>1</v>
      </c>
      <c r="K198" s="5">
        <v>1</v>
      </c>
      <c r="L198" s="4">
        <v>3400</v>
      </c>
      <c r="M198" s="4">
        <v>2187</v>
      </c>
      <c r="N198" s="4">
        <v>1527</v>
      </c>
      <c r="O198" s="6">
        <f t="shared" si="35"/>
        <v>0.30178326474622774</v>
      </c>
      <c r="P198" s="4" t="s">
        <v>2500</v>
      </c>
      <c r="Q198" s="4"/>
      <c r="R198" s="4"/>
      <c r="S198" s="4"/>
      <c r="T198" s="4"/>
      <c r="U198" s="4"/>
      <c r="V198" s="4"/>
      <c r="W198" s="4"/>
      <c r="X198" s="4"/>
      <c r="Y198" s="4">
        <v>2182</v>
      </c>
      <c r="Z198" s="4">
        <f t="shared" si="36"/>
        <v>2182</v>
      </c>
      <c r="AA198" s="4">
        <v>1527</v>
      </c>
      <c r="AB198" s="4">
        <f t="shared" si="37"/>
        <v>1527</v>
      </c>
      <c r="AC198" s="4"/>
      <c r="AD198" s="21">
        <f>ROUND(M198*AR198,0)</f>
        <v>2187</v>
      </c>
      <c r="AE198" s="6">
        <f>1-AB198/AD198</f>
        <v>0.30178326474622774</v>
      </c>
      <c r="AF198" s="33">
        <v>0</v>
      </c>
      <c r="AG198" s="4">
        <f t="shared" si="38"/>
        <v>3470</v>
      </c>
      <c r="AH198" s="33">
        <f t="shared" si="40"/>
        <v>3470</v>
      </c>
      <c r="AI198" s="6">
        <f>1-AB198/AH198</f>
        <v>0.55994236311239187</v>
      </c>
      <c r="AJ198" s="7">
        <v>2400</v>
      </c>
      <c r="AK198" s="6">
        <f>1-AB198/AJ198</f>
        <v>0.36375000000000002</v>
      </c>
      <c r="AL198" s="4">
        <f>AJ198-AB198</f>
        <v>873</v>
      </c>
      <c r="AM198" s="28"/>
      <c r="AN198" s="6"/>
      <c r="AO198" s="6"/>
      <c r="AP198" s="6">
        <f>Z198/L198</f>
        <v>0.6417647058823529</v>
      </c>
      <c r="AQ198" s="6">
        <f>AJ198/M198</f>
        <v>1.0973936899862826</v>
      </c>
      <c r="AR198" s="6">
        <f>AB198/N198</f>
        <v>1</v>
      </c>
      <c r="AS198" s="4"/>
      <c r="AT198" s="4"/>
      <c r="AU198" s="4"/>
      <c r="AV198" s="4"/>
      <c r="AW198" s="4"/>
      <c r="AX198" s="4"/>
      <c r="AY198" s="4"/>
      <c r="AZ198" s="4"/>
      <c r="BA198" s="4"/>
      <c r="BB198" s="4">
        <v>0</v>
      </c>
      <c r="BC198" s="4" t="s">
        <v>3767</v>
      </c>
      <c r="BD198" s="4"/>
      <c r="BE198" s="4"/>
      <c r="BF198" s="4" t="s">
        <v>3545</v>
      </c>
      <c r="BG198" s="4">
        <v>3470</v>
      </c>
      <c r="BH198" s="4">
        <v>3470</v>
      </c>
      <c r="BI198" s="4">
        <f t="shared" si="39"/>
        <v>3470</v>
      </c>
      <c r="BJ198" s="19">
        <v>2</v>
      </c>
      <c r="BK198" s="19">
        <v>8</v>
      </c>
      <c r="BL198" s="16">
        <v>6</v>
      </c>
      <c r="BM198" s="45" t="s">
        <v>3534</v>
      </c>
      <c r="BN198" t="s">
        <v>3534</v>
      </c>
      <c r="BO198" t="str">
        <f t="shared" si="41"/>
        <v>-</v>
      </c>
      <c r="BP198">
        <v>2844</v>
      </c>
      <c r="BQ198">
        <v>2844</v>
      </c>
      <c r="BR198">
        <f t="shared" si="42"/>
        <v>2844</v>
      </c>
      <c r="BS198" t="s">
        <v>2692</v>
      </c>
    </row>
    <row r="199" spans="1:71" x14ac:dyDescent="0.4">
      <c r="A199" s="42">
        <v>196</v>
      </c>
      <c r="B199" s="3">
        <v>196</v>
      </c>
      <c r="C199" s="4" t="s">
        <v>258</v>
      </c>
      <c r="D199" s="4" t="str">
        <f t="shared" si="34"/>
        <v>J149MD</v>
      </c>
      <c r="E199" s="4" t="s">
        <v>258</v>
      </c>
      <c r="F199" s="4" t="s">
        <v>1477</v>
      </c>
      <c r="G199" s="5">
        <v>4521718150970</v>
      </c>
      <c r="H199" s="5"/>
      <c r="I199" s="5"/>
      <c r="J199" s="5">
        <v>1</v>
      </c>
      <c r="K199" s="5">
        <v>1</v>
      </c>
      <c r="L199" s="4">
        <v>3400</v>
      </c>
      <c r="M199" s="4">
        <v>2187</v>
      </c>
      <c r="N199" s="4">
        <v>1527</v>
      </c>
      <c r="O199" s="6">
        <f t="shared" si="35"/>
        <v>0.30178326474622774</v>
      </c>
      <c r="P199" s="4" t="s">
        <v>2500</v>
      </c>
      <c r="Q199" s="4"/>
      <c r="R199" s="4"/>
      <c r="S199" s="4"/>
      <c r="T199" s="4"/>
      <c r="U199" s="4"/>
      <c r="V199" s="4"/>
      <c r="W199" s="4"/>
      <c r="X199" s="4"/>
      <c r="Y199" s="4">
        <v>2182</v>
      </c>
      <c r="Z199" s="4">
        <f t="shared" si="36"/>
        <v>2182</v>
      </c>
      <c r="AA199" s="4">
        <v>1527</v>
      </c>
      <c r="AB199" s="4">
        <f t="shared" si="37"/>
        <v>1527</v>
      </c>
      <c r="AC199" s="4"/>
      <c r="AD199" s="21">
        <f>ROUND(M199*AR199,0)</f>
        <v>2187</v>
      </c>
      <c r="AE199" s="6">
        <f>1-AB199/AD199</f>
        <v>0.30178326474622774</v>
      </c>
      <c r="AF199" s="33">
        <v>0</v>
      </c>
      <c r="AG199" s="4">
        <f t="shared" si="38"/>
        <v>4800</v>
      </c>
      <c r="AH199" s="33">
        <f t="shared" si="40"/>
        <v>4800</v>
      </c>
      <c r="AI199" s="6">
        <f>1-AB199/AH199</f>
        <v>0.68187500000000001</v>
      </c>
      <c r="AJ199" s="7">
        <v>2400</v>
      </c>
      <c r="AK199" s="6">
        <f>1-AB199/AJ199</f>
        <v>0.36375000000000002</v>
      </c>
      <c r="AL199" s="4">
        <f>AJ199-AB199</f>
        <v>873</v>
      </c>
      <c r="AM199" s="28"/>
      <c r="AN199" s="6"/>
      <c r="AO199" s="6"/>
      <c r="AP199" s="6">
        <f>Z199/L199</f>
        <v>0.6417647058823529</v>
      </c>
      <c r="AQ199" s="6">
        <f>AJ199/M199</f>
        <v>1.0973936899862826</v>
      </c>
      <c r="AR199" s="6">
        <f>AB199/N199</f>
        <v>1</v>
      </c>
      <c r="AS199" s="4"/>
      <c r="AT199" s="4"/>
      <c r="AU199" s="4"/>
      <c r="AV199" s="4"/>
      <c r="AW199" s="4"/>
      <c r="AX199" s="4"/>
      <c r="AY199" s="4"/>
      <c r="AZ199" s="4"/>
      <c r="BA199" s="4"/>
      <c r="BB199" s="4">
        <v>0</v>
      </c>
      <c r="BC199" s="4" t="s">
        <v>3768</v>
      </c>
      <c r="BD199" s="4"/>
      <c r="BE199" s="4"/>
      <c r="BF199" s="4" t="s">
        <v>3545</v>
      </c>
      <c r="BG199" s="4">
        <v>4800</v>
      </c>
      <c r="BH199" s="4">
        <v>4800</v>
      </c>
      <c r="BI199" s="4">
        <f t="shared" si="39"/>
        <v>4800</v>
      </c>
      <c r="BJ199" s="19">
        <v>2</v>
      </c>
      <c r="BK199" s="19">
        <v>8</v>
      </c>
      <c r="BL199" s="16">
        <v>6</v>
      </c>
      <c r="BM199" s="45" t="s">
        <v>3534</v>
      </c>
      <c r="BN199" t="s">
        <v>3534</v>
      </c>
      <c r="BO199" t="str">
        <f t="shared" si="41"/>
        <v>-</v>
      </c>
      <c r="BP199">
        <v>2844</v>
      </c>
      <c r="BQ199">
        <v>2844</v>
      </c>
      <c r="BR199">
        <f t="shared" si="42"/>
        <v>2844</v>
      </c>
      <c r="BS199" t="s">
        <v>2693</v>
      </c>
    </row>
    <row r="200" spans="1:71" x14ac:dyDescent="0.4">
      <c r="A200" s="3">
        <v>197</v>
      </c>
      <c r="B200" s="3">
        <v>197</v>
      </c>
      <c r="C200" s="4" t="s">
        <v>259</v>
      </c>
      <c r="D200" s="4" t="str">
        <f t="shared" si="34"/>
        <v>J148WF</v>
      </c>
      <c r="E200" s="4" t="s">
        <v>259</v>
      </c>
      <c r="F200" s="4" t="s">
        <v>1478</v>
      </c>
      <c r="G200" s="5">
        <v>4521718188881</v>
      </c>
      <c r="H200" s="5"/>
      <c r="I200" s="5"/>
      <c r="J200" s="5">
        <v>1</v>
      </c>
      <c r="K200" s="5">
        <v>1</v>
      </c>
      <c r="L200" s="4">
        <v>570</v>
      </c>
      <c r="M200" s="4">
        <v>513</v>
      </c>
      <c r="N200" s="4">
        <v>255</v>
      </c>
      <c r="O200" s="6">
        <f t="shared" si="35"/>
        <v>0.50292397660818722</v>
      </c>
      <c r="P200" s="4" t="s">
        <v>2500</v>
      </c>
      <c r="Q200" s="4"/>
      <c r="R200" s="4"/>
      <c r="S200" s="4"/>
      <c r="T200" s="4"/>
      <c r="U200" s="4"/>
      <c r="V200" s="4"/>
      <c r="W200" s="4"/>
      <c r="X200" s="4"/>
      <c r="Y200" s="4">
        <v>364</v>
      </c>
      <c r="Z200" s="4">
        <f t="shared" si="36"/>
        <v>364</v>
      </c>
      <c r="AA200" s="4">
        <v>255</v>
      </c>
      <c r="AB200" s="4">
        <f t="shared" si="37"/>
        <v>255</v>
      </c>
      <c r="AC200" s="4"/>
      <c r="AD200" s="21">
        <f>ROUND(M200*AR200,0)</f>
        <v>513</v>
      </c>
      <c r="AE200" s="6">
        <f>1-AB200/AD200</f>
        <v>0.50292397660818722</v>
      </c>
      <c r="AF200" s="33">
        <v>0</v>
      </c>
      <c r="AG200" s="4">
        <f t="shared" si="38"/>
        <v>570</v>
      </c>
      <c r="AH200" s="33">
        <f t="shared" si="40"/>
        <v>570</v>
      </c>
      <c r="AI200" s="6">
        <f>1-AB200/AH200</f>
        <v>0.55263157894736836</v>
      </c>
      <c r="AJ200" s="7">
        <v>364</v>
      </c>
      <c r="AK200" s="6">
        <f>1-AB200/AJ200</f>
        <v>0.2994505494505495</v>
      </c>
      <c r="AL200" s="4">
        <f>AJ200-AB200</f>
        <v>109</v>
      </c>
      <c r="AM200" s="28"/>
      <c r="AN200" s="6"/>
      <c r="AO200" s="6"/>
      <c r="AP200" s="6">
        <f>Z200/L200</f>
        <v>0.63859649122807016</v>
      </c>
      <c r="AQ200" s="6">
        <f>AJ200/M200</f>
        <v>0.70955165692007793</v>
      </c>
      <c r="AR200" s="6">
        <f>AB200/N200</f>
        <v>1</v>
      </c>
      <c r="AS200" s="4"/>
      <c r="AT200" s="4"/>
      <c r="AU200" s="4"/>
      <c r="AV200" s="4"/>
      <c r="AW200" s="4"/>
      <c r="AX200" s="4"/>
      <c r="AY200" s="4"/>
      <c r="AZ200" s="4"/>
      <c r="BA200" s="4"/>
      <c r="BB200" s="4">
        <v>0</v>
      </c>
      <c r="BC200" s="4" t="s">
        <v>3769</v>
      </c>
      <c r="BD200" s="4">
        <v>1</v>
      </c>
      <c r="BE200" s="4">
        <v>3</v>
      </c>
      <c r="BF200" s="4" t="s">
        <v>3623</v>
      </c>
      <c r="BG200" s="4">
        <v>1710</v>
      </c>
      <c r="BH200" s="4">
        <v>1710</v>
      </c>
      <c r="BI200" s="4">
        <f t="shared" si="39"/>
        <v>570</v>
      </c>
      <c r="BJ200" s="19">
        <v>4</v>
      </c>
      <c r="BK200" s="19">
        <v>8</v>
      </c>
      <c r="BL200" s="16">
        <v>6</v>
      </c>
      <c r="BM200" s="45" t="s">
        <v>3534</v>
      </c>
      <c r="BN200" t="s">
        <v>3534</v>
      </c>
      <c r="BO200" t="str">
        <f t="shared" si="41"/>
        <v>-</v>
      </c>
      <c r="BP200" t="s">
        <v>3534</v>
      </c>
      <c r="BQ200">
        <v>364</v>
      </c>
      <c r="BR200">
        <f t="shared" si="42"/>
        <v>364</v>
      </c>
      <c r="BS200" t="s">
        <v>2694</v>
      </c>
    </row>
    <row r="201" spans="1:71" x14ac:dyDescent="0.4">
      <c r="A201" s="42">
        <v>198</v>
      </c>
      <c r="B201" s="3">
        <v>198</v>
      </c>
      <c r="C201" s="4" t="s">
        <v>260</v>
      </c>
      <c r="D201" s="4" t="str">
        <f t="shared" si="34"/>
        <v>J150MD</v>
      </c>
      <c r="E201" s="4" t="s">
        <v>260</v>
      </c>
      <c r="F201" s="4" t="s">
        <v>1479</v>
      </c>
      <c r="G201" s="5">
        <v>4521718150987</v>
      </c>
      <c r="H201" s="5"/>
      <c r="I201" s="5"/>
      <c r="J201" s="5">
        <v>1</v>
      </c>
      <c r="K201" s="5">
        <v>1</v>
      </c>
      <c r="L201" s="4">
        <v>3400</v>
      </c>
      <c r="M201" s="4">
        <v>2187</v>
      </c>
      <c r="N201" s="4">
        <v>1527</v>
      </c>
      <c r="O201" s="6">
        <f t="shared" si="35"/>
        <v>0.30178326474622774</v>
      </c>
      <c r="P201" s="4" t="s">
        <v>2500</v>
      </c>
      <c r="Q201" s="4"/>
      <c r="R201" s="4"/>
      <c r="S201" s="4"/>
      <c r="T201" s="4"/>
      <c r="U201" s="4"/>
      <c r="V201" s="4"/>
      <c r="W201" s="4"/>
      <c r="X201" s="4"/>
      <c r="Y201" s="4">
        <v>2182</v>
      </c>
      <c r="Z201" s="4">
        <f t="shared" si="36"/>
        <v>2182</v>
      </c>
      <c r="AA201" s="4">
        <v>1527</v>
      </c>
      <c r="AB201" s="4">
        <f t="shared" si="37"/>
        <v>1527</v>
      </c>
      <c r="AC201" s="4"/>
      <c r="AD201" s="21">
        <f>ROUND(M201*AR201,0)</f>
        <v>2187</v>
      </c>
      <c r="AE201" s="6">
        <f>1-AB201/AD201</f>
        <v>0.30178326474622774</v>
      </c>
      <c r="AF201" s="33">
        <v>0</v>
      </c>
      <c r="AG201" s="4">
        <f t="shared" si="38"/>
        <v>4800</v>
      </c>
      <c r="AH201" s="33">
        <f t="shared" si="40"/>
        <v>4800</v>
      </c>
      <c r="AI201" s="6">
        <f>1-AB201/AH201</f>
        <v>0.68187500000000001</v>
      </c>
      <c r="AJ201" s="7">
        <v>2400</v>
      </c>
      <c r="AK201" s="6">
        <f>1-AB201/AJ201</f>
        <v>0.36375000000000002</v>
      </c>
      <c r="AL201" s="4">
        <f>AJ201-AB201</f>
        <v>873</v>
      </c>
      <c r="AM201" s="28"/>
      <c r="AN201" s="6"/>
      <c r="AO201" s="6"/>
      <c r="AP201" s="6">
        <f>Z201/L201</f>
        <v>0.6417647058823529</v>
      </c>
      <c r="AQ201" s="6">
        <f>AJ201/M201</f>
        <v>1.0973936899862826</v>
      </c>
      <c r="AR201" s="6">
        <f>AB201/N201</f>
        <v>1</v>
      </c>
      <c r="AS201" s="4"/>
      <c r="AT201" s="4"/>
      <c r="AU201" s="4"/>
      <c r="AV201" s="4"/>
      <c r="AW201" s="4"/>
      <c r="AX201" s="4"/>
      <c r="AY201" s="4"/>
      <c r="AZ201" s="4"/>
      <c r="BA201" s="4"/>
      <c r="BB201" s="4">
        <v>0</v>
      </c>
      <c r="BC201" s="4" t="s">
        <v>3770</v>
      </c>
      <c r="BD201" s="4"/>
      <c r="BE201" s="4"/>
      <c r="BF201" s="4" t="s">
        <v>3545</v>
      </c>
      <c r="BG201" s="4">
        <v>4800</v>
      </c>
      <c r="BH201" s="4">
        <v>4800</v>
      </c>
      <c r="BI201" s="4">
        <f t="shared" si="39"/>
        <v>4800</v>
      </c>
      <c r="BJ201" s="19">
        <v>2</v>
      </c>
      <c r="BK201" s="19">
        <v>8</v>
      </c>
      <c r="BL201" s="16">
        <v>6</v>
      </c>
      <c r="BM201" s="45" t="s">
        <v>3534</v>
      </c>
      <c r="BN201" t="s">
        <v>3534</v>
      </c>
      <c r="BO201" t="str">
        <f t="shared" si="41"/>
        <v>-</v>
      </c>
      <c r="BP201">
        <v>2844</v>
      </c>
      <c r="BQ201">
        <v>2844</v>
      </c>
      <c r="BR201">
        <f t="shared" si="42"/>
        <v>2844</v>
      </c>
      <c r="BS201" t="s">
        <v>2695</v>
      </c>
    </row>
    <row r="202" spans="1:71" x14ac:dyDescent="0.4">
      <c r="A202" s="3">
        <v>199</v>
      </c>
      <c r="B202" s="3">
        <v>199</v>
      </c>
      <c r="C202" s="4" t="s">
        <v>261</v>
      </c>
      <c r="D202" s="4" t="str">
        <f t="shared" si="34"/>
        <v>J149WF</v>
      </c>
      <c r="E202" s="4" t="s">
        <v>261</v>
      </c>
      <c r="F202" s="4" t="s">
        <v>1480</v>
      </c>
      <c r="G202" s="5">
        <v>4521718188898</v>
      </c>
      <c r="H202" s="5"/>
      <c r="I202" s="5"/>
      <c r="J202" s="5">
        <v>1</v>
      </c>
      <c r="K202" s="5">
        <v>1</v>
      </c>
      <c r="L202" s="4">
        <v>570</v>
      </c>
      <c r="M202" s="4">
        <v>513</v>
      </c>
      <c r="N202" s="4">
        <v>255</v>
      </c>
      <c r="O202" s="6">
        <f t="shared" si="35"/>
        <v>0.50292397660818722</v>
      </c>
      <c r="P202" s="4" t="s">
        <v>2500</v>
      </c>
      <c r="Q202" s="4"/>
      <c r="R202" s="4"/>
      <c r="S202" s="4"/>
      <c r="T202" s="4"/>
      <c r="U202" s="4"/>
      <c r="V202" s="4"/>
      <c r="W202" s="4"/>
      <c r="X202" s="4"/>
      <c r="Y202" s="4">
        <v>364</v>
      </c>
      <c r="Z202" s="4">
        <f t="shared" si="36"/>
        <v>364</v>
      </c>
      <c r="AA202" s="4">
        <v>255</v>
      </c>
      <c r="AB202" s="4">
        <f t="shared" si="37"/>
        <v>255</v>
      </c>
      <c r="AC202" s="4"/>
      <c r="AD202" s="21">
        <f>ROUND(M202*AR202,0)</f>
        <v>513</v>
      </c>
      <c r="AE202" s="6">
        <f>1-AB202/AD202</f>
        <v>0.50292397660818722</v>
      </c>
      <c r="AF202" s="33">
        <v>0</v>
      </c>
      <c r="AG202" s="4">
        <f t="shared" si="38"/>
        <v>570</v>
      </c>
      <c r="AH202" s="33">
        <f t="shared" si="40"/>
        <v>570</v>
      </c>
      <c r="AI202" s="6">
        <f>1-AB202/AH202</f>
        <v>0.55263157894736836</v>
      </c>
      <c r="AJ202" s="7">
        <v>364</v>
      </c>
      <c r="AK202" s="6">
        <f>1-AB202/AJ202</f>
        <v>0.2994505494505495</v>
      </c>
      <c r="AL202" s="4">
        <f>AJ202-AB202</f>
        <v>109</v>
      </c>
      <c r="AM202" s="28"/>
      <c r="AN202" s="6"/>
      <c r="AO202" s="6"/>
      <c r="AP202" s="6">
        <f>Z202/L202</f>
        <v>0.63859649122807016</v>
      </c>
      <c r="AQ202" s="6">
        <f>AJ202/M202</f>
        <v>0.70955165692007793</v>
      </c>
      <c r="AR202" s="6">
        <f>AB202/N202</f>
        <v>1</v>
      </c>
      <c r="AS202" s="4"/>
      <c r="AT202" s="4"/>
      <c r="AU202" s="4"/>
      <c r="AV202" s="4"/>
      <c r="AW202" s="4"/>
      <c r="AX202" s="4"/>
      <c r="AY202" s="4"/>
      <c r="AZ202" s="4"/>
      <c r="BA202" s="4"/>
      <c r="BB202" s="4">
        <v>0</v>
      </c>
      <c r="BC202" s="4" t="s">
        <v>3771</v>
      </c>
      <c r="BD202" s="4">
        <v>1</v>
      </c>
      <c r="BE202" s="4">
        <v>3</v>
      </c>
      <c r="BF202" s="4" t="s">
        <v>3623</v>
      </c>
      <c r="BG202" s="4">
        <v>1710</v>
      </c>
      <c r="BH202" s="4">
        <v>1710</v>
      </c>
      <c r="BI202" s="4">
        <f t="shared" si="39"/>
        <v>570</v>
      </c>
      <c r="BJ202" s="19">
        <v>4</v>
      </c>
      <c r="BK202" s="19">
        <v>8</v>
      </c>
      <c r="BL202" s="16">
        <v>6</v>
      </c>
      <c r="BM202" s="45" t="s">
        <v>3534</v>
      </c>
      <c r="BN202" t="s">
        <v>3534</v>
      </c>
      <c r="BO202" t="str">
        <f t="shared" si="41"/>
        <v>-</v>
      </c>
      <c r="BP202" t="s">
        <v>3534</v>
      </c>
      <c r="BQ202">
        <v>364</v>
      </c>
      <c r="BR202">
        <f t="shared" si="42"/>
        <v>364</v>
      </c>
      <c r="BS202" t="s">
        <v>2696</v>
      </c>
    </row>
    <row r="203" spans="1:71" x14ac:dyDescent="0.4">
      <c r="A203" s="3">
        <v>200</v>
      </c>
      <c r="B203" s="3">
        <v>200</v>
      </c>
      <c r="C203" s="4" t="s">
        <v>262</v>
      </c>
      <c r="D203" s="4" t="str">
        <f t="shared" si="34"/>
        <v>J149WH</v>
      </c>
      <c r="E203" s="4" t="s">
        <v>262</v>
      </c>
      <c r="F203" s="4" t="s">
        <v>1481</v>
      </c>
      <c r="G203" s="5">
        <v>4521718243399</v>
      </c>
      <c r="H203" s="5"/>
      <c r="I203" s="5"/>
      <c r="J203" s="5">
        <v>1</v>
      </c>
      <c r="K203" s="5">
        <v>1</v>
      </c>
      <c r="L203" s="4">
        <v>600</v>
      </c>
      <c r="M203" s="4">
        <v>480</v>
      </c>
      <c r="N203" s="4">
        <v>267</v>
      </c>
      <c r="O203" s="6">
        <f t="shared" si="35"/>
        <v>0.44374999999999998</v>
      </c>
      <c r="P203" s="4" t="s">
        <v>2500</v>
      </c>
      <c r="Q203" s="4"/>
      <c r="R203" s="4"/>
      <c r="S203" s="4"/>
      <c r="T203" s="4"/>
      <c r="U203" s="4"/>
      <c r="V203" s="4"/>
      <c r="W203" s="4"/>
      <c r="X203" s="4"/>
      <c r="Y203" s="4">
        <v>410</v>
      </c>
      <c r="Z203" s="4">
        <f t="shared" si="36"/>
        <v>410</v>
      </c>
      <c r="AA203" s="4">
        <v>267</v>
      </c>
      <c r="AB203" s="4">
        <f t="shared" si="37"/>
        <v>267</v>
      </c>
      <c r="AC203" s="4"/>
      <c r="AD203" s="21">
        <f>ROUND(M203*AR203,0)</f>
        <v>480</v>
      </c>
      <c r="AE203" s="6">
        <f>1-AB203/AD203</f>
        <v>0.44374999999999998</v>
      </c>
      <c r="AF203" s="33">
        <v>0</v>
      </c>
      <c r="AG203" s="4" t="str">
        <f t="shared" si="38"/>
        <v>-</v>
      </c>
      <c r="AH203" s="33" t="e">
        <f t="shared" si="40"/>
        <v>#VALUE!</v>
      </c>
      <c r="AI203" s="6" t="e">
        <f>1-AB203/AH203</f>
        <v>#VALUE!</v>
      </c>
      <c r="AJ203" s="7">
        <v>410</v>
      </c>
      <c r="AK203" s="6">
        <f>1-AB203/AJ203</f>
        <v>0.34878048780487803</v>
      </c>
      <c r="AL203" s="4">
        <f>AJ203-AB203</f>
        <v>143</v>
      </c>
      <c r="AM203" s="28"/>
      <c r="AN203" s="6"/>
      <c r="AO203" s="6"/>
      <c r="AP203" s="6">
        <f>Z203/L203</f>
        <v>0.68333333333333335</v>
      </c>
      <c r="AQ203" s="6">
        <f>AJ203/M203</f>
        <v>0.85416666666666663</v>
      </c>
      <c r="AR203" s="6">
        <f>AB203/N203</f>
        <v>1</v>
      </c>
      <c r="AS203" s="4"/>
      <c r="AT203" s="4"/>
      <c r="AU203" s="4"/>
      <c r="AV203" s="4"/>
      <c r="AW203" s="4"/>
      <c r="AX203" s="4"/>
      <c r="AY203" s="4"/>
      <c r="AZ203" s="4"/>
      <c r="BA203" s="4"/>
      <c r="BB203" s="4">
        <v>0</v>
      </c>
      <c r="BC203" s="4" t="s">
        <v>3534</v>
      </c>
      <c r="BD203" s="4"/>
      <c r="BE203" s="4"/>
      <c r="BF203" s="4" t="s">
        <v>3534</v>
      </c>
      <c r="BG203" s="4" t="s">
        <v>3534</v>
      </c>
      <c r="BH203" s="4" t="s">
        <v>3534</v>
      </c>
      <c r="BI203" s="4" t="str">
        <f t="shared" si="39"/>
        <v>-</v>
      </c>
      <c r="BJ203" s="19">
        <v>4</v>
      </c>
      <c r="BK203" s="19">
        <v>8</v>
      </c>
      <c r="BL203" s="16">
        <v>6</v>
      </c>
      <c r="BM203" s="45" t="s">
        <v>3534</v>
      </c>
      <c r="BN203" t="s">
        <v>3534</v>
      </c>
      <c r="BO203" t="str">
        <f t="shared" si="41"/>
        <v>-</v>
      </c>
      <c r="BP203" t="s">
        <v>3534</v>
      </c>
      <c r="BQ203">
        <v>410</v>
      </c>
      <c r="BR203">
        <f t="shared" si="42"/>
        <v>410</v>
      </c>
      <c r="BS203" t="s">
        <v>3534</v>
      </c>
    </row>
    <row r="204" spans="1:71" x14ac:dyDescent="0.4">
      <c r="A204" s="3">
        <v>201</v>
      </c>
      <c r="B204" s="3">
        <v>201</v>
      </c>
      <c r="C204" s="4" t="s">
        <v>263</v>
      </c>
      <c r="D204" s="4" t="str">
        <f t="shared" si="34"/>
        <v>J150WF</v>
      </c>
      <c r="E204" s="4" t="s">
        <v>263</v>
      </c>
      <c r="F204" s="4" t="s">
        <v>1482</v>
      </c>
      <c r="G204" s="5">
        <v>4521718190235</v>
      </c>
      <c r="H204" s="5"/>
      <c r="I204" s="5"/>
      <c r="J204" s="5">
        <v>1</v>
      </c>
      <c r="K204" s="5">
        <v>1</v>
      </c>
      <c r="L204" s="4">
        <v>460</v>
      </c>
      <c r="M204" s="4">
        <v>414</v>
      </c>
      <c r="N204" s="4">
        <v>207</v>
      </c>
      <c r="O204" s="6">
        <f t="shared" si="35"/>
        <v>0.5</v>
      </c>
      <c r="P204" s="4" t="s">
        <v>2500</v>
      </c>
      <c r="Q204" s="4"/>
      <c r="R204" s="4"/>
      <c r="S204" s="4"/>
      <c r="T204" s="4"/>
      <c r="U204" s="4"/>
      <c r="V204" s="4"/>
      <c r="W204" s="4"/>
      <c r="X204" s="4"/>
      <c r="Y204" s="4">
        <v>319</v>
      </c>
      <c r="Z204" s="4">
        <f t="shared" si="36"/>
        <v>319</v>
      </c>
      <c r="AA204" s="4">
        <v>207</v>
      </c>
      <c r="AB204" s="4">
        <f t="shared" si="37"/>
        <v>207</v>
      </c>
      <c r="AC204" s="4"/>
      <c r="AD204" s="21">
        <f>ROUND(M204*AR204,0)</f>
        <v>414</v>
      </c>
      <c r="AE204" s="6">
        <f>1-AB204/AD204</f>
        <v>0.5</v>
      </c>
      <c r="AF204" s="33">
        <v>0</v>
      </c>
      <c r="AG204" s="4">
        <f t="shared" si="38"/>
        <v>460</v>
      </c>
      <c r="AH204" s="33">
        <f t="shared" si="40"/>
        <v>460</v>
      </c>
      <c r="AI204" s="6">
        <f>1-AB204/AH204</f>
        <v>0.55000000000000004</v>
      </c>
      <c r="AJ204" s="7">
        <f>ROUND(AB204/0.65,0)</f>
        <v>318</v>
      </c>
      <c r="AK204" s="6">
        <f>1-AB204/AJ204</f>
        <v>0.34905660377358494</v>
      </c>
      <c r="AL204" s="4">
        <f>AJ204-AB204</f>
        <v>111</v>
      </c>
      <c r="AM204" s="28"/>
      <c r="AN204" s="6"/>
      <c r="AO204" s="6"/>
      <c r="AP204" s="6">
        <f>Z204/L204</f>
        <v>0.69347826086956521</v>
      </c>
      <c r="AQ204" s="6">
        <f>AJ204/M204</f>
        <v>0.76811594202898548</v>
      </c>
      <c r="AR204" s="6">
        <f>AB204/N204</f>
        <v>1</v>
      </c>
      <c r="AS204" s="4"/>
      <c r="AT204" s="4"/>
      <c r="AU204" s="4"/>
      <c r="AV204" s="4"/>
      <c r="AW204" s="4"/>
      <c r="AX204" s="4"/>
      <c r="AY204" s="4"/>
      <c r="AZ204" s="4"/>
      <c r="BA204" s="4"/>
      <c r="BB204" s="4">
        <v>0</v>
      </c>
      <c r="BC204" s="4" t="s">
        <v>3772</v>
      </c>
      <c r="BD204" s="4">
        <v>1</v>
      </c>
      <c r="BE204" s="4">
        <v>4</v>
      </c>
      <c r="BF204" s="4" t="s">
        <v>3579</v>
      </c>
      <c r="BG204" s="4">
        <v>1840</v>
      </c>
      <c r="BH204" s="4">
        <v>1840</v>
      </c>
      <c r="BI204" s="4">
        <f t="shared" si="39"/>
        <v>460</v>
      </c>
      <c r="BJ204" s="19">
        <v>4</v>
      </c>
      <c r="BK204" s="19">
        <v>8</v>
      </c>
      <c r="BL204" s="16">
        <v>6</v>
      </c>
      <c r="BM204" s="45" t="s">
        <v>3534</v>
      </c>
      <c r="BN204" t="s">
        <v>3534</v>
      </c>
      <c r="BO204" t="str">
        <f t="shared" si="41"/>
        <v>-</v>
      </c>
      <c r="BP204" t="s">
        <v>3534</v>
      </c>
      <c r="BQ204">
        <v>319</v>
      </c>
      <c r="BR204">
        <f t="shared" si="42"/>
        <v>319</v>
      </c>
      <c r="BS204" t="s">
        <v>2697</v>
      </c>
    </row>
    <row r="205" spans="1:71" x14ac:dyDescent="0.4">
      <c r="A205" s="3">
        <v>202</v>
      </c>
      <c r="B205" s="3">
        <v>202</v>
      </c>
      <c r="C205" s="4" t="s">
        <v>264</v>
      </c>
      <c r="D205" s="4" t="str">
        <f t="shared" si="34"/>
        <v>J150WH</v>
      </c>
      <c r="E205" s="4" t="s">
        <v>264</v>
      </c>
      <c r="F205" s="4" t="s">
        <v>1483</v>
      </c>
      <c r="G205" s="5">
        <v>4521718243474</v>
      </c>
      <c r="H205" s="5"/>
      <c r="I205" s="5"/>
      <c r="J205" s="5">
        <v>1</v>
      </c>
      <c r="K205" s="5">
        <v>1</v>
      </c>
      <c r="L205" s="4">
        <v>600</v>
      </c>
      <c r="M205" s="4">
        <v>480</v>
      </c>
      <c r="N205" s="4">
        <v>267</v>
      </c>
      <c r="O205" s="6">
        <f t="shared" si="35"/>
        <v>0.44374999999999998</v>
      </c>
      <c r="P205" s="4" t="s">
        <v>2500</v>
      </c>
      <c r="Q205" s="4"/>
      <c r="R205" s="4"/>
      <c r="S205" s="4"/>
      <c r="T205" s="4"/>
      <c r="U205" s="4"/>
      <c r="V205" s="4"/>
      <c r="W205" s="4"/>
      <c r="X205" s="4"/>
      <c r="Y205" s="4">
        <v>410</v>
      </c>
      <c r="Z205" s="4">
        <f t="shared" si="36"/>
        <v>410</v>
      </c>
      <c r="AA205" s="4">
        <v>267</v>
      </c>
      <c r="AB205" s="4">
        <f t="shared" si="37"/>
        <v>267</v>
      </c>
      <c r="AC205" s="4"/>
      <c r="AD205" s="21">
        <f>ROUND(M205*AR205,0)</f>
        <v>480</v>
      </c>
      <c r="AE205" s="6">
        <f>1-AB205/AD205</f>
        <v>0.44374999999999998</v>
      </c>
      <c r="AF205" s="33">
        <v>0</v>
      </c>
      <c r="AG205" s="4" t="str">
        <f t="shared" si="38"/>
        <v>-</v>
      </c>
      <c r="AH205" s="33" t="e">
        <f t="shared" si="40"/>
        <v>#VALUE!</v>
      </c>
      <c r="AI205" s="6" t="e">
        <f>1-AB205/AH205</f>
        <v>#VALUE!</v>
      </c>
      <c r="AJ205" s="7">
        <v>410</v>
      </c>
      <c r="AK205" s="6">
        <f>1-AB205/AJ205</f>
        <v>0.34878048780487803</v>
      </c>
      <c r="AL205" s="4">
        <f>AJ205-AB205</f>
        <v>143</v>
      </c>
      <c r="AM205" s="28"/>
      <c r="AN205" s="6"/>
      <c r="AO205" s="6"/>
      <c r="AP205" s="6">
        <f>Z205/L205</f>
        <v>0.68333333333333335</v>
      </c>
      <c r="AQ205" s="6">
        <f>AJ205/M205</f>
        <v>0.85416666666666663</v>
      </c>
      <c r="AR205" s="6">
        <f>AB205/N205</f>
        <v>1</v>
      </c>
      <c r="AS205" s="4"/>
      <c r="AT205" s="4"/>
      <c r="AU205" s="4"/>
      <c r="AV205" s="4"/>
      <c r="AW205" s="4"/>
      <c r="AX205" s="4"/>
      <c r="AY205" s="4"/>
      <c r="AZ205" s="4"/>
      <c r="BA205" s="4"/>
      <c r="BB205" s="4">
        <v>0</v>
      </c>
      <c r="BC205" s="4" t="s">
        <v>3534</v>
      </c>
      <c r="BD205" s="4"/>
      <c r="BE205" s="4"/>
      <c r="BF205" s="4" t="s">
        <v>3534</v>
      </c>
      <c r="BG205" s="4" t="s">
        <v>3534</v>
      </c>
      <c r="BH205" s="4" t="s">
        <v>3534</v>
      </c>
      <c r="BI205" s="4" t="str">
        <f t="shared" si="39"/>
        <v>-</v>
      </c>
      <c r="BJ205" s="19">
        <v>4</v>
      </c>
      <c r="BK205" s="19">
        <v>8</v>
      </c>
      <c r="BL205" s="16">
        <v>6</v>
      </c>
      <c r="BM205" s="45" t="s">
        <v>3534</v>
      </c>
      <c r="BN205" t="s">
        <v>3534</v>
      </c>
      <c r="BO205" t="str">
        <f t="shared" si="41"/>
        <v>-</v>
      </c>
      <c r="BP205" t="s">
        <v>3534</v>
      </c>
      <c r="BQ205">
        <v>410</v>
      </c>
      <c r="BR205">
        <f t="shared" si="42"/>
        <v>410</v>
      </c>
      <c r="BS205" t="s">
        <v>3534</v>
      </c>
    </row>
    <row r="206" spans="1:71" x14ac:dyDescent="0.4">
      <c r="A206" s="3">
        <v>203</v>
      </c>
      <c r="B206" s="3">
        <v>203</v>
      </c>
      <c r="C206" s="4" t="s">
        <v>265</v>
      </c>
      <c r="D206" s="4" t="str">
        <f t="shared" si="34"/>
        <v>J151MD</v>
      </c>
      <c r="E206" s="4" t="s">
        <v>265</v>
      </c>
      <c r="F206" s="4" t="s">
        <v>1484</v>
      </c>
      <c r="G206" s="5">
        <v>4521718150994</v>
      </c>
      <c r="H206" s="5"/>
      <c r="I206" s="5"/>
      <c r="J206" s="5">
        <v>1</v>
      </c>
      <c r="K206" s="5">
        <v>1</v>
      </c>
      <c r="L206" s="4">
        <v>780</v>
      </c>
      <c r="M206" s="4">
        <v>456</v>
      </c>
      <c r="N206" s="4">
        <v>349</v>
      </c>
      <c r="O206" s="6">
        <f t="shared" si="35"/>
        <v>0.23464912280701755</v>
      </c>
      <c r="P206" s="4" t="s">
        <v>2500</v>
      </c>
      <c r="Q206" s="4"/>
      <c r="R206" s="4"/>
      <c r="S206" s="4"/>
      <c r="T206" s="4"/>
      <c r="U206" s="4"/>
      <c r="V206" s="4"/>
      <c r="W206" s="4"/>
      <c r="X206" s="4"/>
      <c r="Y206" s="4">
        <v>537</v>
      </c>
      <c r="Z206" s="4">
        <f t="shared" si="36"/>
        <v>537</v>
      </c>
      <c r="AA206" s="4">
        <v>349</v>
      </c>
      <c r="AB206" s="4">
        <f t="shared" si="37"/>
        <v>349</v>
      </c>
      <c r="AC206" s="4"/>
      <c r="AD206" s="21">
        <f>ROUND(M206*AR206,0)</f>
        <v>456</v>
      </c>
      <c r="AE206" s="6">
        <f>1-AB206/AD206</f>
        <v>0.23464912280701755</v>
      </c>
      <c r="AF206" s="33">
        <v>0.25</v>
      </c>
      <c r="AG206" s="4">
        <f t="shared" si="38"/>
        <v>780</v>
      </c>
      <c r="AH206" s="33">
        <f t="shared" si="40"/>
        <v>780</v>
      </c>
      <c r="AI206" s="6">
        <f>1-AB206/AH206</f>
        <v>0.5525641025641026</v>
      </c>
      <c r="AJ206" s="7">
        <f>ROUND(AB206/0.65,0)</f>
        <v>537</v>
      </c>
      <c r="AK206" s="6">
        <f>1-AB206/AJ206</f>
        <v>0.35009310986964615</v>
      </c>
      <c r="AL206" s="4">
        <f>AJ206-AB206</f>
        <v>188</v>
      </c>
      <c r="AM206" s="28"/>
      <c r="AN206" s="6"/>
      <c r="AO206" s="6"/>
      <c r="AP206" s="6">
        <f>Z206/L206</f>
        <v>0.68846153846153846</v>
      </c>
      <c r="AQ206" s="6">
        <f>AJ206/M206</f>
        <v>1.1776315789473684</v>
      </c>
      <c r="AR206" s="6">
        <f>AB206/N206</f>
        <v>1</v>
      </c>
      <c r="AS206" s="4"/>
      <c r="AT206" s="4"/>
      <c r="AU206" s="4"/>
      <c r="AV206" s="4"/>
      <c r="AW206" s="4"/>
      <c r="AX206" s="4"/>
      <c r="AY206" s="4"/>
      <c r="AZ206" s="4"/>
      <c r="BA206" s="4"/>
      <c r="BB206" s="4">
        <v>0</v>
      </c>
      <c r="BC206" s="4" t="s">
        <v>3773</v>
      </c>
      <c r="BD206" s="4">
        <v>1</v>
      </c>
      <c r="BE206" s="4">
        <v>2</v>
      </c>
      <c r="BF206" s="4" t="s">
        <v>3640</v>
      </c>
      <c r="BG206" s="4">
        <v>1560</v>
      </c>
      <c r="BH206" s="4">
        <v>1560</v>
      </c>
      <c r="BI206" s="4">
        <f t="shared" si="39"/>
        <v>780</v>
      </c>
      <c r="BJ206" s="19">
        <v>4</v>
      </c>
      <c r="BK206" s="19">
        <v>8</v>
      </c>
      <c r="BL206" s="16">
        <v>6</v>
      </c>
      <c r="BM206" s="45" t="s">
        <v>3534</v>
      </c>
      <c r="BN206" t="s">
        <v>3534</v>
      </c>
      <c r="BO206" t="str">
        <f t="shared" si="41"/>
        <v>-</v>
      </c>
      <c r="BP206" t="s">
        <v>3534</v>
      </c>
      <c r="BQ206">
        <v>537</v>
      </c>
      <c r="BR206">
        <f t="shared" si="42"/>
        <v>537</v>
      </c>
      <c r="BS206" t="s">
        <v>2698</v>
      </c>
    </row>
    <row r="207" spans="1:71" x14ac:dyDescent="0.4">
      <c r="A207" s="3">
        <v>204</v>
      </c>
      <c r="B207" s="3">
        <v>204</v>
      </c>
      <c r="C207" s="4" t="s">
        <v>266</v>
      </c>
      <c r="D207" s="4" t="str">
        <f t="shared" si="34"/>
        <v>J151WF</v>
      </c>
      <c r="E207" s="4" t="s">
        <v>266</v>
      </c>
      <c r="F207" s="4" t="s">
        <v>1485</v>
      </c>
      <c r="G207" s="5">
        <v>4521718190242</v>
      </c>
      <c r="H207" s="5"/>
      <c r="I207" s="5"/>
      <c r="J207" s="5">
        <v>1</v>
      </c>
      <c r="K207" s="5">
        <v>1</v>
      </c>
      <c r="L207" s="4">
        <v>460</v>
      </c>
      <c r="M207" s="4">
        <v>414</v>
      </c>
      <c r="N207" s="4">
        <v>207</v>
      </c>
      <c r="O207" s="6">
        <f t="shared" si="35"/>
        <v>0.5</v>
      </c>
      <c r="P207" s="4" t="s">
        <v>2500</v>
      </c>
      <c r="Q207" s="4"/>
      <c r="R207" s="4"/>
      <c r="S207" s="4"/>
      <c r="T207" s="4"/>
      <c r="U207" s="4"/>
      <c r="V207" s="4"/>
      <c r="W207" s="4"/>
      <c r="X207" s="4"/>
      <c r="Y207" s="4">
        <v>319</v>
      </c>
      <c r="Z207" s="4">
        <f t="shared" si="36"/>
        <v>319</v>
      </c>
      <c r="AA207" s="4">
        <v>207</v>
      </c>
      <c r="AB207" s="4">
        <f t="shared" si="37"/>
        <v>207</v>
      </c>
      <c r="AC207" s="4"/>
      <c r="AD207" s="21">
        <f>ROUND(M207*AR207,0)</f>
        <v>414</v>
      </c>
      <c r="AE207" s="6">
        <f>1-AB207/AD207</f>
        <v>0.5</v>
      </c>
      <c r="AF207" s="33">
        <v>0</v>
      </c>
      <c r="AG207" s="4">
        <f t="shared" si="38"/>
        <v>460</v>
      </c>
      <c r="AH207" s="33">
        <f t="shared" si="40"/>
        <v>460</v>
      </c>
      <c r="AI207" s="6">
        <f>1-AB207/AH207</f>
        <v>0.55000000000000004</v>
      </c>
      <c r="AJ207" s="7">
        <f>ROUND(AB207/0.65,0)</f>
        <v>318</v>
      </c>
      <c r="AK207" s="6">
        <f>1-AB207/AJ207</f>
        <v>0.34905660377358494</v>
      </c>
      <c r="AL207" s="4">
        <f>AJ207-AB207</f>
        <v>111</v>
      </c>
      <c r="AM207" s="28"/>
      <c r="AN207" s="6"/>
      <c r="AO207" s="6"/>
      <c r="AP207" s="6">
        <f>Z207/L207</f>
        <v>0.69347826086956521</v>
      </c>
      <c r="AQ207" s="6">
        <f>AJ207/M207</f>
        <v>0.76811594202898548</v>
      </c>
      <c r="AR207" s="6">
        <f>AB207/N207</f>
        <v>1</v>
      </c>
      <c r="AS207" s="4"/>
      <c r="AT207" s="4"/>
      <c r="AU207" s="4"/>
      <c r="AV207" s="4"/>
      <c r="AW207" s="4"/>
      <c r="AX207" s="4"/>
      <c r="AY207" s="4"/>
      <c r="AZ207" s="4"/>
      <c r="BA207" s="4"/>
      <c r="BB207" s="4">
        <v>0</v>
      </c>
      <c r="BC207" s="4" t="s">
        <v>3774</v>
      </c>
      <c r="BD207" s="4">
        <v>1</v>
      </c>
      <c r="BE207" s="4">
        <v>4</v>
      </c>
      <c r="BF207" s="4" t="s">
        <v>3579</v>
      </c>
      <c r="BG207" s="4">
        <v>1840</v>
      </c>
      <c r="BH207" s="4">
        <v>1840</v>
      </c>
      <c r="BI207" s="4">
        <f t="shared" si="39"/>
        <v>460</v>
      </c>
      <c r="BJ207" s="19">
        <v>4</v>
      </c>
      <c r="BK207" s="19">
        <v>8</v>
      </c>
      <c r="BL207" s="16">
        <v>6</v>
      </c>
      <c r="BM207" s="45" t="s">
        <v>3534</v>
      </c>
      <c r="BN207" t="s">
        <v>3534</v>
      </c>
      <c r="BO207" t="str">
        <f t="shared" si="41"/>
        <v>-</v>
      </c>
      <c r="BP207" t="s">
        <v>3534</v>
      </c>
      <c r="BQ207">
        <v>319</v>
      </c>
      <c r="BR207">
        <f t="shared" si="42"/>
        <v>319</v>
      </c>
      <c r="BS207" t="s">
        <v>2699</v>
      </c>
    </row>
    <row r="208" spans="1:71" x14ac:dyDescent="0.4">
      <c r="A208" s="3">
        <v>205</v>
      </c>
      <c r="B208" s="3">
        <v>205</v>
      </c>
      <c r="C208" s="4" t="s">
        <v>267</v>
      </c>
      <c r="D208" s="4" t="str">
        <f t="shared" si="34"/>
        <v>J152WF</v>
      </c>
      <c r="E208" s="4" t="s">
        <v>267</v>
      </c>
      <c r="F208" s="4" t="s">
        <v>1486</v>
      </c>
      <c r="G208" s="5">
        <v>4521718190259</v>
      </c>
      <c r="H208" s="5"/>
      <c r="I208" s="5"/>
      <c r="J208" s="5">
        <v>1</v>
      </c>
      <c r="K208" s="5">
        <v>1</v>
      </c>
      <c r="L208" s="4">
        <v>460</v>
      </c>
      <c r="M208" s="4">
        <v>414</v>
      </c>
      <c r="N208" s="4">
        <v>207</v>
      </c>
      <c r="O208" s="6">
        <f t="shared" si="35"/>
        <v>0.5</v>
      </c>
      <c r="P208" s="4" t="s">
        <v>2500</v>
      </c>
      <c r="Q208" s="4"/>
      <c r="R208" s="4"/>
      <c r="S208" s="4"/>
      <c r="T208" s="4"/>
      <c r="U208" s="4"/>
      <c r="V208" s="4"/>
      <c r="W208" s="4"/>
      <c r="X208" s="4"/>
      <c r="Y208" s="4">
        <v>319</v>
      </c>
      <c r="Z208" s="4">
        <f t="shared" si="36"/>
        <v>319</v>
      </c>
      <c r="AA208" s="4">
        <v>207</v>
      </c>
      <c r="AB208" s="4">
        <f t="shared" si="37"/>
        <v>207</v>
      </c>
      <c r="AC208" s="4"/>
      <c r="AD208" s="21">
        <f>ROUND(M208*AR208,0)</f>
        <v>414</v>
      </c>
      <c r="AE208" s="6">
        <f>1-AB208/AD208</f>
        <v>0.5</v>
      </c>
      <c r="AF208" s="33">
        <v>0.25</v>
      </c>
      <c r="AG208" s="4">
        <f t="shared" si="38"/>
        <v>460</v>
      </c>
      <c r="AH208" s="33">
        <f t="shared" si="40"/>
        <v>460</v>
      </c>
      <c r="AI208" s="6">
        <f>1-AB208/AH208</f>
        <v>0.55000000000000004</v>
      </c>
      <c r="AJ208" s="7">
        <f>ROUND(AB208/0.65,0)</f>
        <v>318</v>
      </c>
      <c r="AK208" s="6">
        <f>1-AB208/AJ208</f>
        <v>0.34905660377358494</v>
      </c>
      <c r="AL208" s="4">
        <f>AJ208-AB208</f>
        <v>111</v>
      </c>
      <c r="AM208" s="28"/>
      <c r="AN208" s="6"/>
      <c r="AO208" s="6"/>
      <c r="AP208" s="6">
        <f>Z208/L208</f>
        <v>0.69347826086956521</v>
      </c>
      <c r="AQ208" s="6">
        <f>AJ208/M208</f>
        <v>0.76811594202898548</v>
      </c>
      <c r="AR208" s="6">
        <f>AB208/N208</f>
        <v>1</v>
      </c>
      <c r="AS208" s="4"/>
      <c r="AT208" s="4"/>
      <c r="AU208" s="4"/>
      <c r="AV208" s="4"/>
      <c r="AW208" s="4"/>
      <c r="AX208" s="4"/>
      <c r="AY208" s="4"/>
      <c r="AZ208" s="4"/>
      <c r="BA208" s="4"/>
      <c r="BB208" s="4">
        <v>0</v>
      </c>
      <c r="BC208" s="4" t="s">
        <v>3775</v>
      </c>
      <c r="BD208" s="4">
        <v>1</v>
      </c>
      <c r="BE208" s="4">
        <v>4</v>
      </c>
      <c r="BF208" s="4" t="s">
        <v>3579</v>
      </c>
      <c r="BG208" s="4">
        <v>1840</v>
      </c>
      <c r="BH208" s="4">
        <v>1840</v>
      </c>
      <c r="BI208" s="4">
        <f t="shared" si="39"/>
        <v>460</v>
      </c>
      <c r="BJ208" s="19">
        <v>4</v>
      </c>
      <c r="BK208" s="19">
        <v>8</v>
      </c>
      <c r="BL208" s="16">
        <v>6</v>
      </c>
      <c r="BM208" s="45" t="s">
        <v>3534</v>
      </c>
      <c r="BN208" t="s">
        <v>3534</v>
      </c>
      <c r="BO208" t="str">
        <f t="shared" si="41"/>
        <v>-</v>
      </c>
      <c r="BP208" t="s">
        <v>3534</v>
      </c>
      <c r="BQ208">
        <v>319</v>
      </c>
      <c r="BR208">
        <f t="shared" si="42"/>
        <v>319</v>
      </c>
      <c r="BS208" t="s">
        <v>2700</v>
      </c>
    </row>
    <row r="209" spans="1:71" x14ac:dyDescent="0.4">
      <c r="A209" s="42">
        <v>206</v>
      </c>
      <c r="B209" s="3">
        <v>206</v>
      </c>
      <c r="C209" s="4" t="s">
        <v>268</v>
      </c>
      <c r="D209" s="4" t="str">
        <f t="shared" si="34"/>
        <v>J152WH</v>
      </c>
      <c r="E209" s="4" t="s">
        <v>268</v>
      </c>
      <c r="F209" s="4" t="s">
        <v>1487</v>
      </c>
      <c r="G209" s="5">
        <v>4521718506401</v>
      </c>
      <c r="H209" s="5"/>
      <c r="I209" s="5"/>
      <c r="J209" s="5">
        <v>1</v>
      </c>
      <c r="K209" s="5">
        <v>1</v>
      </c>
      <c r="L209" s="4">
        <v>7860</v>
      </c>
      <c r="M209" s="4">
        <v>6288</v>
      </c>
      <c r="N209" s="4">
        <v>3534</v>
      </c>
      <c r="O209" s="6">
        <f t="shared" si="35"/>
        <v>0.43797709923664119</v>
      </c>
      <c r="P209" s="4" t="s">
        <v>2500</v>
      </c>
      <c r="Q209" s="4"/>
      <c r="R209" s="4"/>
      <c r="S209" s="4"/>
      <c r="T209" s="4"/>
      <c r="U209" s="4"/>
      <c r="V209" s="4"/>
      <c r="W209" s="4"/>
      <c r="X209" s="4"/>
      <c r="Y209" s="4">
        <v>5437</v>
      </c>
      <c r="Z209" s="4">
        <f t="shared" si="36"/>
        <v>5437</v>
      </c>
      <c r="AA209" s="4">
        <v>3534</v>
      </c>
      <c r="AB209" s="4">
        <f t="shared" si="37"/>
        <v>3534</v>
      </c>
      <c r="AC209" s="4"/>
      <c r="AD209" s="21">
        <f>ROUND(M209*AR209,0)</f>
        <v>6288</v>
      </c>
      <c r="AE209" s="6">
        <f>1-AB209/AD209</f>
        <v>0.43797709923664119</v>
      </c>
      <c r="AF209" s="33">
        <v>0.25</v>
      </c>
      <c r="AG209" s="4" t="str">
        <f t="shared" si="38"/>
        <v>-</v>
      </c>
      <c r="AH209" s="33" t="e">
        <f t="shared" si="40"/>
        <v>#VALUE!</v>
      </c>
      <c r="AI209" s="6" t="e">
        <f>1-AB209/AH209</f>
        <v>#VALUE!</v>
      </c>
      <c r="AJ209" s="7">
        <f>ROUND(AB209/0.65,0)</f>
        <v>5437</v>
      </c>
      <c r="AK209" s="6">
        <f>1-AB209/AJ209</f>
        <v>0.35000919624793081</v>
      </c>
      <c r="AL209" s="4">
        <f>AJ209-AB209</f>
        <v>1903</v>
      </c>
      <c r="AM209" s="28"/>
      <c r="AN209" s="6"/>
      <c r="AO209" s="6"/>
      <c r="AP209" s="6">
        <f>Z209/L209</f>
        <v>0.69173027989821878</v>
      </c>
      <c r="AQ209" s="6">
        <f>AJ209/M209</f>
        <v>0.86466284987277353</v>
      </c>
      <c r="AR209" s="6">
        <f>AB209/N209</f>
        <v>1</v>
      </c>
      <c r="AS209" s="4"/>
      <c r="AT209" s="4"/>
      <c r="AU209" s="4"/>
      <c r="AV209" s="4"/>
      <c r="AW209" s="4"/>
      <c r="AX209" s="4"/>
      <c r="AY209" s="4"/>
      <c r="AZ209" s="4"/>
      <c r="BA209" s="4"/>
      <c r="BB209" s="4">
        <v>0</v>
      </c>
      <c r="BC209" s="4" t="s">
        <v>3534</v>
      </c>
      <c r="BD209" s="4"/>
      <c r="BE209" s="4"/>
      <c r="BF209" s="4" t="s">
        <v>3534</v>
      </c>
      <c r="BG209" s="4" t="s">
        <v>3534</v>
      </c>
      <c r="BH209" s="4" t="s">
        <v>3534</v>
      </c>
      <c r="BI209" s="4" t="str">
        <f t="shared" si="39"/>
        <v>-</v>
      </c>
      <c r="BJ209" s="19">
        <v>2</v>
      </c>
      <c r="BK209" s="19">
        <v>8</v>
      </c>
      <c r="BL209" s="16">
        <v>6</v>
      </c>
      <c r="BM209" s="45" t="s">
        <v>3534</v>
      </c>
      <c r="BN209" t="s">
        <v>3534</v>
      </c>
      <c r="BO209" t="str">
        <f t="shared" si="41"/>
        <v>-</v>
      </c>
      <c r="BP209" t="s">
        <v>3534</v>
      </c>
      <c r="BQ209">
        <v>5437</v>
      </c>
      <c r="BR209">
        <f t="shared" si="42"/>
        <v>5437</v>
      </c>
      <c r="BS209" t="s">
        <v>3534</v>
      </c>
    </row>
    <row r="210" spans="1:71" x14ac:dyDescent="0.4">
      <c r="A210" s="3">
        <v>207</v>
      </c>
      <c r="B210" s="3">
        <v>207</v>
      </c>
      <c r="C210" s="4" t="s">
        <v>269</v>
      </c>
      <c r="D210" s="4" t="str">
        <f t="shared" si="34"/>
        <v>J151WH</v>
      </c>
      <c r="E210" s="4" t="s">
        <v>269</v>
      </c>
      <c r="F210" s="4" t="s">
        <v>1488</v>
      </c>
      <c r="G210" s="5">
        <v>4521718243610</v>
      </c>
      <c r="H210" s="5"/>
      <c r="I210" s="5"/>
      <c r="J210" s="5">
        <v>1</v>
      </c>
      <c r="K210" s="5">
        <v>1</v>
      </c>
      <c r="L210" s="4">
        <v>500</v>
      </c>
      <c r="M210" s="4">
        <v>400</v>
      </c>
      <c r="N210" s="4">
        <v>225</v>
      </c>
      <c r="O210" s="6">
        <f t="shared" si="35"/>
        <v>0.4375</v>
      </c>
      <c r="P210" s="4" t="s">
        <v>2500</v>
      </c>
      <c r="Q210" s="4"/>
      <c r="R210" s="4"/>
      <c r="S210" s="4"/>
      <c r="T210" s="4"/>
      <c r="U210" s="4"/>
      <c r="V210" s="4"/>
      <c r="W210" s="4"/>
      <c r="X210" s="4"/>
      <c r="Y210" s="4">
        <v>346</v>
      </c>
      <c r="Z210" s="4">
        <f t="shared" si="36"/>
        <v>346</v>
      </c>
      <c r="AA210" s="4">
        <v>225</v>
      </c>
      <c r="AB210" s="4">
        <f t="shared" si="37"/>
        <v>225</v>
      </c>
      <c r="AC210" s="4"/>
      <c r="AD210" s="21">
        <f>ROUND(M210*AR210,0)</f>
        <v>400</v>
      </c>
      <c r="AE210" s="6">
        <f>1-AB210/AD210</f>
        <v>0.4375</v>
      </c>
      <c r="AF210" s="33">
        <v>0</v>
      </c>
      <c r="AG210" s="4" t="str">
        <f t="shared" si="38"/>
        <v>-</v>
      </c>
      <c r="AH210" s="33" t="e">
        <f t="shared" si="40"/>
        <v>#VALUE!</v>
      </c>
      <c r="AI210" s="6" t="e">
        <f>1-AB210/AH210</f>
        <v>#VALUE!</v>
      </c>
      <c r="AJ210" s="7">
        <v>346</v>
      </c>
      <c r="AK210" s="6">
        <f>1-AB210/AJ210</f>
        <v>0.3497109826589595</v>
      </c>
      <c r="AL210" s="4">
        <f>AJ210-AB210</f>
        <v>121</v>
      </c>
      <c r="AM210" s="28"/>
      <c r="AN210" s="6"/>
      <c r="AO210" s="6"/>
      <c r="AP210" s="6">
        <f>Z210/L210</f>
        <v>0.69199999999999995</v>
      </c>
      <c r="AQ210" s="6">
        <f>AJ210/M210</f>
        <v>0.86499999999999999</v>
      </c>
      <c r="AR210" s="6">
        <f>AB210/N210</f>
        <v>1</v>
      </c>
      <c r="AS210" s="4"/>
      <c r="AT210" s="4"/>
      <c r="AU210" s="4"/>
      <c r="AV210" s="4"/>
      <c r="AW210" s="4"/>
      <c r="AX210" s="4"/>
      <c r="AY210" s="4"/>
      <c r="AZ210" s="4"/>
      <c r="BA210" s="4"/>
      <c r="BB210" s="4">
        <v>0</v>
      </c>
      <c r="BC210" s="4" t="s">
        <v>3534</v>
      </c>
      <c r="BD210" s="4"/>
      <c r="BE210" s="4"/>
      <c r="BF210" s="4" t="s">
        <v>3534</v>
      </c>
      <c r="BG210" s="4" t="s">
        <v>3534</v>
      </c>
      <c r="BH210" s="4" t="s">
        <v>3534</v>
      </c>
      <c r="BI210" s="4" t="str">
        <f t="shared" si="39"/>
        <v>-</v>
      </c>
      <c r="BJ210" s="19">
        <v>4</v>
      </c>
      <c r="BK210" s="19">
        <v>8</v>
      </c>
      <c r="BL210" s="16">
        <v>6</v>
      </c>
      <c r="BM210" s="45" t="s">
        <v>3534</v>
      </c>
      <c r="BN210" t="s">
        <v>3534</v>
      </c>
      <c r="BO210" t="str">
        <f t="shared" si="41"/>
        <v>-</v>
      </c>
      <c r="BP210" t="s">
        <v>3534</v>
      </c>
      <c r="BQ210">
        <v>346</v>
      </c>
      <c r="BR210">
        <f t="shared" si="42"/>
        <v>346</v>
      </c>
      <c r="BS210" t="s">
        <v>3534</v>
      </c>
    </row>
    <row r="211" spans="1:71" x14ac:dyDescent="0.4">
      <c r="A211" s="3">
        <v>208</v>
      </c>
      <c r="B211" s="3">
        <v>208</v>
      </c>
      <c r="C211" s="4" t="s">
        <v>270</v>
      </c>
      <c r="D211" s="4" t="str">
        <f t="shared" si="34"/>
        <v>J153WF</v>
      </c>
      <c r="E211" s="4" t="s">
        <v>270</v>
      </c>
      <c r="F211" s="4" t="s">
        <v>1489</v>
      </c>
      <c r="G211" s="5">
        <v>4521718190365</v>
      </c>
      <c r="H211" s="5"/>
      <c r="I211" s="5"/>
      <c r="J211" s="5">
        <v>1</v>
      </c>
      <c r="K211" s="5">
        <v>1</v>
      </c>
      <c r="L211" s="4">
        <v>310</v>
      </c>
      <c r="M211" s="4">
        <v>279</v>
      </c>
      <c r="N211" s="4">
        <v>137</v>
      </c>
      <c r="O211" s="6">
        <f t="shared" si="35"/>
        <v>0.50896057347670243</v>
      </c>
      <c r="P211" s="4" t="s">
        <v>2500</v>
      </c>
      <c r="Q211" s="4"/>
      <c r="R211" s="4"/>
      <c r="S211" s="4"/>
      <c r="T211" s="4"/>
      <c r="U211" s="4"/>
      <c r="V211" s="4"/>
      <c r="W211" s="4"/>
      <c r="X211" s="4"/>
      <c r="Y211" s="4">
        <v>210</v>
      </c>
      <c r="Z211" s="4">
        <f t="shared" si="36"/>
        <v>210</v>
      </c>
      <c r="AA211" s="4">
        <v>137</v>
      </c>
      <c r="AB211" s="4">
        <f t="shared" si="37"/>
        <v>137</v>
      </c>
      <c r="AC211" s="4"/>
      <c r="AD211" s="21">
        <f>ROUND(M211*AR211,0)</f>
        <v>279</v>
      </c>
      <c r="AE211" s="6">
        <f>1-AB211/AD211</f>
        <v>0.50896057347670243</v>
      </c>
      <c r="AF211" s="33">
        <v>0</v>
      </c>
      <c r="AG211" s="4">
        <f t="shared" si="38"/>
        <v>310</v>
      </c>
      <c r="AH211" s="33">
        <f t="shared" si="40"/>
        <v>310</v>
      </c>
      <c r="AI211" s="6">
        <f>1-AB211/AH211</f>
        <v>0.5580645161290323</v>
      </c>
      <c r="AJ211" s="7">
        <v>210</v>
      </c>
      <c r="AK211" s="6">
        <f>1-AB211/AJ211</f>
        <v>0.34761904761904761</v>
      </c>
      <c r="AL211" s="4">
        <f>AJ211-AB211</f>
        <v>73</v>
      </c>
      <c r="AM211" s="28"/>
      <c r="AN211" s="6"/>
      <c r="AO211" s="6"/>
      <c r="AP211" s="6">
        <f>Z211/L211</f>
        <v>0.67741935483870963</v>
      </c>
      <c r="AQ211" s="6">
        <f>AJ211/M211</f>
        <v>0.75268817204301075</v>
      </c>
      <c r="AR211" s="6">
        <f>AB211/N211</f>
        <v>1</v>
      </c>
      <c r="AS211" s="4"/>
      <c r="AT211" s="4"/>
      <c r="AU211" s="4"/>
      <c r="AV211" s="4"/>
      <c r="AW211" s="4"/>
      <c r="AX211" s="4"/>
      <c r="AY211" s="4"/>
      <c r="AZ211" s="4"/>
      <c r="BA211" s="4"/>
      <c r="BB211" s="4">
        <v>0</v>
      </c>
      <c r="BC211" s="4" t="s">
        <v>3776</v>
      </c>
      <c r="BD211" s="4">
        <v>1</v>
      </c>
      <c r="BE211" s="4">
        <v>5</v>
      </c>
      <c r="BF211" s="4" t="s">
        <v>3606</v>
      </c>
      <c r="BG211" s="4">
        <v>1550</v>
      </c>
      <c r="BH211" s="4">
        <v>1550</v>
      </c>
      <c r="BI211" s="4">
        <f t="shared" si="39"/>
        <v>310</v>
      </c>
      <c r="BJ211" s="19">
        <v>4</v>
      </c>
      <c r="BK211" s="19">
        <v>8</v>
      </c>
      <c r="BL211" s="16">
        <v>6</v>
      </c>
      <c r="BM211" s="45" t="s">
        <v>3534</v>
      </c>
      <c r="BN211" t="s">
        <v>3534</v>
      </c>
      <c r="BO211" t="str">
        <f t="shared" si="41"/>
        <v>-</v>
      </c>
      <c r="BP211" t="s">
        <v>3534</v>
      </c>
      <c r="BQ211">
        <v>210</v>
      </c>
      <c r="BR211">
        <f t="shared" si="42"/>
        <v>210</v>
      </c>
      <c r="BS211" t="s">
        <v>2701</v>
      </c>
    </row>
    <row r="212" spans="1:71" x14ac:dyDescent="0.4">
      <c r="A212" s="3">
        <v>209</v>
      </c>
      <c r="B212" s="3">
        <v>209</v>
      </c>
      <c r="C212" s="4" t="s">
        <v>271</v>
      </c>
      <c r="D212" s="4" t="str">
        <f t="shared" si="34"/>
        <v>J153WH</v>
      </c>
      <c r="E212" s="4" t="s">
        <v>271</v>
      </c>
      <c r="F212" s="4" t="s">
        <v>1490</v>
      </c>
      <c r="G212" s="5">
        <v>4521718585451</v>
      </c>
      <c r="H212" s="5"/>
      <c r="I212" s="5"/>
      <c r="J212" s="5">
        <v>1</v>
      </c>
      <c r="K212" s="5">
        <v>1</v>
      </c>
      <c r="L212" s="4">
        <v>500</v>
      </c>
      <c r="M212" s="4">
        <v>400</v>
      </c>
      <c r="N212" s="4">
        <v>280</v>
      </c>
      <c r="O212" s="6">
        <f t="shared" si="35"/>
        <v>0.30000000000000004</v>
      </c>
      <c r="P212" s="4" t="s">
        <v>2500</v>
      </c>
      <c r="Q212" s="4"/>
      <c r="R212" s="4"/>
      <c r="S212" s="4"/>
      <c r="T212" s="4"/>
      <c r="U212" s="4"/>
      <c r="V212" s="4"/>
      <c r="W212" s="4"/>
      <c r="X212" s="4"/>
      <c r="Y212" s="4">
        <v>400</v>
      </c>
      <c r="Z212" s="4">
        <f t="shared" si="36"/>
        <v>400</v>
      </c>
      <c r="AA212" s="4">
        <v>280</v>
      </c>
      <c r="AB212" s="4">
        <f t="shared" si="37"/>
        <v>280</v>
      </c>
      <c r="AC212" s="4"/>
      <c r="AD212" s="21">
        <f>ROUND(M212*AR212,0)</f>
        <v>400</v>
      </c>
      <c r="AE212" s="6">
        <f>1-AB212/AD212</f>
        <v>0.30000000000000004</v>
      </c>
      <c r="AF212" s="33">
        <v>0</v>
      </c>
      <c r="AG212" s="4" t="str">
        <f t="shared" si="38"/>
        <v>-</v>
      </c>
      <c r="AH212" s="33" t="e">
        <f t="shared" si="40"/>
        <v>#VALUE!</v>
      </c>
      <c r="AI212" s="6" t="e">
        <f>1-AB212/AH212</f>
        <v>#VALUE!</v>
      </c>
      <c r="AJ212" s="7">
        <v>400</v>
      </c>
      <c r="AK212" s="6">
        <f>1-AB212/AJ212</f>
        <v>0.30000000000000004</v>
      </c>
      <c r="AL212" s="4">
        <f>AJ212-AB212</f>
        <v>120</v>
      </c>
      <c r="AM212" s="28"/>
      <c r="AN212" s="6"/>
      <c r="AO212" s="6"/>
      <c r="AP212" s="6">
        <f>Z212/L212</f>
        <v>0.8</v>
      </c>
      <c r="AQ212" s="6">
        <f>AJ212/M212</f>
        <v>1</v>
      </c>
      <c r="AR212" s="6">
        <f>AB212/N212</f>
        <v>1</v>
      </c>
      <c r="AS212" s="4"/>
      <c r="AT212" s="4"/>
      <c r="AU212" s="4"/>
      <c r="AV212" s="4"/>
      <c r="AW212" s="4"/>
      <c r="AX212" s="4"/>
      <c r="AY212" s="4"/>
      <c r="AZ212" s="4"/>
      <c r="BA212" s="4"/>
      <c r="BB212" s="4">
        <v>0</v>
      </c>
      <c r="BC212" s="4" t="s">
        <v>3534</v>
      </c>
      <c r="BD212" s="4"/>
      <c r="BE212" s="4"/>
      <c r="BF212" s="4" t="s">
        <v>3534</v>
      </c>
      <c r="BG212" s="4" t="s">
        <v>3534</v>
      </c>
      <c r="BH212" s="4" t="s">
        <v>3534</v>
      </c>
      <c r="BI212" s="4" t="str">
        <f t="shared" si="39"/>
        <v>-</v>
      </c>
      <c r="BJ212" s="19">
        <v>4</v>
      </c>
      <c r="BK212" s="19">
        <v>8</v>
      </c>
      <c r="BL212" s="16">
        <v>6</v>
      </c>
      <c r="BM212" s="45" t="s">
        <v>3534</v>
      </c>
      <c r="BN212" t="s">
        <v>3534</v>
      </c>
      <c r="BO212" t="str">
        <f t="shared" si="41"/>
        <v>-</v>
      </c>
      <c r="BP212">
        <v>400</v>
      </c>
      <c r="BQ212">
        <v>400</v>
      </c>
      <c r="BR212">
        <f t="shared" si="42"/>
        <v>400</v>
      </c>
      <c r="BS212" t="s">
        <v>3534</v>
      </c>
    </row>
    <row r="213" spans="1:71" x14ac:dyDescent="0.4">
      <c r="A213" s="3">
        <v>210</v>
      </c>
      <c r="B213" s="3">
        <v>210</v>
      </c>
      <c r="C213" s="4" t="s">
        <v>272</v>
      </c>
      <c r="D213" s="4" t="str">
        <f t="shared" si="34"/>
        <v>J154MD</v>
      </c>
      <c r="E213" s="4" t="s">
        <v>272</v>
      </c>
      <c r="F213" s="4" t="s">
        <v>1491</v>
      </c>
      <c r="G213" s="5">
        <v>4521718180236</v>
      </c>
      <c r="H213" s="5"/>
      <c r="I213" s="5"/>
      <c r="J213" s="5">
        <v>1</v>
      </c>
      <c r="K213" s="5">
        <v>1</v>
      </c>
      <c r="L213" s="4">
        <v>600</v>
      </c>
      <c r="M213" s="4">
        <v>340</v>
      </c>
      <c r="N213" s="4">
        <v>267</v>
      </c>
      <c r="O213" s="6">
        <f t="shared" si="35"/>
        <v>0.21470588235294119</v>
      </c>
      <c r="P213" s="4" t="s">
        <v>2500</v>
      </c>
      <c r="Q213" s="4"/>
      <c r="R213" s="4"/>
      <c r="S213" s="4"/>
      <c r="T213" s="4"/>
      <c r="U213" s="4"/>
      <c r="V213" s="4"/>
      <c r="W213" s="4"/>
      <c r="X213" s="4"/>
      <c r="Y213" s="4">
        <v>382</v>
      </c>
      <c r="Z213" s="4">
        <f t="shared" si="36"/>
        <v>382</v>
      </c>
      <c r="AA213" s="4">
        <v>267</v>
      </c>
      <c r="AB213" s="4">
        <f t="shared" si="37"/>
        <v>267</v>
      </c>
      <c r="AC213" s="4"/>
      <c r="AD213" s="21">
        <f>ROUND(M213*AR213,0)</f>
        <v>340</v>
      </c>
      <c r="AE213" s="6">
        <f>1-AB213/AD213</f>
        <v>0.21470588235294119</v>
      </c>
      <c r="AF213" s="33">
        <v>0</v>
      </c>
      <c r="AG213" s="4">
        <f t="shared" si="38"/>
        <v>780</v>
      </c>
      <c r="AH213" s="33">
        <f t="shared" si="40"/>
        <v>780</v>
      </c>
      <c r="AI213" s="6">
        <f>1-AB213/AH213</f>
        <v>0.65769230769230769</v>
      </c>
      <c r="AJ213" s="7">
        <v>382</v>
      </c>
      <c r="AK213" s="6">
        <f>1-AB213/AJ213</f>
        <v>0.30104712041884818</v>
      </c>
      <c r="AL213" s="4">
        <f>AJ213-AB213</f>
        <v>115</v>
      </c>
      <c r="AM213" s="28"/>
      <c r="AN213" s="6"/>
      <c r="AO213" s="6"/>
      <c r="AP213" s="6">
        <f>Z213/L213</f>
        <v>0.63666666666666671</v>
      </c>
      <c r="AQ213" s="6">
        <f>AJ213/M213</f>
        <v>1.1235294117647059</v>
      </c>
      <c r="AR213" s="6">
        <f>AB213/N213</f>
        <v>1</v>
      </c>
      <c r="AS213" s="4"/>
      <c r="AT213" s="4"/>
      <c r="AU213" s="4"/>
      <c r="AV213" s="4"/>
      <c r="AW213" s="4"/>
      <c r="AX213" s="4"/>
      <c r="AY213" s="4"/>
      <c r="AZ213" s="4"/>
      <c r="BA213" s="4"/>
      <c r="BB213" s="4">
        <v>0</v>
      </c>
      <c r="BC213" s="4" t="s">
        <v>3777</v>
      </c>
      <c r="BD213" s="4">
        <v>1</v>
      </c>
      <c r="BE213" s="4">
        <v>2</v>
      </c>
      <c r="BF213" s="4" t="s">
        <v>3640</v>
      </c>
      <c r="BG213" s="4">
        <v>1560</v>
      </c>
      <c r="BH213" s="4">
        <v>1560</v>
      </c>
      <c r="BI213" s="4">
        <f t="shared" si="39"/>
        <v>780</v>
      </c>
      <c r="BJ213" s="19">
        <v>4</v>
      </c>
      <c r="BK213" s="19">
        <v>8</v>
      </c>
      <c r="BL213" s="16">
        <v>6</v>
      </c>
      <c r="BM213" s="45" t="s">
        <v>3534</v>
      </c>
      <c r="BN213" t="s">
        <v>3534</v>
      </c>
      <c r="BO213" t="str">
        <f t="shared" si="41"/>
        <v>-</v>
      </c>
      <c r="BP213" t="s">
        <v>3534</v>
      </c>
      <c r="BQ213">
        <v>446</v>
      </c>
      <c r="BR213">
        <f t="shared" si="42"/>
        <v>446</v>
      </c>
      <c r="BS213" t="s">
        <v>2702</v>
      </c>
    </row>
    <row r="214" spans="1:71" x14ac:dyDescent="0.4">
      <c r="A214" s="3">
        <v>211</v>
      </c>
      <c r="B214" s="3">
        <v>211</v>
      </c>
      <c r="C214" s="4" t="s">
        <v>273</v>
      </c>
      <c r="D214" s="4" t="str">
        <f t="shared" si="34"/>
        <v>J154WF</v>
      </c>
      <c r="E214" s="4" t="s">
        <v>273</v>
      </c>
      <c r="F214" s="4" t="s">
        <v>1492</v>
      </c>
      <c r="G214" s="5">
        <v>4521718190372</v>
      </c>
      <c r="H214" s="5"/>
      <c r="I214" s="5"/>
      <c r="J214" s="5">
        <v>1</v>
      </c>
      <c r="K214" s="5">
        <v>1</v>
      </c>
      <c r="L214" s="4">
        <v>310</v>
      </c>
      <c r="M214" s="4">
        <v>279</v>
      </c>
      <c r="N214" s="4">
        <v>137</v>
      </c>
      <c r="O214" s="6">
        <f t="shared" si="35"/>
        <v>0.50896057347670243</v>
      </c>
      <c r="P214" s="4" t="s">
        <v>2500</v>
      </c>
      <c r="Q214" s="4"/>
      <c r="R214" s="4"/>
      <c r="S214" s="4"/>
      <c r="T214" s="4"/>
      <c r="U214" s="4"/>
      <c r="V214" s="4"/>
      <c r="W214" s="4"/>
      <c r="X214" s="4"/>
      <c r="Y214" s="4">
        <v>210</v>
      </c>
      <c r="Z214" s="4">
        <f t="shared" si="36"/>
        <v>210</v>
      </c>
      <c r="AA214" s="4">
        <v>137</v>
      </c>
      <c r="AB214" s="4">
        <f t="shared" si="37"/>
        <v>137</v>
      </c>
      <c r="AC214" s="4"/>
      <c r="AD214" s="21">
        <f>ROUND(M214*AR214,0)</f>
        <v>279</v>
      </c>
      <c r="AE214" s="6">
        <f>1-AB214/AD214</f>
        <v>0.50896057347670243</v>
      </c>
      <c r="AF214" s="33">
        <v>1.5</v>
      </c>
      <c r="AG214" s="4">
        <f t="shared" si="38"/>
        <v>310</v>
      </c>
      <c r="AH214" s="33">
        <f t="shared" si="40"/>
        <v>310</v>
      </c>
      <c r="AI214" s="6">
        <f>1-AB214/AH214</f>
        <v>0.5580645161290323</v>
      </c>
      <c r="AJ214" s="7">
        <v>210</v>
      </c>
      <c r="AK214" s="6">
        <f>1-AB214/AJ214</f>
        <v>0.34761904761904761</v>
      </c>
      <c r="AL214" s="4">
        <f>AJ214-AB214</f>
        <v>73</v>
      </c>
      <c r="AM214" s="28"/>
      <c r="AN214" s="6"/>
      <c r="AO214" s="6"/>
      <c r="AP214" s="6">
        <f>Z214/L214</f>
        <v>0.67741935483870963</v>
      </c>
      <c r="AQ214" s="6">
        <f>AJ214/M214</f>
        <v>0.75268817204301075</v>
      </c>
      <c r="AR214" s="6">
        <f>AB214/N214</f>
        <v>1</v>
      </c>
      <c r="AS214" s="4"/>
      <c r="AT214" s="4"/>
      <c r="AU214" s="4"/>
      <c r="AV214" s="4"/>
      <c r="AW214" s="4"/>
      <c r="AX214" s="4"/>
      <c r="AY214" s="4"/>
      <c r="AZ214" s="4"/>
      <c r="BA214" s="4"/>
      <c r="BB214" s="4">
        <v>0</v>
      </c>
      <c r="BC214" s="4" t="s">
        <v>3778</v>
      </c>
      <c r="BD214" s="4">
        <v>1</v>
      </c>
      <c r="BE214" s="4">
        <v>5</v>
      </c>
      <c r="BF214" s="4" t="s">
        <v>3606</v>
      </c>
      <c r="BG214" s="4">
        <v>1550</v>
      </c>
      <c r="BH214" s="4">
        <v>1550</v>
      </c>
      <c r="BI214" s="4">
        <f t="shared" si="39"/>
        <v>310</v>
      </c>
      <c r="BJ214" s="19">
        <v>4</v>
      </c>
      <c r="BK214" s="19">
        <v>8</v>
      </c>
      <c r="BL214" s="16">
        <v>6</v>
      </c>
      <c r="BM214" s="45" t="s">
        <v>3534</v>
      </c>
      <c r="BN214" t="s">
        <v>3534</v>
      </c>
      <c r="BO214" t="str">
        <f t="shared" si="41"/>
        <v>-</v>
      </c>
      <c r="BP214" t="s">
        <v>3534</v>
      </c>
      <c r="BQ214">
        <v>210</v>
      </c>
      <c r="BR214">
        <f t="shared" si="42"/>
        <v>210</v>
      </c>
      <c r="BS214" t="s">
        <v>2703</v>
      </c>
    </row>
    <row r="215" spans="1:71" x14ac:dyDescent="0.4">
      <c r="A215" s="3">
        <v>212</v>
      </c>
      <c r="B215" s="3">
        <v>212</v>
      </c>
      <c r="C215" s="4" t="s">
        <v>274</v>
      </c>
      <c r="D215" s="4" t="str">
        <f t="shared" ref="D215:D278" si="43">TEXT(C215,"000000")</f>
        <v>J154WH</v>
      </c>
      <c r="E215" s="4" t="s">
        <v>274</v>
      </c>
      <c r="F215" s="4" t="s">
        <v>1493</v>
      </c>
      <c r="G215" s="5">
        <v>4521718585468</v>
      </c>
      <c r="H215" s="5"/>
      <c r="I215" s="5"/>
      <c r="J215" s="5">
        <v>1</v>
      </c>
      <c r="K215" s="5">
        <v>1</v>
      </c>
      <c r="L215" s="4">
        <v>500</v>
      </c>
      <c r="M215" s="4">
        <v>400</v>
      </c>
      <c r="N215" s="4">
        <v>280</v>
      </c>
      <c r="O215" s="6">
        <f t="shared" ref="O215:O278" si="44">1-N215/M215</f>
        <v>0.30000000000000004</v>
      </c>
      <c r="P215" s="4" t="s">
        <v>2500</v>
      </c>
      <c r="Q215" s="4"/>
      <c r="R215" s="4"/>
      <c r="S215" s="4"/>
      <c r="T215" s="4"/>
      <c r="U215" s="4"/>
      <c r="V215" s="4"/>
      <c r="W215" s="4"/>
      <c r="X215" s="4"/>
      <c r="Y215" s="4">
        <v>400</v>
      </c>
      <c r="Z215" s="4">
        <f t="shared" ref="Z215:Z278" si="45">IF(AC215="",Y215,Y215*AC215)</f>
        <v>400</v>
      </c>
      <c r="AA215" s="4">
        <v>280</v>
      </c>
      <c r="AB215" s="4">
        <f t="shared" ref="AB215:AB278" si="46">IF(AC215="",AA215,AA215*AC215)</f>
        <v>280</v>
      </c>
      <c r="AC215" s="4"/>
      <c r="AD215" s="21">
        <f>ROUND(M215*AR215,0)</f>
        <v>400</v>
      </c>
      <c r="AE215" s="6">
        <f>1-AB215/AD215</f>
        <v>0.30000000000000004</v>
      </c>
      <c r="AF215" s="33">
        <v>0</v>
      </c>
      <c r="AG215" s="4" t="str">
        <f t="shared" ref="AG215:AG278" si="47">BI215</f>
        <v>-</v>
      </c>
      <c r="AH215" s="33" t="e">
        <f t="shared" si="40"/>
        <v>#VALUE!</v>
      </c>
      <c r="AI215" s="6" t="e">
        <f>1-AB215/AH215</f>
        <v>#VALUE!</v>
      </c>
      <c r="AJ215" s="7">
        <v>400</v>
      </c>
      <c r="AK215" s="6">
        <f>1-AB215/AJ215</f>
        <v>0.30000000000000004</v>
      </c>
      <c r="AL215" s="4">
        <f>AJ215-AB215</f>
        <v>120</v>
      </c>
      <c r="AM215" s="28"/>
      <c r="AN215" s="6"/>
      <c r="AO215" s="6"/>
      <c r="AP215" s="6">
        <f>Z215/L215</f>
        <v>0.8</v>
      </c>
      <c r="AQ215" s="6">
        <f>AJ215/M215</f>
        <v>1</v>
      </c>
      <c r="AR215" s="6">
        <f>AB215/N215</f>
        <v>1</v>
      </c>
      <c r="AS215" s="4"/>
      <c r="AT215" s="4"/>
      <c r="AU215" s="4"/>
      <c r="AV215" s="4"/>
      <c r="AW215" s="4"/>
      <c r="AX215" s="4"/>
      <c r="AY215" s="4"/>
      <c r="AZ215" s="4"/>
      <c r="BA215" s="4"/>
      <c r="BB215" s="4">
        <v>0</v>
      </c>
      <c r="BC215" s="4" t="s">
        <v>3534</v>
      </c>
      <c r="BD215" s="4"/>
      <c r="BE215" s="4"/>
      <c r="BF215" s="4" t="s">
        <v>3534</v>
      </c>
      <c r="BG215" s="4" t="s">
        <v>3534</v>
      </c>
      <c r="BH215" s="4" t="s">
        <v>3534</v>
      </c>
      <c r="BI215" s="4" t="str">
        <f t="shared" ref="BI215:BI278" si="48">IF(BD215="",BH215,BD215/BE215*BH215)</f>
        <v>-</v>
      </c>
      <c r="BJ215" s="19">
        <v>4</v>
      </c>
      <c r="BK215" s="19">
        <v>8</v>
      </c>
      <c r="BL215" s="16">
        <v>6</v>
      </c>
      <c r="BM215" s="45" t="s">
        <v>3534</v>
      </c>
      <c r="BN215" t="s">
        <v>3534</v>
      </c>
      <c r="BO215" t="str">
        <f t="shared" si="41"/>
        <v>-</v>
      </c>
      <c r="BP215">
        <v>400</v>
      </c>
      <c r="BQ215">
        <v>400</v>
      </c>
      <c r="BR215">
        <f t="shared" si="42"/>
        <v>400</v>
      </c>
      <c r="BS215" t="s">
        <v>3534</v>
      </c>
    </row>
    <row r="216" spans="1:71" x14ac:dyDescent="0.4">
      <c r="A216" s="3">
        <v>213</v>
      </c>
      <c r="B216" s="3">
        <v>213</v>
      </c>
      <c r="C216" s="4" t="s">
        <v>275</v>
      </c>
      <c r="D216" s="4" t="str">
        <f t="shared" si="43"/>
        <v>J153MD</v>
      </c>
      <c r="E216" s="4" t="s">
        <v>275</v>
      </c>
      <c r="F216" s="4" t="s">
        <v>1494</v>
      </c>
      <c r="G216" s="5">
        <v>4521718180229</v>
      </c>
      <c r="H216" s="5"/>
      <c r="I216" s="5"/>
      <c r="J216" s="5">
        <v>1</v>
      </c>
      <c r="K216" s="5">
        <v>1</v>
      </c>
      <c r="L216" s="4">
        <v>600</v>
      </c>
      <c r="M216" s="4">
        <v>340</v>
      </c>
      <c r="N216" s="4">
        <v>267</v>
      </c>
      <c r="O216" s="6">
        <f t="shared" si="44"/>
        <v>0.21470588235294119</v>
      </c>
      <c r="P216" s="4" t="s">
        <v>2500</v>
      </c>
      <c r="Q216" s="4"/>
      <c r="R216" s="4"/>
      <c r="S216" s="4"/>
      <c r="T216" s="4"/>
      <c r="U216" s="4"/>
      <c r="V216" s="4"/>
      <c r="W216" s="4"/>
      <c r="X216" s="4"/>
      <c r="Y216" s="4">
        <v>382</v>
      </c>
      <c r="Z216" s="4">
        <f t="shared" si="45"/>
        <v>382</v>
      </c>
      <c r="AA216" s="4">
        <v>267</v>
      </c>
      <c r="AB216" s="4">
        <f t="shared" si="46"/>
        <v>267</v>
      </c>
      <c r="AC216" s="4"/>
      <c r="AD216" s="21">
        <f>ROUND(M216*AR216,0)</f>
        <v>340</v>
      </c>
      <c r="AE216" s="6">
        <f>1-AB216/AD216</f>
        <v>0.21470588235294119</v>
      </c>
      <c r="AF216" s="33">
        <v>0</v>
      </c>
      <c r="AG216" s="4">
        <f t="shared" si="47"/>
        <v>780</v>
      </c>
      <c r="AH216" s="33">
        <f t="shared" si="40"/>
        <v>780</v>
      </c>
      <c r="AI216" s="6">
        <f>1-AB216/AH216</f>
        <v>0.65769230769230769</v>
      </c>
      <c r="AJ216" s="7">
        <v>382</v>
      </c>
      <c r="AK216" s="6">
        <f>1-AB216/AJ216</f>
        <v>0.30104712041884818</v>
      </c>
      <c r="AL216" s="4">
        <f>AJ216-AB216</f>
        <v>115</v>
      </c>
      <c r="AM216" s="28"/>
      <c r="AN216" s="6"/>
      <c r="AO216" s="6"/>
      <c r="AP216" s="6">
        <f>Z216/L216</f>
        <v>0.63666666666666671</v>
      </c>
      <c r="AQ216" s="6">
        <f>AJ216/M216</f>
        <v>1.1235294117647059</v>
      </c>
      <c r="AR216" s="6">
        <f>AB216/N216</f>
        <v>1</v>
      </c>
      <c r="AS216" s="4"/>
      <c r="AT216" s="4"/>
      <c r="AU216" s="4"/>
      <c r="AV216" s="4"/>
      <c r="AW216" s="4"/>
      <c r="AX216" s="4"/>
      <c r="AY216" s="4"/>
      <c r="AZ216" s="4"/>
      <c r="BA216" s="4"/>
      <c r="BB216" s="4">
        <v>0</v>
      </c>
      <c r="BC216" s="4" t="s">
        <v>3779</v>
      </c>
      <c r="BD216" s="4">
        <v>1</v>
      </c>
      <c r="BE216" s="4">
        <v>2</v>
      </c>
      <c r="BF216" s="4" t="s">
        <v>3640</v>
      </c>
      <c r="BG216" s="4">
        <v>1560</v>
      </c>
      <c r="BH216" s="4">
        <v>1560</v>
      </c>
      <c r="BI216" s="4">
        <f t="shared" si="48"/>
        <v>780</v>
      </c>
      <c r="BJ216" s="19">
        <v>4</v>
      </c>
      <c r="BK216" s="19">
        <v>8</v>
      </c>
      <c r="BL216" s="16">
        <v>6</v>
      </c>
      <c r="BM216" s="45" t="s">
        <v>3534</v>
      </c>
      <c r="BN216" t="s">
        <v>3534</v>
      </c>
      <c r="BO216" t="str">
        <f t="shared" si="41"/>
        <v>-</v>
      </c>
      <c r="BP216" t="s">
        <v>3534</v>
      </c>
      <c r="BQ216">
        <v>446</v>
      </c>
      <c r="BR216">
        <f t="shared" si="42"/>
        <v>446</v>
      </c>
      <c r="BS216" t="s">
        <v>2704</v>
      </c>
    </row>
    <row r="217" spans="1:71" x14ac:dyDescent="0.4">
      <c r="A217" s="3">
        <v>214</v>
      </c>
      <c r="B217" s="3">
        <v>214</v>
      </c>
      <c r="C217" s="4" t="s">
        <v>276</v>
      </c>
      <c r="D217" s="4" t="str">
        <f t="shared" si="43"/>
        <v>J155MD</v>
      </c>
      <c r="E217" s="4" t="s">
        <v>276</v>
      </c>
      <c r="F217" s="4" t="s">
        <v>1495</v>
      </c>
      <c r="G217" s="5">
        <v>4521718180243</v>
      </c>
      <c r="H217" s="5"/>
      <c r="I217" s="5"/>
      <c r="J217" s="5">
        <v>1</v>
      </c>
      <c r="K217" s="5">
        <v>1</v>
      </c>
      <c r="L217" s="4">
        <v>600</v>
      </c>
      <c r="M217" s="4">
        <v>340</v>
      </c>
      <c r="N217" s="4">
        <v>267</v>
      </c>
      <c r="O217" s="6">
        <f t="shared" si="44"/>
        <v>0.21470588235294119</v>
      </c>
      <c r="P217" s="4" t="s">
        <v>2500</v>
      </c>
      <c r="Q217" s="4"/>
      <c r="R217" s="4"/>
      <c r="S217" s="4"/>
      <c r="T217" s="4"/>
      <c r="U217" s="4"/>
      <c r="V217" s="4"/>
      <c r="W217" s="4"/>
      <c r="X217" s="4"/>
      <c r="Y217" s="4">
        <v>382</v>
      </c>
      <c r="Z217" s="4">
        <f t="shared" si="45"/>
        <v>382</v>
      </c>
      <c r="AA217" s="4">
        <v>267</v>
      </c>
      <c r="AB217" s="4">
        <f t="shared" si="46"/>
        <v>267</v>
      </c>
      <c r="AC217" s="4"/>
      <c r="AD217" s="21">
        <f>ROUND(M217*AR217,0)</f>
        <v>340</v>
      </c>
      <c r="AE217" s="6">
        <f>1-AB217/AD217</f>
        <v>0.21470588235294119</v>
      </c>
      <c r="AF217" s="33">
        <v>0</v>
      </c>
      <c r="AG217" s="4">
        <f t="shared" si="47"/>
        <v>780</v>
      </c>
      <c r="AH217" s="33">
        <f t="shared" si="40"/>
        <v>780</v>
      </c>
      <c r="AI217" s="6">
        <f>1-AB217/AH217</f>
        <v>0.65769230769230769</v>
      </c>
      <c r="AJ217" s="7">
        <v>382</v>
      </c>
      <c r="AK217" s="6">
        <f>1-AB217/AJ217</f>
        <v>0.30104712041884818</v>
      </c>
      <c r="AL217" s="4">
        <f>AJ217-AB217</f>
        <v>115</v>
      </c>
      <c r="AM217" s="28"/>
      <c r="AN217" s="6"/>
      <c r="AO217" s="6"/>
      <c r="AP217" s="6">
        <f>Z217/L217</f>
        <v>0.63666666666666671</v>
      </c>
      <c r="AQ217" s="6">
        <f>AJ217/M217</f>
        <v>1.1235294117647059</v>
      </c>
      <c r="AR217" s="6">
        <f>AB217/N217</f>
        <v>1</v>
      </c>
      <c r="AS217" s="4"/>
      <c r="AT217" s="4"/>
      <c r="AU217" s="4"/>
      <c r="AV217" s="4"/>
      <c r="AW217" s="4"/>
      <c r="AX217" s="4"/>
      <c r="AY217" s="4"/>
      <c r="AZ217" s="4"/>
      <c r="BA217" s="4"/>
      <c r="BB217" s="4">
        <v>0</v>
      </c>
      <c r="BC217" s="4" t="s">
        <v>3780</v>
      </c>
      <c r="BD217" s="4">
        <v>1</v>
      </c>
      <c r="BE217" s="4">
        <v>2</v>
      </c>
      <c r="BF217" s="4" t="s">
        <v>3640</v>
      </c>
      <c r="BG217" s="4">
        <v>1560</v>
      </c>
      <c r="BH217" s="4">
        <v>1560</v>
      </c>
      <c r="BI217" s="4">
        <f t="shared" si="48"/>
        <v>780</v>
      </c>
      <c r="BJ217" s="19">
        <v>4</v>
      </c>
      <c r="BK217" s="19">
        <v>8</v>
      </c>
      <c r="BL217" s="16">
        <v>6</v>
      </c>
      <c r="BM217" s="45" t="s">
        <v>3534</v>
      </c>
      <c r="BN217" t="s">
        <v>3534</v>
      </c>
      <c r="BO217" t="str">
        <f t="shared" si="41"/>
        <v>-</v>
      </c>
      <c r="BP217" t="s">
        <v>3534</v>
      </c>
      <c r="BQ217">
        <v>446</v>
      </c>
      <c r="BR217">
        <f t="shared" si="42"/>
        <v>446</v>
      </c>
      <c r="BS217" t="s">
        <v>2705</v>
      </c>
    </row>
    <row r="218" spans="1:71" x14ac:dyDescent="0.4">
      <c r="A218" s="3">
        <v>215</v>
      </c>
      <c r="B218" s="3">
        <v>215</v>
      </c>
      <c r="C218" s="4" t="s">
        <v>277</v>
      </c>
      <c r="D218" s="4" t="str">
        <f t="shared" si="43"/>
        <v>J155WF</v>
      </c>
      <c r="E218" s="4" t="s">
        <v>277</v>
      </c>
      <c r="F218" s="4" t="s">
        <v>1496</v>
      </c>
      <c r="G218" s="5">
        <v>4521718190389</v>
      </c>
      <c r="H218" s="5"/>
      <c r="I218" s="5"/>
      <c r="J218" s="5">
        <v>1</v>
      </c>
      <c r="K218" s="5">
        <v>1</v>
      </c>
      <c r="L218" s="4">
        <v>310</v>
      </c>
      <c r="M218" s="4">
        <v>279</v>
      </c>
      <c r="N218" s="4">
        <v>137</v>
      </c>
      <c r="O218" s="6">
        <f t="shared" si="44"/>
        <v>0.50896057347670243</v>
      </c>
      <c r="P218" s="4" t="s">
        <v>2500</v>
      </c>
      <c r="Q218" s="4"/>
      <c r="R218" s="4"/>
      <c r="S218" s="4"/>
      <c r="T218" s="4"/>
      <c r="U218" s="4"/>
      <c r="V218" s="4"/>
      <c r="W218" s="4"/>
      <c r="X218" s="4"/>
      <c r="Y218" s="4">
        <v>210</v>
      </c>
      <c r="Z218" s="4">
        <f t="shared" si="45"/>
        <v>210</v>
      </c>
      <c r="AA218" s="4">
        <v>137</v>
      </c>
      <c r="AB218" s="4">
        <f t="shared" si="46"/>
        <v>137</v>
      </c>
      <c r="AC218" s="4"/>
      <c r="AD218" s="21">
        <f>ROUND(M218*AR218,0)</f>
        <v>279</v>
      </c>
      <c r="AE218" s="6">
        <f>1-AB218/AD218</f>
        <v>0.50896057347670243</v>
      </c>
      <c r="AF218" s="33">
        <v>0.25</v>
      </c>
      <c r="AG218" s="4">
        <f t="shared" si="47"/>
        <v>310</v>
      </c>
      <c r="AH218" s="33">
        <f t="shared" si="40"/>
        <v>310</v>
      </c>
      <c r="AI218" s="6">
        <f>1-AB218/AH218</f>
        <v>0.5580645161290323</v>
      </c>
      <c r="AJ218" s="7">
        <v>210</v>
      </c>
      <c r="AK218" s="6">
        <f>1-AB218/AJ218</f>
        <v>0.34761904761904761</v>
      </c>
      <c r="AL218" s="4">
        <f>AJ218-AB218</f>
        <v>73</v>
      </c>
      <c r="AM218" s="28"/>
      <c r="AN218" s="6"/>
      <c r="AO218" s="6"/>
      <c r="AP218" s="6">
        <f>Z218/L218</f>
        <v>0.67741935483870963</v>
      </c>
      <c r="AQ218" s="6">
        <f>AJ218/M218</f>
        <v>0.75268817204301075</v>
      </c>
      <c r="AR218" s="6">
        <f>AB218/N218</f>
        <v>1</v>
      </c>
      <c r="AS218" s="4"/>
      <c r="AT218" s="4"/>
      <c r="AU218" s="4"/>
      <c r="AV218" s="4"/>
      <c r="AW218" s="4"/>
      <c r="AX218" s="4"/>
      <c r="AY218" s="4"/>
      <c r="AZ218" s="4"/>
      <c r="BA218" s="4"/>
      <c r="BB218" s="4">
        <v>0</v>
      </c>
      <c r="BC218" s="4" t="s">
        <v>3781</v>
      </c>
      <c r="BD218" s="4">
        <v>1</v>
      </c>
      <c r="BE218" s="4">
        <v>5</v>
      </c>
      <c r="BF218" s="4" t="s">
        <v>3606</v>
      </c>
      <c r="BG218" s="4">
        <v>1550</v>
      </c>
      <c r="BH218" s="4">
        <v>1550</v>
      </c>
      <c r="BI218" s="4">
        <f t="shared" si="48"/>
        <v>310</v>
      </c>
      <c r="BJ218" s="19">
        <v>4</v>
      </c>
      <c r="BK218" s="19">
        <v>8</v>
      </c>
      <c r="BL218" s="16">
        <v>6</v>
      </c>
      <c r="BM218" s="45" t="s">
        <v>3534</v>
      </c>
      <c r="BN218" t="s">
        <v>3534</v>
      </c>
      <c r="BO218" t="str">
        <f t="shared" si="41"/>
        <v>-</v>
      </c>
      <c r="BP218" t="s">
        <v>3534</v>
      </c>
      <c r="BQ218">
        <v>210</v>
      </c>
      <c r="BR218">
        <f t="shared" si="42"/>
        <v>210</v>
      </c>
      <c r="BS218" t="s">
        <v>2706</v>
      </c>
    </row>
    <row r="219" spans="1:71" x14ac:dyDescent="0.4">
      <c r="A219" s="3">
        <v>216</v>
      </c>
      <c r="B219" s="3">
        <v>216</v>
      </c>
      <c r="C219" s="4" t="s">
        <v>278</v>
      </c>
      <c r="D219" s="4" t="str">
        <f t="shared" si="43"/>
        <v>J155WH</v>
      </c>
      <c r="E219" s="4" t="s">
        <v>278</v>
      </c>
      <c r="F219" s="4" t="s">
        <v>1497</v>
      </c>
      <c r="G219" s="5">
        <v>4521718585475</v>
      </c>
      <c r="H219" s="5"/>
      <c r="I219" s="5"/>
      <c r="J219" s="5">
        <v>1</v>
      </c>
      <c r="K219" s="5">
        <v>1</v>
      </c>
      <c r="L219" s="4">
        <v>500</v>
      </c>
      <c r="M219" s="4">
        <v>400</v>
      </c>
      <c r="N219" s="4">
        <v>280</v>
      </c>
      <c r="O219" s="6">
        <f t="shared" si="44"/>
        <v>0.30000000000000004</v>
      </c>
      <c r="P219" s="4" t="s">
        <v>2500</v>
      </c>
      <c r="Q219" s="4"/>
      <c r="R219" s="4"/>
      <c r="S219" s="4"/>
      <c r="T219" s="4"/>
      <c r="U219" s="4"/>
      <c r="V219" s="4"/>
      <c r="W219" s="4"/>
      <c r="X219" s="4"/>
      <c r="Y219" s="4">
        <v>400</v>
      </c>
      <c r="Z219" s="4">
        <f t="shared" si="45"/>
        <v>400</v>
      </c>
      <c r="AA219" s="4">
        <v>280</v>
      </c>
      <c r="AB219" s="4">
        <f t="shared" si="46"/>
        <v>280</v>
      </c>
      <c r="AC219" s="4"/>
      <c r="AD219" s="21">
        <f>ROUND(M219*AR219,0)</f>
        <v>400</v>
      </c>
      <c r="AE219" s="6">
        <f>1-AB219/AD219</f>
        <v>0.30000000000000004</v>
      </c>
      <c r="AF219" s="33">
        <v>0</v>
      </c>
      <c r="AG219" s="4" t="str">
        <f t="shared" si="47"/>
        <v>-</v>
      </c>
      <c r="AH219" s="33" t="e">
        <f t="shared" si="40"/>
        <v>#VALUE!</v>
      </c>
      <c r="AI219" s="6" t="e">
        <f>1-AB219/AH219</f>
        <v>#VALUE!</v>
      </c>
      <c r="AJ219" s="7">
        <v>400</v>
      </c>
      <c r="AK219" s="6">
        <f>1-AB219/AJ219</f>
        <v>0.30000000000000004</v>
      </c>
      <c r="AL219" s="4">
        <f>AJ219-AB219</f>
        <v>120</v>
      </c>
      <c r="AM219" s="28"/>
      <c r="AN219" s="6"/>
      <c r="AO219" s="6"/>
      <c r="AP219" s="6">
        <f>Z219/L219</f>
        <v>0.8</v>
      </c>
      <c r="AQ219" s="6">
        <f>AJ219/M219</f>
        <v>1</v>
      </c>
      <c r="AR219" s="6">
        <f>AB219/N219</f>
        <v>1</v>
      </c>
      <c r="AS219" s="4"/>
      <c r="AT219" s="4"/>
      <c r="AU219" s="4"/>
      <c r="AV219" s="4"/>
      <c r="AW219" s="4"/>
      <c r="AX219" s="4"/>
      <c r="AY219" s="4"/>
      <c r="AZ219" s="4"/>
      <c r="BA219" s="4"/>
      <c r="BB219" s="4">
        <v>0</v>
      </c>
      <c r="BC219" s="4" t="s">
        <v>3534</v>
      </c>
      <c r="BD219" s="4"/>
      <c r="BE219" s="4"/>
      <c r="BF219" s="4" t="s">
        <v>3534</v>
      </c>
      <c r="BG219" s="4" t="s">
        <v>3534</v>
      </c>
      <c r="BH219" s="4" t="s">
        <v>3534</v>
      </c>
      <c r="BI219" s="4" t="str">
        <f t="shared" si="48"/>
        <v>-</v>
      </c>
      <c r="BJ219" s="19">
        <v>4</v>
      </c>
      <c r="BK219" s="19">
        <v>8</v>
      </c>
      <c r="BL219" s="16">
        <v>6</v>
      </c>
      <c r="BM219" s="45" t="s">
        <v>3534</v>
      </c>
      <c r="BN219" t="s">
        <v>3534</v>
      </c>
      <c r="BO219" t="str">
        <f t="shared" si="41"/>
        <v>-</v>
      </c>
      <c r="BP219">
        <v>400</v>
      </c>
      <c r="BQ219">
        <v>400</v>
      </c>
      <c r="BR219">
        <f t="shared" si="42"/>
        <v>400</v>
      </c>
      <c r="BS219" t="s">
        <v>3534</v>
      </c>
    </row>
    <row r="220" spans="1:71" x14ac:dyDescent="0.4">
      <c r="A220" s="3">
        <v>217</v>
      </c>
      <c r="B220" s="3">
        <v>217</v>
      </c>
      <c r="C220" s="4" t="s">
        <v>279</v>
      </c>
      <c r="D220" s="4" t="str">
        <f t="shared" si="43"/>
        <v>J156MD</v>
      </c>
      <c r="E220" s="4" t="s">
        <v>279</v>
      </c>
      <c r="F220" s="4" t="s">
        <v>1498</v>
      </c>
      <c r="G220" s="5">
        <v>4521718180250</v>
      </c>
      <c r="H220" s="5"/>
      <c r="I220" s="5"/>
      <c r="J220" s="5">
        <v>1</v>
      </c>
      <c r="K220" s="5">
        <v>1</v>
      </c>
      <c r="L220" s="4">
        <v>660</v>
      </c>
      <c r="M220" s="4">
        <v>373</v>
      </c>
      <c r="N220" s="4">
        <v>293</v>
      </c>
      <c r="O220" s="6">
        <f t="shared" si="44"/>
        <v>0.21447721179624668</v>
      </c>
      <c r="P220" s="4" t="s">
        <v>2500</v>
      </c>
      <c r="Q220" s="4"/>
      <c r="R220" s="4"/>
      <c r="S220" s="4"/>
      <c r="T220" s="4"/>
      <c r="U220" s="4"/>
      <c r="V220" s="4"/>
      <c r="W220" s="4"/>
      <c r="X220" s="4"/>
      <c r="Y220" s="4">
        <v>419</v>
      </c>
      <c r="Z220" s="4">
        <f t="shared" si="45"/>
        <v>419</v>
      </c>
      <c r="AA220" s="4">
        <v>293</v>
      </c>
      <c r="AB220" s="4">
        <f t="shared" si="46"/>
        <v>293</v>
      </c>
      <c r="AC220" s="4"/>
      <c r="AD220" s="21">
        <f>ROUND(M220*AR220,0)</f>
        <v>373</v>
      </c>
      <c r="AE220" s="6">
        <f>1-AB220/AD220</f>
        <v>0.21447721179624668</v>
      </c>
      <c r="AF220" s="33">
        <v>0</v>
      </c>
      <c r="AG220" s="4">
        <f t="shared" si="47"/>
        <v>830</v>
      </c>
      <c r="AH220" s="33">
        <f t="shared" si="40"/>
        <v>830</v>
      </c>
      <c r="AI220" s="6">
        <f>1-AB220/AH220</f>
        <v>0.6469879518072289</v>
      </c>
      <c r="AJ220" s="7">
        <v>419</v>
      </c>
      <c r="AK220" s="6">
        <f>1-AB220/AJ220</f>
        <v>0.30071599045346065</v>
      </c>
      <c r="AL220" s="4">
        <f>AJ220-AB220</f>
        <v>126</v>
      </c>
      <c r="AM220" s="28"/>
      <c r="AN220" s="6"/>
      <c r="AO220" s="6"/>
      <c r="AP220" s="6">
        <f>Z220/L220</f>
        <v>0.63484848484848488</v>
      </c>
      <c r="AQ220" s="6">
        <f>AJ220/M220</f>
        <v>1.1233243967828419</v>
      </c>
      <c r="AR220" s="6">
        <f>AB220/N220</f>
        <v>1</v>
      </c>
      <c r="AS220" s="4"/>
      <c r="AT220" s="4"/>
      <c r="AU220" s="4"/>
      <c r="AV220" s="4"/>
      <c r="AW220" s="4"/>
      <c r="AX220" s="4"/>
      <c r="AY220" s="4"/>
      <c r="AZ220" s="4"/>
      <c r="BA220" s="4"/>
      <c r="BB220" s="4">
        <v>0</v>
      </c>
      <c r="BC220" s="4" t="s">
        <v>3782</v>
      </c>
      <c r="BD220" s="4">
        <v>1</v>
      </c>
      <c r="BE220" s="4">
        <v>2</v>
      </c>
      <c r="BF220" s="4" t="s">
        <v>3640</v>
      </c>
      <c r="BG220" s="4">
        <v>1660</v>
      </c>
      <c r="BH220" s="4">
        <v>1660</v>
      </c>
      <c r="BI220" s="4">
        <f t="shared" si="48"/>
        <v>830</v>
      </c>
      <c r="BJ220" s="19">
        <v>4</v>
      </c>
      <c r="BK220" s="19">
        <v>8</v>
      </c>
      <c r="BL220" s="16">
        <v>6</v>
      </c>
      <c r="BM220" s="45" t="s">
        <v>3534</v>
      </c>
      <c r="BN220" t="s">
        <v>3534</v>
      </c>
      <c r="BO220" t="str">
        <f t="shared" si="41"/>
        <v>-</v>
      </c>
      <c r="BP220" t="s">
        <v>3534</v>
      </c>
      <c r="BQ220">
        <v>482</v>
      </c>
      <c r="BR220">
        <f t="shared" si="42"/>
        <v>482</v>
      </c>
      <c r="BS220" t="s">
        <v>2707</v>
      </c>
    </row>
    <row r="221" spans="1:71" x14ac:dyDescent="0.4">
      <c r="A221" s="3">
        <v>218</v>
      </c>
      <c r="B221" s="3">
        <v>218</v>
      </c>
      <c r="C221" s="4" t="s">
        <v>280</v>
      </c>
      <c r="D221" s="4" t="str">
        <f t="shared" si="43"/>
        <v>J156WF</v>
      </c>
      <c r="E221" s="4" t="s">
        <v>280</v>
      </c>
      <c r="F221" s="4" t="s">
        <v>1499</v>
      </c>
      <c r="G221" s="5">
        <v>4521718190396</v>
      </c>
      <c r="H221" s="5"/>
      <c r="I221" s="5"/>
      <c r="J221" s="5">
        <v>1</v>
      </c>
      <c r="K221" s="5">
        <v>1</v>
      </c>
      <c r="L221" s="4">
        <v>310</v>
      </c>
      <c r="M221" s="4">
        <v>279</v>
      </c>
      <c r="N221" s="4">
        <v>137</v>
      </c>
      <c r="O221" s="6">
        <f t="shared" si="44"/>
        <v>0.50896057347670243</v>
      </c>
      <c r="P221" s="4" t="s">
        <v>2500</v>
      </c>
      <c r="Q221" s="4"/>
      <c r="R221" s="4"/>
      <c r="S221" s="4"/>
      <c r="T221" s="4"/>
      <c r="U221" s="4"/>
      <c r="V221" s="4"/>
      <c r="W221" s="4"/>
      <c r="X221" s="4"/>
      <c r="Y221" s="4">
        <v>210</v>
      </c>
      <c r="Z221" s="4">
        <f t="shared" si="45"/>
        <v>210</v>
      </c>
      <c r="AA221" s="4">
        <v>137</v>
      </c>
      <c r="AB221" s="4">
        <f t="shared" si="46"/>
        <v>137</v>
      </c>
      <c r="AC221" s="4"/>
      <c r="AD221" s="21">
        <f>ROUND(M221*AR221,0)</f>
        <v>279</v>
      </c>
      <c r="AE221" s="6">
        <f>1-AB221/AD221</f>
        <v>0.50896057347670243</v>
      </c>
      <c r="AF221" s="33">
        <v>0</v>
      </c>
      <c r="AG221" s="4">
        <f t="shared" si="47"/>
        <v>310</v>
      </c>
      <c r="AH221" s="33">
        <f t="shared" si="40"/>
        <v>310</v>
      </c>
      <c r="AI221" s="6">
        <f>1-AB221/AH221</f>
        <v>0.5580645161290323</v>
      </c>
      <c r="AJ221" s="7">
        <v>210</v>
      </c>
      <c r="AK221" s="6">
        <f>1-AB221/AJ221</f>
        <v>0.34761904761904761</v>
      </c>
      <c r="AL221" s="4">
        <f>AJ221-AB221</f>
        <v>73</v>
      </c>
      <c r="AM221" s="28"/>
      <c r="AN221" s="6"/>
      <c r="AO221" s="6"/>
      <c r="AP221" s="6">
        <f>Z221/L221</f>
        <v>0.67741935483870963</v>
      </c>
      <c r="AQ221" s="6">
        <f>AJ221/M221</f>
        <v>0.75268817204301075</v>
      </c>
      <c r="AR221" s="6">
        <f>AB221/N221</f>
        <v>1</v>
      </c>
      <c r="AS221" s="4"/>
      <c r="AT221" s="4"/>
      <c r="AU221" s="4"/>
      <c r="AV221" s="4"/>
      <c r="AW221" s="4"/>
      <c r="AX221" s="4"/>
      <c r="AY221" s="4"/>
      <c r="AZ221" s="4"/>
      <c r="BA221" s="4"/>
      <c r="BB221" s="4">
        <v>0</v>
      </c>
      <c r="BC221" s="4" t="s">
        <v>3783</v>
      </c>
      <c r="BD221" s="4">
        <v>1</v>
      </c>
      <c r="BE221" s="4">
        <v>5</v>
      </c>
      <c r="BF221" s="4" t="s">
        <v>3606</v>
      </c>
      <c r="BG221" s="4">
        <v>1550</v>
      </c>
      <c r="BH221" s="4">
        <v>1550</v>
      </c>
      <c r="BI221" s="4">
        <f t="shared" si="48"/>
        <v>310</v>
      </c>
      <c r="BJ221" s="19">
        <v>4</v>
      </c>
      <c r="BK221" s="19">
        <v>8</v>
      </c>
      <c r="BL221" s="16">
        <v>6</v>
      </c>
      <c r="BM221" s="45" t="s">
        <v>3534</v>
      </c>
      <c r="BN221" t="s">
        <v>3534</v>
      </c>
      <c r="BO221" t="str">
        <f t="shared" si="41"/>
        <v>-</v>
      </c>
      <c r="BP221" t="s">
        <v>3534</v>
      </c>
      <c r="BQ221">
        <v>210</v>
      </c>
      <c r="BR221">
        <f t="shared" si="42"/>
        <v>210</v>
      </c>
      <c r="BS221" t="s">
        <v>2708</v>
      </c>
    </row>
    <row r="222" spans="1:71" x14ac:dyDescent="0.4">
      <c r="A222" s="3">
        <v>219</v>
      </c>
      <c r="B222" s="3">
        <v>219</v>
      </c>
      <c r="C222" s="4" t="s">
        <v>281</v>
      </c>
      <c r="D222" s="4" t="str">
        <f t="shared" si="43"/>
        <v>J156WH</v>
      </c>
      <c r="E222" s="4" t="s">
        <v>281</v>
      </c>
      <c r="F222" s="4" t="s">
        <v>1500</v>
      </c>
      <c r="G222" s="5">
        <v>4521718585482</v>
      </c>
      <c r="H222" s="5"/>
      <c r="I222" s="5"/>
      <c r="J222" s="5">
        <v>1</v>
      </c>
      <c r="K222" s="5">
        <v>1</v>
      </c>
      <c r="L222" s="4">
        <v>500</v>
      </c>
      <c r="M222" s="4">
        <v>400</v>
      </c>
      <c r="N222" s="4">
        <v>280</v>
      </c>
      <c r="O222" s="6">
        <f t="shared" si="44"/>
        <v>0.30000000000000004</v>
      </c>
      <c r="P222" s="4" t="s">
        <v>2500</v>
      </c>
      <c r="Q222" s="4"/>
      <c r="R222" s="4"/>
      <c r="S222" s="4"/>
      <c r="T222" s="4"/>
      <c r="U222" s="4"/>
      <c r="V222" s="4"/>
      <c r="W222" s="4"/>
      <c r="X222" s="4"/>
      <c r="Y222" s="4">
        <v>400</v>
      </c>
      <c r="Z222" s="4">
        <f t="shared" si="45"/>
        <v>400</v>
      </c>
      <c r="AA222" s="4">
        <v>280</v>
      </c>
      <c r="AB222" s="4">
        <f t="shared" si="46"/>
        <v>280</v>
      </c>
      <c r="AC222" s="4"/>
      <c r="AD222" s="21">
        <f>ROUND(M222*AR222,0)</f>
        <v>400</v>
      </c>
      <c r="AE222" s="6">
        <f>1-AB222/AD222</f>
        <v>0.30000000000000004</v>
      </c>
      <c r="AF222" s="33">
        <v>0</v>
      </c>
      <c r="AG222" s="4" t="str">
        <f t="shared" si="47"/>
        <v>-</v>
      </c>
      <c r="AH222" s="33" t="e">
        <f t="shared" si="40"/>
        <v>#VALUE!</v>
      </c>
      <c r="AI222" s="6" t="e">
        <f>1-AB222/AH222</f>
        <v>#VALUE!</v>
      </c>
      <c r="AJ222" s="7">
        <v>400</v>
      </c>
      <c r="AK222" s="6">
        <f>1-AB222/AJ222</f>
        <v>0.30000000000000004</v>
      </c>
      <c r="AL222" s="4">
        <f>AJ222-AB222</f>
        <v>120</v>
      </c>
      <c r="AM222" s="28"/>
      <c r="AN222" s="6"/>
      <c r="AO222" s="6"/>
      <c r="AP222" s="6">
        <f>Z222/L222</f>
        <v>0.8</v>
      </c>
      <c r="AQ222" s="6">
        <f>AJ222/M222</f>
        <v>1</v>
      </c>
      <c r="AR222" s="6">
        <f>AB222/N222</f>
        <v>1</v>
      </c>
      <c r="AS222" s="4"/>
      <c r="AT222" s="4"/>
      <c r="AU222" s="4"/>
      <c r="AV222" s="4"/>
      <c r="AW222" s="4"/>
      <c r="AX222" s="4"/>
      <c r="AY222" s="4"/>
      <c r="AZ222" s="4"/>
      <c r="BA222" s="4"/>
      <c r="BB222" s="4">
        <v>0</v>
      </c>
      <c r="BC222" s="4" t="s">
        <v>3534</v>
      </c>
      <c r="BD222" s="4"/>
      <c r="BE222" s="4"/>
      <c r="BF222" s="4" t="s">
        <v>3534</v>
      </c>
      <c r="BG222" s="4" t="s">
        <v>3534</v>
      </c>
      <c r="BH222" s="4" t="s">
        <v>3534</v>
      </c>
      <c r="BI222" s="4" t="str">
        <f t="shared" si="48"/>
        <v>-</v>
      </c>
      <c r="BJ222" s="19">
        <v>4</v>
      </c>
      <c r="BK222" s="19">
        <v>8</v>
      </c>
      <c r="BL222" s="16">
        <v>6</v>
      </c>
      <c r="BM222" s="45" t="s">
        <v>3534</v>
      </c>
      <c r="BN222" t="s">
        <v>3534</v>
      </c>
      <c r="BO222" t="str">
        <f t="shared" si="41"/>
        <v>-</v>
      </c>
      <c r="BP222">
        <v>400</v>
      </c>
      <c r="BQ222">
        <v>400</v>
      </c>
      <c r="BR222">
        <f t="shared" si="42"/>
        <v>400</v>
      </c>
      <c r="BS222" t="s">
        <v>3534</v>
      </c>
    </row>
    <row r="223" spans="1:71" x14ac:dyDescent="0.4">
      <c r="A223" s="3">
        <v>220</v>
      </c>
      <c r="B223" s="3">
        <v>220</v>
      </c>
      <c r="C223" s="4" t="s">
        <v>282</v>
      </c>
      <c r="D223" s="4" t="str">
        <f t="shared" si="43"/>
        <v>J157WF</v>
      </c>
      <c r="E223" s="4" t="s">
        <v>282</v>
      </c>
      <c r="F223" s="4" t="s">
        <v>1501</v>
      </c>
      <c r="G223" s="5">
        <v>4521718190402</v>
      </c>
      <c r="H223" s="5"/>
      <c r="I223" s="5"/>
      <c r="J223" s="5">
        <v>1</v>
      </c>
      <c r="K223" s="5">
        <v>1</v>
      </c>
      <c r="L223" s="4">
        <v>310</v>
      </c>
      <c r="M223" s="4">
        <v>279</v>
      </c>
      <c r="N223" s="4">
        <v>137</v>
      </c>
      <c r="O223" s="6">
        <f t="shared" si="44"/>
        <v>0.50896057347670243</v>
      </c>
      <c r="P223" s="4" t="s">
        <v>2500</v>
      </c>
      <c r="Q223" s="4"/>
      <c r="R223" s="4"/>
      <c r="S223" s="4"/>
      <c r="T223" s="4"/>
      <c r="U223" s="4"/>
      <c r="V223" s="4"/>
      <c r="W223" s="4"/>
      <c r="X223" s="4"/>
      <c r="Y223" s="4">
        <v>210</v>
      </c>
      <c r="Z223" s="4">
        <f t="shared" si="45"/>
        <v>210</v>
      </c>
      <c r="AA223" s="4">
        <v>137</v>
      </c>
      <c r="AB223" s="4">
        <f t="shared" si="46"/>
        <v>137</v>
      </c>
      <c r="AC223" s="4"/>
      <c r="AD223" s="21">
        <f>ROUND(M223*AR223,0)</f>
        <v>279</v>
      </c>
      <c r="AE223" s="6">
        <f>1-AB223/AD223</f>
        <v>0.50896057347670243</v>
      </c>
      <c r="AF223" s="33">
        <v>0</v>
      </c>
      <c r="AG223" s="4">
        <f t="shared" si="47"/>
        <v>310</v>
      </c>
      <c r="AH223" s="33">
        <f t="shared" si="40"/>
        <v>310</v>
      </c>
      <c r="AI223" s="6">
        <f>1-AB223/AH223</f>
        <v>0.5580645161290323</v>
      </c>
      <c r="AJ223" s="7">
        <v>210</v>
      </c>
      <c r="AK223" s="6">
        <f>1-AB223/AJ223</f>
        <v>0.34761904761904761</v>
      </c>
      <c r="AL223" s="4">
        <f>AJ223-AB223</f>
        <v>73</v>
      </c>
      <c r="AM223" s="28"/>
      <c r="AN223" s="6"/>
      <c r="AO223" s="6"/>
      <c r="AP223" s="6">
        <f>Z223/L223</f>
        <v>0.67741935483870963</v>
      </c>
      <c r="AQ223" s="6">
        <f>AJ223/M223</f>
        <v>0.75268817204301075</v>
      </c>
      <c r="AR223" s="6">
        <f>AB223/N223</f>
        <v>1</v>
      </c>
      <c r="AS223" s="4"/>
      <c r="AT223" s="4"/>
      <c r="AU223" s="4"/>
      <c r="AV223" s="4"/>
      <c r="AW223" s="4"/>
      <c r="AX223" s="4"/>
      <c r="AY223" s="4"/>
      <c r="AZ223" s="4"/>
      <c r="BA223" s="4"/>
      <c r="BB223" s="4">
        <v>0</v>
      </c>
      <c r="BC223" s="4" t="s">
        <v>3784</v>
      </c>
      <c r="BD223" s="4">
        <v>1</v>
      </c>
      <c r="BE223" s="4">
        <v>5</v>
      </c>
      <c r="BF223" s="4" t="s">
        <v>3606</v>
      </c>
      <c r="BG223" s="4">
        <v>1550</v>
      </c>
      <c r="BH223" s="4">
        <v>1550</v>
      </c>
      <c r="BI223" s="4">
        <f t="shared" si="48"/>
        <v>310</v>
      </c>
      <c r="BJ223" s="19">
        <v>4</v>
      </c>
      <c r="BK223" s="19">
        <v>8</v>
      </c>
      <c r="BL223" s="16">
        <v>6</v>
      </c>
      <c r="BM223" s="45" t="s">
        <v>3534</v>
      </c>
      <c r="BN223" t="s">
        <v>3534</v>
      </c>
      <c r="BO223" t="str">
        <f t="shared" si="41"/>
        <v>-</v>
      </c>
      <c r="BP223" t="s">
        <v>3534</v>
      </c>
      <c r="BQ223">
        <v>210</v>
      </c>
      <c r="BR223">
        <f t="shared" si="42"/>
        <v>210</v>
      </c>
      <c r="BS223" t="s">
        <v>2709</v>
      </c>
    </row>
    <row r="224" spans="1:71" x14ac:dyDescent="0.4">
      <c r="A224" s="3">
        <v>221</v>
      </c>
      <c r="B224" s="3">
        <v>221</v>
      </c>
      <c r="C224" s="4" t="s">
        <v>283</v>
      </c>
      <c r="D224" s="4" t="str">
        <f t="shared" si="43"/>
        <v>J157MD</v>
      </c>
      <c r="E224" s="4" t="s">
        <v>283</v>
      </c>
      <c r="F224" s="4" t="s">
        <v>1502</v>
      </c>
      <c r="G224" s="5">
        <v>4521718180267</v>
      </c>
      <c r="H224" s="5"/>
      <c r="I224" s="5"/>
      <c r="J224" s="5">
        <v>1</v>
      </c>
      <c r="K224" s="5">
        <v>1</v>
      </c>
      <c r="L224" s="4">
        <v>660</v>
      </c>
      <c r="M224" s="4">
        <v>373</v>
      </c>
      <c r="N224" s="4">
        <v>293</v>
      </c>
      <c r="O224" s="6">
        <f t="shared" si="44"/>
        <v>0.21447721179624668</v>
      </c>
      <c r="P224" s="4" t="s">
        <v>2500</v>
      </c>
      <c r="Q224" s="4"/>
      <c r="R224" s="4"/>
      <c r="S224" s="4"/>
      <c r="T224" s="4"/>
      <c r="U224" s="4"/>
      <c r="V224" s="4"/>
      <c r="W224" s="4"/>
      <c r="X224" s="4"/>
      <c r="Y224" s="4">
        <v>419</v>
      </c>
      <c r="Z224" s="4">
        <f t="shared" si="45"/>
        <v>419</v>
      </c>
      <c r="AA224" s="4">
        <v>293</v>
      </c>
      <c r="AB224" s="4">
        <f t="shared" si="46"/>
        <v>293</v>
      </c>
      <c r="AC224" s="4"/>
      <c r="AD224" s="21">
        <f>ROUND(M224*AR224,0)</f>
        <v>373</v>
      </c>
      <c r="AE224" s="6">
        <f>1-AB224/AD224</f>
        <v>0.21447721179624668</v>
      </c>
      <c r="AF224" s="33">
        <v>0</v>
      </c>
      <c r="AG224" s="4">
        <f t="shared" si="47"/>
        <v>830</v>
      </c>
      <c r="AH224" s="33">
        <f t="shared" si="40"/>
        <v>830</v>
      </c>
      <c r="AI224" s="6">
        <f>1-AB224/AH224</f>
        <v>0.6469879518072289</v>
      </c>
      <c r="AJ224" s="7">
        <v>419</v>
      </c>
      <c r="AK224" s="6">
        <f>1-AB224/AJ224</f>
        <v>0.30071599045346065</v>
      </c>
      <c r="AL224" s="4">
        <f>AJ224-AB224</f>
        <v>126</v>
      </c>
      <c r="AM224" s="28"/>
      <c r="AN224" s="6"/>
      <c r="AO224" s="6"/>
      <c r="AP224" s="6">
        <f>Z224/L224</f>
        <v>0.63484848484848488</v>
      </c>
      <c r="AQ224" s="6">
        <f>AJ224/M224</f>
        <v>1.1233243967828419</v>
      </c>
      <c r="AR224" s="6">
        <f>AB224/N224</f>
        <v>1</v>
      </c>
      <c r="AS224" s="4"/>
      <c r="AT224" s="4"/>
      <c r="AU224" s="4"/>
      <c r="AV224" s="4"/>
      <c r="AW224" s="4"/>
      <c r="AX224" s="4"/>
      <c r="AY224" s="4"/>
      <c r="AZ224" s="4"/>
      <c r="BA224" s="4"/>
      <c r="BB224" s="4">
        <v>0</v>
      </c>
      <c r="BC224" s="4" t="s">
        <v>3785</v>
      </c>
      <c r="BD224" s="4">
        <v>1</v>
      </c>
      <c r="BE224" s="4">
        <v>2</v>
      </c>
      <c r="BF224" s="4" t="s">
        <v>3640</v>
      </c>
      <c r="BG224" s="4">
        <v>1660</v>
      </c>
      <c r="BH224" s="4">
        <v>1660</v>
      </c>
      <c r="BI224" s="4">
        <f t="shared" si="48"/>
        <v>830</v>
      </c>
      <c r="BJ224" s="19">
        <v>4</v>
      </c>
      <c r="BK224" s="19">
        <v>8</v>
      </c>
      <c r="BL224" s="16">
        <v>6</v>
      </c>
      <c r="BM224" s="45" t="s">
        <v>3534</v>
      </c>
      <c r="BN224" t="s">
        <v>3534</v>
      </c>
      <c r="BO224" t="str">
        <f t="shared" si="41"/>
        <v>-</v>
      </c>
      <c r="BP224" t="s">
        <v>3534</v>
      </c>
      <c r="BQ224">
        <v>482</v>
      </c>
      <c r="BR224">
        <f t="shared" si="42"/>
        <v>482</v>
      </c>
      <c r="BS224" t="s">
        <v>2710</v>
      </c>
    </row>
    <row r="225" spans="1:71" x14ac:dyDescent="0.4">
      <c r="A225" s="3">
        <v>222</v>
      </c>
      <c r="B225" s="3">
        <v>222</v>
      </c>
      <c r="C225" s="4" t="s">
        <v>284</v>
      </c>
      <c r="D225" s="4" t="str">
        <f t="shared" si="43"/>
        <v>J158MD</v>
      </c>
      <c r="E225" s="4" t="s">
        <v>284</v>
      </c>
      <c r="F225" s="4" t="s">
        <v>1503</v>
      </c>
      <c r="G225" s="5">
        <v>4521718180274</v>
      </c>
      <c r="H225" s="5"/>
      <c r="I225" s="5"/>
      <c r="J225" s="5">
        <v>1</v>
      </c>
      <c r="K225" s="5">
        <v>1</v>
      </c>
      <c r="L225" s="4">
        <v>660</v>
      </c>
      <c r="M225" s="4">
        <v>373</v>
      </c>
      <c r="N225" s="4">
        <v>293</v>
      </c>
      <c r="O225" s="6">
        <f t="shared" si="44"/>
        <v>0.21447721179624668</v>
      </c>
      <c r="P225" s="4" t="s">
        <v>2500</v>
      </c>
      <c r="Q225" s="4"/>
      <c r="R225" s="4"/>
      <c r="S225" s="4"/>
      <c r="T225" s="4"/>
      <c r="U225" s="4"/>
      <c r="V225" s="4"/>
      <c r="W225" s="4"/>
      <c r="X225" s="4"/>
      <c r="Y225" s="4">
        <v>419</v>
      </c>
      <c r="Z225" s="4">
        <f t="shared" si="45"/>
        <v>419</v>
      </c>
      <c r="AA225" s="4">
        <v>293</v>
      </c>
      <c r="AB225" s="4">
        <f t="shared" si="46"/>
        <v>293</v>
      </c>
      <c r="AC225" s="4"/>
      <c r="AD225" s="21">
        <f>ROUND(M225*AR225,0)</f>
        <v>373</v>
      </c>
      <c r="AE225" s="6">
        <f>1-AB225/AD225</f>
        <v>0.21447721179624668</v>
      </c>
      <c r="AF225" s="33">
        <v>0</v>
      </c>
      <c r="AG225" s="4">
        <f t="shared" si="47"/>
        <v>850</v>
      </c>
      <c r="AH225" s="33">
        <f t="shared" si="40"/>
        <v>850</v>
      </c>
      <c r="AI225" s="6">
        <f>1-AB225/AH225</f>
        <v>0.6552941176470588</v>
      </c>
      <c r="AJ225" s="7">
        <v>419</v>
      </c>
      <c r="AK225" s="6">
        <f>1-AB225/AJ225</f>
        <v>0.30071599045346065</v>
      </c>
      <c r="AL225" s="4">
        <f>AJ225-AB225</f>
        <v>126</v>
      </c>
      <c r="AM225" s="28"/>
      <c r="AN225" s="6"/>
      <c r="AO225" s="6"/>
      <c r="AP225" s="6">
        <f>Z225/L225</f>
        <v>0.63484848484848488</v>
      </c>
      <c r="AQ225" s="6">
        <f>AJ225/M225</f>
        <v>1.1233243967828419</v>
      </c>
      <c r="AR225" s="6">
        <f>AB225/N225</f>
        <v>1</v>
      </c>
      <c r="AS225" s="4"/>
      <c r="AT225" s="4"/>
      <c r="AU225" s="4"/>
      <c r="AV225" s="4"/>
      <c r="AW225" s="4"/>
      <c r="AX225" s="4"/>
      <c r="AY225" s="4"/>
      <c r="AZ225" s="4"/>
      <c r="BA225" s="4"/>
      <c r="BB225" s="4">
        <v>0</v>
      </c>
      <c r="BC225" s="4" t="s">
        <v>3786</v>
      </c>
      <c r="BD225" s="4">
        <v>1</v>
      </c>
      <c r="BE225" s="4">
        <v>2</v>
      </c>
      <c r="BF225" s="4" t="s">
        <v>3640</v>
      </c>
      <c r="BG225" s="4">
        <v>1700</v>
      </c>
      <c r="BH225" s="4">
        <v>1700</v>
      </c>
      <c r="BI225" s="4">
        <f t="shared" si="48"/>
        <v>850</v>
      </c>
      <c r="BJ225" s="19">
        <v>4</v>
      </c>
      <c r="BK225" s="19">
        <v>8</v>
      </c>
      <c r="BL225" s="16">
        <v>6</v>
      </c>
      <c r="BM225" s="45" t="s">
        <v>3534</v>
      </c>
      <c r="BN225" t="s">
        <v>3534</v>
      </c>
      <c r="BO225" t="str">
        <f t="shared" si="41"/>
        <v>-</v>
      </c>
      <c r="BP225" t="s">
        <v>3534</v>
      </c>
      <c r="BQ225">
        <v>482</v>
      </c>
      <c r="BR225">
        <f t="shared" si="42"/>
        <v>482</v>
      </c>
      <c r="BS225" t="s">
        <v>2711</v>
      </c>
    </row>
    <row r="226" spans="1:71" x14ac:dyDescent="0.4">
      <c r="A226" s="3">
        <v>223</v>
      </c>
      <c r="B226" s="3">
        <v>223</v>
      </c>
      <c r="C226" s="4" t="s">
        <v>285</v>
      </c>
      <c r="D226" s="4" t="str">
        <f t="shared" si="43"/>
        <v>J158WH</v>
      </c>
      <c r="E226" s="4" t="s">
        <v>285</v>
      </c>
      <c r="F226" s="4" t="s">
        <v>1504</v>
      </c>
      <c r="G226" s="5">
        <v>4521718585505</v>
      </c>
      <c r="H226" s="5"/>
      <c r="I226" s="5"/>
      <c r="J226" s="5">
        <v>1</v>
      </c>
      <c r="K226" s="5">
        <v>1</v>
      </c>
      <c r="L226" s="4">
        <v>500</v>
      </c>
      <c r="M226" s="4">
        <v>400</v>
      </c>
      <c r="N226" s="4">
        <v>280</v>
      </c>
      <c r="O226" s="6">
        <f t="shared" si="44"/>
        <v>0.30000000000000004</v>
      </c>
      <c r="P226" s="4" t="s">
        <v>2500</v>
      </c>
      <c r="Q226" s="4"/>
      <c r="R226" s="4"/>
      <c r="S226" s="4"/>
      <c r="T226" s="4"/>
      <c r="U226" s="4"/>
      <c r="V226" s="4"/>
      <c r="W226" s="4"/>
      <c r="X226" s="4"/>
      <c r="Y226" s="4">
        <v>400</v>
      </c>
      <c r="Z226" s="4">
        <f t="shared" si="45"/>
        <v>400</v>
      </c>
      <c r="AA226" s="4">
        <v>280</v>
      </c>
      <c r="AB226" s="4">
        <f t="shared" si="46"/>
        <v>280</v>
      </c>
      <c r="AC226" s="4"/>
      <c r="AD226" s="21">
        <f>ROUND(M226*AR226,0)</f>
        <v>400</v>
      </c>
      <c r="AE226" s="6">
        <f>1-AB226/AD226</f>
        <v>0.30000000000000004</v>
      </c>
      <c r="AF226" s="33">
        <v>0</v>
      </c>
      <c r="AG226" s="4" t="str">
        <f t="shared" si="47"/>
        <v>-</v>
      </c>
      <c r="AH226" s="33" t="e">
        <f t="shared" si="40"/>
        <v>#VALUE!</v>
      </c>
      <c r="AI226" s="6" t="e">
        <f>1-AB226/AH226</f>
        <v>#VALUE!</v>
      </c>
      <c r="AJ226" s="7">
        <v>400</v>
      </c>
      <c r="AK226" s="6">
        <f>1-AB226/AJ226</f>
        <v>0.30000000000000004</v>
      </c>
      <c r="AL226" s="4">
        <f>AJ226-AB226</f>
        <v>120</v>
      </c>
      <c r="AM226" s="28"/>
      <c r="AN226" s="6"/>
      <c r="AO226" s="6"/>
      <c r="AP226" s="6">
        <f>Z226/L226</f>
        <v>0.8</v>
      </c>
      <c r="AQ226" s="6">
        <f>AJ226/M226</f>
        <v>1</v>
      </c>
      <c r="AR226" s="6">
        <f>AB226/N226</f>
        <v>1</v>
      </c>
      <c r="AS226" s="4"/>
      <c r="AT226" s="4"/>
      <c r="AU226" s="4"/>
      <c r="AV226" s="4"/>
      <c r="AW226" s="4"/>
      <c r="AX226" s="4"/>
      <c r="AY226" s="4"/>
      <c r="AZ226" s="4"/>
      <c r="BA226" s="4"/>
      <c r="BB226" s="4">
        <v>0</v>
      </c>
      <c r="BC226" s="4" t="s">
        <v>3534</v>
      </c>
      <c r="BD226" s="4"/>
      <c r="BE226" s="4"/>
      <c r="BF226" s="4" t="s">
        <v>3534</v>
      </c>
      <c r="BG226" s="4" t="s">
        <v>3534</v>
      </c>
      <c r="BH226" s="4" t="s">
        <v>3534</v>
      </c>
      <c r="BI226" s="4" t="str">
        <f t="shared" si="48"/>
        <v>-</v>
      </c>
      <c r="BJ226" s="19">
        <v>4</v>
      </c>
      <c r="BK226" s="19">
        <v>8</v>
      </c>
      <c r="BL226" s="16">
        <v>6</v>
      </c>
      <c r="BM226" s="45" t="s">
        <v>3534</v>
      </c>
      <c r="BN226" t="s">
        <v>3534</v>
      </c>
      <c r="BO226" t="str">
        <f t="shared" si="41"/>
        <v>-</v>
      </c>
      <c r="BP226">
        <v>400</v>
      </c>
      <c r="BQ226">
        <v>400</v>
      </c>
      <c r="BR226">
        <f t="shared" si="42"/>
        <v>400</v>
      </c>
      <c r="BS226" t="s">
        <v>3534</v>
      </c>
    </row>
    <row r="227" spans="1:71" x14ac:dyDescent="0.4">
      <c r="A227" s="3">
        <v>224</v>
      </c>
      <c r="B227" s="3">
        <v>224</v>
      </c>
      <c r="C227" s="4" t="s">
        <v>286</v>
      </c>
      <c r="D227" s="4" t="str">
        <f t="shared" si="43"/>
        <v>J157WH</v>
      </c>
      <c r="E227" s="4" t="s">
        <v>286</v>
      </c>
      <c r="F227" s="4" t="s">
        <v>1505</v>
      </c>
      <c r="G227" s="5">
        <v>4521718585499</v>
      </c>
      <c r="H227" s="5"/>
      <c r="I227" s="5"/>
      <c r="J227" s="5">
        <v>1</v>
      </c>
      <c r="K227" s="5">
        <v>1</v>
      </c>
      <c r="L227" s="4">
        <v>500</v>
      </c>
      <c r="M227" s="4">
        <v>400</v>
      </c>
      <c r="N227" s="4">
        <v>280</v>
      </c>
      <c r="O227" s="6">
        <f t="shared" si="44"/>
        <v>0.30000000000000004</v>
      </c>
      <c r="P227" s="4" t="s">
        <v>2500</v>
      </c>
      <c r="Q227" s="4"/>
      <c r="R227" s="4"/>
      <c r="S227" s="4"/>
      <c r="T227" s="4"/>
      <c r="U227" s="4"/>
      <c r="V227" s="4"/>
      <c r="W227" s="4"/>
      <c r="X227" s="4"/>
      <c r="Y227" s="4">
        <v>400</v>
      </c>
      <c r="Z227" s="4">
        <f t="shared" si="45"/>
        <v>400</v>
      </c>
      <c r="AA227" s="4">
        <v>280</v>
      </c>
      <c r="AB227" s="4">
        <f t="shared" si="46"/>
        <v>280</v>
      </c>
      <c r="AC227" s="4"/>
      <c r="AD227" s="21">
        <f>ROUND(M227*AR227,0)</f>
        <v>400</v>
      </c>
      <c r="AE227" s="6">
        <f>1-AB227/AD227</f>
        <v>0.30000000000000004</v>
      </c>
      <c r="AF227" s="33">
        <v>0</v>
      </c>
      <c r="AG227" s="4" t="str">
        <f t="shared" si="47"/>
        <v>-</v>
      </c>
      <c r="AH227" s="33" t="e">
        <f t="shared" si="40"/>
        <v>#VALUE!</v>
      </c>
      <c r="AI227" s="6" t="e">
        <f>1-AB227/AH227</f>
        <v>#VALUE!</v>
      </c>
      <c r="AJ227" s="7">
        <v>400</v>
      </c>
      <c r="AK227" s="6">
        <f>1-AB227/AJ227</f>
        <v>0.30000000000000004</v>
      </c>
      <c r="AL227" s="4">
        <f>AJ227-AB227</f>
        <v>120</v>
      </c>
      <c r="AM227" s="28"/>
      <c r="AN227" s="6"/>
      <c r="AO227" s="6"/>
      <c r="AP227" s="6">
        <f>Z227/L227</f>
        <v>0.8</v>
      </c>
      <c r="AQ227" s="6">
        <f>AJ227/M227</f>
        <v>1</v>
      </c>
      <c r="AR227" s="6">
        <f>AB227/N227</f>
        <v>1</v>
      </c>
      <c r="AS227" s="4"/>
      <c r="AT227" s="4"/>
      <c r="AU227" s="4"/>
      <c r="AV227" s="4"/>
      <c r="AW227" s="4"/>
      <c r="AX227" s="4"/>
      <c r="AY227" s="4"/>
      <c r="AZ227" s="4"/>
      <c r="BA227" s="4"/>
      <c r="BB227" s="4">
        <v>0</v>
      </c>
      <c r="BC227" s="4" t="s">
        <v>3534</v>
      </c>
      <c r="BD227" s="4"/>
      <c r="BE227" s="4"/>
      <c r="BF227" s="4" t="s">
        <v>3534</v>
      </c>
      <c r="BG227" s="4" t="s">
        <v>3534</v>
      </c>
      <c r="BH227" s="4" t="s">
        <v>3534</v>
      </c>
      <c r="BI227" s="4" t="str">
        <f t="shared" si="48"/>
        <v>-</v>
      </c>
      <c r="BJ227" s="19">
        <v>4</v>
      </c>
      <c r="BK227" s="19">
        <v>8</v>
      </c>
      <c r="BL227" s="16">
        <v>6</v>
      </c>
      <c r="BM227" s="45" t="s">
        <v>3534</v>
      </c>
      <c r="BN227" t="s">
        <v>3534</v>
      </c>
      <c r="BO227" t="str">
        <f t="shared" si="41"/>
        <v>-</v>
      </c>
      <c r="BP227">
        <v>400</v>
      </c>
      <c r="BQ227">
        <v>400</v>
      </c>
      <c r="BR227">
        <f t="shared" si="42"/>
        <v>400</v>
      </c>
      <c r="BS227" t="s">
        <v>3534</v>
      </c>
    </row>
    <row r="228" spans="1:71" x14ac:dyDescent="0.4">
      <c r="A228" s="3">
        <v>225</v>
      </c>
      <c r="B228" s="3">
        <v>225</v>
      </c>
      <c r="C228" s="4" t="s">
        <v>287</v>
      </c>
      <c r="D228" s="4" t="str">
        <f t="shared" si="43"/>
        <v>J159MD</v>
      </c>
      <c r="E228" s="4" t="s">
        <v>287</v>
      </c>
      <c r="F228" s="4" t="s">
        <v>1506</v>
      </c>
      <c r="G228" s="5">
        <v>4521718180281</v>
      </c>
      <c r="H228" s="5"/>
      <c r="I228" s="5"/>
      <c r="J228" s="5">
        <v>1</v>
      </c>
      <c r="K228" s="5">
        <v>1</v>
      </c>
      <c r="L228" s="4">
        <v>270</v>
      </c>
      <c r="M228" s="4">
        <v>180</v>
      </c>
      <c r="N228" s="4">
        <v>121</v>
      </c>
      <c r="O228" s="6">
        <f t="shared" si="44"/>
        <v>0.32777777777777772</v>
      </c>
      <c r="P228" s="4" t="s">
        <v>2500</v>
      </c>
      <c r="Q228" s="4"/>
      <c r="R228" s="4"/>
      <c r="S228" s="4"/>
      <c r="T228" s="4"/>
      <c r="U228" s="4"/>
      <c r="V228" s="4"/>
      <c r="W228" s="4"/>
      <c r="X228" s="4"/>
      <c r="Y228" s="4">
        <v>182</v>
      </c>
      <c r="Z228" s="4">
        <f t="shared" si="45"/>
        <v>182</v>
      </c>
      <c r="AA228" s="4">
        <v>127</v>
      </c>
      <c r="AB228" s="4">
        <f t="shared" si="46"/>
        <v>127</v>
      </c>
      <c r="AC228" s="4"/>
      <c r="AD228" s="21">
        <f>ROUND(M228*AR228,0)</f>
        <v>189</v>
      </c>
      <c r="AE228" s="6">
        <f>1-AB228/AD228</f>
        <v>0.32804232804232802</v>
      </c>
      <c r="AF228" s="33">
        <v>0.5</v>
      </c>
      <c r="AG228" s="4">
        <f t="shared" si="47"/>
        <v>235</v>
      </c>
      <c r="AH228" s="33">
        <f t="shared" si="40"/>
        <v>246.65289256198349</v>
      </c>
      <c r="AI228" s="6">
        <f>1-AB228/AH228</f>
        <v>0.48510638297872344</v>
      </c>
      <c r="AJ228" s="7">
        <v>182</v>
      </c>
      <c r="AK228" s="6">
        <f>1-AB228/AJ228</f>
        <v>0.30219780219780223</v>
      </c>
      <c r="AL228" s="4">
        <f>AJ228-AB228</f>
        <v>55</v>
      </c>
      <c r="AM228" s="28"/>
      <c r="AN228" s="6"/>
      <c r="AO228" s="6"/>
      <c r="AP228" s="6">
        <f>Z228/L228</f>
        <v>0.67407407407407405</v>
      </c>
      <c r="AQ228" s="6">
        <f>AJ228/M228</f>
        <v>1.0111111111111111</v>
      </c>
      <c r="AR228" s="6">
        <f>AB228/N228</f>
        <v>1.0495867768595042</v>
      </c>
      <c r="AS228" s="4"/>
      <c r="AT228" s="4"/>
      <c r="AU228" s="4"/>
      <c r="AV228" s="4"/>
      <c r="AW228" s="4"/>
      <c r="AX228" s="4"/>
      <c r="AY228" s="4"/>
      <c r="AZ228" s="4"/>
      <c r="BA228" s="4"/>
      <c r="BB228" s="4">
        <v>0</v>
      </c>
      <c r="BC228" s="4" t="s">
        <v>3787</v>
      </c>
      <c r="BD228" s="4"/>
      <c r="BE228" s="4"/>
      <c r="BF228" s="4" t="s">
        <v>3788</v>
      </c>
      <c r="BG228" s="4">
        <v>235</v>
      </c>
      <c r="BH228" s="4">
        <v>235</v>
      </c>
      <c r="BI228" s="4">
        <f t="shared" si="48"/>
        <v>235</v>
      </c>
      <c r="BJ228" s="19">
        <v>4</v>
      </c>
      <c r="BK228" s="19">
        <v>8</v>
      </c>
      <c r="BL228" s="16">
        <v>6</v>
      </c>
      <c r="BM228" s="45" t="s">
        <v>3534</v>
      </c>
      <c r="BN228" t="s">
        <v>3534</v>
      </c>
      <c r="BO228" t="str">
        <f t="shared" si="41"/>
        <v>-</v>
      </c>
      <c r="BP228" t="s">
        <v>3534</v>
      </c>
      <c r="BQ228">
        <v>160</v>
      </c>
      <c r="BR228">
        <f t="shared" si="42"/>
        <v>167.93388429752068</v>
      </c>
      <c r="BS228" t="s">
        <v>2712</v>
      </c>
    </row>
    <row r="229" spans="1:71" x14ac:dyDescent="0.4">
      <c r="A229" s="3">
        <v>226</v>
      </c>
      <c r="B229" s="3">
        <v>226</v>
      </c>
      <c r="C229" s="4" t="s">
        <v>288</v>
      </c>
      <c r="D229" s="4" t="str">
        <f t="shared" si="43"/>
        <v>J159WH</v>
      </c>
      <c r="E229" s="4" t="s">
        <v>288</v>
      </c>
      <c r="F229" s="4" t="s">
        <v>1507</v>
      </c>
      <c r="G229" s="5">
        <v>4521718585512</v>
      </c>
      <c r="H229" s="5"/>
      <c r="I229" s="5"/>
      <c r="J229" s="5">
        <v>1</v>
      </c>
      <c r="K229" s="5">
        <v>1</v>
      </c>
      <c r="L229" s="4">
        <v>110</v>
      </c>
      <c r="M229" s="4">
        <v>98</v>
      </c>
      <c r="N229" s="4">
        <v>64</v>
      </c>
      <c r="O229" s="6">
        <f t="shared" si="44"/>
        <v>0.34693877551020413</v>
      </c>
      <c r="P229" s="4" t="s">
        <v>2500</v>
      </c>
      <c r="Q229" s="4"/>
      <c r="R229" s="4"/>
      <c r="S229" s="4"/>
      <c r="T229" s="4"/>
      <c r="U229" s="4"/>
      <c r="V229" s="4"/>
      <c r="W229" s="4"/>
      <c r="X229" s="4"/>
      <c r="Y229" s="4">
        <v>100</v>
      </c>
      <c r="Z229" s="4">
        <f t="shared" si="45"/>
        <v>100</v>
      </c>
      <c r="AA229" s="4">
        <v>70</v>
      </c>
      <c r="AB229" s="4">
        <f t="shared" si="46"/>
        <v>70</v>
      </c>
      <c r="AC229" s="4"/>
      <c r="AD229" s="21">
        <f>ROUND(M229*AR229,0)</f>
        <v>107</v>
      </c>
      <c r="AE229" s="6">
        <f>1-AB229/AD229</f>
        <v>0.34579439252336452</v>
      </c>
      <c r="AF229" s="33">
        <v>0.25</v>
      </c>
      <c r="AG229" s="4" t="str">
        <f t="shared" si="47"/>
        <v>-</v>
      </c>
      <c r="AH229" s="33" t="e">
        <f t="shared" si="40"/>
        <v>#VALUE!</v>
      </c>
      <c r="AI229" s="6" t="e">
        <f>1-AB229/AH229</f>
        <v>#VALUE!</v>
      </c>
      <c r="AJ229" s="7">
        <v>100</v>
      </c>
      <c r="AK229" s="6">
        <f>1-AB229/AJ229</f>
        <v>0.30000000000000004</v>
      </c>
      <c r="AL229" s="4">
        <f>AJ229-AB229</f>
        <v>30</v>
      </c>
      <c r="AM229" s="28"/>
      <c r="AN229" s="6"/>
      <c r="AO229" s="6"/>
      <c r="AP229" s="6">
        <f>Z229/L229</f>
        <v>0.90909090909090906</v>
      </c>
      <c r="AQ229" s="6">
        <f>AJ229/M229</f>
        <v>1.0204081632653061</v>
      </c>
      <c r="AR229" s="6">
        <f>AB229/N229</f>
        <v>1.09375</v>
      </c>
      <c r="AS229" s="4"/>
      <c r="AT229" s="4"/>
      <c r="AU229" s="4"/>
      <c r="AV229" s="4"/>
      <c r="AW229" s="4"/>
      <c r="AX229" s="4"/>
      <c r="AY229" s="4"/>
      <c r="AZ229" s="4"/>
      <c r="BA229" s="4"/>
      <c r="BB229" s="4">
        <v>0</v>
      </c>
      <c r="BC229" s="4" t="s">
        <v>3534</v>
      </c>
      <c r="BD229" s="4"/>
      <c r="BE229" s="4"/>
      <c r="BF229" s="4" t="s">
        <v>3534</v>
      </c>
      <c r="BG229" s="4" t="s">
        <v>3534</v>
      </c>
      <c r="BH229" s="4" t="s">
        <v>3534</v>
      </c>
      <c r="BI229" s="4" t="str">
        <f t="shared" si="48"/>
        <v>-</v>
      </c>
      <c r="BJ229" s="19">
        <v>4</v>
      </c>
      <c r="BK229" s="19">
        <v>8</v>
      </c>
      <c r="BL229" s="16">
        <v>6</v>
      </c>
      <c r="BM229" s="45" t="s">
        <v>3534</v>
      </c>
      <c r="BN229" t="s">
        <v>3534</v>
      </c>
      <c r="BO229" t="str">
        <f t="shared" si="41"/>
        <v>-</v>
      </c>
      <c r="BP229">
        <v>91</v>
      </c>
      <c r="BQ229">
        <v>91</v>
      </c>
      <c r="BR229">
        <f t="shared" si="42"/>
        <v>99.53125</v>
      </c>
      <c r="BS229" t="s">
        <v>3534</v>
      </c>
    </row>
    <row r="230" spans="1:71" x14ac:dyDescent="0.4">
      <c r="A230" s="3">
        <v>227</v>
      </c>
      <c r="B230" s="3">
        <v>227</v>
      </c>
      <c r="C230" s="4" t="s">
        <v>289</v>
      </c>
      <c r="D230" s="4" t="str">
        <f t="shared" si="43"/>
        <v>J160WH</v>
      </c>
      <c r="E230" s="4" t="s">
        <v>289</v>
      </c>
      <c r="F230" s="4" t="s">
        <v>1508</v>
      </c>
      <c r="G230" s="5">
        <v>4521718585529</v>
      </c>
      <c r="H230" s="5"/>
      <c r="I230" s="5"/>
      <c r="J230" s="5">
        <v>1</v>
      </c>
      <c r="K230" s="5">
        <v>1</v>
      </c>
      <c r="L230" s="4">
        <v>110</v>
      </c>
      <c r="M230" s="4">
        <v>98</v>
      </c>
      <c r="N230" s="4">
        <v>64</v>
      </c>
      <c r="O230" s="6">
        <f t="shared" si="44"/>
        <v>0.34693877551020413</v>
      </c>
      <c r="P230" s="4" t="s">
        <v>2500</v>
      </c>
      <c r="Q230" s="4"/>
      <c r="R230" s="4"/>
      <c r="S230" s="4"/>
      <c r="T230" s="4"/>
      <c r="U230" s="4"/>
      <c r="V230" s="4"/>
      <c r="W230" s="4"/>
      <c r="X230" s="4"/>
      <c r="Y230" s="4">
        <v>100</v>
      </c>
      <c r="Z230" s="4">
        <f t="shared" si="45"/>
        <v>100</v>
      </c>
      <c r="AA230" s="4">
        <v>70</v>
      </c>
      <c r="AB230" s="4">
        <f t="shared" si="46"/>
        <v>70</v>
      </c>
      <c r="AC230" s="4"/>
      <c r="AD230" s="21">
        <f>ROUND(M230*AR230,0)</f>
        <v>107</v>
      </c>
      <c r="AE230" s="6">
        <f>1-AB230/AD230</f>
        <v>0.34579439252336452</v>
      </c>
      <c r="AF230" s="33">
        <v>0</v>
      </c>
      <c r="AG230" s="4" t="str">
        <f t="shared" si="47"/>
        <v>-</v>
      </c>
      <c r="AH230" s="33" t="e">
        <f t="shared" si="40"/>
        <v>#VALUE!</v>
      </c>
      <c r="AI230" s="6" t="e">
        <f>1-AB230/AH230</f>
        <v>#VALUE!</v>
      </c>
      <c r="AJ230" s="7">
        <v>100</v>
      </c>
      <c r="AK230" s="6">
        <f>1-AB230/AJ230</f>
        <v>0.30000000000000004</v>
      </c>
      <c r="AL230" s="4">
        <f>AJ230-AB230</f>
        <v>30</v>
      </c>
      <c r="AM230" s="28"/>
      <c r="AN230" s="6"/>
      <c r="AO230" s="6"/>
      <c r="AP230" s="6">
        <f>Z230/L230</f>
        <v>0.90909090909090906</v>
      </c>
      <c r="AQ230" s="6">
        <f>AJ230/M230</f>
        <v>1.0204081632653061</v>
      </c>
      <c r="AR230" s="6">
        <f>AB230/N230</f>
        <v>1.09375</v>
      </c>
      <c r="AS230" s="4"/>
      <c r="AT230" s="4"/>
      <c r="AU230" s="4"/>
      <c r="AV230" s="4"/>
      <c r="AW230" s="4"/>
      <c r="AX230" s="4"/>
      <c r="AY230" s="4"/>
      <c r="AZ230" s="4"/>
      <c r="BA230" s="4"/>
      <c r="BB230" s="4">
        <v>0</v>
      </c>
      <c r="BC230" s="4" t="s">
        <v>3534</v>
      </c>
      <c r="BD230" s="4"/>
      <c r="BE230" s="4"/>
      <c r="BF230" s="4" t="s">
        <v>3534</v>
      </c>
      <c r="BG230" s="4" t="s">
        <v>3534</v>
      </c>
      <c r="BH230" s="4" t="s">
        <v>3534</v>
      </c>
      <c r="BI230" s="4" t="str">
        <f t="shared" si="48"/>
        <v>-</v>
      </c>
      <c r="BJ230" s="19">
        <v>4</v>
      </c>
      <c r="BK230" s="19">
        <v>8</v>
      </c>
      <c r="BL230" s="16">
        <v>6</v>
      </c>
      <c r="BM230" s="45" t="s">
        <v>3534</v>
      </c>
      <c r="BN230" t="s">
        <v>3534</v>
      </c>
      <c r="BO230" t="str">
        <f t="shared" si="41"/>
        <v>-</v>
      </c>
      <c r="BP230">
        <v>91</v>
      </c>
      <c r="BQ230">
        <v>91</v>
      </c>
      <c r="BR230">
        <f t="shared" si="42"/>
        <v>99.53125</v>
      </c>
      <c r="BS230" t="s">
        <v>3534</v>
      </c>
    </row>
    <row r="231" spans="1:71" x14ac:dyDescent="0.4">
      <c r="A231" s="3">
        <v>228</v>
      </c>
      <c r="B231" s="3">
        <v>228</v>
      </c>
      <c r="C231" s="4" t="s">
        <v>290</v>
      </c>
      <c r="D231" s="4" t="str">
        <f t="shared" si="43"/>
        <v>J161MD</v>
      </c>
      <c r="E231" s="4" t="s">
        <v>290</v>
      </c>
      <c r="F231" s="4" t="s">
        <v>1509</v>
      </c>
      <c r="G231" s="5">
        <v>4521718180304</v>
      </c>
      <c r="H231" s="5"/>
      <c r="I231" s="5"/>
      <c r="J231" s="5">
        <v>1</v>
      </c>
      <c r="K231" s="5">
        <v>1</v>
      </c>
      <c r="L231" s="4">
        <v>270</v>
      </c>
      <c r="M231" s="4">
        <v>180</v>
      </c>
      <c r="N231" s="4">
        <v>121</v>
      </c>
      <c r="O231" s="6">
        <f t="shared" si="44"/>
        <v>0.32777777777777772</v>
      </c>
      <c r="P231" s="4" t="s">
        <v>2500</v>
      </c>
      <c r="Q231" s="4"/>
      <c r="R231" s="4"/>
      <c r="S231" s="4"/>
      <c r="T231" s="4"/>
      <c r="U231" s="4"/>
      <c r="V231" s="4"/>
      <c r="W231" s="4"/>
      <c r="X231" s="4"/>
      <c r="Y231" s="4">
        <v>182</v>
      </c>
      <c r="Z231" s="4">
        <f t="shared" si="45"/>
        <v>182</v>
      </c>
      <c r="AA231" s="4">
        <v>127</v>
      </c>
      <c r="AB231" s="4">
        <f t="shared" si="46"/>
        <v>127</v>
      </c>
      <c r="AC231" s="4"/>
      <c r="AD231" s="21">
        <f>ROUND(M231*AR231,0)</f>
        <v>189</v>
      </c>
      <c r="AE231" s="6">
        <f>1-AB231/AD231</f>
        <v>0.32804232804232802</v>
      </c>
      <c r="AF231" s="33">
        <v>0</v>
      </c>
      <c r="AG231" s="4">
        <f t="shared" si="47"/>
        <v>227.20000000000002</v>
      </c>
      <c r="AH231" s="33">
        <f t="shared" si="40"/>
        <v>238.46611570247936</v>
      </c>
      <c r="AI231" s="6">
        <f>1-AB231/AH231</f>
        <v>0.46742957746478875</v>
      </c>
      <c r="AJ231" s="7">
        <v>182</v>
      </c>
      <c r="AK231" s="6">
        <f>1-AB231/AJ231</f>
        <v>0.30219780219780223</v>
      </c>
      <c r="AL231" s="4">
        <f>AJ231-AB231</f>
        <v>55</v>
      </c>
      <c r="AM231" s="28"/>
      <c r="AN231" s="6"/>
      <c r="AO231" s="6"/>
      <c r="AP231" s="6">
        <f>Z231/L231</f>
        <v>0.67407407407407405</v>
      </c>
      <c r="AQ231" s="6">
        <f>AJ231/M231</f>
        <v>1.0111111111111111</v>
      </c>
      <c r="AR231" s="6">
        <f>AB231/N231</f>
        <v>1.0495867768595042</v>
      </c>
      <c r="AS231" s="4"/>
      <c r="AT231" s="4"/>
      <c r="AU231" s="4"/>
      <c r="AV231" s="4"/>
      <c r="AW231" s="4"/>
      <c r="AX231" s="4"/>
      <c r="AY231" s="4"/>
      <c r="AZ231" s="4"/>
      <c r="BA231" s="4"/>
      <c r="BB231" s="4">
        <v>0</v>
      </c>
      <c r="BC231" s="4" t="s">
        <v>3789</v>
      </c>
      <c r="BD231" s="4">
        <v>1</v>
      </c>
      <c r="BE231" s="4">
        <v>5</v>
      </c>
      <c r="BF231" s="4" t="s">
        <v>3790</v>
      </c>
      <c r="BG231" s="4">
        <v>1136</v>
      </c>
      <c r="BH231" s="4">
        <v>1136</v>
      </c>
      <c r="BI231" s="4">
        <f t="shared" si="48"/>
        <v>227.20000000000002</v>
      </c>
      <c r="BJ231" s="19">
        <v>4</v>
      </c>
      <c r="BK231" s="19">
        <v>8</v>
      </c>
      <c r="BL231" s="16">
        <v>6</v>
      </c>
      <c r="BM231" s="45" t="s">
        <v>3534</v>
      </c>
      <c r="BN231" t="s">
        <v>3534</v>
      </c>
      <c r="BO231" t="str">
        <f t="shared" si="41"/>
        <v>-</v>
      </c>
      <c r="BP231" t="s">
        <v>3534</v>
      </c>
      <c r="BQ231">
        <v>160</v>
      </c>
      <c r="BR231">
        <f t="shared" si="42"/>
        <v>167.93388429752068</v>
      </c>
      <c r="BS231" t="s">
        <v>2713</v>
      </c>
    </row>
    <row r="232" spans="1:71" x14ac:dyDescent="0.4">
      <c r="A232" s="3">
        <v>229</v>
      </c>
      <c r="B232" s="3">
        <v>229</v>
      </c>
      <c r="C232" s="4" t="s">
        <v>291</v>
      </c>
      <c r="D232" s="4" t="str">
        <f t="shared" si="43"/>
        <v>J160MD</v>
      </c>
      <c r="E232" s="4" t="s">
        <v>291</v>
      </c>
      <c r="F232" s="4" t="s">
        <v>1510</v>
      </c>
      <c r="G232" s="5">
        <v>4521718180298</v>
      </c>
      <c r="H232" s="5"/>
      <c r="I232" s="5"/>
      <c r="J232" s="5">
        <v>1</v>
      </c>
      <c r="K232" s="5">
        <v>1</v>
      </c>
      <c r="L232" s="4">
        <v>270</v>
      </c>
      <c r="M232" s="4">
        <v>180</v>
      </c>
      <c r="N232" s="4">
        <v>121</v>
      </c>
      <c r="O232" s="6">
        <f t="shared" si="44"/>
        <v>0.32777777777777772</v>
      </c>
      <c r="P232" s="4" t="s">
        <v>2500</v>
      </c>
      <c r="Q232" s="4"/>
      <c r="R232" s="4"/>
      <c r="S232" s="4"/>
      <c r="T232" s="4"/>
      <c r="U232" s="4"/>
      <c r="V232" s="4"/>
      <c r="W232" s="4"/>
      <c r="X232" s="4"/>
      <c r="Y232" s="4">
        <v>182</v>
      </c>
      <c r="Z232" s="4">
        <f t="shared" si="45"/>
        <v>182</v>
      </c>
      <c r="AA232" s="4">
        <v>127</v>
      </c>
      <c r="AB232" s="4">
        <f t="shared" si="46"/>
        <v>127</v>
      </c>
      <c r="AC232" s="4"/>
      <c r="AD232" s="21">
        <f>ROUND(M232*AR232,0)</f>
        <v>189</v>
      </c>
      <c r="AE232" s="6">
        <f>1-AB232/AD232</f>
        <v>0.32804232804232802</v>
      </c>
      <c r="AF232" s="33">
        <v>1</v>
      </c>
      <c r="AG232" s="4">
        <f t="shared" si="47"/>
        <v>235</v>
      </c>
      <c r="AH232" s="33">
        <f t="shared" si="40"/>
        <v>246.65289256198349</v>
      </c>
      <c r="AI232" s="6">
        <f>1-AB232/AH232</f>
        <v>0.48510638297872344</v>
      </c>
      <c r="AJ232" s="7">
        <v>182</v>
      </c>
      <c r="AK232" s="6">
        <f>1-AB232/AJ232</f>
        <v>0.30219780219780223</v>
      </c>
      <c r="AL232" s="4">
        <f>AJ232-AB232</f>
        <v>55</v>
      </c>
      <c r="AM232" s="28"/>
      <c r="AN232" s="6"/>
      <c r="AO232" s="6"/>
      <c r="AP232" s="6">
        <f>Z232/L232</f>
        <v>0.67407407407407405</v>
      </c>
      <c r="AQ232" s="6">
        <f>AJ232/M232</f>
        <v>1.0111111111111111</v>
      </c>
      <c r="AR232" s="6">
        <f>AB232/N232</f>
        <v>1.0495867768595042</v>
      </c>
      <c r="AS232" s="4"/>
      <c r="AT232" s="4"/>
      <c r="AU232" s="4"/>
      <c r="AV232" s="4"/>
      <c r="AW232" s="4"/>
      <c r="AX232" s="4"/>
      <c r="AY232" s="4"/>
      <c r="AZ232" s="4"/>
      <c r="BA232" s="4"/>
      <c r="BB232" s="4">
        <v>0</v>
      </c>
      <c r="BC232" s="4" t="s">
        <v>3791</v>
      </c>
      <c r="BD232" s="4"/>
      <c r="BE232" s="4"/>
      <c r="BF232" s="4" t="s">
        <v>3788</v>
      </c>
      <c r="BG232" s="4">
        <v>235</v>
      </c>
      <c r="BH232" s="4">
        <v>235</v>
      </c>
      <c r="BI232" s="4">
        <f t="shared" si="48"/>
        <v>235</v>
      </c>
      <c r="BJ232" s="19">
        <v>4</v>
      </c>
      <c r="BK232" s="19">
        <v>8</v>
      </c>
      <c r="BL232" s="16">
        <v>6</v>
      </c>
      <c r="BM232" s="45" t="s">
        <v>3534</v>
      </c>
      <c r="BN232" t="s">
        <v>3534</v>
      </c>
      <c r="BO232" t="str">
        <f t="shared" si="41"/>
        <v>-</v>
      </c>
      <c r="BP232" t="s">
        <v>3534</v>
      </c>
      <c r="BQ232">
        <v>160</v>
      </c>
      <c r="BR232">
        <f t="shared" si="42"/>
        <v>167.93388429752068</v>
      </c>
      <c r="BS232" t="s">
        <v>2714</v>
      </c>
    </row>
    <row r="233" spans="1:71" x14ac:dyDescent="0.4">
      <c r="A233" s="3">
        <v>230</v>
      </c>
      <c r="B233" s="3">
        <v>230</v>
      </c>
      <c r="C233" s="4" t="s">
        <v>292</v>
      </c>
      <c r="D233" s="4" t="str">
        <f t="shared" si="43"/>
        <v>J162MD</v>
      </c>
      <c r="E233" s="4" t="s">
        <v>292</v>
      </c>
      <c r="F233" s="4" t="s">
        <v>1511</v>
      </c>
      <c r="G233" s="5">
        <v>4521718180311</v>
      </c>
      <c r="H233" s="5"/>
      <c r="I233" s="5"/>
      <c r="J233" s="5">
        <v>1</v>
      </c>
      <c r="K233" s="5">
        <v>1</v>
      </c>
      <c r="L233" s="4">
        <v>270</v>
      </c>
      <c r="M233" s="4">
        <v>180</v>
      </c>
      <c r="N233" s="4">
        <v>121</v>
      </c>
      <c r="O233" s="6">
        <f t="shared" si="44"/>
        <v>0.32777777777777772</v>
      </c>
      <c r="P233" s="4" t="s">
        <v>2500</v>
      </c>
      <c r="Q233" s="4"/>
      <c r="R233" s="4"/>
      <c r="S233" s="4"/>
      <c r="T233" s="4"/>
      <c r="U233" s="4"/>
      <c r="V233" s="4"/>
      <c r="W233" s="4"/>
      <c r="X233" s="4"/>
      <c r="Y233" s="4">
        <v>182</v>
      </c>
      <c r="Z233" s="4">
        <f t="shared" si="45"/>
        <v>182</v>
      </c>
      <c r="AA233" s="4">
        <v>127</v>
      </c>
      <c r="AB233" s="4">
        <f t="shared" si="46"/>
        <v>127</v>
      </c>
      <c r="AC233" s="4"/>
      <c r="AD233" s="21">
        <f>ROUND(M233*AR233,0)</f>
        <v>189</v>
      </c>
      <c r="AE233" s="6">
        <f>1-AB233/AD233</f>
        <v>0.32804232804232802</v>
      </c>
      <c r="AF233" s="33">
        <v>0.25</v>
      </c>
      <c r="AG233" s="4">
        <f t="shared" si="47"/>
        <v>194</v>
      </c>
      <c r="AH233" s="33">
        <f t="shared" si="40"/>
        <v>203.61983471074382</v>
      </c>
      <c r="AI233" s="6">
        <f>1-AB233/AH233</f>
        <v>0.37628865979381443</v>
      </c>
      <c r="AJ233" s="7">
        <v>182</v>
      </c>
      <c r="AK233" s="6">
        <f>1-AB233/AJ233</f>
        <v>0.30219780219780223</v>
      </c>
      <c r="AL233" s="4">
        <f>AJ233-AB233</f>
        <v>55</v>
      </c>
      <c r="AM233" s="28"/>
      <c r="AN233" s="6"/>
      <c r="AO233" s="6"/>
      <c r="AP233" s="6">
        <f>Z233/L233</f>
        <v>0.67407407407407405</v>
      </c>
      <c r="AQ233" s="6">
        <f>AJ233/M233</f>
        <v>1.0111111111111111</v>
      </c>
      <c r="AR233" s="6">
        <f>AB233/N233</f>
        <v>1.0495867768595042</v>
      </c>
      <c r="AS233" s="4"/>
      <c r="AT233" s="4"/>
      <c r="AU233" s="4"/>
      <c r="AV233" s="4"/>
      <c r="AW233" s="4"/>
      <c r="AX233" s="4"/>
      <c r="AY233" s="4"/>
      <c r="AZ233" s="4"/>
      <c r="BA233" s="4"/>
      <c r="BB233" s="4">
        <v>0</v>
      </c>
      <c r="BC233" s="4" t="s">
        <v>3792</v>
      </c>
      <c r="BD233" s="4"/>
      <c r="BE233" s="4"/>
      <c r="BF233" s="4" t="s">
        <v>3793</v>
      </c>
      <c r="BG233" s="4">
        <v>194</v>
      </c>
      <c r="BH233" s="4">
        <v>194</v>
      </c>
      <c r="BI233" s="4">
        <f t="shared" si="48"/>
        <v>194</v>
      </c>
      <c r="BJ233" s="19">
        <v>4</v>
      </c>
      <c r="BK233" s="19">
        <v>8</v>
      </c>
      <c r="BL233" s="16">
        <v>6</v>
      </c>
      <c r="BM233" s="45" t="s">
        <v>3534</v>
      </c>
      <c r="BN233" t="s">
        <v>3534</v>
      </c>
      <c r="BO233" t="str">
        <f t="shared" si="41"/>
        <v>-</v>
      </c>
      <c r="BP233" t="s">
        <v>3534</v>
      </c>
      <c r="BQ233">
        <v>173</v>
      </c>
      <c r="BR233">
        <f t="shared" si="42"/>
        <v>181.57851239669424</v>
      </c>
      <c r="BS233" t="s">
        <v>2715</v>
      </c>
    </row>
    <row r="234" spans="1:71" x14ac:dyDescent="0.4">
      <c r="A234" s="3">
        <v>231</v>
      </c>
      <c r="B234" s="3">
        <v>231</v>
      </c>
      <c r="C234" s="4" t="s">
        <v>293</v>
      </c>
      <c r="D234" s="4" t="str">
        <f t="shared" si="43"/>
        <v>J162WF</v>
      </c>
      <c r="E234" s="4" t="s">
        <v>293</v>
      </c>
      <c r="F234" s="4" t="s">
        <v>1512</v>
      </c>
      <c r="G234" s="5">
        <v>4521718189031</v>
      </c>
      <c r="H234" s="5"/>
      <c r="I234" s="5"/>
      <c r="J234" s="5">
        <v>1</v>
      </c>
      <c r="K234" s="5">
        <v>1</v>
      </c>
      <c r="L234" s="4">
        <v>450</v>
      </c>
      <c r="M234" s="4">
        <v>405</v>
      </c>
      <c r="N234" s="4">
        <v>202</v>
      </c>
      <c r="O234" s="6">
        <f t="shared" si="44"/>
        <v>0.50123456790123455</v>
      </c>
      <c r="P234" s="4" t="s">
        <v>2500</v>
      </c>
      <c r="Q234" s="4"/>
      <c r="R234" s="4"/>
      <c r="S234" s="4"/>
      <c r="T234" s="4"/>
      <c r="U234" s="4"/>
      <c r="V234" s="4"/>
      <c r="W234" s="4"/>
      <c r="X234" s="4"/>
      <c r="Y234" s="4">
        <v>319</v>
      </c>
      <c r="Z234" s="4">
        <f t="shared" si="45"/>
        <v>319</v>
      </c>
      <c r="AA234" s="4">
        <v>207</v>
      </c>
      <c r="AB234" s="4">
        <f t="shared" si="46"/>
        <v>207</v>
      </c>
      <c r="AC234" s="4"/>
      <c r="AD234" s="21">
        <f>ROUND(M234*AR234,0)</f>
        <v>415</v>
      </c>
      <c r="AE234" s="6">
        <f>1-AB234/AD234</f>
        <v>0.50120481927710836</v>
      </c>
      <c r="AF234" s="33">
        <v>0</v>
      </c>
      <c r="AG234" s="4">
        <f t="shared" si="47"/>
        <v>450</v>
      </c>
      <c r="AH234" s="33">
        <f t="shared" si="40"/>
        <v>461.13861386138615</v>
      </c>
      <c r="AI234" s="6">
        <f>1-AB234/AH234</f>
        <v>0.55111111111111111</v>
      </c>
      <c r="AJ234" s="7">
        <f>ROUND(AB234/0.65,0)</f>
        <v>318</v>
      </c>
      <c r="AK234" s="6">
        <f>1-AB234/AJ234</f>
        <v>0.34905660377358494</v>
      </c>
      <c r="AL234" s="4">
        <f>AJ234-AB234</f>
        <v>111</v>
      </c>
      <c r="AM234" s="28"/>
      <c r="AN234" s="6"/>
      <c r="AO234" s="6"/>
      <c r="AP234" s="6">
        <f>Z234/L234</f>
        <v>0.7088888888888889</v>
      </c>
      <c r="AQ234" s="6">
        <f>AJ234/M234</f>
        <v>0.78518518518518521</v>
      </c>
      <c r="AR234" s="6">
        <f>AB234/N234</f>
        <v>1.0247524752475248</v>
      </c>
      <c r="AS234" s="4"/>
      <c r="AT234" s="4"/>
      <c r="AU234" s="4"/>
      <c r="AV234" s="4"/>
      <c r="AW234" s="4"/>
      <c r="AX234" s="4"/>
      <c r="AY234" s="4"/>
      <c r="AZ234" s="4"/>
      <c r="BA234" s="4"/>
      <c r="BB234" s="4">
        <v>0</v>
      </c>
      <c r="BC234" s="4" t="s">
        <v>3794</v>
      </c>
      <c r="BD234" s="4">
        <v>1</v>
      </c>
      <c r="BE234" s="4">
        <v>4</v>
      </c>
      <c r="BF234" s="4" t="s">
        <v>3579</v>
      </c>
      <c r="BG234" s="4">
        <v>1800</v>
      </c>
      <c r="BH234" s="4">
        <v>1800</v>
      </c>
      <c r="BI234" s="4">
        <f t="shared" si="48"/>
        <v>450</v>
      </c>
      <c r="BJ234" s="19">
        <v>4</v>
      </c>
      <c r="BK234" s="19">
        <v>8</v>
      </c>
      <c r="BL234" s="16">
        <v>6</v>
      </c>
      <c r="BM234" s="45" t="s">
        <v>3534</v>
      </c>
      <c r="BN234" t="s">
        <v>3534</v>
      </c>
      <c r="BO234" t="str">
        <f t="shared" si="41"/>
        <v>-</v>
      </c>
      <c r="BP234" t="s">
        <v>3534</v>
      </c>
      <c r="BQ234">
        <v>310</v>
      </c>
      <c r="BR234">
        <f t="shared" si="42"/>
        <v>317.67326732673268</v>
      </c>
      <c r="BS234" t="s">
        <v>2716</v>
      </c>
    </row>
    <row r="235" spans="1:71" x14ac:dyDescent="0.4">
      <c r="A235" s="3">
        <v>232</v>
      </c>
      <c r="B235" s="3">
        <v>232</v>
      </c>
      <c r="C235" s="4" t="s">
        <v>294</v>
      </c>
      <c r="D235" s="4" t="str">
        <f t="shared" si="43"/>
        <v>J162WH</v>
      </c>
      <c r="E235" s="4" t="s">
        <v>294</v>
      </c>
      <c r="F235" s="4" t="s">
        <v>1513</v>
      </c>
      <c r="G235" s="5">
        <v>4521718585543</v>
      </c>
      <c r="H235" s="5"/>
      <c r="I235" s="5"/>
      <c r="J235" s="5">
        <v>1</v>
      </c>
      <c r="K235" s="5">
        <v>1</v>
      </c>
      <c r="L235" s="4">
        <v>110</v>
      </c>
      <c r="M235" s="4">
        <v>98</v>
      </c>
      <c r="N235" s="4">
        <v>64</v>
      </c>
      <c r="O235" s="6">
        <f t="shared" si="44"/>
        <v>0.34693877551020413</v>
      </c>
      <c r="P235" s="4" t="s">
        <v>2500</v>
      </c>
      <c r="Q235" s="4"/>
      <c r="R235" s="4"/>
      <c r="S235" s="4"/>
      <c r="T235" s="4"/>
      <c r="U235" s="4"/>
      <c r="V235" s="4"/>
      <c r="W235" s="4"/>
      <c r="X235" s="4"/>
      <c r="Y235" s="4">
        <v>100</v>
      </c>
      <c r="Z235" s="4">
        <f t="shared" si="45"/>
        <v>100</v>
      </c>
      <c r="AA235" s="4">
        <v>70</v>
      </c>
      <c r="AB235" s="4">
        <f t="shared" si="46"/>
        <v>70</v>
      </c>
      <c r="AC235" s="4"/>
      <c r="AD235" s="21">
        <f>ROUND(M235*AR235,0)</f>
        <v>107</v>
      </c>
      <c r="AE235" s="6">
        <f>1-AB235/AD235</f>
        <v>0.34579439252336452</v>
      </c>
      <c r="AF235" s="33">
        <v>0</v>
      </c>
      <c r="AG235" s="4" t="str">
        <f t="shared" si="47"/>
        <v>-</v>
      </c>
      <c r="AH235" s="33" t="e">
        <f t="shared" si="40"/>
        <v>#VALUE!</v>
      </c>
      <c r="AI235" s="6" t="e">
        <f>1-AB235/AH235</f>
        <v>#VALUE!</v>
      </c>
      <c r="AJ235" s="7">
        <v>100</v>
      </c>
      <c r="AK235" s="6">
        <f>1-AB235/AJ235</f>
        <v>0.30000000000000004</v>
      </c>
      <c r="AL235" s="4">
        <f>AJ235-AB235</f>
        <v>30</v>
      </c>
      <c r="AM235" s="28"/>
      <c r="AN235" s="6"/>
      <c r="AO235" s="6"/>
      <c r="AP235" s="6">
        <f>Z235/L235</f>
        <v>0.90909090909090906</v>
      </c>
      <c r="AQ235" s="6">
        <f>AJ235/M235</f>
        <v>1.0204081632653061</v>
      </c>
      <c r="AR235" s="6">
        <f>AB235/N235</f>
        <v>1.09375</v>
      </c>
      <c r="AS235" s="4"/>
      <c r="AT235" s="4"/>
      <c r="AU235" s="4"/>
      <c r="AV235" s="4"/>
      <c r="AW235" s="4"/>
      <c r="AX235" s="4"/>
      <c r="AY235" s="4"/>
      <c r="AZ235" s="4"/>
      <c r="BA235" s="4"/>
      <c r="BB235" s="4">
        <v>0</v>
      </c>
      <c r="BC235" s="4" t="s">
        <v>3534</v>
      </c>
      <c r="BD235" s="4"/>
      <c r="BE235" s="4"/>
      <c r="BF235" s="4" t="s">
        <v>3534</v>
      </c>
      <c r="BG235" s="4" t="s">
        <v>3534</v>
      </c>
      <c r="BH235" s="4" t="s">
        <v>3534</v>
      </c>
      <c r="BI235" s="4" t="str">
        <f t="shared" si="48"/>
        <v>-</v>
      </c>
      <c r="BJ235" s="19">
        <v>4</v>
      </c>
      <c r="BK235" s="19">
        <v>8</v>
      </c>
      <c r="BL235" s="16">
        <v>6</v>
      </c>
      <c r="BM235" s="45" t="s">
        <v>3534</v>
      </c>
      <c r="BN235" t="s">
        <v>3534</v>
      </c>
      <c r="BO235" t="str">
        <f t="shared" si="41"/>
        <v>-</v>
      </c>
      <c r="BP235">
        <v>91</v>
      </c>
      <c r="BQ235">
        <v>91</v>
      </c>
      <c r="BR235">
        <f t="shared" si="42"/>
        <v>99.53125</v>
      </c>
      <c r="BS235" t="s">
        <v>3534</v>
      </c>
    </row>
    <row r="236" spans="1:71" x14ac:dyDescent="0.4">
      <c r="A236" s="3">
        <v>233</v>
      </c>
      <c r="B236" s="3">
        <v>233</v>
      </c>
      <c r="C236" s="4" t="s">
        <v>295</v>
      </c>
      <c r="D236" s="4" t="str">
        <f t="shared" si="43"/>
        <v>J161WH</v>
      </c>
      <c r="E236" s="4" t="s">
        <v>295</v>
      </c>
      <c r="F236" s="4" t="s">
        <v>1514</v>
      </c>
      <c r="G236" s="5">
        <v>4521718585536</v>
      </c>
      <c r="H236" s="5"/>
      <c r="I236" s="5"/>
      <c r="J236" s="5">
        <v>1</v>
      </c>
      <c r="K236" s="5">
        <v>1</v>
      </c>
      <c r="L236" s="4">
        <v>110</v>
      </c>
      <c r="M236" s="4">
        <v>98</v>
      </c>
      <c r="N236" s="4">
        <v>64</v>
      </c>
      <c r="O236" s="6">
        <f t="shared" si="44"/>
        <v>0.34693877551020413</v>
      </c>
      <c r="P236" s="4" t="s">
        <v>2500</v>
      </c>
      <c r="Q236" s="4"/>
      <c r="R236" s="4"/>
      <c r="S236" s="4"/>
      <c r="T236" s="4"/>
      <c r="U236" s="4"/>
      <c r="V236" s="4"/>
      <c r="W236" s="4"/>
      <c r="X236" s="4"/>
      <c r="Y236" s="4">
        <v>100</v>
      </c>
      <c r="Z236" s="4">
        <f t="shared" si="45"/>
        <v>100</v>
      </c>
      <c r="AA236" s="4">
        <v>70</v>
      </c>
      <c r="AB236" s="4">
        <f t="shared" si="46"/>
        <v>70</v>
      </c>
      <c r="AC236" s="4"/>
      <c r="AD236" s="21">
        <f>ROUND(M236*AR236,0)</f>
        <v>107</v>
      </c>
      <c r="AE236" s="6">
        <f>1-AB236/AD236</f>
        <v>0.34579439252336452</v>
      </c>
      <c r="AF236" s="33">
        <v>0</v>
      </c>
      <c r="AG236" s="4" t="str">
        <f t="shared" si="47"/>
        <v>-</v>
      </c>
      <c r="AH236" s="33" t="e">
        <f t="shared" si="40"/>
        <v>#VALUE!</v>
      </c>
      <c r="AI236" s="6" t="e">
        <f>1-AB236/AH236</f>
        <v>#VALUE!</v>
      </c>
      <c r="AJ236" s="7">
        <v>100</v>
      </c>
      <c r="AK236" s="6">
        <f>1-AB236/AJ236</f>
        <v>0.30000000000000004</v>
      </c>
      <c r="AL236" s="4">
        <f>AJ236-AB236</f>
        <v>30</v>
      </c>
      <c r="AM236" s="28"/>
      <c r="AN236" s="6"/>
      <c r="AO236" s="6"/>
      <c r="AP236" s="6">
        <f>Z236/L236</f>
        <v>0.90909090909090906</v>
      </c>
      <c r="AQ236" s="6">
        <f>AJ236/M236</f>
        <v>1.0204081632653061</v>
      </c>
      <c r="AR236" s="6">
        <f>AB236/N236</f>
        <v>1.09375</v>
      </c>
      <c r="AS236" s="4"/>
      <c r="AT236" s="4"/>
      <c r="AU236" s="4"/>
      <c r="AV236" s="4"/>
      <c r="AW236" s="4"/>
      <c r="AX236" s="4"/>
      <c r="AY236" s="4"/>
      <c r="AZ236" s="4"/>
      <c r="BA236" s="4"/>
      <c r="BB236" s="4">
        <v>0</v>
      </c>
      <c r="BC236" s="4" t="s">
        <v>3534</v>
      </c>
      <c r="BD236" s="4"/>
      <c r="BE236" s="4"/>
      <c r="BF236" s="4" t="s">
        <v>3534</v>
      </c>
      <c r="BG236" s="4" t="s">
        <v>3534</v>
      </c>
      <c r="BH236" s="4" t="s">
        <v>3534</v>
      </c>
      <c r="BI236" s="4" t="str">
        <f t="shared" si="48"/>
        <v>-</v>
      </c>
      <c r="BJ236" s="19">
        <v>4</v>
      </c>
      <c r="BK236" s="19">
        <v>8</v>
      </c>
      <c r="BL236" s="16">
        <v>6</v>
      </c>
      <c r="BM236" s="45" t="s">
        <v>3534</v>
      </c>
      <c r="BN236" t="s">
        <v>3534</v>
      </c>
      <c r="BO236" t="str">
        <f t="shared" si="41"/>
        <v>-</v>
      </c>
      <c r="BP236">
        <v>91</v>
      </c>
      <c r="BQ236">
        <v>91</v>
      </c>
      <c r="BR236">
        <f t="shared" si="42"/>
        <v>99.53125</v>
      </c>
      <c r="BS236" t="s">
        <v>3534</v>
      </c>
    </row>
    <row r="237" spans="1:71" x14ac:dyDescent="0.4">
      <c r="A237" s="42">
        <v>234</v>
      </c>
      <c r="B237" s="3">
        <v>234</v>
      </c>
      <c r="C237" s="4" t="s">
        <v>296</v>
      </c>
      <c r="D237" s="4" t="str">
        <f t="shared" si="43"/>
        <v>J163MD</v>
      </c>
      <c r="E237" s="4" t="s">
        <v>296</v>
      </c>
      <c r="F237" s="4" t="s">
        <v>1515</v>
      </c>
      <c r="G237" s="5">
        <v>4521718180342</v>
      </c>
      <c r="H237" s="5"/>
      <c r="I237" s="5"/>
      <c r="J237" s="5">
        <v>1</v>
      </c>
      <c r="K237" s="5">
        <v>1</v>
      </c>
      <c r="L237" s="4">
        <v>4550</v>
      </c>
      <c r="M237" s="4">
        <v>3420</v>
      </c>
      <c r="N237" s="4">
        <v>2546</v>
      </c>
      <c r="O237" s="6">
        <f t="shared" si="44"/>
        <v>0.25555555555555554</v>
      </c>
      <c r="P237" s="4" t="s">
        <v>2500</v>
      </c>
      <c r="Q237" s="4"/>
      <c r="R237" s="4"/>
      <c r="S237" s="4"/>
      <c r="T237" s="4"/>
      <c r="U237" s="4"/>
      <c r="V237" s="4"/>
      <c r="W237" s="4"/>
      <c r="X237" s="4"/>
      <c r="Y237" s="4">
        <v>4550</v>
      </c>
      <c r="Z237" s="4">
        <f t="shared" si="45"/>
        <v>4550</v>
      </c>
      <c r="AA237" s="4">
        <v>2048</v>
      </c>
      <c r="AB237" s="4">
        <f t="shared" si="46"/>
        <v>2048</v>
      </c>
      <c r="AC237" s="4"/>
      <c r="AD237" s="21">
        <f>ROUND(M237*AR237,0)</f>
        <v>2751</v>
      </c>
      <c r="AE237" s="6">
        <f>1-AB237/AD237</f>
        <v>0.25554343874954566</v>
      </c>
      <c r="AF237" s="33">
        <v>0</v>
      </c>
      <c r="AG237" s="4">
        <f t="shared" si="47"/>
        <v>4801</v>
      </c>
      <c r="AH237" s="33">
        <f t="shared" si="40"/>
        <v>3861.9198743126476</v>
      </c>
      <c r="AI237" s="6">
        <f>1-AB237/AH237</f>
        <v>0.46969381378879405</v>
      </c>
      <c r="AJ237" s="7">
        <f>ROUND(AB237/0.65,0)</f>
        <v>3151</v>
      </c>
      <c r="AK237" s="6">
        <f>1-AB237/AJ237</f>
        <v>0.35004760393525869</v>
      </c>
      <c r="AL237" s="4">
        <f>AJ237-AB237</f>
        <v>1103</v>
      </c>
      <c r="AM237" s="28"/>
      <c r="AN237" s="6"/>
      <c r="AO237" s="6"/>
      <c r="AP237" s="6">
        <f>Z237/L237</f>
        <v>1</v>
      </c>
      <c r="AQ237" s="6">
        <f>AJ237/M237</f>
        <v>0.92134502923976613</v>
      </c>
      <c r="AR237" s="6">
        <f>AB237/N237</f>
        <v>0.80439905734485473</v>
      </c>
      <c r="AS237" s="4"/>
      <c r="AT237" s="4"/>
      <c r="AU237" s="4"/>
      <c r="AV237" s="4"/>
      <c r="AW237" s="4"/>
      <c r="AX237" s="4"/>
      <c r="AY237" s="4"/>
      <c r="AZ237" s="4"/>
      <c r="BA237" s="4"/>
      <c r="BB237" s="4">
        <v>0</v>
      </c>
      <c r="BC237" s="4" t="s">
        <v>3795</v>
      </c>
      <c r="BD237" s="4"/>
      <c r="BE237" s="4"/>
      <c r="BF237" s="4" t="s">
        <v>3649</v>
      </c>
      <c r="BG237" s="4">
        <v>4801</v>
      </c>
      <c r="BH237" s="4">
        <v>4801</v>
      </c>
      <c r="BI237" s="4">
        <f t="shared" si="48"/>
        <v>4801</v>
      </c>
      <c r="BJ237" s="19">
        <v>2</v>
      </c>
      <c r="BK237" s="19">
        <v>8</v>
      </c>
      <c r="BL237" s="16">
        <v>6</v>
      </c>
      <c r="BM237" s="45" t="s">
        <v>3534</v>
      </c>
      <c r="BN237" t="s">
        <v>3534</v>
      </c>
      <c r="BO237" t="str">
        <f t="shared" si="41"/>
        <v>-</v>
      </c>
      <c r="BP237" t="s">
        <v>3534</v>
      </c>
      <c r="BQ237">
        <v>3638</v>
      </c>
      <c r="BR237">
        <f t="shared" si="42"/>
        <v>2926.4037706205813</v>
      </c>
      <c r="BS237" t="s">
        <v>2717</v>
      </c>
    </row>
    <row r="238" spans="1:71" x14ac:dyDescent="0.4">
      <c r="A238" s="3">
        <v>235</v>
      </c>
      <c r="B238" s="3">
        <v>235</v>
      </c>
      <c r="C238" s="4" t="s">
        <v>297</v>
      </c>
      <c r="D238" s="4" t="str">
        <f t="shared" si="43"/>
        <v>J163WF</v>
      </c>
      <c r="E238" s="4" t="s">
        <v>297</v>
      </c>
      <c r="F238" s="4" t="s">
        <v>1516</v>
      </c>
      <c r="G238" s="5">
        <v>4521718189048</v>
      </c>
      <c r="H238" s="5"/>
      <c r="I238" s="5"/>
      <c r="J238" s="5">
        <v>1</v>
      </c>
      <c r="K238" s="5">
        <v>1</v>
      </c>
      <c r="L238" s="4">
        <v>450</v>
      </c>
      <c r="M238" s="4">
        <v>405</v>
      </c>
      <c r="N238" s="4">
        <v>202</v>
      </c>
      <c r="O238" s="6">
        <f t="shared" si="44"/>
        <v>0.50123456790123455</v>
      </c>
      <c r="P238" s="4" t="s">
        <v>2500</v>
      </c>
      <c r="Q238" s="4"/>
      <c r="R238" s="4"/>
      <c r="S238" s="4"/>
      <c r="T238" s="4"/>
      <c r="U238" s="4"/>
      <c r="V238" s="4"/>
      <c r="W238" s="4"/>
      <c r="X238" s="4"/>
      <c r="Y238" s="4">
        <v>319</v>
      </c>
      <c r="Z238" s="4">
        <f t="shared" si="45"/>
        <v>319</v>
      </c>
      <c r="AA238" s="4">
        <v>207</v>
      </c>
      <c r="AB238" s="4">
        <f t="shared" si="46"/>
        <v>207</v>
      </c>
      <c r="AC238" s="4"/>
      <c r="AD238" s="21">
        <f>ROUND(M238*AR238,0)</f>
        <v>415</v>
      </c>
      <c r="AE238" s="6">
        <f>1-AB238/AD238</f>
        <v>0.50120481927710836</v>
      </c>
      <c r="AF238" s="33">
        <v>0</v>
      </c>
      <c r="AG238" s="4">
        <f t="shared" si="47"/>
        <v>450</v>
      </c>
      <c r="AH238" s="33">
        <f t="shared" si="40"/>
        <v>461.13861386138615</v>
      </c>
      <c r="AI238" s="6">
        <f>1-AB238/AH238</f>
        <v>0.55111111111111111</v>
      </c>
      <c r="AJ238" s="7">
        <f>ROUND(AB238/0.65,0)</f>
        <v>318</v>
      </c>
      <c r="AK238" s="6">
        <f>1-AB238/AJ238</f>
        <v>0.34905660377358494</v>
      </c>
      <c r="AL238" s="4">
        <f>AJ238-AB238</f>
        <v>111</v>
      </c>
      <c r="AM238" s="28"/>
      <c r="AN238" s="6"/>
      <c r="AO238" s="6"/>
      <c r="AP238" s="6">
        <f>Z238/L238</f>
        <v>0.7088888888888889</v>
      </c>
      <c r="AQ238" s="6">
        <f>AJ238/M238</f>
        <v>0.78518518518518521</v>
      </c>
      <c r="AR238" s="6">
        <f>AB238/N238</f>
        <v>1.0247524752475248</v>
      </c>
      <c r="AS238" s="4"/>
      <c r="AT238" s="4"/>
      <c r="AU238" s="4"/>
      <c r="AV238" s="4"/>
      <c r="AW238" s="4"/>
      <c r="AX238" s="4"/>
      <c r="AY238" s="4"/>
      <c r="AZ238" s="4"/>
      <c r="BA238" s="4"/>
      <c r="BB238" s="4">
        <v>0</v>
      </c>
      <c r="BC238" s="4" t="s">
        <v>3796</v>
      </c>
      <c r="BD238" s="4">
        <v>1</v>
      </c>
      <c r="BE238" s="4">
        <v>4</v>
      </c>
      <c r="BF238" s="4" t="s">
        <v>3579</v>
      </c>
      <c r="BG238" s="4">
        <v>1800</v>
      </c>
      <c r="BH238" s="4">
        <v>1800</v>
      </c>
      <c r="BI238" s="4">
        <f t="shared" si="48"/>
        <v>450</v>
      </c>
      <c r="BJ238" s="19">
        <v>4</v>
      </c>
      <c r="BK238" s="19">
        <v>8</v>
      </c>
      <c r="BL238" s="16">
        <v>6</v>
      </c>
      <c r="BM238" s="45" t="s">
        <v>3534</v>
      </c>
      <c r="BN238" t="s">
        <v>3534</v>
      </c>
      <c r="BO238" t="str">
        <f t="shared" si="41"/>
        <v>-</v>
      </c>
      <c r="BP238" t="s">
        <v>3534</v>
      </c>
      <c r="BQ238">
        <v>310</v>
      </c>
      <c r="BR238">
        <f t="shared" si="42"/>
        <v>317.67326732673268</v>
      </c>
      <c r="BS238" t="s">
        <v>2718</v>
      </c>
    </row>
    <row r="239" spans="1:71" x14ac:dyDescent="0.4">
      <c r="A239" s="3">
        <v>236</v>
      </c>
      <c r="B239" s="3">
        <v>236</v>
      </c>
      <c r="C239" s="4" t="s">
        <v>298</v>
      </c>
      <c r="D239" s="4" t="str">
        <f t="shared" si="43"/>
        <v>J163WH</v>
      </c>
      <c r="E239" s="4" t="s">
        <v>298</v>
      </c>
      <c r="F239" s="4" t="s">
        <v>1517</v>
      </c>
      <c r="G239" s="5">
        <v>4521718585550</v>
      </c>
      <c r="H239" s="5"/>
      <c r="I239" s="5"/>
      <c r="J239" s="5">
        <v>1</v>
      </c>
      <c r="K239" s="5">
        <v>1</v>
      </c>
      <c r="L239" s="4">
        <v>110</v>
      </c>
      <c r="M239" s="4">
        <v>98</v>
      </c>
      <c r="N239" s="4">
        <v>64</v>
      </c>
      <c r="O239" s="6">
        <f t="shared" si="44"/>
        <v>0.34693877551020413</v>
      </c>
      <c r="P239" s="4" t="s">
        <v>2500</v>
      </c>
      <c r="Q239" s="4"/>
      <c r="R239" s="4"/>
      <c r="S239" s="4"/>
      <c r="T239" s="4"/>
      <c r="U239" s="4"/>
      <c r="V239" s="4"/>
      <c r="W239" s="4"/>
      <c r="X239" s="4"/>
      <c r="Y239" s="4">
        <v>100</v>
      </c>
      <c r="Z239" s="4">
        <f t="shared" si="45"/>
        <v>100</v>
      </c>
      <c r="AA239" s="4">
        <v>70</v>
      </c>
      <c r="AB239" s="4">
        <f t="shared" si="46"/>
        <v>70</v>
      </c>
      <c r="AC239" s="4"/>
      <c r="AD239" s="21">
        <f>ROUND(M239*AR239,0)</f>
        <v>107</v>
      </c>
      <c r="AE239" s="6">
        <f>1-AB239/AD239</f>
        <v>0.34579439252336452</v>
      </c>
      <c r="AF239" s="33">
        <v>0</v>
      </c>
      <c r="AG239" s="4" t="str">
        <f t="shared" si="47"/>
        <v>-</v>
      </c>
      <c r="AH239" s="33" t="e">
        <f t="shared" si="40"/>
        <v>#VALUE!</v>
      </c>
      <c r="AI239" s="6" t="e">
        <f>1-AB239/AH239</f>
        <v>#VALUE!</v>
      </c>
      <c r="AJ239" s="7">
        <v>100</v>
      </c>
      <c r="AK239" s="6">
        <f>1-AB239/AJ239</f>
        <v>0.30000000000000004</v>
      </c>
      <c r="AL239" s="4">
        <f>AJ239-AB239</f>
        <v>30</v>
      </c>
      <c r="AM239" s="28"/>
      <c r="AN239" s="6"/>
      <c r="AO239" s="6"/>
      <c r="AP239" s="6">
        <f>Z239/L239</f>
        <v>0.90909090909090906</v>
      </c>
      <c r="AQ239" s="6">
        <f>AJ239/M239</f>
        <v>1.0204081632653061</v>
      </c>
      <c r="AR239" s="6">
        <f>AB239/N239</f>
        <v>1.09375</v>
      </c>
      <c r="AS239" s="4"/>
      <c r="AT239" s="4"/>
      <c r="AU239" s="4"/>
      <c r="AV239" s="4"/>
      <c r="AW239" s="4"/>
      <c r="AX239" s="4"/>
      <c r="AY239" s="4"/>
      <c r="AZ239" s="4"/>
      <c r="BA239" s="4"/>
      <c r="BB239" s="4">
        <v>0</v>
      </c>
      <c r="BC239" s="4" t="s">
        <v>3534</v>
      </c>
      <c r="BD239" s="4"/>
      <c r="BE239" s="4"/>
      <c r="BF239" s="4" t="s">
        <v>3534</v>
      </c>
      <c r="BG239" s="4" t="s">
        <v>3534</v>
      </c>
      <c r="BH239" s="4" t="s">
        <v>3534</v>
      </c>
      <c r="BI239" s="4" t="str">
        <f t="shared" si="48"/>
        <v>-</v>
      </c>
      <c r="BJ239" s="19">
        <v>4</v>
      </c>
      <c r="BK239" s="19">
        <v>8</v>
      </c>
      <c r="BL239" s="16">
        <v>6</v>
      </c>
      <c r="BM239" s="45" t="s">
        <v>3534</v>
      </c>
      <c r="BN239" t="s">
        <v>3534</v>
      </c>
      <c r="BO239" t="str">
        <f t="shared" si="41"/>
        <v>-</v>
      </c>
      <c r="BP239">
        <v>91</v>
      </c>
      <c r="BQ239">
        <v>91</v>
      </c>
      <c r="BR239">
        <f t="shared" si="42"/>
        <v>99.53125</v>
      </c>
      <c r="BS239" t="s">
        <v>3534</v>
      </c>
    </row>
    <row r="240" spans="1:71" x14ac:dyDescent="0.4">
      <c r="A240" s="3">
        <v>237</v>
      </c>
      <c r="B240" s="3">
        <v>237</v>
      </c>
      <c r="C240" s="4" t="s">
        <v>299</v>
      </c>
      <c r="D240" s="4" t="str">
        <f t="shared" si="43"/>
        <v>J164WF</v>
      </c>
      <c r="E240" s="4" t="s">
        <v>299</v>
      </c>
      <c r="F240" s="4" t="s">
        <v>1518</v>
      </c>
      <c r="G240" s="5">
        <v>4521718189055</v>
      </c>
      <c r="H240" s="5"/>
      <c r="I240" s="5"/>
      <c r="J240" s="5">
        <v>1</v>
      </c>
      <c r="K240" s="5">
        <v>1</v>
      </c>
      <c r="L240" s="4">
        <v>450</v>
      </c>
      <c r="M240" s="4">
        <v>405</v>
      </c>
      <c r="N240" s="4">
        <v>202</v>
      </c>
      <c r="O240" s="6">
        <f t="shared" si="44"/>
        <v>0.50123456790123455</v>
      </c>
      <c r="P240" s="4" t="s">
        <v>2500</v>
      </c>
      <c r="Q240" s="4"/>
      <c r="R240" s="4"/>
      <c r="S240" s="4"/>
      <c r="T240" s="4"/>
      <c r="U240" s="4"/>
      <c r="V240" s="4"/>
      <c r="W240" s="4"/>
      <c r="X240" s="4"/>
      <c r="Y240" s="4">
        <v>319</v>
      </c>
      <c r="Z240" s="4">
        <f t="shared" si="45"/>
        <v>319</v>
      </c>
      <c r="AA240" s="4">
        <v>207</v>
      </c>
      <c r="AB240" s="4">
        <f t="shared" si="46"/>
        <v>207</v>
      </c>
      <c r="AC240" s="4"/>
      <c r="AD240" s="21">
        <f>ROUND(M240*AR240,0)</f>
        <v>415</v>
      </c>
      <c r="AE240" s="6">
        <f>1-AB240/AD240</f>
        <v>0.50120481927710836</v>
      </c>
      <c r="AF240" s="33">
        <v>0</v>
      </c>
      <c r="AG240" s="4">
        <f t="shared" si="47"/>
        <v>450</v>
      </c>
      <c r="AH240" s="33">
        <f t="shared" si="40"/>
        <v>461.13861386138615</v>
      </c>
      <c r="AI240" s="6">
        <f>1-AB240/AH240</f>
        <v>0.55111111111111111</v>
      </c>
      <c r="AJ240" s="7">
        <f>ROUND(AB240/0.65,0)</f>
        <v>318</v>
      </c>
      <c r="AK240" s="6">
        <f>1-AB240/AJ240</f>
        <v>0.34905660377358494</v>
      </c>
      <c r="AL240" s="4">
        <f>AJ240-AB240</f>
        <v>111</v>
      </c>
      <c r="AM240" s="28"/>
      <c r="AN240" s="6"/>
      <c r="AO240" s="6"/>
      <c r="AP240" s="6">
        <f>Z240/L240</f>
        <v>0.7088888888888889</v>
      </c>
      <c r="AQ240" s="6">
        <f>AJ240/M240</f>
        <v>0.78518518518518521</v>
      </c>
      <c r="AR240" s="6">
        <f>AB240/N240</f>
        <v>1.0247524752475248</v>
      </c>
      <c r="AS240" s="4"/>
      <c r="AT240" s="4"/>
      <c r="AU240" s="4"/>
      <c r="AV240" s="4"/>
      <c r="AW240" s="4"/>
      <c r="AX240" s="4"/>
      <c r="AY240" s="4"/>
      <c r="AZ240" s="4"/>
      <c r="BA240" s="4"/>
      <c r="BB240" s="4">
        <v>0</v>
      </c>
      <c r="BC240" s="4" t="s">
        <v>3797</v>
      </c>
      <c r="BD240" s="4">
        <v>1</v>
      </c>
      <c r="BE240" s="4">
        <v>4</v>
      </c>
      <c r="BF240" s="4" t="s">
        <v>3579</v>
      </c>
      <c r="BG240" s="4">
        <v>1800</v>
      </c>
      <c r="BH240" s="4">
        <v>1800</v>
      </c>
      <c r="BI240" s="4">
        <f t="shared" si="48"/>
        <v>450</v>
      </c>
      <c r="BJ240" s="19">
        <v>4</v>
      </c>
      <c r="BK240" s="19">
        <v>8</v>
      </c>
      <c r="BL240" s="16">
        <v>6</v>
      </c>
      <c r="BM240" s="45" t="s">
        <v>3534</v>
      </c>
      <c r="BN240" t="s">
        <v>3534</v>
      </c>
      <c r="BO240" t="str">
        <f t="shared" si="41"/>
        <v>-</v>
      </c>
      <c r="BP240" t="s">
        <v>3534</v>
      </c>
      <c r="BQ240">
        <v>310</v>
      </c>
      <c r="BR240">
        <f t="shared" si="42"/>
        <v>317.67326732673268</v>
      </c>
      <c r="BS240" t="s">
        <v>2719</v>
      </c>
    </row>
    <row r="241" spans="1:71" x14ac:dyDescent="0.4">
      <c r="A241" s="3">
        <v>238</v>
      </c>
      <c r="B241" s="3">
        <v>238</v>
      </c>
      <c r="C241" s="4" t="s">
        <v>300</v>
      </c>
      <c r="D241" s="4" t="str">
        <f t="shared" si="43"/>
        <v>J164WH</v>
      </c>
      <c r="E241" s="4" t="s">
        <v>300</v>
      </c>
      <c r="F241" s="4" t="s">
        <v>1519</v>
      </c>
      <c r="G241" s="5">
        <v>4521718585567</v>
      </c>
      <c r="H241" s="5"/>
      <c r="I241" s="5"/>
      <c r="J241" s="5">
        <v>1</v>
      </c>
      <c r="K241" s="5">
        <v>1</v>
      </c>
      <c r="L241" s="4">
        <v>110</v>
      </c>
      <c r="M241" s="4">
        <v>98</v>
      </c>
      <c r="N241" s="4">
        <v>64</v>
      </c>
      <c r="O241" s="6">
        <f t="shared" si="44"/>
        <v>0.34693877551020413</v>
      </c>
      <c r="P241" s="4" t="s">
        <v>2500</v>
      </c>
      <c r="Q241" s="4"/>
      <c r="R241" s="4"/>
      <c r="S241" s="4"/>
      <c r="T241" s="4"/>
      <c r="U241" s="4"/>
      <c r="V241" s="4"/>
      <c r="W241" s="4"/>
      <c r="X241" s="4"/>
      <c r="Y241" s="4">
        <v>100</v>
      </c>
      <c r="Z241" s="4">
        <f t="shared" si="45"/>
        <v>100</v>
      </c>
      <c r="AA241" s="4">
        <v>70</v>
      </c>
      <c r="AB241" s="4">
        <f t="shared" si="46"/>
        <v>70</v>
      </c>
      <c r="AC241" s="4"/>
      <c r="AD241" s="21">
        <f>ROUND(M241*AR241,0)</f>
        <v>107</v>
      </c>
      <c r="AE241" s="6">
        <f>1-AB241/AD241</f>
        <v>0.34579439252336452</v>
      </c>
      <c r="AF241" s="33">
        <v>0.25</v>
      </c>
      <c r="AG241" s="4" t="str">
        <f t="shared" si="47"/>
        <v>-</v>
      </c>
      <c r="AH241" s="33" t="e">
        <f t="shared" si="40"/>
        <v>#VALUE!</v>
      </c>
      <c r="AI241" s="6" t="e">
        <f>1-AB241/AH241</f>
        <v>#VALUE!</v>
      </c>
      <c r="AJ241" s="7">
        <v>100</v>
      </c>
      <c r="AK241" s="6">
        <f>1-AB241/AJ241</f>
        <v>0.30000000000000004</v>
      </c>
      <c r="AL241" s="4">
        <f>AJ241-AB241</f>
        <v>30</v>
      </c>
      <c r="AM241" s="28"/>
      <c r="AN241" s="6"/>
      <c r="AO241" s="6"/>
      <c r="AP241" s="6">
        <f>Z241/L241</f>
        <v>0.90909090909090906</v>
      </c>
      <c r="AQ241" s="6">
        <f>AJ241/M241</f>
        <v>1.0204081632653061</v>
      </c>
      <c r="AR241" s="6">
        <f>AB241/N241</f>
        <v>1.09375</v>
      </c>
      <c r="AS241" s="4"/>
      <c r="AT241" s="4"/>
      <c r="AU241" s="4"/>
      <c r="AV241" s="4"/>
      <c r="AW241" s="4"/>
      <c r="AX241" s="4"/>
      <c r="AY241" s="4"/>
      <c r="AZ241" s="4"/>
      <c r="BA241" s="4"/>
      <c r="BB241" s="4">
        <v>0</v>
      </c>
      <c r="BC241" s="4" t="s">
        <v>3534</v>
      </c>
      <c r="BD241" s="4"/>
      <c r="BE241" s="4"/>
      <c r="BF241" s="4" t="s">
        <v>3534</v>
      </c>
      <c r="BG241" s="4" t="s">
        <v>3534</v>
      </c>
      <c r="BH241" s="4" t="s">
        <v>3534</v>
      </c>
      <c r="BI241" s="4" t="str">
        <f t="shared" si="48"/>
        <v>-</v>
      </c>
      <c r="BJ241" s="19">
        <v>4</v>
      </c>
      <c r="BK241" s="19">
        <v>8</v>
      </c>
      <c r="BL241" s="16">
        <v>6</v>
      </c>
      <c r="BM241" s="45" t="s">
        <v>3534</v>
      </c>
      <c r="BN241" t="s">
        <v>3534</v>
      </c>
      <c r="BO241" t="str">
        <f t="shared" si="41"/>
        <v>-</v>
      </c>
      <c r="BP241">
        <v>91</v>
      </c>
      <c r="BQ241">
        <v>91</v>
      </c>
      <c r="BR241">
        <f t="shared" si="42"/>
        <v>99.53125</v>
      </c>
      <c r="BS241" t="s">
        <v>3534</v>
      </c>
    </row>
    <row r="242" spans="1:71" x14ac:dyDescent="0.4">
      <c r="A242" s="3">
        <v>239</v>
      </c>
      <c r="B242" s="3">
        <v>239</v>
      </c>
      <c r="C242" s="4" t="s">
        <v>301</v>
      </c>
      <c r="D242" s="4" t="str">
        <f t="shared" si="43"/>
        <v>J164MD</v>
      </c>
      <c r="E242" s="4" t="s">
        <v>301</v>
      </c>
      <c r="F242" s="4" t="s">
        <v>1520</v>
      </c>
      <c r="G242" s="5">
        <v>4521718180403</v>
      </c>
      <c r="H242" s="5"/>
      <c r="I242" s="5"/>
      <c r="J242" s="5">
        <v>1</v>
      </c>
      <c r="K242" s="5">
        <v>1</v>
      </c>
      <c r="L242" s="4">
        <v>570</v>
      </c>
      <c r="M242" s="4">
        <v>329</v>
      </c>
      <c r="N242" s="4">
        <v>254</v>
      </c>
      <c r="O242" s="6">
        <f t="shared" si="44"/>
        <v>0.22796352583586621</v>
      </c>
      <c r="P242" s="4" t="s">
        <v>2500</v>
      </c>
      <c r="Q242" s="4"/>
      <c r="R242" s="4"/>
      <c r="S242" s="4"/>
      <c r="T242" s="4"/>
      <c r="U242" s="4"/>
      <c r="V242" s="4"/>
      <c r="W242" s="4"/>
      <c r="X242" s="4"/>
      <c r="Y242" s="4">
        <v>364</v>
      </c>
      <c r="Z242" s="4">
        <f t="shared" si="45"/>
        <v>364</v>
      </c>
      <c r="AA242" s="4">
        <v>237</v>
      </c>
      <c r="AB242" s="4">
        <f t="shared" si="46"/>
        <v>237</v>
      </c>
      <c r="AC242" s="4"/>
      <c r="AD242" s="21">
        <f>ROUND(M242*AR242,0)</f>
        <v>307</v>
      </c>
      <c r="AE242" s="6">
        <f>1-AB242/AD242</f>
        <v>0.2280130293159609</v>
      </c>
      <c r="AF242" s="33">
        <v>0</v>
      </c>
      <c r="AG242" s="4">
        <f t="shared" si="47"/>
        <v>252</v>
      </c>
      <c r="AH242" s="33">
        <f t="shared" si="40"/>
        <v>235.13385826771653</v>
      </c>
      <c r="AI242" s="6">
        <f>1-AB242/AH242</f>
        <v>-7.9365079365079083E-3</v>
      </c>
      <c r="AJ242" s="7">
        <v>364</v>
      </c>
      <c r="AK242" s="6">
        <f>1-AB242/AJ242</f>
        <v>0.34890109890109888</v>
      </c>
      <c r="AL242" s="4">
        <f>AJ242-AB242</f>
        <v>127</v>
      </c>
      <c r="AM242" s="28"/>
      <c r="AN242" s="6"/>
      <c r="AO242" s="6"/>
      <c r="AP242" s="6">
        <f>Z242/L242</f>
        <v>0.63859649122807016</v>
      </c>
      <c r="AQ242" s="6">
        <f>AJ242/M242</f>
        <v>1.1063829787234043</v>
      </c>
      <c r="AR242" s="6">
        <f>AB242/N242</f>
        <v>0.93307086614173229</v>
      </c>
      <c r="AS242" s="4"/>
      <c r="AT242" s="4"/>
      <c r="AU242" s="4"/>
      <c r="AV242" s="4"/>
      <c r="AW242" s="4"/>
      <c r="AX242" s="4"/>
      <c r="AY242" s="4"/>
      <c r="AZ242" s="4"/>
      <c r="BA242" s="4"/>
      <c r="BB242" s="4">
        <v>0</v>
      </c>
      <c r="BC242" s="4" t="s">
        <v>3798</v>
      </c>
      <c r="BD242" s="4"/>
      <c r="BE242" s="4"/>
      <c r="BF242" s="4" t="s">
        <v>3545</v>
      </c>
      <c r="BG242" s="4">
        <v>252</v>
      </c>
      <c r="BH242" s="4">
        <v>252</v>
      </c>
      <c r="BI242" s="4">
        <f t="shared" si="48"/>
        <v>252</v>
      </c>
      <c r="BJ242" s="19">
        <v>4</v>
      </c>
      <c r="BK242" s="19">
        <v>8</v>
      </c>
      <c r="BL242" s="16">
        <v>6</v>
      </c>
      <c r="BM242" s="45" t="s">
        <v>3534</v>
      </c>
      <c r="BN242" t="s">
        <v>3534</v>
      </c>
      <c r="BO242" t="str">
        <f t="shared" si="41"/>
        <v>-</v>
      </c>
      <c r="BP242" t="s">
        <v>3534</v>
      </c>
      <c r="BQ242">
        <v>392</v>
      </c>
      <c r="BR242">
        <f t="shared" si="42"/>
        <v>365.76377952755905</v>
      </c>
      <c r="BS242" t="s">
        <v>2720</v>
      </c>
    </row>
    <row r="243" spans="1:71" x14ac:dyDescent="0.4">
      <c r="A243" s="3">
        <v>240</v>
      </c>
      <c r="B243" s="3">
        <v>240</v>
      </c>
      <c r="C243" s="4" t="s">
        <v>302</v>
      </c>
      <c r="D243" s="4" t="str">
        <f t="shared" si="43"/>
        <v>J165MD</v>
      </c>
      <c r="E243" s="4" t="s">
        <v>302</v>
      </c>
      <c r="F243" s="4" t="s">
        <v>1521</v>
      </c>
      <c r="G243" s="5">
        <v>4521718180410</v>
      </c>
      <c r="H243" s="5"/>
      <c r="I243" s="5"/>
      <c r="J243" s="5">
        <v>1</v>
      </c>
      <c r="K243" s="5">
        <v>1</v>
      </c>
      <c r="L243" s="4">
        <v>570</v>
      </c>
      <c r="M243" s="4">
        <v>329</v>
      </c>
      <c r="N243" s="4">
        <v>254</v>
      </c>
      <c r="O243" s="6">
        <f t="shared" si="44"/>
        <v>0.22796352583586621</v>
      </c>
      <c r="P243" s="4" t="s">
        <v>2500</v>
      </c>
      <c r="Q243" s="4"/>
      <c r="R243" s="4"/>
      <c r="S243" s="4"/>
      <c r="T243" s="4"/>
      <c r="U243" s="4"/>
      <c r="V243" s="4"/>
      <c r="W243" s="4"/>
      <c r="X243" s="4"/>
      <c r="Y243" s="4">
        <v>364</v>
      </c>
      <c r="Z243" s="4">
        <f t="shared" si="45"/>
        <v>364</v>
      </c>
      <c r="AA243" s="4">
        <v>237</v>
      </c>
      <c r="AB243" s="4">
        <f t="shared" si="46"/>
        <v>237</v>
      </c>
      <c r="AC243" s="4"/>
      <c r="AD243" s="21">
        <f>ROUND(M243*AR243,0)</f>
        <v>307</v>
      </c>
      <c r="AE243" s="6">
        <f>1-AB243/AD243</f>
        <v>0.2280130293159609</v>
      </c>
      <c r="AF243" s="33">
        <v>0</v>
      </c>
      <c r="AG243" s="4">
        <f t="shared" si="47"/>
        <v>599.5</v>
      </c>
      <c r="AH243" s="33">
        <f t="shared" si="40"/>
        <v>559.37598425196848</v>
      </c>
      <c r="AI243" s="6">
        <f>1-AB243/AH243</f>
        <v>0.57631359466221843</v>
      </c>
      <c r="AJ243" s="7">
        <v>364</v>
      </c>
      <c r="AK243" s="6">
        <f>1-AB243/AJ243</f>
        <v>0.34890109890109888</v>
      </c>
      <c r="AL243" s="4">
        <f>AJ243-AB243</f>
        <v>127</v>
      </c>
      <c r="AM243" s="28"/>
      <c r="AN243" s="6"/>
      <c r="AO243" s="6"/>
      <c r="AP243" s="6">
        <f>Z243/L243</f>
        <v>0.63859649122807016</v>
      </c>
      <c r="AQ243" s="6">
        <f>AJ243/M243</f>
        <v>1.1063829787234043</v>
      </c>
      <c r="AR243" s="6">
        <f>AB243/N243</f>
        <v>0.93307086614173229</v>
      </c>
      <c r="AS243" s="4"/>
      <c r="AT243" s="4"/>
      <c r="AU243" s="4"/>
      <c r="AV243" s="4"/>
      <c r="AW243" s="4"/>
      <c r="AX243" s="4"/>
      <c r="AY243" s="4"/>
      <c r="AZ243" s="4"/>
      <c r="BA243" s="4"/>
      <c r="BB243" s="4">
        <v>0</v>
      </c>
      <c r="BC243" s="4" t="s">
        <v>3799</v>
      </c>
      <c r="BD243" s="4">
        <v>1</v>
      </c>
      <c r="BE243" s="4">
        <v>2</v>
      </c>
      <c r="BF243" s="4" t="s">
        <v>3640</v>
      </c>
      <c r="BG243" s="4">
        <v>1199</v>
      </c>
      <c r="BH243" s="4">
        <v>1199</v>
      </c>
      <c r="BI243" s="4">
        <f t="shared" si="48"/>
        <v>599.5</v>
      </c>
      <c r="BJ243" s="19">
        <v>4</v>
      </c>
      <c r="BK243" s="19">
        <v>8</v>
      </c>
      <c r="BL243" s="16">
        <v>6</v>
      </c>
      <c r="BM243" s="45" t="s">
        <v>3534</v>
      </c>
      <c r="BN243" t="s">
        <v>3534</v>
      </c>
      <c r="BO243" t="str">
        <f t="shared" si="41"/>
        <v>-</v>
      </c>
      <c r="BP243" t="s">
        <v>3534</v>
      </c>
      <c r="BQ243">
        <v>392</v>
      </c>
      <c r="BR243">
        <f t="shared" si="42"/>
        <v>365.76377952755905</v>
      </c>
      <c r="BS243" t="s">
        <v>2721</v>
      </c>
    </row>
    <row r="244" spans="1:71" x14ac:dyDescent="0.4">
      <c r="A244" s="3">
        <v>241</v>
      </c>
      <c r="B244" s="3">
        <v>241</v>
      </c>
      <c r="C244" s="4" t="s">
        <v>303</v>
      </c>
      <c r="D244" s="4" t="str">
        <f t="shared" si="43"/>
        <v>J165WF</v>
      </c>
      <c r="E244" s="4" t="s">
        <v>303</v>
      </c>
      <c r="F244" s="4" t="s">
        <v>1522</v>
      </c>
      <c r="G244" s="5">
        <v>4521718189857</v>
      </c>
      <c r="H244" s="5"/>
      <c r="I244" s="5"/>
      <c r="J244" s="5">
        <v>1</v>
      </c>
      <c r="K244" s="5">
        <v>1</v>
      </c>
      <c r="L244" s="4">
        <v>220</v>
      </c>
      <c r="M244" s="4">
        <v>198</v>
      </c>
      <c r="N244" s="4">
        <v>95</v>
      </c>
      <c r="O244" s="6">
        <f t="shared" si="44"/>
        <v>0.52020202020202022</v>
      </c>
      <c r="P244" s="4" t="s">
        <v>2500</v>
      </c>
      <c r="Q244" s="4"/>
      <c r="R244" s="4"/>
      <c r="S244" s="4"/>
      <c r="T244" s="4"/>
      <c r="U244" s="4"/>
      <c r="V244" s="4"/>
      <c r="W244" s="4"/>
      <c r="X244" s="4"/>
      <c r="Y244" s="4">
        <v>146</v>
      </c>
      <c r="Z244" s="4">
        <f t="shared" si="45"/>
        <v>146</v>
      </c>
      <c r="AA244" s="4">
        <v>95</v>
      </c>
      <c r="AB244" s="4">
        <f t="shared" si="46"/>
        <v>95</v>
      </c>
      <c r="AC244" s="4"/>
      <c r="AD244" s="21">
        <f>ROUND(M244*AR244,0)</f>
        <v>198</v>
      </c>
      <c r="AE244" s="6">
        <f>1-AB244/AD244</f>
        <v>0.52020202020202022</v>
      </c>
      <c r="AF244" s="33">
        <v>0</v>
      </c>
      <c r="AG244" s="4">
        <f t="shared" si="47"/>
        <v>220</v>
      </c>
      <c r="AH244" s="33">
        <f t="shared" si="40"/>
        <v>220</v>
      </c>
      <c r="AI244" s="6">
        <f>1-AB244/AH244</f>
        <v>0.56818181818181812</v>
      </c>
      <c r="AJ244" s="7">
        <v>146</v>
      </c>
      <c r="AK244" s="6">
        <f>1-AB244/AJ244</f>
        <v>0.34931506849315064</v>
      </c>
      <c r="AL244" s="4">
        <f>AJ244-AB244</f>
        <v>51</v>
      </c>
      <c r="AM244" s="28"/>
      <c r="AN244" s="6"/>
      <c r="AO244" s="6"/>
      <c r="AP244" s="6">
        <f>Z244/L244</f>
        <v>0.66363636363636369</v>
      </c>
      <c r="AQ244" s="6">
        <f>AJ244/M244</f>
        <v>0.73737373737373735</v>
      </c>
      <c r="AR244" s="6">
        <f>AB244/N244</f>
        <v>1</v>
      </c>
      <c r="AS244" s="4"/>
      <c r="AT244" s="4"/>
      <c r="AU244" s="4"/>
      <c r="AV244" s="4"/>
      <c r="AW244" s="4"/>
      <c r="AX244" s="4"/>
      <c r="AY244" s="4"/>
      <c r="AZ244" s="4"/>
      <c r="BA244" s="4"/>
      <c r="BB244" s="4">
        <v>0</v>
      </c>
      <c r="BC244" s="4" t="s">
        <v>3800</v>
      </c>
      <c r="BD244" s="4">
        <v>1</v>
      </c>
      <c r="BE244" s="4">
        <v>7</v>
      </c>
      <c r="BF244" s="4" t="s">
        <v>3758</v>
      </c>
      <c r="BG244" s="4">
        <v>1540</v>
      </c>
      <c r="BH244" s="4">
        <v>1540</v>
      </c>
      <c r="BI244" s="4">
        <f t="shared" si="48"/>
        <v>220</v>
      </c>
      <c r="BJ244" s="19">
        <v>4</v>
      </c>
      <c r="BK244" s="19">
        <v>8</v>
      </c>
      <c r="BL244" s="16">
        <v>6</v>
      </c>
      <c r="BM244" s="45" t="s">
        <v>3534</v>
      </c>
      <c r="BN244" t="s">
        <v>3534</v>
      </c>
      <c r="BO244" t="str">
        <f t="shared" si="41"/>
        <v>-</v>
      </c>
      <c r="BP244" t="s">
        <v>3534</v>
      </c>
      <c r="BQ244">
        <v>146</v>
      </c>
      <c r="BR244">
        <f t="shared" si="42"/>
        <v>146</v>
      </c>
      <c r="BS244" t="s">
        <v>2722</v>
      </c>
    </row>
    <row r="245" spans="1:71" x14ac:dyDescent="0.4">
      <c r="A245" s="3">
        <v>242</v>
      </c>
      <c r="B245" s="3">
        <v>242</v>
      </c>
      <c r="C245" s="4" t="s">
        <v>304</v>
      </c>
      <c r="D245" s="4" t="str">
        <f t="shared" si="43"/>
        <v>J165WH</v>
      </c>
      <c r="E245" s="4" t="s">
        <v>304</v>
      </c>
      <c r="F245" s="4" t="s">
        <v>1523</v>
      </c>
      <c r="G245" s="5">
        <v>4521718921167</v>
      </c>
      <c r="H245" s="5"/>
      <c r="I245" s="5"/>
      <c r="J245" s="5">
        <v>1</v>
      </c>
      <c r="K245" s="5">
        <v>1</v>
      </c>
      <c r="L245" s="4">
        <v>800</v>
      </c>
      <c r="M245" s="4">
        <v>760</v>
      </c>
      <c r="N245" s="4">
        <v>560</v>
      </c>
      <c r="O245" s="6">
        <f t="shared" si="44"/>
        <v>0.26315789473684215</v>
      </c>
      <c r="P245" s="4" t="s">
        <v>2500</v>
      </c>
      <c r="Q245" s="4"/>
      <c r="R245" s="4"/>
      <c r="S245" s="4"/>
      <c r="T245" s="4"/>
      <c r="U245" s="4"/>
      <c r="V245" s="4"/>
      <c r="W245" s="4"/>
      <c r="X245" s="4"/>
      <c r="Y245" s="4">
        <v>800</v>
      </c>
      <c r="Z245" s="4">
        <f t="shared" si="45"/>
        <v>800</v>
      </c>
      <c r="AA245" s="4">
        <v>520</v>
      </c>
      <c r="AB245" s="4">
        <f t="shared" si="46"/>
        <v>520</v>
      </c>
      <c r="AC245" s="4"/>
      <c r="AD245" s="21">
        <f>ROUND(M245*AR245,0)</f>
        <v>706</v>
      </c>
      <c r="AE245" s="6">
        <f>1-AB245/AD245</f>
        <v>0.26345609065155806</v>
      </c>
      <c r="AF245" s="33">
        <v>0</v>
      </c>
      <c r="AG245" s="4" t="str">
        <f t="shared" si="47"/>
        <v>-</v>
      </c>
      <c r="AH245" s="33" t="e">
        <f t="shared" si="40"/>
        <v>#VALUE!</v>
      </c>
      <c r="AI245" s="6" t="e">
        <f>1-AB245/AH245</f>
        <v>#VALUE!</v>
      </c>
      <c r="AJ245" s="7">
        <v>800</v>
      </c>
      <c r="AK245" s="6">
        <f>1-AB245/AJ245</f>
        <v>0.35</v>
      </c>
      <c r="AL245" s="4">
        <f>AJ245-AB245</f>
        <v>280</v>
      </c>
      <c r="AM245" s="28"/>
      <c r="AN245" s="6"/>
      <c r="AO245" s="6"/>
      <c r="AP245" s="6">
        <f>Z245/L245</f>
        <v>1</v>
      </c>
      <c r="AQ245" s="6">
        <f>AJ245/M245</f>
        <v>1.0526315789473684</v>
      </c>
      <c r="AR245" s="6">
        <f>AB245/N245</f>
        <v>0.9285714285714286</v>
      </c>
      <c r="AS245" s="4"/>
      <c r="AT245" s="4"/>
      <c r="AU245" s="4"/>
      <c r="AV245" s="4"/>
      <c r="AW245" s="4"/>
      <c r="AX245" s="4"/>
      <c r="AY245" s="4"/>
      <c r="AZ245" s="4"/>
      <c r="BA245" s="4"/>
      <c r="BB245" s="4">
        <v>0</v>
      </c>
      <c r="BC245" s="4" t="s">
        <v>3534</v>
      </c>
      <c r="BD245" s="4"/>
      <c r="BE245" s="4"/>
      <c r="BF245" s="4" t="s">
        <v>3534</v>
      </c>
      <c r="BG245" s="4" t="s">
        <v>3534</v>
      </c>
      <c r="BH245" s="4" t="s">
        <v>3534</v>
      </c>
      <c r="BI245" s="4" t="str">
        <f t="shared" si="48"/>
        <v>-</v>
      </c>
      <c r="BJ245" s="19">
        <v>4</v>
      </c>
      <c r="BK245" s="19">
        <v>8</v>
      </c>
      <c r="BL245" s="16">
        <v>6</v>
      </c>
      <c r="BM245" s="45" t="s">
        <v>3534</v>
      </c>
      <c r="BN245" t="s">
        <v>3534</v>
      </c>
      <c r="BO245" t="str">
        <f t="shared" si="41"/>
        <v>-</v>
      </c>
      <c r="BP245">
        <v>800</v>
      </c>
      <c r="BQ245">
        <v>800</v>
      </c>
      <c r="BR245">
        <f t="shared" si="42"/>
        <v>742.85714285714289</v>
      </c>
      <c r="BS245" t="s">
        <v>3534</v>
      </c>
    </row>
    <row r="246" spans="1:71" x14ac:dyDescent="0.4">
      <c r="A246" s="3">
        <v>243</v>
      </c>
      <c r="B246" s="3">
        <v>243</v>
      </c>
      <c r="C246" s="4" t="s">
        <v>305</v>
      </c>
      <c r="D246" s="4" t="str">
        <f t="shared" si="43"/>
        <v>J166MD</v>
      </c>
      <c r="E246" s="4" t="s">
        <v>305</v>
      </c>
      <c r="F246" s="4" t="s">
        <v>1524</v>
      </c>
      <c r="G246" s="5">
        <v>4521718180427</v>
      </c>
      <c r="H246" s="5"/>
      <c r="I246" s="5"/>
      <c r="J246" s="5">
        <v>1</v>
      </c>
      <c r="K246" s="5">
        <v>1</v>
      </c>
      <c r="L246" s="4">
        <v>570</v>
      </c>
      <c r="M246" s="4">
        <v>329</v>
      </c>
      <c r="N246" s="4">
        <v>254</v>
      </c>
      <c r="O246" s="6">
        <f t="shared" si="44"/>
        <v>0.22796352583586621</v>
      </c>
      <c r="P246" s="4" t="s">
        <v>2500</v>
      </c>
      <c r="Q246" s="4"/>
      <c r="R246" s="4"/>
      <c r="S246" s="4"/>
      <c r="T246" s="4"/>
      <c r="U246" s="4"/>
      <c r="V246" s="4"/>
      <c r="W246" s="4"/>
      <c r="X246" s="4"/>
      <c r="Y246" s="4">
        <v>364</v>
      </c>
      <c r="Z246" s="4">
        <f t="shared" si="45"/>
        <v>364</v>
      </c>
      <c r="AA246" s="4">
        <v>237</v>
      </c>
      <c r="AB246" s="4">
        <f t="shared" si="46"/>
        <v>237</v>
      </c>
      <c r="AC246" s="4"/>
      <c r="AD246" s="21">
        <f>ROUND(M246*AR246,0)</f>
        <v>307</v>
      </c>
      <c r="AE246" s="6">
        <f>1-AB246/AD246</f>
        <v>0.2280130293159609</v>
      </c>
      <c r="AF246" s="33">
        <v>0</v>
      </c>
      <c r="AG246" s="4">
        <f t="shared" si="47"/>
        <v>252</v>
      </c>
      <c r="AH246" s="33">
        <f t="shared" si="40"/>
        <v>235.13385826771653</v>
      </c>
      <c r="AI246" s="6">
        <f>1-AB246/AH246</f>
        <v>-7.9365079365079083E-3</v>
      </c>
      <c r="AJ246" s="7">
        <v>364</v>
      </c>
      <c r="AK246" s="6">
        <f>1-AB246/AJ246</f>
        <v>0.34890109890109888</v>
      </c>
      <c r="AL246" s="4">
        <f>AJ246-AB246</f>
        <v>127</v>
      </c>
      <c r="AM246" s="28"/>
      <c r="AN246" s="6"/>
      <c r="AO246" s="6"/>
      <c r="AP246" s="6">
        <f>Z246/L246</f>
        <v>0.63859649122807016</v>
      </c>
      <c r="AQ246" s="6">
        <f>AJ246/M246</f>
        <v>1.1063829787234043</v>
      </c>
      <c r="AR246" s="6">
        <f>AB246/N246</f>
        <v>0.93307086614173229</v>
      </c>
      <c r="AS246" s="4"/>
      <c r="AT246" s="4"/>
      <c r="AU246" s="4"/>
      <c r="AV246" s="4"/>
      <c r="AW246" s="4"/>
      <c r="AX246" s="4"/>
      <c r="AY246" s="4"/>
      <c r="AZ246" s="4"/>
      <c r="BA246" s="4"/>
      <c r="BB246" s="4">
        <v>0</v>
      </c>
      <c r="BC246" s="4" t="s">
        <v>3801</v>
      </c>
      <c r="BD246" s="4"/>
      <c r="BE246" s="4"/>
      <c r="BF246" s="4" t="s">
        <v>3545</v>
      </c>
      <c r="BG246" s="4">
        <v>252</v>
      </c>
      <c r="BH246" s="4">
        <v>252</v>
      </c>
      <c r="BI246" s="4">
        <f t="shared" si="48"/>
        <v>252</v>
      </c>
      <c r="BJ246" s="19">
        <v>4</v>
      </c>
      <c r="BK246" s="19">
        <v>8</v>
      </c>
      <c r="BL246" s="16">
        <v>6</v>
      </c>
      <c r="BM246" s="45" t="s">
        <v>3534</v>
      </c>
      <c r="BN246" t="s">
        <v>3534</v>
      </c>
      <c r="BO246" t="str">
        <f t="shared" si="41"/>
        <v>-</v>
      </c>
      <c r="BP246" t="s">
        <v>3534</v>
      </c>
      <c r="BQ246">
        <v>392</v>
      </c>
      <c r="BR246">
        <f t="shared" si="42"/>
        <v>365.76377952755905</v>
      </c>
      <c r="BS246" t="s">
        <v>2723</v>
      </c>
    </row>
    <row r="247" spans="1:71" x14ac:dyDescent="0.4">
      <c r="A247" s="3">
        <v>244</v>
      </c>
      <c r="B247" s="3">
        <v>244</v>
      </c>
      <c r="C247" s="4" t="s">
        <v>306</v>
      </c>
      <c r="D247" s="4" t="str">
        <f t="shared" si="43"/>
        <v>J166WF</v>
      </c>
      <c r="E247" s="4" t="s">
        <v>306</v>
      </c>
      <c r="F247" s="4" t="s">
        <v>1525</v>
      </c>
      <c r="G247" s="5">
        <v>4521718189864</v>
      </c>
      <c r="H247" s="5"/>
      <c r="I247" s="5"/>
      <c r="J247" s="5">
        <v>1</v>
      </c>
      <c r="K247" s="5">
        <v>1</v>
      </c>
      <c r="L247" s="4">
        <v>220</v>
      </c>
      <c r="M247" s="4">
        <v>198</v>
      </c>
      <c r="N247" s="4">
        <v>95</v>
      </c>
      <c r="O247" s="6">
        <f t="shared" si="44"/>
        <v>0.52020202020202022</v>
      </c>
      <c r="P247" s="4" t="s">
        <v>2500</v>
      </c>
      <c r="Q247" s="4"/>
      <c r="R247" s="4"/>
      <c r="S247" s="4"/>
      <c r="T247" s="4"/>
      <c r="U247" s="4"/>
      <c r="V247" s="4"/>
      <c r="W247" s="4"/>
      <c r="X247" s="4"/>
      <c r="Y247" s="4">
        <v>146</v>
      </c>
      <c r="Z247" s="4">
        <f t="shared" si="45"/>
        <v>146</v>
      </c>
      <c r="AA247" s="4">
        <v>95</v>
      </c>
      <c r="AB247" s="4">
        <f t="shared" si="46"/>
        <v>95</v>
      </c>
      <c r="AC247" s="4"/>
      <c r="AD247" s="21">
        <f>ROUND(M247*AR247,0)</f>
        <v>198</v>
      </c>
      <c r="AE247" s="6">
        <f>1-AB247/AD247</f>
        <v>0.52020202020202022</v>
      </c>
      <c r="AF247" s="33">
        <v>0</v>
      </c>
      <c r="AG247" s="4">
        <f t="shared" si="47"/>
        <v>220</v>
      </c>
      <c r="AH247" s="33">
        <f t="shared" si="40"/>
        <v>220</v>
      </c>
      <c r="AI247" s="6">
        <f>1-AB247/AH247</f>
        <v>0.56818181818181812</v>
      </c>
      <c r="AJ247" s="7">
        <v>146</v>
      </c>
      <c r="AK247" s="6">
        <f>1-AB247/AJ247</f>
        <v>0.34931506849315064</v>
      </c>
      <c r="AL247" s="4">
        <f>AJ247-AB247</f>
        <v>51</v>
      </c>
      <c r="AM247" s="28"/>
      <c r="AN247" s="6"/>
      <c r="AO247" s="6"/>
      <c r="AP247" s="6">
        <f>Z247/L247</f>
        <v>0.66363636363636369</v>
      </c>
      <c r="AQ247" s="6">
        <f>AJ247/M247</f>
        <v>0.73737373737373735</v>
      </c>
      <c r="AR247" s="6">
        <f>AB247/N247</f>
        <v>1</v>
      </c>
      <c r="AS247" s="4"/>
      <c r="AT247" s="4"/>
      <c r="AU247" s="4"/>
      <c r="AV247" s="4"/>
      <c r="AW247" s="4"/>
      <c r="AX247" s="4"/>
      <c r="AY247" s="4"/>
      <c r="AZ247" s="4"/>
      <c r="BA247" s="4"/>
      <c r="BB247" s="4">
        <v>0</v>
      </c>
      <c r="BC247" s="4" t="s">
        <v>3802</v>
      </c>
      <c r="BD247" s="4">
        <v>1</v>
      </c>
      <c r="BE247" s="4">
        <v>7</v>
      </c>
      <c r="BF247" s="4" t="s">
        <v>3758</v>
      </c>
      <c r="BG247" s="4">
        <v>1540</v>
      </c>
      <c r="BH247" s="4">
        <v>1540</v>
      </c>
      <c r="BI247" s="4">
        <f t="shared" si="48"/>
        <v>220</v>
      </c>
      <c r="BJ247" s="19">
        <v>4</v>
      </c>
      <c r="BK247" s="19">
        <v>8</v>
      </c>
      <c r="BL247" s="16">
        <v>6</v>
      </c>
      <c r="BM247" s="45" t="s">
        <v>3534</v>
      </c>
      <c r="BN247" t="s">
        <v>3534</v>
      </c>
      <c r="BO247" t="str">
        <f t="shared" si="41"/>
        <v>-</v>
      </c>
      <c r="BP247" t="s">
        <v>3534</v>
      </c>
      <c r="BQ247">
        <v>146</v>
      </c>
      <c r="BR247">
        <f t="shared" si="42"/>
        <v>146</v>
      </c>
      <c r="BS247" t="s">
        <v>2724</v>
      </c>
    </row>
    <row r="248" spans="1:71" x14ac:dyDescent="0.4">
      <c r="A248" s="3">
        <v>245</v>
      </c>
      <c r="B248" s="3">
        <v>245</v>
      </c>
      <c r="C248" s="4" t="s">
        <v>307</v>
      </c>
      <c r="D248" s="4" t="str">
        <f t="shared" si="43"/>
        <v>J166WH</v>
      </c>
      <c r="E248" s="4" t="s">
        <v>307</v>
      </c>
      <c r="F248" s="4" t="s">
        <v>1526</v>
      </c>
      <c r="G248" s="5">
        <v>4521718921174</v>
      </c>
      <c r="H248" s="5"/>
      <c r="I248" s="5"/>
      <c r="J248" s="5">
        <v>1</v>
      </c>
      <c r="K248" s="5">
        <v>1</v>
      </c>
      <c r="L248" s="4">
        <v>1100</v>
      </c>
      <c r="M248" s="4">
        <v>1050</v>
      </c>
      <c r="N248" s="4">
        <v>770</v>
      </c>
      <c r="O248" s="6">
        <f t="shared" si="44"/>
        <v>0.26666666666666672</v>
      </c>
      <c r="P248" s="4" t="s">
        <v>2500</v>
      </c>
      <c r="Q248" s="4"/>
      <c r="R248" s="4"/>
      <c r="S248" s="4"/>
      <c r="T248" s="4"/>
      <c r="U248" s="4"/>
      <c r="V248" s="4"/>
      <c r="W248" s="4"/>
      <c r="X248" s="4"/>
      <c r="Y248" s="4">
        <v>1100</v>
      </c>
      <c r="Z248" s="4">
        <f t="shared" si="45"/>
        <v>1100</v>
      </c>
      <c r="AA248" s="4">
        <v>715</v>
      </c>
      <c r="AB248" s="4">
        <f t="shared" si="46"/>
        <v>715</v>
      </c>
      <c r="AC248" s="4"/>
      <c r="AD248" s="21">
        <f>ROUND(M248*AR248,0)</f>
        <v>975</v>
      </c>
      <c r="AE248" s="6">
        <f>1-AB248/AD248</f>
        <v>0.26666666666666672</v>
      </c>
      <c r="AF248" s="33">
        <v>0</v>
      </c>
      <c r="AG248" s="4" t="str">
        <f t="shared" si="47"/>
        <v>-</v>
      </c>
      <c r="AH248" s="33" t="e">
        <f t="shared" si="40"/>
        <v>#VALUE!</v>
      </c>
      <c r="AI248" s="6" t="e">
        <f>1-AB248/AH248</f>
        <v>#VALUE!</v>
      </c>
      <c r="AJ248" s="7">
        <v>1100</v>
      </c>
      <c r="AK248" s="6">
        <f>1-AB248/AJ248</f>
        <v>0.35</v>
      </c>
      <c r="AL248" s="4">
        <f>AJ248-AB248</f>
        <v>385</v>
      </c>
      <c r="AM248" s="28"/>
      <c r="AN248" s="6"/>
      <c r="AO248" s="6"/>
      <c r="AP248" s="6">
        <f>Z248/L248</f>
        <v>1</v>
      </c>
      <c r="AQ248" s="6">
        <f>AJ248/M248</f>
        <v>1.0476190476190477</v>
      </c>
      <c r="AR248" s="6">
        <f>AB248/N248</f>
        <v>0.9285714285714286</v>
      </c>
      <c r="AS248" s="4"/>
      <c r="AT248" s="4"/>
      <c r="AU248" s="4"/>
      <c r="AV248" s="4"/>
      <c r="AW248" s="4"/>
      <c r="AX248" s="4"/>
      <c r="AY248" s="4"/>
      <c r="AZ248" s="4"/>
      <c r="BA248" s="4"/>
      <c r="BB248" s="4">
        <v>0</v>
      </c>
      <c r="BC248" s="4" t="s">
        <v>3534</v>
      </c>
      <c r="BD248" s="4"/>
      <c r="BE248" s="4"/>
      <c r="BF248" s="4" t="s">
        <v>3534</v>
      </c>
      <c r="BG248" s="4" t="s">
        <v>3534</v>
      </c>
      <c r="BH248" s="4" t="s">
        <v>3534</v>
      </c>
      <c r="BI248" s="4" t="str">
        <f t="shared" si="48"/>
        <v>-</v>
      </c>
      <c r="BJ248" s="19">
        <v>4</v>
      </c>
      <c r="BK248" s="19">
        <v>8</v>
      </c>
      <c r="BL248" s="16">
        <v>6</v>
      </c>
      <c r="BM248" s="45" t="s">
        <v>3534</v>
      </c>
      <c r="BN248" t="s">
        <v>3534</v>
      </c>
      <c r="BO248" t="str">
        <f t="shared" si="41"/>
        <v>-</v>
      </c>
      <c r="BP248">
        <v>1100</v>
      </c>
      <c r="BQ248">
        <v>1100</v>
      </c>
      <c r="BR248">
        <f t="shared" si="42"/>
        <v>1021.4285714285714</v>
      </c>
      <c r="BS248" t="s">
        <v>3534</v>
      </c>
    </row>
    <row r="249" spans="1:71" x14ac:dyDescent="0.4">
      <c r="A249" s="3">
        <v>246</v>
      </c>
      <c r="B249" s="3">
        <v>246</v>
      </c>
      <c r="C249" s="4" t="s">
        <v>308</v>
      </c>
      <c r="D249" s="4" t="str">
        <f t="shared" si="43"/>
        <v>J167WF</v>
      </c>
      <c r="E249" s="4" t="s">
        <v>308</v>
      </c>
      <c r="F249" s="4" t="s">
        <v>1527</v>
      </c>
      <c r="G249" s="5">
        <v>4521718191966</v>
      </c>
      <c r="H249" s="5"/>
      <c r="I249" s="5"/>
      <c r="J249" s="5">
        <v>1</v>
      </c>
      <c r="K249" s="5">
        <v>1</v>
      </c>
      <c r="L249" s="4">
        <v>220</v>
      </c>
      <c r="M249" s="4">
        <v>198</v>
      </c>
      <c r="N249" s="4">
        <v>95</v>
      </c>
      <c r="O249" s="6">
        <f t="shared" si="44"/>
        <v>0.52020202020202022</v>
      </c>
      <c r="P249" s="4" t="s">
        <v>2500</v>
      </c>
      <c r="Q249" s="4"/>
      <c r="R249" s="4"/>
      <c r="S249" s="4"/>
      <c r="T249" s="4"/>
      <c r="U249" s="4"/>
      <c r="V249" s="4"/>
      <c r="W249" s="4"/>
      <c r="X249" s="4"/>
      <c r="Y249" s="4">
        <v>146</v>
      </c>
      <c r="Z249" s="4">
        <f t="shared" si="45"/>
        <v>146</v>
      </c>
      <c r="AA249" s="4">
        <v>95</v>
      </c>
      <c r="AB249" s="4">
        <f t="shared" si="46"/>
        <v>95</v>
      </c>
      <c r="AC249" s="4"/>
      <c r="AD249" s="21">
        <f>ROUND(M249*AR249,0)</f>
        <v>198</v>
      </c>
      <c r="AE249" s="6">
        <f>1-AB249/AD249</f>
        <v>0.52020202020202022</v>
      </c>
      <c r="AF249" s="33">
        <v>0</v>
      </c>
      <c r="AG249" s="4">
        <f t="shared" si="47"/>
        <v>220</v>
      </c>
      <c r="AH249" s="33">
        <f t="shared" si="40"/>
        <v>220</v>
      </c>
      <c r="AI249" s="6">
        <f>1-AB249/AH249</f>
        <v>0.56818181818181812</v>
      </c>
      <c r="AJ249" s="7">
        <v>146</v>
      </c>
      <c r="AK249" s="6">
        <f>1-AB249/AJ249</f>
        <v>0.34931506849315064</v>
      </c>
      <c r="AL249" s="4">
        <f>AJ249-AB249</f>
        <v>51</v>
      </c>
      <c r="AM249" s="28"/>
      <c r="AN249" s="6"/>
      <c r="AO249" s="6"/>
      <c r="AP249" s="6">
        <f>Z249/L249</f>
        <v>0.66363636363636369</v>
      </c>
      <c r="AQ249" s="6">
        <f>AJ249/M249</f>
        <v>0.73737373737373735</v>
      </c>
      <c r="AR249" s="6">
        <f>AB249/N249</f>
        <v>1</v>
      </c>
      <c r="AS249" s="4"/>
      <c r="AT249" s="4"/>
      <c r="AU249" s="4"/>
      <c r="AV249" s="4"/>
      <c r="AW249" s="4"/>
      <c r="AX249" s="4"/>
      <c r="AY249" s="4"/>
      <c r="AZ249" s="4"/>
      <c r="BA249" s="4"/>
      <c r="BB249" s="4">
        <v>0</v>
      </c>
      <c r="BC249" s="4" t="s">
        <v>3803</v>
      </c>
      <c r="BD249" s="4">
        <v>1</v>
      </c>
      <c r="BE249" s="4">
        <v>7</v>
      </c>
      <c r="BF249" s="4" t="s">
        <v>3758</v>
      </c>
      <c r="BG249" s="4">
        <v>1540</v>
      </c>
      <c r="BH249" s="4">
        <v>1540</v>
      </c>
      <c r="BI249" s="4">
        <f t="shared" si="48"/>
        <v>220</v>
      </c>
      <c r="BJ249" s="19">
        <v>4</v>
      </c>
      <c r="BK249" s="19">
        <v>8</v>
      </c>
      <c r="BL249" s="16">
        <v>6</v>
      </c>
      <c r="BM249" s="45" t="s">
        <v>3534</v>
      </c>
      <c r="BN249" t="s">
        <v>3534</v>
      </c>
      <c r="BO249" t="str">
        <f t="shared" si="41"/>
        <v>-</v>
      </c>
      <c r="BP249" t="s">
        <v>3534</v>
      </c>
      <c r="BQ249">
        <v>146</v>
      </c>
      <c r="BR249">
        <f t="shared" si="42"/>
        <v>146</v>
      </c>
      <c r="BS249" t="s">
        <v>2725</v>
      </c>
    </row>
    <row r="250" spans="1:71" x14ac:dyDescent="0.4">
      <c r="A250" s="3">
        <v>247</v>
      </c>
      <c r="B250" s="3">
        <v>247</v>
      </c>
      <c r="C250" s="4" t="s">
        <v>309</v>
      </c>
      <c r="D250" s="4" t="str">
        <f t="shared" si="43"/>
        <v>J168WF</v>
      </c>
      <c r="E250" s="4" t="s">
        <v>309</v>
      </c>
      <c r="F250" s="4" t="s">
        <v>1528</v>
      </c>
      <c r="G250" s="5">
        <v>4521718188508</v>
      </c>
      <c r="H250" s="5"/>
      <c r="I250" s="5"/>
      <c r="J250" s="5">
        <v>1</v>
      </c>
      <c r="K250" s="5">
        <v>1</v>
      </c>
      <c r="L250" s="4">
        <v>330</v>
      </c>
      <c r="M250" s="4">
        <v>297</v>
      </c>
      <c r="N250" s="4">
        <v>172</v>
      </c>
      <c r="O250" s="6">
        <f t="shared" si="44"/>
        <v>0.42087542087542085</v>
      </c>
      <c r="P250" s="4" t="s">
        <v>2500</v>
      </c>
      <c r="Q250" s="4"/>
      <c r="R250" s="4"/>
      <c r="S250" s="4"/>
      <c r="T250" s="4"/>
      <c r="U250" s="4"/>
      <c r="V250" s="4"/>
      <c r="W250" s="4"/>
      <c r="X250" s="4"/>
      <c r="Y250" s="4">
        <v>264</v>
      </c>
      <c r="Z250" s="4">
        <f t="shared" si="45"/>
        <v>264</v>
      </c>
      <c r="AA250" s="4">
        <v>172</v>
      </c>
      <c r="AB250" s="4">
        <f t="shared" si="46"/>
        <v>172</v>
      </c>
      <c r="AC250" s="4"/>
      <c r="AD250" s="21">
        <f>ROUND(M250*AR250,0)</f>
        <v>297</v>
      </c>
      <c r="AE250" s="6">
        <f>1-AB250/AD250</f>
        <v>0.42087542087542085</v>
      </c>
      <c r="AF250" s="33">
        <v>0</v>
      </c>
      <c r="AG250" s="4">
        <f t="shared" si="47"/>
        <v>330</v>
      </c>
      <c r="AH250" s="33">
        <f t="shared" si="40"/>
        <v>330</v>
      </c>
      <c r="AI250" s="6">
        <f>1-AB250/AH250</f>
        <v>0.47878787878787876</v>
      </c>
      <c r="AJ250" s="7">
        <v>264</v>
      </c>
      <c r="AK250" s="6">
        <f>1-AB250/AJ250</f>
        <v>0.34848484848484851</v>
      </c>
      <c r="AL250" s="4">
        <f>AJ250-AB250</f>
        <v>92</v>
      </c>
      <c r="AM250" s="28"/>
      <c r="AN250" s="6"/>
      <c r="AO250" s="6"/>
      <c r="AP250" s="6">
        <f>Z250/L250</f>
        <v>0.8</v>
      </c>
      <c r="AQ250" s="6">
        <f>AJ250/M250</f>
        <v>0.88888888888888884</v>
      </c>
      <c r="AR250" s="6">
        <f>AB250/N250</f>
        <v>1</v>
      </c>
      <c r="AS250" s="4"/>
      <c r="AT250" s="4"/>
      <c r="AU250" s="4"/>
      <c r="AV250" s="4"/>
      <c r="AW250" s="4"/>
      <c r="AX250" s="4"/>
      <c r="AY250" s="4"/>
      <c r="AZ250" s="4"/>
      <c r="BA250" s="4"/>
      <c r="BB250" s="4">
        <v>0</v>
      </c>
      <c r="BC250" s="4" t="s">
        <v>3804</v>
      </c>
      <c r="BD250" s="4">
        <v>1</v>
      </c>
      <c r="BE250" s="4">
        <v>4</v>
      </c>
      <c r="BF250" s="4" t="s">
        <v>3805</v>
      </c>
      <c r="BG250" s="4">
        <v>1320</v>
      </c>
      <c r="BH250" s="4">
        <v>1320</v>
      </c>
      <c r="BI250" s="4">
        <f t="shared" si="48"/>
        <v>330</v>
      </c>
      <c r="BJ250" s="19">
        <v>4</v>
      </c>
      <c r="BK250" s="19">
        <v>8</v>
      </c>
      <c r="BL250" s="16">
        <v>6</v>
      </c>
      <c r="BM250" s="45" t="s">
        <v>3534</v>
      </c>
      <c r="BN250" t="s">
        <v>3534</v>
      </c>
      <c r="BO250" t="str">
        <f t="shared" si="41"/>
        <v>-</v>
      </c>
      <c r="BP250" t="s">
        <v>3534</v>
      </c>
      <c r="BQ250">
        <v>264</v>
      </c>
      <c r="BR250">
        <f t="shared" si="42"/>
        <v>264</v>
      </c>
      <c r="BS250" t="s">
        <v>2726</v>
      </c>
    </row>
    <row r="251" spans="1:71" x14ac:dyDescent="0.4">
      <c r="A251" s="3">
        <v>248</v>
      </c>
      <c r="B251" s="3">
        <v>248</v>
      </c>
      <c r="C251" s="4" t="s">
        <v>310</v>
      </c>
      <c r="D251" s="4" t="str">
        <f t="shared" si="43"/>
        <v>J168WH</v>
      </c>
      <c r="E251" s="4" t="s">
        <v>310</v>
      </c>
      <c r="F251" s="4" t="s">
        <v>1529</v>
      </c>
      <c r="G251" s="5">
        <v>4521718921198</v>
      </c>
      <c r="H251" s="5"/>
      <c r="I251" s="5"/>
      <c r="J251" s="5">
        <v>1</v>
      </c>
      <c r="K251" s="5">
        <v>1</v>
      </c>
      <c r="L251" s="4">
        <v>1500</v>
      </c>
      <c r="M251" s="4">
        <v>1430</v>
      </c>
      <c r="N251" s="4">
        <v>1050</v>
      </c>
      <c r="O251" s="6">
        <f t="shared" si="44"/>
        <v>0.26573426573426573</v>
      </c>
      <c r="P251" s="4" t="s">
        <v>2500</v>
      </c>
      <c r="Q251" s="4"/>
      <c r="R251" s="4"/>
      <c r="S251" s="4"/>
      <c r="T251" s="4"/>
      <c r="U251" s="4"/>
      <c r="V251" s="4"/>
      <c r="W251" s="4"/>
      <c r="X251" s="4"/>
      <c r="Y251" s="4">
        <v>1410</v>
      </c>
      <c r="Z251" s="4">
        <f t="shared" si="45"/>
        <v>1410</v>
      </c>
      <c r="AA251" s="4">
        <v>917</v>
      </c>
      <c r="AB251" s="4">
        <f t="shared" si="46"/>
        <v>917</v>
      </c>
      <c r="AC251" s="4"/>
      <c r="AD251" s="21">
        <f>ROUND(M251*AR251,0)</f>
        <v>1249</v>
      </c>
      <c r="AE251" s="6">
        <f>1-AB251/AD251</f>
        <v>0.26581265012009603</v>
      </c>
      <c r="AF251" s="33">
        <v>0</v>
      </c>
      <c r="AG251" s="4" t="str">
        <f t="shared" si="47"/>
        <v>-</v>
      </c>
      <c r="AH251" s="33" t="e">
        <f t="shared" si="40"/>
        <v>#VALUE!</v>
      </c>
      <c r="AI251" s="6" t="e">
        <f>1-AB251/AH251</f>
        <v>#VALUE!</v>
      </c>
      <c r="AJ251" s="7">
        <v>1410</v>
      </c>
      <c r="AK251" s="6">
        <f>1-AB251/AJ251</f>
        <v>0.34964539007092199</v>
      </c>
      <c r="AL251" s="4">
        <f>AJ251-AB251</f>
        <v>493</v>
      </c>
      <c r="AM251" s="28"/>
      <c r="AN251" s="6"/>
      <c r="AO251" s="6"/>
      <c r="AP251" s="6">
        <f>Z251/L251</f>
        <v>0.94</v>
      </c>
      <c r="AQ251" s="6">
        <f>AJ251/M251</f>
        <v>0.98601398601398604</v>
      </c>
      <c r="AR251" s="6">
        <f>AB251/N251</f>
        <v>0.87333333333333329</v>
      </c>
      <c r="AS251" s="4"/>
      <c r="AT251" s="4"/>
      <c r="AU251" s="4"/>
      <c r="AV251" s="4"/>
      <c r="AW251" s="4"/>
      <c r="AX251" s="4"/>
      <c r="AY251" s="4"/>
      <c r="AZ251" s="4"/>
      <c r="BA251" s="4"/>
      <c r="BB251" s="4">
        <v>0</v>
      </c>
      <c r="BC251" s="4" t="s">
        <v>3534</v>
      </c>
      <c r="BD251" s="4"/>
      <c r="BE251" s="4"/>
      <c r="BF251" s="4" t="s">
        <v>3534</v>
      </c>
      <c r="BG251" s="4" t="s">
        <v>3534</v>
      </c>
      <c r="BH251" s="4" t="s">
        <v>3534</v>
      </c>
      <c r="BI251" s="4" t="str">
        <f t="shared" si="48"/>
        <v>-</v>
      </c>
      <c r="BJ251" s="19">
        <v>4</v>
      </c>
      <c r="BK251" s="19">
        <v>8</v>
      </c>
      <c r="BL251" s="16">
        <v>6</v>
      </c>
      <c r="BM251" s="45" t="s">
        <v>3534</v>
      </c>
      <c r="BN251" t="s">
        <v>3534</v>
      </c>
      <c r="BO251" t="str">
        <f t="shared" si="41"/>
        <v>-</v>
      </c>
      <c r="BP251">
        <v>1500</v>
      </c>
      <c r="BQ251">
        <v>1500</v>
      </c>
      <c r="BR251">
        <f t="shared" si="42"/>
        <v>1310</v>
      </c>
      <c r="BS251" t="s">
        <v>3534</v>
      </c>
    </row>
    <row r="252" spans="1:71" x14ac:dyDescent="0.4">
      <c r="A252" s="3">
        <v>249</v>
      </c>
      <c r="B252" s="3">
        <v>249</v>
      </c>
      <c r="C252" s="4" t="s">
        <v>311</v>
      </c>
      <c r="D252" s="4" t="str">
        <f t="shared" si="43"/>
        <v>J167WH</v>
      </c>
      <c r="E252" s="4" t="s">
        <v>311</v>
      </c>
      <c r="F252" s="4" t="s">
        <v>1530</v>
      </c>
      <c r="G252" s="5">
        <v>4521718921181</v>
      </c>
      <c r="H252" s="5"/>
      <c r="I252" s="5"/>
      <c r="J252" s="5">
        <v>1</v>
      </c>
      <c r="K252" s="5">
        <v>1</v>
      </c>
      <c r="L252" s="4">
        <v>1200</v>
      </c>
      <c r="M252" s="4">
        <v>1140</v>
      </c>
      <c r="N252" s="4">
        <v>840</v>
      </c>
      <c r="O252" s="6">
        <f t="shared" si="44"/>
        <v>0.26315789473684215</v>
      </c>
      <c r="P252" s="4" t="s">
        <v>2500</v>
      </c>
      <c r="Q252" s="4"/>
      <c r="R252" s="4"/>
      <c r="S252" s="4"/>
      <c r="T252" s="4"/>
      <c r="U252" s="4"/>
      <c r="V252" s="4"/>
      <c r="W252" s="4"/>
      <c r="X252" s="4"/>
      <c r="Y252" s="4">
        <v>1100</v>
      </c>
      <c r="Z252" s="4">
        <f t="shared" si="45"/>
        <v>1100</v>
      </c>
      <c r="AA252" s="4">
        <v>715</v>
      </c>
      <c r="AB252" s="4">
        <f t="shared" si="46"/>
        <v>715</v>
      </c>
      <c r="AC252" s="4"/>
      <c r="AD252" s="21">
        <f>ROUND(M252*AR252,0)</f>
        <v>970</v>
      </c>
      <c r="AE252" s="6">
        <f>1-AB252/AD252</f>
        <v>0.26288659793814428</v>
      </c>
      <c r="AF252" s="33">
        <v>0.25</v>
      </c>
      <c r="AG252" s="4" t="str">
        <f t="shared" si="47"/>
        <v>-</v>
      </c>
      <c r="AH252" s="33" t="e">
        <f t="shared" si="40"/>
        <v>#VALUE!</v>
      </c>
      <c r="AI252" s="6" t="e">
        <f>1-AB252/AH252</f>
        <v>#VALUE!</v>
      </c>
      <c r="AJ252" s="7">
        <v>1100</v>
      </c>
      <c r="AK252" s="6">
        <f>1-AB252/AJ252</f>
        <v>0.35</v>
      </c>
      <c r="AL252" s="4">
        <f>AJ252-AB252</f>
        <v>385</v>
      </c>
      <c r="AM252" s="28"/>
      <c r="AN252" s="6"/>
      <c r="AO252" s="6"/>
      <c r="AP252" s="6">
        <f>Z252/L252</f>
        <v>0.91666666666666663</v>
      </c>
      <c r="AQ252" s="6">
        <f>AJ252/M252</f>
        <v>0.96491228070175439</v>
      </c>
      <c r="AR252" s="6">
        <f>AB252/N252</f>
        <v>0.85119047619047616</v>
      </c>
      <c r="AS252" s="4"/>
      <c r="AT252" s="4"/>
      <c r="AU252" s="4"/>
      <c r="AV252" s="4"/>
      <c r="AW252" s="4"/>
      <c r="AX252" s="4"/>
      <c r="AY252" s="4"/>
      <c r="AZ252" s="4"/>
      <c r="BA252" s="4"/>
      <c r="BB252" s="4">
        <v>0</v>
      </c>
      <c r="BC252" s="4" t="s">
        <v>3534</v>
      </c>
      <c r="BD252" s="4"/>
      <c r="BE252" s="4"/>
      <c r="BF252" s="4" t="s">
        <v>3534</v>
      </c>
      <c r="BG252" s="4" t="s">
        <v>3534</v>
      </c>
      <c r="BH252" s="4" t="s">
        <v>3534</v>
      </c>
      <c r="BI252" s="4" t="str">
        <f t="shared" si="48"/>
        <v>-</v>
      </c>
      <c r="BJ252" s="19">
        <v>4</v>
      </c>
      <c r="BK252" s="19">
        <v>8</v>
      </c>
      <c r="BL252" s="16">
        <v>6</v>
      </c>
      <c r="BM252" s="45" t="s">
        <v>3534</v>
      </c>
      <c r="BN252" t="s">
        <v>3534</v>
      </c>
      <c r="BO252" t="str">
        <f t="shared" si="41"/>
        <v>-</v>
      </c>
      <c r="BP252">
        <v>1200</v>
      </c>
      <c r="BQ252">
        <v>1200</v>
      </c>
      <c r="BR252">
        <f t="shared" si="42"/>
        <v>1021.4285714285714</v>
      </c>
      <c r="BS252" t="s">
        <v>3534</v>
      </c>
    </row>
    <row r="253" spans="1:71" x14ac:dyDescent="0.4">
      <c r="A253" s="3">
        <v>250</v>
      </c>
      <c r="B253" s="3">
        <v>250</v>
      </c>
      <c r="C253" s="4" t="s">
        <v>312</v>
      </c>
      <c r="D253" s="4" t="str">
        <f t="shared" si="43"/>
        <v>J169WF</v>
      </c>
      <c r="E253" s="4" t="s">
        <v>312</v>
      </c>
      <c r="F253" s="4" t="s">
        <v>1531</v>
      </c>
      <c r="G253" s="5">
        <v>4521718188492</v>
      </c>
      <c r="H253" s="5"/>
      <c r="I253" s="5"/>
      <c r="J253" s="5">
        <v>1</v>
      </c>
      <c r="K253" s="5">
        <v>1</v>
      </c>
      <c r="L253" s="4">
        <v>330</v>
      </c>
      <c r="M253" s="4">
        <v>297</v>
      </c>
      <c r="N253" s="4">
        <v>172</v>
      </c>
      <c r="O253" s="6">
        <f t="shared" si="44"/>
        <v>0.42087542087542085</v>
      </c>
      <c r="P253" s="4" t="s">
        <v>2500</v>
      </c>
      <c r="Q253" s="4"/>
      <c r="R253" s="4"/>
      <c r="S253" s="4"/>
      <c r="T253" s="4"/>
      <c r="U253" s="4"/>
      <c r="V253" s="4"/>
      <c r="W253" s="4"/>
      <c r="X253" s="4"/>
      <c r="Y253" s="4">
        <v>264</v>
      </c>
      <c r="Z253" s="4">
        <f t="shared" si="45"/>
        <v>264</v>
      </c>
      <c r="AA253" s="4">
        <v>172</v>
      </c>
      <c r="AB253" s="4">
        <f t="shared" si="46"/>
        <v>172</v>
      </c>
      <c r="AC253" s="4"/>
      <c r="AD253" s="21">
        <f>ROUND(M253*AR253,0)</f>
        <v>297</v>
      </c>
      <c r="AE253" s="6">
        <f>1-AB253/AD253</f>
        <v>0.42087542087542085</v>
      </c>
      <c r="AF253" s="33">
        <v>0</v>
      </c>
      <c r="AG253" s="4">
        <f t="shared" si="47"/>
        <v>330</v>
      </c>
      <c r="AH253" s="33">
        <f t="shared" si="40"/>
        <v>330</v>
      </c>
      <c r="AI253" s="6">
        <f>1-AB253/AH253</f>
        <v>0.47878787878787876</v>
      </c>
      <c r="AJ253" s="7">
        <v>264</v>
      </c>
      <c r="AK253" s="6">
        <f>1-AB253/AJ253</f>
        <v>0.34848484848484851</v>
      </c>
      <c r="AL253" s="4">
        <f>AJ253-AB253</f>
        <v>92</v>
      </c>
      <c r="AM253" s="28"/>
      <c r="AN253" s="6"/>
      <c r="AO253" s="6"/>
      <c r="AP253" s="6">
        <f>Z253/L253</f>
        <v>0.8</v>
      </c>
      <c r="AQ253" s="6">
        <f>AJ253/M253</f>
        <v>0.88888888888888884</v>
      </c>
      <c r="AR253" s="6">
        <f>AB253/N253</f>
        <v>1</v>
      </c>
      <c r="AS253" s="4"/>
      <c r="AT253" s="4"/>
      <c r="AU253" s="4"/>
      <c r="AV253" s="4"/>
      <c r="AW253" s="4"/>
      <c r="AX253" s="4"/>
      <c r="AY253" s="4"/>
      <c r="AZ253" s="4"/>
      <c r="BA253" s="4"/>
      <c r="BB253" s="4">
        <v>0</v>
      </c>
      <c r="BC253" s="4" t="s">
        <v>3806</v>
      </c>
      <c r="BD253" s="4">
        <v>1</v>
      </c>
      <c r="BE253" s="4">
        <v>4</v>
      </c>
      <c r="BF253" s="4" t="s">
        <v>3805</v>
      </c>
      <c r="BG253" s="4">
        <v>1320</v>
      </c>
      <c r="BH253" s="4">
        <v>1320</v>
      </c>
      <c r="BI253" s="4">
        <f t="shared" si="48"/>
        <v>330</v>
      </c>
      <c r="BJ253" s="19">
        <v>4</v>
      </c>
      <c r="BK253" s="19">
        <v>8</v>
      </c>
      <c r="BL253" s="16">
        <v>6</v>
      </c>
      <c r="BM253" s="45" t="s">
        <v>3534</v>
      </c>
      <c r="BN253" t="s">
        <v>3534</v>
      </c>
      <c r="BO253" t="str">
        <f t="shared" si="41"/>
        <v>-</v>
      </c>
      <c r="BP253" t="s">
        <v>3534</v>
      </c>
      <c r="BQ253">
        <v>264</v>
      </c>
      <c r="BR253">
        <f t="shared" si="42"/>
        <v>264</v>
      </c>
      <c r="BS253" t="s">
        <v>2727</v>
      </c>
    </row>
    <row r="254" spans="1:71" x14ac:dyDescent="0.4">
      <c r="A254" s="3">
        <v>251</v>
      </c>
      <c r="B254" s="3">
        <v>251</v>
      </c>
      <c r="C254" s="4" t="s">
        <v>313</v>
      </c>
      <c r="D254" s="4" t="str">
        <f t="shared" si="43"/>
        <v>J170WF</v>
      </c>
      <c r="E254" s="4" t="s">
        <v>313</v>
      </c>
      <c r="F254" s="4" t="s">
        <v>1532</v>
      </c>
      <c r="G254" s="5">
        <v>4521718188515</v>
      </c>
      <c r="H254" s="5"/>
      <c r="I254" s="5"/>
      <c r="J254" s="5">
        <v>1</v>
      </c>
      <c r="K254" s="5">
        <v>1</v>
      </c>
      <c r="L254" s="4">
        <v>330</v>
      </c>
      <c r="M254" s="4">
        <v>297</v>
      </c>
      <c r="N254" s="4">
        <v>172</v>
      </c>
      <c r="O254" s="6">
        <f t="shared" si="44"/>
        <v>0.42087542087542085</v>
      </c>
      <c r="P254" s="4" t="s">
        <v>2500</v>
      </c>
      <c r="Q254" s="4"/>
      <c r="R254" s="4"/>
      <c r="S254" s="4"/>
      <c r="T254" s="4"/>
      <c r="U254" s="4"/>
      <c r="V254" s="4"/>
      <c r="W254" s="4"/>
      <c r="X254" s="4"/>
      <c r="Y254" s="4">
        <v>264</v>
      </c>
      <c r="Z254" s="4">
        <f t="shared" si="45"/>
        <v>264</v>
      </c>
      <c r="AA254" s="4">
        <v>172</v>
      </c>
      <c r="AB254" s="4">
        <f t="shared" si="46"/>
        <v>172</v>
      </c>
      <c r="AC254" s="4"/>
      <c r="AD254" s="21">
        <f>ROUND(M254*AR254,0)</f>
        <v>297</v>
      </c>
      <c r="AE254" s="6">
        <f>1-AB254/AD254</f>
        <v>0.42087542087542085</v>
      </c>
      <c r="AF254" s="33">
        <v>0</v>
      </c>
      <c r="AG254" s="4">
        <f t="shared" si="47"/>
        <v>330</v>
      </c>
      <c r="AH254" s="33">
        <f t="shared" si="40"/>
        <v>330</v>
      </c>
      <c r="AI254" s="6">
        <f>1-AB254/AH254</f>
        <v>0.47878787878787876</v>
      </c>
      <c r="AJ254" s="7">
        <v>264</v>
      </c>
      <c r="AK254" s="6">
        <f>1-AB254/AJ254</f>
        <v>0.34848484848484851</v>
      </c>
      <c r="AL254" s="4">
        <f>AJ254-AB254</f>
        <v>92</v>
      </c>
      <c r="AM254" s="28"/>
      <c r="AN254" s="6"/>
      <c r="AO254" s="6"/>
      <c r="AP254" s="6">
        <f>Z254/L254</f>
        <v>0.8</v>
      </c>
      <c r="AQ254" s="6">
        <f>AJ254/M254</f>
        <v>0.88888888888888884</v>
      </c>
      <c r="AR254" s="6">
        <f>AB254/N254</f>
        <v>1</v>
      </c>
      <c r="AS254" s="4"/>
      <c r="AT254" s="4"/>
      <c r="AU254" s="4"/>
      <c r="AV254" s="4"/>
      <c r="AW254" s="4"/>
      <c r="AX254" s="4"/>
      <c r="AY254" s="4"/>
      <c r="AZ254" s="4"/>
      <c r="BA254" s="4"/>
      <c r="BB254" s="4">
        <v>0</v>
      </c>
      <c r="BC254" s="4" t="s">
        <v>3807</v>
      </c>
      <c r="BD254" s="4">
        <v>1</v>
      </c>
      <c r="BE254" s="4">
        <v>4</v>
      </c>
      <c r="BF254" s="4" t="s">
        <v>3805</v>
      </c>
      <c r="BG254" s="4">
        <v>1320</v>
      </c>
      <c r="BH254" s="4">
        <v>1320</v>
      </c>
      <c r="BI254" s="4">
        <f t="shared" si="48"/>
        <v>330</v>
      </c>
      <c r="BJ254" s="19">
        <v>4</v>
      </c>
      <c r="BK254" s="19">
        <v>8</v>
      </c>
      <c r="BL254" s="16">
        <v>6</v>
      </c>
      <c r="BM254" s="45" t="s">
        <v>3534</v>
      </c>
      <c r="BN254" t="s">
        <v>3534</v>
      </c>
      <c r="BO254" t="str">
        <f t="shared" si="41"/>
        <v>-</v>
      </c>
      <c r="BP254" t="s">
        <v>3534</v>
      </c>
      <c r="BQ254">
        <v>264</v>
      </c>
      <c r="BR254">
        <f t="shared" si="42"/>
        <v>264</v>
      </c>
      <c r="BS254" t="s">
        <v>2728</v>
      </c>
    </row>
    <row r="255" spans="1:71" x14ac:dyDescent="0.4">
      <c r="A255" s="3">
        <v>252</v>
      </c>
      <c r="B255" s="3">
        <v>252</v>
      </c>
      <c r="C255" s="4" t="s">
        <v>314</v>
      </c>
      <c r="D255" s="4" t="str">
        <f t="shared" si="43"/>
        <v>J170WH</v>
      </c>
      <c r="E255" s="4" t="s">
        <v>314</v>
      </c>
      <c r="F255" s="4" t="s">
        <v>1533</v>
      </c>
      <c r="G255" s="5">
        <v>4521718921211</v>
      </c>
      <c r="H255" s="5"/>
      <c r="I255" s="5"/>
      <c r="J255" s="5">
        <v>1</v>
      </c>
      <c r="K255" s="5">
        <v>1</v>
      </c>
      <c r="L255" s="4">
        <v>1500</v>
      </c>
      <c r="M255" s="4">
        <v>1430</v>
      </c>
      <c r="N255" s="4">
        <v>1050</v>
      </c>
      <c r="O255" s="6">
        <f t="shared" si="44"/>
        <v>0.26573426573426573</v>
      </c>
      <c r="P255" s="4" t="s">
        <v>2500</v>
      </c>
      <c r="Q255" s="4"/>
      <c r="R255" s="4"/>
      <c r="S255" s="4"/>
      <c r="T255" s="4"/>
      <c r="U255" s="4"/>
      <c r="V255" s="4"/>
      <c r="W255" s="4"/>
      <c r="X255" s="4"/>
      <c r="Y255" s="4">
        <v>1410</v>
      </c>
      <c r="Z255" s="4">
        <f t="shared" si="45"/>
        <v>1410</v>
      </c>
      <c r="AA255" s="4">
        <v>917</v>
      </c>
      <c r="AB255" s="4">
        <f t="shared" si="46"/>
        <v>917</v>
      </c>
      <c r="AC255" s="4"/>
      <c r="AD255" s="21">
        <f>ROUND(M255*AR255,0)</f>
        <v>1249</v>
      </c>
      <c r="AE255" s="6">
        <f>1-AB255/AD255</f>
        <v>0.26581265012009603</v>
      </c>
      <c r="AF255" s="33">
        <v>0</v>
      </c>
      <c r="AG255" s="4" t="str">
        <f t="shared" si="47"/>
        <v>-</v>
      </c>
      <c r="AH255" s="33" t="e">
        <f t="shared" si="40"/>
        <v>#VALUE!</v>
      </c>
      <c r="AI255" s="6" t="e">
        <f>1-AB255/AH255</f>
        <v>#VALUE!</v>
      </c>
      <c r="AJ255" s="7">
        <v>1410</v>
      </c>
      <c r="AK255" s="6">
        <f>1-AB255/AJ255</f>
        <v>0.34964539007092199</v>
      </c>
      <c r="AL255" s="4">
        <f>AJ255-AB255</f>
        <v>493</v>
      </c>
      <c r="AM255" s="28"/>
      <c r="AN255" s="6"/>
      <c r="AO255" s="6"/>
      <c r="AP255" s="6">
        <f>Z255/L255</f>
        <v>0.94</v>
      </c>
      <c r="AQ255" s="6">
        <f>AJ255/M255</f>
        <v>0.98601398601398604</v>
      </c>
      <c r="AR255" s="6">
        <f>AB255/N255</f>
        <v>0.87333333333333329</v>
      </c>
      <c r="AS255" s="4"/>
      <c r="AT255" s="4"/>
      <c r="AU255" s="4"/>
      <c r="AV255" s="4"/>
      <c r="AW255" s="4"/>
      <c r="AX255" s="4"/>
      <c r="AY255" s="4"/>
      <c r="AZ255" s="4"/>
      <c r="BA255" s="4"/>
      <c r="BB255" s="4">
        <v>0</v>
      </c>
      <c r="BC255" s="4" t="s">
        <v>3534</v>
      </c>
      <c r="BD255" s="4"/>
      <c r="BE255" s="4"/>
      <c r="BF255" s="4" t="s">
        <v>3534</v>
      </c>
      <c r="BG255" s="4" t="s">
        <v>3534</v>
      </c>
      <c r="BH255" s="4" t="s">
        <v>3534</v>
      </c>
      <c r="BI255" s="4" t="str">
        <f t="shared" si="48"/>
        <v>-</v>
      </c>
      <c r="BJ255" s="19">
        <v>4</v>
      </c>
      <c r="BK255" s="19">
        <v>8</v>
      </c>
      <c r="BL255" s="16">
        <v>6</v>
      </c>
      <c r="BM255" s="45" t="s">
        <v>3534</v>
      </c>
      <c r="BN255" t="s">
        <v>3534</v>
      </c>
      <c r="BO255" t="str">
        <f t="shared" si="41"/>
        <v>-</v>
      </c>
      <c r="BP255">
        <v>1500</v>
      </c>
      <c r="BQ255">
        <v>1500</v>
      </c>
      <c r="BR255">
        <f t="shared" si="42"/>
        <v>1310</v>
      </c>
      <c r="BS255" t="s">
        <v>3534</v>
      </c>
    </row>
    <row r="256" spans="1:71" x14ac:dyDescent="0.4">
      <c r="A256" s="3">
        <v>253</v>
      </c>
      <c r="B256" s="3">
        <v>253</v>
      </c>
      <c r="C256" s="4" t="s">
        <v>315</v>
      </c>
      <c r="D256" s="4" t="str">
        <f t="shared" si="43"/>
        <v>J171WF</v>
      </c>
      <c r="E256" s="4" t="s">
        <v>315</v>
      </c>
      <c r="F256" s="4" t="s">
        <v>1534</v>
      </c>
      <c r="G256" s="5">
        <v>4521718188478</v>
      </c>
      <c r="H256" s="5"/>
      <c r="I256" s="5"/>
      <c r="J256" s="5">
        <v>1</v>
      </c>
      <c r="K256" s="5">
        <v>1</v>
      </c>
      <c r="L256" s="4">
        <v>330</v>
      </c>
      <c r="M256" s="4">
        <v>297</v>
      </c>
      <c r="N256" s="4">
        <v>172</v>
      </c>
      <c r="O256" s="6">
        <f t="shared" si="44"/>
        <v>0.42087542087542085</v>
      </c>
      <c r="P256" s="4" t="s">
        <v>2500</v>
      </c>
      <c r="Q256" s="4"/>
      <c r="R256" s="4"/>
      <c r="S256" s="4"/>
      <c r="T256" s="4"/>
      <c r="U256" s="4"/>
      <c r="V256" s="4"/>
      <c r="W256" s="4"/>
      <c r="X256" s="4"/>
      <c r="Y256" s="4">
        <v>264</v>
      </c>
      <c r="Z256" s="4">
        <f t="shared" si="45"/>
        <v>264</v>
      </c>
      <c r="AA256" s="4">
        <v>172</v>
      </c>
      <c r="AB256" s="4">
        <f t="shared" si="46"/>
        <v>172</v>
      </c>
      <c r="AC256" s="4"/>
      <c r="AD256" s="21">
        <f>ROUND(M256*AR256,0)</f>
        <v>297</v>
      </c>
      <c r="AE256" s="6">
        <f>1-AB256/AD256</f>
        <v>0.42087542087542085</v>
      </c>
      <c r="AF256" s="33">
        <v>0.25</v>
      </c>
      <c r="AG256" s="4">
        <f t="shared" si="47"/>
        <v>330</v>
      </c>
      <c r="AH256" s="33">
        <f t="shared" si="40"/>
        <v>330</v>
      </c>
      <c r="AI256" s="6">
        <f>1-AB256/AH256</f>
        <v>0.47878787878787876</v>
      </c>
      <c r="AJ256" s="7">
        <v>264</v>
      </c>
      <c r="AK256" s="6">
        <f>1-AB256/AJ256</f>
        <v>0.34848484848484851</v>
      </c>
      <c r="AL256" s="4">
        <f>AJ256-AB256</f>
        <v>92</v>
      </c>
      <c r="AM256" s="28"/>
      <c r="AN256" s="6"/>
      <c r="AO256" s="6"/>
      <c r="AP256" s="6">
        <f>Z256/L256</f>
        <v>0.8</v>
      </c>
      <c r="AQ256" s="6">
        <f>AJ256/M256</f>
        <v>0.88888888888888884</v>
      </c>
      <c r="AR256" s="6">
        <f>AB256/N256</f>
        <v>1</v>
      </c>
      <c r="AS256" s="4"/>
      <c r="AT256" s="4"/>
      <c r="AU256" s="4"/>
      <c r="AV256" s="4"/>
      <c r="AW256" s="4"/>
      <c r="AX256" s="4"/>
      <c r="AY256" s="4"/>
      <c r="AZ256" s="4"/>
      <c r="BA256" s="4"/>
      <c r="BB256" s="4">
        <v>0</v>
      </c>
      <c r="BC256" s="4" t="s">
        <v>3808</v>
      </c>
      <c r="BD256" s="4">
        <v>1</v>
      </c>
      <c r="BE256" s="4">
        <v>4</v>
      </c>
      <c r="BF256" s="4" t="s">
        <v>3805</v>
      </c>
      <c r="BG256" s="4">
        <v>1320</v>
      </c>
      <c r="BH256" s="4">
        <v>1320</v>
      </c>
      <c r="BI256" s="4">
        <f t="shared" si="48"/>
        <v>330</v>
      </c>
      <c r="BJ256" s="19">
        <v>4</v>
      </c>
      <c r="BK256" s="19">
        <v>8</v>
      </c>
      <c r="BL256" s="16">
        <v>6</v>
      </c>
      <c r="BM256" s="45" t="s">
        <v>3534</v>
      </c>
      <c r="BN256" t="s">
        <v>3534</v>
      </c>
      <c r="BO256" t="str">
        <f t="shared" si="41"/>
        <v>-</v>
      </c>
      <c r="BP256" t="s">
        <v>3534</v>
      </c>
      <c r="BQ256">
        <v>264</v>
      </c>
      <c r="BR256">
        <f t="shared" si="42"/>
        <v>264</v>
      </c>
      <c r="BS256" t="s">
        <v>2729</v>
      </c>
    </row>
    <row r="257" spans="1:71" x14ac:dyDescent="0.4">
      <c r="A257" s="3">
        <v>254</v>
      </c>
      <c r="B257" s="3">
        <v>254</v>
      </c>
      <c r="C257" s="4" t="s">
        <v>316</v>
      </c>
      <c r="D257" s="4" t="str">
        <f t="shared" si="43"/>
        <v>J171WH</v>
      </c>
      <c r="E257" s="4" t="s">
        <v>316</v>
      </c>
      <c r="F257" s="4" t="s">
        <v>1535</v>
      </c>
      <c r="G257" s="5">
        <v>4521718921228</v>
      </c>
      <c r="H257" s="5"/>
      <c r="I257" s="5"/>
      <c r="J257" s="5">
        <v>1</v>
      </c>
      <c r="K257" s="5">
        <v>1</v>
      </c>
      <c r="L257" s="4">
        <v>1200</v>
      </c>
      <c r="M257" s="4">
        <v>1140</v>
      </c>
      <c r="N257" s="4">
        <v>840</v>
      </c>
      <c r="O257" s="6">
        <f t="shared" si="44"/>
        <v>0.26315789473684215</v>
      </c>
      <c r="P257" s="4" t="s">
        <v>2500</v>
      </c>
      <c r="Q257" s="4"/>
      <c r="R257" s="4"/>
      <c r="S257" s="4"/>
      <c r="T257" s="4"/>
      <c r="U257" s="4"/>
      <c r="V257" s="4"/>
      <c r="W257" s="4"/>
      <c r="X257" s="4"/>
      <c r="Y257" s="4">
        <v>1100</v>
      </c>
      <c r="Z257" s="4">
        <f t="shared" si="45"/>
        <v>1100</v>
      </c>
      <c r="AA257" s="4">
        <v>715</v>
      </c>
      <c r="AB257" s="4">
        <f t="shared" si="46"/>
        <v>715</v>
      </c>
      <c r="AC257" s="4"/>
      <c r="AD257" s="21">
        <f>ROUND(M257*AR257,0)</f>
        <v>970</v>
      </c>
      <c r="AE257" s="6">
        <f>1-AB257/AD257</f>
        <v>0.26288659793814428</v>
      </c>
      <c r="AF257" s="33">
        <v>0</v>
      </c>
      <c r="AG257" s="4" t="str">
        <f t="shared" si="47"/>
        <v>-</v>
      </c>
      <c r="AH257" s="33" t="e">
        <f t="shared" si="40"/>
        <v>#VALUE!</v>
      </c>
      <c r="AI257" s="6" t="e">
        <f>1-AB257/AH257</f>
        <v>#VALUE!</v>
      </c>
      <c r="AJ257" s="7">
        <v>1100</v>
      </c>
      <c r="AK257" s="6">
        <f>1-AB257/AJ257</f>
        <v>0.35</v>
      </c>
      <c r="AL257" s="4">
        <f>AJ257-AB257</f>
        <v>385</v>
      </c>
      <c r="AM257" s="28"/>
      <c r="AN257" s="6"/>
      <c r="AO257" s="6"/>
      <c r="AP257" s="6">
        <f>Z257/L257</f>
        <v>0.91666666666666663</v>
      </c>
      <c r="AQ257" s="6">
        <f>AJ257/M257</f>
        <v>0.96491228070175439</v>
      </c>
      <c r="AR257" s="6">
        <f>AB257/N257</f>
        <v>0.85119047619047616</v>
      </c>
      <c r="AS257" s="4"/>
      <c r="AT257" s="4"/>
      <c r="AU257" s="4"/>
      <c r="AV257" s="4"/>
      <c r="AW257" s="4"/>
      <c r="AX257" s="4"/>
      <c r="AY257" s="4"/>
      <c r="AZ257" s="4"/>
      <c r="BA257" s="4"/>
      <c r="BB257" s="4">
        <v>0</v>
      </c>
      <c r="BC257" s="4" t="s">
        <v>3534</v>
      </c>
      <c r="BD257" s="4"/>
      <c r="BE257" s="4"/>
      <c r="BF257" s="4" t="s">
        <v>3534</v>
      </c>
      <c r="BG257" s="4" t="s">
        <v>3534</v>
      </c>
      <c r="BH257" s="4" t="s">
        <v>3534</v>
      </c>
      <c r="BI257" s="4" t="str">
        <f t="shared" si="48"/>
        <v>-</v>
      </c>
      <c r="BJ257" s="19">
        <v>4</v>
      </c>
      <c r="BK257" s="19">
        <v>8</v>
      </c>
      <c r="BL257" s="16">
        <v>6</v>
      </c>
      <c r="BM257" s="45" t="s">
        <v>3534</v>
      </c>
      <c r="BN257" t="s">
        <v>3534</v>
      </c>
      <c r="BO257" t="str">
        <f t="shared" si="41"/>
        <v>-</v>
      </c>
      <c r="BP257">
        <v>1200</v>
      </c>
      <c r="BQ257">
        <v>1200</v>
      </c>
      <c r="BR257">
        <f t="shared" si="42"/>
        <v>1021.4285714285714</v>
      </c>
      <c r="BS257" t="s">
        <v>3534</v>
      </c>
    </row>
    <row r="258" spans="1:71" x14ac:dyDescent="0.4">
      <c r="A258" s="3">
        <v>255</v>
      </c>
      <c r="B258" s="3">
        <v>255</v>
      </c>
      <c r="C258" s="4" t="s">
        <v>317</v>
      </c>
      <c r="D258" s="4" t="str">
        <f t="shared" si="43"/>
        <v>J169WH</v>
      </c>
      <c r="E258" s="4" t="s">
        <v>317</v>
      </c>
      <c r="F258" s="4" t="s">
        <v>1536</v>
      </c>
      <c r="G258" s="5">
        <v>4521718921204</v>
      </c>
      <c r="H258" s="5"/>
      <c r="I258" s="5"/>
      <c r="J258" s="5">
        <v>1</v>
      </c>
      <c r="K258" s="5">
        <v>1</v>
      </c>
      <c r="L258" s="4">
        <v>1200</v>
      </c>
      <c r="M258" s="4">
        <v>1140</v>
      </c>
      <c r="N258" s="4">
        <v>840</v>
      </c>
      <c r="O258" s="6">
        <f t="shared" si="44"/>
        <v>0.26315789473684215</v>
      </c>
      <c r="P258" s="4" t="s">
        <v>2500</v>
      </c>
      <c r="Q258" s="4"/>
      <c r="R258" s="4"/>
      <c r="S258" s="4"/>
      <c r="T258" s="4"/>
      <c r="U258" s="4"/>
      <c r="V258" s="4"/>
      <c r="W258" s="4"/>
      <c r="X258" s="4"/>
      <c r="Y258" s="4">
        <v>1100</v>
      </c>
      <c r="Z258" s="4">
        <f t="shared" si="45"/>
        <v>1100</v>
      </c>
      <c r="AA258" s="4">
        <v>715</v>
      </c>
      <c r="AB258" s="4">
        <f t="shared" si="46"/>
        <v>715</v>
      </c>
      <c r="AC258" s="4"/>
      <c r="AD258" s="21">
        <f>ROUND(M258*AR258,0)</f>
        <v>970</v>
      </c>
      <c r="AE258" s="6">
        <f>1-AB258/AD258</f>
        <v>0.26288659793814428</v>
      </c>
      <c r="AF258" s="33">
        <v>0</v>
      </c>
      <c r="AG258" s="4" t="str">
        <f t="shared" si="47"/>
        <v>-</v>
      </c>
      <c r="AH258" s="33" t="e">
        <f t="shared" si="40"/>
        <v>#VALUE!</v>
      </c>
      <c r="AI258" s="6" t="e">
        <f>1-AB258/AH258</f>
        <v>#VALUE!</v>
      </c>
      <c r="AJ258" s="7">
        <v>1100</v>
      </c>
      <c r="AK258" s="6">
        <f>1-AB258/AJ258</f>
        <v>0.35</v>
      </c>
      <c r="AL258" s="4">
        <f>AJ258-AB258</f>
        <v>385</v>
      </c>
      <c r="AM258" s="28"/>
      <c r="AN258" s="6"/>
      <c r="AO258" s="6"/>
      <c r="AP258" s="6">
        <f>Z258/L258</f>
        <v>0.91666666666666663</v>
      </c>
      <c r="AQ258" s="6">
        <f>AJ258/M258</f>
        <v>0.96491228070175439</v>
      </c>
      <c r="AR258" s="6">
        <f>AB258/N258</f>
        <v>0.85119047619047616</v>
      </c>
      <c r="AS258" s="4"/>
      <c r="AT258" s="4"/>
      <c r="AU258" s="4"/>
      <c r="AV258" s="4"/>
      <c r="AW258" s="4"/>
      <c r="AX258" s="4"/>
      <c r="AY258" s="4"/>
      <c r="AZ258" s="4"/>
      <c r="BA258" s="4"/>
      <c r="BB258" s="4">
        <v>0</v>
      </c>
      <c r="BC258" s="4" t="s">
        <v>3534</v>
      </c>
      <c r="BD258" s="4"/>
      <c r="BE258" s="4"/>
      <c r="BF258" s="4" t="s">
        <v>3534</v>
      </c>
      <c r="BG258" s="4" t="s">
        <v>3534</v>
      </c>
      <c r="BH258" s="4" t="s">
        <v>3534</v>
      </c>
      <c r="BI258" s="4" t="str">
        <f t="shared" si="48"/>
        <v>-</v>
      </c>
      <c r="BJ258" s="19">
        <v>4</v>
      </c>
      <c r="BK258" s="19">
        <v>8</v>
      </c>
      <c r="BL258" s="16">
        <v>6</v>
      </c>
      <c r="BM258" s="45" t="s">
        <v>3534</v>
      </c>
      <c r="BN258" t="s">
        <v>3534</v>
      </c>
      <c r="BO258" t="str">
        <f t="shared" si="41"/>
        <v>-</v>
      </c>
      <c r="BP258">
        <v>1200</v>
      </c>
      <c r="BQ258">
        <v>1200</v>
      </c>
      <c r="BR258">
        <f t="shared" si="42"/>
        <v>1021.4285714285714</v>
      </c>
      <c r="BS258" t="s">
        <v>3534</v>
      </c>
    </row>
    <row r="259" spans="1:71" x14ac:dyDescent="0.4">
      <c r="A259" s="3">
        <v>256</v>
      </c>
      <c r="B259" s="3">
        <v>256</v>
      </c>
      <c r="C259" s="4" t="s">
        <v>318</v>
      </c>
      <c r="D259" s="4" t="str">
        <f t="shared" si="43"/>
        <v>J172WF</v>
      </c>
      <c r="E259" s="4" t="s">
        <v>318</v>
      </c>
      <c r="F259" s="4" t="s">
        <v>1537</v>
      </c>
      <c r="G259" s="5">
        <v>4521718188485</v>
      </c>
      <c r="H259" s="5"/>
      <c r="I259" s="5"/>
      <c r="J259" s="5">
        <v>1</v>
      </c>
      <c r="K259" s="5">
        <v>1</v>
      </c>
      <c r="L259" s="4">
        <v>330</v>
      </c>
      <c r="M259" s="4">
        <v>297</v>
      </c>
      <c r="N259" s="4">
        <v>172</v>
      </c>
      <c r="O259" s="6">
        <f t="shared" si="44"/>
        <v>0.42087542087542085</v>
      </c>
      <c r="P259" s="4" t="s">
        <v>2500</v>
      </c>
      <c r="Q259" s="4"/>
      <c r="R259" s="4"/>
      <c r="S259" s="4"/>
      <c r="T259" s="4"/>
      <c r="U259" s="4"/>
      <c r="V259" s="4"/>
      <c r="W259" s="4"/>
      <c r="X259" s="4"/>
      <c r="Y259" s="4">
        <v>264</v>
      </c>
      <c r="Z259" s="4">
        <f t="shared" si="45"/>
        <v>264</v>
      </c>
      <c r="AA259" s="4">
        <v>172</v>
      </c>
      <c r="AB259" s="4">
        <f t="shared" si="46"/>
        <v>172</v>
      </c>
      <c r="AC259" s="4"/>
      <c r="AD259" s="21">
        <f>ROUND(M259*AR259,0)</f>
        <v>297</v>
      </c>
      <c r="AE259" s="6">
        <f>1-AB259/AD259</f>
        <v>0.42087542087542085</v>
      </c>
      <c r="AF259" s="33">
        <v>0</v>
      </c>
      <c r="AG259" s="4">
        <f t="shared" si="47"/>
        <v>330</v>
      </c>
      <c r="AH259" s="33">
        <f t="shared" si="40"/>
        <v>330</v>
      </c>
      <c r="AI259" s="6">
        <f>1-AB259/AH259</f>
        <v>0.47878787878787876</v>
      </c>
      <c r="AJ259" s="7">
        <v>264</v>
      </c>
      <c r="AK259" s="6">
        <f>1-AB259/AJ259</f>
        <v>0.34848484848484851</v>
      </c>
      <c r="AL259" s="4">
        <f>AJ259-AB259</f>
        <v>92</v>
      </c>
      <c r="AM259" s="28"/>
      <c r="AN259" s="6"/>
      <c r="AO259" s="6"/>
      <c r="AP259" s="6">
        <f>Z259/L259</f>
        <v>0.8</v>
      </c>
      <c r="AQ259" s="6">
        <f>AJ259/M259</f>
        <v>0.88888888888888884</v>
      </c>
      <c r="AR259" s="6">
        <f>AB259/N259</f>
        <v>1</v>
      </c>
      <c r="AS259" s="4"/>
      <c r="AT259" s="4"/>
      <c r="AU259" s="4"/>
      <c r="AV259" s="4"/>
      <c r="AW259" s="4"/>
      <c r="AX259" s="4"/>
      <c r="AY259" s="4"/>
      <c r="AZ259" s="4"/>
      <c r="BA259" s="4"/>
      <c r="BB259" s="4">
        <v>0</v>
      </c>
      <c r="BC259" s="4" t="s">
        <v>3809</v>
      </c>
      <c r="BD259" s="4">
        <v>1</v>
      </c>
      <c r="BE259" s="4">
        <v>4</v>
      </c>
      <c r="BF259" s="4" t="s">
        <v>3805</v>
      </c>
      <c r="BG259" s="4">
        <v>1320</v>
      </c>
      <c r="BH259" s="4">
        <v>1320</v>
      </c>
      <c r="BI259" s="4">
        <f t="shared" si="48"/>
        <v>330</v>
      </c>
      <c r="BJ259" s="19">
        <v>4</v>
      </c>
      <c r="BK259" s="19">
        <v>8</v>
      </c>
      <c r="BL259" s="16">
        <v>6</v>
      </c>
      <c r="BM259" s="45" t="s">
        <v>3534</v>
      </c>
      <c r="BN259" t="s">
        <v>3534</v>
      </c>
      <c r="BO259" t="str">
        <f t="shared" si="41"/>
        <v>-</v>
      </c>
      <c r="BP259" t="s">
        <v>3534</v>
      </c>
      <c r="BQ259">
        <v>264</v>
      </c>
      <c r="BR259">
        <f t="shared" si="42"/>
        <v>264</v>
      </c>
      <c r="BS259" t="s">
        <v>2730</v>
      </c>
    </row>
    <row r="260" spans="1:71" x14ac:dyDescent="0.4">
      <c r="A260" s="3">
        <v>257</v>
      </c>
      <c r="B260" s="3">
        <v>257</v>
      </c>
      <c r="C260" s="4" t="s">
        <v>319</v>
      </c>
      <c r="D260" s="4" t="str">
        <f t="shared" si="43"/>
        <v>J173WF</v>
      </c>
      <c r="E260" s="4" t="s">
        <v>319</v>
      </c>
      <c r="F260" s="4" t="s">
        <v>1538</v>
      </c>
      <c r="G260" s="5">
        <v>4521718190419</v>
      </c>
      <c r="H260" s="5"/>
      <c r="I260" s="5"/>
      <c r="J260" s="5">
        <v>1</v>
      </c>
      <c r="K260" s="5">
        <v>1</v>
      </c>
      <c r="L260" s="4">
        <v>670</v>
      </c>
      <c r="M260" s="4">
        <v>603</v>
      </c>
      <c r="N260" s="4">
        <v>300</v>
      </c>
      <c r="O260" s="6">
        <f t="shared" si="44"/>
        <v>0.50248756218905477</v>
      </c>
      <c r="P260" s="4" t="s">
        <v>2500</v>
      </c>
      <c r="Q260" s="4"/>
      <c r="R260" s="4"/>
      <c r="S260" s="4"/>
      <c r="T260" s="4"/>
      <c r="U260" s="4"/>
      <c r="V260" s="4"/>
      <c r="W260" s="4"/>
      <c r="X260" s="4"/>
      <c r="Y260" s="4">
        <v>446</v>
      </c>
      <c r="Z260" s="4">
        <f t="shared" si="45"/>
        <v>446</v>
      </c>
      <c r="AA260" s="4">
        <v>312</v>
      </c>
      <c r="AB260" s="4">
        <f t="shared" si="46"/>
        <v>312</v>
      </c>
      <c r="AC260" s="4"/>
      <c r="AD260" s="21">
        <f>ROUND(M260*AR260,0)</f>
        <v>627</v>
      </c>
      <c r="AE260" s="6">
        <f>1-AB260/AD260</f>
        <v>0.50239234449760772</v>
      </c>
      <c r="AF260" s="33">
        <v>0.25</v>
      </c>
      <c r="AG260" s="4">
        <f t="shared" si="47"/>
        <v>670</v>
      </c>
      <c r="AH260" s="33">
        <f t="shared" ref="AH260:AH323" si="49">AG260*AR260</f>
        <v>696.80000000000007</v>
      </c>
      <c r="AI260" s="6">
        <f>1-AB260/AH260</f>
        <v>0.55223880597014929</v>
      </c>
      <c r="AJ260" s="7">
        <v>446</v>
      </c>
      <c r="AK260" s="6">
        <f>1-AB260/AJ260</f>
        <v>0.30044843049327352</v>
      </c>
      <c r="AL260" s="4">
        <f>AJ260-AB260</f>
        <v>134</v>
      </c>
      <c r="AM260" s="28"/>
      <c r="AN260" s="6"/>
      <c r="AO260" s="6"/>
      <c r="AP260" s="6">
        <f>Z260/L260</f>
        <v>0.66567164179104477</v>
      </c>
      <c r="AQ260" s="6">
        <f>AJ260/M260</f>
        <v>0.73963515754560527</v>
      </c>
      <c r="AR260" s="6">
        <f>AB260/N260</f>
        <v>1.04</v>
      </c>
      <c r="AS260" s="4"/>
      <c r="AT260" s="4"/>
      <c r="AU260" s="4"/>
      <c r="AV260" s="4"/>
      <c r="AW260" s="4"/>
      <c r="AX260" s="4"/>
      <c r="AY260" s="4"/>
      <c r="AZ260" s="4"/>
      <c r="BA260" s="4"/>
      <c r="BB260" s="4">
        <v>0</v>
      </c>
      <c r="BC260" s="4" t="s">
        <v>3810</v>
      </c>
      <c r="BD260" s="4">
        <v>1</v>
      </c>
      <c r="BE260" s="4">
        <v>3</v>
      </c>
      <c r="BF260" s="4" t="s">
        <v>3623</v>
      </c>
      <c r="BG260" s="4">
        <v>2010</v>
      </c>
      <c r="BH260" s="4">
        <v>2010</v>
      </c>
      <c r="BI260" s="4">
        <f t="shared" si="48"/>
        <v>670</v>
      </c>
      <c r="BJ260" s="19">
        <v>4</v>
      </c>
      <c r="BK260" s="19">
        <v>8</v>
      </c>
      <c r="BL260" s="16">
        <v>6</v>
      </c>
      <c r="BM260" s="45" t="s">
        <v>3534</v>
      </c>
      <c r="BN260" t="s">
        <v>3534</v>
      </c>
      <c r="BO260" t="str">
        <f t="shared" si="41"/>
        <v>-</v>
      </c>
      <c r="BP260" t="s">
        <v>3534</v>
      </c>
      <c r="BQ260">
        <v>428</v>
      </c>
      <c r="BR260">
        <f t="shared" si="42"/>
        <v>445.12</v>
      </c>
      <c r="BS260" t="s">
        <v>2731</v>
      </c>
    </row>
    <row r="261" spans="1:71" x14ac:dyDescent="0.4">
      <c r="A261" s="3">
        <v>258</v>
      </c>
      <c r="B261" s="3">
        <v>258</v>
      </c>
      <c r="C261" s="4" t="s">
        <v>320</v>
      </c>
      <c r="D261" s="4" t="str">
        <f t="shared" si="43"/>
        <v>J173WH</v>
      </c>
      <c r="E261" s="4" t="s">
        <v>320</v>
      </c>
      <c r="F261" s="4" t="s">
        <v>1539</v>
      </c>
      <c r="G261" s="5">
        <v>4521718921242</v>
      </c>
      <c r="H261" s="5"/>
      <c r="I261" s="5"/>
      <c r="J261" s="5">
        <v>1</v>
      </c>
      <c r="K261" s="5">
        <v>1</v>
      </c>
      <c r="L261" s="4">
        <v>600</v>
      </c>
      <c r="M261" s="4">
        <v>570</v>
      </c>
      <c r="N261" s="4">
        <v>420</v>
      </c>
      <c r="O261" s="6">
        <f t="shared" si="44"/>
        <v>0.26315789473684215</v>
      </c>
      <c r="P261" s="4" t="s">
        <v>2500</v>
      </c>
      <c r="Q261" s="4"/>
      <c r="R261" s="4"/>
      <c r="S261" s="4"/>
      <c r="T261" s="4"/>
      <c r="U261" s="4"/>
      <c r="V261" s="4"/>
      <c r="W261" s="4"/>
      <c r="X261" s="4"/>
      <c r="Y261" s="4">
        <v>600</v>
      </c>
      <c r="Z261" s="4">
        <f t="shared" si="45"/>
        <v>600</v>
      </c>
      <c r="AA261" s="4">
        <v>390</v>
      </c>
      <c r="AB261" s="4">
        <f t="shared" si="46"/>
        <v>390</v>
      </c>
      <c r="AC261" s="4"/>
      <c r="AD261" s="21">
        <f>ROUND(M261*AR261,0)</f>
        <v>529</v>
      </c>
      <c r="AE261" s="6">
        <f>1-AB261/AD261</f>
        <v>0.26275992438563323</v>
      </c>
      <c r="AF261" s="33">
        <v>0.25</v>
      </c>
      <c r="AG261" s="4" t="str">
        <f t="shared" si="47"/>
        <v>-</v>
      </c>
      <c r="AH261" s="33" t="e">
        <f t="shared" si="49"/>
        <v>#VALUE!</v>
      </c>
      <c r="AI261" s="6" t="e">
        <f>1-AB261/AH261</f>
        <v>#VALUE!</v>
      </c>
      <c r="AJ261" s="7">
        <v>600</v>
      </c>
      <c r="AK261" s="6">
        <f>1-AB261/AJ261</f>
        <v>0.35</v>
      </c>
      <c r="AL261" s="4">
        <f>AJ261-AB261</f>
        <v>210</v>
      </c>
      <c r="AM261" s="28"/>
      <c r="AN261" s="6"/>
      <c r="AO261" s="6"/>
      <c r="AP261" s="6">
        <f>Z261/L261</f>
        <v>1</v>
      </c>
      <c r="AQ261" s="6">
        <f>AJ261/M261</f>
        <v>1.0526315789473684</v>
      </c>
      <c r="AR261" s="6">
        <f>AB261/N261</f>
        <v>0.9285714285714286</v>
      </c>
      <c r="AS261" s="4"/>
      <c r="AT261" s="4"/>
      <c r="AU261" s="4"/>
      <c r="AV261" s="4"/>
      <c r="AW261" s="4"/>
      <c r="AX261" s="4"/>
      <c r="AY261" s="4"/>
      <c r="AZ261" s="4"/>
      <c r="BA261" s="4"/>
      <c r="BB261" s="4">
        <v>0</v>
      </c>
      <c r="BC261" s="4" t="s">
        <v>3534</v>
      </c>
      <c r="BD261" s="4"/>
      <c r="BE261" s="4"/>
      <c r="BF261" s="4" t="s">
        <v>3534</v>
      </c>
      <c r="BG261" s="4" t="s">
        <v>3534</v>
      </c>
      <c r="BH261" s="4" t="s">
        <v>3534</v>
      </c>
      <c r="BI261" s="4" t="str">
        <f t="shared" si="48"/>
        <v>-</v>
      </c>
      <c r="BJ261" s="19">
        <v>4</v>
      </c>
      <c r="BK261" s="19">
        <v>8</v>
      </c>
      <c r="BL261" s="16">
        <v>6</v>
      </c>
      <c r="BM261" s="45" t="s">
        <v>3534</v>
      </c>
      <c r="BN261" t="s">
        <v>3534</v>
      </c>
      <c r="BO261" t="str">
        <f t="shared" ref="BO261:BO324" si="50">IFERROR(BN261*AR261,"-")</f>
        <v>-</v>
      </c>
      <c r="BP261">
        <v>600</v>
      </c>
      <c r="BQ261">
        <v>600</v>
      </c>
      <c r="BR261">
        <f t="shared" ref="BR261:BR324" si="51">IFERROR(BQ261*AR261,"-")</f>
        <v>557.14285714285711</v>
      </c>
      <c r="BS261" t="s">
        <v>3534</v>
      </c>
    </row>
    <row r="262" spans="1:71" x14ac:dyDescent="0.4">
      <c r="A262" s="3">
        <v>259</v>
      </c>
      <c r="B262" s="3">
        <v>259</v>
      </c>
      <c r="C262" s="4" t="s">
        <v>321</v>
      </c>
      <c r="D262" s="4" t="str">
        <f t="shared" si="43"/>
        <v>J172WH</v>
      </c>
      <c r="E262" s="4" t="s">
        <v>321</v>
      </c>
      <c r="F262" s="4" t="s">
        <v>1540</v>
      </c>
      <c r="G262" s="5">
        <v>4521718921235</v>
      </c>
      <c r="H262" s="5"/>
      <c r="I262" s="5"/>
      <c r="J262" s="5">
        <v>1</v>
      </c>
      <c r="K262" s="5">
        <v>1</v>
      </c>
      <c r="L262" s="4">
        <v>1500</v>
      </c>
      <c r="M262" s="4">
        <v>1430</v>
      </c>
      <c r="N262" s="4">
        <v>1050</v>
      </c>
      <c r="O262" s="6">
        <f t="shared" si="44"/>
        <v>0.26573426573426573</v>
      </c>
      <c r="P262" s="4" t="s">
        <v>2500</v>
      </c>
      <c r="Q262" s="4"/>
      <c r="R262" s="4"/>
      <c r="S262" s="4"/>
      <c r="T262" s="4"/>
      <c r="U262" s="4"/>
      <c r="V262" s="4"/>
      <c r="W262" s="4"/>
      <c r="X262" s="4"/>
      <c r="Y262" s="4">
        <v>1410</v>
      </c>
      <c r="Z262" s="4">
        <f t="shared" si="45"/>
        <v>1410</v>
      </c>
      <c r="AA262" s="4">
        <v>917</v>
      </c>
      <c r="AB262" s="4">
        <f t="shared" si="46"/>
        <v>917</v>
      </c>
      <c r="AC262" s="4"/>
      <c r="AD262" s="21">
        <f>ROUND(M262*AR262,0)</f>
        <v>1249</v>
      </c>
      <c r="AE262" s="6">
        <f>1-AB262/AD262</f>
        <v>0.26581265012009603</v>
      </c>
      <c r="AF262" s="33">
        <v>0</v>
      </c>
      <c r="AG262" s="4" t="str">
        <f t="shared" si="47"/>
        <v>-</v>
      </c>
      <c r="AH262" s="33" t="e">
        <f t="shared" si="49"/>
        <v>#VALUE!</v>
      </c>
      <c r="AI262" s="6" t="e">
        <f>1-AB262/AH262</f>
        <v>#VALUE!</v>
      </c>
      <c r="AJ262" s="7">
        <v>1410</v>
      </c>
      <c r="AK262" s="6">
        <f>1-AB262/AJ262</f>
        <v>0.34964539007092199</v>
      </c>
      <c r="AL262" s="4">
        <f>AJ262-AB262</f>
        <v>493</v>
      </c>
      <c r="AM262" s="28"/>
      <c r="AN262" s="6"/>
      <c r="AO262" s="6"/>
      <c r="AP262" s="6">
        <f>Z262/L262</f>
        <v>0.94</v>
      </c>
      <c r="AQ262" s="6">
        <f>AJ262/M262</f>
        <v>0.98601398601398604</v>
      </c>
      <c r="AR262" s="6">
        <f>AB262/N262</f>
        <v>0.87333333333333329</v>
      </c>
      <c r="AS262" s="4"/>
      <c r="AT262" s="4"/>
      <c r="AU262" s="4"/>
      <c r="AV262" s="4"/>
      <c r="AW262" s="4"/>
      <c r="AX262" s="4"/>
      <c r="AY262" s="4"/>
      <c r="AZ262" s="4"/>
      <c r="BA262" s="4"/>
      <c r="BB262" s="4">
        <v>0</v>
      </c>
      <c r="BC262" s="4" t="s">
        <v>3534</v>
      </c>
      <c r="BD262" s="4"/>
      <c r="BE262" s="4"/>
      <c r="BF262" s="4" t="s">
        <v>3534</v>
      </c>
      <c r="BG262" s="4" t="s">
        <v>3534</v>
      </c>
      <c r="BH262" s="4" t="s">
        <v>3534</v>
      </c>
      <c r="BI262" s="4" t="str">
        <f t="shared" si="48"/>
        <v>-</v>
      </c>
      <c r="BJ262" s="19">
        <v>4</v>
      </c>
      <c r="BK262" s="19">
        <v>8</v>
      </c>
      <c r="BL262" s="16">
        <v>6</v>
      </c>
      <c r="BM262" s="45" t="s">
        <v>3534</v>
      </c>
      <c r="BN262" t="s">
        <v>3534</v>
      </c>
      <c r="BO262" t="str">
        <f t="shared" si="50"/>
        <v>-</v>
      </c>
      <c r="BP262">
        <v>1500</v>
      </c>
      <c r="BQ262">
        <v>1500</v>
      </c>
      <c r="BR262">
        <f t="shared" si="51"/>
        <v>1310</v>
      </c>
      <c r="BS262" t="s">
        <v>3534</v>
      </c>
    </row>
    <row r="263" spans="1:71" x14ac:dyDescent="0.4">
      <c r="A263" s="3">
        <v>260</v>
      </c>
      <c r="B263" s="3">
        <v>260</v>
      </c>
      <c r="C263" s="4" t="s">
        <v>322</v>
      </c>
      <c r="D263" s="4" t="str">
        <f t="shared" si="43"/>
        <v>J174WF</v>
      </c>
      <c r="E263" s="4" t="s">
        <v>322</v>
      </c>
      <c r="F263" s="4" t="s">
        <v>1541</v>
      </c>
      <c r="G263" s="5">
        <v>4521718190426</v>
      </c>
      <c r="H263" s="5"/>
      <c r="I263" s="5"/>
      <c r="J263" s="5">
        <v>1</v>
      </c>
      <c r="K263" s="5">
        <v>1</v>
      </c>
      <c r="L263" s="4">
        <v>670</v>
      </c>
      <c r="M263" s="4">
        <v>603</v>
      </c>
      <c r="N263" s="4">
        <v>300</v>
      </c>
      <c r="O263" s="6">
        <f t="shared" si="44"/>
        <v>0.50248756218905477</v>
      </c>
      <c r="P263" s="4" t="s">
        <v>2500</v>
      </c>
      <c r="Q263" s="4"/>
      <c r="R263" s="4"/>
      <c r="S263" s="4"/>
      <c r="T263" s="4"/>
      <c r="U263" s="4"/>
      <c r="V263" s="4"/>
      <c r="W263" s="4"/>
      <c r="X263" s="4"/>
      <c r="Y263" s="4">
        <v>446</v>
      </c>
      <c r="Z263" s="4">
        <f t="shared" si="45"/>
        <v>446</v>
      </c>
      <c r="AA263" s="4">
        <v>312</v>
      </c>
      <c r="AB263" s="4">
        <f t="shared" si="46"/>
        <v>312</v>
      </c>
      <c r="AC263" s="4"/>
      <c r="AD263" s="21">
        <f>ROUND(M263*AR263,0)</f>
        <v>627</v>
      </c>
      <c r="AE263" s="6">
        <f>1-AB263/AD263</f>
        <v>0.50239234449760772</v>
      </c>
      <c r="AF263" s="33">
        <v>0</v>
      </c>
      <c r="AG263" s="4">
        <f t="shared" si="47"/>
        <v>670</v>
      </c>
      <c r="AH263" s="33">
        <f t="shared" si="49"/>
        <v>696.80000000000007</v>
      </c>
      <c r="AI263" s="6">
        <f>1-AB263/AH263</f>
        <v>0.55223880597014929</v>
      </c>
      <c r="AJ263" s="7">
        <v>446</v>
      </c>
      <c r="AK263" s="6">
        <f>1-AB263/AJ263</f>
        <v>0.30044843049327352</v>
      </c>
      <c r="AL263" s="4">
        <f>AJ263-AB263</f>
        <v>134</v>
      </c>
      <c r="AM263" s="28"/>
      <c r="AN263" s="6"/>
      <c r="AO263" s="6"/>
      <c r="AP263" s="6">
        <f>Z263/L263</f>
        <v>0.66567164179104477</v>
      </c>
      <c r="AQ263" s="6">
        <f>AJ263/M263</f>
        <v>0.73963515754560527</v>
      </c>
      <c r="AR263" s="6">
        <f>AB263/N263</f>
        <v>1.04</v>
      </c>
      <c r="AS263" s="4"/>
      <c r="AT263" s="4"/>
      <c r="AU263" s="4"/>
      <c r="AV263" s="4"/>
      <c r="AW263" s="4"/>
      <c r="AX263" s="4"/>
      <c r="AY263" s="4"/>
      <c r="AZ263" s="4"/>
      <c r="BA263" s="4"/>
      <c r="BB263" s="4">
        <v>0</v>
      </c>
      <c r="BC263" s="4" t="s">
        <v>3811</v>
      </c>
      <c r="BD263" s="4">
        <v>1</v>
      </c>
      <c r="BE263" s="4">
        <v>3</v>
      </c>
      <c r="BF263" s="4" t="s">
        <v>3623</v>
      </c>
      <c r="BG263" s="4">
        <v>2010</v>
      </c>
      <c r="BH263" s="4">
        <v>2010</v>
      </c>
      <c r="BI263" s="4">
        <f t="shared" si="48"/>
        <v>670</v>
      </c>
      <c r="BJ263" s="19">
        <v>4</v>
      </c>
      <c r="BK263" s="19">
        <v>8</v>
      </c>
      <c r="BL263" s="16">
        <v>6</v>
      </c>
      <c r="BM263" s="45" t="s">
        <v>3534</v>
      </c>
      <c r="BN263" t="s">
        <v>3534</v>
      </c>
      <c r="BO263" t="str">
        <f t="shared" si="50"/>
        <v>-</v>
      </c>
      <c r="BP263" t="s">
        <v>3534</v>
      </c>
      <c r="BQ263">
        <v>428</v>
      </c>
      <c r="BR263">
        <f t="shared" si="51"/>
        <v>445.12</v>
      </c>
      <c r="BS263" t="s">
        <v>2732</v>
      </c>
    </row>
    <row r="264" spans="1:71" x14ac:dyDescent="0.4">
      <c r="A264" s="3">
        <v>261</v>
      </c>
      <c r="B264" s="3">
        <v>261</v>
      </c>
      <c r="C264" s="4" t="s">
        <v>323</v>
      </c>
      <c r="D264" s="4" t="str">
        <f t="shared" si="43"/>
        <v>J175WF</v>
      </c>
      <c r="E264" s="4" t="s">
        <v>323</v>
      </c>
      <c r="F264" s="4" t="s">
        <v>1542</v>
      </c>
      <c r="G264" s="5">
        <v>4521718190433</v>
      </c>
      <c r="H264" s="5"/>
      <c r="I264" s="5"/>
      <c r="J264" s="5">
        <v>1</v>
      </c>
      <c r="K264" s="5">
        <v>1</v>
      </c>
      <c r="L264" s="4">
        <v>670</v>
      </c>
      <c r="M264" s="4">
        <v>603</v>
      </c>
      <c r="N264" s="4">
        <v>300</v>
      </c>
      <c r="O264" s="6">
        <f t="shared" si="44"/>
        <v>0.50248756218905477</v>
      </c>
      <c r="P264" s="4" t="s">
        <v>2500</v>
      </c>
      <c r="Q264" s="4"/>
      <c r="R264" s="4"/>
      <c r="S264" s="4"/>
      <c r="T264" s="4"/>
      <c r="U264" s="4"/>
      <c r="V264" s="4"/>
      <c r="W264" s="4"/>
      <c r="X264" s="4"/>
      <c r="Y264" s="4">
        <v>446</v>
      </c>
      <c r="Z264" s="4">
        <f t="shared" si="45"/>
        <v>446</v>
      </c>
      <c r="AA264" s="4">
        <v>312</v>
      </c>
      <c r="AB264" s="4">
        <f t="shared" si="46"/>
        <v>312</v>
      </c>
      <c r="AC264" s="4"/>
      <c r="AD264" s="21">
        <f>ROUND(M264*AR264,0)</f>
        <v>627</v>
      </c>
      <c r="AE264" s="6">
        <f>1-AB264/AD264</f>
        <v>0.50239234449760772</v>
      </c>
      <c r="AF264" s="33">
        <v>0</v>
      </c>
      <c r="AG264" s="4">
        <f t="shared" si="47"/>
        <v>670</v>
      </c>
      <c r="AH264" s="33">
        <f t="shared" si="49"/>
        <v>696.80000000000007</v>
      </c>
      <c r="AI264" s="6">
        <f>1-AB264/AH264</f>
        <v>0.55223880597014929</v>
      </c>
      <c r="AJ264" s="7">
        <v>446</v>
      </c>
      <c r="AK264" s="6">
        <f>1-AB264/AJ264</f>
        <v>0.30044843049327352</v>
      </c>
      <c r="AL264" s="4">
        <f>AJ264-AB264</f>
        <v>134</v>
      </c>
      <c r="AM264" s="28"/>
      <c r="AN264" s="6"/>
      <c r="AO264" s="6"/>
      <c r="AP264" s="6">
        <f>Z264/L264</f>
        <v>0.66567164179104477</v>
      </c>
      <c r="AQ264" s="6">
        <f>AJ264/M264</f>
        <v>0.73963515754560527</v>
      </c>
      <c r="AR264" s="6">
        <f>AB264/N264</f>
        <v>1.04</v>
      </c>
      <c r="AS264" s="4"/>
      <c r="AT264" s="4"/>
      <c r="AU264" s="4"/>
      <c r="AV264" s="4"/>
      <c r="AW264" s="4"/>
      <c r="AX264" s="4"/>
      <c r="AY264" s="4"/>
      <c r="AZ264" s="4"/>
      <c r="BA264" s="4"/>
      <c r="BB264" s="4">
        <v>0</v>
      </c>
      <c r="BC264" s="4" t="s">
        <v>3812</v>
      </c>
      <c r="BD264" s="4">
        <v>1</v>
      </c>
      <c r="BE264" s="4">
        <v>3</v>
      </c>
      <c r="BF264" s="4" t="s">
        <v>3623</v>
      </c>
      <c r="BG264" s="4">
        <v>2010</v>
      </c>
      <c r="BH264" s="4">
        <v>2010</v>
      </c>
      <c r="BI264" s="4">
        <f t="shared" si="48"/>
        <v>670</v>
      </c>
      <c r="BJ264" s="19">
        <v>4</v>
      </c>
      <c r="BK264" s="19">
        <v>8</v>
      </c>
      <c r="BL264" s="16">
        <v>6</v>
      </c>
      <c r="BM264" s="45" t="s">
        <v>3534</v>
      </c>
      <c r="BN264" t="s">
        <v>3534</v>
      </c>
      <c r="BO264" t="str">
        <f t="shared" si="50"/>
        <v>-</v>
      </c>
      <c r="BP264" t="s">
        <v>3534</v>
      </c>
      <c r="BQ264">
        <v>428</v>
      </c>
      <c r="BR264">
        <f t="shared" si="51"/>
        <v>445.12</v>
      </c>
      <c r="BS264" t="s">
        <v>2733</v>
      </c>
    </row>
    <row r="265" spans="1:71" x14ac:dyDescent="0.4">
      <c r="A265" s="3">
        <v>262</v>
      </c>
      <c r="B265" s="3">
        <v>262</v>
      </c>
      <c r="C265" s="4" t="s">
        <v>324</v>
      </c>
      <c r="D265" s="4" t="str">
        <f t="shared" si="43"/>
        <v>J175WH</v>
      </c>
      <c r="E265" s="4" t="s">
        <v>324</v>
      </c>
      <c r="F265" s="4" t="s">
        <v>1543</v>
      </c>
      <c r="G265" s="5">
        <v>4521718921266</v>
      </c>
      <c r="H265" s="5"/>
      <c r="I265" s="5"/>
      <c r="J265" s="5">
        <v>1</v>
      </c>
      <c r="K265" s="5">
        <v>1</v>
      </c>
      <c r="L265" s="4">
        <v>900</v>
      </c>
      <c r="M265" s="4">
        <v>860</v>
      </c>
      <c r="N265" s="4">
        <v>630</v>
      </c>
      <c r="O265" s="6">
        <f t="shared" si="44"/>
        <v>0.26744186046511631</v>
      </c>
      <c r="P265" s="4" t="s">
        <v>2500</v>
      </c>
      <c r="Q265" s="4"/>
      <c r="R265" s="4"/>
      <c r="S265" s="4"/>
      <c r="T265" s="4"/>
      <c r="U265" s="4"/>
      <c r="V265" s="4"/>
      <c r="W265" s="4"/>
      <c r="X265" s="4"/>
      <c r="Y265" s="4">
        <v>900</v>
      </c>
      <c r="Z265" s="4">
        <f t="shared" si="45"/>
        <v>900</v>
      </c>
      <c r="AA265" s="4">
        <v>585</v>
      </c>
      <c r="AB265" s="4">
        <f t="shared" si="46"/>
        <v>585</v>
      </c>
      <c r="AC265" s="4"/>
      <c r="AD265" s="21">
        <f>ROUND(M265*AR265,0)</f>
        <v>799</v>
      </c>
      <c r="AE265" s="6">
        <f>1-AB265/AD265</f>
        <v>0.26783479349186479</v>
      </c>
      <c r="AF265" s="33">
        <v>0</v>
      </c>
      <c r="AG265" s="4" t="str">
        <f t="shared" si="47"/>
        <v>-</v>
      </c>
      <c r="AH265" s="33" t="e">
        <f t="shared" si="49"/>
        <v>#VALUE!</v>
      </c>
      <c r="AI265" s="6" t="e">
        <f>1-AB265/AH265</f>
        <v>#VALUE!</v>
      </c>
      <c r="AJ265" s="7">
        <v>900</v>
      </c>
      <c r="AK265" s="6">
        <f>1-AB265/AJ265</f>
        <v>0.35</v>
      </c>
      <c r="AL265" s="4">
        <f>AJ265-AB265</f>
        <v>315</v>
      </c>
      <c r="AM265" s="28"/>
      <c r="AN265" s="6"/>
      <c r="AO265" s="6"/>
      <c r="AP265" s="6">
        <f>Z265/L265</f>
        <v>1</v>
      </c>
      <c r="AQ265" s="6">
        <f>AJ265/M265</f>
        <v>1.0465116279069768</v>
      </c>
      <c r="AR265" s="6">
        <f>AB265/N265</f>
        <v>0.9285714285714286</v>
      </c>
      <c r="AS265" s="4"/>
      <c r="AT265" s="4"/>
      <c r="AU265" s="4"/>
      <c r="AV265" s="4"/>
      <c r="AW265" s="4"/>
      <c r="AX265" s="4"/>
      <c r="AY265" s="4"/>
      <c r="AZ265" s="4"/>
      <c r="BA265" s="4"/>
      <c r="BB265" s="4">
        <v>0</v>
      </c>
      <c r="BC265" s="4" t="s">
        <v>3534</v>
      </c>
      <c r="BD265" s="4"/>
      <c r="BE265" s="4"/>
      <c r="BF265" s="4" t="s">
        <v>3534</v>
      </c>
      <c r="BG265" s="4" t="s">
        <v>3534</v>
      </c>
      <c r="BH265" s="4" t="s">
        <v>3534</v>
      </c>
      <c r="BI265" s="4" t="str">
        <f t="shared" si="48"/>
        <v>-</v>
      </c>
      <c r="BJ265" s="19">
        <v>4</v>
      </c>
      <c r="BK265" s="19">
        <v>8</v>
      </c>
      <c r="BL265" s="16">
        <v>6</v>
      </c>
      <c r="BM265" s="45" t="s">
        <v>3534</v>
      </c>
      <c r="BN265" t="s">
        <v>3534</v>
      </c>
      <c r="BO265" t="str">
        <f t="shared" si="50"/>
        <v>-</v>
      </c>
      <c r="BP265">
        <v>900</v>
      </c>
      <c r="BQ265">
        <v>900</v>
      </c>
      <c r="BR265">
        <f t="shared" si="51"/>
        <v>835.71428571428578</v>
      </c>
      <c r="BS265" t="s">
        <v>3534</v>
      </c>
    </row>
    <row r="266" spans="1:71" x14ac:dyDescent="0.4">
      <c r="A266" s="3">
        <v>263</v>
      </c>
      <c r="B266" s="3">
        <v>263</v>
      </c>
      <c r="C266" s="4" t="s">
        <v>325</v>
      </c>
      <c r="D266" s="4" t="str">
        <f t="shared" si="43"/>
        <v>J174WH</v>
      </c>
      <c r="E266" s="4" t="s">
        <v>325</v>
      </c>
      <c r="F266" s="4" t="s">
        <v>1544</v>
      </c>
      <c r="G266" s="5">
        <v>4521718921259</v>
      </c>
      <c r="H266" s="5"/>
      <c r="I266" s="5"/>
      <c r="J266" s="5">
        <v>1</v>
      </c>
      <c r="K266" s="5">
        <v>1</v>
      </c>
      <c r="L266" s="4">
        <v>900</v>
      </c>
      <c r="M266" s="4">
        <v>860</v>
      </c>
      <c r="N266" s="4">
        <v>630</v>
      </c>
      <c r="O266" s="6">
        <f t="shared" si="44"/>
        <v>0.26744186046511631</v>
      </c>
      <c r="P266" s="4" t="s">
        <v>2500</v>
      </c>
      <c r="Q266" s="4"/>
      <c r="R266" s="4"/>
      <c r="S266" s="4"/>
      <c r="T266" s="4"/>
      <c r="U266" s="4"/>
      <c r="V266" s="4"/>
      <c r="W266" s="4"/>
      <c r="X266" s="4"/>
      <c r="Y266" s="4">
        <v>900</v>
      </c>
      <c r="Z266" s="4">
        <f t="shared" si="45"/>
        <v>900</v>
      </c>
      <c r="AA266" s="4">
        <v>585</v>
      </c>
      <c r="AB266" s="4">
        <f t="shared" si="46"/>
        <v>585</v>
      </c>
      <c r="AC266" s="4"/>
      <c r="AD266" s="21">
        <f>ROUND(M266*AR266,0)</f>
        <v>799</v>
      </c>
      <c r="AE266" s="6">
        <f>1-AB266/AD266</f>
        <v>0.26783479349186479</v>
      </c>
      <c r="AF266" s="33">
        <v>0</v>
      </c>
      <c r="AG266" s="4" t="str">
        <f t="shared" si="47"/>
        <v>-</v>
      </c>
      <c r="AH266" s="33" t="e">
        <f t="shared" si="49"/>
        <v>#VALUE!</v>
      </c>
      <c r="AI266" s="6" t="e">
        <f>1-AB266/AH266</f>
        <v>#VALUE!</v>
      </c>
      <c r="AJ266" s="7">
        <v>900</v>
      </c>
      <c r="AK266" s="6">
        <f>1-AB266/AJ266</f>
        <v>0.35</v>
      </c>
      <c r="AL266" s="4">
        <f>AJ266-AB266</f>
        <v>315</v>
      </c>
      <c r="AM266" s="28"/>
      <c r="AN266" s="6"/>
      <c r="AO266" s="6"/>
      <c r="AP266" s="6">
        <f>Z266/L266</f>
        <v>1</v>
      </c>
      <c r="AQ266" s="6">
        <f>AJ266/M266</f>
        <v>1.0465116279069768</v>
      </c>
      <c r="AR266" s="6">
        <f>AB266/N266</f>
        <v>0.9285714285714286</v>
      </c>
      <c r="AS266" s="4"/>
      <c r="AT266" s="4"/>
      <c r="AU266" s="4"/>
      <c r="AV266" s="4"/>
      <c r="AW266" s="4"/>
      <c r="AX266" s="4"/>
      <c r="AY266" s="4"/>
      <c r="AZ266" s="4"/>
      <c r="BA266" s="4"/>
      <c r="BB266" s="4">
        <v>0</v>
      </c>
      <c r="BC266" s="4" t="s">
        <v>3534</v>
      </c>
      <c r="BD266" s="4"/>
      <c r="BE266" s="4"/>
      <c r="BF266" s="4" t="s">
        <v>3534</v>
      </c>
      <c r="BG266" s="4" t="s">
        <v>3534</v>
      </c>
      <c r="BH266" s="4" t="s">
        <v>3534</v>
      </c>
      <c r="BI266" s="4" t="str">
        <f t="shared" si="48"/>
        <v>-</v>
      </c>
      <c r="BJ266" s="19">
        <v>4</v>
      </c>
      <c r="BK266" s="19">
        <v>8</v>
      </c>
      <c r="BL266" s="16">
        <v>6</v>
      </c>
      <c r="BM266" s="45" t="s">
        <v>3534</v>
      </c>
      <c r="BN266" t="s">
        <v>3534</v>
      </c>
      <c r="BO266" t="str">
        <f t="shared" si="50"/>
        <v>-</v>
      </c>
      <c r="BP266">
        <v>900</v>
      </c>
      <c r="BQ266">
        <v>900</v>
      </c>
      <c r="BR266">
        <f t="shared" si="51"/>
        <v>835.71428571428578</v>
      </c>
      <c r="BS266" t="s">
        <v>3534</v>
      </c>
    </row>
    <row r="267" spans="1:71" x14ac:dyDescent="0.4">
      <c r="A267" s="3">
        <v>264</v>
      </c>
      <c r="B267" s="3">
        <v>264</v>
      </c>
      <c r="C267" s="4" t="s">
        <v>326</v>
      </c>
      <c r="D267" s="4" t="str">
        <f t="shared" si="43"/>
        <v>J176WF</v>
      </c>
      <c r="E267" s="4" t="s">
        <v>326</v>
      </c>
      <c r="F267" s="4" t="s">
        <v>1545</v>
      </c>
      <c r="G267" s="5">
        <v>4521718192031</v>
      </c>
      <c r="H267" s="5"/>
      <c r="I267" s="5"/>
      <c r="J267" s="5">
        <v>1</v>
      </c>
      <c r="K267" s="5">
        <v>1</v>
      </c>
      <c r="L267" s="4">
        <v>3960</v>
      </c>
      <c r="M267" s="4">
        <v>3564</v>
      </c>
      <c r="N267" s="4">
        <v>1782</v>
      </c>
      <c r="O267" s="6">
        <f t="shared" si="44"/>
        <v>0.5</v>
      </c>
      <c r="P267" s="4" t="s">
        <v>2500</v>
      </c>
      <c r="Q267" s="4"/>
      <c r="R267" s="4"/>
      <c r="S267" s="4"/>
      <c r="T267" s="4"/>
      <c r="U267" s="4"/>
      <c r="V267" s="4"/>
      <c r="W267" s="4"/>
      <c r="X267" s="4"/>
      <c r="Y267" s="4">
        <v>2637</v>
      </c>
      <c r="Z267" s="4">
        <f t="shared" si="45"/>
        <v>2637</v>
      </c>
      <c r="AA267" s="4">
        <v>1846</v>
      </c>
      <c r="AB267" s="4">
        <f t="shared" si="46"/>
        <v>1846</v>
      </c>
      <c r="AC267" s="4"/>
      <c r="AD267" s="21">
        <f>ROUND(M267*AR267,0)</f>
        <v>3692</v>
      </c>
      <c r="AE267" s="6">
        <f>1-AB267/AD267</f>
        <v>0.5</v>
      </c>
      <c r="AF267" s="33">
        <v>0</v>
      </c>
      <c r="AG267" s="4">
        <f t="shared" si="47"/>
        <v>3960</v>
      </c>
      <c r="AH267" s="33">
        <f t="shared" si="49"/>
        <v>4102.2222222222226</v>
      </c>
      <c r="AI267" s="6">
        <f>1-AB267/AH267</f>
        <v>0.55000000000000004</v>
      </c>
      <c r="AJ267" s="7">
        <v>2637</v>
      </c>
      <c r="AK267" s="6">
        <f>1-AB267/AJ267</f>
        <v>0.29996207811907472</v>
      </c>
      <c r="AL267" s="4">
        <f>AJ267-AB267</f>
        <v>791</v>
      </c>
      <c r="AM267" s="28"/>
      <c r="AN267" s="6"/>
      <c r="AO267" s="6"/>
      <c r="AP267" s="6">
        <f>Z267/L267</f>
        <v>0.66590909090909089</v>
      </c>
      <c r="AQ267" s="6">
        <f>AJ267/M267</f>
        <v>0.73989898989898994</v>
      </c>
      <c r="AR267" s="6">
        <f>AB267/N267</f>
        <v>1.0359147025813693</v>
      </c>
      <c r="AS267" s="4"/>
      <c r="AT267" s="4"/>
      <c r="AU267" s="4"/>
      <c r="AV267" s="4"/>
      <c r="AW267" s="4"/>
      <c r="AX267" s="4"/>
      <c r="AY267" s="4"/>
      <c r="AZ267" s="4"/>
      <c r="BA267" s="4"/>
      <c r="BB267" s="4">
        <v>0</v>
      </c>
      <c r="BC267" s="4" t="s">
        <v>3813</v>
      </c>
      <c r="BD267" s="4"/>
      <c r="BE267" s="4"/>
      <c r="BF267" s="4" t="s">
        <v>3649</v>
      </c>
      <c r="BG267" s="4">
        <v>3960</v>
      </c>
      <c r="BH267" s="4">
        <v>3960</v>
      </c>
      <c r="BI267" s="4">
        <f t="shared" si="48"/>
        <v>3960</v>
      </c>
      <c r="BJ267" s="19">
        <v>4</v>
      </c>
      <c r="BK267" s="19">
        <v>8</v>
      </c>
      <c r="BL267" s="16">
        <v>6</v>
      </c>
      <c r="BM267" s="45" t="s">
        <v>3534</v>
      </c>
      <c r="BN267" t="s">
        <v>3534</v>
      </c>
      <c r="BO267" t="str">
        <f t="shared" si="50"/>
        <v>-</v>
      </c>
      <c r="BP267" t="s">
        <v>3534</v>
      </c>
      <c r="BQ267">
        <v>2546</v>
      </c>
      <c r="BR267">
        <f t="shared" si="51"/>
        <v>2637.4388327721663</v>
      </c>
      <c r="BS267" t="s">
        <v>2734</v>
      </c>
    </row>
    <row r="268" spans="1:71" x14ac:dyDescent="0.4">
      <c r="A268" s="3">
        <v>265</v>
      </c>
      <c r="B268" s="3">
        <v>265</v>
      </c>
      <c r="C268" s="4" t="s">
        <v>327</v>
      </c>
      <c r="D268" s="4" t="str">
        <f t="shared" si="43"/>
        <v>J177WF</v>
      </c>
      <c r="E268" s="4" t="s">
        <v>327</v>
      </c>
      <c r="F268" s="4" t="s">
        <v>1546</v>
      </c>
      <c r="G268" s="5">
        <v>4521718192048</v>
      </c>
      <c r="H268" s="5"/>
      <c r="I268" s="5"/>
      <c r="J268" s="5">
        <v>1</v>
      </c>
      <c r="K268" s="5">
        <v>1</v>
      </c>
      <c r="L268" s="4">
        <v>3960</v>
      </c>
      <c r="M268" s="4">
        <v>3564</v>
      </c>
      <c r="N268" s="4">
        <v>1782</v>
      </c>
      <c r="O268" s="6">
        <f t="shared" si="44"/>
        <v>0.5</v>
      </c>
      <c r="P268" s="4" t="s">
        <v>2500</v>
      </c>
      <c r="Q268" s="4"/>
      <c r="R268" s="4"/>
      <c r="S268" s="4"/>
      <c r="T268" s="4"/>
      <c r="U268" s="4"/>
      <c r="V268" s="4"/>
      <c r="W268" s="4"/>
      <c r="X268" s="4"/>
      <c r="Y268" s="4">
        <v>2637</v>
      </c>
      <c r="Z268" s="4">
        <f t="shared" si="45"/>
        <v>2637</v>
      </c>
      <c r="AA268" s="4">
        <v>1846</v>
      </c>
      <c r="AB268" s="4">
        <f t="shared" si="46"/>
        <v>1846</v>
      </c>
      <c r="AC268" s="4"/>
      <c r="AD268" s="21">
        <f>ROUND(M268*AR268,0)</f>
        <v>3692</v>
      </c>
      <c r="AE268" s="6">
        <f>1-AB268/AD268</f>
        <v>0.5</v>
      </c>
      <c r="AF268" s="33">
        <v>0</v>
      </c>
      <c r="AG268" s="4">
        <f t="shared" si="47"/>
        <v>3960</v>
      </c>
      <c r="AH268" s="33">
        <f t="shared" si="49"/>
        <v>4102.2222222222226</v>
      </c>
      <c r="AI268" s="6">
        <f>1-AB268/AH268</f>
        <v>0.55000000000000004</v>
      </c>
      <c r="AJ268" s="7">
        <v>2637</v>
      </c>
      <c r="AK268" s="6">
        <f>1-AB268/AJ268</f>
        <v>0.29996207811907472</v>
      </c>
      <c r="AL268" s="4">
        <f>AJ268-AB268</f>
        <v>791</v>
      </c>
      <c r="AM268" s="28"/>
      <c r="AN268" s="6"/>
      <c r="AO268" s="6"/>
      <c r="AP268" s="6">
        <f>Z268/L268</f>
        <v>0.66590909090909089</v>
      </c>
      <c r="AQ268" s="6">
        <f>AJ268/M268</f>
        <v>0.73989898989898994</v>
      </c>
      <c r="AR268" s="6">
        <f>AB268/N268</f>
        <v>1.0359147025813693</v>
      </c>
      <c r="AS268" s="4"/>
      <c r="AT268" s="4"/>
      <c r="AU268" s="4"/>
      <c r="AV268" s="4"/>
      <c r="AW268" s="4"/>
      <c r="AX268" s="4"/>
      <c r="AY268" s="4"/>
      <c r="AZ268" s="4"/>
      <c r="BA268" s="4"/>
      <c r="BB268" s="4">
        <v>0</v>
      </c>
      <c r="BC268" s="4" t="s">
        <v>3814</v>
      </c>
      <c r="BD268" s="4"/>
      <c r="BE268" s="4"/>
      <c r="BF268" s="4" t="s">
        <v>3649</v>
      </c>
      <c r="BG268" s="4">
        <v>3960</v>
      </c>
      <c r="BH268" s="4">
        <v>3960</v>
      </c>
      <c r="BI268" s="4">
        <f t="shared" si="48"/>
        <v>3960</v>
      </c>
      <c r="BJ268" s="19">
        <v>4</v>
      </c>
      <c r="BK268" s="19">
        <v>8</v>
      </c>
      <c r="BL268" s="16">
        <v>6</v>
      </c>
      <c r="BM268" s="45" t="s">
        <v>3534</v>
      </c>
      <c r="BN268" t="s">
        <v>3534</v>
      </c>
      <c r="BO268" t="str">
        <f t="shared" si="50"/>
        <v>-</v>
      </c>
      <c r="BP268" t="s">
        <v>3534</v>
      </c>
      <c r="BQ268">
        <v>2546</v>
      </c>
      <c r="BR268">
        <f t="shared" si="51"/>
        <v>2637.4388327721663</v>
      </c>
      <c r="BS268" t="s">
        <v>2735</v>
      </c>
    </row>
    <row r="269" spans="1:71" x14ac:dyDescent="0.4">
      <c r="A269" s="3">
        <v>266</v>
      </c>
      <c r="B269" s="3">
        <v>266</v>
      </c>
      <c r="C269" s="4" t="s">
        <v>328</v>
      </c>
      <c r="D269" s="4" t="str">
        <f t="shared" si="43"/>
        <v>J177WH</v>
      </c>
      <c r="E269" s="4" t="s">
        <v>328</v>
      </c>
      <c r="F269" s="4" t="s">
        <v>1547</v>
      </c>
      <c r="G269" s="5">
        <v>4521718921280</v>
      </c>
      <c r="H269" s="5"/>
      <c r="I269" s="5"/>
      <c r="J269" s="5">
        <v>1</v>
      </c>
      <c r="K269" s="5">
        <v>1</v>
      </c>
      <c r="L269" s="4">
        <v>900</v>
      </c>
      <c r="M269" s="4">
        <v>860</v>
      </c>
      <c r="N269" s="4">
        <v>630</v>
      </c>
      <c r="O269" s="6">
        <f t="shared" si="44"/>
        <v>0.26744186046511631</v>
      </c>
      <c r="P269" s="4" t="s">
        <v>2500</v>
      </c>
      <c r="Q269" s="4"/>
      <c r="R269" s="4"/>
      <c r="S269" s="4"/>
      <c r="T269" s="4"/>
      <c r="U269" s="4"/>
      <c r="V269" s="4"/>
      <c r="W269" s="4"/>
      <c r="X269" s="4"/>
      <c r="Y269" s="4">
        <v>900</v>
      </c>
      <c r="Z269" s="4">
        <f t="shared" si="45"/>
        <v>900</v>
      </c>
      <c r="AA269" s="4">
        <v>585</v>
      </c>
      <c r="AB269" s="4">
        <f t="shared" si="46"/>
        <v>585</v>
      </c>
      <c r="AC269" s="4"/>
      <c r="AD269" s="21">
        <f>ROUND(M269*AR269,0)</f>
        <v>799</v>
      </c>
      <c r="AE269" s="6">
        <f>1-AB269/AD269</f>
        <v>0.26783479349186479</v>
      </c>
      <c r="AF269" s="33">
        <v>0</v>
      </c>
      <c r="AG269" s="4" t="str">
        <f t="shared" si="47"/>
        <v>-</v>
      </c>
      <c r="AH269" s="33" t="e">
        <f t="shared" si="49"/>
        <v>#VALUE!</v>
      </c>
      <c r="AI269" s="6" t="e">
        <f>1-AB269/AH269</f>
        <v>#VALUE!</v>
      </c>
      <c r="AJ269" s="7">
        <v>900</v>
      </c>
      <c r="AK269" s="6">
        <f>1-AB269/AJ269</f>
        <v>0.35</v>
      </c>
      <c r="AL269" s="4">
        <f>AJ269-AB269</f>
        <v>315</v>
      </c>
      <c r="AM269" s="28"/>
      <c r="AN269" s="6"/>
      <c r="AO269" s="6"/>
      <c r="AP269" s="6">
        <f>Z269/L269</f>
        <v>1</v>
      </c>
      <c r="AQ269" s="6">
        <f>AJ269/M269</f>
        <v>1.0465116279069768</v>
      </c>
      <c r="AR269" s="6">
        <f>AB269/N269</f>
        <v>0.9285714285714286</v>
      </c>
      <c r="AS269" s="4"/>
      <c r="AT269" s="4"/>
      <c r="AU269" s="4"/>
      <c r="AV269" s="4"/>
      <c r="AW269" s="4"/>
      <c r="AX269" s="4"/>
      <c r="AY269" s="4"/>
      <c r="AZ269" s="4"/>
      <c r="BA269" s="4"/>
      <c r="BB269" s="4">
        <v>0</v>
      </c>
      <c r="BC269" s="4" t="s">
        <v>3534</v>
      </c>
      <c r="BD269" s="4"/>
      <c r="BE269" s="4"/>
      <c r="BF269" s="4" t="s">
        <v>3534</v>
      </c>
      <c r="BG269" s="4" t="s">
        <v>3534</v>
      </c>
      <c r="BH269" s="4" t="s">
        <v>3534</v>
      </c>
      <c r="BI269" s="4" t="str">
        <f t="shared" si="48"/>
        <v>-</v>
      </c>
      <c r="BJ269" s="19">
        <v>4</v>
      </c>
      <c r="BK269" s="19">
        <v>8</v>
      </c>
      <c r="BL269" s="16">
        <v>6</v>
      </c>
      <c r="BM269" s="45" t="s">
        <v>3534</v>
      </c>
      <c r="BN269" t="s">
        <v>3534</v>
      </c>
      <c r="BO269" t="str">
        <f t="shared" si="50"/>
        <v>-</v>
      </c>
      <c r="BP269">
        <v>900</v>
      </c>
      <c r="BQ269">
        <v>900</v>
      </c>
      <c r="BR269">
        <f t="shared" si="51"/>
        <v>835.71428571428578</v>
      </c>
      <c r="BS269" t="s">
        <v>3534</v>
      </c>
    </row>
    <row r="270" spans="1:71" x14ac:dyDescent="0.4">
      <c r="A270" s="3">
        <v>267</v>
      </c>
      <c r="B270" s="3">
        <v>267</v>
      </c>
      <c r="C270" s="4" t="s">
        <v>329</v>
      </c>
      <c r="D270" s="4" t="str">
        <f t="shared" si="43"/>
        <v>J178WF</v>
      </c>
      <c r="E270" s="4" t="s">
        <v>329</v>
      </c>
      <c r="F270" s="4" t="s">
        <v>1548</v>
      </c>
      <c r="G270" s="5">
        <v>4521718218939</v>
      </c>
      <c r="H270" s="5"/>
      <c r="I270" s="5"/>
      <c r="J270" s="5">
        <v>1</v>
      </c>
      <c r="K270" s="5">
        <v>1</v>
      </c>
      <c r="L270" s="4">
        <v>2550</v>
      </c>
      <c r="M270" s="4">
        <v>2295</v>
      </c>
      <c r="N270" s="4">
        <v>1146</v>
      </c>
      <c r="O270" s="6">
        <f t="shared" si="44"/>
        <v>0.50065359477124183</v>
      </c>
      <c r="P270" s="4" t="s">
        <v>2500</v>
      </c>
      <c r="Q270" s="4"/>
      <c r="R270" s="4"/>
      <c r="S270" s="4"/>
      <c r="T270" s="4"/>
      <c r="U270" s="4"/>
      <c r="V270" s="4"/>
      <c r="W270" s="4"/>
      <c r="X270" s="4"/>
      <c r="Y270" s="4">
        <v>1728</v>
      </c>
      <c r="Z270" s="4">
        <f t="shared" si="45"/>
        <v>1728</v>
      </c>
      <c r="AA270" s="4">
        <v>1210</v>
      </c>
      <c r="AB270" s="4">
        <f t="shared" si="46"/>
        <v>1210</v>
      </c>
      <c r="AC270" s="4"/>
      <c r="AD270" s="21">
        <f>ROUND(M270*AR270,0)</f>
        <v>2423</v>
      </c>
      <c r="AE270" s="6">
        <f>1-AB270/AD270</f>
        <v>0.50061906727197691</v>
      </c>
      <c r="AF270" s="33">
        <v>0</v>
      </c>
      <c r="AG270" s="4">
        <f t="shared" si="47"/>
        <v>2550</v>
      </c>
      <c r="AH270" s="33">
        <f t="shared" si="49"/>
        <v>2692.4083769633507</v>
      </c>
      <c r="AI270" s="6">
        <f>1-AB270/AH270</f>
        <v>0.5505882352941176</v>
      </c>
      <c r="AJ270" s="7">
        <v>1728</v>
      </c>
      <c r="AK270" s="6">
        <f>1-AB270/AJ270</f>
        <v>0.29976851851851849</v>
      </c>
      <c r="AL270" s="4">
        <f>AJ270-AB270</f>
        <v>518</v>
      </c>
      <c r="AM270" s="28"/>
      <c r="AN270" s="6"/>
      <c r="AO270" s="6"/>
      <c r="AP270" s="6">
        <f>Z270/L270</f>
        <v>0.67764705882352938</v>
      </c>
      <c r="AQ270" s="6">
        <f>AJ270/M270</f>
        <v>0.75294117647058822</v>
      </c>
      <c r="AR270" s="6">
        <f>AB270/N270</f>
        <v>1.0558464223385688</v>
      </c>
      <c r="AS270" s="4"/>
      <c r="AT270" s="4"/>
      <c r="AU270" s="4"/>
      <c r="AV270" s="4"/>
      <c r="AW270" s="4"/>
      <c r="AX270" s="4"/>
      <c r="AY270" s="4"/>
      <c r="AZ270" s="4"/>
      <c r="BA270" s="4"/>
      <c r="BB270" s="4">
        <v>0</v>
      </c>
      <c r="BC270" s="4" t="s">
        <v>3815</v>
      </c>
      <c r="BD270" s="4"/>
      <c r="BE270" s="4"/>
      <c r="BF270" s="4" t="s">
        <v>3649</v>
      </c>
      <c r="BG270" s="4">
        <v>2550</v>
      </c>
      <c r="BH270" s="4">
        <v>2550</v>
      </c>
      <c r="BI270" s="4">
        <f t="shared" si="48"/>
        <v>2550</v>
      </c>
      <c r="BJ270" s="19">
        <v>4</v>
      </c>
      <c r="BK270" s="19">
        <v>8</v>
      </c>
      <c r="BL270" s="16">
        <v>6</v>
      </c>
      <c r="BM270" s="45" t="s">
        <v>3534</v>
      </c>
      <c r="BN270" t="s">
        <v>3534</v>
      </c>
      <c r="BO270" t="str">
        <f t="shared" si="50"/>
        <v>-</v>
      </c>
      <c r="BP270" t="s">
        <v>3534</v>
      </c>
      <c r="BQ270">
        <v>1637</v>
      </c>
      <c r="BR270">
        <f t="shared" si="51"/>
        <v>1728.4205933682372</v>
      </c>
      <c r="BS270" t="s">
        <v>2736</v>
      </c>
    </row>
    <row r="271" spans="1:71" x14ac:dyDescent="0.4">
      <c r="A271" s="3">
        <v>268</v>
      </c>
      <c r="B271" s="3">
        <v>268</v>
      </c>
      <c r="C271" s="4" t="s">
        <v>330</v>
      </c>
      <c r="D271" s="4" t="str">
        <f t="shared" si="43"/>
        <v>J178WH</v>
      </c>
      <c r="E271" s="4" t="s">
        <v>330</v>
      </c>
      <c r="F271" s="4" t="s">
        <v>1549</v>
      </c>
      <c r="G271" s="5">
        <v>4521718921297</v>
      </c>
      <c r="H271" s="5"/>
      <c r="I271" s="5"/>
      <c r="J271" s="5">
        <v>1</v>
      </c>
      <c r="K271" s="5">
        <v>1</v>
      </c>
      <c r="L271" s="4">
        <v>900</v>
      </c>
      <c r="M271" s="4">
        <v>860</v>
      </c>
      <c r="N271" s="4">
        <v>630</v>
      </c>
      <c r="O271" s="6">
        <f t="shared" si="44"/>
        <v>0.26744186046511631</v>
      </c>
      <c r="P271" s="4" t="s">
        <v>2500</v>
      </c>
      <c r="Q271" s="4"/>
      <c r="R271" s="4"/>
      <c r="S271" s="4"/>
      <c r="T271" s="4"/>
      <c r="U271" s="4"/>
      <c r="V271" s="4"/>
      <c r="W271" s="4"/>
      <c r="X271" s="4"/>
      <c r="Y271" s="4">
        <v>900</v>
      </c>
      <c r="Z271" s="4">
        <f t="shared" si="45"/>
        <v>900</v>
      </c>
      <c r="AA271" s="4">
        <v>585</v>
      </c>
      <c r="AB271" s="4">
        <f t="shared" si="46"/>
        <v>585</v>
      </c>
      <c r="AC271" s="4"/>
      <c r="AD271" s="21">
        <f>ROUND(M271*AR271,0)</f>
        <v>799</v>
      </c>
      <c r="AE271" s="6">
        <f>1-AB271/AD271</f>
        <v>0.26783479349186479</v>
      </c>
      <c r="AF271" s="33">
        <v>1.5</v>
      </c>
      <c r="AG271" s="4" t="str">
        <f t="shared" si="47"/>
        <v>-</v>
      </c>
      <c r="AH271" s="33" t="e">
        <f t="shared" si="49"/>
        <v>#VALUE!</v>
      </c>
      <c r="AI271" s="6" t="e">
        <f>1-AB271/AH271</f>
        <v>#VALUE!</v>
      </c>
      <c r="AJ271" s="7">
        <v>900</v>
      </c>
      <c r="AK271" s="6">
        <f>1-AB271/AJ271</f>
        <v>0.35</v>
      </c>
      <c r="AL271" s="4">
        <f>AJ271-AB271</f>
        <v>315</v>
      </c>
      <c r="AM271" s="28"/>
      <c r="AN271" s="6"/>
      <c r="AO271" s="6"/>
      <c r="AP271" s="6">
        <f>Z271/L271</f>
        <v>1</v>
      </c>
      <c r="AQ271" s="6">
        <f>AJ271/M271</f>
        <v>1.0465116279069768</v>
      </c>
      <c r="AR271" s="6">
        <f>AB271/N271</f>
        <v>0.9285714285714286</v>
      </c>
      <c r="AS271" s="4"/>
      <c r="AT271" s="4"/>
      <c r="AU271" s="4"/>
      <c r="AV271" s="4"/>
      <c r="AW271" s="4"/>
      <c r="AX271" s="4"/>
      <c r="AY271" s="4"/>
      <c r="AZ271" s="4"/>
      <c r="BA271" s="4"/>
      <c r="BB271" s="4">
        <v>0</v>
      </c>
      <c r="BC271" s="4" t="s">
        <v>3534</v>
      </c>
      <c r="BD271" s="4"/>
      <c r="BE271" s="4"/>
      <c r="BF271" s="4" t="s">
        <v>3534</v>
      </c>
      <c r="BG271" s="4" t="s">
        <v>3534</v>
      </c>
      <c r="BH271" s="4" t="s">
        <v>3534</v>
      </c>
      <c r="BI271" s="4" t="str">
        <f t="shared" si="48"/>
        <v>-</v>
      </c>
      <c r="BJ271" s="19">
        <v>4</v>
      </c>
      <c r="BK271" s="19">
        <v>8</v>
      </c>
      <c r="BL271" s="16">
        <v>6</v>
      </c>
      <c r="BM271" s="45" t="s">
        <v>3534</v>
      </c>
      <c r="BN271" t="s">
        <v>3534</v>
      </c>
      <c r="BO271" t="str">
        <f t="shared" si="50"/>
        <v>-</v>
      </c>
      <c r="BP271">
        <v>900</v>
      </c>
      <c r="BQ271">
        <v>900</v>
      </c>
      <c r="BR271">
        <f t="shared" si="51"/>
        <v>835.71428571428578</v>
      </c>
      <c r="BS271" t="s">
        <v>3534</v>
      </c>
    </row>
    <row r="272" spans="1:71" x14ac:dyDescent="0.4">
      <c r="A272" s="3">
        <v>269</v>
      </c>
      <c r="B272" s="3">
        <v>269</v>
      </c>
      <c r="C272" s="4" t="s">
        <v>331</v>
      </c>
      <c r="D272" s="4" t="str">
        <f t="shared" si="43"/>
        <v>J176WH</v>
      </c>
      <c r="E272" s="4" t="s">
        <v>331</v>
      </c>
      <c r="F272" s="4" t="s">
        <v>1550</v>
      </c>
      <c r="G272" s="5">
        <v>4521718921273</v>
      </c>
      <c r="H272" s="5"/>
      <c r="I272" s="5"/>
      <c r="J272" s="5">
        <v>1</v>
      </c>
      <c r="K272" s="5">
        <v>1</v>
      </c>
      <c r="L272" s="4">
        <v>900</v>
      </c>
      <c r="M272" s="4">
        <v>860</v>
      </c>
      <c r="N272" s="4">
        <v>630</v>
      </c>
      <c r="O272" s="6">
        <f t="shared" si="44"/>
        <v>0.26744186046511631</v>
      </c>
      <c r="P272" s="4" t="s">
        <v>2500</v>
      </c>
      <c r="Q272" s="4"/>
      <c r="R272" s="4"/>
      <c r="S272" s="4"/>
      <c r="T272" s="4"/>
      <c r="U272" s="4"/>
      <c r="V272" s="4"/>
      <c r="W272" s="4"/>
      <c r="X272" s="4"/>
      <c r="Y272" s="4">
        <v>900</v>
      </c>
      <c r="Z272" s="4">
        <f t="shared" si="45"/>
        <v>900</v>
      </c>
      <c r="AA272" s="4">
        <v>585</v>
      </c>
      <c r="AB272" s="4">
        <f t="shared" si="46"/>
        <v>585</v>
      </c>
      <c r="AC272" s="4"/>
      <c r="AD272" s="21">
        <f>ROUND(M272*AR272,0)</f>
        <v>799</v>
      </c>
      <c r="AE272" s="6">
        <f>1-AB272/AD272</f>
        <v>0.26783479349186479</v>
      </c>
      <c r="AF272" s="33">
        <v>0</v>
      </c>
      <c r="AG272" s="4" t="str">
        <f t="shared" si="47"/>
        <v>-</v>
      </c>
      <c r="AH272" s="33" t="e">
        <f t="shared" si="49"/>
        <v>#VALUE!</v>
      </c>
      <c r="AI272" s="6" t="e">
        <f>1-AB272/AH272</f>
        <v>#VALUE!</v>
      </c>
      <c r="AJ272" s="7">
        <v>900</v>
      </c>
      <c r="AK272" s="6">
        <f>1-AB272/AJ272</f>
        <v>0.35</v>
      </c>
      <c r="AL272" s="4">
        <f>AJ272-AB272</f>
        <v>315</v>
      </c>
      <c r="AM272" s="28"/>
      <c r="AN272" s="6"/>
      <c r="AO272" s="6"/>
      <c r="AP272" s="6">
        <f>Z272/L272</f>
        <v>1</v>
      </c>
      <c r="AQ272" s="6">
        <f>AJ272/M272</f>
        <v>1.0465116279069768</v>
      </c>
      <c r="AR272" s="6">
        <f>AB272/N272</f>
        <v>0.9285714285714286</v>
      </c>
      <c r="AS272" s="4"/>
      <c r="AT272" s="4"/>
      <c r="AU272" s="4"/>
      <c r="AV272" s="4"/>
      <c r="AW272" s="4"/>
      <c r="AX272" s="4"/>
      <c r="AY272" s="4"/>
      <c r="AZ272" s="4"/>
      <c r="BA272" s="4"/>
      <c r="BB272" s="4">
        <v>0</v>
      </c>
      <c r="BC272" s="4" t="s">
        <v>3534</v>
      </c>
      <c r="BD272" s="4"/>
      <c r="BE272" s="4"/>
      <c r="BF272" s="4" t="s">
        <v>3534</v>
      </c>
      <c r="BG272" s="4" t="s">
        <v>3534</v>
      </c>
      <c r="BH272" s="4" t="s">
        <v>3534</v>
      </c>
      <c r="BI272" s="4" t="str">
        <f t="shared" si="48"/>
        <v>-</v>
      </c>
      <c r="BJ272" s="19">
        <v>4</v>
      </c>
      <c r="BK272" s="19">
        <v>8</v>
      </c>
      <c r="BL272" s="16">
        <v>6</v>
      </c>
      <c r="BM272" s="45" t="s">
        <v>3534</v>
      </c>
      <c r="BN272" t="s">
        <v>3534</v>
      </c>
      <c r="BO272" t="str">
        <f t="shared" si="50"/>
        <v>-</v>
      </c>
      <c r="BP272">
        <v>900</v>
      </c>
      <c r="BQ272">
        <v>900</v>
      </c>
      <c r="BR272">
        <f t="shared" si="51"/>
        <v>835.71428571428578</v>
      </c>
      <c r="BS272" t="s">
        <v>3534</v>
      </c>
    </row>
    <row r="273" spans="1:71" x14ac:dyDescent="0.4">
      <c r="A273" s="3">
        <v>270</v>
      </c>
      <c r="B273" s="3">
        <v>270</v>
      </c>
      <c r="C273" s="4" t="s">
        <v>332</v>
      </c>
      <c r="D273" s="4" t="str">
        <f t="shared" si="43"/>
        <v>J179WF</v>
      </c>
      <c r="E273" s="4" t="s">
        <v>332</v>
      </c>
      <c r="F273" s="4" t="s">
        <v>1551</v>
      </c>
      <c r="G273" s="5">
        <v>4521718218946</v>
      </c>
      <c r="H273" s="5"/>
      <c r="I273" s="5"/>
      <c r="J273" s="5">
        <v>1</v>
      </c>
      <c r="K273" s="5">
        <v>1</v>
      </c>
      <c r="L273" s="4">
        <v>2550</v>
      </c>
      <c r="M273" s="4">
        <v>2295</v>
      </c>
      <c r="N273" s="4">
        <v>1146</v>
      </c>
      <c r="O273" s="6">
        <f t="shared" si="44"/>
        <v>0.50065359477124183</v>
      </c>
      <c r="P273" s="4" t="s">
        <v>2500</v>
      </c>
      <c r="Q273" s="4"/>
      <c r="R273" s="4"/>
      <c r="S273" s="4"/>
      <c r="T273" s="4"/>
      <c r="U273" s="4"/>
      <c r="V273" s="4"/>
      <c r="W273" s="4"/>
      <c r="X273" s="4"/>
      <c r="Y273" s="4">
        <v>1728</v>
      </c>
      <c r="Z273" s="4">
        <f t="shared" si="45"/>
        <v>1728</v>
      </c>
      <c r="AA273" s="4">
        <v>1210</v>
      </c>
      <c r="AB273" s="4">
        <f t="shared" si="46"/>
        <v>1210</v>
      </c>
      <c r="AC273" s="4"/>
      <c r="AD273" s="21">
        <f>ROUND(M273*AR273,0)</f>
        <v>2423</v>
      </c>
      <c r="AE273" s="6">
        <f>1-AB273/AD273</f>
        <v>0.50061906727197691</v>
      </c>
      <c r="AF273" s="33">
        <v>0</v>
      </c>
      <c r="AG273" s="4">
        <f t="shared" si="47"/>
        <v>2550</v>
      </c>
      <c r="AH273" s="33">
        <f t="shared" si="49"/>
        <v>2692.4083769633507</v>
      </c>
      <c r="AI273" s="6">
        <f>1-AB273/AH273</f>
        <v>0.5505882352941176</v>
      </c>
      <c r="AJ273" s="7">
        <v>1728</v>
      </c>
      <c r="AK273" s="6">
        <f>1-AB273/AJ273</f>
        <v>0.29976851851851849</v>
      </c>
      <c r="AL273" s="4">
        <f>AJ273-AB273</f>
        <v>518</v>
      </c>
      <c r="AM273" s="28"/>
      <c r="AN273" s="6"/>
      <c r="AO273" s="6"/>
      <c r="AP273" s="6">
        <f>Z273/L273</f>
        <v>0.67764705882352938</v>
      </c>
      <c r="AQ273" s="6">
        <f>AJ273/M273</f>
        <v>0.75294117647058822</v>
      </c>
      <c r="AR273" s="6">
        <f>AB273/N273</f>
        <v>1.0558464223385688</v>
      </c>
      <c r="AS273" s="4"/>
      <c r="AT273" s="4"/>
      <c r="AU273" s="4"/>
      <c r="AV273" s="4"/>
      <c r="AW273" s="4"/>
      <c r="AX273" s="4"/>
      <c r="AY273" s="4"/>
      <c r="AZ273" s="4"/>
      <c r="BA273" s="4"/>
      <c r="BB273" s="4">
        <v>0</v>
      </c>
      <c r="BC273" s="4" t="s">
        <v>3816</v>
      </c>
      <c r="BD273" s="4"/>
      <c r="BE273" s="4"/>
      <c r="BF273" s="4" t="s">
        <v>3649</v>
      </c>
      <c r="BG273" s="4">
        <v>2550</v>
      </c>
      <c r="BH273" s="4">
        <v>2550</v>
      </c>
      <c r="BI273" s="4">
        <f t="shared" si="48"/>
        <v>2550</v>
      </c>
      <c r="BJ273" s="19">
        <v>4</v>
      </c>
      <c r="BK273" s="19">
        <v>8</v>
      </c>
      <c r="BL273" s="16">
        <v>6</v>
      </c>
      <c r="BM273" s="45" t="s">
        <v>3534</v>
      </c>
      <c r="BN273" t="s">
        <v>3534</v>
      </c>
      <c r="BO273" t="str">
        <f t="shared" si="50"/>
        <v>-</v>
      </c>
      <c r="BP273" t="s">
        <v>3534</v>
      </c>
      <c r="BQ273">
        <v>1637</v>
      </c>
      <c r="BR273">
        <f t="shared" si="51"/>
        <v>1728.4205933682372</v>
      </c>
      <c r="BS273" t="s">
        <v>2737</v>
      </c>
    </row>
    <row r="274" spans="1:71" x14ac:dyDescent="0.4">
      <c r="A274" s="3">
        <v>271</v>
      </c>
      <c r="B274" s="3">
        <v>271</v>
      </c>
      <c r="C274" s="4" t="s">
        <v>333</v>
      </c>
      <c r="D274" s="4" t="str">
        <f t="shared" si="43"/>
        <v>J179WH</v>
      </c>
      <c r="E274" s="4" t="s">
        <v>333</v>
      </c>
      <c r="F274" s="4" t="s">
        <v>1552</v>
      </c>
      <c r="G274" s="5">
        <v>4521718921303</v>
      </c>
      <c r="H274" s="5"/>
      <c r="I274" s="5"/>
      <c r="J274" s="5">
        <v>1</v>
      </c>
      <c r="K274" s="5">
        <v>1</v>
      </c>
      <c r="L274" s="4">
        <v>900</v>
      </c>
      <c r="M274" s="4">
        <v>860</v>
      </c>
      <c r="N274" s="4">
        <v>630</v>
      </c>
      <c r="O274" s="6">
        <f t="shared" si="44"/>
        <v>0.26744186046511631</v>
      </c>
      <c r="P274" s="4" t="s">
        <v>2500</v>
      </c>
      <c r="Q274" s="4"/>
      <c r="R274" s="4"/>
      <c r="S274" s="4"/>
      <c r="T274" s="4"/>
      <c r="U274" s="4"/>
      <c r="V274" s="4"/>
      <c r="W274" s="4"/>
      <c r="X274" s="4"/>
      <c r="Y274" s="4">
        <v>900</v>
      </c>
      <c r="Z274" s="4">
        <f t="shared" si="45"/>
        <v>900</v>
      </c>
      <c r="AA274" s="4">
        <v>585</v>
      </c>
      <c r="AB274" s="4">
        <f t="shared" si="46"/>
        <v>585</v>
      </c>
      <c r="AC274" s="4"/>
      <c r="AD274" s="21">
        <f>ROUND(M274*AR274,0)</f>
        <v>799</v>
      </c>
      <c r="AE274" s="6">
        <f>1-AB274/AD274</f>
        <v>0.26783479349186479</v>
      </c>
      <c r="AF274" s="33">
        <v>0</v>
      </c>
      <c r="AG274" s="4" t="str">
        <f t="shared" si="47"/>
        <v>-</v>
      </c>
      <c r="AH274" s="33" t="e">
        <f t="shared" si="49"/>
        <v>#VALUE!</v>
      </c>
      <c r="AI274" s="6" t="e">
        <f>1-AB274/AH274</f>
        <v>#VALUE!</v>
      </c>
      <c r="AJ274" s="7">
        <v>900</v>
      </c>
      <c r="AK274" s="6">
        <f>1-AB274/AJ274</f>
        <v>0.35</v>
      </c>
      <c r="AL274" s="4">
        <f>AJ274-AB274</f>
        <v>315</v>
      </c>
      <c r="AM274" s="28"/>
      <c r="AN274" s="6"/>
      <c r="AO274" s="6"/>
      <c r="AP274" s="6">
        <f>Z274/L274</f>
        <v>1</v>
      </c>
      <c r="AQ274" s="6">
        <f>AJ274/M274</f>
        <v>1.0465116279069768</v>
      </c>
      <c r="AR274" s="6">
        <f>AB274/N274</f>
        <v>0.9285714285714286</v>
      </c>
      <c r="AS274" s="4"/>
      <c r="AT274" s="4"/>
      <c r="AU274" s="4"/>
      <c r="AV274" s="4"/>
      <c r="AW274" s="4"/>
      <c r="AX274" s="4"/>
      <c r="AY274" s="4"/>
      <c r="AZ274" s="4"/>
      <c r="BA274" s="4"/>
      <c r="BB274" s="4">
        <v>0</v>
      </c>
      <c r="BC274" s="4" t="s">
        <v>3534</v>
      </c>
      <c r="BD274" s="4"/>
      <c r="BE274" s="4"/>
      <c r="BF274" s="4" t="s">
        <v>3534</v>
      </c>
      <c r="BG274" s="4" t="s">
        <v>3534</v>
      </c>
      <c r="BH274" s="4" t="s">
        <v>3534</v>
      </c>
      <c r="BI274" s="4" t="str">
        <f t="shared" si="48"/>
        <v>-</v>
      </c>
      <c r="BJ274" s="19">
        <v>4</v>
      </c>
      <c r="BK274" s="19">
        <v>8</v>
      </c>
      <c r="BL274" s="16">
        <v>6</v>
      </c>
      <c r="BM274" s="45" t="s">
        <v>3534</v>
      </c>
      <c r="BN274" t="s">
        <v>3534</v>
      </c>
      <c r="BO274" t="str">
        <f t="shared" si="50"/>
        <v>-</v>
      </c>
      <c r="BP274">
        <v>900</v>
      </c>
      <c r="BQ274">
        <v>900</v>
      </c>
      <c r="BR274">
        <f t="shared" si="51"/>
        <v>835.71428571428578</v>
      </c>
      <c r="BS274" t="s">
        <v>3534</v>
      </c>
    </row>
    <row r="275" spans="1:71" x14ac:dyDescent="0.4">
      <c r="A275" s="3">
        <v>272</v>
      </c>
      <c r="B275" s="3">
        <v>272</v>
      </c>
      <c r="C275" s="4" t="s">
        <v>334</v>
      </c>
      <c r="D275" s="4" t="str">
        <f t="shared" si="43"/>
        <v>J180WF</v>
      </c>
      <c r="E275" s="4" t="s">
        <v>334</v>
      </c>
      <c r="F275" s="4" t="s">
        <v>1553</v>
      </c>
      <c r="G275" s="5">
        <v>4521718218953</v>
      </c>
      <c r="H275" s="5"/>
      <c r="I275" s="5"/>
      <c r="J275" s="5">
        <v>1</v>
      </c>
      <c r="K275" s="5">
        <v>1</v>
      </c>
      <c r="L275" s="4">
        <v>2550</v>
      </c>
      <c r="M275" s="4">
        <v>2295</v>
      </c>
      <c r="N275" s="4">
        <v>1146</v>
      </c>
      <c r="O275" s="6">
        <f t="shared" si="44"/>
        <v>0.50065359477124183</v>
      </c>
      <c r="P275" s="4" t="s">
        <v>2500</v>
      </c>
      <c r="Q275" s="4"/>
      <c r="R275" s="4"/>
      <c r="S275" s="4"/>
      <c r="T275" s="4"/>
      <c r="U275" s="4"/>
      <c r="V275" s="4"/>
      <c r="W275" s="4"/>
      <c r="X275" s="4"/>
      <c r="Y275" s="4">
        <v>1728</v>
      </c>
      <c r="Z275" s="4">
        <f t="shared" si="45"/>
        <v>1728</v>
      </c>
      <c r="AA275" s="4">
        <v>1210</v>
      </c>
      <c r="AB275" s="4">
        <f t="shared" si="46"/>
        <v>1210</v>
      </c>
      <c r="AC275" s="4"/>
      <c r="AD275" s="21">
        <f>ROUND(M275*AR275,0)</f>
        <v>2423</v>
      </c>
      <c r="AE275" s="6">
        <f>1-AB275/AD275</f>
        <v>0.50061906727197691</v>
      </c>
      <c r="AF275" s="33">
        <v>0</v>
      </c>
      <c r="AG275" s="4">
        <f t="shared" si="47"/>
        <v>2550</v>
      </c>
      <c r="AH275" s="33">
        <f t="shared" si="49"/>
        <v>2692.4083769633507</v>
      </c>
      <c r="AI275" s="6">
        <f>1-AB275/AH275</f>
        <v>0.5505882352941176</v>
      </c>
      <c r="AJ275" s="7">
        <v>1728</v>
      </c>
      <c r="AK275" s="6">
        <f>1-AB275/AJ275</f>
        <v>0.29976851851851849</v>
      </c>
      <c r="AL275" s="4">
        <f>AJ275-AB275</f>
        <v>518</v>
      </c>
      <c r="AM275" s="28"/>
      <c r="AN275" s="6"/>
      <c r="AO275" s="6"/>
      <c r="AP275" s="6">
        <f>Z275/L275</f>
        <v>0.67764705882352938</v>
      </c>
      <c r="AQ275" s="6">
        <f>AJ275/M275</f>
        <v>0.75294117647058822</v>
      </c>
      <c r="AR275" s="6">
        <f>AB275/N275</f>
        <v>1.0558464223385688</v>
      </c>
      <c r="AS275" s="4"/>
      <c r="AT275" s="4"/>
      <c r="AU275" s="4"/>
      <c r="AV275" s="4"/>
      <c r="AW275" s="4"/>
      <c r="AX275" s="4"/>
      <c r="AY275" s="4"/>
      <c r="AZ275" s="4"/>
      <c r="BA275" s="4"/>
      <c r="BB275" s="4">
        <v>0</v>
      </c>
      <c r="BC275" s="4" t="s">
        <v>3817</v>
      </c>
      <c r="BD275" s="4"/>
      <c r="BE275" s="4"/>
      <c r="BF275" s="4" t="s">
        <v>3649</v>
      </c>
      <c r="BG275" s="4">
        <v>2550</v>
      </c>
      <c r="BH275" s="4">
        <v>2550</v>
      </c>
      <c r="BI275" s="4">
        <f t="shared" si="48"/>
        <v>2550</v>
      </c>
      <c r="BJ275" s="19">
        <v>4</v>
      </c>
      <c r="BK275" s="19">
        <v>8</v>
      </c>
      <c r="BL275" s="16">
        <v>6</v>
      </c>
      <c r="BM275" s="45" t="s">
        <v>3534</v>
      </c>
      <c r="BN275" t="s">
        <v>3534</v>
      </c>
      <c r="BO275" t="str">
        <f t="shared" si="50"/>
        <v>-</v>
      </c>
      <c r="BP275" t="s">
        <v>3534</v>
      </c>
      <c r="BQ275">
        <v>1637</v>
      </c>
      <c r="BR275">
        <f t="shared" si="51"/>
        <v>1728.4205933682372</v>
      </c>
      <c r="BS275" t="s">
        <v>2738</v>
      </c>
    </row>
    <row r="276" spans="1:71" x14ac:dyDescent="0.4">
      <c r="A276" s="3">
        <v>273</v>
      </c>
      <c r="B276" s="3">
        <v>273</v>
      </c>
      <c r="C276" s="4" t="s">
        <v>335</v>
      </c>
      <c r="D276" s="4" t="str">
        <f t="shared" si="43"/>
        <v>J180WH</v>
      </c>
      <c r="E276" s="4" t="s">
        <v>335</v>
      </c>
      <c r="F276" s="4" t="s">
        <v>1554</v>
      </c>
      <c r="G276" s="5">
        <v>4521718921310</v>
      </c>
      <c r="H276" s="5"/>
      <c r="I276" s="5"/>
      <c r="J276" s="5">
        <v>1</v>
      </c>
      <c r="K276" s="5">
        <v>1</v>
      </c>
      <c r="L276" s="4">
        <v>900</v>
      </c>
      <c r="M276" s="4">
        <v>860</v>
      </c>
      <c r="N276" s="4">
        <v>630</v>
      </c>
      <c r="O276" s="6">
        <f t="shared" si="44"/>
        <v>0.26744186046511631</v>
      </c>
      <c r="P276" s="4" t="s">
        <v>2500</v>
      </c>
      <c r="Q276" s="4"/>
      <c r="R276" s="4"/>
      <c r="S276" s="4"/>
      <c r="T276" s="4"/>
      <c r="U276" s="4"/>
      <c r="V276" s="4"/>
      <c r="W276" s="4"/>
      <c r="X276" s="4"/>
      <c r="Y276" s="4">
        <v>900</v>
      </c>
      <c r="Z276" s="4">
        <f t="shared" si="45"/>
        <v>900</v>
      </c>
      <c r="AA276" s="4">
        <v>585</v>
      </c>
      <c r="AB276" s="4">
        <f t="shared" si="46"/>
        <v>585</v>
      </c>
      <c r="AC276" s="4"/>
      <c r="AD276" s="21">
        <f>ROUND(M276*AR276,0)</f>
        <v>799</v>
      </c>
      <c r="AE276" s="6">
        <f>1-AB276/AD276</f>
        <v>0.26783479349186479</v>
      </c>
      <c r="AF276" s="33">
        <v>0.25</v>
      </c>
      <c r="AG276" s="4" t="str">
        <f t="shared" si="47"/>
        <v>-</v>
      </c>
      <c r="AH276" s="33" t="e">
        <f t="shared" si="49"/>
        <v>#VALUE!</v>
      </c>
      <c r="AI276" s="6" t="e">
        <f>1-AB276/AH276</f>
        <v>#VALUE!</v>
      </c>
      <c r="AJ276" s="7">
        <v>900</v>
      </c>
      <c r="AK276" s="6">
        <f>1-AB276/AJ276</f>
        <v>0.35</v>
      </c>
      <c r="AL276" s="4">
        <f>AJ276-AB276</f>
        <v>315</v>
      </c>
      <c r="AM276" s="28"/>
      <c r="AN276" s="6"/>
      <c r="AO276" s="6"/>
      <c r="AP276" s="6">
        <f>Z276/L276</f>
        <v>1</v>
      </c>
      <c r="AQ276" s="6">
        <f>AJ276/M276</f>
        <v>1.0465116279069768</v>
      </c>
      <c r="AR276" s="6">
        <f>AB276/N276</f>
        <v>0.9285714285714286</v>
      </c>
      <c r="AS276" s="4"/>
      <c r="AT276" s="4"/>
      <c r="AU276" s="4"/>
      <c r="AV276" s="4"/>
      <c r="AW276" s="4"/>
      <c r="AX276" s="4"/>
      <c r="AY276" s="4"/>
      <c r="AZ276" s="4"/>
      <c r="BA276" s="4"/>
      <c r="BB276" s="4">
        <v>0</v>
      </c>
      <c r="BC276" s="4" t="s">
        <v>3534</v>
      </c>
      <c r="BD276" s="4"/>
      <c r="BE276" s="4"/>
      <c r="BF276" s="4" t="s">
        <v>3534</v>
      </c>
      <c r="BG276" s="4" t="s">
        <v>3534</v>
      </c>
      <c r="BH276" s="4" t="s">
        <v>3534</v>
      </c>
      <c r="BI276" s="4" t="str">
        <f t="shared" si="48"/>
        <v>-</v>
      </c>
      <c r="BJ276" s="19">
        <v>4</v>
      </c>
      <c r="BK276" s="19">
        <v>8</v>
      </c>
      <c r="BL276" s="16">
        <v>6</v>
      </c>
      <c r="BM276" s="45" t="s">
        <v>3534</v>
      </c>
      <c r="BN276" t="s">
        <v>3534</v>
      </c>
      <c r="BO276" t="str">
        <f t="shared" si="50"/>
        <v>-</v>
      </c>
      <c r="BP276">
        <v>900</v>
      </c>
      <c r="BQ276">
        <v>900</v>
      </c>
      <c r="BR276">
        <f t="shared" si="51"/>
        <v>835.71428571428578</v>
      </c>
      <c r="BS276" t="s">
        <v>3534</v>
      </c>
    </row>
    <row r="277" spans="1:71" x14ac:dyDescent="0.4">
      <c r="A277" s="3">
        <v>274</v>
      </c>
      <c r="B277" s="3">
        <v>274</v>
      </c>
      <c r="C277" s="4" t="s">
        <v>336</v>
      </c>
      <c r="D277" s="4" t="str">
        <f t="shared" si="43"/>
        <v>J182WF</v>
      </c>
      <c r="E277" s="4" t="s">
        <v>336</v>
      </c>
      <c r="F277" s="4" t="s">
        <v>1555</v>
      </c>
      <c r="G277" s="5">
        <v>4521718188829</v>
      </c>
      <c r="H277" s="5"/>
      <c r="I277" s="5"/>
      <c r="J277" s="5">
        <v>1</v>
      </c>
      <c r="K277" s="5">
        <v>1</v>
      </c>
      <c r="L277" s="4">
        <v>530</v>
      </c>
      <c r="M277" s="4">
        <v>477</v>
      </c>
      <c r="N277" s="4">
        <v>237</v>
      </c>
      <c r="O277" s="6">
        <f t="shared" si="44"/>
        <v>0.50314465408805031</v>
      </c>
      <c r="P277" s="4" t="s">
        <v>2500</v>
      </c>
      <c r="Q277" s="4"/>
      <c r="R277" s="4"/>
      <c r="S277" s="4"/>
      <c r="T277" s="4"/>
      <c r="U277" s="4"/>
      <c r="V277" s="4"/>
      <c r="W277" s="4"/>
      <c r="X277" s="4"/>
      <c r="Y277" s="4">
        <v>364</v>
      </c>
      <c r="Z277" s="4">
        <f t="shared" si="45"/>
        <v>364</v>
      </c>
      <c r="AA277" s="4">
        <v>237</v>
      </c>
      <c r="AB277" s="4">
        <f t="shared" si="46"/>
        <v>237</v>
      </c>
      <c r="AC277" s="4"/>
      <c r="AD277" s="21">
        <f>ROUND(M277*AR277,0)</f>
        <v>477</v>
      </c>
      <c r="AE277" s="6">
        <f>1-AB277/AD277</f>
        <v>0.50314465408805031</v>
      </c>
      <c r="AF277" s="33">
        <v>0</v>
      </c>
      <c r="AG277" s="4">
        <f t="shared" si="47"/>
        <v>530</v>
      </c>
      <c r="AH277" s="33">
        <f t="shared" si="49"/>
        <v>530</v>
      </c>
      <c r="AI277" s="6">
        <f>1-AB277/AH277</f>
        <v>0.55283018867924527</v>
      </c>
      <c r="AJ277" s="7">
        <v>364</v>
      </c>
      <c r="AK277" s="6">
        <f>1-AB277/AJ277</f>
        <v>0.34890109890109888</v>
      </c>
      <c r="AL277" s="4">
        <f>AJ277-AB277</f>
        <v>127</v>
      </c>
      <c r="AM277" s="28"/>
      <c r="AN277" s="6"/>
      <c r="AO277" s="6"/>
      <c r="AP277" s="6">
        <f>Z277/L277</f>
        <v>0.68679245283018864</v>
      </c>
      <c r="AQ277" s="6">
        <f>AJ277/M277</f>
        <v>0.76310272536687629</v>
      </c>
      <c r="AR277" s="6">
        <f>AB277/N277</f>
        <v>1</v>
      </c>
      <c r="AS277" s="4"/>
      <c r="AT277" s="4"/>
      <c r="AU277" s="4"/>
      <c r="AV277" s="4"/>
      <c r="AW277" s="4"/>
      <c r="AX277" s="4"/>
      <c r="AY277" s="4"/>
      <c r="AZ277" s="4"/>
      <c r="BA277" s="4"/>
      <c r="BB277" s="4">
        <v>0</v>
      </c>
      <c r="BC277" s="4" t="s">
        <v>3818</v>
      </c>
      <c r="BD277" s="4">
        <v>1</v>
      </c>
      <c r="BE277" s="4">
        <v>3</v>
      </c>
      <c r="BF277" s="4" t="s">
        <v>3601</v>
      </c>
      <c r="BG277" s="4">
        <v>1590</v>
      </c>
      <c r="BH277" s="4">
        <v>1590</v>
      </c>
      <c r="BI277" s="4">
        <f t="shared" si="48"/>
        <v>530</v>
      </c>
      <c r="BJ277" s="19">
        <v>4</v>
      </c>
      <c r="BK277" s="19">
        <v>8</v>
      </c>
      <c r="BL277" s="16">
        <v>6</v>
      </c>
      <c r="BM277" s="45" t="s">
        <v>3534</v>
      </c>
      <c r="BN277" t="s">
        <v>3534</v>
      </c>
      <c r="BO277" t="str">
        <f t="shared" si="50"/>
        <v>-</v>
      </c>
      <c r="BP277" t="s">
        <v>3534</v>
      </c>
      <c r="BQ277">
        <v>364</v>
      </c>
      <c r="BR277">
        <f t="shared" si="51"/>
        <v>364</v>
      </c>
      <c r="BS277" t="s">
        <v>2739</v>
      </c>
    </row>
    <row r="278" spans="1:71" x14ac:dyDescent="0.4">
      <c r="A278" s="3">
        <v>275</v>
      </c>
      <c r="B278" s="3">
        <v>275</v>
      </c>
      <c r="C278" s="4" t="s">
        <v>337</v>
      </c>
      <c r="D278" s="4" t="str">
        <f t="shared" si="43"/>
        <v>J181WF</v>
      </c>
      <c r="E278" s="4" t="s">
        <v>337</v>
      </c>
      <c r="F278" s="4" t="s">
        <v>1556</v>
      </c>
      <c r="G278" s="5">
        <v>4521718218960</v>
      </c>
      <c r="H278" s="5"/>
      <c r="I278" s="5"/>
      <c r="J278" s="5">
        <v>1</v>
      </c>
      <c r="K278" s="5">
        <v>1</v>
      </c>
      <c r="L278" s="4">
        <v>2550</v>
      </c>
      <c r="M278" s="4">
        <v>2295</v>
      </c>
      <c r="N278" s="4">
        <v>1146</v>
      </c>
      <c r="O278" s="6">
        <f t="shared" si="44"/>
        <v>0.50065359477124183</v>
      </c>
      <c r="P278" s="4" t="s">
        <v>2500</v>
      </c>
      <c r="Q278" s="4"/>
      <c r="R278" s="4"/>
      <c r="S278" s="4"/>
      <c r="T278" s="4"/>
      <c r="U278" s="4"/>
      <c r="V278" s="4"/>
      <c r="W278" s="4"/>
      <c r="X278" s="4"/>
      <c r="Y278" s="4">
        <v>1728</v>
      </c>
      <c r="Z278" s="4">
        <f t="shared" si="45"/>
        <v>1728</v>
      </c>
      <c r="AA278" s="4">
        <v>1210</v>
      </c>
      <c r="AB278" s="4">
        <f t="shared" si="46"/>
        <v>1210</v>
      </c>
      <c r="AC278" s="4"/>
      <c r="AD278" s="21">
        <f>ROUND(M278*AR278,0)</f>
        <v>2423</v>
      </c>
      <c r="AE278" s="6">
        <f>1-AB278/AD278</f>
        <v>0.50061906727197691</v>
      </c>
      <c r="AF278" s="33">
        <v>0</v>
      </c>
      <c r="AG278" s="4">
        <f t="shared" si="47"/>
        <v>2550</v>
      </c>
      <c r="AH278" s="33">
        <f t="shared" si="49"/>
        <v>2692.4083769633507</v>
      </c>
      <c r="AI278" s="6">
        <f>1-AB278/AH278</f>
        <v>0.5505882352941176</v>
      </c>
      <c r="AJ278" s="7">
        <v>1728</v>
      </c>
      <c r="AK278" s="6">
        <f>1-AB278/AJ278</f>
        <v>0.29976851851851849</v>
      </c>
      <c r="AL278" s="4">
        <f>AJ278-AB278</f>
        <v>518</v>
      </c>
      <c r="AM278" s="28"/>
      <c r="AN278" s="6"/>
      <c r="AO278" s="6"/>
      <c r="AP278" s="6">
        <f>Z278/L278</f>
        <v>0.67764705882352938</v>
      </c>
      <c r="AQ278" s="6">
        <f>AJ278/M278</f>
        <v>0.75294117647058822</v>
      </c>
      <c r="AR278" s="6">
        <f>AB278/N278</f>
        <v>1.0558464223385688</v>
      </c>
      <c r="AS278" s="4"/>
      <c r="AT278" s="4"/>
      <c r="AU278" s="4"/>
      <c r="AV278" s="4"/>
      <c r="AW278" s="4"/>
      <c r="AX278" s="4"/>
      <c r="AY278" s="4"/>
      <c r="AZ278" s="4"/>
      <c r="BA278" s="4"/>
      <c r="BB278" s="4">
        <v>0</v>
      </c>
      <c r="BC278" s="4" t="s">
        <v>3819</v>
      </c>
      <c r="BD278" s="4"/>
      <c r="BE278" s="4"/>
      <c r="BF278" s="4" t="s">
        <v>3649</v>
      </c>
      <c r="BG278" s="4">
        <v>2550</v>
      </c>
      <c r="BH278" s="4">
        <v>2550</v>
      </c>
      <c r="BI278" s="4">
        <f t="shared" si="48"/>
        <v>2550</v>
      </c>
      <c r="BJ278" s="19">
        <v>4</v>
      </c>
      <c r="BK278" s="19">
        <v>8</v>
      </c>
      <c r="BL278" s="16">
        <v>6</v>
      </c>
      <c r="BM278" s="45" t="s">
        <v>3534</v>
      </c>
      <c r="BN278" t="s">
        <v>3534</v>
      </c>
      <c r="BO278" t="str">
        <f t="shared" si="50"/>
        <v>-</v>
      </c>
      <c r="BP278" t="s">
        <v>3534</v>
      </c>
      <c r="BQ278">
        <v>1637</v>
      </c>
      <c r="BR278">
        <f t="shared" si="51"/>
        <v>1728.4205933682372</v>
      </c>
      <c r="BS278" t="s">
        <v>2740</v>
      </c>
    </row>
    <row r="279" spans="1:71" x14ac:dyDescent="0.4">
      <c r="A279" s="3">
        <v>276</v>
      </c>
      <c r="B279" s="3">
        <v>276</v>
      </c>
      <c r="C279" s="4" t="s">
        <v>338</v>
      </c>
      <c r="D279" s="4" t="str">
        <f t="shared" ref="D279:D342" si="52">TEXT(C279,"000000")</f>
        <v>J184RR</v>
      </c>
      <c r="E279" s="4" t="s">
        <v>338</v>
      </c>
      <c r="F279" s="4" t="s">
        <v>1557</v>
      </c>
      <c r="G279" s="5">
        <v>4521718025070</v>
      </c>
      <c r="H279" s="5"/>
      <c r="I279" s="5"/>
      <c r="J279" s="5">
        <v>1</v>
      </c>
      <c r="K279" s="5">
        <v>1</v>
      </c>
      <c r="L279" s="4">
        <v>640</v>
      </c>
      <c r="M279" s="4">
        <v>412</v>
      </c>
      <c r="N279" s="4">
        <v>284</v>
      </c>
      <c r="O279" s="6">
        <f t="shared" ref="O279:O342" si="53">1-N279/M279</f>
        <v>0.31067961165048541</v>
      </c>
      <c r="P279" s="4" t="s">
        <v>2500</v>
      </c>
      <c r="Q279" s="4"/>
      <c r="R279" s="4"/>
      <c r="S279" s="4"/>
      <c r="T279" s="4"/>
      <c r="U279" s="4"/>
      <c r="V279" s="4"/>
      <c r="W279" s="4"/>
      <c r="X279" s="4"/>
      <c r="Y279" s="4">
        <v>640</v>
      </c>
      <c r="Z279" s="4">
        <f t="shared" ref="Z279:Z342" si="54">IF(AC279="",Y279,Y279*AC279)</f>
        <v>640</v>
      </c>
      <c r="AA279" s="4">
        <v>288</v>
      </c>
      <c r="AB279" s="4">
        <f t="shared" ref="AB279:AB342" si="55">IF(AC279="",AA279,AA279*AC279)</f>
        <v>288</v>
      </c>
      <c r="AC279" s="4"/>
      <c r="AD279" s="21">
        <f>ROUND(M279*AR279,0)</f>
        <v>418</v>
      </c>
      <c r="AE279" s="6">
        <f>1-AB279/AD279</f>
        <v>0.31100478468899517</v>
      </c>
      <c r="AF279" s="33">
        <v>0.25</v>
      </c>
      <c r="AG279" s="4">
        <f t="shared" ref="AG279:AG342" si="56">BI279</f>
        <v>438</v>
      </c>
      <c r="AH279" s="33">
        <f t="shared" si="49"/>
        <v>444.16901408450701</v>
      </c>
      <c r="AI279" s="6">
        <f>1-AB279/AH279</f>
        <v>0.35159817351598166</v>
      </c>
      <c r="AJ279" s="7">
        <f>ROUND(AB279/0.65,0)</f>
        <v>443</v>
      </c>
      <c r="AK279" s="6">
        <f>1-AB279/AJ279</f>
        <v>0.34988713318284426</v>
      </c>
      <c r="AL279" s="4">
        <f>AJ279-AB279</f>
        <v>155</v>
      </c>
      <c r="AM279" s="28"/>
      <c r="AN279" s="6"/>
      <c r="AO279" s="6"/>
      <c r="AP279" s="6">
        <f>Z279/L279</f>
        <v>1</v>
      </c>
      <c r="AQ279" s="6">
        <f>AJ279/M279</f>
        <v>1.075242718446602</v>
      </c>
      <c r="AR279" s="6">
        <f>AB279/N279</f>
        <v>1.0140845070422535</v>
      </c>
      <c r="AS279" s="4"/>
      <c r="AT279" s="4"/>
      <c r="AU279" s="4"/>
      <c r="AV279" s="4"/>
      <c r="AW279" s="4"/>
      <c r="AX279" s="4"/>
      <c r="AY279" s="4"/>
      <c r="AZ279" s="4"/>
      <c r="BA279" s="4"/>
      <c r="BB279" s="4">
        <v>0</v>
      </c>
      <c r="BC279" s="4" t="s">
        <v>3820</v>
      </c>
      <c r="BD279" s="4"/>
      <c r="BE279" s="4"/>
      <c r="BF279" s="4" t="s">
        <v>3545</v>
      </c>
      <c r="BG279" s="4">
        <v>438</v>
      </c>
      <c r="BH279" s="4">
        <v>438</v>
      </c>
      <c r="BI279" s="4">
        <f t="shared" ref="BI279:BI342" si="57">IF(BD279="",BH279,BD279/BE279*BH279)</f>
        <v>438</v>
      </c>
      <c r="BJ279" s="19">
        <v>4</v>
      </c>
      <c r="BK279" s="19">
        <v>8</v>
      </c>
      <c r="BL279" s="16">
        <v>6</v>
      </c>
      <c r="BM279" s="45" t="s">
        <v>3534</v>
      </c>
      <c r="BN279" t="s">
        <v>3534</v>
      </c>
      <c r="BO279" t="str">
        <f t="shared" si="50"/>
        <v>-</v>
      </c>
      <c r="BP279" t="s">
        <v>3534</v>
      </c>
      <c r="BQ279">
        <v>717</v>
      </c>
      <c r="BR279">
        <f t="shared" si="51"/>
        <v>727.09859154929575</v>
      </c>
      <c r="BS279" t="s">
        <v>2741</v>
      </c>
    </row>
    <row r="280" spans="1:71" x14ac:dyDescent="0.4">
      <c r="A280" s="3">
        <v>277</v>
      </c>
      <c r="B280" s="3">
        <v>277</v>
      </c>
      <c r="C280" s="4" t="s">
        <v>339</v>
      </c>
      <c r="D280" s="4" t="str">
        <f t="shared" si="52"/>
        <v>J184RS</v>
      </c>
      <c r="E280" s="4" t="s">
        <v>339</v>
      </c>
      <c r="F280" s="4" t="s">
        <v>1558</v>
      </c>
      <c r="G280" s="5">
        <v>4521718025254</v>
      </c>
      <c r="H280" s="5"/>
      <c r="I280" s="5"/>
      <c r="J280" s="5">
        <v>1</v>
      </c>
      <c r="K280" s="5">
        <v>1</v>
      </c>
      <c r="L280" s="4">
        <v>610</v>
      </c>
      <c r="M280" s="4">
        <v>397</v>
      </c>
      <c r="N280" s="4">
        <v>272</v>
      </c>
      <c r="O280" s="6">
        <f t="shared" si="53"/>
        <v>0.31486146095717882</v>
      </c>
      <c r="P280" s="4" t="s">
        <v>2500</v>
      </c>
      <c r="Q280" s="4"/>
      <c r="R280" s="4"/>
      <c r="S280" s="4"/>
      <c r="T280" s="4"/>
      <c r="U280" s="4"/>
      <c r="V280" s="4"/>
      <c r="W280" s="4"/>
      <c r="X280" s="4"/>
      <c r="Y280" s="4">
        <v>419</v>
      </c>
      <c r="Z280" s="4">
        <f t="shared" si="54"/>
        <v>419</v>
      </c>
      <c r="AA280" s="4">
        <v>272</v>
      </c>
      <c r="AB280" s="4">
        <f t="shared" si="55"/>
        <v>272</v>
      </c>
      <c r="AC280" s="4"/>
      <c r="AD280" s="21">
        <f>ROUND(M280*AR280,0)</f>
        <v>397</v>
      </c>
      <c r="AE280" s="6">
        <f>1-AB280/AD280</f>
        <v>0.31486146095717882</v>
      </c>
      <c r="AF280" s="33">
        <v>0.5</v>
      </c>
      <c r="AG280" s="4">
        <f t="shared" si="56"/>
        <v>730</v>
      </c>
      <c r="AH280" s="33">
        <f t="shared" si="49"/>
        <v>730</v>
      </c>
      <c r="AI280" s="6">
        <f>1-AB280/AH280</f>
        <v>0.62739726027397258</v>
      </c>
      <c r="AJ280" s="7">
        <f>ROUND(AB280/0.65,0)</f>
        <v>418</v>
      </c>
      <c r="AK280" s="6">
        <f>1-AB280/AJ280</f>
        <v>0.34928229665071775</v>
      </c>
      <c r="AL280" s="4">
        <f>AJ280-AB280</f>
        <v>146</v>
      </c>
      <c r="AM280" s="28"/>
      <c r="AN280" s="6"/>
      <c r="AO280" s="6"/>
      <c r="AP280" s="6">
        <f>Z280/L280</f>
        <v>0.68688524590163935</v>
      </c>
      <c r="AQ280" s="6">
        <f>AJ280/M280</f>
        <v>1.0528967254408061</v>
      </c>
      <c r="AR280" s="6">
        <f>AB280/N280</f>
        <v>1</v>
      </c>
      <c r="AS280" s="4"/>
      <c r="AT280" s="4"/>
      <c r="AU280" s="4"/>
      <c r="AV280" s="4"/>
      <c r="AW280" s="4"/>
      <c r="AX280" s="4"/>
      <c r="AY280" s="4"/>
      <c r="AZ280" s="4"/>
      <c r="BA280" s="4"/>
      <c r="BB280" s="4">
        <v>0</v>
      </c>
      <c r="BC280" s="4" t="s">
        <v>3821</v>
      </c>
      <c r="BD280" s="4">
        <v>1</v>
      </c>
      <c r="BE280" s="4">
        <v>2</v>
      </c>
      <c r="BF280" s="4" t="s">
        <v>3640</v>
      </c>
      <c r="BG280" s="4">
        <v>1460</v>
      </c>
      <c r="BH280" s="4">
        <v>1460</v>
      </c>
      <c r="BI280" s="4">
        <f t="shared" si="57"/>
        <v>730</v>
      </c>
      <c r="BJ280" s="19">
        <v>4</v>
      </c>
      <c r="BK280" s="19">
        <v>8</v>
      </c>
      <c r="BL280" s="16">
        <v>6</v>
      </c>
      <c r="BM280" s="45" t="s">
        <v>3534</v>
      </c>
      <c r="BN280" t="s">
        <v>3534</v>
      </c>
      <c r="BO280" t="str">
        <f t="shared" si="50"/>
        <v>-</v>
      </c>
      <c r="BP280" t="s">
        <v>3534</v>
      </c>
      <c r="BQ280">
        <v>686</v>
      </c>
      <c r="BR280">
        <f t="shared" si="51"/>
        <v>686</v>
      </c>
      <c r="BS280" t="s">
        <v>2742</v>
      </c>
    </row>
    <row r="281" spans="1:71" x14ac:dyDescent="0.4">
      <c r="A281" s="3">
        <v>278</v>
      </c>
      <c r="B281" s="3">
        <v>278</v>
      </c>
      <c r="C281" s="4" t="s">
        <v>340</v>
      </c>
      <c r="D281" s="4" t="str">
        <f t="shared" si="52"/>
        <v>J184WF</v>
      </c>
      <c r="E281" s="4" t="s">
        <v>340</v>
      </c>
      <c r="F281" s="4" t="s">
        <v>1559</v>
      </c>
      <c r="G281" s="5">
        <v>4521718188843</v>
      </c>
      <c r="H281" s="5"/>
      <c r="I281" s="5"/>
      <c r="J281" s="5">
        <v>1</v>
      </c>
      <c r="K281" s="5">
        <v>1</v>
      </c>
      <c r="L281" s="4">
        <v>530</v>
      </c>
      <c r="M281" s="4">
        <v>477</v>
      </c>
      <c r="N281" s="4">
        <v>237</v>
      </c>
      <c r="O281" s="6">
        <f t="shared" si="53"/>
        <v>0.50314465408805031</v>
      </c>
      <c r="P281" s="4" t="s">
        <v>2500</v>
      </c>
      <c r="Q281" s="4"/>
      <c r="R281" s="4"/>
      <c r="S281" s="4"/>
      <c r="T281" s="4"/>
      <c r="U281" s="4"/>
      <c r="V281" s="4"/>
      <c r="W281" s="4"/>
      <c r="X281" s="4"/>
      <c r="Y281" s="4">
        <v>364</v>
      </c>
      <c r="Z281" s="4">
        <f t="shared" si="54"/>
        <v>364</v>
      </c>
      <c r="AA281" s="4">
        <v>237</v>
      </c>
      <c r="AB281" s="4">
        <f t="shared" si="55"/>
        <v>237</v>
      </c>
      <c r="AC281" s="4"/>
      <c r="AD281" s="21">
        <f>ROUND(M281*AR281,0)</f>
        <v>477</v>
      </c>
      <c r="AE281" s="6">
        <f>1-AB281/AD281</f>
        <v>0.50314465408805031</v>
      </c>
      <c r="AF281" s="33">
        <v>0</v>
      </c>
      <c r="AG281" s="4">
        <f t="shared" si="56"/>
        <v>530</v>
      </c>
      <c r="AH281" s="33">
        <f t="shared" si="49"/>
        <v>530</v>
      </c>
      <c r="AI281" s="6">
        <f>1-AB281/AH281</f>
        <v>0.55283018867924527</v>
      </c>
      <c r="AJ281" s="7">
        <v>364</v>
      </c>
      <c r="AK281" s="6">
        <f>1-AB281/AJ281</f>
        <v>0.34890109890109888</v>
      </c>
      <c r="AL281" s="4">
        <f>AJ281-AB281</f>
        <v>127</v>
      </c>
      <c r="AM281" s="28"/>
      <c r="AN281" s="6"/>
      <c r="AO281" s="6"/>
      <c r="AP281" s="6">
        <f>Z281/L281</f>
        <v>0.68679245283018864</v>
      </c>
      <c r="AQ281" s="6">
        <f>AJ281/M281</f>
        <v>0.76310272536687629</v>
      </c>
      <c r="AR281" s="6">
        <f>AB281/N281</f>
        <v>1</v>
      </c>
      <c r="AS281" s="4"/>
      <c r="AT281" s="4"/>
      <c r="AU281" s="4"/>
      <c r="AV281" s="4"/>
      <c r="AW281" s="4"/>
      <c r="AX281" s="4"/>
      <c r="AY281" s="4"/>
      <c r="AZ281" s="4"/>
      <c r="BA281" s="4"/>
      <c r="BB281" s="4">
        <v>0</v>
      </c>
      <c r="BC281" s="4" t="s">
        <v>3822</v>
      </c>
      <c r="BD281" s="4">
        <v>1</v>
      </c>
      <c r="BE281" s="4">
        <v>3</v>
      </c>
      <c r="BF281" s="4" t="s">
        <v>3601</v>
      </c>
      <c r="BG281" s="4">
        <v>1590</v>
      </c>
      <c r="BH281" s="4">
        <v>1590</v>
      </c>
      <c r="BI281" s="4">
        <f t="shared" si="57"/>
        <v>530</v>
      </c>
      <c r="BJ281" s="19">
        <v>4</v>
      </c>
      <c r="BK281" s="19">
        <v>8</v>
      </c>
      <c r="BL281" s="16">
        <v>6</v>
      </c>
      <c r="BM281" s="45" t="s">
        <v>3534</v>
      </c>
      <c r="BN281" t="s">
        <v>3534</v>
      </c>
      <c r="BO281" t="str">
        <f t="shared" si="50"/>
        <v>-</v>
      </c>
      <c r="BP281" t="s">
        <v>3534</v>
      </c>
      <c r="BQ281">
        <v>364</v>
      </c>
      <c r="BR281">
        <f t="shared" si="51"/>
        <v>364</v>
      </c>
      <c r="BS281" t="s">
        <v>2743</v>
      </c>
    </row>
    <row r="282" spans="1:71" x14ac:dyDescent="0.4">
      <c r="A282" s="3">
        <v>279</v>
      </c>
      <c r="B282" s="3">
        <v>279</v>
      </c>
      <c r="C282" s="4" t="s">
        <v>341</v>
      </c>
      <c r="D282" s="4" t="str">
        <f t="shared" si="52"/>
        <v>J183WF</v>
      </c>
      <c r="E282" s="4" t="s">
        <v>341</v>
      </c>
      <c r="F282" s="4" t="s">
        <v>1560</v>
      </c>
      <c r="G282" s="5">
        <v>4521718188836</v>
      </c>
      <c r="H282" s="5"/>
      <c r="I282" s="5"/>
      <c r="J282" s="5">
        <v>1</v>
      </c>
      <c r="K282" s="5">
        <v>1</v>
      </c>
      <c r="L282" s="4">
        <v>530</v>
      </c>
      <c r="M282" s="4">
        <v>477</v>
      </c>
      <c r="N282" s="4">
        <v>237</v>
      </c>
      <c r="O282" s="6">
        <f t="shared" si="53"/>
        <v>0.50314465408805031</v>
      </c>
      <c r="P282" s="4" t="s">
        <v>2500</v>
      </c>
      <c r="Q282" s="4"/>
      <c r="R282" s="4"/>
      <c r="S282" s="4"/>
      <c r="T282" s="4"/>
      <c r="U282" s="4"/>
      <c r="V282" s="4"/>
      <c r="W282" s="4"/>
      <c r="X282" s="4"/>
      <c r="Y282" s="4">
        <v>364</v>
      </c>
      <c r="Z282" s="4">
        <f t="shared" si="54"/>
        <v>364</v>
      </c>
      <c r="AA282" s="4">
        <v>237</v>
      </c>
      <c r="AB282" s="4">
        <f t="shared" si="55"/>
        <v>237</v>
      </c>
      <c r="AC282" s="4"/>
      <c r="AD282" s="21">
        <f>ROUND(M282*AR282,0)</f>
        <v>477</v>
      </c>
      <c r="AE282" s="6">
        <f>1-AB282/AD282</f>
        <v>0.50314465408805031</v>
      </c>
      <c r="AF282" s="33">
        <v>0</v>
      </c>
      <c r="AG282" s="4">
        <f t="shared" si="56"/>
        <v>530</v>
      </c>
      <c r="AH282" s="33">
        <f t="shared" si="49"/>
        <v>530</v>
      </c>
      <c r="AI282" s="6">
        <f>1-AB282/AH282</f>
        <v>0.55283018867924527</v>
      </c>
      <c r="AJ282" s="7">
        <v>364</v>
      </c>
      <c r="AK282" s="6">
        <f>1-AB282/AJ282</f>
        <v>0.34890109890109888</v>
      </c>
      <c r="AL282" s="4">
        <f>AJ282-AB282</f>
        <v>127</v>
      </c>
      <c r="AM282" s="28"/>
      <c r="AN282" s="6"/>
      <c r="AO282" s="6"/>
      <c r="AP282" s="6">
        <f>Z282/L282</f>
        <v>0.68679245283018864</v>
      </c>
      <c r="AQ282" s="6">
        <f>AJ282/M282</f>
        <v>0.76310272536687629</v>
      </c>
      <c r="AR282" s="6">
        <f>AB282/N282</f>
        <v>1</v>
      </c>
      <c r="AS282" s="4"/>
      <c r="AT282" s="4"/>
      <c r="AU282" s="4"/>
      <c r="AV282" s="4"/>
      <c r="AW282" s="4"/>
      <c r="AX282" s="4"/>
      <c r="AY282" s="4"/>
      <c r="AZ282" s="4"/>
      <c r="BA282" s="4"/>
      <c r="BB282" s="4">
        <v>0</v>
      </c>
      <c r="BC282" s="4" t="s">
        <v>3823</v>
      </c>
      <c r="BD282" s="4">
        <v>1</v>
      </c>
      <c r="BE282" s="4">
        <v>3</v>
      </c>
      <c r="BF282" s="4" t="s">
        <v>3601</v>
      </c>
      <c r="BG282" s="4">
        <v>1590</v>
      </c>
      <c r="BH282" s="4">
        <v>1590</v>
      </c>
      <c r="BI282" s="4">
        <f t="shared" si="57"/>
        <v>530</v>
      </c>
      <c r="BJ282" s="19">
        <v>4</v>
      </c>
      <c r="BK282" s="19">
        <v>8</v>
      </c>
      <c r="BL282" s="16">
        <v>6</v>
      </c>
      <c r="BM282" s="45" t="s">
        <v>3534</v>
      </c>
      <c r="BN282" t="s">
        <v>3534</v>
      </c>
      <c r="BO282" t="str">
        <f t="shared" si="50"/>
        <v>-</v>
      </c>
      <c r="BP282" t="s">
        <v>3534</v>
      </c>
      <c r="BQ282">
        <v>364</v>
      </c>
      <c r="BR282">
        <f t="shared" si="51"/>
        <v>364</v>
      </c>
      <c r="BS282" t="s">
        <v>2744</v>
      </c>
    </row>
    <row r="283" spans="1:71" x14ac:dyDescent="0.4">
      <c r="A283" s="3">
        <v>280</v>
      </c>
      <c r="B283" s="3">
        <v>280</v>
      </c>
      <c r="C283" s="4" t="s">
        <v>342</v>
      </c>
      <c r="D283" s="4" t="str">
        <f t="shared" si="52"/>
        <v>J185RS</v>
      </c>
      <c r="E283" s="4" t="s">
        <v>342</v>
      </c>
      <c r="F283" s="4" t="s">
        <v>1561</v>
      </c>
      <c r="G283" s="5">
        <v>4521718025674</v>
      </c>
      <c r="H283" s="5"/>
      <c r="I283" s="5"/>
      <c r="J283" s="5">
        <v>1</v>
      </c>
      <c r="K283" s="5">
        <v>1</v>
      </c>
      <c r="L283" s="4">
        <v>610</v>
      </c>
      <c r="M283" s="4">
        <v>430</v>
      </c>
      <c r="N283" s="4">
        <v>272</v>
      </c>
      <c r="O283" s="6">
        <f t="shared" si="53"/>
        <v>0.36744186046511629</v>
      </c>
      <c r="P283" s="4" t="s">
        <v>2500</v>
      </c>
      <c r="Q283" s="4"/>
      <c r="R283" s="4"/>
      <c r="S283" s="4"/>
      <c r="T283" s="4"/>
      <c r="U283" s="4"/>
      <c r="V283" s="4"/>
      <c r="W283" s="4"/>
      <c r="X283" s="4"/>
      <c r="Y283" s="4">
        <v>419</v>
      </c>
      <c r="Z283" s="4">
        <f t="shared" si="54"/>
        <v>419</v>
      </c>
      <c r="AA283" s="4">
        <v>272</v>
      </c>
      <c r="AB283" s="4">
        <f t="shared" si="55"/>
        <v>272</v>
      </c>
      <c r="AC283" s="4"/>
      <c r="AD283" s="21">
        <f>ROUND(M283*AR283,0)</f>
        <v>430</v>
      </c>
      <c r="AE283" s="6">
        <f>1-AB283/AD283</f>
        <v>0.36744186046511629</v>
      </c>
      <c r="AF283" s="33">
        <v>0.5</v>
      </c>
      <c r="AG283" s="4">
        <f t="shared" si="56"/>
        <v>419</v>
      </c>
      <c r="AH283" s="33">
        <f t="shared" si="49"/>
        <v>419</v>
      </c>
      <c r="AI283" s="6">
        <f>1-AB283/AH283</f>
        <v>0.35083532219570401</v>
      </c>
      <c r="AJ283" s="7">
        <f>ROUND(AB283/0.65,0)</f>
        <v>418</v>
      </c>
      <c r="AK283" s="6">
        <f>1-AB283/AJ283</f>
        <v>0.34928229665071775</v>
      </c>
      <c r="AL283" s="4">
        <f>AJ283-AB283</f>
        <v>146</v>
      </c>
      <c r="AM283" s="28"/>
      <c r="AN283" s="6"/>
      <c r="AO283" s="6"/>
      <c r="AP283" s="6">
        <f>Z283/L283</f>
        <v>0.68688524590163935</v>
      </c>
      <c r="AQ283" s="6">
        <f>AJ283/M283</f>
        <v>0.97209302325581393</v>
      </c>
      <c r="AR283" s="6">
        <f>AB283/N283</f>
        <v>1</v>
      </c>
      <c r="AS283" s="4"/>
      <c r="AT283" s="4"/>
      <c r="AU283" s="4"/>
      <c r="AV283" s="4"/>
      <c r="AW283" s="4"/>
      <c r="AX283" s="4"/>
      <c r="AY283" s="4"/>
      <c r="AZ283" s="4"/>
      <c r="BA283" s="4"/>
      <c r="BB283" s="4">
        <v>0</v>
      </c>
      <c r="BC283" s="4" t="s">
        <v>3824</v>
      </c>
      <c r="BD283" s="4"/>
      <c r="BE283" s="4"/>
      <c r="BF283" s="4" t="s">
        <v>3545</v>
      </c>
      <c r="BG283" s="4">
        <v>419</v>
      </c>
      <c r="BH283" s="4">
        <v>419</v>
      </c>
      <c r="BI283" s="4">
        <f t="shared" si="57"/>
        <v>419</v>
      </c>
      <c r="BJ283" s="19">
        <v>4</v>
      </c>
      <c r="BK283" s="19">
        <v>8</v>
      </c>
      <c r="BL283" s="16">
        <v>6</v>
      </c>
      <c r="BM283" s="45" t="s">
        <v>3534</v>
      </c>
      <c r="BN283" t="s">
        <v>3534</v>
      </c>
      <c r="BO283" t="str">
        <f t="shared" si="50"/>
        <v>-</v>
      </c>
      <c r="BP283" t="s">
        <v>3534</v>
      </c>
      <c r="BQ283">
        <v>691</v>
      </c>
      <c r="BR283">
        <f t="shared" si="51"/>
        <v>691</v>
      </c>
      <c r="BS283" t="s">
        <v>2745</v>
      </c>
    </row>
    <row r="284" spans="1:71" x14ac:dyDescent="0.4">
      <c r="A284" s="3">
        <v>281</v>
      </c>
      <c r="B284" s="3">
        <v>281</v>
      </c>
      <c r="C284" s="4" t="s">
        <v>343</v>
      </c>
      <c r="D284" s="4" t="str">
        <f t="shared" si="52"/>
        <v>J185WF</v>
      </c>
      <c r="E284" s="4" t="s">
        <v>343</v>
      </c>
      <c r="F284" s="4" t="s">
        <v>1562</v>
      </c>
      <c r="G284" s="5">
        <v>4521718188744</v>
      </c>
      <c r="H284" s="5"/>
      <c r="I284" s="5"/>
      <c r="J284" s="5">
        <v>1</v>
      </c>
      <c r="K284" s="5">
        <v>1</v>
      </c>
      <c r="L284" s="4">
        <v>680</v>
      </c>
      <c r="M284" s="4">
        <v>612</v>
      </c>
      <c r="N284" s="4">
        <v>302</v>
      </c>
      <c r="O284" s="6">
        <f t="shared" si="53"/>
        <v>0.50653594771241828</v>
      </c>
      <c r="P284" s="4" t="s">
        <v>2500</v>
      </c>
      <c r="Q284" s="4"/>
      <c r="R284" s="4"/>
      <c r="S284" s="4"/>
      <c r="T284" s="4"/>
      <c r="U284" s="4"/>
      <c r="V284" s="4"/>
      <c r="W284" s="4"/>
      <c r="X284" s="4"/>
      <c r="Y284" s="4">
        <v>464</v>
      </c>
      <c r="Z284" s="4">
        <f t="shared" si="54"/>
        <v>464</v>
      </c>
      <c r="AA284" s="4">
        <v>302</v>
      </c>
      <c r="AB284" s="4">
        <f t="shared" si="55"/>
        <v>302</v>
      </c>
      <c r="AC284" s="4"/>
      <c r="AD284" s="21">
        <f>ROUND(M284*AR284,0)</f>
        <v>612</v>
      </c>
      <c r="AE284" s="6">
        <f>1-AB284/AD284</f>
        <v>0.50653594771241828</v>
      </c>
      <c r="AF284" s="33">
        <v>0</v>
      </c>
      <c r="AG284" s="4">
        <f t="shared" si="56"/>
        <v>680</v>
      </c>
      <c r="AH284" s="33">
        <f t="shared" si="49"/>
        <v>680</v>
      </c>
      <c r="AI284" s="6">
        <f>1-AB284/AH284</f>
        <v>0.55588235294117649</v>
      </c>
      <c r="AJ284" s="7">
        <v>464</v>
      </c>
      <c r="AK284" s="6">
        <f>1-AB284/AJ284</f>
        <v>0.34913793103448276</v>
      </c>
      <c r="AL284" s="4">
        <f>AJ284-AB284</f>
        <v>162</v>
      </c>
      <c r="AM284" s="28"/>
      <c r="AN284" s="6"/>
      <c r="AO284" s="6"/>
      <c r="AP284" s="6">
        <f>Z284/L284</f>
        <v>0.68235294117647061</v>
      </c>
      <c r="AQ284" s="6">
        <f>AJ284/M284</f>
        <v>0.75816993464052285</v>
      </c>
      <c r="AR284" s="6">
        <f>AB284/N284</f>
        <v>1</v>
      </c>
      <c r="AS284" s="4"/>
      <c r="AT284" s="4"/>
      <c r="AU284" s="4"/>
      <c r="AV284" s="4"/>
      <c r="AW284" s="4"/>
      <c r="AX284" s="4"/>
      <c r="AY284" s="4"/>
      <c r="AZ284" s="4"/>
      <c r="BA284" s="4"/>
      <c r="BB284" s="4">
        <v>0</v>
      </c>
      <c r="BC284" s="4" t="s">
        <v>3825</v>
      </c>
      <c r="BD284" s="4">
        <v>1</v>
      </c>
      <c r="BE284" s="4">
        <v>3</v>
      </c>
      <c r="BF284" s="4" t="s">
        <v>3601</v>
      </c>
      <c r="BG284" s="4">
        <v>2040</v>
      </c>
      <c r="BH284" s="4">
        <v>2040</v>
      </c>
      <c r="BI284" s="4">
        <f t="shared" si="57"/>
        <v>680</v>
      </c>
      <c r="BJ284" s="19">
        <v>4</v>
      </c>
      <c r="BK284" s="19">
        <v>8</v>
      </c>
      <c r="BL284" s="16">
        <v>6</v>
      </c>
      <c r="BM284" s="45" t="s">
        <v>3534</v>
      </c>
      <c r="BN284" t="s">
        <v>3534</v>
      </c>
      <c r="BO284" t="str">
        <f t="shared" si="50"/>
        <v>-</v>
      </c>
      <c r="BP284" t="s">
        <v>3534</v>
      </c>
      <c r="BQ284">
        <v>464</v>
      </c>
      <c r="BR284">
        <f t="shared" si="51"/>
        <v>464</v>
      </c>
      <c r="BS284" t="s">
        <v>2746</v>
      </c>
    </row>
    <row r="285" spans="1:71" x14ac:dyDescent="0.4">
      <c r="A285" s="3">
        <v>282</v>
      </c>
      <c r="B285" s="3">
        <v>282</v>
      </c>
      <c r="C285" s="4" t="s">
        <v>344</v>
      </c>
      <c r="D285" s="4" t="str">
        <f t="shared" si="52"/>
        <v>J187WF</v>
      </c>
      <c r="E285" s="4" t="s">
        <v>344</v>
      </c>
      <c r="F285" s="4" t="s">
        <v>1563</v>
      </c>
      <c r="G285" s="5">
        <v>4521718190334</v>
      </c>
      <c r="H285" s="5"/>
      <c r="I285" s="5"/>
      <c r="J285" s="5">
        <v>1</v>
      </c>
      <c r="K285" s="5">
        <v>1</v>
      </c>
      <c r="L285" s="4">
        <v>464</v>
      </c>
      <c r="M285" s="4">
        <v>418</v>
      </c>
      <c r="N285" s="4">
        <v>302</v>
      </c>
      <c r="O285" s="6">
        <f t="shared" si="53"/>
        <v>0.27751196172248804</v>
      </c>
      <c r="P285" s="4" t="s">
        <v>2500</v>
      </c>
      <c r="Q285" s="4"/>
      <c r="R285" s="4"/>
      <c r="S285" s="4"/>
      <c r="T285" s="4"/>
      <c r="U285" s="4"/>
      <c r="V285" s="4"/>
      <c r="W285" s="4"/>
      <c r="X285" s="4"/>
      <c r="Y285" s="4">
        <v>464</v>
      </c>
      <c r="Z285" s="4">
        <f t="shared" si="54"/>
        <v>464</v>
      </c>
      <c r="AA285" s="4">
        <v>302</v>
      </c>
      <c r="AB285" s="4">
        <f t="shared" si="55"/>
        <v>302</v>
      </c>
      <c r="AC285" s="4"/>
      <c r="AD285" s="21">
        <f>ROUND(M285*AR285,0)</f>
        <v>418</v>
      </c>
      <c r="AE285" s="6">
        <f>1-AB285/AD285</f>
        <v>0.27751196172248804</v>
      </c>
      <c r="AF285" s="33">
        <v>0</v>
      </c>
      <c r="AG285" s="4">
        <f t="shared" si="56"/>
        <v>463.66666666666663</v>
      </c>
      <c r="AH285" s="33">
        <f t="shared" si="49"/>
        <v>463.66666666666663</v>
      </c>
      <c r="AI285" s="6">
        <f>1-AB285/AH285</f>
        <v>0.34867002156721782</v>
      </c>
      <c r="AJ285" s="7">
        <v>463</v>
      </c>
      <c r="AK285" s="6">
        <f>1-AB285/AJ285</f>
        <v>0.34773218142548601</v>
      </c>
      <c r="AL285" s="4">
        <f>AJ285-AB285</f>
        <v>161</v>
      </c>
      <c r="AM285" s="28"/>
      <c r="AN285" s="6"/>
      <c r="AO285" s="6"/>
      <c r="AP285" s="6">
        <f>Z285/L285</f>
        <v>1</v>
      </c>
      <c r="AQ285" s="6">
        <f>AJ285/M285</f>
        <v>1.1076555023923444</v>
      </c>
      <c r="AR285" s="6">
        <f>AB285/N285</f>
        <v>1</v>
      </c>
      <c r="AS285" s="4"/>
      <c r="AT285" s="4"/>
      <c r="AU285" s="4"/>
      <c r="AV285" s="4"/>
      <c r="AW285" s="4"/>
      <c r="AX285" s="4"/>
      <c r="AY285" s="4"/>
      <c r="AZ285" s="4"/>
      <c r="BA285" s="4"/>
      <c r="BB285" s="4">
        <v>0</v>
      </c>
      <c r="BC285" s="4" t="s">
        <v>3826</v>
      </c>
      <c r="BD285" s="4">
        <v>1</v>
      </c>
      <c r="BE285" s="4">
        <v>3</v>
      </c>
      <c r="BF285" s="4" t="s">
        <v>3601</v>
      </c>
      <c r="BG285" s="4">
        <v>1391</v>
      </c>
      <c r="BH285" s="4">
        <v>1391</v>
      </c>
      <c r="BI285" s="4">
        <f t="shared" si="57"/>
        <v>463.66666666666663</v>
      </c>
      <c r="BJ285" s="19">
        <v>4</v>
      </c>
      <c r="BK285" s="19">
        <v>8</v>
      </c>
      <c r="BL285" s="16">
        <v>6</v>
      </c>
      <c r="BM285" s="45" t="s">
        <v>3534</v>
      </c>
      <c r="BN285" t="s">
        <v>3534</v>
      </c>
      <c r="BO285" t="str">
        <f t="shared" si="50"/>
        <v>-</v>
      </c>
      <c r="BP285" t="s">
        <v>3534</v>
      </c>
      <c r="BQ285">
        <v>464</v>
      </c>
      <c r="BR285">
        <f t="shared" si="51"/>
        <v>464</v>
      </c>
      <c r="BS285" t="s">
        <v>2747</v>
      </c>
    </row>
    <row r="286" spans="1:71" x14ac:dyDescent="0.4">
      <c r="A286" s="3">
        <v>283</v>
      </c>
      <c r="B286" s="3">
        <v>283</v>
      </c>
      <c r="C286" s="4" t="s">
        <v>345</v>
      </c>
      <c r="D286" s="4" t="str">
        <f t="shared" si="52"/>
        <v>J186RR</v>
      </c>
      <c r="E286" s="4" t="s">
        <v>345</v>
      </c>
      <c r="F286" s="4" t="s">
        <v>1564</v>
      </c>
      <c r="G286" s="5">
        <v>4521718026183</v>
      </c>
      <c r="H286" s="5"/>
      <c r="I286" s="5"/>
      <c r="J286" s="5">
        <v>1</v>
      </c>
      <c r="K286" s="5">
        <v>1</v>
      </c>
      <c r="L286" s="4">
        <v>640</v>
      </c>
      <c r="M286" s="4">
        <v>412</v>
      </c>
      <c r="N286" s="4">
        <v>284</v>
      </c>
      <c r="O286" s="6">
        <f t="shared" si="53"/>
        <v>0.31067961165048541</v>
      </c>
      <c r="P286" s="4" t="s">
        <v>2500</v>
      </c>
      <c r="Q286" s="4"/>
      <c r="R286" s="4"/>
      <c r="S286" s="4"/>
      <c r="T286" s="4"/>
      <c r="U286" s="4"/>
      <c r="V286" s="4"/>
      <c r="W286" s="4"/>
      <c r="X286" s="4"/>
      <c r="Y286" s="4">
        <v>646</v>
      </c>
      <c r="Z286" s="4">
        <f t="shared" si="54"/>
        <v>646</v>
      </c>
      <c r="AA286" s="4">
        <v>291</v>
      </c>
      <c r="AB286" s="4">
        <f t="shared" si="55"/>
        <v>291</v>
      </c>
      <c r="AC286" s="4"/>
      <c r="AD286" s="21">
        <f>ROUND(M286*AR286,0)</f>
        <v>422</v>
      </c>
      <c r="AE286" s="6">
        <f>1-AB286/AD286</f>
        <v>0.31042654028436023</v>
      </c>
      <c r="AF286" s="33">
        <v>0.25</v>
      </c>
      <c r="AG286" s="4">
        <f t="shared" si="56"/>
        <v>446</v>
      </c>
      <c r="AH286" s="33">
        <f t="shared" si="49"/>
        <v>456.99295774647891</v>
      </c>
      <c r="AI286" s="6">
        <f>1-AB286/AH286</f>
        <v>0.36322869955156956</v>
      </c>
      <c r="AJ286" s="7">
        <f>ROUND(AB286/0.65,0)</f>
        <v>448</v>
      </c>
      <c r="AK286" s="6">
        <f>1-AB286/AJ286</f>
        <v>0.3504464285714286</v>
      </c>
      <c r="AL286" s="4">
        <f>AJ286-AB286</f>
        <v>157</v>
      </c>
      <c r="AM286" s="28"/>
      <c r="AN286" s="6"/>
      <c r="AO286" s="6"/>
      <c r="AP286" s="6">
        <f>Z286/L286</f>
        <v>1.0093749999999999</v>
      </c>
      <c r="AQ286" s="6">
        <f>AJ286/M286</f>
        <v>1.087378640776699</v>
      </c>
      <c r="AR286" s="6">
        <f>AB286/N286</f>
        <v>1.0246478873239437</v>
      </c>
      <c r="AS286" s="4"/>
      <c r="AT286" s="4"/>
      <c r="AU286" s="4"/>
      <c r="AV286" s="4"/>
      <c r="AW286" s="4"/>
      <c r="AX286" s="4"/>
      <c r="AY286" s="4"/>
      <c r="AZ286" s="4"/>
      <c r="BA286" s="4"/>
      <c r="BB286" s="4">
        <v>0</v>
      </c>
      <c r="BC286" s="4" t="s">
        <v>3827</v>
      </c>
      <c r="BD286" s="4"/>
      <c r="BE286" s="4"/>
      <c r="BF286" s="4" t="s">
        <v>3545</v>
      </c>
      <c r="BG286" s="4">
        <v>446</v>
      </c>
      <c r="BH286" s="4">
        <v>446</v>
      </c>
      <c r="BI286" s="4">
        <f t="shared" si="57"/>
        <v>446</v>
      </c>
      <c r="BJ286" s="19">
        <v>4</v>
      </c>
      <c r="BK286" s="19">
        <v>8</v>
      </c>
      <c r="BL286" s="16">
        <v>6</v>
      </c>
      <c r="BM286" s="45" t="s">
        <v>3534</v>
      </c>
      <c r="BN286" t="s">
        <v>3534</v>
      </c>
      <c r="BO286" t="str">
        <f t="shared" si="50"/>
        <v>-</v>
      </c>
      <c r="BP286" t="s">
        <v>3534</v>
      </c>
      <c r="BQ286">
        <v>640</v>
      </c>
      <c r="BR286">
        <f t="shared" si="51"/>
        <v>655.77464788732402</v>
      </c>
      <c r="BS286" t="s">
        <v>2748</v>
      </c>
    </row>
    <row r="287" spans="1:71" x14ac:dyDescent="0.4">
      <c r="A287" s="3">
        <v>284</v>
      </c>
      <c r="B287" s="3">
        <v>284</v>
      </c>
      <c r="C287" s="4" t="s">
        <v>346</v>
      </c>
      <c r="D287" s="4" t="str">
        <f t="shared" si="52"/>
        <v>J186WF</v>
      </c>
      <c r="E287" s="4" t="s">
        <v>346</v>
      </c>
      <c r="F287" s="4" t="s">
        <v>1565</v>
      </c>
      <c r="G287" s="5">
        <v>4521718188737</v>
      </c>
      <c r="H287" s="5"/>
      <c r="I287" s="5"/>
      <c r="J287" s="5">
        <v>1</v>
      </c>
      <c r="K287" s="5">
        <v>1</v>
      </c>
      <c r="L287" s="4">
        <v>680</v>
      </c>
      <c r="M287" s="4">
        <v>612</v>
      </c>
      <c r="N287" s="4">
        <v>302</v>
      </c>
      <c r="O287" s="6">
        <f t="shared" si="53"/>
        <v>0.50653594771241828</v>
      </c>
      <c r="P287" s="4" t="s">
        <v>2500</v>
      </c>
      <c r="Q287" s="4"/>
      <c r="R287" s="4"/>
      <c r="S287" s="4"/>
      <c r="T287" s="4"/>
      <c r="U287" s="4"/>
      <c r="V287" s="4"/>
      <c r="W287" s="4"/>
      <c r="X287" s="4"/>
      <c r="Y287" s="4">
        <v>464</v>
      </c>
      <c r="Z287" s="4">
        <f t="shared" si="54"/>
        <v>464</v>
      </c>
      <c r="AA287" s="4">
        <v>302</v>
      </c>
      <c r="AB287" s="4">
        <f t="shared" si="55"/>
        <v>302</v>
      </c>
      <c r="AC287" s="4"/>
      <c r="AD287" s="21">
        <f>ROUND(M287*AR287,0)</f>
        <v>612</v>
      </c>
      <c r="AE287" s="6">
        <f>1-AB287/AD287</f>
        <v>0.50653594771241828</v>
      </c>
      <c r="AF287" s="33">
        <v>0</v>
      </c>
      <c r="AG287" s="4">
        <f t="shared" si="56"/>
        <v>680</v>
      </c>
      <c r="AH287" s="33">
        <f t="shared" si="49"/>
        <v>680</v>
      </c>
      <c r="AI287" s="6">
        <f>1-AB287/AH287</f>
        <v>0.55588235294117649</v>
      </c>
      <c r="AJ287" s="7">
        <v>464</v>
      </c>
      <c r="AK287" s="6">
        <f>1-AB287/AJ287</f>
        <v>0.34913793103448276</v>
      </c>
      <c r="AL287" s="4">
        <f>AJ287-AB287</f>
        <v>162</v>
      </c>
      <c r="AM287" s="28"/>
      <c r="AN287" s="6"/>
      <c r="AO287" s="6"/>
      <c r="AP287" s="6">
        <f>Z287/L287</f>
        <v>0.68235294117647061</v>
      </c>
      <c r="AQ287" s="6">
        <f>AJ287/M287</f>
        <v>0.75816993464052285</v>
      </c>
      <c r="AR287" s="6">
        <f>AB287/N287</f>
        <v>1</v>
      </c>
      <c r="AS287" s="4"/>
      <c r="AT287" s="4"/>
      <c r="AU287" s="4"/>
      <c r="AV287" s="4"/>
      <c r="AW287" s="4"/>
      <c r="AX287" s="4"/>
      <c r="AY287" s="4"/>
      <c r="AZ287" s="4"/>
      <c r="BA287" s="4"/>
      <c r="BB287" s="4">
        <v>0</v>
      </c>
      <c r="BC287" s="4" t="s">
        <v>3828</v>
      </c>
      <c r="BD287" s="4">
        <v>1</v>
      </c>
      <c r="BE287" s="4">
        <v>3</v>
      </c>
      <c r="BF287" s="4" t="s">
        <v>3601</v>
      </c>
      <c r="BG287" s="4">
        <v>2040</v>
      </c>
      <c r="BH287" s="4">
        <v>2040</v>
      </c>
      <c r="BI287" s="4">
        <f t="shared" si="57"/>
        <v>680</v>
      </c>
      <c r="BJ287" s="19">
        <v>4</v>
      </c>
      <c r="BK287" s="19">
        <v>8</v>
      </c>
      <c r="BL287" s="16">
        <v>6</v>
      </c>
      <c r="BM287" s="45" t="s">
        <v>3534</v>
      </c>
      <c r="BN287" t="s">
        <v>3534</v>
      </c>
      <c r="BO287" t="str">
        <f t="shared" si="50"/>
        <v>-</v>
      </c>
      <c r="BP287" t="s">
        <v>3534</v>
      </c>
      <c r="BQ287">
        <v>464</v>
      </c>
      <c r="BR287">
        <f t="shared" si="51"/>
        <v>464</v>
      </c>
      <c r="BS287" t="s">
        <v>2749</v>
      </c>
    </row>
    <row r="288" spans="1:71" x14ac:dyDescent="0.4">
      <c r="A288" s="3">
        <v>285</v>
      </c>
      <c r="B288" s="3">
        <v>285</v>
      </c>
      <c r="C288" s="4" t="s">
        <v>347</v>
      </c>
      <c r="D288" s="4" t="str">
        <f t="shared" si="52"/>
        <v>J188WF</v>
      </c>
      <c r="E288" s="4" t="s">
        <v>347</v>
      </c>
      <c r="F288" s="4" t="s">
        <v>1566</v>
      </c>
      <c r="G288" s="5">
        <v>4521718192499</v>
      </c>
      <c r="H288" s="5"/>
      <c r="I288" s="5"/>
      <c r="J288" s="5">
        <v>1</v>
      </c>
      <c r="K288" s="5">
        <v>1</v>
      </c>
      <c r="L288" s="4">
        <v>390</v>
      </c>
      <c r="M288" s="4">
        <v>351</v>
      </c>
      <c r="N288" s="4">
        <v>172</v>
      </c>
      <c r="O288" s="6">
        <f t="shared" si="53"/>
        <v>0.50997150997150997</v>
      </c>
      <c r="P288" s="4" t="s">
        <v>2500</v>
      </c>
      <c r="Q288" s="4"/>
      <c r="R288" s="4"/>
      <c r="S288" s="4"/>
      <c r="T288" s="4"/>
      <c r="U288" s="4"/>
      <c r="V288" s="4"/>
      <c r="W288" s="4"/>
      <c r="X288" s="4"/>
      <c r="Y288" s="4">
        <v>264</v>
      </c>
      <c r="Z288" s="4">
        <f t="shared" si="54"/>
        <v>264</v>
      </c>
      <c r="AA288" s="4">
        <v>172</v>
      </c>
      <c r="AB288" s="4">
        <f t="shared" si="55"/>
        <v>172</v>
      </c>
      <c r="AC288" s="4"/>
      <c r="AD288" s="21">
        <f>ROUND(M288*AR288,0)</f>
        <v>351</v>
      </c>
      <c r="AE288" s="6">
        <f>1-AB288/AD288</f>
        <v>0.50997150997150997</v>
      </c>
      <c r="AF288" s="33">
        <v>0</v>
      </c>
      <c r="AG288" s="4">
        <f t="shared" si="56"/>
        <v>390</v>
      </c>
      <c r="AH288" s="33">
        <f t="shared" si="49"/>
        <v>390</v>
      </c>
      <c r="AI288" s="6">
        <f>1-AB288/AH288</f>
        <v>0.55897435897435899</v>
      </c>
      <c r="AJ288" s="7">
        <v>264</v>
      </c>
      <c r="AK288" s="6">
        <f>1-AB288/AJ288</f>
        <v>0.34848484848484851</v>
      </c>
      <c r="AL288" s="4">
        <f>AJ288-AB288</f>
        <v>92</v>
      </c>
      <c r="AM288" s="28"/>
      <c r="AN288" s="6"/>
      <c r="AO288" s="6"/>
      <c r="AP288" s="6">
        <f>Z288/L288</f>
        <v>0.67692307692307696</v>
      </c>
      <c r="AQ288" s="6">
        <f>AJ288/M288</f>
        <v>0.75213675213675213</v>
      </c>
      <c r="AR288" s="6">
        <f>AB288/N288</f>
        <v>1</v>
      </c>
      <c r="AS288" s="4"/>
      <c r="AT288" s="4"/>
      <c r="AU288" s="4"/>
      <c r="AV288" s="4"/>
      <c r="AW288" s="4"/>
      <c r="AX288" s="4"/>
      <c r="AY288" s="4"/>
      <c r="AZ288" s="4"/>
      <c r="BA288" s="4"/>
      <c r="BB288" s="4">
        <v>0</v>
      </c>
      <c r="BC288" s="4" t="s">
        <v>3829</v>
      </c>
      <c r="BD288" s="4">
        <v>1</v>
      </c>
      <c r="BE288" s="4">
        <v>4</v>
      </c>
      <c r="BF288" s="4" t="s">
        <v>3741</v>
      </c>
      <c r="BG288" s="4">
        <v>1560</v>
      </c>
      <c r="BH288" s="4">
        <v>1560</v>
      </c>
      <c r="BI288" s="4">
        <f t="shared" si="57"/>
        <v>390</v>
      </c>
      <c r="BJ288" s="19">
        <v>4</v>
      </c>
      <c r="BK288" s="19">
        <v>8</v>
      </c>
      <c r="BL288" s="16">
        <v>6</v>
      </c>
      <c r="BM288" s="45" t="s">
        <v>3534</v>
      </c>
      <c r="BN288" t="s">
        <v>3534</v>
      </c>
      <c r="BO288" t="str">
        <f t="shared" si="50"/>
        <v>-</v>
      </c>
      <c r="BP288" t="s">
        <v>3534</v>
      </c>
      <c r="BQ288">
        <v>264</v>
      </c>
      <c r="BR288">
        <f t="shared" si="51"/>
        <v>264</v>
      </c>
      <c r="BS288" t="s">
        <v>2750</v>
      </c>
    </row>
    <row r="289" spans="1:71" x14ac:dyDescent="0.4">
      <c r="A289" s="3">
        <v>286</v>
      </c>
      <c r="B289" s="3">
        <v>286</v>
      </c>
      <c r="C289" s="4" t="s">
        <v>348</v>
      </c>
      <c r="D289" s="4" t="str">
        <f t="shared" si="52"/>
        <v>J190WF</v>
      </c>
      <c r="E289" s="4" t="s">
        <v>348</v>
      </c>
      <c r="F289" s="4" t="s">
        <v>1567</v>
      </c>
      <c r="G289" s="5">
        <v>4521718188522</v>
      </c>
      <c r="H289" s="5"/>
      <c r="I289" s="5"/>
      <c r="J289" s="5">
        <v>1</v>
      </c>
      <c r="K289" s="5">
        <v>1</v>
      </c>
      <c r="L289" s="4">
        <v>640</v>
      </c>
      <c r="M289" s="4">
        <v>576</v>
      </c>
      <c r="N289" s="4">
        <v>284</v>
      </c>
      <c r="O289" s="6">
        <f t="shared" si="53"/>
        <v>0.50694444444444442</v>
      </c>
      <c r="P289" s="4" t="s">
        <v>2500</v>
      </c>
      <c r="Q289" s="4"/>
      <c r="R289" s="4"/>
      <c r="S289" s="4"/>
      <c r="T289" s="4"/>
      <c r="U289" s="4"/>
      <c r="V289" s="4"/>
      <c r="W289" s="4"/>
      <c r="X289" s="4"/>
      <c r="Y289" s="4">
        <v>437</v>
      </c>
      <c r="Z289" s="4">
        <f t="shared" si="54"/>
        <v>437</v>
      </c>
      <c r="AA289" s="4">
        <v>284</v>
      </c>
      <c r="AB289" s="4">
        <f t="shared" si="55"/>
        <v>284</v>
      </c>
      <c r="AC289" s="4"/>
      <c r="AD289" s="21">
        <f>ROUND(M289*AR289,0)</f>
        <v>576</v>
      </c>
      <c r="AE289" s="6">
        <f>1-AB289/AD289</f>
        <v>0.50694444444444442</v>
      </c>
      <c r="AF289" s="33">
        <v>0.25</v>
      </c>
      <c r="AG289" s="4">
        <f t="shared" si="56"/>
        <v>640</v>
      </c>
      <c r="AH289" s="33">
        <f t="shared" si="49"/>
        <v>640</v>
      </c>
      <c r="AI289" s="6">
        <f>1-AB289/AH289</f>
        <v>0.55625000000000002</v>
      </c>
      <c r="AJ289" s="7">
        <f>ROUND(AB289/0.65,0)</f>
        <v>437</v>
      </c>
      <c r="AK289" s="6">
        <f>1-AB289/AJ289</f>
        <v>0.35011441647597252</v>
      </c>
      <c r="AL289" s="4">
        <f>AJ289-AB289</f>
        <v>153</v>
      </c>
      <c r="AM289" s="28"/>
      <c r="AN289" s="6"/>
      <c r="AO289" s="6"/>
      <c r="AP289" s="6">
        <f>Z289/L289</f>
        <v>0.68281250000000004</v>
      </c>
      <c r="AQ289" s="6">
        <f>AJ289/M289</f>
        <v>0.75868055555555558</v>
      </c>
      <c r="AR289" s="6">
        <f>AB289/N289</f>
        <v>1</v>
      </c>
      <c r="AS289" s="4"/>
      <c r="AT289" s="4"/>
      <c r="AU289" s="4"/>
      <c r="AV289" s="4"/>
      <c r="AW289" s="4"/>
      <c r="AX289" s="4"/>
      <c r="AY289" s="4"/>
      <c r="AZ289" s="4"/>
      <c r="BA289" s="4"/>
      <c r="BB289" s="4">
        <v>0</v>
      </c>
      <c r="BC289" s="4" t="s">
        <v>3830</v>
      </c>
      <c r="BD289" s="4">
        <v>1</v>
      </c>
      <c r="BE289" s="4">
        <v>3</v>
      </c>
      <c r="BF289" s="4" t="s">
        <v>3601</v>
      </c>
      <c r="BG289" s="4">
        <v>1920</v>
      </c>
      <c r="BH289" s="4">
        <v>1920</v>
      </c>
      <c r="BI289" s="4">
        <f t="shared" si="57"/>
        <v>640</v>
      </c>
      <c r="BJ289" s="19">
        <v>4</v>
      </c>
      <c r="BK289" s="19">
        <v>8</v>
      </c>
      <c r="BL289" s="16">
        <v>6</v>
      </c>
      <c r="BM289" s="45" t="s">
        <v>3534</v>
      </c>
      <c r="BN289" t="s">
        <v>3534</v>
      </c>
      <c r="BO289" t="str">
        <f t="shared" si="50"/>
        <v>-</v>
      </c>
      <c r="BP289" t="s">
        <v>3534</v>
      </c>
      <c r="BQ289">
        <v>437</v>
      </c>
      <c r="BR289">
        <f t="shared" si="51"/>
        <v>437</v>
      </c>
      <c r="BS289" t="s">
        <v>2751</v>
      </c>
    </row>
    <row r="290" spans="1:71" x14ac:dyDescent="0.4">
      <c r="A290" s="3">
        <v>287</v>
      </c>
      <c r="B290" s="3">
        <v>287</v>
      </c>
      <c r="C290" s="4" t="s">
        <v>349</v>
      </c>
      <c r="D290" s="4" t="str">
        <f t="shared" si="52"/>
        <v>J189WF</v>
      </c>
      <c r="E290" s="4" t="s">
        <v>349</v>
      </c>
      <c r="F290" s="4" t="s">
        <v>1568</v>
      </c>
      <c r="G290" s="5">
        <v>4521718192505</v>
      </c>
      <c r="H290" s="5"/>
      <c r="I290" s="5"/>
      <c r="J290" s="5">
        <v>1</v>
      </c>
      <c r="K290" s="5">
        <v>1</v>
      </c>
      <c r="L290" s="4">
        <v>390</v>
      </c>
      <c r="M290" s="4">
        <v>351</v>
      </c>
      <c r="N290" s="4">
        <v>172</v>
      </c>
      <c r="O290" s="6">
        <f t="shared" si="53"/>
        <v>0.50997150997150997</v>
      </c>
      <c r="P290" s="4" t="s">
        <v>2500</v>
      </c>
      <c r="Q290" s="4"/>
      <c r="R290" s="4"/>
      <c r="S290" s="4"/>
      <c r="T290" s="4"/>
      <c r="U290" s="4"/>
      <c r="V290" s="4"/>
      <c r="W290" s="4"/>
      <c r="X290" s="4"/>
      <c r="Y290" s="4">
        <v>264</v>
      </c>
      <c r="Z290" s="4">
        <f t="shared" si="54"/>
        <v>264</v>
      </c>
      <c r="AA290" s="4">
        <v>172</v>
      </c>
      <c r="AB290" s="4">
        <f t="shared" si="55"/>
        <v>172</v>
      </c>
      <c r="AC290" s="4"/>
      <c r="AD290" s="21">
        <f>ROUND(M290*AR290,0)</f>
        <v>351</v>
      </c>
      <c r="AE290" s="6">
        <f>1-AB290/AD290</f>
        <v>0.50997150997150997</v>
      </c>
      <c r="AF290" s="33">
        <v>0</v>
      </c>
      <c r="AG290" s="4">
        <f t="shared" si="56"/>
        <v>390</v>
      </c>
      <c r="AH290" s="33">
        <f t="shared" si="49"/>
        <v>390</v>
      </c>
      <c r="AI290" s="6">
        <f>1-AB290/AH290</f>
        <v>0.55897435897435899</v>
      </c>
      <c r="AJ290" s="7">
        <v>264</v>
      </c>
      <c r="AK290" s="6">
        <f>1-AB290/AJ290</f>
        <v>0.34848484848484851</v>
      </c>
      <c r="AL290" s="4">
        <f>AJ290-AB290</f>
        <v>92</v>
      </c>
      <c r="AM290" s="28"/>
      <c r="AN290" s="6"/>
      <c r="AO290" s="6"/>
      <c r="AP290" s="6">
        <f>Z290/L290</f>
        <v>0.67692307692307696</v>
      </c>
      <c r="AQ290" s="6">
        <f>AJ290/M290</f>
        <v>0.75213675213675213</v>
      </c>
      <c r="AR290" s="6">
        <f>AB290/N290</f>
        <v>1</v>
      </c>
      <c r="AS290" s="4"/>
      <c r="AT290" s="4"/>
      <c r="AU290" s="4"/>
      <c r="AV290" s="4"/>
      <c r="AW290" s="4"/>
      <c r="AX290" s="4"/>
      <c r="AY290" s="4"/>
      <c r="AZ290" s="4"/>
      <c r="BA290" s="4"/>
      <c r="BB290" s="4">
        <v>0</v>
      </c>
      <c r="BC290" s="4" t="s">
        <v>3831</v>
      </c>
      <c r="BD290" s="4">
        <v>1</v>
      </c>
      <c r="BE290" s="4">
        <v>4</v>
      </c>
      <c r="BF290" s="4" t="s">
        <v>3741</v>
      </c>
      <c r="BG290" s="4">
        <v>1560</v>
      </c>
      <c r="BH290" s="4">
        <v>1560</v>
      </c>
      <c r="BI290" s="4">
        <f t="shared" si="57"/>
        <v>390</v>
      </c>
      <c r="BJ290" s="19">
        <v>4</v>
      </c>
      <c r="BK290" s="19">
        <v>8</v>
      </c>
      <c r="BL290" s="16">
        <v>6</v>
      </c>
      <c r="BM290" s="45" t="s">
        <v>3534</v>
      </c>
      <c r="BN290" t="s">
        <v>3534</v>
      </c>
      <c r="BO290" t="str">
        <f t="shared" si="50"/>
        <v>-</v>
      </c>
      <c r="BP290" t="s">
        <v>3534</v>
      </c>
      <c r="BQ290">
        <v>264</v>
      </c>
      <c r="BR290">
        <f t="shared" si="51"/>
        <v>264</v>
      </c>
      <c r="BS290" t="s">
        <v>2752</v>
      </c>
    </row>
    <row r="291" spans="1:71" x14ac:dyDescent="0.4">
      <c r="A291" s="3">
        <v>288</v>
      </c>
      <c r="B291" s="3">
        <v>288</v>
      </c>
      <c r="C291" s="4" t="s">
        <v>350</v>
      </c>
      <c r="D291" s="4" t="str">
        <f t="shared" si="52"/>
        <v>J191WF</v>
      </c>
      <c r="E291" s="4" t="s">
        <v>350</v>
      </c>
      <c r="F291" s="4" t="s">
        <v>1569</v>
      </c>
      <c r="G291" s="5">
        <v>4521718188539</v>
      </c>
      <c r="H291" s="5"/>
      <c r="I291" s="5"/>
      <c r="J291" s="5">
        <v>1</v>
      </c>
      <c r="K291" s="5">
        <v>1</v>
      </c>
      <c r="L291" s="4">
        <v>640</v>
      </c>
      <c r="M291" s="4">
        <v>576</v>
      </c>
      <c r="N291" s="4">
        <v>284</v>
      </c>
      <c r="O291" s="6">
        <f t="shared" si="53"/>
        <v>0.50694444444444442</v>
      </c>
      <c r="P291" s="4" t="s">
        <v>2500</v>
      </c>
      <c r="Q291" s="4"/>
      <c r="R291" s="4"/>
      <c r="S291" s="4"/>
      <c r="T291" s="4"/>
      <c r="U291" s="4"/>
      <c r="V291" s="4"/>
      <c r="W291" s="4"/>
      <c r="X291" s="4"/>
      <c r="Y291" s="4">
        <v>437</v>
      </c>
      <c r="Z291" s="4">
        <f t="shared" si="54"/>
        <v>437</v>
      </c>
      <c r="AA291" s="4">
        <v>284</v>
      </c>
      <c r="AB291" s="4">
        <f t="shared" si="55"/>
        <v>284</v>
      </c>
      <c r="AC291" s="4"/>
      <c r="AD291" s="21">
        <f>ROUND(M291*AR291,0)</f>
        <v>576</v>
      </c>
      <c r="AE291" s="6">
        <f>1-AB291/AD291</f>
        <v>0.50694444444444442</v>
      </c>
      <c r="AF291" s="33">
        <v>0</v>
      </c>
      <c r="AG291" s="4">
        <f t="shared" si="56"/>
        <v>640</v>
      </c>
      <c r="AH291" s="33">
        <f t="shared" si="49"/>
        <v>640</v>
      </c>
      <c r="AI291" s="6">
        <f>1-AB291/AH291</f>
        <v>0.55625000000000002</v>
      </c>
      <c r="AJ291" s="7">
        <f>ROUND(AB291/0.65,0)</f>
        <v>437</v>
      </c>
      <c r="AK291" s="6">
        <f>1-AB291/AJ291</f>
        <v>0.35011441647597252</v>
      </c>
      <c r="AL291" s="4">
        <f>AJ291-AB291</f>
        <v>153</v>
      </c>
      <c r="AM291" s="28"/>
      <c r="AN291" s="6"/>
      <c r="AO291" s="6"/>
      <c r="AP291" s="6">
        <f>Z291/L291</f>
        <v>0.68281250000000004</v>
      </c>
      <c r="AQ291" s="6">
        <f>AJ291/M291</f>
        <v>0.75868055555555558</v>
      </c>
      <c r="AR291" s="6">
        <f>AB291/N291</f>
        <v>1</v>
      </c>
      <c r="AS291" s="4"/>
      <c r="AT291" s="4"/>
      <c r="AU291" s="4"/>
      <c r="AV291" s="4"/>
      <c r="AW291" s="4"/>
      <c r="AX291" s="4"/>
      <c r="AY291" s="4"/>
      <c r="AZ291" s="4"/>
      <c r="BA291" s="4"/>
      <c r="BB291" s="4">
        <v>0</v>
      </c>
      <c r="BC291" s="4" t="s">
        <v>3832</v>
      </c>
      <c r="BD291" s="4">
        <v>1</v>
      </c>
      <c r="BE291" s="4">
        <v>3</v>
      </c>
      <c r="BF291" s="4" t="s">
        <v>3601</v>
      </c>
      <c r="BG291" s="4">
        <v>1920</v>
      </c>
      <c r="BH291" s="4">
        <v>1920</v>
      </c>
      <c r="BI291" s="4">
        <f t="shared" si="57"/>
        <v>640</v>
      </c>
      <c r="BJ291" s="19">
        <v>4</v>
      </c>
      <c r="BK291" s="19">
        <v>8</v>
      </c>
      <c r="BL291" s="16">
        <v>6</v>
      </c>
      <c r="BM291" s="45" t="s">
        <v>3534</v>
      </c>
      <c r="BN291" t="s">
        <v>3534</v>
      </c>
      <c r="BO291" t="str">
        <f t="shared" si="50"/>
        <v>-</v>
      </c>
      <c r="BP291" t="s">
        <v>3534</v>
      </c>
      <c r="BQ291">
        <v>437</v>
      </c>
      <c r="BR291">
        <f t="shared" si="51"/>
        <v>437</v>
      </c>
      <c r="BS291" t="s">
        <v>2753</v>
      </c>
    </row>
    <row r="292" spans="1:71" x14ac:dyDescent="0.4">
      <c r="A292" s="3">
        <v>289</v>
      </c>
      <c r="B292" s="3">
        <v>289</v>
      </c>
      <c r="C292" s="4" t="s">
        <v>351</v>
      </c>
      <c r="D292" s="4" t="str">
        <f t="shared" si="52"/>
        <v>J192RR</v>
      </c>
      <c r="E292" s="4" t="s">
        <v>351</v>
      </c>
      <c r="F292" s="4" t="s">
        <v>1570</v>
      </c>
      <c r="G292" s="5">
        <v>4521718026619</v>
      </c>
      <c r="H292" s="5"/>
      <c r="I292" s="5"/>
      <c r="J292" s="5">
        <v>1</v>
      </c>
      <c r="K292" s="5">
        <v>1</v>
      </c>
      <c r="L292" s="4">
        <v>640</v>
      </c>
      <c r="M292" s="4">
        <v>442</v>
      </c>
      <c r="N292" s="4">
        <v>284</v>
      </c>
      <c r="O292" s="6">
        <f t="shared" si="53"/>
        <v>0.35746606334841624</v>
      </c>
      <c r="P292" s="4" t="s">
        <v>2500</v>
      </c>
      <c r="Q292" s="4"/>
      <c r="R292" s="4"/>
      <c r="S292" s="4"/>
      <c r="T292" s="4"/>
      <c r="U292" s="4"/>
      <c r="V292" s="4"/>
      <c r="W292" s="4"/>
      <c r="X292" s="4"/>
      <c r="Y292" s="4">
        <v>640</v>
      </c>
      <c r="Z292" s="4">
        <f t="shared" si="54"/>
        <v>640</v>
      </c>
      <c r="AA292" s="4">
        <v>288</v>
      </c>
      <c r="AB292" s="4">
        <f t="shared" si="55"/>
        <v>288</v>
      </c>
      <c r="AC292" s="4"/>
      <c r="AD292" s="21">
        <f>ROUND(M292*AR292,0)</f>
        <v>448</v>
      </c>
      <c r="AE292" s="6">
        <f>1-AB292/AD292</f>
        <v>0.3571428571428571</v>
      </c>
      <c r="AF292" s="33">
        <v>0.25</v>
      </c>
      <c r="AG292" s="4">
        <f t="shared" si="56"/>
        <v>436.5</v>
      </c>
      <c r="AH292" s="33">
        <f t="shared" si="49"/>
        <v>442.64788732394368</v>
      </c>
      <c r="AI292" s="6">
        <f>1-AB292/AH292</f>
        <v>0.34936998854524626</v>
      </c>
      <c r="AJ292" s="7">
        <v>442</v>
      </c>
      <c r="AK292" s="6">
        <f>1-AB292/AJ292</f>
        <v>0.34841628959276016</v>
      </c>
      <c r="AL292" s="4">
        <f>AJ292-AB292</f>
        <v>154</v>
      </c>
      <c r="AM292" s="28"/>
      <c r="AN292" s="6"/>
      <c r="AO292" s="6"/>
      <c r="AP292" s="6">
        <f>Z292/L292</f>
        <v>1</v>
      </c>
      <c r="AQ292" s="6">
        <f>AJ292/M292</f>
        <v>1</v>
      </c>
      <c r="AR292" s="6">
        <f>AB292/N292</f>
        <v>1.0140845070422535</v>
      </c>
      <c r="AS292" s="4"/>
      <c r="AT292" s="4"/>
      <c r="AU292" s="4"/>
      <c r="AV292" s="4"/>
      <c r="AW292" s="4"/>
      <c r="AX292" s="4"/>
      <c r="AY292" s="4"/>
      <c r="AZ292" s="4"/>
      <c r="BA292" s="4"/>
      <c r="BB292" s="4">
        <v>0</v>
      </c>
      <c r="BC292" s="4" t="s">
        <v>3833</v>
      </c>
      <c r="BD292" s="4">
        <v>1</v>
      </c>
      <c r="BE292" s="4">
        <v>2</v>
      </c>
      <c r="BF292" s="4" t="s">
        <v>3834</v>
      </c>
      <c r="BG292" s="4">
        <v>873</v>
      </c>
      <c r="BH292" s="4">
        <v>873</v>
      </c>
      <c r="BI292" s="4">
        <f t="shared" si="57"/>
        <v>436.5</v>
      </c>
      <c r="BJ292" s="19">
        <v>4</v>
      </c>
      <c r="BK292" s="19">
        <v>8</v>
      </c>
      <c r="BL292" s="16">
        <v>6</v>
      </c>
      <c r="BM292" s="45" t="s">
        <v>3534</v>
      </c>
      <c r="BN292">
        <v>453</v>
      </c>
      <c r="BO292">
        <f t="shared" si="50"/>
        <v>459.38028169014086</v>
      </c>
      <c r="BP292" t="s">
        <v>3534</v>
      </c>
      <c r="BQ292">
        <v>437</v>
      </c>
      <c r="BR292">
        <f t="shared" si="51"/>
        <v>443.15492957746477</v>
      </c>
      <c r="BS292" t="s">
        <v>2754</v>
      </c>
    </row>
    <row r="293" spans="1:71" x14ac:dyDescent="0.4">
      <c r="A293" s="3">
        <v>290</v>
      </c>
      <c r="B293" s="3">
        <v>290</v>
      </c>
      <c r="C293" s="4" t="s">
        <v>352</v>
      </c>
      <c r="D293" s="4" t="str">
        <f t="shared" si="52"/>
        <v>J192RS</v>
      </c>
      <c r="E293" s="4" t="s">
        <v>352</v>
      </c>
      <c r="F293" s="4" t="s">
        <v>1571</v>
      </c>
      <c r="G293" s="5">
        <v>4521718026626</v>
      </c>
      <c r="H293" s="5"/>
      <c r="I293" s="5"/>
      <c r="J293" s="5">
        <v>1</v>
      </c>
      <c r="K293" s="5">
        <v>1</v>
      </c>
      <c r="L293" s="4">
        <v>640</v>
      </c>
      <c r="M293" s="4">
        <v>413</v>
      </c>
      <c r="N293" s="4">
        <v>284</v>
      </c>
      <c r="O293" s="6">
        <f t="shared" si="53"/>
        <v>0.31234866828087171</v>
      </c>
      <c r="P293" s="4" t="s">
        <v>2500</v>
      </c>
      <c r="Q293" s="4"/>
      <c r="R293" s="4"/>
      <c r="S293" s="4"/>
      <c r="T293" s="4"/>
      <c r="U293" s="4"/>
      <c r="V293" s="4"/>
      <c r="W293" s="4"/>
      <c r="X293" s="4"/>
      <c r="Y293" s="4">
        <v>437</v>
      </c>
      <c r="Z293" s="4">
        <f t="shared" si="54"/>
        <v>437</v>
      </c>
      <c r="AA293" s="4">
        <v>284</v>
      </c>
      <c r="AB293" s="4">
        <f t="shared" si="55"/>
        <v>284</v>
      </c>
      <c r="AC293" s="4"/>
      <c r="AD293" s="21">
        <f>ROUND(M293*AR293,0)</f>
        <v>413</v>
      </c>
      <c r="AE293" s="6">
        <f>1-AB293/AD293</f>
        <v>0.31234866828087171</v>
      </c>
      <c r="AF293" s="33">
        <v>0</v>
      </c>
      <c r="AG293" s="4">
        <f t="shared" si="56"/>
        <v>428</v>
      </c>
      <c r="AH293" s="33">
        <f t="shared" si="49"/>
        <v>428</v>
      </c>
      <c r="AI293" s="6">
        <f>1-AB293/AH293</f>
        <v>0.33644859813084116</v>
      </c>
      <c r="AJ293" s="7">
        <v>428</v>
      </c>
      <c r="AK293" s="6">
        <f>1-AB293/AJ293</f>
        <v>0.33644859813084116</v>
      </c>
      <c r="AL293" s="4">
        <f>AJ293-AB293</f>
        <v>144</v>
      </c>
      <c r="AM293" s="28"/>
      <c r="AN293" s="6"/>
      <c r="AO293" s="6"/>
      <c r="AP293" s="6">
        <f>Z293/L293</f>
        <v>0.68281250000000004</v>
      </c>
      <c r="AQ293" s="6">
        <f>AJ293/M293</f>
        <v>1.036319612590799</v>
      </c>
      <c r="AR293" s="6">
        <f>AB293/N293</f>
        <v>1</v>
      </c>
      <c r="AS293" s="4"/>
      <c r="AT293" s="4"/>
      <c r="AU293" s="4"/>
      <c r="AV293" s="4"/>
      <c r="AW293" s="4"/>
      <c r="AX293" s="4"/>
      <c r="AY293" s="4"/>
      <c r="AZ293" s="4"/>
      <c r="BA293" s="4"/>
      <c r="BB293" s="4">
        <v>0</v>
      </c>
      <c r="BC293" s="4" t="s">
        <v>3835</v>
      </c>
      <c r="BD293" s="4"/>
      <c r="BE293" s="4"/>
      <c r="BF293" s="4" t="s">
        <v>3545</v>
      </c>
      <c r="BG293" s="4">
        <v>428</v>
      </c>
      <c r="BH293" s="4">
        <v>428</v>
      </c>
      <c r="BI293" s="4">
        <f t="shared" si="57"/>
        <v>428</v>
      </c>
      <c r="BJ293" s="19">
        <v>4</v>
      </c>
      <c r="BK293" s="19">
        <v>8</v>
      </c>
      <c r="BL293" s="16">
        <v>6</v>
      </c>
      <c r="BM293" s="45">
        <v>453</v>
      </c>
      <c r="BN293">
        <v>453</v>
      </c>
      <c r="BO293">
        <f t="shared" si="50"/>
        <v>453</v>
      </c>
      <c r="BP293" t="s">
        <v>3534</v>
      </c>
      <c r="BQ293">
        <v>702</v>
      </c>
      <c r="BR293">
        <f t="shared" si="51"/>
        <v>702</v>
      </c>
      <c r="BS293" t="s">
        <v>2755</v>
      </c>
    </row>
    <row r="294" spans="1:71" x14ac:dyDescent="0.4">
      <c r="A294" s="3">
        <v>291</v>
      </c>
      <c r="B294" s="3">
        <v>291</v>
      </c>
      <c r="C294" s="4" t="s">
        <v>353</v>
      </c>
      <c r="D294" s="4" t="str">
        <f t="shared" si="52"/>
        <v>J192WF</v>
      </c>
      <c r="E294" s="4" t="s">
        <v>353</v>
      </c>
      <c r="F294" s="4" t="s">
        <v>1572</v>
      </c>
      <c r="G294" s="5">
        <v>4521718188546</v>
      </c>
      <c r="H294" s="5"/>
      <c r="I294" s="5"/>
      <c r="J294" s="5">
        <v>1</v>
      </c>
      <c r="K294" s="5">
        <v>1</v>
      </c>
      <c r="L294" s="4">
        <v>640</v>
      </c>
      <c r="M294" s="4">
        <v>576</v>
      </c>
      <c r="N294" s="4">
        <v>284</v>
      </c>
      <c r="O294" s="6">
        <f t="shared" si="53"/>
        <v>0.50694444444444442</v>
      </c>
      <c r="P294" s="4" t="s">
        <v>2500</v>
      </c>
      <c r="Q294" s="4"/>
      <c r="R294" s="4"/>
      <c r="S294" s="4"/>
      <c r="T294" s="4"/>
      <c r="U294" s="4"/>
      <c r="V294" s="4"/>
      <c r="W294" s="4"/>
      <c r="X294" s="4"/>
      <c r="Y294" s="4">
        <v>437</v>
      </c>
      <c r="Z294" s="4">
        <f t="shared" si="54"/>
        <v>437</v>
      </c>
      <c r="AA294" s="4">
        <v>284</v>
      </c>
      <c r="AB294" s="4">
        <f t="shared" si="55"/>
        <v>284</v>
      </c>
      <c r="AC294" s="4"/>
      <c r="AD294" s="21">
        <f>ROUND(M294*AR294,0)</f>
        <v>576</v>
      </c>
      <c r="AE294" s="6">
        <f>1-AB294/AD294</f>
        <v>0.50694444444444442</v>
      </c>
      <c r="AF294" s="33">
        <v>0</v>
      </c>
      <c r="AG294" s="4">
        <f t="shared" si="56"/>
        <v>640</v>
      </c>
      <c r="AH294" s="33">
        <f t="shared" si="49"/>
        <v>640</v>
      </c>
      <c r="AI294" s="6">
        <f>1-AB294/AH294</f>
        <v>0.55625000000000002</v>
      </c>
      <c r="AJ294" s="7">
        <f>ROUND(AB294/0.65,0)</f>
        <v>437</v>
      </c>
      <c r="AK294" s="6">
        <f>1-AB294/AJ294</f>
        <v>0.35011441647597252</v>
      </c>
      <c r="AL294" s="4">
        <f>AJ294-AB294</f>
        <v>153</v>
      </c>
      <c r="AM294" s="28"/>
      <c r="AN294" s="6"/>
      <c r="AO294" s="6"/>
      <c r="AP294" s="6">
        <f>Z294/L294</f>
        <v>0.68281250000000004</v>
      </c>
      <c r="AQ294" s="6">
        <f>AJ294/M294</f>
        <v>0.75868055555555558</v>
      </c>
      <c r="AR294" s="6">
        <f>AB294/N294</f>
        <v>1</v>
      </c>
      <c r="AS294" s="4"/>
      <c r="AT294" s="4"/>
      <c r="AU294" s="4"/>
      <c r="AV294" s="4"/>
      <c r="AW294" s="4"/>
      <c r="AX294" s="4"/>
      <c r="AY294" s="4"/>
      <c r="AZ294" s="4"/>
      <c r="BA294" s="4"/>
      <c r="BB294" s="4">
        <v>0</v>
      </c>
      <c r="BC294" s="4" t="s">
        <v>3836</v>
      </c>
      <c r="BD294" s="4">
        <v>1</v>
      </c>
      <c r="BE294" s="4">
        <v>3</v>
      </c>
      <c r="BF294" s="4" t="s">
        <v>3601</v>
      </c>
      <c r="BG294" s="4">
        <v>1920</v>
      </c>
      <c r="BH294" s="4">
        <v>1920</v>
      </c>
      <c r="BI294" s="4">
        <f t="shared" si="57"/>
        <v>640</v>
      </c>
      <c r="BJ294" s="19">
        <v>4</v>
      </c>
      <c r="BK294" s="19">
        <v>8</v>
      </c>
      <c r="BL294" s="16">
        <v>6</v>
      </c>
      <c r="BM294" s="45" t="s">
        <v>3534</v>
      </c>
      <c r="BN294" t="s">
        <v>3534</v>
      </c>
      <c r="BO294" t="str">
        <f t="shared" si="50"/>
        <v>-</v>
      </c>
      <c r="BP294" t="s">
        <v>3534</v>
      </c>
      <c r="BQ294">
        <v>437</v>
      </c>
      <c r="BR294">
        <f t="shared" si="51"/>
        <v>437</v>
      </c>
      <c r="BS294" t="s">
        <v>2756</v>
      </c>
    </row>
    <row r="295" spans="1:71" x14ac:dyDescent="0.4">
      <c r="A295" s="3">
        <v>292</v>
      </c>
      <c r="B295" s="3">
        <v>292</v>
      </c>
      <c r="C295" s="4" t="s">
        <v>354</v>
      </c>
      <c r="D295" s="4" t="str">
        <f t="shared" si="52"/>
        <v>J193WF</v>
      </c>
      <c r="E295" s="4" t="s">
        <v>354</v>
      </c>
      <c r="F295" s="4" t="s">
        <v>1573</v>
      </c>
      <c r="G295" s="5">
        <v>4521718188553</v>
      </c>
      <c r="H295" s="5"/>
      <c r="I295" s="5"/>
      <c r="J295" s="5">
        <v>1</v>
      </c>
      <c r="K295" s="5">
        <v>1</v>
      </c>
      <c r="L295" s="4">
        <v>640</v>
      </c>
      <c r="M295" s="4">
        <v>576</v>
      </c>
      <c r="N295" s="4">
        <v>284</v>
      </c>
      <c r="O295" s="6">
        <f t="shared" si="53"/>
        <v>0.50694444444444442</v>
      </c>
      <c r="P295" s="4" t="s">
        <v>2500</v>
      </c>
      <c r="Q295" s="4"/>
      <c r="R295" s="4"/>
      <c r="S295" s="4"/>
      <c r="T295" s="4"/>
      <c r="U295" s="4"/>
      <c r="V295" s="4"/>
      <c r="W295" s="4"/>
      <c r="X295" s="4"/>
      <c r="Y295" s="4">
        <v>437</v>
      </c>
      <c r="Z295" s="4">
        <f t="shared" si="54"/>
        <v>437</v>
      </c>
      <c r="AA295" s="4">
        <v>284</v>
      </c>
      <c r="AB295" s="4">
        <f t="shared" si="55"/>
        <v>284</v>
      </c>
      <c r="AC295" s="4"/>
      <c r="AD295" s="21">
        <f>ROUND(M295*AR295,0)</f>
        <v>576</v>
      </c>
      <c r="AE295" s="6">
        <f>1-AB295/AD295</f>
        <v>0.50694444444444442</v>
      </c>
      <c r="AF295" s="33">
        <v>0</v>
      </c>
      <c r="AG295" s="4">
        <f t="shared" si="56"/>
        <v>640</v>
      </c>
      <c r="AH295" s="33">
        <f t="shared" si="49"/>
        <v>640</v>
      </c>
      <c r="AI295" s="6">
        <f>1-AB295/AH295</f>
        <v>0.55625000000000002</v>
      </c>
      <c r="AJ295" s="7">
        <f>ROUND(AB295/0.65,0)</f>
        <v>437</v>
      </c>
      <c r="AK295" s="6">
        <f>1-AB295/AJ295</f>
        <v>0.35011441647597252</v>
      </c>
      <c r="AL295" s="4">
        <f>AJ295-AB295</f>
        <v>153</v>
      </c>
      <c r="AM295" s="28"/>
      <c r="AN295" s="6"/>
      <c r="AO295" s="6"/>
      <c r="AP295" s="6">
        <f>Z295/L295</f>
        <v>0.68281250000000004</v>
      </c>
      <c r="AQ295" s="6">
        <f>AJ295/M295</f>
        <v>0.75868055555555558</v>
      </c>
      <c r="AR295" s="6">
        <f>AB295/N295</f>
        <v>1</v>
      </c>
      <c r="AS295" s="4"/>
      <c r="AT295" s="4"/>
      <c r="AU295" s="4"/>
      <c r="AV295" s="4"/>
      <c r="AW295" s="4"/>
      <c r="AX295" s="4"/>
      <c r="AY295" s="4"/>
      <c r="AZ295" s="4"/>
      <c r="BA295" s="4"/>
      <c r="BB295" s="4">
        <v>0</v>
      </c>
      <c r="BC295" s="4" t="s">
        <v>3837</v>
      </c>
      <c r="BD295" s="4">
        <v>1</v>
      </c>
      <c r="BE295" s="4">
        <v>3</v>
      </c>
      <c r="BF295" s="4" t="s">
        <v>3601</v>
      </c>
      <c r="BG295" s="4">
        <v>1920</v>
      </c>
      <c r="BH295" s="4">
        <v>1920</v>
      </c>
      <c r="BI295" s="4">
        <f t="shared" si="57"/>
        <v>640</v>
      </c>
      <c r="BJ295" s="19">
        <v>4</v>
      </c>
      <c r="BK295" s="19">
        <v>8</v>
      </c>
      <c r="BL295" s="16">
        <v>6</v>
      </c>
      <c r="BM295" s="45" t="s">
        <v>3534</v>
      </c>
      <c r="BN295" t="s">
        <v>3534</v>
      </c>
      <c r="BO295" t="str">
        <f t="shared" si="50"/>
        <v>-</v>
      </c>
      <c r="BP295" t="s">
        <v>3534</v>
      </c>
      <c r="BQ295">
        <v>437</v>
      </c>
      <c r="BR295">
        <f t="shared" si="51"/>
        <v>437</v>
      </c>
      <c r="BS295" t="s">
        <v>2757</v>
      </c>
    </row>
    <row r="296" spans="1:71" x14ac:dyDescent="0.4">
      <c r="A296" s="3">
        <v>293</v>
      </c>
      <c r="B296" s="3">
        <v>293</v>
      </c>
      <c r="C296" s="4" t="s">
        <v>355</v>
      </c>
      <c r="D296" s="4" t="str">
        <f t="shared" si="52"/>
        <v>J194WF</v>
      </c>
      <c r="E296" s="4" t="s">
        <v>355</v>
      </c>
      <c r="F296" s="4" t="s">
        <v>1574</v>
      </c>
      <c r="G296" s="5">
        <v>4521718188560</v>
      </c>
      <c r="H296" s="5"/>
      <c r="I296" s="5"/>
      <c r="J296" s="5">
        <v>1</v>
      </c>
      <c r="K296" s="5">
        <v>1</v>
      </c>
      <c r="L296" s="4">
        <v>640</v>
      </c>
      <c r="M296" s="4">
        <v>576</v>
      </c>
      <c r="N296" s="4">
        <v>284</v>
      </c>
      <c r="O296" s="6">
        <f t="shared" si="53"/>
        <v>0.50694444444444442</v>
      </c>
      <c r="P296" s="4" t="s">
        <v>2500</v>
      </c>
      <c r="Q296" s="4"/>
      <c r="R296" s="4"/>
      <c r="S296" s="4"/>
      <c r="T296" s="4"/>
      <c r="U296" s="4"/>
      <c r="V296" s="4"/>
      <c r="W296" s="4"/>
      <c r="X296" s="4"/>
      <c r="Y296" s="4">
        <v>437</v>
      </c>
      <c r="Z296" s="4">
        <f t="shared" si="54"/>
        <v>437</v>
      </c>
      <c r="AA296" s="4">
        <v>284</v>
      </c>
      <c r="AB296" s="4">
        <f t="shared" si="55"/>
        <v>284</v>
      </c>
      <c r="AC296" s="4"/>
      <c r="AD296" s="21">
        <f>ROUND(M296*AR296,0)</f>
        <v>576</v>
      </c>
      <c r="AE296" s="6">
        <f>1-AB296/AD296</f>
        <v>0.50694444444444442</v>
      </c>
      <c r="AF296" s="33">
        <v>0</v>
      </c>
      <c r="AG296" s="4">
        <f t="shared" si="56"/>
        <v>640</v>
      </c>
      <c r="AH296" s="33">
        <f t="shared" si="49"/>
        <v>640</v>
      </c>
      <c r="AI296" s="6">
        <f>1-AB296/AH296</f>
        <v>0.55625000000000002</v>
      </c>
      <c r="AJ296" s="7">
        <f>ROUND(AB296/0.65,0)</f>
        <v>437</v>
      </c>
      <c r="AK296" s="6">
        <f>1-AB296/AJ296</f>
        <v>0.35011441647597252</v>
      </c>
      <c r="AL296" s="4">
        <f>AJ296-AB296</f>
        <v>153</v>
      </c>
      <c r="AM296" s="28"/>
      <c r="AN296" s="6"/>
      <c r="AO296" s="6"/>
      <c r="AP296" s="6">
        <f>Z296/L296</f>
        <v>0.68281250000000004</v>
      </c>
      <c r="AQ296" s="6">
        <f>AJ296/M296</f>
        <v>0.75868055555555558</v>
      </c>
      <c r="AR296" s="6">
        <f>AB296/N296</f>
        <v>1</v>
      </c>
      <c r="AS296" s="4"/>
      <c r="AT296" s="4"/>
      <c r="AU296" s="4"/>
      <c r="AV296" s="4"/>
      <c r="AW296" s="4"/>
      <c r="AX296" s="4"/>
      <c r="AY296" s="4"/>
      <c r="AZ296" s="4"/>
      <c r="BA296" s="4"/>
      <c r="BB296" s="4">
        <v>0</v>
      </c>
      <c r="BC296" s="4" t="s">
        <v>3838</v>
      </c>
      <c r="BD296" s="4">
        <v>1</v>
      </c>
      <c r="BE296" s="4">
        <v>3</v>
      </c>
      <c r="BF296" s="4" t="s">
        <v>3601</v>
      </c>
      <c r="BG296" s="4">
        <v>1920</v>
      </c>
      <c r="BH296" s="4">
        <v>1920</v>
      </c>
      <c r="BI296" s="4">
        <f t="shared" si="57"/>
        <v>640</v>
      </c>
      <c r="BJ296" s="19">
        <v>4</v>
      </c>
      <c r="BK296" s="19">
        <v>8</v>
      </c>
      <c r="BL296" s="16">
        <v>6</v>
      </c>
      <c r="BM296" s="45" t="s">
        <v>3534</v>
      </c>
      <c r="BN296" t="s">
        <v>3534</v>
      </c>
      <c r="BO296" t="str">
        <f t="shared" si="50"/>
        <v>-</v>
      </c>
      <c r="BP296" t="s">
        <v>3534</v>
      </c>
      <c r="BQ296">
        <v>437</v>
      </c>
      <c r="BR296">
        <f t="shared" si="51"/>
        <v>437</v>
      </c>
      <c r="BS296" t="s">
        <v>2758</v>
      </c>
    </row>
    <row r="297" spans="1:71" x14ac:dyDescent="0.4">
      <c r="A297" s="3">
        <v>294</v>
      </c>
      <c r="B297" s="3">
        <v>294</v>
      </c>
      <c r="C297" s="4" t="s">
        <v>356</v>
      </c>
      <c r="D297" s="4" t="str">
        <f t="shared" si="52"/>
        <v>J196WF</v>
      </c>
      <c r="E297" s="4" t="s">
        <v>356</v>
      </c>
      <c r="F297" s="4" t="s">
        <v>1575</v>
      </c>
      <c r="G297" s="5">
        <v>4521718190075</v>
      </c>
      <c r="H297" s="5"/>
      <c r="I297" s="5"/>
      <c r="J297" s="5">
        <v>1</v>
      </c>
      <c r="K297" s="5">
        <v>1</v>
      </c>
      <c r="L297" s="4">
        <v>780</v>
      </c>
      <c r="M297" s="4">
        <v>702</v>
      </c>
      <c r="N297" s="4">
        <v>350</v>
      </c>
      <c r="O297" s="6">
        <f t="shared" si="53"/>
        <v>0.50142450142450135</v>
      </c>
      <c r="P297" s="4" t="s">
        <v>2500</v>
      </c>
      <c r="Q297" s="4"/>
      <c r="R297" s="4"/>
      <c r="S297" s="4"/>
      <c r="T297" s="4"/>
      <c r="U297" s="4"/>
      <c r="V297" s="4"/>
      <c r="W297" s="4"/>
      <c r="X297" s="4"/>
      <c r="Y297" s="4">
        <v>500</v>
      </c>
      <c r="Z297" s="4">
        <f t="shared" si="54"/>
        <v>500</v>
      </c>
      <c r="AA297" s="4">
        <v>350</v>
      </c>
      <c r="AB297" s="4">
        <f t="shared" si="55"/>
        <v>350</v>
      </c>
      <c r="AC297" s="4"/>
      <c r="AD297" s="21">
        <f>ROUND(M297*AR297,0)</f>
        <v>702</v>
      </c>
      <c r="AE297" s="6">
        <f>1-AB297/AD297</f>
        <v>0.50142450142450135</v>
      </c>
      <c r="AF297" s="33">
        <v>0</v>
      </c>
      <c r="AG297" s="4">
        <f t="shared" si="56"/>
        <v>780</v>
      </c>
      <c r="AH297" s="33">
        <f t="shared" si="49"/>
        <v>780</v>
      </c>
      <c r="AI297" s="6">
        <f>1-AB297/AH297</f>
        <v>0.55128205128205132</v>
      </c>
      <c r="AJ297" s="7">
        <v>500</v>
      </c>
      <c r="AK297" s="6">
        <f>1-AB297/AJ297</f>
        <v>0.30000000000000004</v>
      </c>
      <c r="AL297" s="4">
        <f>AJ297-AB297</f>
        <v>150</v>
      </c>
      <c r="AM297" s="28"/>
      <c r="AN297" s="6"/>
      <c r="AO297" s="6"/>
      <c r="AP297" s="6">
        <f>Z297/L297</f>
        <v>0.64102564102564108</v>
      </c>
      <c r="AQ297" s="6">
        <f>AJ297/M297</f>
        <v>0.71225071225071224</v>
      </c>
      <c r="AR297" s="6">
        <f>AB297/N297</f>
        <v>1</v>
      </c>
      <c r="AS297" s="4"/>
      <c r="AT297" s="4"/>
      <c r="AU297" s="4"/>
      <c r="AV297" s="4"/>
      <c r="AW297" s="4"/>
      <c r="AX297" s="4"/>
      <c r="AY297" s="4"/>
      <c r="AZ297" s="4"/>
      <c r="BA297" s="4"/>
      <c r="BB297" s="4">
        <v>0</v>
      </c>
      <c r="BC297" s="4" t="s">
        <v>3839</v>
      </c>
      <c r="BD297" s="4">
        <v>1</v>
      </c>
      <c r="BE297" s="4">
        <v>2</v>
      </c>
      <c r="BF297" s="4" t="s">
        <v>3631</v>
      </c>
      <c r="BG297" s="4">
        <v>1560</v>
      </c>
      <c r="BH297" s="4">
        <v>1560</v>
      </c>
      <c r="BI297" s="4">
        <f t="shared" si="57"/>
        <v>780</v>
      </c>
      <c r="BJ297" s="19">
        <v>4</v>
      </c>
      <c r="BK297" s="19">
        <v>8</v>
      </c>
      <c r="BL297" s="16">
        <v>6</v>
      </c>
      <c r="BM297" s="45" t="s">
        <v>3534</v>
      </c>
      <c r="BN297" t="s">
        <v>3534</v>
      </c>
      <c r="BO297" t="str">
        <f t="shared" si="50"/>
        <v>-</v>
      </c>
      <c r="BP297" t="s">
        <v>3534</v>
      </c>
      <c r="BQ297">
        <v>741</v>
      </c>
      <c r="BR297">
        <f t="shared" si="51"/>
        <v>741</v>
      </c>
      <c r="BS297" t="s">
        <v>2759</v>
      </c>
    </row>
    <row r="298" spans="1:71" x14ac:dyDescent="0.4">
      <c r="A298" s="3">
        <v>295</v>
      </c>
      <c r="B298" s="3">
        <v>295</v>
      </c>
      <c r="C298" s="4" t="s">
        <v>357</v>
      </c>
      <c r="D298" s="4" t="str">
        <f t="shared" si="52"/>
        <v>J195WF</v>
      </c>
      <c r="E298" s="4" t="s">
        <v>357</v>
      </c>
      <c r="F298" s="4" t="s">
        <v>1576</v>
      </c>
      <c r="G298" s="5">
        <v>4521718190068</v>
      </c>
      <c r="H298" s="5"/>
      <c r="I298" s="5"/>
      <c r="J298" s="5">
        <v>1</v>
      </c>
      <c r="K298" s="5">
        <v>1</v>
      </c>
      <c r="L298" s="4">
        <v>780</v>
      </c>
      <c r="M298" s="4">
        <v>702</v>
      </c>
      <c r="N298" s="4">
        <v>350</v>
      </c>
      <c r="O298" s="6">
        <f t="shared" si="53"/>
        <v>0.50142450142450135</v>
      </c>
      <c r="P298" s="4" t="s">
        <v>2500</v>
      </c>
      <c r="Q298" s="4"/>
      <c r="R298" s="4"/>
      <c r="S298" s="4"/>
      <c r="T298" s="4"/>
      <c r="U298" s="4"/>
      <c r="V298" s="4"/>
      <c r="W298" s="4"/>
      <c r="X298" s="4"/>
      <c r="Y298" s="4">
        <v>500</v>
      </c>
      <c r="Z298" s="4">
        <f t="shared" si="54"/>
        <v>500</v>
      </c>
      <c r="AA298" s="4">
        <v>350</v>
      </c>
      <c r="AB298" s="4">
        <f t="shared" si="55"/>
        <v>350</v>
      </c>
      <c r="AC298" s="4"/>
      <c r="AD298" s="21">
        <f>ROUND(M298*AR298,0)</f>
        <v>702</v>
      </c>
      <c r="AE298" s="6">
        <f>1-AB298/AD298</f>
        <v>0.50142450142450135</v>
      </c>
      <c r="AF298" s="33">
        <v>0</v>
      </c>
      <c r="AG298" s="4">
        <f t="shared" si="56"/>
        <v>780</v>
      </c>
      <c r="AH298" s="33">
        <f t="shared" si="49"/>
        <v>780</v>
      </c>
      <c r="AI298" s="6">
        <f>1-AB298/AH298</f>
        <v>0.55128205128205132</v>
      </c>
      <c r="AJ298" s="7">
        <v>500</v>
      </c>
      <c r="AK298" s="6">
        <f>1-AB298/AJ298</f>
        <v>0.30000000000000004</v>
      </c>
      <c r="AL298" s="4">
        <f>AJ298-AB298</f>
        <v>150</v>
      </c>
      <c r="AM298" s="28"/>
      <c r="AN298" s="6"/>
      <c r="AO298" s="6"/>
      <c r="AP298" s="6">
        <f>Z298/L298</f>
        <v>0.64102564102564108</v>
      </c>
      <c r="AQ298" s="6">
        <f>AJ298/M298</f>
        <v>0.71225071225071224</v>
      </c>
      <c r="AR298" s="6">
        <f>AB298/N298</f>
        <v>1</v>
      </c>
      <c r="AS298" s="4"/>
      <c r="AT298" s="4"/>
      <c r="AU298" s="4"/>
      <c r="AV298" s="4"/>
      <c r="AW298" s="4"/>
      <c r="AX298" s="4"/>
      <c r="AY298" s="4"/>
      <c r="AZ298" s="4"/>
      <c r="BA298" s="4"/>
      <c r="BB298" s="4">
        <v>0</v>
      </c>
      <c r="BC298" s="4" t="s">
        <v>3840</v>
      </c>
      <c r="BD298" s="4">
        <v>1</v>
      </c>
      <c r="BE298" s="4">
        <v>2</v>
      </c>
      <c r="BF298" s="4" t="s">
        <v>3631</v>
      </c>
      <c r="BG298" s="4">
        <v>1560</v>
      </c>
      <c r="BH298" s="4">
        <v>1560</v>
      </c>
      <c r="BI298" s="4">
        <f t="shared" si="57"/>
        <v>780</v>
      </c>
      <c r="BJ298" s="19">
        <v>4</v>
      </c>
      <c r="BK298" s="19">
        <v>8</v>
      </c>
      <c r="BL298" s="16">
        <v>6</v>
      </c>
      <c r="BM298" s="45" t="s">
        <v>3534</v>
      </c>
      <c r="BN298" t="s">
        <v>3534</v>
      </c>
      <c r="BO298" t="str">
        <f t="shared" si="50"/>
        <v>-</v>
      </c>
      <c r="BP298" t="s">
        <v>3534</v>
      </c>
      <c r="BQ298">
        <v>741</v>
      </c>
      <c r="BR298">
        <f t="shared" si="51"/>
        <v>741</v>
      </c>
      <c r="BS298" t="s">
        <v>2760</v>
      </c>
    </row>
    <row r="299" spans="1:71" x14ac:dyDescent="0.4">
      <c r="A299" s="3">
        <v>296</v>
      </c>
      <c r="B299" s="3">
        <v>296</v>
      </c>
      <c r="C299" s="4" t="s">
        <v>358</v>
      </c>
      <c r="D299" s="4" t="str">
        <f t="shared" si="52"/>
        <v>J197WF</v>
      </c>
      <c r="E299" s="4" t="s">
        <v>358</v>
      </c>
      <c r="F299" s="4" t="s">
        <v>1577</v>
      </c>
      <c r="G299" s="5">
        <v>4521718190082</v>
      </c>
      <c r="H299" s="5"/>
      <c r="I299" s="5"/>
      <c r="J299" s="5">
        <v>1</v>
      </c>
      <c r="K299" s="5">
        <v>1</v>
      </c>
      <c r="L299" s="4">
        <v>780</v>
      </c>
      <c r="M299" s="4">
        <v>702</v>
      </c>
      <c r="N299" s="4">
        <v>350</v>
      </c>
      <c r="O299" s="6">
        <f t="shared" si="53"/>
        <v>0.50142450142450135</v>
      </c>
      <c r="P299" s="4" t="s">
        <v>2500</v>
      </c>
      <c r="Q299" s="4"/>
      <c r="R299" s="4"/>
      <c r="S299" s="4"/>
      <c r="T299" s="4"/>
      <c r="U299" s="4"/>
      <c r="V299" s="4"/>
      <c r="W299" s="4"/>
      <c r="X299" s="4"/>
      <c r="Y299" s="4">
        <v>500</v>
      </c>
      <c r="Z299" s="4">
        <f t="shared" si="54"/>
        <v>500</v>
      </c>
      <c r="AA299" s="4">
        <v>350</v>
      </c>
      <c r="AB299" s="4">
        <f t="shared" si="55"/>
        <v>350</v>
      </c>
      <c r="AC299" s="4"/>
      <c r="AD299" s="21">
        <f>ROUND(M299*AR299,0)</f>
        <v>702</v>
      </c>
      <c r="AE299" s="6">
        <f>1-AB299/AD299</f>
        <v>0.50142450142450135</v>
      </c>
      <c r="AF299" s="33">
        <v>0</v>
      </c>
      <c r="AG299" s="4">
        <f t="shared" si="56"/>
        <v>780</v>
      </c>
      <c r="AH299" s="33">
        <f t="shared" si="49"/>
        <v>780</v>
      </c>
      <c r="AI299" s="6">
        <f>1-AB299/AH299</f>
        <v>0.55128205128205132</v>
      </c>
      <c r="AJ299" s="7">
        <v>500</v>
      </c>
      <c r="AK299" s="6">
        <f>1-AB299/AJ299</f>
        <v>0.30000000000000004</v>
      </c>
      <c r="AL299" s="4">
        <f>AJ299-AB299</f>
        <v>150</v>
      </c>
      <c r="AM299" s="28"/>
      <c r="AN299" s="6"/>
      <c r="AO299" s="6"/>
      <c r="AP299" s="6">
        <f>Z299/L299</f>
        <v>0.64102564102564108</v>
      </c>
      <c r="AQ299" s="6">
        <f>AJ299/M299</f>
        <v>0.71225071225071224</v>
      </c>
      <c r="AR299" s="6">
        <f>AB299/N299</f>
        <v>1</v>
      </c>
      <c r="AS299" s="4"/>
      <c r="AT299" s="4"/>
      <c r="AU299" s="4"/>
      <c r="AV299" s="4"/>
      <c r="AW299" s="4"/>
      <c r="AX299" s="4"/>
      <c r="AY299" s="4"/>
      <c r="AZ299" s="4"/>
      <c r="BA299" s="4"/>
      <c r="BB299" s="4">
        <v>0</v>
      </c>
      <c r="BC299" s="4" t="s">
        <v>3841</v>
      </c>
      <c r="BD299" s="4">
        <v>1</v>
      </c>
      <c r="BE299" s="4">
        <v>2</v>
      </c>
      <c r="BF299" s="4" t="s">
        <v>3631</v>
      </c>
      <c r="BG299" s="4">
        <v>1560</v>
      </c>
      <c r="BH299" s="4">
        <v>1560</v>
      </c>
      <c r="BI299" s="4">
        <f t="shared" si="57"/>
        <v>780</v>
      </c>
      <c r="BJ299" s="19">
        <v>4</v>
      </c>
      <c r="BK299" s="19">
        <v>8</v>
      </c>
      <c r="BL299" s="16">
        <v>6</v>
      </c>
      <c r="BM299" s="45" t="s">
        <v>3534</v>
      </c>
      <c r="BN299" t="s">
        <v>3534</v>
      </c>
      <c r="BO299" t="str">
        <f t="shared" si="50"/>
        <v>-</v>
      </c>
      <c r="BP299" t="s">
        <v>3534</v>
      </c>
      <c r="BQ299">
        <v>741</v>
      </c>
      <c r="BR299">
        <f t="shared" si="51"/>
        <v>741</v>
      </c>
      <c r="BS299" t="s">
        <v>2761</v>
      </c>
    </row>
    <row r="300" spans="1:71" x14ac:dyDescent="0.4">
      <c r="A300" s="3">
        <v>297</v>
      </c>
      <c r="B300" s="3">
        <v>297</v>
      </c>
      <c r="C300" s="4" t="s">
        <v>359</v>
      </c>
      <c r="D300" s="4" t="str">
        <f t="shared" si="52"/>
        <v>J198WF</v>
      </c>
      <c r="E300" s="4" t="s">
        <v>359</v>
      </c>
      <c r="F300" s="4" t="s">
        <v>1578</v>
      </c>
      <c r="G300" s="5">
        <v>4521718190099</v>
      </c>
      <c r="H300" s="5"/>
      <c r="I300" s="5"/>
      <c r="J300" s="5">
        <v>1</v>
      </c>
      <c r="K300" s="5">
        <v>1</v>
      </c>
      <c r="L300" s="4">
        <v>780</v>
      </c>
      <c r="M300" s="4">
        <v>702</v>
      </c>
      <c r="N300" s="4">
        <v>350</v>
      </c>
      <c r="O300" s="6">
        <f t="shared" si="53"/>
        <v>0.50142450142450135</v>
      </c>
      <c r="P300" s="4" t="s">
        <v>2500</v>
      </c>
      <c r="Q300" s="4"/>
      <c r="R300" s="4"/>
      <c r="S300" s="4"/>
      <c r="T300" s="4"/>
      <c r="U300" s="4"/>
      <c r="V300" s="4"/>
      <c r="W300" s="4"/>
      <c r="X300" s="4"/>
      <c r="Y300" s="4">
        <v>500</v>
      </c>
      <c r="Z300" s="4">
        <f t="shared" si="54"/>
        <v>500</v>
      </c>
      <c r="AA300" s="4">
        <v>350</v>
      </c>
      <c r="AB300" s="4">
        <f t="shared" si="55"/>
        <v>350</v>
      </c>
      <c r="AC300" s="4"/>
      <c r="AD300" s="21">
        <f>ROUND(M300*AR300,0)</f>
        <v>702</v>
      </c>
      <c r="AE300" s="6">
        <f>1-AB300/AD300</f>
        <v>0.50142450142450135</v>
      </c>
      <c r="AF300" s="33">
        <v>0</v>
      </c>
      <c r="AG300" s="4">
        <f t="shared" si="56"/>
        <v>780</v>
      </c>
      <c r="AH300" s="33">
        <f t="shared" si="49"/>
        <v>780</v>
      </c>
      <c r="AI300" s="6">
        <f>1-AB300/AH300</f>
        <v>0.55128205128205132</v>
      </c>
      <c r="AJ300" s="7">
        <v>500</v>
      </c>
      <c r="AK300" s="6">
        <f>1-AB300/AJ300</f>
        <v>0.30000000000000004</v>
      </c>
      <c r="AL300" s="4">
        <f>AJ300-AB300</f>
        <v>150</v>
      </c>
      <c r="AM300" s="28"/>
      <c r="AN300" s="6"/>
      <c r="AO300" s="6"/>
      <c r="AP300" s="6">
        <f>Z300/L300</f>
        <v>0.64102564102564108</v>
      </c>
      <c r="AQ300" s="6">
        <f>AJ300/M300</f>
        <v>0.71225071225071224</v>
      </c>
      <c r="AR300" s="6">
        <f>AB300/N300</f>
        <v>1</v>
      </c>
      <c r="AS300" s="4"/>
      <c r="AT300" s="4"/>
      <c r="AU300" s="4"/>
      <c r="AV300" s="4"/>
      <c r="AW300" s="4"/>
      <c r="AX300" s="4"/>
      <c r="AY300" s="4"/>
      <c r="AZ300" s="4"/>
      <c r="BA300" s="4"/>
      <c r="BB300" s="4">
        <v>0</v>
      </c>
      <c r="BC300" s="4" t="s">
        <v>3842</v>
      </c>
      <c r="BD300" s="4">
        <v>1</v>
      </c>
      <c r="BE300" s="4">
        <v>2</v>
      </c>
      <c r="BF300" s="4" t="s">
        <v>3631</v>
      </c>
      <c r="BG300" s="4">
        <v>1560</v>
      </c>
      <c r="BH300" s="4">
        <v>1560</v>
      </c>
      <c r="BI300" s="4">
        <f t="shared" si="57"/>
        <v>780</v>
      </c>
      <c r="BJ300" s="19">
        <v>4</v>
      </c>
      <c r="BK300" s="19">
        <v>8</v>
      </c>
      <c r="BL300" s="16">
        <v>6</v>
      </c>
      <c r="BM300" s="45" t="s">
        <v>3534</v>
      </c>
      <c r="BN300" t="s">
        <v>3534</v>
      </c>
      <c r="BO300" t="str">
        <f t="shared" si="50"/>
        <v>-</v>
      </c>
      <c r="BP300" t="s">
        <v>3534</v>
      </c>
      <c r="BQ300">
        <v>741</v>
      </c>
      <c r="BR300">
        <f t="shared" si="51"/>
        <v>741</v>
      </c>
      <c r="BS300" t="s">
        <v>2762</v>
      </c>
    </row>
    <row r="301" spans="1:71" x14ac:dyDescent="0.4">
      <c r="A301" s="3">
        <v>298</v>
      </c>
      <c r="B301" s="3">
        <v>298</v>
      </c>
      <c r="C301" s="4" t="s">
        <v>360</v>
      </c>
      <c r="D301" s="4" t="str">
        <f t="shared" si="52"/>
        <v>J199WF</v>
      </c>
      <c r="E301" s="4" t="s">
        <v>360</v>
      </c>
      <c r="F301" s="4" t="s">
        <v>1579</v>
      </c>
      <c r="G301" s="5">
        <v>4521718190105</v>
      </c>
      <c r="H301" s="5"/>
      <c r="I301" s="5"/>
      <c r="J301" s="5">
        <v>1</v>
      </c>
      <c r="K301" s="5">
        <v>1</v>
      </c>
      <c r="L301" s="4">
        <v>1050</v>
      </c>
      <c r="M301" s="4">
        <v>945</v>
      </c>
      <c r="N301" s="4">
        <v>471</v>
      </c>
      <c r="O301" s="6">
        <f t="shared" si="53"/>
        <v>0.50158730158730158</v>
      </c>
      <c r="P301" s="4" t="s">
        <v>2500</v>
      </c>
      <c r="Q301" s="4"/>
      <c r="R301" s="4"/>
      <c r="S301" s="4"/>
      <c r="T301" s="4"/>
      <c r="U301" s="4"/>
      <c r="V301" s="4"/>
      <c r="W301" s="4"/>
      <c r="X301" s="4"/>
      <c r="Y301" s="4">
        <v>673</v>
      </c>
      <c r="Z301" s="4">
        <f t="shared" si="54"/>
        <v>673</v>
      </c>
      <c r="AA301" s="4">
        <v>471</v>
      </c>
      <c r="AB301" s="4">
        <f t="shared" si="55"/>
        <v>471</v>
      </c>
      <c r="AC301" s="4"/>
      <c r="AD301" s="21">
        <f>ROUND(M301*AR301,0)</f>
        <v>945</v>
      </c>
      <c r="AE301" s="6">
        <f>1-AB301/AD301</f>
        <v>0.50158730158730158</v>
      </c>
      <c r="AF301" s="33">
        <v>0</v>
      </c>
      <c r="AG301" s="4">
        <f t="shared" si="56"/>
        <v>1050</v>
      </c>
      <c r="AH301" s="33">
        <f t="shared" si="49"/>
        <v>1050</v>
      </c>
      <c r="AI301" s="6">
        <f>1-AB301/AH301</f>
        <v>0.55142857142857138</v>
      </c>
      <c r="AJ301" s="7">
        <v>673</v>
      </c>
      <c r="AK301" s="6">
        <f>1-AB301/AJ301</f>
        <v>0.30014858841010406</v>
      </c>
      <c r="AL301" s="4">
        <f>AJ301-AB301</f>
        <v>202</v>
      </c>
      <c r="AM301" s="28"/>
      <c r="AN301" s="6"/>
      <c r="AO301" s="6"/>
      <c r="AP301" s="6">
        <f>Z301/L301</f>
        <v>0.64095238095238094</v>
      </c>
      <c r="AQ301" s="6">
        <f>AJ301/M301</f>
        <v>0.71216931216931212</v>
      </c>
      <c r="AR301" s="6">
        <f>AB301/N301</f>
        <v>1</v>
      </c>
      <c r="AS301" s="4"/>
      <c r="AT301" s="4"/>
      <c r="AU301" s="4"/>
      <c r="AV301" s="4"/>
      <c r="AW301" s="4"/>
      <c r="AX301" s="4"/>
      <c r="AY301" s="4"/>
      <c r="AZ301" s="4"/>
      <c r="BA301" s="4"/>
      <c r="BB301" s="4">
        <v>0</v>
      </c>
      <c r="BC301" s="4" t="s">
        <v>3843</v>
      </c>
      <c r="BD301" s="4">
        <v>1</v>
      </c>
      <c r="BE301" s="4">
        <v>2</v>
      </c>
      <c r="BF301" s="4" t="s">
        <v>3631</v>
      </c>
      <c r="BG301" s="4">
        <v>2100</v>
      </c>
      <c r="BH301" s="4">
        <v>2100</v>
      </c>
      <c r="BI301" s="4">
        <f t="shared" si="57"/>
        <v>1050</v>
      </c>
      <c r="BJ301" s="19">
        <v>4</v>
      </c>
      <c r="BK301" s="19">
        <v>8</v>
      </c>
      <c r="BL301" s="16">
        <v>6</v>
      </c>
      <c r="BM301" s="45" t="s">
        <v>3534</v>
      </c>
      <c r="BN301" t="s">
        <v>3534</v>
      </c>
      <c r="BO301" t="str">
        <f t="shared" si="50"/>
        <v>-</v>
      </c>
      <c r="BP301" t="s">
        <v>3534</v>
      </c>
      <c r="BQ301">
        <v>998</v>
      </c>
      <c r="BR301">
        <f t="shared" si="51"/>
        <v>998</v>
      </c>
      <c r="BS301" t="s">
        <v>2763</v>
      </c>
    </row>
    <row r="302" spans="1:71" x14ac:dyDescent="0.4">
      <c r="A302" s="3">
        <v>299</v>
      </c>
      <c r="B302" s="3">
        <v>299</v>
      </c>
      <c r="C302" s="4" t="s">
        <v>361</v>
      </c>
      <c r="D302" s="4" t="str">
        <f t="shared" si="52"/>
        <v>J200WF</v>
      </c>
      <c r="E302" s="4" t="s">
        <v>361</v>
      </c>
      <c r="F302" s="4" t="s">
        <v>1580</v>
      </c>
      <c r="G302" s="5">
        <v>4521718190112</v>
      </c>
      <c r="H302" s="5"/>
      <c r="I302" s="5"/>
      <c r="J302" s="5">
        <v>1</v>
      </c>
      <c r="K302" s="5">
        <v>1</v>
      </c>
      <c r="L302" s="4">
        <v>1050</v>
      </c>
      <c r="M302" s="4">
        <v>945</v>
      </c>
      <c r="N302" s="4">
        <v>471</v>
      </c>
      <c r="O302" s="6">
        <f t="shared" si="53"/>
        <v>0.50158730158730158</v>
      </c>
      <c r="P302" s="4" t="s">
        <v>2500</v>
      </c>
      <c r="Q302" s="4"/>
      <c r="R302" s="4"/>
      <c r="S302" s="4"/>
      <c r="T302" s="4"/>
      <c r="U302" s="4"/>
      <c r="V302" s="4"/>
      <c r="W302" s="4"/>
      <c r="X302" s="4"/>
      <c r="Y302" s="4">
        <v>673</v>
      </c>
      <c r="Z302" s="4">
        <f t="shared" si="54"/>
        <v>673</v>
      </c>
      <c r="AA302" s="4">
        <v>471</v>
      </c>
      <c r="AB302" s="4">
        <f t="shared" si="55"/>
        <v>471</v>
      </c>
      <c r="AC302" s="4"/>
      <c r="AD302" s="21">
        <f>ROUND(M302*AR302,0)</f>
        <v>945</v>
      </c>
      <c r="AE302" s="6">
        <f>1-AB302/AD302</f>
        <v>0.50158730158730158</v>
      </c>
      <c r="AF302" s="33">
        <v>0</v>
      </c>
      <c r="AG302" s="4">
        <f t="shared" si="56"/>
        <v>1050</v>
      </c>
      <c r="AH302" s="33">
        <f t="shared" si="49"/>
        <v>1050</v>
      </c>
      <c r="AI302" s="6">
        <f>1-AB302/AH302</f>
        <v>0.55142857142857138</v>
      </c>
      <c r="AJ302" s="7">
        <v>673</v>
      </c>
      <c r="AK302" s="6">
        <f>1-AB302/AJ302</f>
        <v>0.30014858841010406</v>
      </c>
      <c r="AL302" s="4">
        <f>AJ302-AB302</f>
        <v>202</v>
      </c>
      <c r="AM302" s="28"/>
      <c r="AN302" s="6"/>
      <c r="AO302" s="6"/>
      <c r="AP302" s="6">
        <f>Z302/L302</f>
        <v>0.64095238095238094</v>
      </c>
      <c r="AQ302" s="6">
        <f>AJ302/M302</f>
        <v>0.71216931216931212</v>
      </c>
      <c r="AR302" s="6">
        <f>AB302/N302</f>
        <v>1</v>
      </c>
      <c r="AS302" s="4"/>
      <c r="AT302" s="4"/>
      <c r="AU302" s="4"/>
      <c r="AV302" s="4"/>
      <c r="AW302" s="4"/>
      <c r="AX302" s="4"/>
      <c r="AY302" s="4"/>
      <c r="AZ302" s="4"/>
      <c r="BA302" s="4"/>
      <c r="BB302" s="4">
        <v>0</v>
      </c>
      <c r="BC302" s="4" t="s">
        <v>3844</v>
      </c>
      <c r="BD302" s="4">
        <v>1</v>
      </c>
      <c r="BE302" s="4">
        <v>2</v>
      </c>
      <c r="BF302" s="4" t="s">
        <v>3631</v>
      </c>
      <c r="BG302" s="4">
        <v>2100</v>
      </c>
      <c r="BH302" s="4">
        <v>2100</v>
      </c>
      <c r="BI302" s="4">
        <f t="shared" si="57"/>
        <v>1050</v>
      </c>
      <c r="BJ302" s="19">
        <v>4</v>
      </c>
      <c r="BK302" s="19">
        <v>8</v>
      </c>
      <c r="BL302" s="16">
        <v>6</v>
      </c>
      <c r="BM302" s="45" t="s">
        <v>3534</v>
      </c>
      <c r="BN302" t="s">
        <v>3534</v>
      </c>
      <c r="BO302" t="str">
        <f t="shared" si="50"/>
        <v>-</v>
      </c>
      <c r="BP302" t="s">
        <v>3534</v>
      </c>
      <c r="BQ302">
        <v>998</v>
      </c>
      <c r="BR302">
        <f t="shared" si="51"/>
        <v>998</v>
      </c>
      <c r="BS302" t="s">
        <v>2764</v>
      </c>
    </row>
    <row r="303" spans="1:71" x14ac:dyDescent="0.4">
      <c r="A303" s="3">
        <v>300</v>
      </c>
      <c r="B303" s="3">
        <v>300</v>
      </c>
      <c r="C303" s="4" t="s">
        <v>362</v>
      </c>
      <c r="D303" s="4" t="str">
        <f t="shared" si="52"/>
        <v>J202WF</v>
      </c>
      <c r="E303" s="4" t="s">
        <v>362</v>
      </c>
      <c r="F303" s="4" t="s">
        <v>1581</v>
      </c>
      <c r="G303" s="5">
        <v>4521718190136</v>
      </c>
      <c r="H303" s="5"/>
      <c r="I303" s="5"/>
      <c r="J303" s="5">
        <v>1</v>
      </c>
      <c r="K303" s="5">
        <v>1</v>
      </c>
      <c r="L303" s="4">
        <v>1050</v>
      </c>
      <c r="M303" s="4">
        <v>945</v>
      </c>
      <c r="N303" s="4">
        <v>471</v>
      </c>
      <c r="O303" s="6">
        <f t="shared" si="53"/>
        <v>0.50158730158730158</v>
      </c>
      <c r="P303" s="4" t="s">
        <v>2500</v>
      </c>
      <c r="Q303" s="4"/>
      <c r="R303" s="4"/>
      <c r="S303" s="4"/>
      <c r="T303" s="4"/>
      <c r="U303" s="4"/>
      <c r="V303" s="4"/>
      <c r="W303" s="4"/>
      <c r="X303" s="4"/>
      <c r="Y303" s="4">
        <v>673</v>
      </c>
      <c r="Z303" s="4">
        <f t="shared" si="54"/>
        <v>673</v>
      </c>
      <c r="AA303" s="4">
        <v>471</v>
      </c>
      <c r="AB303" s="4">
        <f t="shared" si="55"/>
        <v>471</v>
      </c>
      <c r="AC303" s="4"/>
      <c r="AD303" s="21">
        <f>ROUND(M303*AR303,0)</f>
        <v>945</v>
      </c>
      <c r="AE303" s="6">
        <f>1-AB303/AD303</f>
        <v>0.50158730158730158</v>
      </c>
      <c r="AF303" s="33">
        <v>0</v>
      </c>
      <c r="AG303" s="4">
        <f t="shared" si="56"/>
        <v>1050</v>
      </c>
      <c r="AH303" s="33">
        <f t="shared" si="49"/>
        <v>1050</v>
      </c>
      <c r="AI303" s="6">
        <f>1-AB303/AH303</f>
        <v>0.55142857142857138</v>
      </c>
      <c r="AJ303" s="7">
        <v>673</v>
      </c>
      <c r="AK303" s="6">
        <f>1-AB303/AJ303</f>
        <v>0.30014858841010406</v>
      </c>
      <c r="AL303" s="4">
        <f>AJ303-AB303</f>
        <v>202</v>
      </c>
      <c r="AM303" s="28"/>
      <c r="AN303" s="6"/>
      <c r="AO303" s="6"/>
      <c r="AP303" s="6">
        <f>Z303/L303</f>
        <v>0.64095238095238094</v>
      </c>
      <c r="AQ303" s="6">
        <f>AJ303/M303</f>
        <v>0.71216931216931212</v>
      </c>
      <c r="AR303" s="6">
        <f>AB303/N303</f>
        <v>1</v>
      </c>
      <c r="AS303" s="4"/>
      <c r="AT303" s="4"/>
      <c r="AU303" s="4"/>
      <c r="AV303" s="4"/>
      <c r="AW303" s="4"/>
      <c r="AX303" s="4"/>
      <c r="AY303" s="4"/>
      <c r="AZ303" s="4"/>
      <c r="BA303" s="4"/>
      <c r="BB303" s="4">
        <v>0</v>
      </c>
      <c r="BC303" s="4" t="s">
        <v>3845</v>
      </c>
      <c r="BD303" s="4">
        <v>1</v>
      </c>
      <c r="BE303" s="4">
        <v>2</v>
      </c>
      <c r="BF303" s="4" t="s">
        <v>3631</v>
      </c>
      <c r="BG303" s="4">
        <v>2100</v>
      </c>
      <c r="BH303" s="4">
        <v>2100</v>
      </c>
      <c r="BI303" s="4">
        <f t="shared" si="57"/>
        <v>1050</v>
      </c>
      <c r="BJ303" s="19">
        <v>4</v>
      </c>
      <c r="BK303" s="19">
        <v>8</v>
      </c>
      <c r="BL303" s="16">
        <v>6</v>
      </c>
      <c r="BM303" s="45" t="s">
        <v>3534</v>
      </c>
      <c r="BN303" t="s">
        <v>3534</v>
      </c>
      <c r="BO303" t="str">
        <f t="shared" si="50"/>
        <v>-</v>
      </c>
      <c r="BP303" t="s">
        <v>3534</v>
      </c>
      <c r="BQ303">
        <v>998</v>
      </c>
      <c r="BR303">
        <f t="shared" si="51"/>
        <v>998</v>
      </c>
      <c r="BS303" t="s">
        <v>2765</v>
      </c>
    </row>
    <row r="304" spans="1:71" x14ac:dyDescent="0.4">
      <c r="A304" s="3">
        <v>301</v>
      </c>
      <c r="B304" s="3">
        <v>301</v>
      </c>
      <c r="C304" s="4" t="s">
        <v>363</v>
      </c>
      <c r="D304" s="4" t="str">
        <f t="shared" si="52"/>
        <v>J201WF</v>
      </c>
      <c r="E304" s="4" t="s">
        <v>363</v>
      </c>
      <c r="F304" s="4" t="s">
        <v>1582</v>
      </c>
      <c r="G304" s="5">
        <v>4521718190129</v>
      </c>
      <c r="H304" s="5"/>
      <c r="I304" s="5"/>
      <c r="J304" s="5">
        <v>1</v>
      </c>
      <c r="K304" s="5">
        <v>1</v>
      </c>
      <c r="L304" s="4">
        <v>1050</v>
      </c>
      <c r="M304" s="4">
        <v>945</v>
      </c>
      <c r="N304" s="4">
        <v>471</v>
      </c>
      <c r="O304" s="6">
        <f t="shared" si="53"/>
        <v>0.50158730158730158</v>
      </c>
      <c r="P304" s="4" t="s">
        <v>2500</v>
      </c>
      <c r="Q304" s="4"/>
      <c r="R304" s="4"/>
      <c r="S304" s="4"/>
      <c r="T304" s="4"/>
      <c r="U304" s="4"/>
      <c r="V304" s="4"/>
      <c r="W304" s="4"/>
      <c r="X304" s="4"/>
      <c r="Y304" s="4">
        <v>673</v>
      </c>
      <c r="Z304" s="4">
        <f t="shared" si="54"/>
        <v>673</v>
      </c>
      <c r="AA304" s="4">
        <v>471</v>
      </c>
      <c r="AB304" s="4">
        <f t="shared" si="55"/>
        <v>471</v>
      </c>
      <c r="AC304" s="4"/>
      <c r="AD304" s="21">
        <f>ROUND(M304*AR304,0)</f>
        <v>945</v>
      </c>
      <c r="AE304" s="6">
        <f>1-AB304/AD304</f>
        <v>0.50158730158730158</v>
      </c>
      <c r="AF304" s="33">
        <v>0</v>
      </c>
      <c r="AG304" s="4">
        <f t="shared" si="56"/>
        <v>1050</v>
      </c>
      <c r="AH304" s="33">
        <f t="shared" si="49"/>
        <v>1050</v>
      </c>
      <c r="AI304" s="6">
        <f>1-AB304/AH304</f>
        <v>0.55142857142857138</v>
      </c>
      <c r="AJ304" s="7">
        <v>673</v>
      </c>
      <c r="AK304" s="6">
        <f>1-AB304/AJ304</f>
        <v>0.30014858841010406</v>
      </c>
      <c r="AL304" s="4">
        <f>AJ304-AB304</f>
        <v>202</v>
      </c>
      <c r="AM304" s="28"/>
      <c r="AN304" s="6"/>
      <c r="AO304" s="6"/>
      <c r="AP304" s="6">
        <f>Z304/L304</f>
        <v>0.64095238095238094</v>
      </c>
      <c r="AQ304" s="6">
        <f>AJ304/M304</f>
        <v>0.71216931216931212</v>
      </c>
      <c r="AR304" s="6">
        <f>AB304/N304</f>
        <v>1</v>
      </c>
      <c r="AS304" s="4"/>
      <c r="AT304" s="4"/>
      <c r="AU304" s="4"/>
      <c r="AV304" s="4"/>
      <c r="AW304" s="4"/>
      <c r="AX304" s="4"/>
      <c r="AY304" s="4"/>
      <c r="AZ304" s="4"/>
      <c r="BA304" s="4"/>
      <c r="BB304" s="4">
        <v>0</v>
      </c>
      <c r="BC304" s="4" t="s">
        <v>3846</v>
      </c>
      <c r="BD304" s="4">
        <v>1</v>
      </c>
      <c r="BE304" s="4">
        <v>2</v>
      </c>
      <c r="BF304" s="4" t="s">
        <v>3631</v>
      </c>
      <c r="BG304" s="4">
        <v>2100</v>
      </c>
      <c r="BH304" s="4">
        <v>2100</v>
      </c>
      <c r="BI304" s="4">
        <f t="shared" si="57"/>
        <v>1050</v>
      </c>
      <c r="BJ304" s="19">
        <v>4</v>
      </c>
      <c r="BK304" s="19">
        <v>8</v>
      </c>
      <c r="BL304" s="16">
        <v>6</v>
      </c>
      <c r="BM304" s="45" t="s">
        <v>3534</v>
      </c>
      <c r="BN304" t="s">
        <v>3534</v>
      </c>
      <c r="BO304" t="str">
        <f t="shared" si="50"/>
        <v>-</v>
      </c>
      <c r="BP304" t="s">
        <v>3534</v>
      </c>
      <c r="BQ304">
        <v>998</v>
      </c>
      <c r="BR304">
        <f t="shared" si="51"/>
        <v>998</v>
      </c>
      <c r="BS304" t="s">
        <v>2766</v>
      </c>
    </row>
    <row r="305" spans="1:71" x14ac:dyDescent="0.4">
      <c r="A305" s="3">
        <v>302</v>
      </c>
      <c r="B305" s="3">
        <v>302</v>
      </c>
      <c r="C305" s="4" t="s">
        <v>364</v>
      </c>
      <c r="D305" s="4" t="str">
        <f t="shared" si="52"/>
        <v>J204WF</v>
      </c>
      <c r="E305" s="4" t="s">
        <v>364</v>
      </c>
      <c r="F305" s="4" t="s">
        <v>1583</v>
      </c>
      <c r="G305" s="5">
        <v>4521718189802</v>
      </c>
      <c r="H305" s="5"/>
      <c r="I305" s="5"/>
      <c r="J305" s="5">
        <v>1</v>
      </c>
      <c r="K305" s="5">
        <v>1</v>
      </c>
      <c r="L305" s="4">
        <v>610</v>
      </c>
      <c r="M305" s="4">
        <v>549</v>
      </c>
      <c r="N305" s="4">
        <v>272</v>
      </c>
      <c r="O305" s="6">
        <f t="shared" si="53"/>
        <v>0.50455373406193083</v>
      </c>
      <c r="P305" s="4" t="s">
        <v>2500</v>
      </c>
      <c r="Q305" s="4"/>
      <c r="R305" s="4"/>
      <c r="S305" s="4"/>
      <c r="T305" s="4"/>
      <c r="U305" s="4"/>
      <c r="V305" s="4"/>
      <c r="W305" s="4"/>
      <c r="X305" s="4"/>
      <c r="Y305" s="4">
        <v>419</v>
      </c>
      <c r="Z305" s="4">
        <f t="shared" si="54"/>
        <v>419</v>
      </c>
      <c r="AA305" s="4">
        <v>272</v>
      </c>
      <c r="AB305" s="4">
        <f t="shared" si="55"/>
        <v>272</v>
      </c>
      <c r="AC305" s="4"/>
      <c r="AD305" s="21">
        <f>ROUND(M305*AR305,0)</f>
        <v>549</v>
      </c>
      <c r="AE305" s="6">
        <f>1-AB305/AD305</f>
        <v>0.50455373406193083</v>
      </c>
      <c r="AF305" s="33">
        <v>0</v>
      </c>
      <c r="AG305" s="4">
        <f t="shared" si="56"/>
        <v>610</v>
      </c>
      <c r="AH305" s="33">
        <f t="shared" si="49"/>
        <v>610</v>
      </c>
      <c r="AI305" s="6">
        <f>1-AB305/AH305</f>
        <v>0.5540983606557377</v>
      </c>
      <c r="AJ305" s="7">
        <f>ROUND(AB305/0.65,0)</f>
        <v>418</v>
      </c>
      <c r="AK305" s="6">
        <f>1-AB305/AJ305</f>
        <v>0.34928229665071775</v>
      </c>
      <c r="AL305" s="4">
        <f>AJ305-AB305</f>
        <v>146</v>
      </c>
      <c r="AM305" s="28"/>
      <c r="AN305" s="6"/>
      <c r="AO305" s="6"/>
      <c r="AP305" s="6">
        <f>Z305/L305</f>
        <v>0.68688524590163935</v>
      </c>
      <c r="AQ305" s="6">
        <f>AJ305/M305</f>
        <v>0.76138433515482695</v>
      </c>
      <c r="AR305" s="6">
        <f>AB305/N305</f>
        <v>1</v>
      </c>
      <c r="AS305" s="4"/>
      <c r="AT305" s="4"/>
      <c r="AU305" s="4"/>
      <c r="AV305" s="4"/>
      <c r="AW305" s="4"/>
      <c r="AX305" s="4"/>
      <c r="AY305" s="4"/>
      <c r="AZ305" s="4"/>
      <c r="BA305" s="4"/>
      <c r="BB305" s="4">
        <v>0</v>
      </c>
      <c r="BC305" s="4" t="s">
        <v>3847</v>
      </c>
      <c r="BD305" s="4">
        <v>1</v>
      </c>
      <c r="BE305" s="4">
        <v>3</v>
      </c>
      <c r="BF305" s="4" t="s">
        <v>3601</v>
      </c>
      <c r="BG305" s="4">
        <v>1830</v>
      </c>
      <c r="BH305" s="4">
        <v>1830</v>
      </c>
      <c r="BI305" s="4">
        <f t="shared" si="57"/>
        <v>610</v>
      </c>
      <c r="BJ305" s="19">
        <v>4</v>
      </c>
      <c r="BK305" s="19">
        <v>8</v>
      </c>
      <c r="BL305" s="16">
        <v>6</v>
      </c>
      <c r="BM305" s="45" t="s">
        <v>3534</v>
      </c>
      <c r="BN305" t="s">
        <v>3534</v>
      </c>
      <c r="BO305" t="str">
        <f t="shared" si="50"/>
        <v>-</v>
      </c>
      <c r="BP305" t="s">
        <v>3534</v>
      </c>
      <c r="BQ305">
        <v>419</v>
      </c>
      <c r="BR305">
        <f t="shared" si="51"/>
        <v>419</v>
      </c>
      <c r="BS305" t="s">
        <v>2767</v>
      </c>
    </row>
    <row r="306" spans="1:71" x14ac:dyDescent="0.4">
      <c r="A306" s="3">
        <v>303</v>
      </c>
      <c r="B306" s="3">
        <v>303</v>
      </c>
      <c r="C306" s="4" t="s">
        <v>365</v>
      </c>
      <c r="D306" s="4" t="str">
        <f t="shared" si="52"/>
        <v>J203WF</v>
      </c>
      <c r="E306" s="4" t="s">
        <v>365</v>
      </c>
      <c r="F306" s="4" t="s">
        <v>1584</v>
      </c>
      <c r="G306" s="5">
        <v>4521718188805</v>
      </c>
      <c r="H306" s="5"/>
      <c r="I306" s="5"/>
      <c r="J306" s="5">
        <v>1</v>
      </c>
      <c r="K306" s="5">
        <v>1</v>
      </c>
      <c r="L306" s="4">
        <v>640</v>
      </c>
      <c r="M306" s="4">
        <v>576</v>
      </c>
      <c r="N306" s="4">
        <v>284</v>
      </c>
      <c r="O306" s="6">
        <f t="shared" si="53"/>
        <v>0.50694444444444442</v>
      </c>
      <c r="P306" s="4" t="s">
        <v>2500</v>
      </c>
      <c r="Q306" s="4"/>
      <c r="R306" s="4"/>
      <c r="S306" s="4"/>
      <c r="T306" s="4"/>
      <c r="U306" s="4"/>
      <c r="V306" s="4"/>
      <c r="W306" s="4"/>
      <c r="X306" s="4"/>
      <c r="Y306" s="4">
        <v>437</v>
      </c>
      <c r="Z306" s="4">
        <f t="shared" si="54"/>
        <v>437</v>
      </c>
      <c r="AA306" s="4">
        <v>284</v>
      </c>
      <c r="AB306" s="4">
        <f t="shared" si="55"/>
        <v>284</v>
      </c>
      <c r="AC306" s="4"/>
      <c r="AD306" s="21">
        <f>ROUND(M306*AR306,0)</f>
        <v>576</v>
      </c>
      <c r="AE306" s="6">
        <f>1-AB306/AD306</f>
        <v>0.50694444444444442</v>
      </c>
      <c r="AF306" s="33">
        <v>0</v>
      </c>
      <c r="AG306" s="4">
        <f t="shared" si="56"/>
        <v>640</v>
      </c>
      <c r="AH306" s="33">
        <f t="shared" si="49"/>
        <v>640</v>
      </c>
      <c r="AI306" s="6">
        <f>1-AB306/AH306</f>
        <v>0.55625000000000002</v>
      </c>
      <c r="AJ306" s="7">
        <f>ROUND(AB306/0.65,0)</f>
        <v>437</v>
      </c>
      <c r="AK306" s="6">
        <f>1-AB306/AJ306</f>
        <v>0.35011441647597252</v>
      </c>
      <c r="AL306" s="4">
        <f>AJ306-AB306</f>
        <v>153</v>
      </c>
      <c r="AM306" s="28"/>
      <c r="AN306" s="6"/>
      <c r="AO306" s="6"/>
      <c r="AP306" s="6">
        <f>Z306/L306</f>
        <v>0.68281250000000004</v>
      </c>
      <c r="AQ306" s="6">
        <f>AJ306/M306</f>
        <v>0.75868055555555558</v>
      </c>
      <c r="AR306" s="6">
        <f>AB306/N306</f>
        <v>1</v>
      </c>
      <c r="AS306" s="4"/>
      <c r="AT306" s="4"/>
      <c r="AU306" s="4"/>
      <c r="AV306" s="4"/>
      <c r="AW306" s="4"/>
      <c r="AX306" s="4"/>
      <c r="AY306" s="4"/>
      <c r="AZ306" s="4"/>
      <c r="BA306" s="4"/>
      <c r="BB306" s="4">
        <v>0</v>
      </c>
      <c r="BC306" s="4" t="s">
        <v>3848</v>
      </c>
      <c r="BD306" s="4">
        <v>1</v>
      </c>
      <c r="BE306" s="4">
        <v>3</v>
      </c>
      <c r="BF306" s="4" t="s">
        <v>3601</v>
      </c>
      <c r="BG306" s="4">
        <v>1920</v>
      </c>
      <c r="BH306" s="4">
        <v>1920</v>
      </c>
      <c r="BI306" s="4">
        <f t="shared" si="57"/>
        <v>640</v>
      </c>
      <c r="BJ306" s="19">
        <v>4</v>
      </c>
      <c r="BK306" s="19">
        <v>8</v>
      </c>
      <c r="BL306" s="16">
        <v>6</v>
      </c>
      <c r="BM306" s="45" t="s">
        <v>3534</v>
      </c>
      <c r="BN306" t="s">
        <v>3534</v>
      </c>
      <c r="BO306" t="str">
        <f t="shared" si="50"/>
        <v>-</v>
      </c>
      <c r="BP306" t="s">
        <v>3534</v>
      </c>
      <c r="BQ306">
        <v>437</v>
      </c>
      <c r="BR306">
        <f t="shared" si="51"/>
        <v>437</v>
      </c>
      <c r="BS306" t="s">
        <v>2768</v>
      </c>
    </row>
    <row r="307" spans="1:71" x14ac:dyDescent="0.4">
      <c r="A307" s="3">
        <v>304</v>
      </c>
      <c r="B307" s="3">
        <v>304</v>
      </c>
      <c r="C307" s="4" t="s">
        <v>366</v>
      </c>
      <c r="D307" s="4" t="str">
        <f t="shared" si="52"/>
        <v>J205WF</v>
      </c>
      <c r="E307" s="4" t="s">
        <v>366</v>
      </c>
      <c r="F307" s="4" t="s">
        <v>1585</v>
      </c>
      <c r="G307" s="5">
        <v>4521718189819</v>
      </c>
      <c r="H307" s="5"/>
      <c r="I307" s="5"/>
      <c r="J307" s="5">
        <v>1</v>
      </c>
      <c r="K307" s="5">
        <v>1</v>
      </c>
      <c r="L307" s="4">
        <v>610</v>
      </c>
      <c r="M307" s="4">
        <v>549</v>
      </c>
      <c r="N307" s="4">
        <v>272</v>
      </c>
      <c r="O307" s="6">
        <f t="shared" si="53"/>
        <v>0.50455373406193083</v>
      </c>
      <c r="P307" s="4" t="s">
        <v>2500</v>
      </c>
      <c r="Q307" s="4"/>
      <c r="R307" s="4"/>
      <c r="S307" s="4"/>
      <c r="T307" s="4"/>
      <c r="U307" s="4"/>
      <c r="V307" s="4"/>
      <c r="W307" s="4"/>
      <c r="X307" s="4"/>
      <c r="Y307" s="4">
        <v>419</v>
      </c>
      <c r="Z307" s="4">
        <f t="shared" si="54"/>
        <v>419</v>
      </c>
      <c r="AA307" s="4">
        <v>272</v>
      </c>
      <c r="AB307" s="4">
        <f t="shared" si="55"/>
        <v>272</v>
      </c>
      <c r="AC307" s="4"/>
      <c r="AD307" s="21">
        <f>ROUND(M307*AR307,0)</f>
        <v>549</v>
      </c>
      <c r="AE307" s="6">
        <f>1-AB307/AD307</f>
        <v>0.50455373406193083</v>
      </c>
      <c r="AF307" s="33">
        <v>0</v>
      </c>
      <c r="AG307" s="4">
        <f t="shared" si="56"/>
        <v>610</v>
      </c>
      <c r="AH307" s="33">
        <f t="shared" si="49"/>
        <v>610</v>
      </c>
      <c r="AI307" s="6">
        <f>1-AB307/AH307</f>
        <v>0.5540983606557377</v>
      </c>
      <c r="AJ307" s="7">
        <f>ROUND(AB307/0.65,0)</f>
        <v>418</v>
      </c>
      <c r="AK307" s="6">
        <f>1-AB307/AJ307</f>
        <v>0.34928229665071775</v>
      </c>
      <c r="AL307" s="4">
        <f>AJ307-AB307</f>
        <v>146</v>
      </c>
      <c r="AM307" s="28"/>
      <c r="AN307" s="6"/>
      <c r="AO307" s="6"/>
      <c r="AP307" s="6">
        <f>Z307/L307</f>
        <v>0.68688524590163935</v>
      </c>
      <c r="AQ307" s="6">
        <f>AJ307/M307</f>
        <v>0.76138433515482695</v>
      </c>
      <c r="AR307" s="6">
        <f>AB307/N307</f>
        <v>1</v>
      </c>
      <c r="AS307" s="4"/>
      <c r="AT307" s="4"/>
      <c r="AU307" s="4"/>
      <c r="AV307" s="4"/>
      <c r="AW307" s="4"/>
      <c r="AX307" s="4"/>
      <c r="AY307" s="4"/>
      <c r="AZ307" s="4"/>
      <c r="BA307" s="4"/>
      <c r="BB307" s="4">
        <v>0</v>
      </c>
      <c r="BC307" s="4" t="s">
        <v>3849</v>
      </c>
      <c r="BD307" s="4">
        <v>1</v>
      </c>
      <c r="BE307" s="4">
        <v>3</v>
      </c>
      <c r="BF307" s="4" t="s">
        <v>3601</v>
      </c>
      <c r="BG307" s="4">
        <v>1830</v>
      </c>
      <c r="BH307" s="4">
        <v>1830</v>
      </c>
      <c r="BI307" s="4">
        <f t="shared" si="57"/>
        <v>610</v>
      </c>
      <c r="BJ307" s="19">
        <v>4</v>
      </c>
      <c r="BK307" s="19">
        <v>8</v>
      </c>
      <c r="BL307" s="16">
        <v>6</v>
      </c>
      <c r="BM307" s="45" t="s">
        <v>3534</v>
      </c>
      <c r="BN307" t="s">
        <v>3534</v>
      </c>
      <c r="BO307" t="str">
        <f t="shared" si="50"/>
        <v>-</v>
      </c>
      <c r="BP307" t="s">
        <v>3534</v>
      </c>
      <c r="BQ307">
        <v>419</v>
      </c>
      <c r="BR307">
        <f t="shared" si="51"/>
        <v>419</v>
      </c>
      <c r="BS307" t="s">
        <v>2769</v>
      </c>
    </row>
    <row r="308" spans="1:71" x14ac:dyDescent="0.4">
      <c r="A308" s="3">
        <v>305</v>
      </c>
      <c r="B308" s="3">
        <v>305</v>
      </c>
      <c r="C308" s="4" t="s">
        <v>367</v>
      </c>
      <c r="D308" s="4" t="str">
        <f t="shared" si="52"/>
        <v>J207WF</v>
      </c>
      <c r="E308" s="4" t="s">
        <v>367</v>
      </c>
      <c r="F308" s="4" t="s">
        <v>1586</v>
      </c>
      <c r="G308" s="5">
        <v>4521718188720</v>
      </c>
      <c r="H308" s="5"/>
      <c r="I308" s="5"/>
      <c r="J308" s="5">
        <v>1</v>
      </c>
      <c r="K308" s="5">
        <v>1</v>
      </c>
      <c r="L308" s="4">
        <v>640</v>
      </c>
      <c r="M308" s="4">
        <v>576</v>
      </c>
      <c r="N308" s="4">
        <v>284</v>
      </c>
      <c r="O308" s="6">
        <f t="shared" si="53"/>
        <v>0.50694444444444442</v>
      </c>
      <c r="P308" s="4" t="s">
        <v>2500</v>
      </c>
      <c r="Q308" s="4"/>
      <c r="R308" s="4"/>
      <c r="S308" s="4"/>
      <c r="T308" s="4"/>
      <c r="U308" s="4"/>
      <c r="V308" s="4"/>
      <c r="W308" s="4"/>
      <c r="X308" s="4"/>
      <c r="Y308" s="4">
        <v>437</v>
      </c>
      <c r="Z308" s="4">
        <f t="shared" si="54"/>
        <v>437</v>
      </c>
      <c r="AA308" s="4">
        <v>284</v>
      </c>
      <c r="AB308" s="4">
        <f t="shared" si="55"/>
        <v>284</v>
      </c>
      <c r="AC308" s="4"/>
      <c r="AD308" s="21">
        <f>ROUND(M308*AR308,0)</f>
        <v>576</v>
      </c>
      <c r="AE308" s="6">
        <f>1-AB308/AD308</f>
        <v>0.50694444444444442</v>
      </c>
      <c r="AF308" s="33">
        <v>0</v>
      </c>
      <c r="AG308" s="4">
        <f t="shared" si="56"/>
        <v>640</v>
      </c>
      <c r="AH308" s="33">
        <f t="shared" si="49"/>
        <v>640</v>
      </c>
      <c r="AI308" s="6">
        <f>1-AB308/AH308</f>
        <v>0.55625000000000002</v>
      </c>
      <c r="AJ308" s="7">
        <f>ROUND(AB308/0.65,0)</f>
        <v>437</v>
      </c>
      <c r="AK308" s="6">
        <f>1-AB308/AJ308</f>
        <v>0.35011441647597252</v>
      </c>
      <c r="AL308" s="4">
        <f>AJ308-AB308</f>
        <v>153</v>
      </c>
      <c r="AM308" s="28"/>
      <c r="AN308" s="6"/>
      <c r="AO308" s="6"/>
      <c r="AP308" s="6">
        <f>Z308/L308</f>
        <v>0.68281250000000004</v>
      </c>
      <c r="AQ308" s="6">
        <f>AJ308/M308</f>
        <v>0.75868055555555558</v>
      </c>
      <c r="AR308" s="6">
        <f>AB308/N308</f>
        <v>1</v>
      </c>
      <c r="AS308" s="4"/>
      <c r="AT308" s="4"/>
      <c r="AU308" s="4"/>
      <c r="AV308" s="4"/>
      <c r="AW308" s="4"/>
      <c r="AX308" s="4"/>
      <c r="AY308" s="4"/>
      <c r="AZ308" s="4"/>
      <c r="BA308" s="4"/>
      <c r="BB308" s="4">
        <v>0</v>
      </c>
      <c r="BC308" s="4" t="s">
        <v>3850</v>
      </c>
      <c r="BD308" s="4">
        <v>1</v>
      </c>
      <c r="BE308" s="4">
        <v>3</v>
      </c>
      <c r="BF308" s="4" t="s">
        <v>3601</v>
      </c>
      <c r="BG308" s="4">
        <v>1920</v>
      </c>
      <c r="BH308" s="4">
        <v>1920</v>
      </c>
      <c r="BI308" s="4">
        <f t="shared" si="57"/>
        <v>640</v>
      </c>
      <c r="BJ308" s="19">
        <v>4</v>
      </c>
      <c r="BK308" s="19">
        <v>8</v>
      </c>
      <c r="BL308" s="16">
        <v>6</v>
      </c>
      <c r="BM308" s="45" t="s">
        <v>3534</v>
      </c>
      <c r="BN308" t="s">
        <v>3534</v>
      </c>
      <c r="BO308" t="str">
        <f t="shared" si="50"/>
        <v>-</v>
      </c>
      <c r="BP308" t="s">
        <v>3534</v>
      </c>
      <c r="BQ308">
        <v>437</v>
      </c>
      <c r="BR308">
        <f t="shared" si="51"/>
        <v>437</v>
      </c>
      <c r="BS308" t="s">
        <v>2770</v>
      </c>
    </row>
    <row r="309" spans="1:71" x14ac:dyDescent="0.4">
      <c r="A309" s="3">
        <v>306</v>
      </c>
      <c r="B309" s="3">
        <v>306</v>
      </c>
      <c r="C309" s="4" t="s">
        <v>368</v>
      </c>
      <c r="D309" s="4" t="str">
        <f t="shared" si="52"/>
        <v>J208WF</v>
      </c>
      <c r="E309" s="4" t="s">
        <v>368</v>
      </c>
      <c r="F309" s="4" t="s">
        <v>1587</v>
      </c>
      <c r="G309" s="5">
        <v>4521718188713</v>
      </c>
      <c r="H309" s="5"/>
      <c r="I309" s="5"/>
      <c r="J309" s="5">
        <v>1</v>
      </c>
      <c r="K309" s="5">
        <v>1</v>
      </c>
      <c r="L309" s="4">
        <v>640</v>
      </c>
      <c r="M309" s="4">
        <v>576</v>
      </c>
      <c r="N309" s="4">
        <v>284</v>
      </c>
      <c r="O309" s="6">
        <f t="shared" si="53"/>
        <v>0.50694444444444442</v>
      </c>
      <c r="P309" s="4" t="s">
        <v>2500</v>
      </c>
      <c r="Q309" s="4"/>
      <c r="R309" s="4"/>
      <c r="S309" s="4"/>
      <c r="T309" s="4"/>
      <c r="U309" s="4"/>
      <c r="V309" s="4"/>
      <c r="W309" s="4"/>
      <c r="X309" s="4"/>
      <c r="Y309" s="4">
        <v>437</v>
      </c>
      <c r="Z309" s="4">
        <f t="shared" si="54"/>
        <v>437</v>
      </c>
      <c r="AA309" s="4">
        <v>284</v>
      </c>
      <c r="AB309" s="4">
        <f t="shared" si="55"/>
        <v>284</v>
      </c>
      <c r="AC309" s="4"/>
      <c r="AD309" s="21">
        <f>ROUND(M309*AR309,0)</f>
        <v>576</v>
      </c>
      <c r="AE309" s="6">
        <f>1-AB309/AD309</f>
        <v>0.50694444444444442</v>
      </c>
      <c r="AF309" s="33">
        <v>0</v>
      </c>
      <c r="AG309" s="4">
        <f t="shared" si="56"/>
        <v>640</v>
      </c>
      <c r="AH309" s="33">
        <f t="shared" si="49"/>
        <v>640</v>
      </c>
      <c r="AI309" s="6">
        <f>1-AB309/AH309</f>
        <v>0.55625000000000002</v>
      </c>
      <c r="AJ309" s="7">
        <f>ROUND(AB309/0.65,0)</f>
        <v>437</v>
      </c>
      <c r="AK309" s="6">
        <f>1-AB309/AJ309</f>
        <v>0.35011441647597252</v>
      </c>
      <c r="AL309" s="4">
        <f>AJ309-AB309</f>
        <v>153</v>
      </c>
      <c r="AM309" s="28"/>
      <c r="AN309" s="6"/>
      <c r="AO309" s="6"/>
      <c r="AP309" s="6">
        <f>Z309/L309</f>
        <v>0.68281250000000004</v>
      </c>
      <c r="AQ309" s="6">
        <f>AJ309/M309</f>
        <v>0.75868055555555558</v>
      </c>
      <c r="AR309" s="6">
        <f>AB309/N309</f>
        <v>1</v>
      </c>
      <c r="AS309" s="4"/>
      <c r="AT309" s="4"/>
      <c r="AU309" s="4"/>
      <c r="AV309" s="4"/>
      <c r="AW309" s="4"/>
      <c r="AX309" s="4"/>
      <c r="AY309" s="4"/>
      <c r="AZ309" s="4"/>
      <c r="BA309" s="4"/>
      <c r="BB309" s="4">
        <v>0</v>
      </c>
      <c r="BC309" s="4" t="s">
        <v>3851</v>
      </c>
      <c r="BD309" s="4">
        <v>1</v>
      </c>
      <c r="BE309" s="4">
        <v>3</v>
      </c>
      <c r="BF309" s="4" t="s">
        <v>3601</v>
      </c>
      <c r="BG309" s="4">
        <v>1920</v>
      </c>
      <c r="BH309" s="4">
        <v>1920</v>
      </c>
      <c r="BI309" s="4">
        <f t="shared" si="57"/>
        <v>640</v>
      </c>
      <c r="BJ309" s="19">
        <v>4</v>
      </c>
      <c r="BK309" s="19">
        <v>8</v>
      </c>
      <c r="BL309" s="16">
        <v>6</v>
      </c>
      <c r="BM309" s="45" t="s">
        <v>3534</v>
      </c>
      <c r="BN309" t="s">
        <v>3534</v>
      </c>
      <c r="BO309" t="str">
        <f t="shared" si="50"/>
        <v>-</v>
      </c>
      <c r="BP309" t="s">
        <v>3534</v>
      </c>
      <c r="BQ309">
        <v>437</v>
      </c>
      <c r="BR309">
        <f t="shared" si="51"/>
        <v>437</v>
      </c>
      <c r="BS309" t="s">
        <v>2771</v>
      </c>
    </row>
    <row r="310" spans="1:71" x14ac:dyDescent="0.4">
      <c r="A310" s="3">
        <v>307</v>
      </c>
      <c r="B310" s="3">
        <v>307</v>
      </c>
      <c r="C310" s="4" t="s">
        <v>369</v>
      </c>
      <c r="D310" s="4" t="str">
        <f t="shared" si="52"/>
        <v>J206WF</v>
      </c>
      <c r="E310" s="4" t="s">
        <v>369</v>
      </c>
      <c r="F310" s="4" t="s">
        <v>1588</v>
      </c>
      <c r="G310" s="5">
        <v>4521718189826</v>
      </c>
      <c r="H310" s="5"/>
      <c r="I310" s="5"/>
      <c r="J310" s="5">
        <v>1</v>
      </c>
      <c r="K310" s="5">
        <v>1</v>
      </c>
      <c r="L310" s="4">
        <v>610</v>
      </c>
      <c r="M310" s="4">
        <v>549</v>
      </c>
      <c r="N310" s="4">
        <v>272</v>
      </c>
      <c r="O310" s="6">
        <f t="shared" si="53"/>
        <v>0.50455373406193083</v>
      </c>
      <c r="P310" s="4" t="s">
        <v>2500</v>
      </c>
      <c r="Q310" s="4"/>
      <c r="R310" s="4"/>
      <c r="S310" s="4"/>
      <c r="T310" s="4"/>
      <c r="U310" s="4"/>
      <c r="V310" s="4"/>
      <c r="W310" s="4"/>
      <c r="X310" s="4"/>
      <c r="Y310" s="4">
        <v>419</v>
      </c>
      <c r="Z310" s="4">
        <f t="shared" si="54"/>
        <v>419</v>
      </c>
      <c r="AA310" s="4">
        <v>272</v>
      </c>
      <c r="AB310" s="4">
        <f t="shared" si="55"/>
        <v>272</v>
      </c>
      <c r="AC310" s="4"/>
      <c r="AD310" s="21">
        <f>ROUND(M310*AR310,0)</f>
        <v>549</v>
      </c>
      <c r="AE310" s="6">
        <f>1-AB310/AD310</f>
        <v>0.50455373406193083</v>
      </c>
      <c r="AF310" s="33">
        <v>0</v>
      </c>
      <c r="AG310" s="4">
        <f t="shared" si="56"/>
        <v>610</v>
      </c>
      <c r="AH310" s="33">
        <f t="shared" si="49"/>
        <v>610</v>
      </c>
      <c r="AI310" s="6">
        <f>1-AB310/AH310</f>
        <v>0.5540983606557377</v>
      </c>
      <c r="AJ310" s="7">
        <f>ROUND(AB310/0.65,0)</f>
        <v>418</v>
      </c>
      <c r="AK310" s="6">
        <f>1-AB310/AJ310</f>
        <v>0.34928229665071775</v>
      </c>
      <c r="AL310" s="4">
        <f>AJ310-AB310</f>
        <v>146</v>
      </c>
      <c r="AM310" s="28"/>
      <c r="AN310" s="6"/>
      <c r="AO310" s="6"/>
      <c r="AP310" s="6">
        <f>Z310/L310</f>
        <v>0.68688524590163935</v>
      </c>
      <c r="AQ310" s="6">
        <f>AJ310/M310</f>
        <v>0.76138433515482695</v>
      </c>
      <c r="AR310" s="6">
        <f>AB310/N310</f>
        <v>1</v>
      </c>
      <c r="AS310" s="4"/>
      <c r="AT310" s="4"/>
      <c r="AU310" s="4"/>
      <c r="AV310" s="4"/>
      <c r="AW310" s="4"/>
      <c r="AX310" s="4"/>
      <c r="AY310" s="4"/>
      <c r="AZ310" s="4"/>
      <c r="BA310" s="4"/>
      <c r="BB310" s="4">
        <v>0</v>
      </c>
      <c r="BC310" s="4" t="s">
        <v>3852</v>
      </c>
      <c r="BD310" s="4">
        <v>1</v>
      </c>
      <c r="BE310" s="4">
        <v>3</v>
      </c>
      <c r="BF310" s="4" t="s">
        <v>3601</v>
      </c>
      <c r="BG310" s="4">
        <v>1830</v>
      </c>
      <c r="BH310" s="4">
        <v>1830</v>
      </c>
      <c r="BI310" s="4">
        <f t="shared" si="57"/>
        <v>610</v>
      </c>
      <c r="BJ310" s="19">
        <v>4</v>
      </c>
      <c r="BK310" s="19">
        <v>8</v>
      </c>
      <c r="BL310" s="16">
        <v>6</v>
      </c>
      <c r="BM310" s="45" t="s">
        <v>3534</v>
      </c>
      <c r="BN310" t="s">
        <v>3534</v>
      </c>
      <c r="BO310" t="str">
        <f t="shared" si="50"/>
        <v>-</v>
      </c>
      <c r="BP310" t="s">
        <v>3534</v>
      </c>
      <c r="BQ310">
        <v>419</v>
      </c>
      <c r="BR310">
        <f t="shared" si="51"/>
        <v>419</v>
      </c>
      <c r="BS310" t="s">
        <v>2772</v>
      </c>
    </row>
    <row r="311" spans="1:71" x14ac:dyDescent="0.4">
      <c r="A311" s="3">
        <v>308</v>
      </c>
      <c r="B311" s="3">
        <v>308</v>
      </c>
      <c r="C311" s="4" t="s">
        <v>370</v>
      </c>
      <c r="D311" s="4" t="str">
        <f t="shared" si="52"/>
        <v>J209WF</v>
      </c>
      <c r="E311" s="4" t="s">
        <v>370</v>
      </c>
      <c r="F311" s="4" t="s">
        <v>1589</v>
      </c>
      <c r="G311" s="5">
        <v>4521718190341</v>
      </c>
      <c r="H311" s="5"/>
      <c r="I311" s="5"/>
      <c r="J311" s="5">
        <v>1</v>
      </c>
      <c r="K311" s="5">
        <v>1</v>
      </c>
      <c r="L311" s="4">
        <v>437</v>
      </c>
      <c r="M311" s="4">
        <v>393</v>
      </c>
      <c r="N311" s="4">
        <v>284</v>
      </c>
      <c r="O311" s="6">
        <f t="shared" si="53"/>
        <v>0.27735368956743001</v>
      </c>
      <c r="P311" s="4" t="s">
        <v>2500</v>
      </c>
      <c r="Q311" s="4"/>
      <c r="R311" s="4"/>
      <c r="S311" s="4"/>
      <c r="T311" s="4"/>
      <c r="U311" s="4"/>
      <c r="V311" s="4"/>
      <c r="W311" s="4"/>
      <c r="X311" s="4"/>
      <c r="Y311" s="4">
        <v>437</v>
      </c>
      <c r="Z311" s="4">
        <f t="shared" si="54"/>
        <v>437</v>
      </c>
      <c r="AA311" s="4">
        <v>284</v>
      </c>
      <c r="AB311" s="4">
        <f t="shared" si="55"/>
        <v>284</v>
      </c>
      <c r="AC311" s="4"/>
      <c r="AD311" s="21">
        <f>ROUND(M311*AR311,0)</f>
        <v>393</v>
      </c>
      <c r="AE311" s="6">
        <f>1-AB311/AD311</f>
        <v>0.27735368956743001</v>
      </c>
      <c r="AF311" s="33">
        <v>0</v>
      </c>
      <c r="AG311" s="4">
        <f t="shared" si="56"/>
        <v>436.66666666666663</v>
      </c>
      <c r="AH311" s="33">
        <f t="shared" si="49"/>
        <v>436.66666666666663</v>
      </c>
      <c r="AI311" s="6">
        <f>1-AB311/AH311</f>
        <v>0.34961832061068698</v>
      </c>
      <c r="AJ311" s="7">
        <v>436</v>
      </c>
      <c r="AK311" s="6">
        <f>1-AB311/AJ311</f>
        <v>0.34862385321100919</v>
      </c>
      <c r="AL311" s="4">
        <f>AJ311-AB311</f>
        <v>152</v>
      </c>
      <c r="AM311" s="28"/>
      <c r="AN311" s="6"/>
      <c r="AO311" s="6"/>
      <c r="AP311" s="6">
        <f>Z311/L311</f>
        <v>1</v>
      </c>
      <c r="AQ311" s="6">
        <f>AJ311/M311</f>
        <v>1.10941475826972</v>
      </c>
      <c r="AR311" s="6">
        <f>AB311/N311</f>
        <v>1</v>
      </c>
      <c r="AS311" s="4"/>
      <c r="AT311" s="4"/>
      <c r="AU311" s="4"/>
      <c r="AV311" s="4"/>
      <c r="AW311" s="4"/>
      <c r="AX311" s="4"/>
      <c r="AY311" s="4"/>
      <c r="AZ311" s="4"/>
      <c r="BA311" s="4"/>
      <c r="BB311" s="4">
        <v>0</v>
      </c>
      <c r="BC311" s="4" t="s">
        <v>3853</v>
      </c>
      <c r="BD311" s="4">
        <v>1</v>
      </c>
      <c r="BE311" s="4">
        <v>3</v>
      </c>
      <c r="BF311" s="4" t="s">
        <v>3601</v>
      </c>
      <c r="BG311" s="4">
        <v>1310</v>
      </c>
      <c r="BH311" s="4">
        <v>1310</v>
      </c>
      <c r="BI311" s="4">
        <f t="shared" si="57"/>
        <v>436.66666666666663</v>
      </c>
      <c r="BJ311" s="19">
        <v>4</v>
      </c>
      <c r="BK311" s="19">
        <v>8</v>
      </c>
      <c r="BL311" s="16">
        <v>6</v>
      </c>
      <c r="BM311" s="45" t="s">
        <v>3534</v>
      </c>
      <c r="BN311" t="s">
        <v>3534</v>
      </c>
      <c r="BO311" t="str">
        <f t="shared" si="50"/>
        <v>-</v>
      </c>
      <c r="BP311" t="s">
        <v>3534</v>
      </c>
      <c r="BQ311">
        <v>437</v>
      </c>
      <c r="BR311">
        <f t="shared" si="51"/>
        <v>437</v>
      </c>
      <c r="BS311" t="s">
        <v>2773</v>
      </c>
    </row>
    <row r="312" spans="1:71" x14ac:dyDescent="0.4">
      <c r="A312" s="3">
        <v>309</v>
      </c>
      <c r="B312" s="3">
        <v>309</v>
      </c>
      <c r="C312" s="4" t="s">
        <v>371</v>
      </c>
      <c r="D312" s="4" t="str">
        <f t="shared" si="52"/>
        <v>J210WF</v>
      </c>
      <c r="E312" s="4" t="s">
        <v>371</v>
      </c>
      <c r="F312" s="4" t="s">
        <v>1590</v>
      </c>
      <c r="G312" s="5">
        <v>4521718190501</v>
      </c>
      <c r="H312" s="5"/>
      <c r="I312" s="5"/>
      <c r="J312" s="5">
        <v>1</v>
      </c>
      <c r="K312" s="5">
        <v>1</v>
      </c>
      <c r="L312" s="4">
        <v>780</v>
      </c>
      <c r="M312" s="4">
        <v>702</v>
      </c>
      <c r="N312" s="4">
        <v>350</v>
      </c>
      <c r="O312" s="6">
        <f t="shared" si="53"/>
        <v>0.50142450142450135</v>
      </c>
      <c r="P312" s="4" t="s">
        <v>2500</v>
      </c>
      <c r="Q312" s="4"/>
      <c r="R312" s="4"/>
      <c r="S312" s="4"/>
      <c r="T312" s="4"/>
      <c r="U312" s="4"/>
      <c r="V312" s="4"/>
      <c r="W312" s="4"/>
      <c r="X312" s="4"/>
      <c r="Y312" s="4">
        <v>500</v>
      </c>
      <c r="Z312" s="4">
        <f t="shared" si="54"/>
        <v>500</v>
      </c>
      <c r="AA312" s="4">
        <v>350</v>
      </c>
      <c r="AB312" s="4">
        <f t="shared" si="55"/>
        <v>350</v>
      </c>
      <c r="AC312" s="4"/>
      <c r="AD312" s="21">
        <f>ROUND(M312*AR312,0)</f>
        <v>702</v>
      </c>
      <c r="AE312" s="6">
        <f>1-AB312/AD312</f>
        <v>0.50142450142450135</v>
      </c>
      <c r="AF312" s="33">
        <v>0</v>
      </c>
      <c r="AG312" s="4">
        <f t="shared" si="56"/>
        <v>780</v>
      </c>
      <c r="AH312" s="33">
        <f t="shared" si="49"/>
        <v>780</v>
      </c>
      <c r="AI312" s="6">
        <f>1-AB312/AH312</f>
        <v>0.55128205128205132</v>
      </c>
      <c r="AJ312" s="7">
        <v>500</v>
      </c>
      <c r="AK312" s="6">
        <f>1-AB312/AJ312</f>
        <v>0.30000000000000004</v>
      </c>
      <c r="AL312" s="4">
        <f>AJ312-AB312</f>
        <v>150</v>
      </c>
      <c r="AM312" s="28"/>
      <c r="AN312" s="6"/>
      <c r="AO312" s="6"/>
      <c r="AP312" s="6">
        <f>Z312/L312</f>
        <v>0.64102564102564108</v>
      </c>
      <c r="AQ312" s="6">
        <f>AJ312/M312</f>
        <v>0.71225071225071224</v>
      </c>
      <c r="AR312" s="6">
        <f>AB312/N312</f>
        <v>1</v>
      </c>
      <c r="AS312" s="4"/>
      <c r="AT312" s="4"/>
      <c r="AU312" s="4"/>
      <c r="AV312" s="4"/>
      <c r="AW312" s="4"/>
      <c r="AX312" s="4"/>
      <c r="AY312" s="4"/>
      <c r="AZ312" s="4"/>
      <c r="BA312" s="4"/>
      <c r="BB312" s="4">
        <v>0</v>
      </c>
      <c r="BC312" s="4" t="s">
        <v>3854</v>
      </c>
      <c r="BD312" s="4">
        <v>1</v>
      </c>
      <c r="BE312" s="4">
        <v>2</v>
      </c>
      <c r="BF312" s="4" t="s">
        <v>3631</v>
      </c>
      <c r="BG312" s="4">
        <v>1560</v>
      </c>
      <c r="BH312" s="4">
        <v>1560</v>
      </c>
      <c r="BI312" s="4">
        <f t="shared" si="57"/>
        <v>780</v>
      </c>
      <c r="BJ312" s="19">
        <v>4</v>
      </c>
      <c r="BK312" s="19">
        <v>8</v>
      </c>
      <c r="BL312" s="16">
        <v>6</v>
      </c>
      <c r="BM312" s="45" t="s">
        <v>3534</v>
      </c>
      <c r="BN312" t="s">
        <v>3534</v>
      </c>
      <c r="BO312" t="str">
        <f t="shared" si="50"/>
        <v>-</v>
      </c>
      <c r="BP312" t="s">
        <v>3534</v>
      </c>
      <c r="BQ312">
        <v>500</v>
      </c>
      <c r="BR312">
        <f t="shared" si="51"/>
        <v>500</v>
      </c>
      <c r="BS312" t="s">
        <v>2774</v>
      </c>
    </row>
    <row r="313" spans="1:71" x14ac:dyDescent="0.4">
      <c r="A313" s="3">
        <v>310</v>
      </c>
      <c r="B313" s="3">
        <v>310</v>
      </c>
      <c r="C313" s="4" t="s">
        <v>372</v>
      </c>
      <c r="D313" s="4" t="str">
        <f t="shared" si="52"/>
        <v>J211WF</v>
      </c>
      <c r="E313" s="4" t="s">
        <v>372</v>
      </c>
      <c r="F313" s="4" t="s">
        <v>1591</v>
      </c>
      <c r="G313" s="5">
        <v>4521718190518</v>
      </c>
      <c r="H313" s="5"/>
      <c r="I313" s="5"/>
      <c r="J313" s="5">
        <v>1</v>
      </c>
      <c r="K313" s="5">
        <v>1</v>
      </c>
      <c r="L313" s="4">
        <v>780</v>
      </c>
      <c r="M313" s="4">
        <v>702</v>
      </c>
      <c r="N313" s="4">
        <v>350</v>
      </c>
      <c r="O313" s="6">
        <f t="shared" si="53"/>
        <v>0.50142450142450135</v>
      </c>
      <c r="P313" s="4" t="s">
        <v>2500</v>
      </c>
      <c r="Q313" s="4"/>
      <c r="R313" s="4"/>
      <c r="S313" s="4"/>
      <c r="T313" s="4"/>
      <c r="U313" s="4"/>
      <c r="V313" s="4"/>
      <c r="W313" s="4"/>
      <c r="X313" s="4"/>
      <c r="Y313" s="4">
        <v>500</v>
      </c>
      <c r="Z313" s="4">
        <f t="shared" si="54"/>
        <v>500</v>
      </c>
      <c r="AA313" s="4">
        <v>350</v>
      </c>
      <c r="AB313" s="4">
        <f t="shared" si="55"/>
        <v>350</v>
      </c>
      <c r="AC313" s="4"/>
      <c r="AD313" s="21">
        <f>ROUND(M313*AR313,0)</f>
        <v>702</v>
      </c>
      <c r="AE313" s="6">
        <f>1-AB313/AD313</f>
        <v>0.50142450142450135</v>
      </c>
      <c r="AF313" s="33">
        <v>0</v>
      </c>
      <c r="AG313" s="4">
        <f t="shared" si="56"/>
        <v>780</v>
      </c>
      <c r="AH313" s="33">
        <f t="shared" si="49"/>
        <v>780</v>
      </c>
      <c r="AI313" s="6">
        <f>1-AB313/AH313</f>
        <v>0.55128205128205132</v>
      </c>
      <c r="AJ313" s="7">
        <v>500</v>
      </c>
      <c r="AK313" s="6">
        <f>1-AB313/AJ313</f>
        <v>0.30000000000000004</v>
      </c>
      <c r="AL313" s="4">
        <f>AJ313-AB313</f>
        <v>150</v>
      </c>
      <c r="AM313" s="28"/>
      <c r="AN313" s="6"/>
      <c r="AO313" s="6"/>
      <c r="AP313" s="6">
        <f>Z313/L313</f>
        <v>0.64102564102564108</v>
      </c>
      <c r="AQ313" s="6">
        <f>AJ313/M313</f>
        <v>0.71225071225071224</v>
      </c>
      <c r="AR313" s="6">
        <f>AB313/N313</f>
        <v>1</v>
      </c>
      <c r="AS313" s="4"/>
      <c r="AT313" s="4"/>
      <c r="AU313" s="4"/>
      <c r="AV313" s="4"/>
      <c r="AW313" s="4"/>
      <c r="AX313" s="4"/>
      <c r="AY313" s="4"/>
      <c r="AZ313" s="4"/>
      <c r="BA313" s="4"/>
      <c r="BB313" s="4">
        <v>0</v>
      </c>
      <c r="BC313" s="4" t="s">
        <v>3855</v>
      </c>
      <c r="BD313" s="4">
        <v>1</v>
      </c>
      <c r="BE313" s="4">
        <v>2</v>
      </c>
      <c r="BF313" s="4" t="s">
        <v>3631</v>
      </c>
      <c r="BG313" s="4">
        <v>1560</v>
      </c>
      <c r="BH313" s="4">
        <v>1560</v>
      </c>
      <c r="BI313" s="4">
        <f t="shared" si="57"/>
        <v>780</v>
      </c>
      <c r="BJ313" s="19">
        <v>4</v>
      </c>
      <c r="BK313" s="19">
        <v>8</v>
      </c>
      <c r="BL313" s="16">
        <v>6</v>
      </c>
      <c r="BM313" s="45" t="s">
        <v>3534</v>
      </c>
      <c r="BN313" t="s">
        <v>3534</v>
      </c>
      <c r="BO313" t="str">
        <f t="shared" si="50"/>
        <v>-</v>
      </c>
      <c r="BP313" t="s">
        <v>3534</v>
      </c>
      <c r="BQ313">
        <v>500</v>
      </c>
      <c r="BR313">
        <f t="shared" si="51"/>
        <v>500</v>
      </c>
      <c r="BS313" t="s">
        <v>2775</v>
      </c>
    </row>
    <row r="314" spans="1:71" x14ac:dyDescent="0.4">
      <c r="A314" s="3">
        <v>311</v>
      </c>
      <c r="B314" s="3">
        <v>311</v>
      </c>
      <c r="C314" s="4" t="s">
        <v>373</v>
      </c>
      <c r="D314" s="4" t="str">
        <f t="shared" si="52"/>
        <v>J212WF</v>
      </c>
      <c r="E314" s="4" t="s">
        <v>373</v>
      </c>
      <c r="F314" s="4" t="s">
        <v>1592</v>
      </c>
      <c r="G314" s="5">
        <v>4521718190747</v>
      </c>
      <c r="H314" s="5"/>
      <c r="I314" s="5"/>
      <c r="J314" s="5">
        <v>1</v>
      </c>
      <c r="K314" s="5">
        <v>1</v>
      </c>
      <c r="L314" s="4">
        <v>780</v>
      </c>
      <c r="M314" s="4">
        <v>702</v>
      </c>
      <c r="N314" s="4">
        <v>350</v>
      </c>
      <c r="O314" s="6">
        <f t="shared" si="53"/>
        <v>0.50142450142450135</v>
      </c>
      <c r="P314" s="4" t="s">
        <v>2500</v>
      </c>
      <c r="Q314" s="4"/>
      <c r="R314" s="4"/>
      <c r="S314" s="4"/>
      <c r="T314" s="4"/>
      <c r="U314" s="4"/>
      <c r="V314" s="4"/>
      <c r="W314" s="4"/>
      <c r="X314" s="4"/>
      <c r="Y314" s="4">
        <v>500</v>
      </c>
      <c r="Z314" s="4">
        <f t="shared" si="54"/>
        <v>500</v>
      </c>
      <c r="AA314" s="4">
        <v>350</v>
      </c>
      <c r="AB314" s="4">
        <f t="shared" si="55"/>
        <v>350</v>
      </c>
      <c r="AC314" s="4"/>
      <c r="AD314" s="21">
        <f>ROUND(M314*AR314,0)</f>
        <v>702</v>
      </c>
      <c r="AE314" s="6">
        <f>1-AB314/AD314</f>
        <v>0.50142450142450135</v>
      </c>
      <c r="AF314" s="33">
        <v>0</v>
      </c>
      <c r="AG314" s="4">
        <f t="shared" si="56"/>
        <v>780</v>
      </c>
      <c r="AH314" s="33">
        <f t="shared" si="49"/>
        <v>780</v>
      </c>
      <c r="AI314" s="6">
        <f>1-AB314/AH314</f>
        <v>0.55128205128205132</v>
      </c>
      <c r="AJ314" s="7">
        <v>500</v>
      </c>
      <c r="AK314" s="6">
        <f>1-AB314/AJ314</f>
        <v>0.30000000000000004</v>
      </c>
      <c r="AL314" s="4">
        <f>AJ314-AB314</f>
        <v>150</v>
      </c>
      <c r="AM314" s="28"/>
      <c r="AN314" s="6"/>
      <c r="AO314" s="6"/>
      <c r="AP314" s="6">
        <f>Z314/L314</f>
        <v>0.64102564102564108</v>
      </c>
      <c r="AQ314" s="6">
        <f>AJ314/M314</f>
        <v>0.71225071225071224</v>
      </c>
      <c r="AR314" s="6">
        <f>AB314/N314</f>
        <v>1</v>
      </c>
      <c r="AS314" s="4"/>
      <c r="AT314" s="4"/>
      <c r="AU314" s="4"/>
      <c r="AV314" s="4"/>
      <c r="AW314" s="4"/>
      <c r="AX314" s="4"/>
      <c r="AY314" s="4"/>
      <c r="AZ314" s="4"/>
      <c r="BA314" s="4"/>
      <c r="BB314" s="4">
        <v>0</v>
      </c>
      <c r="BC314" s="4" t="s">
        <v>3856</v>
      </c>
      <c r="BD314" s="4">
        <v>1</v>
      </c>
      <c r="BE314" s="4">
        <v>2</v>
      </c>
      <c r="BF314" s="4" t="s">
        <v>3631</v>
      </c>
      <c r="BG314" s="4">
        <v>1560</v>
      </c>
      <c r="BH314" s="4">
        <v>1560</v>
      </c>
      <c r="BI314" s="4">
        <f t="shared" si="57"/>
        <v>780</v>
      </c>
      <c r="BJ314" s="19">
        <v>4</v>
      </c>
      <c r="BK314" s="19">
        <v>8</v>
      </c>
      <c r="BL314" s="16">
        <v>6</v>
      </c>
      <c r="BM314" s="45" t="s">
        <v>3534</v>
      </c>
      <c r="BN314" t="s">
        <v>3534</v>
      </c>
      <c r="BO314" t="str">
        <f t="shared" si="50"/>
        <v>-</v>
      </c>
      <c r="BP314" t="s">
        <v>3534</v>
      </c>
      <c r="BQ314">
        <v>500</v>
      </c>
      <c r="BR314">
        <f t="shared" si="51"/>
        <v>500</v>
      </c>
      <c r="BS314" t="s">
        <v>2776</v>
      </c>
    </row>
    <row r="315" spans="1:71" x14ac:dyDescent="0.4">
      <c r="A315" s="3">
        <v>312</v>
      </c>
      <c r="B315" s="3">
        <v>312</v>
      </c>
      <c r="C315" s="4" t="s">
        <v>374</v>
      </c>
      <c r="D315" s="4" t="str">
        <f t="shared" si="52"/>
        <v>J213WF</v>
      </c>
      <c r="E315" s="4" t="s">
        <v>374</v>
      </c>
      <c r="F315" s="4" t="s">
        <v>1593</v>
      </c>
      <c r="G315" s="5">
        <v>4521718188683</v>
      </c>
      <c r="H315" s="5"/>
      <c r="I315" s="5"/>
      <c r="J315" s="5">
        <v>1</v>
      </c>
      <c r="K315" s="5">
        <v>1</v>
      </c>
      <c r="L315" s="4">
        <v>570</v>
      </c>
      <c r="M315" s="4">
        <v>513</v>
      </c>
      <c r="N315" s="4">
        <v>254</v>
      </c>
      <c r="O315" s="6">
        <f t="shared" si="53"/>
        <v>0.50487329434697858</v>
      </c>
      <c r="P315" s="4" t="s">
        <v>2500</v>
      </c>
      <c r="Q315" s="4"/>
      <c r="R315" s="4"/>
      <c r="S315" s="4"/>
      <c r="T315" s="4"/>
      <c r="U315" s="4"/>
      <c r="V315" s="4"/>
      <c r="W315" s="4"/>
      <c r="X315" s="4"/>
      <c r="Y315" s="4">
        <v>419</v>
      </c>
      <c r="Z315" s="4">
        <f t="shared" si="54"/>
        <v>419</v>
      </c>
      <c r="AA315" s="4">
        <v>272</v>
      </c>
      <c r="AB315" s="4">
        <f t="shared" si="55"/>
        <v>272</v>
      </c>
      <c r="AC315" s="4"/>
      <c r="AD315" s="21">
        <f>ROUND(M315*AR315,0)</f>
        <v>549</v>
      </c>
      <c r="AE315" s="6">
        <f>1-AB315/AD315</f>
        <v>0.50455373406193083</v>
      </c>
      <c r="AF315" s="33">
        <v>0</v>
      </c>
      <c r="AG315" s="4">
        <f t="shared" si="56"/>
        <v>570</v>
      </c>
      <c r="AH315" s="33">
        <f t="shared" si="49"/>
        <v>610.3937007874016</v>
      </c>
      <c r="AI315" s="6">
        <f>1-AB315/AH315</f>
        <v>0.55438596491228065</v>
      </c>
      <c r="AJ315" s="7">
        <f>ROUND(AB315/0.65,0)</f>
        <v>418</v>
      </c>
      <c r="AK315" s="6">
        <f>1-AB315/AJ315</f>
        <v>0.34928229665071775</v>
      </c>
      <c r="AL315" s="4">
        <f>AJ315-AB315</f>
        <v>146</v>
      </c>
      <c r="AM315" s="28"/>
      <c r="AN315" s="6"/>
      <c r="AO315" s="6"/>
      <c r="AP315" s="6">
        <f>Z315/L315</f>
        <v>0.73508771929824557</v>
      </c>
      <c r="AQ315" s="6">
        <f>AJ315/M315</f>
        <v>0.81481481481481477</v>
      </c>
      <c r="AR315" s="6">
        <f>AB315/N315</f>
        <v>1.0708661417322836</v>
      </c>
      <c r="AS315" s="4"/>
      <c r="AT315" s="4"/>
      <c r="AU315" s="4"/>
      <c r="AV315" s="4"/>
      <c r="AW315" s="4"/>
      <c r="AX315" s="4"/>
      <c r="AY315" s="4"/>
      <c r="AZ315" s="4"/>
      <c r="BA315" s="4"/>
      <c r="BB315" s="4">
        <v>0</v>
      </c>
      <c r="BC315" s="4" t="s">
        <v>3857</v>
      </c>
      <c r="BD315" s="4">
        <v>1</v>
      </c>
      <c r="BE315" s="4">
        <v>3</v>
      </c>
      <c r="BF315" s="4" t="s">
        <v>3601</v>
      </c>
      <c r="BG315" s="4">
        <v>1710</v>
      </c>
      <c r="BH315" s="4">
        <v>1710</v>
      </c>
      <c r="BI315" s="4">
        <f t="shared" si="57"/>
        <v>570</v>
      </c>
      <c r="BJ315" s="19">
        <v>4</v>
      </c>
      <c r="BK315" s="19">
        <v>8</v>
      </c>
      <c r="BL315" s="16">
        <v>6</v>
      </c>
      <c r="BM315" s="45" t="s">
        <v>3534</v>
      </c>
      <c r="BN315" t="s">
        <v>3534</v>
      </c>
      <c r="BO315" t="str">
        <f t="shared" si="50"/>
        <v>-</v>
      </c>
      <c r="BP315" t="s">
        <v>3534</v>
      </c>
      <c r="BQ315">
        <v>391</v>
      </c>
      <c r="BR315">
        <f t="shared" si="51"/>
        <v>418.70866141732284</v>
      </c>
      <c r="BS315" t="s">
        <v>2777</v>
      </c>
    </row>
    <row r="316" spans="1:71" x14ac:dyDescent="0.4">
      <c r="A316" s="3">
        <v>313</v>
      </c>
      <c r="B316" s="3">
        <v>313</v>
      </c>
      <c r="C316" s="4" t="s">
        <v>375</v>
      </c>
      <c r="D316" s="4" t="str">
        <f t="shared" si="52"/>
        <v>J2186Y</v>
      </c>
      <c r="E316" s="4" t="s">
        <v>375</v>
      </c>
      <c r="F316" s="4" t="s">
        <v>1594</v>
      </c>
      <c r="G316" s="5">
        <v>4521718243429</v>
      </c>
      <c r="H316" s="5"/>
      <c r="I316" s="5"/>
      <c r="J316" s="5">
        <v>1</v>
      </c>
      <c r="K316" s="5">
        <v>1</v>
      </c>
      <c r="L316" s="4">
        <v>910</v>
      </c>
      <c r="M316" s="4">
        <v>758</v>
      </c>
      <c r="N316" s="4">
        <v>510</v>
      </c>
      <c r="O316" s="6">
        <f t="shared" si="53"/>
        <v>0.32717678100263847</v>
      </c>
      <c r="P316" s="4" t="s">
        <v>2500</v>
      </c>
      <c r="Q316" s="4"/>
      <c r="R316" s="4"/>
      <c r="S316" s="4"/>
      <c r="T316" s="4"/>
      <c r="U316" s="4"/>
      <c r="V316" s="4"/>
      <c r="W316" s="4"/>
      <c r="X316" s="4"/>
      <c r="Y316" s="4">
        <v>728</v>
      </c>
      <c r="Z316" s="4">
        <f t="shared" si="54"/>
        <v>728</v>
      </c>
      <c r="AA316" s="4">
        <v>510</v>
      </c>
      <c r="AB316" s="4">
        <f t="shared" si="55"/>
        <v>510</v>
      </c>
      <c r="AC316" s="4"/>
      <c r="AD316" s="21">
        <f>ROUND(M316*AR316,0)</f>
        <v>758</v>
      </c>
      <c r="AE316" s="6">
        <f>1-AB316/AD316</f>
        <v>0.32717678100263847</v>
      </c>
      <c r="AF316" s="33">
        <v>0.5</v>
      </c>
      <c r="AG316" s="4">
        <f t="shared" si="56"/>
        <v>820</v>
      </c>
      <c r="AH316" s="33">
        <f t="shared" si="49"/>
        <v>820</v>
      </c>
      <c r="AI316" s="6">
        <f>1-AB316/AH316</f>
        <v>0.37804878048780488</v>
      </c>
      <c r="AJ316" s="7">
        <v>728</v>
      </c>
      <c r="AK316" s="6">
        <f>1-AB316/AJ316</f>
        <v>0.2994505494505495</v>
      </c>
      <c r="AL316" s="4">
        <f>AJ316-AB316</f>
        <v>218</v>
      </c>
      <c r="AM316" s="28"/>
      <c r="AN316" s="6"/>
      <c r="AO316" s="6"/>
      <c r="AP316" s="6">
        <f>Z316/L316</f>
        <v>0.8</v>
      </c>
      <c r="AQ316" s="6">
        <f>AJ316/M316</f>
        <v>0.9604221635883905</v>
      </c>
      <c r="AR316" s="6">
        <f>AB316/N316</f>
        <v>1</v>
      </c>
      <c r="AS316" s="4"/>
      <c r="AT316" s="4"/>
      <c r="AU316" s="4"/>
      <c r="AV316" s="4"/>
      <c r="AW316" s="4"/>
      <c r="AX316" s="4"/>
      <c r="AY316" s="4"/>
      <c r="AZ316" s="4"/>
      <c r="BA316" s="4"/>
      <c r="BB316" s="4">
        <v>0</v>
      </c>
      <c r="BC316" s="4" t="s">
        <v>3858</v>
      </c>
      <c r="BD316" s="4">
        <v>1</v>
      </c>
      <c r="BE316" s="4">
        <v>2</v>
      </c>
      <c r="BF316" s="4" t="s">
        <v>3575</v>
      </c>
      <c r="BG316" s="4">
        <v>1640</v>
      </c>
      <c r="BH316" s="4">
        <v>1640</v>
      </c>
      <c r="BI316" s="4">
        <f t="shared" si="57"/>
        <v>820</v>
      </c>
      <c r="BJ316" s="19">
        <v>4</v>
      </c>
      <c r="BK316" s="19">
        <v>8</v>
      </c>
      <c r="BL316" s="16">
        <v>6</v>
      </c>
      <c r="BM316" s="45" t="s">
        <v>3534</v>
      </c>
      <c r="BN316" t="s">
        <v>3534</v>
      </c>
      <c r="BO316" t="str">
        <f t="shared" si="50"/>
        <v>-</v>
      </c>
      <c r="BP316" t="s">
        <v>3534</v>
      </c>
      <c r="BQ316">
        <v>728</v>
      </c>
      <c r="BR316">
        <f t="shared" si="51"/>
        <v>728</v>
      </c>
      <c r="BS316" t="s">
        <v>2778</v>
      </c>
    </row>
    <row r="317" spans="1:71" x14ac:dyDescent="0.4">
      <c r="A317" s="3">
        <v>314</v>
      </c>
      <c r="B317" s="3">
        <v>314</v>
      </c>
      <c r="C317" s="4" t="s">
        <v>376</v>
      </c>
      <c r="D317" s="4" t="str">
        <f t="shared" si="52"/>
        <v>J222RR</v>
      </c>
      <c r="E317" s="4" t="s">
        <v>376</v>
      </c>
      <c r="F317" s="4" t="s">
        <v>1595</v>
      </c>
      <c r="G317" s="5">
        <v>4521718030364</v>
      </c>
      <c r="H317" s="5"/>
      <c r="I317" s="5"/>
      <c r="J317" s="5">
        <v>1</v>
      </c>
      <c r="K317" s="5">
        <v>1</v>
      </c>
      <c r="L317" s="4">
        <v>640</v>
      </c>
      <c r="M317" s="4">
        <v>412</v>
      </c>
      <c r="N317" s="4">
        <v>284</v>
      </c>
      <c r="O317" s="6">
        <f t="shared" si="53"/>
        <v>0.31067961165048541</v>
      </c>
      <c r="P317" s="4" t="s">
        <v>2500</v>
      </c>
      <c r="Q317" s="4"/>
      <c r="R317" s="4"/>
      <c r="S317" s="4"/>
      <c r="T317" s="4"/>
      <c r="U317" s="4"/>
      <c r="V317" s="4"/>
      <c r="W317" s="4"/>
      <c r="X317" s="4"/>
      <c r="Y317" s="4">
        <v>640</v>
      </c>
      <c r="Z317" s="4">
        <f t="shared" si="54"/>
        <v>640</v>
      </c>
      <c r="AA317" s="4">
        <v>288</v>
      </c>
      <c r="AB317" s="4">
        <f t="shared" si="55"/>
        <v>288</v>
      </c>
      <c r="AC317" s="4"/>
      <c r="AD317" s="21">
        <f>ROUND(M317*AR317,0)</f>
        <v>418</v>
      </c>
      <c r="AE317" s="6">
        <f>1-AB317/AD317</f>
        <v>0.31100478468899517</v>
      </c>
      <c r="AF317" s="33">
        <v>0</v>
      </c>
      <c r="AG317" s="4">
        <f t="shared" si="56"/>
        <v>448.5</v>
      </c>
      <c r="AH317" s="33">
        <f t="shared" si="49"/>
        <v>454.81690140845069</v>
      </c>
      <c r="AI317" s="6">
        <f>1-AB317/AH317</f>
        <v>0.36677814938684505</v>
      </c>
      <c r="AJ317" s="7">
        <f>ROUND(AB317/0.65,0)</f>
        <v>443</v>
      </c>
      <c r="AK317" s="6">
        <f>1-AB317/AJ317</f>
        <v>0.34988713318284426</v>
      </c>
      <c r="AL317" s="4">
        <f>AJ317-AB317</f>
        <v>155</v>
      </c>
      <c r="AM317" s="28"/>
      <c r="AN317" s="6"/>
      <c r="AO317" s="6"/>
      <c r="AP317" s="6">
        <f>Z317/L317</f>
        <v>1</v>
      </c>
      <c r="AQ317" s="6">
        <f>AJ317/M317</f>
        <v>1.075242718446602</v>
      </c>
      <c r="AR317" s="6">
        <f>AB317/N317</f>
        <v>1.0140845070422535</v>
      </c>
      <c r="AS317" s="4"/>
      <c r="AT317" s="4"/>
      <c r="AU317" s="4"/>
      <c r="AV317" s="4"/>
      <c r="AW317" s="4"/>
      <c r="AX317" s="4"/>
      <c r="AY317" s="4"/>
      <c r="AZ317" s="4"/>
      <c r="BA317" s="4"/>
      <c r="BB317" s="4">
        <v>0</v>
      </c>
      <c r="BC317" s="4" t="s">
        <v>3859</v>
      </c>
      <c r="BD317" s="4">
        <v>1</v>
      </c>
      <c r="BE317" s="4">
        <v>2</v>
      </c>
      <c r="BF317" s="4" t="s">
        <v>3834</v>
      </c>
      <c r="BG317" s="4">
        <v>897</v>
      </c>
      <c r="BH317" s="4">
        <v>897</v>
      </c>
      <c r="BI317" s="4">
        <f t="shared" si="57"/>
        <v>448.5</v>
      </c>
      <c r="BJ317" s="19">
        <v>4</v>
      </c>
      <c r="BK317" s="19">
        <v>8</v>
      </c>
      <c r="BL317" s="16">
        <v>6</v>
      </c>
      <c r="BM317" s="45">
        <v>453</v>
      </c>
      <c r="BN317">
        <v>453</v>
      </c>
      <c r="BO317">
        <f t="shared" si="50"/>
        <v>459.38028169014086</v>
      </c>
      <c r="BP317" t="s">
        <v>3534</v>
      </c>
      <c r="BQ317" t="s">
        <v>3534</v>
      </c>
      <c r="BR317" t="str">
        <f t="shared" si="51"/>
        <v>-</v>
      </c>
      <c r="BS317" t="s">
        <v>2779</v>
      </c>
    </row>
    <row r="318" spans="1:71" x14ac:dyDescent="0.4">
      <c r="A318" s="3">
        <v>315</v>
      </c>
      <c r="B318" s="3">
        <v>315</v>
      </c>
      <c r="C318" s="4" t="s">
        <v>377</v>
      </c>
      <c r="D318" s="4" t="str">
        <f t="shared" si="52"/>
        <v>J221RS</v>
      </c>
      <c r="E318" s="4" t="s">
        <v>377</v>
      </c>
      <c r="F318" s="4" t="s">
        <v>1596</v>
      </c>
      <c r="G318" s="5">
        <v>4521718030357</v>
      </c>
      <c r="H318" s="5"/>
      <c r="I318" s="5"/>
      <c r="J318" s="5">
        <v>1</v>
      </c>
      <c r="K318" s="5">
        <v>1</v>
      </c>
      <c r="L318" s="4">
        <v>640</v>
      </c>
      <c r="M318" s="4">
        <v>412</v>
      </c>
      <c r="N318" s="4">
        <v>284</v>
      </c>
      <c r="O318" s="6">
        <f t="shared" si="53"/>
        <v>0.31067961165048541</v>
      </c>
      <c r="P318" s="4" t="s">
        <v>2500</v>
      </c>
      <c r="Q318" s="4"/>
      <c r="R318" s="4"/>
      <c r="S318" s="4"/>
      <c r="T318" s="4"/>
      <c r="U318" s="4"/>
      <c r="V318" s="4"/>
      <c r="W318" s="4"/>
      <c r="X318" s="4"/>
      <c r="Y318" s="4">
        <v>640</v>
      </c>
      <c r="Z318" s="4">
        <f t="shared" si="54"/>
        <v>640</v>
      </c>
      <c r="AA318" s="4">
        <v>288</v>
      </c>
      <c r="AB318" s="4">
        <f t="shared" si="55"/>
        <v>288</v>
      </c>
      <c r="AC318" s="4"/>
      <c r="AD318" s="21">
        <f>ROUND(M318*AR318,0)</f>
        <v>418</v>
      </c>
      <c r="AE318" s="6">
        <f>1-AB318/AD318</f>
        <v>0.31100478468899517</v>
      </c>
      <c r="AF318" s="33">
        <v>0</v>
      </c>
      <c r="AG318" s="4">
        <f t="shared" si="56"/>
        <v>420</v>
      </c>
      <c r="AH318" s="33">
        <f t="shared" si="49"/>
        <v>425.91549295774649</v>
      </c>
      <c r="AI318" s="6">
        <f>1-AB318/AH318</f>
        <v>0.32380952380952388</v>
      </c>
      <c r="AJ318" s="7">
        <v>425</v>
      </c>
      <c r="AK318" s="6">
        <f>1-AB318/AJ318</f>
        <v>0.32235294117647062</v>
      </c>
      <c r="AL318" s="4">
        <f>AJ318-AB318</f>
        <v>137</v>
      </c>
      <c r="AM318" s="28"/>
      <c r="AN318" s="6"/>
      <c r="AO318" s="6"/>
      <c r="AP318" s="6">
        <f>Z318/L318</f>
        <v>1</v>
      </c>
      <c r="AQ318" s="6">
        <f>AJ318/M318</f>
        <v>1.0315533980582525</v>
      </c>
      <c r="AR318" s="6">
        <f>AB318/N318</f>
        <v>1.0140845070422535</v>
      </c>
      <c r="AS318" s="4"/>
      <c r="AT318" s="4"/>
      <c r="AU318" s="4"/>
      <c r="AV318" s="4"/>
      <c r="AW318" s="4"/>
      <c r="AX318" s="4"/>
      <c r="AY318" s="4"/>
      <c r="AZ318" s="4"/>
      <c r="BA318" s="4"/>
      <c r="BB318" s="4">
        <v>0</v>
      </c>
      <c r="BC318" s="4" t="s">
        <v>3860</v>
      </c>
      <c r="BD318" s="4">
        <v>1</v>
      </c>
      <c r="BE318" s="4">
        <v>5</v>
      </c>
      <c r="BF318" s="4" t="s">
        <v>3790</v>
      </c>
      <c r="BG318" s="4">
        <v>2100</v>
      </c>
      <c r="BH318" s="4">
        <v>2100</v>
      </c>
      <c r="BI318" s="4">
        <f t="shared" si="57"/>
        <v>420</v>
      </c>
      <c r="BJ318" s="19">
        <v>4</v>
      </c>
      <c r="BK318" s="19">
        <v>8</v>
      </c>
      <c r="BL318" s="16">
        <v>6</v>
      </c>
      <c r="BM318" s="45" t="s">
        <v>3534</v>
      </c>
      <c r="BN318" t="s">
        <v>3534</v>
      </c>
      <c r="BO318" t="str">
        <f t="shared" si="50"/>
        <v>-</v>
      </c>
      <c r="BP318" t="s">
        <v>3534</v>
      </c>
      <c r="BQ318">
        <v>717</v>
      </c>
      <c r="BR318">
        <f t="shared" si="51"/>
        <v>727.09859154929575</v>
      </c>
      <c r="BS318" t="s">
        <v>2780</v>
      </c>
    </row>
    <row r="319" spans="1:71" x14ac:dyDescent="0.4">
      <c r="A319" s="3">
        <v>316</v>
      </c>
      <c r="B319" s="3">
        <v>316</v>
      </c>
      <c r="C319" s="4" t="s">
        <v>378</v>
      </c>
      <c r="D319" s="4" t="str">
        <f t="shared" si="52"/>
        <v>J2238Y</v>
      </c>
      <c r="E319" s="4" t="s">
        <v>378</v>
      </c>
      <c r="F319" s="4" t="s">
        <v>1597</v>
      </c>
      <c r="G319" s="5">
        <v>4521718754529</v>
      </c>
      <c r="H319" s="5"/>
      <c r="I319" s="5"/>
      <c r="J319" s="5">
        <v>1</v>
      </c>
      <c r="K319" s="5">
        <v>1</v>
      </c>
      <c r="L319" s="4">
        <v>880</v>
      </c>
      <c r="M319" s="4">
        <v>628</v>
      </c>
      <c r="N319" s="4">
        <v>390</v>
      </c>
      <c r="O319" s="6">
        <f t="shared" si="53"/>
        <v>0.37898089171974525</v>
      </c>
      <c r="P319" s="4" t="s">
        <v>2500</v>
      </c>
      <c r="Q319" s="4"/>
      <c r="R319" s="4"/>
      <c r="S319" s="4"/>
      <c r="T319" s="4"/>
      <c r="U319" s="4"/>
      <c r="V319" s="4"/>
      <c r="W319" s="4"/>
      <c r="X319" s="4"/>
      <c r="Y319" s="4">
        <v>873</v>
      </c>
      <c r="Z319" s="4">
        <f t="shared" si="54"/>
        <v>873</v>
      </c>
      <c r="AA319" s="4">
        <v>393</v>
      </c>
      <c r="AB319" s="4">
        <f t="shared" si="55"/>
        <v>393</v>
      </c>
      <c r="AC319" s="4"/>
      <c r="AD319" s="21">
        <f>ROUND(M319*AR319,0)</f>
        <v>633</v>
      </c>
      <c r="AE319" s="6">
        <f>1-AB319/AD319</f>
        <v>0.37914691943127965</v>
      </c>
      <c r="AF319" s="33">
        <v>0.75</v>
      </c>
      <c r="AG319" s="4">
        <f t="shared" si="56"/>
        <v>620</v>
      </c>
      <c r="AH319" s="33">
        <f t="shared" si="49"/>
        <v>624.76923076923072</v>
      </c>
      <c r="AI319" s="6">
        <f>1-AB319/AH319</f>
        <v>0.37096774193548376</v>
      </c>
      <c r="AJ319" s="7">
        <f>ROUND(AB319/0.65,0)</f>
        <v>605</v>
      </c>
      <c r="AK319" s="6">
        <f>1-AB319/AJ319</f>
        <v>0.35041322314049583</v>
      </c>
      <c r="AL319" s="4">
        <f>AJ319-AB319</f>
        <v>212</v>
      </c>
      <c r="AM319" s="28"/>
      <c r="AN319" s="6"/>
      <c r="AO319" s="6"/>
      <c r="AP319" s="6">
        <f>Z319/L319</f>
        <v>0.99204545454545456</v>
      </c>
      <c r="AQ319" s="6">
        <f>AJ319/M319</f>
        <v>0.9633757961783439</v>
      </c>
      <c r="AR319" s="6">
        <f>AB319/N319</f>
        <v>1.0076923076923077</v>
      </c>
      <c r="AS319" s="4"/>
      <c r="AT319" s="4"/>
      <c r="AU319" s="4"/>
      <c r="AV319" s="4"/>
      <c r="AW319" s="4"/>
      <c r="AX319" s="4"/>
      <c r="AY319" s="4"/>
      <c r="AZ319" s="4"/>
      <c r="BA319" s="4"/>
      <c r="BB319" s="4">
        <v>0</v>
      </c>
      <c r="BC319" s="4" t="s">
        <v>3861</v>
      </c>
      <c r="BD319" s="4">
        <v>1</v>
      </c>
      <c r="BE319" s="4">
        <v>3</v>
      </c>
      <c r="BF319" s="4" t="s">
        <v>3698</v>
      </c>
      <c r="BG319" s="4">
        <v>1860</v>
      </c>
      <c r="BH319" s="4">
        <v>1860</v>
      </c>
      <c r="BI319" s="4">
        <f t="shared" si="57"/>
        <v>620</v>
      </c>
      <c r="BJ319" s="19">
        <v>4</v>
      </c>
      <c r="BK319" s="19">
        <v>8</v>
      </c>
      <c r="BL319" s="16">
        <v>6</v>
      </c>
      <c r="BM319" s="45" t="s">
        <v>3534</v>
      </c>
      <c r="BN319" t="s">
        <v>3534</v>
      </c>
      <c r="BO319" t="str">
        <f t="shared" si="50"/>
        <v>-</v>
      </c>
      <c r="BP319" t="s">
        <v>3534</v>
      </c>
      <c r="BQ319">
        <v>600</v>
      </c>
      <c r="BR319">
        <f t="shared" si="51"/>
        <v>604.61538461538464</v>
      </c>
      <c r="BS319" t="s">
        <v>2781</v>
      </c>
    </row>
    <row r="320" spans="1:71" x14ac:dyDescent="0.4">
      <c r="A320" s="3">
        <v>317</v>
      </c>
      <c r="B320" s="3">
        <v>317</v>
      </c>
      <c r="C320" s="4" t="s">
        <v>379</v>
      </c>
      <c r="D320" s="4" t="str">
        <f t="shared" si="52"/>
        <v>J2239Y</v>
      </c>
      <c r="E320" s="4" t="s">
        <v>379</v>
      </c>
      <c r="F320" s="4" t="s">
        <v>1598</v>
      </c>
      <c r="G320" s="5">
        <v>4521718920504</v>
      </c>
      <c r="H320" s="5"/>
      <c r="I320" s="5"/>
      <c r="J320" s="5">
        <v>1</v>
      </c>
      <c r="K320" s="5">
        <v>1</v>
      </c>
      <c r="L320" s="4">
        <v>880</v>
      </c>
      <c r="M320" s="4">
        <v>580</v>
      </c>
      <c r="N320" s="4">
        <v>390</v>
      </c>
      <c r="O320" s="6">
        <f t="shared" si="53"/>
        <v>0.32758620689655171</v>
      </c>
      <c r="P320" s="4" t="s">
        <v>2500</v>
      </c>
      <c r="Q320" s="4"/>
      <c r="R320" s="4"/>
      <c r="S320" s="4"/>
      <c r="T320" s="4"/>
      <c r="U320" s="4"/>
      <c r="V320" s="4"/>
      <c r="W320" s="4"/>
      <c r="X320" s="4"/>
      <c r="Y320" s="4">
        <v>873</v>
      </c>
      <c r="Z320" s="4">
        <f t="shared" si="54"/>
        <v>873</v>
      </c>
      <c r="AA320" s="4">
        <v>393</v>
      </c>
      <c r="AB320" s="4">
        <f t="shared" si="55"/>
        <v>393</v>
      </c>
      <c r="AC320" s="4"/>
      <c r="AD320" s="21">
        <f>ROUND(M320*AR320,0)</f>
        <v>584</v>
      </c>
      <c r="AE320" s="6">
        <f>1-AB320/AD320</f>
        <v>0.32705479452054798</v>
      </c>
      <c r="AF320" s="33">
        <v>0.25</v>
      </c>
      <c r="AG320" s="4">
        <f t="shared" si="56"/>
        <v>750</v>
      </c>
      <c r="AH320" s="33">
        <f t="shared" si="49"/>
        <v>755.76923076923072</v>
      </c>
      <c r="AI320" s="6">
        <f>1-AB320/AH320</f>
        <v>0.48</v>
      </c>
      <c r="AJ320" s="7">
        <f>ROUND(AB320/0.65,0)</f>
        <v>605</v>
      </c>
      <c r="AK320" s="6">
        <f>1-AB320/AJ320</f>
        <v>0.35041322314049583</v>
      </c>
      <c r="AL320" s="4">
        <f>AJ320-AB320</f>
        <v>212</v>
      </c>
      <c r="AM320" s="28"/>
      <c r="AN320" s="6"/>
      <c r="AO320" s="6"/>
      <c r="AP320" s="6">
        <f>Z320/L320</f>
        <v>0.99204545454545456</v>
      </c>
      <c r="AQ320" s="6">
        <f>AJ320/M320</f>
        <v>1.0431034482758621</v>
      </c>
      <c r="AR320" s="6">
        <f>AB320/N320</f>
        <v>1.0076923076923077</v>
      </c>
      <c r="AS320" s="4"/>
      <c r="AT320" s="4"/>
      <c r="AU320" s="4"/>
      <c r="AV320" s="4"/>
      <c r="AW320" s="4"/>
      <c r="AX320" s="4"/>
      <c r="AY320" s="4"/>
      <c r="AZ320" s="4"/>
      <c r="BA320" s="4"/>
      <c r="BB320" s="4">
        <v>0</v>
      </c>
      <c r="BC320" s="4" t="s">
        <v>3862</v>
      </c>
      <c r="BD320" s="4">
        <v>1</v>
      </c>
      <c r="BE320" s="4">
        <v>2</v>
      </c>
      <c r="BF320" s="4" t="s">
        <v>3575</v>
      </c>
      <c r="BG320" s="4">
        <v>1500</v>
      </c>
      <c r="BH320" s="4">
        <v>1500</v>
      </c>
      <c r="BI320" s="4">
        <f t="shared" si="57"/>
        <v>750</v>
      </c>
      <c r="BJ320" s="19">
        <v>4</v>
      </c>
      <c r="BK320" s="19">
        <v>8</v>
      </c>
      <c r="BL320" s="16">
        <v>6</v>
      </c>
      <c r="BM320" s="45" t="s">
        <v>3534</v>
      </c>
      <c r="BN320" t="s">
        <v>3534</v>
      </c>
      <c r="BO320" t="str">
        <f t="shared" si="50"/>
        <v>-</v>
      </c>
      <c r="BP320">
        <v>846</v>
      </c>
      <c r="BQ320">
        <v>846</v>
      </c>
      <c r="BR320">
        <f t="shared" si="51"/>
        <v>852.50769230769231</v>
      </c>
      <c r="BS320" t="s">
        <v>2782</v>
      </c>
    </row>
    <row r="321" spans="1:71" x14ac:dyDescent="0.4">
      <c r="A321" s="3">
        <v>318</v>
      </c>
      <c r="B321" s="3">
        <v>318</v>
      </c>
      <c r="C321" s="4" t="s">
        <v>380</v>
      </c>
      <c r="D321" s="4" t="str">
        <f t="shared" si="52"/>
        <v>J2240Y</v>
      </c>
      <c r="E321" s="4" t="s">
        <v>380</v>
      </c>
      <c r="F321" s="4" t="s">
        <v>1599</v>
      </c>
      <c r="G321" s="5">
        <v>4521718920511</v>
      </c>
      <c r="H321" s="5"/>
      <c r="I321" s="5"/>
      <c r="J321" s="5">
        <v>1</v>
      </c>
      <c r="K321" s="5">
        <v>1</v>
      </c>
      <c r="L321" s="4">
        <v>880</v>
      </c>
      <c r="M321" s="4">
        <v>580</v>
      </c>
      <c r="N321" s="4">
        <v>390</v>
      </c>
      <c r="O321" s="6">
        <f t="shared" si="53"/>
        <v>0.32758620689655171</v>
      </c>
      <c r="P321" s="4" t="s">
        <v>2500</v>
      </c>
      <c r="Q321" s="4"/>
      <c r="R321" s="4"/>
      <c r="S321" s="4"/>
      <c r="T321" s="4"/>
      <c r="U321" s="4"/>
      <c r="V321" s="4"/>
      <c r="W321" s="4"/>
      <c r="X321" s="4"/>
      <c r="Y321" s="4">
        <v>873</v>
      </c>
      <c r="Z321" s="4">
        <f t="shared" si="54"/>
        <v>873</v>
      </c>
      <c r="AA321" s="4">
        <v>393</v>
      </c>
      <c r="AB321" s="4">
        <f t="shared" si="55"/>
        <v>393</v>
      </c>
      <c r="AC321" s="4"/>
      <c r="AD321" s="21">
        <f>ROUND(M321*AR321,0)</f>
        <v>584</v>
      </c>
      <c r="AE321" s="6">
        <f>1-AB321/AD321</f>
        <v>0.32705479452054798</v>
      </c>
      <c r="AF321" s="33">
        <v>0</v>
      </c>
      <c r="AG321" s="4">
        <f t="shared" si="56"/>
        <v>750</v>
      </c>
      <c r="AH321" s="33">
        <f t="shared" si="49"/>
        <v>755.76923076923072</v>
      </c>
      <c r="AI321" s="6">
        <f>1-AB321/AH321</f>
        <v>0.48</v>
      </c>
      <c r="AJ321" s="7">
        <f>ROUND(AB321/0.65,0)</f>
        <v>605</v>
      </c>
      <c r="AK321" s="6">
        <f>1-AB321/AJ321</f>
        <v>0.35041322314049583</v>
      </c>
      <c r="AL321" s="4">
        <f>AJ321-AB321</f>
        <v>212</v>
      </c>
      <c r="AM321" s="28"/>
      <c r="AN321" s="6"/>
      <c r="AO321" s="6"/>
      <c r="AP321" s="6">
        <f>Z321/L321</f>
        <v>0.99204545454545456</v>
      </c>
      <c r="AQ321" s="6">
        <f>AJ321/M321</f>
        <v>1.0431034482758621</v>
      </c>
      <c r="AR321" s="6">
        <f>AB321/N321</f>
        <v>1.0076923076923077</v>
      </c>
      <c r="AS321" s="4"/>
      <c r="AT321" s="4"/>
      <c r="AU321" s="4"/>
      <c r="AV321" s="4"/>
      <c r="AW321" s="4"/>
      <c r="AX321" s="4"/>
      <c r="AY321" s="4"/>
      <c r="AZ321" s="4"/>
      <c r="BA321" s="4"/>
      <c r="BB321" s="4">
        <v>0</v>
      </c>
      <c r="BC321" s="4" t="s">
        <v>3863</v>
      </c>
      <c r="BD321" s="4">
        <v>1</v>
      </c>
      <c r="BE321" s="4">
        <v>2</v>
      </c>
      <c r="BF321" s="4" t="s">
        <v>3575</v>
      </c>
      <c r="BG321" s="4">
        <v>1500</v>
      </c>
      <c r="BH321" s="4">
        <v>1500</v>
      </c>
      <c r="BI321" s="4">
        <f t="shared" si="57"/>
        <v>750</v>
      </c>
      <c r="BJ321" s="19">
        <v>4</v>
      </c>
      <c r="BK321" s="19">
        <v>8</v>
      </c>
      <c r="BL321" s="16">
        <v>6</v>
      </c>
      <c r="BM321" s="45" t="s">
        <v>3534</v>
      </c>
      <c r="BN321" t="s">
        <v>3534</v>
      </c>
      <c r="BO321" t="str">
        <f t="shared" si="50"/>
        <v>-</v>
      </c>
      <c r="BP321">
        <v>846</v>
      </c>
      <c r="BQ321">
        <v>846</v>
      </c>
      <c r="BR321">
        <f t="shared" si="51"/>
        <v>852.50769230769231</v>
      </c>
      <c r="BS321" t="s">
        <v>2783</v>
      </c>
    </row>
    <row r="322" spans="1:71" x14ac:dyDescent="0.4">
      <c r="A322" s="3">
        <v>319</v>
      </c>
      <c r="B322" s="3">
        <v>319</v>
      </c>
      <c r="C322" s="4" t="s">
        <v>381</v>
      </c>
      <c r="D322" s="4" t="str">
        <f t="shared" si="52"/>
        <v>J2241Y</v>
      </c>
      <c r="E322" s="4" t="s">
        <v>381</v>
      </c>
      <c r="F322" s="4" t="s">
        <v>1600</v>
      </c>
      <c r="G322" s="5">
        <v>4521718920528</v>
      </c>
      <c r="H322" s="5"/>
      <c r="I322" s="5"/>
      <c r="J322" s="5">
        <v>1</v>
      </c>
      <c r="K322" s="5">
        <v>1</v>
      </c>
      <c r="L322" s="4">
        <v>880</v>
      </c>
      <c r="M322" s="4">
        <v>580</v>
      </c>
      <c r="N322" s="4">
        <v>390</v>
      </c>
      <c r="O322" s="6">
        <f t="shared" si="53"/>
        <v>0.32758620689655171</v>
      </c>
      <c r="P322" s="4" t="s">
        <v>2500</v>
      </c>
      <c r="Q322" s="4"/>
      <c r="R322" s="4"/>
      <c r="S322" s="4"/>
      <c r="T322" s="4"/>
      <c r="U322" s="4"/>
      <c r="V322" s="4"/>
      <c r="W322" s="4"/>
      <c r="X322" s="4"/>
      <c r="Y322" s="4">
        <v>873</v>
      </c>
      <c r="Z322" s="4">
        <f t="shared" si="54"/>
        <v>873</v>
      </c>
      <c r="AA322" s="4">
        <v>393</v>
      </c>
      <c r="AB322" s="4">
        <f t="shared" si="55"/>
        <v>393</v>
      </c>
      <c r="AC322" s="4"/>
      <c r="AD322" s="21">
        <f>ROUND(M322*AR322,0)</f>
        <v>584</v>
      </c>
      <c r="AE322" s="6">
        <f>1-AB322/AD322</f>
        <v>0.32705479452054798</v>
      </c>
      <c r="AF322" s="33">
        <v>0</v>
      </c>
      <c r="AG322" s="4">
        <f t="shared" si="56"/>
        <v>750</v>
      </c>
      <c r="AH322" s="33">
        <f t="shared" si="49"/>
        <v>755.76923076923072</v>
      </c>
      <c r="AI322" s="6">
        <f>1-AB322/AH322</f>
        <v>0.48</v>
      </c>
      <c r="AJ322" s="7">
        <f>ROUND(AB322/0.65,0)</f>
        <v>605</v>
      </c>
      <c r="AK322" s="6">
        <f>1-AB322/AJ322</f>
        <v>0.35041322314049583</v>
      </c>
      <c r="AL322" s="4">
        <f>AJ322-AB322</f>
        <v>212</v>
      </c>
      <c r="AM322" s="28"/>
      <c r="AN322" s="6"/>
      <c r="AO322" s="6"/>
      <c r="AP322" s="6">
        <f>Z322/L322</f>
        <v>0.99204545454545456</v>
      </c>
      <c r="AQ322" s="6">
        <f>AJ322/M322</f>
        <v>1.0431034482758621</v>
      </c>
      <c r="AR322" s="6">
        <f>AB322/N322</f>
        <v>1.0076923076923077</v>
      </c>
      <c r="AS322" s="4"/>
      <c r="AT322" s="4"/>
      <c r="AU322" s="4"/>
      <c r="AV322" s="4"/>
      <c r="AW322" s="4"/>
      <c r="AX322" s="4"/>
      <c r="AY322" s="4"/>
      <c r="AZ322" s="4"/>
      <c r="BA322" s="4"/>
      <c r="BB322" s="4">
        <v>0</v>
      </c>
      <c r="BC322" s="4" t="s">
        <v>3864</v>
      </c>
      <c r="BD322" s="4">
        <v>1</v>
      </c>
      <c r="BE322" s="4">
        <v>2</v>
      </c>
      <c r="BF322" s="4" t="s">
        <v>3575</v>
      </c>
      <c r="BG322" s="4">
        <v>1500</v>
      </c>
      <c r="BH322" s="4">
        <v>1500</v>
      </c>
      <c r="BI322" s="4">
        <f t="shared" si="57"/>
        <v>750</v>
      </c>
      <c r="BJ322" s="19">
        <v>4</v>
      </c>
      <c r="BK322" s="19">
        <v>8</v>
      </c>
      <c r="BL322" s="16">
        <v>6</v>
      </c>
      <c r="BM322" s="45" t="s">
        <v>3534</v>
      </c>
      <c r="BN322" t="s">
        <v>3534</v>
      </c>
      <c r="BO322" t="str">
        <f t="shared" si="50"/>
        <v>-</v>
      </c>
      <c r="BP322">
        <v>846</v>
      </c>
      <c r="BQ322">
        <v>846</v>
      </c>
      <c r="BR322">
        <f t="shared" si="51"/>
        <v>852.50769230769231</v>
      </c>
      <c r="BS322" t="s">
        <v>2784</v>
      </c>
    </row>
    <row r="323" spans="1:71" x14ac:dyDescent="0.4">
      <c r="A323" s="3">
        <v>320</v>
      </c>
      <c r="B323" s="3">
        <v>320</v>
      </c>
      <c r="C323" s="4" t="s">
        <v>382</v>
      </c>
      <c r="D323" s="4" t="str">
        <f t="shared" si="52"/>
        <v>J2242Y</v>
      </c>
      <c r="E323" s="4" t="s">
        <v>382</v>
      </c>
      <c r="F323" s="4" t="s">
        <v>1601</v>
      </c>
      <c r="G323" s="5">
        <v>4521718920535</v>
      </c>
      <c r="H323" s="5"/>
      <c r="I323" s="5"/>
      <c r="J323" s="5">
        <v>1</v>
      </c>
      <c r="K323" s="5">
        <v>1</v>
      </c>
      <c r="L323" s="4">
        <v>880</v>
      </c>
      <c r="M323" s="4">
        <v>580</v>
      </c>
      <c r="N323" s="4">
        <v>390</v>
      </c>
      <c r="O323" s="6">
        <f t="shared" si="53"/>
        <v>0.32758620689655171</v>
      </c>
      <c r="P323" s="4" t="s">
        <v>2500</v>
      </c>
      <c r="Q323" s="4"/>
      <c r="R323" s="4"/>
      <c r="S323" s="4"/>
      <c r="T323" s="4"/>
      <c r="U323" s="4"/>
      <c r="V323" s="4"/>
      <c r="W323" s="4"/>
      <c r="X323" s="4"/>
      <c r="Y323" s="4">
        <v>873</v>
      </c>
      <c r="Z323" s="4">
        <f t="shared" si="54"/>
        <v>873</v>
      </c>
      <c r="AA323" s="4">
        <v>393</v>
      </c>
      <c r="AB323" s="4">
        <f t="shared" si="55"/>
        <v>393</v>
      </c>
      <c r="AC323" s="4"/>
      <c r="AD323" s="21">
        <f>ROUND(M323*AR323,0)</f>
        <v>584</v>
      </c>
      <c r="AE323" s="6">
        <f>1-AB323/AD323</f>
        <v>0.32705479452054798</v>
      </c>
      <c r="AF323" s="33">
        <v>0</v>
      </c>
      <c r="AG323" s="4">
        <f t="shared" si="56"/>
        <v>750</v>
      </c>
      <c r="AH323" s="33">
        <f t="shared" si="49"/>
        <v>755.76923076923072</v>
      </c>
      <c r="AI323" s="6">
        <f>1-AB323/AH323</f>
        <v>0.48</v>
      </c>
      <c r="AJ323" s="7">
        <f>ROUND(AB323/0.65,0)</f>
        <v>605</v>
      </c>
      <c r="AK323" s="6">
        <f>1-AB323/AJ323</f>
        <v>0.35041322314049583</v>
      </c>
      <c r="AL323" s="4">
        <f>AJ323-AB323</f>
        <v>212</v>
      </c>
      <c r="AM323" s="28"/>
      <c r="AN323" s="6"/>
      <c r="AO323" s="6"/>
      <c r="AP323" s="6">
        <f>Z323/L323</f>
        <v>0.99204545454545456</v>
      </c>
      <c r="AQ323" s="6">
        <f>AJ323/M323</f>
        <v>1.0431034482758621</v>
      </c>
      <c r="AR323" s="6">
        <f>AB323/N323</f>
        <v>1.0076923076923077</v>
      </c>
      <c r="AS323" s="4"/>
      <c r="AT323" s="4"/>
      <c r="AU323" s="4"/>
      <c r="AV323" s="4"/>
      <c r="AW323" s="4"/>
      <c r="AX323" s="4"/>
      <c r="AY323" s="4"/>
      <c r="AZ323" s="4"/>
      <c r="BA323" s="4"/>
      <c r="BB323" s="4">
        <v>0</v>
      </c>
      <c r="BC323" s="4" t="s">
        <v>3865</v>
      </c>
      <c r="BD323" s="4">
        <v>1</v>
      </c>
      <c r="BE323" s="4">
        <v>2</v>
      </c>
      <c r="BF323" s="4" t="s">
        <v>3575</v>
      </c>
      <c r="BG323" s="4">
        <v>1500</v>
      </c>
      <c r="BH323" s="4">
        <v>1500</v>
      </c>
      <c r="BI323" s="4">
        <f t="shared" si="57"/>
        <v>750</v>
      </c>
      <c r="BJ323" s="19">
        <v>4</v>
      </c>
      <c r="BK323" s="19">
        <v>8</v>
      </c>
      <c r="BL323" s="16">
        <v>6</v>
      </c>
      <c r="BM323" s="45" t="s">
        <v>3534</v>
      </c>
      <c r="BN323" t="s">
        <v>3534</v>
      </c>
      <c r="BO323" t="str">
        <f t="shared" si="50"/>
        <v>-</v>
      </c>
      <c r="BP323">
        <v>846</v>
      </c>
      <c r="BQ323">
        <v>846</v>
      </c>
      <c r="BR323">
        <f t="shared" si="51"/>
        <v>852.50769230769231</v>
      </c>
      <c r="BS323" t="s">
        <v>2785</v>
      </c>
    </row>
    <row r="324" spans="1:71" x14ac:dyDescent="0.4">
      <c r="A324" s="3">
        <v>321</v>
      </c>
      <c r="B324" s="3">
        <v>321</v>
      </c>
      <c r="C324" s="4" t="s">
        <v>383</v>
      </c>
      <c r="D324" s="4" t="str">
        <f t="shared" si="52"/>
        <v>J2243Y</v>
      </c>
      <c r="E324" s="4" t="s">
        <v>383</v>
      </c>
      <c r="F324" s="4" t="s">
        <v>1602</v>
      </c>
      <c r="G324" s="5">
        <v>4521718920542</v>
      </c>
      <c r="H324" s="5"/>
      <c r="I324" s="5"/>
      <c r="J324" s="5">
        <v>1</v>
      </c>
      <c r="K324" s="5">
        <v>1</v>
      </c>
      <c r="L324" s="4">
        <v>880</v>
      </c>
      <c r="M324" s="4">
        <v>580</v>
      </c>
      <c r="N324" s="4">
        <v>390</v>
      </c>
      <c r="O324" s="6">
        <f t="shared" si="53"/>
        <v>0.32758620689655171</v>
      </c>
      <c r="P324" s="4" t="s">
        <v>2500</v>
      </c>
      <c r="Q324" s="4"/>
      <c r="R324" s="4"/>
      <c r="S324" s="4"/>
      <c r="T324" s="4"/>
      <c r="U324" s="4"/>
      <c r="V324" s="4"/>
      <c r="W324" s="4"/>
      <c r="X324" s="4"/>
      <c r="Y324" s="4">
        <v>873</v>
      </c>
      <c r="Z324" s="4">
        <f t="shared" si="54"/>
        <v>873</v>
      </c>
      <c r="AA324" s="4">
        <v>393</v>
      </c>
      <c r="AB324" s="4">
        <f t="shared" si="55"/>
        <v>393</v>
      </c>
      <c r="AC324" s="4"/>
      <c r="AD324" s="21">
        <f>ROUND(M324*AR324,0)</f>
        <v>584</v>
      </c>
      <c r="AE324" s="6">
        <f>1-AB324/AD324</f>
        <v>0.32705479452054798</v>
      </c>
      <c r="AF324" s="33">
        <v>0.25</v>
      </c>
      <c r="AG324" s="4">
        <f t="shared" si="56"/>
        <v>750</v>
      </c>
      <c r="AH324" s="33">
        <f t="shared" ref="AH324:AH387" si="58">AG324*AR324</f>
        <v>755.76923076923072</v>
      </c>
      <c r="AI324" s="6">
        <f>1-AB324/AH324</f>
        <v>0.48</v>
      </c>
      <c r="AJ324" s="7">
        <f>ROUND(AB324/0.65,0)</f>
        <v>605</v>
      </c>
      <c r="AK324" s="6">
        <f>1-AB324/AJ324</f>
        <v>0.35041322314049583</v>
      </c>
      <c r="AL324" s="4">
        <f>AJ324-AB324</f>
        <v>212</v>
      </c>
      <c r="AM324" s="28"/>
      <c r="AN324" s="6"/>
      <c r="AO324" s="6"/>
      <c r="AP324" s="6">
        <f>Z324/L324</f>
        <v>0.99204545454545456</v>
      </c>
      <c r="AQ324" s="6">
        <f>AJ324/M324</f>
        <v>1.0431034482758621</v>
      </c>
      <c r="AR324" s="6">
        <f>AB324/N324</f>
        <v>1.0076923076923077</v>
      </c>
      <c r="AS324" s="4"/>
      <c r="AT324" s="4"/>
      <c r="AU324" s="4"/>
      <c r="AV324" s="4"/>
      <c r="AW324" s="4"/>
      <c r="AX324" s="4"/>
      <c r="AY324" s="4"/>
      <c r="AZ324" s="4"/>
      <c r="BA324" s="4"/>
      <c r="BB324" s="4">
        <v>0</v>
      </c>
      <c r="BC324" s="4" t="s">
        <v>3866</v>
      </c>
      <c r="BD324" s="4">
        <v>1</v>
      </c>
      <c r="BE324" s="4">
        <v>2</v>
      </c>
      <c r="BF324" s="4" t="s">
        <v>3575</v>
      </c>
      <c r="BG324" s="4">
        <v>1500</v>
      </c>
      <c r="BH324" s="4">
        <v>1500</v>
      </c>
      <c r="BI324" s="4">
        <f t="shared" si="57"/>
        <v>750</v>
      </c>
      <c r="BJ324" s="19">
        <v>4</v>
      </c>
      <c r="BK324" s="19">
        <v>8</v>
      </c>
      <c r="BL324" s="16">
        <v>6</v>
      </c>
      <c r="BM324" s="45" t="s">
        <v>3534</v>
      </c>
      <c r="BN324" t="s">
        <v>3534</v>
      </c>
      <c r="BO324" t="str">
        <f t="shared" si="50"/>
        <v>-</v>
      </c>
      <c r="BP324">
        <v>846</v>
      </c>
      <c r="BQ324">
        <v>846</v>
      </c>
      <c r="BR324">
        <f t="shared" si="51"/>
        <v>852.50769230769231</v>
      </c>
      <c r="BS324" t="s">
        <v>2786</v>
      </c>
    </row>
    <row r="325" spans="1:71" x14ac:dyDescent="0.4">
      <c r="A325" s="3">
        <v>322</v>
      </c>
      <c r="B325" s="3">
        <v>322</v>
      </c>
      <c r="C325" s="4" t="s">
        <v>384</v>
      </c>
      <c r="D325" s="4" t="str">
        <f t="shared" si="52"/>
        <v>J2244Y</v>
      </c>
      <c r="E325" s="4" t="s">
        <v>384</v>
      </c>
      <c r="F325" s="4" t="s">
        <v>1603</v>
      </c>
      <c r="G325" s="5">
        <v>4521718755519</v>
      </c>
      <c r="H325" s="5"/>
      <c r="I325" s="5"/>
      <c r="J325" s="5">
        <v>1</v>
      </c>
      <c r="K325" s="5">
        <v>1</v>
      </c>
      <c r="L325" s="4">
        <v>900</v>
      </c>
      <c r="M325" s="4">
        <v>570</v>
      </c>
      <c r="N325" s="4">
        <v>397</v>
      </c>
      <c r="O325" s="6">
        <f t="shared" si="53"/>
        <v>0.30350877192982462</v>
      </c>
      <c r="P325" s="4" t="s">
        <v>2500</v>
      </c>
      <c r="Q325" s="4"/>
      <c r="R325" s="4"/>
      <c r="S325" s="4"/>
      <c r="T325" s="4"/>
      <c r="U325" s="4"/>
      <c r="V325" s="4"/>
      <c r="W325" s="4"/>
      <c r="X325" s="4"/>
      <c r="Y325" s="4">
        <v>610</v>
      </c>
      <c r="Z325" s="4">
        <f t="shared" si="54"/>
        <v>610</v>
      </c>
      <c r="AA325" s="4">
        <v>397</v>
      </c>
      <c r="AB325" s="4">
        <f t="shared" si="55"/>
        <v>397</v>
      </c>
      <c r="AC325" s="4"/>
      <c r="AD325" s="21">
        <f>ROUND(M325*AR325,0)</f>
        <v>570</v>
      </c>
      <c r="AE325" s="6">
        <f>1-AB325/AD325</f>
        <v>0.30350877192982462</v>
      </c>
      <c r="AF325" s="33">
        <v>0.25</v>
      </c>
      <c r="AG325" s="4">
        <f t="shared" si="56"/>
        <v>900</v>
      </c>
      <c r="AH325" s="33">
        <f t="shared" si="58"/>
        <v>900</v>
      </c>
      <c r="AI325" s="6">
        <f>1-AB325/AH325</f>
        <v>0.55888888888888888</v>
      </c>
      <c r="AJ325" s="7">
        <v>610</v>
      </c>
      <c r="AK325" s="6">
        <f>1-AB325/AJ325</f>
        <v>0.34918032786885245</v>
      </c>
      <c r="AL325" s="4">
        <f>AJ325-AB325</f>
        <v>213</v>
      </c>
      <c r="AM325" s="28"/>
      <c r="AN325" s="6"/>
      <c r="AO325" s="6"/>
      <c r="AP325" s="6">
        <f>Z325/L325</f>
        <v>0.67777777777777781</v>
      </c>
      <c r="AQ325" s="6">
        <f>AJ325/M325</f>
        <v>1.0701754385964912</v>
      </c>
      <c r="AR325" s="6">
        <f>AB325/N325</f>
        <v>1</v>
      </c>
      <c r="AS325" s="4"/>
      <c r="AT325" s="4"/>
      <c r="AU325" s="4"/>
      <c r="AV325" s="4"/>
      <c r="AW325" s="4"/>
      <c r="AX325" s="4"/>
      <c r="AY325" s="4"/>
      <c r="AZ325" s="4"/>
      <c r="BA325" s="4"/>
      <c r="BB325" s="4">
        <v>0</v>
      </c>
      <c r="BC325" s="4" t="s">
        <v>3867</v>
      </c>
      <c r="BD325" s="4">
        <v>1</v>
      </c>
      <c r="BE325" s="4">
        <v>2</v>
      </c>
      <c r="BF325" s="4" t="s">
        <v>3868</v>
      </c>
      <c r="BG325" s="4">
        <v>1800</v>
      </c>
      <c r="BH325" s="4">
        <v>1800</v>
      </c>
      <c r="BI325" s="4">
        <f t="shared" si="57"/>
        <v>900</v>
      </c>
      <c r="BJ325" s="19">
        <v>4</v>
      </c>
      <c r="BK325" s="19">
        <v>8</v>
      </c>
      <c r="BL325" s="16">
        <v>6</v>
      </c>
      <c r="BM325" s="45" t="s">
        <v>3534</v>
      </c>
      <c r="BN325" t="s">
        <v>3534</v>
      </c>
      <c r="BO325" t="str">
        <f t="shared" ref="BO325:BO388" si="59">IFERROR(BN325*AR325,"-")</f>
        <v>-</v>
      </c>
      <c r="BP325" t="s">
        <v>3534</v>
      </c>
      <c r="BQ325">
        <v>855</v>
      </c>
      <c r="BR325">
        <f t="shared" ref="BR325:BR388" si="60">IFERROR(BQ325*AR325,"-")</f>
        <v>855</v>
      </c>
      <c r="BS325" t="s">
        <v>2787</v>
      </c>
    </row>
    <row r="326" spans="1:71" x14ac:dyDescent="0.4">
      <c r="A326" s="3">
        <v>323</v>
      </c>
      <c r="B326" s="3">
        <v>323</v>
      </c>
      <c r="C326" s="4" t="s">
        <v>385</v>
      </c>
      <c r="D326" s="4" t="str">
        <f t="shared" si="52"/>
        <v>J2245Y</v>
      </c>
      <c r="E326" s="4" t="s">
        <v>385</v>
      </c>
      <c r="F326" s="4" t="s">
        <v>1604</v>
      </c>
      <c r="G326" s="5">
        <v>4521718755526</v>
      </c>
      <c r="H326" s="5"/>
      <c r="I326" s="5"/>
      <c r="J326" s="5">
        <v>1</v>
      </c>
      <c r="K326" s="5">
        <v>1</v>
      </c>
      <c r="L326" s="4">
        <v>900</v>
      </c>
      <c r="M326" s="4">
        <v>570</v>
      </c>
      <c r="N326" s="4">
        <v>397</v>
      </c>
      <c r="O326" s="6">
        <f t="shared" si="53"/>
        <v>0.30350877192982462</v>
      </c>
      <c r="P326" s="4" t="s">
        <v>2500</v>
      </c>
      <c r="Q326" s="4"/>
      <c r="R326" s="4"/>
      <c r="S326" s="4"/>
      <c r="T326" s="4"/>
      <c r="U326" s="4"/>
      <c r="V326" s="4"/>
      <c r="W326" s="4"/>
      <c r="X326" s="4"/>
      <c r="Y326" s="4">
        <v>610</v>
      </c>
      <c r="Z326" s="4">
        <f t="shared" si="54"/>
        <v>610</v>
      </c>
      <c r="AA326" s="4">
        <v>397</v>
      </c>
      <c r="AB326" s="4">
        <f t="shared" si="55"/>
        <v>397</v>
      </c>
      <c r="AC326" s="4"/>
      <c r="AD326" s="21">
        <f>ROUND(M326*AR326,0)</f>
        <v>570</v>
      </c>
      <c r="AE326" s="6">
        <f>1-AB326/AD326</f>
        <v>0.30350877192982462</v>
      </c>
      <c r="AF326" s="33">
        <v>0</v>
      </c>
      <c r="AG326" s="4">
        <f t="shared" si="56"/>
        <v>900</v>
      </c>
      <c r="AH326" s="33">
        <f t="shared" si="58"/>
        <v>900</v>
      </c>
      <c r="AI326" s="6">
        <f>1-AB326/AH326</f>
        <v>0.55888888888888888</v>
      </c>
      <c r="AJ326" s="7">
        <v>610</v>
      </c>
      <c r="AK326" s="6">
        <f>1-AB326/AJ326</f>
        <v>0.34918032786885245</v>
      </c>
      <c r="AL326" s="4">
        <f>AJ326-AB326</f>
        <v>213</v>
      </c>
      <c r="AM326" s="28"/>
      <c r="AN326" s="6"/>
      <c r="AO326" s="6"/>
      <c r="AP326" s="6">
        <f>Z326/L326</f>
        <v>0.67777777777777781</v>
      </c>
      <c r="AQ326" s="6">
        <f>AJ326/M326</f>
        <v>1.0701754385964912</v>
      </c>
      <c r="AR326" s="6">
        <f>AB326/N326</f>
        <v>1</v>
      </c>
      <c r="AS326" s="4"/>
      <c r="AT326" s="4"/>
      <c r="AU326" s="4"/>
      <c r="AV326" s="4"/>
      <c r="AW326" s="4"/>
      <c r="AX326" s="4"/>
      <c r="AY326" s="4"/>
      <c r="AZ326" s="4"/>
      <c r="BA326" s="4"/>
      <c r="BB326" s="4">
        <v>0</v>
      </c>
      <c r="BC326" s="4" t="s">
        <v>3869</v>
      </c>
      <c r="BD326" s="4">
        <v>1</v>
      </c>
      <c r="BE326" s="4">
        <v>2</v>
      </c>
      <c r="BF326" s="4" t="s">
        <v>3868</v>
      </c>
      <c r="BG326" s="4">
        <v>1800</v>
      </c>
      <c r="BH326" s="4">
        <v>1800</v>
      </c>
      <c r="BI326" s="4">
        <f t="shared" si="57"/>
        <v>900</v>
      </c>
      <c r="BJ326" s="19">
        <v>4</v>
      </c>
      <c r="BK326" s="19">
        <v>8</v>
      </c>
      <c r="BL326" s="16">
        <v>6</v>
      </c>
      <c r="BM326" s="45" t="s">
        <v>3534</v>
      </c>
      <c r="BN326" t="s">
        <v>3534</v>
      </c>
      <c r="BO326" t="str">
        <f t="shared" si="59"/>
        <v>-</v>
      </c>
      <c r="BP326" t="s">
        <v>3534</v>
      </c>
      <c r="BQ326">
        <v>855</v>
      </c>
      <c r="BR326">
        <f t="shared" si="60"/>
        <v>855</v>
      </c>
      <c r="BS326" t="s">
        <v>2788</v>
      </c>
    </row>
    <row r="327" spans="1:71" x14ac:dyDescent="0.4">
      <c r="A327" s="3">
        <v>324</v>
      </c>
      <c r="B327" s="3">
        <v>324</v>
      </c>
      <c r="C327" s="4" t="s">
        <v>386</v>
      </c>
      <c r="D327" s="4" t="str">
        <f t="shared" si="52"/>
        <v>J2246Y</v>
      </c>
      <c r="E327" s="4" t="s">
        <v>386</v>
      </c>
      <c r="F327" s="4" t="s">
        <v>1605</v>
      </c>
      <c r="G327" s="5">
        <v>4521718755342</v>
      </c>
      <c r="H327" s="5"/>
      <c r="I327" s="5"/>
      <c r="J327" s="5">
        <v>1</v>
      </c>
      <c r="K327" s="5">
        <v>1</v>
      </c>
      <c r="L327" s="4">
        <v>1200</v>
      </c>
      <c r="M327" s="4">
        <v>760</v>
      </c>
      <c r="N327" s="4">
        <v>527</v>
      </c>
      <c r="O327" s="6">
        <f t="shared" si="53"/>
        <v>0.30657894736842106</v>
      </c>
      <c r="P327" s="4" t="s">
        <v>2500</v>
      </c>
      <c r="Q327" s="4"/>
      <c r="R327" s="4"/>
      <c r="S327" s="4"/>
      <c r="T327" s="4"/>
      <c r="U327" s="4"/>
      <c r="V327" s="4"/>
      <c r="W327" s="4"/>
      <c r="X327" s="4"/>
      <c r="Y327" s="4">
        <v>810</v>
      </c>
      <c r="Z327" s="4">
        <f t="shared" si="54"/>
        <v>810</v>
      </c>
      <c r="AA327" s="4">
        <v>527</v>
      </c>
      <c r="AB327" s="4">
        <f t="shared" si="55"/>
        <v>527</v>
      </c>
      <c r="AC327" s="4"/>
      <c r="AD327" s="21">
        <f>ROUND(M327*AR327,0)</f>
        <v>760</v>
      </c>
      <c r="AE327" s="6">
        <f>1-AB327/AD327</f>
        <v>0.30657894736842106</v>
      </c>
      <c r="AF327" s="33">
        <v>0</v>
      </c>
      <c r="AG327" s="4">
        <f t="shared" si="56"/>
        <v>1200</v>
      </c>
      <c r="AH327" s="33">
        <f t="shared" si="58"/>
        <v>1200</v>
      </c>
      <c r="AI327" s="6">
        <f>1-AB327/AH327</f>
        <v>0.56083333333333329</v>
      </c>
      <c r="AJ327" s="7">
        <v>810</v>
      </c>
      <c r="AK327" s="6">
        <f>1-AB327/AJ327</f>
        <v>0.34938271604938276</v>
      </c>
      <c r="AL327" s="4">
        <f>AJ327-AB327</f>
        <v>283</v>
      </c>
      <c r="AM327" s="28"/>
      <c r="AN327" s="6"/>
      <c r="AO327" s="6"/>
      <c r="AP327" s="6">
        <f>Z327/L327</f>
        <v>0.67500000000000004</v>
      </c>
      <c r="AQ327" s="6">
        <f>AJ327/M327</f>
        <v>1.0657894736842106</v>
      </c>
      <c r="AR327" s="6">
        <f>AB327/N327</f>
        <v>1</v>
      </c>
      <c r="AS327" s="4"/>
      <c r="AT327" s="4"/>
      <c r="AU327" s="4"/>
      <c r="AV327" s="4"/>
      <c r="AW327" s="4"/>
      <c r="AX327" s="4"/>
      <c r="AY327" s="4"/>
      <c r="AZ327" s="4"/>
      <c r="BA327" s="4"/>
      <c r="BB327" s="4">
        <v>0</v>
      </c>
      <c r="BC327" s="4" t="s">
        <v>3870</v>
      </c>
      <c r="BD327" s="4">
        <v>1</v>
      </c>
      <c r="BE327" s="4">
        <v>2</v>
      </c>
      <c r="BF327" s="4" t="s">
        <v>3575</v>
      </c>
      <c r="BG327" s="4">
        <v>2400</v>
      </c>
      <c r="BH327" s="4">
        <v>2400</v>
      </c>
      <c r="BI327" s="4">
        <f t="shared" si="57"/>
        <v>1200</v>
      </c>
      <c r="BJ327" s="19">
        <v>4</v>
      </c>
      <c r="BK327" s="19">
        <v>8</v>
      </c>
      <c r="BL327" s="16">
        <v>6</v>
      </c>
      <c r="BM327" s="45" t="s">
        <v>3534</v>
      </c>
      <c r="BN327" t="s">
        <v>3534</v>
      </c>
      <c r="BO327" t="str">
        <f t="shared" si="59"/>
        <v>-</v>
      </c>
      <c r="BP327" t="s">
        <v>3534</v>
      </c>
      <c r="BQ327">
        <v>1140</v>
      </c>
      <c r="BR327">
        <f t="shared" si="60"/>
        <v>1140</v>
      </c>
      <c r="BS327" t="s">
        <v>2789</v>
      </c>
    </row>
    <row r="328" spans="1:71" x14ac:dyDescent="0.4">
      <c r="A328" s="3">
        <v>325</v>
      </c>
      <c r="B328" s="3">
        <v>325</v>
      </c>
      <c r="C328" s="4" t="s">
        <v>387</v>
      </c>
      <c r="D328" s="4" t="str">
        <f t="shared" si="52"/>
        <v>J2253Y</v>
      </c>
      <c r="E328" s="4" t="s">
        <v>387</v>
      </c>
      <c r="F328" s="4" t="s">
        <v>1606</v>
      </c>
      <c r="G328" s="5">
        <v>4521718755366</v>
      </c>
      <c r="H328" s="5"/>
      <c r="I328" s="5"/>
      <c r="J328" s="5">
        <v>1</v>
      </c>
      <c r="K328" s="5">
        <v>1</v>
      </c>
      <c r="L328" s="4">
        <v>1260</v>
      </c>
      <c r="M328" s="4">
        <v>797</v>
      </c>
      <c r="N328" s="4">
        <v>567</v>
      </c>
      <c r="O328" s="6">
        <f t="shared" si="53"/>
        <v>0.28858218318695106</v>
      </c>
      <c r="P328" s="4" t="s">
        <v>2500</v>
      </c>
      <c r="Q328" s="4"/>
      <c r="R328" s="4"/>
      <c r="S328" s="4"/>
      <c r="T328" s="4"/>
      <c r="U328" s="4"/>
      <c r="V328" s="4"/>
      <c r="W328" s="4"/>
      <c r="X328" s="4"/>
      <c r="Y328" s="4">
        <v>810</v>
      </c>
      <c r="Z328" s="4">
        <f t="shared" si="54"/>
        <v>810</v>
      </c>
      <c r="AA328" s="4">
        <v>567</v>
      </c>
      <c r="AB328" s="4">
        <f t="shared" si="55"/>
        <v>567</v>
      </c>
      <c r="AC328" s="4"/>
      <c r="AD328" s="21">
        <f>ROUND(M328*AR328,0)</f>
        <v>797</v>
      </c>
      <c r="AE328" s="6">
        <f>1-AB328/AD328</f>
        <v>0.28858218318695106</v>
      </c>
      <c r="AF328" s="33">
        <v>0</v>
      </c>
      <c r="AG328" s="4">
        <f t="shared" si="56"/>
        <v>1210</v>
      </c>
      <c r="AH328" s="33">
        <f t="shared" si="58"/>
        <v>1210</v>
      </c>
      <c r="AI328" s="6">
        <f>1-AB328/AH328</f>
        <v>0.53140495867768589</v>
      </c>
      <c r="AJ328" s="7">
        <v>810</v>
      </c>
      <c r="AK328" s="6">
        <f>1-AB328/AJ328</f>
        <v>0.30000000000000004</v>
      </c>
      <c r="AL328" s="4">
        <f>AJ328-AB328</f>
        <v>243</v>
      </c>
      <c r="AM328" s="28"/>
      <c r="AN328" s="6"/>
      <c r="AO328" s="6"/>
      <c r="AP328" s="6">
        <f>Z328/L328</f>
        <v>0.6428571428571429</v>
      </c>
      <c r="AQ328" s="6">
        <f>AJ328/M328</f>
        <v>1.0163111668757843</v>
      </c>
      <c r="AR328" s="6">
        <f>AB328/N328</f>
        <v>1</v>
      </c>
      <c r="AS328" s="4"/>
      <c r="AT328" s="4"/>
      <c r="AU328" s="4"/>
      <c r="AV328" s="4"/>
      <c r="AW328" s="4"/>
      <c r="AX328" s="4"/>
      <c r="AY328" s="4"/>
      <c r="AZ328" s="4"/>
      <c r="BA328" s="4"/>
      <c r="BB328" s="4">
        <v>0</v>
      </c>
      <c r="BC328" s="4" t="s">
        <v>3871</v>
      </c>
      <c r="BD328" s="4">
        <v>1</v>
      </c>
      <c r="BE328" s="4">
        <v>2</v>
      </c>
      <c r="BF328" s="4" t="s">
        <v>3575</v>
      </c>
      <c r="BG328" s="4">
        <v>2420</v>
      </c>
      <c r="BH328" s="4">
        <v>2420</v>
      </c>
      <c r="BI328" s="4">
        <f t="shared" si="57"/>
        <v>1210</v>
      </c>
      <c r="BJ328" s="19">
        <v>4</v>
      </c>
      <c r="BK328" s="19">
        <v>8</v>
      </c>
      <c r="BL328" s="16">
        <v>6</v>
      </c>
      <c r="BM328" s="45" t="s">
        <v>3534</v>
      </c>
      <c r="BN328" t="s">
        <v>3534</v>
      </c>
      <c r="BO328" t="str">
        <f t="shared" si="59"/>
        <v>-</v>
      </c>
      <c r="BP328" t="s">
        <v>3534</v>
      </c>
      <c r="BQ328">
        <v>1150</v>
      </c>
      <c r="BR328">
        <f t="shared" si="60"/>
        <v>1150</v>
      </c>
      <c r="BS328" t="s">
        <v>2790</v>
      </c>
    </row>
    <row r="329" spans="1:71" x14ac:dyDescent="0.4">
      <c r="A329" s="42">
        <v>326</v>
      </c>
      <c r="B329" s="3">
        <v>326</v>
      </c>
      <c r="C329" s="4" t="s">
        <v>388</v>
      </c>
      <c r="D329" s="4" t="str">
        <f t="shared" si="52"/>
        <v>J2254Y</v>
      </c>
      <c r="E329" s="4" t="s">
        <v>388</v>
      </c>
      <c r="F329" s="4" t="s">
        <v>1607</v>
      </c>
      <c r="G329" s="5">
        <v>4521718755472</v>
      </c>
      <c r="H329" s="5"/>
      <c r="I329" s="5"/>
      <c r="J329" s="5">
        <v>1</v>
      </c>
      <c r="K329" s="5">
        <v>1</v>
      </c>
      <c r="L329" s="4">
        <v>4320</v>
      </c>
      <c r="M329" s="4">
        <v>2896</v>
      </c>
      <c r="N329" s="4">
        <v>1941</v>
      </c>
      <c r="O329" s="6">
        <f t="shared" si="53"/>
        <v>0.32976519337016574</v>
      </c>
      <c r="P329" s="4" t="s">
        <v>2500</v>
      </c>
      <c r="Q329" s="4"/>
      <c r="R329" s="4"/>
      <c r="S329" s="4"/>
      <c r="T329" s="4"/>
      <c r="U329" s="4"/>
      <c r="V329" s="4"/>
      <c r="W329" s="4"/>
      <c r="X329" s="4"/>
      <c r="Y329" s="4">
        <v>2773</v>
      </c>
      <c r="Z329" s="4">
        <f t="shared" si="54"/>
        <v>2773</v>
      </c>
      <c r="AA329" s="4">
        <v>1941</v>
      </c>
      <c r="AB329" s="4">
        <f t="shared" si="55"/>
        <v>1941</v>
      </c>
      <c r="AC329" s="4"/>
      <c r="AD329" s="21">
        <f>ROUND(M329*AR329,0)</f>
        <v>2896</v>
      </c>
      <c r="AE329" s="6">
        <f>1-AB329/AD329</f>
        <v>0.32976519337016574</v>
      </c>
      <c r="AF329" s="33">
        <v>0</v>
      </c>
      <c r="AG329" s="4">
        <f t="shared" si="56"/>
        <v>4250</v>
      </c>
      <c r="AH329" s="33">
        <f t="shared" si="58"/>
        <v>4250</v>
      </c>
      <c r="AI329" s="6">
        <f>1-AB329/AH329</f>
        <v>0.54329411764705882</v>
      </c>
      <c r="AJ329" s="7">
        <v>2773</v>
      </c>
      <c r="AK329" s="6">
        <f>1-AB329/AJ329</f>
        <v>0.30003606202668587</v>
      </c>
      <c r="AL329" s="4">
        <f>AJ329-AB329</f>
        <v>832</v>
      </c>
      <c r="AM329" s="28"/>
      <c r="AN329" s="6"/>
      <c r="AO329" s="6"/>
      <c r="AP329" s="6">
        <f>Z329/L329</f>
        <v>0.64189814814814816</v>
      </c>
      <c r="AQ329" s="6">
        <f>AJ329/M329</f>
        <v>0.95752762430939231</v>
      </c>
      <c r="AR329" s="6">
        <f>AB329/N329</f>
        <v>1</v>
      </c>
      <c r="AS329" s="4"/>
      <c r="AT329" s="4"/>
      <c r="AU329" s="4"/>
      <c r="AV329" s="4"/>
      <c r="AW329" s="4"/>
      <c r="AX329" s="4"/>
      <c r="AY329" s="4"/>
      <c r="AZ329" s="4"/>
      <c r="BA329" s="4"/>
      <c r="BB329" s="4">
        <v>0</v>
      </c>
      <c r="BC329" s="4" t="s">
        <v>3872</v>
      </c>
      <c r="BD329" s="4"/>
      <c r="BE329" s="4"/>
      <c r="BF329" s="4" t="s">
        <v>3545</v>
      </c>
      <c r="BG329" s="4">
        <v>4250</v>
      </c>
      <c r="BH329" s="4">
        <v>4250</v>
      </c>
      <c r="BI329" s="4">
        <f t="shared" si="57"/>
        <v>4250</v>
      </c>
      <c r="BJ329" s="19">
        <v>2</v>
      </c>
      <c r="BK329" s="19">
        <v>8</v>
      </c>
      <c r="BL329" s="16">
        <v>6</v>
      </c>
      <c r="BM329" s="45" t="s">
        <v>3534</v>
      </c>
      <c r="BN329" t="s">
        <v>3534</v>
      </c>
      <c r="BO329" t="str">
        <f t="shared" si="59"/>
        <v>-</v>
      </c>
      <c r="BP329" t="s">
        <v>3534</v>
      </c>
      <c r="BQ329">
        <v>4038</v>
      </c>
      <c r="BR329">
        <f t="shared" si="60"/>
        <v>4038</v>
      </c>
      <c r="BS329" t="s">
        <v>2791</v>
      </c>
    </row>
    <row r="330" spans="1:71" x14ac:dyDescent="0.4">
      <c r="A330" s="3">
        <v>327</v>
      </c>
      <c r="B330" s="3">
        <v>327</v>
      </c>
      <c r="C330" s="4" t="s">
        <v>389</v>
      </c>
      <c r="D330" s="4" t="str">
        <f t="shared" si="52"/>
        <v>J2255Y</v>
      </c>
      <c r="E330" s="4" t="s">
        <v>389</v>
      </c>
      <c r="F330" s="4" t="s">
        <v>1608</v>
      </c>
      <c r="G330" s="5">
        <v>4521718216591</v>
      </c>
      <c r="H330" s="5"/>
      <c r="I330" s="5"/>
      <c r="J330" s="5">
        <v>1</v>
      </c>
      <c r="K330" s="5">
        <v>1</v>
      </c>
      <c r="L330" s="4">
        <v>3940</v>
      </c>
      <c r="M330" s="4">
        <v>2660</v>
      </c>
      <c r="N330" s="4">
        <v>1773</v>
      </c>
      <c r="O330" s="6">
        <f t="shared" si="53"/>
        <v>0.33345864661654134</v>
      </c>
      <c r="P330" s="4" t="s">
        <v>2500</v>
      </c>
      <c r="Q330" s="4"/>
      <c r="R330" s="4"/>
      <c r="S330" s="4"/>
      <c r="T330" s="4"/>
      <c r="U330" s="4"/>
      <c r="V330" s="4"/>
      <c r="W330" s="4"/>
      <c r="X330" s="4"/>
      <c r="Y330" s="4">
        <v>2728</v>
      </c>
      <c r="Z330" s="4">
        <f t="shared" si="54"/>
        <v>2728</v>
      </c>
      <c r="AA330" s="4">
        <v>1773</v>
      </c>
      <c r="AB330" s="4">
        <f t="shared" si="55"/>
        <v>1773</v>
      </c>
      <c r="AC330" s="4"/>
      <c r="AD330" s="21">
        <f>ROUND(M330*AR330,0)</f>
        <v>2660</v>
      </c>
      <c r="AE330" s="6">
        <f>1-AB330/AD330</f>
        <v>0.33345864661654134</v>
      </c>
      <c r="AF330" s="33">
        <v>0</v>
      </c>
      <c r="AG330" s="4">
        <f t="shared" si="56"/>
        <v>2480</v>
      </c>
      <c r="AH330" s="33">
        <f t="shared" si="58"/>
        <v>2480</v>
      </c>
      <c r="AI330" s="6">
        <f>1-AB330/AH330</f>
        <v>0.28508064516129028</v>
      </c>
      <c r="AJ330" s="7">
        <v>2480</v>
      </c>
      <c r="AK330" s="6">
        <f>1-AB330/AJ330</f>
        <v>0.28508064516129028</v>
      </c>
      <c r="AL330" s="4">
        <f>AJ330-AB330</f>
        <v>707</v>
      </c>
      <c r="AM330" s="28"/>
      <c r="AN330" s="6"/>
      <c r="AO330" s="6"/>
      <c r="AP330" s="6">
        <f>Z330/L330</f>
        <v>0.69238578680203045</v>
      </c>
      <c r="AQ330" s="6">
        <f>AJ330/M330</f>
        <v>0.93233082706766912</v>
      </c>
      <c r="AR330" s="6">
        <f>AB330/N330</f>
        <v>1</v>
      </c>
      <c r="AS330" s="4"/>
      <c r="AT330" s="4"/>
      <c r="AU330" s="4"/>
      <c r="AV330" s="4"/>
      <c r="AW330" s="4"/>
      <c r="AX330" s="4"/>
      <c r="AY330" s="4"/>
      <c r="AZ330" s="4"/>
      <c r="BA330" s="4"/>
      <c r="BB330" s="4">
        <v>0</v>
      </c>
      <c r="BC330" s="4" t="s">
        <v>3873</v>
      </c>
      <c r="BD330" s="4"/>
      <c r="BE330" s="4"/>
      <c r="BF330" s="4" t="s">
        <v>3874</v>
      </c>
      <c r="BG330" s="4">
        <v>2480</v>
      </c>
      <c r="BH330" s="4">
        <v>2480</v>
      </c>
      <c r="BI330" s="4">
        <f t="shared" si="57"/>
        <v>2480</v>
      </c>
      <c r="BJ330" s="19">
        <v>4</v>
      </c>
      <c r="BK330" s="19">
        <v>8</v>
      </c>
      <c r="BL330" s="16">
        <v>6</v>
      </c>
      <c r="BM330" s="45" t="s">
        <v>3534</v>
      </c>
      <c r="BN330" t="s">
        <v>3534</v>
      </c>
      <c r="BO330" t="str">
        <f t="shared" si="59"/>
        <v>-</v>
      </c>
      <c r="BP330" t="s">
        <v>3534</v>
      </c>
      <c r="BQ330">
        <v>3743</v>
      </c>
      <c r="BR330">
        <f t="shared" si="60"/>
        <v>3743</v>
      </c>
      <c r="BS330" t="s">
        <v>2792</v>
      </c>
    </row>
    <row r="331" spans="1:71" x14ac:dyDescent="0.4">
      <c r="A331" s="3">
        <v>328</v>
      </c>
      <c r="B331" s="3">
        <v>328</v>
      </c>
      <c r="C331" s="4" t="s">
        <v>390</v>
      </c>
      <c r="D331" s="4" t="str">
        <f t="shared" si="52"/>
        <v>J2256Y</v>
      </c>
      <c r="E331" s="4" t="s">
        <v>390</v>
      </c>
      <c r="F331" s="4" t="s">
        <v>1609</v>
      </c>
      <c r="G331" s="5">
        <v>4521718216607</v>
      </c>
      <c r="H331" s="5"/>
      <c r="I331" s="5"/>
      <c r="J331" s="5">
        <v>1</v>
      </c>
      <c r="K331" s="5">
        <v>1</v>
      </c>
      <c r="L331" s="4">
        <v>4600</v>
      </c>
      <c r="M331" s="4">
        <v>3040</v>
      </c>
      <c r="N331" s="4">
        <v>2068</v>
      </c>
      <c r="O331" s="6">
        <f t="shared" si="53"/>
        <v>0.31973684210526321</v>
      </c>
      <c r="P331" s="4" t="s">
        <v>2500</v>
      </c>
      <c r="Q331" s="4"/>
      <c r="R331" s="4"/>
      <c r="S331" s="4"/>
      <c r="T331" s="4"/>
      <c r="U331" s="4"/>
      <c r="V331" s="4"/>
      <c r="W331" s="4"/>
      <c r="X331" s="4"/>
      <c r="Y331" s="4">
        <v>3182</v>
      </c>
      <c r="Z331" s="4">
        <f t="shared" si="54"/>
        <v>3182</v>
      </c>
      <c r="AA331" s="4">
        <v>2068</v>
      </c>
      <c r="AB331" s="4">
        <f t="shared" si="55"/>
        <v>2068</v>
      </c>
      <c r="AC331" s="4"/>
      <c r="AD331" s="21">
        <f>ROUND(M331*AR331,0)</f>
        <v>3040</v>
      </c>
      <c r="AE331" s="6">
        <f>1-AB331/AD331</f>
        <v>0.31973684210526321</v>
      </c>
      <c r="AF331" s="33">
        <v>0</v>
      </c>
      <c r="AG331" s="4">
        <f t="shared" si="56"/>
        <v>2893</v>
      </c>
      <c r="AH331" s="33">
        <f t="shared" si="58"/>
        <v>2893</v>
      </c>
      <c r="AI331" s="6">
        <f>1-AB331/AH331</f>
        <v>0.28517110266159695</v>
      </c>
      <c r="AJ331" s="7">
        <v>2893</v>
      </c>
      <c r="AK331" s="6">
        <f>1-AB331/AJ331</f>
        <v>0.28517110266159695</v>
      </c>
      <c r="AL331" s="4">
        <f>AJ331-AB331</f>
        <v>825</v>
      </c>
      <c r="AM331" s="28"/>
      <c r="AN331" s="6"/>
      <c r="AO331" s="6"/>
      <c r="AP331" s="6">
        <f>Z331/L331</f>
        <v>0.69173913043478263</v>
      </c>
      <c r="AQ331" s="6">
        <f>AJ331/M331</f>
        <v>0.95164473684210527</v>
      </c>
      <c r="AR331" s="6">
        <f>AB331/N331</f>
        <v>1</v>
      </c>
      <c r="AS331" s="4"/>
      <c r="AT331" s="4"/>
      <c r="AU331" s="4"/>
      <c r="AV331" s="4"/>
      <c r="AW331" s="4"/>
      <c r="AX331" s="4"/>
      <c r="AY331" s="4"/>
      <c r="AZ331" s="4"/>
      <c r="BA331" s="4"/>
      <c r="BB331" s="4">
        <v>0</v>
      </c>
      <c r="BC331" s="4" t="s">
        <v>3875</v>
      </c>
      <c r="BD331" s="4"/>
      <c r="BE331" s="4"/>
      <c r="BF331" s="4" t="s">
        <v>3874</v>
      </c>
      <c r="BG331" s="4">
        <v>2893</v>
      </c>
      <c r="BH331" s="4">
        <v>2893</v>
      </c>
      <c r="BI331" s="4">
        <f t="shared" si="57"/>
        <v>2893</v>
      </c>
      <c r="BJ331" s="19">
        <v>4</v>
      </c>
      <c r="BK331" s="19">
        <v>8</v>
      </c>
      <c r="BL331" s="16">
        <v>6</v>
      </c>
      <c r="BM331" s="45" t="s">
        <v>3534</v>
      </c>
      <c r="BN331" t="s">
        <v>3534</v>
      </c>
      <c r="BO331" t="str">
        <f t="shared" si="59"/>
        <v>-</v>
      </c>
      <c r="BP331" t="s">
        <v>3534</v>
      </c>
      <c r="BQ331">
        <v>4370</v>
      </c>
      <c r="BR331">
        <f t="shared" si="60"/>
        <v>4370</v>
      </c>
      <c r="BS331" t="s">
        <v>2793</v>
      </c>
    </row>
    <row r="332" spans="1:71" x14ac:dyDescent="0.4">
      <c r="A332" s="3">
        <v>329</v>
      </c>
      <c r="B332" s="3">
        <v>329</v>
      </c>
      <c r="C332" s="4" t="s">
        <v>391</v>
      </c>
      <c r="D332" s="4" t="str">
        <f t="shared" si="52"/>
        <v>J2247Y</v>
      </c>
      <c r="E332" s="4" t="s">
        <v>391</v>
      </c>
      <c r="F332" s="4" t="s">
        <v>1610</v>
      </c>
      <c r="G332" s="5">
        <v>4521718755373</v>
      </c>
      <c r="H332" s="5"/>
      <c r="I332" s="5"/>
      <c r="J332" s="5">
        <v>1</v>
      </c>
      <c r="K332" s="5">
        <v>1</v>
      </c>
      <c r="L332" s="4">
        <v>700</v>
      </c>
      <c r="M332" s="4">
        <v>475</v>
      </c>
      <c r="N332" s="4">
        <v>307</v>
      </c>
      <c r="O332" s="6">
        <f t="shared" si="53"/>
        <v>0.35368421052631582</v>
      </c>
      <c r="P332" s="4" t="s">
        <v>2500</v>
      </c>
      <c r="Q332" s="4"/>
      <c r="R332" s="4"/>
      <c r="S332" s="4"/>
      <c r="T332" s="4"/>
      <c r="U332" s="4"/>
      <c r="V332" s="4"/>
      <c r="W332" s="4"/>
      <c r="X332" s="4"/>
      <c r="Y332" s="4">
        <v>473</v>
      </c>
      <c r="Z332" s="4">
        <f t="shared" si="54"/>
        <v>473</v>
      </c>
      <c r="AA332" s="4">
        <v>307</v>
      </c>
      <c r="AB332" s="4">
        <f t="shared" si="55"/>
        <v>307</v>
      </c>
      <c r="AC332" s="4"/>
      <c r="AD332" s="21">
        <f>ROUND(M332*AR332,0)</f>
        <v>475</v>
      </c>
      <c r="AE332" s="6">
        <f>1-AB332/AD332</f>
        <v>0.35368421052631582</v>
      </c>
      <c r="AF332" s="33">
        <v>0.5</v>
      </c>
      <c r="AG332" s="4">
        <f t="shared" si="56"/>
        <v>700</v>
      </c>
      <c r="AH332" s="33">
        <f t="shared" si="58"/>
        <v>700</v>
      </c>
      <c r="AI332" s="6">
        <f>1-AB332/AH332</f>
        <v>0.56142857142857139</v>
      </c>
      <c r="AJ332" s="7">
        <f>ROUND(AB332/0.65,0)</f>
        <v>472</v>
      </c>
      <c r="AK332" s="6">
        <f>1-AB332/AJ332</f>
        <v>0.34957627118644063</v>
      </c>
      <c r="AL332" s="4">
        <f>AJ332-AB332</f>
        <v>165</v>
      </c>
      <c r="AM332" s="28"/>
      <c r="AN332" s="6"/>
      <c r="AO332" s="6"/>
      <c r="AP332" s="6">
        <f>Z332/L332</f>
        <v>0.67571428571428571</v>
      </c>
      <c r="AQ332" s="6">
        <f>AJ332/M332</f>
        <v>0.99368421052631584</v>
      </c>
      <c r="AR332" s="6">
        <f>AB332/N332</f>
        <v>1</v>
      </c>
      <c r="AS332" s="4"/>
      <c r="AT332" s="4"/>
      <c r="AU332" s="4"/>
      <c r="AV332" s="4"/>
      <c r="AW332" s="4"/>
      <c r="AX332" s="4"/>
      <c r="AY332" s="4"/>
      <c r="AZ332" s="4"/>
      <c r="BA332" s="4"/>
      <c r="BB332" s="4">
        <v>0</v>
      </c>
      <c r="BC332" s="4" t="s">
        <v>3876</v>
      </c>
      <c r="BD332" s="4">
        <v>1</v>
      </c>
      <c r="BE332" s="4">
        <v>3</v>
      </c>
      <c r="BF332" s="4" t="s">
        <v>3877</v>
      </c>
      <c r="BG332" s="4">
        <v>2100</v>
      </c>
      <c r="BH332" s="4">
        <v>2100</v>
      </c>
      <c r="BI332" s="4">
        <f t="shared" si="57"/>
        <v>700</v>
      </c>
      <c r="BJ332" s="19">
        <v>4</v>
      </c>
      <c r="BK332" s="19">
        <v>8</v>
      </c>
      <c r="BL332" s="16">
        <v>6</v>
      </c>
      <c r="BM332" s="45" t="s">
        <v>3534</v>
      </c>
      <c r="BN332" t="s">
        <v>3534</v>
      </c>
      <c r="BO332" t="str">
        <f t="shared" si="59"/>
        <v>-</v>
      </c>
      <c r="BP332" t="s">
        <v>3534</v>
      </c>
      <c r="BQ332">
        <v>665</v>
      </c>
      <c r="BR332">
        <f t="shared" si="60"/>
        <v>665</v>
      </c>
      <c r="BS332" t="s">
        <v>2794</v>
      </c>
    </row>
    <row r="333" spans="1:71" x14ac:dyDescent="0.4">
      <c r="A333" s="3">
        <v>330</v>
      </c>
      <c r="B333" s="3">
        <v>330</v>
      </c>
      <c r="C333" s="4" t="s">
        <v>392</v>
      </c>
      <c r="D333" s="4" t="str">
        <f t="shared" si="52"/>
        <v>J2248Y</v>
      </c>
      <c r="E333" s="4" t="s">
        <v>392</v>
      </c>
      <c r="F333" s="4" t="s">
        <v>1611</v>
      </c>
      <c r="G333" s="5">
        <v>4521718755502</v>
      </c>
      <c r="H333" s="5"/>
      <c r="I333" s="5"/>
      <c r="J333" s="5">
        <v>1</v>
      </c>
      <c r="K333" s="5">
        <v>1</v>
      </c>
      <c r="L333" s="4">
        <v>1600</v>
      </c>
      <c r="M333" s="4">
        <v>1140</v>
      </c>
      <c r="N333" s="4">
        <v>757</v>
      </c>
      <c r="O333" s="6">
        <f t="shared" si="53"/>
        <v>0.3359649122807018</v>
      </c>
      <c r="P333" s="4" t="s">
        <v>2500</v>
      </c>
      <c r="Q333" s="4"/>
      <c r="R333" s="4"/>
      <c r="S333" s="4"/>
      <c r="T333" s="4"/>
      <c r="U333" s="4"/>
      <c r="V333" s="4"/>
      <c r="W333" s="4"/>
      <c r="X333" s="4"/>
      <c r="Y333" s="4">
        <v>1082</v>
      </c>
      <c r="Z333" s="4">
        <f t="shared" si="54"/>
        <v>1082</v>
      </c>
      <c r="AA333" s="4">
        <v>757</v>
      </c>
      <c r="AB333" s="4">
        <f t="shared" si="55"/>
        <v>757</v>
      </c>
      <c r="AC333" s="4"/>
      <c r="AD333" s="21">
        <f>ROUND(M333*AR333,0)</f>
        <v>1140</v>
      </c>
      <c r="AE333" s="6">
        <f>1-AB333/AD333</f>
        <v>0.3359649122807018</v>
      </c>
      <c r="AF333" s="33">
        <v>0</v>
      </c>
      <c r="AG333" s="4">
        <f t="shared" si="56"/>
        <v>1600</v>
      </c>
      <c r="AH333" s="33">
        <f t="shared" si="58"/>
        <v>1600</v>
      </c>
      <c r="AI333" s="6">
        <f>1-AB333/AH333</f>
        <v>0.52687499999999998</v>
      </c>
      <c r="AJ333" s="7">
        <v>1082</v>
      </c>
      <c r="AK333" s="6">
        <f>1-AB333/AJ333</f>
        <v>0.30036968576709799</v>
      </c>
      <c r="AL333" s="4">
        <f>AJ333-AB333</f>
        <v>325</v>
      </c>
      <c r="AM333" s="28"/>
      <c r="AN333" s="6"/>
      <c r="AO333" s="6"/>
      <c r="AP333" s="6">
        <f>Z333/L333</f>
        <v>0.67625000000000002</v>
      </c>
      <c r="AQ333" s="6">
        <f>AJ333/M333</f>
        <v>0.94912280701754381</v>
      </c>
      <c r="AR333" s="6">
        <f>AB333/N333</f>
        <v>1</v>
      </c>
      <c r="AS333" s="4"/>
      <c r="AT333" s="4"/>
      <c r="AU333" s="4"/>
      <c r="AV333" s="4"/>
      <c r="AW333" s="4"/>
      <c r="AX333" s="4"/>
      <c r="AY333" s="4"/>
      <c r="AZ333" s="4"/>
      <c r="BA333" s="4"/>
      <c r="BB333" s="4">
        <v>0</v>
      </c>
      <c r="BC333" s="4" t="s">
        <v>3878</v>
      </c>
      <c r="BD333" s="4"/>
      <c r="BE333" s="4"/>
      <c r="BF333" s="4" t="s">
        <v>3545</v>
      </c>
      <c r="BG333" s="4">
        <v>1600</v>
      </c>
      <c r="BH333" s="4">
        <v>1600</v>
      </c>
      <c r="BI333" s="4">
        <f t="shared" si="57"/>
        <v>1600</v>
      </c>
      <c r="BJ333" s="19">
        <v>4</v>
      </c>
      <c r="BK333" s="19">
        <v>8</v>
      </c>
      <c r="BL333" s="16">
        <v>6</v>
      </c>
      <c r="BM333" s="45" t="s">
        <v>3534</v>
      </c>
      <c r="BN333" t="s">
        <v>3534</v>
      </c>
      <c r="BO333" t="str">
        <f t="shared" si="59"/>
        <v>-</v>
      </c>
      <c r="BP333" t="s">
        <v>3534</v>
      </c>
      <c r="BQ333">
        <v>1520</v>
      </c>
      <c r="BR333">
        <f t="shared" si="60"/>
        <v>1520</v>
      </c>
      <c r="BS333" t="s">
        <v>2795</v>
      </c>
    </row>
    <row r="334" spans="1:71" x14ac:dyDescent="0.4">
      <c r="A334" s="3">
        <v>331</v>
      </c>
      <c r="B334" s="3">
        <v>331</v>
      </c>
      <c r="C334" s="4" t="s">
        <v>393</v>
      </c>
      <c r="D334" s="4" t="str">
        <f t="shared" si="52"/>
        <v>J2257Y</v>
      </c>
      <c r="E334" s="4" t="s">
        <v>393</v>
      </c>
      <c r="F334" s="4" t="s">
        <v>1612</v>
      </c>
      <c r="G334" s="5">
        <v>4521718216492</v>
      </c>
      <c r="H334" s="5"/>
      <c r="I334" s="5"/>
      <c r="J334" s="5">
        <v>1</v>
      </c>
      <c r="K334" s="5">
        <v>1</v>
      </c>
      <c r="L334" s="4">
        <v>3940</v>
      </c>
      <c r="M334" s="4">
        <v>2660</v>
      </c>
      <c r="N334" s="4">
        <v>1773</v>
      </c>
      <c r="O334" s="6">
        <f t="shared" si="53"/>
        <v>0.33345864661654134</v>
      </c>
      <c r="P334" s="4" t="s">
        <v>2500</v>
      </c>
      <c r="Q334" s="4"/>
      <c r="R334" s="4"/>
      <c r="S334" s="4"/>
      <c r="T334" s="4"/>
      <c r="U334" s="4"/>
      <c r="V334" s="4"/>
      <c r="W334" s="4"/>
      <c r="X334" s="4"/>
      <c r="Y334" s="4">
        <v>2728</v>
      </c>
      <c r="Z334" s="4">
        <f t="shared" si="54"/>
        <v>2728</v>
      </c>
      <c r="AA334" s="4">
        <v>1773</v>
      </c>
      <c r="AB334" s="4">
        <f t="shared" si="55"/>
        <v>1773</v>
      </c>
      <c r="AC334" s="4"/>
      <c r="AD334" s="21">
        <f>ROUND(M334*AR334,0)</f>
        <v>2660</v>
      </c>
      <c r="AE334" s="6">
        <f>1-AB334/AD334</f>
        <v>0.33345864661654134</v>
      </c>
      <c r="AF334" s="33">
        <v>0.25</v>
      </c>
      <c r="AG334" s="4">
        <f t="shared" si="56"/>
        <v>2480</v>
      </c>
      <c r="AH334" s="33">
        <f t="shared" si="58"/>
        <v>2480</v>
      </c>
      <c r="AI334" s="6">
        <f>1-AB334/AH334</f>
        <v>0.28508064516129028</v>
      </c>
      <c r="AJ334" s="7">
        <v>2480</v>
      </c>
      <c r="AK334" s="6">
        <f>1-AB334/AJ334</f>
        <v>0.28508064516129028</v>
      </c>
      <c r="AL334" s="4">
        <f>AJ334-AB334</f>
        <v>707</v>
      </c>
      <c r="AM334" s="28"/>
      <c r="AN334" s="6"/>
      <c r="AO334" s="6"/>
      <c r="AP334" s="6">
        <f>Z334/L334</f>
        <v>0.69238578680203045</v>
      </c>
      <c r="AQ334" s="6">
        <f>AJ334/M334</f>
        <v>0.93233082706766912</v>
      </c>
      <c r="AR334" s="6">
        <f>AB334/N334</f>
        <v>1</v>
      </c>
      <c r="AS334" s="4"/>
      <c r="AT334" s="4"/>
      <c r="AU334" s="4"/>
      <c r="AV334" s="4"/>
      <c r="AW334" s="4"/>
      <c r="AX334" s="4"/>
      <c r="AY334" s="4"/>
      <c r="AZ334" s="4"/>
      <c r="BA334" s="4"/>
      <c r="BB334" s="4">
        <v>0</v>
      </c>
      <c r="BC334" s="4" t="s">
        <v>3879</v>
      </c>
      <c r="BD334" s="4"/>
      <c r="BE334" s="4"/>
      <c r="BF334" s="4" t="s">
        <v>3874</v>
      </c>
      <c r="BG334" s="4">
        <v>2480</v>
      </c>
      <c r="BH334" s="4">
        <v>2480</v>
      </c>
      <c r="BI334" s="4">
        <f t="shared" si="57"/>
        <v>2480</v>
      </c>
      <c r="BJ334" s="19">
        <v>4</v>
      </c>
      <c r="BK334" s="19">
        <v>8</v>
      </c>
      <c r="BL334" s="16">
        <v>6</v>
      </c>
      <c r="BM334" s="45" t="s">
        <v>3534</v>
      </c>
      <c r="BN334" t="s">
        <v>3534</v>
      </c>
      <c r="BO334" t="str">
        <f t="shared" si="59"/>
        <v>-</v>
      </c>
      <c r="BP334" t="s">
        <v>3534</v>
      </c>
      <c r="BQ334">
        <v>3743</v>
      </c>
      <c r="BR334">
        <f t="shared" si="60"/>
        <v>3743</v>
      </c>
      <c r="BS334" t="s">
        <v>2796</v>
      </c>
    </row>
    <row r="335" spans="1:71" x14ac:dyDescent="0.4">
      <c r="A335" s="3">
        <v>332</v>
      </c>
      <c r="B335" s="3">
        <v>332</v>
      </c>
      <c r="C335" s="4" t="s">
        <v>394</v>
      </c>
      <c r="D335" s="4" t="str">
        <f t="shared" si="52"/>
        <v>J2258Y</v>
      </c>
      <c r="E335" s="4" t="s">
        <v>394</v>
      </c>
      <c r="F335" s="4" t="s">
        <v>1613</v>
      </c>
      <c r="G335" s="5">
        <v>4521718216393</v>
      </c>
      <c r="H335" s="5"/>
      <c r="I335" s="5"/>
      <c r="J335" s="5">
        <v>1</v>
      </c>
      <c r="K335" s="5">
        <v>1</v>
      </c>
      <c r="L335" s="4">
        <v>3940</v>
      </c>
      <c r="M335" s="4">
        <v>2611</v>
      </c>
      <c r="N335" s="4">
        <v>1773</v>
      </c>
      <c r="O335" s="6">
        <f t="shared" si="53"/>
        <v>0.32094982765224056</v>
      </c>
      <c r="P335" s="4" t="s">
        <v>2500</v>
      </c>
      <c r="Q335" s="4"/>
      <c r="R335" s="4"/>
      <c r="S335" s="4"/>
      <c r="T335" s="4"/>
      <c r="U335" s="4"/>
      <c r="V335" s="4"/>
      <c r="W335" s="4"/>
      <c r="X335" s="4"/>
      <c r="Y335" s="4">
        <v>2728</v>
      </c>
      <c r="Z335" s="4">
        <f t="shared" si="54"/>
        <v>2728</v>
      </c>
      <c r="AA335" s="4">
        <v>1773</v>
      </c>
      <c r="AB335" s="4">
        <f t="shared" si="55"/>
        <v>1773</v>
      </c>
      <c r="AC335" s="4"/>
      <c r="AD335" s="21">
        <f>ROUND(M335*AR335,0)</f>
        <v>2611</v>
      </c>
      <c r="AE335" s="6">
        <f>1-AB335/AD335</f>
        <v>0.32094982765224056</v>
      </c>
      <c r="AF335" s="33">
        <v>0.25</v>
      </c>
      <c r="AG335" s="4">
        <f t="shared" si="56"/>
        <v>2480</v>
      </c>
      <c r="AH335" s="33">
        <f t="shared" si="58"/>
        <v>2480</v>
      </c>
      <c r="AI335" s="6">
        <f>1-AB335/AH335</f>
        <v>0.28508064516129028</v>
      </c>
      <c r="AJ335" s="7">
        <v>2480</v>
      </c>
      <c r="AK335" s="6">
        <f>1-AB335/AJ335</f>
        <v>0.28508064516129028</v>
      </c>
      <c r="AL335" s="4">
        <f>AJ335-AB335</f>
        <v>707</v>
      </c>
      <c r="AM335" s="28"/>
      <c r="AN335" s="6"/>
      <c r="AO335" s="6"/>
      <c r="AP335" s="6">
        <f>Z335/L335</f>
        <v>0.69238578680203045</v>
      </c>
      <c r="AQ335" s="6">
        <f>AJ335/M335</f>
        <v>0.9498276522405209</v>
      </c>
      <c r="AR335" s="6">
        <f>AB335/N335</f>
        <v>1</v>
      </c>
      <c r="AS335" s="4"/>
      <c r="AT335" s="4"/>
      <c r="AU335" s="4"/>
      <c r="AV335" s="4"/>
      <c r="AW335" s="4"/>
      <c r="AX335" s="4"/>
      <c r="AY335" s="4"/>
      <c r="AZ335" s="4"/>
      <c r="BA335" s="4"/>
      <c r="BB335" s="4">
        <v>0</v>
      </c>
      <c r="BC335" s="4" t="s">
        <v>3880</v>
      </c>
      <c r="BD335" s="4"/>
      <c r="BE335" s="4"/>
      <c r="BF335" s="4" t="s">
        <v>3874</v>
      </c>
      <c r="BG335" s="4">
        <v>2480</v>
      </c>
      <c r="BH335" s="4">
        <v>2480</v>
      </c>
      <c r="BI335" s="4">
        <f t="shared" si="57"/>
        <v>2480</v>
      </c>
      <c r="BJ335" s="19">
        <v>4</v>
      </c>
      <c r="BK335" s="19">
        <v>8</v>
      </c>
      <c r="BL335" s="16">
        <v>6</v>
      </c>
      <c r="BM335" s="45" t="s">
        <v>3534</v>
      </c>
      <c r="BN335" t="s">
        <v>3534</v>
      </c>
      <c r="BO335" t="str">
        <f t="shared" si="59"/>
        <v>-</v>
      </c>
      <c r="BP335" t="s">
        <v>3534</v>
      </c>
      <c r="BQ335">
        <v>3743</v>
      </c>
      <c r="BR335">
        <f t="shared" si="60"/>
        <v>3743</v>
      </c>
      <c r="BS335" t="s">
        <v>2797</v>
      </c>
    </row>
    <row r="336" spans="1:71" x14ac:dyDescent="0.4">
      <c r="A336" s="3">
        <v>333</v>
      </c>
      <c r="B336" s="3">
        <v>333</v>
      </c>
      <c r="C336" s="4" t="s">
        <v>395</v>
      </c>
      <c r="D336" s="4" t="str">
        <f t="shared" si="52"/>
        <v>J225RR</v>
      </c>
      <c r="E336" s="4" t="s">
        <v>395</v>
      </c>
      <c r="F336" s="4" t="s">
        <v>1614</v>
      </c>
      <c r="G336" s="5">
        <v>4521718031491</v>
      </c>
      <c r="H336" s="5"/>
      <c r="I336" s="5"/>
      <c r="J336" s="5">
        <v>1</v>
      </c>
      <c r="K336" s="5">
        <v>1</v>
      </c>
      <c r="L336" s="4">
        <v>640</v>
      </c>
      <c r="M336" s="4">
        <v>412</v>
      </c>
      <c r="N336" s="4">
        <v>284</v>
      </c>
      <c r="O336" s="6">
        <f t="shared" si="53"/>
        <v>0.31067961165048541</v>
      </c>
      <c r="P336" s="4" t="s">
        <v>2500</v>
      </c>
      <c r="Q336" s="4"/>
      <c r="R336" s="4"/>
      <c r="S336" s="4"/>
      <c r="T336" s="4"/>
      <c r="U336" s="4"/>
      <c r="V336" s="4"/>
      <c r="W336" s="4"/>
      <c r="X336" s="4"/>
      <c r="Y336" s="4">
        <v>640</v>
      </c>
      <c r="Z336" s="4">
        <f t="shared" si="54"/>
        <v>640</v>
      </c>
      <c r="AA336" s="4">
        <v>288</v>
      </c>
      <c r="AB336" s="4">
        <f t="shared" si="55"/>
        <v>288</v>
      </c>
      <c r="AC336" s="4"/>
      <c r="AD336" s="21">
        <f>ROUND(M336*AR336,0)</f>
        <v>418</v>
      </c>
      <c r="AE336" s="6">
        <f>1-AB336/AD336</f>
        <v>0.31100478468899517</v>
      </c>
      <c r="AF336" s="33">
        <v>0.25</v>
      </c>
      <c r="AG336" s="4">
        <f t="shared" si="56"/>
        <v>546</v>
      </c>
      <c r="AH336" s="33">
        <f t="shared" si="58"/>
        <v>553.69014084507046</v>
      </c>
      <c r="AI336" s="6">
        <f>1-AB336/AH336</f>
        <v>0.47985347985347993</v>
      </c>
      <c r="AJ336" s="7">
        <f>ROUND(AB336/0.65,0)</f>
        <v>443</v>
      </c>
      <c r="AK336" s="6">
        <f>1-AB336/AJ336</f>
        <v>0.34988713318284426</v>
      </c>
      <c r="AL336" s="4">
        <f>AJ336-AB336</f>
        <v>155</v>
      </c>
      <c r="AM336" s="28"/>
      <c r="AN336" s="6"/>
      <c r="AO336" s="6"/>
      <c r="AP336" s="6">
        <f>Z336/L336</f>
        <v>1</v>
      </c>
      <c r="AQ336" s="6">
        <f>AJ336/M336</f>
        <v>1.075242718446602</v>
      </c>
      <c r="AR336" s="6">
        <f>AB336/N336</f>
        <v>1.0140845070422535</v>
      </c>
      <c r="AS336" s="4"/>
      <c r="AT336" s="4"/>
      <c r="AU336" s="4"/>
      <c r="AV336" s="4"/>
      <c r="AW336" s="4"/>
      <c r="AX336" s="4"/>
      <c r="AY336" s="4"/>
      <c r="AZ336" s="4"/>
      <c r="BA336" s="4"/>
      <c r="BB336" s="4">
        <v>0</v>
      </c>
      <c r="BC336" s="4" t="s">
        <v>3881</v>
      </c>
      <c r="BD336" s="4"/>
      <c r="BE336" s="4"/>
      <c r="BF336" s="4" t="s">
        <v>3545</v>
      </c>
      <c r="BG336" s="4">
        <v>546</v>
      </c>
      <c r="BH336" s="4">
        <v>546</v>
      </c>
      <c r="BI336" s="4">
        <f t="shared" si="57"/>
        <v>546</v>
      </c>
      <c r="BJ336" s="19">
        <v>4</v>
      </c>
      <c r="BK336" s="19">
        <v>8</v>
      </c>
      <c r="BL336" s="16">
        <v>6</v>
      </c>
      <c r="BM336" s="45">
        <v>453</v>
      </c>
      <c r="BN336">
        <v>453</v>
      </c>
      <c r="BO336">
        <f t="shared" si="59"/>
        <v>459.38028169014086</v>
      </c>
      <c r="BP336" t="s">
        <v>3534</v>
      </c>
      <c r="BQ336">
        <v>437</v>
      </c>
      <c r="BR336">
        <f t="shared" si="60"/>
        <v>443.15492957746477</v>
      </c>
      <c r="BS336" t="s">
        <v>2798</v>
      </c>
    </row>
    <row r="337" spans="1:71" x14ac:dyDescent="0.4">
      <c r="A337" s="3">
        <v>334</v>
      </c>
      <c r="B337" s="3">
        <v>334</v>
      </c>
      <c r="C337" s="4" t="s">
        <v>396</v>
      </c>
      <c r="D337" s="4" t="str">
        <f t="shared" si="52"/>
        <v>J2260Y</v>
      </c>
      <c r="E337" s="4" t="s">
        <v>396</v>
      </c>
      <c r="F337" s="4" t="s">
        <v>1615</v>
      </c>
      <c r="G337" s="5">
        <v>4521718755533</v>
      </c>
      <c r="H337" s="5"/>
      <c r="I337" s="5"/>
      <c r="J337" s="5">
        <v>1</v>
      </c>
      <c r="K337" s="5">
        <v>1</v>
      </c>
      <c r="L337" s="4">
        <v>7050</v>
      </c>
      <c r="M337" s="4">
        <v>4668</v>
      </c>
      <c r="N337" s="4">
        <v>3170</v>
      </c>
      <c r="O337" s="6">
        <f t="shared" si="53"/>
        <v>0.32090831191088265</v>
      </c>
      <c r="P337" s="4" t="s">
        <v>2500</v>
      </c>
      <c r="Q337" s="4"/>
      <c r="R337" s="4"/>
      <c r="S337" s="4"/>
      <c r="T337" s="4"/>
      <c r="U337" s="4"/>
      <c r="V337" s="4"/>
      <c r="W337" s="4"/>
      <c r="X337" s="4"/>
      <c r="Y337" s="4">
        <v>4528</v>
      </c>
      <c r="Z337" s="4">
        <f t="shared" si="54"/>
        <v>4528</v>
      </c>
      <c r="AA337" s="4">
        <v>3170</v>
      </c>
      <c r="AB337" s="4">
        <f t="shared" si="55"/>
        <v>3170</v>
      </c>
      <c r="AC337" s="4"/>
      <c r="AD337" s="21">
        <f>ROUND(M337*AR337,0)</f>
        <v>4668</v>
      </c>
      <c r="AE337" s="6">
        <f>1-AB337/AD337</f>
        <v>0.32090831191088265</v>
      </c>
      <c r="AF337" s="33">
        <v>0</v>
      </c>
      <c r="AG337" s="4">
        <f t="shared" si="56"/>
        <v>7050</v>
      </c>
      <c r="AH337" s="33">
        <f t="shared" si="58"/>
        <v>7050</v>
      </c>
      <c r="AI337" s="6">
        <f>1-AB337/AH337</f>
        <v>0.55035460992907803</v>
      </c>
      <c r="AJ337" s="7">
        <v>4528</v>
      </c>
      <c r="AK337" s="6">
        <f>1-AB337/AJ337</f>
        <v>0.29991166077738518</v>
      </c>
      <c r="AL337" s="4">
        <f>AJ337-AB337</f>
        <v>1358</v>
      </c>
      <c r="AM337" s="28"/>
      <c r="AN337" s="6"/>
      <c r="AO337" s="6"/>
      <c r="AP337" s="6">
        <f>Z337/L337</f>
        <v>0.64226950354609924</v>
      </c>
      <c r="AQ337" s="6">
        <f>AJ337/M337</f>
        <v>0.97000856898029131</v>
      </c>
      <c r="AR337" s="6">
        <f>AB337/N337</f>
        <v>1</v>
      </c>
      <c r="AS337" s="4"/>
      <c r="AT337" s="4"/>
      <c r="AU337" s="4"/>
      <c r="AV337" s="4"/>
      <c r="AW337" s="4"/>
      <c r="AX337" s="4"/>
      <c r="AY337" s="4"/>
      <c r="AZ337" s="4"/>
      <c r="BA337" s="4"/>
      <c r="BB337" s="4">
        <v>0</v>
      </c>
      <c r="BC337" s="4" t="s">
        <v>3882</v>
      </c>
      <c r="BD337" s="4"/>
      <c r="BE337" s="4"/>
      <c r="BF337" s="4" t="s">
        <v>3545</v>
      </c>
      <c r="BG337" s="4">
        <v>7050</v>
      </c>
      <c r="BH337" s="4">
        <v>7050</v>
      </c>
      <c r="BI337" s="4">
        <f t="shared" si="57"/>
        <v>7050</v>
      </c>
      <c r="BJ337" s="19">
        <v>4</v>
      </c>
      <c r="BK337" s="19">
        <v>8</v>
      </c>
      <c r="BL337" s="16">
        <v>6</v>
      </c>
      <c r="BM337" s="45" t="s">
        <v>3534</v>
      </c>
      <c r="BN337" t="s">
        <v>3534</v>
      </c>
      <c r="BO337" t="str">
        <f t="shared" si="59"/>
        <v>-</v>
      </c>
      <c r="BP337" t="s">
        <v>3534</v>
      </c>
      <c r="BQ337">
        <v>6698</v>
      </c>
      <c r="BR337">
        <f t="shared" si="60"/>
        <v>6698</v>
      </c>
      <c r="BS337" t="s">
        <v>2799</v>
      </c>
    </row>
    <row r="338" spans="1:71" x14ac:dyDescent="0.4">
      <c r="A338" s="3">
        <v>335</v>
      </c>
      <c r="B338" s="3">
        <v>335</v>
      </c>
      <c r="C338" s="4" t="s">
        <v>397</v>
      </c>
      <c r="D338" s="4" t="str">
        <f t="shared" si="52"/>
        <v>J233WL</v>
      </c>
      <c r="E338" s="4" t="s">
        <v>397</v>
      </c>
      <c r="F338" s="4" t="s">
        <v>1616</v>
      </c>
      <c r="G338" s="5">
        <v>4521718586762</v>
      </c>
      <c r="H338" s="5"/>
      <c r="I338" s="5"/>
      <c r="J338" s="5">
        <v>1</v>
      </c>
      <c r="K338" s="5">
        <v>1</v>
      </c>
      <c r="L338" s="4">
        <v>240</v>
      </c>
      <c r="M338" s="4">
        <v>119</v>
      </c>
      <c r="N338" s="4">
        <v>83</v>
      </c>
      <c r="O338" s="6">
        <f t="shared" si="53"/>
        <v>0.30252100840336138</v>
      </c>
      <c r="P338" s="4" t="s">
        <v>2500</v>
      </c>
      <c r="Q338" s="4"/>
      <c r="R338" s="4"/>
      <c r="S338" s="4"/>
      <c r="T338" s="4"/>
      <c r="U338" s="4"/>
      <c r="V338" s="4"/>
      <c r="W338" s="4"/>
      <c r="X338" s="4"/>
      <c r="Y338" s="4">
        <v>240</v>
      </c>
      <c r="Z338" s="4">
        <f t="shared" si="54"/>
        <v>240</v>
      </c>
      <c r="AA338" s="4">
        <v>83</v>
      </c>
      <c r="AB338" s="4">
        <f t="shared" si="55"/>
        <v>83</v>
      </c>
      <c r="AC338" s="4"/>
      <c r="AD338" s="21">
        <f>ROUND(M338*AR338,0)</f>
        <v>119</v>
      </c>
      <c r="AE338" s="6">
        <f>1-AB338/AD338</f>
        <v>0.30252100840336138</v>
      </c>
      <c r="AF338" s="33">
        <v>0</v>
      </c>
      <c r="AG338" s="4" t="str">
        <f t="shared" si="56"/>
        <v>-</v>
      </c>
      <c r="AH338" s="33" t="e">
        <f t="shared" si="58"/>
        <v>#VALUE!</v>
      </c>
      <c r="AI338" s="6" t="e">
        <f>1-AB338/AH338</f>
        <v>#VALUE!</v>
      </c>
      <c r="AJ338" s="7">
        <f>ROUND(AB338/0.65,0)</f>
        <v>128</v>
      </c>
      <c r="AK338" s="6">
        <f>1-AB338/AJ338</f>
        <v>0.3515625</v>
      </c>
      <c r="AL338" s="4">
        <f>AJ338-AB338</f>
        <v>45</v>
      </c>
      <c r="AM338" s="28"/>
      <c r="AN338" s="6"/>
      <c r="AO338" s="6"/>
      <c r="AP338" s="6">
        <f>Z338/L338</f>
        <v>1</v>
      </c>
      <c r="AQ338" s="6">
        <f>AJ338/M338</f>
        <v>1.0756302521008403</v>
      </c>
      <c r="AR338" s="6">
        <f>AB338/N338</f>
        <v>1</v>
      </c>
      <c r="AS338" s="4"/>
      <c r="AT338" s="4"/>
      <c r="AU338" s="4"/>
      <c r="AV338" s="4"/>
      <c r="AW338" s="4"/>
      <c r="AX338" s="4"/>
      <c r="AY338" s="4"/>
      <c r="AZ338" s="4"/>
      <c r="BA338" s="4"/>
      <c r="BB338" s="4">
        <v>0</v>
      </c>
      <c r="BC338" s="4" t="s">
        <v>3534</v>
      </c>
      <c r="BD338" s="4"/>
      <c r="BE338" s="4"/>
      <c r="BF338" s="4" t="s">
        <v>3534</v>
      </c>
      <c r="BG338" s="4" t="s">
        <v>3534</v>
      </c>
      <c r="BH338" s="4" t="s">
        <v>3534</v>
      </c>
      <c r="BI338" s="4" t="str">
        <f t="shared" si="57"/>
        <v>-</v>
      </c>
      <c r="BJ338" s="19">
        <v>4</v>
      </c>
      <c r="BK338" s="19">
        <v>8</v>
      </c>
      <c r="BL338" s="16">
        <v>6</v>
      </c>
      <c r="BM338" s="45" t="s">
        <v>3534</v>
      </c>
      <c r="BN338" t="s">
        <v>3534</v>
      </c>
      <c r="BO338" t="str">
        <f t="shared" si="59"/>
        <v>-</v>
      </c>
      <c r="BP338" t="s">
        <v>3534</v>
      </c>
      <c r="BQ338" t="s">
        <v>3534</v>
      </c>
      <c r="BR338" t="str">
        <f t="shared" si="60"/>
        <v>-</v>
      </c>
      <c r="BS338" t="s">
        <v>3534</v>
      </c>
    </row>
    <row r="339" spans="1:71" x14ac:dyDescent="0.4">
      <c r="A339" s="3">
        <v>336</v>
      </c>
      <c r="B339" s="3">
        <v>336</v>
      </c>
      <c r="C339" s="4" t="s">
        <v>398</v>
      </c>
      <c r="D339" s="4" t="str">
        <f t="shared" si="52"/>
        <v>J234WH</v>
      </c>
      <c r="E339" s="4" t="s">
        <v>398</v>
      </c>
      <c r="F339" s="4" t="s">
        <v>1617</v>
      </c>
      <c r="G339" s="5">
        <v>4521718352039</v>
      </c>
      <c r="H339" s="5"/>
      <c r="I339" s="5"/>
      <c r="J339" s="5">
        <v>1</v>
      </c>
      <c r="K339" s="5">
        <v>1</v>
      </c>
      <c r="L339" s="4">
        <v>819</v>
      </c>
      <c r="M339" s="4">
        <v>819</v>
      </c>
      <c r="N339" s="4">
        <v>532</v>
      </c>
      <c r="O339" s="6">
        <f t="shared" si="53"/>
        <v>0.3504273504273504</v>
      </c>
      <c r="P339" s="4" t="s">
        <v>2500</v>
      </c>
      <c r="Q339" s="4"/>
      <c r="R339" s="4"/>
      <c r="S339" s="4"/>
      <c r="T339" s="4"/>
      <c r="U339" s="4"/>
      <c r="V339" s="4"/>
      <c r="W339" s="4"/>
      <c r="X339" s="4"/>
      <c r="Y339" s="4">
        <v>819</v>
      </c>
      <c r="Z339" s="4">
        <f t="shared" si="54"/>
        <v>819</v>
      </c>
      <c r="AA339" s="4">
        <v>532</v>
      </c>
      <c r="AB339" s="4">
        <f t="shared" si="55"/>
        <v>532</v>
      </c>
      <c r="AC339" s="4"/>
      <c r="AD339" s="21">
        <f>ROUND(M339*AR339,0)</f>
        <v>819</v>
      </c>
      <c r="AE339" s="6">
        <f>1-AB339/AD339</f>
        <v>0.3504273504273504</v>
      </c>
      <c r="AF339" s="33">
        <v>0.75</v>
      </c>
      <c r="AG339" s="4" t="str">
        <f t="shared" si="56"/>
        <v>-</v>
      </c>
      <c r="AH339" s="33" t="e">
        <f t="shared" si="58"/>
        <v>#VALUE!</v>
      </c>
      <c r="AI339" s="6" t="e">
        <f>1-AB339/AH339</f>
        <v>#VALUE!</v>
      </c>
      <c r="AJ339" s="7">
        <f>ROUND(AB339/0.65,0)</f>
        <v>818</v>
      </c>
      <c r="AK339" s="6">
        <f>1-AB339/AJ339</f>
        <v>0.34963325183374083</v>
      </c>
      <c r="AL339" s="4">
        <f>AJ339-AB339</f>
        <v>286</v>
      </c>
      <c r="AM339" s="28"/>
      <c r="AN339" s="6"/>
      <c r="AO339" s="6"/>
      <c r="AP339" s="6">
        <f>Z339/L339</f>
        <v>1</v>
      </c>
      <c r="AQ339" s="6">
        <f>AJ339/M339</f>
        <v>0.99877899877899878</v>
      </c>
      <c r="AR339" s="6">
        <f>AB339/N339</f>
        <v>1</v>
      </c>
      <c r="AS339" s="4"/>
      <c r="AT339" s="4"/>
      <c r="AU339" s="4"/>
      <c r="AV339" s="4"/>
      <c r="AW339" s="4"/>
      <c r="AX339" s="4"/>
      <c r="AY339" s="4"/>
      <c r="AZ339" s="4"/>
      <c r="BA339" s="4"/>
      <c r="BB339" s="4">
        <v>0</v>
      </c>
      <c r="BC339" s="4" t="s">
        <v>3534</v>
      </c>
      <c r="BD339" s="4"/>
      <c r="BE339" s="4"/>
      <c r="BF339" s="4" t="s">
        <v>3534</v>
      </c>
      <c r="BG339" s="4" t="s">
        <v>3534</v>
      </c>
      <c r="BH339" s="4" t="s">
        <v>3534</v>
      </c>
      <c r="BI339" s="4" t="str">
        <f t="shared" si="57"/>
        <v>-</v>
      </c>
      <c r="BJ339" s="19">
        <v>4</v>
      </c>
      <c r="BK339" s="19">
        <v>8</v>
      </c>
      <c r="BL339" s="16">
        <v>19</v>
      </c>
      <c r="BM339" s="45" t="s">
        <v>3534</v>
      </c>
      <c r="BN339" t="s">
        <v>3534</v>
      </c>
      <c r="BO339" t="str">
        <f t="shared" si="59"/>
        <v>-</v>
      </c>
      <c r="BP339" t="s">
        <v>3534</v>
      </c>
      <c r="BQ339">
        <v>819</v>
      </c>
      <c r="BR339">
        <f t="shared" si="60"/>
        <v>819</v>
      </c>
      <c r="BS339" t="s">
        <v>3534</v>
      </c>
    </row>
    <row r="340" spans="1:71" x14ac:dyDescent="0.4">
      <c r="A340" s="3">
        <v>337</v>
      </c>
      <c r="B340" s="3">
        <v>337</v>
      </c>
      <c r="C340" s="4" t="s">
        <v>399</v>
      </c>
      <c r="D340" s="4" t="str">
        <f t="shared" si="52"/>
        <v>J235WH</v>
      </c>
      <c r="E340" s="4" t="s">
        <v>399</v>
      </c>
      <c r="F340" s="4" t="s">
        <v>1618</v>
      </c>
      <c r="G340" s="5">
        <v>4521718352107</v>
      </c>
      <c r="H340" s="5"/>
      <c r="I340" s="5"/>
      <c r="J340" s="5">
        <v>1</v>
      </c>
      <c r="K340" s="5">
        <v>1</v>
      </c>
      <c r="L340" s="4">
        <v>1700</v>
      </c>
      <c r="M340" s="4">
        <v>1364</v>
      </c>
      <c r="N340" s="4">
        <v>887</v>
      </c>
      <c r="O340" s="6">
        <f t="shared" si="53"/>
        <v>0.34970674486803521</v>
      </c>
      <c r="P340" s="4" t="s">
        <v>2500</v>
      </c>
      <c r="Q340" s="4"/>
      <c r="R340" s="4"/>
      <c r="S340" s="4"/>
      <c r="T340" s="4"/>
      <c r="U340" s="4"/>
      <c r="V340" s="4"/>
      <c r="W340" s="4"/>
      <c r="X340" s="4"/>
      <c r="Y340" s="4">
        <v>1364</v>
      </c>
      <c r="Z340" s="4">
        <f t="shared" si="54"/>
        <v>1364</v>
      </c>
      <c r="AA340" s="4">
        <v>887</v>
      </c>
      <c r="AB340" s="4">
        <f t="shared" si="55"/>
        <v>887</v>
      </c>
      <c r="AC340" s="4"/>
      <c r="AD340" s="21">
        <f>ROUND(M340*AR340,0)</f>
        <v>1364</v>
      </c>
      <c r="AE340" s="6">
        <f>1-AB340/AD340</f>
        <v>0.34970674486803521</v>
      </c>
      <c r="AF340" s="33">
        <v>0</v>
      </c>
      <c r="AG340" s="4" t="str">
        <f t="shared" si="56"/>
        <v>-</v>
      </c>
      <c r="AH340" s="33" t="e">
        <f t="shared" si="58"/>
        <v>#VALUE!</v>
      </c>
      <c r="AI340" s="6" t="e">
        <f>1-AB340/AH340</f>
        <v>#VALUE!</v>
      </c>
      <c r="AJ340" s="7">
        <v>1364</v>
      </c>
      <c r="AK340" s="6">
        <f>1-AB340/AJ340</f>
        <v>0.34970674486803521</v>
      </c>
      <c r="AL340" s="4">
        <f>AJ340-AB340</f>
        <v>477</v>
      </c>
      <c r="AM340" s="28"/>
      <c r="AN340" s="6"/>
      <c r="AO340" s="6"/>
      <c r="AP340" s="6">
        <f>Z340/L340</f>
        <v>0.8023529411764706</v>
      </c>
      <c r="AQ340" s="6">
        <f>AJ340/M340</f>
        <v>1</v>
      </c>
      <c r="AR340" s="6">
        <f>AB340/N340</f>
        <v>1</v>
      </c>
      <c r="AS340" s="4"/>
      <c r="AT340" s="4"/>
      <c r="AU340" s="4"/>
      <c r="AV340" s="4"/>
      <c r="AW340" s="4"/>
      <c r="AX340" s="4"/>
      <c r="AY340" s="4"/>
      <c r="AZ340" s="4"/>
      <c r="BA340" s="4"/>
      <c r="BB340" s="4">
        <v>0</v>
      </c>
      <c r="BC340" s="4" t="s">
        <v>3534</v>
      </c>
      <c r="BD340" s="4"/>
      <c r="BE340" s="4"/>
      <c r="BF340" s="4" t="s">
        <v>3534</v>
      </c>
      <c r="BG340" s="4" t="s">
        <v>3534</v>
      </c>
      <c r="BH340" s="4" t="s">
        <v>3534</v>
      </c>
      <c r="BI340" s="4" t="str">
        <f t="shared" si="57"/>
        <v>-</v>
      </c>
      <c r="BJ340" s="19">
        <v>4</v>
      </c>
      <c r="BK340" s="19">
        <v>8</v>
      </c>
      <c r="BL340" s="16">
        <v>19</v>
      </c>
      <c r="BM340" s="45" t="s">
        <v>3534</v>
      </c>
      <c r="BN340" t="s">
        <v>3534</v>
      </c>
      <c r="BO340" t="str">
        <f t="shared" si="59"/>
        <v>-</v>
      </c>
      <c r="BP340" t="s">
        <v>3534</v>
      </c>
      <c r="BQ340">
        <v>1364</v>
      </c>
      <c r="BR340">
        <f t="shared" si="60"/>
        <v>1364</v>
      </c>
      <c r="BS340" t="s">
        <v>3534</v>
      </c>
    </row>
    <row r="341" spans="1:71" x14ac:dyDescent="0.4">
      <c r="A341" s="3">
        <v>338</v>
      </c>
      <c r="B341" s="3">
        <v>338</v>
      </c>
      <c r="C341" s="4" t="s">
        <v>400</v>
      </c>
      <c r="D341" s="4" t="str">
        <f t="shared" si="52"/>
        <v>J235WL</v>
      </c>
      <c r="E341" s="4" t="s">
        <v>400</v>
      </c>
      <c r="F341" s="4" t="s">
        <v>1619</v>
      </c>
      <c r="G341" s="5">
        <v>4521718586786</v>
      </c>
      <c r="H341" s="5"/>
      <c r="I341" s="5"/>
      <c r="J341" s="5">
        <v>1</v>
      </c>
      <c r="K341" s="5">
        <v>1</v>
      </c>
      <c r="L341" s="4">
        <v>240</v>
      </c>
      <c r="M341" s="4">
        <v>119</v>
      </c>
      <c r="N341" s="4">
        <v>83</v>
      </c>
      <c r="O341" s="6">
        <f t="shared" si="53"/>
        <v>0.30252100840336138</v>
      </c>
      <c r="P341" s="4" t="s">
        <v>2500</v>
      </c>
      <c r="Q341" s="4"/>
      <c r="R341" s="4"/>
      <c r="S341" s="4"/>
      <c r="T341" s="4"/>
      <c r="U341" s="4"/>
      <c r="V341" s="4"/>
      <c r="W341" s="4"/>
      <c r="X341" s="4"/>
      <c r="Y341" s="4">
        <v>240</v>
      </c>
      <c r="Z341" s="4">
        <f t="shared" si="54"/>
        <v>240</v>
      </c>
      <c r="AA341" s="4">
        <v>83</v>
      </c>
      <c r="AB341" s="4">
        <f t="shared" si="55"/>
        <v>83</v>
      </c>
      <c r="AC341" s="4"/>
      <c r="AD341" s="21">
        <f>ROUND(M341*AR341,0)</f>
        <v>119</v>
      </c>
      <c r="AE341" s="6">
        <f>1-AB341/AD341</f>
        <v>0.30252100840336138</v>
      </c>
      <c r="AF341" s="33">
        <v>0</v>
      </c>
      <c r="AG341" s="4" t="str">
        <f t="shared" si="56"/>
        <v>-</v>
      </c>
      <c r="AH341" s="33" t="e">
        <f t="shared" si="58"/>
        <v>#VALUE!</v>
      </c>
      <c r="AI341" s="6" t="e">
        <f>1-AB341/AH341</f>
        <v>#VALUE!</v>
      </c>
      <c r="AJ341" s="7">
        <f>ROUND(AB341/0.65,0)</f>
        <v>128</v>
      </c>
      <c r="AK341" s="6">
        <f>1-AB341/AJ341</f>
        <v>0.3515625</v>
      </c>
      <c r="AL341" s="4">
        <f>AJ341-AB341</f>
        <v>45</v>
      </c>
      <c r="AM341" s="28"/>
      <c r="AN341" s="6"/>
      <c r="AO341" s="6"/>
      <c r="AP341" s="6">
        <f>Z341/L341</f>
        <v>1</v>
      </c>
      <c r="AQ341" s="6">
        <f>AJ341/M341</f>
        <v>1.0756302521008403</v>
      </c>
      <c r="AR341" s="6">
        <f>AB341/N341</f>
        <v>1</v>
      </c>
      <c r="AS341" s="4"/>
      <c r="AT341" s="4"/>
      <c r="AU341" s="4"/>
      <c r="AV341" s="4"/>
      <c r="AW341" s="4"/>
      <c r="AX341" s="4"/>
      <c r="AY341" s="4"/>
      <c r="AZ341" s="4"/>
      <c r="BA341" s="4"/>
      <c r="BB341" s="4">
        <v>0</v>
      </c>
      <c r="BC341" s="4" t="s">
        <v>3534</v>
      </c>
      <c r="BD341" s="4"/>
      <c r="BE341" s="4"/>
      <c r="BF341" s="4" t="s">
        <v>3534</v>
      </c>
      <c r="BG341" s="4" t="s">
        <v>3534</v>
      </c>
      <c r="BH341" s="4" t="s">
        <v>3534</v>
      </c>
      <c r="BI341" s="4" t="str">
        <f t="shared" si="57"/>
        <v>-</v>
      </c>
      <c r="BJ341" s="19">
        <v>4</v>
      </c>
      <c r="BK341" s="19">
        <v>8</v>
      </c>
      <c r="BL341" s="16">
        <v>6</v>
      </c>
      <c r="BM341" s="45" t="s">
        <v>3534</v>
      </c>
      <c r="BN341" t="s">
        <v>3534</v>
      </c>
      <c r="BO341" t="str">
        <f t="shared" si="59"/>
        <v>-</v>
      </c>
      <c r="BP341" t="s">
        <v>3534</v>
      </c>
      <c r="BQ341" t="s">
        <v>3534</v>
      </c>
      <c r="BR341" t="str">
        <f t="shared" si="60"/>
        <v>-</v>
      </c>
      <c r="BS341" t="s">
        <v>3534</v>
      </c>
    </row>
    <row r="342" spans="1:71" x14ac:dyDescent="0.4">
      <c r="A342" s="3">
        <v>339</v>
      </c>
      <c r="B342" s="3">
        <v>339</v>
      </c>
      <c r="C342" s="4" t="s">
        <v>401</v>
      </c>
      <c r="D342" s="4" t="str">
        <f t="shared" si="52"/>
        <v>J236WH</v>
      </c>
      <c r="E342" s="4" t="s">
        <v>401</v>
      </c>
      <c r="F342" s="4" t="s">
        <v>1620</v>
      </c>
      <c r="G342" s="5">
        <v>4521718352121</v>
      </c>
      <c r="H342" s="5"/>
      <c r="I342" s="5"/>
      <c r="J342" s="5">
        <v>1</v>
      </c>
      <c r="K342" s="5">
        <v>1</v>
      </c>
      <c r="L342" s="4">
        <v>337</v>
      </c>
      <c r="M342" s="4">
        <v>337</v>
      </c>
      <c r="N342" s="4">
        <v>219</v>
      </c>
      <c r="O342" s="6">
        <f t="shared" si="53"/>
        <v>0.35014836795252224</v>
      </c>
      <c r="P342" s="4" t="s">
        <v>2500</v>
      </c>
      <c r="Q342" s="4"/>
      <c r="R342" s="4"/>
      <c r="S342" s="4"/>
      <c r="T342" s="4"/>
      <c r="U342" s="4"/>
      <c r="V342" s="4"/>
      <c r="W342" s="4"/>
      <c r="X342" s="4"/>
      <c r="Y342" s="4">
        <v>337</v>
      </c>
      <c r="Z342" s="4">
        <f t="shared" si="54"/>
        <v>337</v>
      </c>
      <c r="AA342" s="4">
        <v>219</v>
      </c>
      <c r="AB342" s="4">
        <f t="shared" si="55"/>
        <v>219</v>
      </c>
      <c r="AC342" s="4"/>
      <c r="AD342" s="21">
        <f>ROUND(M342*AR342,0)</f>
        <v>337</v>
      </c>
      <c r="AE342" s="6">
        <f>1-AB342/AD342</f>
        <v>0.35014836795252224</v>
      </c>
      <c r="AF342" s="33">
        <v>0.5</v>
      </c>
      <c r="AG342" s="4" t="str">
        <f t="shared" si="56"/>
        <v>-</v>
      </c>
      <c r="AH342" s="33" t="e">
        <f t="shared" si="58"/>
        <v>#VALUE!</v>
      </c>
      <c r="AI342" s="6" t="e">
        <f>1-AB342/AH342</f>
        <v>#VALUE!</v>
      </c>
      <c r="AJ342" s="7">
        <f>ROUND(AB342/0.65,0)</f>
        <v>337</v>
      </c>
      <c r="AK342" s="6">
        <f>1-AB342/AJ342</f>
        <v>0.35014836795252224</v>
      </c>
      <c r="AL342" s="4">
        <f>AJ342-AB342</f>
        <v>118</v>
      </c>
      <c r="AM342" s="28"/>
      <c r="AN342" s="6"/>
      <c r="AO342" s="6"/>
      <c r="AP342" s="6">
        <f>Z342/L342</f>
        <v>1</v>
      </c>
      <c r="AQ342" s="6">
        <f>AJ342/M342</f>
        <v>1</v>
      </c>
      <c r="AR342" s="6">
        <f>AB342/N342</f>
        <v>1</v>
      </c>
      <c r="AS342" s="4"/>
      <c r="AT342" s="4"/>
      <c r="AU342" s="4"/>
      <c r="AV342" s="4"/>
      <c r="AW342" s="4"/>
      <c r="AX342" s="4"/>
      <c r="AY342" s="4"/>
      <c r="AZ342" s="4"/>
      <c r="BA342" s="4"/>
      <c r="BB342" s="4">
        <v>0</v>
      </c>
      <c r="BC342" s="4" t="s">
        <v>3534</v>
      </c>
      <c r="BD342" s="4"/>
      <c r="BE342" s="4"/>
      <c r="BF342" s="4" t="s">
        <v>3534</v>
      </c>
      <c r="BG342" s="4" t="s">
        <v>3534</v>
      </c>
      <c r="BH342" s="4" t="s">
        <v>3534</v>
      </c>
      <c r="BI342" s="4" t="str">
        <f t="shared" si="57"/>
        <v>-</v>
      </c>
      <c r="BJ342" s="19">
        <v>4</v>
      </c>
      <c r="BK342" s="19">
        <v>8</v>
      </c>
      <c r="BL342" s="16">
        <v>19</v>
      </c>
      <c r="BM342" s="45" t="s">
        <v>3534</v>
      </c>
      <c r="BN342" t="s">
        <v>3534</v>
      </c>
      <c r="BO342" t="str">
        <f t="shared" si="59"/>
        <v>-</v>
      </c>
      <c r="BP342" t="s">
        <v>3534</v>
      </c>
      <c r="BQ342">
        <v>337</v>
      </c>
      <c r="BR342">
        <f t="shared" si="60"/>
        <v>337</v>
      </c>
      <c r="BS342" t="s">
        <v>3534</v>
      </c>
    </row>
    <row r="343" spans="1:71" x14ac:dyDescent="0.4">
      <c r="A343" s="3">
        <v>340</v>
      </c>
      <c r="B343" s="3">
        <v>340</v>
      </c>
      <c r="C343" s="4" t="s">
        <v>402</v>
      </c>
      <c r="D343" s="4" t="str">
        <f t="shared" ref="D343:D406" si="61">TEXT(C343,"000000")</f>
        <v>J234WL</v>
      </c>
      <c r="E343" s="4" t="s">
        <v>402</v>
      </c>
      <c r="F343" s="4" t="s">
        <v>1621</v>
      </c>
      <c r="G343" s="5">
        <v>4521718586779</v>
      </c>
      <c r="H343" s="5"/>
      <c r="I343" s="5"/>
      <c r="J343" s="5">
        <v>1</v>
      </c>
      <c r="K343" s="5">
        <v>1</v>
      </c>
      <c r="L343" s="4">
        <v>240</v>
      </c>
      <c r="M343" s="4">
        <v>119</v>
      </c>
      <c r="N343" s="4">
        <v>83</v>
      </c>
      <c r="O343" s="6">
        <f t="shared" ref="O343:O406" si="62">1-N343/M343</f>
        <v>0.30252100840336138</v>
      </c>
      <c r="P343" s="4" t="s">
        <v>2500</v>
      </c>
      <c r="Q343" s="4"/>
      <c r="R343" s="4"/>
      <c r="S343" s="4"/>
      <c r="T343" s="4"/>
      <c r="U343" s="4"/>
      <c r="V343" s="4"/>
      <c r="W343" s="4"/>
      <c r="X343" s="4"/>
      <c r="Y343" s="4">
        <v>240</v>
      </c>
      <c r="Z343" s="4">
        <f t="shared" ref="Z343:Z406" si="63">IF(AC343="",Y343,Y343*AC343)</f>
        <v>240</v>
      </c>
      <c r="AA343" s="4">
        <v>83</v>
      </c>
      <c r="AB343" s="4">
        <f t="shared" ref="AB343:AB406" si="64">IF(AC343="",AA343,AA343*AC343)</f>
        <v>83</v>
      </c>
      <c r="AC343" s="4"/>
      <c r="AD343" s="21">
        <f>ROUND(M343*AR343,0)</f>
        <v>119</v>
      </c>
      <c r="AE343" s="6">
        <f>1-AB343/AD343</f>
        <v>0.30252100840336138</v>
      </c>
      <c r="AF343" s="33">
        <v>0</v>
      </c>
      <c r="AG343" s="4" t="str">
        <f t="shared" ref="AG343:AG406" si="65">BI343</f>
        <v>-</v>
      </c>
      <c r="AH343" s="33" t="e">
        <f t="shared" si="58"/>
        <v>#VALUE!</v>
      </c>
      <c r="AI343" s="6" t="e">
        <f>1-AB343/AH343</f>
        <v>#VALUE!</v>
      </c>
      <c r="AJ343" s="7">
        <f>ROUND(AB343/0.65,0)</f>
        <v>128</v>
      </c>
      <c r="AK343" s="6">
        <f>1-AB343/AJ343</f>
        <v>0.3515625</v>
      </c>
      <c r="AL343" s="4">
        <f>AJ343-AB343</f>
        <v>45</v>
      </c>
      <c r="AM343" s="28"/>
      <c r="AN343" s="6"/>
      <c r="AO343" s="6"/>
      <c r="AP343" s="6">
        <f>Z343/L343</f>
        <v>1</v>
      </c>
      <c r="AQ343" s="6">
        <f>AJ343/M343</f>
        <v>1.0756302521008403</v>
      </c>
      <c r="AR343" s="6">
        <f>AB343/N343</f>
        <v>1</v>
      </c>
      <c r="AS343" s="4"/>
      <c r="AT343" s="4"/>
      <c r="AU343" s="4"/>
      <c r="AV343" s="4"/>
      <c r="AW343" s="4"/>
      <c r="AX343" s="4"/>
      <c r="AY343" s="4"/>
      <c r="AZ343" s="4"/>
      <c r="BA343" s="4"/>
      <c r="BB343" s="4">
        <v>0</v>
      </c>
      <c r="BC343" s="4" t="s">
        <v>3534</v>
      </c>
      <c r="BD343" s="4"/>
      <c r="BE343" s="4"/>
      <c r="BF343" s="4" t="s">
        <v>3534</v>
      </c>
      <c r="BG343" s="4" t="s">
        <v>3534</v>
      </c>
      <c r="BH343" s="4" t="s">
        <v>3534</v>
      </c>
      <c r="BI343" s="4" t="str">
        <f t="shared" ref="BI343:BI406" si="66">IF(BD343="",BH343,BD343/BE343*BH343)</f>
        <v>-</v>
      </c>
      <c r="BJ343" s="19">
        <v>4</v>
      </c>
      <c r="BK343" s="19">
        <v>8</v>
      </c>
      <c r="BL343" s="16">
        <v>6</v>
      </c>
      <c r="BM343" s="45" t="s">
        <v>3534</v>
      </c>
      <c r="BN343" t="s">
        <v>3534</v>
      </c>
      <c r="BO343" t="str">
        <f t="shared" si="59"/>
        <v>-</v>
      </c>
      <c r="BP343" t="s">
        <v>3534</v>
      </c>
      <c r="BQ343" t="s">
        <v>3534</v>
      </c>
      <c r="BR343" t="str">
        <f t="shared" si="60"/>
        <v>-</v>
      </c>
      <c r="BS343" t="s">
        <v>3534</v>
      </c>
    </row>
    <row r="344" spans="1:71" x14ac:dyDescent="0.4">
      <c r="A344" s="3">
        <v>341</v>
      </c>
      <c r="B344" s="3">
        <v>341</v>
      </c>
      <c r="C344" s="4" t="s">
        <v>403</v>
      </c>
      <c r="D344" s="4" t="str">
        <f t="shared" si="61"/>
        <v>J236WL</v>
      </c>
      <c r="E344" s="4" t="s">
        <v>403</v>
      </c>
      <c r="F344" s="4" t="s">
        <v>1622</v>
      </c>
      <c r="G344" s="5">
        <v>4521718586793</v>
      </c>
      <c r="H344" s="5"/>
      <c r="I344" s="5"/>
      <c r="J344" s="5">
        <v>1</v>
      </c>
      <c r="K344" s="5">
        <v>1</v>
      </c>
      <c r="L344" s="4">
        <v>240</v>
      </c>
      <c r="M344" s="4">
        <v>119</v>
      </c>
      <c r="N344" s="4">
        <v>83</v>
      </c>
      <c r="O344" s="6">
        <f t="shared" si="62"/>
        <v>0.30252100840336138</v>
      </c>
      <c r="P344" s="4" t="s">
        <v>2500</v>
      </c>
      <c r="Q344" s="4"/>
      <c r="R344" s="4"/>
      <c r="S344" s="4"/>
      <c r="T344" s="4"/>
      <c r="U344" s="4"/>
      <c r="V344" s="4"/>
      <c r="W344" s="4"/>
      <c r="X344" s="4"/>
      <c r="Y344" s="4">
        <v>240</v>
      </c>
      <c r="Z344" s="4">
        <f t="shared" si="63"/>
        <v>240</v>
      </c>
      <c r="AA344" s="4">
        <v>83</v>
      </c>
      <c r="AB344" s="4">
        <f t="shared" si="64"/>
        <v>83</v>
      </c>
      <c r="AC344" s="4"/>
      <c r="AD344" s="21">
        <f>ROUND(M344*AR344,0)</f>
        <v>119</v>
      </c>
      <c r="AE344" s="6">
        <f>1-AB344/AD344</f>
        <v>0.30252100840336138</v>
      </c>
      <c r="AF344" s="33">
        <v>0</v>
      </c>
      <c r="AG344" s="4" t="str">
        <f t="shared" si="65"/>
        <v>-</v>
      </c>
      <c r="AH344" s="33" t="e">
        <f t="shared" si="58"/>
        <v>#VALUE!</v>
      </c>
      <c r="AI344" s="6" t="e">
        <f>1-AB344/AH344</f>
        <v>#VALUE!</v>
      </c>
      <c r="AJ344" s="7">
        <f>ROUND(AB344/0.65,0)</f>
        <v>128</v>
      </c>
      <c r="AK344" s="6">
        <f>1-AB344/AJ344</f>
        <v>0.3515625</v>
      </c>
      <c r="AL344" s="4">
        <f>AJ344-AB344</f>
        <v>45</v>
      </c>
      <c r="AM344" s="28"/>
      <c r="AN344" s="6"/>
      <c r="AO344" s="6"/>
      <c r="AP344" s="6">
        <f>Z344/L344</f>
        <v>1</v>
      </c>
      <c r="AQ344" s="6">
        <f>AJ344/M344</f>
        <v>1.0756302521008403</v>
      </c>
      <c r="AR344" s="6">
        <f>AB344/N344</f>
        <v>1</v>
      </c>
      <c r="AS344" s="4"/>
      <c r="AT344" s="4"/>
      <c r="AU344" s="4"/>
      <c r="AV344" s="4"/>
      <c r="AW344" s="4"/>
      <c r="AX344" s="4"/>
      <c r="AY344" s="4"/>
      <c r="AZ344" s="4"/>
      <c r="BA344" s="4"/>
      <c r="BB344" s="4">
        <v>0</v>
      </c>
      <c r="BC344" s="4" t="s">
        <v>3534</v>
      </c>
      <c r="BD344" s="4"/>
      <c r="BE344" s="4"/>
      <c r="BF344" s="4" t="s">
        <v>3534</v>
      </c>
      <c r="BG344" s="4" t="s">
        <v>3534</v>
      </c>
      <c r="BH344" s="4" t="s">
        <v>3534</v>
      </c>
      <c r="BI344" s="4" t="str">
        <f t="shared" si="66"/>
        <v>-</v>
      </c>
      <c r="BJ344" s="19">
        <v>4</v>
      </c>
      <c r="BK344" s="19">
        <v>8</v>
      </c>
      <c r="BL344" s="16">
        <v>6</v>
      </c>
      <c r="BM344" s="45" t="s">
        <v>3534</v>
      </c>
      <c r="BN344" t="s">
        <v>3534</v>
      </c>
      <c r="BO344" t="str">
        <f t="shared" si="59"/>
        <v>-</v>
      </c>
      <c r="BP344" t="s">
        <v>3534</v>
      </c>
      <c r="BQ344" t="s">
        <v>3534</v>
      </c>
      <c r="BR344" t="str">
        <f t="shared" si="60"/>
        <v>-</v>
      </c>
      <c r="BS344" t="s">
        <v>3534</v>
      </c>
    </row>
    <row r="345" spans="1:71" x14ac:dyDescent="0.4">
      <c r="A345" s="3">
        <v>342</v>
      </c>
      <c r="B345" s="3">
        <v>342</v>
      </c>
      <c r="C345" s="4" t="s">
        <v>404</v>
      </c>
      <c r="D345" s="4" t="str">
        <f t="shared" si="61"/>
        <v>J238WL</v>
      </c>
      <c r="E345" s="4" t="s">
        <v>404</v>
      </c>
      <c r="F345" s="4" t="s">
        <v>1623</v>
      </c>
      <c r="G345" s="5">
        <v>4521718586816</v>
      </c>
      <c r="H345" s="5"/>
      <c r="I345" s="5"/>
      <c r="J345" s="5">
        <v>1</v>
      </c>
      <c r="K345" s="5">
        <v>1</v>
      </c>
      <c r="L345" s="4">
        <v>240</v>
      </c>
      <c r="M345" s="4">
        <v>119</v>
      </c>
      <c r="N345" s="4">
        <v>83</v>
      </c>
      <c r="O345" s="6">
        <f t="shared" si="62"/>
        <v>0.30252100840336138</v>
      </c>
      <c r="P345" s="4" t="s">
        <v>2500</v>
      </c>
      <c r="Q345" s="4"/>
      <c r="R345" s="4"/>
      <c r="S345" s="4"/>
      <c r="T345" s="4"/>
      <c r="U345" s="4"/>
      <c r="V345" s="4"/>
      <c r="W345" s="4"/>
      <c r="X345" s="4"/>
      <c r="Y345" s="4">
        <v>240</v>
      </c>
      <c r="Z345" s="4">
        <f t="shared" si="63"/>
        <v>240</v>
      </c>
      <c r="AA345" s="4">
        <v>83</v>
      </c>
      <c r="AB345" s="4">
        <f t="shared" si="64"/>
        <v>83</v>
      </c>
      <c r="AC345" s="4"/>
      <c r="AD345" s="21">
        <f>ROUND(M345*AR345,0)</f>
        <v>119</v>
      </c>
      <c r="AE345" s="6">
        <f>1-AB345/AD345</f>
        <v>0.30252100840336138</v>
      </c>
      <c r="AF345" s="33">
        <v>0</v>
      </c>
      <c r="AG345" s="4" t="str">
        <f t="shared" si="65"/>
        <v>-</v>
      </c>
      <c r="AH345" s="33" t="e">
        <f t="shared" si="58"/>
        <v>#VALUE!</v>
      </c>
      <c r="AI345" s="6" t="e">
        <f>1-AB345/AH345</f>
        <v>#VALUE!</v>
      </c>
      <c r="AJ345" s="7">
        <f>ROUND(AB345/0.65,0)</f>
        <v>128</v>
      </c>
      <c r="AK345" s="6">
        <f>1-AB345/AJ345</f>
        <v>0.3515625</v>
      </c>
      <c r="AL345" s="4">
        <f>AJ345-AB345</f>
        <v>45</v>
      </c>
      <c r="AM345" s="28"/>
      <c r="AN345" s="6"/>
      <c r="AO345" s="6"/>
      <c r="AP345" s="6">
        <f>Z345/L345</f>
        <v>1</v>
      </c>
      <c r="AQ345" s="6">
        <f>AJ345/M345</f>
        <v>1.0756302521008403</v>
      </c>
      <c r="AR345" s="6">
        <f>AB345/N345</f>
        <v>1</v>
      </c>
      <c r="AS345" s="4"/>
      <c r="AT345" s="4"/>
      <c r="AU345" s="4"/>
      <c r="AV345" s="4"/>
      <c r="AW345" s="4"/>
      <c r="AX345" s="4"/>
      <c r="AY345" s="4"/>
      <c r="AZ345" s="4"/>
      <c r="BA345" s="4"/>
      <c r="BB345" s="4">
        <v>0</v>
      </c>
      <c r="BC345" s="4" t="s">
        <v>3534</v>
      </c>
      <c r="BD345" s="4"/>
      <c r="BE345" s="4"/>
      <c r="BF345" s="4" t="s">
        <v>3534</v>
      </c>
      <c r="BG345" s="4" t="s">
        <v>3534</v>
      </c>
      <c r="BH345" s="4" t="s">
        <v>3534</v>
      </c>
      <c r="BI345" s="4" t="str">
        <f t="shared" si="66"/>
        <v>-</v>
      </c>
      <c r="BJ345" s="19">
        <v>4</v>
      </c>
      <c r="BK345" s="19">
        <v>8</v>
      </c>
      <c r="BL345" s="16">
        <v>6</v>
      </c>
      <c r="BM345" s="45" t="s">
        <v>3534</v>
      </c>
      <c r="BN345" t="s">
        <v>3534</v>
      </c>
      <c r="BO345" t="str">
        <f t="shared" si="59"/>
        <v>-</v>
      </c>
      <c r="BP345" t="s">
        <v>3534</v>
      </c>
      <c r="BQ345" t="s">
        <v>3534</v>
      </c>
      <c r="BR345" t="str">
        <f t="shared" si="60"/>
        <v>-</v>
      </c>
      <c r="BS345" t="s">
        <v>3534</v>
      </c>
    </row>
    <row r="346" spans="1:71" x14ac:dyDescent="0.4">
      <c r="A346" s="3">
        <v>343</v>
      </c>
      <c r="B346" s="3">
        <v>343</v>
      </c>
      <c r="C346" s="4" t="s">
        <v>405</v>
      </c>
      <c r="D346" s="4" t="str">
        <f t="shared" si="61"/>
        <v>J237WL</v>
      </c>
      <c r="E346" s="4" t="s">
        <v>405</v>
      </c>
      <c r="F346" s="4" t="s">
        <v>1624</v>
      </c>
      <c r="G346" s="5">
        <v>4521718586809</v>
      </c>
      <c r="H346" s="5"/>
      <c r="I346" s="5"/>
      <c r="J346" s="5">
        <v>1</v>
      </c>
      <c r="K346" s="5">
        <v>1</v>
      </c>
      <c r="L346" s="4">
        <v>240</v>
      </c>
      <c r="M346" s="4">
        <v>119</v>
      </c>
      <c r="N346" s="4">
        <v>83</v>
      </c>
      <c r="O346" s="6">
        <f t="shared" si="62"/>
        <v>0.30252100840336138</v>
      </c>
      <c r="P346" s="4" t="s">
        <v>2500</v>
      </c>
      <c r="Q346" s="4"/>
      <c r="R346" s="4"/>
      <c r="S346" s="4"/>
      <c r="T346" s="4"/>
      <c r="U346" s="4"/>
      <c r="V346" s="4"/>
      <c r="W346" s="4"/>
      <c r="X346" s="4"/>
      <c r="Y346" s="4">
        <v>240</v>
      </c>
      <c r="Z346" s="4">
        <f t="shared" si="63"/>
        <v>240</v>
      </c>
      <c r="AA346" s="4">
        <v>83</v>
      </c>
      <c r="AB346" s="4">
        <f t="shared" si="64"/>
        <v>83</v>
      </c>
      <c r="AC346" s="4"/>
      <c r="AD346" s="21">
        <f>ROUND(M346*AR346,0)</f>
        <v>119</v>
      </c>
      <c r="AE346" s="6">
        <f>1-AB346/AD346</f>
        <v>0.30252100840336138</v>
      </c>
      <c r="AF346" s="33">
        <v>0</v>
      </c>
      <c r="AG346" s="4" t="str">
        <f t="shared" si="65"/>
        <v>-</v>
      </c>
      <c r="AH346" s="33" t="e">
        <f t="shared" si="58"/>
        <v>#VALUE!</v>
      </c>
      <c r="AI346" s="6" t="e">
        <f>1-AB346/AH346</f>
        <v>#VALUE!</v>
      </c>
      <c r="AJ346" s="7">
        <f>ROUND(AB346/0.65,0)</f>
        <v>128</v>
      </c>
      <c r="AK346" s="6">
        <f>1-AB346/AJ346</f>
        <v>0.3515625</v>
      </c>
      <c r="AL346" s="4">
        <f>AJ346-AB346</f>
        <v>45</v>
      </c>
      <c r="AM346" s="28"/>
      <c r="AN346" s="6"/>
      <c r="AO346" s="6"/>
      <c r="AP346" s="6">
        <f>Z346/L346</f>
        <v>1</v>
      </c>
      <c r="AQ346" s="6">
        <f>AJ346/M346</f>
        <v>1.0756302521008403</v>
      </c>
      <c r="AR346" s="6">
        <f>AB346/N346</f>
        <v>1</v>
      </c>
      <c r="AS346" s="4"/>
      <c r="AT346" s="4"/>
      <c r="AU346" s="4"/>
      <c r="AV346" s="4"/>
      <c r="AW346" s="4"/>
      <c r="AX346" s="4"/>
      <c r="AY346" s="4"/>
      <c r="AZ346" s="4"/>
      <c r="BA346" s="4"/>
      <c r="BB346" s="4">
        <v>0</v>
      </c>
      <c r="BC346" s="4" t="s">
        <v>3534</v>
      </c>
      <c r="BD346" s="4"/>
      <c r="BE346" s="4"/>
      <c r="BF346" s="4" t="s">
        <v>3534</v>
      </c>
      <c r="BG346" s="4" t="s">
        <v>3534</v>
      </c>
      <c r="BH346" s="4" t="s">
        <v>3534</v>
      </c>
      <c r="BI346" s="4" t="str">
        <f t="shared" si="66"/>
        <v>-</v>
      </c>
      <c r="BJ346" s="19">
        <v>4</v>
      </c>
      <c r="BK346" s="19">
        <v>8</v>
      </c>
      <c r="BL346" s="16">
        <v>6</v>
      </c>
      <c r="BM346" s="45" t="s">
        <v>3534</v>
      </c>
      <c r="BN346" t="s">
        <v>3534</v>
      </c>
      <c r="BO346" t="str">
        <f t="shared" si="59"/>
        <v>-</v>
      </c>
      <c r="BP346" t="s">
        <v>3534</v>
      </c>
      <c r="BQ346" t="s">
        <v>3534</v>
      </c>
      <c r="BR346" t="str">
        <f t="shared" si="60"/>
        <v>-</v>
      </c>
      <c r="BS346" t="s">
        <v>3534</v>
      </c>
    </row>
    <row r="347" spans="1:71" x14ac:dyDescent="0.4">
      <c r="A347" s="3">
        <v>344</v>
      </c>
      <c r="B347" s="3">
        <v>344</v>
      </c>
      <c r="C347" s="4" t="s">
        <v>406</v>
      </c>
      <c r="D347" s="4" t="str">
        <f t="shared" si="61"/>
        <v>J239WL</v>
      </c>
      <c r="E347" s="4" t="s">
        <v>406</v>
      </c>
      <c r="F347" s="4" t="s">
        <v>1625</v>
      </c>
      <c r="G347" s="5">
        <v>4521718586823</v>
      </c>
      <c r="H347" s="5"/>
      <c r="I347" s="5"/>
      <c r="J347" s="5">
        <v>1</v>
      </c>
      <c r="K347" s="5">
        <v>1</v>
      </c>
      <c r="L347" s="4">
        <v>240</v>
      </c>
      <c r="M347" s="4">
        <v>119</v>
      </c>
      <c r="N347" s="4">
        <v>83</v>
      </c>
      <c r="O347" s="6">
        <f t="shared" si="62"/>
        <v>0.30252100840336138</v>
      </c>
      <c r="P347" s="4" t="s">
        <v>2500</v>
      </c>
      <c r="Q347" s="4"/>
      <c r="R347" s="4"/>
      <c r="S347" s="4"/>
      <c r="T347" s="4"/>
      <c r="U347" s="4"/>
      <c r="V347" s="4"/>
      <c r="W347" s="4"/>
      <c r="X347" s="4"/>
      <c r="Y347" s="4">
        <v>240</v>
      </c>
      <c r="Z347" s="4">
        <f t="shared" si="63"/>
        <v>240</v>
      </c>
      <c r="AA347" s="4">
        <v>83</v>
      </c>
      <c r="AB347" s="4">
        <f t="shared" si="64"/>
        <v>83</v>
      </c>
      <c r="AC347" s="4"/>
      <c r="AD347" s="21">
        <f>ROUND(M347*AR347,0)</f>
        <v>119</v>
      </c>
      <c r="AE347" s="6">
        <f>1-AB347/AD347</f>
        <v>0.30252100840336138</v>
      </c>
      <c r="AF347" s="33">
        <v>0</v>
      </c>
      <c r="AG347" s="4" t="str">
        <f t="shared" si="65"/>
        <v>-</v>
      </c>
      <c r="AH347" s="33" t="e">
        <f t="shared" si="58"/>
        <v>#VALUE!</v>
      </c>
      <c r="AI347" s="6" t="e">
        <f>1-AB347/AH347</f>
        <v>#VALUE!</v>
      </c>
      <c r="AJ347" s="7">
        <f>ROUND(AB347/0.65,0)</f>
        <v>128</v>
      </c>
      <c r="AK347" s="6">
        <f>1-AB347/AJ347</f>
        <v>0.3515625</v>
      </c>
      <c r="AL347" s="4">
        <f>AJ347-AB347</f>
        <v>45</v>
      </c>
      <c r="AM347" s="28"/>
      <c r="AN347" s="6"/>
      <c r="AO347" s="6"/>
      <c r="AP347" s="6">
        <f>Z347/L347</f>
        <v>1</v>
      </c>
      <c r="AQ347" s="6">
        <f>AJ347/M347</f>
        <v>1.0756302521008403</v>
      </c>
      <c r="AR347" s="6">
        <f>AB347/N347</f>
        <v>1</v>
      </c>
      <c r="AS347" s="4"/>
      <c r="AT347" s="4"/>
      <c r="AU347" s="4"/>
      <c r="AV347" s="4"/>
      <c r="AW347" s="4"/>
      <c r="AX347" s="4"/>
      <c r="AY347" s="4"/>
      <c r="AZ347" s="4"/>
      <c r="BA347" s="4"/>
      <c r="BB347" s="4">
        <v>0</v>
      </c>
      <c r="BC347" s="4" t="s">
        <v>3534</v>
      </c>
      <c r="BD347" s="4"/>
      <c r="BE347" s="4"/>
      <c r="BF347" s="4" t="s">
        <v>3534</v>
      </c>
      <c r="BG347" s="4" t="s">
        <v>3534</v>
      </c>
      <c r="BH347" s="4" t="s">
        <v>3534</v>
      </c>
      <c r="BI347" s="4" t="str">
        <f t="shared" si="66"/>
        <v>-</v>
      </c>
      <c r="BJ347" s="19">
        <v>4</v>
      </c>
      <c r="BK347" s="19">
        <v>8</v>
      </c>
      <c r="BL347" s="16">
        <v>6</v>
      </c>
      <c r="BM347" s="45" t="s">
        <v>3534</v>
      </c>
      <c r="BN347" t="s">
        <v>3534</v>
      </c>
      <c r="BO347" t="str">
        <f t="shared" si="59"/>
        <v>-</v>
      </c>
      <c r="BP347" t="s">
        <v>3534</v>
      </c>
      <c r="BQ347" t="s">
        <v>3534</v>
      </c>
      <c r="BR347" t="str">
        <f t="shared" si="60"/>
        <v>-</v>
      </c>
      <c r="BS347" t="s">
        <v>3534</v>
      </c>
    </row>
    <row r="348" spans="1:71" x14ac:dyDescent="0.4">
      <c r="A348" s="3">
        <v>345</v>
      </c>
      <c r="B348" s="3">
        <v>345</v>
      </c>
      <c r="C348" s="4" t="s">
        <v>407</v>
      </c>
      <c r="D348" s="4" t="str">
        <f t="shared" si="61"/>
        <v>J241WL</v>
      </c>
      <c r="E348" s="4" t="s">
        <v>407</v>
      </c>
      <c r="F348" s="4" t="s">
        <v>1626</v>
      </c>
      <c r="G348" s="5">
        <v>4521718586847</v>
      </c>
      <c r="H348" s="5"/>
      <c r="I348" s="5"/>
      <c r="J348" s="5">
        <v>1</v>
      </c>
      <c r="K348" s="5">
        <v>1</v>
      </c>
      <c r="L348" s="4">
        <v>240</v>
      </c>
      <c r="M348" s="4">
        <v>119</v>
      </c>
      <c r="N348" s="4">
        <v>83</v>
      </c>
      <c r="O348" s="6">
        <f t="shared" si="62"/>
        <v>0.30252100840336138</v>
      </c>
      <c r="P348" s="4" t="s">
        <v>2500</v>
      </c>
      <c r="Q348" s="4"/>
      <c r="R348" s="4"/>
      <c r="S348" s="4"/>
      <c r="T348" s="4"/>
      <c r="U348" s="4"/>
      <c r="V348" s="4"/>
      <c r="W348" s="4"/>
      <c r="X348" s="4"/>
      <c r="Y348" s="4">
        <v>240</v>
      </c>
      <c r="Z348" s="4">
        <f t="shared" si="63"/>
        <v>240</v>
      </c>
      <c r="AA348" s="4">
        <v>83</v>
      </c>
      <c r="AB348" s="4">
        <f t="shared" si="64"/>
        <v>83</v>
      </c>
      <c r="AC348" s="4"/>
      <c r="AD348" s="21">
        <f>ROUND(M348*AR348,0)</f>
        <v>119</v>
      </c>
      <c r="AE348" s="6">
        <f>1-AB348/AD348</f>
        <v>0.30252100840336138</v>
      </c>
      <c r="AF348" s="33">
        <v>0</v>
      </c>
      <c r="AG348" s="4" t="str">
        <f t="shared" si="65"/>
        <v>-</v>
      </c>
      <c r="AH348" s="33" t="e">
        <f t="shared" si="58"/>
        <v>#VALUE!</v>
      </c>
      <c r="AI348" s="6" t="e">
        <f>1-AB348/AH348</f>
        <v>#VALUE!</v>
      </c>
      <c r="AJ348" s="7">
        <f>ROUND(AB348/0.65,0)</f>
        <v>128</v>
      </c>
      <c r="AK348" s="6">
        <f>1-AB348/AJ348</f>
        <v>0.3515625</v>
      </c>
      <c r="AL348" s="4">
        <f>AJ348-AB348</f>
        <v>45</v>
      </c>
      <c r="AM348" s="28"/>
      <c r="AN348" s="6"/>
      <c r="AO348" s="6"/>
      <c r="AP348" s="6">
        <f>Z348/L348</f>
        <v>1</v>
      </c>
      <c r="AQ348" s="6">
        <f>AJ348/M348</f>
        <v>1.0756302521008403</v>
      </c>
      <c r="AR348" s="6">
        <f>AB348/N348</f>
        <v>1</v>
      </c>
      <c r="AS348" s="4"/>
      <c r="AT348" s="4"/>
      <c r="AU348" s="4"/>
      <c r="AV348" s="4"/>
      <c r="AW348" s="4"/>
      <c r="AX348" s="4"/>
      <c r="AY348" s="4"/>
      <c r="AZ348" s="4"/>
      <c r="BA348" s="4"/>
      <c r="BB348" s="4">
        <v>0</v>
      </c>
      <c r="BC348" s="4" t="s">
        <v>3534</v>
      </c>
      <c r="BD348" s="4"/>
      <c r="BE348" s="4"/>
      <c r="BF348" s="4" t="s">
        <v>3534</v>
      </c>
      <c r="BG348" s="4" t="s">
        <v>3534</v>
      </c>
      <c r="BH348" s="4" t="s">
        <v>3534</v>
      </c>
      <c r="BI348" s="4" t="str">
        <f t="shared" si="66"/>
        <v>-</v>
      </c>
      <c r="BJ348" s="19">
        <v>4</v>
      </c>
      <c r="BK348" s="19">
        <v>8</v>
      </c>
      <c r="BL348" s="16">
        <v>6</v>
      </c>
      <c r="BM348" s="45" t="s">
        <v>3534</v>
      </c>
      <c r="BN348" t="s">
        <v>3534</v>
      </c>
      <c r="BO348" t="str">
        <f t="shared" si="59"/>
        <v>-</v>
      </c>
      <c r="BP348" t="s">
        <v>3534</v>
      </c>
      <c r="BQ348" t="s">
        <v>3534</v>
      </c>
      <c r="BR348" t="str">
        <f t="shared" si="60"/>
        <v>-</v>
      </c>
      <c r="BS348" t="s">
        <v>3534</v>
      </c>
    </row>
    <row r="349" spans="1:71" x14ac:dyDescent="0.4">
      <c r="A349" s="3">
        <v>346</v>
      </c>
      <c r="B349" s="3">
        <v>346</v>
      </c>
      <c r="C349" s="4" t="s">
        <v>408</v>
      </c>
      <c r="D349" s="4" t="str">
        <f t="shared" si="61"/>
        <v>J240WL</v>
      </c>
      <c r="E349" s="4" t="s">
        <v>408</v>
      </c>
      <c r="F349" s="4" t="s">
        <v>1627</v>
      </c>
      <c r="G349" s="5">
        <v>4521718586830</v>
      </c>
      <c r="H349" s="5"/>
      <c r="I349" s="5"/>
      <c r="J349" s="5">
        <v>1</v>
      </c>
      <c r="K349" s="5">
        <v>1</v>
      </c>
      <c r="L349" s="4">
        <v>240</v>
      </c>
      <c r="M349" s="4">
        <v>119</v>
      </c>
      <c r="N349" s="4">
        <v>83</v>
      </c>
      <c r="O349" s="6">
        <f t="shared" si="62"/>
        <v>0.30252100840336138</v>
      </c>
      <c r="P349" s="4" t="s">
        <v>2500</v>
      </c>
      <c r="Q349" s="4"/>
      <c r="R349" s="4"/>
      <c r="S349" s="4"/>
      <c r="T349" s="4"/>
      <c r="U349" s="4"/>
      <c r="V349" s="4"/>
      <c r="W349" s="4"/>
      <c r="X349" s="4"/>
      <c r="Y349" s="4">
        <v>240</v>
      </c>
      <c r="Z349" s="4">
        <f t="shared" si="63"/>
        <v>240</v>
      </c>
      <c r="AA349" s="4">
        <v>83</v>
      </c>
      <c r="AB349" s="4">
        <f t="shared" si="64"/>
        <v>83</v>
      </c>
      <c r="AC349" s="4"/>
      <c r="AD349" s="21">
        <f>ROUND(M349*AR349,0)</f>
        <v>119</v>
      </c>
      <c r="AE349" s="6">
        <f>1-AB349/AD349</f>
        <v>0.30252100840336138</v>
      </c>
      <c r="AF349" s="33">
        <v>0</v>
      </c>
      <c r="AG349" s="4" t="str">
        <f t="shared" si="65"/>
        <v>-</v>
      </c>
      <c r="AH349" s="33" t="e">
        <f t="shared" si="58"/>
        <v>#VALUE!</v>
      </c>
      <c r="AI349" s="6" t="e">
        <f>1-AB349/AH349</f>
        <v>#VALUE!</v>
      </c>
      <c r="AJ349" s="7">
        <f>ROUND(AB349/0.65,0)</f>
        <v>128</v>
      </c>
      <c r="AK349" s="6">
        <f>1-AB349/AJ349</f>
        <v>0.3515625</v>
      </c>
      <c r="AL349" s="4">
        <f>AJ349-AB349</f>
        <v>45</v>
      </c>
      <c r="AM349" s="28"/>
      <c r="AN349" s="6"/>
      <c r="AO349" s="6"/>
      <c r="AP349" s="6">
        <f>Z349/L349</f>
        <v>1</v>
      </c>
      <c r="AQ349" s="6">
        <f>AJ349/M349</f>
        <v>1.0756302521008403</v>
      </c>
      <c r="AR349" s="6">
        <f>AB349/N349</f>
        <v>1</v>
      </c>
      <c r="AS349" s="4"/>
      <c r="AT349" s="4"/>
      <c r="AU349" s="4"/>
      <c r="AV349" s="4"/>
      <c r="AW349" s="4"/>
      <c r="AX349" s="4"/>
      <c r="AY349" s="4"/>
      <c r="AZ349" s="4"/>
      <c r="BA349" s="4"/>
      <c r="BB349" s="4">
        <v>0</v>
      </c>
      <c r="BC349" s="4" t="s">
        <v>3534</v>
      </c>
      <c r="BD349" s="4"/>
      <c r="BE349" s="4"/>
      <c r="BF349" s="4" t="s">
        <v>3534</v>
      </c>
      <c r="BG349" s="4" t="s">
        <v>3534</v>
      </c>
      <c r="BH349" s="4" t="s">
        <v>3534</v>
      </c>
      <c r="BI349" s="4" t="str">
        <f t="shared" si="66"/>
        <v>-</v>
      </c>
      <c r="BJ349" s="19">
        <v>4</v>
      </c>
      <c r="BK349" s="19">
        <v>8</v>
      </c>
      <c r="BL349" s="16">
        <v>6</v>
      </c>
      <c r="BM349" s="45" t="s">
        <v>3534</v>
      </c>
      <c r="BN349" t="s">
        <v>3534</v>
      </c>
      <c r="BO349" t="str">
        <f t="shared" si="59"/>
        <v>-</v>
      </c>
      <c r="BP349" t="s">
        <v>3534</v>
      </c>
      <c r="BQ349" t="s">
        <v>3534</v>
      </c>
      <c r="BR349" t="str">
        <f t="shared" si="60"/>
        <v>-</v>
      </c>
      <c r="BS349" t="s">
        <v>3534</v>
      </c>
    </row>
    <row r="350" spans="1:71" x14ac:dyDescent="0.4">
      <c r="A350" s="3">
        <v>347</v>
      </c>
      <c r="B350" s="3">
        <v>347</v>
      </c>
      <c r="C350" s="4" t="s">
        <v>409</v>
      </c>
      <c r="D350" s="4" t="str">
        <f t="shared" si="61"/>
        <v>J243WH</v>
      </c>
      <c r="E350" s="4" t="s">
        <v>409</v>
      </c>
      <c r="F350" s="4" t="s">
        <v>1628</v>
      </c>
      <c r="G350" s="5">
        <v>4521718031705</v>
      </c>
      <c r="H350" s="5"/>
      <c r="I350" s="5"/>
      <c r="J350" s="5">
        <v>1</v>
      </c>
      <c r="K350" s="5">
        <v>1</v>
      </c>
      <c r="L350" s="4">
        <v>360</v>
      </c>
      <c r="M350" s="4">
        <v>250</v>
      </c>
      <c r="N350" s="4">
        <v>160</v>
      </c>
      <c r="O350" s="6">
        <f t="shared" si="62"/>
        <v>0.36</v>
      </c>
      <c r="P350" s="4" t="s">
        <v>2500</v>
      </c>
      <c r="Q350" s="4"/>
      <c r="R350" s="4"/>
      <c r="S350" s="4"/>
      <c r="T350" s="4"/>
      <c r="U350" s="4"/>
      <c r="V350" s="4"/>
      <c r="W350" s="4"/>
      <c r="X350" s="4"/>
      <c r="Y350" s="4">
        <v>228</v>
      </c>
      <c r="Z350" s="4">
        <f t="shared" si="63"/>
        <v>228</v>
      </c>
      <c r="AA350" s="4">
        <v>160</v>
      </c>
      <c r="AB350" s="4">
        <f t="shared" si="64"/>
        <v>160</v>
      </c>
      <c r="AC350" s="4"/>
      <c r="AD350" s="21">
        <f>ROUND(M350*AR350,0)</f>
        <v>250</v>
      </c>
      <c r="AE350" s="6">
        <f>1-AB350/AD350</f>
        <v>0.36</v>
      </c>
      <c r="AF350" s="33">
        <v>0</v>
      </c>
      <c r="AG350" s="4" t="str">
        <f t="shared" si="65"/>
        <v>-</v>
      </c>
      <c r="AH350" s="33" t="e">
        <f t="shared" si="58"/>
        <v>#VALUE!</v>
      </c>
      <c r="AI350" s="6" t="e">
        <f>1-AB350/AH350</f>
        <v>#VALUE!</v>
      </c>
      <c r="AJ350" s="7">
        <v>228</v>
      </c>
      <c r="AK350" s="6">
        <f>1-AB350/AJ350</f>
        <v>0.29824561403508776</v>
      </c>
      <c r="AL350" s="4">
        <f>AJ350-AB350</f>
        <v>68</v>
      </c>
      <c r="AM350" s="28"/>
      <c r="AN350" s="6"/>
      <c r="AO350" s="6"/>
      <c r="AP350" s="6">
        <f>Z350/L350</f>
        <v>0.6333333333333333</v>
      </c>
      <c r="AQ350" s="6">
        <f>AJ350/M350</f>
        <v>0.91200000000000003</v>
      </c>
      <c r="AR350" s="6">
        <f>AB350/N350</f>
        <v>1</v>
      </c>
      <c r="AS350" s="4"/>
      <c r="AT350" s="4"/>
      <c r="AU350" s="4"/>
      <c r="AV350" s="4"/>
      <c r="AW350" s="4"/>
      <c r="AX350" s="4"/>
      <c r="AY350" s="4"/>
      <c r="AZ350" s="4"/>
      <c r="BA350" s="4"/>
      <c r="BB350" s="4">
        <v>0</v>
      </c>
      <c r="BC350" s="4" t="s">
        <v>3534</v>
      </c>
      <c r="BD350" s="4"/>
      <c r="BE350" s="4"/>
      <c r="BF350" s="4" t="s">
        <v>3534</v>
      </c>
      <c r="BG350" s="4" t="s">
        <v>3534</v>
      </c>
      <c r="BH350" s="4" t="s">
        <v>3534</v>
      </c>
      <c r="BI350" s="4" t="str">
        <f t="shared" si="66"/>
        <v>-</v>
      </c>
      <c r="BJ350" s="19">
        <v>4</v>
      </c>
      <c r="BK350" s="19">
        <v>8</v>
      </c>
      <c r="BL350" s="16">
        <v>6</v>
      </c>
      <c r="BM350" s="45" t="s">
        <v>3534</v>
      </c>
      <c r="BN350" t="s">
        <v>3534</v>
      </c>
      <c r="BO350" t="str">
        <f t="shared" si="59"/>
        <v>-</v>
      </c>
      <c r="BP350" t="s">
        <v>3534</v>
      </c>
      <c r="BQ350">
        <v>342</v>
      </c>
      <c r="BR350">
        <f t="shared" si="60"/>
        <v>342</v>
      </c>
      <c r="BS350" t="s">
        <v>3534</v>
      </c>
    </row>
    <row r="351" spans="1:71" x14ac:dyDescent="0.4">
      <c r="A351" s="3">
        <v>348</v>
      </c>
      <c r="B351" s="3">
        <v>348</v>
      </c>
      <c r="C351" s="4" t="s">
        <v>410</v>
      </c>
      <c r="D351" s="4" t="str">
        <f t="shared" si="61"/>
        <v>J244WH</v>
      </c>
      <c r="E351" s="4" t="s">
        <v>410</v>
      </c>
      <c r="F351" s="4" t="s">
        <v>1629</v>
      </c>
      <c r="G351" s="5">
        <v>4521718180212</v>
      </c>
      <c r="H351" s="5"/>
      <c r="I351" s="5"/>
      <c r="J351" s="5">
        <v>1</v>
      </c>
      <c r="K351" s="5">
        <v>1</v>
      </c>
      <c r="L351" s="4">
        <v>1000</v>
      </c>
      <c r="M351" s="4">
        <v>700</v>
      </c>
      <c r="N351" s="4">
        <v>446</v>
      </c>
      <c r="O351" s="6">
        <f t="shared" si="62"/>
        <v>0.36285714285714288</v>
      </c>
      <c r="P351" s="4" t="s">
        <v>2500</v>
      </c>
      <c r="Q351" s="4"/>
      <c r="R351" s="4"/>
      <c r="S351" s="4"/>
      <c r="T351" s="4"/>
      <c r="U351" s="4"/>
      <c r="V351" s="4"/>
      <c r="W351" s="4"/>
      <c r="X351" s="4"/>
      <c r="Y351" s="4">
        <v>637</v>
      </c>
      <c r="Z351" s="4">
        <f t="shared" si="63"/>
        <v>637</v>
      </c>
      <c r="AA351" s="4">
        <v>446</v>
      </c>
      <c r="AB351" s="4">
        <f t="shared" si="64"/>
        <v>446</v>
      </c>
      <c r="AC351" s="4"/>
      <c r="AD351" s="21">
        <f>ROUND(M351*AR351,0)</f>
        <v>700</v>
      </c>
      <c r="AE351" s="6">
        <f>1-AB351/AD351</f>
        <v>0.36285714285714288</v>
      </c>
      <c r="AF351" s="33">
        <v>0</v>
      </c>
      <c r="AG351" s="4">
        <f t="shared" si="65"/>
        <v>890</v>
      </c>
      <c r="AH351" s="33">
        <f t="shared" si="58"/>
        <v>890</v>
      </c>
      <c r="AI351" s="6">
        <f>1-AB351/AH351</f>
        <v>0.49887640449438198</v>
      </c>
      <c r="AJ351" s="7">
        <v>637</v>
      </c>
      <c r="AK351" s="6">
        <f>1-AB351/AJ351</f>
        <v>0.29984301412872838</v>
      </c>
      <c r="AL351" s="4">
        <f>AJ351-AB351</f>
        <v>191</v>
      </c>
      <c r="AM351" s="28"/>
      <c r="AN351" s="6"/>
      <c r="AO351" s="6"/>
      <c r="AP351" s="6">
        <f>Z351/L351</f>
        <v>0.63700000000000001</v>
      </c>
      <c r="AQ351" s="6">
        <f>AJ351/M351</f>
        <v>0.91</v>
      </c>
      <c r="AR351" s="6">
        <f>AB351/N351</f>
        <v>1</v>
      </c>
      <c r="AS351" s="4"/>
      <c r="AT351" s="4"/>
      <c r="AU351" s="4"/>
      <c r="AV351" s="4"/>
      <c r="AW351" s="4"/>
      <c r="AX351" s="4"/>
      <c r="AY351" s="4"/>
      <c r="AZ351" s="4"/>
      <c r="BA351" s="4"/>
      <c r="BB351" s="4">
        <v>0</v>
      </c>
      <c r="BC351" s="4" t="s">
        <v>3883</v>
      </c>
      <c r="BD351" s="4">
        <v>1</v>
      </c>
      <c r="BE351" s="4">
        <v>2</v>
      </c>
      <c r="BF351" s="4" t="s">
        <v>3659</v>
      </c>
      <c r="BG351" s="4">
        <v>1780</v>
      </c>
      <c r="BH351" s="4">
        <v>1780</v>
      </c>
      <c r="BI351" s="4">
        <f t="shared" si="66"/>
        <v>890</v>
      </c>
      <c r="BJ351" s="19">
        <v>4</v>
      </c>
      <c r="BK351" s="19">
        <v>8</v>
      </c>
      <c r="BL351" s="16">
        <v>6</v>
      </c>
      <c r="BM351" s="45" t="s">
        <v>3534</v>
      </c>
      <c r="BN351" t="s">
        <v>3534</v>
      </c>
      <c r="BO351" t="str">
        <f t="shared" si="59"/>
        <v>-</v>
      </c>
      <c r="BP351" t="s">
        <v>3534</v>
      </c>
      <c r="BQ351">
        <v>592</v>
      </c>
      <c r="BR351">
        <f t="shared" si="60"/>
        <v>592</v>
      </c>
      <c r="BS351" t="s">
        <v>2800</v>
      </c>
    </row>
    <row r="352" spans="1:71" x14ac:dyDescent="0.4">
      <c r="A352" s="3">
        <v>349</v>
      </c>
      <c r="B352" s="3">
        <v>349</v>
      </c>
      <c r="C352" s="4" t="s">
        <v>411</v>
      </c>
      <c r="D352" s="4" t="str">
        <f t="shared" si="61"/>
        <v>J246WH</v>
      </c>
      <c r="E352" s="4" t="s">
        <v>411</v>
      </c>
      <c r="F352" s="4" t="s">
        <v>1630</v>
      </c>
      <c r="G352" s="5">
        <v>4521718187181</v>
      </c>
      <c r="H352" s="5"/>
      <c r="I352" s="5"/>
      <c r="J352" s="5">
        <v>1</v>
      </c>
      <c r="K352" s="5">
        <v>1</v>
      </c>
      <c r="L352" s="4">
        <v>780</v>
      </c>
      <c r="M352" s="4">
        <v>550</v>
      </c>
      <c r="N352" s="4">
        <v>350</v>
      </c>
      <c r="O352" s="6">
        <f t="shared" si="62"/>
        <v>0.36363636363636365</v>
      </c>
      <c r="P352" s="4" t="s">
        <v>2500</v>
      </c>
      <c r="Q352" s="4"/>
      <c r="R352" s="4"/>
      <c r="S352" s="4"/>
      <c r="T352" s="4"/>
      <c r="U352" s="4"/>
      <c r="V352" s="4"/>
      <c r="W352" s="4"/>
      <c r="X352" s="4"/>
      <c r="Y352" s="4">
        <v>500</v>
      </c>
      <c r="Z352" s="4">
        <f t="shared" si="63"/>
        <v>500</v>
      </c>
      <c r="AA352" s="4">
        <v>350</v>
      </c>
      <c r="AB352" s="4">
        <f t="shared" si="64"/>
        <v>350</v>
      </c>
      <c r="AC352" s="4"/>
      <c r="AD352" s="21">
        <f>ROUND(M352*AR352,0)</f>
        <v>550</v>
      </c>
      <c r="AE352" s="6">
        <f>1-AB352/AD352</f>
        <v>0.36363636363636365</v>
      </c>
      <c r="AF352" s="33">
        <v>0</v>
      </c>
      <c r="AG352" s="4">
        <f t="shared" si="65"/>
        <v>500</v>
      </c>
      <c r="AH352" s="33">
        <f t="shared" si="58"/>
        <v>500</v>
      </c>
      <c r="AI352" s="6">
        <f>1-AB352/AH352</f>
        <v>0.30000000000000004</v>
      </c>
      <c r="AJ352" s="7">
        <v>500</v>
      </c>
      <c r="AK352" s="6">
        <f>1-AB352/AJ352</f>
        <v>0.30000000000000004</v>
      </c>
      <c r="AL352" s="4">
        <f>AJ352-AB352</f>
        <v>150</v>
      </c>
      <c r="AM352" s="28"/>
      <c r="AN352" s="6"/>
      <c r="AO352" s="6"/>
      <c r="AP352" s="6">
        <f>Z352/L352</f>
        <v>0.64102564102564108</v>
      </c>
      <c r="AQ352" s="6">
        <f>AJ352/M352</f>
        <v>0.90909090909090906</v>
      </c>
      <c r="AR352" s="6">
        <f>AB352/N352</f>
        <v>1</v>
      </c>
      <c r="AS352" s="4"/>
      <c r="AT352" s="4"/>
      <c r="AU352" s="4"/>
      <c r="AV352" s="4"/>
      <c r="AW352" s="4"/>
      <c r="AX352" s="4"/>
      <c r="AY352" s="4"/>
      <c r="AZ352" s="4"/>
      <c r="BA352" s="4"/>
      <c r="BB352" s="4">
        <v>0</v>
      </c>
      <c r="BC352" s="4" t="s">
        <v>3884</v>
      </c>
      <c r="BD352" s="4"/>
      <c r="BE352" s="4"/>
      <c r="BF352" s="4" t="s">
        <v>3649</v>
      </c>
      <c r="BG352" s="4">
        <v>500</v>
      </c>
      <c r="BH352" s="4">
        <v>500</v>
      </c>
      <c r="BI352" s="4">
        <f t="shared" si="66"/>
        <v>500</v>
      </c>
      <c r="BJ352" s="19">
        <v>4</v>
      </c>
      <c r="BK352" s="19">
        <v>8</v>
      </c>
      <c r="BL352" s="16">
        <v>6</v>
      </c>
      <c r="BM352" s="45" t="s">
        <v>3534</v>
      </c>
      <c r="BN352" t="s">
        <v>3534</v>
      </c>
      <c r="BO352" t="str">
        <f t="shared" si="59"/>
        <v>-</v>
      </c>
      <c r="BP352" t="s">
        <v>3534</v>
      </c>
      <c r="BQ352">
        <v>741</v>
      </c>
      <c r="BR352">
        <f t="shared" si="60"/>
        <v>741</v>
      </c>
      <c r="BS352" t="s">
        <v>2801</v>
      </c>
    </row>
    <row r="353" spans="1:71" x14ac:dyDescent="0.4">
      <c r="A353" s="3">
        <v>350</v>
      </c>
      <c r="B353" s="3">
        <v>350</v>
      </c>
      <c r="C353" s="4" t="s">
        <v>412</v>
      </c>
      <c r="D353" s="4" t="str">
        <f t="shared" si="61"/>
        <v>J247WH</v>
      </c>
      <c r="E353" s="4" t="s">
        <v>412</v>
      </c>
      <c r="F353" s="4" t="s">
        <v>1631</v>
      </c>
      <c r="G353" s="5">
        <v>4521718187198</v>
      </c>
      <c r="H353" s="5"/>
      <c r="I353" s="5"/>
      <c r="J353" s="5">
        <v>1</v>
      </c>
      <c r="K353" s="5">
        <v>1</v>
      </c>
      <c r="L353" s="4">
        <v>780</v>
      </c>
      <c r="M353" s="4">
        <v>550</v>
      </c>
      <c r="N353" s="4">
        <v>350</v>
      </c>
      <c r="O353" s="6">
        <f t="shared" si="62"/>
        <v>0.36363636363636365</v>
      </c>
      <c r="P353" s="4" t="s">
        <v>2500</v>
      </c>
      <c r="Q353" s="4"/>
      <c r="R353" s="4"/>
      <c r="S353" s="4"/>
      <c r="T353" s="4"/>
      <c r="U353" s="4"/>
      <c r="V353" s="4"/>
      <c r="W353" s="4"/>
      <c r="X353" s="4"/>
      <c r="Y353" s="4">
        <v>500</v>
      </c>
      <c r="Z353" s="4">
        <f t="shared" si="63"/>
        <v>500</v>
      </c>
      <c r="AA353" s="4">
        <v>350</v>
      </c>
      <c r="AB353" s="4">
        <f t="shared" si="64"/>
        <v>350</v>
      </c>
      <c r="AC353" s="4"/>
      <c r="AD353" s="21">
        <f>ROUND(M353*AR353,0)</f>
        <v>550</v>
      </c>
      <c r="AE353" s="6">
        <f>1-AB353/AD353</f>
        <v>0.36363636363636365</v>
      </c>
      <c r="AF353" s="33">
        <v>0</v>
      </c>
      <c r="AG353" s="4">
        <f t="shared" si="65"/>
        <v>780</v>
      </c>
      <c r="AH353" s="33">
        <f t="shared" si="58"/>
        <v>780</v>
      </c>
      <c r="AI353" s="6">
        <f>1-AB353/AH353</f>
        <v>0.55128205128205132</v>
      </c>
      <c r="AJ353" s="7">
        <v>500</v>
      </c>
      <c r="AK353" s="6">
        <f>1-AB353/AJ353</f>
        <v>0.30000000000000004</v>
      </c>
      <c r="AL353" s="4">
        <f>AJ353-AB353</f>
        <v>150</v>
      </c>
      <c r="AM353" s="28"/>
      <c r="AN353" s="6"/>
      <c r="AO353" s="6"/>
      <c r="AP353" s="6">
        <f>Z353/L353</f>
        <v>0.64102564102564108</v>
      </c>
      <c r="AQ353" s="6">
        <f>AJ353/M353</f>
        <v>0.90909090909090906</v>
      </c>
      <c r="AR353" s="6">
        <f>AB353/N353</f>
        <v>1</v>
      </c>
      <c r="AS353" s="4"/>
      <c r="AT353" s="4"/>
      <c r="AU353" s="4"/>
      <c r="AV353" s="4"/>
      <c r="AW353" s="4"/>
      <c r="AX353" s="4"/>
      <c r="AY353" s="4"/>
      <c r="AZ353" s="4"/>
      <c r="BA353" s="4"/>
      <c r="BB353" s="4">
        <v>0</v>
      </c>
      <c r="BC353" s="4" t="s">
        <v>3885</v>
      </c>
      <c r="BD353" s="4">
        <v>1</v>
      </c>
      <c r="BE353" s="4">
        <v>2</v>
      </c>
      <c r="BF353" s="4" t="s">
        <v>3631</v>
      </c>
      <c r="BG353" s="4">
        <v>1560</v>
      </c>
      <c r="BH353" s="4">
        <v>1560</v>
      </c>
      <c r="BI353" s="4">
        <f t="shared" si="66"/>
        <v>780</v>
      </c>
      <c r="BJ353" s="19">
        <v>4</v>
      </c>
      <c r="BK353" s="19">
        <v>8</v>
      </c>
      <c r="BL353" s="16">
        <v>6</v>
      </c>
      <c r="BM353" s="45" t="s">
        <v>3534</v>
      </c>
      <c r="BN353" t="s">
        <v>3534</v>
      </c>
      <c r="BO353" t="str">
        <f t="shared" si="59"/>
        <v>-</v>
      </c>
      <c r="BP353" t="s">
        <v>3534</v>
      </c>
      <c r="BQ353">
        <v>741</v>
      </c>
      <c r="BR353">
        <f t="shared" si="60"/>
        <v>741</v>
      </c>
      <c r="BS353" t="s">
        <v>2802</v>
      </c>
    </row>
    <row r="354" spans="1:71" x14ac:dyDescent="0.4">
      <c r="A354" s="3">
        <v>351</v>
      </c>
      <c r="B354" s="3">
        <v>351</v>
      </c>
      <c r="C354" s="4" t="s">
        <v>413</v>
      </c>
      <c r="D354" s="4" t="str">
        <f t="shared" si="61"/>
        <v>J245WH</v>
      </c>
      <c r="E354" s="4" t="s">
        <v>413</v>
      </c>
      <c r="F354" s="4" t="s">
        <v>1632</v>
      </c>
      <c r="G354" s="5">
        <v>4521718187174</v>
      </c>
      <c r="H354" s="5"/>
      <c r="I354" s="5"/>
      <c r="J354" s="5">
        <v>1</v>
      </c>
      <c r="K354" s="5">
        <v>1</v>
      </c>
      <c r="L354" s="4">
        <v>780</v>
      </c>
      <c r="M354" s="4">
        <v>550</v>
      </c>
      <c r="N354" s="4">
        <v>350</v>
      </c>
      <c r="O354" s="6">
        <f t="shared" si="62"/>
        <v>0.36363636363636365</v>
      </c>
      <c r="P354" s="4" t="s">
        <v>2500</v>
      </c>
      <c r="Q354" s="4"/>
      <c r="R354" s="4"/>
      <c r="S354" s="4"/>
      <c r="T354" s="4"/>
      <c r="U354" s="4"/>
      <c r="V354" s="4"/>
      <c r="W354" s="4"/>
      <c r="X354" s="4"/>
      <c r="Y354" s="4">
        <v>500</v>
      </c>
      <c r="Z354" s="4">
        <f t="shared" si="63"/>
        <v>500</v>
      </c>
      <c r="AA354" s="4">
        <v>350</v>
      </c>
      <c r="AB354" s="4">
        <f t="shared" si="64"/>
        <v>350</v>
      </c>
      <c r="AC354" s="4"/>
      <c r="AD354" s="21">
        <f>ROUND(M354*AR354,0)</f>
        <v>550</v>
      </c>
      <c r="AE354" s="6">
        <f>1-AB354/AD354</f>
        <v>0.36363636363636365</v>
      </c>
      <c r="AF354" s="33">
        <v>0.25</v>
      </c>
      <c r="AG354" s="4">
        <f t="shared" si="65"/>
        <v>500</v>
      </c>
      <c r="AH354" s="33">
        <f t="shared" si="58"/>
        <v>500</v>
      </c>
      <c r="AI354" s="6">
        <f>1-AB354/AH354</f>
        <v>0.30000000000000004</v>
      </c>
      <c r="AJ354" s="7">
        <v>500</v>
      </c>
      <c r="AK354" s="6">
        <f>1-AB354/AJ354</f>
        <v>0.30000000000000004</v>
      </c>
      <c r="AL354" s="4">
        <f>AJ354-AB354</f>
        <v>150</v>
      </c>
      <c r="AM354" s="28"/>
      <c r="AN354" s="6"/>
      <c r="AO354" s="6"/>
      <c r="AP354" s="6">
        <f>Z354/L354</f>
        <v>0.64102564102564108</v>
      </c>
      <c r="AQ354" s="6">
        <f>AJ354/M354</f>
        <v>0.90909090909090906</v>
      </c>
      <c r="AR354" s="6">
        <f>AB354/N354</f>
        <v>1</v>
      </c>
      <c r="AS354" s="4"/>
      <c r="AT354" s="4"/>
      <c r="AU354" s="4"/>
      <c r="AV354" s="4"/>
      <c r="AW354" s="4"/>
      <c r="AX354" s="4"/>
      <c r="AY354" s="4"/>
      <c r="AZ354" s="4"/>
      <c r="BA354" s="4"/>
      <c r="BB354" s="4">
        <v>0</v>
      </c>
      <c r="BC354" s="4" t="s">
        <v>3886</v>
      </c>
      <c r="BD354" s="4"/>
      <c r="BE354" s="4"/>
      <c r="BF354" s="4" t="s">
        <v>3649</v>
      </c>
      <c r="BG354" s="4">
        <v>500</v>
      </c>
      <c r="BH354" s="4">
        <v>500</v>
      </c>
      <c r="BI354" s="4">
        <f t="shared" si="66"/>
        <v>500</v>
      </c>
      <c r="BJ354" s="19">
        <v>4</v>
      </c>
      <c r="BK354" s="19">
        <v>8</v>
      </c>
      <c r="BL354" s="16">
        <v>6</v>
      </c>
      <c r="BM354" s="45" t="s">
        <v>3534</v>
      </c>
      <c r="BN354" t="s">
        <v>3534</v>
      </c>
      <c r="BO354" t="str">
        <f t="shared" si="59"/>
        <v>-</v>
      </c>
      <c r="BP354" t="s">
        <v>3534</v>
      </c>
      <c r="BQ354">
        <v>741</v>
      </c>
      <c r="BR354">
        <f t="shared" si="60"/>
        <v>741</v>
      </c>
      <c r="BS354" t="s">
        <v>2803</v>
      </c>
    </row>
    <row r="355" spans="1:71" x14ac:dyDescent="0.4">
      <c r="A355" s="3">
        <v>352</v>
      </c>
      <c r="B355" s="3">
        <v>352</v>
      </c>
      <c r="C355" s="4" t="s">
        <v>414</v>
      </c>
      <c r="D355" s="4" t="str">
        <f t="shared" si="61"/>
        <v>J248WH</v>
      </c>
      <c r="E355" s="4" t="s">
        <v>414</v>
      </c>
      <c r="F355" s="4" t="s">
        <v>1633</v>
      </c>
      <c r="G355" s="5">
        <v>4521718190808</v>
      </c>
      <c r="H355" s="5"/>
      <c r="I355" s="5"/>
      <c r="J355" s="5">
        <v>1</v>
      </c>
      <c r="K355" s="5">
        <v>1</v>
      </c>
      <c r="L355" s="4">
        <v>570</v>
      </c>
      <c r="M355" s="4">
        <v>400</v>
      </c>
      <c r="N355" s="4">
        <v>254</v>
      </c>
      <c r="O355" s="6">
        <f t="shared" si="62"/>
        <v>0.36499999999999999</v>
      </c>
      <c r="P355" s="4" t="s">
        <v>2500</v>
      </c>
      <c r="Q355" s="4"/>
      <c r="R355" s="4"/>
      <c r="S355" s="4"/>
      <c r="T355" s="4"/>
      <c r="U355" s="4"/>
      <c r="V355" s="4"/>
      <c r="W355" s="4"/>
      <c r="X355" s="4"/>
      <c r="Y355" s="4">
        <v>391</v>
      </c>
      <c r="Z355" s="4">
        <f t="shared" si="63"/>
        <v>391</v>
      </c>
      <c r="AA355" s="4">
        <v>254</v>
      </c>
      <c r="AB355" s="4">
        <f t="shared" si="64"/>
        <v>254</v>
      </c>
      <c r="AC355" s="4"/>
      <c r="AD355" s="21">
        <f>ROUND(M355*AR355,0)</f>
        <v>400</v>
      </c>
      <c r="AE355" s="6">
        <f>1-AB355/AD355</f>
        <v>0.36499999999999999</v>
      </c>
      <c r="AF355" s="33">
        <v>0</v>
      </c>
      <c r="AG355" s="4">
        <f t="shared" si="65"/>
        <v>570</v>
      </c>
      <c r="AH355" s="33">
        <f t="shared" si="58"/>
        <v>570</v>
      </c>
      <c r="AI355" s="6">
        <f>1-AB355/AH355</f>
        <v>0.55438596491228065</v>
      </c>
      <c r="AJ355" s="7">
        <f>ROUND(AB355/0.65,0)</f>
        <v>391</v>
      </c>
      <c r="AK355" s="6">
        <f>1-AB355/AJ355</f>
        <v>0.35038363171355502</v>
      </c>
      <c r="AL355" s="4">
        <f>AJ355-AB355</f>
        <v>137</v>
      </c>
      <c r="AM355" s="28"/>
      <c r="AN355" s="6"/>
      <c r="AO355" s="6"/>
      <c r="AP355" s="6">
        <f>Z355/L355</f>
        <v>0.68596491228070178</v>
      </c>
      <c r="AQ355" s="6">
        <f>AJ355/M355</f>
        <v>0.97750000000000004</v>
      </c>
      <c r="AR355" s="6">
        <f>AB355/N355</f>
        <v>1</v>
      </c>
      <c r="AS355" s="4"/>
      <c r="AT355" s="4"/>
      <c r="AU355" s="4"/>
      <c r="AV355" s="4"/>
      <c r="AW355" s="4"/>
      <c r="AX355" s="4"/>
      <c r="AY355" s="4"/>
      <c r="AZ355" s="4"/>
      <c r="BA355" s="4"/>
      <c r="BB355" s="4">
        <v>0</v>
      </c>
      <c r="BC355" s="4" t="s">
        <v>3887</v>
      </c>
      <c r="BD355" s="4">
        <v>1</v>
      </c>
      <c r="BE355" s="4">
        <v>3</v>
      </c>
      <c r="BF355" s="4" t="s">
        <v>3601</v>
      </c>
      <c r="BG355" s="4">
        <v>1710</v>
      </c>
      <c r="BH355" s="4">
        <v>1710</v>
      </c>
      <c r="BI355" s="4">
        <f t="shared" si="66"/>
        <v>570</v>
      </c>
      <c r="BJ355" s="19">
        <v>4</v>
      </c>
      <c r="BK355" s="19">
        <v>8</v>
      </c>
      <c r="BL355" s="16">
        <v>6</v>
      </c>
      <c r="BM355" s="45" t="s">
        <v>3534</v>
      </c>
      <c r="BN355" t="s">
        <v>3534</v>
      </c>
      <c r="BO355" t="str">
        <f t="shared" si="59"/>
        <v>-</v>
      </c>
      <c r="BP355" t="s">
        <v>3534</v>
      </c>
      <c r="BQ355">
        <v>542</v>
      </c>
      <c r="BR355">
        <f t="shared" si="60"/>
        <v>542</v>
      </c>
      <c r="BS355" t="s">
        <v>2804</v>
      </c>
    </row>
    <row r="356" spans="1:71" x14ac:dyDescent="0.4">
      <c r="A356" s="3">
        <v>353</v>
      </c>
      <c r="B356" s="3">
        <v>353</v>
      </c>
      <c r="C356" s="4" t="s">
        <v>415</v>
      </c>
      <c r="D356" s="4" t="str">
        <f t="shared" si="61"/>
        <v>J250WH</v>
      </c>
      <c r="E356" s="4" t="s">
        <v>415</v>
      </c>
      <c r="F356" s="4" t="s">
        <v>1634</v>
      </c>
      <c r="G356" s="5">
        <v>4521718191287</v>
      </c>
      <c r="H356" s="5"/>
      <c r="I356" s="5"/>
      <c r="J356" s="5">
        <v>1</v>
      </c>
      <c r="K356" s="5">
        <v>1</v>
      </c>
      <c r="L356" s="4">
        <v>350</v>
      </c>
      <c r="M356" s="4">
        <v>250</v>
      </c>
      <c r="N356" s="4">
        <v>154</v>
      </c>
      <c r="O356" s="6">
        <f t="shared" si="62"/>
        <v>0.38400000000000001</v>
      </c>
      <c r="P356" s="4" t="s">
        <v>2500</v>
      </c>
      <c r="Q356" s="4"/>
      <c r="R356" s="4"/>
      <c r="S356" s="4"/>
      <c r="T356" s="4"/>
      <c r="U356" s="4"/>
      <c r="V356" s="4"/>
      <c r="W356" s="4"/>
      <c r="X356" s="4"/>
      <c r="Y356" s="4">
        <v>237</v>
      </c>
      <c r="Z356" s="4">
        <f t="shared" si="63"/>
        <v>237</v>
      </c>
      <c r="AA356" s="4">
        <v>154</v>
      </c>
      <c r="AB356" s="4">
        <f t="shared" si="64"/>
        <v>154</v>
      </c>
      <c r="AC356" s="4"/>
      <c r="AD356" s="21">
        <f>ROUND(M356*AR356,0)</f>
        <v>250</v>
      </c>
      <c r="AE356" s="6">
        <f>1-AB356/AD356</f>
        <v>0.38400000000000001</v>
      </c>
      <c r="AF356" s="33">
        <v>0</v>
      </c>
      <c r="AG356" s="4">
        <f t="shared" si="65"/>
        <v>350</v>
      </c>
      <c r="AH356" s="33">
        <f t="shared" si="58"/>
        <v>350</v>
      </c>
      <c r="AI356" s="6">
        <f>1-AB356/AH356</f>
        <v>0.56000000000000005</v>
      </c>
      <c r="AJ356" s="7">
        <f>ROUND(AB356/0.65,0)</f>
        <v>237</v>
      </c>
      <c r="AK356" s="6">
        <f>1-AB356/AJ356</f>
        <v>0.35021097046413507</v>
      </c>
      <c r="AL356" s="4">
        <f>AJ356-AB356</f>
        <v>83</v>
      </c>
      <c r="AM356" s="28"/>
      <c r="AN356" s="6"/>
      <c r="AO356" s="6"/>
      <c r="AP356" s="6">
        <f>Z356/L356</f>
        <v>0.67714285714285716</v>
      </c>
      <c r="AQ356" s="6">
        <f>AJ356/M356</f>
        <v>0.94799999999999995</v>
      </c>
      <c r="AR356" s="6">
        <f>AB356/N356</f>
        <v>1</v>
      </c>
      <c r="AS356" s="4"/>
      <c r="AT356" s="4"/>
      <c r="AU356" s="4"/>
      <c r="AV356" s="4"/>
      <c r="AW356" s="4"/>
      <c r="AX356" s="4"/>
      <c r="AY356" s="4"/>
      <c r="AZ356" s="4"/>
      <c r="BA356" s="4"/>
      <c r="BB356" s="4">
        <v>0</v>
      </c>
      <c r="BC356" s="4" t="s">
        <v>3888</v>
      </c>
      <c r="BD356" s="4">
        <v>1</v>
      </c>
      <c r="BE356" s="4">
        <v>5</v>
      </c>
      <c r="BF356" s="4" t="s">
        <v>3731</v>
      </c>
      <c r="BG356" s="4">
        <v>1750</v>
      </c>
      <c r="BH356" s="4">
        <v>1750</v>
      </c>
      <c r="BI356" s="4">
        <f t="shared" si="66"/>
        <v>350</v>
      </c>
      <c r="BJ356" s="19">
        <v>4</v>
      </c>
      <c r="BK356" s="19">
        <v>8</v>
      </c>
      <c r="BL356" s="16">
        <v>6</v>
      </c>
      <c r="BM356" s="45" t="s">
        <v>3534</v>
      </c>
      <c r="BN356" t="s">
        <v>3534</v>
      </c>
      <c r="BO356" t="str">
        <f t="shared" si="59"/>
        <v>-</v>
      </c>
      <c r="BP356" t="s">
        <v>3534</v>
      </c>
      <c r="BQ356">
        <v>333</v>
      </c>
      <c r="BR356">
        <f t="shared" si="60"/>
        <v>333</v>
      </c>
      <c r="BS356" t="s">
        <v>2805</v>
      </c>
    </row>
    <row r="357" spans="1:71" x14ac:dyDescent="0.4">
      <c r="A357" s="3">
        <v>354</v>
      </c>
      <c r="B357" s="3">
        <v>354</v>
      </c>
      <c r="C357" s="4" t="s">
        <v>416</v>
      </c>
      <c r="D357" s="4" t="str">
        <f t="shared" si="61"/>
        <v>J251WH</v>
      </c>
      <c r="E357" s="4" t="s">
        <v>416</v>
      </c>
      <c r="F357" s="4" t="s">
        <v>1635</v>
      </c>
      <c r="G357" s="5">
        <v>4521718191294</v>
      </c>
      <c r="H357" s="5"/>
      <c r="I357" s="5"/>
      <c r="J357" s="5">
        <v>1</v>
      </c>
      <c r="K357" s="5">
        <v>1</v>
      </c>
      <c r="L357" s="4">
        <v>350</v>
      </c>
      <c r="M357" s="4">
        <v>250</v>
      </c>
      <c r="N357" s="4">
        <v>154</v>
      </c>
      <c r="O357" s="6">
        <f t="shared" si="62"/>
        <v>0.38400000000000001</v>
      </c>
      <c r="P357" s="4" t="s">
        <v>2500</v>
      </c>
      <c r="Q357" s="4"/>
      <c r="R357" s="4"/>
      <c r="S357" s="4"/>
      <c r="T357" s="4"/>
      <c r="U357" s="4"/>
      <c r="V357" s="4"/>
      <c r="W357" s="4"/>
      <c r="X357" s="4"/>
      <c r="Y357" s="4">
        <v>237</v>
      </c>
      <c r="Z357" s="4">
        <f t="shared" si="63"/>
        <v>237</v>
      </c>
      <c r="AA357" s="4">
        <v>154</v>
      </c>
      <c r="AB357" s="4">
        <f t="shared" si="64"/>
        <v>154</v>
      </c>
      <c r="AC357" s="4"/>
      <c r="AD357" s="21">
        <f>ROUND(M357*AR357,0)</f>
        <v>250</v>
      </c>
      <c r="AE357" s="6">
        <f>1-AB357/AD357</f>
        <v>0.38400000000000001</v>
      </c>
      <c r="AF357" s="33">
        <v>0</v>
      </c>
      <c r="AG357" s="4">
        <f t="shared" si="65"/>
        <v>350</v>
      </c>
      <c r="AH357" s="33">
        <f t="shared" si="58"/>
        <v>350</v>
      </c>
      <c r="AI357" s="6">
        <f>1-AB357/AH357</f>
        <v>0.56000000000000005</v>
      </c>
      <c r="AJ357" s="7">
        <f>ROUND(AB357/0.65,0)</f>
        <v>237</v>
      </c>
      <c r="AK357" s="6">
        <f>1-AB357/AJ357</f>
        <v>0.35021097046413507</v>
      </c>
      <c r="AL357" s="4">
        <f>AJ357-AB357</f>
        <v>83</v>
      </c>
      <c r="AM357" s="28"/>
      <c r="AN357" s="6"/>
      <c r="AO357" s="6"/>
      <c r="AP357" s="6">
        <f>Z357/L357</f>
        <v>0.67714285714285716</v>
      </c>
      <c r="AQ357" s="6">
        <f>AJ357/M357</f>
        <v>0.94799999999999995</v>
      </c>
      <c r="AR357" s="6">
        <f>AB357/N357</f>
        <v>1</v>
      </c>
      <c r="AS357" s="4"/>
      <c r="AT357" s="4"/>
      <c r="AU357" s="4"/>
      <c r="AV357" s="4"/>
      <c r="AW357" s="4"/>
      <c r="AX357" s="4"/>
      <c r="AY357" s="4"/>
      <c r="AZ357" s="4"/>
      <c r="BA357" s="4"/>
      <c r="BB357" s="4">
        <v>0</v>
      </c>
      <c r="BC357" s="4" t="s">
        <v>3889</v>
      </c>
      <c r="BD357" s="4">
        <v>1</v>
      </c>
      <c r="BE357" s="4">
        <v>5</v>
      </c>
      <c r="BF357" s="4" t="s">
        <v>3731</v>
      </c>
      <c r="BG357" s="4">
        <v>1750</v>
      </c>
      <c r="BH357" s="4">
        <v>1750</v>
      </c>
      <c r="BI357" s="4">
        <f t="shared" si="66"/>
        <v>350</v>
      </c>
      <c r="BJ357" s="19">
        <v>4</v>
      </c>
      <c r="BK357" s="19">
        <v>8</v>
      </c>
      <c r="BL357" s="16">
        <v>6</v>
      </c>
      <c r="BM357" s="45" t="s">
        <v>3534</v>
      </c>
      <c r="BN357" t="s">
        <v>3534</v>
      </c>
      <c r="BO357" t="str">
        <f t="shared" si="59"/>
        <v>-</v>
      </c>
      <c r="BP357" t="s">
        <v>3534</v>
      </c>
      <c r="BQ357">
        <v>333</v>
      </c>
      <c r="BR357">
        <f t="shared" si="60"/>
        <v>333</v>
      </c>
      <c r="BS357" t="s">
        <v>2806</v>
      </c>
    </row>
    <row r="358" spans="1:71" x14ac:dyDescent="0.4">
      <c r="A358" s="3">
        <v>355</v>
      </c>
      <c r="B358" s="3">
        <v>355</v>
      </c>
      <c r="C358" s="4" t="s">
        <v>417</v>
      </c>
      <c r="D358" s="4" t="str">
        <f t="shared" si="61"/>
        <v>J249WH</v>
      </c>
      <c r="E358" s="4" t="s">
        <v>417</v>
      </c>
      <c r="F358" s="4" t="s">
        <v>1636</v>
      </c>
      <c r="G358" s="5">
        <v>4521718191270</v>
      </c>
      <c r="H358" s="5"/>
      <c r="I358" s="5"/>
      <c r="J358" s="5">
        <v>1</v>
      </c>
      <c r="K358" s="5">
        <v>1</v>
      </c>
      <c r="L358" s="4">
        <v>350</v>
      </c>
      <c r="M358" s="4">
        <v>250</v>
      </c>
      <c r="N358" s="4">
        <v>154</v>
      </c>
      <c r="O358" s="6">
        <f t="shared" si="62"/>
        <v>0.38400000000000001</v>
      </c>
      <c r="P358" s="4" t="s">
        <v>2500</v>
      </c>
      <c r="Q358" s="4"/>
      <c r="R358" s="4"/>
      <c r="S358" s="4"/>
      <c r="T358" s="4"/>
      <c r="U358" s="4"/>
      <c r="V358" s="4"/>
      <c r="W358" s="4"/>
      <c r="X358" s="4"/>
      <c r="Y358" s="4">
        <v>237</v>
      </c>
      <c r="Z358" s="4">
        <f t="shared" si="63"/>
        <v>237</v>
      </c>
      <c r="AA358" s="4">
        <v>154</v>
      </c>
      <c r="AB358" s="4">
        <f t="shared" si="64"/>
        <v>154</v>
      </c>
      <c r="AC358" s="4"/>
      <c r="AD358" s="21">
        <f>ROUND(M358*AR358,0)</f>
        <v>250</v>
      </c>
      <c r="AE358" s="6">
        <f>1-AB358/AD358</f>
        <v>0.38400000000000001</v>
      </c>
      <c r="AF358" s="33">
        <v>0</v>
      </c>
      <c r="AG358" s="4">
        <f t="shared" si="65"/>
        <v>350</v>
      </c>
      <c r="AH358" s="33">
        <f t="shared" si="58"/>
        <v>350</v>
      </c>
      <c r="AI358" s="6">
        <f>1-AB358/AH358</f>
        <v>0.56000000000000005</v>
      </c>
      <c r="AJ358" s="7">
        <f>ROUND(AB358/0.65,0)</f>
        <v>237</v>
      </c>
      <c r="AK358" s="6">
        <f>1-AB358/AJ358</f>
        <v>0.35021097046413507</v>
      </c>
      <c r="AL358" s="4">
        <f>AJ358-AB358</f>
        <v>83</v>
      </c>
      <c r="AM358" s="28"/>
      <c r="AN358" s="6"/>
      <c r="AO358" s="6"/>
      <c r="AP358" s="6">
        <f>Z358/L358</f>
        <v>0.67714285714285716</v>
      </c>
      <c r="AQ358" s="6">
        <f>AJ358/M358</f>
        <v>0.94799999999999995</v>
      </c>
      <c r="AR358" s="6">
        <f>AB358/N358</f>
        <v>1</v>
      </c>
      <c r="AS358" s="4"/>
      <c r="AT358" s="4"/>
      <c r="AU358" s="4"/>
      <c r="AV358" s="4"/>
      <c r="AW358" s="4"/>
      <c r="AX358" s="4"/>
      <c r="AY358" s="4"/>
      <c r="AZ358" s="4"/>
      <c r="BA358" s="4"/>
      <c r="BB358" s="4">
        <v>0</v>
      </c>
      <c r="BC358" s="4" t="s">
        <v>3890</v>
      </c>
      <c r="BD358" s="4">
        <v>1</v>
      </c>
      <c r="BE358" s="4">
        <v>5</v>
      </c>
      <c r="BF358" s="4" t="s">
        <v>3731</v>
      </c>
      <c r="BG358" s="4">
        <v>1750</v>
      </c>
      <c r="BH358" s="4">
        <v>1750</v>
      </c>
      <c r="BI358" s="4">
        <f t="shared" si="66"/>
        <v>350</v>
      </c>
      <c r="BJ358" s="19">
        <v>4</v>
      </c>
      <c r="BK358" s="19">
        <v>8</v>
      </c>
      <c r="BL358" s="16">
        <v>6</v>
      </c>
      <c r="BM358" s="45" t="s">
        <v>3534</v>
      </c>
      <c r="BN358" t="s">
        <v>3534</v>
      </c>
      <c r="BO358" t="str">
        <f t="shared" si="59"/>
        <v>-</v>
      </c>
      <c r="BP358" t="s">
        <v>3534</v>
      </c>
      <c r="BQ358">
        <v>333</v>
      </c>
      <c r="BR358">
        <f t="shared" si="60"/>
        <v>333</v>
      </c>
      <c r="BS358" t="s">
        <v>2807</v>
      </c>
    </row>
    <row r="359" spans="1:71" x14ac:dyDescent="0.4">
      <c r="A359" s="3">
        <v>356</v>
      </c>
      <c r="B359" s="3">
        <v>356</v>
      </c>
      <c r="C359" s="4" t="s">
        <v>418</v>
      </c>
      <c r="D359" s="4" t="str">
        <f t="shared" si="61"/>
        <v>J252WH</v>
      </c>
      <c r="E359" s="4" t="s">
        <v>418</v>
      </c>
      <c r="F359" s="4" t="s">
        <v>1637</v>
      </c>
      <c r="G359" s="5">
        <v>4521718191331</v>
      </c>
      <c r="H359" s="5"/>
      <c r="I359" s="5"/>
      <c r="J359" s="5">
        <v>1</v>
      </c>
      <c r="K359" s="5">
        <v>1</v>
      </c>
      <c r="L359" s="4">
        <v>440</v>
      </c>
      <c r="M359" s="4">
        <v>310</v>
      </c>
      <c r="N359" s="4">
        <v>195</v>
      </c>
      <c r="O359" s="6">
        <f t="shared" si="62"/>
        <v>0.37096774193548387</v>
      </c>
      <c r="P359" s="4" t="s">
        <v>2500</v>
      </c>
      <c r="Q359" s="4"/>
      <c r="R359" s="4"/>
      <c r="S359" s="4"/>
      <c r="T359" s="4"/>
      <c r="U359" s="4"/>
      <c r="V359" s="4"/>
      <c r="W359" s="4"/>
      <c r="X359" s="4"/>
      <c r="Y359" s="4">
        <v>300</v>
      </c>
      <c r="Z359" s="4">
        <f t="shared" si="63"/>
        <v>300</v>
      </c>
      <c r="AA359" s="4">
        <v>195</v>
      </c>
      <c r="AB359" s="4">
        <f t="shared" si="64"/>
        <v>195</v>
      </c>
      <c r="AC359" s="4"/>
      <c r="AD359" s="21">
        <f>ROUND(M359*AR359,0)</f>
        <v>310</v>
      </c>
      <c r="AE359" s="6">
        <f>1-AB359/AD359</f>
        <v>0.37096774193548387</v>
      </c>
      <c r="AF359" s="33">
        <v>0</v>
      </c>
      <c r="AG359" s="4">
        <f t="shared" si="65"/>
        <v>440</v>
      </c>
      <c r="AH359" s="33">
        <f t="shared" si="58"/>
        <v>440</v>
      </c>
      <c r="AI359" s="6">
        <f>1-AB359/AH359</f>
        <v>0.55681818181818188</v>
      </c>
      <c r="AJ359" s="7">
        <v>300</v>
      </c>
      <c r="AK359" s="6">
        <f>1-AB359/AJ359</f>
        <v>0.35</v>
      </c>
      <c r="AL359" s="4">
        <f>AJ359-AB359</f>
        <v>105</v>
      </c>
      <c r="AM359" s="28"/>
      <c r="AN359" s="6"/>
      <c r="AO359" s="6"/>
      <c r="AP359" s="6">
        <f>Z359/L359</f>
        <v>0.68181818181818177</v>
      </c>
      <c r="AQ359" s="6">
        <f>AJ359/M359</f>
        <v>0.967741935483871</v>
      </c>
      <c r="AR359" s="6">
        <f>AB359/N359</f>
        <v>1</v>
      </c>
      <c r="AS359" s="4"/>
      <c r="AT359" s="4"/>
      <c r="AU359" s="4"/>
      <c r="AV359" s="4"/>
      <c r="AW359" s="4"/>
      <c r="AX359" s="4"/>
      <c r="AY359" s="4"/>
      <c r="AZ359" s="4"/>
      <c r="BA359" s="4"/>
      <c r="BB359" s="4">
        <v>0</v>
      </c>
      <c r="BC359" s="4" t="s">
        <v>3891</v>
      </c>
      <c r="BD359" s="4">
        <v>1</v>
      </c>
      <c r="BE359" s="4">
        <v>4</v>
      </c>
      <c r="BF359" s="4" t="s">
        <v>3741</v>
      </c>
      <c r="BG359" s="4">
        <v>1760</v>
      </c>
      <c r="BH359" s="4">
        <v>1760</v>
      </c>
      <c r="BI359" s="4">
        <f t="shared" si="66"/>
        <v>440</v>
      </c>
      <c r="BJ359" s="19">
        <v>4</v>
      </c>
      <c r="BK359" s="19">
        <v>8</v>
      </c>
      <c r="BL359" s="16">
        <v>6</v>
      </c>
      <c r="BM359" s="45" t="s">
        <v>3534</v>
      </c>
      <c r="BN359" t="s">
        <v>3534</v>
      </c>
      <c r="BO359" t="str">
        <f t="shared" si="59"/>
        <v>-</v>
      </c>
      <c r="BP359" t="s">
        <v>3534</v>
      </c>
      <c r="BQ359">
        <v>418</v>
      </c>
      <c r="BR359">
        <f t="shared" si="60"/>
        <v>418</v>
      </c>
      <c r="BS359" t="s">
        <v>2808</v>
      </c>
    </row>
    <row r="360" spans="1:71" x14ac:dyDescent="0.4">
      <c r="A360" s="3">
        <v>357</v>
      </c>
      <c r="B360" s="3">
        <v>357</v>
      </c>
      <c r="C360" s="4" t="s">
        <v>419</v>
      </c>
      <c r="D360" s="4" t="str">
        <f t="shared" si="61"/>
        <v>J253WH</v>
      </c>
      <c r="E360" s="4" t="s">
        <v>419</v>
      </c>
      <c r="F360" s="4" t="s">
        <v>1638</v>
      </c>
      <c r="G360" s="5">
        <v>4521718191348</v>
      </c>
      <c r="H360" s="5"/>
      <c r="I360" s="5"/>
      <c r="J360" s="5">
        <v>1</v>
      </c>
      <c r="K360" s="5">
        <v>1</v>
      </c>
      <c r="L360" s="4">
        <v>440</v>
      </c>
      <c r="M360" s="4">
        <v>310</v>
      </c>
      <c r="N360" s="4">
        <v>195</v>
      </c>
      <c r="O360" s="6">
        <f t="shared" si="62"/>
        <v>0.37096774193548387</v>
      </c>
      <c r="P360" s="4" t="s">
        <v>2500</v>
      </c>
      <c r="Q360" s="4"/>
      <c r="R360" s="4"/>
      <c r="S360" s="4"/>
      <c r="T360" s="4"/>
      <c r="U360" s="4"/>
      <c r="V360" s="4"/>
      <c r="W360" s="4"/>
      <c r="X360" s="4"/>
      <c r="Y360" s="4">
        <v>300</v>
      </c>
      <c r="Z360" s="4">
        <f t="shared" si="63"/>
        <v>300</v>
      </c>
      <c r="AA360" s="4">
        <v>195</v>
      </c>
      <c r="AB360" s="4">
        <f t="shared" si="64"/>
        <v>195</v>
      </c>
      <c r="AC360" s="4"/>
      <c r="AD360" s="21">
        <f>ROUND(M360*AR360,0)</f>
        <v>310</v>
      </c>
      <c r="AE360" s="6">
        <f>1-AB360/AD360</f>
        <v>0.37096774193548387</v>
      </c>
      <c r="AF360" s="33">
        <v>0</v>
      </c>
      <c r="AG360" s="4">
        <f t="shared" si="65"/>
        <v>440</v>
      </c>
      <c r="AH360" s="33">
        <f t="shared" si="58"/>
        <v>440</v>
      </c>
      <c r="AI360" s="6">
        <f>1-AB360/AH360</f>
        <v>0.55681818181818188</v>
      </c>
      <c r="AJ360" s="7">
        <v>300</v>
      </c>
      <c r="AK360" s="6">
        <f>1-AB360/AJ360</f>
        <v>0.35</v>
      </c>
      <c r="AL360" s="4">
        <f>AJ360-AB360</f>
        <v>105</v>
      </c>
      <c r="AM360" s="28"/>
      <c r="AN360" s="6"/>
      <c r="AO360" s="6"/>
      <c r="AP360" s="6">
        <f>Z360/L360</f>
        <v>0.68181818181818177</v>
      </c>
      <c r="AQ360" s="6">
        <f>AJ360/M360</f>
        <v>0.967741935483871</v>
      </c>
      <c r="AR360" s="6">
        <f>AB360/N360</f>
        <v>1</v>
      </c>
      <c r="AS360" s="4"/>
      <c r="AT360" s="4"/>
      <c r="AU360" s="4"/>
      <c r="AV360" s="4"/>
      <c r="AW360" s="4"/>
      <c r="AX360" s="4"/>
      <c r="AY360" s="4"/>
      <c r="AZ360" s="4"/>
      <c r="BA360" s="4"/>
      <c r="BB360" s="4">
        <v>0</v>
      </c>
      <c r="BC360" s="4" t="s">
        <v>3892</v>
      </c>
      <c r="BD360" s="4">
        <v>1</v>
      </c>
      <c r="BE360" s="4">
        <v>4</v>
      </c>
      <c r="BF360" s="4" t="s">
        <v>3741</v>
      </c>
      <c r="BG360" s="4">
        <v>1760</v>
      </c>
      <c r="BH360" s="4">
        <v>1760</v>
      </c>
      <c r="BI360" s="4">
        <f t="shared" si="66"/>
        <v>440</v>
      </c>
      <c r="BJ360" s="19">
        <v>4</v>
      </c>
      <c r="BK360" s="19">
        <v>8</v>
      </c>
      <c r="BL360" s="16">
        <v>6</v>
      </c>
      <c r="BM360" s="45" t="s">
        <v>3534</v>
      </c>
      <c r="BN360" t="s">
        <v>3534</v>
      </c>
      <c r="BO360" t="str">
        <f t="shared" si="59"/>
        <v>-</v>
      </c>
      <c r="BP360" t="s">
        <v>3534</v>
      </c>
      <c r="BQ360">
        <v>418</v>
      </c>
      <c r="BR360">
        <f t="shared" si="60"/>
        <v>418</v>
      </c>
      <c r="BS360" t="s">
        <v>2809</v>
      </c>
    </row>
    <row r="361" spans="1:71" x14ac:dyDescent="0.4">
      <c r="A361" s="3">
        <v>358</v>
      </c>
      <c r="B361" s="3">
        <v>358</v>
      </c>
      <c r="C361" s="4" t="s">
        <v>420</v>
      </c>
      <c r="D361" s="4" t="str">
        <f t="shared" si="61"/>
        <v>J255WH</v>
      </c>
      <c r="E361" s="4" t="s">
        <v>420</v>
      </c>
      <c r="F361" s="4" t="s">
        <v>1639</v>
      </c>
      <c r="G361" s="5">
        <v>4521718191379</v>
      </c>
      <c r="H361" s="5"/>
      <c r="I361" s="5"/>
      <c r="J361" s="5">
        <v>1</v>
      </c>
      <c r="K361" s="5">
        <v>1</v>
      </c>
      <c r="L361" s="4">
        <v>520</v>
      </c>
      <c r="M361" s="4">
        <v>380</v>
      </c>
      <c r="N361" s="4">
        <v>231</v>
      </c>
      <c r="O361" s="6">
        <f t="shared" si="62"/>
        <v>0.39210526315789473</v>
      </c>
      <c r="P361" s="4" t="s">
        <v>2500</v>
      </c>
      <c r="Q361" s="4"/>
      <c r="R361" s="4"/>
      <c r="S361" s="4"/>
      <c r="T361" s="4"/>
      <c r="U361" s="4"/>
      <c r="V361" s="4"/>
      <c r="W361" s="4"/>
      <c r="X361" s="4"/>
      <c r="Y361" s="4">
        <v>355</v>
      </c>
      <c r="Z361" s="4">
        <f t="shared" si="63"/>
        <v>355</v>
      </c>
      <c r="AA361" s="4">
        <v>231</v>
      </c>
      <c r="AB361" s="4">
        <f t="shared" si="64"/>
        <v>231</v>
      </c>
      <c r="AC361" s="4"/>
      <c r="AD361" s="21">
        <f>ROUND(M361*AR361,0)</f>
        <v>380</v>
      </c>
      <c r="AE361" s="6">
        <f>1-AB361/AD361</f>
        <v>0.39210526315789473</v>
      </c>
      <c r="AF361" s="33">
        <v>0</v>
      </c>
      <c r="AG361" s="4">
        <f t="shared" si="65"/>
        <v>520</v>
      </c>
      <c r="AH361" s="33">
        <f t="shared" si="58"/>
        <v>520</v>
      </c>
      <c r="AI361" s="6">
        <f>1-AB361/AH361</f>
        <v>0.55576923076923079</v>
      </c>
      <c r="AJ361" s="7">
        <v>355</v>
      </c>
      <c r="AK361" s="6">
        <f>1-AB361/AJ361</f>
        <v>0.3492957746478873</v>
      </c>
      <c r="AL361" s="4">
        <f>AJ361-AB361</f>
        <v>124</v>
      </c>
      <c r="AM361" s="28"/>
      <c r="AN361" s="6"/>
      <c r="AO361" s="6"/>
      <c r="AP361" s="6">
        <f>Z361/L361</f>
        <v>0.68269230769230771</v>
      </c>
      <c r="AQ361" s="6">
        <f>AJ361/M361</f>
        <v>0.93421052631578949</v>
      </c>
      <c r="AR361" s="6">
        <f>AB361/N361</f>
        <v>1</v>
      </c>
      <c r="AS361" s="4"/>
      <c r="AT361" s="4"/>
      <c r="AU361" s="4"/>
      <c r="AV361" s="4"/>
      <c r="AW361" s="4"/>
      <c r="AX361" s="4"/>
      <c r="AY361" s="4"/>
      <c r="AZ361" s="4"/>
      <c r="BA361" s="4"/>
      <c r="BB361" s="4">
        <v>0</v>
      </c>
      <c r="BC361" s="4" t="s">
        <v>3893</v>
      </c>
      <c r="BD361" s="4">
        <v>1</v>
      </c>
      <c r="BE361" s="4">
        <v>3</v>
      </c>
      <c r="BF361" s="4" t="s">
        <v>3601</v>
      </c>
      <c r="BG361" s="4">
        <v>1560</v>
      </c>
      <c r="BH361" s="4">
        <v>1560</v>
      </c>
      <c r="BI361" s="4">
        <f t="shared" si="66"/>
        <v>520</v>
      </c>
      <c r="BJ361" s="19">
        <v>4</v>
      </c>
      <c r="BK361" s="19">
        <v>8</v>
      </c>
      <c r="BL361" s="16">
        <v>6</v>
      </c>
      <c r="BM361" s="45" t="s">
        <v>3534</v>
      </c>
      <c r="BN361" t="s">
        <v>3534</v>
      </c>
      <c r="BO361" t="str">
        <f t="shared" si="59"/>
        <v>-</v>
      </c>
      <c r="BP361" t="s">
        <v>3534</v>
      </c>
      <c r="BQ361">
        <v>494</v>
      </c>
      <c r="BR361">
        <f t="shared" si="60"/>
        <v>494</v>
      </c>
      <c r="BS361" t="s">
        <v>2810</v>
      </c>
    </row>
    <row r="362" spans="1:71" x14ac:dyDescent="0.4">
      <c r="A362" s="3">
        <v>359</v>
      </c>
      <c r="B362" s="3">
        <v>359</v>
      </c>
      <c r="C362" s="4" t="s">
        <v>421</v>
      </c>
      <c r="D362" s="4" t="str">
        <f t="shared" si="61"/>
        <v>J254WH</v>
      </c>
      <c r="E362" s="4" t="s">
        <v>421</v>
      </c>
      <c r="F362" s="4" t="s">
        <v>1640</v>
      </c>
      <c r="G362" s="5">
        <v>4521718191355</v>
      </c>
      <c r="H362" s="5"/>
      <c r="I362" s="5"/>
      <c r="J362" s="5">
        <v>1</v>
      </c>
      <c r="K362" s="5">
        <v>1</v>
      </c>
      <c r="L362" s="4">
        <v>440</v>
      </c>
      <c r="M362" s="4">
        <v>310</v>
      </c>
      <c r="N362" s="4">
        <v>195</v>
      </c>
      <c r="O362" s="6">
        <f t="shared" si="62"/>
        <v>0.37096774193548387</v>
      </c>
      <c r="P362" s="4" t="s">
        <v>2500</v>
      </c>
      <c r="Q362" s="4"/>
      <c r="R362" s="4"/>
      <c r="S362" s="4"/>
      <c r="T362" s="4"/>
      <c r="U362" s="4"/>
      <c r="V362" s="4"/>
      <c r="W362" s="4"/>
      <c r="X362" s="4"/>
      <c r="Y362" s="4">
        <v>300</v>
      </c>
      <c r="Z362" s="4">
        <f t="shared" si="63"/>
        <v>300</v>
      </c>
      <c r="AA362" s="4">
        <v>195</v>
      </c>
      <c r="AB362" s="4">
        <f t="shared" si="64"/>
        <v>195</v>
      </c>
      <c r="AC362" s="4"/>
      <c r="AD362" s="21">
        <f>ROUND(M362*AR362,0)</f>
        <v>310</v>
      </c>
      <c r="AE362" s="6">
        <f>1-AB362/AD362</f>
        <v>0.37096774193548387</v>
      </c>
      <c r="AF362" s="33">
        <v>0</v>
      </c>
      <c r="AG362" s="4">
        <f t="shared" si="65"/>
        <v>440</v>
      </c>
      <c r="AH362" s="33">
        <f t="shared" si="58"/>
        <v>440</v>
      </c>
      <c r="AI362" s="6">
        <f>1-AB362/AH362</f>
        <v>0.55681818181818188</v>
      </c>
      <c r="AJ362" s="7">
        <v>300</v>
      </c>
      <c r="AK362" s="6">
        <f>1-AB362/AJ362</f>
        <v>0.35</v>
      </c>
      <c r="AL362" s="4">
        <f>AJ362-AB362</f>
        <v>105</v>
      </c>
      <c r="AM362" s="28"/>
      <c r="AN362" s="6"/>
      <c r="AO362" s="6"/>
      <c r="AP362" s="6">
        <f>Z362/L362</f>
        <v>0.68181818181818177</v>
      </c>
      <c r="AQ362" s="6">
        <f>AJ362/M362</f>
        <v>0.967741935483871</v>
      </c>
      <c r="AR362" s="6">
        <f>AB362/N362</f>
        <v>1</v>
      </c>
      <c r="AS362" s="4"/>
      <c r="AT362" s="4"/>
      <c r="AU362" s="4"/>
      <c r="AV362" s="4"/>
      <c r="AW362" s="4"/>
      <c r="AX362" s="4"/>
      <c r="AY362" s="4"/>
      <c r="AZ362" s="4"/>
      <c r="BA362" s="4"/>
      <c r="BB362" s="4">
        <v>0</v>
      </c>
      <c r="BC362" s="4" t="s">
        <v>3894</v>
      </c>
      <c r="BD362" s="4">
        <v>1</v>
      </c>
      <c r="BE362" s="4">
        <v>4</v>
      </c>
      <c r="BF362" s="4" t="s">
        <v>3741</v>
      </c>
      <c r="BG362" s="4">
        <v>1760</v>
      </c>
      <c r="BH362" s="4">
        <v>1760</v>
      </c>
      <c r="BI362" s="4">
        <f t="shared" si="66"/>
        <v>440</v>
      </c>
      <c r="BJ362" s="19">
        <v>4</v>
      </c>
      <c r="BK362" s="19">
        <v>8</v>
      </c>
      <c r="BL362" s="16">
        <v>6</v>
      </c>
      <c r="BM362" s="45" t="s">
        <v>3534</v>
      </c>
      <c r="BN362" t="s">
        <v>3534</v>
      </c>
      <c r="BO362" t="str">
        <f t="shared" si="59"/>
        <v>-</v>
      </c>
      <c r="BP362" t="s">
        <v>3534</v>
      </c>
      <c r="BQ362">
        <v>418</v>
      </c>
      <c r="BR362">
        <f t="shared" si="60"/>
        <v>418</v>
      </c>
      <c r="BS362" t="s">
        <v>2811</v>
      </c>
    </row>
    <row r="363" spans="1:71" x14ac:dyDescent="0.4">
      <c r="A363" s="3">
        <v>360</v>
      </c>
      <c r="B363" s="3">
        <v>360</v>
      </c>
      <c r="C363" s="4" t="s">
        <v>422</v>
      </c>
      <c r="D363" s="4" t="str">
        <f t="shared" si="61"/>
        <v>J257RR</v>
      </c>
      <c r="E363" s="4" t="s">
        <v>422</v>
      </c>
      <c r="F363" s="4" t="s">
        <v>1641</v>
      </c>
      <c r="G363" s="5">
        <v>4521718033624</v>
      </c>
      <c r="H363" s="5"/>
      <c r="I363" s="5"/>
      <c r="J363" s="5">
        <v>1</v>
      </c>
      <c r="K363" s="5">
        <v>1</v>
      </c>
      <c r="L363" s="4">
        <v>610</v>
      </c>
      <c r="M363" s="4">
        <v>397</v>
      </c>
      <c r="N363" s="4">
        <v>272</v>
      </c>
      <c r="O363" s="6">
        <f t="shared" si="62"/>
        <v>0.31486146095717882</v>
      </c>
      <c r="P363" s="4" t="s">
        <v>2500</v>
      </c>
      <c r="Q363" s="4"/>
      <c r="R363" s="4"/>
      <c r="S363" s="4"/>
      <c r="T363" s="4"/>
      <c r="U363" s="4"/>
      <c r="V363" s="4"/>
      <c r="W363" s="4"/>
      <c r="X363" s="4"/>
      <c r="Y363" s="4">
        <v>610</v>
      </c>
      <c r="Z363" s="4">
        <f t="shared" si="63"/>
        <v>610</v>
      </c>
      <c r="AA363" s="4">
        <v>275</v>
      </c>
      <c r="AB363" s="4">
        <f t="shared" si="64"/>
        <v>275</v>
      </c>
      <c r="AC363" s="4"/>
      <c r="AD363" s="21">
        <f>ROUND(M363*AR363,0)</f>
        <v>401</v>
      </c>
      <c r="AE363" s="6">
        <f>1-AB363/AD363</f>
        <v>0.31421446384039897</v>
      </c>
      <c r="AF363" s="33">
        <v>0.25</v>
      </c>
      <c r="AG363" s="4">
        <f t="shared" si="65"/>
        <v>559</v>
      </c>
      <c r="AH363" s="33">
        <f t="shared" si="58"/>
        <v>565.16544117647061</v>
      </c>
      <c r="AI363" s="6">
        <f>1-AB363/AH363</f>
        <v>0.51341681574239717</v>
      </c>
      <c r="AJ363" s="7">
        <f>ROUND(AB363/0.65,0)</f>
        <v>423</v>
      </c>
      <c r="AK363" s="6">
        <f>1-AB363/AJ363</f>
        <v>0.34988179669030728</v>
      </c>
      <c r="AL363" s="4">
        <f>AJ363-AB363</f>
        <v>148</v>
      </c>
      <c r="AM363" s="28"/>
      <c r="AN363" s="6"/>
      <c r="AO363" s="6"/>
      <c r="AP363" s="6">
        <f>Z363/L363</f>
        <v>1</v>
      </c>
      <c r="AQ363" s="6">
        <f>AJ363/M363</f>
        <v>1.0654911838790933</v>
      </c>
      <c r="AR363" s="6">
        <f>AB363/N363</f>
        <v>1.0110294117647058</v>
      </c>
      <c r="AS363" s="4"/>
      <c r="AT363" s="4"/>
      <c r="AU363" s="4"/>
      <c r="AV363" s="4"/>
      <c r="AW363" s="4"/>
      <c r="AX363" s="4"/>
      <c r="AY363" s="4"/>
      <c r="AZ363" s="4"/>
      <c r="BA363" s="4"/>
      <c r="BB363" s="4">
        <v>0</v>
      </c>
      <c r="BC363" s="4" t="s">
        <v>3895</v>
      </c>
      <c r="BD363" s="4"/>
      <c r="BE363" s="4"/>
      <c r="BF363" s="4" t="s">
        <v>3896</v>
      </c>
      <c r="BG363" s="4">
        <v>559</v>
      </c>
      <c r="BH363" s="4">
        <v>559</v>
      </c>
      <c r="BI363" s="4">
        <f t="shared" si="66"/>
        <v>559</v>
      </c>
      <c r="BJ363" s="19">
        <v>4</v>
      </c>
      <c r="BK363" s="19">
        <v>8</v>
      </c>
      <c r="BL363" s="16">
        <v>6</v>
      </c>
      <c r="BM363" s="45">
        <v>417</v>
      </c>
      <c r="BN363">
        <v>417</v>
      </c>
      <c r="BO363">
        <f t="shared" si="59"/>
        <v>421.59926470588232</v>
      </c>
      <c r="BP363" t="s">
        <v>3534</v>
      </c>
      <c r="BQ363">
        <v>691</v>
      </c>
      <c r="BR363">
        <f t="shared" si="60"/>
        <v>698.62132352941171</v>
      </c>
      <c r="BS363" t="s">
        <v>2812</v>
      </c>
    </row>
    <row r="364" spans="1:71" x14ac:dyDescent="0.4">
      <c r="A364" s="42">
        <v>361</v>
      </c>
      <c r="B364" s="3">
        <v>361</v>
      </c>
      <c r="C364" s="39" t="s">
        <v>423</v>
      </c>
      <c r="D364" s="4" t="str">
        <f t="shared" si="61"/>
        <v>J256WH</v>
      </c>
      <c r="E364" s="4" t="s">
        <v>423</v>
      </c>
      <c r="F364" s="4" t="s">
        <v>1415</v>
      </c>
      <c r="G364" s="5">
        <v>4521718117904</v>
      </c>
      <c r="H364" s="5"/>
      <c r="I364" s="5"/>
      <c r="J364" s="38">
        <v>2</v>
      </c>
      <c r="K364" s="5">
        <v>1</v>
      </c>
      <c r="L364" s="4">
        <v>9330</v>
      </c>
      <c r="M364" s="4">
        <v>6455</v>
      </c>
      <c r="N364" s="4">
        <v>4196</v>
      </c>
      <c r="O364" s="6">
        <f t="shared" si="62"/>
        <v>0.34996127033307511</v>
      </c>
      <c r="P364" s="4" t="s">
        <v>2500</v>
      </c>
      <c r="Q364" s="4"/>
      <c r="R364" s="4"/>
      <c r="S364" s="4"/>
      <c r="T364" s="4"/>
      <c r="U364" s="4"/>
      <c r="V364" s="4"/>
      <c r="W364" s="4"/>
      <c r="X364" s="4"/>
      <c r="Y364" s="4">
        <v>6455</v>
      </c>
      <c r="Z364" s="4">
        <f t="shared" si="63"/>
        <v>6455</v>
      </c>
      <c r="AA364" s="4">
        <v>4519</v>
      </c>
      <c r="AB364" s="4">
        <f t="shared" si="64"/>
        <v>4519</v>
      </c>
      <c r="AC364" s="4"/>
      <c r="AD364" s="21">
        <f>ROUND(M364*AR364,0)</f>
        <v>6952</v>
      </c>
      <c r="AE364" s="6">
        <f>1-AB364/AD364</f>
        <v>0.34997123130034524</v>
      </c>
      <c r="AF364" s="33">
        <v>0.75</v>
      </c>
      <c r="AG364" s="4">
        <f t="shared" si="65"/>
        <v>9908</v>
      </c>
      <c r="AH364" s="33">
        <f t="shared" si="58"/>
        <v>10670.698760724499</v>
      </c>
      <c r="AI364" s="6">
        <f>1-AB364/AH364</f>
        <v>0.57650383528461846</v>
      </c>
      <c r="AJ364" s="7">
        <v>6455</v>
      </c>
      <c r="AK364" s="6">
        <f>1-AB364/AJ364</f>
        <v>0.29992254066615032</v>
      </c>
      <c r="AL364" s="4">
        <f>AJ364-AB364</f>
        <v>1936</v>
      </c>
      <c r="AM364" s="28"/>
      <c r="AN364" s="6"/>
      <c r="AO364" s="6"/>
      <c r="AP364" s="6">
        <f>Z364/L364</f>
        <v>0.69185423365487675</v>
      </c>
      <c r="AQ364" s="6">
        <f>AJ364/M364</f>
        <v>1</v>
      </c>
      <c r="AR364" s="6">
        <f>AB364/N364</f>
        <v>1.07697807435653</v>
      </c>
      <c r="AS364" s="4"/>
      <c r="AT364" s="4"/>
      <c r="AU364" s="4"/>
      <c r="AV364" s="4"/>
      <c r="AW364" s="4"/>
      <c r="AX364" s="4"/>
      <c r="AY364" s="4"/>
      <c r="AZ364" s="4"/>
      <c r="BA364" s="4"/>
      <c r="BB364" s="4">
        <v>0</v>
      </c>
      <c r="BC364" s="4" t="s">
        <v>3695</v>
      </c>
      <c r="BD364" s="4"/>
      <c r="BE364" s="4"/>
      <c r="BF364" s="4" t="s">
        <v>3545</v>
      </c>
      <c r="BG364" s="4">
        <v>9908</v>
      </c>
      <c r="BH364" s="4">
        <v>9908</v>
      </c>
      <c r="BI364" s="4">
        <f t="shared" si="66"/>
        <v>9908</v>
      </c>
      <c r="BJ364" s="19">
        <v>2</v>
      </c>
      <c r="BK364" s="19">
        <v>8</v>
      </c>
      <c r="BL364" s="16">
        <v>19</v>
      </c>
      <c r="BM364" s="45" t="s">
        <v>3534</v>
      </c>
      <c r="BN364" t="s">
        <v>3534</v>
      </c>
      <c r="BO364" t="str">
        <f t="shared" si="59"/>
        <v>-</v>
      </c>
      <c r="BP364" t="s">
        <v>3534</v>
      </c>
      <c r="BQ364">
        <v>10925</v>
      </c>
      <c r="BR364">
        <f t="shared" si="60"/>
        <v>11765.98546234509</v>
      </c>
      <c r="BS364" t="s">
        <v>2631</v>
      </c>
    </row>
    <row r="365" spans="1:71" x14ac:dyDescent="0.4">
      <c r="A365" s="3">
        <v>362</v>
      </c>
      <c r="B365" s="3">
        <v>362</v>
      </c>
      <c r="C365" s="4" t="s">
        <v>424</v>
      </c>
      <c r="D365" s="4" t="str">
        <f t="shared" si="61"/>
        <v>J261RR</v>
      </c>
      <c r="E365" s="4" t="s">
        <v>424</v>
      </c>
      <c r="F365" s="4" t="s">
        <v>1642</v>
      </c>
      <c r="G365" s="5">
        <v>4521718033792</v>
      </c>
      <c r="H365" s="5"/>
      <c r="I365" s="5"/>
      <c r="J365" s="5">
        <v>1</v>
      </c>
      <c r="K365" s="5">
        <v>1</v>
      </c>
      <c r="L365" s="4">
        <v>610</v>
      </c>
      <c r="M365" s="4">
        <v>397</v>
      </c>
      <c r="N365" s="4">
        <v>272</v>
      </c>
      <c r="O365" s="6">
        <f t="shared" si="62"/>
        <v>0.31486146095717882</v>
      </c>
      <c r="P365" s="4" t="s">
        <v>2500</v>
      </c>
      <c r="Q365" s="4"/>
      <c r="R365" s="4"/>
      <c r="S365" s="4"/>
      <c r="T365" s="4"/>
      <c r="U365" s="4"/>
      <c r="V365" s="4"/>
      <c r="W365" s="4"/>
      <c r="X365" s="4"/>
      <c r="Y365" s="4">
        <v>610</v>
      </c>
      <c r="Z365" s="4">
        <f t="shared" si="63"/>
        <v>610</v>
      </c>
      <c r="AA365" s="4">
        <v>275</v>
      </c>
      <c r="AB365" s="4">
        <f t="shared" si="64"/>
        <v>275</v>
      </c>
      <c r="AC365" s="4"/>
      <c r="AD365" s="21">
        <f>ROUND(M365*AR365,0)</f>
        <v>401</v>
      </c>
      <c r="AE365" s="6">
        <f>1-AB365/AD365</f>
        <v>0.31421446384039897</v>
      </c>
      <c r="AF365" s="33">
        <v>0.75</v>
      </c>
      <c r="AG365" s="4">
        <f t="shared" si="65"/>
        <v>580</v>
      </c>
      <c r="AH365" s="33">
        <f t="shared" si="58"/>
        <v>586.39705882352939</v>
      </c>
      <c r="AI365" s="6">
        <f>1-AB365/AH365</f>
        <v>0.53103448275862064</v>
      </c>
      <c r="AJ365" s="7">
        <f>ROUND(AB365/0.65,0)</f>
        <v>423</v>
      </c>
      <c r="AK365" s="6">
        <f>1-AB365/AJ365</f>
        <v>0.34988179669030728</v>
      </c>
      <c r="AL365" s="4">
        <f>AJ365-AB365</f>
        <v>148</v>
      </c>
      <c r="AM365" s="28"/>
      <c r="AN365" s="6"/>
      <c r="AO365" s="6"/>
      <c r="AP365" s="6">
        <f>Z365/L365</f>
        <v>1</v>
      </c>
      <c r="AQ365" s="6">
        <f>AJ365/M365</f>
        <v>1.0654911838790933</v>
      </c>
      <c r="AR365" s="6">
        <f>AB365/N365</f>
        <v>1.0110294117647058</v>
      </c>
      <c r="AS365" s="4"/>
      <c r="AT365" s="4"/>
      <c r="AU365" s="4"/>
      <c r="AV365" s="4"/>
      <c r="AW365" s="4"/>
      <c r="AX365" s="4"/>
      <c r="AY365" s="4"/>
      <c r="AZ365" s="4"/>
      <c r="BA365" s="4"/>
      <c r="BB365" s="4">
        <v>0</v>
      </c>
      <c r="BC365" s="4" t="s">
        <v>3897</v>
      </c>
      <c r="BD365" s="4"/>
      <c r="BE365" s="4"/>
      <c r="BF365" s="4" t="s">
        <v>3545</v>
      </c>
      <c r="BG365" s="4">
        <v>580</v>
      </c>
      <c r="BH365" s="4">
        <v>580</v>
      </c>
      <c r="BI365" s="4">
        <f t="shared" si="66"/>
        <v>580</v>
      </c>
      <c r="BJ365" s="19">
        <v>4</v>
      </c>
      <c r="BK365" s="19">
        <v>8</v>
      </c>
      <c r="BL365" s="16">
        <v>6</v>
      </c>
      <c r="BM365" s="45">
        <v>417</v>
      </c>
      <c r="BN365">
        <v>417</v>
      </c>
      <c r="BO365">
        <f t="shared" si="59"/>
        <v>421.59926470588232</v>
      </c>
      <c r="BP365" t="s">
        <v>3534</v>
      </c>
      <c r="BQ365" t="s">
        <v>3534</v>
      </c>
      <c r="BR365" t="str">
        <f t="shared" si="60"/>
        <v>-</v>
      </c>
      <c r="BS365" t="s">
        <v>2813</v>
      </c>
    </row>
    <row r="366" spans="1:71" x14ac:dyDescent="0.4">
      <c r="A366" s="3">
        <v>363</v>
      </c>
      <c r="B366" s="3">
        <v>363</v>
      </c>
      <c r="C366" s="4" t="s">
        <v>425</v>
      </c>
      <c r="D366" s="4" t="str">
        <f t="shared" si="61"/>
        <v>J262RR</v>
      </c>
      <c r="E366" s="4" t="s">
        <v>425</v>
      </c>
      <c r="F366" s="4" t="s">
        <v>1643</v>
      </c>
      <c r="G366" s="5">
        <v>4521718033945</v>
      </c>
      <c r="H366" s="5"/>
      <c r="I366" s="5"/>
      <c r="J366" s="5">
        <v>1</v>
      </c>
      <c r="K366" s="5">
        <v>1</v>
      </c>
      <c r="L366" s="4">
        <v>860</v>
      </c>
      <c r="M366" s="4">
        <v>559</v>
      </c>
      <c r="N366" s="4">
        <v>384</v>
      </c>
      <c r="O366" s="6">
        <f t="shared" si="62"/>
        <v>0.3130590339892666</v>
      </c>
      <c r="P366" s="4" t="s">
        <v>2500</v>
      </c>
      <c r="Q366" s="4"/>
      <c r="R366" s="4"/>
      <c r="S366" s="4"/>
      <c r="T366" s="4"/>
      <c r="U366" s="4"/>
      <c r="V366" s="4"/>
      <c r="W366" s="4"/>
      <c r="X366" s="4"/>
      <c r="Y366" s="4">
        <v>864</v>
      </c>
      <c r="Z366" s="4">
        <f t="shared" si="63"/>
        <v>864</v>
      </c>
      <c r="AA366" s="4">
        <v>389</v>
      </c>
      <c r="AB366" s="4">
        <f t="shared" si="64"/>
        <v>389</v>
      </c>
      <c r="AC366" s="4"/>
      <c r="AD366" s="21">
        <f>ROUND(M366*AR366,0)</f>
        <v>566</v>
      </c>
      <c r="AE366" s="6">
        <f>1-AB366/AD366</f>
        <v>0.3127208480565371</v>
      </c>
      <c r="AF366" s="33">
        <v>0</v>
      </c>
      <c r="AG366" s="4">
        <f t="shared" si="65"/>
        <v>573</v>
      </c>
      <c r="AH366" s="33">
        <f t="shared" si="58"/>
        <v>580.4609375</v>
      </c>
      <c r="AI366" s="6">
        <f>1-AB366/AH366</f>
        <v>0.32984293193717273</v>
      </c>
      <c r="AJ366" s="7">
        <v>580</v>
      </c>
      <c r="AK366" s="6">
        <f>1-AB366/AJ366</f>
        <v>0.32931034482758625</v>
      </c>
      <c r="AL366" s="4">
        <f>AJ366-AB366</f>
        <v>191</v>
      </c>
      <c r="AM366" s="28"/>
      <c r="AN366" s="6"/>
      <c r="AO366" s="6"/>
      <c r="AP366" s="6">
        <f>Z366/L366</f>
        <v>1.0046511627906978</v>
      </c>
      <c r="AQ366" s="6">
        <f>AJ366/M366</f>
        <v>1.0375670840787119</v>
      </c>
      <c r="AR366" s="6">
        <f>AB366/N366</f>
        <v>1.0130208333333333</v>
      </c>
      <c r="AS366" s="4"/>
      <c r="AT366" s="4"/>
      <c r="AU366" s="4"/>
      <c r="AV366" s="4"/>
      <c r="AW366" s="4"/>
      <c r="AX366" s="4"/>
      <c r="AY366" s="4"/>
      <c r="AZ366" s="4"/>
      <c r="BA366" s="4"/>
      <c r="BB366" s="4">
        <v>0</v>
      </c>
      <c r="BC366" s="4" t="s">
        <v>3898</v>
      </c>
      <c r="BD366" s="4"/>
      <c r="BE366" s="4"/>
      <c r="BF366" s="4" t="s">
        <v>3545</v>
      </c>
      <c r="BG366" s="4">
        <v>573</v>
      </c>
      <c r="BH366" s="4">
        <v>573</v>
      </c>
      <c r="BI366" s="4">
        <f t="shared" si="66"/>
        <v>573</v>
      </c>
      <c r="BJ366" s="19">
        <v>4</v>
      </c>
      <c r="BK366" s="19">
        <v>8</v>
      </c>
      <c r="BL366" s="16">
        <v>6</v>
      </c>
      <c r="BM366" s="45" t="s">
        <v>3534</v>
      </c>
      <c r="BN366" t="s">
        <v>3534</v>
      </c>
      <c r="BO366" t="str">
        <f t="shared" si="59"/>
        <v>-</v>
      </c>
      <c r="BP366" t="s">
        <v>3534</v>
      </c>
      <c r="BQ366">
        <v>573</v>
      </c>
      <c r="BR366">
        <f t="shared" si="60"/>
        <v>580.4609375</v>
      </c>
      <c r="BS366" t="s">
        <v>2814</v>
      </c>
    </row>
    <row r="367" spans="1:71" x14ac:dyDescent="0.4">
      <c r="A367" s="3">
        <v>364</v>
      </c>
      <c r="B367" s="3">
        <v>364</v>
      </c>
      <c r="C367" s="4" t="s">
        <v>426</v>
      </c>
      <c r="D367" s="4" t="str">
        <f t="shared" si="61"/>
        <v>J262RS</v>
      </c>
      <c r="E367" s="4" t="s">
        <v>426</v>
      </c>
      <c r="F367" s="4" t="s">
        <v>1644</v>
      </c>
      <c r="G367" s="5">
        <v>4521718033952</v>
      </c>
      <c r="H367" s="5"/>
      <c r="I367" s="5"/>
      <c r="J367" s="5">
        <v>1</v>
      </c>
      <c r="K367" s="5">
        <v>1</v>
      </c>
      <c r="L367" s="4">
        <v>860</v>
      </c>
      <c r="M367" s="4">
        <v>453</v>
      </c>
      <c r="N367" s="4">
        <v>384</v>
      </c>
      <c r="O367" s="6">
        <f t="shared" si="62"/>
        <v>0.15231788079470199</v>
      </c>
      <c r="P367" s="4" t="s">
        <v>2500</v>
      </c>
      <c r="Q367" s="4"/>
      <c r="R367" s="4"/>
      <c r="S367" s="4"/>
      <c r="T367" s="4"/>
      <c r="U367" s="4"/>
      <c r="V367" s="4"/>
      <c r="W367" s="4"/>
      <c r="X367" s="4"/>
      <c r="Y367" s="4">
        <v>864</v>
      </c>
      <c r="Z367" s="4">
        <f t="shared" si="63"/>
        <v>864</v>
      </c>
      <c r="AA367" s="4">
        <v>389</v>
      </c>
      <c r="AB367" s="4">
        <f t="shared" si="64"/>
        <v>389</v>
      </c>
      <c r="AC367" s="4"/>
      <c r="AD367" s="21">
        <f>ROUND(M367*AR367,0)</f>
        <v>459</v>
      </c>
      <c r="AE367" s="6">
        <f>1-AB367/AD367</f>
        <v>0.15250544662309373</v>
      </c>
      <c r="AF367" s="33">
        <v>0</v>
      </c>
      <c r="AG367" s="4">
        <f t="shared" si="65"/>
        <v>573</v>
      </c>
      <c r="AH367" s="33">
        <f t="shared" si="58"/>
        <v>580.4609375</v>
      </c>
      <c r="AI367" s="6">
        <f>1-AB367/AH367</f>
        <v>0.32984293193717273</v>
      </c>
      <c r="AJ367" s="7">
        <v>580</v>
      </c>
      <c r="AK367" s="6">
        <f>1-AB367/AJ367</f>
        <v>0.32931034482758625</v>
      </c>
      <c r="AL367" s="4">
        <f>AJ367-AB367</f>
        <v>191</v>
      </c>
      <c r="AM367" s="28"/>
      <c r="AN367" s="6"/>
      <c r="AO367" s="6"/>
      <c r="AP367" s="6">
        <f>Z367/L367</f>
        <v>1.0046511627906978</v>
      </c>
      <c r="AQ367" s="6">
        <f>AJ367/M367</f>
        <v>1.2803532008830023</v>
      </c>
      <c r="AR367" s="6">
        <f>AB367/N367</f>
        <v>1.0130208333333333</v>
      </c>
      <c r="AS367" s="4"/>
      <c r="AT367" s="4"/>
      <c r="AU367" s="4"/>
      <c r="AV367" s="4"/>
      <c r="AW367" s="4"/>
      <c r="AX367" s="4"/>
      <c r="AY367" s="4"/>
      <c r="AZ367" s="4"/>
      <c r="BA367" s="4"/>
      <c r="BB367" s="4">
        <v>0</v>
      </c>
      <c r="BC367" s="4" t="s">
        <v>3899</v>
      </c>
      <c r="BD367" s="4"/>
      <c r="BE367" s="4"/>
      <c r="BF367" s="4" t="s">
        <v>3545</v>
      </c>
      <c r="BG367" s="4">
        <v>573</v>
      </c>
      <c r="BH367" s="4">
        <v>573</v>
      </c>
      <c r="BI367" s="4">
        <f t="shared" si="66"/>
        <v>573</v>
      </c>
      <c r="BJ367" s="19">
        <v>4</v>
      </c>
      <c r="BK367" s="19">
        <v>8</v>
      </c>
      <c r="BL367" s="16">
        <v>6</v>
      </c>
      <c r="BM367" s="45" t="s">
        <v>3534</v>
      </c>
      <c r="BN367" t="s">
        <v>3534</v>
      </c>
      <c r="BO367" t="str">
        <f t="shared" si="59"/>
        <v>-</v>
      </c>
      <c r="BP367" t="s">
        <v>3534</v>
      </c>
      <c r="BQ367">
        <v>573</v>
      </c>
      <c r="BR367">
        <f t="shared" si="60"/>
        <v>580.4609375</v>
      </c>
      <c r="BS367" t="s">
        <v>2815</v>
      </c>
    </row>
    <row r="368" spans="1:71" x14ac:dyDescent="0.4">
      <c r="A368" s="3">
        <v>365</v>
      </c>
      <c r="B368" s="3">
        <v>365</v>
      </c>
      <c r="C368" s="4" t="s">
        <v>427</v>
      </c>
      <c r="D368" s="4" t="str">
        <f t="shared" si="61"/>
        <v>J261RS</v>
      </c>
      <c r="E368" s="4" t="s">
        <v>427</v>
      </c>
      <c r="F368" s="4" t="s">
        <v>1645</v>
      </c>
      <c r="G368" s="5">
        <v>4521718033938</v>
      </c>
      <c r="H368" s="5"/>
      <c r="I368" s="5"/>
      <c r="J368" s="5">
        <v>1</v>
      </c>
      <c r="K368" s="5">
        <v>1</v>
      </c>
      <c r="L368" s="4">
        <v>860</v>
      </c>
      <c r="M368" s="4">
        <v>600</v>
      </c>
      <c r="N368" s="4">
        <v>384</v>
      </c>
      <c r="O368" s="6">
        <f t="shared" si="62"/>
        <v>0.36</v>
      </c>
      <c r="P368" s="4" t="s">
        <v>2500</v>
      </c>
      <c r="Q368" s="4"/>
      <c r="R368" s="4"/>
      <c r="S368" s="4"/>
      <c r="T368" s="4"/>
      <c r="U368" s="4"/>
      <c r="V368" s="4"/>
      <c r="W368" s="4"/>
      <c r="X368" s="4"/>
      <c r="Y368" s="4">
        <v>864</v>
      </c>
      <c r="Z368" s="4">
        <f t="shared" si="63"/>
        <v>864</v>
      </c>
      <c r="AA368" s="4">
        <v>389</v>
      </c>
      <c r="AB368" s="4">
        <f t="shared" si="64"/>
        <v>389</v>
      </c>
      <c r="AC368" s="4"/>
      <c r="AD368" s="21">
        <f>ROUND(M368*AR368,0)</f>
        <v>608</v>
      </c>
      <c r="AE368" s="6">
        <f>1-AB368/AD368</f>
        <v>0.36019736842105265</v>
      </c>
      <c r="AF368" s="33">
        <v>0</v>
      </c>
      <c r="AG368" s="4">
        <f t="shared" si="65"/>
        <v>880</v>
      </c>
      <c r="AH368" s="33">
        <f t="shared" si="58"/>
        <v>891.45833333333326</v>
      </c>
      <c r="AI368" s="6">
        <f>1-AB368/AH368</f>
        <v>0.5636363636363636</v>
      </c>
      <c r="AJ368" s="7">
        <f>ROUND(AB368/0.65,0)</f>
        <v>598</v>
      </c>
      <c r="AK368" s="6">
        <f>1-AB368/AJ368</f>
        <v>0.34949832775919731</v>
      </c>
      <c r="AL368" s="4">
        <f>AJ368-AB368</f>
        <v>209</v>
      </c>
      <c r="AM368" s="28"/>
      <c r="AN368" s="6"/>
      <c r="AO368" s="6"/>
      <c r="AP368" s="6">
        <f>Z368/L368</f>
        <v>1.0046511627906978</v>
      </c>
      <c r="AQ368" s="6">
        <f>AJ368/M368</f>
        <v>0.9966666666666667</v>
      </c>
      <c r="AR368" s="6">
        <f>AB368/N368</f>
        <v>1.0130208333333333</v>
      </c>
      <c r="AS368" s="4"/>
      <c r="AT368" s="4"/>
      <c r="AU368" s="4"/>
      <c r="AV368" s="4"/>
      <c r="AW368" s="4"/>
      <c r="AX368" s="4"/>
      <c r="AY368" s="4"/>
      <c r="AZ368" s="4"/>
      <c r="BA368" s="4"/>
      <c r="BB368" s="4">
        <v>0</v>
      </c>
      <c r="BC368" s="4" t="s">
        <v>3900</v>
      </c>
      <c r="BD368" s="4">
        <v>1</v>
      </c>
      <c r="BE368" s="4">
        <v>2</v>
      </c>
      <c r="BF368" s="4" t="s">
        <v>3901</v>
      </c>
      <c r="BG368" s="4">
        <v>1760</v>
      </c>
      <c r="BH368" s="4">
        <v>1760</v>
      </c>
      <c r="BI368" s="4">
        <f t="shared" si="66"/>
        <v>880</v>
      </c>
      <c r="BJ368" s="19">
        <v>4</v>
      </c>
      <c r="BK368" s="19">
        <v>8</v>
      </c>
      <c r="BL368" s="16">
        <v>6</v>
      </c>
      <c r="BM368" s="45" t="s">
        <v>3534</v>
      </c>
      <c r="BN368" t="s">
        <v>3534</v>
      </c>
      <c r="BO368" t="str">
        <f t="shared" si="59"/>
        <v>-</v>
      </c>
      <c r="BP368" t="s">
        <v>3534</v>
      </c>
      <c r="BQ368">
        <v>573</v>
      </c>
      <c r="BR368">
        <f t="shared" si="60"/>
        <v>580.4609375</v>
      </c>
      <c r="BS368" t="s">
        <v>2816</v>
      </c>
    </row>
    <row r="369" spans="1:71" x14ac:dyDescent="0.4">
      <c r="A369" s="3">
        <v>366</v>
      </c>
      <c r="B369" s="3">
        <v>366</v>
      </c>
      <c r="C369" s="4" t="s">
        <v>428</v>
      </c>
      <c r="D369" s="4" t="str">
        <f t="shared" si="61"/>
        <v>J2690R</v>
      </c>
      <c r="E369" s="4" t="s">
        <v>428</v>
      </c>
      <c r="F369" s="4" t="s">
        <v>1646</v>
      </c>
      <c r="G369" s="5">
        <v>4521718233970</v>
      </c>
      <c r="H369" s="5"/>
      <c r="I369" s="5"/>
      <c r="J369" s="5">
        <v>1</v>
      </c>
      <c r="K369" s="5">
        <v>1</v>
      </c>
      <c r="L369" s="4">
        <v>1840</v>
      </c>
      <c r="M369" s="4">
        <v>1179</v>
      </c>
      <c r="N369" s="4">
        <v>827</v>
      </c>
      <c r="O369" s="6">
        <f t="shared" si="62"/>
        <v>0.29855810008481765</v>
      </c>
      <c r="P369" s="4" t="s">
        <v>2500</v>
      </c>
      <c r="Q369" s="4"/>
      <c r="R369" s="4"/>
      <c r="S369" s="4"/>
      <c r="T369" s="4"/>
      <c r="U369" s="4"/>
      <c r="V369" s="4"/>
      <c r="W369" s="4"/>
      <c r="X369" s="4"/>
      <c r="Y369" s="4">
        <v>1273</v>
      </c>
      <c r="Z369" s="4">
        <f t="shared" si="63"/>
        <v>1273</v>
      </c>
      <c r="AA369" s="4">
        <v>891</v>
      </c>
      <c r="AB369" s="4">
        <f t="shared" si="64"/>
        <v>891</v>
      </c>
      <c r="AC369" s="4"/>
      <c r="AD369" s="21">
        <f>ROUND(M369*AR369,0)</f>
        <v>1270</v>
      </c>
      <c r="AE369" s="6">
        <f>1-AB369/AD369</f>
        <v>0.2984251968503937</v>
      </c>
      <c r="AF369" s="33">
        <v>0</v>
      </c>
      <c r="AG369" s="4">
        <f t="shared" si="65"/>
        <v>2140</v>
      </c>
      <c r="AH369" s="33">
        <f t="shared" si="58"/>
        <v>2305.6106408706169</v>
      </c>
      <c r="AI369" s="6">
        <f>1-AB369/AH369</f>
        <v>0.61355140186915891</v>
      </c>
      <c r="AJ369" s="7">
        <v>1273</v>
      </c>
      <c r="AK369" s="6">
        <f>1-AB369/AJ369</f>
        <v>0.30007855459544386</v>
      </c>
      <c r="AL369" s="4">
        <f>AJ369-AB369</f>
        <v>382</v>
      </c>
      <c r="AM369" s="28"/>
      <c r="AN369" s="6"/>
      <c r="AO369" s="6"/>
      <c r="AP369" s="6">
        <f>Z369/L369</f>
        <v>0.6918478260869565</v>
      </c>
      <c r="AQ369" s="6">
        <f>AJ369/M369</f>
        <v>1.0797285835453774</v>
      </c>
      <c r="AR369" s="6">
        <f>AB369/N369</f>
        <v>1.0773881499395406</v>
      </c>
      <c r="AS369" s="4"/>
      <c r="AT369" s="4"/>
      <c r="AU369" s="4"/>
      <c r="AV369" s="4"/>
      <c r="AW369" s="4"/>
      <c r="AX369" s="4"/>
      <c r="AY369" s="4"/>
      <c r="AZ369" s="4"/>
      <c r="BA369" s="4"/>
      <c r="BB369" s="4">
        <v>0</v>
      </c>
      <c r="BC369" s="4" t="s">
        <v>3902</v>
      </c>
      <c r="BD369" s="4"/>
      <c r="BE369" s="4"/>
      <c r="BF369" s="4" t="s">
        <v>3536</v>
      </c>
      <c r="BG369" s="4">
        <v>2140</v>
      </c>
      <c r="BH369" s="4">
        <v>2140</v>
      </c>
      <c r="BI369" s="4">
        <f t="shared" si="66"/>
        <v>2140</v>
      </c>
      <c r="BJ369" s="19">
        <v>4</v>
      </c>
      <c r="BK369" s="19">
        <v>8</v>
      </c>
      <c r="BL369" s="16">
        <v>6</v>
      </c>
      <c r="BM369" s="45" t="s">
        <v>3534</v>
      </c>
      <c r="BN369" t="s">
        <v>3534</v>
      </c>
      <c r="BO369" t="str">
        <f t="shared" si="59"/>
        <v>-</v>
      </c>
      <c r="BP369">
        <v>1379</v>
      </c>
      <c r="BQ369">
        <v>1379</v>
      </c>
      <c r="BR369">
        <f t="shared" si="60"/>
        <v>1485.7182587666264</v>
      </c>
      <c r="BS369" t="s">
        <v>2817</v>
      </c>
    </row>
    <row r="370" spans="1:71" x14ac:dyDescent="0.4">
      <c r="A370" s="3">
        <v>367</v>
      </c>
      <c r="B370" s="3">
        <v>367</v>
      </c>
      <c r="C370" s="4" t="s">
        <v>429</v>
      </c>
      <c r="D370" s="4" t="str">
        <f t="shared" si="61"/>
        <v>J2691R</v>
      </c>
      <c r="E370" s="4" t="s">
        <v>429</v>
      </c>
      <c r="F370" s="4" t="s">
        <v>1647</v>
      </c>
      <c r="G370" s="5">
        <v>4521718233987</v>
      </c>
      <c r="H370" s="5"/>
      <c r="I370" s="5"/>
      <c r="J370" s="5">
        <v>1</v>
      </c>
      <c r="K370" s="5">
        <v>1</v>
      </c>
      <c r="L370" s="4">
        <v>3680</v>
      </c>
      <c r="M370" s="4">
        <v>2358</v>
      </c>
      <c r="N370" s="4">
        <v>1655</v>
      </c>
      <c r="O370" s="6">
        <f t="shared" si="62"/>
        <v>0.29813401187446986</v>
      </c>
      <c r="P370" s="4" t="s">
        <v>2500</v>
      </c>
      <c r="Q370" s="4"/>
      <c r="R370" s="4"/>
      <c r="S370" s="4"/>
      <c r="T370" s="4"/>
      <c r="U370" s="4"/>
      <c r="V370" s="4"/>
      <c r="W370" s="4"/>
      <c r="X370" s="4"/>
      <c r="Y370" s="4">
        <v>2546</v>
      </c>
      <c r="Z370" s="4">
        <f t="shared" si="63"/>
        <v>2546</v>
      </c>
      <c r="AA370" s="4">
        <v>1782</v>
      </c>
      <c r="AB370" s="4">
        <f t="shared" si="64"/>
        <v>1782</v>
      </c>
      <c r="AC370" s="4"/>
      <c r="AD370" s="21">
        <f>ROUND(M370*AR370,0)</f>
        <v>2539</v>
      </c>
      <c r="AE370" s="6">
        <f>1-AB370/AD370</f>
        <v>0.29814887751083108</v>
      </c>
      <c r="AF370" s="33">
        <v>0.25</v>
      </c>
      <c r="AG370" s="4">
        <f t="shared" si="65"/>
        <v>2600</v>
      </c>
      <c r="AH370" s="33">
        <f t="shared" si="58"/>
        <v>2799.5166163141994</v>
      </c>
      <c r="AI370" s="6">
        <f>1-AB370/AH370</f>
        <v>0.3634615384615385</v>
      </c>
      <c r="AJ370" s="7">
        <v>2546</v>
      </c>
      <c r="AK370" s="6">
        <f>1-AB370/AJ370</f>
        <v>0.30007855459544386</v>
      </c>
      <c r="AL370" s="4">
        <f>AJ370-AB370</f>
        <v>764</v>
      </c>
      <c r="AM370" s="28"/>
      <c r="AN370" s="6"/>
      <c r="AO370" s="6"/>
      <c r="AP370" s="6">
        <f>Z370/L370</f>
        <v>0.6918478260869565</v>
      </c>
      <c r="AQ370" s="6">
        <f>AJ370/M370</f>
        <v>1.0797285835453774</v>
      </c>
      <c r="AR370" s="6">
        <f>AB370/N370</f>
        <v>1.076737160120846</v>
      </c>
      <c r="AS370" s="4"/>
      <c r="AT370" s="4"/>
      <c r="AU370" s="4"/>
      <c r="AV370" s="4"/>
      <c r="AW370" s="4"/>
      <c r="AX370" s="4"/>
      <c r="AY370" s="4"/>
      <c r="AZ370" s="4"/>
      <c r="BA370" s="4"/>
      <c r="BB370" s="4">
        <v>0</v>
      </c>
      <c r="BC370" s="4" t="s">
        <v>3903</v>
      </c>
      <c r="BD370" s="4"/>
      <c r="BE370" s="4"/>
      <c r="BF370" s="4" t="s">
        <v>3538</v>
      </c>
      <c r="BG370" s="4">
        <v>2600</v>
      </c>
      <c r="BH370" s="4">
        <v>2600</v>
      </c>
      <c r="BI370" s="4">
        <f t="shared" si="66"/>
        <v>2600</v>
      </c>
      <c r="BJ370" s="19">
        <v>4</v>
      </c>
      <c r="BK370" s="19">
        <v>8</v>
      </c>
      <c r="BL370" s="16">
        <v>6</v>
      </c>
      <c r="BM370" s="45" t="s">
        <v>3534</v>
      </c>
      <c r="BN370" t="s">
        <v>3534</v>
      </c>
      <c r="BO370" t="str">
        <f t="shared" si="59"/>
        <v>-</v>
      </c>
      <c r="BP370">
        <v>2759</v>
      </c>
      <c r="BQ370">
        <v>2759</v>
      </c>
      <c r="BR370">
        <f t="shared" si="60"/>
        <v>2970.7178247734141</v>
      </c>
      <c r="BS370" t="s">
        <v>2818</v>
      </c>
    </row>
    <row r="371" spans="1:71" x14ac:dyDescent="0.4">
      <c r="A371" s="3">
        <v>368</v>
      </c>
      <c r="B371" s="3">
        <v>368</v>
      </c>
      <c r="C371" s="4" t="s">
        <v>430</v>
      </c>
      <c r="D371" s="4" t="str">
        <f t="shared" si="61"/>
        <v>J2692R</v>
      </c>
      <c r="E371" s="4" t="s">
        <v>430</v>
      </c>
      <c r="F371" s="4" t="s">
        <v>1648</v>
      </c>
      <c r="G371" s="5">
        <v>4521718233994</v>
      </c>
      <c r="H371" s="5"/>
      <c r="I371" s="5"/>
      <c r="J371" s="5">
        <v>1</v>
      </c>
      <c r="K371" s="5">
        <v>1</v>
      </c>
      <c r="L371" s="4">
        <v>7880</v>
      </c>
      <c r="M371" s="4">
        <v>5053</v>
      </c>
      <c r="N371" s="4">
        <v>3546</v>
      </c>
      <c r="O371" s="6">
        <f t="shared" si="62"/>
        <v>0.29823867009697214</v>
      </c>
      <c r="P371" s="4" t="s">
        <v>2500</v>
      </c>
      <c r="Q371" s="4"/>
      <c r="R371" s="4"/>
      <c r="S371" s="4"/>
      <c r="T371" s="4"/>
      <c r="U371" s="4"/>
      <c r="V371" s="4"/>
      <c r="W371" s="4"/>
      <c r="X371" s="4"/>
      <c r="Y371" s="4">
        <v>5455</v>
      </c>
      <c r="Z371" s="4">
        <f t="shared" si="63"/>
        <v>5455</v>
      </c>
      <c r="AA371" s="4">
        <v>3819</v>
      </c>
      <c r="AB371" s="4">
        <f t="shared" si="64"/>
        <v>3819</v>
      </c>
      <c r="AC371" s="4"/>
      <c r="AD371" s="21">
        <f>ROUND(M371*AR371,0)</f>
        <v>5442</v>
      </c>
      <c r="AE371" s="6">
        <f>1-AB371/AD371</f>
        <v>0.29823594266813669</v>
      </c>
      <c r="AF371" s="33">
        <v>0</v>
      </c>
      <c r="AG371" s="4">
        <f t="shared" si="65"/>
        <v>5000</v>
      </c>
      <c r="AH371" s="33">
        <f t="shared" si="58"/>
        <v>5384.9407783417937</v>
      </c>
      <c r="AI371" s="6">
        <f>1-AB371/AH371</f>
        <v>0.29080000000000006</v>
      </c>
      <c r="AJ371" s="7">
        <v>5384</v>
      </c>
      <c r="AK371" s="6">
        <f>1-AB371/AJ371</f>
        <v>0.29067607726597322</v>
      </c>
      <c r="AL371" s="4">
        <f>AJ371-AB371</f>
        <v>1565</v>
      </c>
      <c r="AM371" s="28"/>
      <c r="AN371" s="6"/>
      <c r="AO371" s="6"/>
      <c r="AP371" s="6">
        <f>Z371/L371</f>
        <v>0.69225888324873097</v>
      </c>
      <c r="AQ371" s="6">
        <f>AJ371/M371</f>
        <v>1.0655056402137344</v>
      </c>
      <c r="AR371" s="6">
        <f>AB371/N371</f>
        <v>1.0769881556683587</v>
      </c>
      <c r="AS371" s="4"/>
      <c r="AT371" s="4"/>
      <c r="AU371" s="4"/>
      <c r="AV371" s="4"/>
      <c r="AW371" s="4"/>
      <c r="AX371" s="4"/>
      <c r="AY371" s="4"/>
      <c r="AZ371" s="4"/>
      <c r="BA371" s="4"/>
      <c r="BB371" s="4">
        <v>0</v>
      </c>
      <c r="BC371" s="4" t="s">
        <v>3904</v>
      </c>
      <c r="BD371" s="4"/>
      <c r="BE371" s="4"/>
      <c r="BF371" s="4" t="s">
        <v>3538</v>
      </c>
      <c r="BG371" s="4">
        <v>5000</v>
      </c>
      <c r="BH371" s="4">
        <v>5000</v>
      </c>
      <c r="BI371" s="4">
        <f t="shared" si="66"/>
        <v>5000</v>
      </c>
      <c r="BJ371" s="19">
        <v>4</v>
      </c>
      <c r="BK371" s="19">
        <v>8</v>
      </c>
      <c r="BL371" s="16">
        <v>6</v>
      </c>
      <c r="BM371" s="45" t="s">
        <v>3534</v>
      </c>
      <c r="BN371" t="s">
        <v>3534</v>
      </c>
      <c r="BO371" t="str">
        <f t="shared" si="59"/>
        <v>-</v>
      </c>
      <c r="BP371">
        <v>5910</v>
      </c>
      <c r="BQ371">
        <v>5910</v>
      </c>
      <c r="BR371">
        <f t="shared" si="60"/>
        <v>6365</v>
      </c>
      <c r="BS371" t="s">
        <v>2819</v>
      </c>
    </row>
    <row r="372" spans="1:71" x14ac:dyDescent="0.4">
      <c r="A372" s="3">
        <v>369</v>
      </c>
      <c r="B372" s="3">
        <v>369</v>
      </c>
      <c r="C372" s="4" t="s">
        <v>431</v>
      </c>
      <c r="D372" s="4" t="str">
        <f t="shared" si="61"/>
        <v>J2693R</v>
      </c>
      <c r="E372" s="4" t="s">
        <v>431</v>
      </c>
      <c r="F372" s="4" t="s">
        <v>1649</v>
      </c>
      <c r="G372" s="5">
        <v>4521718237626</v>
      </c>
      <c r="H372" s="5"/>
      <c r="I372" s="5"/>
      <c r="J372" s="5">
        <v>1</v>
      </c>
      <c r="K372" s="5">
        <v>1</v>
      </c>
      <c r="L372" s="4">
        <v>1182</v>
      </c>
      <c r="M372" s="4">
        <v>1011</v>
      </c>
      <c r="N372" s="4">
        <v>768</v>
      </c>
      <c r="O372" s="6">
        <f t="shared" si="62"/>
        <v>0.24035608308605338</v>
      </c>
      <c r="P372" s="4" t="s">
        <v>2500</v>
      </c>
      <c r="Q372" s="4"/>
      <c r="R372" s="4"/>
      <c r="S372" s="4"/>
      <c r="T372" s="4"/>
      <c r="U372" s="4"/>
      <c r="V372" s="4"/>
      <c r="W372" s="4"/>
      <c r="X372" s="4"/>
      <c r="Y372" s="4">
        <v>1182</v>
      </c>
      <c r="Z372" s="4">
        <f t="shared" si="63"/>
        <v>1182</v>
      </c>
      <c r="AA372" s="4">
        <v>768</v>
      </c>
      <c r="AB372" s="4">
        <f t="shared" si="64"/>
        <v>768</v>
      </c>
      <c r="AC372" s="4"/>
      <c r="AD372" s="21">
        <f>ROUND(M372*AR372,0)</f>
        <v>1011</v>
      </c>
      <c r="AE372" s="6">
        <f>1-AB372/AD372</f>
        <v>0.24035608308605338</v>
      </c>
      <c r="AF372" s="33">
        <v>0</v>
      </c>
      <c r="AG372" s="4">
        <f t="shared" si="65"/>
        <v>1606</v>
      </c>
      <c r="AH372" s="33">
        <f t="shared" si="58"/>
        <v>1606</v>
      </c>
      <c r="AI372" s="6">
        <f>1-AB372/AH372</f>
        <v>0.52179327521793273</v>
      </c>
      <c r="AJ372" s="7">
        <f>ROUND(AB372/0.65,0)</f>
        <v>1182</v>
      </c>
      <c r="AK372" s="6">
        <f>1-AB372/AJ372</f>
        <v>0.35025380710659904</v>
      </c>
      <c r="AL372" s="4">
        <f>AJ372-AB372</f>
        <v>414</v>
      </c>
      <c r="AM372" s="28"/>
      <c r="AN372" s="6"/>
      <c r="AO372" s="6"/>
      <c r="AP372" s="6">
        <f>Z372/L372</f>
        <v>1</v>
      </c>
      <c r="AQ372" s="6">
        <f>AJ372/M372</f>
        <v>1.1691394658753709</v>
      </c>
      <c r="AR372" s="6">
        <f>AB372/N372</f>
        <v>1</v>
      </c>
      <c r="AS372" s="4"/>
      <c r="AT372" s="4"/>
      <c r="AU372" s="4"/>
      <c r="AV372" s="4"/>
      <c r="AW372" s="4"/>
      <c r="AX372" s="4"/>
      <c r="AY372" s="4"/>
      <c r="AZ372" s="4"/>
      <c r="BA372" s="4"/>
      <c r="BB372" s="4">
        <v>0</v>
      </c>
      <c r="BC372" s="4" t="s">
        <v>3905</v>
      </c>
      <c r="BD372" s="4"/>
      <c r="BE372" s="4"/>
      <c r="BF372" s="4" t="s">
        <v>3545</v>
      </c>
      <c r="BG372" s="4">
        <v>1606</v>
      </c>
      <c r="BH372" s="4">
        <v>1606</v>
      </c>
      <c r="BI372" s="4">
        <f t="shared" si="66"/>
        <v>1606</v>
      </c>
      <c r="BJ372" s="19">
        <v>4</v>
      </c>
      <c r="BK372" s="19">
        <v>8</v>
      </c>
      <c r="BL372" s="16">
        <v>6</v>
      </c>
      <c r="BM372" s="45" t="s">
        <v>3534</v>
      </c>
      <c r="BN372" t="s">
        <v>3534</v>
      </c>
      <c r="BO372" t="str">
        <f t="shared" si="59"/>
        <v>-</v>
      </c>
      <c r="BP372" t="s">
        <v>3534</v>
      </c>
      <c r="BQ372">
        <v>1182</v>
      </c>
      <c r="BR372">
        <f t="shared" si="60"/>
        <v>1182</v>
      </c>
      <c r="BS372" t="s">
        <v>2820</v>
      </c>
    </row>
    <row r="373" spans="1:71" x14ac:dyDescent="0.4">
      <c r="A373" s="3">
        <v>370</v>
      </c>
      <c r="B373" s="3">
        <v>370</v>
      </c>
      <c r="C373" s="4" t="s">
        <v>432</v>
      </c>
      <c r="D373" s="4" t="str">
        <f t="shared" si="61"/>
        <v>J2694R</v>
      </c>
      <c r="E373" s="4" t="s">
        <v>432</v>
      </c>
      <c r="F373" s="4" t="s">
        <v>1650</v>
      </c>
      <c r="G373" s="5">
        <v>4521718243016</v>
      </c>
      <c r="H373" s="5"/>
      <c r="I373" s="5"/>
      <c r="J373" s="5">
        <v>1</v>
      </c>
      <c r="K373" s="5">
        <v>1</v>
      </c>
      <c r="L373" s="4">
        <v>620</v>
      </c>
      <c r="M373" s="4">
        <v>500</v>
      </c>
      <c r="N373" s="4">
        <v>350</v>
      </c>
      <c r="O373" s="6">
        <f t="shared" si="62"/>
        <v>0.30000000000000004</v>
      </c>
      <c r="P373" s="4" t="s">
        <v>2500</v>
      </c>
      <c r="Q373" s="4"/>
      <c r="R373" s="4"/>
      <c r="S373" s="4"/>
      <c r="T373" s="4"/>
      <c r="U373" s="4"/>
      <c r="V373" s="4"/>
      <c r="W373" s="4"/>
      <c r="X373" s="4"/>
      <c r="Y373" s="4">
        <v>500</v>
      </c>
      <c r="Z373" s="4">
        <f t="shared" si="63"/>
        <v>500</v>
      </c>
      <c r="AA373" s="4">
        <v>350</v>
      </c>
      <c r="AB373" s="4">
        <f t="shared" si="64"/>
        <v>350</v>
      </c>
      <c r="AC373" s="4"/>
      <c r="AD373" s="21">
        <f>ROUND(M373*AR373,0)</f>
        <v>500</v>
      </c>
      <c r="AE373" s="6">
        <f>1-AB373/AD373</f>
        <v>0.30000000000000004</v>
      </c>
      <c r="AF373" s="33">
        <v>0</v>
      </c>
      <c r="AG373" s="4">
        <f t="shared" si="65"/>
        <v>800</v>
      </c>
      <c r="AH373" s="33">
        <f t="shared" si="58"/>
        <v>800</v>
      </c>
      <c r="AI373" s="6">
        <f>1-AB373/AH373</f>
        <v>0.5625</v>
      </c>
      <c r="AJ373" s="7">
        <v>500</v>
      </c>
      <c r="AK373" s="6">
        <f>1-AB373/AJ373</f>
        <v>0.30000000000000004</v>
      </c>
      <c r="AL373" s="4">
        <f>AJ373-AB373</f>
        <v>150</v>
      </c>
      <c r="AM373" s="28"/>
      <c r="AN373" s="6"/>
      <c r="AO373" s="6"/>
      <c r="AP373" s="6">
        <f>Z373/L373</f>
        <v>0.80645161290322576</v>
      </c>
      <c r="AQ373" s="6">
        <f>AJ373/M373</f>
        <v>1</v>
      </c>
      <c r="AR373" s="6">
        <f>AB373/N373</f>
        <v>1</v>
      </c>
      <c r="AS373" s="4"/>
      <c r="AT373" s="4"/>
      <c r="AU373" s="4"/>
      <c r="AV373" s="4"/>
      <c r="AW373" s="4"/>
      <c r="AX373" s="4"/>
      <c r="AY373" s="4"/>
      <c r="AZ373" s="4"/>
      <c r="BA373" s="4"/>
      <c r="BB373" s="4">
        <v>0</v>
      </c>
      <c r="BC373" s="4" t="s">
        <v>3906</v>
      </c>
      <c r="BD373" s="4">
        <v>1</v>
      </c>
      <c r="BE373" s="4">
        <v>2</v>
      </c>
      <c r="BF373" s="4" t="s">
        <v>3640</v>
      </c>
      <c r="BG373" s="4">
        <v>1600</v>
      </c>
      <c r="BH373" s="4">
        <v>1600</v>
      </c>
      <c r="BI373" s="4">
        <f t="shared" si="66"/>
        <v>800</v>
      </c>
      <c r="BJ373" s="19">
        <v>4</v>
      </c>
      <c r="BK373" s="19">
        <v>8</v>
      </c>
      <c r="BL373" s="16">
        <v>6</v>
      </c>
      <c r="BM373" s="45" t="s">
        <v>3534</v>
      </c>
      <c r="BN373" t="s">
        <v>3534</v>
      </c>
      <c r="BO373" t="str">
        <f t="shared" si="59"/>
        <v>-</v>
      </c>
      <c r="BP373">
        <v>584</v>
      </c>
      <c r="BQ373">
        <v>584</v>
      </c>
      <c r="BR373">
        <f t="shared" si="60"/>
        <v>584</v>
      </c>
      <c r="BS373" t="s">
        <v>2821</v>
      </c>
    </row>
    <row r="374" spans="1:71" x14ac:dyDescent="0.4">
      <c r="A374" s="3">
        <v>371</v>
      </c>
      <c r="B374" s="3">
        <v>371</v>
      </c>
      <c r="C374" s="4" t="s">
        <v>433</v>
      </c>
      <c r="D374" s="4" t="str">
        <f t="shared" si="61"/>
        <v>J2695R</v>
      </c>
      <c r="E374" s="4" t="s">
        <v>433</v>
      </c>
      <c r="F374" s="4" t="s">
        <v>1651</v>
      </c>
      <c r="G374" s="5">
        <v>4521718243023</v>
      </c>
      <c r="H374" s="5"/>
      <c r="I374" s="5"/>
      <c r="J374" s="5">
        <v>1</v>
      </c>
      <c r="K374" s="5">
        <v>1</v>
      </c>
      <c r="L374" s="4">
        <v>620</v>
      </c>
      <c r="M374" s="4">
        <v>536</v>
      </c>
      <c r="N374" s="4">
        <v>350</v>
      </c>
      <c r="O374" s="6">
        <f t="shared" si="62"/>
        <v>0.34701492537313428</v>
      </c>
      <c r="P374" s="4" t="s">
        <v>2500</v>
      </c>
      <c r="Q374" s="4"/>
      <c r="R374" s="4"/>
      <c r="S374" s="4"/>
      <c r="T374" s="4"/>
      <c r="U374" s="4"/>
      <c r="V374" s="4"/>
      <c r="W374" s="4"/>
      <c r="X374" s="4"/>
      <c r="Y374" s="4">
        <v>500</v>
      </c>
      <c r="Z374" s="4">
        <f t="shared" si="63"/>
        <v>500</v>
      </c>
      <c r="AA374" s="4">
        <v>350</v>
      </c>
      <c r="AB374" s="4">
        <f t="shared" si="64"/>
        <v>350</v>
      </c>
      <c r="AC374" s="4"/>
      <c r="AD374" s="21">
        <f>ROUND(M374*AR374,0)</f>
        <v>536</v>
      </c>
      <c r="AE374" s="6">
        <f>1-AB374/AD374</f>
        <v>0.34701492537313428</v>
      </c>
      <c r="AF374" s="33">
        <v>0</v>
      </c>
      <c r="AG374" s="4">
        <f t="shared" si="65"/>
        <v>800</v>
      </c>
      <c r="AH374" s="33">
        <f t="shared" si="58"/>
        <v>800</v>
      </c>
      <c r="AI374" s="6">
        <f>1-AB374/AH374</f>
        <v>0.5625</v>
      </c>
      <c r="AJ374" s="7">
        <v>500</v>
      </c>
      <c r="AK374" s="6">
        <f>1-AB374/AJ374</f>
        <v>0.30000000000000004</v>
      </c>
      <c r="AL374" s="4">
        <f>AJ374-AB374</f>
        <v>150</v>
      </c>
      <c r="AM374" s="28"/>
      <c r="AN374" s="6"/>
      <c r="AO374" s="6"/>
      <c r="AP374" s="6">
        <f>Z374/L374</f>
        <v>0.80645161290322576</v>
      </c>
      <c r="AQ374" s="6">
        <f>AJ374/M374</f>
        <v>0.93283582089552242</v>
      </c>
      <c r="AR374" s="6">
        <f>AB374/N374</f>
        <v>1</v>
      </c>
      <c r="AS374" s="4"/>
      <c r="AT374" s="4"/>
      <c r="AU374" s="4"/>
      <c r="AV374" s="4"/>
      <c r="AW374" s="4"/>
      <c r="AX374" s="4"/>
      <c r="AY374" s="4"/>
      <c r="AZ374" s="4"/>
      <c r="BA374" s="4"/>
      <c r="BB374" s="4">
        <v>0</v>
      </c>
      <c r="BC374" s="4" t="s">
        <v>3907</v>
      </c>
      <c r="BD374" s="4">
        <v>1</v>
      </c>
      <c r="BE374" s="4">
        <v>2</v>
      </c>
      <c r="BF374" s="4" t="s">
        <v>3640</v>
      </c>
      <c r="BG374" s="4">
        <v>1600</v>
      </c>
      <c r="BH374" s="4">
        <v>1600</v>
      </c>
      <c r="BI374" s="4">
        <f t="shared" si="66"/>
        <v>800</v>
      </c>
      <c r="BJ374" s="19">
        <v>4</v>
      </c>
      <c r="BK374" s="19">
        <v>8</v>
      </c>
      <c r="BL374" s="16">
        <v>6</v>
      </c>
      <c r="BM374" s="45" t="s">
        <v>3534</v>
      </c>
      <c r="BN374" t="s">
        <v>3534</v>
      </c>
      <c r="BO374" t="str">
        <f t="shared" si="59"/>
        <v>-</v>
      </c>
      <c r="BP374">
        <v>584</v>
      </c>
      <c r="BQ374">
        <v>584</v>
      </c>
      <c r="BR374">
        <f t="shared" si="60"/>
        <v>584</v>
      </c>
      <c r="BS374" t="s">
        <v>2822</v>
      </c>
    </row>
    <row r="375" spans="1:71" x14ac:dyDescent="0.4">
      <c r="A375" s="3">
        <v>372</v>
      </c>
      <c r="B375" s="3">
        <v>372</v>
      </c>
      <c r="C375" s="4" t="s">
        <v>434</v>
      </c>
      <c r="D375" s="4" t="str">
        <f t="shared" si="61"/>
        <v>J2698R</v>
      </c>
      <c r="E375" s="4" t="s">
        <v>434</v>
      </c>
      <c r="F375" s="4" t="s">
        <v>1652</v>
      </c>
      <c r="G375" s="5">
        <v>4521718243054</v>
      </c>
      <c r="H375" s="5"/>
      <c r="I375" s="5"/>
      <c r="J375" s="5">
        <v>1</v>
      </c>
      <c r="K375" s="5">
        <v>1</v>
      </c>
      <c r="L375" s="4">
        <v>620</v>
      </c>
      <c r="M375" s="4">
        <v>500</v>
      </c>
      <c r="N375" s="4">
        <v>350</v>
      </c>
      <c r="O375" s="6">
        <f t="shared" si="62"/>
        <v>0.30000000000000004</v>
      </c>
      <c r="P375" s="4" t="s">
        <v>2500</v>
      </c>
      <c r="Q375" s="4"/>
      <c r="R375" s="4"/>
      <c r="S375" s="4"/>
      <c r="T375" s="4"/>
      <c r="U375" s="4"/>
      <c r="V375" s="4"/>
      <c r="W375" s="4"/>
      <c r="X375" s="4"/>
      <c r="Y375" s="4">
        <v>500</v>
      </c>
      <c r="Z375" s="4">
        <f t="shared" si="63"/>
        <v>500</v>
      </c>
      <c r="AA375" s="4">
        <v>350</v>
      </c>
      <c r="AB375" s="4">
        <f t="shared" si="64"/>
        <v>350</v>
      </c>
      <c r="AC375" s="4"/>
      <c r="AD375" s="21">
        <f>ROUND(M375*AR375,0)</f>
        <v>500</v>
      </c>
      <c r="AE375" s="6">
        <f>1-AB375/AD375</f>
        <v>0.30000000000000004</v>
      </c>
      <c r="AF375" s="33">
        <v>0</v>
      </c>
      <c r="AG375" s="4">
        <f t="shared" si="65"/>
        <v>800</v>
      </c>
      <c r="AH375" s="33">
        <f t="shared" si="58"/>
        <v>800</v>
      </c>
      <c r="AI375" s="6">
        <f>1-AB375/AH375</f>
        <v>0.5625</v>
      </c>
      <c r="AJ375" s="7">
        <v>500</v>
      </c>
      <c r="AK375" s="6">
        <f>1-AB375/AJ375</f>
        <v>0.30000000000000004</v>
      </c>
      <c r="AL375" s="4">
        <f>AJ375-AB375</f>
        <v>150</v>
      </c>
      <c r="AM375" s="28"/>
      <c r="AN375" s="6"/>
      <c r="AO375" s="6"/>
      <c r="AP375" s="6">
        <f>Z375/L375</f>
        <v>0.80645161290322576</v>
      </c>
      <c r="AQ375" s="6">
        <f>AJ375/M375</f>
        <v>1</v>
      </c>
      <c r="AR375" s="6">
        <f>AB375/N375</f>
        <v>1</v>
      </c>
      <c r="AS375" s="4"/>
      <c r="AT375" s="4"/>
      <c r="AU375" s="4"/>
      <c r="AV375" s="4"/>
      <c r="AW375" s="4"/>
      <c r="AX375" s="4"/>
      <c r="AY375" s="4"/>
      <c r="AZ375" s="4"/>
      <c r="BA375" s="4"/>
      <c r="BB375" s="4">
        <v>0</v>
      </c>
      <c r="BC375" s="4" t="s">
        <v>3908</v>
      </c>
      <c r="BD375" s="4">
        <v>1</v>
      </c>
      <c r="BE375" s="4">
        <v>2</v>
      </c>
      <c r="BF375" s="4" t="s">
        <v>3640</v>
      </c>
      <c r="BG375" s="4">
        <v>1600</v>
      </c>
      <c r="BH375" s="4">
        <v>1600</v>
      </c>
      <c r="BI375" s="4">
        <f t="shared" si="66"/>
        <v>800</v>
      </c>
      <c r="BJ375" s="19">
        <v>4</v>
      </c>
      <c r="BK375" s="19">
        <v>8</v>
      </c>
      <c r="BL375" s="16">
        <v>6</v>
      </c>
      <c r="BM375" s="45" t="s">
        <v>3534</v>
      </c>
      <c r="BN375" t="s">
        <v>3534</v>
      </c>
      <c r="BO375" t="str">
        <f t="shared" si="59"/>
        <v>-</v>
      </c>
      <c r="BP375">
        <v>584</v>
      </c>
      <c r="BQ375">
        <v>584</v>
      </c>
      <c r="BR375">
        <f t="shared" si="60"/>
        <v>584</v>
      </c>
      <c r="BS375" t="s">
        <v>2823</v>
      </c>
    </row>
    <row r="376" spans="1:71" x14ac:dyDescent="0.4">
      <c r="A376" s="3">
        <v>373</v>
      </c>
      <c r="B376" s="3">
        <v>373</v>
      </c>
      <c r="C376" s="4" t="s">
        <v>435</v>
      </c>
      <c r="D376" s="4" t="str">
        <f t="shared" si="61"/>
        <v>J2699R</v>
      </c>
      <c r="E376" s="4" t="s">
        <v>435</v>
      </c>
      <c r="F376" s="4" t="s">
        <v>1653</v>
      </c>
      <c r="G376" s="5">
        <v>4521718243061</v>
      </c>
      <c r="H376" s="5"/>
      <c r="I376" s="5"/>
      <c r="J376" s="5">
        <v>1</v>
      </c>
      <c r="K376" s="5">
        <v>1</v>
      </c>
      <c r="L376" s="4">
        <v>620</v>
      </c>
      <c r="M376" s="4">
        <v>500</v>
      </c>
      <c r="N376" s="4">
        <v>350</v>
      </c>
      <c r="O376" s="6">
        <f t="shared" si="62"/>
        <v>0.30000000000000004</v>
      </c>
      <c r="P376" s="4" t="s">
        <v>2500</v>
      </c>
      <c r="Q376" s="4"/>
      <c r="R376" s="4"/>
      <c r="S376" s="4"/>
      <c r="T376" s="4"/>
      <c r="U376" s="4"/>
      <c r="V376" s="4"/>
      <c r="W376" s="4"/>
      <c r="X376" s="4"/>
      <c r="Y376" s="4">
        <v>500</v>
      </c>
      <c r="Z376" s="4">
        <f t="shared" si="63"/>
        <v>500</v>
      </c>
      <c r="AA376" s="4">
        <v>350</v>
      </c>
      <c r="AB376" s="4">
        <f t="shared" si="64"/>
        <v>350</v>
      </c>
      <c r="AC376" s="4"/>
      <c r="AD376" s="21">
        <f>ROUND(M376*AR376,0)</f>
        <v>500</v>
      </c>
      <c r="AE376" s="6">
        <f>1-AB376/AD376</f>
        <v>0.30000000000000004</v>
      </c>
      <c r="AF376" s="33">
        <v>0</v>
      </c>
      <c r="AG376" s="4">
        <f t="shared" si="65"/>
        <v>800</v>
      </c>
      <c r="AH376" s="33">
        <f t="shared" si="58"/>
        <v>800</v>
      </c>
      <c r="AI376" s="6">
        <f>1-AB376/AH376</f>
        <v>0.5625</v>
      </c>
      <c r="AJ376" s="7">
        <v>500</v>
      </c>
      <c r="AK376" s="6">
        <f>1-AB376/AJ376</f>
        <v>0.30000000000000004</v>
      </c>
      <c r="AL376" s="4">
        <f>AJ376-AB376</f>
        <v>150</v>
      </c>
      <c r="AM376" s="28"/>
      <c r="AN376" s="6"/>
      <c r="AO376" s="6"/>
      <c r="AP376" s="6">
        <f>Z376/L376</f>
        <v>0.80645161290322576</v>
      </c>
      <c r="AQ376" s="6">
        <f>AJ376/M376</f>
        <v>1</v>
      </c>
      <c r="AR376" s="6">
        <f>AB376/N376</f>
        <v>1</v>
      </c>
      <c r="AS376" s="4"/>
      <c r="AT376" s="4"/>
      <c r="AU376" s="4"/>
      <c r="AV376" s="4"/>
      <c r="AW376" s="4"/>
      <c r="AX376" s="4"/>
      <c r="AY376" s="4"/>
      <c r="AZ376" s="4"/>
      <c r="BA376" s="4"/>
      <c r="BB376" s="4">
        <v>0</v>
      </c>
      <c r="BC376" s="4" t="s">
        <v>3909</v>
      </c>
      <c r="BD376" s="4">
        <v>1</v>
      </c>
      <c r="BE376" s="4">
        <v>2</v>
      </c>
      <c r="BF376" s="4" t="s">
        <v>3640</v>
      </c>
      <c r="BG376" s="4">
        <v>1600</v>
      </c>
      <c r="BH376" s="4">
        <v>1600</v>
      </c>
      <c r="BI376" s="4">
        <f t="shared" si="66"/>
        <v>800</v>
      </c>
      <c r="BJ376" s="19">
        <v>4</v>
      </c>
      <c r="BK376" s="19">
        <v>8</v>
      </c>
      <c r="BL376" s="16">
        <v>6</v>
      </c>
      <c r="BM376" s="45" t="s">
        <v>3534</v>
      </c>
      <c r="BN376" t="s">
        <v>3534</v>
      </c>
      <c r="BO376" t="str">
        <f t="shared" si="59"/>
        <v>-</v>
      </c>
      <c r="BP376">
        <v>584</v>
      </c>
      <c r="BQ376">
        <v>584</v>
      </c>
      <c r="BR376">
        <f t="shared" si="60"/>
        <v>584</v>
      </c>
      <c r="BS376" t="s">
        <v>2824</v>
      </c>
    </row>
    <row r="377" spans="1:71" x14ac:dyDescent="0.4">
      <c r="A377" s="3">
        <v>374</v>
      </c>
      <c r="B377" s="3">
        <v>374</v>
      </c>
      <c r="C377" s="4" t="s">
        <v>436</v>
      </c>
      <c r="D377" s="4" t="str">
        <f t="shared" si="61"/>
        <v>J269WL</v>
      </c>
      <c r="E377" s="4" t="s">
        <v>436</v>
      </c>
      <c r="F377" s="4" t="s">
        <v>1654</v>
      </c>
      <c r="G377" s="5">
        <v>4521718034492</v>
      </c>
      <c r="H377" s="5"/>
      <c r="I377" s="5"/>
      <c r="J377" s="5">
        <v>1</v>
      </c>
      <c r="K377" s="5">
        <v>1</v>
      </c>
      <c r="L377" s="4">
        <v>410</v>
      </c>
      <c r="M377" s="4">
        <v>282</v>
      </c>
      <c r="N377" s="4">
        <v>183</v>
      </c>
      <c r="O377" s="6">
        <f t="shared" si="62"/>
        <v>0.35106382978723405</v>
      </c>
      <c r="P377" s="4" t="s">
        <v>2500</v>
      </c>
      <c r="Q377" s="4"/>
      <c r="R377" s="4"/>
      <c r="S377" s="4"/>
      <c r="T377" s="4"/>
      <c r="U377" s="4"/>
      <c r="V377" s="4"/>
      <c r="W377" s="4"/>
      <c r="X377" s="4"/>
      <c r="Y377" s="4">
        <v>291</v>
      </c>
      <c r="Z377" s="4">
        <f t="shared" si="63"/>
        <v>291</v>
      </c>
      <c r="AA377" s="4">
        <v>189</v>
      </c>
      <c r="AB377" s="4">
        <f t="shared" si="64"/>
        <v>189</v>
      </c>
      <c r="AC377" s="4"/>
      <c r="AD377" s="21">
        <f>ROUND(M377*AR377,0)</f>
        <v>291</v>
      </c>
      <c r="AE377" s="6">
        <f>1-AB377/AD377</f>
        <v>0.35051546391752575</v>
      </c>
      <c r="AF377" s="33">
        <v>0</v>
      </c>
      <c r="AG377" s="4" t="str">
        <f t="shared" si="65"/>
        <v>-</v>
      </c>
      <c r="AH377" s="33" t="e">
        <f t="shared" si="58"/>
        <v>#VALUE!</v>
      </c>
      <c r="AI377" s="6" t="e">
        <f>1-AB377/AH377</f>
        <v>#VALUE!</v>
      </c>
      <c r="AJ377" s="7">
        <f>ROUND(AB377/0.65,0)</f>
        <v>291</v>
      </c>
      <c r="AK377" s="6">
        <f>1-AB377/AJ377</f>
        <v>0.35051546391752575</v>
      </c>
      <c r="AL377" s="4">
        <f>AJ377-AB377</f>
        <v>102</v>
      </c>
      <c r="AM377" s="28"/>
      <c r="AN377" s="6"/>
      <c r="AO377" s="6"/>
      <c r="AP377" s="6">
        <f>Z377/L377</f>
        <v>0.70975609756097557</v>
      </c>
      <c r="AQ377" s="6">
        <f>AJ377/M377</f>
        <v>1.0319148936170213</v>
      </c>
      <c r="AR377" s="6">
        <f>AB377/N377</f>
        <v>1.0327868852459017</v>
      </c>
      <c r="AS377" s="4"/>
      <c r="AT377" s="4"/>
      <c r="AU377" s="4"/>
      <c r="AV377" s="4"/>
      <c r="AW377" s="4"/>
      <c r="AX377" s="4"/>
      <c r="AY377" s="4"/>
      <c r="AZ377" s="4"/>
      <c r="BA377" s="4"/>
      <c r="BB377" s="4">
        <v>0</v>
      </c>
      <c r="BC377" s="4" t="s">
        <v>3534</v>
      </c>
      <c r="BD377" s="4"/>
      <c r="BE377" s="4"/>
      <c r="BF377" s="4" t="s">
        <v>3534</v>
      </c>
      <c r="BG377" s="4" t="s">
        <v>3534</v>
      </c>
      <c r="BH377" s="4" t="s">
        <v>3534</v>
      </c>
      <c r="BI377" s="4" t="str">
        <f t="shared" si="66"/>
        <v>-</v>
      </c>
      <c r="BJ377" s="19">
        <v>4</v>
      </c>
      <c r="BK377" s="19">
        <v>8</v>
      </c>
      <c r="BL377" s="16">
        <v>3</v>
      </c>
      <c r="BM377" s="45" t="s">
        <v>3534</v>
      </c>
      <c r="BN377" t="s">
        <v>3534</v>
      </c>
      <c r="BO377" t="str">
        <f t="shared" si="59"/>
        <v>-</v>
      </c>
      <c r="BP377" t="s">
        <v>3534</v>
      </c>
      <c r="BQ377" t="s">
        <v>3534</v>
      </c>
      <c r="BR377" t="str">
        <f t="shared" si="60"/>
        <v>-</v>
      </c>
      <c r="BS377" t="s">
        <v>3534</v>
      </c>
    </row>
    <row r="378" spans="1:71" x14ac:dyDescent="0.4">
      <c r="A378" s="3">
        <v>375</v>
      </c>
      <c r="B378" s="3">
        <v>375</v>
      </c>
      <c r="C378" s="4" t="s">
        <v>437</v>
      </c>
      <c r="D378" s="4" t="str">
        <f t="shared" si="61"/>
        <v>J2700R</v>
      </c>
      <c r="E378" s="4" t="s">
        <v>437</v>
      </c>
      <c r="F378" s="4" t="s">
        <v>1655</v>
      </c>
      <c r="G378" s="5">
        <v>4521718243078</v>
      </c>
      <c r="H378" s="5"/>
      <c r="I378" s="5"/>
      <c r="J378" s="5">
        <v>1</v>
      </c>
      <c r="K378" s="5">
        <v>1</v>
      </c>
      <c r="L378" s="4">
        <v>620</v>
      </c>
      <c r="M378" s="4">
        <v>500</v>
      </c>
      <c r="N378" s="4">
        <v>350</v>
      </c>
      <c r="O378" s="6">
        <f t="shared" si="62"/>
        <v>0.30000000000000004</v>
      </c>
      <c r="P378" s="4" t="s">
        <v>2500</v>
      </c>
      <c r="Q378" s="4"/>
      <c r="R378" s="4"/>
      <c r="S378" s="4"/>
      <c r="T378" s="4"/>
      <c r="U378" s="4"/>
      <c r="V378" s="4"/>
      <c r="W378" s="4"/>
      <c r="X378" s="4"/>
      <c r="Y378" s="4">
        <v>500</v>
      </c>
      <c r="Z378" s="4">
        <f t="shared" si="63"/>
        <v>500</v>
      </c>
      <c r="AA378" s="4">
        <v>350</v>
      </c>
      <c r="AB378" s="4">
        <f t="shared" si="64"/>
        <v>350</v>
      </c>
      <c r="AC378" s="4"/>
      <c r="AD378" s="21">
        <f>ROUND(M378*AR378,0)</f>
        <v>500</v>
      </c>
      <c r="AE378" s="6">
        <f>1-AB378/AD378</f>
        <v>0.30000000000000004</v>
      </c>
      <c r="AF378" s="33">
        <v>0</v>
      </c>
      <c r="AG378" s="4">
        <f t="shared" si="65"/>
        <v>800</v>
      </c>
      <c r="AH378" s="33">
        <f t="shared" si="58"/>
        <v>800</v>
      </c>
      <c r="AI378" s="6">
        <f>1-AB378/AH378</f>
        <v>0.5625</v>
      </c>
      <c r="AJ378" s="7">
        <v>500</v>
      </c>
      <c r="AK378" s="6">
        <f>1-AB378/AJ378</f>
        <v>0.30000000000000004</v>
      </c>
      <c r="AL378" s="4">
        <f>AJ378-AB378</f>
        <v>150</v>
      </c>
      <c r="AM378" s="28"/>
      <c r="AN378" s="6"/>
      <c r="AO378" s="6"/>
      <c r="AP378" s="6">
        <f>Z378/L378</f>
        <v>0.80645161290322576</v>
      </c>
      <c r="AQ378" s="6">
        <f>AJ378/M378</f>
        <v>1</v>
      </c>
      <c r="AR378" s="6">
        <f>AB378/N378</f>
        <v>1</v>
      </c>
      <c r="AS378" s="4"/>
      <c r="AT378" s="4"/>
      <c r="AU378" s="4"/>
      <c r="AV378" s="4"/>
      <c r="AW378" s="4"/>
      <c r="AX378" s="4"/>
      <c r="AY378" s="4"/>
      <c r="AZ378" s="4"/>
      <c r="BA378" s="4"/>
      <c r="BB378" s="4">
        <v>0</v>
      </c>
      <c r="BC378" s="4" t="s">
        <v>3910</v>
      </c>
      <c r="BD378" s="4">
        <v>1</v>
      </c>
      <c r="BE378" s="4">
        <v>2</v>
      </c>
      <c r="BF378" s="4" t="s">
        <v>3640</v>
      </c>
      <c r="BG378" s="4">
        <v>1600</v>
      </c>
      <c r="BH378" s="4">
        <v>1600</v>
      </c>
      <c r="BI378" s="4">
        <f t="shared" si="66"/>
        <v>800</v>
      </c>
      <c r="BJ378" s="19">
        <v>4</v>
      </c>
      <c r="BK378" s="19">
        <v>8</v>
      </c>
      <c r="BL378" s="16">
        <v>6</v>
      </c>
      <c r="BM378" s="45" t="s">
        <v>3534</v>
      </c>
      <c r="BN378" t="s">
        <v>3534</v>
      </c>
      <c r="BO378" t="str">
        <f t="shared" si="59"/>
        <v>-</v>
      </c>
      <c r="BP378" t="s">
        <v>3534</v>
      </c>
      <c r="BQ378">
        <v>584</v>
      </c>
      <c r="BR378">
        <f t="shared" si="60"/>
        <v>584</v>
      </c>
      <c r="BS378" t="s">
        <v>2825</v>
      </c>
    </row>
    <row r="379" spans="1:71" x14ac:dyDescent="0.4">
      <c r="A379" s="3">
        <v>376</v>
      </c>
      <c r="B379" s="3">
        <v>376</v>
      </c>
      <c r="C379" s="4" t="s">
        <v>438</v>
      </c>
      <c r="D379" s="4" t="str">
        <f t="shared" si="61"/>
        <v>J2701R</v>
      </c>
      <c r="E379" s="4" t="s">
        <v>438</v>
      </c>
      <c r="F379" s="4" t="s">
        <v>1656</v>
      </c>
      <c r="G379" s="5">
        <v>4521718243085</v>
      </c>
      <c r="H379" s="5"/>
      <c r="I379" s="5"/>
      <c r="J379" s="5">
        <v>1</v>
      </c>
      <c r="K379" s="5">
        <v>1</v>
      </c>
      <c r="L379" s="4">
        <v>620</v>
      </c>
      <c r="M379" s="4">
        <v>500</v>
      </c>
      <c r="N379" s="4">
        <v>350</v>
      </c>
      <c r="O379" s="6">
        <f t="shared" si="62"/>
        <v>0.30000000000000004</v>
      </c>
      <c r="P379" s="4" t="s">
        <v>2500</v>
      </c>
      <c r="Q379" s="4"/>
      <c r="R379" s="4"/>
      <c r="S379" s="4"/>
      <c r="T379" s="4"/>
      <c r="U379" s="4"/>
      <c r="V379" s="4"/>
      <c r="W379" s="4"/>
      <c r="X379" s="4"/>
      <c r="Y379" s="4">
        <v>500</v>
      </c>
      <c r="Z379" s="4">
        <f t="shared" si="63"/>
        <v>500</v>
      </c>
      <c r="AA379" s="4">
        <v>350</v>
      </c>
      <c r="AB379" s="4">
        <f t="shared" si="64"/>
        <v>350</v>
      </c>
      <c r="AC379" s="4"/>
      <c r="AD379" s="21">
        <f>ROUND(M379*AR379,0)</f>
        <v>500</v>
      </c>
      <c r="AE379" s="6">
        <f>1-AB379/AD379</f>
        <v>0.30000000000000004</v>
      </c>
      <c r="AF379" s="33">
        <v>0</v>
      </c>
      <c r="AG379" s="4">
        <f t="shared" si="65"/>
        <v>800</v>
      </c>
      <c r="AH379" s="33">
        <f t="shared" si="58"/>
        <v>800</v>
      </c>
      <c r="AI379" s="6">
        <f>1-AB379/AH379</f>
        <v>0.5625</v>
      </c>
      <c r="AJ379" s="7">
        <v>500</v>
      </c>
      <c r="AK379" s="6">
        <f>1-AB379/AJ379</f>
        <v>0.30000000000000004</v>
      </c>
      <c r="AL379" s="4">
        <f>AJ379-AB379</f>
        <v>150</v>
      </c>
      <c r="AM379" s="28"/>
      <c r="AN379" s="6"/>
      <c r="AO379" s="6"/>
      <c r="AP379" s="6">
        <f>Z379/L379</f>
        <v>0.80645161290322576</v>
      </c>
      <c r="AQ379" s="6">
        <f>AJ379/M379</f>
        <v>1</v>
      </c>
      <c r="AR379" s="6">
        <f>AB379/N379</f>
        <v>1</v>
      </c>
      <c r="AS379" s="4"/>
      <c r="AT379" s="4"/>
      <c r="AU379" s="4"/>
      <c r="AV379" s="4"/>
      <c r="AW379" s="4"/>
      <c r="AX379" s="4"/>
      <c r="AY379" s="4"/>
      <c r="AZ379" s="4"/>
      <c r="BA379" s="4"/>
      <c r="BB379" s="4">
        <v>0</v>
      </c>
      <c r="BC379" s="4" t="s">
        <v>3911</v>
      </c>
      <c r="BD379" s="4">
        <v>1</v>
      </c>
      <c r="BE379" s="4">
        <v>2</v>
      </c>
      <c r="BF379" s="4" t="s">
        <v>3640</v>
      </c>
      <c r="BG379" s="4">
        <v>1600</v>
      </c>
      <c r="BH379" s="4">
        <v>1600</v>
      </c>
      <c r="BI379" s="4">
        <f t="shared" si="66"/>
        <v>800</v>
      </c>
      <c r="BJ379" s="19">
        <v>4</v>
      </c>
      <c r="BK379" s="19">
        <v>8</v>
      </c>
      <c r="BL379" s="16">
        <v>6</v>
      </c>
      <c r="BM379" s="45" t="s">
        <v>3534</v>
      </c>
      <c r="BN379" t="s">
        <v>3534</v>
      </c>
      <c r="BO379" t="str">
        <f t="shared" si="59"/>
        <v>-</v>
      </c>
      <c r="BP379" t="s">
        <v>3534</v>
      </c>
      <c r="BQ379">
        <v>584</v>
      </c>
      <c r="BR379">
        <f t="shared" si="60"/>
        <v>584</v>
      </c>
      <c r="BS379" t="s">
        <v>2826</v>
      </c>
    </row>
    <row r="380" spans="1:71" x14ac:dyDescent="0.4">
      <c r="A380" s="3">
        <v>377</v>
      </c>
      <c r="B380" s="3">
        <v>377</v>
      </c>
      <c r="C380" s="4" t="s">
        <v>439</v>
      </c>
      <c r="D380" s="4" t="str">
        <f t="shared" si="61"/>
        <v>J271RR</v>
      </c>
      <c r="E380" s="4" t="s">
        <v>439</v>
      </c>
      <c r="F380" s="4" t="s">
        <v>1657</v>
      </c>
      <c r="G380" s="5">
        <v>4521718035680</v>
      </c>
      <c r="H380" s="5"/>
      <c r="I380" s="5"/>
      <c r="J380" s="5">
        <v>1</v>
      </c>
      <c r="K380" s="5">
        <v>1</v>
      </c>
      <c r="L380" s="4">
        <v>610</v>
      </c>
      <c r="M380" s="4">
        <v>397</v>
      </c>
      <c r="N380" s="4">
        <v>272</v>
      </c>
      <c r="O380" s="6">
        <f t="shared" si="62"/>
        <v>0.31486146095717882</v>
      </c>
      <c r="P380" s="4" t="s">
        <v>2500</v>
      </c>
      <c r="Q380" s="4"/>
      <c r="R380" s="4"/>
      <c r="S380" s="4"/>
      <c r="T380" s="4"/>
      <c r="U380" s="4"/>
      <c r="V380" s="4"/>
      <c r="W380" s="4"/>
      <c r="X380" s="4"/>
      <c r="Y380" s="4">
        <v>619</v>
      </c>
      <c r="Z380" s="4">
        <f t="shared" si="63"/>
        <v>619</v>
      </c>
      <c r="AA380" s="4">
        <v>279</v>
      </c>
      <c r="AB380" s="4">
        <f t="shared" si="64"/>
        <v>279</v>
      </c>
      <c r="AC380" s="4"/>
      <c r="AD380" s="21">
        <f>ROUND(M380*AR380,0)</f>
        <v>407</v>
      </c>
      <c r="AE380" s="6">
        <f>1-AB380/AD380</f>
        <v>0.31449631449631454</v>
      </c>
      <c r="AF380" s="33">
        <v>0.5</v>
      </c>
      <c r="AG380" s="4">
        <f t="shared" si="65"/>
        <v>352.8</v>
      </c>
      <c r="AH380" s="33">
        <f t="shared" si="58"/>
        <v>361.87941176470588</v>
      </c>
      <c r="AI380" s="6">
        <f>1-AB380/AH380</f>
        <v>0.22902494331065759</v>
      </c>
      <c r="AJ380" s="7">
        <f>ROUND(AB380/0.65,0)</f>
        <v>429</v>
      </c>
      <c r="AK380" s="6">
        <f>1-AB380/AJ380</f>
        <v>0.34965034965034969</v>
      </c>
      <c r="AL380" s="4">
        <f>AJ380-AB380</f>
        <v>150</v>
      </c>
      <c r="AM380" s="28"/>
      <c r="AN380" s="6"/>
      <c r="AO380" s="6"/>
      <c r="AP380" s="6">
        <f>Z380/L380</f>
        <v>1.0147540983606558</v>
      </c>
      <c r="AQ380" s="6">
        <f>AJ380/M380</f>
        <v>1.0806045340050379</v>
      </c>
      <c r="AR380" s="6">
        <f>AB380/N380</f>
        <v>1.025735294117647</v>
      </c>
      <c r="AS380" s="4"/>
      <c r="AT380" s="4"/>
      <c r="AU380" s="4"/>
      <c r="AV380" s="4"/>
      <c r="AW380" s="4"/>
      <c r="AX380" s="4"/>
      <c r="AY380" s="4"/>
      <c r="AZ380" s="4"/>
      <c r="BA380" s="4"/>
      <c r="BB380" s="4">
        <v>0</v>
      </c>
      <c r="BC380" s="4" t="s">
        <v>3912</v>
      </c>
      <c r="BD380" s="4">
        <v>1</v>
      </c>
      <c r="BE380" s="4">
        <v>5</v>
      </c>
      <c r="BF380" s="4" t="s">
        <v>3790</v>
      </c>
      <c r="BG380" s="4">
        <v>1764</v>
      </c>
      <c r="BH380" s="4">
        <v>1764</v>
      </c>
      <c r="BI380" s="4">
        <f t="shared" si="66"/>
        <v>352.8</v>
      </c>
      <c r="BJ380" s="19">
        <v>4</v>
      </c>
      <c r="BK380" s="19">
        <v>8</v>
      </c>
      <c r="BL380" s="16">
        <v>6</v>
      </c>
      <c r="BM380" s="45" t="s">
        <v>3534</v>
      </c>
      <c r="BN380" t="s">
        <v>3534</v>
      </c>
      <c r="BO380" t="str">
        <f t="shared" si="59"/>
        <v>-</v>
      </c>
      <c r="BP380" t="s">
        <v>3534</v>
      </c>
      <c r="BQ380">
        <v>691</v>
      </c>
      <c r="BR380">
        <f t="shared" si="60"/>
        <v>708.78308823529403</v>
      </c>
      <c r="BS380" t="s">
        <v>2827</v>
      </c>
    </row>
    <row r="381" spans="1:71" x14ac:dyDescent="0.4">
      <c r="A381" s="3">
        <v>378</v>
      </c>
      <c r="B381" s="3">
        <v>378</v>
      </c>
      <c r="C381" s="4" t="s">
        <v>440</v>
      </c>
      <c r="D381" s="4" t="str">
        <f t="shared" si="61"/>
        <v>J273RR</v>
      </c>
      <c r="E381" s="4" t="s">
        <v>440</v>
      </c>
      <c r="F381" s="4" t="s">
        <v>1658</v>
      </c>
      <c r="G381" s="5">
        <v>4521718035840</v>
      </c>
      <c r="H381" s="5"/>
      <c r="I381" s="5"/>
      <c r="J381" s="5">
        <v>1</v>
      </c>
      <c r="K381" s="5">
        <v>1</v>
      </c>
      <c r="L381" s="4">
        <v>400</v>
      </c>
      <c r="M381" s="4">
        <v>258</v>
      </c>
      <c r="N381" s="4">
        <v>177</v>
      </c>
      <c r="O381" s="6">
        <f t="shared" si="62"/>
        <v>0.31395348837209303</v>
      </c>
      <c r="P381" s="4" t="s">
        <v>2500</v>
      </c>
      <c r="Q381" s="4"/>
      <c r="R381" s="4"/>
      <c r="S381" s="4"/>
      <c r="T381" s="4"/>
      <c r="U381" s="4"/>
      <c r="V381" s="4"/>
      <c r="W381" s="4"/>
      <c r="X381" s="4"/>
      <c r="Y381" s="4">
        <v>273</v>
      </c>
      <c r="Z381" s="4">
        <f t="shared" si="63"/>
        <v>273</v>
      </c>
      <c r="AA381" s="4">
        <v>177</v>
      </c>
      <c r="AB381" s="4">
        <f t="shared" si="64"/>
        <v>177</v>
      </c>
      <c r="AC381" s="4"/>
      <c r="AD381" s="21">
        <f>ROUND(M381*AR381,0)</f>
        <v>258</v>
      </c>
      <c r="AE381" s="6">
        <f>1-AB381/AD381</f>
        <v>0.31395348837209303</v>
      </c>
      <c r="AF381" s="33">
        <v>0.25</v>
      </c>
      <c r="AG381" s="4">
        <f t="shared" si="65"/>
        <v>566.33333333333326</v>
      </c>
      <c r="AH381" s="33">
        <f t="shared" si="58"/>
        <v>566.33333333333326</v>
      </c>
      <c r="AI381" s="6">
        <f>1-AB381/AH381</f>
        <v>0.68746321365509111</v>
      </c>
      <c r="AJ381" s="7">
        <f>ROUND(AB381/0.65,0)</f>
        <v>272</v>
      </c>
      <c r="AK381" s="6">
        <f>1-AB381/AJ381</f>
        <v>0.34926470588235292</v>
      </c>
      <c r="AL381" s="4">
        <f>AJ381-AB381</f>
        <v>95</v>
      </c>
      <c r="AM381" s="28"/>
      <c r="AN381" s="6"/>
      <c r="AO381" s="6"/>
      <c r="AP381" s="6">
        <f>Z381/L381</f>
        <v>0.6825</v>
      </c>
      <c r="AQ381" s="6">
        <f>AJ381/M381</f>
        <v>1.054263565891473</v>
      </c>
      <c r="AR381" s="6">
        <f>AB381/N381</f>
        <v>1</v>
      </c>
      <c r="AS381" s="4"/>
      <c r="AT381" s="4"/>
      <c r="AU381" s="4"/>
      <c r="AV381" s="4"/>
      <c r="AW381" s="4"/>
      <c r="AX381" s="4"/>
      <c r="AY381" s="4"/>
      <c r="AZ381" s="4"/>
      <c r="BA381" s="4"/>
      <c r="BB381" s="4">
        <v>0</v>
      </c>
      <c r="BC381" s="4" t="s">
        <v>3913</v>
      </c>
      <c r="BD381" s="4">
        <v>1</v>
      </c>
      <c r="BE381" s="4">
        <v>3</v>
      </c>
      <c r="BF381" s="4" t="s">
        <v>3914</v>
      </c>
      <c r="BG381" s="4">
        <v>1699</v>
      </c>
      <c r="BH381" s="4">
        <v>1699</v>
      </c>
      <c r="BI381" s="4">
        <f t="shared" si="66"/>
        <v>566.33333333333326</v>
      </c>
      <c r="BJ381" s="19">
        <v>4</v>
      </c>
      <c r="BK381" s="19">
        <v>8</v>
      </c>
      <c r="BL381" s="16">
        <v>6</v>
      </c>
      <c r="BM381" s="45">
        <v>319</v>
      </c>
      <c r="BN381">
        <v>319</v>
      </c>
      <c r="BO381">
        <f t="shared" si="59"/>
        <v>319</v>
      </c>
      <c r="BP381" t="s">
        <v>3534</v>
      </c>
      <c r="BQ381">
        <v>273</v>
      </c>
      <c r="BR381">
        <f t="shared" si="60"/>
        <v>273</v>
      </c>
      <c r="BS381" t="s">
        <v>2828</v>
      </c>
    </row>
    <row r="382" spans="1:71" x14ac:dyDescent="0.4">
      <c r="A382" s="3">
        <v>379</v>
      </c>
      <c r="B382" s="3">
        <v>379</v>
      </c>
      <c r="C382" s="4" t="s">
        <v>441</v>
      </c>
      <c r="D382" s="4" t="str">
        <f t="shared" si="61"/>
        <v>J378WL</v>
      </c>
      <c r="E382" s="4" t="s">
        <v>441</v>
      </c>
      <c r="F382" s="4" t="s">
        <v>1659</v>
      </c>
      <c r="G382" s="5">
        <v>4521718243573</v>
      </c>
      <c r="H382" s="5"/>
      <c r="I382" s="5"/>
      <c r="J382" s="5">
        <v>1</v>
      </c>
      <c r="K382" s="5">
        <v>1</v>
      </c>
      <c r="L382" s="4">
        <v>500</v>
      </c>
      <c r="M382" s="4">
        <v>500</v>
      </c>
      <c r="N382" s="4">
        <v>300</v>
      </c>
      <c r="O382" s="6">
        <f t="shared" si="62"/>
        <v>0.4</v>
      </c>
      <c r="P382" s="4" t="s">
        <v>2500</v>
      </c>
      <c r="Q382" s="4"/>
      <c r="R382" s="4"/>
      <c r="S382" s="4"/>
      <c r="T382" s="4"/>
      <c r="U382" s="4"/>
      <c r="V382" s="4"/>
      <c r="W382" s="4"/>
      <c r="X382" s="4"/>
      <c r="Y382" s="4">
        <v>600</v>
      </c>
      <c r="Z382" s="4">
        <f t="shared" si="63"/>
        <v>600</v>
      </c>
      <c r="AA382" s="4">
        <v>360</v>
      </c>
      <c r="AB382" s="4">
        <f t="shared" si="64"/>
        <v>360</v>
      </c>
      <c r="AC382" s="4"/>
      <c r="AD382" s="21">
        <f>ROUND(M382*AR382,0)</f>
        <v>600</v>
      </c>
      <c r="AE382" s="6">
        <f>1-AB382/AD382</f>
        <v>0.4</v>
      </c>
      <c r="AF382" s="33">
        <v>0.5</v>
      </c>
      <c r="AG382" s="4">
        <f t="shared" si="65"/>
        <v>500</v>
      </c>
      <c r="AH382" s="33">
        <f t="shared" si="58"/>
        <v>600</v>
      </c>
      <c r="AI382" s="6">
        <f>1-AB382/AH382</f>
        <v>0.4</v>
      </c>
      <c r="AJ382" s="7">
        <f>ROUND(AB382/0.65,0)</f>
        <v>554</v>
      </c>
      <c r="AK382" s="6">
        <f>1-AB382/AJ382</f>
        <v>0.35018050541516244</v>
      </c>
      <c r="AL382" s="4">
        <f>AJ382-AB382</f>
        <v>194</v>
      </c>
      <c r="AM382" s="28"/>
      <c r="AN382" s="6"/>
      <c r="AO382" s="6"/>
      <c r="AP382" s="6">
        <f>Z382/L382</f>
        <v>1.2</v>
      </c>
      <c r="AQ382" s="6">
        <f>AJ382/M382</f>
        <v>1.1080000000000001</v>
      </c>
      <c r="AR382" s="6">
        <f>AB382/N382</f>
        <v>1.2</v>
      </c>
      <c r="AS382" s="4"/>
      <c r="AT382" s="4"/>
      <c r="AU382" s="4"/>
      <c r="AV382" s="4"/>
      <c r="AW382" s="4"/>
      <c r="AX382" s="4"/>
      <c r="AY382" s="4"/>
      <c r="AZ382" s="4"/>
      <c r="BA382" s="4"/>
      <c r="BB382" s="4">
        <v>0</v>
      </c>
      <c r="BC382" s="4" t="s">
        <v>3915</v>
      </c>
      <c r="BD382" s="4">
        <v>1</v>
      </c>
      <c r="BE382" s="4">
        <v>2</v>
      </c>
      <c r="BF382" s="4" t="s">
        <v>3575</v>
      </c>
      <c r="BG382" s="4">
        <v>1000</v>
      </c>
      <c r="BH382" s="4">
        <v>1000</v>
      </c>
      <c r="BI382" s="4">
        <f t="shared" si="66"/>
        <v>500</v>
      </c>
      <c r="BJ382" s="19">
        <v>4</v>
      </c>
      <c r="BK382" s="19">
        <v>8</v>
      </c>
      <c r="BL382" s="16">
        <v>6</v>
      </c>
      <c r="BM382" s="45" t="s">
        <v>3534</v>
      </c>
      <c r="BN382" t="s">
        <v>3534</v>
      </c>
      <c r="BO382" t="str">
        <f t="shared" si="59"/>
        <v>-</v>
      </c>
      <c r="BP382" t="s">
        <v>3534</v>
      </c>
      <c r="BQ382" t="s">
        <v>3534</v>
      </c>
      <c r="BR382" t="str">
        <f t="shared" si="60"/>
        <v>-</v>
      </c>
      <c r="BS382" t="s">
        <v>2829</v>
      </c>
    </row>
    <row r="383" spans="1:71" x14ac:dyDescent="0.4">
      <c r="A383" s="3">
        <v>380</v>
      </c>
      <c r="B383" s="3">
        <v>380</v>
      </c>
      <c r="C383" s="4" t="s">
        <v>442</v>
      </c>
      <c r="D383" s="4" t="str">
        <f t="shared" si="61"/>
        <v>J379WL</v>
      </c>
      <c r="E383" s="4" t="s">
        <v>442</v>
      </c>
      <c r="F383" s="4" t="s">
        <v>1660</v>
      </c>
      <c r="G383" s="5">
        <v>4521718243924</v>
      </c>
      <c r="H383" s="5"/>
      <c r="I383" s="5"/>
      <c r="J383" s="5">
        <v>1</v>
      </c>
      <c r="K383" s="5">
        <v>1</v>
      </c>
      <c r="L383" s="4">
        <v>450</v>
      </c>
      <c r="M383" s="4">
        <v>450</v>
      </c>
      <c r="N383" s="4">
        <v>270</v>
      </c>
      <c r="O383" s="6">
        <f t="shared" si="62"/>
        <v>0.4</v>
      </c>
      <c r="P383" s="4" t="s">
        <v>2500</v>
      </c>
      <c r="Q383" s="4"/>
      <c r="R383" s="4"/>
      <c r="S383" s="4"/>
      <c r="T383" s="4"/>
      <c r="U383" s="4"/>
      <c r="V383" s="4"/>
      <c r="W383" s="4"/>
      <c r="X383" s="4"/>
      <c r="Y383" s="4">
        <v>450</v>
      </c>
      <c r="Z383" s="4">
        <f t="shared" si="63"/>
        <v>450</v>
      </c>
      <c r="AA383" s="4">
        <v>293</v>
      </c>
      <c r="AB383" s="4">
        <f t="shared" si="64"/>
        <v>293</v>
      </c>
      <c r="AC383" s="4"/>
      <c r="AD383" s="21">
        <f>ROUND(M383*AR383,0)</f>
        <v>488</v>
      </c>
      <c r="AE383" s="6">
        <f>1-AB383/AD383</f>
        <v>0.39959016393442626</v>
      </c>
      <c r="AF383" s="33">
        <v>2.5</v>
      </c>
      <c r="AG383" s="4" t="str">
        <f t="shared" si="65"/>
        <v>-</v>
      </c>
      <c r="AH383" s="33" t="e">
        <f t="shared" si="58"/>
        <v>#VALUE!</v>
      </c>
      <c r="AI383" s="6" t="e">
        <f>1-AB383/AH383</f>
        <v>#VALUE!</v>
      </c>
      <c r="AJ383" s="7">
        <v>450</v>
      </c>
      <c r="AK383" s="6">
        <f>1-AB383/AJ383</f>
        <v>0.34888888888888892</v>
      </c>
      <c r="AL383" s="4">
        <f>AJ383-AB383</f>
        <v>157</v>
      </c>
      <c r="AM383" s="28"/>
      <c r="AN383" s="6"/>
      <c r="AO383" s="6"/>
      <c r="AP383" s="6">
        <f>Z383/L383</f>
        <v>1</v>
      </c>
      <c r="AQ383" s="6">
        <f>AJ383/M383</f>
        <v>1</v>
      </c>
      <c r="AR383" s="6">
        <f>AB383/N383</f>
        <v>1.0851851851851853</v>
      </c>
      <c r="AS383" s="4"/>
      <c r="AT383" s="4"/>
      <c r="AU383" s="4"/>
      <c r="AV383" s="4"/>
      <c r="AW383" s="4"/>
      <c r="AX383" s="4"/>
      <c r="AY383" s="4"/>
      <c r="AZ383" s="4"/>
      <c r="BA383" s="4"/>
      <c r="BB383" s="4">
        <v>0</v>
      </c>
      <c r="BC383" s="4" t="s">
        <v>3534</v>
      </c>
      <c r="BD383" s="4"/>
      <c r="BE383" s="4"/>
      <c r="BF383" s="4" t="s">
        <v>3534</v>
      </c>
      <c r="BG383" s="4" t="s">
        <v>3534</v>
      </c>
      <c r="BH383" s="4" t="s">
        <v>3534</v>
      </c>
      <c r="BI383" s="4" t="str">
        <f t="shared" si="66"/>
        <v>-</v>
      </c>
      <c r="BJ383" s="19">
        <v>4</v>
      </c>
      <c r="BK383" s="19">
        <v>8</v>
      </c>
      <c r="BL383" s="16">
        <v>6</v>
      </c>
      <c r="BM383" s="45" t="s">
        <v>3534</v>
      </c>
      <c r="BN383" t="s">
        <v>3534</v>
      </c>
      <c r="BO383" t="str">
        <f t="shared" si="59"/>
        <v>-</v>
      </c>
      <c r="BP383" t="s">
        <v>3534</v>
      </c>
      <c r="BQ383" t="s">
        <v>3534</v>
      </c>
      <c r="BR383" t="str">
        <f t="shared" si="60"/>
        <v>-</v>
      </c>
      <c r="BS383" t="s">
        <v>3534</v>
      </c>
    </row>
    <row r="384" spans="1:71" x14ac:dyDescent="0.4">
      <c r="A384" s="3">
        <v>381</v>
      </c>
      <c r="B384" s="3">
        <v>381</v>
      </c>
      <c r="C384" s="4" t="s">
        <v>443</v>
      </c>
      <c r="D384" s="4" t="str">
        <f t="shared" si="61"/>
        <v>J382RR</v>
      </c>
      <c r="E384" s="4" t="s">
        <v>443</v>
      </c>
      <c r="F384" s="4" t="s">
        <v>1661</v>
      </c>
      <c r="G384" s="5">
        <v>4521718067056</v>
      </c>
      <c r="H384" s="5"/>
      <c r="I384" s="5"/>
      <c r="J384" s="5">
        <v>1</v>
      </c>
      <c r="K384" s="5">
        <v>1</v>
      </c>
      <c r="L384" s="4">
        <v>610</v>
      </c>
      <c r="M384" s="4">
        <v>399</v>
      </c>
      <c r="N384" s="4">
        <v>272</v>
      </c>
      <c r="O384" s="6">
        <f t="shared" si="62"/>
        <v>0.31829573934837097</v>
      </c>
      <c r="P384" s="4" t="s">
        <v>2500</v>
      </c>
      <c r="Q384" s="4"/>
      <c r="R384" s="4"/>
      <c r="S384" s="4"/>
      <c r="T384" s="4"/>
      <c r="U384" s="4"/>
      <c r="V384" s="4"/>
      <c r="W384" s="4"/>
      <c r="X384" s="4"/>
      <c r="Y384" s="4">
        <v>419</v>
      </c>
      <c r="Z384" s="4">
        <f t="shared" si="63"/>
        <v>419</v>
      </c>
      <c r="AA384" s="4">
        <v>272</v>
      </c>
      <c r="AB384" s="4">
        <f t="shared" si="64"/>
        <v>272</v>
      </c>
      <c r="AC384" s="4"/>
      <c r="AD384" s="21">
        <f>ROUND(M384*AR384,0)</f>
        <v>399</v>
      </c>
      <c r="AE384" s="6">
        <f>1-AB384/AD384</f>
        <v>0.31829573934837097</v>
      </c>
      <c r="AF384" s="33">
        <v>0.25</v>
      </c>
      <c r="AG384" s="4">
        <f t="shared" si="65"/>
        <v>410</v>
      </c>
      <c r="AH384" s="33">
        <f t="shared" si="58"/>
        <v>410</v>
      </c>
      <c r="AI384" s="6">
        <f>1-AB384/AH384</f>
        <v>0.3365853658536585</v>
      </c>
      <c r="AJ384" s="7">
        <v>410</v>
      </c>
      <c r="AK384" s="6">
        <f>1-AB384/AJ384</f>
        <v>0.3365853658536585</v>
      </c>
      <c r="AL384" s="4">
        <f>AJ384-AB384</f>
        <v>138</v>
      </c>
      <c r="AM384" s="28"/>
      <c r="AN384" s="6"/>
      <c r="AO384" s="6"/>
      <c r="AP384" s="6">
        <f>Z384/L384</f>
        <v>0.68688524590163935</v>
      </c>
      <c r="AQ384" s="6">
        <f>AJ384/M384</f>
        <v>1.0275689223057645</v>
      </c>
      <c r="AR384" s="6">
        <f>AB384/N384</f>
        <v>1</v>
      </c>
      <c r="AS384" s="4"/>
      <c r="AT384" s="4"/>
      <c r="AU384" s="4"/>
      <c r="AV384" s="4"/>
      <c r="AW384" s="4"/>
      <c r="AX384" s="4"/>
      <c r="AY384" s="4"/>
      <c r="AZ384" s="4"/>
      <c r="BA384" s="4"/>
      <c r="BB384" s="4">
        <v>0</v>
      </c>
      <c r="BC384" s="4" t="s">
        <v>3916</v>
      </c>
      <c r="BD384" s="4"/>
      <c r="BE384" s="4"/>
      <c r="BF384" s="4" t="s">
        <v>3545</v>
      </c>
      <c r="BG384" s="4">
        <v>410</v>
      </c>
      <c r="BH384" s="4">
        <v>410</v>
      </c>
      <c r="BI384" s="4">
        <f t="shared" si="66"/>
        <v>410</v>
      </c>
      <c r="BJ384" s="19">
        <v>4</v>
      </c>
      <c r="BK384" s="19">
        <v>8</v>
      </c>
      <c r="BL384" s="16">
        <v>6</v>
      </c>
      <c r="BM384" s="45" t="s">
        <v>3534</v>
      </c>
      <c r="BN384" t="s">
        <v>3534</v>
      </c>
      <c r="BO384" t="str">
        <f t="shared" si="59"/>
        <v>-</v>
      </c>
      <c r="BP384" t="s">
        <v>3534</v>
      </c>
      <c r="BQ384">
        <v>410</v>
      </c>
      <c r="BR384">
        <f t="shared" si="60"/>
        <v>410</v>
      </c>
      <c r="BS384" t="s">
        <v>2830</v>
      </c>
    </row>
    <row r="385" spans="1:71" x14ac:dyDescent="0.4">
      <c r="A385" s="3">
        <v>382</v>
      </c>
      <c r="B385" s="3">
        <v>382</v>
      </c>
      <c r="C385" s="4" t="s">
        <v>444</v>
      </c>
      <c r="D385" s="4" t="str">
        <f t="shared" si="61"/>
        <v>J384RR</v>
      </c>
      <c r="E385" s="4" t="s">
        <v>444</v>
      </c>
      <c r="F385" s="4" t="s">
        <v>1662</v>
      </c>
      <c r="G385" s="5">
        <v>4521718067117</v>
      </c>
      <c r="H385" s="5"/>
      <c r="I385" s="5"/>
      <c r="J385" s="5">
        <v>1</v>
      </c>
      <c r="K385" s="5">
        <v>1</v>
      </c>
      <c r="L385" s="4">
        <v>280</v>
      </c>
      <c r="M385" s="4">
        <v>182</v>
      </c>
      <c r="N385" s="4">
        <v>124</v>
      </c>
      <c r="O385" s="6">
        <f t="shared" si="62"/>
        <v>0.31868131868131866</v>
      </c>
      <c r="P385" s="4" t="s">
        <v>2500</v>
      </c>
      <c r="Q385" s="4"/>
      <c r="R385" s="4"/>
      <c r="S385" s="4"/>
      <c r="T385" s="4"/>
      <c r="U385" s="4"/>
      <c r="V385" s="4"/>
      <c r="W385" s="4"/>
      <c r="X385" s="4"/>
      <c r="Y385" s="4">
        <v>191</v>
      </c>
      <c r="Z385" s="4">
        <f t="shared" si="63"/>
        <v>191</v>
      </c>
      <c r="AA385" s="4">
        <v>124</v>
      </c>
      <c r="AB385" s="4">
        <f t="shared" si="64"/>
        <v>124</v>
      </c>
      <c r="AC385" s="4"/>
      <c r="AD385" s="21">
        <f>ROUND(M385*AR385,0)</f>
        <v>182</v>
      </c>
      <c r="AE385" s="6">
        <f>1-AB385/AD385</f>
        <v>0.31868131868131866</v>
      </c>
      <c r="AF385" s="33">
        <v>0.25</v>
      </c>
      <c r="AG385" s="4">
        <f t="shared" si="65"/>
        <v>199.16666666666666</v>
      </c>
      <c r="AH385" s="33">
        <f t="shared" si="58"/>
        <v>199.16666666666666</v>
      </c>
      <c r="AI385" s="6">
        <f>1-AB385/AH385</f>
        <v>0.37740585774058577</v>
      </c>
      <c r="AJ385" s="7">
        <f>ROUND(AB385/0.65,0)</f>
        <v>191</v>
      </c>
      <c r="AK385" s="6">
        <f>1-AB385/AJ385</f>
        <v>0.35078534031413611</v>
      </c>
      <c r="AL385" s="4">
        <f>AJ385-AB385</f>
        <v>67</v>
      </c>
      <c r="AM385" s="28"/>
      <c r="AN385" s="6"/>
      <c r="AO385" s="6"/>
      <c r="AP385" s="6">
        <f>Z385/L385</f>
        <v>0.68214285714285716</v>
      </c>
      <c r="AQ385" s="6">
        <f>AJ385/M385</f>
        <v>1.0494505494505495</v>
      </c>
      <c r="AR385" s="6">
        <f>AB385/N385</f>
        <v>1</v>
      </c>
      <c r="AS385" s="4"/>
      <c r="AT385" s="4"/>
      <c r="AU385" s="4"/>
      <c r="AV385" s="4"/>
      <c r="AW385" s="4"/>
      <c r="AX385" s="4"/>
      <c r="AY385" s="4"/>
      <c r="AZ385" s="4"/>
      <c r="BA385" s="4"/>
      <c r="BB385" s="4">
        <v>0</v>
      </c>
      <c r="BC385" s="4" t="s">
        <v>3917</v>
      </c>
      <c r="BD385" s="4">
        <v>1</v>
      </c>
      <c r="BE385" s="4">
        <v>6</v>
      </c>
      <c r="BF385" s="4" t="s">
        <v>3918</v>
      </c>
      <c r="BG385" s="4">
        <v>1195</v>
      </c>
      <c r="BH385" s="4">
        <v>1195</v>
      </c>
      <c r="BI385" s="4">
        <f t="shared" si="66"/>
        <v>199.16666666666666</v>
      </c>
      <c r="BJ385" s="19">
        <v>4</v>
      </c>
      <c r="BK385" s="19">
        <v>8</v>
      </c>
      <c r="BL385" s="16">
        <v>6</v>
      </c>
      <c r="BM385" s="45" t="s">
        <v>3534</v>
      </c>
      <c r="BN385" t="s">
        <v>3534</v>
      </c>
      <c r="BO385" t="str">
        <f t="shared" si="59"/>
        <v>-</v>
      </c>
      <c r="BP385" t="s">
        <v>3534</v>
      </c>
      <c r="BQ385">
        <v>200</v>
      </c>
      <c r="BR385">
        <f t="shared" si="60"/>
        <v>200</v>
      </c>
      <c r="BS385" t="s">
        <v>2831</v>
      </c>
    </row>
    <row r="386" spans="1:71" x14ac:dyDescent="0.4">
      <c r="A386" s="3">
        <v>383</v>
      </c>
      <c r="B386" s="3">
        <v>383</v>
      </c>
      <c r="C386" s="4" t="s">
        <v>445</v>
      </c>
      <c r="D386" s="4" t="str">
        <f t="shared" si="61"/>
        <v>J385RR</v>
      </c>
      <c r="E386" s="4" t="s">
        <v>445</v>
      </c>
      <c r="F386" s="4" t="s">
        <v>1663</v>
      </c>
      <c r="G386" s="5">
        <v>4521718067179</v>
      </c>
      <c r="H386" s="5"/>
      <c r="I386" s="5"/>
      <c r="J386" s="5">
        <v>1</v>
      </c>
      <c r="K386" s="5">
        <v>1</v>
      </c>
      <c r="L386" s="4">
        <v>460</v>
      </c>
      <c r="M386" s="4">
        <v>344</v>
      </c>
      <c r="N386" s="4">
        <v>237</v>
      </c>
      <c r="O386" s="6">
        <f t="shared" si="62"/>
        <v>0.31104651162790697</v>
      </c>
      <c r="P386" s="4" t="s">
        <v>2500</v>
      </c>
      <c r="Q386" s="4"/>
      <c r="R386" s="4"/>
      <c r="S386" s="4"/>
      <c r="T386" s="4"/>
      <c r="U386" s="4"/>
      <c r="V386" s="4"/>
      <c r="W386" s="4"/>
      <c r="X386" s="4"/>
      <c r="Y386" s="4">
        <v>364</v>
      </c>
      <c r="Z386" s="4">
        <f t="shared" si="63"/>
        <v>364</v>
      </c>
      <c r="AA386" s="4">
        <v>237</v>
      </c>
      <c r="AB386" s="4">
        <f t="shared" si="64"/>
        <v>237</v>
      </c>
      <c r="AC386" s="4"/>
      <c r="AD386" s="21">
        <f>ROUND(M386*AR386,0)</f>
        <v>344</v>
      </c>
      <c r="AE386" s="6">
        <f>1-AB386/AD386</f>
        <v>0.31104651162790697</v>
      </c>
      <c r="AF386" s="33">
        <v>0</v>
      </c>
      <c r="AG386" s="4">
        <f t="shared" si="65"/>
        <v>690</v>
      </c>
      <c r="AH386" s="33">
        <f t="shared" si="58"/>
        <v>690</v>
      </c>
      <c r="AI386" s="6">
        <f>1-AB386/AH386</f>
        <v>0.65652173913043477</v>
      </c>
      <c r="AJ386" s="7">
        <v>364</v>
      </c>
      <c r="AK386" s="6">
        <f>1-AB386/AJ386</f>
        <v>0.34890109890109888</v>
      </c>
      <c r="AL386" s="4">
        <f>AJ386-AB386</f>
        <v>127</v>
      </c>
      <c r="AM386" s="28"/>
      <c r="AN386" s="6"/>
      <c r="AO386" s="6"/>
      <c r="AP386" s="6">
        <f>Z386/L386</f>
        <v>0.79130434782608694</v>
      </c>
      <c r="AQ386" s="6">
        <f>AJ386/M386</f>
        <v>1.058139534883721</v>
      </c>
      <c r="AR386" s="6">
        <f>AB386/N386</f>
        <v>1</v>
      </c>
      <c r="AS386" s="4"/>
      <c r="AT386" s="4"/>
      <c r="AU386" s="4"/>
      <c r="AV386" s="4"/>
      <c r="AW386" s="4"/>
      <c r="AX386" s="4"/>
      <c r="AY386" s="4"/>
      <c r="AZ386" s="4"/>
      <c r="BA386" s="4"/>
      <c r="BB386" s="4">
        <v>0</v>
      </c>
      <c r="BC386" s="4" t="s">
        <v>3919</v>
      </c>
      <c r="BD386" s="4">
        <v>1</v>
      </c>
      <c r="BE386" s="4">
        <v>3</v>
      </c>
      <c r="BF386" s="4" t="s">
        <v>3638</v>
      </c>
      <c r="BG386" s="4">
        <v>2070</v>
      </c>
      <c r="BH386" s="4">
        <v>2070</v>
      </c>
      <c r="BI386" s="4">
        <f t="shared" si="66"/>
        <v>690</v>
      </c>
      <c r="BJ386" s="19">
        <v>4</v>
      </c>
      <c r="BK386" s="19">
        <v>8</v>
      </c>
      <c r="BL386" s="16">
        <v>6</v>
      </c>
      <c r="BM386" s="45" t="s">
        <v>3534</v>
      </c>
      <c r="BN386" t="s">
        <v>3534</v>
      </c>
      <c r="BO386" t="str">
        <f t="shared" si="59"/>
        <v>-</v>
      </c>
      <c r="BP386" t="s">
        <v>3534</v>
      </c>
      <c r="BQ386">
        <v>364</v>
      </c>
      <c r="BR386">
        <f t="shared" si="60"/>
        <v>364</v>
      </c>
      <c r="BS386" t="s">
        <v>2832</v>
      </c>
    </row>
    <row r="387" spans="1:71" x14ac:dyDescent="0.4">
      <c r="A387" s="3">
        <v>384</v>
      </c>
      <c r="B387" s="3">
        <v>384</v>
      </c>
      <c r="C387" s="4" t="s">
        <v>446</v>
      </c>
      <c r="D387" s="4" t="str">
        <f t="shared" si="61"/>
        <v>J388RR</v>
      </c>
      <c r="E387" s="4" t="s">
        <v>446</v>
      </c>
      <c r="F387" s="4" t="s">
        <v>1664</v>
      </c>
      <c r="G387" s="5">
        <v>4521718067261</v>
      </c>
      <c r="H387" s="5"/>
      <c r="I387" s="5"/>
      <c r="J387" s="5">
        <v>1</v>
      </c>
      <c r="K387" s="5">
        <v>1</v>
      </c>
      <c r="L387" s="4">
        <v>700</v>
      </c>
      <c r="M387" s="4">
        <v>427</v>
      </c>
      <c r="N387" s="4">
        <v>312</v>
      </c>
      <c r="O387" s="6">
        <f t="shared" si="62"/>
        <v>0.26932084309133486</v>
      </c>
      <c r="P387" s="4" t="s">
        <v>2500</v>
      </c>
      <c r="Q387" s="4"/>
      <c r="R387" s="4"/>
      <c r="S387" s="4"/>
      <c r="T387" s="4"/>
      <c r="U387" s="4"/>
      <c r="V387" s="4"/>
      <c r="W387" s="4"/>
      <c r="X387" s="4"/>
      <c r="Y387" s="4">
        <v>700</v>
      </c>
      <c r="Z387" s="4">
        <f t="shared" si="63"/>
        <v>700</v>
      </c>
      <c r="AA387" s="4">
        <v>315</v>
      </c>
      <c r="AB387" s="4">
        <f t="shared" si="64"/>
        <v>315</v>
      </c>
      <c r="AC387" s="4"/>
      <c r="AD387" s="21">
        <f>ROUND(M387*AR387,0)</f>
        <v>431</v>
      </c>
      <c r="AE387" s="6">
        <f>1-AB387/AD387</f>
        <v>0.26914153132250584</v>
      </c>
      <c r="AF387" s="33">
        <v>0</v>
      </c>
      <c r="AG387" s="4">
        <f t="shared" si="65"/>
        <v>590</v>
      </c>
      <c r="AH387" s="33">
        <f t="shared" si="58"/>
        <v>595.67307692307691</v>
      </c>
      <c r="AI387" s="6">
        <f>1-AB387/AH387</f>
        <v>0.47118644067796611</v>
      </c>
      <c r="AJ387" s="7">
        <f>ROUND(AB387/0.65,0)</f>
        <v>485</v>
      </c>
      <c r="AK387" s="6">
        <f>1-AB387/AJ387</f>
        <v>0.35051546391752575</v>
      </c>
      <c r="AL387" s="4">
        <f>AJ387-AB387</f>
        <v>170</v>
      </c>
      <c r="AM387" s="28"/>
      <c r="AN387" s="6"/>
      <c r="AO387" s="6"/>
      <c r="AP387" s="6">
        <f>Z387/L387</f>
        <v>1</v>
      </c>
      <c r="AQ387" s="6">
        <f>AJ387/M387</f>
        <v>1.135831381733021</v>
      </c>
      <c r="AR387" s="6">
        <f>AB387/N387</f>
        <v>1.0096153846153846</v>
      </c>
      <c r="AS387" s="4"/>
      <c r="AT387" s="4"/>
      <c r="AU387" s="4"/>
      <c r="AV387" s="4"/>
      <c r="AW387" s="4"/>
      <c r="AX387" s="4"/>
      <c r="AY387" s="4"/>
      <c r="AZ387" s="4"/>
      <c r="BA387" s="4"/>
      <c r="BB387" s="4">
        <v>0</v>
      </c>
      <c r="BC387" s="4" t="s">
        <v>3920</v>
      </c>
      <c r="BD387" s="4">
        <v>1</v>
      </c>
      <c r="BE387" s="4">
        <v>3</v>
      </c>
      <c r="BF387" s="4" t="s">
        <v>3638</v>
      </c>
      <c r="BG387" s="4">
        <v>1770</v>
      </c>
      <c r="BH387" s="4">
        <v>1770</v>
      </c>
      <c r="BI387" s="4">
        <f t="shared" si="66"/>
        <v>590</v>
      </c>
      <c r="BJ387" s="19">
        <v>4</v>
      </c>
      <c r="BK387" s="19">
        <v>8</v>
      </c>
      <c r="BL387" s="16">
        <v>6</v>
      </c>
      <c r="BM387" s="45" t="s">
        <v>3534</v>
      </c>
      <c r="BN387" t="s">
        <v>3534</v>
      </c>
      <c r="BO387" t="str">
        <f t="shared" si="59"/>
        <v>-</v>
      </c>
      <c r="BP387" t="s">
        <v>3534</v>
      </c>
      <c r="BQ387">
        <v>473</v>
      </c>
      <c r="BR387">
        <f t="shared" si="60"/>
        <v>477.54807692307691</v>
      </c>
      <c r="BS387" t="s">
        <v>2833</v>
      </c>
    </row>
    <row r="388" spans="1:71" x14ac:dyDescent="0.4">
      <c r="A388" s="3">
        <v>385</v>
      </c>
      <c r="B388" s="3">
        <v>385</v>
      </c>
      <c r="C388" s="4" t="s">
        <v>447</v>
      </c>
      <c r="D388" s="4" t="str">
        <f t="shared" si="61"/>
        <v>J396WL</v>
      </c>
      <c r="E388" s="4" t="s">
        <v>447</v>
      </c>
      <c r="F388" s="4" t="s">
        <v>1665</v>
      </c>
      <c r="G388" s="5">
        <v>4521718703428</v>
      </c>
      <c r="H388" s="5"/>
      <c r="I388" s="5"/>
      <c r="J388" s="5">
        <v>1</v>
      </c>
      <c r="K388" s="5">
        <v>1</v>
      </c>
      <c r="L388" s="4">
        <v>2890</v>
      </c>
      <c r="M388" s="4">
        <v>2000</v>
      </c>
      <c r="N388" s="4">
        <v>1300</v>
      </c>
      <c r="O388" s="6">
        <f t="shared" si="62"/>
        <v>0.35</v>
      </c>
      <c r="P388" s="4" t="s">
        <v>2500</v>
      </c>
      <c r="Q388" s="4"/>
      <c r="R388" s="4"/>
      <c r="S388" s="4"/>
      <c r="T388" s="4"/>
      <c r="U388" s="4"/>
      <c r="V388" s="4"/>
      <c r="W388" s="4"/>
      <c r="X388" s="4"/>
      <c r="Y388" s="4">
        <v>2000</v>
      </c>
      <c r="Z388" s="4">
        <f t="shared" si="63"/>
        <v>2000</v>
      </c>
      <c r="AA388" s="4">
        <v>1300</v>
      </c>
      <c r="AB388" s="4">
        <f t="shared" si="64"/>
        <v>1300</v>
      </c>
      <c r="AC388" s="4"/>
      <c r="AD388" s="21">
        <f>ROUND(M388*AR388,0)</f>
        <v>2000</v>
      </c>
      <c r="AE388" s="6">
        <f>1-AB388/AD388</f>
        <v>0.35</v>
      </c>
      <c r="AF388" s="33">
        <v>0</v>
      </c>
      <c r="AG388" s="4">
        <f t="shared" si="65"/>
        <v>2300</v>
      </c>
      <c r="AH388" s="33">
        <f t="shared" ref="AH388:AH451" si="67">AG388*AR388</f>
        <v>2300</v>
      </c>
      <c r="AI388" s="6">
        <f>1-AB388/AH388</f>
        <v>0.43478260869565222</v>
      </c>
      <c r="AJ388" s="7">
        <v>2000</v>
      </c>
      <c r="AK388" s="6">
        <f>1-AB388/AJ388</f>
        <v>0.35</v>
      </c>
      <c r="AL388" s="4">
        <f>AJ388-AB388</f>
        <v>700</v>
      </c>
      <c r="AM388" s="28"/>
      <c r="AN388" s="6"/>
      <c r="AO388" s="6"/>
      <c r="AP388" s="6">
        <f>Z388/L388</f>
        <v>0.69204152249134943</v>
      </c>
      <c r="AQ388" s="6">
        <f>AJ388/M388</f>
        <v>1</v>
      </c>
      <c r="AR388" s="6">
        <f>AB388/N388</f>
        <v>1</v>
      </c>
      <c r="AS388" s="4"/>
      <c r="AT388" s="4"/>
      <c r="AU388" s="4"/>
      <c r="AV388" s="4"/>
      <c r="AW388" s="4"/>
      <c r="AX388" s="4"/>
      <c r="AY388" s="4"/>
      <c r="AZ388" s="4"/>
      <c r="BA388" s="4"/>
      <c r="BB388" s="4">
        <v>0</v>
      </c>
      <c r="BC388" s="4" t="s">
        <v>3921</v>
      </c>
      <c r="BD388" s="4"/>
      <c r="BE388" s="4"/>
      <c r="BF388" s="4" t="s">
        <v>3538</v>
      </c>
      <c r="BG388" s="4">
        <v>2300</v>
      </c>
      <c r="BH388" s="4">
        <v>2300</v>
      </c>
      <c r="BI388" s="4">
        <f t="shared" si="66"/>
        <v>2300</v>
      </c>
      <c r="BJ388" s="19">
        <v>4</v>
      </c>
      <c r="BK388" s="19">
        <v>8</v>
      </c>
      <c r="BL388" s="16">
        <v>19</v>
      </c>
      <c r="BM388" s="45" t="s">
        <v>3534</v>
      </c>
      <c r="BN388" t="s">
        <v>3534</v>
      </c>
      <c r="BO388" t="str">
        <f t="shared" si="59"/>
        <v>-</v>
      </c>
      <c r="BP388" t="s">
        <v>3534</v>
      </c>
      <c r="BQ388" t="s">
        <v>3534</v>
      </c>
      <c r="BR388" t="str">
        <f t="shared" si="60"/>
        <v>-</v>
      </c>
      <c r="BS388" t="s">
        <v>2834</v>
      </c>
    </row>
    <row r="389" spans="1:71" x14ac:dyDescent="0.4">
      <c r="A389" s="3">
        <v>386</v>
      </c>
      <c r="B389" s="3">
        <v>386</v>
      </c>
      <c r="C389" s="4" t="s">
        <v>448</v>
      </c>
      <c r="D389" s="4" t="str">
        <f t="shared" si="61"/>
        <v>J397WL</v>
      </c>
      <c r="E389" s="4" t="s">
        <v>448</v>
      </c>
      <c r="F389" s="4" t="s">
        <v>1666</v>
      </c>
      <c r="G389" s="5">
        <v>4982790312821</v>
      </c>
      <c r="H389" s="5"/>
      <c r="I389" s="5"/>
      <c r="J389" s="5">
        <v>1</v>
      </c>
      <c r="K389" s="5">
        <v>1</v>
      </c>
      <c r="L389" s="4">
        <v>180</v>
      </c>
      <c r="M389" s="4">
        <v>146</v>
      </c>
      <c r="N389" s="4">
        <v>102</v>
      </c>
      <c r="O389" s="6">
        <f t="shared" si="62"/>
        <v>0.30136986301369861</v>
      </c>
      <c r="P389" s="4" t="s">
        <v>2500</v>
      </c>
      <c r="Q389" s="4"/>
      <c r="R389" s="4"/>
      <c r="S389" s="4"/>
      <c r="T389" s="4"/>
      <c r="U389" s="4"/>
      <c r="V389" s="4"/>
      <c r="W389" s="4"/>
      <c r="X389" s="4"/>
      <c r="Y389" s="4">
        <v>146</v>
      </c>
      <c r="Z389" s="4">
        <f t="shared" si="63"/>
        <v>146</v>
      </c>
      <c r="AA389" s="4">
        <v>102</v>
      </c>
      <c r="AB389" s="4">
        <f t="shared" si="64"/>
        <v>102</v>
      </c>
      <c r="AC389" s="4"/>
      <c r="AD389" s="21">
        <f>ROUND(M389*AR389,0)</f>
        <v>146</v>
      </c>
      <c r="AE389" s="6">
        <f>1-AB389/AD389</f>
        <v>0.30136986301369861</v>
      </c>
      <c r="AF389" s="33">
        <v>0</v>
      </c>
      <c r="AG389" s="4" t="str">
        <f t="shared" si="65"/>
        <v>-</v>
      </c>
      <c r="AH389" s="33" t="e">
        <f t="shared" si="67"/>
        <v>#VALUE!</v>
      </c>
      <c r="AI389" s="6" t="e">
        <f>1-AB389/AH389</f>
        <v>#VALUE!</v>
      </c>
      <c r="AJ389" s="7">
        <v>146</v>
      </c>
      <c r="AK389" s="6">
        <f>1-AB389/AJ389</f>
        <v>0.30136986301369861</v>
      </c>
      <c r="AL389" s="4">
        <f>AJ389-AB389</f>
        <v>44</v>
      </c>
      <c r="AM389" s="28"/>
      <c r="AN389" s="6"/>
      <c r="AO389" s="6"/>
      <c r="AP389" s="6">
        <f>Z389/L389</f>
        <v>0.81111111111111112</v>
      </c>
      <c r="AQ389" s="6">
        <f>AJ389/M389</f>
        <v>1</v>
      </c>
      <c r="AR389" s="6">
        <f>AB389/N389</f>
        <v>1</v>
      </c>
      <c r="AS389" s="4"/>
      <c r="AT389" s="4"/>
      <c r="AU389" s="4"/>
      <c r="AV389" s="4"/>
      <c r="AW389" s="4"/>
      <c r="AX389" s="4"/>
      <c r="AY389" s="4"/>
      <c r="AZ389" s="4"/>
      <c r="BA389" s="4"/>
      <c r="BB389" s="4">
        <v>0</v>
      </c>
      <c r="BC389" s="4" t="s">
        <v>3534</v>
      </c>
      <c r="BD389" s="4"/>
      <c r="BE389" s="4"/>
      <c r="BF389" s="4" t="s">
        <v>3534</v>
      </c>
      <c r="BG389" s="4" t="s">
        <v>3534</v>
      </c>
      <c r="BH389" s="4" t="s">
        <v>3534</v>
      </c>
      <c r="BI389" s="4" t="str">
        <f t="shared" si="66"/>
        <v>-</v>
      </c>
      <c r="BJ389" s="19">
        <v>4</v>
      </c>
      <c r="BK389" s="19">
        <v>8</v>
      </c>
      <c r="BL389" s="16">
        <v>6</v>
      </c>
      <c r="BM389" s="45" t="s">
        <v>3534</v>
      </c>
      <c r="BN389" t="s">
        <v>3534</v>
      </c>
      <c r="BO389" t="str">
        <f t="shared" ref="BO389:BO452" si="68">IFERROR(BN389*AR389,"-")</f>
        <v>-</v>
      </c>
      <c r="BP389" t="s">
        <v>3534</v>
      </c>
      <c r="BQ389">
        <v>204</v>
      </c>
      <c r="BR389">
        <f t="shared" ref="BR389:BR452" si="69">IFERROR(BQ389*AR389,"-")</f>
        <v>204</v>
      </c>
      <c r="BS389" t="s">
        <v>3534</v>
      </c>
    </row>
    <row r="390" spans="1:71" x14ac:dyDescent="0.4">
      <c r="A390" s="3">
        <v>387</v>
      </c>
      <c r="B390" s="3">
        <v>387</v>
      </c>
      <c r="C390" s="4" t="s">
        <v>449</v>
      </c>
      <c r="D390" s="4" t="str">
        <f t="shared" si="61"/>
        <v>J402RR</v>
      </c>
      <c r="E390" s="4" t="s">
        <v>449</v>
      </c>
      <c r="F390" s="4" t="s">
        <v>1667</v>
      </c>
      <c r="G390" s="5">
        <v>4521718069012</v>
      </c>
      <c r="H390" s="5"/>
      <c r="I390" s="5"/>
      <c r="J390" s="5">
        <v>1</v>
      </c>
      <c r="K390" s="5">
        <v>1</v>
      </c>
      <c r="L390" s="4">
        <v>730</v>
      </c>
      <c r="M390" s="4">
        <v>510</v>
      </c>
      <c r="N390" s="4">
        <v>325</v>
      </c>
      <c r="O390" s="6">
        <f t="shared" si="62"/>
        <v>0.36274509803921573</v>
      </c>
      <c r="P390" s="4" t="s">
        <v>2500</v>
      </c>
      <c r="Q390" s="4"/>
      <c r="R390" s="4"/>
      <c r="S390" s="4"/>
      <c r="T390" s="4"/>
      <c r="U390" s="4"/>
      <c r="V390" s="4"/>
      <c r="W390" s="4"/>
      <c r="X390" s="4"/>
      <c r="Y390" s="4">
        <v>737</v>
      </c>
      <c r="Z390" s="4">
        <f t="shared" si="63"/>
        <v>737</v>
      </c>
      <c r="AA390" s="4">
        <v>332</v>
      </c>
      <c r="AB390" s="4">
        <f t="shared" si="64"/>
        <v>332</v>
      </c>
      <c r="AC390" s="4"/>
      <c r="AD390" s="21">
        <f>ROUND(M390*AR390,0)</f>
        <v>521</v>
      </c>
      <c r="AE390" s="6">
        <f>1-AB390/AD390</f>
        <v>0.36276391554702492</v>
      </c>
      <c r="AF390" s="33">
        <v>0</v>
      </c>
      <c r="AG390" s="4">
        <f t="shared" si="65"/>
        <v>740</v>
      </c>
      <c r="AH390" s="33">
        <f t="shared" si="67"/>
        <v>755.93846153846152</v>
      </c>
      <c r="AI390" s="6">
        <f>1-AB390/AH390</f>
        <v>0.56081081081081074</v>
      </c>
      <c r="AJ390" s="7">
        <f>ROUND(AB390/0.65,0)</f>
        <v>511</v>
      </c>
      <c r="AK390" s="6">
        <f>1-AB390/AJ390</f>
        <v>0.35029354207436403</v>
      </c>
      <c r="AL390" s="4">
        <f>AJ390-AB390</f>
        <v>179</v>
      </c>
      <c r="AM390" s="28"/>
      <c r="AN390" s="6"/>
      <c r="AO390" s="6"/>
      <c r="AP390" s="6">
        <f>Z390/L390</f>
        <v>1.0095890410958903</v>
      </c>
      <c r="AQ390" s="6">
        <f>AJ390/M390</f>
        <v>1.0019607843137255</v>
      </c>
      <c r="AR390" s="6">
        <f>AB390/N390</f>
        <v>1.0215384615384615</v>
      </c>
      <c r="AS390" s="4"/>
      <c r="AT390" s="4"/>
      <c r="AU390" s="4"/>
      <c r="AV390" s="4"/>
      <c r="AW390" s="4"/>
      <c r="AX390" s="4"/>
      <c r="AY390" s="4"/>
      <c r="AZ390" s="4"/>
      <c r="BA390" s="4"/>
      <c r="BB390" s="4">
        <v>0</v>
      </c>
      <c r="BC390" s="4" t="s">
        <v>3922</v>
      </c>
      <c r="BD390" s="4">
        <v>1</v>
      </c>
      <c r="BE390" s="4">
        <v>2</v>
      </c>
      <c r="BF390" s="4" t="s">
        <v>3901</v>
      </c>
      <c r="BG390" s="4">
        <v>1480</v>
      </c>
      <c r="BH390" s="4">
        <v>1480</v>
      </c>
      <c r="BI390" s="4">
        <f t="shared" si="66"/>
        <v>740</v>
      </c>
      <c r="BJ390" s="19">
        <v>4</v>
      </c>
      <c r="BK390" s="19">
        <v>8</v>
      </c>
      <c r="BL390" s="16">
        <v>6</v>
      </c>
      <c r="BM390" s="45" t="s">
        <v>3534</v>
      </c>
      <c r="BN390" t="s">
        <v>3534</v>
      </c>
      <c r="BO390" t="str">
        <f t="shared" si="68"/>
        <v>-</v>
      </c>
      <c r="BP390" t="s">
        <v>3534</v>
      </c>
      <c r="BQ390">
        <v>500</v>
      </c>
      <c r="BR390">
        <f t="shared" si="69"/>
        <v>510.76923076923077</v>
      </c>
      <c r="BS390" t="s">
        <v>2835</v>
      </c>
    </row>
    <row r="391" spans="1:71" x14ac:dyDescent="0.4">
      <c r="A391" s="3">
        <v>388</v>
      </c>
      <c r="B391" s="3">
        <v>388</v>
      </c>
      <c r="C391" s="4" t="s">
        <v>450</v>
      </c>
      <c r="D391" s="4" t="str">
        <f t="shared" si="61"/>
        <v>J401WL</v>
      </c>
      <c r="E391" s="4" t="s">
        <v>450</v>
      </c>
      <c r="F391" s="4" t="s">
        <v>1668</v>
      </c>
      <c r="G391" s="5">
        <v>4521718793627</v>
      </c>
      <c r="H391" s="5"/>
      <c r="I391" s="5"/>
      <c r="J391" s="5">
        <v>1</v>
      </c>
      <c r="K391" s="5">
        <v>1</v>
      </c>
      <c r="L391" s="4">
        <v>170</v>
      </c>
      <c r="M391" s="4">
        <v>137</v>
      </c>
      <c r="N391" s="4">
        <v>96</v>
      </c>
      <c r="O391" s="6">
        <f t="shared" si="62"/>
        <v>0.2992700729927007</v>
      </c>
      <c r="P391" s="4" t="s">
        <v>2500</v>
      </c>
      <c r="Q391" s="4"/>
      <c r="R391" s="4"/>
      <c r="S391" s="4"/>
      <c r="T391" s="4"/>
      <c r="U391" s="4"/>
      <c r="V391" s="4"/>
      <c r="W391" s="4"/>
      <c r="X391" s="4"/>
      <c r="Y391" s="4">
        <v>137</v>
      </c>
      <c r="Z391" s="4">
        <f t="shared" si="63"/>
        <v>137</v>
      </c>
      <c r="AA391" s="4">
        <v>96</v>
      </c>
      <c r="AB391" s="4">
        <f t="shared" si="64"/>
        <v>96</v>
      </c>
      <c r="AC391" s="4"/>
      <c r="AD391" s="21">
        <f>ROUND(M391*AR391,0)</f>
        <v>137</v>
      </c>
      <c r="AE391" s="6">
        <f>1-AB391/AD391</f>
        <v>0.2992700729927007</v>
      </c>
      <c r="AF391" s="33">
        <v>0</v>
      </c>
      <c r="AG391" s="4" t="str">
        <f t="shared" si="65"/>
        <v>-</v>
      </c>
      <c r="AH391" s="33" t="e">
        <f t="shared" si="67"/>
        <v>#VALUE!</v>
      </c>
      <c r="AI391" s="6" t="e">
        <f>1-AB391/AH391</f>
        <v>#VALUE!</v>
      </c>
      <c r="AJ391" s="7">
        <v>137</v>
      </c>
      <c r="AK391" s="6">
        <f>1-AB391/AJ391</f>
        <v>0.2992700729927007</v>
      </c>
      <c r="AL391" s="4">
        <f>AJ391-AB391</f>
        <v>41</v>
      </c>
      <c r="AM391" s="28"/>
      <c r="AN391" s="6"/>
      <c r="AO391" s="6"/>
      <c r="AP391" s="6">
        <f>Z391/L391</f>
        <v>0.80588235294117649</v>
      </c>
      <c r="AQ391" s="6">
        <f>AJ391/M391</f>
        <v>1</v>
      </c>
      <c r="AR391" s="6">
        <f>AB391/N391</f>
        <v>1</v>
      </c>
      <c r="AS391" s="4"/>
      <c r="AT391" s="4"/>
      <c r="AU391" s="4"/>
      <c r="AV391" s="4"/>
      <c r="AW391" s="4"/>
      <c r="AX391" s="4"/>
      <c r="AY391" s="4"/>
      <c r="AZ391" s="4"/>
      <c r="BA391" s="4"/>
      <c r="BB391" s="4">
        <v>0</v>
      </c>
      <c r="BC391" s="4" t="s">
        <v>3534</v>
      </c>
      <c r="BD391" s="4"/>
      <c r="BE391" s="4"/>
      <c r="BF391" s="4" t="s">
        <v>3534</v>
      </c>
      <c r="BG391" s="4" t="s">
        <v>3534</v>
      </c>
      <c r="BH391" s="4" t="s">
        <v>3534</v>
      </c>
      <c r="BI391" s="4" t="str">
        <f t="shared" si="66"/>
        <v>-</v>
      </c>
      <c r="BJ391" s="19">
        <v>4</v>
      </c>
      <c r="BK391" s="19">
        <v>8</v>
      </c>
      <c r="BL391" s="16">
        <v>6</v>
      </c>
      <c r="BM391" s="45" t="s">
        <v>3534</v>
      </c>
      <c r="BN391" t="s">
        <v>3534</v>
      </c>
      <c r="BO391" t="str">
        <f t="shared" si="68"/>
        <v>-</v>
      </c>
      <c r="BP391" t="s">
        <v>3534</v>
      </c>
      <c r="BQ391">
        <v>192</v>
      </c>
      <c r="BR391">
        <f t="shared" si="69"/>
        <v>192</v>
      </c>
      <c r="BS391" t="s">
        <v>3534</v>
      </c>
    </row>
    <row r="392" spans="1:71" x14ac:dyDescent="0.4">
      <c r="A392" s="3">
        <v>389</v>
      </c>
      <c r="B392" s="3">
        <v>389</v>
      </c>
      <c r="C392" s="4" t="s">
        <v>451</v>
      </c>
      <c r="D392" s="4" t="str">
        <f t="shared" si="61"/>
        <v>J402WL</v>
      </c>
      <c r="E392" s="4" t="s">
        <v>451</v>
      </c>
      <c r="F392" s="4" t="s">
        <v>1669</v>
      </c>
      <c r="G392" s="5">
        <v>4521718793634</v>
      </c>
      <c r="H392" s="5"/>
      <c r="I392" s="5"/>
      <c r="J392" s="5">
        <v>1</v>
      </c>
      <c r="K392" s="5">
        <v>1</v>
      </c>
      <c r="L392" s="4">
        <v>170</v>
      </c>
      <c r="M392" s="4">
        <v>137</v>
      </c>
      <c r="N392" s="4">
        <v>96</v>
      </c>
      <c r="O392" s="6">
        <f t="shared" si="62"/>
        <v>0.2992700729927007</v>
      </c>
      <c r="P392" s="4" t="s">
        <v>2500</v>
      </c>
      <c r="Q392" s="4"/>
      <c r="R392" s="4"/>
      <c r="S392" s="4"/>
      <c r="T392" s="4"/>
      <c r="U392" s="4"/>
      <c r="V392" s="4"/>
      <c r="W392" s="4"/>
      <c r="X392" s="4"/>
      <c r="Y392" s="4">
        <v>137</v>
      </c>
      <c r="Z392" s="4">
        <f t="shared" si="63"/>
        <v>137</v>
      </c>
      <c r="AA392" s="4">
        <v>96</v>
      </c>
      <c r="AB392" s="4">
        <f t="shared" si="64"/>
        <v>96</v>
      </c>
      <c r="AC392" s="4"/>
      <c r="AD392" s="21">
        <f>ROUND(M392*AR392,0)</f>
        <v>137</v>
      </c>
      <c r="AE392" s="6">
        <f>1-AB392/AD392</f>
        <v>0.2992700729927007</v>
      </c>
      <c r="AF392" s="33">
        <v>0</v>
      </c>
      <c r="AG392" s="4" t="str">
        <f t="shared" si="65"/>
        <v>-</v>
      </c>
      <c r="AH392" s="33" t="e">
        <f t="shared" si="67"/>
        <v>#VALUE!</v>
      </c>
      <c r="AI392" s="6" t="e">
        <f>1-AB392/AH392</f>
        <v>#VALUE!</v>
      </c>
      <c r="AJ392" s="7">
        <v>137</v>
      </c>
      <c r="AK392" s="6">
        <f>1-AB392/AJ392</f>
        <v>0.2992700729927007</v>
      </c>
      <c r="AL392" s="4">
        <f>AJ392-AB392</f>
        <v>41</v>
      </c>
      <c r="AM392" s="28"/>
      <c r="AN392" s="6"/>
      <c r="AO392" s="6"/>
      <c r="AP392" s="6">
        <f>Z392/L392</f>
        <v>0.80588235294117649</v>
      </c>
      <c r="AQ392" s="6">
        <f>AJ392/M392</f>
        <v>1</v>
      </c>
      <c r="AR392" s="6">
        <f>AB392/N392</f>
        <v>1</v>
      </c>
      <c r="AS392" s="4"/>
      <c r="AT392" s="4"/>
      <c r="AU392" s="4"/>
      <c r="AV392" s="4"/>
      <c r="AW392" s="4"/>
      <c r="AX392" s="4"/>
      <c r="AY392" s="4"/>
      <c r="AZ392" s="4"/>
      <c r="BA392" s="4"/>
      <c r="BB392" s="4">
        <v>0</v>
      </c>
      <c r="BC392" s="4" t="s">
        <v>3534</v>
      </c>
      <c r="BD392" s="4"/>
      <c r="BE392" s="4"/>
      <c r="BF392" s="4" t="s">
        <v>3534</v>
      </c>
      <c r="BG392" s="4" t="s">
        <v>3534</v>
      </c>
      <c r="BH392" s="4" t="s">
        <v>3534</v>
      </c>
      <c r="BI392" s="4" t="str">
        <f t="shared" si="66"/>
        <v>-</v>
      </c>
      <c r="BJ392" s="19">
        <v>4</v>
      </c>
      <c r="BK392" s="19">
        <v>8</v>
      </c>
      <c r="BL392" s="16">
        <v>6</v>
      </c>
      <c r="BM392" s="45" t="s">
        <v>3534</v>
      </c>
      <c r="BN392" t="s">
        <v>3534</v>
      </c>
      <c r="BO392" t="str">
        <f t="shared" si="68"/>
        <v>-</v>
      </c>
      <c r="BP392" t="s">
        <v>3534</v>
      </c>
      <c r="BQ392">
        <v>192</v>
      </c>
      <c r="BR392">
        <f t="shared" si="69"/>
        <v>192</v>
      </c>
      <c r="BS392" t="s">
        <v>3534</v>
      </c>
    </row>
    <row r="393" spans="1:71" x14ac:dyDescent="0.4">
      <c r="A393" s="3">
        <v>390</v>
      </c>
      <c r="B393" s="3">
        <v>390</v>
      </c>
      <c r="C393" s="4" t="s">
        <v>452</v>
      </c>
      <c r="D393" s="4" t="str">
        <f t="shared" si="61"/>
        <v>J403WL</v>
      </c>
      <c r="E393" s="4" t="s">
        <v>452</v>
      </c>
      <c r="F393" s="4" t="s">
        <v>1670</v>
      </c>
      <c r="G393" s="5">
        <v>4521718930602</v>
      </c>
      <c r="H393" s="5"/>
      <c r="I393" s="5"/>
      <c r="J393" s="5">
        <v>1</v>
      </c>
      <c r="K393" s="5">
        <v>1</v>
      </c>
      <c r="L393" s="4">
        <v>500</v>
      </c>
      <c r="M393" s="4">
        <v>400</v>
      </c>
      <c r="N393" s="4">
        <v>260</v>
      </c>
      <c r="O393" s="6">
        <f t="shared" si="62"/>
        <v>0.35</v>
      </c>
      <c r="P393" s="4" t="s">
        <v>2500</v>
      </c>
      <c r="Q393" s="4"/>
      <c r="R393" s="4"/>
      <c r="S393" s="4"/>
      <c r="T393" s="4"/>
      <c r="U393" s="4"/>
      <c r="V393" s="4"/>
      <c r="W393" s="4"/>
      <c r="X393" s="4"/>
      <c r="Y393" s="4">
        <v>400</v>
      </c>
      <c r="Z393" s="4">
        <f t="shared" si="63"/>
        <v>400</v>
      </c>
      <c r="AA393" s="4">
        <v>260</v>
      </c>
      <c r="AB393" s="4">
        <f t="shared" si="64"/>
        <v>260</v>
      </c>
      <c r="AC393" s="4"/>
      <c r="AD393" s="21">
        <f>ROUND(M393*AR393,0)</f>
        <v>400</v>
      </c>
      <c r="AE393" s="6">
        <f>1-AB393/AD393</f>
        <v>0.35</v>
      </c>
      <c r="AF393" s="33">
        <v>0</v>
      </c>
      <c r="AG393" s="4" t="str">
        <f t="shared" si="65"/>
        <v>-</v>
      </c>
      <c r="AH393" s="33" t="e">
        <f t="shared" si="67"/>
        <v>#VALUE!</v>
      </c>
      <c r="AI393" s="6" t="e">
        <f>1-AB393/AH393</f>
        <v>#VALUE!</v>
      </c>
      <c r="AJ393" s="7">
        <v>400</v>
      </c>
      <c r="AK393" s="6">
        <f>1-AB393/AJ393</f>
        <v>0.35</v>
      </c>
      <c r="AL393" s="4">
        <f>AJ393-AB393</f>
        <v>140</v>
      </c>
      <c r="AM393" s="28"/>
      <c r="AN393" s="6"/>
      <c r="AO393" s="6"/>
      <c r="AP393" s="6">
        <f>Z393/L393</f>
        <v>0.8</v>
      </c>
      <c r="AQ393" s="6">
        <f>AJ393/M393</f>
        <v>1</v>
      </c>
      <c r="AR393" s="6">
        <f>AB393/N393</f>
        <v>1</v>
      </c>
      <c r="AS393" s="4"/>
      <c r="AT393" s="4"/>
      <c r="AU393" s="4"/>
      <c r="AV393" s="4"/>
      <c r="AW393" s="4"/>
      <c r="AX393" s="4"/>
      <c r="AY393" s="4"/>
      <c r="AZ393" s="4"/>
      <c r="BA393" s="4"/>
      <c r="BB393" s="4">
        <v>0</v>
      </c>
      <c r="BC393" s="4" t="s">
        <v>3534</v>
      </c>
      <c r="BD393" s="4"/>
      <c r="BE393" s="4"/>
      <c r="BF393" s="4" t="s">
        <v>3534</v>
      </c>
      <c r="BG393" s="4" t="s">
        <v>3534</v>
      </c>
      <c r="BH393" s="4" t="s">
        <v>3534</v>
      </c>
      <c r="BI393" s="4" t="str">
        <f t="shared" si="66"/>
        <v>-</v>
      </c>
      <c r="BJ393" s="19">
        <v>4</v>
      </c>
      <c r="BK393" s="19">
        <v>8</v>
      </c>
      <c r="BL393" s="16">
        <v>6</v>
      </c>
      <c r="BM393" s="45" t="s">
        <v>3534</v>
      </c>
      <c r="BN393" t="s">
        <v>3534</v>
      </c>
      <c r="BO393" t="str">
        <f t="shared" si="68"/>
        <v>-</v>
      </c>
      <c r="BP393" t="s">
        <v>3534</v>
      </c>
      <c r="BQ393" t="s">
        <v>3534</v>
      </c>
      <c r="BR393" t="str">
        <f t="shared" si="69"/>
        <v>-</v>
      </c>
      <c r="BS393" t="s">
        <v>3534</v>
      </c>
    </row>
    <row r="394" spans="1:71" x14ac:dyDescent="0.4">
      <c r="A394" s="3">
        <v>391</v>
      </c>
      <c r="B394" s="3">
        <v>391</v>
      </c>
      <c r="C394" s="4" t="s">
        <v>453</v>
      </c>
      <c r="D394" s="4" t="str">
        <f t="shared" si="61"/>
        <v>J404WL</v>
      </c>
      <c r="E394" s="4" t="s">
        <v>453</v>
      </c>
      <c r="F394" s="4" t="s">
        <v>1671</v>
      </c>
      <c r="G394" s="5">
        <v>4521718930619</v>
      </c>
      <c r="H394" s="5"/>
      <c r="I394" s="5"/>
      <c r="J394" s="5">
        <v>1</v>
      </c>
      <c r="K394" s="5">
        <v>1</v>
      </c>
      <c r="L394" s="4">
        <v>100</v>
      </c>
      <c r="M394" s="4">
        <v>82</v>
      </c>
      <c r="N394" s="4">
        <v>53</v>
      </c>
      <c r="O394" s="6">
        <f t="shared" si="62"/>
        <v>0.35365853658536583</v>
      </c>
      <c r="P394" s="4" t="s">
        <v>2500</v>
      </c>
      <c r="Q394" s="4"/>
      <c r="R394" s="4"/>
      <c r="S394" s="4"/>
      <c r="T394" s="4"/>
      <c r="U394" s="4"/>
      <c r="V394" s="4"/>
      <c r="W394" s="4"/>
      <c r="X394" s="4"/>
      <c r="Y394" s="4">
        <v>80</v>
      </c>
      <c r="Z394" s="4">
        <f t="shared" si="63"/>
        <v>80</v>
      </c>
      <c r="AA394" s="4">
        <v>52</v>
      </c>
      <c r="AB394" s="4">
        <f t="shared" si="64"/>
        <v>52</v>
      </c>
      <c r="AC394" s="4"/>
      <c r="AD394" s="21">
        <f>ROUND(M394*AR394,0)</f>
        <v>80</v>
      </c>
      <c r="AE394" s="6">
        <f>1-AB394/AD394</f>
        <v>0.35</v>
      </c>
      <c r="AF394" s="33">
        <v>0</v>
      </c>
      <c r="AG394" s="4" t="str">
        <f t="shared" si="65"/>
        <v>-</v>
      </c>
      <c r="AH394" s="33" t="e">
        <f t="shared" si="67"/>
        <v>#VALUE!</v>
      </c>
      <c r="AI394" s="6" t="e">
        <f>1-AB394/AH394</f>
        <v>#VALUE!</v>
      </c>
      <c r="AJ394" s="7">
        <v>80</v>
      </c>
      <c r="AK394" s="6">
        <f>1-AB394/AJ394</f>
        <v>0.35</v>
      </c>
      <c r="AL394" s="4">
        <f>AJ394-AB394</f>
        <v>28</v>
      </c>
      <c r="AM394" s="28"/>
      <c r="AN394" s="6"/>
      <c r="AO394" s="6"/>
      <c r="AP394" s="6">
        <f>Z394/L394</f>
        <v>0.8</v>
      </c>
      <c r="AQ394" s="6">
        <f>AJ394/M394</f>
        <v>0.97560975609756095</v>
      </c>
      <c r="AR394" s="6">
        <f>AB394/N394</f>
        <v>0.98113207547169812</v>
      </c>
      <c r="AS394" s="4"/>
      <c r="AT394" s="4"/>
      <c r="AU394" s="4"/>
      <c r="AV394" s="4"/>
      <c r="AW394" s="4"/>
      <c r="AX394" s="4"/>
      <c r="AY394" s="4"/>
      <c r="AZ394" s="4"/>
      <c r="BA394" s="4"/>
      <c r="BB394" s="4">
        <v>0</v>
      </c>
      <c r="BC394" s="4" t="s">
        <v>3534</v>
      </c>
      <c r="BD394" s="4"/>
      <c r="BE394" s="4"/>
      <c r="BF394" s="4" t="s">
        <v>3534</v>
      </c>
      <c r="BG394" s="4" t="s">
        <v>3534</v>
      </c>
      <c r="BH394" s="4" t="s">
        <v>3534</v>
      </c>
      <c r="BI394" s="4" t="str">
        <f t="shared" si="66"/>
        <v>-</v>
      </c>
      <c r="BJ394" s="19">
        <v>4</v>
      </c>
      <c r="BK394" s="19">
        <v>8</v>
      </c>
      <c r="BL394" s="16">
        <v>6</v>
      </c>
      <c r="BM394" s="45" t="s">
        <v>3534</v>
      </c>
      <c r="BN394" t="s">
        <v>3534</v>
      </c>
      <c r="BO394" t="str">
        <f t="shared" si="68"/>
        <v>-</v>
      </c>
      <c r="BP394" t="s">
        <v>3534</v>
      </c>
      <c r="BQ394" t="s">
        <v>3534</v>
      </c>
      <c r="BR394" t="str">
        <f t="shared" si="69"/>
        <v>-</v>
      </c>
      <c r="BS394" t="s">
        <v>3534</v>
      </c>
    </row>
    <row r="395" spans="1:71" x14ac:dyDescent="0.4">
      <c r="A395" s="3">
        <v>392</v>
      </c>
      <c r="B395" s="3">
        <v>392</v>
      </c>
      <c r="C395" s="4" t="s">
        <v>454</v>
      </c>
      <c r="D395" s="4" t="str">
        <f t="shared" si="61"/>
        <v>J416RR</v>
      </c>
      <c r="E395" s="4" t="s">
        <v>454</v>
      </c>
      <c r="F395" s="4" t="s">
        <v>1672</v>
      </c>
      <c r="G395" s="5">
        <v>4521718071831</v>
      </c>
      <c r="H395" s="5"/>
      <c r="I395" s="5"/>
      <c r="J395" s="5">
        <v>1</v>
      </c>
      <c r="K395" s="5">
        <v>1</v>
      </c>
      <c r="L395" s="4">
        <v>640</v>
      </c>
      <c r="M395" s="4">
        <v>417</v>
      </c>
      <c r="N395" s="4">
        <v>284</v>
      </c>
      <c r="O395" s="6">
        <f t="shared" si="62"/>
        <v>0.31894484412470026</v>
      </c>
      <c r="P395" s="4" t="s">
        <v>2500</v>
      </c>
      <c r="Q395" s="4"/>
      <c r="R395" s="4"/>
      <c r="S395" s="4"/>
      <c r="T395" s="4"/>
      <c r="U395" s="4"/>
      <c r="V395" s="4"/>
      <c r="W395" s="4"/>
      <c r="X395" s="4"/>
      <c r="Y395" s="4">
        <v>646</v>
      </c>
      <c r="Z395" s="4">
        <f t="shared" si="63"/>
        <v>646</v>
      </c>
      <c r="AA395" s="4">
        <v>291</v>
      </c>
      <c r="AB395" s="4">
        <f t="shared" si="64"/>
        <v>291</v>
      </c>
      <c r="AC395" s="4"/>
      <c r="AD395" s="21">
        <f>ROUND(M395*AR395,0)</f>
        <v>427</v>
      </c>
      <c r="AE395" s="6">
        <f>1-AB395/AD395</f>
        <v>0.31850117096018737</v>
      </c>
      <c r="AF395" s="33">
        <v>0</v>
      </c>
      <c r="AG395" s="4">
        <f t="shared" si="65"/>
        <v>428</v>
      </c>
      <c r="AH395" s="33">
        <f t="shared" si="67"/>
        <v>438.54929577464793</v>
      </c>
      <c r="AI395" s="6">
        <f>1-AB395/AH395</f>
        <v>0.33644859813084116</v>
      </c>
      <c r="AJ395" s="7">
        <v>438</v>
      </c>
      <c r="AK395" s="6">
        <f>1-AB395/AJ395</f>
        <v>0.33561643835616439</v>
      </c>
      <c r="AL395" s="4">
        <f>AJ395-AB395</f>
        <v>147</v>
      </c>
      <c r="AM395" s="28"/>
      <c r="AN395" s="6"/>
      <c r="AO395" s="6"/>
      <c r="AP395" s="6">
        <f>Z395/L395</f>
        <v>1.0093749999999999</v>
      </c>
      <c r="AQ395" s="6">
        <f>AJ395/M395</f>
        <v>1.0503597122302157</v>
      </c>
      <c r="AR395" s="6">
        <f>AB395/N395</f>
        <v>1.0246478873239437</v>
      </c>
      <c r="AS395" s="4"/>
      <c r="AT395" s="4"/>
      <c r="AU395" s="4"/>
      <c r="AV395" s="4"/>
      <c r="AW395" s="4"/>
      <c r="AX395" s="4"/>
      <c r="AY395" s="4"/>
      <c r="AZ395" s="4"/>
      <c r="BA395" s="4"/>
      <c r="BB395" s="4">
        <v>0</v>
      </c>
      <c r="BC395" s="4" t="s">
        <v>3923</v>
      </c>
      <c r="BD395" s="4"/>
      <c r="BE395" s="4"/>
      <c r="BF395" s="4" t="s">
        <v>3545</v>
      </c>
      <c r="BG395" s="4">
        <v>428</v>
      </c>
      <c r="BH395" s="4">
        <v>428</v>
      </c>
      <c r="BI395" s="4">
        <f t="shared" si="66"/>
        <v>428</v>
      </c>
      <c r="BJ395" s="19">
        <v>4</v>
      </c>
      <c r="BK395" s="19">
        <v>8</v>
      </c>
      <c r="BL395" s="16">
        <v>6</v>
      </c>
      <c r="BM395" s="45" t="s">
        <v>3534</v>
      </c>
      <c r="BN395" t="s">
        <v>3534</v>
      </c>
      <c r="BO395" t="str">
        <f t="shared" si="68"/>
        <v>-</v>
      </c>
      <c r="BP395" t="s">
        <v>3534</v>
      </c>
      <c r="BQ395">
        <v>428</v>
      </c>
      <c r="BR395">
        <f t="shared" si="69"/>
        <v>438.54929577464793</v>
      </c>
      <c r="BS395" t="s">
        <v>2836</v>
      </c>
    </row>
    <row r="396" spans="1:71" x14ac:dyDescent="0.4">
      <c r="A396" s="3">
        <v>393</v>
      </c>
      <c r="B396" s="3">
        <v>393</v>
      </c>
      <c r="C396" s="4" t="s">
        <v>455</v>
      </c>
      <c r="D396" s="4" t="str">
        <f t="shared" si="61"/>
        <v>J417MX</v>
      </c>
      <c r="E396" s="4" t="s">
        <v>455</v>
      </c>
      <c r="F396" s="4" t="s">
        <v>1673</v>
      </c>
      <c r="G396" s="5">
        <v>4521718113159</v>
      </c>
      <c r="H396" s="5"/>
      <c r="I396" s="5"/>
      <c r="J396" s="5">
        <v>1</v>
      </c>
      <c r="K396" s="5">
        <v>1</v>
      </c>
      <c r="L396" s="4">
        <v>1300</v>
      </c>
      <c r="M396" s="4">
        <v>817</v>
      </c>
      <c r="N396" s="4">
        <v>570</v>
      </c>
      <c r="O396" s="6">
        <f t="shared" si="62"/>
        <v>0.30232558139534882</v>
      </c>
      <c r="P396" s="4" t="s">
        <v>2500</v>
      </c>
      <c r="Q396" s="4"/>
      <c r="R396" s="4"/>
      <c r="S396" s="4"/>
      <c r="T396" s="4"/>
      <c r="U396" s="4"/>
      <c r="V396" s="4"/>
      <c r="W396" s="4"/>
      <c r="X396" s="4"/>
      <c r="Y396" s="4">
        <v>91</v>
      </c>
      <c r="Z396" s="4">
        <f t="shared" si="63"/>
        <v>910</v>
      </c>
      <c r="AA396" s="4">
        <v>64</v>
      </c>
      <c r="AB396" s="4">
        <f t="shared" si="64"/>
        <v>640</v>
      </c>
      <c r="AC396" s="4">
        <v>10</v>
      </c>
      <c r="AD396" s="21">
        <f>ROUND(M396*AR396,0)</f>
        <v>917</v>
      </c>
      <c r="AE396" s="6">
        <f>1-AB396/AD396</f>
        <v>0.30207197382769901</v>
      </c>
      <c r="AF396" s="33">
        <v>20</v>
      </c>
      <c r="AG396" s="4">
        <f t="shared" si="65"/>
        <v>874</v>
      </c>
      <c r="AH396" s="33">
        <f t="shared" si="67"/>
        <v>981.33333333333326</v>
      </c>
      <c r="AI396" s="6">
        <f>1-AB396/AH396</f>
        <v>0.34782608695652173</v>
      </c>
      <c r="AJ396" s="7">
        <v>910</v>
      </c>
      <c r="AK396" s="6">
        <f>1-AB396/AJ396</f>
        <v>0.29670329670329665</v>
      </c>
      <c r="AL396" s="4">
        <f>AJ396-AB396</f>
        <v>270</v>
      </c>
      <c r="AM396" s="28"/>
      <c r="AN396" s="6"/>
      <c r="AO396" s="6"/>
      <c r="AP396" s="6">
        <f>Z396/L396</f>
        <v>0.7</v>
      </c>
      <c r="AQ396" s="6">
        <f>AJ396/M396</f>
        <v>1.1138310893512853</v>
      </c>
      <c r="AR396" s="6">
        <f>AB396/N396</f>
        <v>1.1228070175438596</v>
      </c>
      <c r="AS396" s="4"/>
      <c r="AT396" s="4"/>
      <c r="AU396" s="4"/>
      <c r="AV396" s="4"/>
      <c r="AW396" s="4"/>
      <c r="AX396" s="4"/>
      <c r="AY396" s="4"/>
      <c r="AZ396" s="4"/>
      <c r="BA396" s="4"/>
      <c r="BB396" s="4">
        <v>0</v>
      </c>
      <c r="BC396" s="4" t="s">
        <v>3924</v>
      </c>
      <c r="BD396" s="4">
        <v>10</v>
      </c>
      <c r="BE396" s="4">
        <v>5</v>
      </c>
      <c r="BF396" s="4" t="s">
        <v>3790</v>
      </c>
      <c r="BG396" s="4">
        <v>437</v>
      </c>
      <c r="BH396" s="4">
        <v>437</v>
      </c>
      <c r="BI396" s="4">
        <f t="shared" si="66"/>
        <v>874</v>
      </c>
      <c r="BJ396" s="19">
        <v>4</v>
      </c>
      <c r="BK396" s="19">
        <v>8</v>
      </c>
      <c r="BL396" s="16">
        <v>6</v>
      </c>
      <c r="BM396" s="45" t="s">
        <v>3534</v>
      </c>
      <c r="BN396" t="s">
        <v>3534</v>
      </c>
      <c r="BO396" t="str">
        <f t="shared" si="68"/>
        <v>-</v>
      </c>
      <c r="BP396" t="s">
        <v>3534</v>
      </c>
      <c r="BQ396">
        <v>130</v>
      </c>
      <c r="BR396">
        <f t="shared" si="69"/>
        <v>145.96491228070175</v>
      </c>
      <c r="BS396" t="s">
        <v>2837</v>
      </c>
    </row>
    <row r="397" spans="1:71" x14ac:dyDescent="0.4">
      <c r="A397" s="3">
        <v>394</v>
      </c>
      <c r="B397" s="3">
        <v>394</v>
      </c>
      <c r="C397" s="4" t="s">
        <v>456</v>
      </c>
      <c r="D397" s="4" t="str">
        <f t="shared" si="61"/>
        <v>J418MX</v>
      </c>
      <c r="E397" s="4" t="s">
        <v>456</v>
      </c>
      <c r="F397" s="4" t="s">
        <v>1674</v>
      </c>
      <c r="G397" s="5">
        <v>4521718113166</v>
      </c>
      <c r="H397" s="5"/>
      <c r="I397" s="5"/>
      <c r="J397" s="5">
        <v>1</v>
      </c>
      <c r="K397" s="5">
        <v>1</v>
      </c>
      <c r="L397" s="4">
        <v>1300</v>
      </c>
      <c r="M397" s="4">
        <v>817</v>
      </c>
      <c r="N397" s="4">
        <v>570</v>
      </c>
      <c r="O397" s="6">
        <f t="shared" si="62"/>
        <v>0.30232558139534882</v>
      </c>
      <c r="P397" s="4" t="s">
        <v>2500</v>
      </c>
      <c r="Q397" s="4"/>
      <c r="R397" s="4"/>
      <c r="S397" s="4"/>
      <c r="T397" s="4"/>
      <c r="U397" s="4"/>
      <c r="V397" s="4"/>
      <c r="W397" s="4"/>
      <c r="X397" s="4"/>
      <c r="Y397" s="4">
        <v>91</v>
      </c>
      <c r="Z397" s="4">
        <f t="shared" si="63"/>
        <v>910</v>
      </c>
      <c r="AA397" s="4">
        <v>64</v>
      </c>
      <c r="AB397" s="4">
        <f t="shared" si="64"/>
        <v>640</v>
      </c>
      <c r="AC397" s="4">
        <v>10</v>
      </c>
      <c r="AD397" s="21">
        <f>ROUND(M397*AR397,0)</f>
        <v>917</v>
      </c>
      <c r="AE397" s="6">
        <f>1-AB397/AD397</f>
        <v>0.30207197382769901</v>
      </c>
      <c r="AF397" s="33">
        <v>0</v>
      </c>
      <c r="AG397" s="4">
        <f t="shared" si="65"/>
        <v>1000</v>
      </c>
      <c r="AH397" s="33">
        <f t="shared" si="67"/>
        <v>1122.8070175438595</v>
      </c>
      <c r="AI397" s="6">
        <f>1-AB397/AH397</f>
        <v>0.42999999999999994</v>
      </c>
      <c r="AJ397" s="7">
        <v>910</v>
      </c>
      <c r="AK397" s="6">
        <f>1-AB397/AJ397</f>
        <v>0.29670329670329665</v>
      </c>
      <c r="AL397" s="4">
        <f>AJ397-AB397</f>
        <v>270</v>
      </c>
      <c r="AM397" s="28"/>
      <c r="AN397" s="6"/>
      <c r="AO397" s="6"/>
      <c r="AP397" s="6">
        <f>Z397/L397</f>
        <v>0.7</v>
      </c>
      <c r="AQ397" s="6">
        <f>AJ397/M397</f>
        <v>1.1138310893512853</v>
      </c>
      <c r="AR397" s="6">
        <f>AB397/N397</f>
        <v>1.1228070175438596</v>
      </c>
      <c r="AS397" s="4"/>
      <c r="AT397" s="4"/>
      <c r="AU397" s="4"/>
      <c r="AV397" s="4"/>
      <c r="AW397" s="4"/>
      <c r="AX397" s="4"/>
      <c r="AY397" s="4"/>
      <c r="AZ397" s="4"/>
      <c r="BA397" s="4"/>
      <c r="BB397" s="4">
        <v>0</v>
      </c>
      <c r="BC397" s="4" t="s">
        <v>3925</v>
      </c>
      <c r="BD397" s="4">
        <v>10</v>
      </c>
      <c r="BE397" s="4">
        <v>20</v>
      </c>
      <c r="BF397" s="4" t="s">
        <v>3926</v>
      </c>
      <c r="BG397" s="4">
        <v>2000</v>
      </c>
      <c r="BH397" s="4">
        <v>2000</v>
      </c>
      <c r="BI397" s="4">
        <f t="shared" si="66"/>
        <v>1000</v>
      </c>
      <c r="BJ397" s="19">
        <v>4</v>
      </c>
      <c r="BK397" s="19">
        <v>8</v>
      </c>
      <c r="BL397" s="16">
        <v>6</v>
      </c>
      <c r="BM397" s="45" t="s">
        <v>3534</v>
      </c>
      <c r="BN397" t="s">
        <v>3534</v>
      </c>
      <c r="BO397" t="str">
        <f t="shared" si="68"/>
        <v>-</v>
      </c>
      <c r="BP397" t="s">
        <v>3534</v>
      </c>
      <c r="BQ397">
        <v>130</v>
      </c>
      <c r="BR397">
        <f t="shared" si="69"/>
        <v>145.96491228070175</v>
      </c>
      <c r="BS397" t="s">
        <v>2838</v>
      </c>
    </row>
    <row r="398" spans="1:71" x14ac:dyDescent="0.4">
      <c r="A398" s="3">
        <v>395</v>
      </c>
      <c r="B398" s="3">
        <v>395</v>
      </c>
      <c r="C398" s="4" t="s">
        <v>457</v>
      </c>
      <c r="D398" s="4" t="str">
        <f t="shared" si="61"/>
        <v>J418WL</v>
      </c>
      <c r="E398" s="4" t="s">
        <v>457</v>
      </c>
      <c r="F398" s="4" t="s">
        <v>1675</v>
      </c>
      <c r="G398" s="5">
        <v>4521718191317</v>
      </c>
      <c r="H398" s="5"/>
      <c r="I398" s="5"/>
      <c r="J398" s="5">
        <v>1</v>
      </c>
      <c r="K398" s="5">
        <v>1</v>
      </c>
      <c r="L398" s="4">
        <v>800</v>
      </c>
      <c r="M398" s="4">
        <v>640</v>
      </c>
      <c r="N398" s="4">
        <v>357</v>
      </c>
      <c r="O398" s="6">
        <f t="shared" si="62"/>
        <v>0.44218749999999996</v>
      </c>
      <c r="P398" s="4" t="s">
        <v>2500</v>
      </c>
      <c r="Q398" s="4"/>
      <c r="R398" s="4"/>
      <c r="S398" s="4"/>
      <c r="T398" s="4"/>
      <c r="U398" s="4"/>
      <c r="V398" s="4"/>
      <c r="W398" s="4"/>
      <c r="X398" s="4"/>
      <c r="Y398" s="4">
        <v>510</v>
      </c>
      <c r="Z398" s="4">
        <f t="shared" si="63"/>
        <v>510</v>
      </c>
      <c r="AA398" s="4">
        <v>357</v>
      </c>
      <c r="AB398" s="4">
        <f t="shared" si="64"/>
        <v>357</v>
      </c>
      <c r="AC398" s="4"/>
      <c r="AD398" s="21">
        <f>ROUND(M398*AR398,0)</f>
        <v>640</v>
      </c>
      <c r="AE398" s="6">
        <f>1-AB398/AD398</f>
        <v>0.44218749999999996</v>
      </c>
      <c r="AF398" s="33">
        <v>0</v>
      </c>
      <c r="AG398" s="4" t="str">
        <f t="shared" si="65"/>
        <v>-</v>
      </c>
      <c r="AH398" s="33" t="e">
        <f t="shared" si="67"/>
        <v>#VALUE!</v>
      </c>
      <c r="AI398" s="6" t="e">
        <f>1-AB398/AH398</f>
        <v>#VALUE!</v>
      </c>
      <c r="AJ398" s="7">
        <v>510</v>
      </c>
      <c r="AK398" s="6">
        <f>1-AB398/AJ398</f>
        <v>0.30000000000000004</v>
      </c>
      <c r="AL398" s="4">
        <f>AJ398-AB398</f>
        <v>153</v>
      </c>
      <c r="AM398" s="28"/>
      <c r="AN398" s="6"/>
      <c r="AO398" s="6"/>
      <c r="AP398" s="6">
        <f>Z398/L398</f>
        <v>0.63749999999999996</v>
      </c>
      <c r="AQ398" s="6">
        <f>AJ398/M398</f>
        <v>0.796875</v>
      </c>
      <c r="AR398" s="6">
        <f>AB398/N398</f>
        <v>1</v>
      </c>
      <c r="AS398" s="4"/>
      <c r="AT398" s="4"/>
      <c r="AU398" s="4"/>
      <c r="AV398" s="4"/>
      <c r="AW398" s="4"/>
      <c r="AX398" s="4"/>
      <c r="AY398" s="4"/>
      <c r="AZ398" s="4"/>
      <c r="BA398" s="4"/>
      <c r="BB398" s="4">
        <v>0</v>
      </c>
      <c r="BC398" s="4" t="s">
        <v>3534</v>
      </c>
      <c r="BD398" s="4"/>
      <c r="BE398" s="4"/>
      <c r="BF398" s="4" t="s">
        <v>3534</v>
      </c>
      <c r="BG398" s="4" t="s">
        <v>3534</v>
      </c>
      <c r="BH398" s="4" t="s">
        <v>3534</v>
      </c>
      <c r="BI398" s="4" t="str">
        <f t="shared" si="66"/>
        <v>-</v>
      </c>
      <c r="BJ398" s="19">
        <v>4</v>
      </c>
      <c r="BK398" s="19">
        <v>8</v>
      </c>
      <c r="BL398" s="16">
        <v>6</v>
      </c>
      <c r="BM398" s="45" t="s">
        <v>3534</v>
      </c>
      <c r="BN398" t="s">
        <v>3534</v>
      </c>
      <c r="BO398" t="str">
        <f t="shared" si="68"/>
        <v>-</v>
      </c>
      <c r="BP398" t="s">
        <v>3534</v>
      </c>
      <c r="BQ398" t="s">
        <v>3534</v>
      </c>
      <c r="BR398" t="str">
        <f t="shared" si="69"/>
        <v>-</v>
      </c>
      <c r="BS398" t="s">
        <v>3534</v>
      </c>
    </row>
    <row r="399" spans="1:71" x14ac:dyDescent="0.4">
      <c r="A399" s="3">
        <v>396</v>
      </c>
      <c r="B399" s="3">
        <v>396</v>
      </c>
      <c r="C399" s="4" t="s">
        <v>458</v>
      </c>
      <c r="D399" s="4" t="str">
        <f t="shared" si="61"/>
        <v>J417WL</v>
      </c>
      <c r="E399" s="4" t="s">
        <v>458</v>
      </c>
      <c r="F399" s="4" t="s">
        <v>1676</v>
      </c>
      <c r="G399" s="5">
        <v>4521718191300</v>
      </c>
      <c r="H399" s="5"/>
      <c r="I399" s="5"/>
      <c r="J399" s="5">
        <v>1</v>
      </c>
      <c r="K399" s="5">
        <v>1</v>
      </c>
      <c r="L399" s="4">
        <v>800</v>
      </c>
      <c r="M399" s="4">
        <v>640</v>
      </c>
      <c r="N399" s="4">
        <v>357</v>
      </c>
      <c r="O399" s="6">
        <f t="shared" si="62"/>
        <v>0.44218749999999996</v>
      </c>
      <c r="P399" s="4" t="s">
        <v>2500</v>
      </c>
      <c r="Q399" s="4"/>
      <c r="R399" s="4"/>
      <c r="S399" s="4"/>
      <c r="T399" s="4"/>
      <c r="U399" s="4"/>
      <c r="V399" s="4"/>
      <c r="W399" s="4"/>
      <c r="X399" s="4"/>
      <c r="Y399" s="4">
        <v>510</v>
      </c>
      <c r="Z399" s="4">
        <f t="shared" si="63"/>
        <v>510</v>
      </c>
      <c r="AA399" s="4">
        <v>357</v>
      </c>
      <c r="AB399" s="4">
        <f t="shared" si="64"/>
        <v>357</v>
      </c>
      <c r="AC399" s="4"/>
      <c r="AD399" s="21">
        <f>ROUND(M399*AR399,0)</f>
        <v>640</v>
      </c>
      <c r="AE399" s="6">
        <f>1-AB399/AD399</f>
        <v>0.44218749999999996</v>
      </c>
      <c r="AF399" s="33">
        <v>0</v>
      </c>
      <c r="AG399" s="4" t="str">
        <f t="shared" si="65"/>
        <v>-</v>
      </c>
      <c r="AH399" s="33" t="e">
        <f t="shared" si="67"/>
        <v>#VALUE!</v>
      </c>
      <c r="AI399" s="6" t="e">
        <f>1-AB399/AH399</f>
        <v>#VALUE!</v>
      </c>
      <c r="AJ399" s="7">
        <v>510</v>
      </c>
      <c r="AK399" s="6">
        <f>1-AB399/AJ399</f>
        <v>0.30000000000000004</v>
      </c>
      <c r="AL399" s="4">
        <f>AJ399-AB399</f>
        <v>153</v>
      </c>
      <c r="AM399" s="28"/>
      <c r="AN399" s="6"/>
      <c r="AO399" s="6"/>
      <c r="AP399" s="6">
        <f>Z399/L399</f>
        <v>0.63749999999999996</v>
      </c>
      <c r="AQ399" s="6">
        <f>AJ399/M399</f>
        <v>0.796875</v>
      </c>
      <c r="AR399" s="6">
        <f>AB399/N399</f>
        <v>1</v>
      </c>
      <c r="AS399" s="4"/>
      <c r="AT399" s="4"/>
      <c r="AU399" s="4"/>
      <c r="AV399" s="4"/>
      <c r="AW399" s="4"/>
      <c r="AX399" s="4"/>
      <c r="AY399" s="4"/>
      <c r="AZ399" s="4"/>
      <c r="BA399" s="4"/>
      <c r="BB399" s="4">
        <v>0</v>
      </c>
      <c r="BC399" s="4" t="s">
        <v>3534</v>
      </c>
      <c r="BD399" s="4"/>
      <c r="BE399" s="4"/>
      <c r="BF399" s="4" t="s">
        <v>3534</v>
      </c>
      <c r="BG399" s="4" t="s">
        <v>3534</v>
      </c>
      <c r="BH399" s="4" t="s">
        <v>3534</v>
      </c>
      <c r="BI399" s="4" t="str">
        <f t="shared" si="66"/>
        <v>-</v>
      </c>
      <c r="BJ399" s="19">
        <v>4</v>
      </c>
      <c r="BK399" s="19">
        <v>8</v>
      </c>
      <c r="BL399" s="16">
        <v>6</v>
      </c>
      <c r="BM399" s="45" t="s">
        <v>3534</v>
      </c>
      <c r="BN399" t="s">
        <v>3534</v>
      </c>
      <c r="BO399" t="str">
        <f t="shared" si="68"/>
        <v>-</v>
      </c>
      <c r="BP399" t="s">
        <v>3534</v>
      </c>
      <c r="BQ399" t="s">
        <v>3534</v>
      </c>
      <c r="BR399" t="str">
        <f t="shared" si="69"/>
        <v>-</v>
      </c>
      <c r="BS399" t="s">
        <v>3534</v>
      </c>
    </row>
    <row r="400" spans="1:71" x14ac:dyDescent="0.4">
      <c r="A400" s="3">
        <v>397</v>
      </c>
      <c r="B400" s="3">
        <v>397</v>
      </c>
      <c r="C400" s="4" t="s">
        <v>459</v>
      </c>
      <c r="D400" s="4" t="str">
        <f t="shared" si="61"/>
        <v>J419MX</v>
      </c>
      <c r="E400" s="4" t="s">
        <v>459</v>
      </c>
      <c r="F400" s="4" t="s">
        <v>1677</v>
      </c>
      <c r="G400" s="5">
        <v>4521718113173</v>
      </c>
      <c r="H400" s="5"/>
      <c r="I400" s="5"/>
      <c r="J400" s="5">
        <v>1</v>
      </c>
      <c r="K400" s="5">
        <v>1</v>
      </c>
      <c r="L400" s="4">
        <v>1300</v>
      </c>
      <c r="M400" s="4">
        <v>803</v>
      </c>
      <c r="N400" s="4">
        <v>570</v>
      </c>
      <c r="O400" s="6">
        <f t="shared" si="62"/>
        <v>0.29016189290161898</v>
      </c>
      <c r="P400" s="4" t="s">
        <v>2500</v>
      </c>
      <c r="Q400" s="4"/>
      <c r="R400" s="4"/>
      <c r="S400" s="4"/>
      <c r="T400" s="4"/>
      <c r="U400" s="4"/>
      <c r="V400" s="4"/>
      <c r="W400" s="4"/>
      <c r="X400" s="4"/>
      <c r="Y400" s="4">
        <v>91</v>
      </c>
      <c r="Z400" s="4">
        <f t="shared" si="63"/>
        <v>910</v>
      </c>
      <c r="AA400" s="4">
        <v>64</v>
      </c>
      <c r="AB400" s="4">
        <f t="shared" si="64"/>
        <v>640</v>
      </c>
      <c r="AC400" s="4">
        <v>10</v>
      </c>
      <c r="AD400" s="21">
        <f>ROUND(M400*AR400,0)</f>
        <v>902</v>
      </c>
      <c r="AE400" s="6">
        <f>1-AB400/AD400</f>
        <v>0.29046563192904651</v>
      </c>
      <c r="AF400" s="33">
        <v>1.7500000000000002</v>
      </c>
      <c r="AG400" s="4">
        <f t="shared" si="65"/>
        <v>1000</v>
      </c>
      <c r="AH400" s="33">
        <f t="shared" si="67"/>
        <v>1122.8070175438595</v>
      </c>
      <c r="AI400" s="6">
        <f>1-AB400/AH400</f>
        <v>0.42999999999999994</v>
      </c>
      <c r="AJ400" s="7">
        <v>910</v>
      </c>
      <c r="AK400" s="6">
        <f>1-AB400/AJ400</f>
        <v>0.29670329670329665</v>
      </c>
      <c r="AL400" s="4">
        <f>AJ400-AB400</f>
        <v>270</v>
      </c>
      <c r="AM400" s="28"/>
      <c r="AN400" s="6"/>
      <c r="AO400" s="6"/>
      <c r="AP400" s="6">
        <f>Z400/L400</f>
        <v>0.7</v>
      </c>
      <c r="AQ400" s="6">
        <f>AJ400/M400</f>
        <v>1.1332503113325032</v>
      </c>
      <c r="AR400" s="6">
        <f>AB400/N400</f>
        <v>1.1228070175438596</v>
      </c>
      <c r="AS400" s="4"/>
      <c r="AT400" s="4"/>
      <c r="AU400" s="4"/>
      <c r="AV400" s="4"/>
      <c r="AW400" s="4"/>
      <c r="AX400" s="4"/>
      <c r="AY400" s="4"/>
      <c r="AZ400" s="4"/>
      <c r="BA400" s="4"/>
      <c r="BB400" s="4">
        <v>0</v>
      </c>
      <c r="BC400" s="4" t="s">
        <v>3927</v>
      </c>
      <c r="BD400" s="4">
        <v>10</v>
      </c>
      <c r="BE400" s="4">
        <v>20</v>
      </c>
      <c r="BF400" s="4" t="s">
        <v>3926</v>
      </c>
      <c r="BG400" s="4">
        <v>2000</v>
      </c>
      <c r="BH400" s="4">
        <v>2000</v>
      </c>
      <c r="BI400" s="4">
        <f t="shared" si="66"/>
        <v>1000</v>
      </c>
      <c r="BJ400" s="19">
        <v>4</v>
      </c>
      <c r="BK400" s="19">
        <v>8</v>
      </c>
      <c r="BL400" s="16">
        <v>6</v>
      </c>
      <c r="BM400" s="45" t="s">
        <v>3534</v>
      </c>
      <c r="BN400" t="s">
        <v>3534</v>
      </c>
      <c r="BO400" t="str">
        <f t="shared" si="68"/>
        <v>-</v>
      </c>
      <c r="BP400" t="s">
        <v>3534</v>
      </c>
      <c r="BQ400">
        <v>130</v>
      </c>
      <c r="BR400">
        <f t="shared" si="69"/>
        <v>145.96491228070175</v>
      </c>
      <c r="BS400" t="s">
        <v>2839</v>
      </c>
    </row>
    <row r="401" spans="1:71" x14ac:dyDescent="0.4">
      <c r="A401" s="3">
        <v>398</v>
      </c>
      <c r="B401" s="3">
        <v>398</v>
      </c>
      <c r="C401" s="4" t="s">
        <v>460</v>
      </c>
      <c r="D401" s="4" t="str">
        <f t="shared" si="61"/>
        <v>J419WL</v>
      </c>
      <c r="E401" s="4" t="s">
        <v>460</v>
      </c>
      <c r="F401" s="4" t="s">
        <v>1678</v>
      </c>
      <c r="G401" s="5">
        <v>4521718191324</v>
      </c>
      <c r="H401" s="5"/>
      <c r="I401" s="5"/>
      <c r="J401" s="5">
        <v>1</v>
      </c>
      <c r="K401" s="5">
        <v>1</v>
      </c>
      <c r="L401" s="4">
        <v>330</v>
      </c>
      <c r="M401" s="4">
        <v>264</v>
      </c>
      <c r="N401" s="4">
        <v>148</v>
      </c>
      <c r="O401" s="6">
        <f t="shared" si="62"/>
        <v>0.43939393939393945</v>
      </c>
      <c r="P401" s="4" t="s">
        <v>2500</v>
      </c>
      <c r="Q401" s="4"/>
      <c r="R401" s="4"/>
      <c r="S401" s="4"/>
      <c r="T401" s="4"/>
      <c r="U401" s="4"/>
      <c r="V401" s="4"/>
      <c r="W401" s="4"/>
      <c r="X401" s="4"/>
      <c r="Y401" s="4">
        <v>228</v>
      </c>
      <c r="Z401" s="4">
        <f t="shared" si="63"/>
        <v>228</v>
      </c>
      <c r="AA401" s="4">
        <v>148</v>
      </c>
      <c r="AB401" s="4">
        <f t="shared" si="64"/>
        <v>148</v>
      </c>
      <c r="AC401" s="4"/>
      <c r="AD401" s="21">
        <f>ROUND(M401*AR401,0)</f>
        <v>264</v>
      </c>
      <c r="AE401" s="6">
        <f>1-AB401/AD401</f>
        <v>0.43939393939393945</v>
      </c>
      <c r="AF401" s="33">
        <v>0</v>
      </c>
      <c r="AG401" s="4" t="str">
        <f t="shared" si="65"/>
        <v>-</v>
      </c>
      <c r="AH401" s="33" t="e">
        <f t="shared" si="67"/>
        <v>#VALUE!</v>
      </c>
      <c r="AI401" s="6" t="e">
        <f>1-AB401/AH401</f>
        <v>#VALUE!</v>
      </c>
      <c r="AJ401" s="7">
        <f>ROUND(AB401/0.65,0)</f>
        <v>228</v>
      </c>
      <c r="AK401" s="6">
        <f>1-AB401/AJ401</f>
        <v>0.35087719298245612</v>
      </c>
      <c r="AL401" s="4">
        <f>AJ401-AB401</f>
        <v>80</v>
      </c>
      <c r="AM401" s="28"/>
      <c r="AN401" s="6"/>
      <c r="AO401" s="6"/>
      <c r="AP401" s="6">
        <f>Z401/L401</f>
        <v>0.69090909090909092</v>
      </c>
      <c r="AQ401" s="6">
        <f>AJ401/M401</f>
        <v>0.86363636363636365</v>
      </c>
      <c r="AR401" s="6">
        <f>AB401/N401</f>
        <v>1</v>
      </c>
      <c r="AS401" s="4"/>
      <c r="AT401" s="4"/>
      <c r="AU401" s="4"/>
      <c r="AV401" s="4"/>
      <c r="AW401" s="4"/>
      <c r="AX401" s="4"/>
      <c r="AY401" s="4"/>
      <c r="AZ401" s="4"/>
      <c r="BA401" s="4"/>
      <c r="BB401" s="4">
        <v>0</v>
      </c>
      <c r="BC401" s="4" t="s">
        <v>3534</v>
      </c>
      <c r="BD401" s="4"/>
      <c r="BE401" s="4"/>
      <c r="BF401" s="4" t="s">
        <v>3534</v>
      </c>
      <c r="BG401" s="4" t="s">
        <v>3534</v>
      </c>
      <c r="BH401" s="4" t="s">
        <v>3534</v>
      </c>
      <c r="BI401" s="4" t="str">
        <f t="shared" si="66"/>
        <v>-</v>
      </c>
      <c r="BJ401" s="19">
        <v>4</v>
      </c>
      <c r="BK401" s="19">
        <v>8</v>
      </c>
      <c r="BL401" s="16">
        <v>6</v>
      </c>
      <c r="BM401" s="45" t="s">
        <v>3534</v>
      </c>
      <c r="BN401" t="s">
        <v>3534</v>
      </c>
      <c r="BO401" t="str">
        <f t="shared" si="68"/>
        <v>-</v>
      </c>
      <c r="BP401" t="s">
        <v>3534</v>
      </c>
      <c r="BQ401" t="s">
        <v>3534</v>
      </c>
      <c r="BR401" t="str">
        <f t="shared" si="69"/>
        <v>-</v>
      </c>
      <c r="BS401" t="s">
        <v>3534</v>
      </c>
    </row>
    <row r="402" spans="1:71" x14ac:dyDescent="0.4">
      <c r="A402" s="3">
        <v>399</v>
      </c>
      <c r="B402" s="3">
        <v>399</v>
      </c>
      <c r="C402" s="4" t="s">
        <v>461</v>
      </c>
      <c r="D402" s="4" t="str">
        <f t="shared" si="61"/>
        <v>J420MX</v>
      </c>
      <c r="E402" s="4" t="s">
        <v>461</v>
      </c>
      <c r="F402" s="4" t="s">
        <v>1679</v>
      </c>
      <c r="G402" s="5">
        <v>4521718113180</v>
      </c>
      <c r="H402" s="5"/>
      <c r="I402" s="5"/>
      <c r="J402" s="5">
        <v>1</v>
      </c>
      <c r="K402" s="5">
        <v>1</v>
      </c>
      <c r="L402" s="4">
        <v>1300</v>
      </c>
      <c r="M402" s="4">
        <v>817</v>
      </c>
      <c r="N402" s="4">
        <v>570</v>
      </c>
      <c r="O402" s="6">
        <f t="shared" si="62"/>
        <v>0.30232558139534882</v>
      </c>
      <c r="P402" s="4" t="s">
        <v>2500</v>
      </c>
      <c r="Q402" s="4"/>
      <c r="R402" s="4"/>
      <c r="S402" s="4"/>
      <c r="T402" s="4"/>
      <c r="U402" s="4"/>
      <c r="V402" s="4"/>
      <c r="W402" s="4"/>
      <c r="X402" s="4"/>
      <c r="Y402" s="4">
        <v>91</v>
      </c>
      <c r="Z402" s="4">
        <f t="shared" si="63"/>
        <v>910</v>
      </c>
      <c r="AA402" s="4">
        <v>64</v>
      </c>
      <c r="AB402" s="4">
        <f t="shared" si="64"/>
        <v>640</v>
      </c>
      <c r="AC402" s="4">
        <v>10</v>
      </c>
      <c r="AD402" s="21">
        <f>ROUND(M402*AR402,0)</f>
        <v>917</v>
      </c>
      <c r="AE402" s="6">
        <f>1-AB402/AD402</f>
        <v>0.30207197382769901</v>
      </c>
      <c r="AF402" s="33">
        <v>2.5</v>
      </c>
      <c r="AG402" s="4">
        <f t="shared" si="65"/>
        <v>1000</v>
      </c>
      <c r="AH402" s="33">
        <f t="shared" si="67"/>
        <v>1122.8070175438595</v>
      </c>
      <c r="AI402" s="6">
        <f>1-AB402/AH402</f>
        <v>0.42999999999999994</v>
      </c>
      <c r="AJ402" s="7">
        <v>910</v>
      </c>
      <c r="AK402" s="6">
        <f>1-AB402/AJ402</f>
        <v>0.29670329670329665</v>
      </c>
      <c r="AL402" s="4">
        <f>AJ402-AB402</f>
        <v>270</v>
      </c>
      <c r="AM402" s="28"/>
      <c r="AN402" s="6"/>
      <c r="AO402" s="6"/>
      <c r="AP402" s="6">
        <f>Z402/L402</f>
        <v>0.7</v>
      </c>
      <c r="AQ402" s="6">
        <f>AJ402/M402</f>
        <v>1.1138310893512853</v>
      </c>
      <c r="AR402" s="6">
        <f>AB402/N402</f>
        <v>1.1228070175438596</v>
      </c>
      <c r="AS402" s="4"/>
      <c r="AT402" s="4"/>
      <c r="AU402" s="4"/>
      <c r="AV402" s="4"/>
      <c r="AW402" s="4"/>
      <c r="AX402" s="4"/>
      <c r="AY402" s="4"/>
      <c r="AZ402" s="4"/>
      <c r="BA402" s="4"/>
      <c r="BB402" s="4">
        <v>0</v>
      </c>
      <c r="BC402" s="4" t="s">
        <v>3928</v>
      </c>
      <c r="BD402" s="4">
        <v>10</v>
      </c>
      <c r="BE402" s="4">
        <v>20</v>
      </c>
      <c r="BF402" s="4" t="s">
        <v>3926</v>
      </c>
      <c r="BG402" s="4">
        <v>2000</v>
      </c>
      <c r="BH402" s="4">
        <v>2000</v>
      </c>
      <c r="BI402" s="4">
        <f t="shared" si="66"/>
        <v>1000</v>
      </c>
      <c r="BJ402" s="19">
        <v>4</v>
      </c>
      <c r="BK402" s="19">
        <v>8</v>
      </c>
      <c r="BL402" s="16">
        <v>6</v>
      </c>
      <c r="BM402" s="45" t="s">
        <v>3534</v>
      </c>
      <c r="BN402" t="s">
        <v>3534</v>
      </c>
      <c r="BO402" t="str">
        <f t="shared" si="68"/>
        <v>-</v>
      </c>
      <c r="BP402" t="s">
        <v>3534</v>
      </c>
      <c r="BQ402">
        <v>130</v>
      </c>
      <c r="BR402">
        <f t="shared" si="69"/>
        <v>145.96491228070175</v>
      </c>
      <c r="BS402" t="s">
        <v>2840</v>
      </c>
    </row>
    <row r="403" spans="1:71" x14ac:dyDescent="0.4">
      <c r="A403" s="3">
        <v>400</v>
      </c>
      <c r="B403" s="3">
        <v>400</v>
      </c>
      <c r="C403" s="4" t="s">
        <v>462</v>
      </c>
      <c r="D403" s="4" t="str">
        <f t="shared" si="61"/>
        <v>J420WL</v>
      </c>
      <c r="E403" s="4" t="s">
        <v>462</v>
      </c>
      <c r="F403" s="4" t="s">
        <v>1680</v>
      </c>
      <c r="G403" s="5">
        <v>4521718191362</v>
      </c>
      <c r="H403" s="5"/>
      <c r="I403" s="5"/>
      <c r="J403" s="5">
        <v>1</v>
      </c>
      <c r="K403" s="5">
        <v>1</v>
      </c>
      <c r="L403" s="4">
        <v>500</v>
      </c>
      <c r="M403" s="4">
        <v>400</v>
      </c>
      <c r="N403" s="4">
        <v>225</v>
      </c>
      <c r="O403" s="6">
        <f t="shared" si="62"/>
        <v>0.4375</v>
      </c>
      <c r="P403" s="4" t="s">
        <v>2500</v>
      </c>
      <c r="Q403" s="4"/>
      <c r="R403" s="4"/>
      <c r="S403" s="4"/>
      <c r="T403" s="4"/>
      <c r="U403" s="4"/>
      <c r="V403" s="4"/>
      <c r="W403" s="4"/>
      <c r="X403" s="4"/>
      <c r="Y403" s="4">
        <v>346</v>
      </c>
      <c r="Z403" s="4">
        <f t="shared" si="63"/>
        <v>346</v>
      </c>
      <c r="AA403" s="4">
        <v>225</v>
      </c>
      <c r="AB403" s="4">
        <f t="shared" si="64"/>
        <v>225</v>
      </c>
      <c r="AC403" s="4"/>
      <c r="AD403" s="21">
        <f>ROUND(M403*AR403,0)</f>
        <v>400</v>
      </c>
      <c r="AE403" s="6">
        <f>1-AB403/AD403</f>
        <v>0.4375</v>
      </c>
      <c r="AF403" s="33">
        <v>0</v>
      </c>
      <c r="AG403" s="4" t="str">
        <f t="shared" si="65"/>
        <v>-</v>
      </c>
      <c r="AH403" s="33" t="e">
        <f t="shared" si="67"/>
        <v>#VALUE!</v>
      </c>
      <c r="AI403" s="6" t="e">
        <f>1-AB403/AH403</f>
        <v>#VALUE!</v>
      </c>
      <c r="AJ403" s="7">
        <v>346</v>
      </c>
      <c r="AK403" s="6">
        <f>1-AB403/AJ403</f>
        <v>0.3497109826589595</v>
      </c>
      <c r="AL403" s="4">
        <f>AJ403-AB403</f>
        <v>121</v>
      </c>
      <c r="AM403" s="28"/>
      <c r="AN403" s="6"/>
      <c r="AO403" s="6"/>
      <c r="AP403" s="6">
        <f>Z403/L403</f>
        <v>0.69199999999999995</v>
      </c>
      <c r="AQ403" s="6">
        <f>AJ403/M403</f>
        <v>0.86499999999999999</v>
      </c>
      <c r="AR403" s="6">
        <f>AB403/N403</f>
        <v>1</v>
      </c>
      <c r="AS403" s="4"/>
      <c r="AT403" s="4"/>
      <c r="AU403" s="4"/>
      <c r="AV403" s="4"/>
      <c r="AW403" s="4"/>
      <c r="AX403" s="4"/>
      <c r="AY403" s="4"/>
      <c r="AZ403" s="4"/>
      <c r="BA403" s="4"/>
      <c r="BB403" s="4">
        <v>0</v>
      </c>
      <c r="BC403" s="4" t="s">
        <v>3534</v>
      </c>
      <c r="BD403" s="4"/>
      <c r="BE403" s="4"/>
      <c r="BF403" s="4" t="s">
        <v>3534</v>
      </c>
      <c r="BG403" s="4" t="s">
        <v>3534</v>
      </c>
      <c r="BH403" s="4" t="s">
        <v>3534</v>
      </c>
      <c r="BI403" s="4" t="str">
        <f t="shared" si="66"/>
        <v>-</v>
      </c>
      <c r="BJ403" s="19">
        <v>4</v>
      </c>
      <c r="BK403" s="19">
        <v>8</v>
      </c>
      <c r="BL403" s="16">
        <v>6</v>
      </c>
      <c r="BM403" s="45" t="s">
        <v>3534</v>
      </c>
      <c r="BN403" t="s">
        <v>3534</v>
      </c>
      <c r="BO403" t="str">
        <f t="shared" si="68"/>
        <v>-</v>
      </c>
      <c r="BP403" t="s">
        <v>3534</v>
      </c>
      <c r="BQ403" t="s">
        <v>3534</v>
      </c>
      <c r="BR403" t="str">
        <f t="shared" si="69"/>
        <v>-</v>
      </c>
      <c r="BS403" t="s">
        <v>3534</v>
      </c>
    </row>
    <row r="404" spans="1:71" x14ac:dyDescent="0.4">
      <c r="A404" s="3">
        <v>401</v>
      </c>
      <c r="B404" s="3">
        <v>401</v>
      </c>
      <c r="C404" s="4" t="s">
        <v>463</v>
      </c>
      <c r="D404" s="4" t="str">
        <f t="shared" si="61"/>
        <v>J421MX</v>
      </c>
      <c r="E404" s="4" t="s">
        <v>463</v>
      </c>
      <c r="F404" s="4" t="s">
        <v>1681</v>
      </c>
      <c r="G404" s="5">
        <v>4521718113197</v>
      </c>
      <c r="H404" s="5"/>
      <c r="I404" s="5"/>
      <c r="J404" s="5">
        <v>1</v>
      </c>
      <c r="K404" s="5">
        <v>1</v>
      </c>
      <c r="L404" s="4">
        <v>1300</v>
      </c>
      <c r="M404" s="4">
        <v>833</v>
      </c>
      <c r="N404" s="4">
        <v>570</v>
      </c>
      <c r="O404" s="6">
        <f t="shared" si="62"/>
        <v>0.31572629051620649</v>
      </c>
      <c r="P404" s="4" t="s">
        <v>2500</v>
      </c>
      <c r="Q404" s="4"/>
      <c r="R404" s="4"/>
      <c r="S404" s="4"/>
      <c r="T404" s="4"/>
      <c r="U404" s="4"/>
      <c r="V404" s="4"/>
      <c r="W404" s="4"/>
      <c r="X404" s="4"/>
      <c r="Y404" s="4">
        <v>91</v>
      </c>
      <c r="Z404" s="4">
        <f t="shared" si="63"/>
        <v>910</v>
      </c>
      <c r="AA404" s="4">
        <v>64</v>
      </c>
      <c r="AB404" s="4">
        <f t="shared" si="64"/>
        <v>640</v>
      </c>
      <c r="AC404" s="4">
        <v>10</v>
      </c>
      <c r="AD404" s="21">
        <f>ROUND(M404*AR404,0)</f>
        <v>935</v>
      </c>
      <c r="AE404" s="6">
        <f>1-AB404/AD404</f>
        <v>0.31550802139037437</v>
      </c>
      <c r="AF404" s="33">
        <v>2.5</v>
      </c>
      <c r="AG404" s="4">
        <f t="shared" si="65"/>
        <v>1000</v>
      </c>
      <c r="AH404" s="33">
        <f t="shared" si="67"/>
        <v>1122.8070175438595</v>
      </c>
      <c r="AI404" s="6">
        <f>1-AB404/AH404</f>
        <v>0.42999999999999994</v>
      </c>
      <c r="AJ404" s="7">
        <v>910</v>
      </c>
      <c r="AK404" s="6">
        <f>1-AB404/AJ404</f>
        <v>0.29670329670329665</v>
      </c>
      <c r="AL404" s="4">
        <f>AJ404-AB404</f>
        <v>270</v>
      </c>
      <c r="AM404" s="28"/>
      <c r="AN404" s="6"/>
      <c r="AO404" s="6"/>
      <c r="AP404" s="6">
        <f>Z404/L404</f>
        <v>0.7</v>
      </c>
      <c r="AQ404" s="6">
        <f>AJ404/M404</f>
        <v>1.0924369747899159</v>
      </c>
      <c r="AR404" s="6">
        <f>AB404/N404</f>
        <v>1.1228070175438596</v>
      </c>
      <c r="AS404" s="4"/>
      <c r="AT404" s="4"/>
      <c r="AU404" s="4"/>
      <c r="AV404" s="4"/>
      <c r="AW404" s="4"/>
      <c r="AX404" s="4"/>
      <c r="AY404" s="4"/>
      <c r="AZ404" s="4"/>
      <c r="BA404" s="4"/>
      <c r="BB404" s="4">
        <v>0</v>
      </c>
      <c r="BC404" s="4" t="s">
        <v>3929</v>
      </c>
      <c r="BD404" s="4">
        <v>10</v>
      </c>
      <c r="BE404" s="4">
        <v>20</v>
      </c>
      <c r="BF404" s="4" t="s">
        <v>3926</v>
      </c>
      <c r="BG404" s="4">
        <v>2000</v>
      </c>
      <c r="BH404" s="4">
        <v>2000</v>
      </c>
      <c r="BI404" s="4">
        <f t="shared" si="66"/>
        <v>1000</v>
      </c>
      <c r="BJ404" s="19">
        <v>4</v>
      </c>
      <c r="BK404" s="19">
        <v>8</v>
      </c>
      <c r="BL404" s="16">
        <v>6</v>
      </c>
      <c r="BM404" s="45" t="s">
        <v>3534</v>
      </c>
      <c r="BN404" t="s">
        <v>3534</v>
      </c>
      <c r="BO404" t="str">
        <f t="shared" si="68"/>
        <v>-</v>
      </c>
      <c r="BP404" t="s">
        <v>3534</v>
      </c>
      <c r="BQ404">
        <v>130</v>
      </c>
      <c r="BR404">
        <f t="shared" si="69"/>
        <v>145.96491228070175</v>
      </c>
      <c r="BS404" t="s">
        <v>2841</v>
      </c>
    </row>
    <row r="405" spans="1:71" x14ac:dyDescent="0.4">
      <c r="A405" s="3">
        <v>402</v>
      </c>
      <c r="B405" s="3">
        <v>402</v>
      </c>
      <c r="C405" s="4" t="s">
        <v>464</v>
      </c>
      <c r="D405" s="4" t="str">
        <f t="shared" si="61"/>
        <v>J422MX</v>
      </c>
      <c r="E405" s="4" t="s">
        <v>464</v>
      </c>
      <c r="F405" s="4" t="s">
        <v>1682</v>
      </c>
      <c r="G405" s="5">
        <v>4521718113203</v>
      </c>
      <c r="H405" s="5"/>
      <c r="I405" s="5"/>
      <c r="J405" s="5">
        <v>1</v>
      </c>
      <c r="K405" s="5">
        <v>1</v>
      </c>
      <c r="L405" s="4">
        <v>1300</v>
      </c>
      <c r="M405" s="4">
        <v>886</v>
      </c>
      <c r="N405" s="4">
        <v>570</v>
      </c>
      <c r="O405" s="6">
        <f t="shared" si="62"/>
        <v>0.35665914221218964</v>
      </c>
      <c r="P405" s="4" t="s">
        <v>2500</v>
      </c>
      <c r="Q405" s="4"/>
      <c r="R405" s="4"/>
      <c r="S405" s="4"/>
      <c r="T405" s="4"/>
      <c r="U405" s="4"/>
      <c r="V405" s="4"/>
      <c r="W405" s="4"/>
      <c r="X405" s="4"/>
      <c r="Y405" s="4">
        <v>91</v>
      </c>
      <c r="Z405" s="4">
        <f t="shared" si="63"/>
        <v>910</v>
      </c>
      <c r="AA405" s="4">
        <v>64</v>
      </c>
      <c r="AB405" s="4">
        <f t="shared" si="64"/>
        <v>640</v>
      </c>
      <c r="AC405" s="4">
        <v>10</v>
      </c>
      <c r="AD405" s="21">
        <f>ROUND(M405*AR405,0)</f>
        <v>995</v>
      </c>
      <c r="AE405" s="6">
        <f>1-AB405/AD405</f>
        <v>0.35678391959798994</v>
      </c>
      <c r="AF405" s="33">
        <v>1.25</v>
      </c>
      <c r="AG405" s="4">
        <f t="shared" si="65"/>
        <v>1000</v>
      </c>
      <c r="AH405" s="33">
        <f t="shared" si="67"/>
        <v>1122.8070175438595</v>
      </c>
      <c r="AI405" s="6">
        <f>1-AB405/AH405</f>
        <v>0.42999999999999994</v>
      </c>
      <c r="AJ405" s="7">
        <v>910</v>
      </c>
      <c r="AK405" s="6">
        <f>1-AB405/AJ405</f>
        <v>0.29670329670329665</v>
      </c>
      <c r="AL405" s="4">
        <f>AJ405-AB405</f>
        <v>270</v>
      </c>
      <c r="AM405" s="28"/>
      <c r="AN405" s="6"/>
      <c r="AO405" s="6"/>
      <c r="AP405" s="6">
        <f>Z405/L405</f>
        <v>0.7</v>
      </c>
      <c r="AQ405" s="6">
        <f>AJ405/M405</f>
        <v>1.0270880361173815</v>
      </c>
      <c r="AR405" s="6">
        <f>AB405/N405</f>
        <v>1.1228070175438596</v>
      </c>
      <c r="AS405" s="4"/>
      <c r="AT405" s="4"/>
      <c r="AU405" s="4"/>
      <c r="AV405" s="4"/>
      <c r="AW405" s="4"/>
      <c r="AX405" s="4"/>
      <c r="AY405" s="4"/>
      <c r="AZ405" s="4"/>
      <c r="BA405" s="4"/>
      <c r="BB405" s="4">
        <v>0</v>
      </c>
      <c r="BC405" s="4" t="s">
        <v>3930</v>
      </c>
      <c r="BD405" s="4">
        <v>10</v>
      </c>
      <c r="BE405" s="4">
        <v>20</v>
      </c>
      <c r="BF405" s="4" t="s">
        <v>3926</v>
      </c>
      <c r="BG405" s="4">
        <v>2000</v>
      </c>
      <c r="BH405" s="4">
        <v>2000</v>
      </c>
      <c r="BI405" s="4">
        <f t="shared" si="66"/>
        <v>1000</v>
      </c>
      <c r="BJ405" s="19">
        <v>4</v>
      </c>
      <c r="BK405" s="19">
        <v>8</v>
      </c>
      <c r="BL405" s="16">
        <v>6</v>
      </c>
      <c r="BM405" s="45" t="s">
        <v>3534</v>
      </c>
      <c r="BN405" t="s">
        <v>3534</v>
      </c>
      <c r="BO405" t="str">
        <f t="shared" si="68"/>
        <v>-</v>
      </c>
      <c r="BP405" t="s">
        <v>3534</v>
      </c>
      <c r="BQ405">
        <v>130</v>
      </c>
      <c r="BR405">
        <f t="shared" si="69"/>
        <v>145.96491228070175</v>
      </c>
      <c r="BS405" t="s">
        <v>2842</v>
      </c>
    </row>
    <row r="406" spans="1:71" x14ac:dyDescent="0.4">
      <c r="A406" s="3">
        <v>403</v>
      </c>
      <c r="B406" s="3">
        <v>403</v>
      </c>
      <c r="C406" s="4" t="s">
        <v>465</v>
      </c>
      <c r="D406" s="4" t="str">
        <f t="shared" si="61"/>
        <v>J422RR</v>
      </c>
      <c r="E406" s="4" t="s">
        <v>465</v>
      </c>
      <c r="F406" s="4" t="s">
        <v>1683</v>
      </c>
      <c r="G406" s="5">
        <v>4521718071923</v>
      </c>
      <c r="H406" s="5"/>
      <c r="I406" s="5"/>
      <c r="J406" s="5">
        <v>1</v>
      </c>
      <c r="K406" s="5">
        <v>1</v>
      </c>
      <c r="L406" s="4">
        <v>680</v>
      </c>
      <c r="M406" s="4">
        <v>441</v>
      </c>
      <c r="N406" s="4">
        <v>302</v>
      </c>
      <c r="O406" s="6">
        <f t="shared" si="62"/>
        <v>0.31519274376417239</v>
      </c>
      <c r="P406" s="4" t="s">
        <v>2500</v>
      </c>
      <c r="Q406" s="4"/>
      <c r="R406" s="4"/>
      <c r="S406" s="4"/>
      <c r="T406" s="4"/>
      <c r="U406" s="4"/>
      <c r="V406" s="4"/>
      <c r="W406" s="4"/>
      <c r="X406" s="4"/>
      <c r="Y406" s="4">
        <v>680</v>
      </c>
      <c r="Z406" s="4">
        <f t="shared" si="63"/>
        <v>680</v>
      </c>
      <c r="AA406" s="4">
        <v>306</v>
      </c>
      <c r="AB406" s="4">
        <f t="shared" si="64"/>
        <v>306</v>
      </c>
      <c r="AC406" s="4"/>
      <c r="AD406" s="21">
        <f>ROUND(M406*AR406,0)</f>
        <v>447</v>
      </c>
      <c r="AE406" s="6">
        <f>1-AB406/AD406</f>
        <v>0.31543624161073824</v>
      </c>
      <c r="AF406" s="33">
        <v>0.25</v>
      </c>
      <c r="AG406" s="4">
        <f t="shared" si="65"/>
        <v>640</v>
      </c>
      <c r="AH406" s="33">
        <f t="shared" si="67"/>
        <v>648.47682119205297</v>
      </c>
      <c r="AI406" s="6">
        <f>1-AB406/AH406</f>
        <v>0.52812499999999996</v>
      </c>
      <c r="AJ406" s="7">
        <f>ROUND(AB406/0.65,0)</f>
        <v>471</v>
      </c>
      <c r="AK406" s="6">
        <f>1-AB406/AJ406</f>
        <v>0.35031847133757965</v>
      </c>
      <c r="AL406" s="4">
        <f>AJ406-AB406</f>
        <v>165</v>
      </c>
      <c r="AM406" s="28"/>
      <c r="AN406" s="6"/>
      <c r="AO406" s="6"/>
      <c r="AP406" s="6">
        <f>Z406/L406</f>
        <v>1</v>
      </c>
      <c r="AQ406" s="6">
        <f>AJ406/M406</f>
        <v>1.0680272108843538</v>
      </c>
      <c r="AR406" s="6">
        <f>AB406/N406</f>
        <v>1.0132450331125828</v>
      </c>
      <c r="AS406" s="4"/>
      <c r="AT406" s="4"/>
      <c r="AU406" s="4"/>
      <c r="AV406" s="4"/>
      <c r="AW406" s="4"/>
      <c r="AX406" s="4"/>
      <c r="AY406" s="4"/>
      <c r="AZ406" s="4"/>
      <c r="BA406" s="4"/>
      <c r="BB406" s="4">
        <v>0</v>
      </c>
      <c r="BC406" s="4" t="s">
        <v>3931</v>
      </c>
      <c r="BD406" s="4">
        <v>1</v>
      </c>
      <c r="BE406" s="4">
        <v>3</v>
      </c>
      <c r="BF406" s="4" t="s">
        <v>3638</v>
      </c>
      <c r="BG406" s="4">
        <v>1920</v>
      </c>
      <c r="BH406" s="4">
        <v>1920</v>
      </c>
      <c r="BI406" s="4">
        <f t="shared" si="66"/>
        <v>640</v>
      </c>
      <c r="BJ406" s="19">
        <v>4</v>
      </c>
      <c r="BK406" s="19">
        <v>8</v>
      </c>
      <c r="BL406" s="16">
        <v>6</v>
      </c>
      <c r="BM406" s="45" t="s">
        <v>3534</v>
      </c>
      <c r="BN406" t="s">
        <v>3534</v>
      </c>
      <c r="BO406" t="str">
        <f t="shared" si="68"/>
        <v>-</v>
      </c>
      <c r="BP406" t="s">
        <v>3534</v>
      </c>
      <c r="BQ406">
        <v>464</v>
      </c>
      <c r="BR406">
        <f t="shared" si="69"/>
        <v>470.14569536423846</v>
      </c>
      <c r="BS406" t="s">
        <v>2843</v>
      </c>
    </row>
    <row r="407" spans="1:71" x14ac:dyDescent="0.4">
      <c r="A407" s="3">
        <v>404</v>
      </c>
      <c r="B407" s="3">
        <v>404</v>
      </c>
      <c r="C407" s="4" t="s">
        <v>466</v>
      </c>
      <c r="D407" s="4" t="str">
        <f t="shared" ref="D407:D470" si="70">TEXT(C407,"000000")</f>
        <v>J422WL</v>
      </c>
      <c r="E407" s="4" t="s">
        <v>466</v>
      </c>
      <c r="F407" s="4" t="s">
        <v>1684</v>
      </c>
      <c r="G407" s="5">
        <v>4521718191560</v>
      </c>
      <c r="H407" s="5"/>
      <c r="I407" s="5"/>
      <c r="J407" s="5">
        <v>1</v>
      </c>
      <c r="K407" s="5">
        <v>1</v>
      </c>
      <c r="L407" s="4">
        <v>330</v>
      </c>
      <c r="M407" s="4">
        <v>264</v>
      </c>
      <c r="N407" s="4">
        <v>148</v>
      </c>
      <c r="O407" s="6">
        <f t="shared" ref="O407:O470" si="71">1-N407/M407</f>
        <v>0.43939393939393945</v>
      </c>
      <c r="P407" s="4" t="s">
        <v>2500</v>
      </c>
      <c r="Q407" s="4"/>
      <c r="R407" s="4"/>
      <c r="S407" s="4"/>
      <c r="T407" s="4"/>
      <c r="U407" s="4"/>
      <c r="V407" s="4"/>
      <c r="W407" s="4"/>
      <c r="X407" s="4"/>
      <c r="Y407" s="4">
        <v>228</v>
      </c>
      <c r="Z407" s="4">
        <f t="shared" ref="Z407:Z470" si="72">IF(AC407="",Y407,Y407*AC407)</f>
        <v>228</v>
      </c>
      <c r="AA407" s="4">
        <v>148</v>
      </c>
      <c r="AB407" s="4">
        <f t="shared" ref="AB407:AB470" si="73">IF(AC407="",AA407,AA407*AC407)</f>
        <v>148</v>
      </c>
      <c r="AC407" s="4"/>
      <c r="AD407" s="21">
        <f>ROUND(M407*AR407,0)</f>
        <v>264</v>
      </c>
      <c r="AE407" s="6">
        <f>1-AB407/AD407</f>
        <v>0.43939393939393945</v>
      </c>
      <c r="AF407" s="33">
        <v>0</v>
      </c>
      <c r="AG407" s="4" t="str">
        <f t="shared" ref="AG407:AG470" si="74">BI407</f>
        <v>-</v>
      </c>
      <c r="AH407" s="33" t="e">
        <f t="shared" si="67"/>
        <v>#VALUE!</v>
      </c>
      <c r="AI407" s="6" t="e">
        <f>1-AB407/AH407</f>
        <v>#VALUE!</v>
      </c>
      <c r="AJ407" s="7">
        <f>ROUND(AB407/0.65,0)</f>
        <v>228</v>
      </c>
      <c r="AK407" s="6">
        <f>1-AB407/AJ407</f>
        <v>0.35087719298245612</v>
      </c>
      <c r="AL407" s="4">
        <f>AJ407-AB407</f>
        <v>80</v>
      </c>
      <c r="AM407" s="28"/>
      <c r="AN407" s="6"/>
      <c r="AO407" s="6"/>
      <c r="AP407" s="6">
        <f>Z407/L407</f>
        <v>0.69090909090909092</v>
      </c>
      <c r="AQ407" s="6">
        <f>AJ407/M407</f>
        <v>0.86363636363636365</v>
      </c>
      <c r="AR407" s="6">
        <f>AB407/N407</f>
        <v>1</v>
      </c>
      <c r="AS407" s="4"/>
      <c r="AT407" s="4"/>
      <c r="AU407" s="4"/>
      <c r="AV407" s="4"/>
      <c r="AW407" s="4"/>
      <c r="AX407" s="4"/>
      <c r="AY407" s="4"/>
      <c r="AZ407" s="4"/>
      <c r="BA407" s="4"/>
      <c r="BB407" s="4">
        <v>0</v>
      </c>
      <c r="BC407" s="4" t="s">
        <v>3534</v>
      </c>
      <c r="BD407" s="4"/>
      <c r="BE407" s="4"/>
      <c r="BF407" s="4" t="s">
        <v>3534</v>
      </c>
      <c r="BG407" s="4" t="s">
        <v>3534</v>
      </c>
      <c r="BH407" s="4" t="s">
        <v>3534</v>
      </c>
      <c r="BI407" s="4" t="str">
        <f t="shared" ref="BI407:BI470" si="75">IF(BD407="",BH407,BD407/BE407*BH407)</f>
        <v>-</v>
      </c>
      <c r="BJ407" s="19">
        <v>4</v>
      </c>
      <c r="BK407" s="19">
        <v>8</v>
      </c>
      <c r="BL407" s="16">
        <v>6</v>
      </c>
      <c r="BM407" s="45" t="s">
        <v>3534</v>
      </c>
      <c r="BN407" t="s">
        <v>3534</v>
      </c>
      <c r="BO407" t="str">
        <f t="shared" si="68"/>
        <v>-</v>
      </c>
      <c r="BP407" t="s">
        <v>3534</v>
      </c>
      <c r="BQ407" t="s">
        <v>3534</v>
      </c>
      <c r="BR407" t="str">
        <f t="shared" si="69"/>
        <v>-</v>
      </c>
      <c r="BS407" t="s">
        <v>3534</v>
      </c>
    </row>
    <row r="408" spans="1:71" x14ac:dyDescent="0.4">
      <c r="A408" s="3">
        <v>405</v>
      </c>
      <c r="B408" s="3">
        <v>405</v>
      </c>
      <c r="C408" s="4" t="s">
        <v>467</v>
      </c>
      <c r="D408" s="4" t="str">
        <f t="shared" si="70"/>
        <v>J4244R</v>
      </c>
      <c r="E408" s="4" t="s">
        <v>467</v>
      </c>
      <c r="F408" s="4" t="s">
        <v>1685</v>
      </c>
      <c r="G408" s="5">
        <v>4521718213415</v>
      </c>
      <c r="H408" s="5"/>
      <c r="I408" s="5"/>
      <c r="J408" s="5">
        <v>1</v>
      </c>
      <c r="K408" s="5">
        <v>1</v>
      </c>
      <c r="L408" s="4">
        <v>810</v>
      </c>
      <c r="M408" s="4">
        <v>559</v>
      </c>
      <c r="N408" s="4">
        <v>363</v>
      </c>
      <c r="O408" s="6">
        <f t="shared" si="71"/>
        <v>0.3506261180679785</v>
      </c>
      <c r="P408" s="4" t="s">
        <v>2500</v>
      </c>
      <c r="Q408" s="4"/>
      <c r="R408" s="4"/>
      <c r="S408" s="4"/>
      <c r="T408" s="4"/>
      <c r="U408" s="4"/>
      <c r="V408" s="4"/>
      <c r="W408" s="4"/>
      <c r="X408" s="4"/>
      <c r="Y408" s="4">
        <v>519</v>
      </c>
      <c r="Z408" s="4">
        <f t="shared" si="72"/>
        <v>519</v>
      </c>
      <c r="AA408" s="4">
        <v>363</v>
      </c>
      <c r="AB408" s="4">
        <f t="shared" si="73"/>
        <v>363</v>
      </c>
      <c r="AC408" s="4"/>
      <c r="AD408" s="21">
        <f>ROUND(M408*AR408,0)</f>
        <v>559</v>
      </c>
      <c r="AE408" s="6">
        <f>1-AB408/AD408</f>
        <v>0.3506261180679785</v>
      </c>
      <c r="AF408" s="33">
        <v>0</v>
      </c>
      <c r="AG408" s="4">
        <f t="shared" si="74"/>
        <v>630</v>
      </c>
      <c r="AH408" s="33">
        <f t="shared" si="67"/>
        <v>630</v>
      </c>
      <c r="AI408" s="6">
        <f>1-AB408/AH408</f>
        <v>0.42380952380952386</v>
      </c>
      <c r="AJ408" s="7">
        <v>519</v>
      </c>
      <c r="AK408" s="6">
        <f>1-AB408/AJ408</f>
        <v>0.30057803468208089</v>
      </c>
      <c r="AL408" s="4">
        <f>AJ408-AB408</f>
        <v>156</v>
      </c>
      <c r="AM408" s="28"/>
      <c r="AN408" s="6"/>
      <c r="AO408" s="6"/>
      <c r="AP408" s="6">
        <f>Z408/L408</f>
        <v>0.64074074074074072</v>
      </c>
      <c r="AQ408" s="6">
        <f>AJ408/M408</f>
        <v>0.92844364937388191</v>
      </c>
      <c r="AR408" s="6">
        <f>AB408/N408</f>
        <v>1</v>
      </c>
      <c r="AS408" s="4"/>
      <c r="AT408" s="4"/>
      <c r="AU408" s="4"/>
      <c r="AV408" s="4"/>
      <c r="AW408" s="4"/>
      <c r="AX408" s="4"/>
      <c r="AY408" s="4"/>
      <c r="AZ408" s="4"/>
      <c r="BA408" s="4"/>
      <c r="BB408" s="4">
        <v>0</v>
      </c>
      <c r="BC408" s="4" t="s">
        <v>3932</v>
      </c>
      <c r="BD408" s="4">
        <v>1</v>
      </c>
      <c r="BE408" s="4">
        <v>4</v>
      </c>
      <c r="BF408" s="4" t="s">
        <v>3933</v>
      </c>
      <c r="BG408" s="4">
        <v>2520</v>
      </c>
      <c r="BH408" s="4">
        <v>2520</v>
      </c>
      <c r="BI408" s="4">
        <f t="shared" si="75"/>
        <v>630</v>
      </c>
      <c r="BJ408" s="19">
        <v>4</v>
      </c>
      <c r="BK408" s="19">
        <v>8</v>
      </c>
      <c r="BL408" s="16">
        <v>6</v>
      </c>
      <c r="BM408" s="45" t="s">
        <v>3534</v>
      </c>
      <c r="BN408" t="s">
        <v>3534</v>
      </c>
      <c r="BO408" t="str">
        <f t="shared" si="68"/>
        <v>-</v>
      </c>
      <c r="BP408" t="s">
        <v>3534</v>
      </c>
      <c r="BQ408">
        <v>654</v>
      </c>
      <c r="BR408">
        <f t="shared" si="69"/>
        <v>654</v>
      </c>
      <c r="BS408" t="s">
        <v>2844</v>
      </c>
    </row>
    <row r="409" spans="1:71" x14ac:dyDescent="0.4">
      <c r="A409" s="3">
        <v>406</v>
      </c>
      <c r="B409" s="3">
        <v>406</v>
      </c>
      <c r="C409" s="4" t="s">
        <v>468</v>
      </c>
      <c r="D409" s="4" t="str">
        <f t="shared" si="70"/>
        <v>J4246R</v>
      </c>
      <c r="E409" s="4" t="s">
        <v>468</v>
      </c>
      <c r="F409" s="4" t="s">
        <v>1686</v>
      </c>
      <c r="G409" s="5">
        <v>4521718213019</v>
      </c>
      <c r="H409" s="5"/>
      <c r="I409" s="5"/>
      <c r="J409" s="5">
        <v>1</v>
      </c>
      <c r="K409" s="5">
        <v>1</v>
      </c>
      <c r="L409" s="4">
        <v>640</v>
      </c>
      <c r="M409" s="4">
        <v>380</v>
      </c>
      <c r="N409" s="4">
        <v>287</v>
      </c>
      <c r="O409" s="6">
        <f t="shared" si="71"/>
        <v>0.24473684210526314</v>
      </c>
      <c r="P409" s="4" t="s">
        <v>2500</v>
      </c>
      <c r="Q409" s="4"/>
      <c r="R409" s="4"/>
      <c r="S409" s="4"/>
      <c r="T409" s="4"/>
      <c r="U409" s="4"/>
      <c r="V409" s="4"/>
      <c r="W409" s="4"/>
      <c r="X409" s="4"/>
      <c r="Y409" s="4">
        <v>410</v>
      </c>
      <c r="Z409" s="4">
        <f t="shared" si="72"/>
        <v>410</v>
      </c>
      <c r="AA409" s="4">
        <v>287</v>
      </c>
      <c r="AB409" s="4">
        <f t="shared" si="73"/>
        <v>287</v>
      </c>
      <c r="AC409" s="4"/>
      <c r="AD409" s="21">
        <f>ROUND(M409*AR409,0)</f>
        <v>380</v>
      </c>
      <c r="AE409" s="6">
        <f>1-AB409/AD409</f>
        <v>0.24473684210526314</v>
      </c>
      <c r="AF409" s="33">
        <v>0</v>
      </c>
      <c r="AG409" s="4">
        <f t="shared" si="74"/>
        <v>480</v>
      </c>
      <c r="AH409" s="33">
        <f t="shared" si="67"/>
        <v>480</v>
      </c>
      <c r="AI409" s="6">
        <f>1-AB409/AH409</f>
        <v>0.40208333333333335</v>
      </c>
      <c r="AJ409" s="7">
        <v>410</v>
      </c>
      <c r="AK409" s="6">
        <f>1-AB409/AJ409</f>
        <v>0.30000000000000004</v>
      </c>
      <c r="AL409" s="4">
        <f>AJ409-AB409</f>
        <v>123</v>
      </c>
      <c r="AM409" s="28"/>
      <c r="AN409" s="6"/>
      <c r="AO409" s="6"/>
      <c r="AP409" s="6">
        <f>Z409/L409</f>
        <v>0.640625</v>
      </c>
      <c r="AQ409" s="6">
        <f>AJ409/M409</f>
        <v>1.0789473684210527</v>
      </c>
      <c r="AR409" s="6">
        <f>AB409/N409</f>
        <v>1</v>
      </c>
      <c r="AS409" s="4"/>
      <c r="AT409" s="4"/>
      <c r="AU409" s="4"/>
      <c r="AV409" s="4"/>
      <c r="AW409" s="4"/>
      <c r="AX409" s="4"/>
      <c r="AY409" s="4"/>
      <c r="AZ409" s="4"/>
      <c r="BA409" s="4"/>
      <c r="BB409" s="4">
        <v>0</v>
      </c>
      <c r="BC409" s="4" t="s">
        <v>3934</v>
      </c>
      <c r="BD409" s="4">
        <v>1</v>
      </c>
      <c r="BE409" s="4">
        <v>6</v>
      </c>
      <c r="BF409" s="4" t="s">
        <v>3935</v>
      </c>
      <c r="BG409" s="4">
        <v>2880</v>
      </c>
      <c r="BH409" s="4">
        <v>2880</v>
      </c>
      <c r="BI409" s="4">
        <f t="shared" si="75"/>
        <v>480</v>
      </c>
      <c r="BJ409" s="19">
        <v>4</v>
      </c>
      <c r="BK409" s="19">
        <v>8</v>
      </c>
      <c r="BL409" s="16">
        <v>6</v>
      </c>
      <c r="BM409" s="45" t="s">
        <v>3534</v>
      </c>
      <c r="BN409" t="s">
        <v>3534</v>
      </c>
      <c r="BO409" t="str">
        <f t="shared" si="68"/>
        <v>-</v>
      </c>
      <c r="BP409" t="s">
        <v>3534</v>
      </c>
      <c r="BQ409">
        <v>556</v>
      </c>
      <c r="BR409">
        <f t="shared" si="69"/>
        <v>556</v>
      </c>
      <c r="BS409" t="s">
        <v>2845</v>
      </c>
    </row>
    <row r="410" spans="1:71" x14ac:dyDescent="0.4">
      <c r="A410" s="3">
        <v>407</v>
      </c>
      <c r="B410" s="3">
        <v>407</v>
      </c>
      <c r="C410" s="4" t="s">
        <v>469</v>
      </c>
      <c r="D410" s="4" t="str">
        <f t="shared" si="70"/>
        <v>J4248R</v>
      </c>
      <c r="E410" s="4" t="s">
        <v>469</v>
      </c>
      <c r="F410" s="4" t="s">
        <v>1687</v>
      </c>
      <c r="G410" s="5">
        <v>4521718213002</v>
      </c>
      <c r="H410" s="5"/>
      <c r="I410" s="5"/>
      <c r="J410" s="5">
        <v>1</v>
      </c>
      <c r="K410" s="5">
        <v>1</v>
      </c>
      <c r="L410" s="4">
        <v>850</v>
      </c>
      <c r="M410" s="4">
        <v>637</v>
      </c>
      <c r="N410" s="4">
        <v>382</v>
      </c>
      <c r="O410" s="6">
        <f t="shared" si="71"/>
        <v>0.40031397174254313</v>
      </c>
      <c r="P410" s="4" t="s">
        <v>2500</v>
      </c>
      <c r="Q410" s="4"/>
      <c r="R410" s="4"/>
      <c r="S410" s="4"/>
      <c r="T410" s="4"/>
      <c r="U410" s="4"/>
      <c r="V410" s="4"/>
      <c r="W410" s="4"/>
      <c r="X410" s="4"/>
      <c r="Y410" s="4">
        <v>546</v>
      </c>
      <c r="Z410" s="4">
        <f t="shared" si="72"/>
        <v>546</v>
      </c>
      <c r="AA410" s="4">
        <v>382</v>
      </c>
      <c r="AB410" s="4">
        <f t="shared" si="73"/>
        <v>382</v>
      </c>
      <c r="AC410" s="4"/>
      <c r="AD410" s="21">
        <f>ROUND(M410*AR410,0)</f>
        <v>637</v>
      </c>
      <c r="AE410" s="6">
        <f>1-AB410/AD410</f>
        <v>0.40031397174254313</v>
      </c>
      <c r="AF410" s="33">
        <v>5.25</v>
      </c>
      <c r="AG410" s="4">
        <f t="shared" si="74"/>
        <v>630</v>
      </c>
      <c r="AH410" s="33">
        <f t="shared" si="67"/>
        <v>630</v>
      </c>
      <c r="AI410" s="6">
        <f>1-AB410/AH410</f>
        <v>0.3936507936507937</v>
      </c>
      <c r="AJ410" s="7">
        <v>546</v>
      </c>
      <c r="AK410" s="6">
        <f>1-AB410/AJ410</f>
        <v>0.30036630036630041</v>
      </c>
      <c r="AL410" s="4">
        <f>AJ410-AB410</f>
        <v>164</v>
      </c>
      <c r="AM410" s="28"/>
      <c r="AN410" s="6"/>
      <c r="AO410" s="6"/>
      <c r="AP410" s="6">
        <f>Z410/L410</f>
        <v>0.64235294117647057</v>
      </c>
      <c r="AQ410" s="6">
        <f>AJ410/M410</f>
        <v>0.8571428571428571</v>
      </c>
      <c r="AR410" s="6">
        <f>AB410/N410</f>
        <v>1</v>
      </c>
      <c r="AS410" s="4"/>
      <c r="AT410" s="4"/>
      <c r="AU410" s="4"/>
      <c r="AV410" s="4"/>
      <c r="AW410" s="4"/>
      <c r="AX410" s="4"/>
      <c r="AY410" s="4"/>
      <c r="AZ410" s="4"/>
      <c r="BA410" s="4"/>
      <c r="BB410" s="4">
        <v>0</v>
      </c>
      <c r="BC410" s="4" t="s">
        <v>3936</v>
      </c>
      <c r="BD410" s="4">
        <v>1</v>
      </c>
      <c r="BE410" s="4">
        <v>4</v>
      </c>
      <c r="BF410" s="4" t="s">
        <v>3541</v>
      </c>
      <c r="BG410" s="4">
        <v>2520</v>
      </c>
      <c r="BH410" s="4">
        <v>2520</v>
      </c>
      <c r="BI410" s="4">
        <f t="shared" si="75"/>
        <v>630</v>
      </c>
      <c r="BJ410" s="19">
        <v>4</v>
      </c>
      <c r="BK410" s="19">
        <v>8</v>
      </c>
      <c r="BL410" s="16">
        <v>6</v>
      </c>
      <c r="BM410" s="45" t="s">
        <v>3534</v>
      </c>
      <c r="BN410" t="s">
        <v>3534</v>
      </c>
      <c r="BO410" t="str">
        <f t="shared" si="68"/>
        <v>-</v>
      </c>
      <c r="BP410" t="s">
        <v>3534</v>
      </c>
      <c r="BQ410">
        <v>677</v>
      </c>
      <c r="BR410">
        <f t="shared" si="69"/>
        <v>677</v>
      </c>
      <c r="BS410" t="s">
        <v>2846</v>
      </c>
    </row>
    <row r="411" spans="1:71" x14ac:dyDescent="0.4">
      <c r="A411" s="3">
        <v>408</v>
      </c>
      <c r="B411" s="3">
        <v>408</v>
      </c>
      <c r="C411" s="4" t="s">
        <v>470</v>
      </c>
      <c r="D411" s="4" t="str">
        <f t="shared" si="70"/>
        <v>J421WL</v>
      </c>
      <c r="E411" s="4" t="s">
        <v>470</v>
      </c>
      <c r="F411" s="4" t="s">
        <v>1688</v>
      </c>
      <c r="G411" s="5">
        <v>4521718191553</v>
      </c>
      <c r="H411" s="5"/>
      <c r="I411" s="5"/>
      <c r="J411" s="5">
        <v>1</v>
      </c>
      <c r="K411" s="5">
        <v>1</v>
      </c>
      <c r="L411" s="4">
        <v>330</v>
      </c>
      <c r="M411" s="4">
        <v>264</v>
      </c>
      <c r="N411" s="4">
        <v>148</v>
      </c>
      <c r="O411" s="6">
        <f t="shared" si="71"/>
        <v>0.43939393939393945</v>
      </c>
      <c r="P411" s="4" t="s">
        <v>2500</v>
      </c>
      <c r="Q411" s="4"/>
      <c r="R411" s="4"/>
      <c r="S411" s="4"/>
      <c r="T411" s="4"/>
      <c r="U411" s="4"/>
      <c r="V411" s="4"/>
      <c r="W411" s="4"/>
      <c r="X411" s="4"/>
      <c r="Y411" s="4">
        <v>228</v>
      </c>
      <c r="Z411" s="4">
        <f t="shared" si="72"/>
        <v>228</v>
      </c>
      <c r="AA411" s="4">
        <v>148</v>
      </c>
      <c r="AB411" s="4">
        <f t="shared" si="73"/>
        <v>148</v>
      </c>
      <c r="AC411" s="4"/>
      <c r="AD411" s="21">
        <f>ROUND(M411*AR411,0)</f>
        <v>264</v>
      </c>
      <c r="AE411" s="6">
        <f>1-AB411/AD411</f>
        <v>0.43939393939393945</v>
      </c>
      <c r="AF411" s="33">
        <v>0</v>
      </c>
      <c r="AG411" s="4" t="str">
        <f t="shared" si="74"/>
        <v>-</v>
      </c>
      <c r="AH411" s="33" t="e">
        <f t="shared" si="67"/>
        <v>#VALUE!</v>
      </c>
      <c r="AI411" s="6" t="e">
        <f>1-AB411/AH411</f>
        <v>#VALUE!</v>
      </c>
      <c r="AJ411" s="7">
        <f>ROUND(AB411/0.65,0)</f>
        <v>228</v>
      </c>
      <c r="AK411" s="6">
        <f>1-AB411/AJ411</f>
        <v>0.35087719298245612</v>
      </c>
      <c r="AL411" s="4">
        <f>AJ411-AB411</f>
        <v>80</v>
      </c>
      <c r="AM411" s="28"/>
      <c r="AN411" s="6"/>
      <c r="AO411" s="6"/>
      <c r="AP411" s="6">
        <f>Z411/L411</f>
        <v>0.69090909090909092</v>
      </c>
      <c r="AQ411" s="6">
        <f>AJ411/M411</f>
        <v>0.86363636363636365</v>
      </c>
      <c r="AR411" s="6">
        <f>AB411/N411</f>
        <v>1</v>
      </c>
      <c r="AS411" s="4"/>
      <c r="AT411" s="4"/>
      <c r="AU411" s="4"/>
      <c r="AV411" s="4"/>
      <c r="AW411" s="4"/>
      <c r="AX411" s="4"/>
      <c r="AY411" s="4"/>
      <c r="AZ411" s="4"/>
      <c r="BA411" s="4"/>
      <c r="BB411" s="4">
        <v>0</v>
      </c>
      <c r="BC411" s="4" t="s">
        <v>3534</v>
      </c>
      <c r="BD411" s="4"/>
      <c r="BE411" s="4"/>
      <c r="BF411" s="4" t="s">
        <v>3534</v>
      </c>
      <c r="BG411" s="4" t="s">
        <v>3534</v>
      </c>
      <c r="BH411" s="4" t="s">
        <v>3534</v>
      </c>
      <c r="BI411" s="4" t="str">
        <f t="shared" si="75"/>
        <v>-</v>
      </c>
      <c r="BJ411" s="19">
        <v>4</v>
      </c>
      <c r="BK411" s="19">
        <v>8</v>
      </c>
      <c r="BL411" s="16">
        <v>6</v>
      </c>
      <c r="BM411" s="45" t="s">
        <v>3534</v>
      </c>
      <c r="BN411" t="s">
        <v>3534</v>
      </c>
      <c r="BO411" t="str">
        <f t="shared" si="68"/>
        <v>-</v>
      </c>
      <c r="BP411" t="s">
        <v>3534</v>
      </c>
      <c r="BQ411" t="s">
        <v>3534</v>
      </c>
      <c r="BR411" t="str">
        <f t="shared" si="69"/>
        <v>-</v>
      </c>
      <c r="BS411" t="s">
        <v>3534</v>
      </c>
    </row>
    <row r="412" spans="1:71" x14ac:dyDescent="0.4">
      <c r="A412" s="3">
        <v>409</v>
      </c>
      <c r="B412" s="3">
        <v>409</v>
      </c>
      <c r="C412" s="4" t="s">
        <v>471</v>
      </c>
      <c r="D412" s="4" t="str">
        <f t="shared" si="70"/>
        <v>J423MX</v>
      </c>
      <c r="E412" s="4" t="s">
        <v>471</v>
      </c>
      <c r="F412" s="4" t="s">
        <v>1689</v>
      </c>
      <c r="G412" s="5">
        <v>4521718113210</v>
      </c>
      <c r="H412" s="5"/>
      <c r="I412" s="5"/>
      <c r="J412" s="5">
        <v>1</v>
      </c>
      <c r="K412" s="5">
        <v>1</v>
      </c>
      <c r="L412" s="4">
        <v>1300</v>
      </c>
      <c r="M412" s="4">
        <v>741</v>
      </c>
      <c r="N412" s="4">
        <v>570</v>
      </c>
      <c r="O412" s="6">
        <f t="shared" si="71"/>
        <v>0.23076923076923073</v>
      </c>
      <c r="P412" s="4" t="s">
        <v>2500</v>
      </c>
      <c r="Q412" s="4"/>
      <c r="R412" s="4"/>
      <c r="S412" s="4"/>
      <c r="T412" s="4"/>
      <c r="U412" s="4"/>
      <c r="V412" s="4"/>
      <c r="W412" s="4"/>
      <c r="X412" s="4"/>
      <c r="Y412" s="4">
        <v>91</v>
      </c>
      <c r="Z412" s="4">
        <f t="shared" si="72"/>
        <v>910</v>
      </c>
      <c r="AA412" s="4">
        <v>64</v>
      </c>
      <c r="AB412" s="4">
        <f t="shared" si="73"/>
        <v>640</v>
      </c>
      <c r="AC412" s="4">
        <v>10</v>
      </c>
      <c r="AD412" s="21">
        <f>ROUND(M412*AR412,0)</f>
        <v>832</v>
      </c>
      <c r="AE412" s="6">
        <f>1-AB412/AD412</f>
        <v>0.23076923076923073</v>
      </c>
      <c r="AF412" s="33">
        <v>2.5</v>
      </c>
      <c r="AG412" s="4">
        <f t="shared" si="74"/>
        <v>1000</v>
      </c>
      <c r="AH412" s="33">
        <f t="shared" si="67"/>
        <v>1122.8070175438595</v>
      </c>
      <c r="AI412" s="6">
        <f>1-AB412/AH412</f>
        <v>0.42999999999999994</v>
      </c>
      <c r="AJ412" s="7">
        <v>910</v>
      </c>
      <c r="AK412" s="6">
        <f>1-AB412/AJ412</f>
        <v>0.29670329670329665</v>
      </c>
      <c r="AL412" s="4">
        <f>AJ412-AB412</f>
        <v>270</v>
      </c>
      <c r="AM412" s="28"/>
      <c r="AN412" s="6"/>
      <c r="AO412" s="6"/>
      <c r="AP412" s="6">
        <f>Z412/L412</f>
        <v>0.7</v>
      </c>
      <c r="AQ412" s="6">
        <f>AJ412/M412</f>
        <v>1.2280701754385965</v>
      </c>
      <c r="AR412" s="6">
        <f>AB412/N412</f>
        <v>1.1228070175438596</v>
      </c>
      <c r="AS412" s="4"/>
      <c r="AT412" s="4"/>
      <c r="AU412" s="4"/>
      <c r="AV412" s="4"/>
      <c r="AW412" s="4"/>
      <c r="AX412" s="4"/>
      <c r="AY412" s="4"/>
      <c r="AZ412" s="4"/>
      <c r="BA412" s="4"/>
      <c r="BB412" s="4">
        <v>0</v>
      </c>
      <c r="BC412" s="4" t="s">
        <v>3937</v>
      </c>
      <c r="BD412" s="4">
        <v>10</v>
      </c>
      <c r="BE412" s="4">
        <v>20</v>
      </c>
      <c r="BF412" s="4" t="s">
        <v>3926</v>
      </c>
      <c r="BG412" s="4">
        <v>2000</v>
      </c>
      <c r="BH412" s="4">
        <v>2000</v>
      </c>
      <c r="BI412" s="4">
        <f t="shared" si="75"/>
        <v>1000</v>
      </c>
      <c r="BJ412" s="19">
        <v>4</v>
      </c>
      <c r="BK412" s="19">
        <v>8</v>
      </c>
      <c r="BL412" s="16">
        <v>6</v>
      </c>
      <c r="BM412" s="45" t="s">
        <v>3534</v>
      </c>
      <c r="BN412" t="s">
        <v>3534</v>
      </c>
      <c r="BO412" t="str">
        <f t="shared" si="68"/>
        <v>-</v>
      </c>
      <c r="BP412" t="s">
        <v>3534</v>
      </c>
      <c r="BQ412">
        <v>130</v>
      </c>
      <c r="BR412">
        <f t="shared" si="69"/>
        <v>145.96491228070175</v>
      </c>
      <c r="BS412" t="s">
        <v>2847</v>
      </c>
    </row>
    <row r="413" spans="1:71" x14ac:dyDescent="0.4">
      <c r="A413" s="3">
        <v>410</v>
      </c>
      <c r="B413" s="3">
        <v>410</v>
      </c>
      <c r="C413" s="4" t="s">
        <v>472</v>
      </c>
      <c r="D413" s="4" t="str">
        <f t="shared" si="70"/>
        <v>J423WL</v>
      </c>
      <c r="E413" s="4" t="s">
        <v>472</v>
      </c>
      <c r="F413" s="4" t="s">
        <v>1690</v>
      </c>
      <c r="G413" s="5">
        <v>4521718191577</v>
      </c>
      <c r="H413" s="5"/>
      <c r="I413" s="5"/>
      <c r="J413" s="5">
        <v>1</v>
      </c>
      <c r="K413" s="5">
        <v>1</v>
      </c>
      <c r="L413" s="4">
        <v>330</v>
      </c>
      <c r="M413" s="4">
        <v>264</v>
      </c>
      <c r="N413" s="4">
        <v>148</v>
      </c>
      <c r="O413" s="6">
        <f t="shared" si="71"/>
        <v>0.43939393939393945</v>
      </c>
      <c r="P413" s="4" t="s">
        <v>2500</v>
      </c>
      <c r="Q413" s="4"/>
      <c r="R413" s="4"/>
      <c r="S413" s="4"/>
      <c r="T413" s="4"/>
      <c r="U413" s="4"/>
      <c r="V413" s="4"/>
      <c r="W413" s="4"/>
      <c r="X413" s="4"/>
      <c r="Y413" s="4">
        <v>228</v>
      </c>
      <c r="Z413" s="4">
        <f t="shared" si="72"/>
        <v>228</v>
      </c>
      <c r="AA413" s="4">
        <v>148</v>
      </c>
      <c r="AB413" s="4">
        <f t="shared" si="73"/>
        <v>148</v>
      </c>
      <c r="AC413" s="4"/>
      <c r="AD413" s="21">
        <f>ROUND(M413*AR413,0)</f>
        <v>264</v>
      </c>
      <c r="AE413" s="6">
        <f>1-AB413/AD413</f>
        <v>0.43939393939393945</v>
      </c>
      <c r="AF413" s="33">
        <v>0</v>
      </c>
      <c r="AG413" s="4" t="str">
        <f t="shared" si="74"/>
        <v>-</v>
      </c>
      <c r="AH413" s="33" t="e">
        <f t="shared" si="67"/>
        <v>#VALUE!</v>
      </c>
      <c r="AI413" s="6" t="e">
        <f>1-AB413/AH413</f>
        <v>#VALUE!</v>
      </c>
      <c r="AJ413" s="7">
        <f>ROUND(AB413/0.65,0)</f>
        <v>228</v>
      </c>
      <c r="AK413" s="6">
        <f>1-AB413/AJ413</f>
        <v>0.35087719298245612</v>
      </c>
      <c r="AL413" s="4">
        <f>AJ413-AB413</f>
        <v>80</v>
      </c>
      <c r="AM413" s="28"/>
      <c r="AN413" s="6"/>
      <c r="AO413" s="6"/>
      <c r="AP413" s="6">
        <f>Z413/L413</f>
        <v>0.69090909090909092</v>
      </c>
      <c r="AQ413" s="6">
        <f>AJ413/M413</f>
        <v>0.86363636363636365</v>
      </c>
      <c r="AR413" s="6">
        <f>AB413/N413</f>
        <v>1</v>
      </c>
      <c r="AS413" s="4"/>
      <c r="AT413" s="4"/>
      <c r="AU413" s="4"/>
      <c r="AV413" s="4"/>
      <c r="AW413" s="4"/>
      <c r="AX413" s="4"/>
      <c r="AY413" s="4"/>
      <c r="AZ413" s="4"/>
      <c r="BA413" s="4"/>
      <c r="BB413" s="4">
        <v>0</v>
      </c>
      <c r="BC413" s="4" t="s">
        <v>3534</v>
      </c>
      <c r="BD413" s="4"/>
      <c r="BE413" s="4"/>
      <c r="BF413" s="4" t="s">
        <v>3534</v>
      </c>
      <c r="BG413" s="4" t="s">
        <v>3534</v>
      </c>
      <c r="BH413" s="4" t="s">
        <v>3534</v>
      </c>
      <c r="BI413" s="4" t="str">
        <f t="shared" si="75"/>
        <v>-</v>
      </c>
      <c r="BJ413" s="19">
        <v>4</v>
      </c>
      <c r="BK413" s="19">
        <v>8</v>
      </c>
      <c r="BL413" s="16">
        <v>6</v>
      </c>
      <c r="BM413" s="45" t="s">
        <v>3534</v>
      </c>
      <c r="BN413" t="s">
        <v>3534</v>
      </c>
      <c r="BO413" t="str">
        <f t="shared" si="68"/>
        <v>-</v>
      </c>
      <c r="BP413" t="s">
        <v>3534</v>
      </c>
      <c r="BQ413" t="s">
        <v>3534</v>
      </c>
      <c r="BR413" t="str">
        <f t="shared" si="69"/>
        <v>-</v>
      </c>
      <c r="BS413" t="s">
        <v>3534</v>
      </c>
    </row>
    <row r="414" spans="1:71" x14ac:dyDescent="0.4">
      <c r="A414" s="3">
        <v>411</v>
      </c>
      <c r="B414" s="3">
        <v>411</v>
      </c>
      <c r="C414" s="4" t="s">
        <v>473</v>
      </c>
      <c r="D414" s="4" t="str">
        <f t="shared" si="70"/>
        <v>J424RR</v>
      </c>
      <c r="E414" s="4" t="s">
        <v>473</v>
      </c>
      <c r="F414" s="4" t="s">
        <v>1691</v>
      </c>
      <c r="G414" s="5">
        <v>4521718071978</v>
      </c>
      <c r="H414" s="5"/>
      <c r="I414" s="5"/>
      <c r="J414" s="5">
        <v>1</v>
      </c>
      <c r="K414" s="5">
        <v>1</v>
      </c>
      <c r="L414" s="4">
        <v>360</v>
      </c>
      <c r="M414" s="4">
        <v>238</v>
      </c>
      <c r="N414" s="4">
        <v>160</v>
      </c>
      <c r="O414" s="6">
        <f t="shared" si="71"/>
        <v>0.32773109243697474</v>
      </c>
      <c r="P414" s="4" t="s">
        <v>2500</v>
      </c>
      <c r="Q414" s="4"/>
      <c r="R414" s="4"/>
      <c r="S414" s="4"/>
      <c r="T414" s="4"/>
      <c r="U414" s="4"/>
      <c r="V414" s="4"/>
      <c r="W414" s="4"/>
      <c r="X414" s="4"/>
      <c r="Y414" s="4">
        <v>360</v>
      </c>
      <c r="Z414" s="4">
        <f t="shared" si="72"/>
        <v>360</v>
      </c>
      <c r="AA414" s="4">
        <v>162</v>
      </c>
      <c r="AB414" s="4">
        <f t="shared" si="73"/>
        <v>162</v>
      </c>
      <c r="AC414" s="4"/>
      <c r="AD414" s="21">
        <f>ROUND(M414*AR414,0)</f>
        <v>241</v>
      </c>
      <c r="AE414" s="6">
        <f>1-AB414/AD414</f>
        <v>0.32780082987551862</v>
      </c>
      <c r="AF414" s="33">
        <v>0</v>
      </c>
      <c r="AG414" s="4">
        <f t="shared" si="74"/>
        <v>273.60000000000002</v>
      </c>
      <c r="AH414" s="33">
        <f t="shared" si="67"/>
        <v>277.02000000000004</v>
      </c>
      <c r="AI414" s="6">
        <f>1-AB414/AH414</f>
        <v>0.41520467836257313</v>
      </c>
      <c r="AJ414" s="7">
        <f>ROUND(AB414/0.65,0)</f>
        <v>249</v>
      </c>
      <c r="AK414" s="6">
        <f>1-AB414/AJ414</f>
        <v>0.3493975903614458</v>
      </c>
      <c r="AL414" s="4">
        <f>AJ414-AB414</f>
        <v>87</v>
      </c>
      <c r="AM414" s="28"/>
      <c r="AN414" s="6"/>
      <c r="AO414" s="6"/>
      <c r="AP414" s="6">
        <f>Z414/L414</f>
        <v>1</v>
      </c>
      <c r="AQ414" s="6">
        <f>AJ414/M414</f>
        <v>1.046218487394958</v>
      </c>
      <c r="AR414" s="6">
        <f>AB414/N414</f>
        <v>1.0125</v>
      </c>
      <c r="AS414" s="4"/>
      <c r="AT414" s="4"/>
      <c r="AU414" s="4"/>
      <c r="AV414" s="4"/>
      <c r="AW414" s="4"/>
      <c r="AX414" s="4"/>
      <c r="AY414" s="4"/>
      <c r="AZ414" s="4"/>
      <c r="BA414" s="4"/>
      <c r="BB414" s="4">
        <v>0</v>
      </c>
      <c r="BC414" s="4" t="s">
        <v>3938</v>
      </c>
      <c r="BD414" s="4">
        <v>1</v>
      </c>
      <c r="BE414" s="4">
        <v>5</v>
      </c>
      <c r="BF414" s="4" t="s">
        <v>3939</v>
      </c>
      <c r="BG414" s="4">
        <v>1368</v>
      </c>
      <c r="BH414" s="4">
        <v>1368</v>
      </c>
      <c r="BI414" s="4">
        <f t="shared" si="75"/>
        <v>273.60000000000002</v>
      </c>
      <c r="BJ414" s="19">
        <v>4</v>
      </c>
      <c r="BK414" s="19">
        <v>8</v>
      </c>
      <c r="BL414" s="16">
        <v>6</v>
      </c>
      <c r="BM414" s="45" t="s">
        <v>3534</v>
      </c>
      <c r="BN414" t="s">
        <v>3534</v>
      </c>
      <c r="BO414" t="str">
        <f t="shared" si="68"/>
        <v>-</v>
      </c>
      <c r="BP414" t="s">
        <v>3534</v>
      </c>
      <c r="BQ414">
        <v>264</v>
      </c>
      <c r="BR414">
        <f t="shared" si="69"/>
        <v>267.3</v>
      </c>
      <c r="BS414" t="s">
        <v>2848</v>
      </c>
    </row>
    <row r="415" spans="1:71" x14ac:dyDescent="0.4">
      <c r="A415" s="3">
        <v>412</v>
      </c>
      <c r="B415" s="3">
        <v>412</v>
      </c>
      <c r="C415" s="4" t="s">
        <v>474</v>
      </c>
      <c r="D415" s="4" t="str">
        <f t="shared" si="70"/>
        <v>J4249R</v>
      </c>
      <c r="E415" s="4" t="s">
        <v>474</v>
      </c>
      <c r="F415" s="4" t="s">
        <v>1692</v>
      </c>
      <c r="G415" s="5">
        <v>4521718584447</v>
      </c>
      <c r="H415" s="5"/>
      <c r="I415" s="5"/>
      <c r="J415" s="5">
        <v>1</v>
      </c>
      <c r="K415" s="5">
        <v>1</v>
      </c>
      <c r="L415" s="4">
        <v>290</v>
      </c>
      <c r="M415" s="4">
        <v>181</v>
      </c>
      <c r="N415" s="4">
        <v>130</v>
      </c>
      <c r="O415" s="6">
        <f t="shared" si="71"/>
        <v>0.28176795580110492</v>
      </c>
      <c r="P415" s="4" t="s">
        <v>2500</v>
      </c>
      <c r="Q415" s="4"/>
      <c r="R415" s="4"/>
      <c r="S415" s="4"/>
      <c r="T415" s="4"/>
      <c r="U415" s="4"/>
      <c r="V415" s="4"/>
      <c r="W415" s="4"/>
      <c r="X415" s="4"/>
      <c r="Y415" s="4">
        <v>200</v>
      </c>
      <c r="Z415" s="4">
        <f t="shared" si="72"/>
        <v>200</v>
      </c>
      <c r="AA415" s="4">
        <v>130</v>
      </c>
      <c r="AB415" s="4">
        <f t="shared" si="73"/>
        <v>130</v>
      </c>
      <c r="AC415" s="4"/>
      <c r="AD415" s="21">
        <f>ROUND(M415*AR415,0)</f>
        <v>181</v>
      </c>
      <c r="AE415" s="6">
        <f>1-AB415/AD415</f>
        <v>0.28176795580110492</v>
      </c>
      <c r="AF415" s="33">
        <v>0</v>
      </c>
      <c r="AG415" s="4" t="str">
        <f t="shared" si="74"/>
        <v>-</v>
      </c>
      <c r="AH415" s="33" t="e">
        <f t="shared" si="67"/>
        <v>#VALUE!</v>
      </c>
      <c r="AI415" s="6" t="e">
        <f>1-AB415/AH415</f>
        <v>#VALUE!</v>
      </c>
      <c r="AJ415" s="7">
        <v>200</v>
      </c>
      <c r="AK415" s="6">
        <f>1-AB415/AJ415</f>
        <v>0.35</v>
      </c>
      <c r="AL415" s="4">
        <f>AJ415-AB415</f>
        <v>70</v>
      </c>
      <c r="AM415" s="28"/>
      <c r="AN415" s="6"/>
      <c r="AO415" s="6"/>
      <c r="AP415" s="6">
        <f>Z415/L415</f>
        <v>0.68965517241379315</v>
      </c>
      <c r="AQ415" s="6">
        <f>AJ415/M415</f>
        <v>1.1049723756906078</v>
      </c>
      <c r="AR415" s="6">
        <f>AB415/N415</f>
        <v>1</v>
      </c>
      <c r="AS415" s="4"/>
      <c r="AT415" s="4"/>
      <c r="AU415" s="4"/>
      <c r="AV415" s="4"/>
      <c r="AW415" s="4"/>
      <c r="AX415" s="4"/>
      <c r="AY415" s="4"/>
      <c r="AZ415" s="4"/>
      <c r="BA415" s="4"/>
      <c r="BB415" s="4">
        <v>0</v>
      </c>
      <c r="BC415" s="4" t="s">
        <v>3534</v>
      </c>
      <c r="BD415" s="4"/>
      <c r="BE415" s="4"/>
      <c r="BF415" s="4" t="s">
        <v>3534</v>
      </c>
      <c r="BG415" s="4" t="s">
        <v>3534</v>
      </c>
      <c r="BH415" s="4" t="s">
        <v>3534</v>
      </c>
      <c r="BI415" s="4" t="str">
        <f t="shared" si="75"/>
        <v>-</v>
      </c>
      <c r="BJ415" s="19">
        <v>4</v>
      </c>
      <c r="BK415" s="19">
        <v>8</v>
      </c>
      <c r="BL415" s="16">
        <v>6</v>
      </c>
      <c r="BM415" s="45" t="s">
        <v>3534</v>
      </c>
      <c r="BN415" t="s">
        <v>3534</v>
      </c>
      <c r="BO415" t="str">
        <f t="shared" si="68"/>
        <v>-</v>
      </c>
      <c r="BP415" t="s">
        <v>3534</v>
      </c>
      <c r="BQ415" t="s">
        <v>3534</v>
      </c>
      <c r="BR415" t="str">
        <f t="shared" si="69"/>
        <v>-</v>
      </c>
      <c r="BS415" t="s">
        <v>3534</v>
      </c>
    </row>
    <row r="416" spans="1:71" x14ac:dyDescent="0.4">
      <c r="A416" s="3">
        <v>413</v>
      </c>
      <c r="B416" s="3">
        <v>413</v>
      </c>
      <c r="C416" s="4" t="s">
        <v>475</v>
      </c>
      <c r="D416" s="4" t="str">
        <f t="shared" si="70"/>
        <v>J424MX</v>
      </c>
      <c r="E416" s="4" t="s">
        <v>475</v>
      </c>
      <c r="F416" s="4" t="s">
        <v>1693</v>
      </c>
      <c r="G416" s="5">
        <v>4521718113227</v>
      </c>
      <c r="H416" s="5"/>
      <c r="I416" s="5"/>
      <c r="J416" s="5">
        <v>1</v>
      </c>
      <c r="K416" s="5">
        <v>1</v>
      </c>
      <c r="L416" s="4">
        <v>910</v>
      </c>
      <c r="M416" s="4">
        <v>832</v>
      </c>
      <c r="N416" s="4">
        <v>640</v>
      </c>
      <c r="O416" s="6">
        <f t="shared" si="71"/>
        <v>0.23076923076923073</v>
      </c>
      <c r="P416" s="4" t="s">
        <v>2500</v>
      </c>
      <c r="Q416" s="4"/>
      <c r="R416" s="4"/>
      <c r="S416" s="4"/>
      <c r="T416" s="4"/>
      <c r="U416" s="4"/>
      <c r="V416" s="4"/>
      <c r="W416" s="4"/>
      <c r="X416" s="4"/>
      <c r="Y416" s="4">
        <v>91</v>
      </c>
      <c r="Z416" s="4">
        <f t="shared" si="72"/>
        <v>910</v>
      </c>
      <c r="AA416" s="4">
        <v>64</v>
      </c>
      <c r="AB416" s="4">
        <f t="shared" si="73"/>
        <v>640</v>
      </c>
      <c r="AC416" s="4">
        <v>10</v>
      </c>
      <c r="AD416" s="21">
        <f>ROUND(M416*AR416,0)</f>
        <v>832</v>
      </c>
      <c r="AE416" s="6">
        <f>1-AB416/AD416</f>
        <v>0.23076923076923073</v>
      </c>
      <c r="AF416" s="33">
        <v>0</v>
      </c>
      <c r="AG416" s="4">
        <f t="shared" si="74"/>
        <v>1460</v>
      </c>
      <c r="AH416" s="33">
        <f t="shared" si="67"/>
        <v>1460</v>
      </c>
      <c r="AI416" s="6">
        <f>1-AB416/AH416</f>
        <v>0.56164383561643838</v>
      </c>
      <c r="AJ416" s="7">
        <v>910</v>
      </c>
      <c r="AK416" s="6">
        <f>1-AB416/AJ416</f>
        <v>0.29670329670329665</v>
      </c>
      <c r="AL416" s="4">
        <f>AJ416-AB416</f>
        <v>270</v>
      </c>
      <c r="AM416" s="28"/>
      <c r="AN416" s="6"/>
      <c r="AO416" s="6"/>
      <c r="AP416" s="6">
        <f>Z416/L416</f>
        <v>1</v>
      </c>
      <c r="AQ416" s="6">
        <f>AJ416/M416</f>
        <v>1.09375</v>
      </c>
      <c r="AR416" s="6">
        <f>AB416/N416</f>
        <v>1</v>
      </c>
      <c r="AS416" s="4"/>
      <c r="AT416" s="4"/>
      <c r="AU416" s="4"/>
      <c r="AV416" s="4"/>
      <c r="AW416" s="4"/>
      <c r="AX416" s="4"/>
      <c r="AY416" s="4"/>
      <c r="AZ416" s="4"/>
      <c r="BA416" s="4"/>
      <c r="BB416" s="4">
        <v>0</v>
      </c>
      <c r="BC416" s="4" t="s">
        <v>3940</v>
      </c>
      <c r="BD416" s="4">
        <v>10</v>
      </c>
      <c r="BE416" s="4">
        <v>20</v>
      </c>
      <c r="BF416" s="4" t="s">
        <v>3926</v>
      </c>
      <c r="BG416" s="4">
        <v>2920</v>
      </c>
      <c r="BH416" s="4">
        <v>2920</v>
      </c>
      <c r="BI416" s="4">
        <f t="shared" si="75"/>
        <v>1460</v>
      </c>
      <c r="BJ416" s="19">
        <v>4</v>
      </c>
      <c r="BK416" s="19">
        <v>8</v>
      </c>
      <c r="BL416" s="16">
        <v>6</v>
      </c>
      <c r="BM416" s="45" t="s">
        <v>3534</v>
      </c>
      <c r="BN416" t="s">
        <v>3534</v>
      </c>
      <c r="BO416" t="str">
        <f t="shared" si="68"/>
        <v>-</v>
      </c>
      <c r="BP416" t="s">
        <v>3534</v>
      </c>
      <c r="BQ416">
        <v>91</v>
      </c>
      <c r="BR416">
        <f t="shared" si="69"/>
        <v>91</v>
      </c>
      <c r="BS416" t="s">
        <v>2849</v>
      </c>
    </row>
    <row r="417" spans="1:71" x14ac:dyDescent="0.4">
      <c r="A417" s="3">
        <v>414</v>
      </c>
      <c r="B417" s="3">
        <v>414</v>
      </c>
      <c r="C417" s="4" t="s">
        <v>476</v>
      </c>
      <c r="D417" s="4" t="str">
        <f t="shared" si="70"/>
        <v>J424WL</v>
      </c>
      <c r="E417" s="4" t="s">
        <v>476</v>
      </c>
      <c r="F417" s="4" t="s">
        <v>1694</v>
      </c>
      <c r="G417" s="5">
        <v>4521718191683</v>
      </c>
      <c r="H417" s="5"/>
      <c r="I417" s="5"/>
      <c r="J417" s="5">
        <v>1</v>
      </c>
      <c r="K417" s="5">
        <v>1</v>
      </c>
      <c r="L417" s="4">
        <v>620</v>
      </c>
      <c r="M417" s="4">
        <v>496</v>
      </c>
      <c r="N417" s="4">
        <v>278</v>
      </c>
      <c r="O417" s="6">
        <f t="shared" si="71"/>
        <v>0.43951612903225812</v>
      </c>
      <c r="P417" s="4" t="s">
        <v>2500</v>
      </c>
      <c r="Q417" s="4"/>
      <c r="R417" s="4"/>
      <c r="S417" s="4"/>
      <c r="T417" s="4"/>
      <c r="U417" s="4"/>
      <c r="V417" s="4"/>
      <c r="W417" s="4"/>
      <c r="X417" s="4"/>
      <c r="Y417" s="4">
        <v>428</v>
      </c>
      <c r="Z417" s="4">
        <f t="shared" si="72"/>
        <v>428</v>
      </c>
      <c r="AA417" s="4">
        <v>278</v>
      </c>
      <c r="AB417" s="4">
        <f t="shared" si="73"/>
        <v>278</v>
      </c>
      <c r="AC417" s="4"/>
      <c r="AD417" s="21">
        <f>ROUND(M417*AR417,0)</f>
        <v>496</v>
      </c>
      <c r="AE417" s="6">
        <f>1-AB417/AD417</f>
        <v>0.43951612903225812</v>
      </c>
      <c r="AF417" s="33">
        <v>0</v>
      </c>
      <c r="AG417" s="4" t="str">
        <f t="shared" si="74"/>
        <v>-</v>
      </c>
      <c r="AH417" s="33" t="e">
        <f t="shared" si="67"/>
        <v>#VALUE!</v>
      </c>
      <c r="AI417" s="6" t="e">
        <f>1-AB417/AH417</f>
        <v>#VALUE!</v>
      </c>
      <c r="AJ417" s="7">
        <f>ROUND(AB417/0.65,0)</f>
        <v>428</v>
      </c>
      <c r="AK417" s="6">
        <f>1-AB417/AJ417</f>
        <v>0.35046728971962615</v>
      </c>
      <c r="AL417" s="4">
        <f>AJ417-AB417</f>
        <v>150</v>
      </c>
      <c r="AM417" s="28"/>
      <c r="AN417" s="6"/>
      <c r="AO417" s="6"/>
      <c r="AP417" s="6">
        <f>Z417/L417</f>
        <v>0.69032258064516128</v>
      </c>
      <c r="AQ417" s="6">
        <f>AJ417/M417</f>
        <v>0.86290322580645162</v>
      </c>
      <c r="AR417" s="6">
        <f>AB417/N417</f>
        <v>1</v>
      </c>
      <c r="AS417" s="4"/>
      <c r="AT417" s="4"/>
      <c r="AU417" s="4"/>
      <c r="AV417" s="4"/>
      <c r="AW417" s="4"/>
      <c r="AX417" s="4"/>
      <c r="AY417" s="4"/>
      <c r="AZ417" s="4"/>
      <c r="BA417" s="4"/>
      <c r="BB417" s="4">
        <v>0</v>
      </c>
      <c r="BC417" s="4" t="s">
        <v>3534</v>
      </c>
      <c r="BD417" s="4"/>
      <c r="BE417" s="4"/>
      <c r="BF417" s="4" t="s">
        <v>3534</v>
      </c>
      <c r="BG417" s="4" t="s">
        <v>3534</v>
      </c>
      <c r="BH417" s="4" t="s">
        <v>3534</v>
      </c>
      <c r="BI417" s="4" t="str">
        <f t="shared" si="75"/>
        <v>-</v>
      </c>
      <c r="BJ417" s="19">
        <v>4</v>
      </c>
      <c r="BK417" s="19">
        <v>8</v>
      </c>
      <c r="BL417" s="16">
        <v>6</v>
      </c>
      <c r="BM417" s="45" t="s">
        <v>3534</v>
      </c>
      <c r="BN417" t="s">
        <v>3534</v>
      </c>
      <c r="BO417" t="str">
        <f t="shared" si="68"/>
        <v>-</v>
      </c>
      <c r="BP417" t="s">
        <v>3534</v>
      </c>
      <c r="BQ417" t="s">
        <v>3534</v>
      </c>
      <c r="BR417" t="str">
        <f t="shared" si="69"/>
        <v>-</v>
      </c>
      <c r="BS417" t="s">
        <v>3534</v>
      </c>
    </row>
    <row r="418" spans="1:71" x14ac:dyDescent="0.4">
      <c r="A418" s="3">
        <v>415</v>
      </c>
      <c r="B418" s="3">
        <v>415</v>
      </c>
      <c r="C418" s="4" t="s">
        <v>477</v>
      </c>
      <c r="D418" s="4" t="str">
        <f t="shared" si="70"/>
        <v>J4250R</v>
      </c>
      <c r="E418" s="4" t="s">
        <v>477</v>
      </c>
      <c r="F418" s="4" t="s">
        <v>1695</v>
      </c>
      <c r="G418" s="5">
        <v>4521718059952</v>
      </c>
      <c r="H418" s="5"/>
      <c r="I418" s="5"/>
      <c r="J418" s="5">
        <v>1</v>
      </c>
      <c r="K418" s="5">
        <v>1</v>
      </c>
      <c r="L418" s="4">
        <v>270</v>
      </c>
      <c r="M418" s="4">
        <v>160</v>
      </c>
      <c r="N418" s="4">
        <v>118</v>
      </c>
      <c r="O418" s="6">
        <f t="shared" si="71"/>
        <v>0.26249999999999996</v>
      </c>
      <c r="P418" s="4" t="s">
        <v>2500</v>
      </c>
      <c r="Q418" s="4"/>
      <c r="R418" s="4"/>
      <c r="S418" s="4"/>
      <c r="T418" s="4"/>
      <c r="U418" s="4"/>
      <c r="V418" s="4"/>
      <c r="W418" s="4"/>
      <c r="X418" s="4"/>
      <c r="Y418" s="4">
        <v>264</v>
      </c>
      <c r="Z418" s="4">
        <f t="shared" si="72"/>
        <v>264</v>
      </c>
      <c r="AA418" s="4">
        <v>172</v>
      </c>
      <c r="AB418" s="4">
        <f t="shared" si="73"/>
        <v>172</v>
      </c>
      <c r="AC418" s="4"/>
      <c r="AD418" s="21">
        <f>ROUND(M418*AR418,0)</f>
        <v>233</v>
      </c>
      <c r="AE418" s="6">
        <f>1-AB418/AD418</f>
        <v>0.2618025751072961</v>
      </c>
      <c r="AF418" s="33">
        <v>0.25</v>
      </c>
      <c r="AG418" s="4">
        <f t="shared" si="74"/>
        <v>270</v>
      </c>
      <c r="AH418" s="33">
        <f t="shared" si="67"/>
        <v>393.5593220338983</v>
      </c>
      <c r="AI418" s="6">
        <f>1-AB418/AH418</f>
        <v>0.56296296296296289</v>
      </c>
      <c r="AJ418" s="7">
        <v>264</v>
      </c>
      <c r="AK418" s="6">
        <f>1-AB418/AJ418</f>
        <v>0.34848484848484851</v>
      </c>
      <c r="AL418" s="4">
        <f>AJ418-AB418</f>
        <v>92</v>
      </c>
      <c r="AM418" s="28"/>
      <c r="AN418" s="6"/>
      <c r="AO418" s="6"/>
      <c r="AP418" s="6">
        <f>Z418/L418</f>
        <v>0.97777777777777775</v>
      </c>
      <c r="AQ418" s="6">
        <f>AJ418/M418</f>
        <v>1.65</v>
      </c>
      <c r="AR418" s="6">
        <f>AB418/N418</f>
        <v>1.4576271186440677</v>
      </c>
      <c r="AS418" s="4"/>
      <c r="AT418" s="4"/>
      <c r="AU418" s="4"/>
      <c r="AV418" s="4"/>
      <c r="AW418" s="4"/>
      <c r="AX418" s="4"/>
      <c r="AY418" s="4"/>
      <c r="AZ418" s="4"/>
      <c r="BA418" s="4"/>
      <c r="BB418" s="4">
        <v>0</v>
      </c>
      <c r="BC418" s="4" t="s">
        <v>3941</v>
      </c>
      <c r="BD418" s="4">
        <v>1</v>
      </c>
      <c r="BE418" s="4">
        <v>6</v>
      </c>
      <c r="BF418" s="4" t="s">
        <v>3918</v>
      </c>
      <c r="BG418" s="4">
        <v>1620</v>
      </c>
      <c r="BH418" s="4">
        <v>1620</v>
      </c>
      <c r="BI418" s="4">
        <f t="shared" si="75"/>
        <v>270</v>
      </c>
      <c r="BJ418" s="19">
        <v>4</v>
      </c>
      <c r="BK418" s="19">
        <v>8</v>
      </c>
      <c r="BL418" s="16">
        <v>6</v>
      </c>
      <c r="BM418" s="45" t="s">
        <v>3534</v>
      </c>
      <c r="BN418" t="s">
        <v>3534</v>
      </c>
      <c r="BO418" t="str">
        <f t="shared" si="68"/>
        <v>-</v>
      </c>
      <c r="BP418" t="s">
        <v>3534</v>
      </c>
      <c r="BQ418">
        <v>232</v>
      </c>
      <c r="BR418">
        <f t="shared" si="69"/>
        <v>338.16949152542372</v>
      </c>
      <c r="BS418" t="s">
        <v>2850</v>
      </c>
    </row>
    <row r="419" spans="1:71" x14ac:dyDescent="0.4">
      <c r="A419" s="3">
        <v>416</v>
      </c>
      <c r="B419" s="3">
        <v>416</v>
      </c>
      <c r="C419" s="4" t="s">
        <v>478</v>
      </c>
      <c r="D419" s="4" t="str">
        <f t="shared" si="70"/>
        <v>J4251R</v>
      </c>
      <c r="E419" s="4" t="s">
        <v>478</v>
      </c>
      <c r="F419" s="4" t="s">
        <v>1696</v>
      </c>
      <c r="G419" s="5">
        <v>4521718059976</v>
      </c>
      <c r="H419" s="5"/>
      <c r="I419" s="5"/>
      <c r="J419" s="5">
        <v>1</v>
      </c>
      <c r="K419" s="5">
        <v>1</v>
      </c>
      <c r="L419" s="4">
        <v>350</v>
      </c>
      <c r="M419" s="4">
        <v>208</v>
      </c>
      <c r="N419" s="4">
        <v>154</v>
      </c>
      <c r="O419" s="6">
        <f t="shared" si="71"/>
        <v>0.25961538461538458</v>
      </c>
      <c r="P419" s="4" t="s">
        <v>2500</v>
      </c>
      <c r="Q419" s="4"/>
      <c r="R419" s="4"/>
      <c r="S419" s="4"/>
      <c r="T419" s="4"/>
      <c r="U419" s="4"/>
      <c r="V419" s="4"/>
      <c r="W419" s="4"/>
      <c r="X419" s="4"/>
      <c r="Y419" s="4">
        <v>264</v>
      </c>
      <c r="Z419" s="4">
        <f t="shared" si="72"/>
        <v>264</v>
      </c>
      <c r="AA419" s="4">
        <v>172</v>
      </c>
      <c r="AB419" s="4">
        <f t="shared" si="73"/>
        <v>172</v>
      </c>
      <c r="AC419" s="4"/>
      <c r="AD419" s="21">
        <f>ROUND(M419*AR419,0)</f>
        <v>232</v>
      </c>
      <c r="AE419" s="6">
        <f>1-AB419/AD419</f>
        <v>0.25862068965517238</v>
      </c>
      <c r="AF419" s="33">
        <v>0.5</v>
      </c>
      <c r="AG419" s="4">
        <f t="shared" si="74"/>
        <v>350</v>
      </c>
      <c r="AH419" s="33">
        <f t="shared" si="67"/>
        <v>390.90909090909088</v>
      </c>
      <c r="AI419" s="6">
        <f>1-AB419/AH419</f>
        <v>0.55999999999999994</v>
      </c>
      <c r="AJ419" s="7">
        <v>264</v>
      </c>
      <c r="AK419" s="6">
        <f>1-AB419/AJ419</f>
        <v>0.34848484848484851</v>
      </c>
      <c r="AL419" s="4">
        <f>AJ419-AB419</f>
        <v>92</v>
      </c>
      <c r="AM419" s="28"/>
      <c r="AN419" s="6"/>
      <c r="AO419" s="6"/>
      <c r="AP419" s="6">
        <f>Z419/L419</f>
        <v>0.75428571428571434</v>
      </c>
      <c r="AQ419" s="6">
        <f>AJ419/M419</f>
        <v>1.2692307692307692</v>
      </c>
      <c r="AR419" s="6">
        <f>AB419/N419</f>
        <v>1.1168831168831168</v>
      </c>
      <c r="AS419" s="4"/>
      <c r="AT419" s="4"/>
      <c r="AU419" s="4"/>
      <c r="AV419" s="4"/>
      <c r="AW419" s="4"/>
      <c r="AX419" s="4"/>
      <c r="AY419" s="4"/>
      <c r="AZ419" s="4"/>
      <c r="BA419" s="4"/>
      <c r="BB419" s="4">
        <v>0</v>
      </c>
      <c r="BC419" s="4" t="s">
        <v>3942</v>
      </c>
      <c r="BD419" s="4">
        <v>1</v>
      </c>
      <c r="BE419" s="4">
        <v>5</v>
      </c>
      <c r="BF419" s="4" t="s">
        <v>3939</v>
      </c>
      <c r="BG419" s="4">
        <v>1750</v>
      </c>
      <c r="BH419" s="4">
        <v>1750</v>
      </c>
      <c r="BI419" s="4">
        <f t="shared" si="75"/>
        <v>350</v>
      </c>
      <c r="BJ419" s="19">
        <v>4</v>
      </c>
      <c r="BK419" s="19">
        <v>8</v>
      </c>
      <c r="BL419" s="16">
        <v>6</v>
      </c>
      <c r="BM419" s="45" t="s">
        <v>3534</v>
      </c>
      <c r="BN419" t="s">
        <v>3534</v>
      </c>
      <c r="BO419" t="str">
        <f t="shared" si="68"/>
        <v>-</v>
      </c>
      <c r="BP419" t="s">
        <v>3534</v>
      </c>
      <c r="BQ419">
        <v>344</v>
      </c>
      <c r="BR419">
        <f t="shared" si="69"/>
        <v>384.20779220779218</v>
      </c>
      <c r="BS419" t="s">
        <v>2851</v>
      </c>
    </row>
    <row r="420" spans="1:71" x14ac:dyDescent="0.4">
      <c r="A420" s="3">
        <v>417</v>
      </c>
      <c r="B420" s="3">
        <v>417</v>
      </c>
      <c r="C420" s="4" t="s">
        <v>479</v>
      </c>
      <c r="D420" s="4" t="str">
        <f t="shared" si="70"/>
        <v>J4252R</v>
      </c>
      <c r="E420" s="4" t="s">
        <v>479</v>
      </c>
      <c r="F420" s="4" t="s">
        <v>1697</v>
      </c>
      <c r="G420" s="5">
        <v>4521718126364</v>
      </c>
      <c r="H420" s="5"/>
      <c r="I420" s="5"/>
      <c r="J420" s="5">
        <v>1</v>
      </c>
      <c r="K420" s="5">
        <v>1</v>
      </c>
      <c r="L420" s="4">
        <v>600</v>
      </c>
      <c r="M420" s="4">
        <v>373</v>
      </c>
      <c r="N420" s="4">
        <v>267</v>
      </c>
      <c r="O420" s="6">
        <f t="shared" si="71"/>
        <v>0.28418230563002678</v>
      </c>
      <c r="P420" s="4" t="s">
        <v>2500</v>
      </c>
      <c r="Q420" s="4"/>
      <c r="R420" s="4"/>
      <c r="S420" s="4"/>
      <c r="T420" s="4"/>
      <c r="U420" s="4"/>
      <c r="V420" s="4"/>
      <c r="W420" s="4"/>
      <c r="X420" s="4"/>
      <c r="Y420" s="4">
        <v>410</v>
      </c>
      <c r="Z420" s="4">
        <f t="shared" si="72"/>
        <v>410</v>
      </c>
      <c r="AA420" s="4">
        <v>267</v>
      </c>
      <c r="AB420" s="4">
        <f t="shared" si="73"/>
        <v>267</v>
      </c>
      <c r="AC420" s="4"/>
      <c r="AD420" s="21">
        <f>ROUND(M420*AR420,0)</f>
        <v>373</v>
      </c>
      <c r="AE420" s="6">
        <f>1-AB420/AD420</f>
        <v>0.28418230563002678</v>
      </c>
      <c r="AF420" s="33">
        <v>0</v>
      </c>
      <c r="AG420" s="4">
        <f t="shared" si="74"/>
        <v>600</v>
      </c>
      <c r="AH420" s="33">
        <f t="shared" si="67"/>
        <v>600</v>
      </c>
      <c r="AI420" s="6">
        <f>1-AB420/AH420</f>
        <v>0.55499999999999994</v>
      </c>
      <c r="AJ420" s="7">
        <v>410</v>
      </c>
      <c r="AK420" s="6">
        <f>1-AB420/AJ420</f>
        <v>0.34878048780487803</v>
      </c>
      <c r="AL420" s="4">
        <f>AJ420-AB420</f>
        <v>143</v>
      </c>
      <c r="AM420" s="28"/>
      <c r="AN420" s="6"/>
      <c r="AO420" s="6"/>
      <c r="AP420" s="6">
        <f>Z420/L420</f>
        <v>0.68333333333333335</v>
      </c>
      <c r="AQ420" s="6">
        <f>AJ420/M420</f>
        <v>1.0991957104557641</v>
      </c>
      <c r="AR420" s="6">
        <f>AB420/N420</f>
        <v>1</v>
      </c>
      <c r="AS420" s="4"/>
      <c r="AT420" s="4"/>
      <c r="AU420" s="4"/>
      <c r="AV420" s="4"/>
      <c r="AW420" s="4"/>
      <c r="AX420" s="4"/>
      <c r="AY420" s="4"/>
      <c r="AZ420" s="4"/>
      <c r="BA420" s="4"/>
      <c r="BB420" s="4">
        <v>0</v>
      </c>
      <c r="BC420" s="4" t="s">
        <v>3943</v>
      </c>
      <c r="BD420" s="4">
        <v>1</v>
      </c>
      <c r="BE420" s="4">
        <v>6</v>
      </c>
      <c r="BF420" s="4" t="s">
        <v>3935</v>
      </c>
      <c r="BG420" s="4">
        <v>3600</v>
      </c>
      <c r="BH420" s="4">
        <v>3600</v>
      </c>
      <c r="BI420" s="4">
        <f t="shared" si="75"/>
        <v>600</v>
      </c>
      <c r="BJ420" s="19">
        <v>4</v>
      </c>
      <c r="BK420" s="19">
        <v>8</v>
      </c>
      <c r="BL420" s="16">
        <v>6</v>
      </c>
      <c r="BM420" s="45" t="s">
        <v>3534</v>
      </c>
      <c r="BN420" t="s">
        <v>3534</v>
      </c>
      <c r="BO420" t="str">
        <f t="shared" si="68"/>
        <v>-</v>
      </c>
      <c r="BP420" t="s">
        <v>3534</v>
      </c>
      <c r="BQ420">
        <v>600</v>
      </c>
      <c r="BR420">
        <f t="shared" si="69"/>
        <v>600</v>
      </c>
      <c r="BS420" t="s">
        <v>2852</v>
      </c>
    </row>
    <row r="421" spans="1:71" x14ac:dyDescent="0.4">
      <c r="A421" s="3">
        <v>418</v>
      </c>
      <c r="B421" s="3">
        <v>418</v>
      </c>
      <c r="C421" s="4" t="s">
        <v>480</v>
      </c>
      <c r="D421" s="4" t="str">
        <f t="shared" si="70"/>
        <v>J4253R</v>
      </c>
      <c r="E421" s="4" t="s">
        <v>480</v>
      </c>
      <c r="F421" s="4" t="s">
        <v>1698</v>
      </c>
      <c r="G421" s="5">
        <v>4521718126388</v>
      </c>
      <c r="H421" s="5"/>
      <c r="I421" s="5"/>
      <c r="J421" s="5">
        <v>1</v>
      </c>
      <c r="K421" s="5">
        <v>1</v>
      </c>
      <c r="L421" s="4">
        <v>1060</v>
      </c>
      <c r="M421" s="4">
        <v>627</v>
      </c>
      <c r="N421" s="4">
        <v>473</v>
      </c>
      <c r="O421" s="6">
        <f t="shared" si="71"/>
        <v>0.24561403508771928</v>
      </c>
      <c r="P421" s="4" t="s">
        <v>2500</v>
      </c>
      <c r="Q421" s="4"/>
      <c r="R421" s="4"/>
      <c r="S421" s="4"/>
      <c r="T421" s="4"/>
      <c r="U421" s="4"/>
      <c r="V421" s="4"/>
      <c r="W421" s="4"/>
      <c r="X421" s="4"/>
      <c r="Y421" s="4">
        <v>728</v>
      </c>
      <c r="Z421" s="4">
        <f t="shared" si="72"/>
        <v>728</v>
      </c>
      <c r="AA421" s="4">
        <v>473</v>
      </c>
      <c r="AB421" s="4">
        <f t="shared" si="73"/>
        <v>473</v>
      </c>
      <c r="AC421" s="4"/>
      <c r="AD421" s="21">
        <f>ROUND(M421*AR421,0)</f>
        <v>627</v>
      </c>
      <c r="AE421" s="6">
        <f>1-AB421/AD421</f>
        <v>0.24561403508771928</v>
      </c>
      <c r="AF421" s="33">
        <v>0</v>
      </c>
      <c r="AG421" s="4">
        <f t="shared" si="74"/>
        <v>1060</v>
      </c>
      <c r="AH421" s="33">
        <f t="shared" si="67"/>
        <v>1060</v>
      </c>
      <c r="AI421" s="6">
        <f>1-AB421/AH421</f>
        <v>0.55377358490566042</v>
      </c>
      <c r="AJ421" s="7">
        <f>ROUND(AB421/0.65,0)</f>
        <v>728</v>
      </c>
      <c r="AK421" s="6">
        <f>1-AB421/AJ421</f>
        <v>0.35027472527472525</v>
      </c>
      <c r="AL421" s="4">
        <f>AJ421-AB421</f>
        <v>255</v>
      </c>
      <c r="AM421" s="28"/>
      <c r="AN421" s="6"/>
      <c r="AO421" s="6"/>
      <c r="AP421" s="6">
        <f>Z421/L421</f>
        <v>0.68679245283018864</v>
      </c>
      <c r="AQ421" s="6">
        <f>AJ421/M421</f>
        <v>1.1610845295055821</v>
      </c>
      <c r="AR421" s="6">
        <f>AB421/N421</f>
        <v>1</v>
      </c>
      <c r="AS421" s="4"/>
      <c r="AT421" s="4"/>
      <c r="AU421" s="4"/>
      <c r="AV421" s="4"/>
      <c r="AW421" s="4"/>
      <c r="AX421" s="4"/>
      <c r="AY421" s="4"/>
      <c r="AZ421" s="4"/>
      <c r="BA421" s="4"/>
      <c r="BB421" s="4">
        <v>0</v>
      </c>
      <c r="BC421" s="4" t="s">
        <v>3944</v>
      </c>
      <c r="BD421" s="4">
        <v>1</v>
      </c>
      <c r="BE421" s="4">
        <v>2</v>
      </c>
      <c r="BF421" s="4" t="s">
        <v>3834</v>
      </c>
      <c r="BG421" s="4">
        <v>2120</v>
      </c>
      <c r="BH421" s="4">
        <v>2120</v>
      </c>
      <c r="BI421" s="4">
        <f t="shared" si="75"/>
        <v>1060</v>
      </c>
      <c r="BJ421" s="19">
        <v>4</v>
      </c>
      <c r="BK421" s="19">
        <v>8</v>
      </c>
      <c r="BL421" s="16">
        <v>6</v>
      </c>
      <c r="BM421" s="45" t="s">
        <v>3534</v>
      </c>
      <c r="BN421" t="s">
        <v>3534</v>
      </c>
      <c r="BO421" t="str">
        <f t="shared" si="68"/>
        <v>-</v>
      </c>
      <c r="BP421" t="s">
        <v>3534</v>
      </c>
      <c r="BQ421">
        <v>1060</v>
      </c>
      <c r="BR421">
        <f t="shared" si="69"/>
        <v>1060</v>
      </c>
      <c r="BS421" t="s">
        <v>2853</v>
      </c>
    </row>
    <row r="422" spans="1:71" x14ac:dyDescent="0.4">
      <c r="A422" s="3">
        <v>419</v>
      </c>
      <c r="B422" s="3">
        <v>419</v>
      </c>
      <c r="C422" s="4" t="s">
        <v>481</v>
      </c>
      <c r="D422" s="4" t="str">
        <f t="shared" si="70"/>
        <v>J4254R</v>
      </c>
      <c r="E422" s="4" t="s">
        <v>481</v>
      </c>
      <c r="F422" s="4" t="s">
        <v>1699</v>
      </c>
      <c r="G422" s="5">
        <v>4521718583358</v>
      </c>
      <c r="H422" s="5"/>
      <c r="I422" s="5"/>
      <c r="J422" s="5">
        <v>1</v>
      </c>
      <c r="K422" s="5">
        <v>1</v>
      </c>
      <c r="L422" s="4">
        <v>310</v>
      </c>
      <c r="M422" s="4">
        <v>191</v>
      </c>
      <c r="N422" s="4">
        <v>137</v>
      </c>
      <c r="O422" s="6">
        <f t="shared" si="71"/>
        <v>0.2827225130890052</v>
      </c>
      <c r="P422" s="4" t="s">
        <v>2500</v>
      </c>
      <c r="Q422" s="4"/>
      <c r="R422" s="4"/>
      <c r="S422" s="4"/>
      <c r="T422" s="4"/>
      <c r="U422" s="4"/>
      <c r="V422" s="4"/>
      <c r="W422" s="4"/>
      <c r="X422" s="4"/>
      <c r="Y422" s="4">
        <v>210</v>
      </c>
      <c r="Z422" s="4">
        <f t="shared" si="72"/>
        <v>210</v>
      </c>
      <c r="AA422" s="4">
        <v>137</v>
      </c>
      <c r="AB422" s="4">
        <f t="shared" si="73"/>
        <v>137</v>
      </c>
      <c r="AC422" s="4"/>
      <c r="AD422" s="21">
        <f>ROUND(M422*AR422,0)</f>
        <v>191</v>
      </c>
      <c r="AE422" s="6">
        <f>1-AB422/AD422</f>
        <v>0.2827225130890052</v>
      </c>
      <c r="AF422" s="33">
        <v>0</v>
      </c>
      <c r="AG422" s="4">
        <f t="shared" si="74"/>
        <v>310</v>
      </c>
      <c r="AH422" s="33">
        <f t="shared" si="67"/>
        <v>310</v>
      </c>
      <c r="AI422" s="6">
        <f>1-AB422/AH422</f>
        <v>0.5580645161290323</v>
      </c>
      <c r="AJ422" s="7">
        <v>210</v>
      </c>
      <c r="AK422" s="6">
        <f>1-AB422/AJ422</f>
        <v>0.34761904761904761</v>
      </c>
      <c r="AL422" s="4">
        <f>AJ422-AB422</f>
        <v>73</v>
      </c>
      <c r="AM422" s="28"/>
      <c r="AN422" s="6"/>
      <c r="AO422" s="6"/>
      <c r="AP422" s="6">
        <f>Z422/L422</f>
        <v>0.67741935483870963</v>
      </c>
      <c r="AQ422" s="6">
        <f>AJ422/M422</f>
        <v>1.0994764397905759</v>
      </c>
      <c r="AR422" s="6">
        <f>AB422/N422</f>
        <v>1</v>
      </c>
      <c r="AS422" s="4"/>
      <c r="AT422" s="4"/>
      <c r="AU422" s="4"/>
      <c r="AV422" s="4"/>
      <c r="AW422" s="4"/>
      <c r="AX422" s="4"/>
      <c r="AY422" s="4"/>
      <c r="AZ422" s="4"/>
      <c r="BA422" s="4"/>
      <c r="BB422" s="4">
        <v>0</v>
      </c>
      <c r="BC422" s="4" t="s">
        <v>3945</v>
      </c>
      <c r="BD422" s="4">
        <v>1</v>
      </c>
      <c r="BE422" s="4">
        <v>5</v>
      </c>
      <c r="BF422" s="4" t="s">
        <v>3939</v>
      </c>
      <c r="BG422" s="4">
        <v>1550</v>
      </c>
      <c r="BH422" s="4">
        <v>1550</v>
      </c>
      <c r="BI422" s="4">
        <f t="shared" si="75"/>
        <v>310</v>
      </c>
      <c r="BJ422" s="19">
        <v>4</v>
      </c>
      <c r="BK422" s="19">
        <v>8</v>
      </c>
      <c r="BL422" s="16">
        <v>6</v>
      </c>
      <c r="BM422" s="45" t="s">
        <v>3534</v>
      </c>
      <c r="BN422" t="s">
        <v>3534</v>
      </c>
      <c r="BO422" t="str">
        <f t="shared" si="68"/>
        <v>-</v>
      </c>
      <c r="BP422" t="s">
        <v>3534</v>
      </c>
      <c r="BQ422">
        <v>306</v>
      </c>
      <c r="BR422">
        <f t="shared" si="69"/>
        <v>306</v>
      </c>
      <c r="BS422" t="s">
        <v>2854</v>
      </c>
    </row>
    <row r="423" spans="1:71" x14ac:dyDescent="0.4">
      <c r="A423" s="3">
        <v>420</v>
      </c>
      <c r="B423" s="3">
        <v>420</v>
      </c>
      <c r="C423" s="4" t="s">
        <v>482</v>
      </c>
      <c r="D423" s="4" t="str">
        <f t="shared" si="70"/>
        <v>J4255R</v>
      </c>
      <c r="E423" s="4" t="s">
        <v>482</v>
      </c>
      <c r="F423" s="4" t="s">
        <v>1700</v>
      </c>
      <c r="G423" s="5">
        <v>4521718583365</v>
      </c>
      <c r="H423" s="5"/>
      <c r="I423" s="5"/>
      <c r="J423" s="5">
        <v>1</v>
      </c>
      <c r="K423" s="5">
        <v>1</v>
      </c>
      <c r="L423" s="4">
        <v>310</v>
      </c>
      <c r="M423" s="4">
        <v>191</v>
      </c>
      <c r="N423" s="4">
        <v>137</v>
      </c>
      <c r="O423" s="6">
        <f t="shared" si="71"/>
        <v>0.2827225130890052</v>
      </c>
      <c r="P423" s="4" t="s">
        <v>2500</v>
      </c>
      <c r="Q423" s="4"/>
      <c r="R423" s="4"/>
      <c r="S423" s="4"/>
      <c r="T423" s="4"/>
      <c r="U423" s="4"/>
      <c r="V423" s="4"/>
      <c r="W423" s="4"/>
      <c r="X423" s="4"/>
      <c r="Y423" s="4">
        <v>210</v>
      </c>
      <c r="Z423" s="4">
        <f t="shared" si="72"/>
        <v>210</v>
      </c>
      <c r="AA423" s="4">
        <v>137</v>
      </c>
      <c r="AB423" s="4">
        <f t="shared" si="73"/>
        <v>137</v>
      </c>
      <c r="AC423" s="4"/>
      <c r="AD423" s="21">
        <f>ROUND(M423*AR423,0)</f>
        <v>191</v>
      </c>
      <c r="AE423" s="6">
        <f>1-AB423/AD423</f>
        <v>0.2827225130890052</v>
      </c>
      <c r="AF423" s="33">
        <v>0</v>
      </c>
      <c r="AG423" s="4">
        <f t="shared" si="74"/>
        <v>310</v>
      </c>
      <c r="AH423" s="33">
        <f t="shared" si="67"/>
        <v>310</v>
      </c>
      <c r="AI423" s="6">
        <f>1-AB423/AH423</f>
        <v>0.5580645161290323</v>
      </c>
      <c r="AJ423" s="7">
        <v>210</v>
      </c>
      <c r="AK423" s="6">
        <f>1-AB423/AJ423</f>
        <v>0.34761904761904761</v>
      </c>
      <c r="AL423" s="4">
        <f>AJ423-AB423</f>
        <v>73</v>
      </c>
      <c r="AM423" s="28"/>
      <c r="AN423" s="6"/>
      <c r="AO423" s="6"/>
      <c r="AP423" s="6">
        <f>Z423/L423</f>
        <v>0.67741935483870963</v>
      </c>
      <c r="AQ423" s="6">
        <f>AJ423/M423</f>
        <v>1.0994764397905759</v>
      </c>
      <c r="AR423" s="6">
        <f>AB423/N423</f>
        <v>1</v>
      </c>
      <c r="AS423" s="4"/>
      <c r="AT423" s="4"/>
      <c r="AU423" s="4"/>
      <c r="AV423" s="4"/>
      <c r="AW423" s="4"/>
      <c r="AX423" s="4"/>
      <c r="AY423" s="4"/>
      <c r="AZ423" s="4"/>
      <c r="BA423" s="4"/>
      <c r="BB423" s="4">
        <v>0</v>
      </c>
      <c r="BC423" s="4" t="s">
        <v>3946</v>
      </c>
      <c r="BD423" s="4">
        <v>1</v>
      </c>
      <c r="BE423" s="4">
        <v>5</v>
      </c>
      <c r="BF423" s="4" t="s">
        <v>3939</v>
      </c>
      <c r="BG423" s="4">
        <v>1550</v>
      </c>
      <c r="BH423" s="4">
        <v>1550</v>
      </c>
      <c r="BI423" s="4">
        <f t="shared" si="75"/>
        <v>310</v>
      </c>
      <c r="BJ423" s="19">
        <v>4</v>
      </c>
      <c r="BK423" s="19">
        <v>8</v>
      </c>
      <c r="BL423" s="16">
        <v>6</v>
      </c>
      <c r="BM423" s="45" t="s">
        <v>3534</v>
      </c>
      <c r="BN423" t="s">
        <v>3534</v>
      </c>
      <c r="BO423" t="str">
        <f t="shared" si="68"/>
        <v>-</v>
      </c>
      <c r="BP423" t="s">
        <v>3534</v>
      </c>
      <c r="BQ423">
        <v>306</v>
      </c>
      <c r="BR423">
        <f t="shared" si="69"/>
        <v>306</v>
      </c>
      <c r="BS423" t="s">
        <v>2855</v>
      </c>
    </row>
    <row r="424" spans="1:71" x14ac:dyDescent="0.4">
      <c r="A424" s="3">
        <v>421</v>
      </c>
      <c r="B424" s="3">
        <v>421</v>
      </c>
      <c r="C424" s="4" t="s">
        <v>483</v>
      </c>
      <c r="D424" s="4" t="str">
        <f t="shared" si="70"/>
        <v>J4256R</v>
      </c>
      <c r="E424" s="4" t="s">
        <v>483</v>
      </c>
      <c r="F424" s="4" t="s">
        <v>1701</v>
      </c>
      <c r="G424" s="5">
        <v>4521718212494</v>
      </c>
      <c r="H424" s="5"/>
      <c r="I424" s="5"/>
      <c r="J424" s="5">
        <v>1</v>
      </c>
      <c r="K424" s="5">
        <v>1</v>
      </c>
      <c r="L424" s="4">
        <v>740</v>
      </c>
      <c r="M424" s="4">
        <v>464</v>
      </c>
      <c r="N424" s="4">
        <v>332</v>
      </c>
      <c r="O424" s="6">
        <f t="shared" si="71"/>
        <v>0.28448275862068961</v>
      </c>
      <c r="P424" s="4" t="s">
        <v>2500</v>
      </c>
      <c r="Q424" s="4"/>
      <c r="R424" s="4"/>
      <c r="S424" s="4"/>
      <c r="T424" s="4"/>
      <c r="U424" s="4"/>
      <c r="V424" s="4"/>
      <c r="W424" s="4"/>
      <c r="X424" s="4"/>
      <c r="Y424" s="4">
        <v>510</v>
      </c>
      <c r="Z424" s="4">
        <f t="shared" si="72"/>
        <v>510</v>
      </c>
      <c r="AA424" s="4">
        <v>332</v>
      </c>
      <c r="AB424" s="4">
        <f t="shared" si="73"/>
        <v>332</v>
      </c>
      <c r="AC424" s="4"/>
      <c r="AD424" s="21">
        <f>ROUND(M424*AR424,0)</f>
        <v>464</v>
      </c>
      <c r="AE424" s="6">
        <f>1-AB424/AD424</f>
        <v>0.28448275862068961</v>
      </c>
      <c r="AF424" s="33">
        <v>0</v>
      </c>
      <c r="AG424" s="4">
        <f t="shared" si="74"/>
        <v>740</v>
      </c>
      <c r="AH424" s="33">
        <f t="shared" si="67"/>
        <v>740</v>
      </c>
      <c r="AI424" s="6">
        <f>1-AB424/AH424</f>
        <v>0.55135135135135127</v>
      </c>
      <c r="AJ424" s="7">
        <v>510</v>
      </c>
      <c r="AK424" s="6">
        <f>1-AB424/AJ424</f>
        <v>0.34901960784313724</v>
      </c>
      <c r="AL424" s="4">
        <f>AJ424-AB424</f>
        <v>178</v>
      </c>
      <c r="AM424" s="28"/>
      <c r="AN424" s="6"/>
      <c r="AO424" s="6"/>
      <c r="AP424" s="6">
        <f>Z424/L424</f>
        <v>0.68918918918918914</v>
      </c>
      <c r="AQ424" s="6">
        <f>AJ424/M424</f>
        <v>1.0991379310344827</v>
      </c>
      <c r="AR424" s="6">
        <f>AB424/N424</f>
        <v>1</v>
      </c>
      <c r="AS424" s="4"/>
      <c r="AT424" s="4"/>
      <c r="AU424" s="4"/>
      <c r="AV424" s="4"/>
      <c r="AW424" s="4"/>
      <c r="AX424" s="4"/>
      <c r="AY424" s="4"/>
      <c r="AZ424" s="4"/>
      <c r="BA424" s="4"/>
      <c r="BB424" s="4">
        <v>0</v>
      </c>
      <c r="BC424" s="4" t="s">
        <v>3947</v>
      </c>
      <c r="BD424" s="4">
        <v>1</v>
      </c>
      <c r="BE424" s="4">
        <v>4</v>
      </c>
      <c r="BF424" s="4" t="s">
        <v>3933</v>
      </c>
      <c r="BG424" s="4">
        <v>2960</v>
      </c>
      <c r="BH424" s="4">
        <v>2960</v>
      </c>
      <c r="BI424" s="4">
        <f t="shared" si="75"/>
        <v>740</v>
      </c>
      <c r="BJ424" s="19">
        <v>4</v>
      </c>
      <c r="BK424" s="19">
        <v>8</v>
      </c>
      <c r="BL424" s="16">
        <v>6</v>
      </c>
      <c r="BM424" s="45" t="s">
        <v>3534</v>
      </c>
      <c r="BN424" t="s">
        <v>3534</v>
      </c>
      <c r="BO424" t="str">
        <f t="shared" si="68"/>
        <v>-</v>
      </c>
      <c r="BP424" t="s">
        <v>3534</v>
      </c>
      <c r="BQ424">
        <v>664</v>
      </c>
      <c r="BR424">
        <f t="shared" si="69"/>
        <v>664</v>
      </c>
      <c r="BS424" t="s">
        <v>2856</v>
      </c>
    </row>
    <row r="425" spans="1:71" x14ac:dyDescent="0.4">
      <c r="A425" s="3">
        <v>422</v>
      </c>
      <c r="B425" s="3">
        <v>422</v>
      </c>
      <c r="C425" s="4" t="s">
        <v>484</v>
      </c>
      <c r="D425" s="4" t="str">
        <f t="shared" si="70"/>
        <v>J425MX</v>
      </c>
      <c r="E425" s="4" t="s">
        <v>484</v>
      </c>
      <c r="F425" s="4" t="s">
        <v>1702</v>
      </c>
      <c r="G425" s="5">
        <v>4521718113234</v>
      </c>
      <c r="H425" s="5"/>
      <c r="I425" s="5"/>
      <c r="J425" s="5">
        <v>1</v>
      </c>
      <c r="K425" s="5">
        <v>1</v>
      </c>
      <c r="L425" s="4">
        <v>910</v>
      </c>
      <c r="M425" s="4">
        <v>832</v>
      </c>
      <c r="N425" s="4">
        <v>640</v>
      </c>
      <c r="O425" s="6">
        <f t="shared" si="71"/>
        <v>0.23076923076923073</v>
      </c>
      <c r="P425" s="4" t="s">
        <v>2500</v>
      </c>
      <c r="Q425" s="4"/>
      <c r="R425" s="4"/>
      <c r="S425" s="4"/>
      <c r="T425" s="4"/>
      <c r="U425" s="4"/>
      <c r="V425" s="4"/>
      <c r="W425" s="4"/>
      <c r="X425" s="4"/>
      <c r="Y425" s="4">
        <v>91</v>
      </c>
      <c r="Z425" s="4">
        <f t="shared" si="72"/>
        <v>910</v>
      </c>
      <c r="AA425" s="4">
        <v>64</v>
      </c>
      <c r="AB425" s="4">
        <f t="shared" si="73"/>
        <v>640</v>
      </c>
      <c r="AC425" s="4">
        <v>10</v>
      </c>
      <c r="AD425" s="21">
        <f>ROUND(M425*AR425,0)</f>
        <v>832</v>
      </c>
      <c r="AE425" s="6">
        <f>1-AB425/AD425</f>
        <v>0.23076923076923073</v>
      </c>
      <c r="AF425" s="33">
        <v>1</v>
      </c>
      <c r="AG425" s="4">
        <f t="shared" si="74"/>
        <v>1460</v>
      </c>
      <c r="AH425" s="33">
        <f t="shared" si="67"/>
        <v>1460</v>
      </c>
      <c r="AI425" s="6">
        <f>1-AB425/AH425</f>
        <v>0.56164383561643838</v>
      </c>
      <c r="AJ425" s="7">
        <v>910</v>
      </c>
      <c r="AK425" s="6">
        <f>1-AB425/AJ425</f>
        <v>0.29670329670329665</v>
      </c>
      <c r="AL425" s="4">
        <f>AJ425-AB425</f>
        <v>270</v>
      </c>
      <c r="AM425" s="28"/>
      <c r="AN425" s="6"/>
      <c r="AO425" s="6"/>
      <c r="AP425" s="6">
        <f>Z425/L425</f>
        <v>1</v>
      </c>
      <c r="AQ425" s="6">
        <f>AJ425/M425</f>
        <v>1.09375</v>
      </c>
      <c r="AR425" s="6">
        <f>AB425/N425</f>
        <v>1</v>
      </c>
      <c r="AS425" s="4"/>
      <c r="AT425" s="4"/>
      <c r="AU425" s="4"/>
      <c r="AV425" s="4"/>
      <c r="AW425" s="4"/>
      <c r="AX425" s="4"/>
      <c r="AY425" s="4"/>
      <c r="AZ425" s="4"/>
      <c r="BA425" s="4"/>
      <c r="BB425" s="4">
        <v>0</v>
      </c>
      <c r="BC425" s="4" t="s">
        <v>3948</v>
      </c>
      <c r="BD425" s="4">
        <v>10</v>
      </c>
      <c r="BE425" s="4">
        <v>20</v>
      </c>
      <c r="BF425" s="4" t="s">
        <v>3926</v>
      </c>
      <c r="BG425" s="4">
        <v>2920</v>
      </c>
      <c r="BH425" s="4">
        <v>2920</v>
      </c>
      <c r="BI425" s="4">
        <f t="shared" si="75"/>
        <v>1460</v>
      </c>
      <c r="BJ425" s="19">
        <v>4</v>
      </c>
      <c r="BK425" s="19">
        <v>8</v>
      </c>
      <c r="BL425" s="16">
        <v>6</v>
      </c>
      <c r="BM425" s="45" t="s">
        <v>3534</v>
      </c>
      <c r="BN425" t="s">
        <v>3534</v>
      </c>
      <c r="BO425" t="str">
        <f t="shared" si="68"/>
        <v>-</v>
      </c>
      <c r="BP425" t="s">
        <v>3534</v>
      </c>
      <c r="BQ425">
        <v>91</v>
      </c>
      <c r="BR425">
        <f t="shared" si="69"/>
        <v>91</v>
      </c>
      <c r="BS425" t="s">
        <v>2857</v>
      </c>
    </row>
    <row r="426" spans="1:71" x14ac:dyDescent="0.4">
      <c r="A426" s="3">
        <v>423</v>
      </c>
      <c r="B426" s="3">
        <v>423</v>
      </c>
      <c r="C426" s="4" t="s">
        <v>485</v>
      </c>
      <c r="D426" s="4" t="str">
        <f t="shared" si="70"/>
        <v>J425WL</v>
      </c>
      <c r="E426" s="4" t="s">
        <v>485</v>
      </c>
      <c r="F426" s="4" t="s">
        <v>1703</v>
      </c>
      <c r="G426" s="5">
        <v>4521718191690</v>
      </c>
      <c r="H426" s="5"/>
      <c r="I426" s="5"/>
      <c r="J426" s="5">
        <v>1</v>
      </c>
      <c r="K426" s="5">
        <v>1</v>
      </c>
      <c r="L426" s="4">
        <v>620</v>
      </c>
      <c r="M426" s="4">
        <v>496</v>
      </c>
      <c r="N426" s="4">
        <v>278</v>
      </c>
      <c r="O426" s="6">
        <f t="shared" si="71"/>
        <v>0.43951612903225812</v>
      </c>
      <c r="P426" s="4" t="s">
        <v>2500</v>
      </c>
      <c r="Q426" s="4"/>
      <c r="R426" s="4"/>
      <c r="S426" s="4"/>
      <c r="T426" s="4"/>
      <c r="U426" s="4"/>
      <c r="V426" s="4"/>
      <c r="W426" s="4"/>
      <c r="X426" s="4"/>
      <c r="Y426" s="4">
        <v>428</v>
      </c>
      <c r="Z426" s="4">
        <f t="shared" si="72"/>
        <v>428</v>
      </c>
      <c r="AA426" s="4">
        <v>278</v>
      </c>
      <c r="AB426" s="4">
        <f t="shared" si="73"/>
        <v>278</v>
      </c>
      <c r="AC426" s="4"/>
      <c r="AD426" s="21">
        <f>ROUND(M426*AR426,0)</f>
        <v>496</v>
      </c>
      <c r="AE426" s="6">
        <f>1-AB426/AD426</f>
        <v>0.43951612903225812</v>
      </c>
      <c r="AF426" s="33">
        <v>0</v>
      </c>
      <c r="AG426" s="4" t="str">
        <f t="shared" si="74"/>
        <v>-</v>
      </c>
      <c r="AH426" s="33" t="e">
        <f t="shared" si="67"/>
        <v>#VALUE!</v>
      </c>
      <c r="AI426" s="6" t="e">
        <f>1-AB426/AH426</f>
        <v>#VALUE!</v>
      </c>
      <c r="AJ426" s="7">
        <f>ROUND(AB426/0.65,0)</f>
        <v>428</v>
      </c>
      <c r="AK426" s="6">
        <f>1-AB426/AJ426</f>
        <v>0.35046728971962615</v>
      </c>
      <c r="AL426" s="4">
        <f>AJ426-AB426</f>
        <v>150</v>
      </c>
      <c r="AM426" s="28"/>
      <c r="AN426" s="6"/>
      <c r="AO426" s="6"/>
      <c r="AP426" s="6">
        <f>Z426/L426</f>
        <v>0.69032258064516128</v>
      </c>
      <c r="AQ426" s="6">
        <f>AJ426/M426</f>
        <v>0.86290322580645162</v>
      </c>
      <c r="AR426" s="6">
        <f>AB426/N426</f>
        <v>1</v>
      </c>
      <c r="AS426" s="4"/>
      <c r="AT426" s="4"/>
      <c r="AU426" s="4"/>
      <c r="AV426" s="4"/>
      <c r="AW426" s="4"/>
      <c r="AX426" s="4"/>
      <c r="AY426" s="4"/>
      <c r="AZ426" s="4"/>
      <c r="BA426" s="4"/>
      <c r="BB426" s="4">
        <v>0</v>
      </c>
      <c r="BC426" s="4" t="s">
        <v>3534</v>
      </c>
      <c r="BD426" s="4"/>
      <c r="BE426" s="4"/>
      <c r="BF426" s="4" t="s">
        <v>3534</v>
      </c>
      <c r="BG426" s="4" t="s">
        <v>3534</v>
      </c>
      <c r="BH426" s="4" t="s">
        <v>3534</v>
      </c>
      <c r="BI426" s="4" t="str">
        <f t="shared" si="75"/>
        <v>-</v>
      </c>
      <c r="BJ426" s="19">
        <v>4</v>
      </c>
      <c r="BK426" s="19">
        <v>8</v>
      </c>
      <c r="BL426" s="16">
        <v>6</v>
      </c>
      <c r="BM426" s="45" t="s">
        <v>3534</v>
      </c>
      <c r="BN426" t="s">
        <v>3534</v>
      </c>
      <c r="BO426" t="str">
        <f t="shared" si="68"/>
        <v>-</v>
      </c>
      <c r="BP426" t="s">
        <v>3534</v>
      </c>
      <c r="BQ426" t="s">
        <v>3534</v>
      </c>
      <c r="BR426" t="str">
        <f t="shared" si="69"/>
        <v>-</v>
      </c>
      <c r="BS426" t="s">
        <v>3534</v>
      </c>
    </row>
    <row r="427" spans="1:71" x14ac:dyDescent="0.4">
      <c r="A427" s="3">
        <v>424</v>
      </c>
      <c r="B427" s="3">
        <v>424</v>
      </c>
      <c r="C427" s="4" t="s">
        <v>486</v>
      </c>
      <c r="D427" s="4" t="str">
        <f t="shared" si="70"/>
        <v>J4257R</v>
      </c>
      <c r="E427" s="4" t="s">
        <v>486</v>
      </c>
      <c r="F427" s="4" t="s">
        <v>1704</v>
      </c>
      <c r="G427" s="5">
        <v>4521718212463</v>
      </c>
      <c r="H427" s="5"/>
      <c r="I427" s="5"/>
      <c r="J427" s="5">
        <v>1</v>
      </c>
      <c r="K427" s="5">
        <v>1</v>
      </c>
      <c r="L427" s="4">
        <v>810</v>
      </c>
      <c r="M427" s="4">
        <v>557</v>
      </c>
      <c r="N427" s="4">
        <v>363</v>
      </c>
      <c r="O427" s="6">
        <f t="shared" si="71"/>
        <v>0.348294434470377</v>
      </c>
      <c r="P427" s="4" t="s">
        <v>2500</v>
      </c>
      <c r="Q427" s="4"/>
      <c r="R427" s="4"/>
      <c r="S427" s="4"/>
      <c r="T427" s="4"/>
      <c r="U427" s="4"/>
      <c r="V427" s="4"/>
      <c r="W427" s="4"/>
      <c r="X427" s="4"/>
      <c r="Y427" s="4">
        <v>519</v>
      </c>
      <c r="Z427" s="4">
        <f t="shared" si="72"/>
        <v>519</v>
      </c>
      <c r="AA427" s="4">
        <v>363</v>
      </c>
      <c r="AB427" s="4">
        <f t="shared" si="73"/>
        <v>363</v>
      </c>
      <c r="AC427" s="4"/>
      <c r="AD427" s="21">
        <f>ROUND(M427*AR427,0)</f>
        <v>557</v>
      </c>
      <c r="AE427" s="6">
        <f>1-AB427/AD427</f>
        <v>0.348294434470377</v>
      </c>
      <c r="AF427" s="33">
        <v>0</v>
      </c>
      <c r="AG427" s="4">
        <f t="shared" si="74"/>
        <v>519</v>
      </c>
      <c r="AH427" s="33">
        <f t="shared" si="67"/>
        <v>519</v>
      </c>
      <c r="AI427" s="6">
        <f>1-AB427/AH427</f>
        <v>0.30057803468208089</v>
      </c>
      <c r="AJ427" s="7">
        <v>519</v>
      </c>
      <c r="AK427" s="6">
        <f>1-AB427/AJ427</f>
        <v>0.30057803468208089</v>
      </c>
      <c r="AL427" s="4">
        <f>AJ427-AB427</f>
        <v>156</v>
      </c>
      <c r="AM427" s="28"/>
      <c r="AN427" s="6"/>
      <c r="AO427" s="6"/>
      <c r="AP427" s="6">
        <f>Z427/L427</f>
        <v>0.64074074074074072</v>
      </c>
      <c r="AQ427" s="6">
        <f>AJ427/M427</f>
        <v>0.93177737881508083</v>
      </c>
      <c r="AR427" s="6">
        <f>AB427/N427</f>
        <v>1</v>
      </c>
      <c r="AS427" s="4"/>
      <c r="AT427" s="4"/>
      <c r="AU427" s="4"/>
      <c r="AV427" s="4"/>
      <c r="AW427" s="4"/>
      <c r="AX427" s="4"/>
      <c r="AY427" s="4"/>
      <c r="AZ427" s="4"/>
      <c r="BA427" s="4"/>
      <c r="BB427" s="4">
        <v>0</v>
      </c>
      <c r="BC427" s="4" t="s">
        <v>3949</v>
      </c>
      <c r="BD427" s="4"/>
      <c r="BE427" s="4"/>
      <c r="BF427" s="4" t="s">
        <v>3545</v>
      </c>
      <c r="BG427" s="4">
        <v>519</v>
      </c>
      <c r="BH427" s="4">
        <v>519</v>
      </c>
      <c r="BI427" s="4">
        <f t="shared" si="75"/>
        <v>519</v>
      </c>
      <c r="BJ427" s="19">
        <v>4</v>
      </c>
      <c r="BK427" s="19">
        <v>8</v>
      </c>
      <c r="BL427" s="16">
        <v>6</v>
      </c>
      <c r="BM427" s="45" t="s">
        <v>3534</v>
      </c>
      <c r="BN427" t="s">
        <v>3534</v>
      </c>
      <c r="BO427" t="str">
        <f t="shared" si="68"/>
        <v>-</v>
      </c>
      <c r="BP427" t="s">
        <v>3534</v>
      </c>
      <c r="BQ427">
        <v>816</v>
      </c>
      <c r="BR427">
        <f t="shared" si="69"/>
        <v>816</v>
      </c>
      <c r="BS427" t="s">
        <v>2858</v>
      </c>
    </row>
    <row r="428" spans="1:71" x14ac:dyDescent="0.4">
      <c r="A428" s="3">
        <v>425</v>
      </c>
      <c r="B428" s="3">
        <v>425</v>
      </c>
      <c r="C428" s="4" t="s">
        <v>487</v>
      </c>
      <c r="D428" s="4" t="str">
        <f t="shared" si="70"/>
        <v>J4258R</v>
      </c>
      <c r="E428" s="4" t="s">
        <v>487</v>
      </c>
      <c r="F428" s="4" t="s">
        <v>1705</v>
      </c>
      <c r="G428" s="5">
        <v>4521718214047</v>
      </c>
      <c r="H428" s="5"/>
      <c r="I428" s="5"/>
      <c r="J428" s="5">
        <v>1</v>
      </c>
      <c r="K428" s="5">
        <v>1</v>
      </c>
      <c r="L428" s="4">
        <v>540</v>
      </c>
      <c r="M428" s="4">
        <v>326</v>
      </c>
      <c r="N428" s="4">
        <v>242</v>
      </c>
      <c r="O428" s="6">
        <f t="shared" si="71"/>
        <v>0.25766871165644167</v>
      </c>
      <c r="P428" s="4" t="s">
        <v>2500</v>
      </c>
      <c r="Q428" s="4"/>
      <c r="R428" s="4"/>
      <c r="S428" s="4"/>
      <c r="T428" s="4"/>
      <c r="U428" s="4"/>
      <c r="V428" s="4"/>
      <c r="W428" s="4"/>
      <c r="X428" s="4"/>
      <c r="Y428" s="4">
        <v>373</v>
      </c>
      <c r="Z428" s="4">
        <f t="shared" si="72"/>
        <v>373</v>
      </c>
      <c r="AA428" s="4">
        <v>242</v>
      </c>
      <c r="AB428" s="4">
        <f t="shared" si="73"/>
        <v>242</v>
      </c>
      <c r="AC428" s="4"/>
      <c r="AD428" s="21">
        <f>ROUND(M428*AR428,0)</f>
        <v>326</v>
      </c>
      <c r="AE428" s="6">
        <f>1-AB428/AD428</f>
        <v>0.25766871165644167</v>
      </c>
      <c r="AF428" s="33">
        <v>0</v>
      </c>
      <c r="AG428" s="4">
        <f t="shared" si="74"/>
        <v>490</v>
      </c>
      <c r="AH428" s="33">
        <f t="shared" si="67"/>
        <v>490</v>
      </c>
      <c r="AI428" s="6">
        <f>1-AB428/AH428</f>
        <v>0.50612244897959191</v>
      </c>
      <c r="AJ428" s="7">
        <f>ROUND(AB428/0.65,0)</f>
        <v>372</v>
      </c>
      <c r="AK428" s="6">
        <f>1-AB428/AJ428</f>
        <v>0.34946236559139787</v>
      </c>
      <c r="AL428" s="4">
        <f>AJ428-AB428</f>
        <v>130</v>
      </c>
      <c r="AM428" s="28"/>
      <c r="AN428" s="6"/>
      <c r="AO428" s="6"/>
      <c r="AP428" s="6">
        <f>Z428/L428</f>
        <v>0.69074074074074077</v>
      </c>
      <c r="AQ428" s="6">
        <f>AJ428/M428</f>
        <v>1.1411042944785277</v>
      </c>
      <c r="AR428" s="6">
        <f>AB428/N428</f>
        <v>1</v>
      </c>
      <c r="AS428" s="4"/>
      <c r="AT428" s="4"/>
      <c r="AU428" s="4"/>
      <c r="AV428" s="4"/>
      <c r="AW428" s="4"/>
      <c r="AX428" s="4"/>
      <c r="AY428" s="4"/>
      <c r="AZ428" s="4"/>
      <c r="BA428" s="4"/>
      <c r="BB428" s="4">
        <v>0</v>
      </c>
      <c r="BC428" s="4" t="s">
        <v>3950</v>
      </c>
      <c r="BD428" s="4">
        <v>1</v>
      </c>
      <c r="BE428" s="4">
        <v>3</v>
      </c>
      <c r="BF428" s="4" t="s">
        <v>3914</v>
      </c>
      <c r="BG428" s="4">
        <v>1470</v>
      </c>
      <c r="BH428" s="4">
        <v>1470</v>
      </c>
      <c r="BI428" s="4">
        <f t="shared" si="75"/>
        <v>490</v>
      </c>
      <c r="BJ428" s="19">
        <v>4</v>
      </c>
      <c r="BK428" s="19">
        <v>8</v>
      </c>
      <c r="BL428" s="16">
        <v>6</v>
      </c>
      <c r="BM428" s="45" t="s">
        <v>3534</v>
      </c>
      <c r="BN428" t="s">
        <v>3534</v>
      </c>
      <c r="BO428" t="str">
        <f t="shared" si="68"/>
        <v>-</v>
      </c>
      <c r="BP428" t="s">
        <v>3534</v>
      </c>
      <c r="BQ428">
        <v>490</v>
      </c>
      <c r="BR428">
        <f t="shared" si="69"/>
        <v>490</v>
      </c>
      <c r="BS428" t="s">
        <v>2859</v>
      </c>
    </row>
    <row r="429" spans="1:71" x14ac:dyDescent="0.4">
      <c r="A429" s="3">
        <v>426</v>
      </c>
      <c r="B429" s="3">
        <v>426</v>
      </c>
      <c r="C429" s="4" t="s">
        <v>488</v>
      </c>
      <c r="D429" s="4" t="str">
        <f t="shared" si="70"/>
        <v>J4260R</v>
      </c>
      <c r="E429" s="4" t="s">
        <v>488</v>
      </c>
      <c r="F429" s="4" t="s">
        <v>1706</v>
      </c>
      <c r="G429" s="5">
        <v>4521718212845</v>
      </c>
      <c r="H429" s="5"/>
      <c r="I429" s="5"/>
      <c r="J429" s="5">
        <v>1</v>
      </c>
      <c r="K429" s="5">
        <v>1</v>
      </c>
      <c r="L429" s="4">
        <v>310</v>
      </c>
      <c r="M429" s="4">
        <v>191</v>
      </c>
      <c r="N429" s="4">
        <v>137</v>
      </c>
      <c r="O429" s="6">
        <f t="shared" si="71"/>
        <v>0.2827225130890052</v>
      </c>
      <c r="P429" s="4" t="s">
        <v>2500</v>
      </c>
      <c r="Q429" s="4"/>
      <c r="R429" s="4"/>
      <c r="S429" s="4"/>
      <c r="T429" s="4"/>
      <c r="U429" s="4"/>
      <c r="V429" s="4"/>
      <c r="W429" s="4"/>
      <c r="X429" s="4"/>
      <c r="Y429" s="4">
        <v>210</v>
      </c>
      <c r="Z429" s="4">
        <f t="shared" si="72"/>
        <v>210</v>
      </c>
      <c r="AA429" s="4">
        <v>137</v>
      </c>
      <c r="AB429" s="4">
        <f t="shared" si="73"/>
        <v>137</v>
      </c>
      <c r="AC429" s="4"/>
      <c r="AD429" s="21">
        <f>ROUND(M429*AR429,0)</f>
        <v>191</v>
      </c>
      <c r="AE429" s="6">
        <f>1-AB429/AD429</f>
        <v>0.2827225130890052</v>
      </c>
      <c r="AF429" s="33">
        <v>0</v>
      </c>
      <c r="AG429" s="4">
        <f t="shared" si="74"/>
        <v>290</v>
      </c>
      <c r="AH429" s="33">
        <f t="shared" si="67"/>
        <v>290</v>
      </c>
      <c r="AI429" s="6">
        <f>1-AB429/AH429</f>
        <v>0.52758620689655178</v>
      </c>
      <c r="AJ429" s="7">
        <v>210</v>
      </c>
      <c r="AK429" s="6">
        <f>1-AB429/AJ429</f>
        <v>0.34761904761904761</v>
      </c>
      <c r="AL429" s="4">
        <f>AJ429-AB429</f>
        <v>73</v>
      </c>
      <c r="AM429" s="28"/>
      <c r="AN429" s="6"/>
      <c r="AO429" s="6"/>
      <c r="AP429" s="6">
        <f>Z429/L429</f>
        <v>0.67741935483870963</v>
      </c>
      <c r="AQ429" s="6">
        <f>AJ429/M429</f>
        <v>1.0994764397905759</v>
      </c>
      <c r="AR429" s="6">
        <f>AB429/N429</f>
        <v>1</v>
      </c>
      <c r="AS429" s="4"/>
      <c r="AT429" s="4"/>
      <c r="AU429" s="4"/>
      <c r="AV429" s="4"/>
      <c r="AW429" s="4"/>
      <c r="AX429" s="4"/>
      <c r="AY429" s="4"/>
      <c r="AZ429" s="4"/>
      <c r="BA429" s="4"/>
      <c r="BB429" s="4">
        <v>0</v>
      </c>
      <c r="BC429" s="4" t="s">
        <v>3951</v>
      </c>
      <c r="BD429" s="4">
        <v>1</v>
      </c>
      <c r="BE429" s="4">
        <v>5</v>
      </c>
      <c r="BF429" s="4" t="s">
        <v>3939</v>
      </c>
      <c r="BG429" s="4">
        <v>1450</v>
      </c>
      <c r="BH429" s="4">
        <v>1450</v>
      </c>
      <c r="BI429" s="4">
        <f t="shared" si="75"/>
        <v>290</v>
      </c>
      <c r="BJ429" s="19">
        <v>4</v>
      </c>
      <c r="BK429" s="19">
        <v>8</v>
      </c>
      <c r="BL429" s="16">
        <v>6</v>
      </c>
      <c r="BM429" s="45" t="s">
        <v>3534</v>
      </c>
      <c r="BN429" t="s">
        <v>3534</v>
      </c>
      <c r="BO429" t="str">
        <f t="shared" si="68"/>
        <v>-</v>
      </c>
      <c r="BP429" t="s">
        <v>3534</v>
      </c>
      <c r="BQ429">
        <v>290</v>
      </c>
      <c r="BR429">
        <f t="shared" si="69"/>
        <v>290</v>
      </c>
      <c r="BS429" t="s">
        <v>2860</v>
      </c>
    </row>
    <row r="430" spans="1:71" x14ac:dyDescent="0.4">
      <c r="A430" s="3">
        <v>427</v>
      </c>
      <c r="B430" s="3">
        <v>427</v>
      </c>
      <c r="C430" s="4" t="s">
        <v>489</v>
      </c>
      <c r="D430" s="4" t="str">
        <f t="shared" si="70"/>
        <v>J4261R</v>
      </c>
      <c r="E430" s="4" t="s">
        <v>489</v>
      </c>
      <c r="F430" s="4" t="s">
        <v>1707</v>
      </c>
      <c r="G430" s="5">
        <v>4521718119762</v>
      </c>
      <c r="H430" s="5"/>
      <c r="I430" s="5"/>
      <c r="J430" s="5">
        <v>1</v>
      </c>
      <c r="K430" s="5">
        <v>1</v>
      </c>
      <c r="L430" s="4">
        <v>450</v>
      </c>
      <c r="M430" s="4">
        <v>283</v>
      </c>
      <c r="N430" s="4">
        <v>202</v>
      </c>
      <c r="O430" s="6">
        <f t="shared" si="71"/>
        <v>0.28621908127208484</v>
      </c>
      <c r="P430" s="4" t="s">
        <v>2500</v>
      </c>
      <c r="Q430" s="4"/>
      <c r="R430" s="4"/>
      <c r="S430" s="4"/>
      <c r="T430" s="4"/>
      <c r="U430" s="4"/>
      <c r="V430" s="4"/>
      <c r="W430" s="4"/>
      <c r="X430" s="4"/>
      <c r="Y430" s="4">
        <v>346</v>
      </c>
      <c r="Z430" s="4">
        <f t="shared" si="72"/>
        <v>346</v>
      </c>
      <c r="AA430" s="4">
        <v>225</v>
      </c>
      <c r="AB430" s="4">
        <f t="shared" si="73"/>
        <v>225</v>
      </c>
      <c r="AC430" s="4"/>
      <c r="AD430" s="21">
        <f>ROUND(M430*AR430,0)</f>
        <v>315</v>
      </c>
      <c r="AE430" s="6">
        <f>1-AB430/AD430</f>
        <v>0.2857142857142857</v>
      </c>
      <c r="AF430" s="33">
        <v>0.25</v>
      </c>
      <c r="AG430" s="4">
        <f t="shared" si="74"/>
        <v>410</v>
      </c>
      <c r="AH430" s="33">
        <f t="shared" si="67"/>
        <v>456.68316831683171</v>
      </c>
      <c r="AI430" s="6">
        <f>1-AB430/AH430</f>
        <v>0.50731707317073171</v>
      </c>
      <c r="AJ430" s="7">
        <v>346</v>
      </c>
      <c r="AK430" s="6">
        <f>1-AB430/AJ430</f>
        <v>0.3497109826589595</v>
      </c>
      <c r="AL430" s="4">
        <f>AJ430-AB430</f>
        <v>121</v>
      </c>
      <c r="AM430" s="28"/>
      <c r="AN430" s="6"/>
      <c r="AO430" s="6"/>
      <c r="AP430" s="6">
        <f>Z430/L430</f>
        <v>0.76888888888888884</v>
      </c>
      <c r="AQ430" s="6">
        <f>AJ430/M430</f>
        <v>1.2226148409893993</v>
      </c>
      <c r="AR430" s="6">
        <f>AB430/N430</f>
        <v>1.113861386138614</v>
      </c>
      <c r="AS430" s="4"/>
      <c r="AT430" s="4"/>
      <c r="AU430" s="4"/>
      <c r="AV430" s="4"/>
      <c r="AW430" s="4"/>
      <c r="AX430" s="4"/>
      <c r="AY430" s="4"/>
      <c r="AZ430" s="4"/>
      <c r="BA430" s="4"/>
      <c r="BB430" s="4">
        <v>0</v>
      </c>
      <c r="BC430" s="4" t="s">
        <v>3952</v>
      </c>
      <c r="BD430" s="4">
        <v>1</v>
      </c>
      <c r="BE430" s="4">
        <v>8</v>
      </c>
      <c r="BF430" s="4" t="s">
        <v>3953</v>
      </c>
      <c r="BG430" s="4">
        <v>3280</v>
      </c>
      <c r="BH430" s="4">
        <v>3280</v>
      </c>
      <c r="BI430" s="4">
        <f t="shared" si="75"/>
        <v>410</v>
      </c>
      <c r="BJ430" s="19">
        <v>4</v>
      </c>
      <c r="BK430" s="19">
        <v>8</v>
      </c>
      <c r="BL430" s="16">
        <v>6</v>
      </c>
      <c r="BM430" s="45" t="s">
        <v>3534</v>
      </c>
      <c r="BN430" t="s">
        <v>3534</v>
      </c>
      <c r="BO430" t="str">
        <f t="shared" si="68"/>
        <v>-</v>
      </c>
      <c r="BP430" t="s">
        <v>3534</v>
      </c>
      <c r="BQ430">
        <v>390</v>
      </c>
      <c r="BR430">
        <f t="shared" si="69"/>
        <v>434.40594059405947</v>
      </c>
      <c r="BS430" t="s">
        <v>2861</v>
      </c>
    </row>
    <row r="431" spans="1:71" x14ac:dyDescent="0.4">
      <c r="A431" s="3">
        <v>428</v>
      </c>
      <c r="B431" s="3">
        <v>428</v>
      </c>
      <c r="C431" s="4" t="s">
        <v>490</v>
      </c>
      <c r="D431" s="4" t="str">
        <f t="shared" si="70"/>
        <v>J4262R</v>
      </c>
      <c r="E431" s="4" t="s">
        <v>490</v>
      </c>
      <c r="F431" s="4" t="s">
        <v>1708</v>
      </c>
      <c r="G431" s="5">
        <v>4521718212548</v>
      </c>
      <c r="H431" s="5"/>
      <c r="I431" s="5"/>
      <c r="J431" s="5">
        <v>1</v>
      </c>
      <c r="K431" s="5">
        <v>1</v>
      </c>
      <c r="L431" s="4">
        <v>560</v>
      </c>
      <c r="M431" s="4">
        <v>333</v>
      </c>
      <c r="N431" s="4">
        <v>248</v>
      </c>
      <c r="O431" s="6">
        <f t="shared" si="71"/>
        <v>0.25525525525525528</v>
      </c>
      <c r="P431" s="4" t="s">
        <v>2500</v>
      </c>
      <c r="Q431" s="4"/>
      <c r="R431" s="4"/>
      <c r="S431" s="4"/>
      <c r="T431" s="4"/>
      <c r="U431" s="4"/>
      <c r="V431" s="4"/>
      <c r="W431" s="4"/>
      <c r="X431" s="4"/>
      <c r="Y431" s="4">
        <v>382</v>
      </c>
      <c r="Z431" s="4">
        <f t="shared" si="72"/>
        <v>382</v>
      </c>
      <c r="AA431" s="4">
        <v>248</v>
      </c>
      <c r="AB431" s="4">
        <f t="shared" si="73"/>
        <v>248</v>
      </c>
      <c r="AC431" s="4"/>
      <c r="AD431" s="21">
        <f>ROUND(M431*AR431,0)</f>
        <v>333</v>
      </c>
      <c r="AE431" s="6">
        <f>1-AB431/AD431</f>
        <v>0.25525525525525528</v>
      </c>
      <c r="AF431" s="33">
        <v>0</v>
      </c>
      <c r="AG431" s="4">
        <f t="shared" si="74"/>
        <v>560</v>
      </c>
      <c r="AH431" s="33">
        <f t="shared" si="67"/>
        <v>560</v>
      </c>
      <c r="AI431" s="6">
        <f>1-AB431/AH431</f>
        <v>0.55714285714285716</v>
      </c>
      <c r="AJ431" s="7">
        <f>ROUND(AB431/0.65,0)</f>
        <v>382</v>
      </c>
      <c r="AK431" s="6">
        <f>1-AB431/AJ431</f>
        <v>0.35078534031413611</v>
      </c>
      <c r="AL431" s="4">
        <f>AJ431-AB431</f>
        <v>134</v>
      </c>
      <c r="AM431" s="28"/>
      <c r="AN431" s="6"/>
      <c r="AO431" s="6"/>
      <c r="AP431" s="6">
        <f>Z431/L431</f>
        <v>0.68214285714285716</v>
      </c>
      <c r="AQ431" s="6">
        <f>AJ431/M431</f>
        <v>1.1471471471471471</v>
      </c>
      <c r="AR431" s="6">
        <f>AB431/N431</f>
        <v>1</v>
      </c>
      <c r="AS431" s="4"/>
      <c r="AT431" s="4"/>
      <c r="AU431" s="4"/>
      <c r="AV431" s="4"/>
      <c r="AW431" s="4"/>
      <c r="AX431" s="4"/>
      <c r="AY431" s="4"/>
      <c r="AZ431" s="4"/>
      <c r="BA431" s="4"/>
      <c r="BB431" s="4">
        <v>0</v>
      </c>
      <c r="BC431" s="4" t="s">
        <v>3954</v>
      </c>
      <c r="BD431" s="4">
        <v>1</v>
      </c>
      <c r="BE431" s="4">
        <v>6</v>
      </c>
      <c r="BF431" s="4" t="s">
        <v>3935</v>
      </c>
      <c r="BG431" s="4">
        <v>3360</v>
      </c>
      <c r="BH431" s="4">
        <v>3360</v>
      </c>
      <c r="BI431" s="4">
        <f t="shared" si="75"/>
        <v>560</v>
      </c>
      <c r="BJ431" s="19">
        <v>4</v>
      </c>
      <c r="BK431" s="19">
        <v>8</v>
      </c>
      <c r="BL431" s="16">
        <v>6</v>
      </c>
      <c r="BM431" s="45" t="s">
        <v>3534</v>
      </c>
      <c r="BN431" t="s">
        <v>3534</v>
      </c>
      <c r="BO431" t="str">
        <f t="shared" si="68"/>
        <v>-</v>
      </c>
      <c r="BP431" t="s">
        <v>3534</v>
      </c>
      <c r="BQ431">
        <v>560</v>
      </c>
      <c r="BR431">
        <f t="shared" si="69"/>
        <v>560</v>
      </c>
      <c r="BS431" t="s">
        <v>2862</v>
      </c>
    </row>
    <row r="432" spans="1:71" x14ac:dyDescent="0.4">
      <c r="A432" s="3">
        <v>429</v>
      </c>
      <c r="B432" s="3">
        <v>429</v>
      </c>
      <c r="C432" s="4" t="s">
        <v>491</v>
      </c>
      <c r="D432" s="4" t="str">
        <f t="shared" si="70"/>
        <v>J4263R</v>
      </c>
      <c r="E432" s="4" t="s">
        <v>491</v>
      </c>
      <c r="F432" s="4" t="s">
        <v>1709</v>
      </c>
      <c r="G432" s="5">
        <v>4521718212531</v>
      </c>
      <c r="H432" s="5"/>
      <c r="I432" s="5"/>
      <c r="J432" s="5">
        <v>1</v>
      </c>
      <c r="K432" s="5">
        <v>1</v>
      </c>
      <c r="L432" s="4">
        <v>540</v>
      </c>
      <c r="M432" s="4">
        <v>338</v>
      </c>
      <c r="N432" s="4">
        <v>242</v>
      </c>
      <c r="O432" s="6">
        <f t="shared" si="71"/>
        <v>0.28402366863905326</v>
      </c>
      <c r="P432" s="4" t="s">
        <v>2500</v>
      </c>
      <c r="Q432" s="4"/>
      <c r="R432" s="4"/>
      <c r="S432" s="4"/>
      <c r="T432" s="4"/>
      <c r="U432" s="4"/>
      <c r="V432" s="4"/>
      <c r="W432" s="4"/>
      <c r="X432" s="4"/>
      <c r="Y432" s="4">
        <v>373</v>
      </c>
      <c r="Z432" s="4">
        <f t="shared" si="72"/>
        <v>373</v>
      </c>
      <c r="AA432" s="4">
        <v>242</v>
      </c>
      <c r="AB432" s="4">
        <f t="shared" si="73"/>
        <v>242</v>
      </c>
      <c r="AC432" s="4"/>
      <c r="AD432" s="21">
        <f>ROUND(M432*AR432,0)</f>
        <v>338</v>
      </c>
      <c r="AE432" s="6">
        <f>1-AB432/AD432</f>
        <v>0.28402366863905326</v>
      </c>
      <c r="AF432" s="33">
        <v>0</v>
      </c>
      <c r="AG432" s="4">
        <f t="shared" si="74"/>
        <v>545</v>
      </c>
      <c r="AH432" s="33">
        <f t="shared" si="67"/>
        <v>545</v>
      </c>
      <c r="AI432" s="6">
        <f>1-AB432/AH432</f>
        <v>0.55596330275229355</v>
      </c>
      <c r="AJ432" s="7">
        <f>ROUND(AB432/0.65,0)</f>
        <v>372</v>
      </c>
      <c r="AK432" s="6">
        <f>1-AB432/AJ432</f>
        <v>0.34946236559139787</v>
      </c>
      <c r="AL432" s="4">
        <f>AJ432-AB432</f>
        <v>130</v>
      </c>
      <c r="AM432" s="28"/>
      <c r="AN432" s="6"/>
      <c r="AO432" s="6"/>
      <c r="AP432" s="6">
        <f>Z432/L432</f>
        <v>0.69074074074074077</v>
      </c>
      <c r="AQ432" s="6">
        <f>AJ432/M432</f>
        <v>1.1005917159763314</v>
      </c>
      <c r="AR432" s="6">
        <f>AB432/N432</f>
        <v>1</v>
      </c>
      <c r="AS432" s="4"/>
      <c r="AT432" s="4"/>
      <c r="AU432" s="4"/>
      <c r="AV432" s="4"/>
      <c r="AW432" s="4"/>
      <c r="AX432" s="4"/>
      <c r="AY432" s="4"/>
      <c r="AZ432" s="4"/>
      <c r="BA432" s="4"/>
      <c r="BB432" s="4">
        <v>0</v>
      </c>
      <c r="BC432" s="4" t="s">
        <v>3955</v>
      </c>
      <c r="BD432" s="4">
        <v>1</v>
      </c>
      <c r="BE432" s="4">
        <v>6</v>
      </c>
      <c r="BF432" s="4" t="s">
        <v>3935</v>
      </c>
      <c r="BG432" s="4">
        <v>3270</v>
      </c>
      <c r="BH432" s="4">
        <v>3270</v>
      </c>
      <c r="BI432" s="4">
        <f t="shared" si="75"/>
        <v>545</v>
      </c>
      <c r="BJ432" s="19">
        <v>4</v>
      </c>
      <c r="BK432" s="19">
        <v>8</v>
      </c>
      <c r="BL432" s="16">
        <v>6</v>
      </c>
      <c r="BM432" s="45" t="s">
        <v>3534</v>
      </c>
      <c r="BN432" t="s">
        <v>3534</v>
      </c>
      <c r="BO432" t="str">
        <f t="shared" si="68"/>
        <v>-</v>
      </c>
      <c r="BP432" t="s">
        <v>3534</v>
      </c>
      <c r="BQ432">
        <v>540</v>
      </c>
      <c r="BR432">
        <f t="shared" si="69"/>
        <v>540</v>
      </c>
      <c r="BS432" t="s">
        <v>2863</v>
      </c>
    </row>
    <row r="433" spans="1:71" x14ac:dyDescent="0.4">
      <c r="A433" s="3">
        <v>430</v>
      </c>
      <c r="B433" s="3">
        <v>430</v>
      </c>
      <c r="C433" s="4" t="s">
        <v>492</v>
      </c>
      <c r="D433" s="4" t="str">
        <f t="shared" si="70"/>
        <v>J426MX</v>
      </c>
      <c r="E433" s="4" t="s">
        <v>492</v>
      </c>
      <c r="F433" s="4" t="s">
        <v>1710</v>
      </c>
      <c r="G433" s="5">
        <v>4521718113241</v>
      </c>
      <c r="H433" s="5"/>
      <c r="I433" s="5"/>
      <c r="J433" s="5">
        <v>1</v>
      </c>
      <c r="K433" s="5">
        <v>1</v>
      </c>
      <c r="L433" s="4">
        <v>910</v>
      </c>
      <c r="M433" s="4">
        <v>910</v>
      </c>
      <c r="N433" s="4">
        <v>640</v>
      </c>
      <c r="O433" s="6">
        <f t="shared" si="71"/>
        <v>0.29670329670329665</v>
      </c>
      <c r="P433" s="4" t="s">
        <v>2500</v>
      </c>
      <c r="Q433" s="4"/>
      <c r="R433" s="4"/>
      <c r="S433" s="4"/>
      <c r="T433" s="4"/>
      <c r="U433" s="4"/>
      <c r="V433" s="4"/>
      <c r="W433" s="4"/>
      <c r="X433" s="4"/>
      <c r="Y433" s="4">
        <v>91</v>
      </c>
      <c r="Z433" s="4">
        <f t="shared" si="72"/>
        <v>910</v>
      </c>
      <c r="AA433" s="4">
        <v>64</v>
      </c>
      <c r="AB433" s="4">
        <f t="shared" si="73"/>
        <v>640</v>
      </c>
      <c r="AC433" s="4">
        <v>10</v>
      </c>
      <c r="AD433" s="21">
        <f>ROUND(M433*AR433,0)</f>
        <v>910</v>
      </c>
      <c r="AE433" s="6">
        <f>1-AB433/AD433</f>
        <v>0.29670329670329665</v>
      </c>
      <c r="AF433" s="33">
        <v>0</v>
      </c>
      <c r="AG433" s="4">
        <f t="shared" si="74"/>
        <v>1460</v>
      </c>
      <c r="AH433" s="33">
        <f t="shared" si="67"/>
        <v>1460</v>
      </c>
      <c r="AI433" s="6">
        <f>1-AB433/AH433</f>
        <v>0.56164383561643838</v>
      </c>
      <c r="AJ433" s="7">
        <v>910</v>
      </c>
      <c r="AK433" s="6">
        <f>1-AB433/AJ433</f>
        <v>0.29670329670329665</v>
      </c>
      <c r="AL433" s="4">
        <f>AJ433-AB433</f>
        <v>270</v>
      </c>
      <c r="AM433" s="28"/>
      <c r="AN433" s="6"/>
      <c r="AO433" s="6"/>
      <c r="AP433" s="6">
        <f>Z433/L433</f>
        <v>1</v>
      </c>
      <c r="AQ433" s="6">
        <f>AJ433/M433</f>
        <v>1</v>
      </c>
      <c r="AR433" s="6">
        <f>AB433/N433</f>
        <v>1</v>
      </c>
      <c r="AS433" s="4"/>
      <c r="AT433" s="4"/>
      <c r="AU433" s="4"/>
      <c r="AV433" s="4"/>
      <c r="AW433" s="4"/>
      <c r="AX433" s="4"/>
      <c r="AY433" s="4"/>
      <c r="AZ433" s="4"/>
      <c r="BA433" s="4"/>
      <c r="BB433" s="4">
        <v>0</v>
      </c>
      <c r="BC433" s="4" t="s">
        <v>3956</v>
      </c>
      <c r="BD433" s="4">
        <v>10</v>
      </c>
      <c r="BE433" s="4">
        <v>20</v>
      </c>
      <c r="BF433" s="4" t="s">
        <v>3926</v>
      </c>
      <c r="BG433" s="4">
        <v>2920</v>
      </c>
      <c r="BH433" s="4">
        <v>2920</v>
      </c>
      <c r="BI433" s="4">
        <f t="shared" si="75"/>
        <v>1460</v>
      </c>
      <c r="BJ433" s="19">
        <v>4</v>
      </c>
      <c r="BK433" s="19">
        <v>8</v>
      </c>
      <c r="BL433" s="16">
        <v>6</v>
      </c>
      <c r="BM433" s="45" t="s">
        <v>3534</v>
      </c>
      <c r="BN433" t="s">
        <v>3534</v>
      </c>
      <c r="BO433" t="str">
        <f t="shared" si="68"/>
        <v>-</v>
      </c>
      <c r="BP433" t="s">
        <v>3534</v>
      </c>
      <c r="BQ433">
        <v>91</v>
      </c>
      <c r="BR433">
        <f t="shared" si="69"/>
        <v>91</v>
      </c>
      <c r="BS433" t="s">
        <v>2864</v>
      </c>
    </row>
    <row r="434" spans="1:71" x14ac:dyDescent="0.4">
      <c r="A434" s="3">
        <v>431</v>
      </c>
      <c r="B434" s="3">
        <v>431</v>
      </c>
      <c r="C434" s="4" t="s">
        <v>493</v>
      </c>
      <c r="D434" s="4" t="str">
        <f t="shared" si="70"/>
        <v>J426RR</v>
      </c>
      <c r="E434" s="4" t="s">
        <v>493</v>
      </c>
      <c r="F434" s="4" t="s">
        <v>1711</v>
      </c>
      <c r="G434" s="5">
        <v>4521718072708</v>
      </c>
      <c r="H434" s="5"/>
      <c r="I434" s="5"/>
      <c r="J434" s="5">
        <v>1</v>
      </c>
      <c r="K434" s="5">
        <v>1</v>
      </c>
      <c r="L434" s="4">
        <v>570</v>
      </c>
      <c r="M434" s="4">
        <v>368</v>
      </c>
      <c r="N434" s="4">
        <v>254</v>
      </c>
      <c r="O434" s="6">
        <f t="shared" si="71"/>
        <v>0.30978260869565222</v>
      </c>
      <c r="P434" s="4" t="s">
        <v>2500</v>
      </c>
      <c r="Q434" s="4"/>
      <c r="R434" s="4"/>
      <c r="S434" s="4"/>
      <c r="T434" s="4"/>
      <c r="U434" s="4"/>
      <c r="V434" s="4"/>
      <c r="W434" s="4"/>
      <c r="X434" s="4"/>
      <c r="Y434" s="4">
        <v>391</v>
      </c>
      <c r="Z434" s="4">
        <f t="shared" si="72"/>
        <v>391</v>
      </c>
      <c r="AA434" s="4">
        <v>254</v>
      </c>
      <c r="AB434" s="4">
        <f t="shared" si="73"/>
        <v>254</v>
      </c>
      <c r="AC434" s="4"/>
      <c r="AD434" s="21">
        <f>ROUND(M434*AR434,0)</f>
        <v>368</v>
      </c>
      <c r="AE434" s="6">
        <f>1-AB434/AD434</f>
        <v>0.30978260869565222</v>
      </c>
      <c r="AF434" s="33">
        <v>0</v>
      </c>
      <c r="AG434" s="4">
        <f t="shared" si="74"/>
        <v>437</v>
      </c>
      <c r="AH434" s="33">
        <f t="shared" si="67"/>
        <v>437</v>
      </c>
      <c r="AI434" s="6">
        <f>1-AB434/AH434</f>
        <v>0.41876430205949655</v>
      </c>
      <c r="AJ434" s="7">
        <f>ROUND(AB434/0.65,0)</f>
        <v>391</v>
      </c>
      <c r="AK434" s="6">
        <f>1-AB434/AJ434</f>
        <v>0.35038363171355502</v>
      </c>
      <c r="AL434" s="4">
        <f>AJ434-AB434</f>
        <v>137</v>
      </c>
      <c r="AM434" s="28"/>
      <c r="AN434" s="6"/>
      <c r="AO434" s="6"/>
      <c r="AP434" s="6">
        <f>Z434/L434</f>
        <v>0.68596491228070178</v>
      </c>
      <c r="AQ434" s="6">
        <f>AJ434/M434</f>
        <v>1.0625</v>
      </c>
      <c r="AR434" s="6">
        <f>AB434/N434</f>
        <v>1</v>
      </c>
      <c r="AS434" s="4"/>
      <c r="AT434" s="4"/>
      <c r="AU434" s="4"/>
      <c r="AV434" s="4"/>
      <c r="AW434" s="4"/>
      <c r="AX434" s="4"/>
      <c r="AY434" s="4"/>
      <c r="AZ434" s="4"/>
      <c r="BA434" s="4"/>
      <c r="BB434" s="4">
        <v>0</v>
      </c>
      <c r="BC434" s="4" t="s">
        <v>3957</v>
      </c>
      <c r="BD434" s="4"/>
      <c r="BE434" s="4"/>
      <c r="BF434" s="4" t="s">
        <v>3545</v>
      </c>
      <c r="BG434" s="4">
        <v>437</v>
      </c>
      <c r="BH434" s="4">
        <v>437</v>
      </c>
      <c r="BI434" s="4">
        <f t="shared" si="75"/>
        <v>437</v>
      </c>
      <c r="BJ434" s="19">
        <v>4</v>
      </c>
      <c r="BK434" s="19">
        <v>8</v>
      </c>
      <c r="BL434" s="16">
        <v>6</v>
      </c>
      <c r="BM434" s="45" t="s">
        <v>3534</v>
      </c>
      <c r="BN434" t="s">
        <v>3534</v>
      </c>
      <c r="BO434" t="str">
        <f t="shared" si="68"/>
        <v>-</v>
      </c>
      <c r="BP434" t="s">
        <v>3534</v>
      </c>
      <c r="BQ434">
        <v>437</v>
      </c>
      <c r="BR434">
        <f t="shared" si="69"/>
        <v>437</v>
      </c>
      <c r="BS434" t="s">
        <v>2865</v>
      </c>
    </row>
    <row r="435" spans="1:71" x14ac:dyDescent="0.4">
      <c r="A435" s="3">
        <v>432</v>
      </c>
      <c r="B435" s="3">
        <v>432</v>
      </c>
      <c r="C435" s="4" t="s">
        <v>494</v>
      </c>
      <c r="D435" s="4" t="str">
        <f t="shared" si="70"/>
        <v>J4264R</v>
      </c>
      <c r="E435" s="4" t="s">
        <v>494</v>
      </c>
      <c r="F435" s="4" t="s">
        <v>1712</v>
      </c>
      <c r="G435" s="5">
        <v>4521718212838</v>
      </c>
      <c r="H435" s="5"/>
      <c r="I435" s="5"/>
      <c r="J435" s="5">
        <v>1</v>
      </c>
      <c r="K435" s="5">
        <v>1</v>
      </c>
      <c r="L435" s="4">
        <v>460</v>
      </c>
      <c r="M435" s="4">
        <v>272</v>
      </c>
      <c r="N435" s="4">
        <v>204</v>
      </c>
      <c r="O435" s="6">
        <f t="shared" si="71"/>
        <v>0.25</v>
      </c>
      <c r="P435" s="4" t="s">
        <v>2500</v>
      </c>
      <c r="Q435" s="4"/>
      <c r="R435" s="4"/>
      <c r="S435" s="4"/>
      <c r="T435" s="4"/>
      <c r="U435" s="4"/>
      <c r="V435" s="4"/>
      <c r="W435" s="4"/>
      <c r="X435" s="4"/>
      <c r="Y435" s="4">
        <v>291</v>
      </c>
      <c r="Z435" s="4">
        <f t="shared" si="72"/>
        <v>291</v>
      </c>
      <c r="AA435" s="4">
        <v>204</v>
      </c>
      <c r="AB435" s="4">
        <f t="shared" si="73"/>
        <v>204</v>
      </c>
      <c r="AC435" s="4"/>
      <c r="AD435" s="21">
        <f>ROUND(M435*AR435,0)</f>
        <v>272</v>
      </c>
      <c r="AE435" s="6">
        <f>1-AB435/AD435</f>
        <v>0.25</v>
      </c>
      <c r="AF435" s="33">
        <v>0</v>
      </c>
      <c r="AG435" s="4">
        <f t="shared" si="74"/>
        <v>620</v>
      </c>
      <c r="AH435" s="33">
        <f t="shared" si="67"/>
        <v>620</v>
      </c>
      <c r="AI435" s="6">
        <f>1-AB435/AH435</f>
        <v>0.67096774193548381</v>
      </c>
      <c r="AJ435" s="7">
        <v>291</v>
      </c>
      <c r="AK435" s="6">
        <f>1-AB435/AJ435</f>
        <v>0.2989690721649485</v>
      </c>
      <c r="AL435" s="4">
        <f>AJ435-AB435</f>
        <v>87</v>
      </c>
      <c r="AM435" s="28"/>
      <c r="AN435" s="6"/>
      <c r="AO435" s="6"/>
      <c r="AP435" s="6">
        <f>Z435/L435</f>
        <v>0.63260869565217392</v>
      </c>
      <c r="AQ435" s="6">
        <f>AJ435/M435</f>
        <v>1.0698529411764706</v>
      </c>
      <c r="AR435" s="6">
        <f>AB435/N435</f>
        <v>1</v>
      </c>
      <c r="AS435" s="4"/>
      <c r="AT435" s="4"/>
      <c r="AU435" s="4"/>
      <c r="AV435" s="4"/>
      <c r="AW435" s="4"/>
      <c r="AX435" s="4"/>
      <c r="AY435" s="4"/>
      <c r="AZ435" s="4"/>
      <c r="BA435" s="4"/>
      <c r="BB435" s="4">
        <v>0</v>
      </c>
      <c r="BC435" s="4" t="s">
        <v>3958</v>
      </c>
      <c r="BD435" s="4">
        <v>1</v>
      </c>
      <c r="BE435" s="4">
        <v>3</v>
      </c>
      <c r="BF435" s="4" t="s">
        <v>3914</v>
      </c>
      <c r="BG435" s="4">
        <v>1860</v>
      </c>
      <c r="BH435" s="4">
        <v>1860</v>
      </c>
      <c r="BI435" s="4">
        <f t="shared" si="75"/>
        <v>620</v>
      </c>
      <c r="BJ435" s="19">
        <v>4</v>
      </c>
      <c r="BK435" s="19">
        <v>8</v>
      </c>
      <c r="BL435" s="16">
        <v>6</v>
      </c>
      <c r="BM435" s="45" t="s">
        <v>3534</v>
      </c>
      <c r="BN435" t="s">
        <v>3534</v>
      </c>
      <c r="BO435" t="str">
        <f t="shared" si="68"/>
        <v>-</v>
      </c>
      <c r="BP435" t="s">
        <v>3534</v>
      </c>
      <c r="BQ435">
        <v>620</v>
      </c>
      <c r="BR435">
        <f t="shared" si="69"/>
        <v>620</v>
      </c>
      <c r="BS435" t="s">
        <v>2866</v>
      </c>
    </row>
    <row r="436" spans="1:71" x14ac:dyDescent="0.4">
      <c r="A436" s="3">
        <v>433</v>
      </c>
      <c r="B436" s="3">
        <v>433</v>
      </c>
      <c r="C436" s="4" t="s">
        <v>495</v>
      </c>
      <c r="D436" s="4" t="str">
        <f t="shared" si="70"/>
        <v>J4265R</v>
      </c>
      <c r="E436" s="4" t="s">
        <v>495</v>
      </c>
      <c r="F436" s="4" t="s">
        <v>1713</v>
      </c>
      <c r="G436" s="5">
        <v>4521718213040</v>
      </c>
      <c r="H436" s="5"/>
      <c r="I436" s="5"/>
      <c r="J436" s="5">
        <v>1</v>
      </c>
      <c r="K436" s="5">
        <v>1</v>
      </c>
      <c r="L436" s="4">
        <v>700</v>
      </c>
      <c r="M436" s="4">
        <v>414</v>
      </c>
      <c r="N436" s="4">
        <v>312</v>
      </c>
      <c r="O436" s="6">
        <f t="shared" si="71"/>
        <v>0.24637681159420288</v>
      </c>
      <c r="P436" s="4" t="s">
        <v>2500</v>
      </c>
      <c r="Q436" s="4"/>
      <c r="R436" s="4"/>
      <c r="S436" s="4"/>
      <c r="T436" s="4"/>
      <c r="U436" s="4"/>
      <c r="V436" s="4"/>
      <c r="W436" s="4"/>
      <c r="X436" s="4"/>
      <c r="Y436" s="4">
        <v>446</v>
      </c>
      <c r="Z436" s="4">
        <f t="shared" si="72"/>
        <v>446</v>
      </c>
      <c r="AA436" s="4">
        <v>312</v>
      </c>
      <c r="AB436" s="4">
        <f t="shared" si="73"/>
        <v>312</v>
      </c>
      <c r="AC436" s="4"/>
      <c r="AD436" s="21">
        <f>ROUND(M436*AR436,0)</f>
        <v>414</v>
      </c>
      <c r="AE436" s="6">
        <f>1-AB436/AD436</f>
        <v>0.24637681159420288</v>
      </c>
      <c r="AF436" s="33">
        <v>0</v>
      </c>
      <c r="AG436" s="4">
        <f t="shared" si="74"/>
        <v>940</v>
      </c>
      <c r="AH436" s="33">
        <f t="shared" si="67"/>
        <v>940</v>
      </c>
      <c r="AI436" s="6">
        <f>1-AB436/AH436</f>
        <v>0.66808510638297869</v>
      </c>
      <c r="AJ436" s="7">
        <v>446</v>
      </c>
      <c r="AK436" s="6">
        <f>1-AB436/AJ436</f>
        <v>0.30044843049327352</v>
      </c>
      <c r="AL436" s="4">
        <f>AJ436-AB436</f>
        <v>134</v>
      </c>
      <c r="AM436" s="28"/>
      <c r="AN436" s="6"/>
      <c r="AO436" s="6"/>
      <c r="AP436" s="6">
        <f>Z436/L436</f>
        <v>0.63714285714285712</v>
      </c>
      <c r="AQ436" s="6">
        <f>AJ436/M436</f>
        <v>1.0772946859903381</v>
      </c>
      <c r="AR436" s="6">
        <f>AB436/N436</f>
        <v>1</v>
      </c>
      <c r="AS436" s="4"/>
      <c r="AT436" s="4"/>
      <c r="AU436" s="4"/>
      <c r="AV436" s="4"/>
      <c r="AW436" s="4"/>
      <c r="AX436" s="4"/>
      <c r="AY436" s="4"/>
      <c r="AZ436" s="4"/>
      <c r="BA436" s="4"/>
      <c r="BB436" s="4">
        <v>0</v>
      </c>
      <c r="BC436" s="4" t="s">
        <v>3959</v>
      </c>
      <c r="BD436" s="4">
        <v>1</v>
      </c>
      <c r="BE436" s="4">
        <v>4</v>
      </c>
      <c r="BF436" s="4" t="s">
        <v>3933</v>
      </c>
      <c r="BG436" s="4">
        <v>3760</v>
      </c>
      <c r="BH436" s="4">
        <v>3760</v>
      </c>
      <c r="BI436" s="4">
        <f t="shared" si="75"/>
        <v>940</v>
      </c>
      <c r="BJ436" s="19">
        <v>4</v>
      </c>
      <c r="BK436" s="19">
        <v>8</v>
      </c>
      <c r="BL436" s="16">
        <v>6</v>
      </c>
      <c r="BM436" s="45" t="s">
        <v>3534</v>
      </c>
      <c r="BN436" t="s">
        <v>3534</v>
      </c>
      <c r="BO436" t="str">
        <f t="shared" si="68"/>
        <v>-</v>
      </c>
      <c r="BP436" t="s">
        <v>3534</v>
      </c>
      <c r="BQ436">
        <v>750</v>
      </c>
      <c r="BR436">
        <f t="shared" si="69"/>
        <v>750</v>
      </c>
      <c r="BS436" t="s">
        <v>2867</v>
      </c>
    </row>
    <row r="437" spans="1:71" x14ac:dyDescent="0.4">
      <c r="A437" s="3">
        <v>434</v>
      </c>
      <c r="B437" s="3">
        <v>434</v>
      </c>
      <c r="C437" s="4" t="s">
        <v>496</v>
      </c>
      <c r="D437" s="4" t="str">
        <f t="shared" si="70"/>
        <v>J4267R</v>
      </c>
      <c r="E437" s="4" t="s">
        <v>496</v>
      </c>
      <c r="F437" s="4" t="s">
        <v>1714</v>
      </c>
      <c r="G437" s="5">
        <v>4521718212760</v>
      </c>
      <c r="H437" s="5"/>
      <c r="I437" s="5"/>
      <c r="J437" s="5">
        <v>1</v>
      </c>
      <c r="K437" s="5">
        <v>1</v>
      </c>
      <c r="L437" s="4">
        <v>680</v>
      </c>
      <c r="M437" s="4">
        <v>428</v>
      </c>
      <c r="N437" s="4">
        <v>302</v>
      </c>
      <c r="O437" s="6">
        <f t="shared" si="71"/>
        <v>0.29439252336448596</v>
      </c>
      <c r="P437" s="4" t="s">
        <v>2500</v>
      </c>
      <c r="Q437" s="4"/>
      <c r="R437" s="4"/>
      <c r="S437" s="4"/>
      <c r="T437" s="4"/>
      <c r="U437" s="4"/>
      <c r="V437" s="4"/>
      <c r="W437" s="4"/>
      <c r="X437" s="4"/>
      <c r="Y437" s="4">
        <v>464</v>
      </c>
      <c r="Z437" s="4">
        <f t="shared" si="72"/>
        <v>464</v>
      </c>
      <c r="AA437" s="4">
        <v>302</v>
      </c>
      <c r="AB437" s="4">
        <f t="shared" si="73"/>
        <v>302</v>
      </c>
      <c r="AC437" s="4"/>
      <c r="AD437" s="21">
        <f>ROUND(M437*AR437,0)</f>
        <v>428</v>
      </c>
      <c r="AE437" s="6">
        <f>1-AB437/AD437</f>
        <v>0.29439252336448596</v>
      </c>
      <c r="AF437" s="33">
        <v>0</v>
      </c>
      <c r="AG437" s="4">
        <f t="shared" si="74"/>
        <v>680</v>
      </c>
      <c r="AH437" s="33">
        <f t="shared" si="67"/>
        <v>680</v>
      </c>
      <c r="AI437" s="6">
        <f>1-AB437/AH437</f>
        <v>0.55588235294117649</v>
      </c>
      <c r="AJ437" s="7">
        <v>464</v>
      </c>
      <c r="AK437" s="6">
        <f>1-AB437/AJ437</f>
        <v>0.34913793103448276</v>
      </c>
      <c r="AL437" s="4">
        <f>AJ437-AB437</f>
        <v>162</v>
      </c>
      <c r="AM437" s="28"/>
      <c r="AN437" s="6"/>
      <c r="AO437" s="6"/>
      <c r="AP437" s="6">
        <f>Z437/L437</f>
        <v>0.68235294117647061</v>
      </c>
      <c r="AQ437" s="6">
        <f>AJ437/M437</f>
        <v>1.0841121495327102</v>
      </c>
      <c r="AR437" s="6">
        <f>AB437/N437</f>
        <v>1</v>
      </c>
      <c r="AS437" s="4"/>
      <c r="AT437" s="4"/>
      <c r="AU437" s="4"/>
      <c r="AV437" s="4"/>
      <c r="AW437" s="4"/>
      <c r="AX437" s="4"/>
      <c r="AY437" s="4"/>
      <c r="AZ437" s="4"/>
      <c r="BA437" s="4"/>
      <c r="BB437" s="4">
        <v>0</v>
      </c>
      <c r="BC437" s="4" t="s">
        <v>3960</v>
      </c>
      <c r="BD437" s="4">
        <v>1</v>
      </c>
      <c r="BE437" s="4">
        <v>3</v>
      </c>
      <c r="BF437" s="4" t="s">
        <v>3914</v>
      </c>
      <c r="BG437" s="4">
        <v>2040</v>
      </c>
      <c r="BH437" s="4">
        <v>2040</v>
      </c>
      <c r="BI437" s="4">
        <f t="shared" si="75"/>
        <v>680</v>
      </c>
      <c r="BJ437" s="19">
        <v>4</v>
      </c>
      <c r="BK437" s="19">
        <v>8</v>
      </c>
      <c r="BL437" s="16">
        <v>6</v>
      </c>
      <c r="BM437" s="45" t="s">
        <v>3534</v>
      </c>
      <c r="BN437" t="s">
        <v>3534</v>
      </c>
      <c r="BO437" t="str">
        <f t="shared" si="68"/>
        <v>-</v>
      </c>
      <c r="BP437" t="s">
        <v>3534</v>
      </c>
      <c r="BQ437">
        <v>677</v>
      </c>
      <c r="BR437">
        <f t="shared" si="69"/>
        <v>677</v>
      </c>
      <c r="BS437" t="s">
        <v>2868</v>
      </c>
    </row>
    <row r="438" spans="1:71" x14ac:dyDescent="0.4">
      <c r="A438" s="3">
        <v>435</v>
      </c>
      <c r="B438" s="3">
        <v>435</v>
      </c>
      <c r="C438" s="4" t="s">
        <v>497</v>
      </c>
      <c r="D438" s="4" t="str">
        <f t="shared" si="70"/>
        <v>J426WL</v>
      </c>
      <c r="E438" s="4" t="s">
        <v>497</v>
      </c>
      <c r="F438" s="4" t="s">
        <v>1715</v>
      </c>
      <c r="G438" s="5">
        <v>4521718191706</v>
      </c>
      <c r="H438" s="5"/>
      <c r="I438" s="5"/>
      <c r="J438" s="5">
        <v>1</v>
      </c>
      <c r="K438" s="5">
        <v>1</v>
      </c>
      <c r="L438" s="4">
        <v>700</v>
      </c>
      <c r="M438" s="4">
        <v>560</v>
      </c>
      <c r="N438" s="4">
        <v>313</v>
      </c>
      <c r="O438" s="6">
        <f t="shared" si="71"/>
        <v>0.44107142857142856</v>
      </c>
      <c r="P438" s="4" t="s">
        <v>2500</v>
      </c>
      <c r="Q438" s="4"/>
      <c r="R438" s="4"/>
      <c r="S438" s="4"/>
      <c r="T438" s="4"/>
      <c r="U438" s="4"/>
      <c r="V438" s="4"/>
      <c r="W438" s="4"/>
      <c r="X438" s="4"/>
      <c r="Y438" s="4">
        <v>482</v>
      </c>
      <c r="Z438" s="4">
        <f t="shared" si="72"/>
        <v>482</v>
      </c>
      <c r="AA438" s="4">
        <v>313</v>
      </c>
      <c r="AB438" s="4">
        <f t="shared" si="73"/>
        <v>313</v>
      </c>
      <c r="AC438" s="4"/>
      <c r="AD438" s="21">
        <f>ROUND(M438*AR438,0)</f>
        <v>560</v>
      </c>
      <c r="AE438" s="6">
        <f>1-AB438/AD438</f>
        <v>0.44107142857142856</v>
      </c>
      <c r="AF438" s="33">
        <v>0</v>
      </c>
      <c r="AG438" s="4" t="str">
        <f t="shared" si="74"/>
        <v>-</v>
      </c>
      <c r="AH438" s="33" t="e">
        <f t="shared" si="67"/>
        <v>#VALUE!</v>
      </c>
      <c r="AI438" s="6" t="e">
        <f>1-AB438/AH438</f>
        <v>#VALUE!</v>
      </c>
      <c r="AJ438" s="7">
        <f>ROUND(AB438/0.65,0)</f>
        <v>482</v>
      </c>
      <c r="AK438" s="6">
        <f>1-AB438/AJ438</f>
        <v>0.35062240663900412</v>
      </c>
      <c r="AL438" s="4">
        <f>AJ438-AB438</f>
        <v>169</v>
      </c>
      <c r="AM438" s="28"/>
      <c r="AN438" s="6"/>
      <c r="AO438" s="6"/>
      <c r="AP438" s="6">
        <f>Z438/L438</f>
        <v>0.68857142857142861</v>
      </c>
      <c r="AQ438" s="6">
        <f>AJ438/M438</f>
        <v>0.86071428571428577</v>
      </c>
      <c r="AR438" s="6">
        <f>AB438/N438</f>
        <v>1</v>
      </c>
      <c r="AS438" s="4"/>
      <c r="AT438" s="4"/>
      <c r="AU438" s="4"/>
      <c r="AV438" s="4"/>
      <c r="AW438" s="4"/>
      <c r="AX438" s="4"/>
      <c r="AY438" s="4"/>
      <c r="AZ438" s="4"/>
      <c r="BA438" s="4"/>
      <c r="BB438" s="4">
        <v>0</v>
      </c>
      <c r="BC438" s="4" t="s">
        <v>3534</v>
      </c>
      <c r="BD438" s="4"/>
      <c r="BE438" s="4"/>
      <c r="BF438" s="4" t="s">
        <v>3534</v>
      </c>
      <c r="BG438" s="4" t="s">
        <v>3534</v>
      </c>
      <c r="BH438" s="4" t="s">
        <v>3534</v>
      </c>
      <c r="BI438" s="4" t="str">
        <f t="shared" si="75"/>
        <v>-</v>
      </c>
      <c r="BJ438" s="19">
        <v>4</v>
      </c>
      <c r="BK438" s="19">
        <v>8</v>
      </c>
      <c r="BL438" s="16">
        <v>6</v>
      </c>
      <c r="BM438" s="45" t="s">
        <v>3534</v>
      </c>
      <c r="BN438" t="s">
        <v>3534</v>
      </c>
      <c r="BO438" t="str">
        <f t="shared" si="68"/>
        <v>-</v>
      </c>
      <c r="BP438" t="s">
        <v>3534</v>
      </c>
      <c r="BQ438" t="s">
        <v>3534</v>
      </c>
      <c r="BR438" t="str">
        <f t="shared" si="69"/>
        <v>-</v>
      </c>
      <c r="BS438" t="s">
        <v>3534</v>
      </c>
    </row>
    <row r="439" spans="1:71" x14ac:dyDescent="0.4">
      <c r="A439" s="3">
        <v>436</v>
      </c>
      <c r="B439" s="3">
        <v>436</v>
      </c>
      <c r="C439" s="4" t="s">
        <v>498</v>
      </c>
      <c r="D439" s="4" t="str">
        <f t="shared" si="70"/>
        <v>J4268R</v>
      </c>
      <c r="E439" s="4" t="s">
        <v>498</v>
      </c>
      <c r="F439" s="4" t="s">
        <v>1716</v>
      </c>
      <c r="G439" s="5">
        <v>4521718212852</v>
      </c>
      <c r="H439" s="5"/>
      <c r="I439" s="5"/>
      <c r="J439" s="5">
        <v>1</v>
      </c>
      <c r="K439" s="5">
        <v>1</v>
      </c>
      <c r="L439" s="4">
        <v>700</v>
      </c>
      <c r="M439" s="4">
        <v>418</v>
      </c>
      <c r="N439" s="4">
        <v>312</v>
      </c>
      <c r="O439" s="6">
        <f t="shared" si="71"/>
        <v>0.25358851674641147</v>
      </c>
      <c r="P439" s="4" t="s">
        <v>2500</v>
      </c>
      <c r="Q439" s="4"/>
      <c r="R439" s="4"/>
      <c r="S439" s="4"/>
      <c r="T439" s="4"/>
      <c r="U439" s="4"/>
      <c r="V439" s="4"/>
      <c r="W439" s="4"/>
      <c r="X439" s="4"/>
      <c r="Y439" s="4">
        <v>700</v>
      </c>
      <c r="Z439" s="4">
        <f t="shared" si="72"/>
        <v>700</v>
      </c>
      <c r="AA439" s="4">
        <v>315</v>
      </c>
      <c r="AB439" s="4">
        <f t="shared" si="73"/>
        <v>315</v>
      </c>
      <c r="AC439" s="4"/>
      <c r="AD439" s="21">
        <f>ROUND(M439*AR439,0)</f>
        <v>422</v>
      </c>
      <c r="AE439" s="6">
        <f>1-AB439/AD439</f>
        <v>0.25355450236966826</v>
      </c>
      <c r="AF439" s="33">
        <v>0</v>
      </c>
      <c r="AG439" s="4">
        <f t="shared" si="74"/>
        <v>840</v>
      </c>
      <c r="AH439" s="33">
        <f t="shared" si="67"/>
        <v>848.07692307692309</v>
      </c>
      <c r="AI439" s="6">
        <f>1-AB439/AH439</f>
        <v>0.62857142857142856</v>
      </c>
      <c r="AJ439" s="7">
        <f>ROUND(AB439/0.65,0)</f>
        <v>485</v>
      </c>
      <c r="AK439" s="6">
        <f>1-AB439/AJ439</f>
        <v>0.35051546391752575</v>
      </c>
      <c r="AL439" s="4">
        <f>AJ439-AB439</f>
        <v>170</v>
      </c>
      <c r="AM439" s="28"/>
      <c r="AN439" s="6"/>
      <c r="AO439" s="6"/>
      <c r="AP439" s="6">
        <f>Z439/L439</f>
        <v>1</v>
      </c>
      <c r="AQ439" s="6">
        <f>AJ439/M439</f>
        <v>1.1602870813397128</v>
      </c>
      <c r="AR439" s="6">
        <f>AB439/N439</f>
        <v>1.0096153846153846</v>
      </c>
      <c r="AS439" s="4"/>
      <c r="AT439" s="4"/>
      <c r="AU439" s="4"/>
      <c r="AV439" s="4"/>
      <c r="AW439" s="4"/>
      <c r="AX439" s="4"/>
      <c r="AY439" s="4"/>
      <c r="AZ439" s="4"/>
      <c r="BA439" s="4"/>
      <c r="BB439" s="4">
        <v>0</v>
      </c>
      <c r="BC439" s="4" t="s">
        <v>3961</v>
      </c>
      <c r="BD439" s="4">
        <v>1</v>
      </c>
      <c r="BE439" s="4">
        <v>2</v>
      </c>
      <c r="BF439" s="4" t="s">
        <v>3962</v>
      </c>
      <c r="BG439" s="4">
        <v>1680</v>
      </c>
      <c r="BH439" s="4">
        <v>1680</v>
      </c>
      <c r="BI439" s="4">
        <f t="shared" si="75"/>
        <v>840</v>
      </c>
      <c r="BJ439" s="19">
        <v>4</v>
      </c>
      <c r="BK439" s="19">
        <v>8</v>
      </c>
      <c r="BL439" s="16">
        <v>6</v>
      </c>
      <c r="BM439" s="45" t="s">
        <v>3534</v>
      </c>
      <c r="BN439" t="s">
        <v>3534</v>
      </c>
      <c r="BO439" t="str">
        <f t="shared" si="68"/>
        <v>-</v>
      </c>
      <c r="BP439" t="s">
        <v>3534</v>
      </c>
      <c r="BQ439">
        <v>838</v>
      </c>
      <c r="BR439">
        <f t="shared" si="69"/>
        <v>846.05769230769226</v>
      </c>
      <c r="BS439" t="s">
        <v>2869</v>
      </c>
    </row>
    <row r="440" spans="1:71" x14ac:dyDescent="0.4">
      <c r="A440" s="3">
        <v>437</v>
      </c>
      <c r="B440" s="3">
        <v>437</v>
      </c>
      <c r="C440" s="4" t="s">
        <v>499</v>
      </c>
      <c r="D440" s="4" t="str">
        <f t="shared" si="70"/>
        <v>J4269R</v>
      </c>
      <c r="E440" s="4" t="s">
        <v>499</v>
      </c>
      <c r="F440" s="4" t="s">
        <v>1717</v>
      </c>
      <c r="G440" s="5">
        <v>4521718119304</v>
      </c>
      <c r="H440" s="5"/>
      <c r="I440" s="5"/>
      <c r="J440" s="5">
        <v>1</v>
      </c>
      <c r="K440" s="5">
        <v>1</v>
      </c>
      <c r="L440" s="4">
        <v>780</v>
      </c>
      <c r="M440" s="4">
        <v>466</v>
      </c>
      <c r="N440" s="4">
        <v>350</v>
      </c>
      <c r="O440" s="6">
        <f t="shared" si="71"/>
        <v>0.24892703862660948</v>
      </c>
      <c r="P440" s="4" t="s">
        <v>2500</v>
      </c>
      <c r="Q440" s="4"/>
      <c r="R440" s="4"/>
      <c r="S440" s="4"/>
      <c r="T440" s="4"/>
      <c r="U440" s="4"/>
      <c r="V440" s="4"/>
      <c r="W440" s="4"/>
      <c r="X440" s="4"/>
      <c r="Y440" s="4">
        <v>437</v>
      </c>
      <c r="Z440" s="4">
        <f t="shared" si="72"/>
        <v>437</v>
      </c>
      <c r="AA440" s="4">
        <v>306</v>
      </c>
      <c r="AB440" s="4">
        <f t="shared" si="73"/>
        <v>306</v>
      </c>
      <c r="AC440" s="4"/>
      <c r="AD440" s="21">
        <f>ROUND(M440*AR440,0)</f>
        <v>407</v>
      </c>
      <c r="AE440" s="6">
        <f>1-AB440/AD440</f>
        <v>0.24815724815724816</v>
      </c>
      <c r="AF440" s="33">
        <v>0</v>
      </c>
      <c r="AG440" s="4">
        <f t="shared" si="74"/>
        <v>630</v>
      </c>
      <c r="AH440" s="33">
        <f t="shared" si="67"/>
        <v>550.80000000000007</v>
      </c>
      <c r="AI440" s="6">
        <f>1-AB440/AH440</f>
        <v>0.44444444444444453</v>
      </c>
      <c r="AJ440" s="7">
        <v>437</v>
      </c>
      <c r="AK440" s="6">
        <f>1-AB440/AJ440</f>
        <v>0.29977116704805495</v>
      </c>
      <c r="AL440" s="4">
        <f>AJ440-AB440</f>
        <v>131</v>
      </c>
      <c r="AM440" s="28"/>
      <c r="AN440" s="6"/>
      <c r="AO440" s="6"/>
      <c r="AP440" s="6">
        <f>Z440/L440</f>
        <v>0.56025641025641026</v>
      </c>
      <c r="AQ440" s="6">
        <f>AJ440/M440</f>
        <v>0.9377682403433476</v>
      </c>
      <c r="AR440" s="6">
        <f>AB440/N440</f>
        <v>0.87428571428571433</v>
      </c>
      <c r="AS440" s="4"/>
      <c r="AT440" s="4"/>
      <c r="AU440" s="4"/>
      <c r="AV440" s="4"/>
      <c r="AW440" s="4"/>
      <c r="AX440" s="4"/>
      <c r="AY440" s="4"/>
      <c r="AZ440" s="4"/>
      <c r="BA440" s="4"/>
      <c r="BB440" s="4">
        <v>0</v>
      </c>
      <c r="BC440" s="4" t="s">
        <v>3963</v>
      </c>
      <c r="BD440" s="4">
        <v>1</v>
      </c>
      <c r="BE440" s="4">
        <v>4</v>
      </c>
      <c r="BF440" s="4" t="s">
        <v>3933</v>
      </c>
      <c r="BG440" s="4">
        <v>2520</v>
      </c>
      <c r="BH440" s="4">
        <v>2520</v>
      </c>
      <c r="BI440" s="4">
        <f t="shared" si="75"/>
        <v>630</v>
      </c>
      <c r="BJ440" s="19">
        <v>4</v>
      </c>
      <c r="BK440" s="19">
        <v>8</v>
      </c>
      <c r="BL440" s="16">
        <v>6</v>
      </c>
      <c r="BM440" s="45" t="s">
        <v>3534</v>
      </c>
      <c r="BN440" t="s">
        <v>3534</v>
      </c>
      <c r="BO440" t="str">
        <f t="shared" si="68"/>
        <v>-</v>
      </c>
      <c r="BP440" t="s">
        <v>3534</v>
      </c>
      <c r="BQ440">
        <v>700</v>
      </c>
      <c r="BR440">
        <f t="shared" si="69"/>
        <v>612</v>
      </c>
      <c r="BS440" t="s">
        <v>2870</v>
      </c>
    </row>
    <row r="441" spans="1:71" x14ac:dyDescent="0.4">
      <c r="A441" s="3">
        <v>438</v>
      </c>
      <c r="B441" s="3">
        <v>438</v>
      </c>
      <c r="C441" s="4" t="s">
        <v>500</v>
      </c>
      <c r="D441" s="4" t="str">
        <f t="shared" si="70"/>
        <v>J4271R</v>
      </c>
      <c r="E441" s="4" t="s">
        <v>500</v>
      </c>
      <c r="F441" s="4" t="s">
        <v>1718</v>
      </c>
      <c r="G441" s="5">
        <v>4521718212654</v>
      </c>
      <c r="H441" s="5"/>
      <c r="I441" s="5"/>
      <c r="J441" s="5">
        <v>1</v>
      </c>
      <c r="K441" s="5">
        <v>1</v>
      </c>
      <c r="L441" s="4">
        <v>1560</v>
      </c>
      <c r="M441" s="4">
        <v>1071</v>
      </c>
      <c r="N441" s="4">
        <v>700</v>
      </c>
      <c r="O441" s="6">
        <f t="shared" si="71"/>
        <v>0.34640522875816993</v>
      </c>
      <c r="P441" s="4" t="s">
        <v>2500</v>
      </c>
      <c r="Q441" s="4"/>
      <c r="R441" s="4"/>
      <c r="S441" s="4"/>
      <c r="T441" s="4"/>
      <c r="U441" s="4"/>
      <c r="V441" s="4"/>
      <c r="W441" s="4"/>
      <c r="X441" s="4"/>
      <c r="Y441" s="4">
        <v>1000</v>
      </c>
      <c r="Z441" s="4">
        <f t="shared" si="72"/>
        <v>1000</v>
      </c>
      <c r="AA441" s="4">
        <v>700</v>
      </c>
      <c r="AB441" s="4">
        <f t="shared" si="73"/>
        <v>700</v>
      </c>
      <c r="AC441" s="4"/>
      <c r="AD441" s="21">
        <f>ROUND(M441*AR441,0)</f>
        <v>1071</v>
      </c>
      <c r="AE441" s="6">
        <f>1-AB441/AD441</f>
        <v>0.34640522875816993</v>
      </c>
      <c r="AF441" s="33">
        <v>0</v>
      </c>
      <c r="AG441" s="4">
        <f t="shared" si="74"/>
        <v>1140</v>
      </c>
      <c r="AH441" s="33">
        <f t="shared" si="67"/>
        <v>1140</v>
      </c>
      <c r="AI441" s="6">
        <f>1-AB441/AH441</f>
        <v>0.38596491228070173</v>
      </c>
      <c r="AJ441" s="7">
        <v>1000</v>
      </c>
      <c r="AK441" s="6">
        <f>1-AB441/AJ441</f>
        <v>0.30000000000000004</v>
      </c>
      <c r="AL441" s="4">
        <f>AJ441-AB441</f>
        <v>300</v>
      </c>
      <c r="AM441" s="28"/>
      <c r="AN441" s="6"/>
      <c r="AO441" s="6"/>
      <c r="AP441" s="6">
        <f>Z441/L441</f>
        <v>0.64102564102564108</v>
      </c>
      <c r="AQ441" s="6">
        <f>AJ441/M441</f>
        <v>0.93370681605975725</v>
      </c>
      <c r="AR441" s="6">
        <f>AB441/N441</f>
        <v>1</v>
      </c>
      <c r="AS441" s="4"/>
      <c r="AT441" s="4"/>
      <c r="AU441" s="4"/>
      <c r="AV441" s="4"/>
      <c r="AW441" s="4"/>
      <c r="AX441" s="4"/>
      <c r="AY441" s="4"/>
      <c r="AZ441" s="4"/>
      <c r="BA441" s="4"/>
      <c r="BB441" s="4">
        <v>0</v>
      </c>
      <c r="BC441" s="4" t="s">
        <v>3964</v>
      </c>
      <c r="BD441" s="4">
        <v>1</v>
      </c>
      <c r="BE441" s="4">
        <v>2</v>
      </c>
      <c r="BF441" s="4" t="s">
        <v>3834</v>
      </c>
      <c r="BG441" s="4">
        <v>2280</v>
      </c>
      <c r="BH441" s="4">
        <v>2280</v>
      </c>
      <c r="BI441" s="4">
        <f t="shared" si="75"/>
        <v>1140</v>
      </c>
      <c r="BJ441" s="19">
        <v>4</v>
      </c>
      <c r="BK441" s="19">
        <v>8</v>
      </c>
      <c r="BL441" s="16">
        <v>6</v>
      </c>
      <c r="BM441" s="45" t="s">
        <v>3534</v>
      </c>
      <c r="BN441" t="s">
        <v>3534</v>
      </c>
      <c r="BO441" t="str">
        <f t="shared" si="68"/>
        <v>-</v>
      </c>
      <c r="BP441" t="s">
        <v>3534</v>
      </c>
      <c r="BQ441">
        <v>1197</v>
      </c>
      <c r="BR441">
        <f t="shared" si="69"/>
        <v>1197</v>
      </c>
      <c r="BS441" t="s">
        <v>2871</v>
      </c>
    </row>
    <row r="442" spans="1:71" x14ac:dyDescent="0.4">
      <c r="A442" s="3">
        <v>439</v>
      </c>
      <c r="B442" s="3">
        <v>439</v>
      </c>
      <c r="C442" s="4" t="s">
        <v>501</v>
      </c>
      <c r="D442" s="4" t="str">
        <f t="shared" si="70"/>
        <v>J4272R</v>
      </c>
      <c r="E442" s="4" t="s">
        <v>501</v>
      </c>
      <c r="F442" s="4" t="s">
        <v>1719</v>
      </c>
      <c r="G442" s="5">
        <v>4521718212753</v>
      </c>
      <c r="H442" s="5"/>
      <c r="I442" s="5"/>
      <c r="J442" s="5">
        <v>1</v>
      </c>
      <c r="K442" s="5">
        <v>1</v>
      </c>
      <c r="L442" s="4">
        <v>980</v>
      </c>
      <c r="M442" s="4">
        <v>585</v>
      </c>
      <c r="N442" s="4">
        <v>440</v>
      </c>
      <c r="O442" s="6">
        <f t="shared" si="71"/>
        <v>0.24786324786324787</v>
      </c>
      <c r="P442" s="4" t="s">
        <v>2500</v>
      </c>
      <c r="Q442" s="4"/>
      <c r="R442" s="4"/>
      <c r="S442" s="4"/>
      <c r="T442" s="4"/>
      <c r="U442" s="4"/>
      <c r="V442" s="4"/>
      <c r="W442" s="4"/>
      <c r="X442" s="4"/>
      <c r="Y442" s="4">
        <v>810</v>
      </c>
      <c r="Z442" s="4">
        <f t="shared" si="72"/>
        <v>810</v>
      </c>
      <c r="AA442" s="4">
        <v>567</v>
      </c>
      <c r="AB442" s="4">
        <f t="shared" si="73"/>
        <v>567</v>
      </c>
      <c r="AC442" s="4"/>
      <c r="AD442" s="21">
        <f>ROUND(M442*AR442,0)</f>
        <v>754</v>
      </c>
      <c r="AE442" s="6">
        <f>1-AB442/AD442</f>
        <v>0.24801061007957559</v>
      </c>
      <c r="AF442" s="33">
        <v>0.25</v>
      </c>
      <c r="AG442" s="4">
        <f t="shared" si="74"/>
        <v>980</v>
      </c>
      <c r="AH442" s="33">
        <f t="shared" si="67"/>
        <v>1262.8636363636363</v>
      </c>
      <c r="AI442" s="6">
        <f>1-AB442/AH442</f>
        <v>0.55102040816326525</v>
      </c>
      <c r="AJ442" s="7">
        <v>810</v>
      </c>
      <c r="AK442" s="6">
        <f>1-AB442/AJ442</f>
        <v>0.30000000000000004</v>
      </c>
      <c r="AL442" s="4">
        <f>AJ442-AB442</f>
        <v>243</v>
      </c>
      <c r="AM442" s="28"/>
      <c r="AN442" s="6"/>
      <c r="AO442" s="6"/>
      <c r="AP442" s="6">
        <f>Z442/L442</f>
        <v>0.82653061224489799</v>
      </c>
      <c r="AQ442" s="6">
        <f>AJ442/M442</f>
        <v>1.3846153846153846</v>
      </c>
      <c r="AR442" s="6">
        <f>AB442/N442</f>
        <v>1.2886363636363636</v>
      </c>
      <c r="AS442" s="4"/>
      <c r="AT442" s="4"/>
      <c r="AU442" s="4"/>
      <c r="AV442" s="4"/>
      <c r="AW442" s="4"/>
      <c r="AX442" s="4"/>
      <c r="AY442" s="4"/>
      <c r="AZ442" s="4"/>
      <c r="BA442" s="4"/>
      <c r="BB442" s="4">
        <v>0</v>
      </c>
      <c r="BC442" s="4" t="s">
        <v>3965</v>
      </c>
      <c r="BD442" s="4">
        <v>1</v>
      </c>
      <c r="BE442" s="4">
        <v>2</v>
      </c>
      <c r="BF442" s="4" t="s">
        <v>3962</v>
      </c>
      <c r="BG442" s="4">
        <v>1960</v>
      </c>
      <c r="BH442" s="4">
        <v>1960</v>
      </c>
      <c r="BI442" s="4">
        <f t="shared" si="75"/>
        <v>980</v>
      </c>
      <c r="BJ442" s="19">
        <v>4</v>
      </c>
      <c r="BK442" s="19">
        <v>8</v>
      </c>
      <c r="BL442" s="16">
        <v>6</v>
      </c>
      <c r="BM442" s="45" t="s">
        <v>3534</v>
      </c>
      <c r="BN442" t="s">
        <v>3534</v>
      </c>
      <c r="BO442" t="str">
        <f t="shared" si="68"/>
        <v>-</v>
      </c>
      <c r="BP442" t="s">
        <v>3534</v>
      </c>
      <c r="BQ442">
        <v>1004</v>
      </c>
      <c r="BR442">
        <f t="shared" si="69"/>
        <v>1293.7909090909091</v>
      </c>
      <c r="BS442" t="s">
        <v>2872</v>
      </c>
    </row>
    <row r="443" spans="1:71" x14ac:dyDescent="0.4">
      <c r="A443" s="3">
        <v>440</v>
      </c>
      <c r="B443" s="3">
        <v>440</v>
      </c>
      <c r="C443" s="4" t="s">
        <v>502</v>
      </c>
      <c r="D443" s="4" t="str">
        <f t="shared" si="70"/>
        <v>J4273R</v>
      </c>
      <c r="E443" s="4" t="s">
        <v>502</v>
      </c>
      <c r="F443" s="4" t="s">
        <v>1720</v>
      </c>
      <c r="G443" s="5">
        <v>4521718213408</v>
      </c>
      <c r="H443" s="5"/>
      <c r="I443" s="5"/>
      <c r="J443" s="5">
        <v>1</v>
      </c>
      <c r="K443" s="5">
        <v>1</v>
      </c>
      <c r="L443" s="4">
        <v>1020</v>
      </c>
      <c r="M443" s="4">
        <v>705</v>
      </c>
      <c r="N443" s="4">
        <v>459</v>
      </c>
      <c r="O443" s="6">
        <f t="shared" si="71"/>
        <v>0.34893617021276591</v>
      </c>
      <c r="P443" s="4" t="s">
        <v>2500</v>
      </c>
      <c r="Q443" s="4"/>
      <c r="R443" s="4"/>
      <c r="S443" s="4"/>
      <c r="T443" s="4"/>
      <c r="U443" s="4"/>
      <c r="V443" s="4"/>
      <c r="W443" s="4"/>
      <c r="X443" s="4"/>
      <c r="Y443" s="4">
        <v>655</v>
      </c>
      <c r="Z443" s="4">
        <f t="shared" si="72"/>
        <v>655</v>
      </c>
      <c r="AA443" s="4">
        <v>459</v>
      </c>
      <c r="AB443" s="4">
        <f t="shared" si="73"/>
        <v>459</v>
      </c>
      <c r="AC443" s="4"/>
      <c r="AD443" s="21">
        <f>ROUND(M443*AR443,0)</f>
        <v>705</v>
      </c>
      <c r="AE443" s="6">
        <f>1-AB443/AD443</f>
        <v>0.34893617021276591</v>
      </c>
      <c r="AF443" s="33">
        <v>0</v>
      </c>
      <c r="AG443" s="4">
        <f t="shared" si="74"/>
        <v>790</v>
      </c>
      <c r="AH443" s="33">
        <f t="shared" si="67"/>
        <v>790</v>
      </c>
      <c r="AI443" s="6">
        <f>1-AB443/AH443</f>
        <v>0.41898734177215191</v>
      </c>
      <c r="AJ443" s="7">
        <v>655</v>
      </c>
      <c r="AK443" s="6">
        <f>1-AB443/AJ443</f>
        <v>0.29923664122137406</v>
      </c>
      <c r="AL443" s="4">
        <f>AJ443-AB443</f>
        <v>196</v>
      </c>
      <c r="AM443" s="28"/>
      <c r="AN443" s="6"/>
      <c r="AO443" s="6"/>
      <c r="AP443" s="6">
        <f>Z443/L443</f>
        <v>0.64215686274509809</v>
      </c>
      <c r="AQ443" s="6">
        <f>AJ443/M443</f>
        <v>0.92907801418439717</v>
      </c>
      <c r="AR443" s="6">
        <f>AB443/N443</f>
        <v>1</v>
      </c>
      <c r="AS443" s="4"/>
      <c r="AT443" s="4"/>
      <c r="AU443" s="4"/>
      <c r="AV443" s="4"/>
      <c r="AW443" s="4"/>
      <c r="AX443" s="4"/>
      <c r="AY443" s="4"/>
      <c r="AZ443" s="4"/>
      <c r="BA443" s="4"/>
      <c r="BB443" s="4">
        <v>0</v>
      </c>
      <c r="BC443" s="4" t="s">
        <v>3966</v>
      </c>
      <c r="BD443" s="4">
        <v>1</v>
      </c>
      <c r="BE443" s="4">
        <v>4</v>
      </c>
      <c r="BF443" s="4" t="s">
        <v>3933</v>
      </c>
      <c r="BG443" s="4">
        <v>3160</v>
      </c>
      <c r="BH443" s="4">
        <v>3160</v>
      </c>
      <c r="BI443" s="4">
        <f t="shared" si="75"/>
        <v>790</v>
      </c>
      <c r="BJ443" s="19">
        <v>4</v>
      </c>
      <c r="BK443" s="19">
        <v>8</v>
      </c>
      <c r="BL443" s="16">
        <v>6</v>
      </c>
      <c r="BM443" s="45" t="s">
        <v>3534</v>
      </c>
      <c r="BN443" t="s">
        <v>3534</v>
      </c>
      <c r="BO443" t="str">
        <f t="shared" si="68"/>
        <v>-</v>
      </c>
      <c r="BP443" t="s">
        <v>3534</v>
      </c>
      <c r="BQ443">
        <v>825</v>
      </c>
      <c r="BR443">
        <f t="shared" si="69"/>
        <v>825</v>
      </c>
      <c r="BS443" t="s">
        <v>2873</v>
      </c>
    </row>
    <row r="444" spans="1:71" x14ac:dyDescent="0.4">
      <c r="A444" s="3">
        <v>441</v>
      </c>
      <c r="B444" s="3">
        <v>441</v>
      </c>
      <c r="C444" s="4" t="s">
        <v>503</v>
      </c>
      <c r="D444" s="4" t="str">
        <f t="shared" si="70"/>
        <v>J4274R</v>
      </c>
      <c r="E444" s="4" t="s">
        <v>503</v>
      </c>
      <c r="F444" s="4" t="s">
        <v>1721</v>
      </c>
      <c r="G444" s="5">
        <v>4521718212814</v>
      </c>
      <c r="H444" s="5"/>
      <c r="I444" s="5"/>
      <c r="J444" s="5">
        <v>1</v>
      </c>
      <c r="K444" s="5">
        <v>1</v>
      </c>
      <c r="L444" s="4">
        <v>300</v>
      </c>
      <c r="M444" s="4">
        <v>215</v>
      </c>
      <c r="N444" s="4">
        <v>154</v>
      </c>
      <c r="O444" s="6">
        <f t="shared" si="71"/>
        <v>0.28372093023255818</v>
      </c>
      <c r="P444" s="4" t="s">
        <v>2500</v>
      </c>
      <c r="Q444" s="4"/>
      <c r="R444" s="4"/>
      <c r="S444" s="4"/>
      <c r="T444" s="4"/>
      <c r="U444" s="4"/>
      <c r="V444" s="4"/>
      <c r="W444" s="4"/>
      <c r="X444" s="4"/>
      <c r="Y444" s="4">
        <v>237</v>
      </c>
      <c r="Z444" s="4">
        <f t="shared" si="72"/>
        <v>237</v>
      </c>
      <c r="AA444" s="4">
        <v>154</v>
      </c>
      <c r="AB444" s="4">
        <f t="shared" si="73"/>
        <v>154</v>
      </c>
      <c r="AC444" s="4"/>
      <c r="AD444" s="21">
        <f>ROUND(M444*AR444,0)</f>
        <v>215</v>
      </c>
      <c r="AE444" s="6">
        <f>1-AB444/AD444</f>
        <v>0.28372093023255818</v>
      </c>
      <c r="AF444" s="33">
        <v>0</v>
      </c>
      <c r="AG444" s="4">
        <f t="shared" si="74"/>
        <v>300</v>
      </c>
      <c r="AH444" s="33">
        <f t="shared" si="67"/>
        <v>300</v>
      </c>
      <c r="AI444" s="6">
        <f>1-AB444/AH444</f>
        <v>0.48666666666666669</v>
      </c>
      <c r="AJ444" s="7">
        <f>ROUND(AB444/0.65,0)</f>
        <v>237</v>
      </c>
      <c r="AK444" s="6">
        <f>1-AB444/AJ444</f>
        <v>0.35021097046413507</v>
      </c>
      <c r="AL444" s="4">
        <f>AJ444-AB444</f>
        <v>83</v>
      </c>
      <c r="AM444" s="28"/>
      <c r="AN444" s="6"/>
      <c r="AO444" s="6"/>
      <c r="AP444" s="6">
        <f>Z444/L444</f>
        <v>0.79</v>
      </c>
      <c r="AQ444" s="6">
        <f>AJ444/M444</f>
        <v>1.1023255813953488</v>
      </c>
      <c r="AR444" s="6">
        <f>AB444/N444</f>
        <v>1</v>
      </c>
      <c r="AS444" s="4"/>
      <c r="AT444" s="4"/>
      <c r="AU444" s="4"/>
      <c r="AV444" s="4"/>
      <c r="AW444" s="4"/>
      <c r="AX444" s="4"/>
      <c r="AY444" s="4"/>
      <c r="AZ444" s="4"/>
      <c r="BA444" s="4"/>
      <c r="BB444" s="4">
        <v>0</v>
      </c>
      <c r="BC444" s="4" t="s">
        <v>3967</v>
      </c>
      <c r="BD444" s="4">
        <v>1</v>
      </c>
      <c r="BE444" s="4">
        <v>5</v>
      </c>
      <c r="BF444" s="4" t="s">
        <v>3939</v>
      </c>
      <c r="BG444" s="4">
        <v>1500</v>
      </c>
      <c r="BH444" s="4">
        <v>1500</v>
      </c>
      <c r="BI444" s="4">
        <f t="shared" si="75"/>
        <v>300</v>
      </c>
      <c r="BJ444" s="19">
        <v>4</v>
      </c>
      <c r="BK444" s="19">
        <v>8</v>
      </c>
      <c r="BL444" s="16">
        <v>6</v>
      </c>
      <c r="BM444" s="45" t="s">
        <v>3534</v>
      </c>
      <c r="BN444" t="s">
        <v>3534</v>
      </c>
      <c r="BO444" t="str">
        <f t="shared" si="68"/>
        <v>-</v>
      </c>
      <c r="BP444" t="s">
        <v>3534</v>
      </c>
      <c r="BQ444">
        <v>300</v>
      </c>
      <c r="BR444">
        <f t="shared" si="69"/>
        <v>300</v>
      </c>
      <c r="BS444" t="s">
        <v>2874</v>
      </c>
    </row>
    <row r="445" spans="1:71" x14ac:dyDescent="0.4">
      <c r="A445" s="3">
        <v>442</v>
      </c>
      <c r="B445" s="3">
        <v>442</v>
      </c>
      <c r="C445" s="4" t="s">
        <v>504</v>
      </c>
      <c r="D445" s="4" t="str">
        <f t="shared" si="70"/>
        <v>J4275R</v>
      </c>
      <c r="E445" s="4" t="s">
        <v>504</v>
      </c>
      <c r="F445" s="4" t="s">
        <v>1722</v>
      </c>
      <c r="G445" s="5">
        <v>4521718213545</v>
      </c>
      <c r="H445" s="5"/>
      <c r="I445" s="5"/>
      <c r="J445" s="5">
        <v>1</v>
      </c>
      <c r="K445" s="5">
        <v>1</v>
      </c>
      <c r="L445" s="4">
        <v>300</v>
      </c>
      <c r="M445" s="4">
        <v>215</v>
      </c>
      <c r="N445" s="4">
        <v>154</v>
      </c>
      <c r="O445" s="6">
        <f t="shared" si="71"/>
        <v>0.28372093023255818</v>
      </c>
      <c r="P445" s="4" t="s">
        <v>2500</v>
      </c>
      <c r="Q445" s="4"/>
      <c r="R445" s="4"/>
      <c r="S445" s="4"/>
      <c r="T445" s="4"/>
      <c r="U445" s="4"/>
      <c r="V445" s="4"/>
      <c r="W445" s="4"/>
      <c r="X445" s="4"/>
      <c r="Y445" s="4">
        <v>237</v>
      </c>
      <c r="Z445" s="4">
        <f t="shared" si="72"/>
        <v>237</v>
      </c>
      <c r="AA445" s="4">
        <v>154</v>
      </c>
      <c r="AB445" s="4">
        <f t="shared" si="73"/>
        <v>154</v>
      </c>
      <c r="AC445" s="4"/>
      <c r="AD445" s="21">
        <f>ROUND(M445*AR445,0)</f>
        <v>215</v>
      </c>
      <c r="AE445" s="6">
        <f>1-AB445/AD445</f>
        <v>0.28372093023255818</v>
      </c>
      <c r="AF445" s="33">
        <v>0</v>
      </c>
      <c r="AG445" s="4">
        <f t="shared" si="74"/>
        <v>300</v>
      </c>
      <c r="AH445" s="33">
        <f t="shared" si="67"/>
        <v>300</v>
      </c>
      <c r="AI445" s="6">
        <f>1-AB445/AH445</f>
        <v>0.48666666666666669</v>
      </c>
      <c r="AJ445" s="7">
        <f>ROUND(AB445/0.65,0)</f>
        <v>237</v>
      </c>
      <c r="AK445" s="6">
        <f>1-AB445/AJ445</f>
        <v>0.35021097046413507</v>
      </c>
      <c r="AL445" s="4">
        <f>AJ445-AB445</f>
        <v>83</v>
      </c>
      <c r="AM445" s="28"/>
      <c r="AN445" s="6"/>
      <c r="AO445" s="6"/>
      <c r="AP445" s="6">
        <f>Z445/L445</f>
        <v>0.79</v>
      </c>
      <c r="AQ445" s="6">
        <f>AJ445/M445</f>
        <v>1.1023255813953488</v>
      </c>
      <c r="AR445" s="6">
        <f>AB445/N445</f>
        <v>1</v>
      </c>
      <c r="AS445" s="4"/>
      <c r="AT445" s="4"/>
      <c r="AU445" s="4"/>
      <c r="AV445" s="4"/>
      <c r="AW445" s="4"/>
      <c r="AX445" s="4"/>
      <c r="AY445" s="4"/>
      <c r="AZ445" s="4"/>
      <c r="BA445" s="4"/>
      <c r="BB445" s="4">
        <v>0</v>
      </c>
      <c r="BC445" s="4" t="s">
        <v>3968</v>
      </c>
      <c r="BD445" s="4">
        <v>1</v>
      </c>
      <c r="BE445" s="4">
        <v>5</v>
      </c>
      <c r="BF445" s="4" t="s">
        <v>3939</v>
      </c>
      <c r="BG445" s="4">
        <v>1500</v>
      </c>
      <c r="BH445" s="4">
        <v>1500</v>
      </c>
      <c r="BI445" s="4">
        <f t="shared" si="75"/>
        <v>300</v>
      </c>
      <c r="BJ445" s="19">
        <v>4</v>
      </c>
      <c r="BK445" s="19">
        <v>8</v>
      </c>
      <c r="BL445" s="16">
        <v>6</v>
      </c>
      <c r="BM445" s="45" t="s">
        <v>3534</v>
      </c>
      <c r="BN445" t="s">
        <v>3534</v>
      </c>
      <c r="BO445" t="str">
        <f t="shared" si="68"/>
        <v>-</v>
      </c>
      <c r="BP445" t="s">
        <v>3534</v>
      </c>
      <c r="BQ445">
        <v>300</v>
      </c>
      <c r="BR445">
        <f t="shared" si="69"/>
        <v>300</v>
      </c>
      <c r="BS445" t="s">
        <v>2875</v>
      </c>
    </row>
    <row r="446" spans="1:71" x14ac:dyDescent="0.4">
      <c r="A446" s="3">
        <v>443</v>
      </c>
      <c r="B446" s="3">
        <v>443</v>
      </c>
      <c r="C446" s="4" t="s">
        <v>505</v>
      </c>
      <c r="D446" s="4" t="str">
        <f t="shared" si="70"/>
        <v>J4276R</v>
      </c>
      <c r="E446" s="4" t="s">
        <v>505</v>
      </c>
      <c r="F446" s="4" t="s">
        <v>1723</v>
      </c>
      <c r="G446" s="5">
        <v>4521718212807</v>
      </c>
      <c r="H446" s="5"/>
      <c r="I446" s="5"/>
      <c r="J446" s="5">
        <v>1</v>
      </c>
      <c r="K446" s="5">
        <v>1</v>
      </c>
      <c r="L446" s="4">
        <v>470</v>
      </c>
      <c r="M446" s="4">
        <v>323</v>
      </c>
      <c r="N446" s="4">
        <v>242</v>
      </c>
      <c r="O446" s="6">
        <f t="shared" si="71"/>
        <v>0.25077399380804954</v>
      </c>
      <c r="P446" s="4" t="s">
        <v>2500</v>
      </c>
      <c r="Q446" s="4"/>
      <c r="R446" s="4"/>
      <c r="S446" s="4"/>
      <c r="T446" s="4"/>
      <c r="U446" s="4"/>
      <c r="V446" s="4"/>
      <c r="W446" s="4"/>
      <c r="X446" s="4"/>
      <c r="Y446" s="4">
        <v>373</v>
      </c>
      <c r="Z446" s="4">
        <f t="shared" si="72"/>
        <v>373</v>
      </c>
      <c r="AA446" s="4">
        <v>242</v>
      </c>
      <c r="AB446" s="4">
        <f t="shared" si="73"/>
        <v>242</v>
      </c>
      <c r="AC446" s="4"/>
      <c r="AD446" s="21">
        <f>ROUND(M446*AR446,0)</f>
        <v>323</v>
      </c>
      <c r="AE446" s="6">
        <f>1-AB446/AD446</f>
        <v>0.25077399380804954</v>
      </c>
      <c r="AF446" s="33">
        <v>0</v>
      </c>
      <c r="AG446" s="4">
        <f t="shared" si="74"/>
        <v>470</v>
      </c>
      <c r="AH446" s="33">
        <f t="shared" si="67"/>
        <v>470</v>
      </c>
      <c r="AI446" s="6">
        <f>1-AB446/AH446</f>
        <v>0.48510638297872344</v>
      </c>
      <c r="AJ446" s="7">
        <f>ROUND(AB446/0.65,0)</f>
        <v>372</v>
      </c>
      <c r="AK446" s="6">
        <f>1-AB446/AJ446</f>
        <v>0.34946236559139787</v>
      </c>
      <c r="AL446" s="4">
        <f>AJ446-AB446</f>
        <v>130</v>
      </c>
      <c r="AM446" s="28"/>
      <c r="AN446" s="6"/>
      <c r="AO446" s="6"/>
      <c r="AP446" s="6">
        <f>Z446/L446</f>
        <v>0.79361702127659572</v>
      </c>
      <c r="AQ446" s="6">
        <f>AJ446/M446</f>
        <v>1.151702786377709</v>
      </c>
      <c r="AR446" s="6">
        <f>AB446/N446</f>
        <v>1</v>
      </c>
      <c r="AS446" s="4"/>
      <c r="AT446" s="4"/>
      <c r="AU446" s="4"/>
      <c r="AV446" s="4"/>
      <c r="AW446" s="4"/>
      <c r="AX446" s="4"/>
      <c r="AY446" s="4"/>
      <c r="AZ446" s="4"/>
      <c r="BA446" s="4"/>
      <c r="BB446" s="4">
        <v>0</v>
      </c>
      <c r="BC446" s="4" t="s">
        <v>3969</v>
      </c>
      <c r="BD446" s="4">
        <v>1</v>
      </c>
      <c r="BE446" s="4">
        <v>3</v>
      </c>
      <c r="BF446" s="4" t="s">
        <v>3914</v>
      </c>
      <c r="BG446" s="4">
        <v>1410</v>
      </c>
      <c r="BH446" s="4">
        <v>1410</v>
      </c>
      <c r="BI446" s="4">
        <f t="shared" si="75"/>
        <v>470</v>
      </c>
      <c r="BJ446" s="19">
        <v>4</v>
      </c>
      <c r="BK446" s="19">
        <v>8</v>
      </c>
      <c r="BL446" s="16">
        <v>6</v>
      </c>
      <c r="BM446" s="45" t="s">
        <v>3534</v>
      </c>
      <c r="BN446" t="s">
        <v>3534</v>
      </c>
      <c r="BO446" t="str">
        <f t="shared" si="68"/>
        <v>-</v>
      </c>
      <c r="BP446" t="s">
        <v>3534</v>
      </c>
      <c r="BQ446">
        <v>470</v>
      </c>
      <c r="BR446">
        <f t="shared" si="69"/>
        <v>470</v>
      </c>
      <c r="BS446" t="s">
        <v>2876</v>
      </c>
    </row>
    <row r="447" spans="1:71" x14ac:dyDescent="0.4">
      <c r="A447" s="3">
        <v>444</v>
      </c>
      <c r="B447" s="3">
        <v>444</v>
      </c>
      <c r="C447" s="4" t="s">
        <v>506</v>
      </c>
      <c r="D447" s="4" t="str">
        <f t="shared" si="70"/>
        <v>J427WL</v>
      </c>
      <c r="E447" s="4" t="s">
        <v>506</v>
      </c>
      <c r="F447" s="4" t="s">
        <v>1724</v>
      </c>
      <c r="G447" s="5">
        <v>4521718191713</v>
      </c>
      <c r="H447" s="5"/>
      <c r="I447" s="5"/>
      <c r="J447" s="5">
        <v>1</v>
      </c>
      <c r="K447" s="5">
        <v>1</v>
      </c>
      <c r="L447" s="4">
        <v>700</v>
      </c>
      <c r="M447" s="4">
        <v>560</v>
      </c>
      <c r="N447" s="4">
        <v>313</v>
      </c>
      <c r="O447" s="6">
        <f t="shared" si="71"/>
        <v>0.44107142857142856</v>
      </c>
      <c r="P447" s="4" t="s">
        <v>2500</v>
      </c>
      <c r="Q447" s="4"/>
      <c r="R447" s="4"/>
      <c r="S447" s="4"/>
      <c r="T447" s="4"/>
      <c r="U447" s="4"/>
      <c r="V447" s="4"/>
      <c r="W447" s="4"/>
      <c r="X447" s="4"/>
      <c r="Y447" s="4">
        <v>482</v>
      </c>
      <c r="Z447" s="4">
        <f t="shared" si="72"/>
        <v>482</v>
      </c>
      <c r="AA447" s="4">
        <v>313</v>
      </c>
      <c r="AB447" s="4">
        <f t="shared" si="73"/>
        <v>313</v>
      </c>
      <c r="AC447" s="4"/>
      <c r="AD447" s="21">
        <f>ROUND(M447*AR447,0)</f>
        <v>560</v>
      </c>
      <c r="AE447" s="6">
        <f>1-AB447/AD447</f>
        <v>0.44107142857142856</v>
      </c>
      <c r="AF447" s="33">
        <v>0</v>
      </c>
      <c r="AG447" s="4" t="str">
        <f t="shared" si="74"/>
        <v>-</v>
      </c>
      <c r="AH447" s="33" t="e">
        <f t="shared" si="67"/>
        <v>#VALUE!</v>
      </c>
      <c r="AI447" s="6" t="e">
        <f>1-AB447/AH447</f>
        <v>#VALUE!</v>
      </c>
      <c r="AJ447" s="7">
        <f>ROUND(AB447/0.65,0)</f>
        <v>482</v>
      </c>
      <c r="AK447" s="6">
        <f>1-AB447/AJ447</f>
        <v>0.35062240663900412</v>
      </c>
      <c r="AL447" s="4">
        <f>AJ447-AB447</f>
        <v>169</v>
      </c>
      <c r="AM447" s="28"/>
      <c r="AN447" s="6"/>
      <c r="AO447" s="6"/>
      <c r="AP447" s="6">
        <f>Z447/L447</f>
        <v>0.68857142857142861</v>
      </c>
      <c r="AQ447" s="6">
        <f>AJ447/M447</f>
        <v>0.86071428571428577</v>
      </c>
      <c r="AR447" s="6">
        <f>AB447/N447</f>
        <v>1</v>
      </c>
      <c r="AS447" s="4"/>
      <c r="AT447" s="4"/>
      <c r="AU447" s="4"/>
      <c r="AV447" s="4"/>
      <c r="AW447" s="4"/>
      <c r="AX447" s="4"/>
      <c r="AY447" s="4"/>
      <c r="AZ447" s="4"/>
      <c r="BA447" s="4"/>
      <c r="BB447" s="4">
        <v>0</v>
      </c>
      <c r="BC447" s="4" t="s">
        <v>3534</v>
      </c>
      <c r="BD447" s="4"/>
      <c r="BE447" s="4"/>
      <c r="BF447" s="4" t="s">
        <v>3534</v>
      </c>
      <c r="BG447" s="4" t="s">
        <v>3534</v>
      </c>
      <c r="BH447" s="4" t="s">
        <v>3534</v>
      </c>
      <c r="BI447" s="4" t="str">
        <f t="shared" si="75"/>
        <v>-</v>
      </c>
      <c r="BJ447" s="19">
        <v>4</v>
      </c>
      <c r="BK447" s="19">
        <v>8</v>
      </c>
      <c r="BL447" s="16">
        <v>6</v>
      </c>
      <c r="BM447" s="45" t="s">
        <v>3534</v>
      </c>
      <c r="BN447" t="s">
        <v>3534</v>
      </c>
      <c r="BO447" t="str">
        <f t="shared" si="68"/>
        <v>-</v>
      </c>
      <c r="BP447" t="s">
        <v>3534</v>
      </c>
      <c r="BQ447" t="s">
        <v>3534</v>
      </c>
      <c r="BR447" t="str">
        <f t="shared" si="69"/>
        <v>-</v>
      </c>
      <c r="BS447" t="s">
        <v>3534</v>
      </c>
    </row>
    <row r="448" spans="1:71" x14ac:dyDescent="0.4">
      <c r="A448" s="3">
        <v>445</v>
      </c>
      <c r="B448" s="3">
        <v>445</v>
      </c>
      <c r="C448" s="4" t="s">
        <v>507</v>
      </c>
      <c r="D448" s="4" t="str">
        <f t="shared" si="70"/>
        <v>J4289R</v>
      </c>
      <c r="E448" s="4" t="s">
        <v>507</v>
      </c>
      <c r="F448" s="4" t="s">
        <v>1725</v>
      </c>
      <c r="G448" s="5">
        <v>4521718213330</v>
      </c>
      <c r="H448" s="5"/>
      <c r="I448" s="5"/>
      <c r="J448" s="5">
        <v>1</v>
      </c>
      <c r="K448" s="5">
        <v>1</v>
      </c>
      <c r="L448" s="4">
        <v>160</v>
      </c>
      <c r="M448" s="4">
        <v>129</v>
      </c>
      <c r="N448" s="4">
        <v>72</v>
      </c>
      <c r="O448" s="6">
        <f t="shared" si="71"/>
        <v>0.44186046511627908</v>
      </c>
      <c r="P448" s="4" t="s">
        <v>2500</v>
      </c>
      <c r="Q448" s="4"/>
      <c r="R448" s="4"/>
      <c r="S448" s="4"/>
      <c r="T448" s="4"/>
      <c r="U448" s="4"/>
      <c r="V448" s="4"/>
      <c r="W448" s="4"/>
      <c r="X448" s="4"/>
      <c r="Y448" s="4">
        <v>110</v>
      </c>
      <c r="Z448" s="4">
        <f t="shared" si="72"/>
        <v>110</v>
      </c>
      <c r="AA448" s="4">
        <v>72</v>
      </c>
      <c r="AB448" s="4">
        <f t="shared" si="73"/>
        <v>72</v>
      </c>
      <c r="AC448" s="4"/>
      <c r="AD448" s="21">
        <f>ROUND(M448*AR448,0)</f>
        <v>129</v>
      </c>
      <c r="AE448" s="6">
        <f>1-AB448/AD448</f>
        <v>0.44186046511627908</v>
      </c>
      <c r="AF448" s="33">
        <v>0.5</v>
      </c>
      <c r="AG448" s="4">
        <f t="shared" si="74"/>
        <v>119</v>
      </c>
      <c r="AH448" s="33">
        <f t="shared" si="67"/>
        <v>119</v>
      </c>
      <c r="AI448" s="6">
        <f>1-AB448/AH448</f>
        <v>0.39495798319327735</v>
      </c>
      <c r="AJ448" s="7">
        <v>110</v>
      </c>
      <c r="AK448" s="6">
        <f>1-AB448/AJ448</f>
        <v>0.34545454545454546</v>
      </c>
      <c r="AL448" s="4">
        <f>AJ448-AB448</f>
        <v>38</v>
      </c>
      <c r="AM448" s="28"/>
      <c r="AN448" s="6"/>
      <c r="AO448" s="6"/>
      <c r="AP448" s="6">
        <f>Z448/L448</f>
        <v>0.6875</v>
      </c>
      <c r="AQ448" s="6">
        <f>AJ448/M448</f>
        <v>0.8527131782945736</v>
      </c>
      <c r="AR448" s="6">
        <f>AB448/N448</f>
        <v>1</v>
      </c>
      <c r="AS448" s="4"/>
      <c r="AT448" s="4"/>
      <c r="AU448" s="4"/>
      <c r="AV448" s="4"/>
      <c r="AW448" s="4"/>
      <c r="AX448" s="4"/>
      <c r="AY448" s="4"/>
      <c r="AZ448" s="4"/>
      <c r="BA448" s="4"/>
      <c r="BB448" s="4">
        <v>0</v>
      </c>
      <c r="BC448" s="4" t="s">
        <v>3970</v>
      </c>
      <c r="BD448" s="4"/>
      <c r="BE448" s="4"/>
      <c r="BF448" s="4" t="s">
        <v>3545</v>
      </c>
      <c r="BG448" s="4">
        <v>119</v>
      </c>
      <c r="BH448" s="4">
        <v>119</v>
      </c>
      <c r="BI448" s="4">
        <f t="shared" si="75"/>
        <v>119</v>
      </c>
      <c r="BJ448" s="19">
        <v>4</v>
      </c>
      <c r="BK448" s="19">
        <v>8</v>
      </c>
      <c r="BL448" s="16">
        <v>6</v>
      </c>
      <c r="BM448" s="45" t="s">
        <v>3534</v>
      </c>
      <c r="BN448" t="s">
        <v>3534</v>
      </c>
      <c r="BO448" t="str">
        <f t="shared" si="68"/>
        <v>-</v>
      </c>
      <c r="BP448" t="s">
        <v>3534</v>
      </c>
      <c r="BQ448">
        <v>150</v>
      </c>
      <c r="BR448">
        <f t="shared" si="69"/>
        <v>150</v>
      </c>
      <c r="BS448" t="s">
        <v>2877</v>
      </c>
    </row>
    <row r="449" spans="1:71" x14ac:dyDescent="0.4">
      <c r="A449" s="3">
        <v>446</v>
      </c>
      <c r="B449" s="3">
        <v>446</v>
      </c>
      <c r="C449" s="4" t="s">
        <v>508</v>
      </c>
      <c r="D449" s="4" t="str">
        <f t="shared" si="70"/>
        <v>J4277R</v>
      </c>
      <c r="E449" s="4" t="s">
        <v>508</v>
      </c>
      <c r="F449" s="4" t="s">
        <v>1726</v>
      </c>
      <c r="G449" s="5">
        <v>4521718213538</v>
      </c>
      <c r="H449" s="5"/>
      <c r="I449" s="5"/>
      <c r="J449" s="5">
        <v>1</v>
      </c>
      <c r="K449" s="5">
        <v>1</v>
      </c>
      <c r="L449" s="4">
        <v>470</v>
      </c>
      <c r="M449" s="4">
        <v>323</v>
      </c>
      <c r="N449" s="4">
        <v>242</v>
      </c>
      <c r="O449" s="6">
        <f t="shared" si="71"/>
        <v>0.25077399380804954</v>
      </c>
      <c r="P449" s="4" t="s">
        <v>2500</v>
      </c>
      <c r="Q449" s="4"/>
      <c r="R449" s="4"/>
      <c r="S449" s="4"/>
      <c r="T449" s="4"/>
      <c r="U449" s="4"/>
      <c r="V449" s="4"/>
      <c r="W449" s="4"/>
      <c r="X449" s="4"/>
      <c r="Y449" s="4">
        <v>373</v>
      </c>
      <c r="Z449" s="4">
        <f t="shared" si="72"/>
        <v>373</v>
      </c>
      <c r="AA449" s="4">
        <v>242</v>
      </c>
      <c r="AB449" s="4">
        <f t="shared" si="73"/>
        <v>242</v>
      </c>
      <c r="AC449" s="4"/>
      <c r="AD449" s="21">
        <f>ROUND(M449*AR449,0)</f>
        <v>323</v>
      </c>
      <c r="AE449" s="6">
        <f>1-AB449/AD449</f>
        <v>0.25077399380804954</v>
      </c>
      <c r="AF449" s="33">
        <v>0</v>
      </c>
      <c r="AG449" s="4">
        <f t="shared" si="74"/>
        <v>470</v>
      </c>
      <c r="AH449" s="33">
        <f t="shared" si="67"/>
        <v>470</v>
      </c>
      <c r="AI449" s="6">
        <f>1-AB449/AH449</f>
        <v>0.48510638297872344</v>
      </c>
      <c r="AJ449" s="7">
        <f>ROUND(AB449/0.65,0)</f>
        <v>372</v>
      </c>
      <c r="AK449" s="6">
        <f>1-AB449/AJ449</f>
        <v>0.34946236559139787</v>
      </c>
      <c r="AL449" s="4">
        <f>AJ449-AB449</f>
        <v>130</v>
      </c>
      <c r="AM449" s="28"/>
      <c r="AN449" s="6"/>
      <c r="AO449" s="6"/>
      <c r="AP449" s="6">
        <f>Z449/L449</f>
        <v>0.79361702127659572</v>
      </c>
      <c r="AQ449" s="6">
        <f>AJ449/M449</f>
        <v>1.151702786377709</v>
      </c>
      <c r="AR449" s="6">
        <f>AB449/N449</f>
        <v>1</v>
      </c>
      <c r="AS449" s="4"/>
      <c r="AT449" s="4"/>
      <c r="AU449" s="4"/>
      <c r="AV449" s="4"/>
      <c r="AW449" s="4"/>
      <c r="AX449" s="4"/>
      <c r="AY449" s="4"/>
      <c r="AZ449" s="4"/>
      <c r="BA449" s="4"/>
      <c r="BB449" s="4">
        <v>0</v>
      </c>
      <c r="BC449" s="4" t="s">
        <v>3971</v>
      </c>
      <c r="BD449" s="4">
        <v>1</v>
      </c>
      <c r="BE449" s="4">
        <v>3</v>
      </c>
      <c r="BF449" s="4" t="s">
        <v>3914</v>
      </c>
      <c r="BG449" s="4">
        <v>1410</v>
      </c>
      <c r="BH449" s="4">
        <v>1410</v>
      </c>
      <c r="BI449" s="4">
        <f t="shared" si="75"/>
        <v>470</v>
      </c>
      <c r="BJ449" s="19">
        <v>4</v>
      </c>
      <c r="BK449" s="19">
        <v>8</v>
      </c>
      <c r="BL449" s="16">
        <v>6</v>
      </c>
      <c r="BM449" s="45" t="s">
        <v>3534</v>
      </c>
      <c r="BN449" t="s">
        <v>3534</v>
      </c>
      <c r="BO449" t="str">
        <f t="shared" si="68"/>
        <v>-</v>
      </c>
      <c r="BP449" t="s">
        <v>3534</v>
      </c>
      <c r="BQ449">
        <v>470</v>
      </c>
      <c r="BR449">
        <f t="shared" si="69"/>
        <v>470</v>
      </c>
      <c r="BS449" t="s">
        <v>2878</v>
      </c>
    </row>
    <row r="450" spans="1:71" x14ac:dyDescent="0.4">
      <c r="A450" s="3">
        <v>447</v>
      </c>
      <c r="B450" s="3">
        <v>447</v>
      </c>
      <c r="C450" s="4" t="s">
        <v>509</v>
      </c>
      <c r="D450" s="4" t="str">
        <f t="shared" si="70"/>
        <v>J4278R</v>
      </c>
      <c r="E450" s="4" t="s">
        <v>509</v>
      </c>
      <c r="F450" s="4" t="s">
        <v>1727</v>
      </c>
      <c r="G450" s="5">
        <v>4521718212029</v>
      </c>
      <c r="H450" s="5"/>
      <c r="I450" s="5"/>
      <c r="J450" s="5">
        <v>1</v>
      </c>
      <c r="K450" s="5">
        <v>1</v>
      </c>
      <c r="L450" s="4">
        <v>560</v>
      </c>
      <c r="M450" s="4">
        <v>348</v>
      </c>
      <c r="N450" s="4">
        <v>249</v>
      </c>
      <c r="O450" s="6">
        <f t="shared" si="71"/>
        <v>0.28448275862068961</v>
      </c>
      <c r="P450" s="4" t="s">
        <v>2500</v>
      </c>
      <c r="Q450" s="4"/>
      <c r="R450" s="4"/>
      <c r="S450" s="4"/>
      <c r="T450" s="4"/>
      <c r="U450" s="4"/>
      <c r="V450" s="4"/>
      <c r="W450" s="4"/>
      <c r="X450" s="4"/>
      <c r="Y450" s="4">
        <v>355</v>
      </c>
      <c r="Z450" s="4">
        <f t="shared" si="72"/>
        <v>355</v>
      </c>
      <c r="AA450" s="4">
        <v>249</v>
      </c>
      <c r="AB450" s="4">
        <f t="shared" si="73"/>
        <v>249</v>
      </c>
      <c r="AC450" s="4"/>
      <c r="AD450" s="21">
        <f>ROUND(M450*AR450,0)</f>
        <v>348</v>
      </c>
      <c r="AE450" s="6">
        <f>1-AB450/AD450</f>
        <v>0.28448275862068961</v>
      </c>
      <c r="AF450" s="33">
        <v>0</v>
      </c>
      <c r="AG450" s="4">
        <f t="shared" si="74"/>
        <v>650</v>
      </c>
      <c r="AH450" s="33">
        <f t="shared" si="67"/>
        <v>650</v>
      </c>
      <c r="AI450" s="6">
        <f>1-AB450/AH450</f>
        <v>0.61692307692307691</v>
      </c>
      <c r="AJ450" s="7">
        <v>355</v>
      </c>
      <c r="AK450" s="6">
        <f>1-AB450/AJ450</f>
        <v>0.29859154929577469</v>
      </c>
      <c r="AL450" s="4">
        <f>AJ450-AB450</f>
        <v>106</v>
      </c>
      <c r="AM450" s="28"/>
      <c r="AN450" s="6"/>
      <c r="AO450" s="6"/>
      <c r="AP450" s="6">
        <f>Z450/L450</f>
        <v>0.6339285714285714</v>
      </c>
      <c r="AQ450" s="6">
        <f>AJ450/M450</f>
        <v>1.0201149425287357</v>
      </c>
      <c r="AR450" s="6">
        <f>AB450/N450</f>
        <v>1</v>
      </c>
      <c r="AS450" s="4"/>
      <c r="AT450" s="4"/>
      <c r="AU450" s="4"/>
      <c r="AV450" s="4"/>
      <c r="AW450" s="4"/>
      <c r="AX450" s="4"/>
      <c r="AY450" s="4"/>
      <c r="AZ450" s="4"/>
      <c r="BA450" s="4"/>
      <c r="BB450" s="4">
        <v>0</v>
      </c>
      <c r="BC450" s="4" t="s">
        <v>3972</v>
      </c>
      <c r="BD450" s="4">
        <v>1</v>
      </c>
      <c r="BE450" s="4">
        <v>3</v>
      </c>
      <c r="BF450" s="4" t="s">
        <v>3914</v>
      </c>
      <c r="BG450" s="4">
        <v>1950</v>
      </c>
      <c r="BH450" s="4">
        <v>1950</v>
      </c>
      <c r="BI450" s="4">
        <f t="shared" si="75"/>
        <v>650</v>
      </c>
      <c r="BJ450" s="19">
        <v>4</v>
      </c>
      <c r="BK450" s="19">
        <v>8</v>
      </c>
      <c r="BL450" s="16">
        <v>6</v>
      </c>
      <c r="BM450" s="45" t="s">
        <v>3534</v>
      </c>
      <c r="BN450" t="s">
        <v>3534</v>
      </c>
      <c r="BO450" t="str">
        <f t="shared" si="68"/>
        <v>-</v>
      </c>
      <c r="BP450" t="s">
        <v>3534</v>
      </c>
      <c r="BQ450">
        <v>650</v>
      </c>
      <c r="BR450">
        <f t="shared" si="69"/>
        <v>650</v>
      </c>
      <c r="BS450" t="s">
        <v>2879</v>
      </c>
    </row>
    <row r="451" spans="1:71" x14ac:dyDescent="0.4">
      <c r="A451" s="3">
        <v>448</v>
      </c>
      <c r="B451" s="3">
        <v>448</v>
      </c>
      <c r="C451" s="4" t="s">
        <v>510</v>
      </c>
      <c r="D451" s="4" t="str">
        <f t="shared" si="70"/>
        <v>J428MX</v>
      </c>
      <c r="E451" s="4" t="s">
        <v>510</v>
      </c>
      <c r="F451" s="4" t="s">
        <v>1728</v>
      </c>
      <c r="G451" s="5">
        <v>4521718113265</v>
      </c>
      <c r="H451" s="5"/>
      <c r="I451" s="5"/>
      <c r="J451" s="5">
        <v>1</v>
      </c>
      <c r="K451" s="5">
        <v>1</v>
      </c>
      <c r="L451" s="4">
        <v>1300</v>
      </c>
      <c r="M451" s="4">
        <v>741</v>
      </c>
      <c r="N451" s="4">
        <v>570</v>
      </c>
      <c r="O451" s="6">
        <f t="shared" si="71"/>
        <v>0.23076923076923073</v>
      </c>
      <c r="P451" s="4" t="s">
        <v>2500</v>
      </c>
      <c r="Q451" s="4"/>
      <c r="R451" s="4"/>
      <c r="S451" s="4"/>
      <c r="T451" s="4"/>
      <c r="U451" s="4"/>
      <c r="V451" s="4"/>
      <c r="W451" s="4"/>
      <c r="X451" s="4"/>
      <c r="Y451" s="4">
        <v>91</v>
      </c>
      <c r="Z451" s="4">
        <f t="shared" si="72"/>
        <v>910</v>
      </c>
      <c r="AA451" s="4">
        <v>64</v>
      </c>
      <c r="AB451" s="4">
        <f t="shared" si="73"/>
        <v>640</v>
      </c>
      <c r="AC451" s="4">
        <v>10</v>
      </c>
      <c r="AD451" s="21">
        <f>ROUND(M451*AR451,0)</f>
        <v>832</v>
      </c>
      <c r="AE451" s="6">
        <f>1-AB451/AD451</f>
        <v>0.23076923076923073</v>
      </c>
      <c r="AF451" s="33">
        <v>0</v>
      </c>
      <c r="AG451" s="4">
        <f t="shared" si="74"/>
        <v>1000</v>
      </c>
      <c r="AH451" s="33">
        <f t="shared" si="67"/>
        <v>1122.8070175438595</v>
      </c>
      <c r="AI451" s="6">
        <f>1-AB451/AH451</f>
        <v>0.42999999999999994</v>
      </c>
      <c r="AJ451" s="7">
        <v>910</v>
      </c>
      <c r="AK451" s="6">
        <f>1-AB451/AJ451</f>
        <v>0.29670329670329665</v>
      </c>
      <c r="AL451" s="4">
        <f>AJ451-AB451</f>
        <v>270</v>
      </c>
      <c r="AM451" s="28"/>
      <c r="AN451" s="6"/>
      <c r="AO451" s="6"/>
      <c r="AP451" s="6">
        <f>Z451/L451</f>
        <v>0.7</v>
      </c>
      <c r="AQ451" s="6">
        <f>AJ451/M451</f>
        <v>1.2280701754385965</v>
      </c>
      <c r="AR451" s="6">
        <f>AB451/N451</f>
        <v>1.1228070175438596</v>
      </c>
      <c r="AS451" s="4"/>
      <c r="AT451" s="4"/>
      <c r="AU451" s="4"/>
      <c r="AV451" s="4"/>
      <c r="AW451" s="4"/>
      <c r="AX451" s="4"/>
      <c r="AY451" s="4"/>
      <c r="AZ451" s="4"/>
      <c r="BA451" s="4"/>
      <c r="BB451" s="4">
        <v>0</v>
      </c>
      <c r="BC451" s="4" t="s">
        <v>3973</v>
      </c>
      <c r="BD451" s="4">
        <v>10</v>
      </c>
      <c r="BE451" s="4">
        <v>20</v>
      </c>
      <c r="BF451" s="4" t="s">
        <v>3926</v>
      </c>
      <c r="BG451" s="4">
        <v>2000</v>
      </c>
      <c r="BH451" s="4">
        <v>2000</v>
      </c>
      <c r="BI451" s="4">
        <f t="shared" si="75"/>
        <v>1000</v>
      </c>
      <c r="BJ451" s="19">
        <v>4</v>
      </c>
      <c r="BK451" s="19">
        <v>8</v>
      </c>
      <c r="BL451" s="16">
        <v>6</v>
      </c>
      <c r="BM451" s="45" t="s">
        <v>3534</v>
      </c>
      <c r="BN451" t="s">
        <v>3534</v>
      </c>
      <c r="BO451" t="str">
        <f t="shared" si="68"/>
        <v>-</v>
      </c>
      <c r="BP451" t="s">
        <v>3534</v>
      </c>
      <c r="BQ451">
        <v>130</v>
      </c>
      <c r="BR451">
        <f t="shared" si="69"/>
        <v>145.96491228070175</v>
      </c>
      <c r="BS451" t="s">
        <v>2880</v>
      </c>
    </row>
    <row r="452" spans="1:71" x14ac:dyDescent="0.4">
      <c r="A452" s="3">
        <v>449</v>
      </c>
      <c r="B452" s="3">
        <v>449</v>
      </c>
      <c r="C452" s="4" t="s">
        <v>511</v>
      </c>
      <c r="D452" s="4" t="str">
        <f t="shared" si="70"/>
        <v>J428WL</v>
      </c>
      <c r="E452" s="4" t="s">
        <v>511</v>
      </c>
      <c r="F452" s="4" t="s">
        <v>1729</v>
      </c>
      <c r="G452" s="5">
        <v>4521718191720</v>
      </c>
      <c r="H452" s="5"/>
      <c r="I452" s="5"/>
      <c r="J452" s="5">
        <v>1</v>
      </c>
      <c r="K452" s="5">
        <v>1</v>
      </c>
      <c r="L452" s="4">
        <v>700</v>
      </c>
      <c r="M452" s="4">
        <v>560</v>
      </c>
      <c r="N452" s="4">
        <v>313</v>
      </c>
      <c r="O452" s="6">
        <f t="shared" si="71"/>
        <v>0.44107142857142856</v>
      </c>
      <c r="P452" s="4" t="s">
        <v>2500</v>
      </c>
      <c r="Q452" s="4"/>
      <c r="R452" s="4"/>
      <c r="S452" s="4"/>
      <c r="T452" s="4"/>
      <c r="U452" s="4"/>
      <c r="V452" s="4"/>
      <c r="W452" s="4"/>
      <c r="X452" s="4"/>
      <c r="Y452" s="4">
        <v>482</v>
      </c>
      <c r="Z452" s="4">
        <f t="shared" si="72"/>
        <v>482</v>
      </c>
      <c r="AA452" s="4">
        <v>313</v>
      </c>
      <c r="AB452" s="4">
        <f t="shared" si="73"/>
        <v>313</v>
      </c>
      <c r="AC452" s="4"/>
      <c r="AD452" s="21">
        <f>ROUND(M452*AR452,0)</f>
        <v>560</v>
      </c>
      <c r="AE452" s="6">
        <f>1-AB452/AD452</f>
        <v>0.44107142857142856</v>
      </c>
      <c r="AF452" s="33">
        <v>0</v>
      </c>
      <c r="AG452" s="4" t="str">
        <f t="shared" si="74"/>
        <v>-</v>
      </c>
      <c r="AH452" s="33" t="e">
        <f t="shared" ref="AH452:AH515" si="76">AG452*AR452</f>
        <v>#VALUE!</v>
      </c>
      <c r="AI452" s="6" t="e">
        <f>1-AB452/AH452</f>
        <v>#VALUE!</v>
      </c>
      <c r="AJ452" s="7">
        <f>ROUND(AB452/0.65,0)</f>
        <v>482</v>
      </c>
      <c r="AK452" s="6">
        <f>1-AB452/AJ452</f>
        <v>0.35062240663900412</v>
      </c>
      <c r="AL452" s="4">
        <f>AJ452-AB452</f>
        <v>169</v>
      </c>
      <c r="AM452" s="28"/>
      <c r="AN452" s="6"/>
      <c r="AO452" s="6"/>
      <c r="AP452" s="6">
        <f>Z452/L452</f>
        <v>0.68857142857142861</v>
      </c>
      <c r="AQ452" s="6">
        <f>AJ452/M452</f>
        <v>0.86071428571428577</v>
      </c>
      <c r="AR452" s="6">
        <f>AB452/N452</f>
        <v>1</v>
      </c>
      <c r="AS452" s="4"/>
      <c r="AT452" s="4"/>
      <c r="AU452" s="4"/>
      <c r="AV452" s="4"/>
      <c r="AW452" s="4"/>
      <c r="AX452" s="4"/>
      <c r="AY452" s="4"/>
      <c r="AZ452" s="4"/>
      <c r="BA452" s="4"/>
      <c r="BB452" s="4">
        <v>0</v>
      </c>
      <c r="BC452" s="4" t="s">
        <v>3534</v>
      </c>
      <c r="BD452" s="4"/>
      <c r="BE452" s="4"/>
      <c r="BF452" s="4" t="s">
        <v>3534</v>
      </c>
      <c r="BG452" s="4" t="s">
        <v>3534</v>
      </c>
      <c r="BH452" s="4" t="s">
        <v>3534</v>
      </c>
      <c r="BI452" s="4" t="str">
        <f t="shared" si="75"/>
        <v>-</v>
      </c>
      <c r="BJ452" s="19">
        <v>4</v>
      </c>
      <c r="BK452" s="19">
        <v>8</v>
      </c>
      <c r="BL452" s="16">
        <v>6</v>
      </c>
      <c r="BM452" s="45" t="s">
        <v>3534</v>
      </c>
      <c r="BN452" t="s">
        <v>3534</v>
      </c>
      <c r="BO452" t="str">
        <f t="shared" si="68"/>
        <v>-</v>
      </c>
      <c r="BP452" t="s">
        <v>3534</v>
      </c>
      <c r="BQ452" t="s">
        <v>3534</v>
      </c>
      <c r="BR452" t="str">
        <f t="shared" si="69"/>
        <v>-</v>
      </c>
      <c r="BS452" t="s">
        <v>3534</v>
      </c>
    </row>
    <row r="453" spans="1:71" x14ac:dyDescent="0.4">
      <c r="A453" s="3">
        <v>450</v>
      </c>
      <c r="B453" s="3">
        <v>450</v>
      </c>
      <c r="C453" s="4" t="s">
        <v>512</v>
      </c>
      <c r="D453" s="4" t="str">
        <f t="shared" si="70"/>
        <v>J4290R</v>
      </c>
      <c r="E453" s="4" t="s">
        <v>512</v>
      </c>
      <c r="F453" s="4" t="s">
        <v>1730</v>
      </c>
      <c r="G453" s="5">
        <v>4521718213323</v>
      </c>
      <c r="H453" s="5"/>
      <c r="I453" s="5"/>
      <c r="J453" s="5">
        <v>1</v>
      </c>
      <c r="K453" s="5">
        <v>1</v>
      </c>
      <c r="L453" s="4">
        <v>3790</v>
      </c>
      <c r="M453" s="4">
        <v>2262</v>
      </c>
      <c r="N453" s="4">
        <v>1702</v>
      </c>
      <c r="O453" s="6">
        <f t="shared" si="71"/>
        <v>0.24756852343059244</v>
      </c>
      <c r="P453" s="4" t="s">
        <v>2500</v>
      </c>
      <c r="Q453" s="4"/>
      <c r="R453" s="4"/>
      <c r="S453" s="4"/>
      <c r="T453" s="4"/>
      <c r="U453" s="4"/>
      <c r="V453" s="4"/>
      <c r="W453" s="4"/>
      <c r="X453" s="4"/>
      <c r="Y453" s="4">
        <v>2619</v>
      </c>
      <c r="Z453" s="4">
        <f t="shared" si="72"/>
        <v>2619</v>
      </c>
      <c r="AA453" s="4">
        <v>1702</v>
      </c>
      <c r="AB453" s="4">
        <f t="shared" si="73"/>
        <v>1702</v>
      </c>
      <c r="AC453" s="4"/>
      <c r="AD453" s="21">
        <f>ROUND(M453*AR453,0)</f>
        <v>2262</v>
      </c>
      <c r="AE453" s="6">
        <f>1-AB453/AD453</f>
        <v>0.24756852343059244</v>
      </c>
      <c r="AF453" s="33">
        <v>0</v>
      </c>
      <c r="AG453" s="4">
        <f t="shared" si="74"/>
        <v>4100</v>
      </c>
      <c r="AH453" s="33">
        <f t="shared" si="76"/>
        <v>4100</v>
      </c>
      <c r="AI453" s="6">
        <f>1-AB453/AH453</f>
        <v>0.58487804878048788</v>
      </c>
      <c r="AJ453" s="7">
        <f>ROUND(AB453/0.65,0)</f>
        <v>2618</v>
      </c>
      <c r="AK453" s="6">
        <f>1-AB453/AJ453</f>
        <v>0.34988540870893814</v>
      </c>
      <c r="AL453" s="4">
        <f>AJ453-AB453</f>
        <v>916</v>
      </c>
      <c r="AM453" s="28"/>
      <c r="AN453" s="6"/>
      <c r="AO453" s="6"/>
      <c r="AP453" s="6">
        <f>Z453/L453</f>
        <v>0.69102902374670183</v>
      </c>
      <c r="AQ453" s="6">
        <f>AJ453/M453</f>
        <v>1.1573828470380194</v>
      </c>
      <c r="AR453" s="6">
        <f>AB453/N453</f>
        <v>1</v>
      </c>
      <c r="AS453" s="4"/>
      <c r="AT453" s="4"/>
      <c r="AU453" s="4"/>
      <c r="AV453" s="4"/>
      <c r="AW453" s="4"/>
      <c r="AX453" s="4"/>
      <c r="AY453" s="4"/>
      <c r="AZ453" s="4"/>
      <c r="BA453" s="4"/>
      <c r="BB453" s="4">
        <v>0</v>
      </c>
      <c r="BC453" s="4" t="s">
        <v>3974</v>
      </c>
      <c r="BD453" s="4"/>
      <c r="BE453" s="4"/>
      <c r="BF453" s="4" t="s">
        <v>3975</v>
      </c>
      <c r="BG453" s="4">
        <v>4100</v>
      </c>
      <c r="BH453" s="4">
        <v>4100</v>
      </c>
      <c r="BI453" s="4">
        <f t="shared" si="75"/>
        <v>4100</v>
      </c>
      <c r="BJ453" s="19">
        <v>4</v>
      </c>
      <c r="BK453" s="19">
        <v>8</v>
      </c>
      <c r="BL453" s="16">
        <v>6</v>
      </c>
      <c r="BM453" s="45" t="s">
        <v>3534</v>
      </c>
      <c r="BN453" t="s">
        <v>3534</v>
      </c>
      <c r="BO453" t="str">
        <f t="shared" ref="BO453:BO516" si="77">IFERROR(BN453*AR453,"-")</f>
        <v>-</v>
      </c>
      <c r="BP453" t="s">
        <v>3534</v>
      </c>
      <c r="BQ453">
        <v>3543</v>
      </c>
      <c r="BR453">
        <f t="shared" ref="BR453:BR516" si="78">IFERROR(BQ453*AR453,"-")</f>
        <v>3543</v>
      </c>
      <c r="BS453" t="s">
        <v>2881</v>
      </c>
    </row>
    <row r="454" spans="1:71" x14ac:dyDescent="0.4">
      <c r="A454" s="3">
        <v>451</v>
      </c>
      <c r="B454" s="3">
        <v>451</v>
      </c>
      <c r="C454" s="4" t="s">
        <v>513</v>
      </c>
      <c r="D454" s="4" t="str">
        <f t="shared" si="70"/>
        <v>J4291R</v>
      </c>
      <c r="E454" s="4" t="s">
        <v>513</v>
      </c>
      <c r="F454" s="4" t="s">
        <v>1731</v>
      </c>
      <c r="G454" s="5">
        <v>4521718213354</v>
      </c>
      <c r="H454" s="5"/>
      <c r="I454" s="5"/>
      <c r="J454" s="5">
        <v>1</v>
      </c>
      <c r="K454" s="5">
        <v>1</v>
      </c>
      <c r="L454" s="4">
        <v>160</v>
      </c>
      <c r="M454" s="4">
        <v>95</v>
      </c>
      <c r="N454" s="4">
        <v>72</v>
      </c>
      <c r="O454" s="6">
        <f t="shared" si="71"/>
        <v>0.24210526315789471</v>
      </c>
      <c r="P454" s="4" t="s">
        <v>2500</v>
      </c>
      <c r="Q454" s="4"/>
      <c r="R454" s="4"/>
      <c r="S454" s="4"/>
      <c r="T454" s="4"/>
      <c r="U454" s="4"/>
      <c r="V454" s="4"/>
      <c r="W454" s="4"/>
      <c r="X454" s="4"/>
      <c r="Y454" s="4">
        <v>110</v>
      </c>
      <c r="Z454" s="4">
        <f t="shared" si="72"/>
        <v>110</v>
      </c>
      <c r="AA454" s="4">
        <v>72</v>
      </c>
      <c r="AB454" s="4">
        <f t="shared" si="73"/>
        <v>72</v>
      </c>
      <c r="AC454" s="4"/>
      <c r="AD454" s="21">
        <f>ROUND(M454*AR454,0)</f>
        <v>95</v>
      </c>
      <c r="AE454" s="6">
        <f>1-AB454/AD454</f>
        <v>0.24210526315789471</v>
      </c>
      <c r="AF454" s="33">
        <v>0</v>
      </c>
      <c r="AG454" s="4">
        <f t="shared" si="74"/>
        <v>160</v>
      </c>
      <c r="AH454" s="33">
        <f t="shared" si="76"/>
        <v>160</v>
      </c>
      <c r="AI454" s="6">
        <f>1-AB454/AH454</f>
        <v>0.55000000000000004</v>
      </c>
      <c r="AJ454" s="7">
        <v>110</v>
      </c>
      <c r="AK454" s="6">
        <f>1-AB454/AJ454</f>
        <v>0.34545454545454546</v>
      </c>
      <c r="AL454" s="4">
        <f>AJ454-AB454</f>
        <v>38</v>
      </c>
      <c r="AM454" s="28"/>
      <c r="AN454" s="6"/>
      <c r="AO454" s="6"/>
      <c r="AP454" s="6">
        <f>Z454/L454</f>
        <v>0.6875</v>
      </c>
      <c r="AQ454" s="6">
        <f>AJ454/M454</f>
        <v>1.1578947368421053</v>
      </c>
      <c r="AR454" s="6">
        <f>AB454/N454</f>
        <v>1</v>
      </c>
      <c r="AS454" s="4"/>
      <c r="AT454" s="4"/>
      <c r="AU454" s="4"/>
      <c r="AV454" s="4"/>
      <c r="AW454" s="4"/>
      <c r="AX454" s="4"/>
      <c r="AY454" s="4"/>
      <c r="AZ454" s="4"/>
      <c r="BA454" s="4"/>
      <c r="BB454" s="4">
        <v>0</v>
      </c>
      <c r="BC454" s="4" t="s">
        <v>3976</v>
      </c>
      <c r="BD454" s="4">
        <v>1</v>
      </c>
      <c r="BE454" s="4">
        <v>10</v>
      </c>
      <c r="BF454" s="4" t="s">
        <v>3977</v>
      </c>
      <c r="BG454" s="4">
        <v>1600</v>
      </c>
      <c r="BH454" s="4">
        <v>1600</v>
      </c>
      <c r="BI454" s="4">
        <f t="shared" si="75"/>
        <v>160</v>
      </c>
      <c r="BJ454" s="19">
        <v>4</v>
      </c>
      <c r="BK454" s="19">
        <v>8</v>
      </c>
      <c r="BL454" s="16">
        <v>6</v>
      </c>
      <c r="BM454" s="45" t="s">
        <v>3534</v>
      </c>
      <c r="BN454" t="s">
        <v>3534</v>
      </c>
      <c r="BO454" t="str">
        <f t="shared" si="77"/>
        <v>-</v>
      </c>
      <c r="BP454" t="s">
        <v>3534</v>
      </c>
      <c r="BQ454">
        <v>140</v>
      </c>
      <c r="BR454">
        <f t="shared" si="78"/>
        <v>140</v>
      </c>
      <c r="BS454" t="s">
        <v>2882</v>
      </c>
    </row>
    <row r="455" spans="1:71" x14ac:dyDescent="0.4">
      <c r="A455" s="3">
        <v>452</v>
      </c>
      <c r="B455" s="3">
        <v>452</v>
      </c>
      <c r="C455" s="4" t="s">
        <v>514</v>
      </c>
      <c r="D455" s="4" t="str">
        <f t="shared" si="70"/>
        <v>J4292R</v>
      </c>
      <c r="E455" s="4" t="s">
        <v>514</v>
      </c>
      <c r="F455" s="4" t="s">
        <v>1732</v>
      </c>
      <c r="G455" s="5">
        <v>4521718213347</v>
      </c>
      <c r="H455" s="5"/>
      <c r="I455" s="5"/>
      <c r="J455" s="5">
        <v>1</v>
      </c>
      <c r="K455" s="5">
        <v>1</v>
      </c>
      <c r="L455" s="4">
        <v>3790</v>
      </c>
      <c r="M455" s="4">
        <v>2261</v>
      </c>
      <c r="N455" s="4">
        <v>1702</v>
      </c>
      <c r="O455" s="6">
        <f t="shared" si="71"/>
        <v>0.2472357363998231</v>
      </c>
      <c r="P455" s="4" t="s">
        <v>2500</v>
      </c>
      <c r="Q455" s="4"/>
      <c r="R455" s="4"/>
      <c r="S455" s="4"/>
      <c r="T455" s="4"/>
      <c r="U455" s="4"/>
      <c r="V455" s="4"/>
      <c r="W455" s="4"/>
      <c r="X455" s="4"/>
      <c r="Y455" s="4">
        <v>2619</v>
      </c>
      <c r="Z455" s="4">
        <f t="shared" si="72"/>
        <v>2619</v>
      </c>
      <c r="AA455" s="4">
        <v>1702</v>
      </c>
      <c r="AB455" s="4">
        <f t="shared" si="73"/>
        <v>1702</v>
      </c>
      <c r="AC455" s="4"/>
      <c r="AD455" s="21">
        <f>ROUND(M455*AR455,0)</f>
        <v>2261</v>
      </c>
      <c r="AE455" s="6">
        <f>1-AB455/AD455</f>
        <v>0.2472357363998231</v>
      </c>
      <c r="AF455" s="33">
        <v>0</v>
      </c>
      <c r="AG455" s="4">
        <f t="shared" si="74"/>
        <v>2619</v>
      </c>
      <c r="AH455" s="33">
        <f t="shared" si="76"/>
        <v>2619</v>
      </c>
      <c r="AI455" s="6">
        <f>1-AB455/AH455</f>
        <v>0.35013363879343262</v>
      </c>
      <c r="AJ455" s="7">
        <f>ROUND(AB455/0.65,0)</f>
        <v>2618</v>
      </c>
      <c r="AK455" s="6">
        <f>1-AB455/AJ455</f>
        <v>0.34988540870893814</v>
      </c>
      <c r="AL455" s="4">
        <f>AJ455-AB455</f>
        <v>916</v>
      </c>
      <c r="AM455" s="28"/>
      <c r="AN455" s="6"/>
      <c r="AO455" s="6"/>
      <c r="AP455" s="6">
        <f>Z455/L455</f>
        <v>0.69102902374670183</v>
      </c>
      <c r="AQ455" s="6">
        <f>AJ455/M455</f>
        <v>1.1578947368421053</v>
      </c>
      <c r="AR455" s="6">
        <f>AB455/N455</f>
        <v>1</v>
      </c>
      <c r="AS455" s="4"/>
      <c r="AT455" s="4"/>
      <c r="AU455" s="4"/>
      <c r="AV455" s="4"/>
      <c r="AW455" s="4"/>
      <c r="AX455" s="4"/>
      <c r="AY455" s="4"/>
      <c r="AZ455" s="4"/>
      <c r="BA455" s="4"/>
      <c r="BB455" s="4">
        <v>0</v>
      </c>
      <c r="BC455" s="4" t="s">
        <v>3978</v>
      </c>
      <c r="BD455" s="4"/>
      <c r="BE455" s="4"/>
      <c r="BF455" s="4" t="s">
        <v>3979</v>
      </c>
      <c r="BG455" s="4">
        <v>2619</v>
      </c>
      <c r="BH455" s="4">
        <v>2619</v>
      </c>
      <c r="BI455" s="4">
        <f t="shared" si="75"/>
        <v>2619</v>
      </c>
      <c r="BJ455" s="19">
        <v>4</v>
      </c>
      <c r="BK455" s="19">
        <v>8</v>
      </c>
      <c r="BL455" s="16">
        <v>6</v>
      </c>
      <c r="BM455" s="45" t="s">
        <v>3534</v>
      </c>
      <c r="BN455" t="s">
        <v>3534</v>
      </c>
      <c r="BO455" t="str">
        <f t="shared" si="77"/>
        <v>-</v>
      </c>
      <c r="BP455" t="s">
        <v>3534</v>
      </c>
      <c r="BQ455">
        <v>3270</v>
      </c>
      <c r="BR455">
        <f t="shared" si="78"/>
        <v>3270</v>
      </c>
      <c r="BS455" t="s">
        <v>2883</v>
      </c>
    </row>
    <row r="456" spans="1:71" x14ac:dyDescent="0.4">
      <c r="A456" s="3">
        <v>453</v>
      </c>
      <c r="B456" s="3">
        <v>453</v>
      </c>
      <c r="C456" s="4" t="s">
        <v>515</v>
      </c>
      <c r="D456" s="4" t="str">
        <f t="shared" si="70"/>
        <v>J4293R</v>
      </c>
      <c r="E456" s="4" t="s">
        <v>515</v>
      </c>
      <c r="F456" s="4" t="s">
        <v>1733</v>
      </c>
      <c r="G456" s="5">
        <v>4521718213392</v>
      </c>
      <c r="H456" s="5"/>
      <c r="I456" s="5"/>
      <c r="J456" s="5">
        <v>1</v>
      </c>
      <c r="K456" s="5">
        <v>1</v>
      </c>
      <c r="L456" s="4">
        <v>180</v>
      </c>
      <c r="M456" s="4">
        <v>138</v>
      </c>
      <c r="N456" s="4">
        <v>77</v>
      </c>
      <c r="O456" s="6">
        <f t="shared" si="71"/>
        <v>0.44202898550724634</v>
      </c>
      <c r="P456" s="4" t="s">
        <v>2500</v>
      </c>
      <c r="Q456" s="4"/>
      <c r="R456" s="4"/>
      <c r="S456" s="4"/>
      <c r="T456" s="4"/>
      <c r="U456" s="4"/>
      <c r="V456" s="4"/>
      <c r="W456" s="4"/>
      <c r="X456" s="4"/>
      <c r="Y456" s="4">
        <v>119</v>
      </c>
      <c r="Z456" s="4">
        <f t="shared" si="72"/>
        <v>119</v>
      </c>
      <c r="AA456" s="4">
        <v>77</v>
      </c>
      <c r="AB456" s="4">
        <f t="shared" si="73"/>
        <v>77</v>
      </c>
      <c r="AC456" s="4"/>
      <c r="AD456" s="21">
        <f>ROUND(M456*AR456,0)</f>
        <v>138</v>
      </c>
      <c r="AE456" s="6">
        <f>1-AB456/AD456</f>
        <v>0.44202898550724634</v>
      </c>
      <c r="AF456" s="33">
        <v>0</v>
      </c>
      <c r="AG456" s="4">
        <f t="shared" si="74"/>
        <v>180</v>
      </c>
      <c r="AH456" s="33">
        <f t="shared" si="76"/>
        <v>180</v>
      </c>
      <c r="AI456" s="6">
        <f>1-AB456/AH456</f>
        <v>0.57222222222222219</v>
      </c>
      <c r="AJ456" s="7">
        <f>ROUND(AB456/0.65,0)</f>
        <v>118</v>
      </c>
      <c r="AK456" s="6">
        <f>1-AB456/AJ456</f>
        <v>0.34745762711864403</v>
      </c>
      <c r="AL456" s="4">
        <f>AJ456-AB456</f>
        <v>41</v>
      </c>
      <c r="AM456" s="28"/>
      <c r="AN456" s="6"/>
      <c r="AO456" s="6"/>
      <c r="AP456" s="6">
        <f>Z456/L456</f>
        <v>0.66111111111111109</v>
      </c>
      <c r="AQ456" s="6">
        <f>AJ456/M456</f>
        <v>0.85507246376811596</v>
      </c>
      <c r="AR456" s="6">
        <f>AB456/N456</f>
        <v>1</v>
      </c>
      <c r="AS456" s="4"/>
      <c r="AT456" s="4"/>
      <c r="AU456" s="4"/>
      <c r="AV456" s="4"/>
      <c r="AW456" s="4"/>
      <c r="AX456" s="4"/>
      <c r="AY456" s="4"/>
      <c r="AZ456" s="4"/>
      <c r="BA456" s="4"/>
      <c r="BB456" s="4">
        <v>0</v>
      </c>
      <c r="BC456" s="4" t="s">
        <v>3980</v>
      </c>
      <c r="BD456" s="4">
        <v>1</v>
      </c>
      <c r="BE456" s="4">
        <v>9</v>
      </c>
      <c r="BF456" s="4" t="s">
        <v>3981</v>
      </c>
      <c r="BG456" s="4">
        <v>1620</v>
      </c>
      <c r="BH456" s="4">
        <v>1620</v>
      </c>
      <c r="BI456" s="4">
        <f t="shared" si="75"/>
        <v>180</v>
      </c>
      <c r="BJ456" s="19">
        <v>4</v>
      </c>
      <c r="BK456" s="19">
        <v>8</v>
      </c>
      <c r="BL456" s="16">
        <v>6</v>
      </c>
      <c r="BM456" s="45" t="s">
        <v>3534</v>
      </c>
      <c r="BN456" t="s">
        <v>3534</v>
      </c>
      <c r="BO456" t="str">
        <f t="shared" si="77"/>
        <v>-</v>
      </c>
      <c r="BP456" t="s">
        <v>3534</v>
      </c>
      <c r="BQ456">
        <v>150</v>
      </c>
      <c r="BR456">
        <f t="shared" si="78"/>
        <v>150</v>
      </c>
      <c r="BS456" t="s">
        <v>2884</v>
      </c>
    </row>
    <row r="457" spans="1:71" x14ac:dyDescent="0.4">
      <c r="A457" s="3">
        <v>454</v>
      </c>
      <c r="B457" s="3">
        <v>454</v>
      </c>
      <c r="C457" s="4" t="s">
        <v>516</v>
      </c>
      <c r="D457" s="4" t="str">
        <f t="shared" si="70"/>
        <v>J4279R</v>
      </c>
      <c r="E457" s="4" t="s">
        <v>516</v>
      </c>
      <c r="F457" s="4" t="s">
        <v>1734</v>
      </c>
      <c r="G457" s="5">
        <v>4521718212470</v>
      </c>
      <c r="H457" s="5"/>
      <c r="I457" s="5"/>
      <c r="J457" s="5">
        <v>1</v>
      </c>
      <c r="K457" s="5">
        <v>1</v>
      </c>
      <c r="L457" s="4">
        <v>400</v>
      </c>
      <c r="M457" s="4">
        <v>276</v>
      </c>
      <c r="N457" s="4">
        <v>207</v>
      </c>
      <c r="O457" s="6">
        <f t="shared" si="71"/>
        <v>0.25</v>
      </c>
      <c r="P457" s="4" t="s">
        <v>2500</v>
      </c>
      <c r="Q457" s="4"/>
      <c r="R457" s="4"/>
      <c r="S457" s="4"/>
      <c r="T457" s="4"/>
      <c r="U457" s="4"/>
      <c r="V457" s="4"/>
      <c r="W457" s="4"/>
      <c r="X457" s="4"/>
      <c r="Y457" s="4">
        <v>319</v>
      </c>
      <c r="Z457" s="4">
        <f t="shared" si="72"/>
        <v>319</v>
      </c>
      <c r="AA457" s="4">
        <v>223</v>
      </c>
      <c r="AB457" s="4">
        <f t="shared" si="73"/>
        <v>223</v>
      </c>
      <c r="AC457" s="4"/>
      <c r="AD457" s="21">
        <f>ROUND(M457*AR457,0)</f>
        <v>297</v>
      </c>
      <c r="AE457" s="6">
        <f>1-AB457/AD457</f>
        <v>0.24915824915824913</v>
      </c>
      <c r="AF457" s="33">
        <v>0</v>
      </c>
      <c r="AG457" s="4">
        <f t="shared" si="74"/>
        <v>400</v>
      </c>
      <c r="AH457" s="33">
        <f t="shared" si="76"/>
        <v>430.91787439613523</v>
      </c>
      <c r="AI457" s="6">
        <f>1-AB457/AH457</f>
        <v>0.48249999999999993</v>
      </c>
      <c r="AJ457" s="7">
        <v>319</v>
      </c>
      <c r="AK457" s="6">
        <f>1-AB457/AJ457</f>
        <v>0.30094043887147337</v>
      </c>
      <c r="AL457" s="4">
        <f>AJ457-AB457</f>
        <v>96</v>
      </c>
      <c r="AM457" s="28"/>
      <c r="AN457" s="6"/>
      <c r="AO457" s="6"/>
      <c r="AP457" s="6">
        <f>Z457/L457</f>
        <v>0.79749999999999999</v>
      </c>
      <c r="AQ457" s="6">
        <f>AJ457/M457</f>
        <v>1.1557971014492754</v>
      </c>
      <c r="AR457" s="6">
        <f>AB457/N457</f>
        <v>1.0772946859903381</v>
      </c>
      <c r="AS457" s="4"/>
      <c r="AT457" s="4"/>
      <c r="AU457" s="4"/>
      <c r="AV457" s="4"/>
      <c r="AW457" s="4"/>
      <c r="AX457" s="4"/>
      <c r="AY457" s="4"/>
      <c r="AZ457" s="4"/>
      <c r="BA457" s="4"/>
      <c r="BB457" s="4">
        <v>0</v>
      </c>
      <c r="BC457" s="4" t="s">
        <v>3982</v>
      </c>
      <c r="BD457" s="4">
        <v>1</v>
      </c>
      <c r="BE457" s="4">
        <v>4</v>
      </c>
      <c r="BF457" s="4" t="s">
        <v>3983</v>
      </c>
      <c r="BG457" s="4">
        <v>1600</v>
      </c>
      <c r="BH457" s="4">
        <v>1600</v>
      </c>
      <c r="BI457" s="4">
        <f t="shared" si="75"/>
        <v>400</v>
      </c>
      <c r="BJ457" s="19">
        <v>4</v>
      </c>
      <c r="BK457" s="19">
        <v>8</v>
      </c>
      <c r="BL457" s="16">
        <v>6</v>
      </c>
      <c r="BM457" s="45" t="s">
        <v>3534</v>
      </c>
      <c r="BN457" t="s">
        <v>3534</v>
      </c>
      <c r="BO457" t="str">
        <f t="shared" si="77"/>
        <v>-</v>
      </c>
      <c r="BP457" t="s">
        <v>3534</v>
      </c>
      <c r="BQ457">
        <v>400</v>
      </c>
      <c r="BR457">
        <f t="shared" si="78"/>
        <v>430.91787439613523</v>
      </c>
      <c r="BS457" t="s">
        <v>2885</v>
      </c>
    </row>
    <row r="458" spans="1:71" x14ac:dyDescent="0.4">
      <c r="A458" s="3">
        <v>455</v>
      </c>
      <c r="B458" s="3">
        <v>455</v>
      </c>
      <c r="C458" s="4" t="s">
        <v>517</v>
      </c>
      <c r="D458" s="4" t="str">
        <f t="shared" si="70"/>
        <v>J427MX</v>
      </c>
      <c r="E458" s="4" t="s">
        <v>517</v>
      </c>
      <c r="F458" s="4" t="s">
        <v>1735</v>
      </c>
      <c r="G458" s="5">
        <v>4521718113258</v>
      </c>
      <c r="H458" s="5"/>
      <c r="I458" s="5"/>
      <c r="J458" s="5">
        <v>1</v>
      </c>
      <c r="K458" s="5">
        <v>1</v>
      </c>
      <c r="L458" s="4">
        <v>910</v>
      </c>
      <c r="M458" s="4">
        <v>910</v>
      </c>
      <c r="N458" s="4">
        <v>640</v>
      </c>
      <c r="O458" s="6">
        <f t="shared" si="71"/>
        <v>0.29670329670329665</v>
      </c>
      <c r="P458" s="4" t="s">
        <v>2500</v>
      </c>
      <c r="Q458" s="4"/>
      <c r="R458" s="4"/>
      <c r="S458" s="4"/>
      <c r="T458" s="4"/>
      <c r="U458" s="4"/>
      <c r="V458" s="4"/>
      <c r="W458" s="4"/>
      <c r="X458" s="4"/>
      <c r="Y458" s="4">
        <v>91</v>
      </c>
      <c r="Z458" s="4">
        <f t="shared" si="72"/>
        <v>910</v>
      </c>
      <c r="AA458" s="4">
        <v>64</v>
      </c>
      <c r="AB458" s="4">
        <f t="shared" si="73"/>
        <v>640</v>
      </c>
      <c r="AC458" s="4">
        <v>10</v>
      </c>
      <c r="AD458" s="21">
        <f>ROUND(M458*AR458,0)</f>
        <v>910</v>
      </c>
      <c r="AE458" s="6">
        <f>1-AB458/AD458</f>
        <v>0.29670329670329665</v>
      </c>
      <c r="AF458" s="33">
        <v>2</v>
      </c>
      <c r="AG458" s="4">
        <f t="shared" si="74"/>
        <v>1460</v>
      </c>
      <c r="AH458" s="33">
        <f t="shared" si="76"/>
        <v>1460</v>
      </c>
      <c r="AI458" s="6">
        <f>1-AB458/AH458</f>
        <v>0.56164383561643838</v>
      </c>
      <c r="AJ458" s="7">
        <v>910</v>
      </c>
      <c r="AK458" s="6">
        <f>1-AB458/AJ458</f>
        <v>0.29670329670329665</v>
      </c>
      <c r="AL458" s="4">
        <f>AJ458-AB458</f>
        <v>270</v>
      </c>
      <c r="AM458" s="28"/>
      <c r="AN458" s="6"/>
      <c r="AO458" s="6"/>
      <c r="AP458" s="6">
        <f>Z458/L458</f>
        <v>1</v>
      </c>
      <c r="AQ458" s="6">
        <f>AJ458/M458</f>
        <v>1</v>
      </c>
      <c r="AR458" s="6">
        <f>AB458/N458</f>
        <v>1</v>
      </c>
      <c r="AS458" s="4"/>
      <c r="AT458" s="4"/>
      <c r="AU458" s="4"/>
      <c r="AV458" s="4"/>
      <c r="AW458" s="4"/>
      <c r="AX458" s="4"/>
      <c r="AY458" s="4"/>
      <c r="AZ458" s="4"/>
      <c r="BA458" s="4"/>
      <c r="BB458" s="4">
        <v>0</v>
      </c>
      <c r="BC458" s="4" t="s">
        <v>3984</v>
      </c>
      <c r="BD458" s="4">
        <v>10</v>
      </c>
      <c r="BE458" s="4">
        <v>20</v>
      </c>
      <c r="BF458" s="4" t="s">
        <v>3926</v>
      </c>
      <c r="BG458" s="4">
        <v>2920</v>
      </c>
      <c r="BH458" s="4">
        <v>2920</v>
      </c>
      <c r="BI458" s="4">
        <f t="shared" si="75"/>
        <v>1460</v>
      </c>
      <c r="BJ458" s="19">
        <v>4</v>
      </c>
      <c r="BK458" s="19">
        <v>8</v>
      </c>
      <c r="BL458" s="16">
        <v>6</v>
      </c>
      <c r="BM458" s="45" t="s">
        <v>3534</v>
      </c>
      <c r="BN458" t="s">
        <v>3534</v>
      </c>
      <c r="BO458" t="str">
        <f t="shared" si="77"/>
        <v>-</v>
      </c>
      <c r="BP458" t="s">
        <v>3534</v>
      </c>
      <c r="BQ458">
        <v>91</v>
      </c>
      <c r="BR458">
        <f t="shared" si="78"/>
        <v>91</v>
      </c>
      <c r="BS458" t="s">
        <v>2886</v>
      </c>
    </row>
    <row r="459" spans="1:71" x14ac:dyDescent="0.4">
      <c r="A459" s="3">
        <v>456</v>
      </c>
      <c r="B459" s="3">
        <v>456</v>
      </c>
      <c r="C459" s="4" t="s">
        <v>518</v>
      </c>
      <c r="D459" s="4" t="str">
        <f t="shared" si="70"/>
        <v>J4295R</v>
      </c>
      <c r="E459" s="4" t="s">
        <v>518</v>
      </c>
      <c r="F459" s="4" t="s">
        <v>1736</v>
      </c>
      <c r="G459" s="5">
        <v>4521718213378</v>
      </c>
      <c r="H459" s="5"/>
      <c r="I459" s="5"/>
      <c r="J459" s="5">
        <v>1</v>
      </c>
      <c r="K459" s="5">
        <v>1</v>
      </c>
      <c r="L459" s="4">
        <v>160</v>
      </c>
      <c r="M459" s="4">
        <v>129</v>
      </c>
      <c r="N459" s="4">
        <v>72</v>
      </c>
      <c r="O459" s="6">
        <f t="shared" si="71"/>
        <v>0.44186046511627908</v>
      </c>
      <c r="P459" s="4" t="s">
        <v>2500</v>
      </c>
      <c r="Q459" s="4"/>
      <c r="R459" s="4"/>
      <c r="S459" s="4"/>
      <c r="T459" s="4"/>
      <c r="U459" s="4"/>
      <c r="V459" s="4"/>
      <c r="W459" s="4"/>
      <c r="X459" s="4"/>
      <c r="Y459" s="4">
        <v>110</v>
      </c>
      <c r="Z459" s="4">
        <f t="shared" si="72"/>
        <v>110</v>
      </c>
      <c r="AA459" s="4">
        <v>72</v>
      </c>
      <c r="AB459" s="4">
        <f t="shared" si="73"/>
        <v>72</v>
      </c>
      <c r="AC459" s="4"/>
      <c r="AD459" s="21">
        <f>ROUND(M459*AR459,0)</f>
        <v>129</v>
      </c>
      <c r="AE459" s="6">
        <f>1-AB459/AD459</f>
        <v>0.44186046511627908</v>
      </c>
      <c r="AF459" s="33">
        <v>0.25</v>
      </c>
      <c r="AG459" s="4">
        <f t="shared" si="74"/>
        <v>180</v>
      </c>
      <c r="AH459" s="33">
        <f t="shared" si="76"/>
        <v>180</v>
      </c>
      <c r="AI459" s="6">
        <f>1-AB459/AH459</f>
        <v>0.6</v>
      </c>
      <c r="AJ459" s="7">
        <v>110</v>
      </c>
      <c r="AK459" s="6">
        <f>1-AB459/AJ459</f>
        <v>0.34545454545454546</v>
      </c>
      <c r="AL459" s="4">
        <f>AJ459-AB459</f>
        <v>38</v>
      </c>
      <c r="AM459" s="28"/>
      <c r="AN459" s="6"/>
      <c r="AO459" s="6"/>
      <c r="AP459" s="6">
        <f>Z459/L459</f>
        <v>0.6875</v>
      </c>
      <c r="AQ459" s="6">
        <f>AJ459/M459</f>
        <v>0.8527131782945736</v>
      </c>
      <c r="AR459" s="6">
        <f>AB459/N459</f>
        <v>1</v>
      </c>
      <c r="AS459" s="4"/>
      <c r="AT459" s="4"/>
      <c r="AU459" s="4"/>
      <c r="AV459" s="4"/>
      <c r="AW459" s="4"/>
      <c r="AX459" s="4"/>
      <c r="AY459" s="4"/>
      <c r="AZ459" s="4"/>
      <c r="BA459" s="4"/>
      <c r="BB459" s="4">
        <v>0</v>
      </c>
      <c r="BC459" s="4" t="s">
        <v>3985</v>
      </c>
      <c r="BD459" s="4">
        <v>1</v>
      </c>
      <c r="BE459" s="4">
        <v>9</v>
      </c>
      <c r="BF459" s="4" t="s">
        <v>3981</v>
      </c>
      <c r="BG459" s="4">
        <v>1620</v>
      </c>
      <c r="BH459" s="4">
        <v>1620</v>
      </c>
      <c r="BI459" s="4">
        <f t="shared" si="75"/>
        <v>180</v>
      </c>
      <c r="BJ459" s="19">
        <v>4</v>
      </c>
      <c r="BK459" s="19">
        <v>8</v>
      </c>
      <c r="BL459" s="16">
        <v>6</v>
      </c>
      <c r="BM459" s="45" t="s">
        <v>3534</v>
      </c>
      <c r="BN459" t="s">
        <v>3534</v>
      </c>
      <c r="BO459" t="str">
        <f t="shared" si="77"/>
        <v>-</v>
      </c>
      <c r="BP459" t="s">
        <v>3534</v>
      </c>
      <c r="BQ459">
        <v>150</v>
      </c>
      <c r="BR459">
        <f t="shared" si="78"/>
        <v>150</v>
      </c>
      <c r="BS459" t="s">
        <v>2887</v>
      </c>
    </row>
    <row r="460" spans="1:71" x14ac:dyDescent="0.4">
      <c r="A460" s="3">
        <v>457</v>
      </c>
      <c r="B460" s="3">
        <v>457</v>
      </c>
      <c r="C460" s="4" t="s">
        <v>519</v>
      </c>
      <c r="D460" s="4" t="str">
        <f t="shared" si="70"/>
        <v>J4296R</v>
      </c>
      <c r="E460" s="4" t="s">
        <v>519</v>
      </c>
      <c r="F460" s="4" t="s">
        <v>1737</v>
      </c>
      <c r="G460" s="5">
        <v>4521718213361</v>
      </c>
      <c r="H460" s="5"/>
      <c r="I460" s="5"/>
      <c r="J460" s="5">
        <v>1</v>
      </c>
      <c r="K460" s="5">
        <v>1</v>
      </c>
      <c r="L460" s="4">
        <v>3790</v>
      </c>
      <c r="M460" s="4">
        <v>2262</v>
      </c>
      <c r="N460" s="4">
        <v>1702</v>
      </c>
      <c r="O460" s="6">
        <f t="shared" si="71"/>
        <v>0.24756852343059244</v>
      </c>
      <c r="P460" s="4" t="s">
        <v>2500</v>
      </c>
      <c r="Q460" s="4"/>
      <c r="R460" s="4"/>
      <c r="S460" s="4"/>
      <c r="T460" s="4"/>
      <c r="U460" s="4"/>
      <c r="V460" s="4"/>
      <c r="W460" s="4"/>
      <c r="X460" s="4"/>
      <c r="Y460" s="4">
        <v>2619</v>
      </c>
      <c r="Z460" s="4">
        <f t="shared" si="72"/>
        <v>2619</v>
      </c>
      <c r="AA460" s="4">
        <v>1702</v>
      </c>
      <c r="AB460" s="4">
        <f t="shared" si="73"/>
        <v>1702</v>
      </c>
      <c r="AC460" s="4"/>
      <c r="AD460" s="21">
        <f>ROUND(M460*AR460,0)</f>
        <v>2262</v>
      </c>
      <c r="AE460" s="6">
        <f>1-AB460/AD460</f>
        <v>0.24756852343059244</v>
      </c>
      <c r="AF460" s="33">
        <v>0</v>
      </c>
      <c r="AG460" s="4">
        <f t="shared" si="74"/>
        <v>4100</v>
      </c>
      <c r="AH460" s="33">
        <f t="shared" si="76"/>
        <v>4100</v>
      </c>
      <c r="AI460" s="6">
        <f>1-AB460/AH460</f>
        <v>0.58487804878048788</v>
      </c>
      <c r="AJ460" s="7">
        <f>ROUND(AB460/0.65,0)</f>
        <v>2618</v>
      </c>
      <c r="AK460" s="6">
        <f>1-AB460/AJ460</f>
        <v>0.34988540870893814</v>
      </c>
      <c r="AL460" s="4">
        <f>AJ460-AB460</f>
        <v>916</v>
      </c>
      <c r="AM460" s="28"/>
      <c r="AN460" s="6"/>
      <c r="AO460" s="6"/>
      <c r="AP460" s="6">
        <f>Z460/L460</f>
        <v>0.69102902374670183</v>
      </c>
      <c r="AQ460" s="6">
        <f>AJ460/M460</f>
        <v>1.1573828470380194</v>
      </c>
      <c r="AR460" s="6">
        <f>AB460/N460</f>
        <v>1</v>
      </c>
      <c r="AS460" s="4"/>
      <c r="AT460" s="4"/>
      <c r="AU460" s="4"/>
      <c r="AV460" s="4"/>
      <c r="AW460" s="4"/>
      <c r="AX460" s="4"/>
      <c r="AY460" s="4"/>
      <c r="AZ460" s="4"/>
      <c r="BA460" s="4"/>
      <c r="BB460" s="4">
        <v>0</v>
      </c>
      <c r="BC460" s="4" t="s">
        <v>3986</v>
      </c>
      <c r="BD460" s="4"/>
      <c r="BE460" s="4"/>
      <c r="BF460" s="4" t="s">
        <v>3975</v>
      </c>
      <c r="BG460" s="4">
        <v>4100</v>
      </c>
      <c r="BH460" s="4">
        <v>4100</v>
      </c>
      <c r="BI460" s="4">
        <f t="shared" si="75"/>
        <v>4100</v>
      </c>
      <c r="BJ460" s="19">
        <v>4</v>
      </c>
      <c r="BK460" s="19">
        <v>8</v>
      </c>
      <c r="BL460" s="16">
        <v>6</v>
      </c>
      <c r="BM460" s="45" t="s">
        <v>3534</v>
      </c>
      <c r="BN460" t="s">
        <v>3534</v>
      </c>
      <c r="BO460" t="str">
        <f t="shared" si="77"/>
        <v>-</v>
      </c>
      <c r="BP460" t="s">
        <v>3534</v>
      </c>
      <c r="BQ460">
        <v>3543</v>
      </c>
      <c r="BR460">
        <f t="shared" si="78"/>
        <v>3543</v>
      </c>
      <c r="BS460" t="s">
        <v>2888</v>
      </c>
    </row>
    <row r="461" spans="1:71" x14ac:dyDescent="0.4">
      <c r="A461" s="3">
        <v>458</v>
      </c>
      <c r="B461" s="3">
        <v>458</v>
      </c>
      <c r="C461" s="4" t="s">
        <v>520</v>
      </c>
      <c r="D461" s="4" t="str">
        <f t="shared" si="70"/>
        <v>J4297R</v>
      </c>
      <c r="E461" s="4" t="s">
        <v>520</v>
      </c>
      <c r="F461" s="4" t="s">
        <v>1738</v>
      </c>
      <c r="G461" s="5">
        <v>4521718213675</v>
      </c>
      <c r="H461" s="5"/>
      <c r="I461" s="5"/>
      <c r="J461" s="5">
        <v>1</v>
      </c>
      <c r="K461" s="5">
        <v>1</v>
      </c>
      <c r="L461" s="4">
        <v>250</v>
      </c>
      <c r="M461" s="4">
        <v>154</v>
      </c>
      <c r="N461" s="4">
        <v>112</v>
      </c>
      <c r="O461" s="6">
        <f t="shared" si="71"/>
        <v>0.27272727272727271</v>
      </c>
      <c r="P461" s="4" t="s">
        <v>2500</v>
      </c>
      <c r="Q461" s="4"/>
      <c r="R461" s="4"/>
      <c r="S461" s="4"/>
      <c r="T461" s="4"/>
      <c r="U461" s="4"/>
      <c r="V461" s="4"/>
      <c r="W461" s="4"/>
      <c r="X461" s="4"/>
      <c r="Y461" s="4">
        <v>173</v>
      </c>
      <c r="Z461" s="4">
        <f t="shared" si="72"/>
        <v>173</v>
      </c>
      <c r="AA461" s="4">
        <v>112</v>
      </c>
      <c r="AB461" s="4">
        <f t="shared" si="73"/>
        <v>112</v>
      </c>
      <c r="AC461" s="4"/>
      <c r="AD461" s="21">
        <f>ROUND(M461*AR461,0)</f>
        <v>154</v>
      </c>
      <c r="AE461" s="6">
        <f>1-AB461/AD461</f>
        <v>0.27272727272727271</v>
      </c>
      <c r="AF461" s="33">
        <v>2.75</v>
      </c>
      <c r="AG461" s="4">
        <f t="shared" si="74"/>
        <v>270</v>
      </c>
      <c r="AH461" s="33">
        <f t="shared" si="76"/>
        <v>270</v>
      </c>
      <c r="AI461" s="6">
        <f>1-AB461/AH461</f>
        <v>0.58518518518518525</v>
      </c>
      <c r="AJ461" s="7">
        <f>ROUND(AB461/0.65,0)</f>
        <v>172</v>
      </c>
      <c r="AK461" s="6">
        <f>1-AB461/AJ461</f>
        <v>0.34883720930232553</v>
      </c>
      <c r="AL461" s="4">
        <f>AJ461-AB461</f>
        <v>60</v>
      </c>
      <c r="AM461" s="28"/>
      <c r="AN461" s="6"/>
      <c r="AO461" s="6"/>
      <c r="AP461" s="6">
        <f>Z461/L461</f>
        <v>0.69199999999999995</v>
      </c>
      <c r="AQ461" s="6">
        <f>AJ461/M461</f>
        <v>1.1168831168831168</v>
      </c>
      <c r="AR461" s="6">
        <f>AB461/N461</f>
        <v>1</v>
      </c>
      <c r="AS461" s="4"/>
      <c r="AT461" s="4"/>
      <c r="AU461" s="4"/>
      <c r="AV461" s="4"/>
      <c r="AW461" s="4"/>
      <c r="AX461" s="4"/>
      <c r="AY461" s="4"/>
      <c r="AZ461" s="4"/>
      <c r="BA461" s="4"/>
      <c r="BB461" s="4">
        <v>0</v>
      </c>
      <c r="BC461" s="4" t="s">
        <v>3987</v>
      </c>
      <c r="BD461" s="4">
        <v>1</v>
      </c>
      <c r="BE461" s="4">
        <v>6</v>
      </c>
      <c r="BF461" s="4" t="s">
        <v>3918</v>
      </c>
      <c r="BG461" s="4">
        <v>1620</v>
      </c>
      <c r="BH461" s="4">
        <v>1620</v>
      </c>
      <c r="BI461" s="4">
        <f t="shared" si="75"/>
        <v>270</v>
      </c>
      <c r="BJ461" s="19">
        <v>4</v>
      </c>
      <c r="BK461" s="19">
        <v>8</v>
      </c>
      <c r="BL461" s="16">
        <v>6</v>
      </c>
      <c r="BM461" s="45" t="s">
        <v>3534</v>
      </c>
      <c r="BN461" t="s">
        <v>3534</v>
      </c>
      <c r="BO461" t="str">
        <f t="shared" si="77"/>
        <v>-</v>
      </c>
      <c r="BP461" t="s">
        <v>3534</v>
      </c>
      <c r="BQ461">
        <v>232</v>
      </c>
      <c r="BR461">
        <f t="shared" si="78"/>
        <v>232</v>
      </c>
      <c r="BS461" t="s">
        <v>2889</v>
      </c>
    </row>
    <row r="462" spans="1:71" x14ac:dyDescent="0.4">
      <c r="A462" s="3">
        <v>459</v>
      </c>
      <c r="B462" s="3">
        <v>459</v>
      </c>
      <c r="C462" s="4" t="s">
        <v>521</v>
      </c>
      <c r="D462" s="4" t="str">
        <f t="shared" si="70"/>
        <v>J4298R</v>
      </c>
      <c r="E462" s="4" t="s">
        <v>521</v>
      </c>
      <c r="F462" s="4" t="s">
        <v>1739</v>
      </c>
      <c r="G462" s="5">
        <v>4521718213668</v>
      </c>
      <c r="H462" s="5"/>
      <c r="I462" s="5"/>
      <c r="J462" s="5">
        <v>1</v>
      </c>
      <c r="K462" s="5">
        <v>1</v>
      </c>
      <c r="L462" s="4">
        <v>5990</v>
      </c>
      <c r="M462" s="4">
        <v>3574</v>
      </c>
      <c r="N462" s="4">
        <v>2695</v>
      </c>
      <c r="O462" s="6">
        <f t="shared" si="71"/>
        <v>0.24594292109681026</v>
      </c>
      <c r="P462" s="4" t="s">
        <v>2500</v>
      </c>
      <c r="Q462" s="4"/>
      <c r="R462" s="4"/>
      <c r="S462" s="4"/>
      <c r="T462" s="4"/>
      <c r="U462" s="4"/>
      <c r="V462" s="4"/>
      <c r="W462" s="4"/>
      <c r="X462" s="4"/>
      <c r="Y462" s="4">
        <v>4146</v>
      </c>
      <c r="Z462" s="4">
        <f t="shared" si="72"/>
        <v>4146</v>
      </c>
      <c r="AA462" s="4">
        <v>2695</v>
      </c>
      <c r="AB462" s="4">
        <f t="shared" si="73"/>
        <v>2695</v>
      </c>
      <c r="AC462" s="4"/>
      <c r="AD462" s="21">
        <f>ROUND(M462*AR462,0)</f>
        <v>3574</v>
      </c>
      <c r="AE462" s="6">
        <f>1-AB462/AD462</f>
        <v>0.24594292109681026</v>
      </c>
      <c r="AF462" s="33">
        <v>0</v>
      </c>
      <c r="AG462" s="4">
        <f t="shared" si="74"/>
        <v>6310</v>
      </c>
      <c r="AH462" s="33">
        <f t="shared" si="76"/>
        <v>6310</v>
      </c>
      <c r="AI462" s="6">
        <f>1-AB462/AH462</f>
        <v>0.57290015847860531</v>
      </c>
      <c r="AJ462" s="7">
        <v>4146</v>
      </c>
      <c r="AK462" s="6">
        <f>1-AB462/AJ462</f>
        <v>0.34997588036661842</v>
      </c>
      <c r="AL462" s="4">
        <f>AJ462-AB462</f>
        <v>1451</v>
      </c>
      <c r="AM462" s="28"/>
      <c r="AN462" s="6"/>
      <c r="AO462" s="6"/>
      <c r="AP462" s="6">
        <f>Z462/L462</f>
        <v>0.69215358931552584</v>
      </c>
      <c r="AQ462" s="6">
        <f>AJ462/M462</f>
        <v>1.1600447677672077</v>
      </c>
      <c r="AR462" s="6">
        <f>AB462/N462</f>
        <v>1</v>
      </c>
      <c r="AS462" s="4"/>
      <c r="AT462" s="4"/>
      <c r="AU462" s="4"/>
      <c r="AV462" s="4"/>
      <c r="AW462" s="4"/>
      <c r="AX462" s="4"/>
      <c r="AY462" s="4"/>
      <c r="AZ462" s="4"/>
      <c r="BA462" s="4"/>
      <c r="BB462" s="4">
        <v>0</v>
      </c>
      <c r="BC462" s="4" t="s">
        <v>3988</v>
      </c>
      <c r="BD462" s="4"/>
      <c r="BE462" s="4"/>
      <c r="BF462" s="4" t="s">
        <v>3975</v>
      </c>
      <c r="BG462" s="4">
        <v>6310</v>
      </c>
      <c r="BH462" s="4">
        <v>6310</v>
      </c>
      <c r="BI462" s="4">
        <f t="shared" si="75"/>
        <v>6310</v>
      </c>
      <c r="BJ462" s="19">
        <v>4</v>
      </c>
      <c r="BK462" s="19">
        <v>8</v>
      </c>
      <c r="BL462" s="16">
        <v>6</v>
      </c>
      <c r="BM462" s="45" t="s">
        <v>3534</v>
      </c>
      <c r="BN462" t="s">
        <v>3534</v>
      </c>
      <c r="BO462" t="str">
        <f t="shared" si="77"/>
        <v>-</v>
      </c>
      <c r="BP462" t="s">
        <v>3534</v>
      </c>
      <c r="BQ462">
        <v>5453</v>
      </c>
      <c r="BR462">
        <f t="shared" si="78"/>
        <v>5453</v>
      </c>
      <c r="BS462" t="s">
        <v>2890</v>
      </c>
    </row>
    <row r="463" spans="1:71" x14ac:dyDescent="0.4">
      <c r="A463" s="3">
        <v>460</v>
      </c>
      <c r="B463" s="3">
        <v>460</v>
      </c>
      <c r="C463" s="4" t="s">
        <v>522</v>
      </c>
      <c r="D463" s="4" t="str">
        <f t="shared" si="70"/>
        <v>J4306R</v>
      </c>
      <c r="E463" s="4" t="s">
        <v>522</v>
      </c>
      <c r="F463" s="4" t="s">
        <v>1740</v>
      </c>
      <c r="G463" s="5">
        <v>4521718213651</v>
      </c>
      <c r="H463" s="5"/>
      <c r="I463" s="5"/>
      <c r="J463" s="5">
        <v>1</v>
      </c>
      <c r="K463" s="5">
        <v>1</v>
      </c>
      <c r="L463" s="4">
        <v>520</v>
      </c>
      <c r="M463" s="4">
        <v>323</v>
      </c>
      <c r="N463" s="4">
        <v>231</v>
      </c>
      <c r="O463" s="6">
        <f t="shared" si="71"/>
        <v>0.28482972136222906</v>
      </c>
      <c r="P463" s="4" t="s">
        <v>2500</v>
      </c>
      <c r="Q463" s="4"/>
      <c r="R463" s="4"/>
      <c r="S463" s="4"/>
      <c r="T463" s="4"/>
      <c r="U463" s="4"/>
      <c r="V463" s="4"/>
      <c r="W463" s="4"/>
      <c r="X463" s="4"/>
      <c r="Y463" s="4">
        <v>355</v>
      </c>
      <c r="Z463" s="4">
        <f t="shared" si="72"/>
        <v>355</v>
      </c>
      <c r="AA463" s="4">
        <v>231</v>
      </c>
      <c r="AB463" s="4">
        <f t="shared" si="73"/>
        <v>231</v>
      </c>
      <c r="AC463" s="4"/>
      <c r="AD463" s="21">
        <f>ROUND(M463*AR463,0)</f>
        <v>323</v>
      </c>
      <c r="AE463" s="6">
        <f>1-AB463/AD463</f>
        <v>0.28482972136222906</v>
      </c>
      <c r="AF463" s="33">
        <v>0.25</v>
      </c>
      <c r="AG463" s="4">
        <f t="shared" si="74"/>
        <v>355</v>
      </c>
      <c r="AH463" s="33">
        <f t="shared" si="76"/>
        <v>355</v>
      </c>
      <c r="AI463" s="6">
        <f>1-AB463/AH463</f>
        <v>0.3492957746478873</v>
      </c>
      <c r="AJ463" s="7">
        <v>355</v>
      </c>
      <c r="AK463" s="6">
        <f>1-AB463/AJ463</f>
        <v>0.3492957746478873</v>
      </c>
      <c r="AL463" s="4">
        <f>AJ463-AB463</f>
        <v>124</v>
      </c>
      <c r="AM463" s="28"/>
      <c r="AN463" s="6"/>
      <c r="AO463" s="6"/>
      <c r="AP463" s="6">
        <f>Z463/L463</f>
        <v>0.68269230769230771</v>
      </c>
      <c r="AQ463" s="6">
        <f>AJ463/M463</f>
        <v>1.0990712074303406</v>
      </c>
      <c r="AR463" s="6">
        <f>AB463/N463</f>
        <v>1</v>
      </c>
      <c r="AS463" s="4"/>
      <c r="AT463" s="4"/>
      <c r="AU463" s="4"/>
      <c r="AV463" s="4"/>
      <c r="AW463" s="4"/>
      <c r="AX463" s="4"/>
      <c r="AY463" s="4"/>
      <c r="AZ463" s="4"/>
      <c r="BA463" s="4"/>
      <c r="BB463" s="4">
        <v>0</v>
      </c>
      <c r="BC463" s="4" t="s">
        <v>3989</v>
      </c>
      <c r="BD463" s="4"/>
      <c r="BE463" s="4"/>
      <c r="BF463" s="4" t="s">
        <v>3545</v>
      </c>
      <c r="BG463" s="4">
        <v>355</v>
      </c>
      <c r="BH463" s="4">
        <v>355</v>
      </c>
      <c r="BI463" s="4">
        <f t="shared" si="75"/>
        <v>355</v>
      </c>
      <c r="BJ463" s="19">
        <v>4</v>
      </c>
      <c r="BK463" s="19">
        <v>8</v>
      </c>
      <c r="BL463" s="16">
        <v>6</v>
      </c>
      <c r="BM463" s="45" t="s">
        <v>3534</v>
      </c>
      <c r="BN463" t="s">
        <v>3534</v>
      </c>
      <c r="BO463" t="str">
        <f t="shared" si="77"/>
        <v>-</v>
      </c>
      <c r="BP463" t="s">
        <v>3534</v>
      </c>
      <c r="BQ463">
        <v>440</v>
      </c>
      <c r="BR463">
        <f t="shared" si="78"/>
        <v>440</v>
      </c>
      <c r="BS463" t="s">
        <v>2891</v>
      </c>
    </row>
    <row r="464" spans="1:71" x14ac:dyDescent="0.4">
      <c r="A464" s="3">
        <v>461</v>
      </c>
      <c r="B464" s="3">
        <v>461</v>
      </c>
      <c r="C464" s="4" t="s">
        <v>523</v>
      </c>
      <c r="D464" s="4" t="str">
        <f t="shared" si="70"/>
        <v>J429WL</v>
      </c>
      <c r="E464" s="4" t="s">
        <v>523</v>
      </c>
      <c r="F464" s="4" t="s">
        <v>1741</v>
      </c>
      <c r="G464" s="5">
        <v>4521718191737</v>
      </c>
      <c r="H464" s="5"/>
      <c r="I464" s="5"/>
      <c r="J464" s="5">
        <v>1</v>
      </c>
      <c r="K464" s="5">
        <v>1</v>
      </c>
      <c r="L464" s="4">
        <v>870</v>
      </c>
      <c r="M464" s="4">
        <v>696</v>
      </c>
      <c r="N464" s="4">
        <v>389</v>
      </c>
      <c r="O464" s="6">
        <f t="shared" si="71"/>
        <v>0.44109195402298851</v>
      </c>
      <c r="P464" s="4" t="s">
        <v>2500</v>
      </c>
      <c r="Q464" s="4"/>
      <c r="R464" s="4"/>
      <c r="S464" s="4"/>
      <c r="T464" s="4"/>
      <c r="U464" s="4"/>
      <c r="V464" s="4"/>
      <c r="W464" s="4"/>
      <c r="X464" s="4"/>
      <c r="Y464" s="4">
        <v>555</v>
      </c>
      <c r="Z464" s="4">
        <f t="shared" si="72"/>
        <v>555</v>
      </c>
      <c r="AA464" s="4">
        <v>389</v>
      </c>
      <c r="AB464" s="4">
        <f t="shared" si="73"/>
        <v>389</v>
      </c>
      <c r="AC464" s="4"/>
      <c r="AD464" s="21">
        <f>ROUND(M464*AR464,0)</f>
        <v>696</v>
      </c>
      <c r="AE464" s="6">
        <f>1-AB464/AD464</f>
        <v>0.44109195402298851</v>
      </c>
      <c r="AF464" s="33">
        <v>0</v>
      </c>
      <c r="AG464" s="4" t="str">
        <f t="shared" si="74"/>
        <v>-</v>
      </c>
      <c r="AH464" s="33" t="e">
        <f t="shared" si="76"/>
        <v>#VALUE!</v>
      </c>
      <c r="AI464" s="6" t="e">
        <f>1-AB464/AH464</f>
        <v>#VALUE!</v>
      </c>
      <c r="AJ464" s="7">
        <v>555</v>
      </c>
      <c r="AK464" s="6">
        <f>1-AB464/AJ464</f>
        <v>0.29909909909909915</v>
      </c>
      <c r="AL464" s="4">
        <f>AJ464-AB464</f>
        <v>166</v>
      </c>
      <c r="AM464" s="28"/>
      <c r="AN464" s="6"/>
      <c r="AO464" s="6"/>
      <c r="AP464" s="6">
        <f>Z464/L464</f>
        <v>0.63793103448275867</v>
      </c>
      <c r="AQ464" s="6">
        <f>AJ464/M464</f>
        <v>0.79741379310344829</v>
      </c>
      <c r="AR464" s="6">
        <f>AB464/N464</f>
        <v>1</v>
      </c>
      <c r="AS464" s="4"/>
      <c r="AT464" s="4"/>
      <c r="AU464" s="4"/>
      <c r="AV464" s="4"/>
      <c r="AW464" s="4"/>
      <c r="AX464" s="4"/>
      <c r="AY464" s="4"/>
      <c r="AZ464" s="4"/>
      <c r="BA464" s="4"/>
      <c r="BB464" s="4">
        <v>0</v>
      </c>
      <c r="BC464" s="4" t="s">
        <v>3534</v>
      </c>
      <c r="BD464" s="4"/>
      <c r="BE464" s="4"/>
      <c r="BF464" s="4" t="s">
        <v>3534</v>
      </c>
      <c r="BG464" s="4" t="s">
        <v>3534</v>
      </c>
      <c r="BH464" s="4" t="s">
        <v>3534</v>
      </c>
      <c r="BI464" s="4" t="str">
        <f t="shared" si="75"/>
        <v>-</v>
      </c>
      <c r="BJ464" s="19">
        <v>4</v>
      </c>
      <c r="BK464" s="19">
        <v>8</v>
      </c>
      <c r="BL464" s="16">
        <v>6</v>
      </c>
      <c r="BM464" s="45" t="s">
        <v>3534</v>
      </c>
      <c r="BN464" t="s">
        <v>3534</v>
      </c>
      <c r="BO464" t="str">
        <f t="shared" si="77"/>
        <v>-</v>
      </c>
      <c r="BP464" t="s">
        <v>3534</v>
      </c>
      <c r="BQ464" t="s">
        <v>3534</v>
      </c>
      <c r="BR464" t="str">
        <f t="shared" si="78"/>
        <v>-</v>
      </c>
      <c r="BS464" t="s">
        <v>3534</v>
      </c>
    </row>
    <row r="465" spans="1:71" x14ac:dyDescent="0.4">
      <c r="A465" s="3">
        <v>462</v>
      </c>
      <c r="B465" s="3">
        <v>462</v>
      </c>
      <c r="C465" s="4" t="s">
        <v>524</v>
      </c>
      <c r="D465" s="4" t="str">
        <f t="shared" si="70"/>
        <v>J4302R</v>
      </c>
      <c r="E465" s="4" t="s">
        <v>524</v>
      </c>
      <c r="F465" s="4" t="s">
        <v>1742</v>
      </c>
      <c r="G465" s="5">
        <v>4521718212692</v>
      </c>
      <c r="H465" s="5"/>
      <c r="I465" s="5"/>
      <c r="J465" s="5">
        <v>1</v>
      </c>
      <c r="K465" s="5">
        <v>1</v>
      </c>
      <c r="L465" s="4">
        <v>420</v>
      </c>
      <c r="M465" s="4">
        <v>264</v>
      </c>
      <c r="N465" s="4">
        <v>189</v>
      </c>
      <c r="O465" s="6">
        <f t="shared" si="71"/>
        <v>0.28409090909090906</v>
      </c>
      <c r="P465" s="4" t="s">
        <v>2500</v>
      </c>
      <c r="Q465" s="4"/>
      <c r="R465" s="4"/>
      <c r="S465" s="4"/>
      <c r="T465" s="4"/>
      <c r="U465" s="4"/>
      <c r="V465" s="4"/>
      <c r="W465" s="4"/>
      <c r="X465" s="4"/>
      <c r="Y465" s="4">
        <v>291</v>
      </c>
      <c r="Z465" s="4">
        <f t="shared" si="72"/>
        <v>291</v>
      </c>
      <c r="AA465" s="4">
        <v>189</v>
      </c>
      <c r="AB465" s="4">
        <f t="shared" si="73"/>
        <v>189</v>
      </c>
      <c r="AC465" s="4"/>
      <c r="AD465" s="21">
        <f>ROUND(M465*AR465,0)</f>
        <v>264</v>
      </c>
      <c r="AE465" s="6">
        <f>1-AB465/AD465</f>
        <v>0.28409090909090906</v>
      </c>
      <c r="AF465" s="33">
        <v>0.25</v>
      </c>
      <c r="AG465" s="4">
        <f t="shared" si="74"/>
        <v>420</v>
      </c>
      <c r="AH465" s="33">
        <f t="shared" si="76"/>
        <v>420</v>
      </c>
      <c r="AI465" s="6">
        <f>1-AB465/AH465</f>
        <v>0.55000000000000004</v>
      </c>
      <c r="AJ465" s="7">
        <f>ROUND(AB465/0.65,0)</f>
        <v>291</v>
      </c>
      <c r="AK465" s="6">
        <f>1-AB465/AJ465</f>
        <v>0.35051546391752575</v>
      </c>
      <c r="AL465" s="4">
        <f>AJ465-AB465</f>
        <v>102</v>
      </c>
      <c r="AM465" s="28"/>
      <c r="AN465" s="6"/>
      <c r="AO465" s="6"/>
      <c r="AP465" s="6">
        <f>Z465/L465</f>
        <v>0.69285714285714284</v>
      </c>
      <c r="AQ465" s="6">
        <f>AJ465/M465</f>
        <v>1.1022727272727273</v>
      </c>
      <c r="AR465" s="6">
        <f>AB465/N465</f>
        <v>1</v>
      </c>
      <c r="AS465" s="4"/>
      <c r="AT465" s="4"/>
      <c r="AU465" s="4"/>
      <c r="AV465" s="4"/>
      <c r="AW465" s="4"/>
      <c r="AX465" s="4"/>
      <c r="AY465" s="4"/>
      <c r="AZ465" s="4"/>
      <c r="BA465" s="4"/>
      <c r="BB465" s="4">
        <v>0</v>
      </c>
      <c r="BC465" s="4" t="s">
        <v>3990</v>
      </c>
      <c r="BD465" s="4">
        <v>1</v>
      </c>
      <c r="BE465" s="4">
        <v>4</v>
      </c>
      <c r="BF465" s="4" t="s">
        <v>3991</v>
      </c>
      <c r="BG465" s="4">
        <v>1680</v>
      </c>
      <c r="BH465" s="4">
        <v>1680</v>
      </c>
      <c r="BI465" s="4">
        <f t="shared" si="75"/>
        <v>420</v>
      </c>
      <c r="BJ465" s="19">
        <v>4</v>
      </c>
      <c r="BK465" s="19">
        <v>8</v>
      </c>
      <c r="BL465" s="16">
        <v>6</v>
      </c>
      <c r="BM465" s="45" t="s">
        <v>3534</v>
      </c>
      <c r="BN465" t="s">
        <v>3534</v>
      </c>
      <c r="BO465" t="str">
        <f t="shared" si="77"/>
        <v>-</v>
      </c>
      <c r="BP465" t="s">
        <v>3534</v>
      </c>
      <c r="BQ465">
        <v>378</v>
      </c>
      <c r="BR465">
        <f t="shared" si="78"/>
        <v>378</v>
      </c>
      <c r="BS465" t="s">
        <v>2892</v>
      </c>
    </row>
    <row r="466" spans="1:71" x14ac:dyDescent="0.4">
      <c r="A466" s="3">
        <v>463</v>
      </c>
      <c r="B466" s="3">
        <v>463</v>
      </c>
      <c r="C466" s="4" t="s">
        <v>525</v>
      </c>
      <c r="D466" s="4" t="str">
        <f t="shared" si="70"/>
        <v>J4307R</v>
      </c>
      <c r="E466" s="4" t="s">
        <v>525</v>
      </c>
      <c r="F466" s="4" t="s">
        <v>1743</v>
      </c>
      <c r="G466" s="5">
        <v>4521718212883</v>
      </c>
      <c r="H466" s="5"/>
      <c r="I466" s="5"/>
      <c r="J466" s="5">
        <v>1</v>
      </c>
      <c r="K466" s="5">
        <v>1</v>
      </c>
      <c r="L466" s="4">
        <v>900</v>
      </c>
      <c r="M466" s="4">
        <v>539</v>
      </c>
      <c r="N466" s="4">
        <v>402</v>
      </c>
      <c r="O466" s="6">
        <f t="shared" si="71"/>
        <v>0.25417439703153988</v>
      </c>
      <c r="P466" s="4" t="s">
        <v>2500</v>
      </c>
      <c r="Q466" s="4"/>
      <c r="R466" s="4"/>
      <c r="S466" s="4"/>
      <c r="T466" s="4"/>
      <c r="U466" s="4"/>
      <c r="V466" s="4"/>
      <c r="W466" s="4"/>
      <c r="X466" s="4"/>
      <c r="Y466" s="4">
        <v>900</v>
      </c>
      <c r="Z466" s="4">
        <f t="shared" si="72"/>
        <v>900</v>
      </c>
      <c r="AA466" s="4">
        <v>405</v>
      </c>
      <c r="AB466" s="4">
        <f t="shared" si="73"/>
        <v>405</v>
      </c>
      <c r="AC466" s="4"/>
      <c r="AD466" s="21">
        <f>ROUND(M466*AR466,0)</f>
        <v>543</v>
      </c>
      <c r="AE466" s="6">
        <f>1-AB466/AD466</f>
        <v>0.2541436464088398</v>
      </c>
      <c r="AF466" s="33">
        <v>0</v>
      </c>
      <c r="AG466" s="4">
        <f t="shared" si="74"/>
        <v>900</v>
      </c>
      <c r="AH466" s="33">
        <f t="shared" si="76"/>
        <v>906.71641791044772</v>
      </c>
      <c r="AI466" s="6">
        <f>1-AB466/AH466</f>
        <v>0.55333333333333323</v>
      </c>
      <c r="AJ466" s="7">
        <f>ROUND(AB466/0.65,0)</f>
        <v>623</v>
      </c>
      <c r="AK466" s="6">
        <f>1-AB466/AJ466</f>
        <v>0.3499197431781701</v>
      </c>
      <c r="AL466" s="4">
        <f>AJ466-AB466</f>
        <v>218</v>
      </c>
      <c r="AM466" s="28"/>
      <c r="AN466" s="6"/>
      <c r="AO466" s="6"/>
      <c r="AP466" s="6">
        <f>Z466/L466</f>
        <v>1</v>
      </c>
      <c r="AQ466" s="6">
        <f>AJ466/M466</f>
        <v>1.1558441558441559</v>
      </c>
      <c r="AR466" s="6">
        <f>AB466/N466</f>
        <v>1.0074626865671641</v>
      </c>
      <c r="AS466" s="4"/>
      <c r="AT466" s="4"/>
      <c r="AU466" s="4"/>
      <c r="AV466" s="4"/>
      <c r="AW466" s="4"/>
      <c r="AX466" s="4"/>
      <c r="AY466" s="4"/>
      <c r="AZ466" s="4"/>
      <c r="BA466" s="4"/>
      <c r="BB466" s="4">
        <v>0</v>
      </c>
      <c r="BC466" s="4" t="s">
        <v>3992</v>
      </c>
      <c r="BD466" s="4">
        <v>1</v>
      </c>
      <c r="BE466" s="4">
        <v>3</v>
      </c>
      <c r="BF466" s="4" t="s">
        <v>3698</v>
      </c>
      <c r="BG466" s="4">
        <v>2700</v>
      </c>
      <c r="BH466" s="4">
        <v>2700</v>
      </c>
      <c r="BI466" s="4">
        <f t="shared" si="75"/>
        <v>900</v>
      </c>
      <c r="BJ466" s="19">
        <v>4</v>
      </c>
      <c r="BK466" s="19">
        <v>8</v>
      </c>
      <c r="BL466" s="16">
        <v>6</v>
      </c>
      <c r="BM466" s="45" t="s">
        <v>3534</v>
      </c>
      <c r="BN466" t="s">
        <v>3534</v>
      </c>
      <c r="BO466" t="str">
        <f t="shared" si="77"/>
        <v>-</v>
      </c>
      <c r="BP466" t="s">
        <v>3534</v>
      </c>
      <c r="BQ466">
        <v>774</v>
      </c>
      <c r="BR466">
        <f t="shared" si="78"/>
        <v>779.77611940298505</v>
      </c>
      <c r="BS466" t="s">
        <v>2893</v>
      </c>
    </row>
    <row r="467" spans="1:71" x14ac:dyDescent="0.4">
      <c r="A467" s="3">
        <v>464</v>
      </c>
      <c r="B467" s="3">
        <v>464</v>
      </c>
      <c r="C467" s="4" t="s">
        <v>526</v>
      </c>
      <c r="D467" s="4" t="str">
        <f t="shared" si="70"/>
        <v>J4308R</v>
      </c>
      <c r="E467" s="4" t="s">
        <v>526</v>
      </c>
      <c r="F467" s="4" t="s">
        <v>1744</v>
      </c>
      <c r="G467" s="5">
        <v>4521718213422</v>
      </c>
      <c r="H467" s="5"/>
      <c r="I467" s="5"/>
      <c r="J467" s="5">
        <v>1</v>
      </c>
      <c r="K467" s="5">
        <v>1</v>
      </c>
      <c r="L467" s="4">
        <v>600</v>
      </c>
      <c r="M467" s="4">
        <v>373</v>
      </c>
      <c r="N467" s="4">
        <v>267</v>
      </c>
      <c r="O467" s="6">
        <f t="shared" si="71"/>
        <v>0.28418230563002678</v>
      </c>
      <c r="P467" s="4" t="s">
        <v>2500</v>
      </c>
      <c r="Q467" s="4"/>
      <c r="R467" s="4"/>
      <c r="S467" s="4"/>
      <c r="T467" s="4"/>
      <c r="U467" s="4"/>
      <c r="V467" s="4"/>
      <c r="W467" s="4"/>
      <c r="X467" s="4"/>
      <c r="Y467" s="4">
        <v>600</v>
      </c>
      <c r="Z467" s="4">
        <f t="shared" si="72"/>
        <v>600</v>
      </c>
      <c r="AA467" s="4">
        <v>270</v>
      </c>
      <c r="AB467" s="4">
        <f t="shared" si="73"/>
        <v>270</v>
      </c>
      <c r="AC467" s="4"/>
      <c r="AD467" s="21">
        <f>ROUND(M467*AR467,0)</f>
        <v>377</v>
      </c>
      <c r="AE467" s="6">
        <f>1-AB467/AD467</f>
        <v>0.28381962864721488</v>
      </c>
      <c r="AF467" s="33">
        <v>0</v>
      </c>
      <c r="AG467" s="4">
        <f t="shared" si="74"/>
        <v>600</v>
      </c>
      <c r="AH467" s="33">
        <f t="shared" si="76"/>
        <v>606.74157303370794</v>
      </c>
      <c r="AI467" s="6">
        <f>1-AB467/AH467</f>
        <v>0.55500000000000005</v>
      </c>
      <c r="AJ467" s="7">
        <f>ROUND(AB467/0.65,0)</f>
        <v>415</v>
      </c>
      <c r="AK467" s="6">
        <f>1-AB467/AJ467</f>
        <v>0.3493975903614458</v>
      </c>
      <c r="AL467" s="4">
        <f>AJ467-AB467</f>
        <v>145</v>
      </c>
      <c r="AM467" s="28"/>
      <c r="AN467" s="6"/>
      <c r="AO467" s="6"/>
      <c r="AP467" s="6">
        <f>Z467/L467</f>
        <v>1</v>
      </c>
      <c r="AQ467" s="6">
        <f>AJ467/M467</f>
        <v>1.1126005361930296</v>
      </c>
      <c r="AR467" s="6">
        <f>AB467/N467</f>
        <v>1.0112359550561798</v>
      </c>
      <c r="AS467" s="4"/>
      <c r="AT467" s="4"/>
      <c r="AU467" s="4"/>
      <c r="AV467" s="4"/>
      <c r="AW467" s="4"/>
      <c r="AX467" s="4"/>
      <c r="AY467" s="4"/>
      <c r="AZ467" s="4"/>
      <c r="BA467" s="4"/>
      <c r="BB467" s="4">
        <v>0</v>
      </c>
      <c r="BC467" s="4" t="s">
        <v>3993</v>
      </c>
      <c r="BD467" s="4">
        <v>1</v>
      </c>
      <c r="BE467" s="4">
        <v>3</v>
      </c>
      <c r="BF467" s="4" t="s">
        <v>3994</v>
      </c>
      <c r="BG467" s="4">
        <v>1800</v>
      </c>
      <c r="BH467" s="4">
        <v>1800</v>
      </c>
      <c r="BI467" s="4">
        <f t="shared" si="75"/>
        <v>600</v>
      </c>
      <c r="BJ467" s="19">
        <v>4</v>
      </c>
      <c r="BK467" s="19">
        <v>8</v>
      </c>
      <c r="BL467" s="16">
        <v>6</v>
      </c>
      <c r="BM467" s="45" t="s">
        <v>3534</v>
      </c>
      <c r="BN467" t="s">
        <v>3534</v>
      </c>
      <c r="BO467" t="str">
        <f t="shared" si="77"/>
        <v>-</v>
      </c>
      <c r="BP467" t="s">
        <v>3534</v>
      </c>
      <c r="BQ467">
        <v>597</v>
      </c>
      <c r="BR467">
        <f t="shared" si="78"/>
        <v>603.70786516853934</v>
      </c>
      <c r="BS467" t="s">
        <v>2894</v>
      </c>
    </row>
    <row r="468" spans="1:71" x14ac:dyDescent="0.4">
      <c r="A468" s="3">
        <v>465</v>
      </c>
      <c r="B468" s="3">
        <v>465</v>
      </c>
      <c r="C468" s="4" t="s">
        <v>527</v>
      </c>
      <c r="D468" s="4" t="str">
        <f t="shared" si="70"/>
        <v>J4303R</v>
      </c>
      <c r="E468" s="4" t="s">
        <v>527</v>
      </c>
      <c r="F468" s="4" t="s">
        <v>1745</v>
      </c>
      <c r="G468" s="5">
        <v>4521718212661</v>
      </c>
      <c r="H468" s="5"/>
      <c r="I468" s="5"/>
      <c r="J468" s="5">
        <v>1</v>
      </c>
      <c r="K468" s="5">
        <v>1</v>
      </c>
      <c r="L468" s="4">
        <v>530</v>
      </c>
      <c r="M468" s="4">
        <v>314</v>
      </c>
      <c r="N468" s="4">
        <v>237</v>
      </c>
      <c r="O468" s="6">
        <f t="shared" si="71"/>
        <v>0.24522292993630568</v>
      </c>
      <c r="P468" s="4" t="s">
        <v>2500</v>
      </c>
      <c r="Q468" s="4"/>
      <c r="R468" s="4"/>
      <c r="S468" s="4"/>
      <c r="T468" s="4"/>
      <c r="U468" s="4"/>
      <c r="V468" s="4"/>
      <c r="W468" s="4"/>
      <c r="X468" s="4"/>
      <c r="Y468" s="4">
        <v>364</v>
      </c>
      <c r="Z468" s="4">
        <f t="shared" si="72"/>
        <v>364</v>
      </c>
      <c r="AA468" s="4">
        <v>237</v>
      </c>
      <c r="AB468" s="4">
        <f t="shared" si="73"/>
        <v>237</v>
      </c>
      <c r="AC468" s="4"/>
      <c r="AD468" s="21">
        <f>ROUND(M468*AR468,0)</f>
        <v>314</v>
      </c>
      <c r="AE468" s="6">
        <f>1-AB468/AD468</f>
        <v>0.24522292993630568</v>
      </c>
      <c r="AF468" s="33">
        <v>0.25</v>
      </c>
      <c r="AG468" s="4">
        <f t="shared" si="74"/>
        <v>430</v>
      </c>
      <c r="AH468" s="33">
        <f t="shared" si="76"/>
        <v>430</v>
      </c>
      <c r="AI468" s="6">
        <f>1-AB468/AH468</f>
        <v>0.44883720930232562</v>
      </c>
      <c r="AJ468" s="7">
        <v>364</v>
      </c>
      <c r="AK468" s="6">
        <f>1-AB468/AJ468</f>
        <v>0.34890109890109888</v>
      </c>
      <c r="AL468" s="4">
        <f>AJ468-AB468</f>
        <v>127</v>
      </c>
      <c r="AM468" s="28"/>
      <c r="AN468" s="6"/>
      <c r="AO468" s="6"/>
      <c r="AP468" s="6">
        <f>Z468/L468</f>
        <v>0.68679245283018864</v>
      </c>
      <c r="AQ468" s="6">
        <f>AJ468/M468</f>
        <v>1.1592356687898089</v>
      </c>
      <c r="AR468" s="6">
        <f>AB468/N468</f>
        <v>1</v>
      </c>
      <c r="AS468" s="4"/>
      <c r="AT468" s="4"/>
      <c r="AU468" s="4"/>
      <c r="AV468" s="4"/>
      <c r="AW468" s="4"/>
      <c r="AX468" s="4"/>
      <c r="AY468" s="4"/>
      <c r="AZ468" s="4"/>
      <c r="BA468" s="4"/>
      <c r="BB468" s="4">
        <v>0</v>
      </c>
      <c r="BC468" s="4" t="s">
        <v>3995</v>
      </c>
      <c r="BD468" s="4">
        <v>1</v>
      </c>
      <c r="BE468" s="4">
        <v>6</v>
      </c>
      <c r="BF468" s="4" t="s">
        <v>3935</v>
      </c>
      <c r="BG468" s="4">
        <v>2580</v>
      </c>
      <c r="BH468" s="4">
        <v>2580</v>
      </c>
      <c r="BI468" s="4">
        <f t="shared" si="75"/>
        <v>430</v>
      </c>
      <c r="BJ468" s="19">
        <v>4</v>
      </c>
      <c r="BK468" s="19">
        <v>8</v>
      </c>
      <c r="BL468" s="16">
        <v>6</v>
      </c>
      <c r="BM468" s="45" t="s">
        <v>3534</v>
      </c>
      <c r="BN468" t="s">
        <v>3534</v>
      </c>
      <c r="BO468" t="str">
        <f t="shared" si="77"/>
        <v>-</v>
      </c>
      <c r="BP468" t="s">
        <v>3534</v>
      </c>
      <c r="BQ468">
        <v>453</v>
      </c>
      <c r="BR468">
        <f t="shared" si="78"/>
        <v>453</v>
      </c>
      <c r="BS468" t="s">
        <v>2895</v>
      </c>
    </row>
    <row r="469" spans="1:71" x14ac:dyDescent="0.4">
      <c r="A469" s="3">
        <v>466</v>
      </c>
      <c r="B469" s="3">
        <v>466</v>
      </c>
      <c r="C469" s="4" t="s">
        <v>528</v>
      </c>
      <c r="D469" s="4" t="str">
        <f t="shared" si="70"/>
        <v>J4304R</v>
      </c>
      <c r="E469" s="4" t="s">
        <v>528</v>
      </c>
      <c r="F469" s="4" t="s">
        <v>1746</v>
      </c>
      <c r="G469" s="5">
        <v>4521718212678</v>
      </c>
      <c r="H469" s="5"/>
      <c r="I469" s="5"/>
      <c r="J469" s="5">
        <v>1</v>
      </c>
      <c r="K469" s="5">
        <v>1</v>
      </c>
      <c r="L469" s="4">
        <v>580</v>
      </c>
      <c r="M469" s="4">
        <v>363</v>
      </c>
      <c r="N469" s="4">
        <v>260</v>
      </c>
      <c r="O469" s="6">
        <f t="shared" si="71"/>
        <v>0.28374655647382918</v>
      </c>
      <c r="P469" s="4" t="s">
        <v>2500</v>
      </c>
      <c r="Q469" s="4"/>
      <c r="R469" s="4"/>
      <c r="S469" s="4"/>
      <c r="T469" s="4"/>
      <c r="U469" s="4"/>
      <c r="V469" s="4"/>
      <c r="W469" s="4"/>
      <c r="X469" s="4"/>
      <c r="Y469" s="4">
        <v>400</v>
      </c>
      <c r="Z469" s="4">
        <f t="shared" si="72"/>
        <v>400</v>
      </c>
      <c r="AA469" s="4">
        <v>260</v>
      </c>
      <c r="AB469" s="4">
        <f t="shared" si="73"/>
        <v>260</v>
      </c>
      <c r="AC469" s="4"/>
      <c r="AD469" s="21">
        <f>ROUND(M469*AR469,0)</f>
        <v>363</v>
      </c>
      <c r="AE469" s="6">
        <f>1-AB469/AD469</f>
        <v>0.28374655647382918</v>
      </c>
      <c r="AF469" s="33">
        <v>0.25</v>
      </c>
      <c r="AG469" s="4">
        <f t="shared" si="74"/>
        <v>460</v>
      </c>
      <c r="AH469" s="33">
        <f t="shared" si="76"/>
        <v>460</v>
      </c>
      <c r="AI469" s="6">
        <f>1-AB469/AH469</f>
        <v>0.43478260869565222</v>
      </c>
      <c r="AJ469" s="7">
        <v>400</v>
      </c>
      <c r="AK469" s="6">
        <f>1-AB469/AJ469</f>
        <v>0.35</v>
      </c>
      <c r="AL469" s="4">
        <f>AJ469-AB469</f>
        <v>140</v>
      </c>
      <c r="AM469" s="28"/>
      <c r="AN469" s="6"/>
      <c r="AO469" s="6"/>
      <c r="AP469" s="6">
        <f>Z469/L469</f>
        <v>0.68965517241379315</v>
      </c>
      <c r="AQ469" s="6">
        <f>AJ469/M469</f>
        <v>1.1019283746556474</v>
      </c>
      <c r="AR469" s="6">
        <f>AB469/N469</f>
        <v>1</v>
      </c>
      <c r="AS469" s="4"/>
      <c r="AT469" s="4"/>
      <c r="AU469" s="4"/>
      <c r="AV469" s="4"/>
      <c r="AW469" s="4"/>
      <c r="AX469" s="4"/>
      <c r="AY469" s="4"/>
      <c r="AZ469" s="4"/>
      <c r="BA469" s="4"/>
      <c r="BB469" s="4">
        <v>0</v>
      </c>
      <c r="BC469" s="4" t="s">
        <v>3996</v>
      </c>
      <c r="BD469" s="4">
        <v>1</v>
      </c>
      <c r="BE469" s="4">
        <v>6</v>
      </c>
      <c r="BF469" s="4" t="s">
        <v>3935</v>
      </c>
      <c r="BG469" s="4">
        <v>2760</v>
      </c>
      <c r="BH469" s="4">
        <v>2760</v>
      </c>
      <c r="BI469" s="4">
        <f t="shared" si="75"/>
        <v>460</v>
      </c>
      <c r="BJ469" s="19">
        <v>4</v>
      </c>
      <c r="BK469" s="19">
        <v>8</v>
      </c>
      <c r="BL469" s="16">
        <v>6</v>
      </c>
      <c r="BM469" s="45" t="s">
        <v>3534</v>
      </c>
      <c r="BN469" t="s">
        <v>3534</v>
      </c>
      <c r="BO469" t="str">
        <f t="shared" si="77"/>
        <v>-</v>
      </c>
      <c r="BP469" t="s">
        <v>3534</v>
      </c>
      <c r="BQ469">
        <v>505</v>
      </c>
      <c r="BR469">
        <f t="shared" si="78"/>
        <v>505</v>
      </c>
      <c r="BS469" t="s">
        <v>2896</v>
      </c>
    </row>
    <row r="470" spans="1:71" x14ac:dyDescent="0.4">
      <c r="A470" s="3">
        <v>467</v>
      </c>
      <c r="B470" s="3">
        <v>467</v>
      </c>
      <c r="C470" s="4" t="s">
        <v>529</v>
      </c>
      <c r="D470" s="4" t="str">
        <f t="shared" si="70"/>
        <v>J430WE</v>
      </c>
      <c r="E470" s="4" t="s">
        <v>529</v>
      </c>
      <c r="F470" s="4" t="s">
        <v>1747</v>
      </c>
      <c r="G470" s="5">
        <v>4521718747156</v>
      </c>
      <c r="H470" s="5"/>
      <c r="I470" s="5"/>
      <c r="J470" s="5">
        <v>1</v>
      </c>
      <c r="K470" s="5">
        <v>1</v>
      </c>
      <c r="L470" s="4">
        <v>2600</v>
      </c>
      <c r="M470" s="4">
        <v>2200</v>
      </c>
      <c r="N470" s="4">
        <v>1300</v>
      </c>
      <c r="O470" s="6">
        <f t="shared" si="71"/>
        <v>0.40909090909090906</v>
      </c>
      <c r="P470" s="4" t="s">
        <v>2500</v>
      </c>
      <c r="Q470" s="4"/>
      <c r="R470" s="4"/>
      <c r="S470" s="4"/>
      <c r="T470" s="4"/>
      <c r="U470" s="4"/>
      <c r="V470" s="4"/>
      <c r="W470" s="4"/>
      <c r="X470" s="4"/>
      <c r="Y470" s="4">
        <v>2600</v>
      </c>
      <c r="Z470" s="4">
        <f t="shared" si="72"/>
        <v>2600</v>
      </c>
      <c r="AA470" s="4">
        <v>1300</v>
      </c>
      <c r="AB470" s="4">
        <f t="shared" si="73"/>
        <v>1300</v>
      </c>
      <c r="AC470" s="4"/>
      <c r="AD470" s="21">
        <f>ROUND(M470*AR470,0)</f>
        <v>2200</v>
      </c>
      <c r="AE470" s="6">
        <f>1-AB470/AD470</f>
        <v>0.40909090909090906</v>
      </c>
      <c r="AF470" s="33">
        <v>0</v>
      </c>
      <c r="AG470" s="4">
        <f t="shared" si="74"/>
        <v>2600</v>
      </c>
      <c r="AH470" s="33">
        <f t="shared" si="76"/>
        <v>2600</v>
      </c>
      <c r="AI470" s="6">
        <f>1-AB470/AH470</f>
        <v>0.5</v>
      </c>
      <c r="AJ470" s="7">
        <f>ROUND(AB470/0.65,0)</f>
        <v>2000</v>
      </c>
      <c r="AK470" s="6">
        <f>1-AB470/AJ470</f>
        <v>0.35</v>
      </c>
      <c r="AL470" s="4">
        <f>AJ470-AB470</f>
        <v>700</v>
      </c>
      <c r="AM470" s="28"/>
      <c r="AN470" s="6"/>
      <c r="AO470" s="6"/>
      <c r="AP470" s="6">
        <f>Z470/L470</f>
        <v>1</v>
      </c>
      <c r="AQ470" s="6">
        <f>AJ470/M470</f>
        <v>0.90909090909090906</v>
      </c>
      <c r="AR470" s="6">
        <f>AB470/N470</f>
        <v>1</v>
      </c>
      <c r="AS470" s="4"/>
      <c r="AT470" s="4"/>
      <c r="AU470" s="4"/>
      <c r="AV470" s="4"/>
      <c r="AW470" s="4"/>
      <c r="AX470" s="4"/>
      <c r="AY470" s="4"/>
      <c r="AZ470" s="4"/>
      <c r="BA470" s="4"/>
      <c r="BB470" s="4">
        <v>0</v>
      </c>
      <c r="BC470" s="4" t="s">
        <v>3997</v>
      </c>
      <c r="BD470" s="4"/>
      <c r="BE470" s="4"/>
      <c r="BF470" s="4" t="s">
        <v>3538</v>
      </c>
      <c r="BG470" s="4">
        <v>2600</v>
      </c>
      <c r="BH470" s="4">
        <v>2600</v>
      </c>
      <c r="BI470" s="4">
        <f t="shared" si="75"/>
        <v>2600</v>
      </c>
      <c r="BJ470" s="19">
        <v>4</v>
      </c>
      <c r="BK470" s="19">
        <v>8</v>
      </c>
      <c r="BL470" s="16">
        <v>4</v>
      </c>
      <c r="BM470" s="45" t="s">
        <v>3534</v>
      </c>
      <c r="BN470" t="s">
        <v>3534</v>
      </c>
      <c r="BO470" t="str">
        <f t="shared" si="77"/>
        <v>-</v>
      </c>
      <c r="BP470" t="s">
        <v>3534</v>
      </c>
      <c r="BQ470">
        <v>2470</v>
      </c>
      <c r="BR470">
        <f t="shared" si="78"/>
        <v>2470</v>
      </c>
      <c r="BS470" t="s">
        <v>2897</v>
      </c>
    </row>
    <row r="471" spans="1:71" x14ac:dyDescent="0.4">
      <c r="A471" s="3">
        <v>468</v>
      </c>
      <c r="B471" s="3">
        <v>468</v>
      </c>
      <c r="C471" s="4" t="s">
        <v>530</v>
      </c>
      <c r="D471" s="4" t="str">
        <f t="shared" ref="D471:D534" si="79">TEXT(C471,"000000")</f>
        <v>J430WL</v>
      </c>
      <c r="E471" s="4" t="s">
        <v>530</v>
      </c>
      <c r="F471" s="4" t="s">
        <v>1748</v>
      </c>
      <c r="G471" s="5">
        <v>4521718191744</v>
      </c>
      <c r="H471" s="5"/>
      <c r="I471" s="5"/>
      <c r="J471" s="5">
        <v>1</v>
      </c>
      <c r="K471" s="5">
        <v>1</v>
      </c>
      <c r="L471" s="4">
        <v>870</v>
      </c>
      <c r="M471" s="4">
        <v>696</v>
      </c>
      <c r="N471" s="4">
        <v>389</v>
      </c>
      <c r="O471" s="6">
        <f t="shared" ref="O471:O534" si="80">1-N471/M471</f>
        <v>0.44109195402298851</v>
      </c>
      <c r="P471" s="4" t="s">
        <v>2500</v>
      </c>
      <c r="Q471" s="4"/>
      <c r="R471" s="4"/>
      <c r="S471" s="4"/>
      <c r="T471" s="4"/>
      <c r="U471" s="4"/>
      <c r="V471" s="4"/>
      <c r="W471" s="4"/>
      <c r="X471" s="4"/>
      <c r="Y471" s="4">
        <v>555</v>
      </c>
      <c r="Z471" s="4">
        <f t="shared" ref="Z471:Z534" si="81">IF(AC471="",Y471,Y471*AC471)</f>
        <v>555</v>
      </c>
      <c r="AA471" s="4">
        <v>389</v>
      </c>
      <c r="AB471" s="4">
        <f t="shared" ref="AB471:AB534" si="82">IF(AC471="",AA471,AA471*AC471)</f>
        <v>389</v>
      </c>
      <c r="AC471" s="4"/>
      <c r="AD471" s="21">
        <f>ROUND(M471*AR471,0)</f>
        <v>696</v>
      </c>
      <c r="AE471" s="6">
        <f>1-AB471/AD471</f>
        <v>0.44109195402298851</v>
      </c>
      <c r="AF471" s="33">
        <v>0</v>
      </c>
      <c r="AG471" s="4" t="str">
        <f t="shared" ref="AG471:AG534" si="83">BI471</f>
        <v>-</v>
      </c>
      <c r="AH471" s="33" t="e">
        <f t="shared" si="76"/>
        <v>#VALUE!</v>
      </c>
      <c r="AI471" s="6" t="e">
        <f>1-AB471/AH471</f>
        <v>#VALUE!</v>
      </c>
      <c r="AJ471" s="7">
        <v>555</v>
      </c>
      <c r="AK471" s="6">
        <f>1-AB471/AJ471</f>
        <v>0.29909909909909915</v>
      </c>
      <c r="AL471" s="4">
        <f>AJ471-AB471</f>
        <v>166</v>
      </c>
      <c r="AM471" s="28"/>
      <c r="AN471" s="6"/>
      <c r="AO471" s="6"/>
      <c r="AP471" s="6">
        <f>Z471/L471</f>
        <v>0.63793103448275867</v>
      </c>
      <c r="AQ471" s="6">
        <f>AJ471/M471</f>
        <v>0.79741379310344829</v>
      </c>
      <c r="AR471" s="6">
        <f>AB471/N471</f>
        <v>1</v>
      </c>
      <c r="AS471" s="4"/>
      <c r="AT471" s="4"/>
      <c r="AU471" s="4"/>
      <c r="AV471" s="4"/>
      <c r="AW471" s="4"/>
      <c r="AX471" s="4"/>
      <c r="AY471" s="4"/>
      <c r="AZ471" s="4"/>
      <c r="BA471" s="4"/>
      <c r="BB471" s="4">
        <v>0</v>
      </c>
      <c r="BC471" s="4" t="s">
        <v>3534</v>
      </c>
      <c r="BD471" s="4"/>
      <c r="BE471" s="4"/>
      <c r="BF471" s="4" t="s">
        <v>3534</v>
      </c>
      <c r="BG471" s="4" t="s">
        <v>3534</v>
      </c>
      <c r="BH471" s="4" t="s">
        <v>3534</v>
      </c>
      <c r="BI471" s="4" t="str">
        <f t="shared" ref="BI471:BI534" si="84">IF(BD471="",BH471,BD471/BE471*BH471)</f>
        <v>-</v>
      </c>
      <c r="BJ471" s="19">
        <v>4</v>
      </c>
      <c r="BK471" s="19">
        <v>8</v>
      </c>
      <c r="BL471" s="16">
        <v>6</v>
      </c>
      <c r="BM471" s="45" t="s">
        <v>3534</v>
      </c>
      <c r="BN471" t="s">
        <v>3534</v>
      </c>
      <c r="BO471" t="str">
        <f t="shared" si="77"/>
        <v>-</v>
      </c>
      <c r="BP471" t="s">
        <v>3534</v>
      </c>
      <c r="BQ471" t="s">
        <v>3534</v>
      </c>
      <c r="BR471" t="str">
        <f t="shared" si="78"/>
        <v>-</v>
      </c>
      <c r="BS471" t="s">
        <v>3534</v>
      </c>
    </row>
    <row r="472" spans="1:71" x14ac:dyDescent="0.4">
      <c r="A472" s="3">
        <v>469</v>
      </c>
      <c r="B472" s="3">
        <v>469</v>
      </c>
      <c r="C472" s="4" t="s">
        <v>531</v>
      </c>
      <c r="D472" s="4" t="str">
        <f t="shared" si="79"/>
        <v>J4310R</v>
      </c>
      <c r="E472" s="4" t="s">
        <v>531</v>
      </c>
      <c r="F472" s="4" t="s">
        <v>1749</v>
      </c>
      <c r="G472" s="5">
        <v>4521718213293</v>
      </c>
      <c r="H472" s="5"/>
      <c r="I472" s="5"/>
      <c r="J472" s="5">
        <v>1</v>
      </c>
      <c r="K472" s="5">
        <v>1</v>
      </c>
      <c r="L472" s="4">
        <v>390</v>
      </c>
      <c r="M472" s="4">
        <v>228</v>
      </c>
      <c r="N472" s="4">
        <v>172</v>
      </c>
      <c r="O472" s="6">
        <f t="shared" si="80"/>
        <v>0.24561403508771928</v>
      </c>
      <c r="P472" s="4" t="s">
        <v>2500</v>
      </c>
      <c r="Q472" s="4"/>
      <c r="R472" s="4"/>
      <c r="S472" s="4"/>
      <c r="T472" s="4"/>
      <c r="U472" s="4"/>
      <c r="V472" s="4"/>
      <c r="W472" s="4"/>
      <c r="X472" s="4"/>
      <c r="Y472" s="4">
        <v>390</v>
      </c>
      <c r="Z472" s="4">
        <f t="shared" si="81"/>
        <v>390</v>
      </c>
      <c r="AA472" s="4">
        <v>176</v>
      </c>
      <c r="AB472" s="4">
        <f t="shared" si="82"/>
        <v>176</v>
      </c>
      <c r="AC472" s="4"/>
      <c r="AD472" s="21">
        <f>ROUND(M472*AR472,0)</f>
        <v>233</v>
      </c>
      <c r="AE472" s="6">
        <f>1-AB472/AD472</f>
        <v>0.24463519313304716</v>
      </c>
      <c r="AF472" s="33">
        <v>0.25</v>
      </c>
      <c r="AG472" s="4">
        <f t="shared" si="83"/>
        <v>390</v>
      </c>
      <c r="AH472" s="33">
        <f t="shared" si="76"/>
        <v>399.06976744186051</v>
      </c>
      <c r="AI472" s="6">
        <f>1-AB472/AH472</f>
        <v>0.55897435897435899</v>
      </c>
      <c r="AJ472" s="7">
        <f>ROUND(AB472/0.65,0)</f>
        <v>271</v>
      </c>
      <c r="AK472" s="6">
        <f>1-AB472/AJ472</f>
        <v>0.35055350553505538</v>
      </c>
      <c r="AL472" s="4">
        <f>AJ472-AB472</f>
        <v>95</v>
      </c>
      <c r="AM472" s="28"/>
      <c r="AN472" s="6"/>
      <c r="AO472" s="6"/>
      <c r="AP472" s="6">
        <f>Z472/L472</f>
        <v>1</v>
      </c>
      <c r="AQ472" s="6">
        <f>AJ472/M472</f>
        <v>1.1885964912280702</v>
      </c>
      <c r="AR472" s="6">
        <f>AB472/N472</f>
        <v>1.0232558139534884</v>
      </c>
      <c r="AS472" s="4"/>
      <c r="AT472" s="4"/>
      <c r="AU472" s="4"/>
      <c r="AV472" s="4"/>
      <c r="AW472" s="4"/>
      <c r="AX472" s="4"/>
      <c r="AY472" s="4"/>
      <c r="AZ472" s="4"/>
      <c r="BA472" s="4"/>
      <c r="BB472" s="4">
        <v>0</v>
      </c>
      <c r="BC472" s="4" t="s">
        <v>3998</v>
      </c>
      <c r="BD472" s="4">
        <v>1</v>
      </c>
      <c r="BE472" s="4">
        <v>4</v>
      </c>
      <c r="BF472" s="4" t="s">
        <v>3999</v>
      </c>
      <c r="BG472" s="4">
        <v>1560</v>
      </c>
      <c r="BH472" s="4">
        <v>1560</v>
      </c>
      <c r="BI472" s="4">
        <f t="shared" si="84"/>
        <v>390</v>
      </c>
      <c r="BJ472" s="19">
        <v>4</v>
      </c>
      <c r="BK472" s="19">
        <v>8</v>
      </c>
      <c r="BL472" s="16">
        <v>6</v>
      </c>
      <c r="BM472" s="45" t="s">
        <v>3534</v>
      </c>
      <c r="BN472" t="s">
        <v>3534</v>
      </c>
      <c r="BO472" t="str">
        <f t="shared" si="77"/>
        <v>-</v>
      </c>
      <c r="BP472" t="s">
        <v>3534</v>
      </c>
      <c r="BQ472">
        <v>390</v>
      </c>
      <c r="BR472">
        <f t="shared" si="78"/>
        <v>399.06976744186051</v>
      </c>
      <c r="BS472" t="s">
        <v>2898</v>
      </c>
    </row>
    <row r="473" spans="1:71" x14ac:dyDescent="0.4">
      <c r="A473" s="3">
        <v>470</v>
      </c>
      <c r="B473" s="3">
        <v>470</v>
      </c>
      <c r="C473" s="4" t="s">
        <v>532</v>
      </c>
      <c r="D473" s="4" t="str">
        <f t="shared" si="79"/>
        <v>J4311R</v>
      </c>
      <c r="E473" s="4" t="s">
        <v>532</v>
      </c>
      <c r="F473" s="4" t="s">
        <v>1750</v>
      </c>
      <c r="G473" s="5">
        <v>4902031319228</v>
      </c>
      <c r="H473" s="5"/>
      <c r="I473" s="5"/>
      <c r="J473" s="5">
        <v>1</v>
      </c>
      <c r="K473" s="5">
        <v>1</v>
      </c>
      <c r="L473" s="4">
        <v>440</v>
      </c>
      <c r="M473" s="4">
        <v>266</v>
      </c>
      <c r="N473" s="4">
        <v>196</v>
      </c>
      <c r="O473" s="6">
        <f t="shared" si="80"/>
        <v>0.26315789473684215</v>
      </c>
      <c r="P473" s="4" t="s">
        <v>2500</v>
      </c>
      <c r="Q473" s="4"/>
      <c r="R473" s="4"/>
      <c r="S473" s="4"/>
      <c r="T473" s="4"/>
      <c r="U473" s="4"/>
      <c r="V473" s="4"/>
      <c r="W473" s="4"/>
      <c r="X473" s="4"/>
      <c r="Y473" s="4">
        <v>440</v>
      </c>
      <c r="Z473" s="4">
        <f t="shared" si="81"/>
        <v>440</v>
      </c>
      <c r="AA473" s="4">
        <v>198</v>
      </c>
      <c r="AB473" s="4">
        <f t="shared" si="82"/>
        <v>198</v>
      </c>
      <c r="AC473" s="4"/>
      <c r="AD473" s="21">
        <f>ROUND(M473*AR473,0)</f>
        <v>269</v>
      </c>
      <c r="AE473" s="6">
        <f>1-AB473/AD473</f>
        <v>0.26394052044609662</v>
      </c>
      <c r="AF473" s="33">
        <v>0</v>
      </c>
      <c r="AG473" s="4">
        <f t="shared" si="83"/>
        <v>188.20000000000002</v>
      </c>
      <c r="AH473" s="33">
        <f t="shared" si="76"/>
        <v>190.1204081632653</v>
      </c>
      <c r="AI473" s="6">
        <f>1-AB473/AH473</f>
        <v>-4.1445270988310412E-2</v>
      </c>
      <c r="AJ473" s="7">
        <f>ROUND(AB473/0.65,0)</f>
        <v>305</v>
      </c>
      <c r="AK473" s="6">
        <f>1-AB473/AJ473</f>
        <v>0.35081967213114751</v>
      </c>
      <c r="AL473" s="4">
        <f>AJ473-AB473</f>
        <v>107</v>
      </c>
      <c r="AM473" s="28"/>
      <c r="AN473" s="6"/>
      <c r="AO473" s="6"/>
      <c r="AP473" s="6">
        <f>Z473/L473</f>
        <v>1</v>
      </c>
      <c r="AQ473" s="6">
        <f>AJ473/M473</f>
        <v>1.1466165413533835</v>
      </c>
      <c r="AR473" s="6">
        <f>AB473/N473</f>
        <v>1.010204081632653</v>
      </c>
      <c r="AS473" s="4"/>
      <c r="AT473" s="4"/>
      <c r="AU473" s="4"/>
      <c r="AV473" s="4"/>
      <c r="AW473" s="4"/>
      <c r="AX473" s="4"/>
      <c r="AY473" s="4"/>
      <c r="AZ473" s="4"/>
      <c r="BA473" s="4"/>
      <c r="BB473" s="4">
        <v>0</v>
      </c>
      <c r="BC473" s="4" t="s">
        <v>4000</v>
      </c>
      <c r="BD473" s="4">
        <v>1</v>
      </c>
      <c r="BE473" s="4">
        <v>5</v>
      </c>
      <c r="BF473" s="4" t="s">
        <v>4001</v>
      </c>
      <c r="BG473" s="4">
        <v>941</v>
      </c>
      <c r="BH473" s="4">
        <v>941</v>
      </c>
      <c r="BI473" s="4">
        <f t="shared" si="84"/>
        <v>188.20000000000002</v>
      </c>
      <c r="BJ473" s="19">
        <v>4</v>
      </c>
      <c r="BK473" s="19">
        <v>8</v>
      </c>
      <c r="BL473" s="16">
        <v>6</v>
      </c>
      <c r="BM473" s="45" t="s">
        <v>3534</v>
      </c>
      <c r="BN473" t="s">
        <v>3534</v>
      </c>
      <c r="BO473" t="str">
        <f t="shared" si="77"/>
        <v>-</v>
      </c>
      <c r="BP473" t="s">
        <v>3534</v>
      </c>
      <c r="BQ473">
        <v>280</v>
      </c>
      <c r="BR473">
        <f t="shared" si="78"/>
        <v>282.85714285714283</v>
      </c>
      <c r="BS473" t="s">
        <v>2899</v>
      </c>
    </row>
    <row r="474" spans="1:71" x14ac:dyDescent="0.4">
      <c r="A474" s="3">
        <v>471</v>
      </c>
      <c r="B474" s="3">
        <v>471</v>
      </c>
      <c r="C474" s="4" t="s">
        <v>533</v>
      </c>
      <c r="D474" s="4" t="str">
        <f t="shared" si="79"/>
        <v>J4312R</v>
      </c>
      <c r="E474" s="4" t="s">
        <v>533</v>
      </c>
      <c r="F474" s="4" t="s">
        <v>1751</v>
      </c>
      <c r="G474" s="5">
        <v>4521718119557</v>
      </c>
      <c r="H474" s="5"/>
      <c r="I474" s="5"/>
      <c r="J474" s="5">
        <v>1</v>
      </c>
      <c r="K474" s="5">
        <v>1</v>
      </c>
      <c r="L474" s="4">
        <v>700</v>
      </c>
      <c r="M474" s="4">
        <v>418</v>
      </c>
      <c r="N474" s="4">
        <v>312</v>
      </c>
      <c r="O474" s="6">
        <f t="shared" si="80"/>
        <v>0.25358851674641147</v>
      </c>
      <c r="P474" s="4" t="s">
        <v>2500</v>
      </c>
      <c r="Q474" s="4"/>
      <c r="R474" s="4"/>
      <c r="S474" s="4"/>
      <c r="T474" s="4"/>
      <c r="U474" s="4"/>
      <c r="V474" s="4"/>
      <c r="W474" s="4"/>
      <c r="X474" s="4"/>
      <c r="Y474" s="4">
        <v>700</v>
      </c>
      <c r="Z474" s="4">
        <f t="shared" si="81"/>
        <v>700</v>
      </c>
      <c r="AA474" s="4">
        <v>315</v>
      </c>
      <c r="AB474" s="4">
        <f t="shared" si="82"/>
        <v>315</v>
      </c>
      <c r="AC474" s="4"/>
      <c r="AD474" s="21">
        <f>ROUND(M474*AR474,0)</f>
        <v>422</v>
      </c>
      <c r="AE474" s="6">
        <f>1-AB474/AD474</f>
        <v>0.25355450236966826</v>
      </c>
      <c r="AF474" s="33">
        <v>0.25</v>
      </c>
      <c r="AG474" s="4">
        <f t="shared" si="83"/>
        <v>700</v>
      </c>
      <c r="AH474" s="33">
        <f t="shared" si="76"/>
        <v>706.73076923076917</v>
      </c>
      <c r="AI474" s="6">
        <f>1-AB474/AH474</f>
        <v>0.55428571428571427</v>
      </c>
      <c r="AJ474" s="7">
        <f>ROUND(AB474/0.65,0)</f>
        <v>485</v>
      </c>
      <c r="AK474" s="6">
        <f>1-AB474/AJ474</f>
        <v>0.35051546391752575</v>
      </c>
      <c r="AL474" s="4">
        <f>AJ474-AB474</f>
        <v>170</v>
      </c>
      <c r="AM474" s="28"/>
      <c r="AN474" s="6"/>
      <c r="AO474" s="6"/>
      <c r="AP474" s="6">
        <f>Z474/L474</f>
        <v>1</v>
      </c>
      <c r="AQ474" s="6">
        <f>AJ474/M474</f>
        <v>1.1602870813397128</v>
      </c>
      <c r="AR474" s="6">
        <f>AB474/N474</f>
        <v>1.0096153846153846</v>
      </c>
      <c r="AS474" s="4"/>
      <c r="AT474" s="4"/>
      <c r="AU474" s="4"/>
      <c r="AV474" s="4"/>
      <c r="AW474" s="4"/>
      <c r="AX474" s="4"/>
      <c r="AY474" s="4"/>
      <c r="AZ474" s="4"/>
      <c r="BA474" s="4"/>
      <c r="BB474" s="4">
        <v>0</v>
      </c>
      <c r="BC474" s="4" t="s">
        <v>4002</v>
      </c>
      <c r="BD474" s="4">
        <v>1</v>
      </c>
      <c r="BE474" s="4">
        <v>3</v>
      </c>
      <c r="BF474" s="4" t="s">
        <v>4003</v>
      </c>
      <c r="BG474" s="4">
        <v>2100</v>
      </c>
      <c r="BH474" s="4">
        <v>2100</v>
      </c>
      <c r="BI474" s="4">
        <f t="shared" si="84"/>
        <v>700</v>
      </c>
      <c r="BJ474" s="19">
        <v>4</v>
      </c>
      <c r="BK474" s="19">
        <v>8</v>
      </c>
      <c r="BL474" s="16">
        <v>6</v>
      </c>
      <c r="BM474" s="45" t="s">
        <v>3534</v>
      </c>
      <c r="BN474" t="s">
        <v>3534</v>
      </c>
      <c r="BO474" t="str">
        <f t="shared" si="77"/>
        <v>-</v>
      </c>
      <c r="BP474" t="s">
        <v>3534</v>
      </c>
      <c r="BQ474">
        <v>694</v>
      </c>
      <c r="BR474">
        <f t="shared" si="78"/>
        <v>700.67307692307691</v>
      </c>
      <c r="BS474" t="s">
        <v>2900</v>
      </c>
    </row>
    <row r="475" spans="1:71" x14ac:dyDescent="0.4">
      <c r="A475" s="3">
        <v>472</v>
      </c>
      <c r="B475" s="3">
        <v>472</v>
      </c>
      <c r="C475" s="4" t="s">
        <v>534</v>
      </c>
      <c r="D475" s="4" t="str">
        <f t="shared" si="79"/>
        <v>J4313R</v>
      </c>
      <c r="E475" s="4" t="s">
        <v>534</v>
      </c>
      <c r="F475" s="4" t="s">
        <v>1752</v>
      </c>
      <c r="G475" s="5">
        <v>4521718212739</v>
      </c>
      <c r="H475" s="5"/>
      <c r="I475" s="5"/>
      <c r="J475" s="5">
        <v>1</v>
      </c>
      <c r="K475" s="5">
        <v>1</v>
      </c>
      <c r="L475" s="4">
        <v>400</v>
      </c>
      <c r="M475" s="4">
        <v>319</v>
      </c>
      <c r="N475" s="4">
        <v>177</v>
      </c>
      <c r="O475" s="6">
        <f t="shared" si="80"/>
        <v>0.44514106583072099</v>
      </c>
      <c r="P475" s="4" t="s">
        <v>2500</v>
      </c>
      <c r="Q475" s="4"/>
      <c r="R475" s="4"/>
      <c r="S475" s="4"/>
      <c r="T475" s="4"/>
      <c r="U475" s="4"/>
      <c r="V475" s="4"/>
      <c r="W475" s="4"/>
      <c r="X475" s="4"/>
      <c r="Y475" s="4">
        <v>273</v>
      </c>
      <c r="Z475" s="4">
        <f t="shared" si="81"/>
        <v>273</v>
      </c>
      <c r="AA475" s="4">
        <v>177</v>
      </c>
      <c r="AB475" s="4">
        <f t="shared" si="82"/>
        <v>177</v>
      </c>
      <c r="AC475" s="4"/>
      <c r="AD475" s="21">
        <f>ROUND(M475*AR475,0)</f>
        <v>319</v>
      </c>
      <c r="AE475" s="6">
        <f>1-AB475/AD475</f>
        <v>0.44514106583072099</v>
      </c>
      <c r="AF475" s="33">
        <v>0</v>
      </c>
      <c r="AG475" s="4">
        <f t="shared" si="83"/>
        <v>440</v>
      </c>
      <c r="AH475" s="33">
        <f t="shared" si="76"/>
        <v>440</v>
      </c>
      <c r="AI475" s="6">
        <f>1-AB475/AH475</f>
        <v>0.59772727272727266</v>
      </c>
      <c r="AJ475" s="7">
        <f>ROUND(AB475/0.65,0)</f>
        <v>272</v>
      </c>
      <c r="AK475" s="6">
        <f>1-AB475/AJ475</f>
        <v>0.34926470588235292</v>
      </c>
      <c r="AL475" s="4">
        <f>AJ475-AB475</f>
        <v>95</v>
      </c>
      <c r="AM475" s="28"/>
      <c r="AN475" s="6"/>
      <c r="AO475" s="6"/>
      <c r="AP475" s="6">
        <f>Z475/L475</f>
        <v>0.6825</v>
      </c>
      <c r="AQ475" s="6">
        <f>AJ475/M475</f>
        <v>0.85266457680250785</v>
      </c>
      <c r="AR475" s="6">
        <f>AB475/N475</f>
        <v>1</v>
      </c>
      <c r="AS475" s="4"/>
      <c r="AT475" s="4"/>
      <c r="AU475" s="4"/>
      <c r="AV475" s="4"/>
      <c r="AW475" s="4"/>
      <c r="AX475" s="4"/>
      <c r="AY475" s="4"/>
      <c r="AZ475" s="4"/>
      <c r="BA475" s="4"/>
      <c r="BB475" s="4">
        <v>0</v>
      </c>
      <c r="BC475" s="4" t="s">
        <v>4004</v>
      </c>
      <c r="BD475" s="4">
        <v>1</v>
      </c>
      <c r="BE475" s="4">
        <v>4</v>
      </c>
      <c r="BF475" s="4" t="s">
        <v>3991</v>
      </c>
      <c r="BG475" s="4">
        <v>1760</v>
      </c>
      <c r="BH475" s="4">
        <v>1760</v>
      </c>
      <c r="BI475" s="4">
        <f t="shared" si="84"/>
        <v>440</v>
      </c>
      <c r="BJ475" s="19">
        <v>4</v>
      </c>
      <c r="BK475" s="19">
        <v>8</v>
      </c>
      <c r="BL475" s="16">
        <v>6</v>
      </c>
      <c r="BM475" s="45" t="s">
        <v>3534</v>
      </c>
      <c r="BN475" t="s">
        <v>3534</v>
      </c>
      <c r="BO475" t="str">
        <f t="shared" si="77"/>
        <v>-</v>
      </c>
      <c r="BP475" t="s">
        <v>3534</v>
      </c>
      <c r="BQ475">
        <v>380</v>
      </c>
      <c r="BR475">
        <f t="shared" si="78"/>
        <v>380</v>
      </c>
      <c r="BS475" t="s">
        <v>2901</v>
      </c>
    </row>
    <row r="476" spans="1:71" x14ac:dyDescent="0.4">
      <c r="A476" s="3">
        <v>473</v>
      </c>
      <c r="B476" s="3">
        <v>473</v>
      </c>
      <c r="C476" s="4" t="s">
        <v>535</v>
      </c>
      <c r="D476" s="4" t="str">
        <f t="shared" si="79"/>
        <v>J431WE</v>
      </c>
      <c r="E476" s="4" t="s">
        <v>535</v>
      </c>
      <c r="F476" s="4" t="s">
        <v>1753</v>
      </c>
      <c r="G476" s="5">
        <v>4521718922218</v>
      </c>
      <c r="H476" s="5"/>
      <c r="I476" s="5"/>
      <c r="J476" s="5">
        <v>1</v>
      </c>
      <c r="K476" s="5">
        <v>1</v>
      </c>
      <c r="L476" s="4">
        <v>780</v>
      </c>
      <c r="M476" s="4">
        <v>660</v>
      </c>
      <c r="N476" s="4">
        <v>390</v>
      </c>
      <c r="O476" s="6">
        <f t="shared" si="80"/>
        <v>0.40909090909090906</v>
      </c>
      <c r="P476" s="4" t="s">
        <v>2500</v>
      </c>
      <c r="Q476" s="4"/>
      <c r="R476" s="4"/>
      <c r="S476" s="4"/>
      <c r="T476" s="4"/>
      <c r="U476" s="4"/>
      <c r="V476" s="4"/>
      <c r="W476" s="4"/>
      <c r="X476" s="4"/>
      <c r="Y476" s="4">
        <v>782</v>
      </c>
      <c r="Z476" s="4">
        <f t="shared" si="81"/>
        <v>782</v>
      </c>
      <c r="AA476" s="4">
        <v>390</v>
      </c>
      <c r="AB476" s="4">
        <f t="shared" si="82"/>
        <v>390</v>
      </c>
      <c r="AC476" s="4"/>
      <c r="AD476" s="21">
        <f>ROUND(M476*AR476,0)</f>
        <v>660</v>
      </c>
      <c r="AE476" s="6">
        <f>1-AB476/AD476</f>
        <v>0.40909090909090906</v>
      </c>
      <c r="AF476" s="33">
        <v>1.5</v>
      </c>
      <c r="AG476" s="4">
        <f t="shared" si="83"/>
        <v>780</v>
      </c>
      <c r="AH476" s="33">
        <f t="shared" si="76"/>
        <v>780</v>
      </c>
      <c r="AI476" s="6">
        <f>1-AB476/AH476</f>
        <v>0.5</v>
      </c>
      <c r="AJ476" s="7">
        <f>ROUND(AB476/0.65,0)</f>
        <v>600</v>
      </c>
      <c r="AK476" s="6">
        <f>1-AB476/AJ476</f>
        <v>0.35</v>
      </c>
      <c r="AL476" s="4">
        <f>AJ476-AB476</f>
        <v>210</v>
      </c>
      <c r="AM476" s="28"/>
      <c r="AN476" s="6"/>
      <c r="AO476" s="6"/>
      <c r="AP476" s="6">
        <f>Z476/L476</f>
        <v>1.0025641025641026</v>
      </c>
      <c r="AQ476" s="6">
        <f>AJ476/M476</f>
        <v>0.90909090909090906</v>
      </c>
      <c r="AR476" s="6">
        <f>AB476/N476</f>
        <v>1</v>
      </c>
      <c r="AS476" s="4"/>
      <c r="AT476" s="4"/>
      <c r="AU476" s="4"/>
      <c r="AV476" s="4"/>
      <c r="AW476" s="4"/>
      <c r="AX476" s="4"/>
      <c r="AY476" s="4"/>
      <c r="AZ476" s="4"/>
      <c r="BA476" s="4"/>
      <c r="BB476" s="4">
        <v>0</v>
      </c>
      <c r="BC476" s="4" t="s">
        <v>4005</v>
      </c>
      <c r="BD476" s="4">
        <v>1</v>
      </c>
      <c r="BE476" s="4">
        <v>2</v>
      </c>
      <c r="BF476" s="4" t="s">
        <v>3575</v>
      </c>
      <c r="BG476" s="4">
        <v>1560</v>
      </c>
      <c r="BH476" s="4">
        <v>1560</v>
      </c>
      <c r="BI476" s="4">
        <f t="shared" si="84"/>
        <v>780</v>
      </c>
      <c r="BJ476" s="19">
        <v>4</v>
      </c>
      <c r="BK476" s="19">
        <v>8</v>
      </c>
      <c r="BL476" s="16">
        <v>4</v>
      </c>
      <c r="BM476" s="45" t="s">
        <v>3534</v>
      </c>
      <c r="BN476" t="s">
        <v>3534</v>
      </c>
      <c r="BO476" t="str">
        <f t="shared" si="77"/>
        <v>-</v>
      </c>
      <c r="BP476" t="s">
        <v>3534</v>
      </c>
      <c r="BQ476">
        <v>741</v>
      </c>
      <c r="BR476">
        <f t="shared" si="78"/>
        <v>741</v>
      </c>
      <c r="BS476" t="s">
        <v>2902</v>
      </c>
    </row>
    <row r="477" spans="1:71" x14ac:dyDescent="0.4">
      <c r="A477" s="3">
        <v>474</v>
      </c>
      <c r="B477" s="3">
        <v>474</v>
      </c>
      <c r="C477" s="4" t="s">
        <v>536</v>
      </c>
      <c r="D477" s="4" t="str">
        <f t="shared" si="79"/>
        <v>J431WL</v>
      </c>
      <c r="E477" s="4" t="s">
        <v>536</v>
      </c>
      <c r="F477" s="4" t="s">
        <v>1754</v>
      </c>
      <c r="G477" s="5">
        <v>4521718191751</v>
      </c>
      <c r="H477" s="5"/>
      <c r="I477" s="5"/>
      <c r="J477" s="5">
        <v>1</v>
      </c>
      <c r="K477" s="5">
        <v>1</v>
      </c>
      <c r="L477" s="4">
        <v>870</v>
      </c>
      <c r="M477" s="4">
        <v>696</v>
      </c>
      <c r="N477" s="4">
        <v>389</v>
      </c>
      <c r="O477" s="6">
        <f t="shared" si="80"/>
        <v>0.44109195402298851</v>
      </c>
      <c r="P477" s="4" t="s">
        <v>2500</v>
      </c>
      <c r="Q477" s="4"/>
      <c r="R477" s="4"/>
      <c r="S477" s="4"/>
      <c r="T477" s="4"/>
      <c r="U477" s="4"/>
      <c r="V477" s="4"/>
      <c r="W477" s="4"/>
      <c r="X477" s="4"/>
      <c r="Y477" s="4">
        <v>555</v>
      </c>
      <c r="Z477" s="4">
        <f t="shared" si="81"/>
        <v>555</v>
      </c>
      <c r="AA477" s="4">
        <v>389</v>
      </c>
      <c r="AB477" s="4">
        <f t="shared" si="82"/>
        <v>389</v>
      </c>
      <c r="AC477" s="4"/>
      <c r="AD477" s="21">
        <f>ROUND(M477*AR477,0)</f>
        <v>696</v>
      </c>
      <c r="AE477" s="6">
        <f>1-AB477/AD477</f>
        <v>0.44109195402298851</v>
      </c>
      <c r="AF477" s="33">
        <v>0</v>
      </c>
      <c r="AG477" s="4" t="str">
        <f t="shared" si="83"/>
        <v>-</v>
      </c>
      <c r="AH477" s="33" t="e">
        <f t="shared" si="76"/>
        <v>#VALUE!</v>
      </c>
      <c r="AI477" s="6" t="e">
        <f>1-AB477/AH477</f>
        <v>#VALUE!</v>
      </c>
      <c r="AJ477" s="7">
        <v>555</v>
      </c>
      <c r="AK477" s="6">
        <f>1-AB477/AJ477</f>
        <v>0.29909909909909915</v>
      </c>
      <c r="AL477" s="4">
        <f>AJ477-AB477</f>
        <v>166</v>
      </c>
      <c r="AM477" s="28"/>
      <c r="AN477" s="6"/>
      <c r="AO477" s="6"/>
      <c r="AP477" s="6">
        <f>Z477/L477</f>
        <v>0.63793103448275867</v>
      </c>
      <c r="AQ477" s="6">
        <f>AJ477/M477</f>
        <v>0.79741379310344829</v>
      </c>
      <c r="AR477" s="6">
        <f>AB477/N477</f>
        <v>1</v>
      </c>
      <c r="AS477" s="4"/>
      <c r="AT477" s="4"/>
      <c r="AU477" s="4"/>
      <c r="AV477" s="4"/>
      <c r="AW477" s="4"/>
      <c r="AX477" s="4"/>
      <c r="AY477" s="4"/>
      <c r="AZ477" s="4"/>
      <c r="BA477" s="4"/>
      <c r="BB477" s="4">
        <v>0</v>
      </c>
      <c r="BC477" s="4" t="s">
        <v>3534</v>
      </c>
      <c r="BD477" s="4"/>
      <c r="BE477" s="4"/>
      <c r="BF477" s="4" t="s">
        <v>3534</v>
      </c>
      <c r="BG477" s="4" t="s">
        <v>3534</v>
      </c>
      <c r="BH477" s="4" t="s">
        <v>3534</v>
      </c>
      <c r="BI477" s="4" t="str">
        <f t="shared" si="84"/>
        <v>-</v>
      </c>
      <c r="BJ477" s="19">
        <v>4</v>
      </c>
      <c r="BK477" s="19">
        <v>8</v>
      </c>
      <c r="BL477" s="16">
        <v>6</v>
      </c>
      <c r="BM477" s="45" t="s">
        <v>3534</v>
      </c>
      <c r="BN477" t="s">
        <v>3534</v>
      </c>
      <c r="BO477" t="str">
        <f t="shared" si="77"/>
        <v>-</v>
      </c>
      <c r="BP477" t="s">
        <v>3534</v>
      </c>
      <c r="BQ477" t="s">
        <v>3534</v>
      </c>
      <c r="BR477" t="str">
        <f t="shared" si="78"/>
        <v>-</v>
      </c>
      <c r="BS477" t="s">
        <v>3534</v>
      </c>
    </row>
    <row r="478" spans="1:71" x14ac:dyDescent="0.4">
      <c r="A478" s="3">
        <v>475</v>
      </c>
      <c r="B478" s="3">
        <v>475</v>
      </c>
      <c r="C478" s="4" t="s">
        <v>537</v>
      </c>
      <c r="D478" s="4" t="str">
        <f t="shared" si="79"/>
        <v>J4314R</v>
      </c>
      <c r="E478" s="4" t="s">
        <v>537</v>
      </c>
      <c r="F478" s="4" t="s">
        <v>1755</v>
      </c>
      <c r="G478" s="5">
        <v>4521718214078</v>
      </c>
      <c r="H478" s="5"/>
      <c r="I478" s="5"/>
      <c r="J478" s="5">
        <v>1</v>
      </c>
      <c r="K478" s="5">
        <v>1</v>
      </c>
      <c r="L478" s="4">
        <v>540</v>
      </c>
      <c r="M478" s="4">
        <v>338</v>
      </c>
      <c r="N478" s="4">
        <v>242</v>
      </c>
      <c r="O478" s="6">
        <f t="shared" si="80"/>
        <v>0.28402366863905326</v>
      </c>
      <c r="P478" s="4" t="s">
        <v>2500</v>
      </c>
      <c r="Q478" s="4"/>
      <c r="R478" s="4"/>
      <c r="S478" s="4"/>
      <c r="T478" s="4"/>
      <c r="U478" s="4"/>
      <c r="V478" s="4"/>
      <c r="W478" s="4"/>
      <c r="X478" s="4"/>
      <c r="Y478" s="4">
        <v>373</v>
      </c>
      <c r="Z478" s="4">
        <f t="shared" si="81"/>
        <v>373</v>
      </c>
      <c r="AA478" s="4">
        <v>242</v>
      </c>
      <c r="AB478" s="4">
        <f t="shared" si="82"/>
        <v>242</v>
      </c>
      <c r="AC478" s="4"/>
      <c r="AD478" s="21">
        <f>ROUND(M478*AR478,0)</f>
        <v>338</v>
      </c>
      <c r="AE478" s="6">
        <f>1-AB478/AD478</f>
        <v>0.28402366863905326</v>
      </c>
      <c r="AF478" s="33">
        <v>1.5</v>
      </c>
      <c r="AG478" s="4">
        <f t="shared" si="83"/>
        <v>500</v>
      </c>
      <c r="AH478" s="33">
        <f t="shared" si="76"/>
        <v>500</v>
      </c>
      <c r="AI478" s="6">
        <f>1-AB478/AH478</f>
        <v>0.51600000000000001</v>
      </c>
      <c r="AJ478" s="7">
        <f>ROUND(AB478/0.65,0)</f>
        <v>372</v>
      </c>
      <c r="AK478" s="6">
        <f>1-AB478/AJ478</f>
        <v>0.34946236559139787</v>
      </c>
      <c r="AL478" s="4">
        <f>AJ478-AB478</f>
        <v>130</v>
      </c>
      <c r="AM478" s="28"/>
      <c r="AN478" s="6"/>
      <c r="AO478" s="6"/>
      <c r="AP478" s="6">
        <f>Z478/L478</f>
        <v>0.69074074074074077</v>
      </c>
      <c r="AQ478" s="6">
        <f>AJ478/M478</f>
        <v>1.1005917159763314</v>
      </c>
      <c r="AR478" s="6">
        <f>AB478/N478</f>
        <v>1</v>
      </c>
      <c r="AS478" s="4"/>
      <c r="AT478" s="4"/>
      <c r="AU478" s="4"/>
      <c r="AV478" s="4"/>
      <c r="AW478" s="4"/>
      <c r="AX478" s="4"/>
      <c r="AY478" s="4"/>
      <c r="AZ478" s="4"/>
      <c r="BA478" s="4"/>
      <c r="BB478" s="4">
        <v>0</v>
      </c>
      <c r="BC478" s="4" t="s">
        <v>4006</v>
      </c>
      <c r="BD478" s="4">
        <v>1</v>
      </c>
      <c r="BE478" s="4">
        <v>3</v>
      </c>
      <c r="BF478" s="4" t="s">
        <v>3914</v>
      </c>
      <c r="BG478" s="4">
        <v>1500</v>
      </c>
      <c r="BH478" s="4">
        <v>1500</v>
      </c>
      <c r="BI478" s="4">
        <f t="shared" si="84"/>
        <v>500</v>
      </c>
      <c r="BJ478" s="19">
        <v>4</v>
      </c>
      <c r="BK478" s="19">
        <v>8</v>
      </c>
      <c r="BL478" s="16">
        <v>5</v>
      </c>
      <c r="BM478" s="45" t="s">
        <v>3534</v>
      </c>
      <c r="BN478" t="s">
        <v>3534</v>
      </c>
      <c r="BO478" t="str">
        <f t="shared" si="77"/>
        <v>-</v>
      </c>
      <c r="BP478" t="s">
        <v>3534</v>
      </c>
      <c r="BQ478">
        <v>500</v>
      </c>
      <c r="BR478">
        <f t="shared" si="78"/>
        <v>500</v>
      </c>
      <c r="BS478" t="s">
        <v>2903</v>
      </c>
    </row>
    <row r="479" spans="1:71" x14ac:dyDescent="0.4">
      <c r="A479" s="3">
        <v>476</v>
      </c>
      <c r="B479" s="3">
        <v>476</v>
      </c>
      <c r="C479" s="4" t="s">
        <v>538</v>
      </c>
      <c r="D479" s="4" t="str">
        <f t="shared" si="79"/>
        <v>J4316R</v>
      </c>
      <c r="E479" s="4" t="s">
        <v>538</v>
      </c>
      <c r="F479" s="4" t="s">
        <v>1756</v>
      </c>
      <c r="G479" s="5">
        <v>4521718214504</v>
      </c>
      <c r="H479" s="5"/>
      <c r="I479" s="5"/>
      <c r="J479" s="5">
        <v>1</v>
      </c>
      <c r="K479" s="5">
        <v>1</v>
      </c>
      <c r="L479" s="4">
        <v>580</v>
      </c>
      <c r="M479" s="4">
        <v>365</v>
      </c>
      <c r="N479" s="4">
        <v>261</v>
      </c>
      <c r="O479" s="6">
        <f t="shared" si="80"/>
        <v>0.28493150684931512</v>
      </c>
      <c r="P479" s="4" t="s">
        <v>2500</v>
      </c>
      <c r="Q479" s="4"/>
      <c r="R479" s="4"/>
      <c r="S479" s="4"/>
      <c r="T479" s="4"/>
      <c r="U479" s="4"/>
      <c r="V479" s="4"/>
      <c r="W479" s="4"/>
      <c r="X479" s="4"/>
      <c r="Y479" s="4">
        <v>373</v>
      </c>
      <c r="Z479" s="4">
        <f t="shared" si="81"/>
        <v>373</v>
      </c>
      <c r="AA479" s="4">
        <v>261</v>
      </c>
      <c r="AB479" s="4">
        <f t="shared" si="82"/>
        <v>261</v>
      </c>
      <c r="AC479" s="4"/>
      <c r="AD479" s="21">
        <f>ROUND(M479*AR479,0)</f>
        <v>365</v>
      </c>
      <c r="AE479" s="6">
        <f>1-AB479/AD479</f>
        <v>0.28493150684931512</v>
      </c>
      <c r="AF479" s="33">
        <v>0</v>
      </c>
      <c r="AG479" s="4">
        <f t="shared" si="83"/>
        <v>580</v>
      </c>
      <c r="AH479" s="33">
        <f t="shared" si="76"/>
        <v>580</v>
      </c>
      <c r="AI479" s="6">
        <f>1-AB479/AH479</f>
        <v>0.55000000000000004</v>
      </c>
      <c r="AJ479" s="7">
        <v>373</v>
      </c>
      <c r="AK479" s="6">
        <f>1-AB479/AJ479</f>
        <v>0.30026809651474529</v>
      </c>
      <c r="AL479" s="4">
        <f>AJ479-AB479</f>
        <v>112</v>
      </c>
      <c r="AM479" s="28"/>
      <c r="AN479" s="6"/>
      <c r="AO479" s="6"/>
      <c r="AP479" s="6">
        <f>Z479/L479</f>
        <v>0.64310344827586208</v>
      </c>
      <c r="AQ479" s="6">
        <f>AJ479/M479</f>
        <v>1.021917808219178</v>
      </c>
      <c r="AR479" s="6">
        <f>AB479/N479</f>
        <v>1</v>
      </c>
      <c r="AS479" s="4"/>
      <c r="AT479" s="4"/>
      <c r="AU479" s="4"/>
      <c r="AV479" s="4"/>
      <c r="AW479" s="4"/>
      <c r="AX479" s="4"/>
      <c r="AY479" s="4"/>
      <c r="AZ479" s="4"/>
      <c r="BA479" s="4"/>
      <c r="BB479" s="4">
        <v>0</v>
      </c>
      <c r="BC479" s="4" t="s">
        <v>4007</v>
      </c>
      <c r="BD479" s="4">
        <v>1</v>
      </c>
      <c r="BE479" s="4">
        <v>3</v>
      </c>
      <c r="BF479" s="4" t="s">
        <v>3914</v>
      </c>
      <c r="BG479" s="4">
        <v>1740</v>
      </c>
      <c r="BH479" s="4">
        <v>1740</v>
      </c>
      <c r="BI479" s="4">
        <f t="shared" si="84"/>
        <v>580</v>
      </c>
      <c r="BJ479" s="19">
        <v>4</v>
      </c>
      <c r="BK479" s="19">
        <v>8</v>
      </c>
      <c r="BL479" s="16">
        <v>6</v>
      </c>
      <c r="BM479" s="45" t="s">
        <v>3534</v>
      </c>
      <c r="BN479" t="s">
        <v>3534</v>
      </c>
      <c r="BO479" t="str">
        <f t="shared" si="77"/>
        <v>-</v>
      </c>
      <c r="BP479" t="s">
        <v>3534</v>
      </c>
      <c r="BQ479">
        <v>580</v>
      </c>
      <c r="BR479">
        <f t="shared" si="78"/>
        <v>580</v>
      </c>
      <c r="BS479" t="s">
        <v>2904</v>
      </c>
    </row>
    <row r="480" spans="1:71" x14ac:dyDescent="0.4">
      <c r="A480" s="3">
        <v>477</v>
      </c>
      <c r="B480" s="3">
        <v>477</v>
      </c>
      <c r="C480" s="4" t="s">
        <v>539</v>
      </c>
      <c r="D480" s="4" t="str">
        <f t="shared" si="79"/>
        <v>J432WE</v>
      </c>
      <c r="E480" s="4" t="s">
        <v>539</v>
      </c>
      <c r="F480" s="4" t="s">
        <v>1757</v>
      </c>
      <c r="G480" s="5">
        <v>4521718922225</v>
      </c>
      <c r="H480" s="5"/>
      <c r="I480" s="5"/>
      <c r="J480" s="5">
        <v>1</v>
      </c>
      <c r="K480" s="5">
        <v>1</v>
      </c>
      <c r="L480" s="4">
        <v>670</v>
      </c>
      <c r="M480" s="4">
        <v>570</v>
      </c>
      <c r="N480" s="4">
        <v>335</v>
      </c>
      <c r="O480" s="6">
        <f t="shared" si="80"/>
        <v>0.41228070175438591</v>
      </c>
      <c r="P480" s="4" t="s">
        <v>2500</v>
      </c>
      <c r="Q480" s="4"/>
      <c r="R480" s="4"/>
      <c r="S480" s="4"/>
      <c r="T480" s="4"/>
      <c r="U480" s="4"/>
      <c r="V480" s="4"/>
      <c r="W480" s="4"/>
      <c r="X480" s="4"/>
      <c r="Y480" s="4">
        <v>664</v>
      </c>
      <c r="Z480" s="4">
        <f t="shared" si="81"/>
        <v>664</v>
      </c>
      <c r="AA480" s="4">
        <v>335</v>
      </c>
      <c r="AB480" s="4">
        <f t="shared" si="82"/>
        <v>335</v>
      </c>
      <c r="AC480" s="4"/>
      <c r="AD480" s="21">
        <f>ROUND(M480*AR480,0)</f>
        <v>570</v>
      </c>
      <c r="AE480" s="6">
        <f>1-AB480/AD480</f>
        <v>0.41228070175438591</v>
      </c>
      <c r="AF480" s="33">
        <v>0.75</v>
      </c>
      <c r="AG480" s="4" t="str">
        <f t="shared" si="83"/>
        <v>-</v>
      </c>
      <c r="AH480" s="33" t="e">
        <f t="shared" si="76"/>
        <v>#VALUE!</v>
      </c>
      <c r="AI480" s="6" t="e">
        <f>1-AB480/AH480</f>
        <v>#VALUE!</v>
      </c>
      <c r="AJ480" s="7">
        <f>ROUND(AB480/0.65,0)</f>
        <v>515</v>
      </c>
      <c r="AK480" s="6">
        <f>1-AB480/AJ480</f>
        <v>0.34951456310679607</v>
      </c>
      <c r="AL480" s="4">
        <f>AJ480-AB480</f>
        <v>180</v>
      </c>
      <c r="AM480" s="28"/>
      <c r="AN480" s="6"/>
      <c r="AO480" s="6"/>
      <c r="AP480" s="6">
        <f>Z480/L480</f>
        <v>0.991044776119403</v>
      </c>
      <c r="AQ480" s="6">
        <f>AJ480/M480</f>
        <v>0.90350877192982459</v>
      </c>
      <c r="AR480" s="6">
        <f>AB480/N480</f>
        <v>1</v>
      </c>
      <c r="AS480" s="4"/>
      <c r="AT480" s="4"/>
      <c r="AU480" s="4"/>
      <c r="AV480" s="4"/>
      <c r="AW480" s="4"/>
      <c r="AX480" s="4"/>
      <c r="AY480" s="4"/>
      <c r="AZ480" s="4"/>
      <c r="BA480" s="4"/>
      <c r="BB480" s="4">
        <v>0</v>
      </c>
      <c r="BC480" s="4" t="s">
        <v>3534</v>
      </c>
      <c r="BD480" s="4"/>
      <c r="BE480" s="4"/>
      <c r="BF480" s="4" t="s">
        <v>3534</v>
      </c>
      <c r="BG480" s="4" t="s">
        <v>3534</v>
      </c>
      <c r="BH480" s="4" t="s">
        <v>3534</v>
      </c>
      <c r="BI480" s="4" t="str">
        <f t="shared" si="84"/>
        <v>-</v>
      </c>
      <c r="BJ480" s="19">
        <v>4</v>
      </c>
      <c r="BK480" s="19">
        <v>8</v>
      </c>
      <c r="BL480" s="16">
        <v>4</v>
      </c>
      <c r="BM480" s="45" t="s">
        <v>3534</v>
      </c>
      <c r="BN480" t="s">
        <v>3534</v>
      </c>
      <c r="BO480" t="str">
        <f t="shared" si="77"/>
        <v>-</v>
      </c>
      <c r="BP480" t="s">
        <v>3534</v>
      </c>
      <c r="BQ480">
        <v>637</v>
      </c>
      <c r="BR480">
        <f t="shared" si="78"/>
        <v>637</v>
      </c>
      <c r="BS480" t="s">
        <v>3534</v>
      </c>
    </row>
    <row r="481" spans="1:71" x14ac:dyDescent="0.4">
      <c r="A481" s="3">
        <v>478</v>
      </c>
      <c r="B481" s="3">
        <v>478</v>
      </c>
      <c r="C481" s="4" t="s">
        <v>540</v>
      </c>
      <c r="D481" s="4" t="str">
        <f t="shared" si="79"/>
        <v>J432WL</v>
      </c>
      <c r="E481" s="4" t="s">
        <v>540</v>
      </c>
      <c r="F481" s="4" t="s">
        <v>1758</v>
      </c>
      <c r="G481" s="5">
        <v>4521718191768</v>
      </c>
      <c r="H481" s="5"/>
      <c r="I481" s="5"/>
      <c r="J481" s="5">
        <v>1</v>
      </c>
      <c r="K481" s="5">
        <v>1</v>
      </c>
      <c r="L481" s="4">
        <v>870</v>
      </c>
      <c r="M481" s="4">
        <v>696</v>
      </c>
      <c r="N481" s="4">
        <v>389</v>
      </c>
      <c r="O481" s="6">
        <f t="shared" si="80"/>
        <v>0.44109195402298851</v>
      </c>
      <c r="P481" s="4" t="s">
        <v>2500</v>
      </c>
      <c r="Q481" s="4"/>
      <c r="R481" s="4"/>
      <c r="S481" s="4"/>
      <c r="T481" s="4"/>
      <c r="U481" s="4"/>
      <c r="V481" s="4"/>
      <c r="W481" s="4"/>
      <c r="X481" s="4"/>
      <c r="Y481" s="4">
        <v>555</v>
      </c>
      <c r="Z481" s="4">
        <f t="shared" si="81"/>
        <v>555</v>
      </c>
      <c r="AA481" s="4">
        <v>389</v>
      </c>
      <c r="AB481" s="4">
        <f t="shared" si="82"/>
        <v>389</v>
      </c>
      <c r="AC481" s="4"/>
      <c r="AD481" s="21">
        <f>ROUND(M481*AR481,0)</f>
        <v>696</v>
      </c>
      <c r="AE481" s="6">
        <f>1-AB481/AD481</f>
        <v>0.44109195402298851</v>
      </c>
      <c r="AF481" s="33">
        <v>0</v>
      </c>
      <c r="AG481" s="4" t="str">
        <f t="shared" si="83"/>
        <v>-</v>
      </c>
      <c r="AH481" s="33" t="e">
        <f t="shared" si="76"/>
        <v>#VALUE!</v>
      </c>
      <c r="AI481" s="6" t="e">
        <f>1-AB481/AH481</f>
        <v>#VALUE!</v>
      </c>
      <c r="AJ481" s="7">
        <v>555</v>
      </c>
      <c r="AK481" s="6">
        <f>1-AB481/AJ481</f>
        <v>0.29909909909909915</v>
      </c>
      <c r="AL481" s="4">
        <f>AJ481-AB481</f>
        <v>166</v>
      </c>
      <c r="AM481" s="28"/>
      <c r="AN481" s="6"/>
      <c r="AO481" s="6"/>
      <c r="AP481" s="6">
        <f>Z481/L481</f>
        <v>0.63793103448275867</v>
      </c>
      <c r="AQ481" s="6">
        <f>AJ481/M481</f>
        <v>0.79741379310344829</v>
      </c>
      <c r="AR481" s="6">
        <f>AB481/N481</f>
        <v>1</v>
      </c>
      <c r="AS481" s="4"/>
      <c r="AT481" s="4"/>
      <c r="AU481" s="4"/>
      <c r="AV481" s="4"/>
      <c r="AW481" s="4"/>
      <c r="AX481" s="4"/>
      <c r="AY481" s="4"/>
      <c r="AZ481" s="4"/>
      <c r="BA481" s="4"/>
      <c r="BB481" s="4">
        <v>0</v>
      </c>
      <c r="BC481" s="4" t="s">
        <v>3534</v>
      </c>
      <c r="BD481" s="4"/>
      <c r="BE481" s="4"/>
      <c r="BF481" s="4" t="s">
        <v>3534</v>
      </c>
      <c r="BG481" s="4" t="s">
        <v>3534</v>
      </c>
      <c r="BH481" s="4" t="s">
        <v>3534</v>
      </c>
      <c r="BI481" s="4" t="str">
        <f t="shared" si="84"/>
        <v>-</v>
      </c>
      <c r="BJ481" s="19">
        <v>4</v>
      </c>
      <c r="BK481" s="19">
        <v>8</v>
      </c>
      <c r="BL481" s="16">
        <v>6</v>
      </c>
      <c r="BM481" s="45" t="s">
        <v>3534</v>
      </c>
      <c r="BN481" t="s">
        <v>3534</v>
      </c>
      <c r="BO481" t="str">
        <f t="shared" si="77"/>
        <v>-</v>
      </c>
      <c r="BP481" t="s">
        <v>3534</v>
      </c>
      <c r="BQ481" t="s">
        <v>3534</v>
      </c>
      <c r="BR481" t="str">
        <f t="shared" si="78"/>
        <v>-</v>
      </c>
      <c r="BS481" t="s">
        <v>3534</v>
      </c>
    </row>
    <row r="482" spans="1:71" x14ac:dyDescent="0.4">
      <c r="A482" s="3">
        <v>479</v>
      </c>
      <c r="B482" s="3">
        <v>479</v>
      </c>
      <c r="C482" s="4" t="s">
        <v>541</v>
      </c>
      <c r="D482" s="4" t="str">
        <f t="shared" si="79"/>
        <v>J433WE</v>
      </c>
      <c r="E482" s="4" t="s">
        <v>541</v>
      </c>
      <c r="F482" s="4" t="s">
        <v>1759</v>
      </c>
      <c r="G482" s="5">
        <v>4521718922232</v>
      </c>
      <c r="H482" s="5"/>
      <c r="I482" s="5"/>
      <c r="J482" s="5">
        <v>1</v>
      </c>
      <c r="K482" s="5">
        <v>1</v>
      </c>
      <c r="L482" s="4">
        <v>510</v>
      </c>
      <c r="M482" s="4">
        <v>430</v>
      </c>
      <c r="N482" s="4">
        <v>255</v>
      </c>
      <c r="O482" s="6">
        <f t="shared" si="80"/>
        <v>0.40697674418604646</v>
      </c>
      <c r="P482" s="4" t="s">
        <v>2500</v>
      </c>
      <c r="Q482" s="4"/>
      <c r="R482" s="4"/>
      <c r="S482" s="4"/>
      <c r="T482" s="4"/>
      <c r="U482" s="4"/>
      <c r="V482" s="4"/>
      <c r="W482" s="4"/>
      <c r="X482" s="4"/>
      <c r="Y482" s="4">
        <v>510</v>
      </c>
      <c r="Z482" s="4">
        <f t="shared" si="81"/>
        <v>510</v>
      </c>
      <c r="AA482" s="4">
        <v>255</v>
      </c>
      <c r="AB482" s="4">
        <f t="shared" si="82"/>
        <v>255</v>
      </c>
      <c r="AC482" s="4"/>
      <c r="AD482" s="21">
        <f>ROUND(M482*AR482,0)</f>
        <v>430</v>
      </c>
      <c r="AE482" s="6">
        <f>1-AB482/AD482</f>
        <v>0.40697674418604646</v>
      </c>
      <c r="AF482" s="33">
        <v>0.5</v>
      </c>
      <c r="AG482" s="4" t="str">
        <f t="shared" si="83"/>
        <v>-</v>
      </c>
      <c r="AH482" s="33" t="e">
        <f t="shared" si="76"/>
        <v>#VALUE!</v>
      </c>
      <c r="AI482" s="6" t="e">
        <f>1-AB482/AH482</f>
        <v>#VALUE!</v>
      </c>
      <c r="AJ482" s="7">
        <f>ROUND(AB482/0.65,0)</f>
        <v>392</v>
      </c>
      <c r="AK482" s="6">
        <f>1-AB482/AJ482</f>
        <v>0.34948979591836737</v>
      </c>
      <c r="AL482" s="4">
        <f>AJ482-AB482</f>
        <v>137</v>
      </c>
      <c r="AM482" s="28"/>
      <c r="AN482" s="6"/>
      <c r="AO482" s="6"/>
      <c r="AP482" s="6">
        <f>Z482/L482</f>
        <v>1</v>
      </c>
      <c r="AQ482" s="6">
        <f>AJ482/M482</f>
        <v>0.91162790697674423</v>
      </c>
      <c r="AR482" s="6">
        <f>AB482/N482</f>
        <v>1</v>
      </c>
      <c r="AS482" s="4"/>
      <c r="AT482" s="4"/>
      <c r="AU482" s="4"/>
      <c r="AV482" s="4"/>
      <c r="AW482" s="4"/>
      <c r="AX482" s="4"/>
      <c r="AY482" s="4"/>
      <c r="AZ482" s="4"/>
      <c r="BA482" s="4"/>
      <c r="BB482" s="4">
        <v>0</v>
      </c>
      <c r="BC482" s="4" t="s">
        <v>3534</v>
      </c>
      <c r="BD482" s="4"/>
      <c r="BE482" s="4"/>
      <c r="BF482" s="4" t="s">
        <v>3534</v>
      </c>
      <c r="BG482" s="4" t="s">
        <v>3534</v>
      </c>
      <c r="BH482" s="4" t="s">
        <v>3534</v>
      </c>
      <c r="BI482" s="4" t="str">
        <f t="shared" si="84"/>
        <v>-</v>
      </c>
      <c r="BJ482" s="19">
        <v>4</v>
      </c>
      <c r="BK482" s="19">
        <v>8</v>
      </c>
      <c r="BL482" s="16">
        <v>4</v>
      </c>
      <c r="BM482" s="45" t="s">
        <v>3534</v>
      </c>
      <c r="BN482" t="s">
        <v>3534</v>
      </c>
      <c r="BO482" t="str">
        <f t="shared" si="77"/>
        <v>-</v>
      </c>
      <c r="BP482" t="s">
        <v>3534</v>
      </c>
      <c r="BQ482">
        <v>485</v>
      </c>
      <c r="BR482">
        <f t="shared" si="78"/>
        <v>485</v>
      </c>
      <c r="BS482" t="s">
        <v>3534</v>
      </c>
    </row>
    <row r="483" spans="1:71" x14ac:dyDescent="0.4">
      <c r="A483" s="3">
        <v>480</v>
      </c>
      <c r="B483" s="3">
        <v>480</v>
      </c>
      <c r="C483" s="4" t="s">
        <v>542</v>
      </c>
      <c r="D483" s="4" t="str">
        <f t="shared" si="79"/>
        <v>J434WE</v>
      </c>
      <c r="E483" s="4" t="s">
        <v>542</v>
      </c>
      <c r="F483" s="4" t="s">
        <v>1760</v>
      </c>
      <c r="G483" s="5">
        <v>4521718922294</v>
      </c>
      <c r="H483" s="5"/>
      <c r="I483" s="5"/>
      <c r="J483" s="5">
        <v>1</v>
      </c>
      <c r="K483" s="5">
        <v>1</v>
      </c>
      <c r="L483" s="4">
        <v>440</v>
      </c>
      <c r="M483" s="4">
        <v>370</v>
      </c>
      <c r="N483" s="4">
        <v>220</v>
      </c>
      <c r="O483" s="6">
        <f t="shared" si="80"/>
        <v>0.40540540540540537</v>
      </c>
      <c r="P483" s="4" t="s">
        <v>2500</v>
      </c>
      <c r="Q483" s="4"/>
      <c r="R483" s="4"/>
      <c r="S483" s="4"/>
      <c r="T483" s="4"/>
      <c r="U483" s="4"/>
      <c r="V483" s="4"/>
      <c r="W483" s="4"/>
      <c r="X483" s="4"/>
      <c r="Y483" s="4">
        <v>440</v>
      </c>
      <c r="Z483" s="4">
        <f t="shared" si="81"/>
        <v>440</v>
      </c>
      <c r="AA483" s="4">
        <v>220</v>
      </c>
      <c r="AB483" s="4">
        <f t="shared" si="82"/>
        <v>220</v>
      </c>
      <c r="AC483" s="4"/>
      <c r="AD483" s="21">
        <f>ROUND(M483*AR483,0)</f>
        <v>370</v>
      </c>
      <c r="AE483" s="6">
        <f>1-AB483/AD483</f>
        <v>0.40540540540540537</v>
      </c>
      <c r="AF483" s="33">
        <v>0.25</v>
      </c>
      <c r="AG483" s="4">
        <f t="shared" si="83"/>
        <v>440</v>
      </c>
      <c r="AH483" s="33">
        <f t="shared" si="76"/>
        <v>440</v>
      </c>
      <c r="AI483" s="6">
        <f>1-AB483/AH483</f>
        <v>0.5</v>
      </c>
      <c r="AJ483" s="7">
        <f>ROUND(AB483/0.65,0)</f>
        <v>338</v>
      </c>
      <c r="AK483" s="6">
        <f>1-AB483/AJ483</f>
        <v>0.34911242603550297</v>
      </c>
      <c r="AL483" s="4">
        <f>AJ483-AB483</f>
        <v>118</v>
      </c>
      <c r="AM483" s="28"/>
      <c r="AN483" s="6"/>
      <c r="AO483" s="6"/>
      <c r="AP483" s="6">
        <f>Z483/L483</f>
        <v>1</v>
      </c>
      <c r="AQ483" s="6">
        <f>AJ483/M483</f>
        <v>0.91351351351351351</v>
      </c>
      <c r="AR483" s="6">
        <f>AB483/N483</f>
        <v>1</v>
      </c>
      <c r="AS483" s="4"/>
      <c r="AT483" s="4"/>
      <c r="AU483" s="4"/>
      <c r="AV483" s="4"/>
      <c r="AW483" s="4"/>
      <c r="AX483" s="4"/>
      <c r="AY483" s="4"/>
      <c r="AZ483" s="4"/>
      <c r="BA483" s="4"/>
      <c r="BB483" s="4">
        <v>0</v>
      </c>
      <c r="BC483" s="4" t="s">
        <v>4008</v>
      </c>
      <c r="BD483" s="4">
        <v>1</v>
      </c>
      <c r="BE483" s="4">
        <v>3</v>
      </c>
      <c r="BF483" s="4" t="s">
        <v>4009</v>
      </c>
      <c r="BG483" s="4">
        <v>1320</v>
      </c>
      <c r="BH483" s="4">
        <v>1320</v>
      </c>
      <c r="BI483" s="4">
        <f t="shared" si="84"/>
        <v>440</v>
      </c>
      <c r="BJ483" s="19">
        <v>4</v>
      </c>
      <c r="BK483" s="19">
        <v>8</v>
      </c>
      <c r="BL483" s="16">
        <v>4</v>
      </c>
      <c r="BM483" s="45" t="s">
        <v>3534</v>
      </c>
      <c r="BN483" t="s">
        <v>3534</v>
      </c>
      <c r="BO483" t="str">
        <f t="shared" si="77"/>
        <v>-</v>
      </c>
      <c r="BP483" t="s">
        <v>3534</v>
      </c>
      <c r="BQ483">
        <v>418</v>
      </c>
      <c r="BR483">
        <f t="shared" si="78"/>
        <v>418</v>
      </c>
      <c r="BS483" t="s">
        <v>2905</v>
      </c>
    </row>
    <row r="484" spans="1:71" x14ac:dyDescent="0.4">
      <c r="A484" s="3">
        <v>481</v>
      </c>
      <c r="B484" s="3">
        <v>481</v>
      </c>
      <c r="C484" s="4" t="s">
        <v>543</v>
      </c>
      <c r="D484" s="4" t="str">
        <f t="shared" si="79"/>
        <v>J433WL</v>
      </c>
      <c r="E484" s="4" t="s">
        <v>543</v>
      </c>
      <c r="F484" s="4" t="s">
        <v>1761</v>
      </c>
      <c r="G484" s="5">
        <v>4521718191775</v>
      </c>
      <c r="H484" s="5"/>
      <c r="I484" s="5"/>
      <c r="J484" s="5">
        <v>1</v>
      </c>
      <c r="K484" s="5">
        <v>1</v>
      </c>
      <c r="L484" s="4">
        <v>500</v>
      </c>
      <c r="M484" s="4">
        <v>400</v>
      </c>
      <c r="N484" s="4">
        <v>225</v>
      </c>
      <c r="O484" s="6">
        <f t="shared" si="80"/>
        <v>0.4375</v>
      </c>
      <c r="P484" s="4" t="s">
        <v>2500</v>
      </c>
      <c r="Q484" s="4"/>
      <c r="R484" s="4"/>
      <c r="S484" s="4"/>
      <c r="T484" s="4"/>
      <c r="U484" s="4"/>
      <c r="V484" s="4"/>
      <c r="W484" s="4"/>
      <c r="X484" s="4"/>
      <c r="Y484" s="4">
        <v>346</v>
      </c>
      <c r="Z484" s="4">
        <f t="shared" si="81"/>
        <v>346</v>
      </c>
      <c r="AA484" s="4">
        <v>225</v>
      </c>
      <c r="AB484" s="4">
        <f t="shared" si="82"/>
        <v>225</v>
      </c>
      <c r="AC484" s="4"/>
      <c r="AD484" s="21">
        <f>ROUND(M484*AR484,0)</f>
        <v>400</v>
      </c>
      <c r="AE484" s="6">
        <f>1-AB484/AD484</f>
        <v>0.4375</v>
      </c>
      <c r="AF484" s="33">
        <v>0</v>
      </c>
      <c r="AG484" s="4" t="str">
        <f t="shared" si="83"/>
        <v>-</v>
      </c>
      <c r="AH484" s="33" t="e">
        <f t="shared" si="76"/>
        <v>#VALUE!</v>
      </c>
      <c r="AI484" s="6" t="e">
        <f>1-AB484/AH484</f>
        <v>#VALUE!</v>
      </c>
      <c r="AJ484" s="7">
        <v>346</v>
      </c>
      <c r="AK484" s="6">
        <f>1-AB484/AJ484</f>
        <v>0.3497109826589595</v>
      </c>
      <c r="AL484" s="4">
        <f>AJ484-AB484</f>
        <v>121</v>
      </c>
      <c r="AM484" s="28"/>
      <c r="AN484" s="6"/>
      <c r="AO484" s="6"/>
      <c r="AP484" s="6">
        <f>Z484/L484</f>
        <v>0.69199999999999995</v>
      </c>
      <c r="AQ484" s="6">
        <f>AJ484/M484</f>
        <v>0.86499999999999999</v>
      </c>
      <c r="AR484" s="6">
        <f>AB484/N484</f>
        <v>1</v>
      </c>
      <c r="AS484" s="4"/>
      <c r="AT484" s="4"/>
      <c r="AU484" s="4"/>
      <c r="AV484" s="4"/>
      <c r="AW484" s="4"/>
      <c r="AX484" s="4"/>
      <c r="AY484" s="4"/>
      <c r="AZ484" s="4"/>
      <c r="BA484" s="4"/>
      <c r="BB484" s="4">
        <v>0</v>
      </c>
      <c r="BC484" s="4" t="s">
        <v>3534</v>
      </c>
      <c r="BD484" s="4"/>
      <c r="BE484" s="4"/>
      <c r="BF484" s="4" t="s">
        <v>3534</v>
      </c>
      <c r="BG484" s="4" t="s">
        <v>3534</v>
      </c>
      <c r="BH484" s="4" t="s">
        <v>3534</v>
      </c>
      <c r="BI484" s="4" t="str">
        <f t="shared" si="84"/>
        <v>-</v>
      </c>
      <c r="BJ484" s="19">
        <v>4</v>
      </c>
      <c r="BK484" s="19">
        <v>8</v>
      </c>
      <c r="BL484" s="16">
        <v>6</v>
      </c>
      <c r="BM484" s="45" t="s">
        <v>3534</v>
      </c>
      <c r="BN484" t="s">
        <v>3534</v>
      </c>
      <c r="BO484" t="str">
        <f t="shared" si="77"/>
        <v>-</v>
      </c>
      <c r="BP484" t="s">
        <v>3534</v>
      </c>
      <c r="BQ484" t="s">
        <v>3534</v>
      </c>
      <c r="BR484" t="str">
        <f t="shared" si="78"/>
        <v>-</v>
      </c>
      <c r="BS484" t="s">
        <v>3534</v>
      </c>
    </row>
    <row r="485" spans="1:71" x14ac:dyDescent="0.4">
      <c r="A485" s="3">
        <v>482</v>
      </c>
      <c r="B485" s="3">
        <v>482</v>
      </c>
      <c r="C485" s="4" t="s">
        <v>544</v>
      </c>
      <c r="D485" s="4" t="str">
        <f t="shared" si="79"/>
        <v>J435WE</v>
      </c>
      <c r="E485" s="4" t="s">
        <v>544</v>
      </c>
      <c r="F485" s="4" t="s">
        <v>1762</v>
      </c>
      <c r="G485" s="5">
        <v>4521718922331</v>
      </c>
      <c r="H485" s="5"/>
      <c r="I485" s="5"/>
      <c r="J485" s="5">
        <v>1</v>
      </c>
      <c r="K485" s="5">
        <v>1</v>
      </c>
      <c r="L485" s="4">
        <v>760</v>
      </c>
      <c r="M485" s="4">
        <v>650</v>
      </c>
      <c r="N485" s="4">
        <v>380</v>
      </c>
      <c r="O485" s="6">
        <f t="shared" si="80"/>
        <v>0.41538461538461535</v>
      </c>
      <c r="P485" s="4" t="s">
        <v>2500</v>
      </c>
      <c r="Q485" s="4"/>
      <c r="R485" s="4"/>
      <c r="S485" s="4"/>
      <c r="T485" s="4"/>
      <c r="U485" s="4"/>
      <c r="V485" s="4"/>
      <c r="W485" s="4"/>
      <c r="X485" s="4"/>
      <c r="Y485" s="4">
        <v>755</v>
      </c>
      <c r="Z485" s="4">
        <f t="shared" si="81"/>
        <v>755</v>
      </c>
      <c r="AA485" s="4">
        <v>380</v>
      </c>
      <c r="AB485" s="4">
        <f t="shared" si="82"/>
        <v>380</v>
      </c>
      <c r="AC485" s="4"/>
      <c r="AD485" s="21">
        <f>ROUND(M485*AR485,0)</f>
        <v>650</v>
      </c>
      <c r="AE485" s="6">
        <f>1-AB485/AD485</f>
        <v>0.41538461538461535</v>
      </c>
      <c r="AF485" s="33">
        <v>0.25</v>
      </c>
      <c r="AG485" s="4">
        <f t="shared" si="83"/>
        <v>760</v>
      </c>
      <c r="AH485" s="33">
        <f t="shared" si="76"/>
        <v>760</v>
      </c>
      <c r="AI485" s="6">
        <f>1-AB485/AH485</f>
        <v>0.5</v>
      </c>
      <c r="AJ485" s="7">
        <f>ROUND(AB485/0.65,0)</f>
        <v>585</v>
      </c>
      <c r="AK485" s="6">
        <f>1-AB485/AJ485</f>
        <v>0.3504273504273504</v>
      </c>
      <c r="AL485" s="4">
        <f>AJ485-AB485</f>
        <v>205</v>
      </c>
      <c r="AM485" s="28"/>
      <c r="AN485" s="6"/>
      <c r="AO485" s="6"/>
      <c r="AP485" s="6">
        <f>Z485/L485</f>
        <v>0.99342105263157898</v>
      </c>
      <c r="AQ485" s="6">
        <f>AJ485/M485</f>
        <v>0.9</v>
      </c>
      <c r="AR485" s="6">
        <f>AB485/N485</f>
        <v>1</v>
      </c>
      <c r="AS485" s="4"/>
      <c r="AT485" s="4"/>
      <c r="AU485" s="4"/>
      <c r="AV485" s="4"/>
      <c r="AW485" s="4"/>
      <c r="AX485" s="4"/>
      <c r="AY485" s="4"/>
      <c r="AZ485" s="4"/>
      <c r="BA485" s="4"/>
      <c r="BB485" s="4">
        <v>0</v>
      </c>
      <c r="BC485" s="4" t="s">
        <v>4010</v>
      </c>
      <c r="BD485" s="4">
        <v>1</v>
      </c>
      <c r="BE485" s="4">
        <v>2</v>
      </c>
      <c r="BF485" s="4" t="s">
        <v>4011</v>
      </c>
      <c r="BG485" s="4">
        <v>1520</v>
      </c>
      <c r="BH485" s="4">
        <v>1520</v>
      </c>
      <c r="BI485" s="4">
        <f t="shared" si="84"/>
        <v>760</v>
      </c>
      <c r="BJ485" s="19">
        <v>4</v>
      </c>
      <c r="BK485" s="19">
        <v>8</v>
      </c>
      <c r="BL485" s="16">
        <v>4</v>
      </c>
      <c r="BM485" s="45" t="s">
        <v>3534</v>
      </c>
      <c r="BN485" t="s">
        <v>3534</v>
      </c>
      <c r="BO485" t="str">
        <f t="shared" si="77"/>
        <v>-</v>
      </c>
      <c r="BP485" t="s">
        <v>3534</v>
      </c>
      <c r="BQ485">
        <v>722</v>
      </c>
      <c r="BR485">
        <f t="shared" si="78"/>
        <v>722</v>
      </c>
      <c r="BS485" t="s">
        <v>2906</v>
      </c>
    </row>
    <row r="486" spans="1:71" x14ac:dyDescent="0.4">
      <c r="A486" s="3">
        <v>483</v>
      </c>
      <c r="B486" s="3">
        <v>483</v>
      </c>
      <c r="C486" s="4" t="s">
        <v>545</v>
      </c>
      <c r="D486" s="4" t="str">
        <f t="shared" si="79"/>
        <v>J434WL</v>
      </c>
      <c r="E486" s="4" t="s">
        <v>545</v>
      </c>
      <c r="F486" s="4" t="s">
        <v>1763</v>
      </c>
      <c r="G486" s="5">
        <v>4521718191782</v>
      </c>
      <c r="H486" s="5"/>
      <c r="I486" s="5"/>
      <c r="J486" s="5">
        <v>1</v>
      </c>
      <c r="K486" s="5">
        <v>1</v>
      </c>
      <c r="L486" s="4">
        <v>500</v>
      </c>
      <c r="M486" s="4">
        <v>400</v>
      </c>
      <c r="N486" s="4">
        <v>225</v>
      </c>
      <c r="O486" s="6">
        <f t="shared" si="80"/>
        <v>0.4375</v>
      </c>
      <c r="P486" s="4" t="s">
        <v>2500</v>
      </c>
      <c r="Q486" s="4"/>
      <c r="R486" s="4"/>
      <c r="S486" s="4"/>
      <c r="T486" s="4"/>
      <c r="U486" s="4"/>
      <c r="V486" s="4"/>
      <c r="W486" s="4"/>
      <c r="X486" s="4"/>
      <c r="Y486" s="4">
        <v>346</v>
      </c>
      <c r="Z486" s="4">
        <f t="shared" si="81"/>
        <v>346</v>
      </c>
      <c r="AA486" s="4">
        <v>225</v>
      </c>
      <c r="AB486" s="4">
        <f t="shared" si="82"/>
        <v>225</v>
      </c>
      <c r="AC486" s="4"/>
      <c r="AD486" s="21">
        <f>ROUND(M486*AR486,0)</f>
        <v>400</v>
      </c>
      <c r="AE486" s="6">
        <f>1-AB486/AD486</f>
        <v>0.4375</v>
      </c>
      <c r="AF486" s="33">
        <v>0</v>
      </c>
      <c r="AG486" s="4" t="str">
        <f t="shared" si="83"/>
        <v>-</v>
      </c>
      <c r="AH486" s="33" t="e">
        <f t="shared" si="76"/>
        <v>#VALUE!</v>
      </c>
      <c r="AI486" s="6" t="e">
        <f>1-AB486/AH486</f>
        <v>#VALUE!</v>
      </c>
      <c r="AJ486" s="7">
        <v>346</v>
      </c>
      <c r="AK486" s="6">
        <f>1-AB486/AJ486</f>
        <v>0.3497109826589595</v>
      </c>
      <c r="AL486" s="4">
        <f>AJ486-AB486</f>
        <v>121</v>
      </c>
      <c r="AM486" s="28"/>
      <c r="AN486" s="6"/>
      <c r="AO486" s="6"/>
      <c r="AP486" s="6">
        <f>Z486/L486</f>
        <v>0.69199999999999995</v>
      </c>
      <c r="AQ486" s="6">
        <f>AJ486/M486</f>
        <v>0.86499999999999999</v>
      </c>
      <c r="AR486" s="6">
        <f>AB486/N486</f>
        <v>1</v>
      </c>
      <c r="AS486" s="4"/>
      <c r="AT486" s="4"/>
      <c r="AU486" s="4"/>
      <c r="AV486" s="4"/>
      <c r="AW486" s="4"/>
      <c r="AX486" s="4"/>
      <c r="AY486" s="4"/>
      <c r="AZ486" s="4"/>
      <c r="BA486" s="4"/>
      <c r="BB486" s="4">
        <v>0</v>
      </c>
      <c r="BC486" s="4" t="s">
        <v>3534</v>
      </c>
      <c r="BD486" s="4"/>
      <c r="BE486" s="4"/>
      <c r="BF486" s="4" t="s">
        <v>3534</v>
      </c>
      <c r="BG486" s="4" t="s">
        <v>3534</v>
      </c>
      <c r="BH486" s="4" t="s">
        <v>3534</v>
      </c>
      <c r="BI486" s="4" t="str">
        <f t="shared" si="84"/>
        <v>-</v>
      </c>
      <c r="BJ486" s="19">
        <v>4</v>
      </c>
      <c r="BK486" s="19">
        <v>8</v>
      </c>
      <c r="BL486" s="16">
        <v>6</v>
      </c>
      <c r="BM486" s="45" t="s">
        <v>3534</v>
      </c>
      <c r="BN486" t="s">
        <v>3534</v>
      </c>
      <c r="BO486" t="str">
        <f t="shared" si="77"/>
        <v>-</v>
      </c>
      <c r="BP486" t="s">
        <v>3534</v>
      </c>
      <c r="BQ486" t="s">
        <v>3534</v>
      </c>
      <c r="BR486" t="str">
        <f t="shared" si="78"/>
        <v>-</v>
      </c>
      <c r="BS486" t="s">
        <v>3534</v>
      </c>
    </row>
    <row r="487" spans="1:71" x14ac:dyDescent="0.4">
      <c r="A487" s="3">
        <v>484</v>
      </c>
      <c r="B487" s="3">
        <v>484</v>
      </c>
      <c r="C487" s="4" t="s">
        <v>546</v>
      </c>
      <c r="D487" s="4" t="str">
        <f t="shared" si="79"/>
        <v>J436WE</v>
      </c>
      <c r="E487" s="4" t="s">
        <v>546</v>
      </c>
      <c r="F487" s="4" t="s">
        <v>1764</v>
      </c>
      <c r="G487" s="5">
        <v>4548030188313</v>
      </c>
      <c r="H487" s="5"/>
      <c r="I487" s="5"/>
      <c r="J487" s="5">
        <v>1</v>
      </c>
      <c r="K487" s="5">
        <v>1</v>
      </c>
      <c r="L487" s="4">
        <v>700</v>
      </c>
      <c r="M487" s="4">
        <v>600</v>
      </c>
      <c r="N487" s="4">
        <v>350</v>
      </c>
      <c r="O487" s="6">
        <f t="shared" si="80"/>
        <v>0.41666666666666663</v>
      </c>
      <c r="P487" s="4" t="s">
        <v>2500</v>
      </c>
      <c r="Q487" s="4"/>
      <c r="R487" s="4"/>
      <c r="S487" s="4"/>
      <c r="T487" s="4"/>
      <c r="U487" s="4"/>
      <c r="V487" s="4"/>
      <c r="W487" s="4"/>
      <c r="X487" s="4"/>
      <c r="Y487" s="4">
        <v>700</v>
      </c>
      <c r="Z487" s="4">
        <f t="shared" si="81"/>
        <v>700</v>
      </c>
      <c r="AA487" s="4">
        <v>350</v>
      </c>
      <c r="AB487" s="4">
        <f t="shared" si="82"/>
        <v>350</v>
      </c>
      <c r="AC487" s="4"/>
      <c r="AD487" s="21">
        <f>ROUND(M487*AR487,0)</f>
        <v>600</v>
      </c>
      <c r="AE487" s="6">
        <f>1-AB487/AD487</f>
        <v>0.41666666666666663</v>
      </c>
      <c r="AF487" s="33">
        <v>0.25</v>
      </c>
      <c r="AG487" s="4">
        <f t="shared" si="83"/>
        <v>700</v>
      </c>
      <c r="AH487" s="33">
        <f t="shared" si="76"/>
        <v>700</v>
      </c>
      <c r="AI487" s="6">
        <f>1-AB487/AH487</f>
        <v>0.5</v>
      </c>
      <c r="AJ487" s="7">
        <f>ROUND(AB487/0.65,0)</f>
        <v>538</v>
      </c>
      <c r="AK487" s="6">
        <f>1-AB487/AJ487</f>
        <v>0.34944237918215615</v>
      </c>
      <c r="AL487" s="4">
        <f>AJ487-AB487</f>
        <v>188</v>
      </c>
      <c r="AM487" s="28"/>
      <c r="AN487" s="6"/>
      <c r="AO487" s="6"/>
      <c r="AP487" s="6">
        <f>Z487/L487</f>
        <v>1</v>
      </c>
      <c r="AQ487" s="6">
        <f>AJ487/M487</f>
        <v>0.89666666666666661</v>
      </c>
      <c r="AR487" s="6">
        <f>AB487/N487</f>
        <v>1</v>
      </c>
      <c r="AS487" s="4"/>
      <c r="AT487" s="4"/>
      <c r="AU487" s="4"/>
      <c r="AV487" s="4"/>
      <c r="AW487" s="4"/>
      <c r="AX487" s="4"/>
      <c r="AY487" s="4"/>
      <c r="AZ487" s="4"/>
      <c r="BA487" s="4"/>
      <c r="BB487" s="4">
        <v>0</v>
      </c>
      <c r="BC487" s="4" t="s">
        <v>4012</v>
      </c>
      <c r="BD487" s="4">
        <v>1</v>
      </c>
      <c r="BE487" s="4">
        <v>2</v>
      </c>
      <c r="BF487" s="4" t="s">
        <v>3575</v>
      </c>
      <c r="BG487" s="4">
        <v>1400</v>
      </c>
      <c r="BH487" s="4">
        <v>1400</v>
      </c>
      <c r="BI487" s="4">
        <f t="shared" si="84"/>
        <v>700</v>
      </c>
      <c r="BJ487" s="19">
        <v>4</v>
      </c>
      <c r="BK487" s="19">
        <v>8</v>
      </c>
      <c r="BL487" s="16">
        <v>4</v>
      </c>
      <c r="BM487" s="45" t="s">
        <v>3534</v>
      </c>
      <c r="BN487" t="s">
        <v>3534</v>
      </c>
      <c r="BO487" t="str">
        <f t="shared" si="77"/>
        <v>-</v>
      </c>
      <c r="BP487" t="s">
        <v>3534</v>
      </c>
      <c r="BQ487">
        <v>665</v>
      </c>
      <c r="BR487">
        <f t="shared" si="78"/>
        <v>665</v>
      </c>
      <c r="BS487" t="s">
        <v>2907</v>
      </c>
    </row>
    <row r="488" spans="1:71" x14ac:dyDescent="0.4">
      <c r="A488" s="3">
        <v>485</v>
      </c>
      <c r="B488" s="3">
        <v>485</v>
      </c>
      <c r="C488" s="4" t="s">
        <v>547</v>
      </c>
      <c r="D488" s="4" t="str">
        <f t="shared" si="79"/>
        <v>J436WL</v>
      </c>
      <c r="E488" s="4" t="s">
        <v>547</v>
      </c>
      <c r="F488" s="4" t="s">
        <v>1765</v>
      </c>
      <c r="G488" s="5">
        <v>4521718191805</v>
      </c>
      <c r="H488" s="5"/>
      <c r="I488" s="5"/>
      <c r="J488" s="5">
        <v>1</v>
      </c>
      <c r="K488" s="5">
        <v>1</v>
      </c>
      <c r="L488" s="4">
        <v>560</v>
      </c>
      <c r="M488" s="4">
        <v>448</v>
      </c>
      <c r="N488" s="4">
        <v>248</v>
      </c>
      <c r="O488" s="6">
        <f t="shared" si="80"/>
        <v>0.4464285714285714</v>
      </c>
      <c r="P488" s="4" t="s">
        <v>2500</v>
      </c>
      <c r="Q488" s="4"/>
      <c r="R488" s="4"/>
      <c r="S488" s="4"/>
      <c r="T488" s="4"/>
      <c r="U488" s="4"/>
      <c r="V488" s="4"/>
      <c r="W488" s="4"/>
      <c r="X488" s="4"/>
      <c r="Y488" s="4">
        <v>382</v>
      </c>
      <c r="Z488" s="4">
        <f t="shared" si="81"/>
        <v>382</v>
      </c>
      <c r="AA488" s="4">
        <v>248</v>
      </c>
      <c r="AB488" s="4">
        <f t="shared" si="82"/>
        <v>248</v>
      </c>
      <c r="AC488" s="4"/>
      <c r="AD488" s="21">
        <f>ROUND(M488*AR488,0)</f>
        <v>448</v>
      </c>
      <c r="AE488" s="6">
        <f>1-AB488/AD488</f>
        <v>0.4464285714285714</v>
      </c>
      <c r="AF488" s="33">
        <v>0</v>
      </c>
      <c r="AG488" s="4" t="str">
        <f t="shared" si="83"/>
        <v>-</v>
      </c>
      <c r="AH488" s="33" t="e">
        <f t="shared" si="76"/>
        <v>#VALUE!</v>
      </c>
      <c r="AI488" s="6" t="e">
        <f>1-AB488/AH488</f>
        <v>#VALUE!</v>
      </c>
      <c r="AJ488" s="7">
        <f>ROUND(AB488/0.65,0)</f>
        <v>382</v>
      </c>
      <c r="AK488" s="6">
        <f>1-AB488/AJ488</f>
        <v>0.35078534031413611</v>
      </c>
      <c r="AL488" s="4">
        <f>AJ488-AB488</f>
        <v>134</v>
      </c>
      <c r="AM488" s="28"/>
      <c r="AN488" s="6"/>
      <c r="AO488" s="6"/>
      <c r="AP488" s="6">
        <f>Z488/L488</f>
        <v>0.68214285714285716</v>
      </c>
      <c r="AQ488" s="6">
        <f>AJ488/M488</f>
        <v>0.8526785714285714</v>
      </c>
      <c r="AR488" s="6">
        <f>AB488/N488</f>
        <v>1</v>
      </c>
      <c r="AS488" s="4"/>
      <c r="AT488" s="4"/>
      <c r="AU488" s="4"/>
      <c r="AV488" s="4"/>
      <c r="AW488" s="4"/>
      <c r="AX488" s="4"/>
      <c r="AY488" s="4"/>
      <c r="AZ488" s="4"/>
      <c r="BA488" s="4"/>
      <c r="BB488" s="4">
        <v>0</v>
      </c>
      <c r="BC488" s="4" t="s">
        <v>3534</v>
      </c>
      <c r="BD488" s="4"/>
      <c r="BE488" s="4"/>
      <c r="BF488" s="4" t="s">
        <v>3534</v>
      </c>
      <c r="BG488" s="4" t="s">
        <v>3534</v>
      </c>
      <c r="BH488" s="4" t="s">
        <v>3534</v>
      </c>
      <c r="BI488" s="4" t="str">
        <f t="shared" si="84"/>
        <v>-</v>
      </c>
      <c r="BJ488" s="19">
        <v>4</v>
      </c>
      <c r="BK488" s="19">
        <v>8</v>
      </c>
      <c r="BL488" s="16">
        <v>6</v>
      </c>
      <c r="BM488" s="45" t="s">
        <v>3534</v>
      </c>
      <c r="BN488" t="s">
        <v>3534</v>
      </c>
      <c r="BO488" t="str">
        <f t="shared" si="77"/>
        <v>-</v>
      </c>
      <c r="BP488" t="s">
        <v>3534</v>
      </c>
      <c r="BQ488" t="s">
        <v>3534</v>
      </c>
      <c r="BR488" t="str">
        <f t="shared" si="78"/>
        <v>-</v>
      </c>
      <c r="BS488" t="s">
        <v>3534</v>
      </c>
    </row>
    <row r="489" spans="1:71" x14ac:dyDescent="0.4">
      <c r="A489" s="3">
        <v>486</v>
      </c>
      <c r="B489" s="3">
        <v>486</v>
      </c>
      <c r="C489" s="4" t="s">
        <v>548</v>
      </c>
      <c r="D489" s="4" t="str">
        <f t="shared" si="79"/>
        <v>J435WL</v>
      </c>
      <c r="E489" s="4" t="s">
        <v>548</v>
      </c>
      <c r="F489" s="4" t="s">
        <v>1766</v>
      </c>
      <c r="G489" s="5">
        <v>4521718191799</v>
      </c>
      <c r="H489" s="5"/>
      <c r="I489" s="5"/>
      <c r="J489" s="5">
        <v>1</v>
      </c>
      <c r="K489" s="5">
        <v>1</v>
      </c>
      <c r="L489" s="4">
        <v>560</v>
      </c>
      <c r="M489" s="4">
        <v>448</v>
      </c>
      <c r="N489" s="4">
        <v>248</v>
      </c>
      <c r="O489" s="6">
        <f t="shared" si="80"/>
        <v>0.4464285714285714</v>
      </c>
      <c r="P489" s="4" t="s">
        <v>2500</v>
      </c>
      <c r="Q489" s="4"/>
      <c r="R489" s="4"/>
      <c r="S489" s="4"/>
      <c r="T489" s="4"/>
      <c r="U489" s="4"/>
      <c r="V489" s="4"/>
      <c r="W489" s="4"/>
      <c r="X489" s="4"/>
      <c r="Y489" s="4">
        <v>382</v>
      </c>
      <c r="Z489" s="4">
        <f t="shared" si="81"/>
        <v>382</v>
      </c>
      <c r="AA489" s="4">
        <v>248</v>
      </c>
      <c r="AB489" s="4">
        <f t="shared" si="82"/>
        <v>248</v>
      </c>
      <c r="AC489" s="4"/>
      <c r="AD489" s="21">
        <f>ROUND(M489*AR489,0)</f>
        <v>448</v>
      </c>
      <c r="AE489" s="6">
        <f>1-AB489/AD489</f>
        <v>0.4464285714285714</v>
      </c>
      <c r="AF489" s="33">
        <v>0</v>
      </c>
      <c r="AG489" s="4" t="str">
        <f t="shared" si="83"/>
        <v>-</v>
      </c>
      <c r="AH489" s="33" t="e">
        <f t="shared" si="76"/>
        <v>#VALUE!</v>
      </c>
      <c r="AI489" s="6" t="e">
        <f>1-AB489/AH489</f>
        <v>#VALUE!</v>
      </c>
      <c r="AJ489" s="7">
        <f>ROUND(AB489/0.65,0)</f>
        <v>382</v>
      </c>
      <c r="AK489" s="6">
        <f>1-AB489/AJ489</f>
        <v>0.35078534031413611</v>
      </c>
      <c r="AL489" s="4">
        <f>AJ489-AB489</f>
        <v>134</v>
      </c>
      <c r="AM489" s="28"/>
      <c r="AN489" s="6"/>
      <c r="AO489" s="6"/>
      <c r="AP489" s="6">
        <f>Z489/L489</f>
        <v>0.68214285714285716</v>
      </c>
      <c r="AQ489" s="6">
        <f>AJ489/M489</f>
        <v>0.8526785714285714</v>
      </c>
      <c r="AR489" s="6">
        <f>AB489/N489</f>
        <v>1</v>
      </c>
      <c r="AS489" s="4"/>
      <c r="AT489" s="4"/>
      <c r="AU489" s="4"/>
      <c r="AV489" s="4"/>
      <c r="AW489" s="4"/>
      <c r="AX489" s="4"/>
      <c r="AY489" s="4"/>
      <c r="AZ489" s="4"/>
      <c r="BA489" s="4"/>
      <c r="BB489" s="4">
        <v>0</v>
      </c>
      <c r="BC489" s="4" t="s">
        <v>3534</v>
      </c>
      <c r="BD489" s="4"/>
      <c r="BE489" s="4"/>
      <c r="BF489" s="4" t="s">
        <v>3534</v>
      </c>
      <c r="BG489" s="4" t="s">
        <v>3534</v>
      </c>
      <c r="BH489" s="4" t="s">
        <v>3534</v>
      </c>
      <c r="BI489" s="4" t="str">
        <f t="shared" si="84"/>
        <v>-</v>
      </c>
      <c r="BJ489" s="19">
        <v>4</v>
      </c>
      <c r="BK489" s="19">
        <v>8</v>
      </c>
      <c r="BL489" s="16">
        <v>6</v>
      </c>
      <c r="BM489" s="45" t="s">
        <v>3534</v>
      </c>
      <c r="BN489" t="s">
        <v>3534</v>
      </c>
      <c r="BO489" t="str">
        <f t="shared" si="77"/>
        <v>-</v>
      </c>
      <c r="BP489" t="s">
        <v>3534</v>
      </c>
      <c r="BQ489" t="s">
        <v>3534</v>
      </c>
      <c r="BR489" t="str">
        <f t="shared" si="78"/>
        <v>-</v>
      </c>
      <c r="BS489" t="s">
        <v>3534</v>
      </c>
    </row>
    <row r="490" spans="1:71" x14ac:dyDescent="0.4">
      <c r="A490" s="3">
        <v>487</v>
      </c>
      <c r="B490" s="3">
        <v>487</v>
      </c>
      <c r="C490" s="4" t="s">
        <v>549</v>
      </c>
      <c r="D490" s="4" t="str">
        <f t="shared" si="79"/>
        <v>J437WL</v>
      </c>
      <c r="E490" s="4" t="s">
        <v>549</v>
      </c>
      <c r="F490" s="4" t="s">
        <v>1767</v>
      </c>
      <c r="G490" s="5">
        <v>4521718191812</v>
      </c>
      <c r="H490" s="5"/>
      <c r="I490" s="5"/>
      <c r="J490" s="5">
        <v>1</v>
      </c>
      <c r="K490" s="5">
        <v>1</v>
      </c>
      <c r="L490" s="4">
        <v>560</v>
      </c>
      <c r="M490" s="4">
        <v>448</v>
      </c>
      <c r="N490" s="4">
        <v>248</v>
      </c>
      <c r="O490" s="6">
        <f t="shared" si="80"/>
        <v>0.4464285714285714</v>
      </c>
      <c r="P490" s="4" t="s">
        <v>2500</v>
      </c>
      <c r="Q490" s="4"/>
      <c r="R490" s="4"/>
      <c r="S490" s="4"/>
      <c r="T490" s="4"/>
      <c r="U490" s="4"/>
      <c r="V490" s="4"/>
      <c r="W490" s="4"/>
      <c r="X490" s="4"/>
      <c r="Y490" s="4">
        <v>382</v>
      </c>
      <c r="Z490" s="4">
        <f t="shared" si="81"/>
        <v>382</v>
      </c>
      <c r="AA490" s="4">
        <v>248</v>
      </c>
      <c r="AB490" s="4">
        <f t="shared" si="82"/>
        <v>248</v>
      </c>
      <c r="AC490" s="4"/>
      <c r="AD490" s="21">
        <f>ROUND(M490*AR490,0)</f>
        <v>448</v>
      </c>
      <c r="AE490" s="6">
        <f>1-AB490/AD490</f>
        <v>0.4464285714285714</v>
      </c>
      <c r="AF490" s="33">
        <v>0</v>
      </c>
      <c r="AG490" s="4" t="str">
        <f t="shared" si="83"/>
        <v>-</v>
      </c>
      <c r="AH490" s="33" t="e">
        <f t="shared" si="76"/>
        <v>#VALUE!</v>
      </c>
      <c r="AI490" s="6" t="e">
        <f>1-AB490/AH490</f>
        <v>#VALUE!</v>
      </c>
      <c r="AJ490" s="7">
        <f>ROUND(AB490/0.65,0)</f>
        <v>382</v>
      </c>
      <c r="AK490" s="6">
        <f>1-AB490/AJ490</f>
        <v>0.35078534031413611</v>
      </c>
      <c r="AL490" s="4">
        <f>AJ490-AB490</f>
        <v>134</v>
      </c>
      <c r="AM490" s="28"/>
      <c r="AN490" s="6"/>
      <c r="AO490" s="6"/>
      <c r="AP490" s="6">
        <f>Z490/L490</f>
        <v>0.68214285714285716</v>
      </c>
      <c r="AQ490" s="6">
        <f>AJ490/M490</f>
        <v>0.8526785714285714</v>
      </c>
      <c r="AR490" s="6">
        <f>AB490/N490</f>
        <v>1</v>
      </c>
      <c r="AS490" s="4"/>
      <c r="AT490" s="4"/>
      <c r="AU490" s="4"/>
      <c r="AV490" s="4"/>
      <c r="AW490" s="4"/>
      <c r="AX490" s="4"/>
      <c r="AY490" s="4"/>
      <c r="AZ490" s="4"/>
      <c r="BA490" s="4"/>
      <c r="BB490" s="4">
        <v>0</v>
      </c>
      <c r="BC490" s="4" t="s">
        <v>3534</v>
      </c>
      <c r="BD490" s="4"/>
      <c r="BE490" s="4"/>
      <c r="BF490" s="4" t="s">
        <v>3534</v>
      </c>
      <c r="BG490" s="4" t="s">
        <v>3534</v>
      </c>
      <c r="BH490" s="4" t="s">
        <v>3534</v>
      </c>
      <c r="BI490" s="4" t="str">
        <f t="shared" si="84"/>
        <v>-</v>
      </c>
      <c r="BJ490" s="19">
        <v>4</v>
      </c>
      <c r="BK490" s="19">
        <v>8</v>
      </c>
      <c r="BL490" s="16">
        <v>6</v>
      </c>
      <c r="BM490" s="45" t="s">
        <v>3534</v>
      </c>
      <c r="BN490" t="s">
        <v>3534</v>
      </c>
      <c r="BO490" t="str">
        <f t="shared" si="77"/>
        <v>-</v>
      </c>
      <c r="BP490" t="s">
        <v>3534</v>
      </c>
      <c r="BQ490" t="s">
        <v>3534</v>
      </c>
      <c r="BR490" t="str">
        <f t="shared" si="78"/>
        <v>-</v>
      </c>
      <c r="BS490" t="s">
        <v>3534</v>
      </c>
    </row>
    <row r="491" spans="1:71" x14ac:dyDescent="0.4">
      <c r="A491" s="3">
        <v>488</v>
      </c>
      <c r="B491" s="3">
        <v>488</v>
      </c>
      <c r="C491" s="4" t="s">
        <v>550</v>
      </c>
      <c r="D491" s="4" t="str">
        <f t="shared" si="79"/>
        <v>J438WL</v>
      </c>
      <c r="E491" s="4" t="s">
        <v>550</v>
      </c>
      <c r="F491" s="4" t="s">
        <v>1768</v>
      </c>
      <c r="G491" s="5">
        <v>4521718191829</v>
      </c>
      <c r="H491" s="5"/>
      <c r="I491" s="5"/>
      <c r="J491" s="5">
        <v>1</v>
      </c>
      <c r="K491" s="5">
        <v>1</v>
      </c>
      <c r="L491" s="4">
        <v>560</v>
      </c>
      <c r="M491" s="4">
        <v>448</v>
      </c>
      <c r="N491" s="4">
        <v>248</v>
      </c>
      <c r="O491" s="6">
        <f t="shared" si="80"/>
        <v>0.4464285714285714</v>
      </c>
      <c r="P491" s="4" t="s">
        <v>2500</v>
      </c>
      <c r="Q491" s="4"/>
      <c r="R491" s="4"/>
      <c r="S491" s="4"/>
      <c r="T491" s="4"/>
      <c r="U491" s="4"/>
      <c r="V491" s="4"/>
      <c r="W491" s="4"/>
      <c r="X491" s="4"/>
      <c r="Y491" s="4">
        <v>382</v>
      </c>
      <c r="Z491" s="4">
        <f t="shared" si="81"/>
        <v>382</v>
      </c>
      <c r="AA491" s="4">
        <v>248</v>
      </c>
      <c r="AB491" s="4">
        <f t="shared" si="82"/>
        <v>248</v>
      </c>
      <c r="AC491" s="4"/>
      <c r="AD491" s="21">
        <f>ROUND(M491*AR491,0)</f>
        <v>448</v>
      </c>
      <c r="AE491" s="6">
        <f>1-AB491/AD491</f>
        <v>0.4464285714285714</v>
      </c>
      <c r="AF491" s="33">
        <v>0</v>
      </c>
      <c r="AG491" s="4" t="str">
        <f t="shared" si="83"/>
        <v>-</v>
      </c>
      <c r="AH491" s="33" t="e">
        <f t="shared" si="76"/>
        <v>#VALUE!</v>
      </c>
      <c r="AI491" s="6" t="e">
        <f>1-AB491/AH491</f>
        <v>#VALUE!</v>
      </c>
      <c r="AJ491" s="7">
        <f>ROUND(AB491/0.65,0)</f>
        <v>382</v>
      </c>
      <c r="AK491" s="6">
        <f>1-AB491/AJ491</f>
        <v>0.35078534031413611</v>
      </c>
      <c r="AL491" s="4">
        <f>AJ491-AB491</f>
        <v>134</v>
      </c>
      <c r="AM491" s="28"/>
      <c r="AN491" s="6"/>
      <c r="AO491" s="6"/>
      <c r="AP491" s="6">
        <f>Z491/L491</f>
        <v>0.68214285714285716</v>
      </c>
      <c r="AQ491" s="6">
        <f>AJ491/M491</f>
        <v>0.8526785714285714</v>
      </c>
      <c r="AR491" s="6">
        <f>AB491/N491</f>
        <v>1</v>
      </c>
      <c r="AS491" s="4"/>
      <c r="AT491" s="4"/>
      <c r="AU491" s="4"/>
      <c r="AV491" s="4"/>
      <c r="AW491" s="4"/>
      <c r="AX491" s="4"/>
      <c r="AY491" s="4"/>
      <c r="AZ491" s="4"/>
      <c r="BA491" s="4"/>
      <c r="BB491" s="4">
        <v>0</v>
      </c>
      <c r="BC491" s="4" t="s">
        <v>3534</v>
      </c>
      <c r="BD491" s="4"/>
      <c r="BE491" s="4"/>
      <c r="BF491" s="4" t="s">
        <v>3534</v>
      </c>
      <c r="BG491" s="4" t="s">
        <v>3534</v>
      </c>
      <c r="BH491" s="4" t="s">
        <v>3534</v>
      </c>
      <c r="BI491" s="4" t="str">
        <f t="shared" si="84"/>
        <v>-</v>
      </c>
      <c r="BJ491" s="19">
        <v>4</v>
      </c>
      <c r="BK491" s="19">
        <v>8</v>
      </c>
      <c r="BL491" s="16">
        <v>6</v>
      </c>
      <c r="BM491" s="45" t="s">
        <v>3534</v>
      </c>
      <c r="BN491" t="s">
        <v>3534</v>
      </c>
      <c r="BO491" t="str">
        <f t="shared" si="77"/>
        <v>-</v>
      </c>
      <c r="BP491" t="s">
        <v>3534</v>
      </c>
      <c r="BQ491" t="s">
        <v>3534</v>
      </c>
      <c r="BR491" t="str">
        <f t="shared" si="78"/>
        <v>-</v>
      </c>
      <c r="BS491" t="s">
        <v>3534</v>
      </c>
    </row>
    <row r="492" spans="1:71" x14ac:dyDescent="0.4">
      <c r="A492" s="3">
        <v>489</v>
      </c>
      <c r="B492" s="3">
        <v>489</v>
      </c>
      <c r="C492" s="4" t="s">
        <v>551</v>
      </c>
      <c r="D492" s="4" t="str">
        <f t="shared" si="79"/>
        <v>J440WL</v>
      </c>
      <c r="E492" s="4" t="s">
        <v>551</v>
      </c>
      <c r="F492" s="4" t="s">
        <v>1769</v>
      </c>
      <c r="G492" s="5">
        <v>4521718191843</v>
      </c>
      <c r="H492" s="5"/>
      <c r="I492" s="5"/>
      <c r="J492" s="5">
        <v>1</v>
      </c>
      <c r="K492" s="5">
        <v>1</v>
      </c>
      <c r="L492" s="4">
        <v>1350</v>
      </c>
      <c r="M492" s="4">
        <v>1080</v>
      </c>
      <c r="N492" s="4">
        <v>605</v>
      </c>
      <c r="O492" s="6">
        <f t="shared" si="80"/>
        <v>0.43981481481481477</v>
      </c>
      <c r="P492" s="4" t="s">
        <v>2500</v>
      </c>
      <c r="Q492" s="4"/>
      <c r="R492" s="4"/>
      <c r="S492" s="4"/>
      <c r="T492" s="4"/>
      <c r="U492" s="4"/>
      <c r="V492" s="4"/>
      <c r="W492" s="4"/>
      <c r="X492" s="4"/>
      <c r="Y492" s="4">
        <v>864</v>
      </c>
      <c r="Z492" s="4">
        <f t="shared" si="81"/>
        <v>864</v>
      </c>
      <c r="AA492" s="4">
        <v>605</v>
      </c>
      <c r="AB492" s="4">
        <f t="shared" si="82"/>
        <v>605</v>
      </c>
      <c r="AC492" s="4"/>
      <c r="AD492" s="21">
        <f>ROUND(M492*AR492,0)</f>
        <v>1080</v>
      </c>
      <c r="AE492" s="6">
        <f>1-AB492/AD492</f>
        <v>0.43981481481481477</v>
      </c>
      <c r="AF492" s="33">
        <v>0</v>
      </c>
      <c r="AG492" s="4" t="str">
        <f t="shared" si="83"/>
        <v>-</v>
      </c>
      <c r="AH492" s="33" t="e">
        <f t="shared" si="76"/>
        <v>#VALUE!</v>
      </c>
      <c r="AI492" s="6" t="e">
        <f>1-AB492/AH492</f>
        <v>#VALUE!</v>
      </c>
      <c r="AJ492" s="7">
        <v>864</v>
      </c>
      <c r="AK492" s="6">
        <f>1-AB492/AJ492</f>
        <v>0.29976851851851849</v>
      </c>
      <c r="AL492" s="4">
        <f>AJ492-AB492</f>
        <v>259</v>
      </c>
      <c r="AM492" s="28"/>
      <c r="AN492" s="6"/>
      <c r="AO492" s="6"/>
      <c r="AP492" s="6">
        <f>Z492/L492</f>
        <v>0.64</v>
      </c>
      <c r="AQ492" s="6">
        <f>AJ492/M492</f>
        <v>0.8</v>
      </c>
      <c r="AR492" s="6">
        <f>AB492/N492</f>
        <v>1</v>
      </c>
      <c r="AS492" s="4"/>
      <c r="AT492" s="4"/>
      <c r="AU492" s="4"/>
      <c r="AV492" s="4"/>
      <c r="AW492" s="4"/>
      <c r="AX492" s="4"/>
      <c r="AY492" s="4"/>
      <c r="AZ492" s="4"/>
      <c r="BA492" s="4"/>
      <c r="BB492" s="4">
        <v>0</v>
      </c>
      <c r="BC492" s="4" t="s">
        <v>3534</v>
      </c>
      <c r="BD492" s="4"/>
      <c r="BE492" s="4"/>
      <c r="BF492" s="4" t="s">
        <v>3534</v>
      </c>
      <c r="BG492" s="4" t="s">
        <v>3534</v>
      </c>
      <c r="BH492" s="4" t="s">
        <v>3534</v>
      </c>
      <c r="BI492" s="4" t="str">
        <f t="shared" si="84"/>
        <v>-</v>
      </c>
      <c r="BJ492" s="19">
        <v>4</v>
      </c>
      <c r="BK492" s="19">
        <v>8</v>
      </c>
      <c r="BL492" s="16">
        <v>6</v>
      </c>
      <c r="BM492" s="45" t="s">
        <v>3534</v>
      </c>
      <c r="BN492" t="s">
        <v>3534</v>
      </c>
      <c r="BO492" t="str">
        <f t="shared" si="77"/>
        <v>-</v>
      </c>
      <c r="BP492" t="s">
        <v>3534</v>
      </c>
      <c r="BQ492" t="s">
        <v>3534</v>
      </c>
      <c r="BR492" t="str">
        <f t="shared" si="78"/>
        <v>-</v>
      </c>
      <c r="BS492" t="s">
        <v>3534</v>
      </c>
    </row>
    <row r="493" spans="1:71" x14ac:dyDescent="0.4">
      <c r="A493" s="3">
        <v>490</v>
      </c>
      <c r="B493" s="3">
        <v>490</v>
      </c>
      <c r="C493" s="4" t="s">
        <v>552</v>
      </c>
      <c r="D493" s="4" t="str">
        <f t="shared" si="79"/>
        <v>J439WL</v>
      </c>
      <c r="E493" s="4" t="s">
        <v>552</v>
      </c>
      <c r="F493" s="4" t="s">
        <v>1770</v>
      </c>
      <c r="G493" s="5">
        <v>4521718191836</v>
      </c>
      <c r="H493" s="5"/>
      <c r="I493" s="5"/>
      <c r="J493" s="5">
        <v>1</v>
      </c>
      <c r="K493" s="5">
        <v>1</v>
      </c>
      <c r="L493" s="4">
        <v>560</v>
      </c>
      <c r="M493" s="4">
        <v>448</v>
      </c>
      <c r="N493" s="4">
        <v>248</v>
      </c>
      <c r="O493" s="6">
        <f t="shared" si="80"/>
        <v>0.4464285714285714</v>
      </c>
      <c r="P493" s="4" t="s">
        <v>2500</v>
      </c>
      <c r="Q493" s="4"/>
      <c r="R493" s="4"/>
      <c r="S493" s="4"/>
      <c r="T493" s="4"/>
      <c r="U493" s="4"/>
      <c r="V493" s="4"/>
      <c r="W493" s="4"/>
      <c r="X493" s="4"/>
      <c r="Y493" s="4">
        <v>382</v>
      </c>
      <c r="Z493" s="4">
        <f t="shared" si="81"/>
        <v>382</v>
      </c>
      <c r="AA493" s="4">
        <v>248</v>
      </c>
      <c r="AB493" s="4">
        <f t="shared" si="82"/>
        <v>248</v>
      </c>
      <c r="AC493" s="4"/>
      <c r="AD493" s="21">
        <f>ROUND(M493*AR493,0)</f>
        <v>448</v>
      </c>
      <c r="AE493" s="6">
        <f>1-AB493/AD493</f>
        <v>0.4464285714285714</v>
      </c>
      <c r="AF493" s="33">
        <v>0</v>
      </c>
      <c r="AG493" s="4" t="str">
        <f t="shared" si="83"/>
        <v>-</v>
      </c>
      <c r="AH493" s="33" t="e">
        <f t="shared" si="76"/>
        <v>#VALUE!</v>
      </c>
      <c r="AI493" s="6" t="e">
        <f>1-AB493/AH493</f>
        <v>#VALUE!</v>
      </c>
      <c r="AJ493" s="7">
        <f>ROUND(AB493/0.65,0)</f>
        <v>382</v>
      </c>
      <c r="AK493" s="6">
        <f>1-AB493/AJ493</f>
        <v>0.35078534031413611</v>
      </c>
      <c r="AL493" s="4">
        <f>AJ493-AB493</f>
        <v>134</v>
      </c>
      <c r="AM493" s="28"/>
      <c r="AN493" s="6"/>
      <c r="AO493" s="6"/>
      <c r="AP493" s="6">
        <f>Z493/L493</f>
        <v>0.68214285714285716</v>
      </c>
      <c r="AQ493" s="6">
        <f>AJ493/M493</f>
        <v>0.8526785714285714</v>
      </c>
      <c r="AR493" s="6">
        <f>AB493/N493</f>
        <v>1</v>
      </c>
      <c r="AS493" s="4"/>
      <c r="AT493" s="4"/>
      <c r="AU493" s="4"/>
      <c r="AV493" s="4"/>
      <c r="AW493" s="4"/>
      <c r="AX493" s="4"/>
      <c r="AY493" s="4"/>
      <c r="AZ493" s="4"/>
      <c r="BA493" s="4"/>
      <c r="BB493" s="4">
        <v>0</v>
      </c>
      <c r="BC493" s="4" t="s">
        <v>3534</v>
      </c>
      <c r="BD493" s="4"/>
      <c r="BE493" s="4"/>
      <c r="BF493" s="4" t="s">
        <v>3534</v>
      </c>
      <c r="BG493" s="4" t="s">
        <v>3534</v>
      </c>
      <c r="BH493" s="4" t="s">
        <v>3534</v>
      </c>
      <c r="BI493" s="4" t="str">
        <f t="shared" si="84"/>
        <v>-</v>
      </c>
      <c r="BJ493" s="19">
        <v>4</v>
      </c>
      <c r="BK493" s="19">
        <v>8</v>
      </c>
      <c r="BL493" s="16">
        <v>6</v>
      </c>
      <c r="BM493" s="45" t="s">
        <v>3534</v>
      </c>
      <c r="BN493" t="s">
        <v>3534</v>
      </c>
      <c r="BO493" t="str">
        <f t="shared" si="77"/>
        <v>-</v>
      </c>
      <c r="BP493" t="s">
        <v>3534</v>
      </c>
      <c r="BQ493" t="s">
        <v>3534</v>
      </c>
      <c r="BR493" t="str">
        <f t="shared" si="78"/>
        <v>-</v>
      </c>
      <c r="BS493" t="s">
        <v>3534</v>
      </c>
    </row>
    <row r="494" spans="1:71" x14ac:dyDescent="0.4">
      <c r="A494" s="3">
        <v>491</v>
      </c>
      <c r="B494" s="3">
        <v>491</v>
      </c>
      <c r="C494" s="4" t="s">
        <v>553</v>
      </c>
      <c r="D494" s="4" t="str">
        <f t="shared" si="79"/>
        <v>J441WL</v>
      </c>
      <c r="E494" s="4" t="s">
        <v>553</v>
      </c>
      <c r="F494" s="4" t="s">
        <v>1771</v>
      </c>
      <c r="G494" s="5">
        <v>4521718191850</v>
      </c>
      <c r="H494" s="5"/>
      <c r="I494" s="5"/>
      <c r="J494" s="5">
        <v>1</v>
      </c>
      <c r="K494" s="5">
        <v>1</v>
      </c>
      <c r="L494" s="4">
        <v>1350</v>
      </c>
      <c r="M494" s="4">
        <v>1080</v>
      </c>
      <c r="N494" s="4">
        <v>605</v>
      </c>
      <c r="O494" s="6">
        <f t="shared" si="80"/>
        <v>0.43981481481481477</v>
      </c>
      <c r="P494" s="4" t="s">
        <v>2500</v>
      </c>
      <c r="Q494" s="4"/>
      <c r="R494" s="4"/>
      <c r="S494" s="4"/>
      <c r="T494" s="4"/>
      <c r="U494" s="4"/>
      <c r="V494" s="4"/>
      <c r="W494" s="4"/>
      <c r="X494" s="4"/>
      <c r="Y494" s="4">
        <v>864</v>
      </c>
      <c r="Z494" s="4">
        <f t="shared" si="81"/>
        <v>864</v>
      </c>
      <c r="AA494" s="4">
        <v>605</v>
      </c>
      <c r="AB494" s="4">
        <f t="shared" si="82"/>
        <v>605</v>
      </c>
      <c r="AC494" s="4"/>
      <c r="AD494" s="21">
        <f>ROUND(M494*AR494,0)</f>
        <v>1080</v>
      </c>
      <c r="AE494" s="6">
        <f>1-AB494/AD494</f>
        <v>0.43981481481481477</v>
      </c>
      <c r="AF494" s="33">
        <v>0</v>
      </c>
      <c r="AG494" s="4" t="str">
        <f t="shared" si="83"/>
        <v>-</v>
      </c>
      <c r="AH494" s="33" t="e">
        <f t="shared" si="76"/>
        <v>#VALUE!</v>
      </c>
      <c r="AI494" s="6" t="e">
        <f>1-AB494/AH494</f>
        <v>#VALUE!</v>
      </c>
      <c r="AJ494" s="7">
        <v>864</v>
      </c>
      <c r="AK494" s="6">
        <f>1-AB494/AJ494</f>
        <v>0.29976851851851849</v>
      </c>
      <c r="AL494" s="4">
        <f>AJ494-AB494</f>
        <v>259</v>
      </c>
      <c r="AM494" s="28"/>
      <c r="AN494" s="6"/>
      <c r="AO494" s="6"/>
      <c r="AP494" s="6">
        <f>Z494/L494</f>
        <v>0.64</v>
      </c>
      <c r="AQ494" s="6">
        <f>AJ494/M494</f>
        <v>0.8</v>
      </c>
      <c r="AR494" s="6">
        <f>AB494/N494</f>
        <v>1</v>
      </c>
      <c r="AS494" s="4"/>
      <c r="AT494" s="4"/>
      <c r="AU494" s="4"/>
      <c r="AV494" s="4"/>
      <c r="AW494" s="4"/>
      <c r="AX494" s="4"/>
      <c r="AY494" s="4"/>
      <c r="AZ494" s="4"/>
      <c r="BA494" s="4"/>
      <c r="BB494" s="4">
        <v>0</v>
      </c>
      <c r="BC494" s="4" t="s">
        <v>3534</v>
      </c>
      <c r="BD494" s="4"/>
      <c r="BE494" s="4"/>
      <c r="BF494" s="4" t="s">
        <v>3534</v>
      </c>
      <c r="BG494" s="4" t="s">
        <v>3534</v>
      </c>
      <c r="BH494" s="4" t="s">
        <v>3534</v>
      </c>
      <c r="BI494" s="4" t="str">
        <f t="shared" si="84"/>
        <v>-</v>
      </c>
      <c r="BJ494" s="19">
        <v>4</v>
      </c>
      <c r="BK494" s="19">
        <v>8</v>
      </c>
      <c r="BL494" s="16">
        <v>6</v>
      </c>
      <c r="BM494" s="45" t="s">
        <v>3534</v>
      </c>
      <c r="BN494" t="s">
        <v>3534</v>
      </c>
      <c r="BO494" t="str">
        <f t="shared" si="77"/>
        <v>-</v>
      </c>
      <c r="BP494" t="s">
        <v>3534</v>
      </c>
      <c r="BQ494" t="s">
        <v>3534</v>
      </c>
      <c r="BR494" t="str">
        <f t="shared" si="78"/>
        <v>-</v>
      </c>
      <c r="BS494" t="s">
        <v>3534</v>
      </c>
    </row>
    <row r="495" spans="1:71" x14ac:dyDescent="0.4">
      <c r="A495" s="3">
        <v>492</v>
      </c>
      <c r="B495" s="3">
        <v>492</v>
      </c>
      <c r="C495" s="4" t="s">
        <v>554</v>
      </c>
      <c r="D495" s="4" t="str">
        <f t="shared" si="79"/>
        <v>J442WL</v>
      </c>
      <c r="E495" s="4" t="s">
        <v>554</v>
      </c>
      <c r="F495" s="4" t="s">
        <v>1772</v>
      </c>
      <c r="G495" s="5">
        <v>4521718191867</v>
      </c>
      <c r="H495" s="5"/>
      <c r="I495" s="5"/>
      <c r="J495" s="5">
        <v>1</v>
      </c>
      <c r="K495" s="5">
        <v>1</v>
      </c>
      <c r="L495" s="4">
        <v>1350</v>
      </c>
      <c r="M495" s="4">
        <v>1080</v>
      </c>
      <c r="N495" s="4">
        <v>605</v>
      </c>
      <c r="O495" s="6">
        <f t="shared" si="80"/>
        <v>0.43981481481481477</v>
      </c>
      <c r="P495" s="4" t="s">
        <v>2500</v>
      </c>
      <c r="Q495" s="4"/>
      <c r="R495" s="4"/>
      <c r="S495" s="4"/>
      <c r="T495" s="4"/>
      <c r="U495" s="4"/>
      <c r="V495" s="4"/>
      <c r="W495" s="4"/>
      <c r="X495" s="4"/>
      <c r="Y495" s="4">
        <v>864</v>
      </c>
      <c r="Z495" s="4">
        <f t="shared" si="81"/>
        <v>864</v>
      </c>
      <c r="AA495" s="4">
        <v>605</v>
      </c>
      <c r="AB495" s="4">
        <f t="shared" si="82"/>
        <v>605</v>
      </c>
      <c r="AC495" s="4"/>
      <c r="AD495" s="21">
        <f>ROUND(M495*AR495,0)</f>
        <v>1080</v>
      </c>
      <c r="AE495" s="6">
        <f>1-AB495/AD495</f>
        <v>0.43981481481481477</v>
      </c>
      <c r="AF495" s="33">
        <v>0</v>
      </c>
      <c r="AG495" s="4" t="str">
        <f t="shared" si="83"/>
        <v>-</v>
      </c>
      <c r="AH495" s="33" t="e">
        <f t="shared" si="76"/>
        <v>#VALUE!</v>
      </c>
      <c r="AI495" s="6" t="e">
        <f>1-AB495/AH495</f>
        <v>#VALUE!</v>
      </c>
      <c r="AJ495" s="7">
        <v>864</v>
      </c>
      <c r="AK495" s="6">
        <f>1-AB495/AJ495</f>
        <v>0.29976851851851849</v>
      </c>
      <c r="AL495" s="4">
        <f>AJ495-AB495</f>
        <v>259</v>
      </c>
      <c r="AM495" s="28"/>
      <c r="AN495" s="6"/>
      <c r="AO495" s="6"/>
      <c r="AP495" s="6">
        <f>Z495/L495</f>
        <v>0.64</v>
      </c>
      <c r="AQ495" s="6">
        <f>AJ495/M495</f>
        <v>0.8</v>
      </c>
      <c r="AR495" s="6">
        <f>AB495/N495</f>
        <v>1</v>
      </c>
      <c r="AS495" s="4"/>
      <c r="AT495" s="4"/>
      <c r="AU495" s="4"/>
      <c r="AV495" s="4"/>
      <c r="AW495" s="4"/>
      <c r="AX495" s="4"/>
      <c r="AY495" s="4"/>
      <c r="AZ495" s="4"/>
      <c r="BA495" s="4"/>
      <c r="BB495" s="4">
        <v>0</v>
      </c>
      <c r="BC495" s="4" t="s">
        <v>3534</v>
      </c>
      <c r="BD495" s="4"/>
      <c r="BE495" s="4"/>
      <c r="BF495" s="4" t="s">
        <v>3534</v>
      </c>
      <c r="BG495" s="4" t="s">
        <v>3534</v>
      </c>
      <c r="BH495" s="4" t="s">
        <v>3534</v>
      </c>
      <c r="BI495" s="4" t="str">
        <f t="shared" si="84"/>
        <v>-</v>
      </c>
      <c r="BJ495" s="19">
        <v>4</v>
      </c>
      <c r="BK495" s="19">
        <v>8</v>
      </c>
      <c r="BL495" s="16">
        <v>6</v>
      </c>
      <c r="BM495" s="45" t="s">
        <v>3534</v>
      </c>
      <c r="BN495" t="s">
        <v>3534</v>
      </c>
      <c r="BO495" t="str">
        <f t="shared" si="77"/>
        <v>-</v>
      </c>
      <c r="BP495" t="s">
        <v>3534</v>
      </c>
      <c r="BQ495" t="s">
        <v>3534</v>
      </c>
      <c r="BR495" t="str">
        <f t="shared" si="78"/>
        <v>-</v>
      </c>
      <c r="BS495" t="s">
        <v>3534</v>
      </c>
    </row>
    <row r="496" spans="1:71" x14ac:dyDescent="0.4">
      <c r="A496" s="3">
        <v>493</v>
      </c>
      <c r="B496" s="3">
        <v>493</v>
      </c>
      <c r="C496" s="4" t="s">
        <v>555</v>
      </c>
      <c r="D496" s="4" t="str">
        <f t="shared" si="79"/>
        <v>J444WL</v>
      </c>
      <c r="E496" s="4" t="s">
        <v>555</v>
      </c>
      <c r="F496" s="4" t="s">
        <v>1773</v>
      </c>
      <c r="G496" s="5">
        <v>4521718191881</v>
      </c>
      <c r="H496" s="5"/>
      <c r="I496" s="5"/>
      <c r="J496" s="5">
        <v>1</v>
      </c>
      <c r="K496" s="5">
        <v>1</v>
      </c>
      <c r="L496" s="4">
        <v>1350</v>
      </c>
      <c r="M496" s="4">
        <v>1080</v>
      </c>
      <c r="N496" s="4">
        <v>605</v>
      </c>
      <c r="O496" s="6">
        <f t="shared" si="80"/>
        <v>0.43981481481481477</v>
      </c>
      <c r="P496" s="4" t="s">
        <v>2500</v>
      </c>
      <c r="Q496" s="4"/>
      <c r="R496" s="4"/>
      <c r="S496" s="4"/>
      <c r="T496" s="4"/>
      <c r="U496" s="4"/>
      <c r="V496" s="4"/>
      <c r="W496" s="4"/>
      <c r="X496" s="4"/>
      <c r="Y496" s="4">
        <v>864</v>
      </c>
      <c r="Z496" s="4">
        <f t="shared" si="81"/>
        <v>864</v>
      </c>
      <c r="AA496" s="4">
        <v>605</v>
      </c>
      <c r="AB496" s="4">
        <f t="shared" si="82"/>
        <v>605</v>
      </c>
      <c r="AC496" s="4"/>
      <c r="AD496" s="21">
        <f>ROUND(M496*AR496,0)</f>
        <v>1080</v>
      </c>
      <c r="AE496" s="6">
        <f>1-AB496/AD496</f>
        <v>0.43981481481481477</v>
      </c>
      <c r="AF496" s="33">
        <v>0</v>
      </c>
      <c r="AG496" s="4" t="str">
        <f t="shared" si="83"/>
        <v>-</v>
      </c>
      <c r="AH496" s="33" t="e">
        <f t="shared" si="76"/>
        <v>#VALUE!</v>
      </c>
      <c r="AI496" s="6" t="e">
        <f>1-AB496/AH496</f>
        <v>#VALUE!</v>
      </c>
      <c r="AJ496" s="7">
        <v>864</v>
      </c>
      <c r="AK496" s="6">
        <f>1-AB496/AJ496</f>
        <v>0.29976851851851849</v>
      </c>
      <c r="AL496" s="4">
        <f>AJ496-AB496</f>
        <v>259</v>
      </c>
      <c r="AM496" s="28"/>
      <c r="AN496" s="6"/>
      <c r="AO496" s="6"/>
      <c r="AP496" s="6">
        <f>Z496/L496</f>
        <v>0.64</v>
      </c>
      <c r="AQ496" s="6">
        <f>AJ496/M496</f>
        <v>0.8</v>
      </c>
      <c r="AR496" s="6">
        <f>AB496/N496</f>
        <v>1</v>
      </c>
      <c r="AS496" s="4"/>
      <c r="AT496" s="4"/>
      <c r="AU496" s="4"/>
      <c r="AV496" s="4"/>
      <c r="AW496" s="4"/>
      <c r="AX496" s="4"/>
      <c r="AY496" s="4"/>
      <c r="AZ496" s="4"/>
      <c r="BA496" s="4"/>
      <c r="BB496" s="4">
        <v>0</v>
      </c>
      <c r="BC496" s="4" t="s">
        <v>3534</v>
      </c>
      <c r="BD496" s="4"/>
      <c r="BE496" s="4"/>
      <c r="BF496" s="4" t="s">
        <v>3534</v>
      </c>
      <c r="BG496" s="4" t="s">
        <v>3534</v>
      </c>
      <c r="BH496" s="4" t="s">
        <v>3534</v>
      </c>
      <c r="BI496" s="4" t="str">
        <f t="shared" si="84"/>
        <v>-</v>
      </c>
      <c r="BJ496" s="19">
        <v>4</v>
      </c>
      <c r="BK496" s="19">
        <v>8</v>
      </c>
      <c r="BL496" s="16">
        <v>6</v>
      </c>
      <c r="BM496" s="45" t="s">
        <v>3534</v>
      </c>
      <c r="BN496" t="s">
        <v>3534</v>
      </c>
      <c r="BO496" t="str">
        <f t="shared" si="77"/>
        <v>-</v>
      </c>
      <c r="BP496" t="s">
        <v>3534</v>
      </c>
      <c r="BQ496" t="s">
        <v>3534</v>
      </c>
      <c r="BR496" t="str">
        <f t="shared" si="78"/>
        <v>-</v>
      </c>
      <c r="BS496" t="s">
        <v>3534</v>
      </c>
    </row>
    <row r="497" spans="1:71" x14ac:dyDescent="0.4">
      <c r="A497" s="3">
        <v>494</v>
      </c>
      <c r="B497" s="3">
        <v>494</v>
      </c>
      <c r="C497" s="4" t="s">
        <v>556</v>
      </c>
      <c r="D497" s="4" t="str">
        <f t="shared" si="79"/>
        <v>J445WL</v>
      </c>
      <c r="E497" s="4" t="s">
        <v>556</v>
      </c>
      <c r="F497" s="4" t="s">
        <v>1774</v>
      </c>
      <c r="G497" s="5">
        <v>4521718191898</v>
      </c>
      <c r="H497" s="5"/>
      <c r="I497" s="5"/>
      <c r="J497" s="5">
        <v>1</v>
      </c>
      <c r="K497" s="5">
        <v>1</v>
      </c>
      <c r="L497" s="4">
        <v>1350</v>
      </c>
      <c r="M497" s="4">
        <v>1080</v>
      </c>
      <c r="N497" s="4">
        <v>605</v>
      </c>
      <c r="O497" s="6">
        <f t="shared" si="80"/>
        <v>0.43981481481481477</v>
      </c>
      <c r="P497" s="4" t="s">
        <v>2500</v>
      </c>
      <c r="Q497" s="4"/>
      <c r="R497" s="4"/>
      <c r="S497" s="4"/>
      <c r="T497" s="4"/>
      <c r="U497" s="4"/>
      <c r="V497" s="4"/>
      <c r="W497" s="4"/>
      <c r="X497" s="4"/>
      <c r="Y497" s="4">
        <v>864</v>
      </c>
      <c r="Z497" s="4">
        <f t="shared" si="81"/>
        <v>864</v>
      </c>
      <c r="AA497" s="4">
        <v>605</v>
      </c>
      <c r="AB497" s="4">
        <f t="shared" si="82"/>
        <v>605</v>
      </c>
      <c r="AC497" s="4"/>
      <c r="AD497" s="21">
        <f>ROUND(M497*AR497,0)</f>
        <v>1080</v>
      </c>
      <c r="AE497" s="6">
        <f>1-AB497/AD497</f>
        <v>0.43981481481481477</v>
      </c>
      <c r="AF497" s="33">
        <v>0</v>
      </c>
      <c r="AG497" s="4" t="str">
        <f t="shared" si="83"/>
        <v>-</v>
      </c>
      <c r="AH497" s="33" t="e">
        <f t="shared" si="76"/>
        <v>#VALUE!</v>
      </c>
      <c r="AI497" s="6" t="e">
        <f>1-AB497/AH497</f>
        <v>#VALUE!</v>
      </c>
      <c r="AJ497" s="7">
        <v>864</v>
      </c>
      <c r="AK497" s="6">
        <f>1-AB497/AJ497</f>
        <v>0.29976851851851849</v>
      </c>
      <c r="AL497" s="4">
        <f>AJ497-AB497</f>
        <v>259</v>
      </c>
      <c r="AM497" s="28"/>
      <c r="AN497" s="6"/>
      <c r="AO497" s="6"/>
      <c r="AP497" s="6">
        <f>Z497/L497</f>
        <v>0.64</v>
      </c>
      <c r="AQ497" s="6">
        <f>AJ497/M497</f>
        <v>0.8</v>
      </c>
      <c r="AR497" s="6">
        <f>AB497/N497</f>
        <v>1</v>
      </c>
      <c r="AS497" s="4"/>
      <c r="AT497" s="4"/>
      <c r="AU497" s="4"/>
      <c r="AV497" s="4"/>
      <c r="AW497" s="4"/>
      <c r="AX497" s="4"/>
      <c r="AY497" s="4"/>
      <c r="AZ497" s="4"/>
      <c r="BA497" s="4"/>
      <c r="BB497" s="4">
        <v>0</v>
      </c>
      <c r="BC497" s="4" t="s">
        <v>3534</v>
      </c>
      <c r="BD497" s="4"/>
      <c r="BE497" s="4"/>
      <c r="BF497" s="4" t="s">
        <v>3534</v>
      </c>
      <c r="BG497" s="4" t="s">
        <v>3534</v>
      </c>
      <c r="BH497" s="4" t="s">
        <v>3534</v>
      </c>
      <c r="BI497" s="4" t="str">
        <f t="shared" si="84"/>
        <v>-</v>
      </c>
      <c r="BJ497" s="19">
        <v>4</v>
      </c>
      <c r="BK497" s="19">
        <v>8</v>
      </c>
      <c r="BL497" s="16">
        <v>6</v>
      </c>
      <c r="BM497" s="45" t="s">
        <v>3534</v>
      </c>
      <c r="BN497" t="s">
        <v>3534</v>
      </c>
      <c r="BO497" t="str">
        <f t="shared" si="77"/>
        <v>-</v>
      </c>
      <c r="BP497" t="s">
        <v>3534</v>
      </c>
      <c r="BQ497" t="s">
        <v>3534</v>
      </c>
      <c r="BR497" t="str">
        <f t="shared" si="78"/>
        <v>-</v>
      </c>
      <c r="BS497" t="s">
        <v>3534</v>
      </c>
    </row>
    <row r="498" spans="1:71" x14ac:dyDescent="0.4">
      <c r="A498" s="3">
        <v>495</v>
      </c>
      <c r="B498" s="3">
        <v>495</v>
      </c>
      <c r="C498" s="4" t="s">
        <v>557</v>
      </c>
      <c r="D498" s="4" t="str">
        <f t="shared" si="79"/>
        <v>J443WL</v>
      </c>
      <c r="E498" s="4" t="s">
        <v>557</v>
      </c>
      <c r="F498" s="4" t="s">
        <v>1775</v>
      </c>
      <c r="G498" s="5">
        <v>4521718191874</v>
      </c>
      <c r="H498" s="5"/>
      <c r="I498" s="5"/>
      <c r="J498" s="5">
        <v>1</v>
      </c>
      <c r="K498" s="5">
        <v>1</v>
      </c>
      <c r="L498" s="4">
        <v>1350</v>
      </c>
      <c r="M498" s="4">
        <v>1080</v>
      </c>
      <c r="N498" s="4">
        <v>605</v>
      </c>
      <c r="O498" s="6">
        <f t="shared" si="80"/>
        <v>0.43981481481481477</v>
      </c>
      <c r="P498" s="4" t="s">
        <v>2500</v>
      </c>
      <c r="Q498" s="4"/>
      <c r="R498" s="4"/>
      <c r="S498" s="4"/>
      <c r="T498" s="4"/>
      <c r="U498" s="4"/>
      <c r="V498" s="4"/>
      <c r="W498" s="4"/>
      <c r="X498" s="4"/>
      <c r="Y498" s="4">
        <v>864</v>
      </c>
      <c r="Z498" s="4">
        <f t="shared" si="81"/>
        <v>864</v>
      </c>
      <c r="AA498" s="4">
        <v>605</v>
      </c>
      <c r="AB498" s="4">
        <f t="shared" si="82"/>
        <v>605</v>
      </c>
      <c r="AC498" s="4"/>
      <c r="AD498" s="21">
        <f>ROUND(M498*AR498,0)</f>
        <v>1080</v>
      </c>
      <c r="AE498" s="6">
        <f>1-AB498/AD498</f>
        <v>0.43981481481481477</v>
      </c>
      <c r="AF498" s="33">
        <v>0</v>
      </c>
      <c r="AG498" s="4" t="str">
        <f t="shared" si="83"/>
        <v>-</v>
      </c>
      <c r="AH498" s="33" t="e">
        <f t="shared" si="76"/>
        <v>#VALUE!</v>
      </c>
      <c r="AI498" s="6" t="e">
        <f>1-AB498/AH498</f>
        <v>#VALUE!</v>
      </c>
      <c r="AJ498" s="7">
        <v>864</v>
      </c>
      <c r="AK498" s="6">
        <f>1-AB498/AJ498</f>
        <v>0.29976851851851849</v>
      </c>
      <c r="AL498" s="4">
        <f>AJ498-AB498</f>
        <v>259</v>
      </c>
      <c r="AM498" s="28"/>
      <c r="AN498" s="6"/>
      <c r="AO498" s="6"/>
      <c r="AP498" s="6">
        <f>Z498/L498</f>
        <v>0.64</v>
      </c>
      <c r="AQ498" s="6">
        <f>AJ498/M498</f>
        <v>0.8</v>
      </c>
      <c r="AR498" s="6">
        <f>AB498/N498</f>
        <v>1</v>
      </c>
      <c r="AS498" s="4"/>
      <c r="AT498" s="4"/>
      <c r="AU498" s="4"/>
      <c r="AV498" s="4"/>
      <c r="AW498" s="4"/>
      <c r="AX498" s="4"/>
      <c r="AY498" s="4"/>
      <c r="AZ498" s="4"/>
      <c r="BA498" s="4"/>
      <c r="BB498" s="4">
        <v>0</v>
      </c>
      <c r="BC498" s="4" t="s">
        <v>3534</v>
      </c>
      <c r="BD498" s="4"/>
      <c r="BE498" s="4"/>
      <c r="BF498" s="4" t="s">
        <v>3534</v>
      </c>
      <c r="BG498" s="4" t="s">
        <v>3534</v>
      </c>
      <c r="BH498" s="4" t="s">
        <v>3534</v>
      </c>
      <c r="BI498" s="4" t="str">
        <f t="shared" si="84"/>
        <v>-</v>
      </c>
      <c r="BJ498" s="19">
        <v>4</v>
      </c>
      <c r="BK498" s="19">
        <v>8</v>
      </c>
      <c r="BL498" s="16">
        <v>6</v>
      </c>
      <c r="BM498" s="45" t="s">
        <v>3534</v>
      </c>
      <c r="BN498" t="s">
        <v>3534</v>
      </c>
      <c r="BO498" t="str">
        <f t="shared" si="77"/>
        <v>-</v>
      </c>
      <c r="BP498" t="s">
        <v>3534</v>
      </c>
      <c r="BQ498" t="s">
        <v>3534</v>
      </c>
      <c r="BR498" t="str">
        <f t="shared" si="78"/>
        <v>-</v>
      </c>
      <c r="BS498" t="s">
        <v>3534</v>
      </c>
    </row>
    <row r="499" spans="1:71" x14ac:dyDescent="0.4">
      <c r="A499" s="3">
        <v>496</v>
      </c>
      <c r="B499" s="3">
        <v>496</v>
      </c>
      <c r="C499" s="4" t="s">
        <v>558</v>
      </c>
      <c r="D499" s="4" t="str">
        <f t="shared" si="79"/>
        <v>J446WL</v>
      </c>
      <c r="E499" s="4" t="s">
        <v>558</v>
      </c>
      <c r="F499" s="4" t="s">
        <v>1776</v>
      </c>
      <c r="G499" s="5">
        <v>4521718192895</v>
      </c>
      <c r="H499" s="5"/>
      <c r="I499" s="5"/>
      <c r="J499" s="5">
        <v>1</v>
      </c>
      <c r="K499" s="5">
        <v>1</v>
      </c>
      <c r="L499" s="4">
        <v>690</v>
      </c>
      <c r="M499" s="4">
        <v>552</v>
      </c>
      <c r="N499" s="4">
        <v>307</v>
      </c>
      <c r="O499" s="6">
        <f t="shared" si="80"/>
        <v>0.4438405797101449</v>
      </c>
      <c r="P499" s="4" t="s">
        <v>2500</v>
      </c>
      <c r="Q499" s="4"/>
      <c r="R499" s="4"/>
      <c r="S499" s="4"/>
      <c r="T499" s="4"/>
      <c r="U499" s="4"/>
      <c r="V499" s="4"/>
      <c r="W499" s="4"/>
      <c r="X499" s="4"/>
      <c r="Y499" s="4">
        <v>473</v>
      </c>
      <c r="Z499" s="4">
        <f t="shared" si="81"/>
        <v>473</v>
      </c>
      <c r="AA499" s="4">
        <v>307</v>
      </c>
      <c r="AB499" s="4">
        <f t="shared" si="82"/>
        <v>307</v>
      </c>
      <c r="AC499" s="4"/>
      <c r="AD499" s="21">
        <f>ROUND(M499*AR499,0)</f>
        <v>552</v>
      </c>
      <c r="AE499" s="6">
        <f>1-AB499/AD499</f>
        <v>0.4438405797101449</v>
      </c>
      <c r="AF499" s="33">
        <v>0</v>
      </c>
      <c r="AG499" s="4" t="str">
        <f t="shared" si="83"/>
        <v>-</v>
      </c>
      <c r="AH499" s="33" t="e">
        <f t="shared" si="76"/>
        <v>#VALUE!</v>
      </c>
      <c r="AI499" s="6" t="e">
        <f>1-AB499/AH499</f>
        <v>#VALUE!</v>
      </c>
      <c r="AJ499" s="7">
        <f>ROUND(AB499/0.65,0)</f>
        <v>472</v>
      </c>
      <c r="AK499" s="6">
        <f>1-AB499/AJ499</f>
        <v>0.34957627118644063</v>
      </c>
      <c r="AL499" s="4">
        <f>AJ499-AB499</f>
        <v>165</v>
      </c>
      <c r="AM499" s="28"/>
      <c r="AN499" s="6"/>
      <c r="AO499" s="6"/>
      <c r="AP499" s="6">
        <f>Z499/L499</f>
        <v>0.6855072463768116</v>
      </c>
      <c r="AQ499" s="6">
        <f>AJ499/M499</f>
        <v>0.85507246376811596</v>
      </c>
      <c r="AR499" s="6">
        <f>AB499/N499</f>
        <v>1</v>
      </c>
      <c r="AS499" s="4"/>
      <c r="AT499" s="4"/>
      <c r="AU499" s="4"/>
      <c r="AV499" s="4"/>
      <c r="AW499" s="4"/>
      <c r="AX499" s="4"/>
      <c r="AY499" s="4"/>
      <c r="AZ499" s="4"/>
      <c r="BA499" s="4"/>
      <c r="BB499" s="4">
        <v>0</v>
      </c>
      <c r="BC499" s="4" t="s">
        <v>3534</v>
      </c>
      <c r="BD499" s="4"/>
      <c r="BE499" s="4"/>
      <c r="BF499" s="4" t="s">
        <v>3534</v>
      </c>
      <c r="BG499" s="4" t="s">
        <v>3534</v>
      </c>
      <c r="BH499" s="4" t="s">
        <v>3534</v>
      </c>
      <c r="BI499" s="4" t="str">
        <f t="shared" si="84"/>
        <v>-</v>
      </c>
      <c r="BJ499" s="19">
        <v>4</v>
      </c>
      <c r="BK499" s="19">
        <v>8</v>
      </c>
      <c r="BL499" s="16">
        <v>6</v>
      </c>
      <c r="BM499" s="45" t="s">
        <v>3534</v>
      </c>
      <c r="BN499" t="s">
        <v>3534</v>
      </c>
      <c r="BO499" t="str">
        <f t="shared" si="77"/>
        <v>-</v>
      </c>
      <c r="BP499" t="s">
        <v>3534</v>
      </c>
      <c r="BQ499" t="s">
        <v>3534</v>
      </c>
      <c r="BR499" t="str">
        <f t="shared" si="78"/>
        <v>-</v>
      </c>
      <c r="BS499" t="s">
        <v>3534</v>
      </c>
    </row>
    <row r="500" spans="1:71" x14ac:dyDescent="0.4">
      <c r="A500" s="3">
        <v>497</v>
      </c>
      <c r="B500" s="3">
        <v>497</v>
      </c>
      <c r="C500" s="4" t="s">
        <v>559</v>
      </c>
      <c r="D500" s="4" t="str">
        <f t="shared" si="79"/>
        <v>J447RR</v>
      </c>
      <c r="E500" s="4" t="s">
        <v>559</v>
      </c>
      <c r="F500" s="4" t="s">
        <v>1777</v>
      </c>
      <c r="G500" s="5">
        <v>4521718074214</v>
      </c>
      <c r="H500" s="5"/>
      <c r="I500" s="5"/>
      <c r="J500" s="5">
        <v>1</v>
      </c>
      <c r="K500" s="5">
        <v>1</v>
      </c>
      <c r="L500" s="4">
        <v>460</v>
      </c>
      <c r="M500" s="4">
        <v>307</v>
      </c>
      <c r="N500" s="4">
        <v>207</v>
      </c>
      <c r="O500" s="6">
        <f t="shared" si="80"/>
        <v>0.32573289902280134</v>
      </c>
      <c r="P500" s="4" t="s">
        <v>2500</v>
      </c>
      <c r="Q500" s="4"/>
      <c r="R500" s="4"/>
      <c r="S500" s="4"/>
      <c r="T500" s="4"/>
      <c r="U500" s="4"/>
      <c r="V500" s="4"/>
      <c r="W500" s="4"/>
      <c r="X500" s="4"/>
      <c r="Y500" s="4">
        <v>464</v>
      </c>
      <c r="Z500" s="4">
        <f t="shared" si="81"/>
        <v>464</v>
      </c>
      <c r="AA500" s="4">
        <v>209</v>
      </c>
      <c r="AB500" s="4">
        <f t="shared" si="82"/>
        <v>209</v>
      </c>
      <c r="AC500" s="4"/>
      <c r="AD500" s="21">
        <f>ROUND(M500*AR500,0)</f>
        <v>310</v>
      </c>
      <c r="AE500" s="6">
        <f>1-AB500/AD500</f>
        <v>0.32580645161290323</v>
      </c>
      <c r="AF500" s="33">
        <v>29.75</v>
      </c>
      <c r="AG500" s="4">
        <f t="shared" si="83"/>
        <v>480</v>
      </c>
      <c r="AH500" s="33">
        <f t="shared" si="76"/>
        <v>484.63768115942031</v>
      </c>
      <c r="AI500" s="6">
        <f>1-AB500/AH500</f>
        <v>0.56875000000000009</v>
      </c>
      <c r="AJ500" s="7">
        <f>ROUND(AB500/0.65,0)</f>
        <v>322</v>
      </c>
      <c r="AK500" s="6">
        <f>1-AB500/AJ500</f>
        <v>0.35093167701863359</v>
      </c>
      <c r="AL500" s="4">
        <f>AJ500-AB500</f>
        <v>113</v>
      </c>
      <c r="AM500" s="28"/>
      <c r="AN500" s="6"/>
      <c r="AO500" s="6"/>
      <c r="AP500" s="6">
        <f>Z500/L500</f>
        <v>1.008695652173913</v>
      </c>
      <c r="AQ500" s="6">
        <f>AJ500/M500</f>
        <v>1.0488599348534202</v>
      </c>
      <c r="AR500" s="6">
        <f>AB500/N500</f>
        <v>1.0096618357487923</v>
      </c>
      <c r="AS500" s="4"/>
      <c r="AT500" s="4"/>
      <c r="AU500" s="4"/>
      <c r="AV500" s="4"/>
      <c r="AW500" s="4"/>
      <c r="AX500" s="4"/>
      <c r="AY500" s="4"/>
      <c r="AZ500" s="4"/>
      <c r="BA500" s="4"/>
      <c r="BB500" s="4">
        <v>0</v>
      </c>
      <c r="BC500" s="4" t="s">
        <v>4013</v>
      </c>
      <c r="BD500" s="4">
        <v>1</v>
      </c>
      <c r="BE500" s="4">
        <v>4</v>
      </c>
      <c r="BF500" s="4" t="s">
        <v>4014</v>
      </c>
      <c r="BG500" s="4">
        <v>1920</v>
      </c>
      <c r="BH500" s="4">
        <v>1920</v>
      </c>
      <c r="BI500" s="4">
        <f t="shared" si="84"/>
        <v>480</v>
      </c>
      <c r="BJ500" s="19">
        <v>4</v>
      </c>
      <c r="BK500" s="19">
        <v>8</v>
      </c>
      <c r="BL500" s="16">
        <v>6</v>
      </c>
      <c r="BM500" s="45">
        <v>319</v>
      </c>
      <c r="BN500">
        <v>319</v>
      </c>
      <c r="BO500">
        <f t="shared" si="77"/>
        <v>322.08212560386477</v>
      </c>
      <c r="BP500" t="s">
        <v>3534</v>
      </c>
      <c r="BQ500">
        <v>320</v>
      </c>
      <c r="BR500">
        <f t="shared" si="78"/>
        <v>323.09178743961354</v>
      </c>
      <c r="BS500" t="s">
        <v>2908</v>
      </c>
    </row>
    <row r="501" spans="1:71" x14ac:dyDescent="0.4">
      <c r="A501" s="3">
        <v>498</v>
      </c>
      <c r="B501" s="3">
        <v>498</v>
      </c>
      <c r="C501" s="4" t="s">
        <v>560</v>
      </c>
      <c r="D501" s="4" t="str">
        <f t="shared" si="79"/>
        <v>J447WL</v>
      </c>
      <c r="E501" s="4" t="s">
        <v>560</v>
      </c>
      <c r="F501" s="4" t="s">
        <v>1778</v>
      </c>
      <c r="G501" s="5">
        <v>4521718193021</v>
      </c>
      <c r="H501" s="5"/>
      <c r="I501" s="5"/>
      <c r="J501" s="5">
        <v>1</v>
      </c>
      <c r="K501" s="5">
        <v>1</v>
      </c>
      <c r="L501" s="4">
        <v>780</v>
      </c>
      <c r="M501" s="4">
        <v>624</v>
      </c>
      <c r="N501" s="4">
        <v>349</v>
      </c>
      <c r="O501" s="6">
        <f t="shared" si="80"/>
        <v>0.44070512820512819</v>
      </c>
      <c r="P501" s="4" t="s">
        <v>2500</v>
      </c>
      <c r="Q501" s="4"/>
      <c r="R501" s="4"/>
      <c r="S501" s="4"/>
      <c r="T501" s="4"/>
      <c r="U501" s="4"/>
      <c r="V501" s="4"/>
      <c r="W501" s="4"/>
      <c r="X501" s="4"/>
      <c r="Y501" s="4">
        <v>537</v>
      </c>
      <c r="Z501" s="4">
        <f t="shared" si="81"/>
        <v>537</v>
      </c>
      <c r="AA501" s="4">
        <v>349</v>
      </c>
      <c r="AB501" s="4">
        <f t="shared" si="82"/>
        <v>349</v>
      </c>
      <c r="AC501" s="4"/>
      <c r="AD501" s="21">
        <f>ROUND(M501*AR501,0)</f>
        <v>624</v>
      </c>
      <c r="AE501" s="6">
        <f>1-AB501/AD501</f>
        <v>0.44070512820512819</v>
      </c>
      <c r="AF501" s="33">
        <v>0.25</v>
      </c>
      <c r="AG501" s="4" t="str">
        <f t="shared" si="83"/>
        <v>-</v>
      </c>
      <c r="AH501" s="33" t="e">
        <f t="shared" si="76"/>
        <v>#VALUE!</v>
      </c>
      <c r="AI501" s="6" t="e">
        <f>1-AB501/AH501</f>
        <v>#VALUE!</v>
      </c>
      <c r="AJ501" s="7">
        <f>ROUND(AB501/0.65,0)</f>
        <v>537</v>
      </c>
      <c r="AK501" s="6">
        <f>1-AB501/AJ501</f>
        <v>0.35009310986964615</v>
      </c>
      <c r="AL501" s="4">
        <f>AJ501-AB501</f>
        <v>188</v>
      </c>
      <c r="AM501" s="28"/>
      <c r="AN501" s="6"/>
      <c r="AO501" s="6"/>
      <c r="AP501" s="6">
        <f>Z501/L501</f>
        <v>0.68846153846153846</v>
      </c>
      <c r="AQ501" s="6">
        <f>AJ501/M501</f>
        <v>0.86057692307692313</v>
      </c>
      <c r="AR501" s="6">
        <f>AB501/N501</f>
        <v>1</v>
      </c>
      <c r="AS501" s="4"/>
      <c r="AT501" s="4"/>
      <c r="AU501" s="4"/>
      <c r="AV501" s="4"/>
      <c r="AW501" s="4"/>
      <c r="AX501" s="4"/>
      <c r="AY501" s="4"/>
      <c r="AZ501" s="4"/>
      <c r="BA501" s="4"/>
      <c r="BB501" s="4">
        <v>0</v>
      </c>
      <c r="BC501" s="4" t="s">
        <v>3534</v>
      </c>
      <c r="BD501" s="4"/>
      <c r="BE501" s="4"/>
      <c r="BF501" s="4" t="s">
        <v>3534</v>
      </c>
      <c r="BG501" s="4" t="s">
        <v>3534</v>
      </c>
      <c r="BH501" s="4" t="s">
        <v>3534</v>
      </c>
      <c r="BI501" s="4" t="str">
        <f t="shared" si="84"/>
        <v>-</v>
      </c>
      <c r="BJ501" s="19">
        <v>4</v>
      </c>
      <c r="BK501" s="19">
        <v>8</v>
      </c>
      <c r="BL501" s="16">
        <v>6</v>
      </c>
      <c r="BM501" s="45" t="s">
        <v>3534</v>
      </c>
      <c r="BN501" t="s">
        <v>3534</v>
      </c>
      <c r="BO501" t="str">
        <f t="shared" si="77"/>
        <v>-</v>
      </c>
      <c r="BP501" t="s">
        <v>3534</v>
      </c>
      <c r="BQ501" t="s">
        <v>3534</v>
      </c>
      <c r="BR501" t="str">
        <f t="shared" si="78"/>
        <v>-</v>
      </c>
      <c r="BS501" t="s">
        <v>3534</v>
      </c>
    </row>
    <row r="502" spans="1:71" x14ac:dyDescent="0.4">
      <c r="A502" s="3">
        <v>499</v>
      </c>
      <c r="B502" s="3">
        <v>499</v>
      </c>
      <c r="C502" s="4" t="s">
        <v>561</v>
      </c>
      <c r="D502" s="4" t="str">
        <f t="shared" si="79"/>
        <v>J448WL</v>
      </c>
      <c r="E502" s="4" t="s">
        <v>561</v>
      </c>
      <c r="F502" s="4" t="s">
        <v>1779</v>
      </c>
      <c r="G502" s="5">
        <v>4521718193267</v>
      </c>
      <c r="H502" s="5"/>
      <c r="I502" s="5"/>
      <c r="J502" s="5">
        <v>1</v>
      </c>
      <c r="K502" s="5">
        <v>1</v>
      </c>
      <c r="L502" s="4">
        <v>710</v>
      </c>
      <c r="M502" s="4">
        <v>568</v>
      </c>
      <c r="N502" s="4">
        <v>319</v>
      </c>
      <c r="O502" s="6">
        <f t="shared" si="80"/>
        <v>0.43838028169014087</v>
      </c>
      <c r="P502" s="4" t="s">
        <v>2500</v>
      </c>
      <c r="Q502" s="4"/>
      <c r="R502" s="4"/>
      <c r="S502" s="4"/>
      <c r="T502" s="4"/>
      <c r="U502" s="4"/>
      <c r="V502" s="4"/>
      <c r="W502" s="4"/>
      <c r="X502" s="4"/>
      <c r="Y502" s="4">
        <v>491</v>
      </c>
      <c r="Z502" s="4">
        <f t="shared" si="81"/>
        <v>491</v>
      </c>
      <c r="AA502" s="4">
        <v>319</v>
      </c>
      <c r="AB502" s="4">
        <f t="shared" si="82"/>
        <v>319</v>
      </c>
      <c r="AC502" s="4"/>
      <c r="AD502" s="21">
        <f>ROUND(M502*AR502,0)</f>
        <v>568</v>
      </c>
      <c r="AE502" s="6">
        <f>1-AB502/AD502</f>
        <v>0.43838028169014087</v>
      </c>
      <c r="AF502" s="33">
        <v>0</v>
      </c>
      <c r="AG502" s="4" t="str">
        <f t="shared" si="83"/>
        <v>-</v>
      </c>
      <c r="AH502" s="33" t="e">
        <f t="shared" si="76"/>
        <v>#VALUE!</v>
      </c>
      <c r="AI502" s="6" t="e">
        <f>1-AB502/AH502</f>
        <v>#VALUE!</v>
      </c>
      <c r="AJ502" s="7">
        <f>ROUND(AB502/0.65,0)</f>
        <v>491</v>
      </c>
      <c r="AK502" s="6">
        <f>1-AB502/AJ502</f>
        <v>0.35030549898167007</v>
      </c>
      <c r="AL502" s="4">
        <f>AJ502-AB502</f>
        <v>172</v>
      </c>
      <c r="AM502" s="28"/>
      <c r="AN502" s="6"/>
      <c r="AO502" s="6"/>
      <c r="AP502" s="6">
        <f>Z502/L502</f>
        <v>0.69154929577464785</v>
      </c>
      <c r="AQ502" s="6">
        <f>AJ502/M502</f>
        <v>0.86443661971830987</v>
      </c>
      <c r="AR502" s="6">
        <f>AB502/N502</f>
        <v>1</v>
      </c>
      <c r="AS502" s="4"/>
      <c r="AT502" s="4"/>
      <c r="AU502" s="4"/>
      <c r="AV502" s="4"/>
      <c r="AW502" s="4"/>
      <c r="AX502" s="4"/>
      <c r="AY502" s="4"/>
      <c r="AZ502" s="4"/>
      <c r="BA502" s="4"/>
      <c r="BB502" s="4">
        <v>0</v>
      </c>
      <c r="BC502" s="4" t="s">
        <v>3534</v>
      </c>
      <c r="BD502" s="4"/>
      <c r="BE502" s="4"/>
      <c r="BF502" s="4" t="s">
        <v>3534</v>
      </c>
      <c r="BG502" s="4" t="s">
        <v>3534</v>
      </c>
      <c r="BH502" s="4" t="s">
        <v>3534</v>
      </c>
      <c r="BI502" s="4" t="str">
        <f t="shared" si="84"/>
        <v>-</v>
      </c>
      <c r="BJ502" s="19">
        <v>4</v>
      </c>
      <c r="BK502" s="19">
        <v>8</v>
      </c>
      <c r="BL502" s="16">
        <v>6</v>
      </c>
      <c r="BM502" s="45" t="s">
        <v>3534</v>
      </c>
      <c r="BN502" t="s">
        <v>3534</v>
      </c>
      <c r="BO502" t="str">
        <f t="shared" si="77"/>
        <v>-</v>
      </c>
      <c r="BP502" t="s">
        <v>3534</v>
      </c>
      <c r="BQ502" t="s">
        <v>3534</v>
      </c>
      <c r="BR502" t="str">
        <f t="shared" si="78"/>
        <v>-</v>
      </c>
      <c r="BS502" t="s">
        <v>3534</v>
      </c>
    </row>
    <row r="503" spans="1:71" x14ac:dyDescent="0.4">
      <c r="A503" s="3">
        <v>500</v>
      </c>
      <c r="B503" s="3">
        <v>500</v>
      </c>
      <c r="C503" s="4" t="s">
        <v>562</v>
      </c>
      <c r="D503" s="4" t="str">
        <f t="shared" si="79"/>
        <v>J449WL</v>
      </c>
      <c r="E503" s="4" t="s">
        <v>562</v>
      </c>
      <c r="F503" s="4" t="s">
        <v>1780</v>
      </c>
      <c r="G503" s="5">
        <v>4521718193274</v>
      </c>
      <c r="H503" s="5"/>
      <c r="I503" s="5"/>
      <c r="J503" s="5">
        <v>1</v>
      </c>
      <c r="K503" s="5">
        <v>1</v>
      </c>
      <c r="L503" s="4">
        <v>710</v>
      </c>
      <c r="M503" s="4">
        <v>568</v>
      </c>
      <c r="N503" s="4">
        <v>319</v>
      </c>
      <c r="O503" s="6">
        <f t="shared" si="80"/>
        <v>0.43838028169014087</v>
      </c>
      <c r="P503" s="4" t="s">
        <v>2500</v>
      </c>
      <c r="Q503" s="4"/>
      <c r="R503" s="4"/>
      <c r="S503" s="4"/>
      <c r="T503" s="4"/>
      <c r="U503" s="4"/>
      <c r="V503" s="4"/>
      <c r="W503" s="4"/>
      <c r="X503" s="4"/>
      <c r="Y503" s="4">
        <v>491</v>
      </c>
      <c r="Z503" s="4">
        <f t="shared" si="81"/>
        <v>491</v>
      </c>
      <c r="AA503" s="4">
        <v>319</v>
      </c>
      <c r="AB503" s="4">
        <f t="shared" si="82"/>
        <v>319</v>
      </c>
      <c r="AC503" s="4"/>
      <c r="AD503" s="21">
        <f>ROUND(M503*AR503,0)</f>
        <v>568</v>
      </c>
      <c r="AE503" s="6">
        <f>1-AB503/AD503</f>
        <v>0.43838028169014087</v>
      </c>
      <c r="AF503" s="33">
        <v>0</v>
      </c>
      <c r="AG503" s="4" t="str">
        <f t="shared" si="83"/>
        <v>-</v>
      </c>
      <c r="AH503" s="33" t="e">
        <f t="shared" si="76"/>
        <v>#VALUE!</v>
      </c>
      <c r="AI503" s="6" t="e">
        <f>1-AB503/AH503</f>
        <v>#VALUE!</v>
      </c>
      <c r="AJ503" s="7">
        <f>ROUND(AB503/0.65,0)</f>
        <v>491</v>
      </c>
      <c r="AK503" s="6">
        <f>1-AB503/AJ503</f>
        <v>0.35030549898167007</v>
      </c>
      <c r="AL503" s="4">
        <f>AJ503-AB503</f>
        <v>172</v>
      </c>
      <c r="AM503" s="28"/>
      <c r="AN503" s="6"/>
      <c r="AO503" s="6"/>
      <c r="AP503" s="6">
        <f>Z503/L503</f>
        <v>0.69154929577464785</v>
      </c>
      <c r="AQ503" s="6">
        <f>AJ503/M503</f>
        <v>0.86443661971830987</v>
      </c>
      <c r="AR503" s="6">
        <f>AB503/N503</f>
        <v>1</v>
      </c>
      <c r="AS503" s="4"/>
      <c r="AT503" s="4"/>
      <c r="AU503" s="4"/>
      <c r="AV503" s="4"/>
      <c r="AW503" s="4"/>
      <c r="AX503" s="4"/>
      <c r="AY503" s="4"/>
      <c r="AZ503" s="4"/>
      <c r="BA503" s="4"/>
      <c r="BB503" s="4">
        <v>0</v>
      </c>
      <c r="BC503" s="4" t="s">
        <v>3534</v>
      </c>
      <c r="BD503" s="4"/>
      <c r="BE503" s="4"/>
      <c r="BF503" s="4" t="s">
        <v>3534</v>
      </c>
      <c r="BG503" s="4" t="s">
        <v>3534</v>
      </c>
      <c r="BH503" s="4" t="s">
        <v>3534</v>
      </c>
      <c r="BI503" s="4" t="str">
        <f t="shared" si="84"/>
        <v>-</v>
      </c>
      <c r="BJ503" s="19">
        <v>4</v>
      </c>
      <c r="BK503" s="19">
        <v>8</v>
      </c>
      <c r="BL503" s="16">
        <v>6</v>
      </c>
      <c r="BM503" s="45" t="s">
        <v>3534</v>
      </c>
      <c r="BN503" t="s">
        <v>3534</v>
      </c>
      <c r="BO503" t="str">
        <f t="shared" si="77"/>
        <v>-</v>
      </c>
      <c r="BP503" t="s">
        <v>3534</v>
      </c>
      <c r="BQ503" t="s">
        <v>3534</v>
      </c>
      <c r="BR503" t="str">
        <f t="shared" si="78"/>
        <v>-</v>
      </c>
      <c r="BS503" t="s">
        <v>3534</v>
      </c>
    </row>
    <row r="504" spans="1:71" x14ac:dyDescent="0.4">
      <c r="A504" s="3">
        <v>501</v>
      </c>
      <c r="B504" s="3">
        <v>501</v>
      </c>
      <c r="C504" s="4" t="s">
        <v>563</v>
      </c>
      <c r="D504" s="4" t="str">
        <f t="shared" si="79"/>
        <v>J450RR</v>
      </c>
      <c r="E504" s="4" t="s">
        <v>563</v>
      </c>
      <c r="F504" s="4" t="s">
        <v>1781</v>
      </c>
      <c r="G504" s="5">
        <v>4521718074269</v>
      </c>
      <c r="H504" s="5"/>
      <c r="I504" s="5"/>
      <c r="J504" s="5">
        <v>1</v>
      </c>
      <c r="K504" s="5">
        <v>1</v>
      </c>
      <c r="L504" s="4">
        <v>360</v>
      </c>
      <c r="M504" s="4">
        <v>238</v>
      </c>
      <c r="N504" s="4">
        <v>160</v>
      </c>
      <c r="O504" s="6">
        <f t="shared" si="80"/>
        <v>0.32773109243697474</v>
      </c>
      <c r="P504" s="4" t="s">
        <v>2500</v>
      </c>
      <c r="Q504" s="4"/>
      <c r="R504" s="4"/>
      <c r="S504" s="4"/>
      <c r="T504" s="4"/>
      <c r="U504" s="4"/>
      <c r="V504" s="4"/>
      <c r="W504" s="4"/>
      <c r="X504" s="4"/>
      <c r="Y504" s="4">
        <v>228</v>
      </c>
      <c r="Z504" s="4">
        <f t="shared" si="81"/>
        <v>228</v>
      </c>
      <c r="AA504" s="4">
        <v>160</v>
      </c>
      <c r="AB504" s="4">
        <f t="shared" si="82"/>
        <v>160</v>
      </c>
      <c r="AC504" s="4"/>
      <c r="AD504" s="21">
        <f>ROUND(M504*AR504,0)</f>
        <v>238</v>
      </c>
      <c r="AE504" s="6">
        <f>1-AB504/AD504</f>
        <v>0.32773109243697474</v>
      </c>
      <c r="AF504" s="33">
        <v>0</v>
      </c>
      <c r="AG504" s="4">
        <f t="shared" si="83"/>
        <v>290</v>
      </c>
      <c r="AH504" s="33">
        <f t="shared" si="76"/>
        <v>290</v>
      </c>
      <c r="AI504" s="6">
        <f>1-AB504/AH504</f>
        <v>0.44827586206896552</v>
      </c>
      <c r="AJ504" s="7">
        <v>228</v>
      </c>
      <c r="AK504" s="6">
        <f>1-AB504/AJ504</f>
        <v>0.29824561403508776</v>
      </c>
      <c r="AL504" s="4">
        <f>AJ504-AB504</f>
        <v>68</v>
      </c>
      <c r="AM504" s="28"/>
      <c r="AN504" s="6"/>
      <c r="AO504" s="6"/>
      <c r="AP504" s="6">
        <f>Z504/L504</f>
        <v>0.6333333333333333</v>
      </c>
      <c r="AQ504" s="6">
        <f>AJ504/M504</f>
        <v>0.95798319327731096</v>
      </c>
      <c r="AR504" s="6">
        <f>AB504/N504</f>
        <v>1</v>
      </c>
      <c r="AS504" s="4"/>
      <c r="AT504" s="4"/>
      <c r="AU504" s="4"/>
      <c r="AV504" s="4"/>
      <c r="AW504" s="4"/>
      <c r="AX504" s="4"/>
      <c r="AY504" s="4"/>
      <c r="AZ504" s="4"/>
      <c r="BA504" s="4"/>
      <c r="BB504" s="4">
        <v>0</v>
      </c>
      <c r="BC504" s="4" t="s">
        <v>4015</v>
      </c>
      <c r="BD504" s="4">
        <v>1</v>
      </c>
      <c r="BE504" s="4">
        <v>5</v>
      </c>
      <c r="BF504" s="4" t="s">
        <v>3746</v>
      </c>
      <c r="BG504" s="4">
        <v>1450</v>
      </c>
      <c r="BH504" s="4">
        <v>1450</v>
      </c>
      <c r="BI504" s="4">
        <f t="shared" si="84"/>
        <v>290</v>
      </c>
      <c r="BJ504" s="19">
        <v>4</v>
      </c>
      <c r="BK504" s="19">
        <v>8</v>
      </c>
      <c r="BL504" s="16">
        <v>6</v>
      </c>
      <c r="BM504" s="45">
        <v>219</v>
      </c>
      <c r="BN504">
        <v>219</v>
      </c>
      <c r="BO504">
        <f t="shared" si="77"/>
        <v>219</v>
      </c>
      <c r="BP504" t="s">
        <v>3534</v>
      </c>
      <c r="BQ504">
        <v>255</v>
      </c>
      <c r="BR504">
        <f t="shared" si="78"/>
        <v>255</v>
      </c>
      <c r="BS504" t="s">
        <v>2909</v>
      </c>
    </row>
    <row r="505" spans="1:71" x14ac:dyDescent="0.4">
      <c r="A505" s="3">
        <v>502</v>
      </c>
      <c r="B505" s="3">
        <v>502</v>
      </c>
      <c r="C505" s="4" t="s">
        <v>564</v>
      </c>
      <c r="D505" s="4" t="str">
        <f t="shared" si="79"/>
        <v>J450WL</v>
      </c>
      <c r="E505" s="4" t="s">
        <v>564</v>
      </c>
      <c r="F505" s="4" t="s">
        <v>1782</v>
      </c>
      <c r="G505" s="5">
        <v>4521718193281</v>
      </c>
      <c r="H505" s="5"/>
      <c r="I505" s="5"/>
      <c r="J505" s="5">
        <v>1</v>
      </c>
      <c r="K505" s="5">
        <v>1</v>
      </c>
      <c r="L505" s="4">
        <v>710</v>
      </c>
      <c r="M505" s="4">
        <v>568</v>
      </c>
      <c r="N505" s="4">
        <v>319</v>
      </c>
      <c r="O505" s="6">
        <f t="shared" si="80"/>
        <v>0.43838028169014087</v>
      </c>
      <c r="P505" s="4" t="s">
        <v>2500</v>
      </c>
      <c r="Q505" s="4"/>
      <c r="R505" s="4"/>
      <c r="S505" s="4"/>
      <c r="T505" s="4"/>
      <c r="U505" s="4"/>
      <c r="V505" s="4"/>
      <c r="W505" s="4"/>
      <c r="X505" s="4"/>
      <c r="Y505" s="4">
        <v>491</v>
      </c>
      <c r="Z505" s="4">
        <f t="shared" si="81"/>
        <v>491</v>
      </c>
      <c r="AA505" s="4">
        <v>319</v>
      </c>
      <c r="AB505" s="4">
        <f t="shared" si="82"/>
        <v>319</v>
      </c>
      <c r="AC505" s="4"/>
      <c r="AD505" s="21">
        <f>ROUND(M505*AR505,0)</f>
        <v>568</v>
      </c>
      <c r="AE505" s="6">
        <f>1-AB505/AD505</f>
        <v>0.43838028169014087</v>
      </c>
      <c r="AF505" s="33">
        <v>0</v>
      </c>
      <c r="AG505" s="4" t="str">
        <f t="shared" si="83"/>
        <v>-</v>
      </c>
      <c r="AH505" s="33" t="e">
        <f t="shared" si="76"/>
        <v>#VALUE!</v>
      </c>
      <c r="AI505" s="6" t="e">
        <f>1-AB505/AH505</f>
        <v>#VALUE!</v>
      </c>
      <c r="AJ505" s="7">
        <f>ROUND(AB505/0.65,0)</f>
        <v>491</v>
      </c>
      <c r="AK505" s="6">
        <f>1-AB505/AJ505</f>
        <v>0.35030549898167007</v>
      </c>
      <c r="AL505" s="4">
        <f>AJ505-AB505</f>
        <v>172</v>
      </c>
      <c r="AM505" s="28"/>
      <c r="AN505" s="6"/>
      <c r="AO505" s="6"/>
      <c r="AP505" s="6">
        <f>Z505/L505</f>
        <v>0.69154929577464785</v>
      </c>
      <c r="AQ505" s="6">
        <f>AJ505/M505</f>
        <v>0.86443661971830987</v>
      </c>
      <c r="AR505" s="6">
        <f>AB505/N505</f>
        <v>1</v>
      </c>
      <c r="AS505" s="4"/>
      <c r="AT505" s="4"/>
      <c r="AU505" s="4"/>
      <c r="AV505" s="4"/>
      <c r="AW505" s="4"/>
      <c r="AX505" s="4"/>
      <c r="AY505" s="4"/>
      <c r="AZ505" s="4"/>
      <c r="BA505" s="4"/>
      <c r="BB505" s="4">
        <v>0</v>
      </c>
      <c r="BC505" s="4" t="s">
        <v>3534</v>
      </c>
      <c r="BD505" s="4"/>
      <c r="BE505" s="4"/>
      <c r="BF505" s="4" t="s">
        <v>3534</v>
      </c>
      <c r="BG505" s="4" t="s">
        <v>3534</v>
      </c>
      <c r="BH505" s="4" t="s">
        <v>3534</v>
      </c>
      <c r="BI505" s="4" t="str">
        <f t="shared" si="84"/>
        <v>-</v>
      </c>
      <c r="BJ505" s="19">
        <v>4</v>
      </c>
      <c r="BK505" s="19">
        <v>8</v>
      </c>
      <c r="BL505" s="16">
        <v>6</v>
      </c>
      <c r="BM505" s="45" t="s">
        <v>3534</v>
      </c>
      <c r="BN505" t="s">
        <v>3534</v>
      </c>
      <c r="BO505" t="str">
        <f t="shared" si="77"/>
        <v>-</v>
      </c>
      <c r="BP505" t="s">
        <v>3534</v>
      </c>
      <c r="BQ505" t="s">
        <v>3534</v>
      </c>
      <c r="BR505" t="str">
        <f t="shared" si="78"/>
        <v>-</v>
      </c>
      <c r="BS505" t="s">
        <v>3534</v>
      </c>
    </row>
    <row r="506" spans="1:71" x14ac:dyDescent="0.4">
      <c r="A506" s="3">
        <v>503</v>
      </c>
      <c r="B506" s="3">
        <v>503</v>
      </c>
      <c r="C506" s="4" t="s">
        <v>565</v>
      </c>
      <c r="D506" s="4" t="str">
        <f t="shared" si="79"/>
        <v>J451RR</v>
      </c>
      <c r="E506" s="4" t="s">
        <v>565</v>
      </c>
      <c r="F506" s="4" t="s">
        <v>1783</v>
      </c>
      <c r="G506" s="5">
        <v>4521718074276</v>
      </c>
      <c r="H506" s="5"/>
      <c r="I506" s="5"/>
      <c r="J506" s="5">
        <v>1</v>
      </c>
      <c r="K506" s="5">
        <v>1</v>
      </c>
      <c r="L506" s="4">
        <v>460</v>
      </c>
      <c r="M506" s="4">
        <v>307</v>
      </c>
      <c r="N506" s="4">
        <v>207</v>
      </c>
      <c r="O506" s="6">
        <f t="shared" si="80"/>
        <v>0.32573289902280134</v>
      </c>
      <c r="P506" s="4" t="s">
        <v>2500</v>
      </c>
      <c r="Q506" s="4"/>
      <c r="R506" s="4"/>
      <c r="S506" s="4"/>
      <c r="T506" s="4"/>
      <c r="U506" s="4"/>
      <c r="V506" s="4"/>
      <c r="W506" s="4"/>
      <c r="X506" s="4"/>
      <c r="Y506" s="4">
        <v>460</v>
      </c>
      <c r="Z506" s="4">
        <f t="shared" si="81"/>
        <v>460</v>
      </c>
      <c r="AA506" s="4">
        <v>207</v>
      </c>
      <c r="AB506" s="4">
        <f t="shared" si="82"/>
        <v>207</v>
      </c>
      <c r="AC506" s="4"/>
      <c r="AD506" s="21">
        <f>ROUND(M506*AR506,0)</f>
        <v>307</v>
      </c>
      <c r="AE506" s="6">
        <f>1-AB506/AD506</f>
        <v>0.32573289902280134</v>
      </c>
      <c r="AF506" s="33">
        <v>0</v>
      </c>
      <c r="AG506" s="4">
        <f t="shared" si="83"/>
        <v>319</v>
      </c>
      <c r="AH506" s="33">
        <f t="shared" si="76"/>
        <v>319</v>
      </c>
      <c r="AI506" s="6">
        <f>1-AB506/AH506</f>
        <v>0.35109717868338552</v>
      </c>
      <c r="AJ506" s="7">
        <f>ROUND(AB506/0.65,0)</f>
        <v>318</v>
      </c>
      <c r="AK506" s="6">
        <f>1-AB506/AJ506</f>
        <v>0.34905660377358494</v>
      </c>
      <c r="AL506" s="4">
        <f>AJ506-AB506</f>
        <v>111</v>
      </c>
      <c r="AM506" s="28"/>
      <c r="AN506" s="6"/>
      <c r="AO506" s="6"/>
      <c r="AP506" s="6">
        <f>Z506/L506</f>
        <v>1</v>
      </c>
      <c r="AQ506" s="6">
        <f>AJ506/M506</f>
        <v>1.0358306188925082</v>
      </c>
      <c r="AR506" s="6">
        <f>AB506/N506</f>
        <v>1</v>
      </c>
      <c r="AS506" s="4"/>
      <c r="AT506" s="4"/>
      <c r="AU506" s="4"/>
      <c r="AV506" s="4"/>
      <c r="AW506" s="4"/>
      <c r="AX506" s="4"/>
      <c r="AY506" s="4"/>
      <c r="AZ506" s="4"/>
      <c r="BA506" s="4"/>
      <c r="BB506" s="4">
        <v>0</v>
      </c>
      <c r="BC506" s="4" t="s">
        <v>4016</v>
      </c>
      <c r="BD506" s="4"/>
      <c r="BE506" s="4"/>
      <c r="BF506" s="4" t="s">
        <v>3545</v>
      </c>
      <c r="BG506" s="4">
        <v>319</v>
      </c>
      <c r="BH506" s="4">
        <v>319</v>
      </c>
      <c r="BI506" s="4">
        <f t="shared" si="84"/>
        <v>319</v>
      </c>
      <c r="BJ506" s="19">
        <v>4</v>
      </c>
      <c r="BK506" s="19">
        <v>8</v>
      </c>
      <c r="BL506" s="16">
        <v>6</v>
      </c>
      <c r="BM506" s="45" t="s">
        <v>3534</v>
      </c>
      <c r="BN506" t="s">
        <v>3534</v>
      </c>
      <c r="BO506" t="str">
        <f t="shared" si="77"/>
        <v>-</v>
      </c>
      <c r="BP506" t="s">
        <v>3534</v>
      </c>
      <c r="BQ506">
        <v>319</v>
      </c>
      <c r="BR506">
        <f t="shared" si="78"/>
        <v>319</v>
      </c>
      <c r="BS506" t="s">
        <v>2910</v>
      </c>
    </row>
    <row r="507" spans="1:71" x14ac:dyDescent="0.4">
      <c r="A507" s="3">
        <v>504</v>
      </c>
      <c r="B507" s="3">
        <v>504</v>
      </c>
      <c r="C507" s="4" t="s">
        <v>566</v>
      </c>
      <c r="D507" s="4" t="str">
        <f t="shared" si="79"/>
        <v>J451WL</v>
      </c>
      <c r="E507" s="4" t="s">
        <v>566</v>
      </c>
      <c r="F507" s="4" t="s">
        <v>1784</v>
      </c>
      <c r="G507" s="5">
        <v>4521718193342</v>
      </c>
      <c r="H507" s="5"/>
      <c r="I507" s="5"/>
      <c r="J507" s="5">
        <v>1</v>
      </c>
      <c r="K507" s="5">
        <v>1</v>
      </c>
      <c r="L507" s="4">
        <v>620</v>
      </c>
      <c r="M507" s="4">
        <v>496</v>
      </c>
      <c r="N507" s="4">
        <v>278</v>
      </c>
      <c r="O507" s="6">
        <f t="shared" si="80"/>
        <v>0.43951612903225812</v>
      </c>
      <c r="P507" s="4" t="s">
        <v>2500</v>
      </c>
      <c r="Q507" s="4"/>
      <c r="R507" s="4"/>
      <c r="S507" s="4"/>
      <c r="T507" s="4"/>
      <c r="U507" s="4"/>
      <c r="V507" s="4"/>
      <c r="W507" s="4"/>
      <c r="X507" s="4"/>
      <c r="Y507" s="4">
        <v>428</v>
      </c>
      <c r="Z507" s="4">
        <f t="shared" si="81"/>
        <v>428</v>
      </c>
      <c r="AA507" s="4">
        <v>278</v>
      </c>
      <c r="AB507" s="4">
        <f t="shared" si="82"/>
        <v>278</v>
      </c>
      <c r="AC507" s="4"/>
      <c r="AD507" s="21">
        <f>ROUND(M507*AR507,0)</f>
        <v>496</v>
      </c>
      <c r="AE507" s="6">
        <f>1-AB507/AD507</f>
        <v>0.43951612903225812</v>
      </c>
      <c r="AF507" s="33">
        <v>0</v>
      </c>
      <c r="AG507" s="4" t="str">
        <f t="shared" si="83"/>
        <v>-</v>
      </c>
      <c r="AH507" s="33" t="e">
        <f t="shared" si="76"/>
        <v>#VALUE!</v>
      </c>
      <c r="AI507" s="6" t="e">
        <f>1-AB507/AH507</f>
        <v>#VALUE!</v>
      </c>
      <c r="AJ507" s="7">
        <f>ROUND(AB507/0.65,0)</f>
        <v>428</v>
      </c>
      <c r="AK507" s="6">
        <f>1-AB507/AJ507</f>
        <v>0.35046728971962615</v>
      </c>
      <c r="AL507" s="4">
        <f>AJ507-AB507</f>
        <v>150</v>
      </c>
      <c r="AM507" s="28"/>
      <c r="AN507" s="6"/>
      <c r="AO507" s="6"/>
      <c r="AP507" s="6">
        <f>Z507/L507</f>
        <v>0.69032258064516128</v>
      </c>
      <c r="AQ507" s="6">
        <f>AJ507/M507</f>
        <v>0.86290322580645162</v>
      </c>
      <c r="AR507" s="6">
        <f>AB507/N507</f>
        <v>1</v>
      </c>
      <c r="AS507" s="4"/>
      <c r="AT507" s="4"/>
      <c r="AU507" s="4"/>
      <c r="AV507" s="4"/>
      <c r="AW507" s="4"/>
      <c r="AX507" s="4"/>
      <c r="AY507" s="4"/>
      <c r="AZ507" s="4"/>
      <c r="BA507" s="4"/>
      <c r="BB507" s="4">
        <v>0</v>
      </c>
      <c r="BC507" s="4" t="s">
        <v>3534</v>
      </c>
      <c r="BD507" s="4"/>
      <c r="BE507" s="4"/>
      <c r="BF507" s="4" t="s">
        <v>3534</v>
      </c>
      <c r="BG507" s="4" t="s">
        <v>3534</v>
      </c>
      <c r="BH507" s="4" t="s">
        <v>3534</v>
      </c>
      <c r="BI507" s="4" t="str">
        <f t="shared" si="84"/>
        <v>-</v>
      </c>
      <c r="BJ507" s="19">
        <v>4</v>
      </c>
      <c r="BK507" s="19">
        <v>8</v>
      </c>
      <c r="BL507" s="16">
        <v>6</v>
      </c>
      <c r="BM507" s="45" t="s">
        <v>3534</v>
      </c>
      <c r="BN507" t="s">
        <v>3534</v>
      </c>
      <c r="BO507" t="str">
        <f t="shared" si="77"/>
        <v>-</v>
      </c>
      <c r="BP507" t="s">
        <v>3534</v>
      </c>
      <c r="BQ507" t="s">
        <v>3534</v>
      </c>
      <c r="BR507" t="str">
        <f t="shared" si="78"/>
        <v>-</v>
      </c>
      <c r="BS507" t="s">
        <v>3534</v>
      </c>
    </row>
    <row r="508" spans="1:71" x14ac:dyDescent="0.4">
      <c r="A508" s="3">
        <v>505</v>
      </c>
      <c r="B508" s="3">
        <v>505</v>
      </c>
      <c r="C508" s="4" t="s">
        <v>567</v>
      </c>
      <c r="D508" s="4" t="str">
        <f t="shared" si="79"/>
        <v>J452RR</v>
      </c>
      <c r="E508" s="4" t="s">
        <v>567</v>
      </c>
      <c r="F508" s="4" t="s">
        <v>1785</v>
      </c>
      <c r="G508" s="5">
        <v>4521718074283</v>
      </c>
      <c r="H508" s="5"/>
      <c r="I508" s="5"/>
      <c r="J508" s="5">
        <v>1</v>
      </c>
      <c r="K508" s="5">
        <v>1</v>
      </c>
      <c r="L508" s="4">
        <v>750</v>
      </c>
      <c r="M508" s="4">
        <v>492</v>
      </c>
      <c r="N508" s="4">
        <v>337</v>
      </c>
      <c r="O508" s="6">
        <f t="shared" si="80"/>
        <v>0.31504065040650409</v>
      </c>
      <c r="P508" s="4" t="s">
        <v>2500</v>
      </c>
      <c r="Q508" s="4"/>
      <c r="R508" s="4"/>
      <c r="S508" s="4"/>
      <c r="T508" s="4"/>
      <c r="U508" s="4"/>
      <c r="V508" s="4"/>
      <c r="W508" s="4"/>
      <c r="X508" s="4"/>
      <c r="Y508" s="4">
        <v>750</v>
      </c>
      <c r="Z508" s="4">
        <f t="shared" si="81"/>
        <v>750</v>
      </c>
      <c r="AA508" s="4">
        <v>338</v>
      </c>
      <c r="AB508" s="4">
        <f t="shared" si="82"/>
        <v>338</v>
      </c>
      <c r="AC508" s="4"/>
      <c r="AD508" s="21">
        <f>ROUND(M508*AR508,0)</f>
        <v>493</v>
      </c>
      <c r="AE508" s="6">
        <f>1-AB508/AD508</f>
        <v>0.31440162271805272</v>
      </c>
      <c r="AF508" s="33">
        <v>0.5</v>
      </c>
      <c r="AG508" s="4">
        <f t="shared" si="83"/>
        <v>680</v>
      </c>
      <c r="AH508" s="33">
        <f t="shared" si="76"/>
        <v>682.01780415430267</v>
      </c>
      <c r="AI508" s="6">
        <f>1-AB508/AH508</f>
        <v>0.50441176470588234</v>
      </c>
      <c r="AJ508" s="7">
        <f>ROUND(AB508/0.65,0)</f>
        <v>520</v>
      </c>
      <c r="AK508" s="6">
        <f>1-AB508/AJ508</f>
        <v>0.35</v>
      </c>
      <c r="AL508" s="4">
        <f>AJ508-AB508</f>
        <v>182</v>
      </c>
      <c r="AM508" s="28"/>
      <c r="AN508" s="6"/>
      <c r="AO508" s="6"/>
      <c r="AP508" s="6">
        <f>Z508/L508</f>
        <v>1</v>
      </c>
      <c r="AQ508" s="6">
        <f>AJ508/M508</f>
        <v>1.056910569105691</v>
      </c>
      <c r="AR508" s="6">
        <f>AB508/N508</f>
        <v>1.0029673590504451</v>
      </c>
      <c r="AS508" s="4"/>
      <c r="AT508" s="4"/>
      <c r="AU508" s="4"/>
      <c r="AV508" s="4"/>
      <c r="AW508" s="4"/>
      <c r="AX508" s="4"/>
      <c r="AY508" s="4"/>
      <c r="AZ508" s="4"/>
      <c r="BA508" s="4"/>
      <c r="BB508" s="4">
        <v>0</v>
      </c>
      <c r="BC508" s="4" t="s">
        <v>4017</v>
      </c>
      <c r="BD508" s="4"/>
      <c r="BE508" s="4"/>
      <c r="BF508" s="4" t="s">
        <v>3874</v>
      </c>
      <c r="BG508" s="4">
        <v>680</v>
      </c>
      <c r="BH508" s="4">
        <v>680</v>
      </c>
      <c r="BI508" s="4">
        <f t="shared" si="84"/>
        <v>680</v>
      </c>
      <c r="BJ508" s="19">
        <v>4</v>
      </c>
      <c r="BK508" s="19">
        <v>8</v>
      </c>
      <c r="BL508" s="16">
        <v>6</v>
      </c>
      <c r="BM508" s="45" t="s">
        <v>3534</v>
      </c>
      <c r="BN508" t="s">
        <v>3534</v>
      </c>
      <c r="BO508" t="str">
        <f t="shared" si="77"/>
        <v>-</v>
      </c>
      <c r="BP508" t="s">
        <v>3534</v>
      </c>
      <c r="BQ508">
        <v>830</v>
      </c>
      <c r="BR508">
        <f t="shared" si="78"/>
        <v>832.46290801186944</v>
      </c>
      <c r="BS508" t="s">
        <v>2911</v>
      </c>
    </row>
    <row r="509" spans="1:71" x14ac:dyDescent="0.4">
      <c r="A509" s="3">
        <v>506</v>
      </c>
      <c r="B509" s="3">
        <v>506</v>
      </c>
      <c r="C509" s="4" t="s">
        <v>568</v>
      </c>
      <c r="D509" s="4" t="str">
        <f t="shared" si="79"/>
        <v>J452WL</v>
      </c>
      <c r="E509" s="4" t="s">
        <v>568</v>
      </c>
      <c r="F509" s="4" t="s">
        <v>1786</v>
      </c>
      <c r="G509" s="5">
        <v>4521718193359</v>
      </c>
      <c r="H509" s="5"/>
      <c r="I509" s="5"/>
      <c r="J509" s="5">
        <v>1</v>
      </c>
      <c r="K509" s="5">
        <v>1</v>
      </c>
      <c r="L509" s="4">
        <v>620</v>
      </c>
      <c r="M509" s="4">
        <v>496</v>
      </c>
      <c r="N509" s="4">
        <v>278</v>
      </c>
      <c r="O509" s="6">
        <f t="shared" si="80"/>
        <v>0.43951612903225812</v>
      </c>
      <c r="P509" s="4" t="s">
        <v>2500</v>
      </c>
      <c r="Q509" s="4"/>
      <c r="R509" s="4"/>
      <c r="S509" s="4"/>
      <c r="T509" s="4"/>
      <c r="U509" s="4"/>
      <c r="V509" s="4"/>
      <c r="W509" s="4"/>
      <c r="X509" s="4"/>
      <c r="Y509" s="4">
        <v>428</v>
      </c>
      <c r="Z509" s="4">
        <f t="shared" si="81"/>
        <v>428</v>
      </c>
      <c r="AA509" s="4">
        <v>278</v>
      </c>
      <c r="AB509" s="4">
        <f t="shared" si="82"/>
        <v>278</v>
      </c>
      <c r="AC509" s="4"/>
      <c r="AD509" s="21">
        <f>ROUND(M509*AR509,0)</f>
        <v>496</v>
      </c>
      <c r="AE509" s="6">
        <f>1-AB509/AD509</f>
        <v>0.43951612903225812</v>
      </c>
      <c r="AF509" s="33">
        <v>0</v>
      </c>
      <c r="AG509" s="4" t="str">
        <f t="shared" si="83"/>
        <v>-</v>
      </c>
      <c r="AH509" s="33" t="e">
        <f t="shared" si="76"/>
        <v>#VALUE!</v>
      </c>
      <c r="AI509" s="6" t="e">
        <f>1-AB509/AH509</f>
        <v>#VALUE!</v>
      </c>
      <c r="AJ509" s="7">
        <f>ROUND(AB509/0.65,0)</f>
        <v>428</v>
      </c>
      <c r="AK509" s="6">
        <f>1-AB509/AJ509</f>
        <v>0.35046728971962615</v>
      </c>
      <c r="AL509" s="4">
        <f>AJ509-AB509</f>
        <v>150</v>
      </c>
      <c r="AM509" s="28"/>
      <c r="AN509" s="6"/>
      <c r="AO509" s="6"/>
      <c r="AP509" s="6">
        <f>Z509/L509</f>
        <v>0.69032258064516128</v>
      </c>
      <c r="AQ509" s="6">
        <f>AJ509/M509</f>
        <v>0.86290322580645162</v>
      </c>
      <c r="AR509" s="6">
        <f>AB509/N509</f>
        <v>1</v>
      </c>
      <c r="AS509" s="4"/>
      <c r="AT509" s="4"/>
      <c r="AU509" s="4"/>
      <c r="AV509" s="4"/>
      <c r="AW509" s="4"/>
      <c r="AX509" s="4"/>
      <c r="AY509" s="4"/>
      <c r="AZ509" s="4"/>
      <c r="BA509" s="4"/>
      <c r="BB509" s="4">
        <v>0</v>
      </c>
      <c r="BC509" s="4" t="s">
        <v>3534</v>
      </c>
      <c r="BD509" s="4"/>
      <c r="BE509" s="4"/>
      <c r="BF509" s="4" t="s">
        <v>3534</v>
      </c>
      <c r="BG509" s="4" t="s">
        <v>3534</v>
      </c>
      <c r="BH509" s="4" t="s">
        <v>3534</v>
      </c>
      <c r="BI509" s="4" t="str">
        <f t="shared" si="84"/>
        <v>-</v>
      </c>
      <c r="BJ509" s="19">
        <v>4</v>
      </c>
      <c r="BK509" s="19">
        <v>8</v>
      </c>
      <c r="BL509" s="16">
        <v>6</v>
      </c>
      <c r="BM509" s="45" t="s">
        <v>3534</v>
      </c>
      <c r="BN509" t="s">
        <v>3534</v>
      </c>
      <c r="BO509" t="str">
        <f t="shared" si="77"/>
        <v>-</v>
      </c>
      <c r="BP509" t="s">
        <v>3534</v>
      </c>
      <c r="BQ509" t="s">
        <v>3534</v>
      </c>
      <c r="BR509" t="str">
        <f t="shared" si="78"/>
        <v>-</v>
      </c>
      <c r="BS509" t="s">
        <v>3534</v>
      </c>
    </row>
    <row r="510" spans="1:71" x14ac:dyDescent="0.4">
      <c r="A510" s="3">
        <v>507</v>
      </c>
      <c r="B510" s="3">
        <v>507</v>
      </c>
      <c r="C510" s="4" t="s">
        <v>569</v>
      </c>
      <c r="D510" s="4" t="str">
        <f t="shared" si="79"/>
        <v>J453RR</v>
      </c>
      <c r="E510" s="4" t="s">
        <v>569</v>
      </c>
      <c r="F510" s="4" t="s">
        <v>1787</v>
      </c>
      <c r="G510" s="5">
        <v>4521718074320</v>
      </c>
      <c r="H510" s="5"/>
      <c r="I510" s="5"/>
      <c r="J510" s="5">
        <v>1</v>
      </c>
      <c r="K510" s="5">
        <v>1</v>
      </c>
      <c r="L510" s="4">
        <v>610</v>
      </c>
      <c r="M510" s="4">
        <v>357</v>
      </c>
      <c r="N510" s="4">
        <v>272</v>
      </c>
      <c r="O510" s="6">
        <f t="shared" si="80"/>
        <v>0.23809523809523814</v>
      </c>
      <c r="P510" s="4" t="s">
        <v>2500</v>
      </c>
      <c r="Q510" s="4"/>
      <c r="R510" s="4"/>
      <c r="S510" s="4"/>
      <c r="T510" s="4"/>
      <c r="U510" s="4"/>
      <c r="V510" s="4"/>
      <c r="W510" s="4"/>
      <c r="X510" s="4"/>
      <c r="Y510" s="4">
        <v>419</v>
      </c>
      <c r="Z510" s="4">
        <f t="shared" si="81"/>
        <v>419</v>
      </c>
      <c r="AA510" s="4">
        <v>272</v>
      </c>
      <c r="AB510" s="4">
        <f t="shared" si="82"/>
        <v>272</v>
      </c>
      <c r="AC510" s="4"/>
      <c r="AD510" s="21">
        <f>ROUND(M510*AR510,0)</f>
        <v>357</v>
      </c>
      <c r="AE510" s="6">
        <f>1-AB510/AD510</f>
        <v>0.23809523809523814</v>
      </c>
      <c r="AF510" s="33">
        <v>1</v>
      </c>
      <c r="AG510" s="4">
        <f t="shared" si="83"/>
        <v>550</v>
      </c>
      <c r="AH510" s="33">
        <f t="shared" si="76"/>
        <v>550</v>
      </c>
      <c r="AI510" s="6">
        <f>1-AB510/AH510</f>
        <v>0.50545454545454538</v>
      </c>
      <c r="AJ510" s="7">
        <f>ROUND(AB510/0.65,0)</f>
        <v>418</v>
      </c>
      <c r="AK510" s="6">
        <f>1-AB510/AJ510</f>
        <v>0.34928229665071775</v>
      </c>
      <c r="AL510" s="4">
        <f>AJ510-AB510</f>
        <v>146</v>
      </c>
      <c r="AM510" s="28"/>
      <c r="AN510" s="6"/>
      <c r="AO510" s="6"/>
      <c r="AP510" s="6">
        <f>Z510/L510</f>
        <v>0.68688524590163935</v>
      </c>
      <c r="AQ510" s="6">
        <f>AJ510/M510</f>
        <v>1.1708683473389356</v>
      </c>
      <c r="AR510" s="6">
        <f>AB510/N510</f>
        <v>1</v>
      </c>
      <c r="AS510" s="4"/>
      <c r="AT510" s="4"/>
      <c r="AU510" s="4"/>
      <c r="AV510" s="4"/>
      <c r="AW510" s="4"/>
      <c r="AX510" s="4"/>
      <c r="AY510" s="4"/>
      <c r="AZ510" s="4"/>
      <c r="BA510" s="4"/>
      <c r="BB510" s="4">
        <v>0</v>
      </c>
      <c r="BC510" s="4" t="s">
        <v>4018</v>
      </c>
      <c r="BD510" s="4">
        <v>1</v>
      </c>
      <c r="BE510" s="4">
        <v>3</v>
      </c>
      <c r="BF510" s="4" t="s">
        <v>3638</v>
      </c>
      <c r="BG510" s="4">
        <v>1650</v>
      </c>
      <c r="BH510" s="4">
        <v>1650</v>
      </c>
      <c r="BI510" s="4">
        <f t="shared" si="84"/>
        <v>550</v>
      </c>
      <c r="BJ510" s="19">
        <v>4</v>
      </c>
      <c r="BK510" s="19">
        <v>8</v>
      </c>
      <c r="BL510" s="16">
        <v>6</v>
      </c>
      <c r="BM510" s="45" t="s">
        <v>3534</v>
      </c>
      <c r="BN510" t="s">
        <v>3534</v>
      </c>
      <c r="BO510" t="str">
        <f t="shared" si="77"/>
        <v>-</v>
      </c>
      <c r="BP510" t="s">
        <v>3534</v>
      </c>
      <c r="BQ510">
        <v>419</v>
      </c>
      <c r="BR510">
        <f t="shared" si="78"/>
        <v>419</v>
      </c>
      <c r="BS510" t="s">
        <v>2912</v>
      </c>
    </row>
    <row r="511" spans="1:71" x14ac:dyDescent="0.4">
      <c r="A511" s="3">
        <v>508</v>
      </c>
      <c r="B511" s="3">
        <v>508</v>
      </c>
      <c r="C511" s="4" t="s">
        <v>570</v>
      </c>
      <c r="D511" s="4" t="str">
        <f t="shared" si="79"/>
        <v>J453WE</v>
      </c>
      <c r="E511" s="4" t="s">
        <v>570</v>
      </c>
      <c r="F511" s="4" t="s">
        <v>1788</v>
      </c>
      <c r="G511" s="5">
        <v>4521718115368</v>
      </c>
      <c r="H511" s="5"/>
      <c r="I511" s="5"/>
      <c r="J511" s="5">
        <v>1</v>
      </c>
      <c r="K511" s="5">
        <v>1</v>
      </c>
      <c r="L511" s="4">
        <v>190</v>
      </c>
      <c r="M511" s="4">
        <v>140</v>
      </c>
      <c r="N511" s="4">
        <v>95</v>
      </c>
      <c r="O511" s="6">
        <f t="shared" si="80"/>
        <v>0.3214285714285714</v>
      </c>
      <c r="P511" s="4" t="s">
        <v>2500</v>
      </c>
      <c r="Q511" s="4"/>
      <c r="R511" s="4"/>
      <c r="S511" s="4"/>
      <c r="T511" s="4"/>
      <c r="U511" s="4"/>
      <c r="V511" s="4"/>
      <c r="W511" s="4"/>
      <c r="X511" s="4"/>
      <c r="Y511" s="4">
        <v>260</v>
      </c>
      <c r="Z511" s="4">
        <f t="shared" si="81"/>
        <v>260</v>
      </c>
      <c r="AA511" s="4">
        <v>130</v>
      </c>
      <c r="AB511" s="4">
        <f t="shared" si="82"/>
        <v>130</v>
      </c>
      <c r="AC511" s="4"/>
      <c r="AD511" s="21">
        <f>ROUND(M511*AR511,0)</f>
        <v>192</v>
      </c>
      <c r="AE511" s="6">
        <f>1-AB511/AD511</f>
        <v>0.32291666666666663</v>
      </c>
      <c r="AF511" s="33">
        <v>0</v>
      </c>
      <c r="AG511" s="4">
        <f t="shared" si="83"/>
        <v>190</v>
      </c>
      <c r="AH511" s="33">
        <f t="shared" si="76"/>
        <v>260</v>
      </c>
      <c r="AI511" s="6">
        <f>1-AB511/AH511</f>
        <v>0.5</v>
      </c>
      <c r="AJ511" s="7">
        <f>ROUND(AB511/0.65,0)</f>
        <v>200</v>
      </c>
      <c r="AK511" s="6">
        <f>1-AB511/AJ511</f>
        <v>0.35</v>
      </c>
      <c r="AL511" s="4">
        <f>AJ511-AB511</f>
        <v>70</v>
      </c>
      <c r="AM511" s="28"/>
      <c r="AN511" s="6"/>
      <c r="AO511" s="6"/>
      <c r="AP511" s="6">
        <f>Z511/L511</f>
        <v>1.368421052631579</v>
      </c>
      <c r="AQ511" s="6">
        <f>AJ511/M511</f>
        <v>1.4285714285714286</v>
      </c>
      <c r="AR511" s="6">
        <f>AB511/N511</f>
        <v>1.368421052631579</v>
      </c>
      <c r="AS511" s="4"/>
      <c r="AT511" s="4"/>
      <c r="AU511" s="4"/>
      <c r="AV511" s="4"/>
      <c r="AW511" s="4"/>
      <c r="AX511" s="4"/>
      <c r="AY511" s="4"/>
      <c r="AZ511" s="4"/>
      <c r="BA511" s="4"/>
      <c r="BB511" s="4">
        <v>0</v>
      </c>
      <c r="BC511" s="4" t="s">
        <v>4019</v>
      </c>
      <c r="BD511" s="4">
        <v>1</v>
      </c>
      <c r="BE511" s="4">
        <v>6</v>
      </c>
      <c r="BF511" s="4" t="s">
        <v>4020</v>
      </c>
      <c r="BG511" s="4">
        <v>1140</v>
      </c>
      <c r="BH511" s="4">
        <v>1140</v>
      </c>
      <c r="BI511" s="4">
        <f t="shared" si="84"/>
        <v>190</v>
      </c>
      <c r="BJ511" s="19">
        <v>4</v>
      </c>
      <c r="BK511" s="19">
        <v>8</v>
      </c>
      <c r="BL511" s="16">
        <v>19</v>
      </c>
      <c r="BM511" s="45" t="s">
        <v>3534</v>
      </c>
      <c r="BN511" t="s">
        <v>3534</v>
      </c>
      <c r="BO511" t="str">
        <f t="shared" si="77"/>
        <v>-</v>
      </c>
      <c r="BP511" t="s">
        <v>3534</v>
      </c>
      <c r="BQ511">
        <v>181</v>
      </c>
      <c r="BR511">
        <f t="shared" si="78"/>
        <v>247.68421052631581</v>
      </c>
      <c r="BS511" t="s">
        <v>2913</v>
      </c>
    </row>
    <row r="512" spans="1:71" x14ac:dyDescent="0.4">
      <c r="A512" s="3">
        <v>509</v>
      </c>
      <c r="B512" s="3">
        <v>509</v>
      </c>
      <c r="C512" s="4" t="s">
        <v>571</v>
      </c>
      <c r="D512" s="4" t="str">
        <f t="shared" si="79"/>
        <v>J453WL</v>
      </c>
      <c r="E512" s="4" t="s">
        <v>571</v>
      </c>
      <c r="F512" s="4" t="s">
        <v>1789</v>
      </c>
      <c r="G512" s="5">
        <v>4521718193366</v>
      </c>
      <c r="H512" s="5"/>
      <c r="I512" s="5"/>
      <c r="J512" s="5">
        <v>1</v>
      </c>
      <c r="K512" s="5">
        <v>1</v>
      </c>
      <c r="L512" s="4">
        <v>620</v>
      </c>
      <c r="M512" s="4">
        <v>496</v>
      </c>
      <c r="N512" s="4">
        <v>278</v>
      </c>
      <c r="O512" s="6">
        <f t="shared" si="80"/>
        <v>0.43951612903225812</v>
      </c>
      <c r="P512" s="4" t="s">
        <v>2500</v>
      </c>
      <c r="Q512" s="4"/>
      <c r="R512" s="4"/>
      <c r="S512" s="4"/>
      <c r="T512" s="4"/>
      <c r="U512" s="4"/>
      <c r="V512" s="4"/>
      <c r="W512" s="4"/>
      <c r="X512" s="4"/>
      <c r="Y512" s="4">
        <v>428</v>
      </c>
      <c r="Z512" s="4">
        <f t="shared" si="81"/>
        <v>428</v>
      </c>
      <c r="AA512" s="4">
        <v>278</v>
      </c>
      <c r="AB512" s="4">
        <f t="shared" si="82"/>
        <v>278</v>
      </c>
      <c r="AC512" s="4"/>
      <c r="AD512" s="21">
        <f>ROUND(M512*AR512,0)</f>
        <v>496</v>
      </c>
      <c r="AE512" s="6">
        <f>1-AB512/AD512</f>
        <v>0.43951612903225812</v>
      </c>
      <c r="AF512" s="33">
        <v>0</v>
      </c>
      <c r="AG512" s="4" t="str">
        <f t="shared" si="83"/>
        <v>-</v>
      </c>
      <c r="AH512" s="33" t="e">
        <f t="shared" si="76"/>
        <v>#VALUE!</v>
      </c>
      <c r="AI512" s="6" t="e">
        <f>1-AB512/AH512</f>
        <v>#VALUE!</v>
      </c>
      <c r="AJ512" s="7">
        <f>ROUND(AB512/0.65,0)</f>
        <v>428</v>
      </c>
      <c r="AK512" s="6">
        <f>1-AB512/AJ512</f>
        <v>0.35046728971962615</v>
      </c>
      <c r="AL512" s="4">
        <f>AJ512-AB512</f>
        <v>150</v>
      </c>
      <c r="AM512" s="28"/>
      <c r="AN512" s="6"/>
      <c r="AO512" s="6"/>
      <c r="AP512" s="6">
        <f>Z512/L512</f>
        <v>0.69032258064516128</v>
      </c>
      <c r="AQ512" s="6">
        <f>AJ512/M512</f>
        <v>0.86290322580645162</v>
      </c>
      <c r="AR512" s="6">
        <f>AB512/N512</f>
        <v>1</v>
      </c>
      <c r="AS512" s="4"/>
      <c r="AT512" s="4"/>
      <c r="AU512" s="4"/>
      <c r="AV512" s="4"/>
      <c r="AW512" s="4"/>
      <c r="AX512" s="4"/>
      <c r="AY512" s="4"/>
      <c r="AZ512" s="4"/>
      <c r="BA512" s="4"/>
      <c r="BB512" s="4">
        <v>0</v>
      </c>
      <c r="BC512" s="4" t="s">
        <v>3534</v>
      </c>
      <c r="BD512" s="4"/>
      <c r="BE512" s="4"/>
      <c r="BF512" s="4" t="s">
        <v>3534</v>
      </c>
      <c r="BG512" s="4" t="s">
        <v>3534</v>
      </c>
      <c r="BH512" s="4" t="s">
        <v>3534</v>
      </c>
      <c r="BI512" s="4" t="str">
        <f t="shared" si="84"/>
        <v>-</v>
      </c>
      <c r="BJ512" s="19">
        <v>4</v>
      </c>
      <c r="BK512" s="19">
        <v>8</v>
      </c>
      <c r="BL512" s="16">
        <v>6</v>
      </c>
      <c r="BM512" s="45" t="s">
        <v>3534</v>
      </c>
      <c r="BN512" t="s">
        <v>3534</v>
      </c>
      <c r="BO512" t="str">
        <f t="shared" si="77"/>
        <v>-</v>
      </c>
      <c r="BP512" t="s">
        <v>3534</v>
      </c>
      <c r="BQ512" t="s">
        <v>3534</v>
      </c>
      <c r="BR512" t="str">
        <f t="shared" si="78"/>
        <v>-</v>
      </c>
      <c r="BS512" t="s">
        <v>3534</v>
      </c>
    </row>
    <row r="513" spans="1:71" x14ac:dyDescent="0.4">
      <c r="A513" s="3">
        <v>510</v>
      </c>
      <c r="B513" s="3">
        <v>510</v>
      </c>
      <c r="C513" s="4" t="s">
        <v>572</v>
      </c>
      <c r="D513" s="4" t="str">
        <f t="shared" si="79"/>
        <v>J454WE</v>
      </c>
      <c r="E513" s="4" t="s">
        <v>572</v>
      </c>
      <c r="F513" s="4" t="s">
        <v>1790</v>
      </c>
      <c r="G513" s="5">
        <v>4521718115375</v>
      </c>
      <c r="H513" s="5"/>
      <c r="I513" s="5"/>
      <c r="J513" s="5">
        <v>1</v>
      </c>
      <c r="K513" s="5">
        <v>1</v>
      </c>
      <c r="L513" s="4">
        <v>280</v>
      </c>
      <c r="M513" s="4">
        <v>210</v>
      </c>
      <c r="N513" s="4">
        <v>140</v>
      </c>
      <c r="O513" s="6">
        <f t="shared" si="80"/>
        <v>0.33333333333333337</v>
      </c>
      <c r="P513" s="4" t="s">
        <v>2500</v>
      </c>
      <c r="Q513" s="4"/>
      <c r="R513" s="4"/>
      <c r="S513" s="4"/>
      <c r="T513" s="4"/>
      <c r="U513" s="4"/>
      <c r="V513" s="4"/>
      <c r="W513" s="4"/>
      <c r="X513" s="4"/>
      <c r="Y513" s="4">
        <v>400</v>
      </c>
      <c r="Z513" s="4">
        <f t="shared" si="81"/>
        <v>400</v>
      </c>
      <c r="AA513" s="4">
        <v>200</v>
      </c>
      <c r="AB513" s="4">
        <f t="shared" si="82"/>
        <v>200</v>
      </c>
      <c r="AC513" s="4"/>
      <c r="AD513" s="21">
        <f>ROUND(M513*AR513,0)</f>
        <v>300</v>
      </c>
      <c r="AE513" s="6">
        <f>1-AB513/AD513</f>
        <v>0.33333333333333337</v>
      </c>
      <c r="AF513" s="33">
        <v>0</v>
      </c>
      <c r="AG513" s="4">
        <f t="shared" si="83"/>
        <v>280</v>
      </c>
      <c r="AH513" s="33">
        <f t="shared" si="76"/>
        <v>400</v>
      </c>
      <c r="AI513" s="6">
        <f>1-AB513/AH513</f>
        <v>0.5</v>
      </c>
      <c r="AJ513" s="7">
        <f>ROUND(AB513/0.65,0)</f>
        <v>308</v>
      </c>
      <c r="AK513" s="6">
        <f>1-AB513/AJ513</f>
        <v>0.35064935064935066</v>
      </c>
      <c r="AL513" s="4">
        <f>AJ513-AB513</f>
        <v>108</v>
      </c>
      <c r="AM513" s="28"/>
      <c r="AN513" s="6"/>
      <c r="AO513" s="6"/>
      <c r="AP513" s="6">
        <f>Z513/L513</f>
        <v>1.4285714285714286</v>
      </c>
      <c r="AQ513" s="6">
        <f>AJ513/M513</f>
        <v>1.4666666666666666</v>
      </c>
      <c r="AR513" s="6">
        <f>AB513/N513</f>
        <v>1.4285714285714286</v>
      </c>
      <c r="AS513" s="4"/>
      <c r="AT513" s="4"/>
      <c r="AU513" s="4"/>
      <c r="AV513" s="4"/>
      <c r="AW513" s="4"/>
      <c r="AX513" s="4"/>
      <c r="AY513" s="4"/>
      <c r="AZ513" s="4"/>
      <c r="BA513" s="4"/>
      <c r="BB513" s="4">
        <v>0</v>
      </c>
      <c r="BC513" s="4" t="s">
        <v>4021</v>
      </c>
      <c r="BD513" s="4">
        <v>1</v>
      </c>
      <c r="BE513" s="4">
        <v>4</v>
      </c>
      <c r="BF513" s="4" t="s">
        <v>3579</v>
      </c>
      <c r="BG513" s="4">
        <v>1120</v>
      </c>
      <c r="BH513" s="4">
        <v>1120</v>
      </c>
      <c r="BI513" s="4">
        <f t="shared" si="84"/>
        <v>280</v>
      </c>
      <c r="BJ513" s="19">
        <v>4</v>
      </c>
      <c r="BK513" s="19">
        <v>8</v>
      </c>
      <c r="BL513" s="16">
        <v>19</v>
      </c>
      <c r="BM513" s="45" t="s">
        <v>3534</v>
      </c>
      <c r="BN513" t="s">
        <v>3534</v>
      </c>
      <c r="BO513" t="str">
        <f t="shared" si="77"/>
        <v>-</v>
      </c>
      <c r="BP513" t="s">
        <v>3534</v>
      </c>
      <c r="BQ513">
        <v>266</v>
      </c>
      <c r="BR513">
        <f t="shared" si="78"/>
        <v>380</v>
      </c>
      <c r="BS513" t="s">
        <v>2914</v>
      </c>
    </row>
    <row r="514" spans="1:71" x14ac:dyDescent="0.4">
      <c r="A514" s="3">
        <v>511</v>
      </c>
      <c r="B514" s="3">
        <v>511</v>
      </c>
      <c r="C514" s="4" t="s">
        <v>573</v>
      </c>
      <c r="D514" s="4" t="str">
        <f t="shared" si="79"/>
        <v>J454WL</v>
      </c>
      <c r="E514" s="4" t="s">
        <v>573</v>
      </c>
      <c r="F514" s="4" t="s">
        <v>1791</v>
      </c>
      <c r="G514" s="5">
        <v>4521718193373</v>
      </c>
      <c r="H514" s="5"/>
      <c r="I514" s="5"/>
      <c r="J514" s="5">
        <v>1</v>
      </c>
      <c r="K514" s="5">
        <v>1</v>
      </c>
      <c r="L514" s="4">
        <v>620</v>
      </c>
      <c r="M514" s="4">
        <v>496</v>
      </c>
      <c r="N514" s="4">
        <v>278</v>
      </c>
      <c r="O514" s="6">
        <f t="shared" si="80"/>
        <v>0.43951612903225812</v>
      </c>
      <c r="P514" s="4" t="s">
        <v>2500</v>
      </c>
      <c r="Q514" s="4"/>
      <c r="R514" s="4"/>
      <c r="S514" s="4"/>
      <c r="T514" s="4"/>
      <c r="U514" s="4"/>
      <c r="V514" s="4"/>
      <c r="W514" s="4"/>
      <c r="X514" s="4"/>
      <c r="Y514" s="4">
        <v>428</v>
      </c>
      <c r="Z514" s="4">
        <f t="shared" si="81"/>
        <v>428</v>
      </c>
      <c r="AA514" s="4">
        <v>278</v>
      </c>
      <c r="AB514" s="4">
        <f t="shared" si="82"/>
        <v>278</v>
      </c>
      <c r="AC514" s="4"/>
      <c r="AD514" s="21">
        <f>ROUND(M514*AR514,0)</f>
        <v>496</v>
      </c>
      <c r="AE514" s="6">
        <f>1-AB514/AD514</f>
        <v>0.43951612903225812</v>
      </c>
      <c r="AF514" s="33">
        <v>0</v>
      </c>
      <c r="AG514" s="4" t="str">
        <f t="shared" si="83"/>
        <v>-</v>
      </c>
      <c r="AH514" s="33" t="e">
        <f t="shared" si="76"/>
        <v>#VALUE!</v>
      </c>
      <c r="AI514" s="6" t="e">
        <f>1-AB514/AH514</f>
        <v>#VALUE!</v>
      </c>
      <c r="AJ514" s="7">
        <f>ROUND(AB514/0.65,0)</f>
        <v>428</v>
      </c>
      <c r="AK514" s="6">
        <f>1-AB514/AJ514</f>
        <v>0.35046728971962615</v>
      </c>
      <c r="AL514" s="4">
        <f>AJ514-AB514</f>
        <v>150</v>
      </c>
      <c r="AM514" s="28"/>
      <c r="AN514" s="6"/>
      <c r="AO514" s="6"/>
      <c r="AP514" s="6">
        <f>Z514/L514</f>
        <v>0.69032258064516128</v>
      </c>
      <c r="AQ514" s="6">
        <f>AJ514/M514</f>
        <v>0.86290322580645162</v>
      </c>
      <c r="AR514" s="6">
        <f>AB514/N514</f>
        <v>1</v>
      </c>
      <c r="AS514" s="4"/>
      <c r="AT514" s="4"/>
      <c r="AU514" s="4"/>
      <c r="AV514" s="4"/>
      <c r="AW514" s="4"/>
      <c r="AX514" s="4"/>
      <c r="AY514" s="4"/>
      <c r="AZ514" s="4"/>
      <c r="BA514" s="4"/>
      <c r="BB514" s="4">
        <v>0</v>
      </c>
      <c r="BC514" s="4" t="s">
        <v>3534</v>
      </c>
      <c r="BD514" s="4"/>
      <c r="BE514" s="4"/>
      <c r="BF514" s="4" t="s">
        <v>3534</v>
      </c>
      <c r="BG514" s="4" t="s">
        <v>3534</v>
      </c>
      <c r="BH514" s="4" t="s">
        <v>3534</v>
      </c>
      <c r="BI514" s="4" t="str">
        <f t="shared" si="84"/>
        <v>-</v>
      </c>
      <c r="BJ514" s="19">
        <v>4</v>
      </c>
      <c r="BK514" s="19">
        <v>8</v>
      </c>
      <c r="BL514" s="16">
        <v>6</v>
      </c>
      <c r="BM514" s="45" t="s">
        <v>3534</v>
      </c>
      <c r="BN514" t="s">
        <v>3534</v>
      </c>
      <c r="BO514" t="str">
        <f t="shared" si="77"/>
        <v>-</v>
      </c>
      <c r="BP514" t="s">
        <v>3534</v>
      </c>
      <c r="BQ514" t="s">
        <v>3534</v>
      </c>
      <c r="BR514" t="str">
        <f t="shared" si="78"/>
        <v>-</v>
      </c>
      <c r="BS514" t="s">
        <v>3534</v>
      </c>
    </row>
    <row r="515" spans="1:71" x14ac:dyDescent="0.4">
      <c r="A515" s="3">
        <v>512</v>
      </c>
      <c r="B515" s="3">
        <v>512</v>
      </c>
      <c r="C515" s="4" t="s">
        <v>574</v>
      </c>
      <c r="D515" s="4" t="str">
        <f t="shared" si="79"/>
        <v>J455RR</v>
      </c>
      <c r="E515" s="4" t="s">
        <v>574</v>
      </c>
      <c r="F515" s="4" t="s">
        <v>1792</v>
      </c>
      <c r="G515" s="5">
        <v>4521718074405</v>
      </c>
      <c r="H515" s="5"/>
      <c r="I515" s="5"/>
      <c r="J515" s="5">
        <v>1</v>
      </c>
      <c r="K515" s="5">
        <v>1</v>
      </c>
      <c r="L515" s="4">
        <v>310</v>
      </c>
      <c r="M515" s="4">
        <v>200</v>
      </c>
      <c r="N515" s="4">
        <v>137</v>
      </c>
      <c r="O515" s="6">
        <f t="shared" si="80"/>
        <v>0.31499999999999995</v>
      </c>
      <c r="P515" s="4" t="s">
        <v>2500</v>
      </c>
      <c r="Q515" s="4"/>
      <c r="R515" s="4"/>
      <c r="S515" s="4"/>
      <c r="T515" s="4"/>
      <c r="U515" s="4"/>
      <c r="V515" s="4"/>
      <c r="W515" s="4"/>
      <c r="X515" s="4"/>
      <c r="Y515" s="4">
        <v>310</v>
      </c>
      <c r="Z515" s="4">
        <f t="shared" si="81"/>
        <v>310</v>
      </c>
      <c r="AA515" s="4">
        <v>140</v>
      </c>
      <c r="AB515" s="4">
        <f t="shared" si="82"/>
        <v>140</v>
      </c>
      <c r="AC515" s="4"/>
      <c r="AD515" s="21">
        <f>ROUND(M515*AR515,0)</f>
        <v>204</v>
      </c>
      <c r="AE515" s="6">
        <f>1-AB515/AD515</f>
        <v>0.31372549019607843</v>
      </c>
      <c r="AF515" s="33">
        <v>0</v>
      </c>
      <c r="AG515" s="4">
        <f t="shared" si="83"/>
        <v>260</v>
      </c>
      <c r="AH515" s="33">
        <f t="shared" si="76"/>
        <v>265.69343065693431</v>
      </c>
      <c r="AI515" s="6">
        <f>1-AB515/AH515</f>
        <v>0.47307692307692306</v>
      </c>
      <c r="AJ515" s="7">
        <f>ROUND(AB515/0.65,0)</f>
        <v>215</v>
      </c>
      <c r="AK515" s="6">
        <f>1-AB515/AJ515</f>
        <v>0.34883720930232553</v>
      </c>
      <c r="AL515" s="4">
        <f>AJ515-AB515</f>
        <v>75</v>
      </c>
      <c r="AM515" s="28"/>
      <c r="AN515" s="6"/>
      <c r="AO515" s="6"/>
      <c r="AP515" s="6">
        <f>Z515/L515</f>
        <v>1</v>
      </c>
      <c r="AQ515" s="6">
        <f>AJ515/M515</f>
        <v>1.075</v>
      </c>
      <c r="AR515" s="6">
        <f>AB515/N515</f>
        <v>1.0218978102189782</v>
      </c>
      <c r="AS515" s="4"/>
      <c r="AT515" s="4"/>
      <c r="AU515" s="4"/>
      <c r="AV515" s="4"/>
      <c r="AW515" s="4"/>
      <c r="AX515" s="4"/>
      <c r="AY515" s="4"/>
      <c r="AZ515" s="4"/>
      <c r="BA515" s="4"/>
      <c r="BB515" s="4">
        <v>0</v>
      </c>
      <c r="BC515" s="4" t="s">
        <v>4022</v>
      </c>
      <c r="BD515" s="4">
        <v>1</v>
      </c>
      <c r="BE515" s="4">
        <v>6</v>
      </c>
      <c r="BF515" s="4" t="s">
        <v>4023</v>
      </c>
      <c r="BG515" s="4">
        <v>1560</v>
      </c>
      <c r="BH515" s="4">
        <v>1560</v>
      </c>
      <c r="BI515" s="4">
        <f t="shared" si="84"/>
        <v>260</v>
      </c>
      <c r="BJ515" s="19">
        <v>4</v>
      </c>
      <c r="BK515" s="19">
        <v>8</v>
      </c>
      <c r="BL515" s="16">
        <v>6</v>
      </c>
      <c r="BM515" s="45" t="s">
        <v>3534</v>
      </c>
      <c r="BN515" t="s">
        <v>3534</v>
      </c>
      <c r="BO515" t="str">
        <f t="shared" si="77"/>
        <v>-</v>
      </c>
      <c r="BP515" t="s">
        <v>3534</v>
      </c>
      <c r="BQ515">
        <v>210</v>
      </c>
      <c r="BR515">
        <f t="shared" si="78"/>
        <v>214.59854014598542</v>
      </c>
      <c r="BS515" t="s">
        <v>2915</v>
      </c>
    </row>
    <row r="516" spans="1:71" x14ac:dyDescent="0.4">
      <c r="A516" s="3">
        <v>513</v>
      </c>
      <c r="B516" s="3">
        <v>513</v>
      </c>
      <c r="C516" s="4" t="s">
        <v>575</v>
      </c>
      <c r="D516" s="4" t="str">
        <f t="shared" si="79"/>
        <v>J455WE</v>
      </c>
      <c r="E516" s="4" t="s">
        <v>575</v>
      </c>
      <c r="F516" s="4" t="s">
        <v>1793</v>
      </c>
      <c r="G516" s="5">
        <v>4521718115382</v>
      </c>
      <c r="H516" s="5"/>
      <c r="I516" s="5"/>
      <c r="J516" s="5">
        <v>1</v>
      </c>
      <c r="K516" s="5">
        <v>1</v>
      </c>
      <c r="L516" s="4">
        <v>420</v>
      </c>
      <c r="M516" s="4">
        <v>310</v>
      </c>
      <c r="N516" s="4">
        <v>210</v>
      </c>
      <c r="O516" s="6">
        <f t="shared" si="80"/>
        <v>0.32258064516129037</v>
      </c>
      <c r="P516" s="4" t="s">
        <v>2500</v>
      </c>
      <c r="Q516" s="4"/>
      <c r="R516" s="4"/>
      <c r="S516" s="4"/>
      <c r="T516" s="4"/>
      <c r="U516" s="4"/>
      <c r="V516" s="4"/>
      <c r="W516" s="4"/>
      <c r="X516" s="4"/>
      <c r="Y516" s="4">
        <v>450</v>
      </c>
      <c r="Z516" s="4">
        <f t="shared" si="81"/>
        <v>450</v>
      </c>
      <c r="AA516" s="4">
        <v>225</v>
      </c>
      <c r="AB516" s="4">
        <f t="shared" si="82"/>
        <v>225</v>
      </c>
      <c r="AC516" s="4"/>
      <c r="AD516" s="21">
        <f>ROUND(M516*AR516,0)</f>
        <v>332</v>
      </c>
      <c r="AE516" s="6">
        <f>1-AB516/AD516</f>
        <v>0.32228915662650603</v>
      </c>
      <c r="AF516" s="33">
        <v>0</v>
      </c>
      <c r="AG516" s="4">
        <f t="shared" si="83"/>
        <v>420</v>
      </c>
      <c r="AH516" s="33">
        <f t="shared" ref="AH516:AH579" si="85">AG516*AR516</f>
        <v>450</v>
      </c>
      <c r="AI516" s="6">
        <f>1-AB516/AH516</f>
        <v>0.5</v>
      </c>
      <c r="AJ516" s="7">
        <f>ROUND(AB516/0.65,0)</f>
        <v>346</v>
      </c>
      <c r="AK516" s="6">
        <f>1-AB516/AJ516</f>
        <v>0.3497109826589595</v>
      </c>
      <c r="AL516" s="4">
        <f>AJ516-AB516</f>
        <v>121</v>
      </c>
      <c r="AM516" s="28"/>
      <c r="AN516" s="6"/>
      <c r="AO516" s="6"/>
      <c r="AP516" s="6">
        <f>Z516/L516</f>
        <v>1.0714285714285714</v>
      </c>
      <c r="AQ516" s="6">
        <f>AJ516/M516</f>
        <v>1.1161290322580646</v>
      </c>
      <c r="AR516" s="6">
        <f>AB516/N516</f>
        <v>1.0714285714285714</v>
      </c>
      <c r="AS516" s="4"/>
      <c r="AT516" s="4"/>
      <c r="AU516" s="4"/>
      <c r="AV516" s="4"/>
      <c r="AW516" s="4"/>
      <c r="AX516" s="4"/>
      <c r="AY516" s="4"/>
      <c r="AZ516" s="4"/>
      <c r="BA516" s="4"/>
      <c r="BB516" s="4">
        <v>0</v>
      </c>
      <c r="BC516" s="4" t="s">
        <v>4024</v>
      </c>
      <c r="BD516" s="4">
        <v>1</v>
      </c>
      <c r="BE516" s="4">
        <v>3</v>
      </c>
      <c r="BF516" s="4" t="s">
        <v>3623</v>
      </c>
      <c r="BG516" s="4">
        <v>1260</v>
      </c>
      <c r="BH516" s="4">
        <v>1260</v>
      </c>
      <c r="BI516" s="4">
        <f t="shared" si="84"/>
        <v>420</v>
      </c>
      <c r="BJ516" s="19">
        <v>4</v>
      </c>
      <c r="BK516" s="19">
        <v>8</v>
      </c>
      <c r="BL516" s="16">
        <v>19</v>
      </c>
      <c r="BM516" s="45" t="s">
        <v>3534</v>
      </c>
      <c r="BN516" t="s">
        <v>3534</v>
      </c>
      <c r="BO516" t="str">
        <f t="shared" si="77"/>
        <v>-</v>
      </c>
      <c r="BP516" t="s">
        <v>3534</v>
      </c>
      <c r="BQ516">
        <v>399</v>
      </c>
      <c r="BR516">
        <f t="shared" si="78"/>
        <v>427.5</v>
      </c>
      <c r="BS516" t="s">
        <v>2916</v>
      </c>
    </row>
    <row r="517" spans="1:71" x14ac:dyDescent="0.4">
      <c r="A517" s="3">
        <v>514</v>
      </c>
      <c r="B517" s="3">
        <v>514</v>
      </c>
      <c r="C517" s="4" t="s">
        <v>576</v>
      </c>
      <c r="D517" s="4" t="str">
        <f t="shared" si="79"/>
        <v>J455WL</v>
      </c>
      <c r="E517" s="4" t="s">
        <v>576</v>
      </c>
      <c r="F517" s="4" t="s">
        <v>1794</v>
      </c>
      <c r="G517" s="5">
        <v>4521718193380</v>
      </c>
      <c r="H517" s="5"/>
      <c r="I517" s="5"/>
      <c r="J517" s="5">
        <v>1</v>
      </c>
      <c r="K517" s="5">
        <v>1</v>
      </c>
      <c r="L517" s="4">
        <v>330</v>
      </c>
      <c r="M517" s="4">
        <v>264</v>
      </c>
      <c r="N517" s="4">
        <v>148</v>
      </c>
      <c r="O517" s="6">
        <f t="shared" si="80"/>
        <v>0.43939393939393945</v>
      </c>
      <c r="P517" s="4" t="s">
        <v>2500</v>
      </c>
      <c r="Q517" s="4"/>
      <c r="R517" s="4"/>
      <c r="S517" s="4"/>
      <c r="T517" s="4"/>
      <c r="U517" s="4"/>
      <c r="V517" s="4"/>
      <c r="W517" s="4"/>
      <c r="X517" s="4"/>
      <c r="Y517" s="4">
        <v>228</v>
      </c>
      <c r="Z517" s="4">
        <f t="shared" si="81"/>
        <v>228</v>
      </c>
      <c r="AA517" s="4">
        <v>148</v>
      </c>
      <c r="AB517" s="4">
        <f t="shared" si="82"/>
        <v>148</v>
      </c>
      <c r="AC517" s="4"/>
      <c r="AD517" s="21">
        <f>ROUND(M517*AR517,0)</f>
        <v>264</v>
      </c>
      <c r="AE517" s="6">
        <f>1-AB517/AD517</f>
        <v>0.43939393939393945</v>
      </c>
      <c r="AF517" s="33">
        <v>0</v>
      </c>
      <c r="AG517" s="4" t="str">
        <f t="shared" si="83"/>
        <v>-</v>
      </c>
      <c r="AH517" s="33" t="e">
        <f t="shared" si="85"/>
        <v>#VALUE!</v>
      </c>
      <c r="AI517" s="6" t="e">
        <f>1-AB517/AH517</f>
        <v>#VALUE!</v>
      </c>
      <c r="AJ517" s="7">
        <f>ROUND(AB517/0.65,0)</f>
        <v>228</v>
      </c>
      <c r="AK517" s="6">
        <f>1-AB517/AJ517</f>
        <v>0.35087719298245612</v>
      </c>
      <c r="AL517" s="4">
        <f>AJ517-AB517</f>
        <v>80</v>
      </c>
      <c r="AM517" s="28"/>
      <c r="AN517" s="6"/>
      <c r="AO517" s="6"/>
      <c r="AP517" s="6">
        <f>Z517/L517</f>
        <v>0.69090909090909092</v>
      </c>
      <c r="AQ517" s="6">
        <f>AJ517/M517</f>
        <v>0.86363636363636365</v>
      </c>
      <c r="AR517" s="6">
        <f>AB517/N517</f>
        <v>1</v>
      </c>
      <c r="AS517" s="4"/>
      <c r="AT517" s="4"/>
      <c r="AU517" s="4"/>
      <c r="AV517" s="4"/>
      <c r="AW517" s="4"/>
      <c r="AX517" s="4"/>
      <c r="AY517" s="4"/>
      <c r="AZ517" s="4"/>
      <c r="BA517" s="4"/>
      <c r="BB517" s="4">
        <v>0</v>
      </c>
      <c r="BC517" s="4" t="s">
        <v>3534</v>
      </c>
      <c r="BD517" s="4"/>
      <c r="BE517" s="4"/>
      <c r="BF517" s="4" t="s">
        <v>3534</v>
      </c>
      <c r="BG517" s="4" t="s">
        <v>3534</v>
      </c>
      <c r="BH517" s="4" t="s">
        <v>3534</v>
      </c>
      <c r="BI517" s="4" t="str">
        <f t="shared" si="84"/>
        <v>-</v>
      </c>
      <c r="BJ517" s="19">
        <v>4</v>
      </c>
      <c r="BK517" s="19">
        <v>8</v>
      </c>
      <c r="BL517" s="16">
        <v>6</v>
      </c>
      <c r="BM517" s="45" t="s">
        <v>3534</v>
      </c>
      <c r="BN517" t="s">
        <v>3534</v>
      </c>
      <c r="BO517" t="str">
        <f t="shared" ref="BO517:BO580" si="86">IFERROR(BN517*AR517,"-")</f>
        <v>-</v>
      </c>
      <c r="BP517" t="s">
        <v>3534</v>
      </c>
      <c r="BQ517" t="s">
        <v>3534</v>
      </c>
      <c r="BR517" t="str">
        <f t="shared" ref="BR517:BR580" si="87">IFERROR(BQ517*AR517,"-")</f>
        <v>-</v>
      </c>
      <c r="BS517" t="s">
        <v>3534</v>
      </c>
    </row>
    <row r="518" spans="1:71" x14ac:dyDescent="0.4">
      <c r="A518" s="3">
        <v>515</v>
      </c>
      <c r="B518" s="3">
        <v>515</v>
      </c>
      <c r="C518" s="4" t="s">
        <v>577</v>
      </c>
      <c r="D518" s="4" t="str">
        <f t="shared" si="79"/>
        <v>J456RR</v>
      </c>
      <c r="E518" s="4" t="s">
        <v>577</v>
      </c>
      <c r="F518" s="4" t="s">
        <v>1795</v>
      </c>
      <c r="G518" s="5">
        <v>4521718074436</v>
      </c>
      <c r="H518" s="5"/>
      <c r="I518" s="5"/>
      <c r="J518" s="5">
        <v>1</v>
      </c>
      <c r="K518" s="5">
        <v>1</v>
      </c>
      <c r="L518" s="4">
        <v>390</v>
      </c>
      <c r="M518" s="4">
        <v>252</v>
      </c>
      <c r="N518" s="4">
        <v>172</v>
      </c>
      <c r="O518" s="6">
        <f t="shared" si="80"/>
        <v>0.31746031746031744</v>
      </c>
      <c r="P518" s="4" t="s">
        <v>2500</v>
      </c>
      <c r="Q518" s="4"/>
      <c r="R518" s="4"/>
      <c r="S518" s="4"/>
      <c r="T518" s="4"/>
      <c r="U518" s="4"/>
      <c r="V518" s="4"/>
      <c r="W518" s="4"/>
      <c r="X518" s="4"/>
      <c r="Y518" s="4">
        <v>390</v>
      </c>
      <c r="Z518" s="4">
        <f t="shared" si="81"/>
        <v>390</v>
      </c>
      <c r="AA518" s="4">
        <v>176</v>
      </c>
      <c r="AB518" s="4">
        <f t="shared" si="82"/>
        <v>176</v>
      </c>
      <c r="AC518" s="4"/>
      <c r="AD518" s="21">
        <f>ROUND(M518*AR518,0)</f>
        <v>258</v>
      </c>
      <c r="AE518" s="6">
        <f>1-AB518/AD518</f>
        <v>0.31782945736434109</v>
      </c>
      <c r="AF518" s="33">
        <v>0.25</v>
      </c>
      <c r="AG518" s="4">
        <f t="shared" si="83"/>
        <v>330</v>
      </c>
      <c r="AH518" s="33">
        <f t="shared" si="85"/>
        <v>337.67441860465118</v>
      </c>
      <c r="AI518" s="6">
        <f>1-AB518/AH518</f>
        <v>0.47878787878787876</v>
      </c>
      <c r="AJ518" s="7">
        <f>ROUND(AB518/0.65,0)</f>
        <v>271</v>
      </c>
      <c r="AK518" s="6">
        <f>1-AB518/AJ518</f>
        <v>0.35055350553505538</v>
      </c>
      <c r="AL518" s="4">
        <f>AJ518-AB518</f>
        <v>95</v>
      </c>
      <c r="AM518" s="28"/>
      <c r="AN518" s="6"/>
      <c r="AO518" s="6"/>
      <c r="AP518" s="6">
        <f>Z518/L518</f>
        <v>1</v>
      </c>
      <c r="AQ518" s="6">
        <f>AJ518/M518</f>
        <v>1.0753968253968254</v>
      </c>
      <c r="AR518" s="6">
        <f>AB518/N518</f>
        <v>1.0232558139534884</v>
      </c>
      <c r="AS518" s="4"/>
      <c r="AT518" s="4"/>
      <c r="AU518" s="4"/>
      <c r="AV518" s="4"/>
      <c r="AW518" s="4"/>
      <c r="AX518" s="4"/>
      <c r="AY518" s="4"/>
      <c r="AZ518" s="4"/>
      <c r="BA518" s="4"/>
      <c r="BB518" s="4">
        <v>0</v>
      </c>
      <c r="BC518" s="4" t="s">
        <v>4025</v>
      </c>
      <c r="BD518" s="4">
        <v>1</v>
      </c>
      <c r="BE518" s="4">
        <v>5</v>
      </c>
      <c r="BF518" s="4" t="s">
        <v>3746</v>
      </c>
      <c r="BG518" s="4">
        <v>1650</v>
      </c>
      <c r="BH518" s="4">
        <v>1650</v>
      </c>
      <c r="BI518" s="4">
        <f t="shared" si="84"/>
        <v>330</v>
      </c>
      <c r="BJ518" s="19">
        <v>4</v>
      </c>
      <c r="BK518" s="19">
        <v>8</v>
      </c>
      <c r="BL518" s="16">
        <v>6</v>
      </c>
      <c r="BM518" s="45" t="s">
        <v>3534</v>
      </c>
      <c r="BN518" t="s">
        <v>3534</v>
      </c>
      <c r="BO518" t="str">
        <f t="shared" si="86"/>
        <v>-</v>
      </c>
      <c r="BP518" t="s">
        <v>3534</v>
      </c>
      <c r="BQ518">
        <v>273</v>
      </c>
      <c r="BR518">
        <f t="shared" si="87"/>
        <v>279.34883720930236</v>
      </c>
      <c r="BS518" t="s">
        <v>2917</v>
      </c>
    </row>
    <row r="519" spans="1:71" x14ac:dyDescent="0.4">
      <c r="A519" s="3">
        <v>516</v>
      </c>
      <c r="B519" s="3">
        <v>516</v>
      </c>
      <c r="C519" s="4" t="s">
        <v>578</v>
      </c>
      <c r="D519" s="4" t="str">
        <f t="shared" si="79"/>
        <v>J456WL</v>
      </c>
      <c r="E519" s="4" t="s">
        <v>578</v>
      </c>
      <c r="F519" s="4" t="s">
        <v>1796</v>
      </c>
      <c r="G519" s="5">
        <v>4521718193397</v>
      </c>
      <c r="H519" s="5"/>
      <c r="I519" s="5"/>
      <c r="J519" s="5">
        <v>1</v>
      </c>
      <c r="K519" s="5">
        <v>1</v>
      </c>
      <c r="L519" s="4">
        <v>330</v>
      </c>
      <c r="M519" s="4">
        <v>264</v>
      </c>
      <c r="N519" s="4">
        <v>148</v>
      </c>
      <c r="O519" s="6">
        <f t="shared" si="80"/>
        <v>0.43939393939393945</v>
      </c>
      <c r="P519" s="4" t="s">
        <v>2500</v>
      </c>
      <c r="Q519" s="4"/>
      <c r="R519" s="4"/>
      <c r="S519" s="4"/>
      <c r="T519" s="4"/>
      <c r="U519" s="4"/>
      <c r="V519" s="4"/>
      <c r="W519" s="4"/>
      <c r="X519" s="4"/>
      <c r="Y519" s="4">
        <v>228</v>
      </c>
      <c r="Z519" s="4">
        <f t="shared" si="81"/>
        <v>228</v>
      </c>
      <c r="AA519" s="4">
        <v>148</v>
      </c>
      <c r="AB519" s="4">
        <f t="shared" si="82"/>
        <v>148</v>
      </c>
      <c r="AC519" s="4"/>
      <c r="AD519" s="21">
        <f>ROUND(M519*AR519,0)</f>
        <v>264</v>
      </c>
      <c r="AE519" s="6">
        <f>1-AB519/AD519</f>
        <v>0.43939393939393945</v>
      </c>
      <c r="AF519" s="33">
        <v>0</v>
      </c>
      <c r="AG519" s="4" t="str">
        <f t="shared" si="83"/>
        <v>-</v>
      </c>
      <c r="AH519" s="33" t="e">
        <f t="shared" si="85"/>
        <v>#VALUE!</v>
      </c>
      <c r="AI519" s="6" t="e">
        <f>1-AB519/AH519</f>
        <v>#VALUE!</v>
      </c>
      <c r="AJ519" s="7">
        <f>ROUND(AB519/0.65,0)</f>
        <v>228</v>
      </c>
      <c r="AK519" s="6">
        <f>1-AB519/AJ519</f>
        <v>0.35087719298245612</v>
      </c>
      <c r="AL519" s="4">
        <f>AJ519-AB519</f>
        <v>80</v>
      </c>
      <c r="AM519" s="28"/>
      <c r="AN519" s="6"/>
      <c r="AO519" s="6"/>
      <c r="AP519" s="6">
        <f>Z519/L519</f>
        <v>0.69090909090909092</v>
      </c>
      <c r="AQ519" s="6">
        <f>AJ519/M519</f>
        <v>0.86363636363636365</v>
      </c>
      <c r="AR519" s="6">
        <f>AB519/N519</f>
        <v>1</v>
      </c>
      <c r="AS519" s="4"/>
      <c r="AT519" s="4"/>
      <c r="AU519" s="4"/>
      <c r="AV519" s="4"/>
      <c r="AW519" s="4"/>
      <c r="AX519" s="4"/>
      <c r="AY519" s="4"/>
      <c r="AZ519" s="4"/>
      <c r="BA519" s="4"/>
      <c r="BB519" s="4">
        <v>0</v>
      </c>
      <c r="BC519" s="4" t="s">
        <v>3534</v>
      </c>
      <c r="BD519" s="4"/>
      <c r="BE519" s="4"/>
      <c r="BF519" s="4" t="s">
        <v>3534</v>
      </c>
      <c r="BG519" s="4" t="s">
        <v>3534</v>
      </c>
      <c r="BH519" s="4" t="s">
        <v>3534</v>
      </c>
      <c r="BI519" s="4" t="str">
        <f t="shared" si="84"/>
        <v>-</v>
      </c>
      <c r="BJ519" s="19">
        <v>4</v>
      </c>
      <c r="BK519" s="19">
        <v>8</v>
      </c>
      <c r="BL519" s="16">
        <v>6</v>
      </c>
      <c r="BM519" s="45" t="s">
        <v>3534</v>
      </c>
      <c r="BN519" t="s">
        <v>3534</v>
      </c>
      <c r="BO519" t="str">
        <f t="shared" si="86"/>
        <v>-</v>
      </c>
      <c r="BP519" t="s">
        <v>3534</v>
      </c>
      <c r="BQ519" t="s">
        <v>3534</v>
      </c>
      <c r="BR519" t="str">
        <f t="shared" si="87"/>
        <v>-</v>
      </c>
      <c r="BS519" t="s">
        <v>3534</v>
      </c>
    </row>
    <row r="520" spans="1:71" x14ac:dyDescent="0.4">
      <c r="A520" s="3">
        <v>517</v>
      </c>
      <c r="B520" s="3">
        <v>517</v>
      </c>
      <c r="C520" s="4" t="s">
        <v>579</v>
      </c>
      <c r="D520" s="4" t="str">
        <f t="shared" si="79"/>
        <v>J457WL</v>
      </c>
      <c r="E520" s="4" t="s">
        <v>579</v>
      </c>
      <c r="F520" s="4" t="s">
        <v>1797</v>
      </c>
      <c r="G520" s="5">
        <v>4521718193403</v>
      </c>
      <c r="H520" s="5"/>
      <c r="I520" s="5"/>
      <c r="J520" s="5">
        <v>1</v>
      </c>
      <c r="K520" s="5">
        <v>1</v>
      </c>
      <c r="L520" s="4">
        <v>330</v>
      </c>
      <c r="M520" s="4">
        <v>264</v>
      </c>
      <c r="N520" s="4">
        <v>148</v>
      </c>
      <c r="O520" s="6">
        <f t="shared" si="80"/>
        <v>0.43939393939393945</v>
      </c>
      <c r="P520" s="4" t="s">
        <v>2500</v>
      </c>
      <c r="Q520" s="4"/>
      <c r="R520" s="4"/>
      <c r="S520" s="4"/>
      <c r="T520" s="4"/>
      <c r="U520" s="4"/>
      <c r="V520" s="4"/>
      <c r="W520" s="4"/>
      <c r="X520" s="4"/>
      <c r="Y520" s="4">
        <v>228</v>
      </c>
      <c r="Z520" s="4">
        <f t="shared" si="81"/>
        <v>228</v>
      </c>
      <c r="AA520" s="4">
        <v>148</v>
      </c>
      <c r="AB520" s="4">
        <f t="shared" si="82"/>
        <v>148</v>
      </c>
      <c r="AC520" s="4"/>
      <c r="AD520" s="21">
        <f>ROUND(M520*AR520,0)</f>
        <v>264</v>
      </c>
      <c r="AE520" s="6">
        <f>1-AB520/AD520</f>
        <v>0.43939393939393945</v>
      </c>
      <c r="AF520" s="33">
        <v>0</v>
      </c>
      <c r="AG520" s="4" t="str">
        <f t="shared" si="83"/>
        <v>-</v>
      </c>
      <c r="AH520" s="33" t="e">
        <f t="shared" si="85"/>
        <v>#VALUE!</v>
      </c>
      <c r="AI520" s="6" t="e">
        <f>1-AB520/AH520</f>
        <v>#VALUE!</v>
      </c>
      <c r="AJ520" s="7">
        <f>ROUND(AB520/0.65,0)</f>
        <v>228</v>
      </c>
      <c r="AK520" s="6">
        <f>1-AB520/AJ520</f>
        <v>0.35087719298245612</v>
      </c>
      <c r="AL520" s="4">
        <f>AJ520-AB520</f>
        <v>80</v>
      </c>
      <c r="AM520" s="28"/>
      <c r="AN520" s="6"/>
      <c r="AO520" s="6"/>
      <c r="AP520" s="6">
        <f>Z520/L520</f>
        <v>0.69090909090909092</v>
      </c>
      <c r="AQ520" s="6">
        <f>AJ520/M520</f>
        <v>0.86363636363636365</v>
      </c>
      <c r="AR520" s="6">
        <f>AB520/N520</f>
        <v>1</v>
      </c>
      <c r="AS520" s="4"/>
      <c r="AT520" s="4"/>
      <c r="AU520" s="4"/>
      <c r="AV520" s="4"/>
      <c r="AW520" s="4"/>
      <c r="AX520" s="4"/>
      <c r="AY520" s="4"/>
      <c r="AZ520" s="4"/>
      <c r="BA520" s="4"/>
      <c r="BB520" s="4">
        <v>0</v>
      </c>
      <c r="BC520" s="4" t="s">
        <v>3534</v>
      </c>
      <c r="BD520" s="4"/>
      <c r="BE520" s="4"/>
      <c r="BF520" s="4" t="s">
        <v>3534</v>
      </c>
      <c r="BG520" s="4" t="s">
        <v>3534</v>
      </c>
      <c r="BH520" s="4" t="s">
        <v>3534</v>
      </c>
      <c r="BI520" s="4" t="str">
        <f t="shared" si="84"/>
        <v>-</v>
      </c>
      <c r="BJ520" s="19">
        <v>4</v>
      </c>
      <c r="BK520" s="19">
        <v>8</v>
      </c>
      <c r="BL520" s="16">
        <v>6</v>
      </c>
      <c r="BM520" s="45" t="s">
        <v>3534</v>
      </c>
      <c r="BN520" t="s">
        <v>3534</v>
      </c>
      <c r="BO520" t="str">
        <f t="shared" si="86"/>
        <v>-</v>
      </c>
      <c r="BP520" t="s">
        <v>3534</v>
      </c>
      <c r="BQ520" t="s">
        <v>3534</v>
      </c>
      <c r="BR520" t="str">
        <f t="shared" si="87"/>
        <v>-</v>
      </c>
      <c r="BS520" t="s">
        <v>3534</v>
      </c>
    </row>
    <row r="521" spans="1:71" x14ac:dyDescent="0.4">
      <c r="A521" s="3">
        <v>518</v>
      </c>
      <c r="B521" s="3">
        <v>518</v>
      </c>
      <c r="C521" s="4" t="s">
        <v>580</v>
      </c>
      <c r="D521" s="4" t="str">
        <f t="shared" si="79"/>
        <v>J459WL</v>
      </c>
      <c r="E521" s="4" t="s">
        <v>580</v>
      </c>
      <c r="F521" s="4" t="s">
        <v>1798</v>
      </c>
      <c r="G521" s="5">
        <v>4521718193427</v>
      </c>
      <c r="H521" s="5"/>
      <c r="I521" s="5"/>
      <c r="J521" s="5">
        <v>1</v>
      </c>
      <c r="K521" s="5">
        <v>1</v>
      </c>
      <c r="L521" s="4">
        <v>330</v>
      </c>
      <c r="M521" s="4">
        <v>264</v>
      </c>
      <c r="N521" s="4">
        <v>148</v>
      </c>
      <c r="O521" s="6">
        <f t="shared" si="80"/>
        <v>0.43939393939393945</v>
      </c>
      <c r="P521" s="4" t="s">
        <v>2500</v>
      </c>
      <c r="Q521" s="4"/>
      <c r="R521" s="4"/>
      <c r="S521" s="4"/>
      <c r="T521" s="4"/>
      <c r="U521" s="4"/>
      <c r="V521" s="4"/>
      <c r="W521" s="4"/>
      <c r="X521" s="4"/>
      <c r="Y521" s="4">
        <v>228</v>
      </c>
      <c r="Z521" s="4">
        <f t="shared" si="81"/>
        <v>228</v>
      </c>
      <c r="AA521" s="4">
        <v>148</v>
      </c>
      <c r="AB521" s="4">
        <f t="shared" si="82"/>
        <v>148</v>
      </c>
      <c r="AC521" s="4"/>
      <c r="AD521" s="21">
        <f>ROUND(M521*AR521,0)</f>
        <v>264</v>
      </c>
      <c r="AE521" s="6">
        <f>1-AB521/AD521</f>
        <v>0.43939393939393945</v>
      </c>
      <c r="AF521" s="33">
        <v>0</v>
      </c>
      <c r="AG521" s="4" t="str">
        <f t="shared" si="83"/>
        <v>-</v>
      </c>
      <c r="AH521" s="33" t="e">
        <f t="shared" si="85"/>
        <v>#VALUE!</v>
      </c>
      <c r="AI521" s="6" t="e">
        <f>1-AB521/AH521</f>
        <v>#VALUE!</v>
      </c>
      <c r="AJ521" s="7">
        <f>ROUND(AB521/0.65,0)</f>
        <v>228</v>
      </c>
      <c r="AK521" s="6">
        <f>1-AB521/AJ521</f>
        <v>0.35087719298245612</v>
      </c>
      <c r="AL521" s="4">
        <f>AJ521-AB521</f>
        <v>80</v>
      </c>
      <c r="AM521" s="28"/>
      <c r="AN521" s="6"/>
      <c r="AO521" s="6"/>
      <c r="AP521" s="6">
        <f>Z521/L521</f>
        <v>0.69090909090909092</v>
      </c>
      <c r="AQ521" s="6">
        <f>AJ521/M521</f>
        <v>0.86363636363636365</v>
      </c>
      <c r="AR521" s="6">
        <f>AB521/N521</f>
        <v>1</v>
      </c>
      <c r="AS521" s="4"/>
      <c r="AT521" s="4"/>
      <c r="AU521" s="4"/>
      <c r="AV521" s="4"/>
      <c r="AW521" s="4"/>
      <c r="AX521" s="4"/>
      <c r="AY521" s="4"/>
      <c r="AZ521" s="4"/>
      <c r="BA521" s="4"/>
      <c r="BB521" s="4">
        <v>0</v>
      </c>
      <c r="BC521" s="4" t="s">
        <v>3534</v>
      </c>
      <c r="BD521" s="4"/>
      <c r="BE521" s="4"/>
      <c r="BF521" s="4" t="s">
        <v>3534</v>
      </c>
      <c r="BG521" s="4" t="s">
        <v>3534</v>
      </c>
      <c r="BH521" s="4" t="s">
        <v>3534</v>
      </c>
      <c r="BI521" s="4" t="str">
        <f t="shared" si="84"/>
        <v>-</v>
      </c>
      <c r="BJ521" s="19">
        <v>4</v>
      </c>
      <c r="BK521" s="19">
        <v>8</v>
      </c>
      <c r="BL521" s="16">
        <v>6</v>
      </c>
      <c r="BM521" s="45" t="s">
        <v>3534</v>
      </c>
      <c r="BN521" t="s">
        <v>3534</v>
      </c>
      <c r="BO521" t="str">
        <f t="shared" si="86"/>
        <v>-</v>
      </c>
      <c r="BP521" t="s">
        <v>3534</v>
      </c>
      <c r="BQ521" t="s">
        <v>3534</v>
      </c>
      <c r="BR521" t="str">
        <f t="shared" si="87"/>
        <v>-</v>
      </c>
      <c r="BS521" t="s">
        <v>3534</v>
      </c>
    </row>
    <row r="522" spans="1:71" x14ac:dyDescent="0.4">
      <c r="A522" s="3">
        <v>519</v>
      </c>
      <c r="B522" s="3">
        <v>519</v>
      </c>
      <c r="C522" s="4" t="s">
        <v>581</v>
      </c>
      <c r="D522" s="4" t="str">
        <f t="shared" si="79"/>
        <v>J458WL</v>
      </c>
      <c r="E522" s="4" t="s">
        <v>581</v>
      </c>
      <c r="F522" s="4" t="s">
        <v>1799</v>
      </c>
      <c r="G522" s="5">
        <v>4521718193410</v>
      </c>
      <c r="H522" s="5"/>
      <c r="I522" s="5"/>
      <c r="J522" s="5">
        <v>1</v>
      </c>
      <c r="K522" s="5">
        <v>1</v>
      </c>
      <c r="L522" s="4">
        <v>330</v>
      </c>
      <c r="M522" s="4">
        <v>264</v>
      </c>
      <c r="N522" s="4">
        <v>148</v>
      </c>
      <c r="O522" s="6">
        <f t="shared" si="80"/>
        <v>0.43939393939393945</v>
      </c>
      <c r="P522" s="4" t="s">
        <v>2500</v>
      </c>
      <c r="Q522" s="4"/>
      <c r="R522" s="4"/>
      <c r="S522" s="4"/>
      <c r="T522" s="4"/>
      <c r="U522" s="4"/>
      <c r="V522" s="4"/>
      <c r="W522" s="4"/>
      <c r="X522" s="4"/>
      <c r="Y522" s="4">
        <v>228</v>
      </c>
      <c r="Z522" s="4">
        <f t="shared" si="81"/>
        <v>228</v>
      </c>
      <c r="AA522" s="4">
        <v>148</v>
      </c>
      <c r="AB522" s="4">
        <f t="shared" si="82"/>
        <v>148</v>
      </c>
      <c r="AC522" s="4"/>
      <c r="AD522" s="21">
        <f>ROUND(M522*AR522,0)</f>
        <v>264</v>
      </c>
      <c r="AE522" s="6">
        <f>1-AB522/AD522</f>
        <v>0.43939393939393945</v>
      </c>
      <c r="AF522" s="33">
        <v>0</v>
      </c>
      <c r="AG522" s="4" t="str">
        <f t="shared" si="83"/>
        <v>-</v>
      </c>
      <c r="AH522" s="33" t="e">
        <f t="shared" si="85"/>
        <v>#VALUE!</v>
      </c>
      <c r="AI522" s="6" t="e">
        <f>1-AB522/AH522</f>
        <v>#VALUE!</v>
      </c>
      <c r="AJ522" s="7">
        <f>ROUND(AB522/0.65,0)</f>
        <v>228</v>
      </c>
      <c r="AK522" s="6">
        <f>1-AB522/AJ522</f>
        <v>0.35087719298245612</v>
      </c>
      <c r="AL522" s="4">
        <f>AJ522-AB522</f>
        <v>80</v>
      </c>
      <c r="AM522" s="28"/>
      <c r="AN522" s="6"/>
      <c r="AO522" s="6"/>
      <c r="AP522" s="6">
        <f>Z522/L522</f>
        <v>0.69090909090909092</v>
      </c>
      <c r="AQ522" s="6">
        <f>AJ522/M522</f>
        <v>0.86363636363636365</v>
      </c>
      <c r="AR522" s="6">
        <f>AB522/N522</f>
        <v>1</v>
      </c>
      <c r="AS522" s="4"/>
      <c r="AT522" s="4"/>
      <c r="AU522" s="4"/>
      <c r="AV522" s="4"/>
      <c r="AW522" s="4"/>
      <c r="AX522" s="4"/>
      <c r="AY522" s="4"/>
      <c r="AZ522" s="4"/>
      <c r="BA522" s="4"/>
      <c r="BB522" s="4">
        <v>0</v>
      </c>
      <c r="BC522" s="4" t="s">
        <v>3534</v>
      </c>
      <c r="BD522" s="4"/>
      <c r="BE522" s="4"/>
      <c r="BF522" s="4" t="s">
        <v>3534</v>
      </c>
      <c r="BG522" s="4" t="s">
        <v>3534</v>
      </c>
      <c r="BH522" s="4" t="s">
        <v>3534</v>
      </c>
      <c r="BI522" s="4" t="str">
        <f t="shared" si="84"/>
        <v>-</v>
      </c>
      <c r="BJ522" s="19">
        <v>4</v>
      </c>
      <c r="BK522" s="19">
        <v>8</v>
      </c>
      <c r="BL522" s="16">
        <v>6</v>
      </c>
      <c r="BM522" s="45" t="s">
        <v>3534</v>
      </c>
      <c r="BN522" t="s">
        <v>3534</v>
      </c>
      <c r="BO522" t="str">
        <f t="shared" si="86"/>
        <v>-</v>
      </c>
      <c r="BP522" t="s">
        <v>3534</v>
      </c>
      <c r="BQ522" t="s">
        <v>3534</v>
      </c>
      <c r="BR522" t="str">
        <f t="shared" si="87"/>
        <v>-</v>
      </c>
      <c r="BS522" t="s">
        <v>3534</v>
      </c>
    </row>
    <row r="523" spans="1:71" x14ac:dyDescent="0.4">
      <c r="A523" s="3">
        <v>520</v>
      </c>
      <c r="B523" s="3">
        <v>520</v>
      </c>
      <c r="C523" s="4" t="s">
        <v>582</v>
      </c>
      <c r="D523" s="4" t="str">
        <f t="shared" si="79"/>
        <v>J461WL</v>
      </c>
      <c r="E523" s="4" t="s">
        <v>582</v>
      </c>
      <c r="F523" s="4" t="s">
        <v>1800</v>
      </c>
      <c r="G523" s="5">
        <v>4521718193519</v>
      </c>
      <c r="H523" s="5"/>
      <c r="I523" s="5"/>
      <c r="J523" s="5">
        <v>1</v>
      </c>
      <c r="K523" s="5">
        <v>1</v>
      </c>
      <c r="L523" s="4">
        <v>280</v>
      </c>
      <c r="M523" s="4">
        <v>224</v>
      </c>
      <c r="N523" s="4">
        <v>124</v>
      </c>
      <c r="O523" s="6">
        <f t="shared" si="80"/>
        <v>0.4464285714285714</v>
      </c>
      <c r="P523" s="4" t="s">
        <v>2500</v>
      </c>
      <c r="Q523" s="4"/>
      <c r="R523" s="4"/>
      <c r="S523" s="4"/>
      <c r="T523" s="4"/>
      <c r="U523" s="4"/>
      <c r="V523" s="4"/>
      <c r="W523" s="4"/>
      <c r="X523" s="4"/>
      <c r="Y523" s="4">
        <v>191</v>
      </c>
      <c r="Z523" s="4">
        <f t="shared" si="81"/>
        <v>191</v>
      </c>
      <c r="AA523" s="4">
        <v>124</v>
      </c>
      <c r="AB523" s="4">
        <f t="shared" si="82"/>
        <v>124</v>
      </c>
      <c r="AC523" s="4"/>
      <c r="AD523" s="21">
        <f>ROUND(M523*AR523,0)</f>
        <v>224</v>
      </c>
      <c r="AE523" s="6">
        <f>1-AB523/AD523</f>
        <v>0.4464285714285714</v>
      </c>
      <c r="AF523" s="33">
        <v>0</v>
      </c>
      <c r="AG523" s="4" t="str">
        <f t="shared" si="83"/>
        <v>-</v>
      </c>
      <c r="AH523" s="33" t="e">
        <f t="shared" si="85"/>
        <v>#VALUE!</v>
      </c>
      <c r="AI523" s="6" t="e">
        <f>1-AB523/AH523</f>
        <v>#VALUE!</v>
      </c>
      <c r="AJ523" s="7">
        <f>ROUND(AB523/0.65,0)</f>
        <v>191</v>
      </c>
      <c r="AK523" s="6">
        <f>1-AB523/AJ523</f>
        <v>0.35078534031413611</v>
      </c>
      <c r="AL523" s="4">
        <f>AJ523-AB523</f>
        <v>67</v>
      </c>
      <c r="AM523" s="28"/>
      <c r="AN523" s="6"/>
      <c r="AO523" s="6"/>
      <c r="AP523" s="6">
        <f>Z523/L523</f>
        <v>0.68214285714285716</v>
      </c>
      <c r="AQ523" s="6">
        <f>AJ523/M523</f>
        <v>0.8526785714285714</v>
      </c>
      <c r="AR523" s="6">
        <f>AB523/N523</f>
        <v>1</v>
      </c>
      <c r="AS523" s="4"/>
      <c r="AT523" s="4"/>
      <c r="AU523" s="4"/>
      <c r="AV523" s="4"/>
      <c r="AW523" s="4"/>
      <c r="AX523" s="4"/>
      <c r="AY523" s="4"/>
      <c r="AZ523" s="4"/>
      <c r="BA523" s="4"/>
      <c r="BB523" s="4">
        <v>0</v>
      </c>
      <c r="BC523" s="4" t="s">
        <v>3534</v>
      </c>
      <c r="BD523" s="4"/>
      <c r="BE523" s="4"/>
      <c r="BF523" s="4" t="s">
        <v>3534</v>
      </c>
      <c r="BG523" s="4" t="s">
        <v>3534</v>
      </c>
      <c r="BH523" s="4" t="s">
        <v>3534</v>
      </c>
      <c r="BI523" s="4" t="str">
        <f t="shared" si="84"/>
        <v>-</v>
      </c>
      <c r="BJ523" s="19">
        <v>4</v>
      </c>
      <c r="BK523" s="19">
        <v>8</v>
      </c>
      <c r="BL523" s="16">
        <v>6</v>
      </c>
      <c r="BM523" s="45" t="s">
        <v>3534</v>
      </c>
      <c r="BN523" t="s">
        <v>3534</v>
      </c>
      <c r="BO523" t="str">
        <f t="shared" si="86"/>
        <v>-</v>
      </c>
      <c r="BP523" t="s">
        <v>3534</v>
      </c>
      <c r="BQ523" t="s">
        <v>3534</v>
      </c>
      <c r="BR523" t="str">
        <f t="shared" si="87"/>
        <v>-</v>
      </c>
      <c r="BS523" t="s">
        <v>3534</v>
      </c>
    </row>
    <row r="524" spans="1:71" x14ac:dyDescent="0.4">
      <c r="A524" s="3">
        <v>521</v>
      </c>
      <c r="B524" s="3">
        <v>521</v>
      </c>
      <c r="C524" s="4" t="s">
        <v>583</v>
      </c>
      <c r="D524" s="4" t="str">
        <f t="shared" si="79"/>
        <v>J460WL</v>
      </c>
      <c r="E524" s="4" t="s">
        <v>583</v>
      </c>
      <c r="F524" s="4" t="s">
        <v>1801</v>
      </c>
      <c r="G524" s="5">
        <v>4521718193434</v>
      </c>
      <c r="H524" s="5"/>
      <c r="I524" s="5"/>
      <c r="J524" s="5">
        <v>1</v>
      </c>
      <c r="K524" s="5">
        <v>1</v>
      </c>
      <c r="L524" s="4">
        <v>330</v>
      </c>
      <c r="M524" s="4">
        <v>264</v>
      </c>
      <c r="N524" s="4">
        <v>148</v>
      </c>
      <c r="O524" s="6">
        <f t="shared" si="80"/>
        <v>0.43939393939393945</v>
      </c>
      <c r="P524" s="4" t="s">
        <v>2500</v>
      </c>
      <c r="Q524" s="4"/>
      <c r="R524" s="4"/>
      <c r="S524" s="4"/>
      <c r="T524" s="4"/>
      <c r="U524" s="4"/>
      <c r="V524" s="4"/>
      <c r="W524" s="4"/>
      <c r="X524" s="4"/>
      <c r="Y524" s="4">
        <v>228</v>
      </c>
      <c r="Z524" s="4">
        <f t="shared" si="81"/>
        <v>228</v>
      </c>
      <c r="AA524" s="4">
        <v>148</v>
      </c>
      <c r="AB524" s="4">
        <f t="shared" si="82"/>
        <v>148</v>
      </c>
      <c r="AC524" s="4"/>
      <c r="AD524" s="21">
        <f>ROUND(M524*AR524,0)</f>
        <v>264</v>
      </c>
      <c r="AE524" s="6">
        <f>1-AB524/AD524</f>
        <v>0.43939393939393945</v>
      </c>
      <c r="AF524" s="33">
        <v>0</v>
      </c>
      <c r="AG524" s="4" t="str">
        <f t="shared" si="83"/>
        <v>-</v>
      </c>
      <c r="AH524" s="33" t="e">
        <f t="shared" si="85"/>
        <v>#VALUE!</v>
      </c>
      <c r="AI524" s="6" t="e">
        <f>1-AB524/AH524</f>
        <v>#VALUE!</v>
      </c>
      <c r="AJ524" s="7">
        <f>ROUND(AB524/0.65,0)</f>
        <v>228</v>
      </c>
      <c r="AK524" s="6">
        <f>1-AB524/AJ524</f>
        <v>0.35087719298245612</v>
      </c>
      <c r="AL524" s="4">
        <f>AJ524-AB524</f>
        <v>80</v>
      </c>
      <c r="AM524" s="28"/>
      <c r="AN524" s="6"/>
      <c r="AO524" s="6"/>
      <c r="AP524" s="6">
        <f>Z524/L524</f>
        <v>0.69090909090909092</v>
      </c>
      <c r="AQ524" s="6">
        <f>AJ524/M524</f>
        <v>0.86363636363636365</v>
      </c>
      <c r="AR524" s="6">
        <f>AB524/N524</f>
        <v>1</v>
      </c>
      <c r="AS524" s="4"/>
      <c r="AT524" s="4"/>
      <c r="AU524" s="4"/>
      <c r="AV524" s="4"/>
      <c r="AW524" s="4"/>
      <c r="AX524" s="4"/>
      <c r="AY524" s="4"/>
      <c r="AZ524" s="4"/>
      <c r="BA524" s="4"/>
      <c r="BB524" s="4">
        <v>0</v>
      </c>
      <c r="BC524" s="4" t="s">
        <v>3534</v>
      </c>
      <c r="BD524" s="4"/>
      <c r="BE524" s="4"/>
      <c r="BF524" s="4" t="s">
        <v>3534</v>
      </c>
      <c r="BG524" s="4" t="s">
        <v>3534</v>
      </c>
      <c r="BH524" s="4" t="s">
        <v>3534</v>
      </c>
      <c r="BI524" s="4" t="str">
        <f t="shared" si="84"/>
        <v>-</v>
      </c>
      <c r="BJ524" s="19">
        <v>4</v>
      </c>
      <c r="BK524" s="19">
        <v>8</v>
      </c>
      <c r="BL524" s="16">
        <v>6</v>
      </c>
      <c r="BM524" s="45" t="s">
        <v>3534</v>
      </c>
      <c r="BN524" t="s">
        <v>3534</v>
      </c>
      <c r="BO524" t="str">
        <f t="shared" si="86"/>
        <v>-</v>
      </c>
      <c r="BP524" t="s">
        <v>3534</v>
      </c>
      <c r="BQ524" t="s">
        <v>3534</v>
      </c>
      <c r="BR524" t="str">
        <f t="shared" si="87"/>
        <v>-</v>
      </c>
      <c r="BS524" t="s">
        <v>3534</v>
      </c>
    </row>
    <row r="525" spans="1:71" x14ac:dyDescent="0.4">
      <c r="A525" s="3">
        <v>522</v>
      </c>
      <c r="B525" s="3">
        <v>522</v>
      </c>
      <c r="C525" s="4" t="s">
        <v>584</v>
      </c>
      <c r="D525" s="4" t="str">
        <f t="shared" si="79"/>
        <v>J462WL</v>
      </c>
      <c r="E525" s="4" t="s">
        <v>584</v>
      </c>
      <c r="F525" s="4" t="s">
        <v>1802</v>
      </c>
      <c r="G525" s="5">
        <v>4521718193526</v>
      </c>
      <c r="H525" s="5"/>
      <c r="I525" s="5"/>
      <c r="J525" s="5">
        <v>1</v>
      </c>
      <c r="K525" s="5">
        <v>1</v>
      </c>
      <c r="L525" s="4">
        <v>280</v>
      </c>
      <c r="M525" s="4">
        <v>224</v>
      </c>
      <c r="N525" s="4">
        <v>124</v>
      </c>
      <c r="O525" s="6">
        <f t="shared" si="80"/>
        <v>0.4464285714285714</v>
      </c>
      <c r="P525" s="4" t="s">
        <v>2500</v>
      </c>
      <c r="Q525" s="4"/>
      <c r="R525" s="4"/>
      <c r="S525" s="4"/>
      <c r="T525" s="4"/>
      <c r="U525" s="4"/>
      <c r="V525" s="4"/>
      <c r="W525" s="4"/>
      <c r="X525" s="4"/>
      <c r="Y525" s="4">
        <v>191</v>
      </c>
      <c r="Z525" s="4">
        <f t="shared" si="81"/>
        <v>191</v>
      </c>
      <c r="AA525" s="4">
        <v>124</v>
      </c>
      <c r="AB525" s="4">
        <f t="shared" si="82"/>
        <v>124</v>
      </c>
      <c r="AC525" s="4"/>
      <c r="AD525" s="21">
        <f>ROUND(M525*AR525,0)</f>
        <v>224</v>
      </c>
      <c r="AE525" s="6">
        <f>1-AB525/AD525</f>
        <v>0.4464285714285714</v>
      </c>
      <c r="AF525" s="33">
        <v>0</v>
      </c>
      <c r="AG525" s="4" t="str">
        <f t="shared" si="83"/>
        <v>-</v>
      </c>
      <c r="AH525" s="33" t="e">
        <f t="shared" si="85"/>
        <v>#VALUE!</v>
      </c>
      <c r="AI525" s="6" t="e">
        <f>1-AB525/AH525</f>
        <v>#VALUE!</v>
      </c>
      <c r="AJ525" s="7">
        <f>ROUND(AB525/0.65,0)</f>
        <v>191</v>
      </c>
      <c r="AK525" s="6">
        <f>1-AB525/AJ525</f>
        <v>0.35078534031413611</v>
      </c>
      <c r="AL525" s="4">
        <f>AJ525-AB525</f>
        <v>67</v>
      </c>
      <c r="AM525" s="28"/>
      <c r="AN525" s="6"/>
      <c r="AO525" s="6"/>
      <c r="AP525" s="6">
        <f>Z525/L525</f>
        <v>0.68214285714285716</v>
      </c>
      <c r="AQ525" s="6">
        <f>AJ525/M525</f>
        <v>0.8526785714285714</v>
      </c>
      <c r="AR525" s="6">
        <f>AB525/N525</f>
        <v>1</v>
      </c>
      <c r="AS525" s="4"/>
      <c r="AT525" s="4"/>
      <c r="AU525" s="4"/>
      <c r="AV525" s="4"/>
      <c r="AW525" s="4"/>
      <c r="AX525" s="4"/>
      <c r="AY525" s="4"/>
      <c r="AZ525" s="4"/>
      <c r="BA525" s="4"/>
      <c r="BB525" s="4">
        <v>0</v>
      </c>
      <c r="BC525" s="4" t="s">
        <v>3534</v>
      </c>
      <c r="BD525" s="4"/>
      <c r="BE525" s="4"/>
      <c r="BF525" s="4" t="s">
        <v>3534</v>
      </c>
      <c r="BG525" s="4" t="s">
        <v>3534</v>
      </c>
      <c r="BH525" s="4" t="s">
        <v>3534</v>
      </c>
      <c r="BI525" s="4" t="str">
        <f t="shared" si="84"/>
        <v>-</v>
      </c>
      <c r="BJ525" s="19">
        <v>4</v>
      </c>
      <c r="BK525" s="19">
        <v>8</v>
      </c>
      <c r="BL525" s="16">
        <v>6</v>
      </c>
      <c r="BM525" s="45" t="s">
        <v>3534</v>
      </c>
      <c r="BN525" t="s">
        <v>3534</v>
      </c>
      <c r="BO525" t="str">
        <f t="shared" si="86"/>
        <v>-</v>
      </c>
      <c r="BP525" t="s">
        <v>3534</v>
      </c>
      <c r="BQ525" t="s">
        <v>3534</v>
      </c>
      <c r="BR525" t="str">
        <f t="shared" si="87"/>
        <v>-</v>
      </c>
      <c r="BS525" t="s">
        <v>3534</v>
      </c>
    </row>
    <row r="526" spans="1:71" x14ac:dyDescent="0.4">
      <c r="A526" s="3">
        <v>523</v>
      </c>
      <c r="B526" s="3">
        <v>523</v>
      </c>
      <c r="C526" s="4" t="s">
        <v>585</v>
      </c>
      <c r="D526" s="4" t="str">
        <f t="shared" si="79"/>
        <v>J464WL</v>
      </c>
      <c r="E526" s="4" t="s">
        <v>585</v>
      </c>
      <c r="F526" s="4" t="s">
        <v>1803</v>
      </c>
      <c r="G526" s="5">
        <v>4521718193588</v>
      </c>
      <c r="H526" s="5"/>
      <c r="I526" s="5"/>
      <c r="J526" s="5">
        <v>1</v>
      </c>
      <c r="K526" s="5">
        <v>1</v>
      </c>
      <c r="L526" s="4">
        <v>1160</v>
      </c>
      <c r="M526" s="4">
        <v>928</v>
      </c>
      <c r="N526" s="4">
        <v>520</v>
      </c>
      <c r="O526" s="6">
        <f t="shared" si="80"/>
        <v>0.43965517241379315</v>
      </c>
      <c r="P526" s="4" t="s">
        <v>2500</v>
      </c>
      <c r="Q526" s="4"/>
      <c r="R526" s="4"/>
      <c r="S526" s="4"/>
      <c r="T526" s="4"/>
      <c r="U526" s="4"/>
      <c r="V526" s="4"/>
      <c r="W526" s="4"/>
      <c r="X526" s="4"/>
      <c r="Y526" s="4">
        <v>800</v>
      </c>
      <c r="Z526" s="4">
        <f t="shared" si="81"/>
        <v>800</v>
      </c>
      <c r="AA526" s="4">
        <v>520</v>
      </c>
      <c r="AB526" s="4">
        <f t="shared" si="82"/>
        <v>520</v>
      </c>
      <c r="AC526" s="4"/>
      <c r="AD526" s="21">
        <f>ROUND(M526*AR526,0)</f>
        <v>928</v>
      </c>
      <c r="AE526" s="6">
        <f>1-AB526/AD526</f>
        <v>0.43965517241379315</v>
      </c>
      <c r="AF526" s="33">
        <v>0</v>
      </c>
      <c r="AG526" s="4" t="str">
        <f t="shared" si="83"/>
        <v>-</v>
      </c>
      <c r="AH526" s="33" t="e">
        <f t="shared" si="85"/>
        <v>#VALUE!</v>
      </c>
      <c r="AI526" s="6" t="e">
        <f>1-AB526/AH526</f>
        <v>#VALUE!</v>
      </c>
      <c r="AJ526" s="7">
        <v>800</v>
      </c>
      <c r="AK526" s="6">
        <f>1-AB526/AJ526</f>
        <v>0.35</v>
      </c>
      <c r="AL526" s="4">
        <f>AJ526-AB526</f>
        <v>280</v>
      </c>
      <c r="AM526" s="28"/>
      <c r="AN526" s="6"/>
      <c r="AO526" s="6"/>
      <c r="AP526" s="6">
        <f>Z526/L526</f>
        <v>0.68965517241379315</v>
      </c>
      <c r="AQ526" s="6">
        <f>AJ526/M526</f>
        <v>0.86206896551724133</v>
      </c>
      <c r="AR526" s="6">
        <f>AB526/N526</f>
        <v>1</v>
      </c>
      <c r="AS526" s="4"/>
      <c r="AT526" s="4"/>
      <c r="AU526" s="4"/>
      <c r="AV526" s="4"/>
      <c r="AW526" s="4"/>
      <c r="AX526" s="4"/>
      <c r="AY526" s="4"/>
      <c r="AZ526" s="4"/>
      <c r="BA526" s="4"/>
      <c r="BB526" s="4">
        <v>0</v>
      </c>
      <c r="BC526" s="4" t="s">
        <v>3534</v>
      </c>
      <c r="BD526" s="4"/>
      <c r="BE526" s="4"/>
      <c r="BF526" s="4" t="s">
        <v>3534</v>
      </c>
      <c r="BG526" s="4" t="s">
        <v>3534</v>
      </c>
      <c r="BH526" s="4" t="s">
        <v>3534</v>
      </c>
      <c r="BI526" s="4" t="str">
        <f t="shared" si="84"/>
        <v>-</v>
      </c>
      <c r="BJ526" s="19">
        <v>4</v>
      </c>
      <c r="BK526" s="19">
        <v>8</v>
      </c>
      <c r="BL526" s="16">
        <v>6</v>
      </c>
      <c r="BM526" s="45" t="s">
        <v>3534</v>
      </c>
      <c r="BN526" t="s">
        <v>3534</v>
      </c>
      <c r="BO526" t="str">
        <f t="shared" si="86"/>
        <v>-</v>
      </c>
      <c r="BP526" t="s">
        <v>3534</v>
      </c>
      <c r="BQ526" t="s">
        <v>3534</v>
      </c>
      <c r="BR526" t="str">
        <f t="shared" si="87"/>
        <v>-</v>
      </c>
      <c r="BS526" t="s">
        <v>3534</v>
      </c>
    </row>
    <row r="527" spans="1:71" x14ac:dyDescent="0.4">
      <c r="A527" s="3">
        <v>524</v>
      </c>
      <c r="B527" s="3">
        <v>524</v>
      </c>
      <c r="C527" s="4" t="s">
        <v>586</v>
      </c>
      <c r="D527" s="4" t="str">
        <f t="shared" si="79"/>
        <v>J465WL</v>
      </c>
      <c r="E527" s="4" t="s">
        <v>586</v>
      </c>
      <c r="F527" s="4" t="s">
        <v>1804</v>
      </c>
      <c r="G527" s="5">
        <v>4521718193656</v>
      </c>
      <c r="H527" s="5"/>
      <c r="I527" s="5"/>
      <c r="J527" s="5">
        <v>1</v>
      </c>
      <c r="K527" s="5">
        <v>1</v>
      </c>
      <c r="L527" s="4">
        <v>730</v>
      </c>
      <c r="M527" s="4">
        <v>584</v>
      </c>
      <c r="N527" s="4">
        <v>325</v>
      </c>
      <c r="O527" s="6">
        <f t="shared" si="80"/>
        <v>0.44349315068493156</v>
      </c>
      <c r="P527" s="4" t="s">
        <v>2500</v>
      </c>
      <c r="Q527" s="4"/>
      <c r="R527" s="4"/>
      <c r="S527" s="4"/>
      <c r="T527" s="4"/>
      <c r="U527" s="4"/>
      <c r="V527" s="4"/>
      <c r="W527" s="4"/>
      <c r="X527" s="4"/>
      <c r="Y527" s="4">
        <v>500</v>
      </c>
      <c r="Z527" s="4">
        <f t="shared" si="81"/>
        <v>500</v>
      </c>
      <c r="AA527" s="4">
        <v>325</v>
      </c>
      <c r="AB527" s="4">
        <f t="shared" si="82"/>
        <v>325</v>
      </c>
      <c r="AC527" s="4"/>
      <c r="AD527" s="21">
        <f>ROUND(M527*AR527,0)</f>
        <v>584</v>
      </c>
      <c r="AE527" s="6">
        <f>1-AB527/AD527</f>
        <v>0.44349315068493156</v>
      </c>
      <c r="AF527" s="33">
        <v>0</v>
      </c>
      <c r="AG527" s="4" t="str">
        <f t="shared" si="83"/>
        <v>-</v>
      </c>
      <c r="AH527" s="33" t="e">
        <f t="shared" si="85"/>
        <v>#VALUE!</v>
      </c>
      <c r="AI527" s="6" t="e">
        <f>1-AB527/AH527</f>
        <v>#VALUE!</v>
      </c>
      <c r="AJ527" s="7">
        <v>500</v>
      </c>
      <c r="AK527" s="6">
        <f>1-AB527/AJ527</f>
        <v>0.35</v>
      </c>
      <c r="AL527" s="4">
        <f>AJ527-AB527</f>
        <v>175</v>
      </c>
      <c r="AM527" s="28"/>
      <c r="AN527" s="6"/>
      <c r="AO527" s="6"/>
      <c r="AP527" s="6">
        <f>Z527/L527</f>
        <v>0.68493150684931503</v>
      </c>
      <c r="AQ527" s="6">
        <f>AJ527/M527</f>
        <v>0.85616438356164382</v>
      </c>
      <c r="AR527" s="6">
        <f>AB527/N527</f>
        <v>1</v>
      </c>
      <c r="AS527" s="4"/>
      <c r="AT527" s="4"/>
      <c r="AU527" s="4"/>
      <c r="AV527" s="4"/>
      <c r="AW527" s="4"/>
      <c r="AX527" s="4"/>
      <c r="AY527" s="4"/>
      <c r="AZ527" s="4"/>
      <c r="BA527" s="4"/>
      <c r="BB527" s="4">
        <v>0</v>
      </c>
      <c r="BC527" s="4" t="s">
        <v>3534</v>
      </c>
      <c r="BD527" s="4"/>
      <c r="BE527" s="4"/>
      <c r="BF527" s="4" t="s">
        <v>3534</v>
      </c>
      <c r="BG527" s="4" t="s">
        <v>3534</v>
      </c>
      <c r="BH527" s="4" t="s">
        <v>3534</v>
      </c>
      <c r="BI527" s="4" t="str">
        <f t="shared" si="84"/>
        <v>-</v>
      </c>
      <c r="BJ527" s="19">
        <v>4</v>
      </c>
      <c r="BK527" s="19">
        <v>8</v>
      </c>
      <c r="BL527" s="16">
        <v>6</v>
      </c>
      <c r="BM527" s="45" t="s">
        <v>3534</v>
      </c>
      <c r="BN527" t="s">
        <v>3534</v>
      </c>
      <c r="BO527" t="str">
        <f t="shared" si="86"/>
        <v>-</v>
      </c>
      <c r="BP527" t="s">
        <v>3534</v>
      </c>
      <c r="BQ527" t="s">
        <v>3534</v>
      </c>
      <c r="BR527" t="str">
        <f t="shared" si="87"/>
        <v>-</v>
      </c>
      <c r="BS527" t="s">
        <v>3534</v>
      </c>
    </row>
    <row r="528" spans="1:71" x14ac:dyDescent="0.4">
      <c r="A528" s="3">
        <v>525</v>
      </c>
      <c r="B528" s="3">
        <v>525</v>
      </c>
      <c r="C528" s="4" t="s">
        <v>587</v>
      </c>
      <c r="D528" s="4" t="str">
        <f t="shared" si="79"/>
        <v>J463WL</v>
      </c>
      <c r="E528" s="4" t="s">
        <v>587</v>
      </c>
      <c r="F528" s="4" t="s">
        <v>1805</v>
      </c>
      <c r="G528" s="5">
        <v>4521718193533</v>
      </c>
      <c r="H528" s="5"/>
      <c r="I528" s="5"/>
      <c r="J528" s="5">
        <v>1</v>
      </c>
      <c r="K528" s="5">
        <v>1</v>
      </c>
      <c r="L528" s="4">
        <v>280</v>
      </c>
      <c r="M528" s="4">
        <v>224</v>
      </c>
      <c r="N528" s="4">
        <v>124</v>
      </c>
      <c r="O528" s="6">
        <f t="shared" si="80"/>
        <v>0.4464285714285714</v>
      </c>
      <c r="P528" s="4" t="s">
        <v>2500</v>
      </c>
      <c r="Q528" s="4"/>
      <c r="R528" s="4"/>
      <c r="S528" s="4"/>
      <c r="T528" s="4"/>
      <c r="U528" s="4"/>
      <c r="V528" s="4"/>
      <c r="W528" s="4"/>
      <c r="X528" s="4"/>
      <c r="Y528" s="4">
        <v>191</v>
      </c>
      <c r="Z528" s="4">
        <f t="shared" si="81"/>
        <v>191</v>
      </c>
      <c r="AA528" s="4">
        <v>124</v>
      </c>
      <c r="AB528" s="4">
        <f t="shared" si="82"/>
        <v>124</v>
      </c>
      <c r="AC528" s="4"/>
      <c r="AD528" s="21">
        <f>ROUND(M528*AR528,0)</f>
        <v>224</v>
      </c>
      <c r="AE528" s="6">
        <f>1-AB528/AD528</f>
        <v>0.4464285714285714</v>
      </c>
      <c r="AF528" s="33">
        <v>0</v>
      </c>
      <c r="AG528" s="4" t="str">
        <f t="shared" si="83"/>
        <v>-</v>
      </c>
      <c r="AH528" s="33" t="e">
        <f t="shared" si="85"/>
        <v>#VALUE!</v>
      </c>
      <c r="AI528" s="6" t="e">
        <f>1-AB528/AH528</f>
        <v>#VALUE!</v>
      </c>
      <c r="AJ528" s="7">
        <f>ROUND(AB528/0.65,0)</f>
        <v>191</v>
      </c>
      <c r="AK528" s="6">
        <f>1-AB528/AJ528</f>
        <v>0.35078534031413611</v>
      </c>
      <c r="AL528" s="4">
        <f>AJ528-AB528</f>
        <v>67</v>
      </c>
      <c r="AM528" s="28"/>
      <c r="AN528" s="6"/>
      <c r="AO528" s="6"/>
      <c r="AP528" s="6">
        <f>Z528/L528</f>
        <v>0.68214285714285716</v>
      </c>
      <c r="AQ528" s="6">
        <f>AJ528/M528</f>
        <v>0.8526785714285714</v>
      </c>
      <c r="AR528" s="6">
        <f>AB528/N528</f>
        <v>1</v>
      </c>
      <c r="AS528" s="4"/>
      <c r="AT528" s="4"/>
      <c r="AU528" s="4"/>
      <c r="AV528" s="4"/>
      <c r="AW528" s="4"/>
      <c r="AX528" s="4"/>
      <c r="AY528" s="4"/>
      <c r="AZ528" s="4"/>
      <c r="BA528" s="4"/>
      <c r="BB528" s="4">
        <v>0</v>
      </c>
      <c r="BC528" s="4" t="s">
        <v>3534</v>
      </c>
      <c r="BD528" s="4"/>
      <c r="BE528" s="4"/>
      <c r="BF528" s="4" t="s">
        <v>3534</v>
      </c>
      <c r="BG528" s="4" t="s">
        <v>3534</v>
      </c>
      <c r="BH528" s="4" t="s">
        <v>3534</v>
      </c>
      <c r="BI528" s="4" t="str">
        <f t="shared" si="84"/>
        <v>-</v>
      </c>
      <c r="BJ528" s="19">
        <v>4</v>
      </c>
      <c r="BK528" s="19">
        <v>8</v>
      </c>
      <c r="BL528" s="16">
        <v>6</v>
      </c>
      <c r="BM528" s="45" t="s">
        <v>3534</v>
      </c>
      <c r="BN528" t="s">
        <v>3534</v>
      </c>
      <c r="BO528" t="str">
        <f t="shared" si="86"/>
        <v>-</v>
      </c>
      <c r="BP528" t="s">
        <v>3534</v>
      </c>
      <c r="BQ528" t="s">
        <v>3534</v>
      </c>
      <c r="BR528" t="str">
        <f t="shared" si="87"/>
        <v>-</v>
      </c>
      <c r="BS528" t="s">
        <v>3534</v>
      </c>
    </row>
    <row r="529" spans="1:71" x14ac:dyDescent="0.4">
      <c r="A529" s="3">
        <v>526</v>
      </c>
      <c r="B529" s="3">
        <v>526</v>
      </c>
      <c r="C529" s="4" t="s">
        <v>588</v>
      </c>
      <c r="D529" s="4" t="str">
        <f t="shared" si="79"/>
        <v>J466WL</v>
      </c>
      <c r="E529" s="4" t="s">
        <v>588</v>
      </c>
      <c r="F529" s="4" t="s">
        <v>1806</v>
      </c>
      <c r="G529" s="5">
        <v>4521718193779</v>
      </c>
      <c r="H529" s="5"/>
      <c r="I529" s="5"/>
      <c r="J529" s="5">
        <v>1</v>
      </c>
      <c r="K529" s="5">
        <v>1</v>
      </c>
      <c r="L529" s="4">
        <v>810</v>
      </c>
      <c r="M529" s="4">
        <v>648</v>
      </c>
      <c r="N529" s="4">
        <v>361</v>
      </c>
      <c r="O529" s="6">
        <f t="shared" si="80"/>
        <v>0.4429012345679012</v>
      </c>
      <c r="P529" s="4" t="s">
        <v>2500</v>
      </c>
      <c r="Q529" s="4"/>
      <c r="R529" s="4"/>
      <c r="S529" s="4"/>
      <c r="T529" s="4"/>
      <c r="U529" s="4"/>
      <c r="V529" s="4"/>
      <c r="W529" s="4"/>
      <c r="X529" s="4"/>
      <c r="Y529" s="4">
        <v>555</v>
      </c>
      <c r="Z529" s="4">
        <f t="shared" si="81"/>
        <v>555</v>
      </c>
      <c r="AA529" s="4">
        <v>361</v>
      </c>
      <c r="AB529" s="4">
        <f t="shared" si="82"/>
        <v>361</v>
      </c>
      <c r="AC529" s="4"/>
      <c r="AD529" s="21">
        <f>ROUND(M529*AR529,0)</f>
        <v>648</v>
      </c>
      <c r="AE529" s="6">
        <f>1-AB529/AD529</f>
        <v>0.4429012345679012</v>
      </c>
      <c r="AF529" s="33">
        <v>0</v>
      </c>
      <c r="AG529" s="4" t="str">
        <f t="shared" si="83"/>
        <v>-</v>
      </c>
      <c r="AH529" s="33" t="e">
        <f t="shared" si="85"/>
        <v>#VALUE!</v>
      </c>
      <c r="AI529" s="6" t="e">
        <f>1-AB529/AH529</f>
        <v>#VALUE!</v>
      </c>
      <c r="AJ529" s="7">
        <v>555</v>
      </c>
      <c r="AK529" s="6">
        <f>1-AB529/AJ529</f>
        <v>0.34954954954954953</v>
      </c>
      <c r="AL529" s="4">
        <f>AJ529-AB529</f>
        <v>194</v>
      </c>
      <c r="AM529" s="28"/>
      <c r="AN529" s="6"/>
      <c r="AO529" s="6"/>
      <c r="AP529" s="6">
        <f>Z529/L529</f>
        <v>0.68518518518518523</v>
      </c>
      <c r="AQ529" s="6">
        <f>AJ529/M529</f>
        <v>0.85648148148148151</v>
      </c>
      <c r="AR529" s="6">
        <f>AB529/N529</f>
        <v>1</v>
      </c>
      <c r="AS529" s="4"/>
      <c r="AT529" s="4"/>
      <c r="AU529" s="4"/>
      <c r="AV529" s="4"/>
      <c r="AW529" s="4"/>
      <c r="AX529" s="4"/>
      <c r="AY529" s="4"/>
      <c r="AZ529" s="4"/>
      <c r="BA529" s="4"/>
      <c r="BB529" s="4">
        <v>0</v>
      </c>
      <c r="BC529" s="4" t="s">
        <v>3534</v>
      </c>
      <c r="BD529" s="4"/>
      <c r="BE529" s="4"/>
      <c r="BF529" s="4" t="s">
        <v>3534</v>
      </c>
      <c r="BG529" s="4" t="s">
        <v>3534</v>
      </c>
      <c r="BH529" s="4" t="s">
        <v>3534</v>
      </c>
      <c r="BI529" s="4" t="str">
        <f t="shared" si="84"/>
        <v>-</v>
      </c>
      <c r="BJ529" s="19">
        <v>4</v>
      </c>
      <c r="BK529" s="19">
        <v>8</v>
      </c>
      <c r="BL529" s="16">
        <v>6</v>
      </c>
      <c r="BM529" s="45" t="s">
        <v>3534</v>
      </c>
      <c r="BN529" t="s">
        <v>3534</v>
      </c>
      <c r="BO529" t="str">
        <f t="shared" si="86"/>
        <v>-</v>
      </c>
      <c r="BP529" t="s">
        <v>3534</v>
      </c>
      <c r="BQ529" t="s">
        <v>3534</v>
      </c>
      <c r="BR529" t="str">
        <f t="shared" si="87"/>
        <v>-</v>
      </c>
      <c r="BS529" t="s">
        <v>3534</v>
      </c>
    </row>
    <row r="530" spans="1:71" x14ac:dyDescent="0.4">
      <c r="A530" s="3">
        <v>527</v>
      </c>
      <c r="B530" s="3">
        <v>527</v>
      </c>
      <c r="C530" s="4" t="s">
        <v>589</v>
      </c>
      <c r="D530" s="4" t="str">
        <f t="shared" si="79"/>
        <v>J467WL</v>
      </c>
      <c r="E530" s="4" t="s">
        <v>589</v>
      </c>
      <c r="F530" s="4" t="s">
        <v>1807</v>
      </c>
      <c r="G530" s="5">
        <v>4521718193786</v>
      </c>
      <c r="H530" s="5"/>
      <c r="I530" s="5"/>
      <c r="J530" s="5">
        <v>1</v>
      </c>
      <c r="K530" s="5">
        <v>1</v>
      </c>
      <c r="L530" s="4">
        <v>810</v>
      </c>
      <c r="M530" s="4">
        <v>648</v>
      </c>
      <c r="N530" s="4">
        <v>361</v>
      </c>
      <c r="O530" s="6">
        <f t="shared" si="80"/>
        <v>0.4429012345679012</v>
      </c>
      <c r="P530" s="4" t="s">
        <v>2500</v>
      </c>
      <c r="Q530" s="4"/>
      <c r="R530" s="4"/>
      <c r="S530" s="4"/>
      <c r="T530" s="4"/>
      <c r="U530" s="4"/>
      <c r="V530" s="4"/>
      <c r="W530" s="4"/>
      <c r="X530" s="4"/>
      <c r="Y530" s="4">
        <v>555</v>
      </c>
      <c r="Z530" s="4">
        <f t="shared" si="81"/>
        <v>555</v>
      </c>
      <c r="AA530" s="4">
        <v>361</v>
      </c>
      <c r="AB530" s="4">
        <f t="shared" si="82"/>
        <v>361</v>
      </c>
      <c r="AC530" s="4"/>
      <c r="AD530" s="21">
        <f>ROUND(M530*AR530,0)</f>
        <v>648</v>
      </c>
      <c r="AE530" s="6">
        <f>1-AB530/AD530</f>
        <v>0.4429012345679012</v>
      </c>
      <c r="AF530" s="33">
        <v>0</v>
      </c>
      <c r="AG530" s="4" t="str">
        <f t="shared" si="83"/>
        <v>-</v>
      </c>
      <c r="AH530" s="33" t="e">
        <f t="shared" si="85"/>
        <v>#VALUE!</v>
      </c>
      <c r="AI530" s="6" t="e">
        <f>1-AB530/AH530</f>
        <v>#VALUE!</v>
      </c>
      <c r="AJ530" s="7">
        <v>555</v>
      </c>
      <c r="AK530" s="6">
        <f>1-AB530/AJ530</f>
        <v>0.34954954954954953</v>
      </c>
      <c r="AL530" s="4">
        <f>AJ530-AB530</f>
        <v>194</v>
      </c>
      <c r="AM530" s="28"/>
      <c r="AN530" s="6"/>
      <c r="AO530" s="6"/>
      <c r="AP530" s="6">
        <f>Z530/L530</f>
        <v>0.68518518518518523</v>
      </c>
      <c r="AQ530" s="6">
        <f>AJ530/M530</f>
        <v>0.85648148148148151</v>
      </c>
      <c r="AR530" s="6">
        <f>AB530/N530</f>
        <v>1</v>
      </c>
      <c r="AS530" s="4"/>
      <c r="AT530" s="4"/>
      <c r="AU530" s="4"/>
      <c r="AV530" s="4"/>
      <c r="AW530" s="4"/>
      <c r="AX530" s="4"/>
      <c r="AY530" s="4"/>
      <c r="AZ530" s="4"/>
      <c r="BA530" s="4"/>
      <c r="BB530" s="4">
        <v>0</v>
      </c>
      <c r="BC530" s="4" t="s">
        <v>3534</v>
      </c>
      <c r="BD530" s="4"/>
      <c r="BE530" s="4"/>
      <c r="BF530" s="4" t="s">
        <v>3534</v>
      </c>
      <c r="BG530" s="4" t="s">
        <v>3534</v>
      </c>
      <c r="BH530" s="4" t="s">
        <v>3534</v>
      </c>
      <c r="BI530" s="4" t="str">
        <f t="shared" si="84"/>
        <v>-</v>
      </c>
      <c r="BJ530" s="19">
        <v>4</v>
      </c>
      <c r="BK530" s="19">
        <v>8</v>
      </c>
      <c r="BL530" s="16">
        <v>6</v>
      </c>
      <c r="BM530" s="45" t="s">
        <v>3534</v>
      </c>
      <c r="BN530" t="s">
        <v>3534</v>
      </c>
      <c r="BO530" t="str">
        <f t="shared" si="86"/>
        <v>-</v>
      </c>
      <c r="BP530" t="s">
        <v>3534</v>
      </c>
      <c r="BQ530" t="s">
        <v>3534</v>
      </c>
      <c r="BR530" t="str">
        <f t="shared" si="87"/>
        <v>-</v>
      </c>
      <c r="BS530" t="s">
        <v>3534</v>
      </c>
    </row>
    <row r="531" spans="1:71" x14ac:dyDescent="0.4">
      <c r="A531" s="3">
        <v>528</v>
      </c>
      <c r="B531" s="3">
        <v>528</v>
      </c>
      <c r="C531" s="4" t="s">
        <v>590</v>
      </c>
      <c r="D531" s="4" t="str">
        <f t="shared" si="79"/>
        <v>J468WL</v>
      </c>
      <c r="E531" s="4" t="s">
        <v>590</v>
      </c>
      <c r="F531" s="4" t="s">
        <v>1808</v>
      </c>
      <c r="G531" s="5">
        <v>4521718193793</v>
      </c>
      <c r="H531" s="5"/>
      <c r="I531" s="5"/>
      <c r="J531" s="5">
        <v>1</v>
      </c>
      <c r="K531" s="5">
        <v>1</v>
      </c>
      <c r="L531" s="4">
        <v>710</v>
      </c>
      <c r="M531" s="4">
        <v>568</v>
      </c>
      <c r="N531" s="4">
        <v>319</v>
      </c>
      <c r="O531" s="6">
        <f t="shared" si="80"/>
        <v>0.43838028169014087</v>
      </c>
      <c r="P531" s="4" t="s">
        <v>2500</v>
      </c>
      <c r="Q531" s="4"/>
      <c r="R531" s="4"/>
      <c r="S531" s="4"/>
      <c r="T531" s="4"/>
      <c r="U531" s="4"/>
      <c r="V531" s="4"/>
      <c r="W531" s="4"/>
      <c r="X531" s="4"/>
      <c r="Y531" s="4">
        <v>491</v>
      </c>
      <c r="Z531" s="4">
        <f t="shared" si="81"/>
        <v>491</v>
      </c>
      <c r="AA531" s="4">
        <v>319</v>
      </c>
      <c r="AB531" s="4">
        <f t="shared" si="82"/>
        <v>319</v>
      </c>
      <c r="AC531" s="4"/>
      <c r="AD531" s="21">
        <f>ROUND(M531*AR531,0)</f>
        <v>568</v>
      </c>
      <c r="AE531" s="6">
        <f>1-AB531/AD531</f>
        <v>0.43838028169014087</v>
      </c>
      <c r="AF531" s="33">
        <v>0</v>
      </c>
      <c r="AG531" s="4" t="str">
        <f t="shared" si="83"/>
        <v>-</v>
      </c>
      <c r="AH531" s="33" t="e">
        <f t="shared" si="85"/>
        <v>#VALUE!</v>
      </c>
      <c r="AI531" s="6" t="e">
        <f>1-AB531/AH531</f>
        <v>#VALUE!</v>
      </c>
      <c r="AJ531" s="7">
        <f>ROUND(AB531/0.65,0)</f>
        <v>491</v>
      </c>
      <c r="AK531" s="6">
        <f>1-AB531/AJ531</f>
        <v>0.35030549898167007</v>
      </c>
      <c r="AL531" s="4">
        <f>AJ531-AB531</f>
        <v>172</v>
      </c>
      <c r="AM531" s="28"/>
      <c r="AN531" s="6"/>
      <c r="AO531" s="6"/>
      <c r="AP531" s="6">
        <f>Z531/L531</f>
        <v>0.69154929577464785</v>
      </c>
      <c r="AQ531" s="6">
        <f>AJ531/M531</f>
        <v>0.86443661971830987</v>
      </c>
      <c r="AR531" s="6">
        <f>AB531/N531</f>
        <v>1</v>
      </c>
      <c r="AS531" s="4"/>
      <c r="AT531" s="4"/>
      <c r="AU531" s="4"/>
      <c r="AV531" s="4"/>
      <c r="AW531" s="4"/>
      <c r="AX531" s="4"/>
      <c r="AY531" s="4"/>
      <c r="AZ531" s="4"/>
      <c r="BA531" s="4"/>
      <c r="BB531" s="4">
        <v>0</v>
      </c>
      <c r="BC531" s="4" t="s">
        <v>3534</v>
      </c>
      <c r="BD531" s="4"/>
      <c r="BE531" s="4"/>
      <c r="BF531" s="4" t="s">
        <v>3534</v>
      </c>
      <c r="BG531" s="4" t="s">
        <v>3534</v>
      </c>
      <c r="BH531" s="4" t="s">
        <v>3534</v>
      </c>
      <c r="BI531" s="4" t="str">
        <f t="shared" si="84"/>
        <v>-</v>
      </c>
      <c r="BJ531" s="19">
        <v>4</v>
      </c>
      <c r="BK531" s="19">
        <v>8</v>
      </c>
      <c r="BL531" s="16">
        <v>6</v>
      </c>
      <c r="BM531" s="45" t="s">
        <v>3534</v>
      </c>
      <c r="BN531" t="s">
        <v>3534</v>
      </c>
      <c r="BO531" t="str">
        <f t="shared" si="86"/>
        <v>-</v>
      </c>
      <c r="BP531" t="s">
        <v>3534</v>
      </c>
      <c r="BQ531" t="s">
        <v>3534</v>
      </c>
      <c r="BR531" t="str">
        <f t="shared" si="87"/>
        <v>-</v>
      </c>
      <c r="BS531" t="s">
        <v>3534</v>
      </c>
    </row>
    <row r="532" spans="1:71" x14ac:dyDescent="0.4">
      <c r="A532" s="3">
        <v>529</v>
      </c>
      <c r="B532" s="3">
        <v>529</v>
      </c>
      <c r="C532" s="4" t="s">
        <v>591</v>
      </c>
      <c r="D532" s="4" t="str">
        <f t="shared" si="79"/>
        <v>J469RR</v>
      </c>
      <c r="E532" s="4" t="s">
        <v>591</v>
      </c>
      <c r="F532" s="4" t="s">
        <v>1809</v>
      </c>
      <c r="G532" s="5">
        <v>4521718074795</v>
      </c>
      <c r="H532" s="5"/>
      <c r="I532" s="5"/>
      <c r="J532" s="5">
        <v>1</v>
      </c>
      <c r="K532" s="5">
        <v>1</v>
      </c>
      <c r="L532" s="4">
        <v>390</v>
      </c>
      <c r="M532" s="4">
        <v>250</v>
      </c>
      <c r="N532" s="4">
        <v>172</v>
      </c>
      <c r="O532" s="6">
        <f t="shared" si="80"/>
        <v>0.31200000000000006</v>
      </c>
      <c r="P532" s="4" t="s">
        <v>2500</v>
      </c>
      <c r="Q532" s="4"/>
      <c r="R532" s="4"/>
      <c r="S532" s="4"/>
      <c r="T532" s="4"/>
      <c r="U532" s="4"/>
      <c r="V532" s="4"/>
      <c r="W532" s="4"/>
      <c r="X532" s="4"/>
      <c r="Y532" s="4">
        <v>391</v>
      </c>
      <c r="Z532" s="4">
        <f t="shared" si="81"/>
        <v>391</v>
      </c>
      <c r="AA532" s="4">
        <v>176</v>
      </c>
      <c r="AB532" s="4">
        <f t="shared" si="82"/>
        <v>176</v>
      </c>
      <c r="AC532" s="4"/>
      <c r="AD532" s="21">
        <f>ROUND(M532*AR532,0)</f>
        <v>256</v>
      </c>
      <c r="AE532" s="6">
        <f>1-AB532/AD532</f>
        <v>0.3125</v>
      </c>
      <c r="AF532" s="33">
        <v>0</v>
      </c>
      <c r="AG532" s="4">
        <f t="shared" si="83"/>
        <v>380</v>
      </c>
      <c r="AH532" s="33">
        <f t="shared" si="85"/>
        <v>388.83720930232562</v>
      </c>
      <c r="AI532" s="6">
        <f>1-AB532/AH532</f>
        <v>0.54736842105263162</v>
      </c>
      <c r="AJ532" s="7">
        <f>ROUND(AB532/0.65,0)</f>
        <v>271</v>
      </c>
      <c r="AK532" s="6">
        <f>1-AB532/AJ532</f>
        <v>0.35055350553505538</v>
      </c>
      <c r="AL532" s="4">
        <f>AJ532-AB532</f>
        <v>95</v>
      </c>
      <c r="AM532" s="28"/>
      <c r="AN532" s="6"/>
      <c r="AO532" s="6"/>
      <c r="AP532" s="6">
        <f>Z532/L532</f>
        <v>1.0025641025641026</v>
      </c>
      <c r="AQ532" s="6">
        <f>AJ532/M532</f>
        <v>1.0840000000000001</v>
      </c>
      <c r="AR532" s="6">
        <f>AB532/N532</f>
        <v>1.0232558139534884</v>
      </c>
      <c r="AS532" s="4"/>
      <c r="AT532" s="4"/>
      <c r="AU532" s="4"/>
      <c r="AV532" s="4"/>
      <c r="AW532" s="4"/>
      <c r="AX532" s="4"/>
      <c r="AY532" s="4"/>
      <c r="AZ532" s="4"/>
      <c r="BA532" s="4"/>
      <c r="BB532" s="4">
        <v>0</v>
      </c>
      <c r="BC532" s="4" t="s">
        <v>4026</v>
      </c>
      <c r="BD532" s="4">
        <v>1</v>
      </c>
      <c r="BE532" s="4">
        <v>4</v>
      </c>
      <c r="BF532" s="4" t="s">
        <v>4014</v>
      </c>
      <c r="BG532" s="4">
        <v>1520</v>
      </c>
      <c r="BH532" s="4">
        <v>1520</v>
      </c>
      <c r="BI532" s="4">
        <f t="shared" si="84"/>
        <v>380</v>
      </c>
      <c r="BJ532" s="19">
        <v>4</v>
      </c>
      <c r="BK532" s="19">
        <v>8</v>
      </c>
      <c r="BL532" s="16">
        <v>6</v>
      </c>
      <c r="BM532" s="45" t="s">
        <v>3534</v>
      </c>
      <c r="BN532" t="s">
        <v>3534</v>
      </c>
      <c r="BO532" t="str">
        <f t="shared" si="86"/>
        <v>-</v>
      </c>
      <c r="BP532" t="s">
        <v>3534</v>
      </c>
      <c r="BQ532">
        <v>264</v>
      </c>
      <c r="BR532">
        <f t="shared" si="87"/>
        <v>270.13953488372096</v>
      </c>
      <c r="BS532" t="s">
        <v>2918</v>
      </c>
    </row>
    <row r="533" spans="1:71" x14ac:dyDescent="0.4">
      <c r="A533" s="3">
        <v>530</v>
      </c>
      <c r="B533" s="3">
        <v>530</v>
      </c>
      <c r="C533" s="4" t="s">
        <v>592</v>
      </c>
      <c r="D533" s="4" t="str">
        <f t="shared" si="79"/>
        <v>J469WL</v>
      </c>
      <c r="E533" s="4" t="s">
        <v>592</v>
      </c>
      <c r="F533" s="4" t="s">
        <v>1810</v>
      </c>
      <c r="G533" s="5">
        <v>4521718193809</v>
      </c>
      <c r="H533" s="5"/>
      <c r="I533" s="5"/>
      <c r="J533" s="5">
        <v>1</v>
      </c>
      <c r="K533" s="5">
        <v>1</v>
      </c>
      <c r="L533" s="4">
        <v>710</v>
      </c>
      <c r="M533" s="4">
        <v>568</v>
      </c>
      <c r="N533" s="4">
        <v>319</v>
      </c>
      <c r="O533" s="6">
        <f t="shared" si="80"/>
        <v>0.43838028169014087</v>
      </c>
      <c r="P533" s="4" t="s">
        <v>2500</v>
      </c>
      <c r="Q533" s="4"/>
      <c r="R533" s="4"/>
      <c r="S533" s="4"/>
      <c r="T533" s="4"/>
      <c r="U533" s="4"/>
      <c r="V533" s="4"/>
      <c r="W533" s="4"/>
      <c r="X533" s="4"/>
      <c r="Y533" s="4">
        <v>491</v>
      </c>
      <c r="Z533" s="4">
        <f t="shared" si="81"/>
        <v>491</v>
      </c>
      <c r="AA533" s="4">
        <v>319</v>
      </c>
      <c r="AB533" s="4">
        <f t="shared" si="82"/>
        <v>319</v>
      </c>
      <c r="AC533" s="4"/>
      <c r="AD533" s="21">
        <f>ROUND(M533*AR533,0)</f>
        <v>568</v>
      </c>
      <c r="AE533" s="6">
        <f>1-AB533/AD533</f>
        <v>0.43838028169014087</v>
      </c>
      <c r="AF533" s="33">
        <v>0</v>
      </c>
      <c r="AG533" s="4" t="str">
        <f t="shared" si="83"/>
        <v>-</v>
      </c>
      <c r="AH533" s="33" t="e">
        <f t="shared" si="85"/>
        <v>#VALUE!</v>
      </c>
      <c r="AI533" s="6" t="e">
        <f>1-AB533/AH533</f>
        <v>#VALUE!</v>
      </c>
      <c r="AJ533" s="7">
        <f>ROUND(AB533/0.65,0)</f>
        <v>491</v>
      </c>
      <c r="AK533" s="6">
        <f>1-AB533/AJ533</f>
        <v>0.35030549898167007</v>
      </c>
      <c r="AL533" s="4">
        <f>AJ533-AB533</f>
        <v>172</v>
      </c>
      <c r="AM533" s="28"/>
      <c r="AN533" s="6"/>
      <c r="AO533" s="6"/>
      <c r="AP533" s="6">
        <f>Z533/L533</f>
        <v>0.69154929577464785</v>
      </c>
      <c r="AQ533" s="6">
        <f>AJ533/M533</f>
        <v>0.86443661971830987</v>
      </c>
      <c r="AR533" s="6">
        <f>AB533/N533</f>
        <v>1</v>
      </c>
      <c r="AS533" s="4"/>
      <c r="AT533" s="4"/>
      <c r="AU533" s="4"/>
      <c r="AV533" s="4"/>
      <c r="AW533" s="4"/>
      <c r="AX533" s="4"/>
      <c r="AY533" s="4"/>
      <c r="AZ533" s="4"/>
      <c r="BA533" s="4"/>
      <c r="BB533" s="4">
        <v>0</v>
      </c>
      <c r="BC533" s="4" t="s">
        <v>3534</v>
      </c>
      <c r="BD533" s="4"/>
      <c r="BE533" s="4"/>
      <c r="BF533" s="4" t="s">
        <v>3534</v>
      </c>
      <c r="BG533" s="4" t="s">
        <v>3534</v>
      </c>
      <c r="BH533" s="4" t="s">
        <v>3534</v>
      </c>
      <c r="BI533" s="4" t="str">
        <f t="shared" si="84"/>
        <v>-</v>
      </c>
      <c r="BJ533" s="19">
        <v>4</v>
      </c>
      <c r="BK533" s="19">
        <v>8</v>
      </c>
      <c r="BL533" s="16">
        <v>6</v>
      </c>
      <c r="BM533" s="45" t="s">
        <v>3534</v>
      </c>
      <c r="BN533" t="s">
        <v>3534</v>
      </c>
      <c r="BO533" t="str">
        <f t="shared" si="86"/>
        <v>-</v>
      </c>
      <c r="BP533" t="s">
        <v>3534</v>
      </c>
      <c r="BQ533" t="s">
        <v>3534</v>
      </c>
      <c r="BR533" t="str">
        <f t="shared" si="87"/>
        <v>-</v>
      </c>
      <c r="BS533" t="s">
        <v>3534</v>
      </c>
    </row>
    <row r="534" spans="1:71" x14ac:dyDescent="0.4">
      <c r="A534" s="3">
        <v>531</v>
      </c>
      <c r="B534" s="3">
        <v>531</v>
      </c>
      <c r="C534" s="4" t="s">
        <v>593</v>
      </c>
      <c r="D534" s="4" t="str">
        <f t="shared" si="79"/>
        <v>J470RR</v>
      </c>
      <c r="E534" s="4" t="s">
        <v>593</v>
      </c>
      <c r="F534" s="4" t="s">
        <v>1811</v>
      </c>
      <c r="G534" s="5">
        <v>4521718074979</v>
      </c>
      <c r="H534" s="5"/>
      <c r="I534" s="5"/>
      <c r="J534" s="5">
        <v>1</v>
      </c>
      <c r="K534" s="5">
        <v>1</v>
      </c>
      <c r="L534" s="4">
        <v>360</v>
      </c>
      <c r="M534" s="4">
        <v>238</v>
      </c>
      <c r="N534" s="4">
        <v>160</v>
      </c>
      <c r="O534" s="6">
        <f t="shared" si="80"/>
        <v>0.32773109243697474</v>
      </c>
      <c r="P534" s="4" t="s">
        <v>2500</v>
      </c>
      <c r="Q534" s="4"/>
      <c r="R534" s="4"/>
      <c r="S534" s="4"/>
      <c r="T534" s="4"/>
      <c r="U534" s="4"/>
      <c r="V534" s="4"/>
      <c r="W534" s="4"/>
      <c r="X534" s="4"/>
      <c r="Y534" s="4">
        <v>360</v>
      </c>
      <c r="Z534" s="4">
        <f t="shared" si="81"/>
        <v>360</v>
      </c>
      <c r="AA534" s="4">
        <v>162</v>
      </c>
      <c r="AB534" s="4">
        <f t="shared" si="82"/>
        <v>162</v>
      </c>
      <c r="AC534" s="4"/>
      <c r="AD534" s="21">
        <f>ROUND(M534*AR534,0)</f>
        <v>241</v>
      </c>
      <c r="AE534" s="6">
        <f>1-AB534/AD534</f>
        <v>0.32780082987551862</v>
      </c>
      <c r="AF534" s="33">
        <v>0.75</v>
      </c>
      <c r="AG534" s="4">
        <f t="shared" si="83"/>
        <v>305.60000000000002</v>
      </c>
      <c r="AH534" s="33">
        <f t="shared" si="85"/>
        <v>309.42</v>
      </c>
      <c r="AI534" s="6">
        <f>1-AB534/AH534</f>
        <v>0.47643979057591623</v>
      </c>
      <c r="AJ534" s="7">
        <f>ROUND(AB534/0.65,0)</f>
        <v>249</v>
      </c>
      <c r="AK534" s="6">
        <f>1-AB534/AJ534</f>
        <v>0.3493975903614458</v>
      </c>
      <c r="AL534" s="4">
        <f>AJ534-AB534</f>
        <v>87</v>
      </c>
      <c r="AM534" s="28"/>
      <c r="AN534" s="6"/>
      <c r="AO534" s="6"/>
      <c r="AP534" s="6">
        <f>Z534/L534</f>
        <v>1</v>
      </c>
      <c r="AQ534" s="6">
        <f>AJ534/M534</f>
        <v>1.046218487394958</v>
      </c>
      <c r="AR534" s="6">
        <f>AB534/N534</f>
        <v>1.0125</v>
      </c>
      <c r="AS534" s="4"/>
      <c r="AT534" s="4"/>
      <c r="AU534" s="4"/>
      <c r="AV534" s="4"/>
      <c r="AW534" s="4"/>
      <c r="AX534" s="4"/>
      <c r="AY534" s="4"/>
      <c r="AZ534" s="4"/>
      <c r="BA534" s="4"/>
      <c r="BB534" s="4">
        <v>0</v>
      </c>
      <c r="BC534" s="4" t="s">
        <v>4027</v>
      </c>
      <c r="BD534" s="4">
        <v>1</v>
      </c>
      <c r="BE534" s="4">
        <v>5</v>
      </c>
      <c r="BF534" s="4" t="s">
        <v>4028</v>
      </c>
      <c r="BG534" s="4">
        <v>1528</v>
      </c>
      <c r="BH534" s="4">
        <v>1528</v>
      </c>
      <c r="BI534" s="4">
        <f t="shared" si="84"/>
        <v>305.60000000000002</v>
      </c>
      <c r="BJ534" s="19">
        <v>4</v>
      </c>
      <c r="BK534" s="19">
        <v>8</v>
      </c>
      <c r="BL534" s="16">
        <v>6</v>
      </c>
      <c r="BM534" s="45" t="s">
        <v>3534</v>
      </c>
      <c r="BN534" t="s">
        <v>3534</v>
      </c>
      <c r="BO534" t="str">
        <f t="shared" si="86"/>
        <v>-</v>
      </c>
      <c r="BP534" t="s">
        <v>3534</v>
      </c>
      <c r="BQ534">
        <v>238</v>
      </c>
      <c r="BR534">
        <f t="shared" si="87"/>
        <v>240.97499999999999</v>
      </c>
      <c r="BS534" t="s">
        <v>2919</v>
      </c>
    </row>
    <row r="535" spans="1:71" x14ac:dyDescent="0.4">
      <c r="A535" s="3">
        <v>532</v>
      </c>
      <c r="B535" s="3">
        <v>532</v>
      </c>
      <c r="C535" s="4" t="s">
        <v>594</v>
      </c>
      <c r="D535" s="4" t="str">
        <f t="shared" ref="D535:D598" si="88">TEXT(C535,"000000")</f>
        <v>J470WL</v>
      </c>
      <c r="E535" s="4" t="s">
        <v>594</v>
      </c>
      <c r="F535" s="4" t="s">
        <v>1812</v>
      </c>
      <c r="G535" s="5">
        <v>4521718193816</v>
      </c>
      <c r="H535" s="5"/>
      <c r="I535" s="5"/>
      <c r="J535" s="5">
        <v>1</v>
      </c>
      <c r="K535" s="5">
        <v>1</v>
      </c>
      <c r="L535" s="4">
        <v>710</v>
      </c>
      <c r="M535" s="4">
        <v>568</v>
      </c>
      <c r="N535" s="4">
        <v>319</v>
      </c>
      <c r="O535" s="6">
        <f t="shared" ref="O535:O598" si="89">1-N535/M535</f>
        <v>0.43838028169014087</v>
      </c>
      <c r="P535" s="4" t="s">
        <v>2500</v>
      </c>
      <c r="Q535" s="4"/>
      <c r="R535" s="4"/>
      <c r="S535" s="4"/>
      <c r="T535" s="4"/>
      <c r="U535" s="4"/>
      <c r="V535" s="4"/>
      <c r="W535" s="4"/>
      <c r="X535" s="4"/>
      <c r="Y535" s="4">
        <v>491</v>
      </c>
      <c r="Z535" s="4">
        <f t="shared" ref="Z535:Z598" si="90">IF(AC535="",Y535,Y535*AC535)</f>
        <v>491</v>
      </c>
      <c r="AA535" s="4">
        <v>319</v>
      </c>
      <c r="AB535" s="4">
        <f t="shared" ref="AB535:AB598" si="91">IF(AC535="",AA535,AA535*AC535)</f>
        <v>319</v>
      </c>
      <c r="AC535" s="4"/>
      <c r="AD535" s="21">
        <f>ROUND(M535*AR535,0)</f>
        <v>568</v>
      </c>
      <c r="AE535" s="6">
        <f>1-AB535/AD535</f>
        <v>0.43838028169014087</v>
      </c>
      <c r="AF535" s="33">
        <v>0</v>
      </c>
      <c r="AG535" s="4" t="str">
        <f t="shared" ref="AG535:AG598" si="92">BI535</f>
        <v>-</v>
      </c>
      <c r="AH535" s="33" t="e">
        <f t="shared" si="85"/>
        <v>#VALUE!</v>
      </c>
      <c r="AI535" s="6" t="e">
        <f>1-AB535/AH535</f>
        <v>#VALUE!</v>
      </c>
      <c r="AJ535" s="7">
        <f>ROUND(AB535/0.65,0)</f>
        <v>491</v>
      </c>
      <c r="AK535" s="6">
        <f>1-AB535/AJ535</f>
        <v>0.35030549898167007</v>
      </c>
      <c r="AL535" s="4">
        <f>AJ535-AB535</f>
        <v>172</v>
      </c>
      <c r="AM535" s="28"/>
      <c r="AN535" s="6"/>
      <c r="AO535" s="6"/>
      <c r="AP535" s="6">
        <f>Z535/L535</f>
        <v>0.69154929577464785</v>
      </c>
      <c r="AQ535" s="6">
        <f>AJ535/M535</f>
        <v>0.86443661971830987</v>
      </c>
      <c r="AR535" s="6">
        <f>AB535/N535</f>
        <v>1</v>
      </c>
      <c r="AS535" s="4"/>
      <c r="AT535" s="4"/>
      <c r="AU535" s="4"/>
      <c r="AV535" s="4"/>
      <c r="AW535" s="4"/>
      <c r="AX535" s="4"/>
      <c r="AY535" s="4"/>
      <c r="AZ535" s="4"/>
      <c r="BA535" s="4"/>
      <c r="BB535" s="4">
        <v>0</v>
      </c>
      <c r="BC535" s="4" t="s">
        <v>3534</v>
      </c>
      <c r="BD535" s="4"/>
      <c r="BE535" s="4"/>
      <c r="BF535" s="4" t="s">
        <v>3534</v>
      </c>
      <c r="BG535" s="4" t="s">
        <v>3534</v>
      </c>
      <c r="BH535" s="4" t="s">
        <v>3534</v>
      </c>
      <c r="BI535" s="4" t="str">
        <f t="shared" ref="BI535:BI598" si="93">IF(BD535="",BH535,BD535/BE535*BH535)</f>
        <v>-</v>
      </c>
      <c r="BJ535" s="19">
        <v>4</v>
      </c>
      <c r="BK535" s="19">
        <v>8</v>
      </c>
      <c r="BL535" s="16">
        <v>6</v>
      </c>
      <c r="BM535" s="45" t="s">
        <v>3534</v>
      </c>
      <c r="BN535" t="s">
        <v>3534</v>
      </c>
      <c r="BO535" t="str">
        <f t="shared" si="86"/>
        <v>-</v>
      </c>
      <c r="BP535" t="s">
        <v>3534</v>
      </c>
      <c r="BQ535" t="s">
        <v>3534</v>
      </c>
      <c r="BR535" t="str">
        <f t="shared" si="87"/>
        <v>-</v>
      </c>
      <c r="BS535" t="s">
        <v>3534</v>
      </c>
    </row>
    <row r="536" spans="1:71" x14ac:dyDescent="0.4">
      <c r="A536" s="3">
        <v>533</v>
      </c>
      <c r="B536" s="3">
        <v>533</v>
      </c>
      <c r="C536" s="4" t="s">
        <v>595</v>
      </c>
      <c r="D536" s="4" t="str">
        <f t="shared" si="88"/>
        <v>J471RR</v>
      </c>
      <c r="E536" s="4" t="s">
        <v>595</v>
      </c>
      <c r="F536" s="4" t="s">
        <v>1813</v>
      </c>
      <c r="G536" s="5">
        <v>4521718075099</v>
      </c>
      <c r="H536" s="5"/>
      <c r="I536" s="5"/>
      <c r="J536" s="5">
        <v>1</v>
      </c>
      <c r="K536" s="5">
        <v>1</v>
      </c>
      <c r="L536" s="4">
        <v>500</v>
      </c>
      <c r="M536" s="4">
        <v>475</v>
      </c>
      <c r="N536" s="4">
        <v>325</v>
      </c>
      <c r="O536" s="6">
        <f t="shared" si="89"/>
        <v>0.31578947368421051</v>
      </c>
      <c r="P536" s="4" t="s">
        <v>2500</v>
      </c>
      <c r="Q536" s="4"/>
      <c r="R536" s="4"/>
      <c r="S536" s="4"/>
      <c r="T536" s="4"/>
      <c r="U536" s="4"/>
      <c r="V536" s="4"/>
      <c r="W536" s="4"/>
      <c r="X536" s="4"/>
      <c r="Y536" s="4">
        <v>730</v>
      </c>
      <c r="Z536" s="4">
        <f t="shared" si="90"/>
        <v>730</v>
      </c>
      <c r="AA536" s="4">
        <v>329</v>
      </c>
      <c r="AB536" s="4">
        <f t="shared" si="91"/>
        <v>329</v>
      </c>
      <c r="AC536" s="4"/>
      <c r="AD536" s="21">
        <f>ROUND(M536*AR536,0)</f>
        <v>481</v>
      </c>
      <c r="AE536" s="6">
        <f>1-AB536/AD536</f>
        <v>0.31600831600831603</v>
      </c>
      <c r="AF536" s="33">
        <v>0</v>
      </c>
      <c r="AG536" s="4">
        <f t="shared" si="92"/>
        <v>758</v>
      </c>
      <c r="AH536" s="33">
        <f t="shared" si="85"/>
        <v>767.32923076923078</v>
      </c>
      <c r="AI536" s="6">
        <f>1-AB536/AH536</f>
        <v>0.5712401055408971</v>
      </c>
      <c r="AJ536" s="7">
        <f>ROUND(AB536/0.65,0)</f>
        <v>506</v>
      </c>
      <c r="AK536" s="6">
        <f>1-AB536/AJ536</f>
        <v>0.34980237154150196</v>
      </c>
      <c r="AL536" s="4">
        <f>AJ536-AB536</f>
        <v>177</v>
      </c>
      <c r="AM536" s="28"/>
      <c r="AN536" s="6"/>
      <c r="AO536" s="6"/>
      <c r="AP536" s="6">
        <f>Z536/L536</f>
        <v>1.46</v>
      </c>
      <c r="AQ536" s="6">
        <f>AJ536/M536</f>
        <v>1.0652631578947369</v>
      </c>
      <c r="AR536" s="6">
        <f>AB536/N536</f>
        <v>1.0123076923076924</v>
      </c>
      <c r="AS536" s="4"/>
      <c r="AT536" s="4"/>
      <c r="AU536" s="4"/>
      <c r="AV536" s="4"/>
      <c r="AW536" s="4"/>
      <c r="AX536" s="4"/>
      <c r="AY536" s="4"/>
      <c r="AZ536" s="4"/>
      <c r="BA536" s="4"/>
      <c r="BB536" s="4">
        <v>0</v>
      </c>
      <c r="BC536" s="4" t="s">
        <v>4029</v>
      </c>
      <c r="BD536" s="4">
        <v>1</v>
      </c>
      <c r="BE536" s="4">
        <v>3</v>
      </c>
      <c r="BF536" s="4" t="s">
        <v>3638</v>
      </c>
      <c r="BG536" s="4">
        <v>2274</v>
      </c>
      <c r="BH536" s="4">
        <v>2274</v>
      </c>
      <c r="BI536" s="4">
        <f t="shared" si="93"/>
        <v>758</v>
      </c>
      <c r="BJ536" s="19">
        <v>4</v>
      </c>
      <c r="BK536" s="19">
        <v>8</v>
      </c>
      <c r="BL536" s="16">
        <v>6</v>
      </c>
      <c r="BM536" s="45" t="s">
        <v>3534</v>
      </c>
      <c r="BN536" t="s">
        <v>3534</v>
      </c>
      <c r="BO536" t="str">
        <f t="shared" si="86"/>
        <v>-</v>
      </c>
      <c r="BP536" t="s">
        <v>3534</v>
      </c>
      <c r="BQ536">
        <v>500</v>
      </c>
      <c r="BR536">
        <f t="shared" si="87"/>
        <v>506.15384615384619</v>
      </c>
      <c r="BS536" t="s">
        <v>2920</v>
      </c>
    </row>
    <row r="537" spans="1:71" x14ac:dyDescent="0.4">
      <c r="A537" s="3">
        <v>534</v>
      </c>
      <c r="B537" s="3">
        <v>534</v>
      </c>
      <c r="C537" s="4" t="s">
        <v>596</v>
      </c>
      <c r="D537" s="4" t="str">
        <f t="shared" si="88"/>
        <v>J471WL</v>
      </c>
      <c r="E537" s="4" t="s">
        <v>596</v>
      </c>
      <c r="F537" s="4" t="s">
        <v>1814</v>
      </c>
      <c r="G537" s="5">
        <v>4521718193823</v>
      </c>
      <c r="H537" s="5"/>
      <c r="I537" s="5"/>
      <c r="J537" s="5">
        <v>1</v>
      </c>
      <c r="K537" s="5">
        <v>1</v>
      </c>
      <c r="L537" s="4">
        <v>710</v>
      </c>
      <c r="M537" s="4">
        <v>568</v>
      </c>
      <c r="N537" s="4">
        <v>319</v>
      </c>
      <c r="O537" s="6">
        <f t="shared" si="89"/>
        <v>0.43838028169014087</v>
      </c>
      <c r="P537" s="4" t="s">
        <v>2500</v>
      </c>
      <c r="Q537" s="4"/>
      <c r="R537" s="4"/>
      <c r="S537" s="4"/>
      <c r="T537" s="4"/>
      <c r="U537" s="4"/>
      <c r="V537" s="4"/>
      <c r="W537" s="4"/>
      <c r="X537" s="4"/>
      <c r="Y537" s="4">
        <v>491</v>
      </c>
      <c r="Z537" s="4">
        <f t="shared" si="90"/>
        <v>491</v>
      </c>
      <c r="AA537" s="4">
        <v>319</v>
      </c>
      <c r="AB537" s="4">
        <f t="shared" si="91"/>
        <v>319</v>
      </c>
      <c r="AC537" s="4"/>
      <c r="AD537" s="21">
        <f>ROUND(M537*AR537,0)</f>
        <v>568</v>
      </c>
      <c r="AE537" s="6">
        <f>1-AB537/AD537</f>
        <v>0.43838028169014087</v>
      </c>
      <c r="AF537" s="33">
        <v>0</v>
      </c>
      <c r="AG537" s="4" t="str">
        <f t="shared" si="92"/>
        <v>-</v>
      </c>
      <c r="AH537" s="33" t="e">
        <f t="shared" si="85"/>
        <v>#VALUE!</v>
      </c>
      <c r="AI537" s="6" t="e">
        <f>1-AB537/AH537</f>
        <v>#VALUE!</v>
      </c>
      <c r="AJ537" s="7">
        <f>ROUND(AB537/0.65,0)</f>
        <v>491</v>
      </c>
      <c r="AK537" s="6">
        <f>1-AB537/AJ537</f>
        <v>0.35030549898167007</v>
      </c>
      <c r="AL537" s="4">
        <f>AJ537-AB537</f>
        <v>172</v>
      </c>
      <c r="AM537" s="28"/>
      <c r="AN537" s="6"/>
      <c r="AO537" s="6"/>
      <c r="AP537" s="6">
        <f>Z537/L537</f>
        <v>0.69154929577464785</v>
      </c>
      <c r="AQ537" s="6">
        <f>AJ537/M537</f>
        <v>0.86443661971830987</v>
      </c>
      <c r="AR537" s="6">
        <f>AB537/N537</f>
        <v>1</v>
      </c>
      <c r="AS537" s="4"/>
      <c r="AT537" s="4"/>
      <c r="AU537" s="4"/>
      <c r="AV537" s="4"/>
      <c r="AW537" s="4"/>
      <c r="AX537" s="4"/>
      <c r="AY537" s="4"/>
      <c r="AZ537" s="4"/>
      <c r="BA537" s="4"/>
      <c r="BB537" s="4">
        <v>0</v>
      </c>
      <c r="BC537" s="4" t="s">
        <v>3534</v>
      </c>
      <c r="BD537" s="4"/>
      <c r="BE537" s="4"/>
      <c r="BF537" s="4" t="s">
        <v>3534</v>
      </c>
      <c r="BG537" s="4" t="s">
        <v>3534</v>
      </c>
      <c r="BH537" s="4" t="s">
        <v>3534</v>
      </c>
      <c r="BI537" s="4" t="str">
        <f t="shared" si="93"/>
        <v>-</v>
      </c>
      <c r="BJ537" s="19">
        <v>4</v>
      </c>
      <c r="BK537" s="19">
        <v>8</v>
      </c>
      <c r="BL537" s="16">
        <v>6</v>
      </c>
      <c r="BM537" s="45" t="s">
        <v>3534</v>
      </c>
      <c r="BN537" t="s">
        <v>3534</v>
      </c>
      <c r="BO537" t="str">
        <f t="shared" si="86"/>
        <v>-</v>
      </c>
      <c r="BP537" t="s">
        <v>3534</v>
      </c>
      <c r="BQ537" t="s">
        <v>3534</v>
      </c>
      <c r="BR537" t="str">
        <f t="shared" si="87"/>
        <v>-</v>
      </c>
      <c r="BS537" t="s">
        <v>3534</v>
      </c>
    </row>
    <row r="538" spans="1:71" x14ac:dyDescent="0.4">
      <c r="A538" s="3">
        <v>535</v>
      </c>
      <c r="B538" s="3">
        <v>535</v>
      </c>
      <c r="C538" s="4" t="s">
        <v>597</v>
      </c>
      <c r="D538" s="4" t="str">
        <f t="shared" si="88"/>
        <v>J472WL</v>
      </c>
      <c r="E538" s="4" t="s">
        <v>597</v>
      </c>
      <c r="F538" s="4" t="s">
        <v>1815</v>
      </c>
      <c r="G538" s="5">
        <v>4521718193830</v>
      </c>
      <c r="H538" s="5"/>
      <c r="I538" s="5"/>
      <c r="J538" s="5">
        <v>1</v>
      </c>
      <c r="K538" s="5">
        <v>1</v>
      </c>
      <c r="L538" s="4">
        <v>820</v>
      </c>
      <c r="M538" s="4">
        <v>656</v>
      </c>
      <c r="N538" s="4">
        <v>367</v>
      </c>
      <c r="O538" s="6">
        <f t="shared" si="89"/>
        <v>0.44054878048780488</v>
      </c>
      <c r="P538" s="4" t="s">
        <v>2500</v>
      </c>
      <c r="Q538" s="4"/>
      <c r="R538" s="4"/>
      <c r="S538" s="4"/>
      <c r="T538" s="4"/>
      <c r="U538" s="4"/>
      <c r="V538" s="4"/>
      <c r="W538" s="4"/>
      <c r="X538" s="4"/>
      <c r="Y538" s="4">
        <v>564</v>
      </c>
      <c r="Z538" s="4">
        <f t="shared" si="90"/>
        <v>564</v>
      </c>
      <c r="AA538" s="4">
        <v>367</v>
      </c>
      <c r="AB538" s="4">
        <f t="shared" si="91"/>
        <v>367</v>
      </c>
      <c r="AC538" s="4"/>
      <c r="AD538" s="21">
        <f>ROUND(M538*AR538,0)</f>
        <v>656</v>
      </c>
      <c r="AE538" s="6">
        <f>1-AB538/AD538</f>
        <v>0.44054878048780488</v>
      </c>
      <c r="AF538" s="33">
        <v>0</v>
      </c>
      <c r="AG538" s="4" t="str">
        <f t="shared" si="92"/>
        <v>-</v>
      </c>
      <c r="AH538" s="33" t="e">
        <f t="shared" si="85"/>
        <v>#VALUE!</v>
      </c>
      <c r="AI538" s="6" t="e">
        <f>1-AB538/AH538</f>
        <v>#VALUE!</v>
      </c>
      <c r="AJ538" s="7">
        <v>564</v>
      </c>
      <c r="AK538" s="6">
        <f>1-AB538/AJ538</f>
        <v>0.349290780141844</v>
      </c>
      <c r="AL538" s="4">
        <f>AJ538-AB538</f>
        <v>197</v>
      </c>
      <c r="AM538" s="28"/>
      <c r="AN538" s="6"/>
      <c r="AO538" s="6"/>
      <c r="AP538" s="6">
        <f>Z538/L538</f>
        <v>0.68780487804878043</v>
      </c>
      <c r="AQ538" s="6">
        <f>AJ538/M538</f>
        <v>0.8597560975609756</v>
      </c>
      <c r="AR538" s="6">
        <f>AB538/N538</f>
        <v>1</v>
      </c>
      <c r="AS538" s="4"/>
      <c r="AT538" s="4"/>
      <c r="AU538" s="4"/>
      <c r="AV538" s="4"/>
      <c r="AW538" s="4"/>
      <c r="AX538" s="4"/>
      <c r="AY538" s="4"/>
      <c r="AZ538" s="4"/>
      <c r="BA538" s="4"/>
      <c r="BB538" s="4">
        <v>0</v>
      </c>
      <c r="BC538" s="4" t="s">
        <v>3534</v>
      </c>
      <c r="BD538" s="4"/>
      <c r="BE538" s="4"/>
      <c r="BF538" s="4" t="s">
        <v>3534</v>
      </c>
      <c r="BG538" s="4" t="s">
        <v>3534</v>
      </c>
      <c r="BH538" s="4" t="s">
        <v>3534</v>
      </c>
      <c r="BI538" s="4" t="str">
        <f t="shared" si="93"/>
        <v>-</v>
      </c>
      <c r="BJ538" s="19">
        <v>4</v>
      </c>
      <c r="BK538" s="19">
        <v>8</v>
      </c>
      <c r="BL538" s="16">
        <v>6</v>
      </c>
      <c r="BM538" s="45" t="s">
        <v>3534</v>
      </c>
      <c r="BN538" t="s">
        <v>3534</v>
      </c>
      <c r="BO538" t="str">
        <f t="shared" si="86"/>
        <v>-</v>
      </c>
      <c r="BP538" t="s">
        <v>3534</v>
      </c>
      <c r="BQ538" t="s">
        <v>3534</v>
      </c>
      <c r="BR538" t="str">
        <f t="shared" si="87"/>
        <v>-</v>
      </c>
      <c r="BS538" t="s">
        <v>3534</v>
      </c>
    </row>
    <row r="539" spans="1:71" x14ac:dyDescent="0.4">
      <c r="A539" s="3">
        <v>536</v>
      </c>
      <c r="B539" s="3">
        <v>536</v>
      </c>
      <c r="C539" s="4" t="s">
        <v>598</v>
      </c>
      <c r="D539" s="4" t="str">
        <f t="shared" si="88"/>
        <v>J473WL</v>
      </c>
      <c r="E539" s="4" t="s">
        <v>598</v>
      </c>
      <c r="F539" s="4" t="s">
        <v>1816</v>
      </c>
      <c r="G539" s="5">
        <v>4521718193847</v>
      </c>
      <c r="H539" s="5"/>
      <c r="I539" s="5"/>
      <c r="J539" s="5">
        <v>1</v>
      </c>
      <c r="K539" s="5">
        <v>1</v>
      </c>
      <c r="L539" s="4">
        <v>960</v>
      </c>
      <c r="M539" s="4">
        <v>768</v>
      </c>
      <c r="N539" s="4">
        <v>432</v>
      </c>
      <c r="O539" s="6">
        <f t="shared" si="89"/>
        <v>0.4375</v>
      </c>
      <c r="P539" s="4" t="s">
        <v>2500</v>
      </c>
      <c r="Q539" s="4"/>
      <c r="R539" s="4"/>
      <c r="S539" s="4"/>
      <c r="T539" s="4"/>
      <c r="U539" s="4"/>
      <c r="V539" s="4"/>
      <c r="W539" s="4"/>
      <c r="X539" s="4"/>
      <c r="Y539" s="4">
        <v>664</v>
      </c>
      <c r="Z539" s="4">
        <f t="shared" si="90"/>
        <v>664</v>
      </c>
      <c r="AA539" s="4">
        <v>432</v>
      </c>
      <c r="AB539" s="4">
        <f t="shared" si="91"/>
        <v>432</v>
      </c>
      <c r="AC539" s="4"/>
      <c r="AD539" s="21">
        <f>ROUND(M539*AR539,0)</f>
        <v>768</v>
      </c>
      <c r="AE539" s="6">
        <f>1-AB539/AD539</f>
        <v>0.4375</v>
      </c>
      <c r="AF539" s="33">
        <v>0</v>
      </c>
      <c r="AG539" s="4" t="str">
        <f t="shared" si="92"/>
        <v>-</v>
      </c>
      <c r="AH539" s="33" t="e">
        <f t="shared" si="85"/>
        <v>#VALUE!</v>
      </c>
      <c r="AI539" s="6" t="e">
        <f>1-AB539/AH539</f>
        <v>#VALUE!</v>
      </c>
      <c r="AJ539" s="7">
        <v>664</v>
      </c>
      <c r="AK539" s="6">
        <f>1-AB539/AJ539</f>
        <v>0.3493975903614458</v>
      </c>
      <c r="AL539" s="4">
        <f>AJ539-AB539</f>
        <v>232</v>
      </c>
      <c r="AM539" s="28"/>
      <c r="AN539" s="6"/>
      <c r="AO539" s="6"/>
      <c r="AP539" s="6">
        <f>Z539/L539</f>
        <v>0.69166666666666665</v>
      </c>
      <c r="AQ539" s="6">
        <f>AJ539/M539</f>
        <v>0.86458333333333337</v>
      </c>
      <c r="AR539" s="6">
        <f>AB539/N539</f>
        <v>1</v>
      </c>
      <c r="AS539" s="4"/>
      <c r="AT539" s="4"/>
      <c r="AU539" s="4"/>
      <c r="AV539" s="4"/>
      <c r="AW539" s="4"/>
      <c r="AX539" s="4"/>
      <c r="AY539" s="4"/>
      <c r="AZ539" s="4"/>
      <c r="BA539" s="4"/>
      <c r="BB539" s="4">
        <v>0</v>
      </c>
      <c r="BC539" s="4" t="s">
        <v>3534</v>
      </c>
      <c r="BD539" s="4"/>
      <c r="BE539" s="4"/>
      <c r="BF539" s="4" t="s">
        <v>3534</v>
      </c>
      <c r="BG539" s="4" t="s">
        <v>3534</v>
      </c>
      <c r="BH539" s="4" t="s">
        <v>3534</v>
      </c>
      <c r="BI539" s="4" t="str">
        <f t="shared" si="93"/>
        <v>-</v>
      </c>
      <c r="BJ539" s="19">
        <v>4</v>
      </c>
      <c r="BK539" s="19">
        <v>8</v>
      </c>
      <c r="BL539" s="16">
        <v>6</v>
      </c>
      <c r="BM539" s="45" t="s">
        <v>3534</v>
      </c>
      <c r="BN539" t="s">
        <v>3534</v>
      </c>
      <c r="BO539" t="str">
        <f t="shared" si="86"/>
        <v>-</v>
      </c>
      <c r="BP539" t="s">
        <v>3534</v>
      </c>
      <c r="BQ539" t="s">
        <v>3534</v>
      </c>
      <c r="BR539" t="str">
        <f t="shared" si="87"/>
        <v>-</v>
      </c>
      <c r="BS539" t="s">
        <v>3534</v>
      </c>
    </row>
    <row r="540" spans="1:71" x14ac:dyDescent="0.4">
      <c r="A540" s="3">
        <v>537</v>
      </c>
      <c r="B540" s="3">
        <v>537</v>
      </c>
      <c r="C540" s="4" t="s">
        <v>599</v>
      </c>
      <c r="D540" s="4" t="str">
        <f t="shared" si="88"/>
        <v>J474WL</v>
      </c>
      <c r="E540" s="4" t="s">
        <v>599</v>
      </c>
      <c r="F540" s="4" t="s">
        <v>1817</v>
      </c>
      <c r="G540" s="5">
        <v>4521718195162</v>
      </c>
      <c r="H540" s="5"/>
      <c r="I540" s="5"/>
      <c r="J540" s="5">
        <v>1</v>
      </c>
      <c r="K540" s="5">
        <v>1</v>
      </c>
      <c r="L540" s="4">
        <v>1000</v>
      </c>
      <c r="M540" s="4">
        <v>800</v>
      </c>
      <c r="N540" s="4">
        <v>446</v>
      </c>
      <c r="O540" s="6">
        <f t="shared" si="89"/>
        <v>0.4425</v>
      </c>
      <c r="P540" s="4" t="s">
        <v>2500</v>
      </c>
      <c r="Q540" s="4"/>
      <c r="R540" s="4"/>
      <c r="S540" s="4"/>
      <c r="T540" s="4"/>
      <c r="U540" s="4"/>
      <c r="V540" s="4"/>
      <c r="W540" s="4"/>
      <c r="X540" s="4"/>
      <c r="Y540" s="4">
        <v>637</v>
      </c>
      <c r="Z540" s="4">
        <f t="shared" si="90"/>
        <v>637</v>
      </c>
      <c r="AA540" s="4">
        <v>446</v>
      </c>
      <c r="AB540" s="4">
        <f t="shared" si="91"/>
        <v>446</v>
      </c>
      <c r="AC540" s="4"/>
      <c r="AD540" s="21">
        <f>ROUND(M540*AR540,0)</f>
        <v>800</v>
      </c>
      <c r="AE540" s="6">
        <f>1-AB540/AD540</f>
        <v>0.4425</v>
      </c>
      <c r="AF540" s="33">
        <v>0</v>
      </c>
      <c r="AG540" s="4" t="str">
        <f t="shared" si="92"/>
        <v>-</v>
      </c>
      <c r="AH540" s="33" t="e">
        <f t="shared" si="85"/>
        <v>#VALUE!</v>
      </c>
      <c r="AI540" s="6" t="e">
        <f>1-AB540/AH540</f>
        <v>#VALUE!</v>
      </c>
      <c r="AJ540" s="7">
        <v>637</v>
      </c>
      <c r="AK540" s="6">
        <f>1-AB540/AJ540</f>
        <v>0.29984301412872838</v>
      </c>
      <c r="AL540" s="4">
        <f>AJ540-AB540</f>
        <v>191</v>
      </c>
      <c r="AM540" s="28"/>
      <c r="AN540" s="6"/>
      <c r="AO540" s="6"/>
      <c r="AP540" s="6">
        <f>Z540/L540</f>
        <v>0.63700000000000001</v>
      </c>
      <c r="AQ540" s="6">
        <f>AJ540/M540</f>
        <v>0.79625000000000001</v>
      </c>
      <c r="AR540" s="6">
        <f>AB540/N540</f>
        <v>1</v>
      </c>
      <c r="AS540" s="4"/>
      <c r="AT540" s="4"/>
      <c r="AU540" s="4"/>
      <c r="AV540" s="4"/>
      <c r="AW540" s="4"/>
      <c r="AX540" s="4"/>
      <c r="AY540" s="4"/>
      <c r="AZ540" s="4"/>
      <c r="BA540" s="4"/>
      <c r="BB540" s="4">
        <v>0</v>
      </c>
      <c r="BC540" s="4" t="s">
        <v>3534</v>
      </c>
      <c r="BD540" s="4"/>
      <c r="BE540" s="4"/>
      <c r="BF540" s="4" t="s">
        <v>3534</v>
      </c>
      <c r="BG540" s="4" t="s">
        <v>3534</v>
      </c>
      <c r="BH540" s="4" t="s">
        <v>3534</v>
      </c>
      <c r="BI540" s="4" t="str">
        <f t="shared" si="93"/>
        <v>-</v>
      </c>
      <c r="BJ540" s="19">
        <v>4</v>
      </c>
      <c r="BK540" s="19">
        <v>8</v>
      </c>
      <c r="BL540" s="16">
        <v>6</v>
      </c>
      <c r="BM540" s="45" t="s">
        <v>3534</v>
      </c>
      <c r="BN540" t="s">
        <v>3534</v>
      </c>
      <c r="BO540" t="str">
        <f t="shared" si="86"/>
        <v>-</v>
      </c>
      <c r="BP540" t="s">
        <v>3534</v>
      </c>
      <c r="BQ540" t="s">
        <v>3534</v>
      </c>
      <c r="BR540" t="str">
        <f t="shared" si="87"/>
        <v>-</v>
      </c>
      <c r="BS540" t="s">
        <v>3534</v>
      </c>
    </row>
    <row r="541" spans="1:71" x14ac:dyDescent="0.4">
      <c r="A541" s="3">
        <v>538</v>
      </c>
      <c r="B541" s="3">
        <v>538</v>
      </c>
      <c r="C541" s="4" t="s">
        <v>600</v>
      </c>
      <c r="D541" s="4" t="str">
        <f t="shared" si="88"/>
        <v>J475WL</v>
      </c>
      <c r="E541" s="4" t="s">
        <v>600</v>
      </c>
      <c r="F541" s="4" t="s">
        <v>1818</v>
      </c>
      <c r="G541" s="5">
        <v>4521718195179</v>
      </c>
      <c r="H541" s="5"/>
      <c r="I541" s="5"/>
      <c r="J541" s="5">
        <v>1</v>
      </c>
      <c r="K541" s="5">
        <v>1</v>
      </c>
      <c r="L541" s="4">
        <v>1000</v>
      </c>
      <c r="M541" s="4">
        <v>800</v>
      </c>
      <c r="N541" s="4">
        <v>446</v>
      </c>
      <c r="O541" s="6">
        <f t="shared" si="89"/>
        <v>0.4425</v>
      </c>
      <c r="P541" s="4" t="s">
        <v>2500</v>
      </c>
      <c r="Q541" s="4"/>
      <c r="R541" s="4"/>
      <c r="S541" s="4"/>
      <c r="T541" s="4"/>
      <c r="U541" s="4"/>
      <c r="V541" s="4"/>
      <c r="W541" s="4"/>
      <c r="X541" s="4"/>
      <c r="Y541" s="4">
        <v>637</v>
      </c>
      <c r="Z541" s="4">
        <f t="shared" si="90"/>
        <v>637</v>
      </c>
      <c r="AA541" s="4">
        <v>446</v>
      </c>
      <c r="AB541" s="4">
        <f t="shared" si="91"/>
        <v>446</v>
      </c>
      <c r="AC541" s="4"/>
      <c r="AD541" s="21">
        <f>ROUND(M541*AR541,0)</f>
        <v>800</v>
      </c>
      <c r="AE541" s="6">
        <f>1-AB541/AD541</f>
        <v>0.4425</v>
      </c>
      <c r="AF541" s="33">
        <v>0</v>
      </c>
      <c r="AG541" s="4" t="str">
        <f t="shared" si="92"/>
        <v>-</v>
      </c>
      <c r="AH541" s="33" t="e">
        <f t="shared" si="85"/>
        <v>#VALUE!</v>
      </c>
      <c r="AI541" s="6" t="e">
        <f>1-AB541/AH541</f>
        <v>#VALUE!</v>
      </c>
      <c r="AJ541" s="7">
        <v>637</v>
      </c>
      <c r="AK541" s="6">
        <f>1-AB541/AJ541</f>
        <v>0.29984301412872838</v>
      </c>
      <c r="AL541" s="4">
        <f>AJ541-AB541</f>
        <v>191</v>
      </c>
      <c r="AM541" s="28"/>
      <c r="AN541" s="6"/>
      <c r="AO541" s="6"/>
      <c r="AP541" s="6">
        <f>Z541/L541</f>
        <v>0.63700000000000001</v>
      </c>
      <c r="AQ541" s="6">
        <f>AJ541/M541</f>
        <v>0.79625000000000001</v>
      </c>
      <c r="AR541" s="6">
        <f>AB541/N541</f>
        <v>1</v>
      </c>
      <c r="AS541" s="4"/>
      <c r="AT541" s="4"/>
      <c r="AU541" s="4"/>
      <c r="AV541" s="4"/>
      <c r="AW541" s="4"/>
      <c r="AX541" s="4"/>
      <c r="AY541" s="4"/>
      <c r="AZ541" s="4"/>
      <c r="BA541" s="4"/>
      <c r="BB541" s="4">
        <v>0</v>
      </c>
      <c r="BC541" s="4" t="s">
        <v>3534</v>
      </c>
      <c r="BD541" s="4"/>
      <c r="BE541" s="4"/>
      <c r="BF541" s="4" t="s">
        <v>3534</v>
      </c>
      <c r="BG541" s="4" t="s">
        <v>3534</v>
      </c>
      <c r="BH541" s="4" t="s">
        <v>3534</v>
      </c>
      <c r="BI541" s="4" t="str">
        <f t="shared" si="93"/>
        <v>-</v>
      </c>
      <c r="BJ541" s="19">
        <v>4</v>
      </c>
      <c r="BK541" s="19">
        <v>8</v>
      </c>
      <c r="BL541" s="16">
        <v>6</v>
      </c>
      <c r="BM541" s="45" t="s">
        <v>3534</v>
      </c>
      <c r="BN541" t="s">
        <v>3534</v>
      </c>
      <c r="BO541" t="str">
        <f t="shared" si="86"/>
        <v>-</v>
      </c>
      <c r="BP541" t="s">
        <v>3534</v>
      </c>
      <c r="BQ541" t="s">
        <v>3534</v>
      </c>
      <c r="BR541" t="str">
        <f t="shared" si="87"/>
        <v>-</v>
      </c>
      <c r="BS541" t="s">
        <v>3534</v>
      </c>
    </row>
    <row r="542" spans="1:71" x14ac:dyDescent="0.4">
      <c r="A542" s="3">
        <v>539</v>
      </c>
      <c r="B542" s="3">
        <v>539</v>
      </c>
      <c r="C542" s="4" t="s">
        <v>601</v>
      </c>
      <c r="D542" s="4" t="str">
        <f t="shared" si="88"/>
        <v>J476WL</v>
      </c>
      <c r="E542" s="4" t="s">
        <v>601</v>
      </c>
      <c r="F542" s="4" t="s">
        <v>1819</v>
      </c>
      <c r="G542" s="5">
        <v>4521718195216</v>
      </c>
      <c r="H542" s="5"/>
      <c r="I542" s="5"/>
      <c r="J542" s="5">
        <v>1</v>
      </c>
      <c r="K542" s="5">
        <v>1</v>
      </c>
      <c r="L542" s="4">
        <v>530</v>
      </c>
      <c r="M542" s="4">
        <v>424</v>
      </c>
      <c r="N542" s="4">
        <v>237</v>
      </c>
      <c r="O542" s="6">
        <f t="shared" si="89"/>
        <v>0.44103773584905659</v>
      </c>
      <c r="P542" s="4" t="s">
        <v>2500</v>
      </c>
      <c r="Q542" s="4"/>
      <c r="R542" s="4"/>
      <c r="S542" s="4"/>
      <c r="T542" s="4"/>
      <c r="U542" s="4"/>
      <c r="V542" s="4"/>
      <c r="W542" s="4"/>
      <c r="X542" s="4"/>
      <c r="Y542" s="4">
        <v>364</v>
      </c>
      <c r="Z542" s="4">
        <f t="shared" si="90"/>
        <v>364</v>
      </c>
      <c r="AA542" s="4">
        <v>237</v>
      </c>
      <c r="AB542" s="4">
        <f t="shared" si="91"/>
        <v>237</v>
      </c>
      <c r="AC542" s="4"/>
      <c r="AD542" s="21">
        <f>ROUND(M542*AR542,0)</f>
        <v>424</v>
      </c>
      <c r="AE542" s="6">
        <f>1-AB542/AD542</f>
        <v>0.44103773584905659</v>
      </c>
      <c r="AF542" s="33">
        <v>0</v>
      </c>
      <c r="AG542" s="4" t="str">
        <f t="shared" si="92"/>
        <v>-</v>
      </c>
      <c r="AH542" s="33" t="e">
        <f t="shared" si="85"/>
        <v>#VALUE!</v>
      </c>
      <c r="AI542" s="6" t="e">
        <f>1-AB542/AH542</f>
        <v>#VALUE!</v>
      </c>
      <c r="AJ542" s="7">
        <v>364</v>
      </c>
      <c r="AK542" s="6">
        <f>1-AB542/AJ542</f>
        <v>0.34890109890109888</v>
      </c>
      <c r="AL542" s="4">
        <f>AJ542-AB542</f>
        <v>127</v>
      </c>
      <c r="AM542" s="28"/>
      <c r="AN542" s="6"/>
      <c r="AO542" s="6"/>
      <c r="AP542" s="6">
        <f>Z542/L542</f>
        <v>0.68679245283018864</v>
      </c>
      <c r="AQ542" s="6">
        <f>AJ542/M542</f>
        <v>0.85849056603773588</v>
      </c>
      <c r="AR542" s="6">
        <f>AB542/N542</f>
        <v>1</v>
      </c>
      <c r="AS542" s="4"/>
      <c r="AT542" s="4"/>
      <c r="AU542" s="4"/>
      <c r="AV542" s="4"/>
      <c r="AW542" s="4"/>
      <c r="AX542" s="4"/>
      <c r="AY542" s="4"/>
      <c r="AZ542" s="4"/>
      <c r="BA542" s="4"/>
      <c r="BB542" s="4">
        <v>0</v>
      </c>
      <c r="BC542" s="4" t="s">
        <v>3534</v>
      </c>
      <c r="BD542" s="4"/>
      <c r="BE542" s="4"/>
      <c r="BF542" s="4" t="s">
        <v>3534</v>
      </c>
      <c r="BG542" s="4" t="s">
        <v>3534</v>
      </c>
      <c r="BH542" s="4" t="s">
        <v>3534</v>
      </c>
      <c r="BI542" s="4" t="str">
        <f t="shared" si="93"/>
        <v>-</v>
      </c>
      <c r="BJ542" s="19">
        <v>4</v>
      </c>
      <c r="BK542" s="19">
        <v>8</v>
      </c>
      <c r="BL542" s="16">
        <v>6</v>
      </c>
      <c r="BM542" s="45" t="s">
        <v>3534</v>
      </c>
      <c r="BN542" t="s">
        <v>3534</v>
      </c>
      <c r="BO542" t="str">
        <f t="shared" si="86"/>
        <v>-</v>
      </c>
      <c r="BP542" t="s">
        <v>3534</v>
      </c>
      <c r="BQ542" t="s">
        <v>3534</v>
      </c>
      <c r="BR542" t="str">
        <f t="shared" si="87"/>
        <v>-</v>
      </c>
      <c r="BS542" t="s">
        <v>3534</v>
      </c>
    </row>
    <row r="543" spans="1:71" x14ac:dyDescent="0.4">
      <c r="A543" s="3">
        <v>540</v>
      </c>
      <c r="B543" s="3">
        <v>540</v>
      </c>
      <c r="C543" s="4" t="s">
        <v>602</v>
      </c>
      <c r="D543" s="4" t="str">
        <f t="shared" si="88"/>
        <v>J477WL</v>
      </c>
      <c r="E543" s="4" t="s">
        <v>602</v>
      </c>
      <c r="F543" s="4" t="s">
        <v>1820</v>
      </c>
      <c r="G543" s="5">
        <v>4521718195223</v>
      </c>
      <c r="H543" s="5"/>
      <c r="I543" s="5"/>
      <c r="J543" s="5">
        <v>1</v>
      </c>
      <c r="K543" s="5">
        <v>1</v>
      </c>
      <c r="L543" s="4">
        <v>530</v>
      </c>
      <c r="M543" s="4">
        <v>424</v>
      </c>
      <c r="N543" s="4">
        <v>237</v>
      </c>
      <c r="O543" s="6">
        <f t="shared" si="89"/>
        <v>0.44103773584905659</v>
      </c>
      <c r="P543" s="4" t="s">
        <v>2500</v>
      </c>
      <c r="Q543" s="4"/>
      <c r="R543" s="4"/>
      <c r="S543" s="4"/>
      <c r="T543" s="4"/>
      <c r="U543" s="4"/>
      <c r="V543" s="4"/>
      <c r="W543" s="4"/>
      <c r="X543" s="4"/>
      <c r="Y543" s="4">
        <v>364</v>
      </c>
      <c r="Z543" s="4">
        <f t="shared" si="90"/>
        <v>364</v>
      </c>
      <c r="AA543" s="4">
        <v>237</v>
      </c>
      <c r="AB543" s="4">
        <f t="shared" si="91"/>
        <v>237</v>
      </c>
      <c r="AC543" s="4"/>
      <c r="AD543" s="21">
        <f>ROUND(M543*AR543,0)</f>
        <v>424</v>
      </c>
      <c r="AE543" s="6">
        <f>1-AB543/AD543</f>
        <v>0.44103773584905659</v>
      </c>
      <c r="AF543" s="33">
        <v>0</v>
      </c>
      <c r="AG543" s="4" t="str">
        <f t="shared" si="92"/>
        <v>-</v>
      </c>
      <c r="AH543" s="33" t="e">
        <f t="shared" si="85"/>
        <v>#VALUE!</v>
      </c>
      <c r="AI543" s="6" t="e">
        <f>1-AB543/AH543</f>
        <v>#VALUE!</v>
      </c>
      <c r="AJ543" s="7">
        <v>364</v>
      </c>
      <c r="AK543" s="6">
        <f>1-AB543/AJ543</f>
        <v>0.34890109890109888</v>
      </c>
      <c r="AL543" s="4">
        <f>AJ543-AB543</f>
        <v>127</v>
      </c>
      <c r="AM543" s="28"/>
      <c r="AN543" s="6"/>
      <c r="AO543" s="6"/>
      <c r="AP543" s="6">
        <f>Z543/L543</f>
        <v>0.68679245283018864</v>
      </c>
      <c r="AQ543" s="6">
        <f>AJ543/M543</f>
        <v>0.85849056603773588</v>
      </c>
      <c r="AR543" s="6">
        <f>AB543/N543</f>
        <v>1</v>
      </c>
      <c r="AS543" s="4"/>
      <c r="AT543" s="4"/>
      <c r="AU543" s="4"/>
      <c r="AV543" s="4"/>
      <c r="AW543" s="4"/>
      <c r="AX543" s="4"/>
      <c r="AY543" s="4"/>
      <c r="AZ543" s="4"/>
      <c r="BA543" s="4"/>
      <c r="BB543" s="4">
        <v>0</v>
      </c>
      <c r="BC543" s="4" t="s">
        <v>3534</v>
      </c>
      <c r="BD543" s="4"/>
      <c r="BE543" s="4"/>
      <c r="BF543" s="4" t="s">
        <v>3534</v>
      </c>
      <c r="BG543" s="4" t="s">
        <v>3534</v>
      </c>
      <c r="BH543" s="4" t="s">
        <v>3534</v>
      </c>
      <c r="BI543" s="4" t="str">
        <f t="shared" si="93"/>
        <v>-</v>
      </c>
      <c r="BJ543" s="19">
        <v>4</v>
      </c>
      <c r="BK543" s="19">
        <v>8</v>
      </c>
      <c r="BL543" s="16">
        <v>6</v>
      </c>
      <c r="BM543" s="45" t="s">
        <v>3534</v>
      </c>
      <c r="BN543" t="s">
        <v>3534</v>
      </c>
      <c r="BO543" t="str">
        <f t="shared" si="86"/>
        <v>-</v>
      </c>
      <c r="BP543" t="s">
        <v>3534</v>
      </c>
      <c r="BQ543" t="s">
        <v>3534</v>
      </c>
      <c r="BR543" t="str">
        <f t="shared" si="87"/>
        <v>-</v>
      </c>
      <c r="BS543" t="s">
        <v>3534</v>
      </c>
    </row>
    <row r="544" spans="1:71" x14ac:dyDescent="0.4">
      <c r="A544" s="3">
        <v>541</v>
      </c>
      <c r="B544" s="3">
        <v>541</v>
      </c>
      <c r="C544" s="4" t="s">
        <v>603</v>
      </c>
      <c r="D544" s="4" t="str">
        <f t="shared" si="88"/>
        <v>J478WL</v>
      </c>
      <c r="E544" s="4" t="s">
        <v>603</v>
      </c>
      <c r="F544" s="4" t="s">
        <v>1821</v>
      </c>
      <c r="G544" s="5">
        <v>4521718195360</v>
      </c>
      <c r="H544" s="5"/>
      <c r="I544" s="5"/>
      <c r="J544" s="5">
        <v>1</v>
      </c>
      <c r="K544" s="5">
        <v>1</v>
      </c>
      <c r="L544" s="4">
        <v>350</v>
      </c>
      <c r="M544" s="4">
        <v>280</v>
      </c>
      <c r="N544" s="4">
        <v>154</v>
      </c>
      <c r="O544" s="6">
        <f t="shared" si="89"/>
        <v>0.44999999999999996</v>
      </c>
      <c r="P544" s="4" t="s">
        <v>2500</v>
      </c>
      <c r="Q544" s="4"/>
      <c r="R544" s="4"/>
      <c r="S544" s="4"/>
      <c r="T544" s="4"/>
      <c r="U544" s="4"/>
      <c r="V544" s="4"/>
      <c r="W544" s="4"/>
      <c r="X544" s="4"/>
      <c r="Y544" s="4">
        <v>237</v>
      </c>
      <c r="Z544" s="4">
        <f t="shared" si="90"/>
        <v>237</v>
      </c>
      <c r="AA544" s="4">
        <v>154</v>
      </c>
      <c r="AB544" s="4">
        <f t="shared" si="91"/>
        <v>154</v>
      </c>
      <c r="AC544" s="4"/>
      <c r="AD544" s="21">
        <f>ROUND(M544*AR544,0)</f>
        <v>280</v>
      </c>
      <c r="AE544" s="6">
        <f>1-AB544/AD544</f>
        <v>0.44999999999999996</v>
      </c>
      <c r="AF544" s="33">
        <v>0</v>
      </c>
      <c r="AG544" s="4" t="str">
        <f t="shared" si="92"/>
        <v>-</v>
      </c>
      <c r="AH544" s="33" t="e">
        <f t="shared" si="85"/>
        <v>#VALUE!</v>
      </c>
      <c r="AI544" s="6" t="e">
        <f>1-AB544/AH544</f>
        <v>#VALUE!</v>
      </c>
      <c r="AJ544" s="7">
        <f>ROUND(AB544/0.65,0)</f>
        <v>237</v>
      </c>
      <c r="AK544" s="6">
        <f>1-AB544/AJ544</f>
        <v>0.35021097046413507</v>
      </c>
      <c r="AL544" s="4">
        <f>AJ544-AB544</f>
        <v>83</v>
      </c>
      <c r="AM544" s="28"/>
      <c r="AN544" s="6"/>
      <c r="AO544" s="6"/>
      <c r="AP544" s="6">
        <f>Z544/L544</f>
        <v>0.67714285714285716</v>
      </c>
      <c r="AQ544" s="6">
        <f>AJ544/M544</f>
        <v>0.84642857142857142</v>
      </c>
      <c r="AR544" s="6">
        <f>AB544/N544</f>
        <v>1</v>
      </c>
      <c r="AS544" s="4"/>
      <c r="AT544" s="4"/>
      <c r="AU544" s="4"/>
      <c r="AV544" s="4"/>
      <c r="AW544" s="4"/>
      <c r="AX544" s="4"/>
      <c r="AY544" s="4"/>
      <c r="AZ544" s="4"/>
      <c r="BA544" s="4"/>
      <c r="BB544" s="4">
        <v>0</v>
      </c>
      <c r="BC544" s="4" t="s">
        <v>3534</v>
      </c>
      <c r="BD544" s="4"/>
      <c r="BE544" s="4"/>
      <c r="BF544" s="4" t="s">
        <v>3534</v>
      </c>
      <c r="BG544" s="4" t="s">
        <v>3534</v>
      </c>
      <c r="BH544" s="4" t="s">
        <v>3534</v>
      </c>
      <c r="BI544" s="4" t="str">
        <f t="shared" si="93"/>
        <v>-</v>
      </c>
      <c r="BJ544" s="19">
        <v>4</v>
      </c>
      <c r="BK544" s="19">
        <v>8</v>
      </c>
      <c r="BL544" s="16">
        <v>6</v>
      </c>
      <c r="BM544" s="45" t="s">
        <v>3534</v>
      </c>
      <c r="BN544" t="s">
        <v>3534</v>
      </c>
      <c r="BO544" t="str">
        <f t="shared" si="86"/>
        <v>-</v>
      </c>
      <c r="BP544" t="s">
        <v>3534</v>
      </c>
      <c r="BQ544" t="s">
        <v>3534</v>
      </c>
      <c r="BR544" t="str">
        <f t="shared" si="87"/>
        <v>-</v>
      </c>
      <c r="BS544" t="s">
        <v>3534</v>
      </c>
    </row>
    <row r="545" spans="1:71" x14ac:dyDescent="0.4">
      <c r="A545" s="3">
        <v>542</v>
      </c>
      <c r="B545" s="3">
        <v>542</v>
      </c>
      <c r="C545" s="4" t="s">
        <v>604</v>
      </c>
      <c r="D545" s="4" t="str">
        <f t="shared" si="88"/>
        <v>J479WL</v>
      </c>
      <c r="E545" s="4" t="s">
        <v>604</v>
      </c>
      <c r="F545" s="4" t="s">
        <v>1822</v>
      </c>
      <c r="G545" s="5">
        <v>4521718196022</v>
      </c>
      <c r="H545" s="5"/>
      <c r="I545" s="5"/>
      <c r="J545" s="5">
        <v>1</v>
      </c>
      <c r="K545" s="5">
        <v>1</v>
      </c>
      <c r="L545" s="4">
        <v>780</v>
      </c>
      <c r="M545" s="4">
        <v>624</v>
      </c>
      <c r="N545" s="4">
        <v>349</v>
      </c>
      <c r="O545" s="6">
        <f t="shared" si="89"/>
        <v>0.44070512820512819</v>
      </c>
      <c r="P545" s="4" t="s">
        <v>2500</v>
      </c>
      <c r="Q545" s="4"/>
      <c r="R545" s="4"/>
      <c r="S545" s="4"/>
      <c r="T545" s="4"/>
      <c r="U545" s="4"/>
      <c r="V545" s="4"/>
      <c r="W545" s="4"/>
      <c r="X545" s="4"/>
      <c r="Y545" s="4">
        <v>537</v>
      </c>
      <c r="Z545" s="4">
        <f t="shared" si="90"/>
        <v>537</v>
      </c>
      <c r="AA545" s="4">
        <v>349</v>
      </c>
      <c r="AB545" s="4">
        <f t="shared" si="91"/>
        <v>349</v>
      </c>
      <c r="AC545" s="4"/>
      <c r="AD545" s="21">
        <f>ROUND(M545*AR545,0)</f>
        <v>624</v>
      </c>
      <c r="AE545" s="6">
        <f>1-AB545/AD545</f>
        <v>0.44070512820512819</v>
      </c>
      <c r="AF545" s="33">
        <v>0</v>
      </c>
      <c r="AG545" s="4" t="str">
        <f t="shared" si="92"/>
        <v>-</v>
      </c>
      <c r="AH545" s="33" t="e">
        <f t="shared" si="85"/>
        <v>#VALUE!</v>
      </c>
      <c r="AI545" s="6" t="e">
        <f>1-AB545/AH545</f>
        <v>#VALUE!</v>
      </c>
      <c r="AJ545" s="7">
        <f>ROUND(AB545/0.65,0)</f>
        <v>537</v>
      </c>
      <c r="AK545" s="6">
        <f>1-AB545/AJ545</f>
        <v>0.35009310986964615</v>
      </c>
      <c r="AL545" s="4">
        <f>AJ545-AB545</f>
        <v>188</v>
      </c>
      <c r="AM545" s="28"/>
      <c r="AN545" s="6"/>
      <c r="AO545" s="6"/>
      <c r="AP545" s="6">
        <f>Z545/L545</f>
        <v>0.68846153846153846</v>
      </c>
      <c r="AQ545" s="6">
        <f>AJ545/M545</f>
        <v>0.86057692307692313</v>
      </c>
      <c r="AR545" s="6">
        <f>AB545/N545</f>
        <v>1</v>
      </c>
      <c r="AS545" s="4"/>
      <c r="AT545" s="4"/>
      <c r="AU545" s="4"/>
      <c r="AV545" s="4"/>
      <c r="AW545" s="4"/>
      <c r="AX545" s="4"/>
      <c r="AY545" s="4"/>
      <c r="AZ545" s="4"/>
      <c r="BA545" s="4"/>
      <c r="BB545" s="4">
        <v>0</v>
      </c>
      <c r="BC545" s="4" t="s">
        <v>3534</v>
      </c>
      <c r="BD545" s="4"/>
      <c r="BE545" s="4"/>
      <c r="BF545" s="4" t="s">
        <v>3534</v>
      </c>
      <c r="BG545" s="4" t="s">
        <v>3534</v>
      </c>
      <c r="BH545" s="4" t="s">
        <v>3534</v>
      </c>
      <c r="BI545" s="4" t="str">
        <f t="shared" si="93"/>
        <v>-</v>
      </c>
      <c r="BJ545" s="19">
        <v>4</v>
      </c>
      <c r="BK545" s="19">
        <v>8</v>
      </c>
      <c r="BL545" s="16">
        <v>6</v>
      </c>
      <c r="BM545" s="45" t="s">
        <v>3534</v>
      </c>
      <c r="BN545" t="s">
        <v>3534</v>
      </c>
      <c r="BO545" t="str">
        <f t="shared" si="86"/>
        <v>-</v>
      </c>
      <c r="BP545" t="s">
        <v>3534</v>
      </c>
      <c r="BQ545" t="s">
        <v>3534</v>
      </c>
      <c r="BR545" t="str">
        <f t="shared" si="87"/>
        <v>-</v>
      </c>
      <c r="BS545" t="s">
        <v>3534</v>
      </c>
    </row>
    <row r="546" spans="1:71" x14ac:dyDescent="0.4">
      <c r="A546" s="3">
        <v>543</v>
      </c>
      <c r="B546" s="3">
        <v>543</v>
      </c>
      <c r="C546" s="4" t="s">
        <v>605</v>
      </c>
      <c r="D546" s="4" t="str">
        <f t="shared" si="88"/>
        <v>J480RR</v>
      </c>
      <c r="E546" s="4" t="s">
        <v>605</v>
      </c>
      <c r="F546" s="4" t="s">
        <v>1823</v>
      </c>
      <c r="G546" s="5">
        <v>4521718076423</v>
      </c>
      <c r="H546" s="5"/>
      <c r="I546" s="5"/>
      <c r="J546" s="5">
        <v>1</v>
      </c>
      <c r="K546" s="5">
        <v>1</v>
      </c>
      <c r="L546" s="4">
        <v>730</v>
      </c>
      <c r="M546" s="4">
        <v>475</v>
      </c>
      <c r="N546" s="4">
        <v>325</v>
      </c>
      <c r="O546" s="6">
        <f t="shared" si="89"/>
        <v>0.31578947368421051</v>
      </c>
      <c r="P546" s="4" t="s">
        <v>2500</v>
      </c>
      <c r="Q546" s="4"/>
      <c r="R546" s="4"/>
      <c r="S546" s="4"/>
      <c r="T546" s="4"/>
      <c r="U546" s="4"/>
      <c r="V546" s="4"/>
      <c r="W546" s="4"/>
      <c r="X546" s="4"/>
      <c r="Y546" s="4">
        <v>737</v>
      </c>
      <c r="Z546" s="4">
        <f t="shared" si="90"/>
        <v>737</v>
      </c>
      <c r="AA546" s="4">
        <v>332</v>
      </c>
      <c r="AB546" s="4">
        <f t="shared" si="91"/>
        <v>332</v>
      </c>
      <c r="AC546" s="4"/>
      <c r="AD546" s="21">
        <f>ROUND(M546*AR546,0)</f>
        <v>485</v>
      </c>
      <c r="AE546" s="6">
        <f>1-AB546/AD546</f>
        <v>0.31546391752577319</v>
      </c>
      <c r="AF546" s="33">
        <v>0</v>
      </c>
      <c r="AG546" s="4">
        <f t="shared" si="92"/>
        <v>660</v>
      </c>
      <c r="AH546" s="33">
        <f t="shared" si="85"/>
        <v>674.21538461538455</v>
      </c>
      <c r="AI546" s="6">
        <f>1-AB546/AH546</f>
        <v>0.50757575757575757</v>
      </c>
      <c r="AJ546" s="7">
        <f>ROUND(AB546/0.65,0)</f>
        <v>511</v>
      </c>
      <c r="AK546" s="6">
        <f>1-AB546/AJ546</f>
        <v>0.35029354207436403</v>
      </c>
      <c r="AL546" s="4">
        <f>AJ546-AB546</f>
        <v>179</v>
      </c>
      <c r="AM546" s="28"/>
      <c r="AN546" s="6"/>
      <c r="AO546" s="6"/>
      <c r="AP546" s="6">
        <f>Z546/L546</f>
        <v>1.0095890410958903</v>
      </c>
      <c r="AQ546" s="6">
        <f>AJ546/M546</f>
        <v>1.0757894736842106</v>
      </c>
      <c r="AR546" s="6">
        <f>AB546/N546</f>
        <v>1.0215384615384615</v>
      </c>
      <c r="AS546" s="4"/>
      <c r="AT546" s="4"/>
      <c r="AU546" s="4"/>
      <c r="AV546" s="4"/>
      <c r="AW546" s="4"/>
      <c r="AX546" s="4"/>
      <c r="AY546" s="4"/>
      <c r="AZ546" s="4"/>
      <c r="BA546" s="4"/>
      <c r="BB546" s="4">
        <v>0</v>
      </c>
      <c r="BC546" s="4" t="s">
        <v>4030</v>
      </c>
      <c r="BD546" s="4">
        <v>1</v>
      </c>
      <c r="BE546" s="4">
        <v>3</v>
      </c>
      <c r="BF546" s="4" t="s">
        <v>3638</v>
      </c>
      <c r="BG546" s="4">
        <v>1980</v>
      </c>
      <c r="BH546" s="4">
        <v>1980</v>
      </c>
      <c r="BI546" s="4">
        <f t="shared" si="93"/>
        <v>660</v>
      </c>
      <c r="BJ546" s="19">
        <v>4</v>
      </c>
      <c r="BK546" s="19">
        <v>8</v>
      </c>
      <c r="BL546" s="16">
        <v>6</v>
      </c>
      <c r="BM546" s="45" t="s">
        <v>3534</v>
      </c>
      <c r="BN546" t="s">
        <v>3534</v>
      </c>
      <c r="BO546" t="str">
        <f t="shared" si="86"/>
        <v>-</v>
      </c>
      <c r="BP546" t="s">
        <v>3534</v>
      </c>
      <c r="BQ546">
        <v>500</v>
      </c>
      <c r="BR546">
        <f t="shared" si="87"/>
        <v>510.76923076923077</v>
      </c>
      <c r="BS546" t="s">
        <v>2921</v>
      </c>
    </row>
    <row r="547" spans="1:71" x14ac:dyDescent="0.4">
      <c r="A547" s="3">
        <v>544</v>
      </c>
      <c r="B547" s="3">
        <v>544</v>
      </c>
      <c r="C547" s="4" t="s">
        <v>606</v>
      </c>
      <c r="D547" s="4" t="str">
        <f t="shared" si="88"/>
        <v>J480WL</v>
      </c>
      <c r="E547" s="4" t="s">
        <v>606</v>
      </c>
      <c r="F547" s="4" t="s">
        <v>1824</v>
      </c>
      <c r="G547" s="5">
        <v>4521718196039</v>
      </c>
      <c r="H547" s="5"/>
      <c r="I547" s="5"/>
      <c r="J547" s="5">
        <v>1</v>
      </c>
      <c r="K547" s="5">
        <v>1</v>
      </c>
      <c r="L547" s="4">
        <v>350</v>
      </c>
      <c r="M547" s="4">
        <v>280</v>
      </c>
      <c r="N547" s="4">
        <v>154</v>
      </c>
      <c r="O547" s="6">
        <f t="shared" si="89"/>
        <v>0.44999999999999996</v>
      </c>
      <c r="P547" s="4" t="s">
        <v>2500</v>
      </c>
      <c r="Q547" s="4"/>
      <c r="R547" s="4"/>
      <c r="S547" s="4"/>
      <c r="T547" s="4"/>
      <c r="U547" s="4"/>
      <c r="V547" s="4"/>
      <c r="W547" s="4"/>
      <c r="X547" s="4"/>
      <c r="Y547" s="4">
        <v>237</v>
      </c>
      <c r="Z547" s="4">
        <f t="shared" si="90"/>
        <v>237</v>
      </c>
      <c r="AA547" s="4">
        <v>154</v>
      </c>
      <c r="AB547" s="4">
        <f t="shared" si="91"/>
        <v>154</v>
      </c>
      <c r="AC547" s="4"/>
      <c r="AD547" s="21">
        <f>ROUND(M547*AR547,0)</f>
        <v>280</v>
      </c>
      <c r="AE547" s="6">
        <f>1-AB547/AD547</f>
        <v>0.44999999999999996</v>
      </c>
      <c r="AF547" s="33">
        <v>0</v>
      </c>
      <c r="AG547" s="4" t="str">
        <f t="shared" si="92"/>
        <v>-</v>
      </c>
      <c r="AH547" s="33" t="e">
        <f t="shared" si="85"/>
        <v>#VALUE!</v>
      </c>
      <c r="AI547" s="6" t="e">
        <f>1-AB547/AH547</f>
        <v>#VALUE!</v>
      </c>
      <c r="AJ547" s="7">
        <f>ROUND(AB547/0.65,0)</f>
        <v>237</v>
      </c>
      <c r="AK547" s="6">
        <f>1-AB547/AJ547</f>
        <v>0.35021097046413507</v>
      </c>
      <c r="AL547" s="4">
        <f>AJ547-AB547</f>
        <v>83</v>
      </c>
      <c r="AM547" s="28"/>
      <c r="AN547" s="6"/>
      <c r="AO547" s="6"/>
      <c r="AP547" s="6">
        <f>Z547/L547</f>
        <v>0.67714285714285716</v>
      </c>
      <c r="AQ547" s="6">
        <f>AJ547/M547</f>
        <v>0.84642857142857142</v>
      </c>
      <c r="AR547" s="6">
        <f>AB547/N547</f>
        <v>1</v>
      </c>
      <c r="AS547" s="4"/>
      <c r="AT547" s="4"/>
      <c r="AU547" s="4"/>
      <c r="AV547" s="4"/>
      <c r="AW547" s="4"/>
      <c r="AX547" s="4"/>
      <c r="AY547" s="4"/>
      <c r="AZ547" s="4"/>
      <c r="BA547" s="4"/>
      <c r="BB547" s="4">
        <v>0</v>
      </c>
      <c r="BC547" s="4" t="s">
        <v>3534</v>
      </c>
      <c r="BD547" s="4"/>
      <c r="BE547" s="4"/>
      <c r="BF547" s="4" t="s">
        <v>3534</v>
      </c>
      <c r="BG547" s="4" t="s">
        <v>3534</v>
      </c>
      <c r="BH547" s="4" t="s">
        <v>3534</v>
      </c>
      <c r="BI547" s="4" t="str">
        <f t="shared" si="93"/>
        <v>-</v>
      </c>
      <c r="BJ547" s="19">
        <v>4</v>
      </c>
      <c r="BK547" s="19">
        <v>8</v>
      </c>
      <c r="BL547" s="16">
        <v>6</v>
      </c>
      <c r="BM547" s="45" t="s">
        <v>3534</v>
      </c>
      <c r="BN547" t="s">
        <v>3534</v>
      </c>
      <c r="BO547" t="str">
        <f t="shared" si="86"/>
        <v>-</v>
      </c>
      <c r="BP547" t="s">
        <v>3534</v>
      </c>
      <c r="BQ547" t="s">
        <v>3534</v>
      </c>
      <c r="BR547" t="str">
        <f t="shared" si="87"/>
        <v>-</v>
      </c>
      <c r="BS547" t="s">
        <v>3534</v>
      </c>
    </row>
    <row r="548" spans="1:71" x14ac:dyDescent="0.4">
      <c r="A548" s="3">
        <v>545</v>
      </c>
      <c r="B548" s="3">
        <v>545</v>
      </c>
      <c r="C548" s="4" t="s">
        <v>607</v>
      </c>
      <c r="D548" s="4" t="str">
        <f t="shared" si="88"/>
        <v>J480WP</v>
      </c>
      <c r="E548" s="4" t="s">
        <v>607</v>
      </c>
      <c r="F548" s="4" t="s">
        <v>1825</v>
      </c>
      <c r="G548" s="5">
        <v>4521718069968</v>
      </c>
      <c r="H548" s="5"/>
      <c r="I548" s="5"/>
      <c r="J548" s="5">
        <v>1</v>
      </c>
      <c r="K548" s="5">
        <v>1</v>
      </c>
      <c r="L548" s="4">
        <v>220</v>
      </c>
      <c r="M548" s="4">
        <v>137</v>
      </c>
      <c r="N548" s="4">
        <v>96</v>
      </c>
      <c r="O548" s="6">
        <f t="shared" si="89"/>
        <v>0.2992700729927007</v>
      </c>
      <c r="P548" s="4" t="s">
        <v>2500</v>
      </c>
      <c r="Q548" s="4"/>
      <c r="R548" s="4"/>
      <c r="S548" s="4"/>
      <c r="T548" s="4"/>
      <c r="U548" s="4"/>
      <c r="V548" s="4"/>
      <c r="W548" s="4"/>
      <c r="X548" s="4"/>
      <c r="Y548" s="4">
        <v>137</v>
      </c>
      <c r="Z548" s="4">
        <f t="shared" si="90"/>
        <v>137</v>
      </c>
      <c r="AA548" s="4">
        <v>96</v>
      </c>
      <c r="AB548" s="4">
        <f t="shared" si="91"/>
        <v>96</v>
      </c>
      <c r="AC548" s="4"/>
      <c r="AD548" s="21">
        <f>ROUND(M548*AR548,0)</f>
        <v>137</v>
      </c>
      <c r="AE548" s="6">
        <f>1-AB548/AD548</f>
        <v>0.2992700729927007</v>
      </c>
      <c r="AF548" s="33">
        <v>0</v>
      </c>
      <c r="AG548" s="4">
        <f t="shared" si="92"/>
        <v>300</v>
      </c>
      <c r="AH548" s="33">
        <f t="shared" si="85"/>
        <v>300</v>
      </c>
      <c r="AI548" s="6">
        <f>1-AB548/AH548</f>
        <v>0.67999999999999994</v>
      </c>
      <c r="AJ548" s="7">
        <v>137</v>
      </c>
      <c r="AK548" s="6">
        <f>1-AB548/AJ548</f>
        <v>0.2992700729927007</v>
      </c>
      <c r="AL548" s="4">
        <f>AJ548-AB548</f>
        <v>41</v>
      </c>
      <c r="AM548" s="28"/>
      <c r="AN548" s="6"/>
      <c r="AO548" s="6"/>
      <c r="AP548" s="6">
        <f>Z548/L548</f>
        <v>0.62272727272727268</v>
      </c>
      <c r="AQ548" s="6">
        <f>AJ548/M548</f>
        <v>1</v>
      </c>
      <c r="AR548" s="6">
        <f>AB548/N548</f>
        <v>1</v>
      </c>
      <c r="AS548" s="4"/>
      <c r="AT548" s="4"/>
      <c r="AU548" s="4"/>
      <c r="AV548" s="4"/>
      <c r="AW548" s="4"/>
      <c r="AX548" s="4"/>
      <c r="AY548" s="4"/>
      <c r="AZ548" s="4"/>
      <c r="BA548" s="4"/>
      <c r="BB548" s="4">
        <v>0</v>
      </c>
      <c r="BC548" s="4" t="s">
        <v>4031</v>
      </c>
      <c r="BD548" s="4">
        <v>1</v>
      </c>
      <c r="BE548" s="4">
        <v>10</v>
      </c>
      <c r="BF548" s="4" t="s">
        <v>4032</v>
      </c>
      <c r="BG548" s="4">
        <v>3000</v>
      </c>
      <c r="BH548" s="4">
        <v>3000</v>
      </c>
      <c r="BI548" s="4">
        <f t="shared" si="93"/>
        <v>300</v>
      </c>
      <c r="BJ548" s="19">
        <v>4</v>
      </c>
      <c r="BK548" s="19">
        <v>8</v>
      </c>
      <c r="BL548" s="16">
        <v>19</v>
      </c>
      <c r="BM548" s="45" t="s">
        <v>3534</v>
      </c>
      <c r="BN548" t="s">
        <v>3534</v>
      </c>
      <c r="BO548" t="str">
        <f t="shared" si="86"/>
        <v>-</v>
      </c>
      <c r="BP548" t="s">
        <v>3534</v>
      </c>
      <c r="BQ548" t="s">
        <v>3534</v>
      </c>
      <c r="BR548" t="str">
        <f t="shared" si="87"/>
        <v>-</v>
      </c>
      <c r="BS548" t="s">
        <v>2922</v>
      </c>
    </row>
    <row r="549" spans="1:71" x14ac:dyDescent="0.4">
      <c r="A549" s="3">
        <v>546</v>
      </c>
      <c r="B549" s="3">
        <v>546</v>
      </c>
      <c r="C549" s="4" t="s">
        <v>608</v>
      </c>
      <c r="D549" s="4" t="str">
        <f t="shared" si="88"/>
        <v>J481WL</v>
      </c>
      <c r="E549" s="4" t="s">
        <v>608</v>
      </c>
      <c r="F549" s="4" t="s">
        <v>1826</v>
      </c>
      <c r="G549" s="5">
        <v>4521718196046</v>
      </c>
      <c r="H549" s="5"/>
      <c r="I549" s="5"/>
      <c r="J549" s="5">
        <v>1</v>
      </c>
      <c r="K549" s="5">
        <v>1</v>
      </c>
      <c r="L549" s="4">
        <v>640</v>
      </c>
      <c r="M549" s="4">
        <v>512</v>
      </c>
      <c r="N549" s="4">
        <v>284</v>
      </c>
      <c r="O549" s="6">
        <f t="shared" si="89"/>
        <v>0.4453125</v>
      </c>
      <c r="P549" s="4" t="s">
        <v>2500</v>
      </c>
      <c r="Q549" s="4"/>
      <c r="R549" s="4"/>
      <c r="S549" s="4"/>
      <c r="T549" s="4"/>
      <c r="U549" s="4"/>
      <c r="V549" s="4"/>
      <c r="W549" s="4"/>
      <c r="X549" s="4"/>
      <c r="Y549" s="4">
        <v>437</v>
      </c>
      <c r="Z549" s="4">
        <f t="shared" si="90"/>
        <v>437</v>
      </c>
      <c r="AA549" s="4">
        <v>284</v>
      </c>
      <c r="AB549" s="4">
        <f t="shared" si="91"/>
        <v>284</v>
      </c>
      <c r="AC549" s="4"/>
      <c r="AD549" s="21">
        <f>ROUND(M549*AR549,0)</f>
        <v>512</v>
      </c>
      <c r="AE549" s="6">
        <f>1-AB549/AD549</f>
        <v>0.4453125</v>
      </c>
      <c r="AF549" s="33">
        <v>0</v>
      </c>
      <c r="AG549" s="4" t="str">
        <f t="shared" si="92"/>
        <v>-</v>
      </c>
      <c r="AH549" s="33" t="e">
        <f t="shared" si="85"/>
        <v>#VALUE!</v>
      </c>
      <c r="AI549" s="6" t="e">
        <f>1-AB549/AH549</f>
        <v>#VALUE!</v>
      </c>
      <c r="AJ549" s="7">
        <f>ROUND(AB549/0.65,0)</f>
        <v>437</v>
      </c>
      <c r="AK549" s="6">
        <f>1-AB549/AJ549</f>
        <v>0.35011441647597252</v>
      </c>
      <c r="AL549" s="4">
        <f>AJ549-AB549</f>
        <v>153</v>
      </c>
      <c r="AM549" s="28"/>
      <c r="AN549" s="6"/>
      <c r="AO549" s="6"/>
      <c r="AP549" s="6">
        <f>Z549/L549</f>
        <v>0.68281250000000004</v>
      </c>
      <c r="AQ549" s="6">
        <f>AJ549/M549</f>
        <v>0.853515625</v>
      </c>
      <c r="AR549" s="6">
        <f>AB549/N549</f>
        <v>1</v>
      </c>
      <c r="AS549" s="4"/>
      <c r="AT549" s="4"/>
      <c r="AU549" s="4"/>
      <c r="AV549" s="4"/>
      <c r="AW549" s="4"/>
      <c r="AX549" s="4"/>
      <c r="AY549" s="4"/>
      <c r="AZ549" s="4"/>
      <c r="BA549" s="4"/>
      <c r="BB549" s="4">
        <v>0</v>
      </c>
      <c r="BC549" s="4" t="s">
        <v>3534</v>
      </c>
      <c r="BD549" s="4"/>
      <c r="BE549" s="4"/>
      <c r="BF549" s="4" t="s">
        <v>3534</v>
      </c>
      <c r="BG549" s="4" t="s">
        <v>3534</v>
      </c>
      <c r="BH549" s="4" t="s">
        <v>3534</v>
      </c>
      <c r="BI549" s="4" t="str">
        <f t="shared" si="93"/>
        <v>-</v>
      </c>
      <c r="BJ549" s="19">
        <v>4</v>
      </c>
      <c r="BK549" s="19">
        <v>8</v>
      </c>
      <c r="BL549" s="16">
        <v>6</v>
      </c>
      <c r="BM549" s="45" t="s">
        <v>3534</v>
      </c>
      <c r="BN549" t="s">
        <v>3534</v>
      </c>
      <c r="BO549" t="str">
        <f t="shared" si="86"/>
        <v>-</v>
      </c>
      <c r="BP549" t="s">
        <v>3534</v>
      </c>
      <c r="BQ549" t="s">
        <v>3534</v>
      </c>
      <c r="BR549" t="str">
        <f t="shared" si="87"/>
        <v>-</v>
      </c>
      <c r="BS549" t="s">
        <v>3534</v>
      </c>
    </row>
    <row r="550" spans="1:71" x14ac:dyDescent="0.4">
      <c r="A550" s="3">
        <v>547</v>
      </c>
      <c r="B550" s="3">
        <v>547</v>
      </c>
      <c r="C550" s="4" t="s">
        <v>609</v>
      </c>
      <c r="D550" s="4" t="str">
        <f t="shared" si="88"/>
        <v>J482WL</v>
      </c>
      <c r="E550" s="4" t="s">
        <v>609</v>
      </c>
      <c r="F550" s="4" t="s">
        <v>1827</v>
      </c>
      <c r="G550" s="5">
        <v>4521718218588</v>
      </c>
      <c r="H550" s="5"/>
      <c r="I550" s="5"/>
      <c r="J550" s="5">
        <v>1</v>
      </c>
      <c r="K550" s="5">
        <v>1</v>
      </c>
      <c r="L550" s="4">
        <v>600</v>
      </c>
      <c r="M550" s="4">
        <v>480</v>
      </c>
      <c r="N550" s="4">
        <v>267</v>
      </c>
      <c r="O550" s="6">
        <f t="shared" si="89"/>
        <v>0.44374999999999998</v>
      </c>
      <c r="P550" s="4" t="s">
        <v>2500</v>
      </c>
      <c r="Q550" s="4"/>
      <c r="R550" s="4"/>
      <c r="S550" s="4"/>
      <c r="T550" s="4"/>
      <c r="U550" s="4"/>
      <c r="V550" s="4"/>
      <c r="W550" s="4"/>
      <c r="X550" s="4"/>
      <c r="Y550" s="4">
        <v>410</v>
      </c>
      <c r="Z550" s="4">
        <f t="shared" si="90"/>
        <v>410</v>
      </c>
      <c r="AA550" s="4">
        <v>267</v>
      </c>
      <c r="AB550" s="4">
        <f t="shared" si="91"/>
        <v>267</v>
      </c>
      <c r="AC550" s="4"/>
      <c r="AD550" s="21">
        <f>ROUND(M550*AR550,0)</f>
        <v>480</v>
      </c>
      <c r="AE550" s="6">
        <f>1-AB550/AD550</f>
        <v>0.44374999999999998</v>
      </c>
      <c r="AF550" s="33">
        <v>0</v>
      </c>
      <c r="AG550" s="4" t="str">
        <f t="shared" si="92"/>
        <v>-</v>
      </c>
      <c r="AH550" s="33" t="e">
        <f t="shared" si="85"/>
        <v>#VALUE!</v>
      </c>
      <c r="AI550" s="6" t="e">
        <f>1-AB550/AH550</f>
        <v>#VALUE!</v>
      </c>
      <c r="AJ550" s="7">
        <v>410</v>
      </c>
      <c r="AK550" s="6">
        <f>1-AB550/AJ550</f>
        <v>0.34878048780487803</v>
      </c>
      <c r="AL550" s="4">
        <f>AJ550-AB550</f>
        <v>143</v>
      </c>
      <c r="AM550" s="28"/>
      <c r="AN550" s="6"/>
      <c r="AO550" s="6"/>
      <c r="AP550" s="6">
        <f>Z550/L550</f>
        <v>0.68333333333333335</v>
      </c>
      <c r="AQ550" s="6">
        <f>AJ550/M550</f>
        <v>0.85416666666666663</v>
      </c>
      <c r="AR550" s="6">
        <f>AB550/N550</f>
        <v>1</v>
      </c>
      <c r="AS550" s="4"/>
      <c r="AT550" s="4"/>
      <c r="AU550" s="4"/>
      <c r="AV550" s="4"/>
      <c r="AW550" s="4"/>
      <c r="AX550" s="4"/>
      <c r="AY550" s="4"/>
      <c r="AZ550" s="4"/>
      <c r="BA550" s="4"/>
      <c r="BB550" s="4">
        <v>0</v>
      </c>
      <c r="BC550" s="4" t="s">
        <v>3534</v>
      </c>
      <c r="BD550" s="4"/>
      <c r="BE550" s="4"/>
      <c r="BF550" s="4" t="s">
        <v>3534</v>
      </c>
      <c r="BG550" s="4" t="s">
        <v>3534</v>
      </c>
      <c r="BH550" s="4" t="s">
        <v>3534</v>
      </c>
      <c r="BI550" s="4" t="str">
        <f t="shared" si="93"/>
        <v>-</v>
      </c>
      <c r="BJ550" s="19">
        <v>4</v>
      </c>
      <c r="BK550" s="19">
        <v>8</v>
      </c>
      <c r="BL550" s="16">
        <v>6</v>
      </c>
      <c r="BM550" s="45" t="s">
        <v>3534</v>
      </c>
      <c r="BN550" t="s">
        <v>3534</v>
      </c>
      <c r="BO550" t="str">
        <f t="shared" si="86"/>
        <v>-</v>
      </c>
      <c r="BP550" t="s">
        <v>3534</v>
      </c>
      <c r="BQ550" t="s">
        <v>3534</v>
      </c>
      <c r="BR550" t="str">
        <f t="shared" si="87"/>
        <v>-</v>
      </c>
      <c r="BS550" t="s">
        <v>3534</v>
      </c>
    </row>
    <row r="551" spans="1:71" x14ac:dyDescent="0.4">
      <c r="A551" s="3">
        <v>548</v>
      </c>
      <c r="B551" s="3">
        <v>548</v>
      </c>
      <c r="C551" s="4" t="s">
        <v>610</v>
      </c>
      <c r="D551" s="4" t="str">
        <f t="shared" si="88"/>
        <v>J483WL</v>
      </c>
      <c r="E551" s="4" t="s">
        <v>610</v>
      </c>
      <c r="F551" s="4" t="s">
        <v>1828</v>
      </c>
      <c r="G551" s="5">
        <v>4521718218595</v>
      </c>
      <c r="H551" s="5"/>
      <c r="I551" s="5"/>
      <c r="J551" s="5">
        <v>1</v>
      </c>
      <c r="K551" s="5">
        <v>1</v>
      </c>
      <c r="L551" s="4">
        <v>600</v>
      </c>
      <c r="M551" s="4">
        <v>480</v>
      </c>
      <c r="N551" s="4">
        <v>267</v>
      </c>
      <c r="O551" s="6">
        <f t="shared" si="89"/>
        <v>0.44374999999999998</v>
      </c>
      <c r="P551" s="4" t="s">
        <v>2500</v>
      </c>
      <c r="Q551" s="4"/>
      <c r="R551" s="4"/>
      <c r="S551" s="4"/>
      <c r="T551" s="4"/>
      <c r="U551" s="4"/>
      <c r="V551" s="4"/>
      <c r="W551" s="4"/>
      <c r="X551" s="4"/>
      <c r="Y551" s="4">
        <v>410</v>
      </c>
      <c r="Z551" s="4">
        <f t="shared" si="90"/>
        <v>410</v>
      </c>
      <c r="AA551" s="4">
        <v>267</v>
      </c>
      <c r="AB551" s="4">
        <f t="shared" si="91"/>
        <v>267</v>
      </c>
      <c r="AC551" s="4"/>
      <c r="AD551" s="21">
        <f>ROUND(M551*AR551,0)</f>
        <v>480</v>
      </c>
      <c r="AE551" s="6">
        <f>1-AB551/AD551</f>
        <v>0.44374999999999998</v>
      </c>
      <c r="AF551" s="33">
        <v>0</v>
      </c>
      <c r="AG551" s="4" t="str">
        <f t="shared" si="92"/>
        <v>-</v>
      </c>
      <c r="AH551" s="33" t="e">
        <f t="shared" si="85"/>
        <v>#VALUE!</v>
      </c>
      <c r="AI551" s="6" t="e">
        <f>1-AB551/AH551</f>
        <v>#VALUE!</v>
      </c>
      <c r="AJ551" s="7">
        <v>410</v>
      </c>
      <c r="AK551" s="6">
        <f>1-AB551/AJ551</f>
        <v>0.34878048780487803</v>
      </c>
      <c r="AL551" s="4">
        <f>AJ551-AB551</f>
        <v>143</v>
      </c>
      <c r="AM551" s="28"/>
      <c r="AN551" s="6"/>
      <c r="AO551" s="6"/>
      <c r="AP551" s="6">
        <f>Z551/L551</f>
        <v>0.68333333333333335</v>
      </c>
      <c r="AQ551" s="6">
        <f>AJ551/M551</f>
        <v>0.85416666666666663</v>
      </c>
      <c r="AR551" s="6">
        <f>AB551/N551</f>
        <v>1</v>
      </c>
      <c r="AS551" s="4"/>
      <c r="AT551" s="4"/>
      <c r="AU551" s="4"/>
      <c r="AV551" s="4"/>
      <c r="AW551" s="4"/>
      <c r="AX551" s="4"/>
      <c r="AY551" s="4"/>
      <c r="AZ551" s="4"/>
      <c r="BA551" s="4"/>
      <c r="BB551" s="4">
        <v>0</v>
      </c>
      <c r="BC551" s="4" t="s">
        <v>3534</v>
      </c>
      <c r="BD551" s="4"/>
      <c r="BE551" s="4"/>
      <c r="BF551" s="4" t="s">
        <v>3534</v>
      </c>
      <c r="BG551" s="4" t="s">
        <v>3534</v>
      </c>
      <c r="BH551" s="4" t="s">
        <v>3534</v>
      </c>
      <c r="BI551" s="4" t="str">
        <f t="shared" si="93"/>
        <v>-</v>
      </c>
      <c r="BJ551" s="19">
        <v>4</v>
      </c>
      <c r="BK551" s="19">
        <v>8</v>
      </c>
      <c r="BL551" s="16">
        <v>6</v>
      </c>
      <c r="BM551" s="45" t="s">
        <v>3534</v>
      </c>
      <c r="BN551" t="s">
        <v>3534</v>
      </c>
      <c r="BO551" t="str">
        <f t="shared" si="86"/>
        <v>-</v>
      </c>
      <c r="BP551" t="s">
        <v>3534</v>
      </c>
      <c r="BQ551" t="s">
        <v>3534</v>
      </c>
      <c r="BR551" t="str">
        <f t="shared" si="87"/>
        <v>-</v>
      </c>
      <c r="BS551" t="s">
        <v>3534</v>
      </c>
    </row>
    <row r="552" spans="1:71" x14ac:dyDescent="0.4">
      <c r="A552" s="3">
        <v>549</v>
      </c>
      <c r="B552" s="3">
        <v>549</v>
      </c>
      <c r="C552" s="4" t="s">
        <v>611</v>
      </c>
      <c r="D552" s="4" t="str">
        <f t="shared" si="88"/>
        <v>J484WL</v>
      </c>
      <c r="E552" s="4" t="s">
        <v>611</v>
      </c>
      <c r="F552" s="4" t="s">
        <v>1829</v>
      </c>
      <c r="G552" s="5">
        <v>4521718218601</v>
      </c>
      <c r="H552" s="5"/>
      <c r="I552" s="5"/>
      <c r="J552" s="5">
        <v>1</v>
      </c>
      <c r="K552" s="5">
        <v>1</v>
      </c>
      <c r="L552" s="4">
        <v>700</v>
      </c>
      <c r="M552" s="4">
        <v>560</v>
      </c>
      <c r="N552" s="4">
        <v>313</v>
      </c>
      <c r="O552" s="6">
        <f t="shared" si="89"/>
        <v>0.44107142857142856</v>
      </c>
      <c r="P552" s="4" t="s">
        <v>2500</v>
      </c>
      <c r="Q552" s="4"/>
      <c r="R552" s="4"/>
      <c r="S552" s="4"/>
      <c r="T552" s="4"/>
      <c r="U552" s="4"/>
      <c r="V552" s="4"/>
      <c r="W552" s="4"/>
      <c r="X552" s="4"/>
      <c r="Y552" s="4">
        <v>482</v>
      </c>
      <c r="Z552" s="4">
        <f t="shared" si="90"/>
        <v>482</v>
      </c>
      <c r="AA552" s="4">
        <v>313</v>
      </c>
      <c r="AB552" s="4">
        <f t="shared" si="91"/>
        <v>313</v>
      </c>
      <c r="AC552" s="4"/>
      <c r="AD552" s="21">
        <f>ROUND(M552*AR552,0)</f>
        <v>560</v>
      </c>
      <c r="AE552" s="6">
        <f>1-AB552/AD552</f>
        <v>0.44107142857142856</v>
      </c>
      <c r="AF552" s="33">
        <v>0</v>
      </c>
      <c r="AG552" s="4" t="str">
        <f t="shared" si="92"/>
        <v>-</v>
      </c>
      <c r="AH552" s="33" t="e">
        <f t="shared" si="85"/>
        <v>#VALUE!</v>
      </c>
      <c r="AI552" s="6" t="e">
        <f>1-AB552/AH552</f>
        <v>#VALUE!</v>
      </c>
      <c r="AJ552" s="7">
        <f>ROUND(AB552/0.65,0)</f>
        <v>482</v>
      </c>
      <c r="AK552" s="6">
        <f>1-AB552/AJ552</f>
        <v>0.35062240663900412</v>
      </c>
      <c r="AL552" s="4">
        <f>AJ552-AB552</f>
        <v>169</v>
      </c>
      <c r="AM552" s="28"/>
      <c r="AN552" s="6"/>
      <c r="AO552" s="6"/>
      <c r="AP552" s="6">
        <f>Z552/L552</f>
        <v>0.68857142857142861</v>
      </c>
      <c r="AQ552" s="6">
        <f>AJ552/M552</f>
        <v>0.86071428571428577</v>
      </c>
      <c r="AR552" s="6">
        <f>AB552/N552</f>
        <v>1</v>
      </c>
      <c r="AS552" s="4"/>
      <c r="AT552" s="4"/>
      <c r="AU552" s="4"/>
      <c r="AV552" s="4"/>
      <c r="AW552" s="4"/>
      <c r="AX552" s="4"/>
      <c r="AY552" s="4"/>
      <c r="AZ552" s="4"/>
      <c r="BA552" s="4"/>
      <c r="BB552" s="4">
        <v>0</v>
      </c>
      <c r="BC552" s="4" t="s">
        <v>3534</v>
      </c>
      <c r="BD552" s="4"/>
      <c r="BE552" s="4"/>
      <c r="BF552" s="4" t="s">
        <v>3534</v>
      </c>
      <c r="BG552" s="4" t="s">
        <v>3534</v>
      </c>
      <c r="BH552" s="4" t="s">
        <v>3534</v>
      </c>
      <c r="BI552" s="4" t="str">
        <f t="shared" si="93"/>
        <v>-</v>
      </c>
      <c r="BJ552" s="19">
        <v>4</v>
      </c>
      <c r="BK552" s="19">
        <v>8</v>
      </c>
      <c r="BL552" s="16">
        <v>6</v>
      </c>
      <c r="BM552" s="45" t="s">
        <v>3534</v>
      </c>
      <c r="BN552" t="s">
        <v>3534</v>
      </c>
      <c r="BO552" t="str">
        <f t="shared" si="86"/>
        <v>-</v>
      </c>
      <c r="BP552" t="s">
        <v>3534</v>
      </c>
      <c r="BQ552" t="s">
        <v>3534</v>
      </c>
      <c r="BR552" t="str">
        <f t="shared" si="87"/>
        <v>-</v>
      </c>
      <c r="BS552" t="s">
        <v>3534</v>
      </c>
    </row>
    <row r="553" spans="1:71" x14ac:dyDescent="0.4">
      <c r="A553" s="3">
        <v>550</v>
      </c>
      <c r="B553" s="3">
        <v>550</v>
      </c>
      <c r="C553" s="4" t="s">
        <v>612</v>
      </c>
      <c r="D553" s="4" t="str">
        <f t="shared" si="88"/>
        <v>J485WL</v>
      </c>
      <c r="E553" s="4" t="s">
        <v>612</v>
      </c>
      <c r="F553" s="4" t="s">
        <v>1830</v>
      </c>
      <c r="G553" s="5">
        <v>4521718218618</v>
      </c>
      <c r="H553" s="5"/>
      <c r="I553" s="5"/>
      <c r="J553" s="5">
        <v>1</v>
      </c>
      <c r="K553" s="5">
        <v>1</v>
      </c>
      <c r="L553" s="4">
        <v>700</v>
      </c>
      <c r="M553" s="4">
        <v>560</v>
      </c>
      <c r="N553" s="4">
        <v>313</v>
      </c>
      <c r="O553" s="6">
        <f t="shared" si="89"/>
        <v>0.44107142857142856</v>
      </c>
      <c r="P553" s="4" t="s">
        <v>2500</v>
      </c>
      <c r="Q553" s="4"/>
      <c r="R553" s="4"/>
      <c r="S553" s="4"/>
      <c r="T553" s="4"/>
      <c r="U553" s="4"/>
      <c r="V553" s="4"/>
      <c r="W553" s="4"/>
      <c r="X553" s="4"/>
      <c r="Y553" s="4">
        <v>482</v>
      </c>
      <c r="Z553" s="4">
        <f t="shared" si="90"/>
        <v>482</v>
      </c>
      <c r="AA553" s="4">
        <v>313</v>
      </c>
      <c r="AB553" s="4">
        <f t="shared" si="91"/>
        <v>313</v>
      </c>
      <c r="AC553" s="4"/>
      <c r="AD553" s="21">
        <f>ROUND(M553*AR553,0)</f>
        <v>560</v>
      </c>
      <c r="AE553" s="6">
        <f>1-AB553/AD553</f>
        <v>0.44107142857142856</v>
      </c>
      <c r="AF553" s="33">
        <v>0</v>
      </c>
      <c r="AG553" s="4" t="str">
        <f t="shared" si="92"/>
        <v>-</v>
      </c>
      <c r="AH553" s="33" t="e">
        <f t="shared" si="85"/>
        <v>#VALUE!</v>
      </c>
      <c r="AI553" s="6" t="e">
        <f>1-AB553/AH553</f>
        <v>#VALUE!</v>
      </c>
      <c r="AJ553" s="7">
        <f>ROUND(AB553/0.65,0)</f>
        <v>482</v>
      </c>
      <c r="AK553" s="6">
        <f>1-AB553/AJ553</f>
        <v>0.35062240663900412</v>
      </c>
      <c r="AL553" s="4">
        <f>AJ553-AB553</f>
        <v>169</v>
      </c>
      <c r="AM553" s="28"/>
      <c r="AN553" s="6"/>
      <c r="AO553" s="6"/>
      <c r="AP553" s="6">
        <f>Z553/L553</f>
        <v>0.68857142857142861</v>
      </c>
      <c r="AQ553" s="6">
        <f>AJ553/M553</f>
        <v>0.86071428571428577</v>
      </c>
      <c r="AR553" s="6">
        <f>AB553/N553</f>
        <v>1</v>
      </c>
      <c r="AS553" s="4"/>
      <c r="AT553" s="4"/>
      <c r="AU553" s="4"/>
      <c r="AV553" s="4"/>
      <c r="AW553" s="4"/>
      <c r="AX553" s="4"/>
      <c r="AY553" s="4"/>
      <c r="AZ553" s="4"/>
      <c r="BA553" s="4"/>
      <c r="BB553" s="4">
        <v>0</v>
      </c>
      <c r="BC553" s="4" t="s">
        <v>3534</v>
      </c>
      <c r="BD553" s="4"/>
      <c r="BE553" s="4"/>
      <c r="BF553" s="4" t="s">
        <v>3534</v>
      </c>
      <c r="BG553" s="4" t="s">
        <v>3534</v>
      </c>
      <c r="BH553" s="4" t="s">
        <v>3534</v>
      </c>
      <c r="BI553" s="4" t="str">
        <f t="shared" si="93"/>
        <v>-</v>
      </c>
      <c r="BJ553" s="19">
        <v>4</v>
      </c>
      <c r="BK553" s="19">
        <v>8</v>
      </c>
      <c r="BL553" s="16">
        <v>6</v>
      </c>
      <c r="BM553" s="45" t="s">
        <v>3534</v>
      </c>
      <c r="BN553" t="s">
        <v>3534</v>
      </c>
      <c r="BO553" t="str">
        <f t="shared" si="86"/>
        <v>-</v>
      </c>
      <c r="BP553" t="s">
        <v>3534</v>
      </c>
      <c r="BQ553" t="s">
        <v>3534</v>
      </c>
      <c r="BR553" t="str">
        <f t="shared" si="87"/>
        <v>-</v>
      </c>
      <c r="BS553" t="s">
        <v>3534</v>
      </c>
    </row>
    <row r="554" spans="1:71" x14ac:dyDescent="0.4">
      <c r="A554" s="3">
        <v>551</v>
      </c>
      <c r="B554" s="3">
        <v>551</v>
      </c>
      <c r="C554" s="4" t="s">
        <v>613</v>
      </c>
      <c r="D554" s="4" t="str">
        <f t="shared" si="88"/>
        <v>J485WP</v>
      </c>
      <c r="E554" s="4" t="s">
        <v>613</v>
      </c>
      <c r="F554" s="4" t="s">
        <v>1831</v>
      </c>
      <c r="G554" s="5">
        <v>4521718202952</v>
      </c>
      <c r="H554" s="5"/>
      <c r="I554" s="5"/>
      <c r="J554" s="5">
        <v>1</v>
      </c>
      <c r="K554" s="5">
        <v>1</v>
      </c>
      <c r="L554" s="4">
        <v>650</v>
      </c>
      <c r="M554" s="4">
        <v>446</v>
      </c>
      <c r="N554" s="4">
        <v>290</v>
      </c>
      <c r="O554" s="6">
        <f t="shared" si="89"/>
        <v>0.34977578475336324</v>
      </c>
      <c r="P554" s="4" t="s">
        <v>2500</v>
      </c>
      <c r="Q554" s="4"/>
      <c r="R554" s="4"/>
      <c r="S554" s="4"/>
      <c r="T554" s="4"/>
      <c r="U554" s="4"/>
      <c r="V554" s="4"/>
      <c r="W554" s="4"/>
      <c r="X554" s="4"/>
      <c r="Y554" s="4">
        <v>446</v>
      </c>
      <c r="Z554" s="4">
        <f t="shared" si="90"/>
        <v>446</v>
      </c>
      <c r="AA554" s="4">
        <v>290</v>
      </c>
      <c r="AB554" s="4">
        <f t="shared" si="91"/>
        <v>290</v>
      </c>
      <c r="AC554" s="4"/>
      <c r="AD554" s="21">
        <f>ROUND(M554*AR554,0)</f>
        <v>446</v>
      </c>
      <c r="AE554" s="6">
        <f>1-AB554/AD554</f>
        <v>0.34977578475336324</v>
      </c>
      <c r="AF554" s="33">
        <v>0</v>
      </c>
      <c r="AG554" s="4">
        <f t="shared" si="92"/>
        <v>500</v>
      </c>
      <c r="AH554" s="33">
        <f t="shared" si="85"/>
        <v>500</v>
      </c>
      <c r="AI554" s="6">
        <f>1-AB554/AH554</f>
        <v>0.42000000000000004</v>
      </c>
      <c r="AJ554" s="7">
        <v>446</v>
      </c>
      <c r="AK554" s="6">
        <f>1-AB554/AJ554</f>
        <v>0.34977578475336324</v>
      </c>
      <c r="AL554" s="4">
        <f>AJ554-AB554</f>
        <v>156</v>
      </c>
      <c r="AM554" s="28"/>
      <c r="AN554" s="6"/>
      <c r="AO554" s="6"/>
      <c r="AP554" s="6">
        <f>Z554/L554</f>
        <v>0.68615384615384611</v>
      </c>
      <c r="AQ554" s="6">
        <f>AJ554/M554</f>
        <v>1</v>
      </c>
      <c r="AR554" s="6">
        <f>AB554/N554</f>
        <v>1</v>
      </c>
      <c r="AS554" s="4"/>
      <c r="AT554" s="4"/>
      <c r="AU554" s="4"/>
      <c r="AV554" s="4"/>
      <c r="AW554" s="4"/>
      <c r="AX554" s="4"/>
      <c r="AY554" s="4"/>
      <c r="AZ554" s="4"/>
      <c r="BA554" s="4"/>
      <c r="BB554" s="4">
        <v>0</v>
      </c>
      <c r="BC554" s="4" t="s">
        <v>4033</v>
      </c>
      <c r="BD554" s="4">
        <v>1</v>
      </c>
      <c r="BE554" s="4">
        <v>6</v>
      </c>
      <c r="BF554" s="4" t="s">
        <v>4034</v>
      </c>
      <c r="BG554" s="4">
        <v>3000</v>
      </c>
      <c r="BH554" s="4">
        <v>3000</v>
      </c>
      <c r="BI554" s="4">
        <f t="shared" si="93"/>
        <v>500</v>
      </c>
      <c r="BJ554" s="19">
        <v>4</v>
      </c>
      <c r="BK554" s="19">
        <v>8</v>
      </c>
      <c r="BL554" s="16">
        <v>18</v>
      </c>
      <c r="BM554" s="45" t="s">
        <v>3534</v>
      </c>
      <c r="BN554" t="s">
        <v>3534</v>
      </c>
      <c r="BO554" t="str">
        <f t="shared" si="86"/>
        <v>-</v>
      </c>
      <c r="BP554" t="s">
        <v>3534</v>
      </c>
      <c r="BQ554">
        <v>580</v>
      </c>
      <c r="BR554">
        <f t="shared" si="87"/>
        <v>580</v>
      </c>
      <c r="BS554" t="s">
        <v>2923</v>
      </c>
    </row>
    <row r="555" spans="1:71" x14ac:dyDescent="0.4">
      <c r="A555" s="3">
        <v>552</v>
      </c>
      <c r="B555" s="3">
        <v>552</v>
      </c>
      <c r="C555" s="4" t="s">
        <v>614</v>
      </c>
      <c r="D555" s="4" t="str">
        <f t="shared" si="88"/>
        <v>J493WP</v>
      </c>
      <c r="E555" s="4" t="s">
        <v>614</v>
      </c>
      <c r="F555" s="4" t="s">
        <v>1832</v>
      </c>
      <c r="G555" s="5">
        <v>4521718380636</v>
      </c>
      <c r="H555" s="5"/>
      <c r="I555" s="5"/>
      <c r="J555" s="5">
        <v>1</v>
      </c>
      <c r="K555" s="5">
        <v>1</v>
      </c>
      <c r="L555" s="4">
        <v>1840</v>
      </c>
      <c r="M555" s="4">
        <v>1273</v>
      </c>
      <c r="N555" s="4">
        <v>827</v>
      </c>
      <c r="O555" s="6">
        <f t="shared" si="89"/>
        <v>0.35035349567949725</v>
      </c>
      <c r="P555" s="4" t="s">
        <v>2500</v>
      </c>
      <c r="Q555" s="4"/>
      <c r="R555" s="4"/>
      <c r="S555" s="4"/>
      <c r="T555" s="4"/>
      <c r="U555" s="4"/>
      <c r="V555" s="4"/>
      <c r="W555" s="4"/>
      <c r="X555" s="4"/>
      <c r="Y555" s="4">
        <v>1273</v>
      </c>
      <c r="Z555" s="4">
        <f t="shared" si="90"/>
        <v>1273</v>
      </c>
      <c r="AA555" s="4">
        <v>891</v>
      </c>
      <c r="AB555" s="4">
        <f t="shared" si="91"/>
        <v>891</v>
      </c>
      <c r="AC555" s="4"/>
      <c r="AD555" s="21">
        <f>ROUND(M555*AR555,0)</f>
        <v>1372</v>
      </c>
      <c r="AE555" s="6">
        <f>1-AB555/AD555</f>
        <v>0.3505830903790087</v>
      </c>
      <c r="AF555" s="33">
        <v>0.25</v>
      </c>
      <c r="AG555" s="4">
        <f t="shared" si="92"/>
        <v>1840</v>
      </c>
      <c r="AH555" s="33">
        <f t="shared" si="85"/>
        <v>1982.3941958887547</v>
      </c>
      <c r="AI555" s="6">
        <f>1-AB555/AH555</f>
        <v>0.55054347826086958</v>
      </c>
      <c r="AJ555" s="7">
        <v>1273</v>
      </c>
      <c r="AK555" s="6">
        <f>1-AB555/AJ555</f>
        <v>0.30007855459544386</v>
      </c>
      <c r="AL555" s="4">
        <f>AJ555-AB555</f>
        <v>382</v>
      </c>
      <c r="AM555" s="28"/>
      <c r="AN555" s="6"/>
      <c r="AO555" s="6"/>
      <c r="AP555" s="6">
        <f>Z555/L555</f>
        <v>0.6918478260869565</v>
      </c>
      <c r="AQ555" s="6">
        <f>AJ555/M555</f>
        <v>1</v>
      </c>
      <c r="AR555" s="6">
        <f>AB555/N555</f>
        <v>1.0773881499395406</v>
      </c>
      <c r="AS555" s="4"/>
      <c r="AT555" s="4"/>
      <c r="AU555" s="4"/>
      <c r="AV555" s="4"/>
      <c r="AW555" s="4"/>
      <c r="AX555" s="4"/>
      <c r="AY555" s="4"/>
      <c r="AZ555" s="4"/>
      <c r="BA555" s="4"/>
      <c r="BB555" s="4">
        <v>0</v>
      </c>
      <c r="BC555" s="4" t="s">
        <v>4035</v>
      </c>
      <c r="BD555" s="4"/>
      <c r="BE555" s="4"/>
      <c r="BF555" s="4" t="s">
        <v>3538</v>
      </c>
      <c r="BG555" s="4">
        <v>1840</v>
      </c>
      <c r="BH555" s="4">
        <v>1840</v>
      </c>
      <c r="BI555" s="4">
        <f t="shared" si="93"/>
        <v>1840</v>
      </c>
      <c r="BJ555" s="19">
        <v>4</v>
      </c>
      <c r="BK555" s="19">
        <v>8</v>
      </c>
      <c r="BL555" s="16">
        <v>6</v>
      </c>
      <c r="BM555" s="45" t="s">
        <v>3534</v>
      </c>
      <c r="BN555" t="s">
        <v>3534</v>
      </c>
      <c r="BO555" t="str">
        <f t="shared" si="86"/>
        <v>-</v>
      </c>
      <c r="BP555" t="s">
        <v>3534</v>
      </c>
      <c r="BQ555" t="s">
        <v>3534</v>
      </c>
      <c r="BR555" t="str">
        <f t="shared" si="87"/>
        <v>-</v>
      </c>
      <c r="BS555" t="s">
        <v>2924</v>
      </c>
    </row>
    <row r="556" spans="1:71" x14ac:dyDescent="0.4">
      <c r="A556" s="3">
        <v>553</v>
      </c>
      <c r="B556" s="3">
        <v>553</v>
      </c>
      <c r="C556" s="4" t="s">
        <v>615</v>
      </c>
      <c r="D556" s="4" t="str">
        <f t="shared" si="88"/>
        <v>J496RR</v>
      </c>
      <c r="E556" s="4" t="s">
        <v>615</v>
      </c>
      <c r="F556" s="4" t="s">
        <v>1833</v>
      </c>
      <c r="G556" s="5">
        <v>4521718079141</v>
      </c>
      <c r="H556" s="5"/>
      <c r="I556" s="5"/>
      <c r="J556" s="5">
        <v>1</v>
      </c>
      <c r="K556" s="5">
        <v>1</v>
      </c>
      <c r="L556" s="4">
        <v>360</v>
      </c>
      <c r="M556" s="4">
        <v>238</v>
      </c>
      <c r="N556" s="4">
        <v>160</v>
      </c>
      <c r="O556" s="6">
        <f t="shared" si="89"/>
        <v>0.32773109243697474</v>
      </c>
      <c r="P556" s="4" t="s">
        <v>2500</v>
      </c>
      <c r="Q556" s="4"/>
      <c r="R556" s="4"/>
      <c r="S556" s="4"/>
      <c r="T556" s="4"/>
      <c r="U556" s="4"/>
      <c r="V556" s="4"/>
      <c r="W556" s="4"/>
      <c r="X556" s="4"/>
      <c r="Y556" s="4">
        <v>360</v>
      </c>
      <c r="Z556" s="4">
        <f t="shared" si="90"/>
        <v>360</v>
      </c>
      <c r="AA556" s="4">
        <v>162</v>
      </c>
      <c r="AB556" s="4">
        <f t="shared" si="91"/>
        <v>162</v>
      </c>
      <c r="AC556" s="4"/>
      <c r="AD556" s="21">
        <f>ROUND(M556*AR556,0)</f>
        <v>241</v>
      </c>
      <c r="AE556" s="6">
        <f>1-AB556/AD556</f>
        <v>0.32780082987551862</v>
      </c>
      <c r="AF556" s="33">
        <v>0.5</v>
      </c>
      <c r="AG556" s="4">
        <f t="shared" si="92"/>
        <v>340</v>
      </c>
      <c r="AH556" s="33">
        <f t="shared" si="85"/>
        <v>344.25</v>
      </c>
      <c r="AI556" s="6">
        <f>1-AB556/AH556</f>
        <v>0.52941176470588236</v>
      </c>
      <c r="AJ556" s="7">
        <f>ROUND(AB556/0.65,0)</f>
        <v>249</v>
      </c>
      <c r="AK556" s="6">
        <f>1-AB556/AJ556</f>
        <v>0.3493975903614458</v>
      </c>
      <c r="AL556" s="4">
        <f>AJ556-AB556</f>
        <v>87</v>
      </c>
      <c r="AM556" s="28"/>
      <c r="AN556" s="6"/>
      <c r="AO556" s="6"/>
      <c r="AP556" s="6">
        <f>Z556/L556</f>
        <v>1</v>
      </c>
      <c r="AQ556" s="6">
        <f>AJ556/M556</f>
        <v>1.046218487394958</v>
      </c>
      <c r="AR556" s="6">
        <f>AB556/N556</f>
        <v>1.0125</v>
      </c>
      <c r="AS556" s="4"/>
      <c r="AT556" s="4"/>
      <c r="AU556" s="4"/>
      <c r="AV556" s="4"/>
      <c r="AW556" s="4"/>
      <c r="AX556" s="4"/>
      <c r="AY556" s="4"/>
      <c r="AZ556" s="4"/>
      <c r="BA556" s="4"/>
      <c r="BB556" s="4">
        <v>0</v>
      </c>
      <c r="BC556" s="4" t="s">
        <v>4036</v>
      </c>
      <c r="BD556" s="4">
        <v>1</v>
      </c>
      <c r="BE556" s="4">
        <v>5</v>
      </c>
      <c r="BF556" s="4" t="s">
        <v>3746</v>
      </c>
      <c r="BG556" s="4">
        <v>1700</v>
      </c>
      <c r="BH556" s="4">
        <v>1700</v>
      </c>
      <c r="BI556" s="4">
        <f t="shared" si="93"/>
        <v>340</v>
      </c>
      <c r="BJ556" s="19">
        <v>4</v>
      </c>
      <c r="BK556" s="19">
        <v>8</v>
      </c>
      <c r="BL556" s="16">
        <v>6</v>
      </c>
      <c r="BM556" s="45" t="s">
        <v>3534</v>
      </c>
      <c r="BN556" t="s">
        <v>3534</v>
      </c>
      <c r="BO556" t="str">
        <f t="shared" si="86"/>
        <v>-</v>
      </c>
      <c r="BP556" t="s">
        <v>3534</v>
      </c>
      <c r="BQ556">
        <v>246</v>
      </c>
      <c r="BR556">
        <f t="shared" si="87"/>
        <v>249.07499999999999</v>
      </c>
      <c r="BS556" t="s">
        <v>2925</v>
      </c>
    </row>
    <row r="557" spans="1:71" x14ac:dyDescent="0.4">
      <c r="A557" s="3">
        <v>554</v>
      </c>
      <c r="B557" s="3">
        <v>554</v>
      </c>
      <c r="C557" s="4" t="s">
        <v>616</v>
      </c>
      <c r="D557" s="4" t="str">
        <f t="shared" si="88"/>
        <v>J497RR</v>
      </c>
      <c r="E557" s="4" t="s">
        <v>616</v>
      </c>
      <c r="F557" s="4" t="s">
        <v>1834</v>
      </c>
      <c r="G557" s="5">
        <v>4521718079158</v>
      </c>
      <c r="H557" s="5"/>
      <c r="I557" s="5"/>
      <c r="J557" s="5">
        <v>1</v>
      </c>
      <c r="K557" s="5">
        <v>1</v>
      </c>
      <c r="L557" s="4">
        <v>450</v>
      </c>
      <c r="M557" s="4">
        <v>294</v>
      </c>
      <c r="N557" s="4">
        <v>202</v>
      </c>
      <c r="O557" s="6">
        <f t="shared" si="89"/>
        <v>0.31292517006802723</v>
      </c>
      <c r="P557" s="4" t="s">
        <v>2500</v>
      </c>
      <c r="Q557" s="4"/>
      <c r="R557" s="4"/>
      <c r="S557" s="4"/>
      <c r="T557" s="4"/>
      <c r="U557" s="4"/>
      <c r="V557" s="4"/>
      <c r="W557" s="4"/>
      <c r="X557" s="4"/>
      <c r="Y557" s="4">
        <v>310</v>
      </c>
      <c r="Z557" s="4">
        <f t="shared" si="90"/>
        <v>310</v>
      </c>
      <c r="AA557" s="4">
        <v>202</v>
      </c>
      <c r="AB557" s="4">
        <f t="shared" si="91"/>
        <v>202</v>
      </c>
      <c r="AC557" s="4"/>
      <c r="AD557" s="21">
        <f>ROUND(M557*AR557,0)</f>
        <v>294</v>
      </c>
      <c r="AE557" s="6">
        <f>1-AB557/AD557</f>
        <v>0.31292517006802723</v>
      </c>
      <c r="AF557" s="33">
        <v>0</v>
      </c>
      <c r="AG557" s="4">
        <f t="shared" si="92"/>
        <v>208</v>
      </c>
      <c r="AH557" s="33">
        <f t="shared" si="85"/>
        <v>208</v>
      </c>
      <c r="AI557" s="6">
        <f>1-AB557/AH557</f>
        <v>2.8846153846153855E-2</v>
      </c>
      <c r="AJ557" s="7">
        <v>310</v>
      </c>
      <c r="AK557" s="6">
        <f>1-AB557/AJ557</f>
        <v>0.34838709677419355</v>
      </c>
      <c r="AL557" s="4">
        <f>AJ557-AB557</f>
        <v>108</v>
      </c>
      <c r="AM557" s="28"/>
      <c r="AN557" s="6"/>
      <c r="AO557" s="6"/>
      <c r="AP557" s="6">
        <f>Z557/L557</f>
        <v>0.68888888888888888</v>
      </c>
      <c r="AQ557" s="6">
        <f>AJ557/M557</f>
        <v>1.0544217687074831</v>
      </c>
      <c r="AR557" s="6">
        <f>AB557/N557</f>
        <v>1</v>
      </c>
      <c r="AS557" s="4"/>
      <c r="AT557" s="4"/>
      <c r="AU557" s="4"/>
      <c r="AV557" s="4"/>
      <c r="AW557" s="4"/>
      <c r="AX557" s="4"/>
      <c r="AY557" s="4"/>
      <c r="AZ557" s="4"/>
      <c r="BA557" s="4"/>
      <c r="BB557" s="4">
        <v>0</v>
      </c>
      <c r="BC557" s="4" t="s">
        <v>4037</v>
      </c>
      <c r="BD557" s="4"/>
      <c r="BE557" s="4"/>
      <c r="BF557" s="4" t="s">
        <v>3545</v>
      </c>
      <c r="BG557" s="4">
        <v>208</v>
      </c>
      <c r="BH557" s="4">
        <v>208</v>
      </c>
      <c r="BI557" s="4">
        <f t="shared" si="93"/>
        <v>208</v>
      </c>
      <c r="BJ557" s="19">
        <v>4</v>
      </c>
      <c r="BK557" s="19">
        <v>8</v>
      </c>
      <c r="BL557" s="16">
        <v>6</v>
      </c>
      <c r="BM557" s="45" t="s">
        <v>3534</v>
      </c>
      <c r="BN557" t="s">
        <v>3534</v>
      </c>
      <c r="BO557" t="str">
        <f t="shared" si="86"/>
        <v>-</v>
      </c>
      <c r="BP557" t="s">
        <v>3534</v>
      </c>
      <c r="BQ557">
        <v>310</v>
      </c>
      <c r="BR557">
        <f t="shared" si="87"/>
        <v>310</v>
      </c>
      <c r="BS557" t="s">
        <v>2926</v>
      </c>
    </row>
    <row r="558" spans="1:71" x14ac:dyDescent="0.4">
      <c r="A558" s="3">
        <v>555</v>
      </c>
      <c r="B558" s="3">
        <v>555</v>
      </c>
      <c r="C558" s="4" t="s">
        <v>617</v>
      </c>
      <c r="D558" s="4" t="str">
        <f t="shared" si="88"/>
        <v>J497WP</v>
      </c>
      <c r="E558" s="4" t="s">
        <v>617</v>
      </c>
      <c r="F558" s="4" t="s">
        <v>1835</v>
      </c>
      <c r="G558" s="5">
        <v>4907756034708</v>
      </c>
      <c r="H558" s="5"/>
      <c r="I558" s="5"/>
      <c r="J558" s="5">
        <v>1</v>
      </c>
      <c r="K558" s="5">
        <v>1</v>
      </c>
      <c r="L558" s="4">
        <v>350</v>
      </c>
      <c r="M558" s="4">
        <v>350</v>
      </c>
      <c r="N558" s="4">
        <v>245</v>
      </c>
      <c r="O558" s="6">
        <f t="shared" si="89"/>
        <v>0.30000000000000004</v>
      </c>
      <c r="P558" s="4" t="s">
        <v>2500</v>
      </c>
      <c r="Q558" s="4"/>
      <c r="R558" s="4"/>
      <c r="S558" s="4"/>
      <c r="T558" s="4"/>
      <c r="U558" s="4"/>
      <c r="V558" s="4"/>
      <c r="W558" s="4"/>
      <c r="X558" s="4"/>
      <c r="Y558" s="4">
        <v>400</v>
      </c>
      <c r="Z558" s="4">
        <f t="shared" si="90"/>
        <v>400</v>
      </c>
      <c r="AA558" s="4">
        <v>280</v>
      </c>
      <c r="AB558" s="4">
        <f t="shared" si="91"/>
        <v>280</v>
      </c>
      <c r="AC558" s="4"/>
      <c r="AD558" s="21">
        <f>ROUND(M558*AR558,0)</f>
        <v>400</v>
      </c>
      <c r="AE558" s="6">
        <f>1-AB558/AD558</f>
        <v>0.30000000000000004</v>
      </c>
      <c r="AF558" s="33">
        <v>1</v>
      </c>
      <c r="AG558" s="4">
        <f t="shared" si="92"/>
        <v>350</v>
      </c>
      <c r="AH558" s="33">
        <f t="shared" si="85"/>
        <v>400</v>
      </c>
      <c r="AI558" s="6">
        <f>1-AB558/AH558</f>
        <v>0.30000000000000004</v>
      </c>
      <c r="AJ558" s="7">
        <v>400</v>
      </c>
      <c r="AK558" s="6">
        <f>1-AB558/AJ558</f>
        <v>0.30000000000000004</v>
      </c>
      <c r="AL558" s="4">
        <f>AJ558-AB558</f>
        <v>120</v>
      </c>
      <c r="AM558" s="28"/>
      <c r="AN558" s="6"/>
      <c r="AO558" s="6"/>
      <c r="AP558" s="6">
        <f>Z558/L558</f>
        <v>1.1428571428571428</v>
      </c>
      <c r="AQ558" s="6">
        <f>AJ558/M558</f>
        <v>1.1428571428571428</v>
      </c>
      <c r="AR558" s="6">
        <f>AB558/N558</f>
        <v>1.1428571428571428</v>
      </c>
      <c r="AS558" s="4"/>
      <c r="AT558" s="4"/>
      <c r="AU558" s="4"/>
      <c r="AV558" s="4"/>
      <c r="AW558" s="4"/>
      <c r="AX558" s="4"/>
      <c r="AY558" s="4"/>
      <c r="AZ558" s="4"/>
      <c r="BA558" s="4"/>
      <c r="BB558" s="4">
        <v>0</v>
      </c>
      <c r="BC558" s="4" t="s">
        <v>4038</v>
      </c>
      <c r="BD558" s="4">
        <v>1</v>
      </c>
      <c r="BE558" s="4">
        <v>10</v>
      </c>
      <c r="BF558" s="4" t="s">
        <v>4039</v>
      </c>
      <c r="BG558" s="4">
        <v>3500</v>
      </c>
      <c r="BH558" s="4">
        <v>3500</v>
      </c>
      <c r="BI558" s="4">
        <f t="shared" si="93"/>
        <v>350</v>
      </c>
      <c r="BJ558" s="19">
        <v>4</v>
      </c>
      <c r="BK558" s="19">
        <v>8</v>
      </c>
      <c r="BL558" s="16">
        <v>6</v>
      </c>
      <c r="BM558" s="45" t="s">
        <v>3534</v>
      </c>
      <c r="BN558" t="s">
        <v>3534</v>
      </c>
      <c r="BO558" t="str">
        <f t="shared" si="86"/>
        <v>-</v>
      </c>
      <c r="BP558" t="s">
        <v>3534</v>
      </c>
      <c r="BQ558">
        <v>490</v>
      </c>
      <c r="BR558">
        <f t="shared" si="87"/>
        <v>560</v>
      </c>
      <c r="BS558" t="s">
        <v>2927</v>
      </c>
    </row>
    <row r="559" spans="1:71" x14ac:dyDescent="0.4">
      <c r="A559" s="3">
        <v>556</v>
      </c>
      <c r="B559" s="3">
        <v>556</v>
      </c>
      <c r="C559" s="4" t="s">
        <v>618</v>
      </c>
      <c r="D559" s="4" t="str">
        <f t="shared" si="88"/>
        <v>J498RR</v>
      </c>
      <c r="E559" s="4" t="s">
        <v>618</v>
      </c>
      <c r="F559" s="4" t="s">
        <v>1836</v>
      </c>
      <c r="G559" s="5">
        <v>4521718079189</v>
      </c>
      <c r="H559" s="5"/>
      <c r="I559" s="5"/>
      <c r="J559" s="5">
        <v>1</v>
      </c>
      <c r="K559" s="5">
        <v>1</v>
      </c>
      <c r="L559" s="4">
        <v>360</v>
      </c>
      <c r="M559" s="4">
        <v>248</v>
      </c>
      <c r="N559" s="4">
        <v>160</v>
      </c>
      <c r="O559" s="6">
        <f t="shared" si="89"/>
        <v>0.35483870967741937</v>
      </c>
      <c r="P559" s="4" t="s">
        <v>2500</v>
      </c>
      <c r="Q559" s="4"/>
      <c r="R559" s="4"/>
      <c r="S559" s="4"/>
      <c r="T559" s="4"/>
      <c r="U559" s="4"/>
      <c r="V559" s="4"/>
      <c r="W559" s="4"/>
      <c r="X559" s="4"/>
      <c r="Y559" s="4">
        <v>360</v>
      </c>
      <c r="Z559" s="4">
        <f t="shared" si="90"/>
        <v>360</v>
      </c>
      <c r="AA559" s="4">
        <v>162</v>
      </c>
      <c r="AB559" s="4">
        <f t="shared" si="91"/>
        <v>162</v>
      </c>
      <c r="AC559" s="4"/>
      <c r="AD559" s="21">
        <f>ROUND(M559*AR559,0)</f>
        <v>251</v>
      </c>
      <c r="AE559" s="6">
        <f>1-AB559/AD559</f>
        <v>0.35458167330677293</v>
      </c>
      <c r="AF559" s="33">
        <v>0.25</v>
      </c>
      <c r="AG559" s="4">
        <f t="shared" si="92"/>
        <v>311.8</v>
      </c>
      <c r="AH559" s="33">
        <f t="shared" si="85"/>
        <v>315.69749999999999</v>
      </c>
      <c r="AI559" s="6">
        <f>1-AB559/AH559</f>
        <v>0.48685054522129567</v>
      </c>
      <c r="AJ559" s="7">
        <f>ROUND(AB559/0.65,0)</f>
        <v>249</v>
      </c>
      <c r="AK559" s="6">
        <f>1-AB559/AJ559</f>
        <v>0.3493975903614458</v>
      </c>
      <c r="AL559" s="4">
        <f>AJ559-AB559</f>
        <v>87</v>
      </c>
      <c r="AM559" s="28"/>
      <c r="AN559" s="6"/>
      <c r="AO559" s="6"/>
      <c r="AP559" s="6">
        <f>Z559/L559</f>
        <v>1</v>
      </c>
      <c r="AQ559" s="6">
        <f>AJ559/M559</f>
        <v>1.0040322580645162</v>
      </c>
      <c r="AR559" s="6">
        <f>AB559/N559</f>
        <v>1.0125</v>
      </c>
      <c r="AS559" s="4"/>
      <c r="AT559" s="4"/>
      <c r="AU559" s="4"/>
      <c r="AV559" s="4"/>
      <c r="AW559" s="4"/>
      <c r="AX559" s="4"/>
      <c r="AY559" s="4"/>
      <c r="AZ559" s="4"/>
      <c r="BA559" s="4"/>
      <c r="BB559" s="4">
        <v>0</v>
      </c>
      <c r="BC559" s="4" t="s">
        <v>4040</v>
      </c>
      <c r="BD559" s="4">
        <v>1</v>
      </c>
      <c r="BE559" s="4">
        <v>5</v>
      </c>
      <c r="BF559" s="4" t="s">
        <v>3939</v>
      </c>
      <c r="BG559" s="4">
        <v>1559</v>
      </c>
      <c r="BH559" s="4">
        <v>1559</v>
      </c>
      <c r="BI559" s="4">
        <f t="shared" si="93"/>
        <v>311.8</v>
      </c>
      <c r="BJ559" s="19">
        <v>4</v>
      </c>
      <c r="BK559" s="19">
        <v>8</v>
      </c>
      <c r="BL559" s="16">
        <v>6</v>
      </c>
      <c r="BM559" s="45" t="s">
        <v>3534</v>
      </c>
      <c r="BN559" t="s">
        <v>3534</v>
      </c>
      <c r="BO559" t="str">
        <f t="shared" si="86"/>
        <v>-</v>
      </c>
      <c r="BP559" t="s">
        <v>3534</v>
      </c>
      <c r="BQ559">
        <v>246</v>
      </c>
      <c r="BR559">
        <f t="shared" si="87"/>
        <v>249.07499999999999</v>
      </c>
      <c r="BS559" t="s">
        <v>2928</v>
      </c>
    </row>
    <row r="560" spans="1:71" x14ac:dyDescent="0.4">
      <c r="A560" s="3">
        <v>557</v>
      </c>
      <c r="B560" s="3">
        <v>557</v>
      </c>
      <c r="C560" s="4" t="s">
        <v>619</v>
      </c>
      <c r="D560" s="4" t="str">
        <f t="shared" si="88"/>
        <v>J498WP</v>
      </c>
      <c r="E560" s="4" t="s">
        <v>619</v>
      </c>
      <c r="F560" s="4" t="s">
        <v>1837</v>
      </c>
      <c r="G560" s="5">
        <v>4907756034883</v>
      </c>
      <c r="H560" s="5"/>
      <c r="I560" s="5"/>
      <c r="J560" s="5">
        <v>1</v>
      </c>
      <c r="K560" s="5">
        <v>1</v>
      </c>
      <c r="L560" s="4">
        <v>240</v>
      </c>
      <c r="M560" s="4">
        <v>240</v>
      </c>
      <c r="N560" s="4">
        <v>168</v>
      </c>
      <c r="O560" s="6">
        <f t="shared" si="89"/>
        <v>0.30000000000000004</v>
      </c>
      <c r="P560" s="4" t="s">
        <v>2500</v>
      </c>
      <c r="Q560" s="4"/>
      <c r="R560" s="4"/>
      <c r="S560" s="4"/>
      <c r="T560" s="4"/>
      <c r="U560" s="4"/>
      <c r="V560" s="4"/>
      <c r="W560" s="4"/>
      <c r="X560" s="4"/>
      <c r="Y560" s="4">
        <v>291</v>
      </c>
      <c r="Z560" s="4">
        <f t="shared" si="90"/>
        <v>291</v>
      </c>
      <c r="AA560" s="4">
        <v>204</v>
      </c>
      <c r="AB560" s="4">
        <f t="shared" si="91"/>
        <v>204</v>
      </c>
      <c r="AC560" s="4"/>
      <c r="AD560" s="21">
        <f>ROUND(M560*AR560,0)</f>
        <v>291</v>
      </c>
      <c r="AE560" s="6">
        <f>1-AB560/AD560</f>
        <v>0.2989690721649485</v>
      </c>
      <c r="AF560" s="33">
        <v>0.25</v>
      </c>
      <c r="AG560" s="4">
        <f t="shared" si="92"/>
        <v>294.60000000000002</v>
      </c>
      <c r="AH560" s="33">
        <f t="shared" si="85"/>
        <v>357.72857142857146</v>
      </c>
      <c r="AI560" s="6">
        <f>1-AB560/AH560</f>
        <v>0.429735234215886</v>
      </c>
      <c r="AJ560" s="7">
        <v>291</v>
      </c>
      <c r="AK560" s="6">
        <f>1-AB560/AJ560</f>
        <v>0.2989690721649485</v>
      </c>
      <c r="AL560" s="4">
        <f>AJ560-AB560</f>
        <v>87</v>
      </c>
      <c r="AM560" s="28"/>
      <c r="AN560" s="6"/>
      <c r="AO560" s="6"/>
      <c r="AP560" s="6">
        <f>Z560/L560</f>
        <v>1.2124999999999999</v>
      </c>
      <c r="AQ560" s="6">
        <f>AJ560/M560</f>
        <v>1.2124999999999999</v>
      </c>
      <c r="AR560" s="6">
        <f>AB560/N560</f>
        <v>1.2142857142857142</v>
      </c>
      <c r="AS560" s="4"/>
      <c r="AT560" s="4"/>
      <c r="AU560" s="4"/>
      <c r="AV560" s="4"/>
      <c r="AW560" s="4"/>
      <c r="AX560" s="4"/>
      <c r="AY560" s="4"/>
      <c r="AZ560" s="4"/>
      <c r="BA560" s="4"/>
      <c r="BB560" s="4">
        <v>0</v>
      </c>
      <c r="BC560" s="4" t="s">
        <v>4041</v>
      </c>
      <c r="BD560" s="4">
        <v>1</v>
      </c>
      <c r="BE560" s="4">
        <v>10</v>
      </c>
      <c r="BF560" s="4" t="s">
        <v>4039</v>
      </c>
      <c r="BG560" s="4">
        <v>2946</v>
      </c>
      <c r="BH560" s="4">
        <v>2946</v>
      </c>
      <c r="BI560" s="4">
        <f t="shared" si="93"/>
        <v>294.60000000000002</v>
      </c>
      <c r="BJ560" s="19">
        <v>4</v>
      </c>
      <c r="BK560" s="19">
        <v>8</v>
      </c>
      <c r="BL560" s="16">
        <v>6</v>
      </c>
      <c r="BM560" s="45" t="s">
        <v>3534</v>
      </c>
      <c r="BN560" t="s">
        <v>3534</v>
      </c>
      <c r="BO560" t="str">
        <f t="shared" si="86"/>
        <v>-</v>
      </c>
      <c r="BP560" t="s">
        <v>3534</v>
      </c>
      <c r="BQ560">
        <v>336</v>
      </c>
      <c r="BR560">
        <f t="shared" si="87"/>
        <v>407.99999999999994</v>
      </c>
      <c r="BS560" t="s">
        <v>2929</v>
      </c>
    </row>
    <row r="561" spans="1:71" x14ac:dyDescent="0.4">
      <c r="A561" s="3">
        <v>558</v>
      </c>
      <c r="B561" s="3">
        <v>558</v>
      </c>
      <c r="C561" s="4" t="s">
        <v>620</v>
      </c>
      <c r="D561" s="4" t="str">
        <f t="shared" si="88"/>
        <v>J499RR</v>
      </c>
      <c r="E561" s="4" t="s">
        <v>620</v>
      </c>
      <c r="F561" s="4" t="s">
        <v>1838</v>
      </c>
      <c r="G561" s="5">
        <v>4521718079257</v>
      </c>
      <c r="H561" s="5"/>
      <c r="I561" s="5"/>
      <c r="J561" s="5">
        <v>1</v>
      </c>
      <c r="K561" s="5">
        <v>1</v>
      </c>
      <c r="L561" s="4">
        <v>360</v>
      </c>
      <c r="M561" s="4">
        <v>238</v>
      </c>
      <c r="N561" s="4">
        <v>160</v>
      </c>
      <c r="O561" s="6">
        <f t="shared" si="89"/>
        <v>0.32773109243697474</v>
      </c>
      <c r="P561" s="4" t="s">
        <v>2500</v>
      </c>
      <c r="Q561" s="4"/>
      <c r="R561" s="4"/>
      <c r="S561" s="4"/>
      <c r="T561" s="4"/>
      <c r="U561" s="4"/>
      <c r="V561" s="4"/>
      <c r="W561" s="4"/>
      <c r="X561" s="4"/>
      <c r="Y561" s="4">
        <v>246</v>
      </c>
      <c r="Z561" s="4">
        <f t="shared" si="90"/>
        <v>246</v>
      </c>
      <c r="AA561" s="4">
        <v>160</v>
      </c>
      <c r="AB561" s="4">
        <f t="shared" si="91"/>
        <v>160</v>
      </c>
      <c r="AC561" s="4"/>
      <c r="AD561" s="21">
        <f>ROUND(M561*AR561,0)</f>
        <v>238</v>
      </c>
      <c r="AE561" s="6">
        <f>1-AB561/AD561</f>
        <v>0.32773109243697474</v>
      </c>
      <c r="AF561" s="33">
        <v>0.25</v>
      </c>
      <c r="AG561" s="4">
        <f t="shared" si="92"/>
        <v>249.4</v>
      </c>
      <c r="AH561" s="33">
        <f t="shared" si="85"/>
        <v>249.4</v>
      </c>
      <c r="AI561" s="6">
        <f>1-AB561/AH561</f>
        <v>0.35846030473135526</v>
      </c>
      <c r="AJ561" s="7">
        <v>246</v>
      </c>
      <c r="AK561" s="6">
        <f>1-AB561/AJ561</f>
        <v>0.34959349593495936</v>
      </c>
      <c r="AL561" s="4">
        <f>AJ561-AB561</f>
        <v>86</v>
      </c>
      <c r="AM561" s="28"/>
      <c r="AN561" s="6"/>
      <c r="AO561" s="6"/>
      <c r="AP561" s="6">
        <f>Z561/L561</f>
        <v>0.68333333333333335</v>
      </c>
      <c r="AQ561" s="6">
        <f>AJ561/M561</f>
        <v>1.0336134453781514</v>
      </c>
      <c r="AR561" s="6">
        <f>AB561/N561</f>
        <v>1</v>
      </c>
      <c r="AS561" s="4"/>
      <c r="AT561" s="4"/>
      <c r="AU561" s="4"/>
      <c r="AV561" s="4"/>
      <c r="AW561" s="4"/>
      <c r="AX561" s="4"/>
      <c r="AY561" s="4"/>
      <c r="AZ561" s="4"/>
      <c r="BA561" s="4"/>
      <c r="BB561" s="4">
        <v>0</v>
      </c>
      <c r="BC561" s="4" t="s">
        <v>4042</v>
      </c>
      <c r="BD561" s="4">
        <v>1</v>
      </c>
      <c r="BE561" s="4">
        <v>5</v>
      </c>
      <c r="BF561" s="4" t="s">
        <v>3790</v>
      </c>
      <c r="BG561" s="4">
        <v>1247</v>
      </c>
      <c r="BH561" s="4">
        <v>1247</v>
      </c>
      <c r="BI561" s="4">
        <f t="shared" si="93"/>
        <v>249.4</v>
      </c>
      <c r="BJ561" s="19">
        <v>4</v>
      </c>
      <c r="BK561" s="19">
        <v>8</v>
      </c>
      <c r="BL561" s="16">
        <v>6</v>
      </c>
      <c r="BM561" s="45" t="s">
        <v>3534</v>
      </c>
      <c r="BN561" t="s">
        <v>3534</v>
      </c>
      <c r="BO561" t="str">
        <f t="shared" si="86"/>
        <v>-</v>
      </c>
      <c r="BP561" t="s">
        <v>3534</v>
      </c>
      <c r="BQ561">
        <v>246</v>
      </c>
      <c r="BR561">
        <f t="shared" si="87"/>
        <v>246</v>
      </c>
      <c r="BS561" t="s">
        <v>2930</v>
      </c>
    </row>
    <row r="562" spans="1:71" x14ac:dyDescent="0.4">
      <c r="A562" s="3">
        <v>559</v>
      </c>
      <c r="B562" s="3">
        <v>559</v>
      </c>
      <c r="C562" s="4" t="s">
        <v>621</v>
      </c>
      <c r="D562" s="4" t="str">
        <f t="shared" si="88"/>
        <v>J503RR</v>
      </c>
      <c r="E562" s="4" t="s">
        <v>621</v>
      </c>
      <c r="F562" s="4" t="s">
        <v>1839</v>
      </c>
      <c r="G562" s="5">
        <v>4521718079677</v>
      </c>
      <c r="H562" s="5"/>
      <c r="I562" s="5"/>
      <c r="J562" s="5">
        <v>1</v>
      </c>
      <c r="K562" s="5">
        <v>1</v>
      </c>
      <c r="L562" s="4">
        <v>780</v>
      </c>
      <c r="M562" s="4">
        <v>515</v>
      </c>
      <c r="N562" s="4">
        <v>350</v>
      </c>
      <c r="O562" s="6">
        <f t="shared" si="89"/>
        <v>0.32038834951456308</v>
      </c>
      <c r="P562" s="4" t="s">
        <v>2500</v>
      </c>
      <c r="Q562" s="4"/>
      <c r="R562" s="4"/>
      <c r="S562" s="4"/>
      <c r="T562" s="4"/>
      <c r="U562" s="4"/>
      <c r="V562" s="4"/>
      <c r="W562" s="4"/>
      <c r="X562" s="4"/>
      <c r="Y562" s="4">
        <v>500</v>
      </c>
      <c r="Z562" s="4">
        <f t="shared" si="90"/>
        <v>500</v>
      </c>
      <c r="AA562" s="4">
        <v>350</v>
      </c>
      <c r="AB562" s="4">
        <f t="shared" si="91"/>
        <v>350</v>
      </c>
      <c r="AC562" s="4"/>
      <c r="AD562" s="21">
        <f>ROUND(M562*AR562,0)</f>
        <v>515</v>
      </c>
      <c r="AE562" s="6">
        <f>1-AB562/AD562</f>
        <v>0.32038834951456308</v>
      </c>
      <c r="AF562" s="33">
        <v>0</v>
      </c>
      <c r="AG562" s="4">
        <f t="shared" si="92"/>
        <v>528</v>
      </c>
      <c r="AH562" s="33">
        <f t="shared" si="85"/>
        <v>528</v>
      </c>
      <c r="AI562" s="6">
        <f>1-AB562/AH562</f>
        <v>0.33712121212121215</v>
      </c>
      <c r="AJ562" s="7">
        <v>500</v>
      </c>
      <c r="AK562" s="6">
        <f>1-AB562/AJ562</f>
        <v>0.30000000000000004</v>
      </c>
      <c r="AL562" s="4">
        <f>AJ562-AB562</f>
        <v>150</v>
      </c>
      <c r="AM562" s="28"/>
      <c r="AN562" s="6"/>
      <c r="AO562" s="6"/>
      <c r="AP562" s="6">
        <f>Z562/L562</f>
        <v>0.64102564102564108</v>
      </c>
      <c r="AQ562" s="6">
        <f>AJ562/M562</f>
        <v>0.970873786407767</v>
      </c>
      <c r="AR562" s="6">
        <f>AB562/N562</f>
        <v>1</v>
      </c>
      <c r="AS562" s="4"/>
      <c r="AT562" s="4"/>
      <c r="AU562" s="4"/>
      <c r="AV562" s="4"/>
      <c r="AW562" s="4"/>
      <c r="AX562" s="4"/>
      <c r="AY562" s="4"/>
      <c r="AZ562" s="4"/>
      <c r="BA562" s="4"/>
      <c r="BB562" s="4">
        <v>0</v>
      </c>
      <c r="BC562" s="4" t="s">
        <v>4043</v>
      </c>
      <c r="BD562" s="4"/>
      <c r="BE562" s="4"/>
      <c r="BF562" s="4" t="s">
        <v>3545</v>
      </c>
      <c r="BG562" s="4">
        <v>528</v>
      </c>
      <c r="BH562" s="4">
        <v>528</v>
      </c>
      <c r="BI562" s="4">
        <f t="shared" si="93"/>
        <v>528</v>
      </c>
      <c r="BJ562" s="19">
        <v>4</v>
      </c>
      <c r="BK562" s="19">
        <v>8</v>
      </c>
      <c r="BL562" s="16">
        <v>6</v>
      </c>
      <c r="BM562" s="45" t="s">
        <v>3534</v>
      </c>
      <c r="BN562" t="s">
        <v>3534</v>
      </c>
      <c r="BO562" t="str">
        <f t="shared" si="86"/>
        <v>-</v>
      </c>
      <c r="BP562" t="s">
        <v>3534</v>
      </c>
      <c r="BQ562">
        <v>528</v>
      </c>
      <c r="BR562">
        <f t="shared" si="87"/>
        <v>528</v>
      </c>
      <c r="BS562" t="s">
        <v>2931</v>
      </c>
    </row>
    <row r="563" spans="1:71" x14ac:dyDescent="0.4">
      <c r="A563" s="3">
        <v>560</v>
      </c>
      <c r="B563" s="3">
        <v>560</v>
      </c>
      <c r="C563" s="4" t="s">
        <v>622</v>
      </c>
      <c r="D563" s="4" t="str">
        <f t="shared" si="88"/>
        <v>J504WP</v>
      </c>
      <c r="E563" s="4" t="s">
        <v>622</v>
      </c>
      <c r="F563" s="4" t="s">
        <v>1840</v>
      </c>
      <c r="G563" s="5">
        <v>4521718922683</v>
      </c>
      <c r="H563" s="5"/>
      <c r="I563" s="5"/>
      <c r="J563" s="5">
        <v>1</v>
      </c>
      <c r="K563" s="5">
        <v>1</v>
      </c>
      <c r="L563" s="4">
        <v>1000</v>
      </c>
      <c r="M563" s="4">
        <v>1000</v>
      </c>
      <c r="N563" s="4">
        <v>700</v>
      </c>
      <c r="O563" s="6">
        <f t="shared" si="89"/>
        <v>0.30000000000000004</v>
      </c>
      <c r="P563" s="4" t="s">
        <v>2500</v>
      </c>
      <c r="Q563" s="4"/>
      <c r="R563" s="4"/>
      <c r="S563" s="4"/>
      <c r="T563" s="4"/>
      <c r="U563" s="4"/>
      <c r="V563" s="4"/>
      <c r="W563" s="4"/>
      <c r="X563" s="4"/>
      <c r="Y563" s="4">
        <v>1000</v>
      </c>
      <c r="Z563" s="4">
        <f t="shared" si="90"/>
        <v>1000</v>
      </c>
      <c r="AA563" s="4">
        <v>700</v>
      </c>
      <c r="AB563" s="4">
        <f t="shared" si="91"/>
        <v>700</v>
      </c>
      <c r="AC563" s="4"/>
      <c r="AD563" s="21">
        <f>ROUND(M563*AR563,0)</f>
        <v>1000</v>
      </c>
      <c r="AE563" s="6">
        <f>1-AB563/AD563</f>
        <v>0.30000000000000004</v>
      </c>
      <c r="AF563" s="33">
        <v>0</v>
      </c>
      <c r="AG563" s="4">
        <f t="shared" si="92"/>
        <v>1000</v>
      </c>
      <c r="AH563" s="33">
        <f t="shared" si="85"/>
        <v>1000</v>
      </c>
      <c r="AI563" s="6">
        <f>1-AB563/AH563</f>
        <v>0.30000000000000004</v>
      </c>
      <c r="AJ563" s="7">
        <v>1000</v>
      </c>
      <c r="AK563" s="6">
        <f>1-AB563/AJ563</f>
        <v>0.30000000000000004</v>
      </c>
      <c r="AL563" s="4">
        <f>AJ563-AB563</f>
        <v>300</v>
      </c>
      <c r="AM563" s="28"/>
      <c r="AN563" s="6"/>
      <c r="AO563" s="6"/>
      <c r="AP563" s="6">
        <f>Z563/L563</f>
        <v>1</v>
      </c>
      <c r="AQ563" s="6">
        <f>AJ563/M563</f>
        <v>1</v>
      </c>
      <c r="AR563" s="6">
        <f>AB563/N563</f>
        <v>1</v>
      </c>
      <c r="AS563" s="4"/>
      <c r="AT563" s="4"/>
      <c r="AU563" s="4"/>
      <c r="AV563" s="4"/>
      <c r="AW563" s="4"/>
      <c r="AX563" s="4"/>
      <c r="AY563" s="4"/>
      <c r="AZ563" s="4"/>
      <c r="BA563" s="4"/>
      <c r="BB563" s="4">
        <v>0</v>
      </c>
      <c r="BC563" s="4" t="s">
        <v>4044</v>
      </c>
      <c r="BD563" s="4"/>
      <c r="BE563" s="4"/>
      <c r="BF563" s="4" t="s">
        <v>3538</v>
      </c>
      <c r="BG563" s="4">
        <v>1000</v>
      </c>
      <c r="BH563" s="4">
        <v>1000</v>
      </c>
      <c r="BI563" s="4">
        <f t="shared" si="93"/>
        <v>1000</v>
      </c>
      <c r="BJ563" s="19">
        <v>4</v>
      </c>
      <c r="BK563" s="19">
        <v>8</v>
      </c>
      <c r="BL563" s="16">
        <v>19</v>
      </c>
      <c r="BM563" s="45" t="s">
        <v>3534</v>
      </c>
      <c r="BN563" t="s">
        <v>3534</v>
      </c>
      <c r="BO563" t="str">
        <f t="shared" si="86"/>
        <v>-</v>
      </c>
      <c r="BP563" t="s">
        <v>3534</v>
      </c>
      <c r="BQ563" t="s">
        <v>3534</v>
      </c>
      <c r="BR563" t="str">
        <f t="shared" si="87"/>
        <v>-</v>
      </c>
      <c r="BS563" t="s">
        <v>2932</v>
      </c>
    </row>
    <row r="564" spans="1:71" x14ac:dyDescent="0.4">
      <c r="A564" s="3">
        <v>561</v>
      </c>
      <c r="B564" s="3">
        <v>561</v>
      </c>
      <c r="C564" s="4" t="s">
        <v>623</v>
      </c>
      <c r="D564" s="4" t="str">
        <f t="shared" si="88"/>
        <v>J509WE</v>
      </c>
      <c r="E564" s="4" t="s">
        <v>623</v>
      </c>
      <c r="F564" s="4" t="s">
        <v>1841</v>
      </c>
      <c r="G564" s="5">
        <v>4521718011646</v>
      </c>
      <c r="H564" s="5"/>
      <c r="I564" s="5"/>
      <c r="J564" s="5">
        <v>1</v>
      </c>
      <c r="K564" s="5">
        <v>1</v>
      </c>
      <c r="L564" s="4">
        <v>360</v>
      </c>
      <c r="M564" s="4">
        <v>290</v>
      </c>
      <c r="N564" s="4">
        <v>160</v>
      </c>
      <c r="O564" s="6">
        <f t="shared" si="89"/>
        <v>0.44827586206896552</v>
      </c>
      <c r="P564" s="4" t="s">
        <v>2500</v>
      </c>
      <c r="Q564" s="4"/>
      <c r="R564" s="4"/>
      <c r="S564" s="4"/>
      <c r="T564" s="4"/>
      <c r="U564" s="4"/>
      <c r="V564" s="4"/>
      <c r="W564" s="4"/>
      <c r="X564" s="4"/>
      <c r="Y564" s="4">
        <v>228</v>
      </c>
      <c r="Z564" s="4">
        <f t="shared" si="90"/>
        <v>228</v>
      </c>
      <c r="AA564" s="4">
        <v>160</v>
      </c>
      <c r="AB564" s="4">
        <f t="shared" si="91"/>
        <v>160</v>
      </c>
      <c r="AC564" s="4"/>
      <c r="AD564" s="21">
        <f>ROUND(M564*AR564,0)</f>
        <v>290</v>
      </c>
      <c r="AE564" s="6">
        <f>1-AB564/AD564</f>
        <v>0.44827586206896552</v>
      </c>
      <c r="AF564" s="33">
        <v>0</v>
      </c>
      <c r="AG564" s="4">
        <f t="shared" si="92"/>
        <v>360</v>
      </c>
      <c r="AH564" s="33">
        <f t="shared" si="85"/>
        <v>360</v>
      </c>
      <c r="AI564" s="6">
        <f>1-AB564/AH564</f>
        <v>0.55555555555555558</v>
      </c>
      <c r="AJ564" s="7">
        <v>228</v>
      </c>
      <c r="AK564" s="6">
        <f>1-AB564/AJ564</f>
        <v>0.29824561403508776</v>
      </c>
      <c r="AL564" s="4">
        <f>AJ564-AB564</f>
        <v>68</v>
      </c>
      <c r="AM564" s="28"/>
      <c r="AN564" s="6"/>
      <c r="AO564" s="6"/>
      <c r="AP564" s="6">
        <f>Z564/L564</f>
        <v>0.6333333333333333</v>
      </c>
      <c r="AQ564" s="6">
        <f>AJ564/M564</f>
        <v>0.78620689655172415</v>
      </c>
      <c r="AR564" s="6">
        <f>AB564/N564</f>
        <v>1</v>
      </c>
      <c r="AS564" s="4"/>
      <c r="AT564" s="4"/>
      <c r="AU564" s="4"/>
      <c r="AV564" s="4"/>
      <c r="AW564" s="4"/>
      <c r="AX564" s="4"/>
      <c r="AY564" s="4"/>
      <c r="AZ564" s="4"/>
      <c r="BA564" s="4"/>
      <c r="BB564" s="4">
        <v>0</v>
      </c>
      <c r="BC564" s="4" t="s">
        <v>4045</v>
      </c>
      <c r="BD564" s="4">
        <v>1</v>
      </c>
      <c r="BE564" s="4">
        <v>5</v>
      </c>
      <c r="BF564" s="4" t="s">
        <v>3731</v>
      </c>
      <c r="BG564" s="4">
        <v>1800</v>
      </c>
      <c r="BH564" s="4">
        <v>1800</v>
      </c>
      <c r="BI564" s="4">
        <f t="shared" si="93"/>
        <v>360</v>
      </c>
      <c r="BJ564" s="19">
        <v>4</v>
      </c>
      <c r="BK564" s="19">
        <v>8</v>
      </c>
      <c r="BL564" s="16">
        <v>6</v>
      </c>
      <c r="BM564" s="45" t="s">
        <v>3534</v>
      </c>
      <c r="BN564" t="s">
        <v>3534</v>
      </c>
      <c r="BO564" t="str">
        <f t="shared" si="86"/>
        <v>-</v>
      </c>
      <c r="BP564" t="s">
        <v>3534</v>
      </c>
      <c r="BQ564">
        <v>342</v>
      </c>
      <c r="BR564">
        <f t="shared" si="87"/>
        <v>342</v>
      </c>
      <c r="BS564" t="s">
        <v>2933</v>
      </c>
    </row>
    <row r="565" spans="1:71" x14ac:dyDescent="0.4">
      <c r="A565" s="3">
        <v>562</v>
      </c>
      <c r="B565" s="3">
        <v>562</v>
      </c>
      <c r="C565" s="4" t="s">
        <v>624</v>
      </c>
      <c r="D565" s="4" t="str">
        <f t="shared" si="88"/>
        <v>J510WE</v>
      </c>
      <c r="E565" s="4" t="s">
        <v>624</v>
      </c>
      <c r="F565" s="4" t="s">
        <v>1842</v>
      </c>
      <c r="G565" s="5">
        <v>4521718011653</v>
      </c>
      <c r="H565" s="5"/>
      <c r="I565" s="5"/>
      <c r="J565" s="5">
        <v>1</v>
      </c>
      <c r="K565" s="5">
        <v>1</v>
      </c>
      <c r="L565" s="4">
        <v>360</v>
      </c>
      <c r="M565" s="4">
        <v>290</v>
      </c>
      <c r="N565" s="4">
        <v>160</v>
      </c>
      <c r="O565" s="6">
        <f t="shared" si="89"/>
        <v>0.44827586206896552</v>
      </c>
      <c r="P565" s="4" t="s">
        <v>2500</v>
      </c>
      <c r="Q565" s="4"/>
      <c r="R565" s="4"/>
      <c r="S565" s="4"/>
      <c r="T565" s="4"/>
      <c r="U565" s="4"/>
      <c r="V565" s="4"/>
      <c r="W565" s="4"/>
      <c r="X565" s="4"/>
      <c r="Y565" s="4">
        <v>228</v>
      </c>
      <c r="Z565" s="4">
        <f t="shared" si="90"/>
        <v>228</v>
      </c>
      <c r="AA565" s="4">
        <v>160</v>
      </c>
      <c r="AB565" s="4">
        <f t="shared" si="91"/>
        <v>160</v>
      </c>
      <c r="AC565" s="4"/>
      <c r="AD565" s="21">
        <f>ROUND(M565*AR565,0)</f>
        <v>290</v>
      </c>
      <c r="AE565" s="6">
        <f>1-AB565/AD565</f>
        <v>0.44827586206896552</v>
      </c>
      <c r="AF565" s="33">
        <v>0</v>
      </c>
      <c r="AG565" s="4">
        <f t="shared" si="92"/>
        <v>360</v>
      </c>
      <c r="AH565" s="33">
        <f t="shared" si="85"/>
        <v>360</v>
      </c>
      <c r="AI565" s="6">
        <f>1-AB565/AH565</f>
        <v>0.55555555555555558</v>
      </c>
      <c r="AJ565" s="7">
        <v>228</v>
      </c>
      <c r="AK565" s="6">
        <f>1-AB565/AJ565</f>
        <v>0.29824561403508776</v>
      </c>
      <c r="AL565" s="4">
        <f>AJ565-AB565</f>
        <v>68</v>
      </c>
      <c r="AM565" s="28"/>
      <c r="AN565" s="6"/>
      <c r="AO565" s="6"/>
      <c r="AP565" s="6">
        <f>Z565/L565</f>
        <v>0.6333333333333333</v>
      </c>
      <c r="AQ565" s="6">
        <f>AJ565/M565</f>
        <v>0.78620689655172415</v>
      </c>
      <c r="AR565" s="6">
        <f>AB565/N565</f>
        <v>1</v>
      </c>
      <c r="AS565" s="4"/>
      <c r="AT565" s="4"/>
      <c r="AU565" s="4"/>
      <c r="AV565" s="4"/>
      <c r="AW565" s="4"/>
      <c r="AX565" s="4"/>
      <c r="AY565" s="4"/>
      <c r="AZ565" s="4"/>
      <c r="BA565" s="4"/>
      <c r="BB565" s="4">
        <v>0</v>
      </c>
      <c r="BC565" s="4" t="s">
        <v>4046</v>
      </c>
      <c r="BD565" s="4">
        <v>1</v>
      </c>
      <c r="BE565" s="4">
        <v>5</v>
      </c>
      <c r="BF565" s="4" t="s">
        <v>3731</v>
      </c>
      <c r="BG565" s="4">
        <v>1800</v>
      </c>
      <c r="BH565" s="4">
        <v>1800</v>
      </c>
      <c r="BI565" s="4">
        <f t="shared" si="93"/>
        <v>360</v>
      </c>
      <c r="BJ565" s="19">
        <v>4</v>
      </c>
      <c r="BK565" s="19">
        <v>8</v>
      </c>
      <c r="BL565" s="16">
        <v>6</v>
      </c>
      <c r="BM565" s="45" t="s">
        <v>3534</v>
      </c>
      <c r="BN565" t="s">
        <v>3534</v>
      </c>
      <c r="BO565" t="str">
        <f t="shared" si="86"/>
        <v>-</v>
      </c>
      <c r="BP565" t="s">
        <v>3534</v>
      </c>
      <c r="BQ565">
        <v>342</v>
      </c>
      <c r="BR565">
        <f t="shared" si="87"/>
        <v>342</v>
      </c>
      <c r="BS565" t="s">
        <v>2934</v>
      </c>
    </row>
    <row r="566" spans="1:71" x14ac:dyDescent="0.4">
      <c r="A566" s="3">
        <v>563</v>
      </c>
      <c r="B566" s="3">
        <v>563</v>
      </c>
      <c r="C566" s="4" t="s">
        <v>625</v>
      </c>
      <c r="D566" s="4" t="str">
        <f t="shared" si="88"/>
        <v>J505WP</v>
      </c>
      <c r="E566" s="4" t="s">
        <v>625</v>
      </c>
      <c r="F566" s="4" t="s">
        <v>1843</v>
      </c>
      <c r="G566" s="5">
        <v>4521718922690</v>
      </c>
      <c r="H566" s="5"/>
      <c r="I566" s="5"/>
      <c r="J566" s="5">
        <v>1</v>
      </c>
      <c r="K566" s="5">
        <v>1</v>
      </c>
      <c r="L566" s="4">
        <v>800</v>
      </c>
      <c r="M566" s="4">
        <v>800</v>
      </c>
      <c r="N566" s="4">
        <v>560</v>
      </c>
      <c r="O566" s="6">
        <f t="shared" si="89"/>
        <v>0.30000000000000004</v>
      </c>
      <c r="P566" s="4" t="s">
        <v>2500</v>
      </c>
      <c r="Q566" s="4"/>
      <c r="R566" s="4"/>
      <c r="S566" s="4"/>
      <c r="T566" s="4"/>
      <c r="U566" s="4"/>
      <c r="V566" s="4"/>
      <c r="W566" s="4"/>
      <c r="X566" s="4"/>
      <c r="Y566" s="4">
        <v>800</v>
      </c>
      <c r="Z566" s="4">
        <f t="shared" si="90"/>
        <v>800</v>
      </c>
      <c r="AA566" s="4">
        <v>560</v>
      </c>
      <c r="AB566" s="4">
        <f t="shared" si="91"/>
        <v>560</v>
      </c>
      <c r="AC566" s="4"/>
      <c r="AD566" s="21">
        <f>ROUND(M566*AR566,0)</f>
        <v>800</v>
      </c>
      <c r="AE566" s="6">
        <f>1-AB566/AD566</f>
        <v>0.30000000000000004</v>
      </c>
      <c r="AF566" s="33">
        <v>0</v>
      </c>
      <c r="AG566" s="4">
        <f t="shared" si="92"/>
        <v>800</v>
      </c>
      <c r="AH566" s="33">
        <f t="shared" si="85"/>
        <v>800</v>
      </c>
      <c r="AI566" s="6">
        <f>1-AB566/AH566</f>
        <v>0.30000000000000004</v>
      </c>
      <c r="AJ566" s="7">
        <v>800</v>
      </c>
      <c r="AK566" s="6">
        <f>1-AB566/AJ566</f>
        <v>0.30000000000000004</v>
      </c>
      <c r="AL566" s="4">
        <f>AJ566-AB566</f>
        <v>240</v>
      </c>
      <c r="AM566" s="28"/>
      <c r="AN566" s="6"/>
      <c r="AO566" s="6"/>
      <c r="AP566" s="6">
        <f>Z566/L566</f>
        <v>1</v>
      </c>
      <c r="AQ566" s="6">
        <f>AJ566/M566</f>
        <v>1</v>
      </c>
      <c r="AR566" s="6">
        <f>AB566/N566</f>
        <v>1</v>
      </c>
      <c r="AS566" s="4"/>
      <c r="AT566" s="4"/>
      <c r="AU566" s="4"/>
      <c r="AV566" s="4"/>
      <c r="AW566" s="4"/>
      <c r="AX566" s="4"/>
      <c r="AY566" s="4"/>
      <c r="AZ566" s="4"/>
      <c r="BA566" s="4"/>
      <c r="BB566" s="4">
        <v>0</v>
      </c>
      <c r="BC566" s="4" t="s">
        <v>4047</v>
      </c>
      <c r="BD566" s="4">
        <v>1</v>
      </c>
      <c r="BE566" s="4">
        <v>2</v>
      </c>
      <c r="BF566" s="4" t="s">
        <v>4011</v>
      </c>
      <c r="BG566" s="4">
        <v>1600</v>
      </c>
      <c r="BH566" s="4">
        <v>1600</v>
      </c>
      <c r="BI566" s="4">
        <f t="shared" si="93"/>
        <v>800</v>
      </c>
      <c r="BJ566" s="19">
        <v>4</v>
      </c>
      <c r="BK566" s="19">
        <v>8</v>
      </c>
      <c r="BL566" s="16">
        <v>19</v>
      </c>
      <c r="BM566" s="45" t="s">
        <v>3534</v>
      </c>
      <c r="BN566" t="s">
        <v>3534</v>
      </c>
      <c r="BO566" t="str">
        <f t="shared" si="86"/>
        <v>-</v>
      </c>
      <c r="BP566" t="s">
        <v>3534</v>
      </c>
      <c r="BQ566" t="s">
        <v>3534</v>
      </c>
      <c r="BR566" t="str">
        <f t="shared" si="87"/>
        <v>-</v>
      </c>
      <c r="BS566" t="s">
        <v>2935</v>
      </c>
    </row>
    <row r="567" spans="1:71" x14ac:dyDescent="0.4">
      <c r="A567" s="3">
        <v>564</v>
      </c>
      <c r="B567" s="3">
        <v>564</v>
      </c>
      <c r="C567" s="4" t="s">
        <v>626</v>
      </c>
      <c r="D567" s="4" t="str">
        <f t="shared" si="88"/>
        <v>J511WE</v>
      </c>
      <c r="E567" s="4" t="s">
        <v>626</v>
      </c>
      <c r="F567" s="4" t="s">
        <v>1844</v>
      </c>
      <c r="G567" s="5">
        <v>4521718187891</v>
      </c>
      <c r="H567" s="5"/>
      <c r="I567" s="5"/>
      <c r="J567" s="5">
        <v>1</v>
      </c>
      <c r="K567" s="5">
        <v>1</v>
      </c>
      <c r="L567" s="4">
        <v>490</v>
      </c>
      <c r="M567" s="4">
        <v>390</v>
      </c>
      <c r="N567" s="4">
        <v>219</v>
      </c>
      <c r="O567" s="6">
        <f t="shared" si="89"/>
        <v>0.43846153846153846</v>
      </c>
      <c r="P567" s="4" t="s">
        <v>2500</v>
      </c>
      <c r="Q567" s="4"/>
      <c r="R567" s="4"/>
      <c r="S567" s="4"/>
      <c r="T567" s="4"/>
      <c r="U567" s="4"/>
      <c r="V567" s="4"/>
      <c r="W567" s="4"/>
      <c r="X567" s="4"/>
      <c r="Y567" s="4">
        <v>373</v>
      </c>
      <c r="Z567" s="4">
        <f t="shared" si="90"/>
        <v>373</v>
      </c>
      <c r="AA567" s="4">
        <v>242</v>
      </c>
      <c r="AB567" s="4">
        <f t="shared" si="91"/>
        <v>242</v>
      </c>
      <c r="AC567" s="4"/>
      <c r="AD567" s="21">
        <f>ROUND(M567*AR567,0)</f>
        <v>431</v>
      </c>
      <c r="AE567" s="6">
        <f>1-AB567/AD567</f>
        <v>0.43851508120649652</v>
      </c>
      <c r="AF567" s="33">
        <v>0</v>
      </c>
      <c r="AG567" s="4">
        <f t="shared" si="92"/>
        <v>490</v>
      </c>
      <c r="AH567" s="33">
        <f t="shared" si="85"/>
        <v>541.46118721461187</v>
      </c>
      <c r="AI567" s="6">
        <f>1-AB567/AH567</f>
        <v>0.55306122448979589</v>
      </c>
      <c r="AJ567" s="7">
        <f>ROUND(AB567/0.65,0)</f>
        <v>372</v>
      </c>
      <c r="AK567" s="6">
        <f>1-AB567/AJ567</f>
        <v>0.34946236559139787</v>
      </c>
      <c r="AL567" s="4">
        <f>AJ567-AB567</f>
        <v>130</v>
      </c>
      <c r="AM567" s="28"/>
      <c r="AN567" s="6"/>
      <c r="AO567" s="6"/>
      <c r="AP567" s="6">
        <f>Z567/L567</f>
        <v>0.76122448979591839</v>
      </c>
      <c r="AQ567" s="6">
        <f>AJ567/M567</f>
        <v>0.9538461538461539</v>
      </c>
      <c r="AR567" s="6">
        <f>AB567/N567</f>
        <v>1.1050228310502284</v>
      </c>
      <c r="AS567" s="4"/>
      <c r="AT567" s="4"/>
      <c r="AU567" s="4"/>
      <c r="AV567" s="4"/>
      <c r="AW567" s="4"/>
      <c r="AX567" s="4"/>
      <c r="AY567" s="4"/>
      <c r="AZ567" s="4"/>
      <c r="BA567" s="4"/>
      <c r="BB567" s="4">
        <v>0</v>
      </c>
      <c r="BC567" s="4" t="s">
        <v>4048</v>
      </c>
      <c r="BD567" s="4">
        <v>1</v>
      </c>
      <c r="BE567" s="4">
        <v>3</v>
      </c>
      <c r="BF567" s="4" t="s">
        <v>4049</v>
      </c>
      <c r="BG567" s="4">
        <v>1470</v>
      </c>
      <c r="BH567" s="4">
        <v>1470</v>
      </c>
      <c r="BI567" s="4">
        <f t="shared" si="93"/>
        <v>490</v>
      </c>
      <c r="BJ567" s="19">
        <v>4</v>
      </c>
      <c r="BK567" s="19">
        <v>8</v>
      </c>
      <c r="BL567" s="16">
        <v>6</v>
      </c>
      <c r="BM567" s="45" t="s">
        <v>3534</v>
      </c>
      <c r="BN567" t="s">
        <v>3534</v>
      </c>
      <c r="BO567" t="str">
        <f t="shared" si="86"/>
        <v>-</v>
      </c>
      <c r="BP567" t="s">
        <v>3534</v>
      </c>
      <c r="BQ567">
        <v>466</v>
      </c>
      <c r="BR567">
        <f t="shared" si="87"/>
        <v>514.94063926940646</v>
      </c>
      <c r="BS567" t="s">
        <v>2936</v>
      </c>
    </row>
    <row r="568" spans="1:71" x14ac:dyDescent="0.4">
      <c r="A568" s="3">
        <v>565</v>
      </c>
      <c r="B568" s="3">
        <v>565</v>
      </c>
      <c r="C568" s="4" t="s">
        <v>627</v>
      </c>
      <c r="D568" s="4" t="str">
        <f t="shared" si="88"/>
        <v>J512WE</v>
      </c>
      <c r="E568" s="4" t="s">
        <v>627</v>
      </c>
      <c r="F568" s="4" t="s">
        <v>1845</v>
      </c>
      <c r="G568" s="5">
        <v>4521718187907</v>
      </c>
      <c r="H568" s="5"/>
      <c r="I568" s="5"/>
      <c r="J568" s="5">
        <v>1</v>
      </c>
      <c r="K568" s="5">
        <v>1</v>
      </c>
      <c r="L568" s="4">
        <v>790</v>
      </c>
      <c r="M568" s="4">
        <v>630</v>
      </c>
      <c r="N568" s="4">
        <v>355</v>
      </c>
      <c r="O568" s="6">
        <f t="shared" si="89"/>
        <v>0.43650793650793651</v>
      </c>
      <c r="P568" s="4" t="s">
        <v>2500</v>
      </c>
      <c r="Q568" s="4"/>
      <c r="R568" s="4"/>
      <c r="S568" s="4"/>
      <c r="T568" s="4"/>
      <c r="U568" s="4"/>
      <c r="V568" s="4"/>
      <c r="W568" s="4"/>
      <c r="X568" s="4"/>
      <c r="Y568" s="4">
        <v>591</v>
      </c>
      <c r="Z568" s="4">
        <f t="shared" si="90"/>
        <v>591</v>
      </c>
      <c r="AA568" s="4">
        <v>384</v>
      </c>
      <c r="AB568" s="4">
        <f t="shared" si="91"/>
        <v>384</v>
      </c>
      <c r="AC568" s="4"/>
      <c r="AD568" s="21">
        <f>ROUND(M568*AR568,0)</f>
        <v>681</v>
      </c>
      <c r="AE568" s="6">
        <f>1-AB568/AD568</f>
        <v>0.43612334801762109</v>
      </c>
      <c r="AF568" s="33">
        <v>0</v>
      </c>
      <c r="AG568" s="4">
        <f t="shared" si="92"/>
        <v>790</v>
      </c>
      <c r="AH568" s="33">
        <f t="shared" si="85"/>
        <v>854.53521126760552</v>
      </c>
      <c r="AI568" s="6">
        <f>1-AB568/AH568</f>
        <v>0.550632911392405</v>
      </c>
      <c r="AJ568" s="7">
        <f>ROUND(AB568/0.65,0)</f>
        <v>591</v>
      </c>
      <c r="AK568" s="6">
        <f>1-AB568/AJ568</f>
        <v>0.35025380710659904</v>
      </c>
      <c r="AL568" s="4">
        <f>AJ568-AB568</f>
        <v>207</v>
      </c>
      <c r="AM568" s="28"/>
      <c r="AN568" s="6"/>
      <c r="AO568" s="6"/>
      <c r="AP568" s="6">
        <f>Z568/L568</f>
        <v>0.7481012658227848</v>
      </c>
      <c r="AQ568" s="6">
        <f>AJ568/M568</f>
        <v>0.93809523809523809</v>
      </c>
      <c r="AR568" s="6">
        <f>AB568/N568</f>
        <v>1.0816901408450703</v>
      </c>
      <c r="AS568" s="4"/>
      <c r="AT568" s="4"/>
      <c r="AU568" s="4"/>
      <c r="AV568" s="4"/>
      <c r="AW568" s="4"/>
      <c r="AX568" s="4"/>
      <c r="AY568" s="4"/>
      <c r="AZ568" s="4"/>
      <c r="BA568" s="4"/>
      <c r="BB568" s="4">
        <v>0</v>
      </c>
      <c r="BC568" s="4" t="s">
        <v>4050</v>
      </c>
      <c r="BD568" s="4">
        <v>1</v>
      </c>
      <c r="BE568" s="4">
        <v>2</v>
      </c>
      <c r="BF568" s="4" t="s">
        <v>3575</v>
      </c>
      <c r="BG568" s="4">
        <v>1580</v>
      </c>
      <c r="BH568" s="4">
        <v>1580</v>
      </c>
      <c r="BI568" s="4">
        <f t="shared" si="93"/>
        <v>790</v>
      </c>
      <c r="BJ568" s="19">
        <v>4</v>
      </c>
      <c r="BK568" s="19">
        <v>8</v>
      </c>
      <c r="BL568" s="16">
        <v>6</v>
      </c>
      <c r="BM568" s="45" t="s">
        <v>3534</v>
      </c>
      <c r="BN568" t="s">
        <v>3534</v>
      </c>
      <c r="BO568" t="str">
        <f t="shared" si="86"/>
        <v>-</v>
      </c>
      <c r="BP568" t="s">
        <v>3534</v>
      </c>
      <c r="BQ568">
        <v>751</v>
      </c>
      <c r="BR568">
        <f t="shared" si="87"/>
        <v>812.34929577464777</v>
      </c>
      <c r="BS568" t="s">
        <v>2937</v>
      </c>
    </row>
    <row r="569" spans="1:71" x14ac:dyDescent="0.4">
      <c r="A569" s="3">
        <v>566</v>
      </c>
      <c r="B569" s="3">
        <v>566</v>
      </c>
      <c r="C569" s="4" t="s">
        <v>628</v>
      </c>
      <c r="D569" s="4" t="str">
        <f t="shared" si="88"/>
        <v>J515WE</v>
      </c>
      <c r="E569" s="4" t="s">
        <v>628</v>
      </c>
      <c r="F569" s="4" t="s">
        <v>1846</v>
      </c>
      <c r="G569" s="5">
        <v>4521718189277</v>
      </c>
      <c r="H569" s="5"/>
      <c r="I569" s="5"/>
      <c r="J569" s="5">
        <v>1</v>
      </c>
      <c r="K569" s="5">
        <v>1</v>
      </c>
      <c r="L569" s="4">
        <v>400</v>
      </c>
      <c r="M569" s="4">
        <v>320</v>
      </c>
      <c r="N569" s="4">
        <v>179</v>
      </c>
      <c r="O569" s="6">
        <f t="shared" si="89"/>
        <v>0.44062500000000004</v>
      </c>
      <c r="P569" s="4" t="s">
        <v>2500</v>
      </c>
      <c r="Q569" s="4"/>
      <c r="R569" s="4"/>
      <c r="S569" s="4"/>
      <c r="T569" s="4"/>
      <c r="U569" s="4"/>
      <c r="V569" s="4"/>
      <c r="W569" s="4"/>
      <c r="X569" s="4"/>
      <c r="Y569" s="4">
        <v>255</v>
      </c>
      <c r="Z569" s="4">
        <f t="shared" si="90"/>
        <v>255</v>
      </c>
      <c r="AA569" s="4">
        <v>179</v>
      </c>
      <c r="AB569" s="4">
        <f t="shared" si="91"/>
        <v>179</v>
      </c>
      <c r="AC569" s="4"/>
      <c r="AD569" s="21">
        <f>ROUND(M569*AR569,0)</f>
        <v>320</v>
      </c>
      <c r="AE569" s="6">
        <f>1-AB569/AD569</f>
        <v>0.44062500000000004</v>
      </c>
      <c r="AF569" s="33">
        <v>0</v>
      </c>
      <c r="AG569" s="4">
        <f t="shared" si="92"/>
        <v>400</v>
      </c>
      <c r="AH569" s="33">
        <f t="shared" si="85"/>
        <v>400</v>
      </c>
      <c r="AI569" s="6">
        <f>1-AB569/AH569</f>
        <v>0.55249999999999999</v>
      </c>
      <c r="AJ569" s="7">
        <v>255</v>
      </c>
      <c r="AK569" s="6">
        <f>1-AB569/AJ569</f>
        <v>0.29803921568627456</v>
      </c>
      <c r="AL569" s="4">
        <f>AJ569-AB569</f>
        <v>76</v>
      </c>
      <c r="AM569" s="28"/>
      <c r="AN569" s="6"/>
      <c r="AO569" s="6"/>
      <c r="AP569" s="6">
        <f>Z569/L569</f>
        <v>0.63749999999999996</v>
      </c>
      <c r="AQ569" s="6">
        <f>AJ569/M569</f>
        <v>0.796875</v>
      </c>
      <c r="AR569" s="6">
        <f>AB569/N569</f>
        <v>1</v>
      </c>
      <c r="AS569" s="4"/>
      <c r="AT569" s="4"/>
      <c r="AU569" s="4"/>
      <c r="AV569" s="4"/>
      <c r="AW569" s="4"/>
      <c r="AX569" s="4"/>
      <c r="AY569" s="4"/>
      <c r="AZ569" s="4"/>
      <c r="BA569" s="4"/>
      <c r="BB569" s="4">
        <v>0</v>
      </c>
      <c r="BC569" s="4" t="s">
        <v>4051</v>
      </c>
      <c r="BD569" s="4">
        <v>1</v>
      </c>
      <c r="BE569" s="4">
        <v>4</v>
      </c>
      <c r="BF569" s="4" t="s">
        <v>3741</v>
      </c>
      <c r="BG569" s="4">
        <v>1600</v>
      </c>
      <c r="BH569" s="4">
        <v>1600</v>
      </c>
      <c r="BI569" s="4">
        <f t="shared" si="93"/>
        <v>400</v>
      </c>
      <c r="BJ569" s="19">
        <v>4</v>
      </c>
      <c r="BK569" s="19">
        <v>8</v>
      </c>
      <c r="BL569" s="16">
        <v>6</v>
      </c>
      <c r="BM569" s="45" t="s">
        <v>3534</v>
      </c>
      <c r="BN569" t="s">
        <v>3534</v>
      </c>
      <c r="BO569" t="str">
        <f t="shared" si="86"/>
        <v>-</v>
      </c>
      <c r="BP569" t="s">
        <v>3534</v>
      </c>
      <c r="BQ569">
        <v>380</v>
      </c>
      <c r="BR569">
        <f t="shared" si="87"/>
        <v>380</v>
      </c>
      <c r="BS569" t="s">
        <v>2938</v>
      </c>
    </row>
    <row r="570" spans="1:71" x14ac:dyDescent="0.4">
      <c r="A570" s="3">
        <v>567</v>
      </c>
      <c r="B570" s="3">
        <v>567</v>
      </c>
      <c r="C570" s="4" t="s">
        <v>629</v>
      </c>
      <c r="D570" s="4" t="str">
        <f t="shared" si="88"/>
        <v>J516WE</v>
      </c>
      <c r="E570" s="4" t="s">
        <v>629</v>
      </c>
      <c r="F570" s="4" t="s">
        <v>1847</v>
      </c>
      <c r="G570" s="5">
        <v>4521718189284</v>
      </c>
      <c r="H570" s="5"/>
      <c r="I570" s="5"/>
      <c r="J570" s="5">
        <v>1</v>
      </c>
      <c r="K570" s="5">
        <v>1</v>
      </c>
      <c r="L570" s="4">
        <v>400</v>
      </c>
      <c r="M570" s="4">
        <v>320</v>
      </c>
      <c r="N570" s="4">
        <v>179</v>
      </c>
      <c r="O570" s="6">
        <f t="shared" si="89"/>
        <v>0.44062500000000004</v>
      </c>
      <c r="P570" s="4" t="s">
        <v>2500</v>
      </c>
      <c r="Q570" s="4"/>
      <c r="R570" s="4"/>
      <c r="S570" s="4"/>
      <c r="T570" s="4"/>
      <c r="U570" s="4"/>
      <c r="V570" s="4"/>
      <c r="W570" s="4"/>
      <c r="X570" s="4"/>
      <c r="Y570" s="4">
        <v>255</v>
      </c>
      <c r="Z570" s="4">
        <f t="shared" si="90"/>
        <v>255</v>
      </c>
      <c r="AA570" s="4">
        <v>179</v>
      </c>
      <c r="AB570" s="4">
        <f t="shared" si="91"/>
        <v>179</v>
      </c>
      <c r="AC570" s="4"/>
      <c r="AD570" s="21">
        <f>ROUND(M570*AR570,0)</f>
        <v>320</v>
      </c>
      <c r="AE570" s="6">
        <f>1-AB570/AD570</f>
        <v>0.44062500000000004</v>
      </c>
      <c r="AF570" s="33">
        <v>0</v>
      </c>
      <c r="AG570" s="4">
        <f t="shared" si="92"/>
        <v>400</v>
      </c>
      <c r="AH570" s="33">
        <f t="shared" si="85"/>
        <v>400</v>
      </c>
      <c r="AI570" s="6">
        <f>1-AB570/AH570</f>
        <v>0.55249999999999999</v>
      </c>
      <c r="AJ570" s="7">
        <v>255</v>
      </c>
      <c r="AK570" s="6">
        <f>1-AB570/AJ570</f>
        <v>0.29803921568627456</v>
      </c>
      <c r="AL570" s="4">
        <f>AJ570-AB570</f>
        <v>76</v>
      </c>
      <c r="AM570" s="28"/>
      <c r="AN570" s="6"/>
      <c r="AO570" s="6"/>
      <c r="AP570" s="6">
        <f>Z570/L570</f>
        <v>0.63749999999999996</v>
      </c>
      <c r="AQ570" s="6">
        <f>AJ570/M570</f>
        <v>0.796875</v>
      </c>
      <c r="AR570" s="6">
        <f>AB570/N570</f>
        <v>1</v>
      </c>
      <c r="AS570" s="4"/>
      <c r="AT570" s="4"/>
      <c r="AU570" s="4"/>
      <c r="AV570" s="4"/>
      <c r="AW570" s="4"/>
      <c r="AX570" s="4"/>
      <c r="AY570" s="4"/>
      <c r="AZ570" s="4"/>
      <c r="BA570" s="4"/>
      <c r="BB570" s="4">
        <v>0</v>
      </c>
      <c r="BC570" s="4" t="s">
        <v>4052</v>
      </c>
      <c r="BD570" s="4">
        <v>1</v>
      </c>
      <c r="BE570" s="4">
        <v>4</v>
      </c>
      <c r="BF570" s="4" t="s">
        <v>3741</v>
      </c>
      <c r="BG570" s="4">
        <v>1600</v>
      </c>
      <c r="BH570" s="4">
        <v>1600</v>
      </c>
      <c r="BI570" s="4">
        <f t="shared" si="93"/>
        <v>400</v>
      </c>
      <c r="BJ570" s="19">
        <v>4</v>
      </c>
      <c r="BK570" s="19">
        <v>8</v>
      </c>
      <c r="BL570" s="16">
        <v>6</v>
      </c>
      <c r="BM570" s="45" t="s">
        <v>3534</v>
      </c>
      <c r="BN570" t="s">
        <v>3534</v>
      </c>
      <c r="BO570" t="str">
        <f t="shared" si="86"/>
        <v>-</v>
      </c>
      <c r="BP570" t="s">
        <v>3534</v>
      </c>
      <c r="BQ570">
        <v>380</v>
      </c>
      <c r="BR570">
        <f t="shared" si="87"/>
        <v>380</v>
      </c>
      <c r="BS570" t="s">
        <v>2939</v>
      </c>
    </row>
    <row r="571" spans="1:71" x14ac:dyDescent="0.4">
      <c r="A571" s="3">
        <v>568</v>
      </c>
      <c r="B571" s="3">
        <v>568</v>
      </c>
      <c r="C571" s="4" t="s">
        <v>630</v>
      </c>
      <c r="D571" s="4" t="str">
        <f t="shared" si="88"/>
        <v>J518WE</v>
      </c>
      <c r="E571" s="4" t="s">
        <v>630</v>
      </c>
      <c r="F571" s="4" t="s">
        <v>1848</v>
      </c>
      <c r="G571" s="5">
        <v>4521718189444</v>
      </c>
      <c r="H571" s="5"/>
      <c r="I571" s="5"/>
      <c r="J571" s="5">
        <v>1</v>
      </c>
      <c r="K571" s="5">
        <v>1</v>
      </c>
      <c r="L571" s="4">
        <v>680</v>
      </c>
      <c r="M571" s="4">
        <v>540</v>
      </c>
      <c r="N571" s="4">
        <v>306</v>
      </c>
      <c r="O571" s="6">
        <f t="shared" si="89"/>
        <v>0.43333333333333335</v>
      </c>
      <c r="P571" s="4" t="s">
        <v>2500</v>
      </c>
      <c r="Q571" s="4"/>
      <c r="R571" s="4"/>
      <c r="S571" s="4"/>
      <c r="T571" s="4"/>
      <c r="U571" s="4"/>
      <c r="V571" s="4"/>
      <c r="W571" s="4"/>
      <c r="X571" s="4"/>
      <c r="Y571" s="4">
        <v>446</v>
      </c>
      <c r="Z571" s="4">
        <f t="shared" si="90"/>
        <v>446</v>
      </c>
      <c r="AA571" s="4">
        <v>312</v>
      </c>
      <c r="AB571" s="4">
        <f t="shared" si="91"/>
        <v>312</v>
      </c>
      <c r="AC571" s="4"/>
      <c r="AD571" s="21">
        <f>ROUND(M571*AR571,0)</f>
        <v>551</v>
      </c>
      <c r="AE571" s="6">
        <f>1-AB571/AD571</f>
        <v>0.43375680580762255</v>
      </c>
      <c r="AF571" s="33">
        <v>0</v>
      </c>
      <c r="AG571" s="4">
        <f t="shared" si="92"/>
        <v>680</v>
      </c>
      <c r="AH571" s="33">
        <f t="shared" si="85"/>
        <v>693.33333333333326</v>
      </c>
      <c r="AI571" s="6">
        <f>1-AB571/AH571</f>
        <v>0.54999999999999993</v>
      </c>
      <c r="AJ571" s="7">
        <v>446</v>
      </c>
      <c r="AK571" s="6">
        <f>1-AB571/AJ571</f>
        <v>0.30044843049327352</v>
      </c>
      <c r="AL571" s="4">
        <f>AJ571-AB571</f>
        <v>134</v>
      </c>
      <c r="AM571" s="28"/>
      <c r="AN571" s="6"/>
      <c r="AO571" s="6"/>
      <c r="AP571" s="6">
        <f>Z571/L571</f>
        <v>0.65588235294117647</v>
      </c>
      <c r="AQ571" s="6">
        <f>AJ571/M571</f>
        <v>0.82592592592592595</v>
      </c>
      <c r="AR571" s="6">
        <f>AB571/N571</f>
        <v>1.0196078431372548</v>
      </c>
      <c r="AS571" s="4"/>
      <c r="AT571" s="4"/>
      <c r="AU571" s="4"/>
      <c r="AV571" s="4"/>
      <c r="AW571" s="4"/>
      <c r="AX571" s="4"/>
      <c r="AY571" s="4"/>
      <c r="AZ571" s="4"/>
      <c r="BA571" s="4"/>
      <c r="BB571" s="4">
        <v>0</v>
      </c>
      <c r="BC571" s="4" t="s">
        <v>4053</v>
      </c>
      <c r="BD571" s="4">
        <v>1</v>
      </c>
      <c r="BE571" s="4">
        <v>3</v>
      </c>
      <c r="BF571" s="4" t="s">
        <v>3601</v>
      </c>
      <c r="BG571" s="4">
        <v>2040</v>
      </c>
      <c r="BH571" s="4">
        <v>2040</v>
      </c>
      <c r="BI571" s="4">
        <f t="shared" si="93"/>
        <v>680</v>
      </c>
      <c r="BJ571" s="19">
        <v>4</v>
      </c>
      <c r="BK571" s="19">
        <v>8</v>
      </c>
      <c r="BL571" s="16">
        <v>6</v>
      </c>
      <c r="BM571" s="45" t="s">
        <v>3534</v>
      </c>
      <c r="BN571" t="s">
        <v>3534</v>
      </c>
      <c r="BO571" t="str">
        <f t="shared" si="86"/>
        <v>-</v>
      </c>
      <c r="BP571" t="s">
        <v>3534</v>
      </c>
      <c r="BQ571">
        <v>646</v>
      </c>
      <c r="BR571">
        <f t="shared" si="87"/>
        <v>658.66666666666663</v>
      </c>
      <c r="BS571" t="s">
        <v>2940</v>
      </c>
    </row>
    <row r="572" spans="1:71" x14ac:dyDescent="0.4">
      <c r="A572" s="3">
        <v>569</v>
      </c>
      <c r="B572" s="3">
        <v>569</v>
      </c>
      <c r="C572" s="4" t="s">
        <v>631</v>
      </c>
      <c r="D572" s="4" t="str">
        <f t="shared" si="88"/>
        <v>J517WE</v>
      </c>
      <c r="E572" s="4" t="s">
        <v>631</v>
      </c>
      <c r="F572" s="4" t="s">
        <v>1849</v>
      </c>
      <c r="G572" s="5">
        <v>4521718189437</v>
      </c>
      <c r="H572" s="5"/>
      <c r="I572" s="5"/>
      <c r="J572" s="5">
        <v>1</v>
      </c>
      <c r="K572" s="5">
        <v>1</v>
      </c>
      <c r="L572" s="4">
        <v>680</v>
      </c>
      <c r="M572" s="4">
        <v>540</v>
      </c>
      <c r="N572" s="4">
        <v>306</v>
      </c>
      <c r="O572" s="6">
        <f t="shared" si="89"/>
        <v>0.43333333333333335</v>
      </c>
      <c r="P572" s="4" t="s">
        <v>2500</v>
      </c>
      <c r="Q572" s="4"/>
      <c r="R572" s="4"/>
      <c r="S572" s="4"/>
      <c r="T572" s="4"/>
      <c r="U572" s="4"/>
      <c r="V572" s="4"/>
      <c r="W572" s="4"/>
      <c r="X572" s="4"/>
      <c r="Y572" s="4">
        <v>446</v>
      </c>
      <c r="Z572" s="4">
        <f t="shared" si="90"/>
        <v>446</v>
      </c>
      <c r="AA572" s="4">
        <v>312</v>
      </c>
      <c r="AB572" s="4">
        <f t="shared" si="91"/>
        <v>312</v>
      </c>
      <c r="AC572" s="4"/>
      <c r="AD572" s="21">
        <f>ROUND(M572*AR572,0)</f>
        <v>551</v>
      </c>
      <c r="AE572" s="6">
        <f>1-AB572/AD572</f>
        <v>0.43375680580762255</v>
      </c>
      <c r="AF572" s="33">
        <v>0</v>
      </c>
      <c r="AG572" s="4">
        <f t="shared" si="92"/>
        <v>680</v>
      </c>
      <c r="AH572" s="33">
        <f t="shared" si="85"/>
        <v>693.33333333333326</v>
      </c>
      <c r="AI572" s="6">
        <f>1-AB572/AH572</f>
        <v>0.54999999999999993</v>
      </c>
      <c r="AJ572" s="7">
        <v>446</v>
      </c>
      <c r="AK572" s="6">
        <f>1-AB572/AJ572</f>
        <v>0.30044843049327352</v>
      </c>
      <c r="AL572" s="4">
        <f>AJ572-AB572</f>
        <v>134</v>
      </c>
      <c r="AM572" s="28"/>
      <c r="AN572" s="6"/>
      <c r="AO572" s="6"/>
      <c r="AP572" s="6">
        <f>Z572/L572</f>
        <v>0.65588235294117647</v>
      </c>
      <c r="AQ572" s="6">
        <f>AJ572/M572</f>
        <v>0.82592592592592595</v>
      </c>
      <c r="AR572" s="6">
        <f>AB572/N572</f>
        <v>1.0196078431372548</v>
      </c>
      <c r="AS572" s="4"/>
      <c r="AT572" s="4"/>
      <c r="AU572" s="4"/>
      <c r="AV572" s="4"/>
      <c r="AW572" s="4"/>
      <c r="AX572" s="4"/>
      <c r="AY572" s="4"/>
      <c r="AZ572" s="4"/>
      <c r="BA572" s="4"/>
      <c r="BB572" s="4">
        <v>0</v>
      </c>
      <c r="BC572" s="4" t="s">
        <v>4054</v>
      </c>
      <c r="BD572" s="4">
        <v>1</v>
      </c>
      <c r="BE572" s="4">
        <v>3</v>
      </c>
      <c r="BF572" s="4" t="s">
        <v>3601</v>
      </c>
      <c r="BG572" s="4">
        <v>2040</v>
      </c>
      <c r="BH572" s="4">
        <v>2040</v>
      </c>
      <c r="BI572" s="4">
        <f t="shared" si="93"/>
        <v>680</v>
      </c>
      <c r="BJ572" s="19">
        <v>4</v>
      </c>
      <c r="BK572" s="19">
        <v>8</v>
      </c>
      <c r="BL572" s="16">
        <v>6</v>
      </c>
      <c r="BM572" s="45" t="s">
        <v>3534</v>
      </c>
      <c r="BN572" t="s">
        <v>3534</v>
      </c>
      <c r="BO572" t="str">
        <f t="shared" si="86"/>
        <v>-</v>
      </c>
      <c r="BP572" t="s">
        <v>3534</v>
      </c>
      <c r="BQ572">
        <v>646</v>
      </c>
      <c r="BR572">
        <f t="shared" si="87"/>
        <v>658.66666666666663</v>
      </c>
      <c r="BS572" t="s">
        <v>2941</v>
      </c>
    </row>
    <row r="573" spans="1:71" x14ac:dyDescent="0.4">
      <c r="A573" s="3">
        <v>570</v>
      </c>
      <c r="B573" s="3">
        <v>570</v>
      </c>
      <c r="C573" s="4" t="s">
        <v>632</v>
      </c>
      <c r="D573" s="4" t="str">
        <f t="shared" si="88"/>
        <v>J520WE</v>
      </c>
      <c r="E573" s="4" t="s">
        <v>632</v>
      </c>
      <c r="F573" s="4" t="s">
        <v>1850</v>
      </c>
      <c r="G573" s="5">
        <v>4521718190020</v>
      </c>
      <c r="H573" s="5"/>
      <c r="I573" s="5"/>
      <c r="J573" s="5">
        <v>1</v>
      </c>
      <c r="K573" s="5">
        <v>1</v>
      </c>
      <c r="L573" s="4">
        <v>150</v>
      </c>
      <c r="M573" s="4">
        <v>120</v>
      </c>
      <c r="N573" s="4">
        <v>64</v>
      </c>
      <c r="O573" s="6">
        <f t="shared" si="89"/>
        <v>0.46666666666666667</v>
      </c>
      <c r="P573" s="4" t="s">
        <v>2500</v>
      </c>
      <c r="Q573" s="4"/>
      <c r="R573" s="4"/>
      <c r="S573" s="4"/>
      <c r="T573" s="4"/>
      <c r="U573" s="4"/>
      <c r="V573" s="4"/>
      <c r="W573" s="4"/>
      <c r="X573" s="4"/>
      <c r="Y573" s="4">
        <v>110</v>
      </c>
      <c r="Z573" s="4">
        <f t="shared" si="90"/>
        <v>110</v>
      </c>
      <c r="AA573" s="4">
        <v>77</v>
      </c>
      <c r="AB573" s="4">
        <f t="shared" si="91"/>
        <v>77</v>
      </c>
      <c r="AC573" s="4"/>
      <c r="AD573" s="21">
        <f>ROUND(M573*AR573,0)</f>
        <v>144</v>
      </c>
      <c r="AE573" s="6">
        <f>1-AB573/AD573</f>
        <v>0.46527777777777779</v>
      </c>
      <c r="AF573" s="33">
        <v>0</v>
      </c>
      <c r="AG573" s="4">
        <f t="shared" si="92"/>
        <v>150</v>
      </c>
      <c r="AH573" s="33">
        <f t="shared" si="85"/>
        <v>180.46875</v>
      </c>
      <c r="AI573" s="6">
        <f>1-AB573/AH573</f>
        <v>0.57333333333333325</v>
      </c>
      <c r="AJ573" s="7">
        <v>110</v>
      </c>
      <c r="AK573" s="6">
        <f>1-AB573/AJ573</f>
        <v>0.30000000000000004</v>
      </c>
      <c r="AL573" s="4">
        <f>AJ573-AB573</f>
        <v>33</v>
      </c>
      <c r="AM573" s="28"/>
      <c r="AN573" s="6"/>
      <c r="AO573" s="6"/>
      <c r="AP573" s="6">
        <f>Z573/L573</f>
        <v>0.73333333333333328</v>
      </c>
      <c r="AQ573" s="6">
        <f>AJ573/M573</f>
        <v>0.91666666666666663</v>
      </c>
      <c r="AR573" s="6">
        <f>AB573/N573</f>
        <v>1.203125</v>
      </c>
      <c r="AS573" s="4"/>
      <c r="AT573" s="4"/>
      <c r="AU573" s="4"/>
      <c r="AV573" s="4"/>
      <c r="AW573" s="4"/>
      <c r="AX573" s="4"/>
      <c r="AY573" s="4"/>
      <c r="AZ573" s="4"/>
      <c r="BA573" s="4"/>
      <c r="BB573" s="4">
        <v>0</v>
      </c>
      <c r="BC573" s="4" t="s">
        <v>4055</v>
      </c>
      <c r="BD573" s="4">
        <v>1</v>
      </c>
      <c r="BE573" s="4">
        <v>11</v>
      </c>
      <c r="BF573" s="4" t="s">
        <v>4056</v>
      </c>
      <c r="BG573" s="4">
        <v>1650</v>
      </c>
      <c r="BH573" s="4">
        <v>1650</v>
      </c>
      <c r="BI573" s="4">
        <f t="shared" si="93"/>
        <v>150</v>
      </c>
      <c r="BJ573" s="19">
        <v>4</v>
      </c>
      <c r="BK573" s="19">
        <v>8</v>
      </c>
      <c r="BL573" s="16">
        <v>6</v>
      </c>
      <c r="BM573" s="45" t="s">
        <v>3534</v>
      </c>
      <c r="BN573" t="s">
        <v>3534</v>
      </c>
      <c r="BO573" t="str">
        <f t="shared" si="86"/>
        <v>-</v>
      </c>
      <c r="BP573" t="s">
        <v>3534</v>
      </c>
      <c r="BQ573">
        <v>143</v>
      </c>
      <c r="BR573">
        <f t="shared" si="87"/>
        <v>172.046875</v>
      </c>
      <c r="BS573" t="s">
        <v>2942</v>
      </c>
    </row>
    <row r="574" spans="1:71" x14ac:dyDescent="0.4">
      <c r="A574" s="3">
        <v>571</v>
      </c>
      <c r="B574" s="3">
        <v>571</v>
      </c>
      <c r="C574" s="4" t="s">
        <v>633</v>
      </c>
      <c r="D574" s="4" t="str">
        <f t="shared" si="88"/>
        <v>J519WE</v>
      </c>
      <c r="E574" s="4" t="s">
        <v>633</v>
      </c>
      <c r="F574" s="4" t="s">
        <v>1851</v>
      </c>
      <c r="G574" s="5">
        <v>4521718189451</v>
      </c>
      <c r="H574" s="5"/>
      <c r="I574" s="5"/>
      <c r="J574" s="5">
        <v>1</v>
      </c>
      <c r="K574" s="5">
        <v>1</v>
      </c>
      <c r="L574" s="4">
        <v>680</v>
      </c>
      <c r="M574" s="4">
        <v>540</v>
      </c>
      <c r="N574" s="4">
        <v>306</v>
      </c>
      <c r="O574" s="6">
        <f t="shared" si="89"/>
        <v>0.43333333333333335</v>
      </c>
      <c r="P574" s="4" t="s">
        <v>2500</v>
      </c>
      <c r="Q574" s="4"/>
      <c r="R574" s="4"/>
      <c r="S574" s="4"/>
      <c r="T574" s="4"/>
      <c r="U574" s="4"/>
      <c r="V574" s="4"/>
      <c r="W574" s="4"/>
      <c r="X574" s="4"/>
      <c r="Y574" s="4">
        <v>446</v>
      </c>
      <c r="Z574" s="4">
        <f t="shared" si="90"/>
        <v>446</v>
      </c>
      <c r="AA574" s="4">
        <v>312</v>
      </c>
      <c r="AB574" s="4">
        <f t="shared" si="91"/>
        <v>312</v>
      </c>
      <c r="AC574" s="4"/>
      <c r="AD574" s="21">
        <f>ROUND(M574*AR574,0)</f>
        <v>551</v>
      </c>
      <c r="AE574" s="6">
        <f>1-AB574/AD574</f>
        <v>0.43375680580762255</v>
      </c>
      <c r="AF574" s="33">
        <v>0</v>
      </c>
      <c r="AG574" s="4">
        <f t="shared" si="92"/>
        <v>680</v>
      </c>
      <c r="AH574" s="33">
        <f t="shared" si="85"/>
        <v>693.33333333333326</v>
      </c>
      <c r="AI574" s="6">
        <f>1-AB574/AH574</f>
        <v>0.54999999999999993</v>
      </c>
      <c r="AJ574" s="7">
        <v>446</v>
      </c>
      <c r="AK574" s="6">
        <f>1-AB574/AJ574</f>
        <v>0.30044843049327352</v>
      </c>
      <c r="AL574" s="4">
        <f>AJ574-AB574</f>
        <v>134</v>
      </c>
      <c r="AM574" s="28"/>
      <c r="AN574" s="6"/>
      <c r="AO574" s="6"/>
      <c r="AP574" s="6">
        <f>Z574/L574</f>
        <v>0.65588235294117647</v>
      </c>
      <c r="AQ574" s="6">
        <f>AJ574/M574</f>
        <v>0.82592592592592595</v>
      </c>
      <c r="AR574" s="6">
        <f>AB574/N574</f>
        <v>1.0196078431372548</v>
      </c>
      <c r="AS574" s="4"/>
      <c r="AT574" s="4"/>
      <c r="AU574" s="4"/>
      <c r="AV574" s="4"/>
      <c r="AW574" s="4"/>
      <c r="AX574" s="4"/>
      <c r="AY574" s="4"/>
      <c r="AZ574" s="4"/>
      <c r="BA574" s="4"/>
      <c r="BB574" s="4">
        <v>0</v>
      </c>
      <c r="BC574" s="4" t="s">
        <v>4057</v>
      </c>
      <c r="BD574" s="4">
        <v>1</v>
      </c>
      <c r="BE574" s="4">
        <v>3</v>
      </c>
      <c r="BF574" s="4" t="s">
        <v>3601</v>
      </c>
      <c r="BG574" s="4">
        <v>2040</v>
      </c>
      <c r="BH574" s="4">
        <v>2040</v>
      </c>
      <c r="BI574" s="4">
        <f t="shared" si="93"/>
        <v>680</v>
      </c>
      <c r="BJ574" s="19">
        <v>4</v>
      </c>
      <c r="BK574" s="19">
        <v>8</v>
      </c>
      <c r="BL574" s="16">
        <v>6</v>
      </c>
      <c r="BM574" s="45" t="s">
        <v>3534</v>
      </c>
      <c r="BN574" t="s">
        <v>3534</v>
      </c>
      <c r="BO574" t="str">
        <f t="shared" si="86"/>
        <v>-</v>
      </c>
      <c r="BP574" t="s">
        <v>3534</v>
      </c>
      <c r="BQ574">
        <v>646</v>
      </c>
      <c r="BR574">
        <f t="shared" si="87"/>
        <v>658.66666666666663</v>
      </c>
      <c r="BS574" t="s">
        <v>2943</v>
      </c>
    </row>
    <row r="575" spans="1:71" x14ac:dyDescent="0.4">
      <c r="A575" s="3">
        <v>572</v>
      </c>
      <c r="B575" s="3">
        <v>572</v>
      </c>
      <c r="C575" s="4" t="s">
        <v>634</v>
      </c>
      <c r="D575" s="4" t="str">
        <f t="shared" si="88"/>
        <v>J521WE</v>
      </c>
      <c r="E575" s="4" t="s">
        <v>634</v>
      </c>
      <c r="F575" s="4" t="s">
        <v>1852</v>
      </c>
      <c r="G575" s="5">
        <v>4521718190037</v>
      </c>
      <c r="H575" s="5"/>
      <c r="I575" s="5"/>
      <c r="J575" s="5">
        <v>1</v>
      </c>
      <c r="K575" s="5">
        <v>1</v>
      </c>
      <c r="L575" s="4">
        <v>150</v>
      </c>
      <c r="M575" s="4">
        <v>120</v>
      </c>
      <c r="N575" s="4">
        <v>64</v>
      </c>
      <c r="O575" s="6">
        <f t="shared" si="89"/>
        <v>0.46666666666666667</v>
      </c>
      <c r="P575" s="4" t="s">
        <v>2500</v>
      </c>
      <c r="Q575" s="4"/>
      <c r="R575" s="4"/>
      <c r="S575" s="4"/>
      <c r="T575" s="4"/>
      <c r="U575" s="4"/>
      <c r="V575" s="4"/>
      <c r="W575" s="4"/>
      <c r="X575" s="4"/>
      <c r="Y575" s="4">
        <v>110</v>
      </c>
      <c r="Z575" s="4">
        <f t="shared" si="90"/>
        <v>110</v>
      </c>
      <c r="AA575" s="4">
        <v>77</v>
      </c>
      <c r="AB575" s="4">
        <f t="shared" si="91"/>
        <v>77</v>
      </c>
      <c r="AC575" s="4"/>
      <c r="AD575" s="21">
        <f>ROUND(M575*AR575,0)</f>
        <v>144</v>
      </c>
      <c r="AE575" s="6">
        <f>1-AB575/AD575</f>
        <v>0.46527777777777779</v>
      </c>
      <c r="AF575" s="33">
        <v>0</v>
      </c>
      <c r="AG575" s="4">
        <f t="shared" si="92"/>
        <v>150</v>
      </c>
      <c r="AH575" s="33">
        <f t="shared" si="85"/>
        <v>180.46875</v>
      </c>
      <c r="AI575" s="6">
        <f>1-AB575/AH575</f>
        <v>0.57333333333333325</v>
      </c>
      <c r="AJ575" s="7">
        <v>110</v>
      </c>
      <c r="AK575" s="6">
        <f>1-AB575/AJ575</f>
        <v>0.30000000000000004</v>
      </c>
      <c r="AL575" s="4">
        <f>AJ575-AB575</f>
        <v>33</v>
      </c>
      <c r="AM575" s="28"/>
      <c r="AN575" s="6"/>
      <c r="AO575" s="6"/>
      <c r="AP575" s="6">
        <f>Z575/L575</f>
        <v>0.73333333333333328</v>
      </c>
      <c r="AQ575" s="6">
        <f>AJ575/M575</f>
        <v>0.91666666666666663</v>
      </c>
      <c r="AR575" s="6">
        <f>AB575/N575</f>
        <v>1.203125</v>
      </c>
      <c r="AS575" s="4"/>
      <c r="AT575" s="4"/>
      <c r="AU575" s="4"/>
      <c r="AV575" s="4"/>
      <c r="AW575" s="4"/>
      <c r="AX575" s="4"/>
      <c r="AY575" s="4"/>
      <c r="AZ575" s="4"/>
      <c r="BA575" s="4"/>
      <c r="BB575" s="4">
        <v>0</v>
      </c>
      <c r="BC575" s="4" t="s">
        <v>4058</v>
      </c>
      <c r="BD575" s="4">
        <v>1</v>
      </c>
      <c r="BE575" s="4">
        <v>11</v>
      </c>
      <c r="BF575" s="4" t="s">
        <v>4056</v>
      </c>
      <c r="BG575" s="4">
        <v>1650</v>
      </c>
      <c r="BH575" s="4">
        <v>1650</v>
      </c>
      <c r="BI575" s="4">
        <f t="shared" si="93"/>
        <v>150</v>
      </c>
      <c r="BJ575" s="19">
        <v>4</v>
      </c>
      <c r="BK575" s="19">
        <v>8</v>
      </c>
      <c r="BL575" s="16">
        <v>6</v>
      </c>
      <c r="BM575" s="45" t="s">
        <v>3534</v>
      </c>
      <c r="BN575" t="s">
        <v>3534</v>
      </c>
      <c r="BO575" t="str">
        <f t="shared" si="86"/>
        <v>-</v>
      </c>
      <c r="BP575" t="s">
        <v>3534</v>
      </c>
      <c r="BQ575">
        <v>143</v>
      </c>
      <c r="BR575">
        <f t="shared" si="87"/>
        <v>172.046875</v>
      </c>
      <c r="BS575" t="s">
        <v>2944</v>
      </c>
    </row>
    <row r="576" spans="1:71" x14ac:dyDescent="0.4">
      <c r="A576" s="3">
        <v>573</v>
      </c>
      <c r="B576" s="3">
        <v>573</v>
      </c>
      <c r="C576" s="4" t="s">
        <v>635</v>
      </c>
      <c r="D576" s="4" t="str">
        <f t="shared" si="88"/>
        <v>J523WE</v>
      </c>
      <c r="E576" s="4" t="s">
        <v>635</v>
      </c>
      <c r="F576" s="4" t="s">
        <v>1853</v>
      </c>
      <c r="G576" s="5">
        <v>4521718190051</v>
      </c>
      <c r="H576" s="5"/>
      <c r="I576" s="5"/>
      <c r="J576" s="5">
        <v>1</v>
      </c>
      <c r="K576" s="5">
        <v>1</v>
      </c>
      <c r="L576" s="4">
        <v>150</v>
      </c>
      <c r="M576" s="4">
        <v>120</v>
      </c>
      <c r="N576" s="4">
        <v>64</v>
      </c>
      <c r="O576" s="6">
        <f t="shared" si="89"/>
        <v>0.46666666666666667</v>
      </c>
      <c r="P576" s="4" t="s">
        <v>2500</v>
      </c>
      <c r="Q576" s="4"/>
      <c r="R576" s="4"/>
      <c r="S576" s="4"/>
      <c r="T576" s="4"/>
      <c r="U576" s="4"/>
      <c r="V576" s="4"/>
      <c r="W576" s="4"/>
      <c r="X576" s="4"/>
      <c r="Y576" s="4">
        <v>110</v>
      </c>
      <c r="Z576" s="4">
        <f t="shared" si="90"/>
        <v>110</v>
      </c>
      <c r="AA576" s="4">
        <v>77</v>
      </c>
      <c r="AB576" s="4">
        <f t="shared" si="91"/>
        <v>77</v>
      </c>
      <c r="AC576" s="4"/>
      <c r="AD576" s="21">
        <f>ROUND(M576*AR576,0)</f>
        <v>144</v>
      </c>
      <c r="AE576" s="6">
        <f>1-AB576/AD576</f>
        <v>0.46527777777777779</v>
      </c>
      <c r="AF576" s="33">
        <v>0</v>
      </c>
      <c r="AG576" s="4">
        <f t="shared" si="92"/>
        <v>150</v>
      </c>
      <c r="AH576" s="33">
        <f t="shared" si="85"/>
        <v>180.46875</v>
      </c>
      <c r="AI576" s="6">
        <f>1-AB576/AH576</f>
        <v>0.57333333333333325</v>
      </c>
      <c r="AJ576" s="7">
        <v>110</v>
      </c>
      <c r="AK576" s="6">
        <f>1-AB576/AJ576</f>
        <v>0.30000000000000004</v>
      </c>
      <c r="AL576" s="4">
        <f>AJ576-AB576</f>
        <v>33</v>
      </c>
      <c r="AM576" s="28"/>
      <c r="AN576" s="6"/>
      <c r="AO576" s="6"/>
      <c r="AP576" s="6">
        <f>Z576/L576</f>
        <v>0.73333333333333328</v>
      </c>
      <c r="AQ576" s="6">
        <f>AJ576/M576</f>
        <v>0.91666666666666663</v>
      </c>
      <c r="AR576" s="6">
        <f>AB576/N576</f>
        <v>1.203125</v>
      </c>
      <c r="AS576" s="4"/>
      <c r="AT576" s="4"/>
      <c r="AU576" s="4"/>
      <c r="AV576" s="4"/>
      <c r="AW576" s="4"/>
      <c r="AX576" s="4"/>
      <c r="AY576" s="4"/>
      <c r="AZ576" s="4"/>
      <c r="BA576" s="4"/>
      <c r="BB576" s="4">
        <v>0</v>
      </c>
      <c r="BC576" s="4" t="s">
        <v>4059</v>
      </c>
      <c r="BD576" s="4">
        <v>1</v>
      </c>
      <c r="BE576" s="4">
        <v>11</v>
      </c>
      <c r="BF576" s="4" t="s">
        <v>4056</v>
      </c>
      <c r="BG576" s="4">
        <v>1650</v>
      </c>
      <c r="BH576" s="4">
        <v>1650</v>
      </c>
      <c r="BI576" s="4">
        <f t="shared" si="93"/>
        <v>150</v>
      </c>
      <c r="BJ576" s="19">
        <v>4</v>
      </c>
      <c r="BK576" s="19">
        <v>8</v>
      </c>
      <c r="BL576" s="16">
        <v>6</v>
      </c>
      <c r="BM576" s="45" t="s">
        <v>3534</v>
      </c>
      <c r="BN576" t="s">
        <v>3534</v>
      </c>
      <c r="BO576" t="str">
        <f t="shared" si="86"/>
        <v>-</v>
      </c>
      <c r="BP576" t="s">
        <v>3534</v>
      </c>
      <c r="BQ576">
        <v>143</v>
      </c>
      <c r="BR576">
        <f t="shared" si="87"/>
        <v>172.046875</v>
      </c>
      <c r="BS576" t="s">
        <v>2945</v>
      </c>
    </row>
    <row r="577" spans="1:71" x14ac:dyDescent="0.4">
      <c r="A577" s="3">
        <v>574</v>
      </c>
      <c r="B577" s="3">
        <v>574</v>
      </c>
      <c r="C577" s="4" t="s">
        <v>636</v>
      </c>
      <c r="D577" s="4" t="str">
        <f t="shared" si="88"/>
        <v>J524WE</v>
      </c>
      <c r="E577" s="4" t="s">
        <v>636</v>
      </c>
      <c r="F577" s="4" t="s">
        <v>1854</v>
      </c>
      <c r="G577" s="5">
        <v>4521718190655</v>
      </c>
      <c r="H577" s="5"/>
      <c r="I577" s="5"/>
      <c r="J577" s="5">
        <v>1</v>
      </c>
      <c r="K577" s="5">
        <v>1</v>
      </c>
      <c r="L577" s="4">
        <v>460</v>
      </c>
      <c r="M577" s="4">
        <v>370</v>
      </c>
      <c r="N577" s="4">
        <v>204</v>
      </c>
      <c r="O577" s="6">
        <f t="shared" si="89"/>
        <v>0.44864864864864862</v>
      </c>
      <c r="P577" s="4" t="s">
        <v>2500</v>
      </c>
      <c r="Q577" s="4"/>
      <c r="R577" s="4"/>
      <c r="S577" s="4"/>
      <c r="T577" s="4"/>
      <c r="U577" s="4"/>
      <c r="V577" s="4"/>
      <c r="W577" s="4"/>
      <c r="X577" s="4"/>
      <c r="Y577" s="4">
        <v>291</v>
      </c>
      <c r="Z577" s="4">
        <f t="shared" si="90"/>
        <v>291</v>
      </c>
      <c r="AA577" s="4">
        <v>204</v>
      </c>
      <c r="AB577" s="4">
        <f t="shared" si="91"/>
        <v>204</v>
      </c>
      <c r="AC577" s="4"/>
      <c r="AD577" s="21">
        <f>ROUND(M577*AR577,0)</f>
        <v>370</v>
      </c>
      <c r="AE577" s="6">
        <f>1-AB577/AD577</f>
        <v>0.44864864864864862</v>
      </c>
      <c r="AF577" s="33">
        <v>0</v>
      </c>
      <c r="AG577" s="4">
        <f t="shared" si="92"/>
        <v>460</v>
      </c>
      <c r="AH577" s="33">
        <f t="shared" si="85"/>
        <v>460</v>
      </c>
      <c r="AI577" s="6">
        <f>1-AB577/AH577</f>
        <v>0.55652173913043479</v>
      </c>
      <c r="AJ577" s="7">
        <v>291</v>
      </c>
      <c r="AK577" s="6">
        <f>1-AB577/AJ577</f>
        <v>0.2989690721649485</v>
      </c>
      <c r="AL577" s="4">
        <f>AJ577-AB577</f>
        <v>87</v>
      </c>
      <c r="AM577" s="28"/>
      <c r="AN577" s="6"/>
      <c r="AO577" s="6"/>
      <c r="AP577" s="6">
        <f>Z577/L577</f>
        <v>0.63260869565217392</v>
      </c>
      <c r="AQ577" s="6">
        <f>AJ577/M577</f>
        <v>0.78648648648648645</v>
      </c>
      <c r="AR577" s="6">
        <f>AB577/N577</f>
        <v>1</v>
      </c>
      <c r="AS577" s="4"/>
      <c r="AT577" s="4"/>
      <c r="AU577" s="4"/>
      <c r="AV577" s="4"/>
      <c r="AW577" s="4"/>
      <c r="AX577" s="4"/>
      <c r="AY577" s="4"/>
      <c r="AZ577" s="4"/>
      <c r="BA577" s="4"/>
      <c r="BB577" s="4">
        <v>0</v>
      </c>
      <c r="BC577" s="4" t="s">
        <v>4060</v>
      </c>
      <c r="BD577" s="4">
        <v>1</v>
      </c>
      <c r="BE577" s="4">
        <v>4</v>
      </c>
      <c r="BF577" s="4" t="s">
        <v>3741</v>
      </c>
      <c r="BG577" s="4">
        <v>1840</v>
      </c>
      <c r="BH577" s="4">
        <v>1840</v>
      </c>
      <c r="BI577" s="4">
        <f t="shared" si="93"/>
        <v>460</v>
      </c>
      <c r="BJ577" s="19">
        <v>4</v>
      </c>
      <c r="BK577" s="19">
        <v>8</v>
      </c>
      <c r="BL577" s="16">
        <v>6</v>
      </c>
      <c r="BM577" s="45" t="s">
        <v>3534</v>
      </c>
      <c r="BN577" t="s">
        <v>3534</v>
      </c>
      <c r="BO577" t="str">
        <f t="shared" si="86"/>
        <v>-</v>
      </c>
      <c r="BP577" t="s">
        <v>3534</v>
      </c>
      <c r="BQ577">
        <v>437</v>
      </c>
      <c r="BR577">
        <f t="shared" si="87"/>
        <v>437</v>
      </c>
      <c r="BS577" t="s">
        <v>2946</v>
      </c>
    </row>
    <row r="578" spans="1:71" x14ac:dyDescent="0.4">
      <c r="A578" s="3">
        <v>575</v>
      </c>
      <c r="B578" s="3">
        <v>575</v>
      </c>
      <c r="C578" s="4" t="s">
        <v>637</v>
      </c>
      <c r="D578" s="4" t="str">
        <f t="shared" si="88"/>
        <v>J522WE</v>
      </c>
      <c r="E578" s="4" t="s">
        <v>637</v>
      </c>
      <c r="F578" s="4" t="s">
        <v>1855</v>
      </c>
      <c r="G578" s="5">
        <v>4521718190044</v>
      </c>
      <c r="H578" s="5"/>
      <c r="I578" s="5"/>
      <c r="J578" s="5">
        <v>1</v>
      </c>
      <c r="K578" s="5">
        <v>1</v>
      </c>
      <c r="L578" s="4">
        <v>150</v>
      </c>
      <c r="M578" s="4">
        <v>120</v>
      </c>
      <c r="N578" s="4">
        <v>64</v>
      </c>
      <c r="O578" s="6">
        <f t="shared" si="89"/>
        <v>0.46666666666666667</v>
      </c>
      <c r="P578" s="4" t="s">
        <v>2500</v>
      </c>
      <c r="Q578" s="4"/>
      <c r="R578" s="4"/>
      <c r="S578" s="4"/>
      <c r="T578" s="4"/>
      <c r="U578" s="4"/>
      <c r="V578" s="4"/>
      <c r="W578" s="4"/>
      <c r="X578" s="4"/>
      <c r="Y578" s="4">
        <v>110</v>
      </c>
      <c r="Z578" s="4">
        <f t="shared" si="90"/>
        <v>110</v>
      </c>
      <c r="AA578" s="4">
        <v>77</v>
      </c>
      <c r="AB578" s="4">
        <f t="shared" si="91"/>
        <v>77</v>
      </c>
      <c r="AC578" s="4"/>
      <c r="AD578" s="21">
        <f>ROUND(M578*AR578,0)</f>
        <v>144</v>
      </c>
      <c r="AE578" s="6">
        <f>1-AB578/AD578</f>
        <v>0.46527777777777779</v>
      </c>
      <c r="AF578" s="33">
        <v>0</v>
      </c>
      <c r="AG578" s="4">
        <f t="shared" si="92"/>
        <v>150</v>
      </c>
      <c r="AH578" s="33">
        <f t="shared" si="85"/>
        <v>180.46875</v>
      </c>
      <c r="AI578" s="6">
        <f>1-AB578/AH578</f>
        <v>0.57333333333333325</v>
      </c>
      <c r="AJ578" s="7">
        <v>110</v>
      </c>
      <c r="AK578" s="6">
        <f>1-AB578/AJ578</f>
        <v>0.30000000000000004</v>
      </c>
      <c r="AL578" s="4">
        <f>AJ578-AB578</f>
        <v>33</v>
      </c>
      <c r="AM578" s="28"/>
      <c r="AN578" s="6"/>
      <c r="AO578" s="6"/>
      <c r="AP578" s="6">
        <f>Z578/L578</f>
        <v>0.73333333333333328</v>
      </c>
      <c r="AQ578" s="6">
        <f>AJ578/M578</f>
        <v>0.91666666666666663</v>
      </c>
      <c r="AR578" s="6">
        <f>AB578/N578</f>
        <v>1.203125</v>
      </c>
      <c r="AS578" s="4"/>
      <c r="AT578" s="4"/>
      <c r="AU578" s="4"/>
      <c r="AV578" s="4"/>
      <c r="AW578" s="4"/>
      <c r="AX578" s="4"/>
      <c r="AY578" s="4"/>
      <c r="AZ578" s="4"/>
      <c r="BA578" s="4"/>
      <c r="BB578" s="4">
        <v>0</v>
      </c>
      <c r="BC578" s="4" t="s">
        <v>4061</v>
      </c>
      <c r="BD578" s="4">
        <v>1</v>
      </c>
      <c r="BE578" s="4">
        <v>11</v>
      </c>
      <c r="BF578" s="4" t="s">
        <v>4056</v>
      </c>
      <c r="BG578" s="4">
        <v>1650</v>
      </c>
      <c r="BH578" s="4">
        <v>1650</v>
      </c>
      <c r="BI578" s="4">
        <f t="shared" si="93"/>
        <v>150</v>
      </c>
      <c r="BJ578" s="19">
        <v>4</v>
      </c>
      <c r="BK578" s="19">
        <v>8</v>
      </c>
      <c r="BL578" s="16">
        <v>6</v>
      </c>
      <c r="BM578" s="45" t="s">
        <v>3534</v>
      </c>
      <c r="BN578" t="s">
        <v>3534</v>
      </c>
      <c r="BO578" t="str">
        <f t="shared" si="86"/>
        <v>-</v>
      </c>
      <c r="BP578" t="s">
        <v>3534</v>
      </c>
      <c r="BQ578">
        <v>143</v>
      </c>
      <c r="BR578">
        <f t="shared" si="87"/>
        <v>172.046875</v>
      </c>
      <c r="BS578" t="s">
        <v>2947</v>
      </c>
    </row>
    <row r="579" spans="1:71" x14ac:dyDescent="0.4">
      <c r="A579" s="3">
        <v>576</v>
      </c>
      <c r="B579" s="3">
        <v>576</v>
      </c>
      <c r="C579" s="4" t="s">
        <v>638</v>
      </c>
      <c r="D579" s="4" t="str">
        <f t="shared" si="88"/>
        <v>J525WE</v>
      </c>
      <c r="E579" s="4" t="s">
        <v>638</v>
      </c>
      <c r="F579" s="4" t="s">
        <v>1856</v>
      </c>
      <c r="G579" s="5">
        <v>4521718190662</v>
      </c>
      <c r="H579" s="5"/>
      <c r="I579" s="5"/>
      <c r="J579" s="5">
        <v>1</v>
      </c>
      <c r="K579" s="5">
        <v>1</v>
      </c>
      <c r="L579" s="4">
        <v>460</v>
      </c>
      <c r="M579" s="4">
        <v>370</v>
      </c>
      <c r="N579" s="4">
        <v>204</v>
      </c>
      <c r="O579" s="6">
        <f t="shared" si="89"/>
        <v>0.44864864864864862</v>
      </c>
      <c r="P579" s="4" t="s">
        <v>2500</v>
      </c>
      <c r="Q579" s="4"/>
      <c r="R579" s="4"/>
      <c r="S579" s="4"/>
      <c r="T579" s="4"/>
      <c r="U579" s="4"/>
      <c r="V579" s="4"/>
      <c r="W579" s="4"/>
      <c r="X579" s="4"/>
      <c r="Y579" s="4">
        <v>291</v>
      </c>
      <c r="Z579" s="4">
        <f t="shared" si="90"/>
        <v>291</v>
      </c>
      <c r="AA579" s="4">
        <v>204</v>
      </c>
      <c r="AB579" s="4">
        <f t="shared" si="91"/>
        <v>204</v>
      </c>
      <c r="AC579" s="4"/>
      <c r="AD579" s="21">
        <f>ROUND(M579*AR579,0)</f>
        <v>370</v>
      </c>
      <c r="AE579" s="6">
        <f>1-AB579/AD579</f>
        <v>0.44864864864864862</v>
      </c>
      <c r="AF579" s="33">
        <v>0</v>
      </c>
      <c r="AG579" s="4">
        <f t="shared" si="92"/>
        <v>460</v>
      </c>
      <c r="AH579" s="33">
        <f t="shared" si="85"/>
        <v>460</v>
      </c>
      <c r="AI579" s="6">
        <f>1-AB579/AH579</f>
        <v>0.55652173913043479</v>
      </c>
      <c r="AJ579" s="7">
        <v>291</v>
      </c>
      <c r="AK579" s="6">
        <f>1-AB579/AJ579</f>
        <v>0.2989690721649485</v>
      </c>
      <c r="AL579" s="4">
        <f>AJ579-AB579</f>
        <v>87</v>
      </c>
      <c r="AM579" s="28"/>
      <c r="AN579" s="6"/>
      <c r="AO579" s="6"/>
      <c r="AP579" s="6">
        <f>Z579/L579</f>
        <v>0.63260869565217392</v>
      </c>
      <c r="AQ579" s="6">
        <f>AJ579/M579</f>
        <v>0.78648648648648645</v>
      </c>
      <c r="AR579" s="6">
        <f>AB579/N579</f>
        <v>1</v>
      </c>
      <c r="AS579" s="4"/>
      <c r="AT579" s="4"/>
      <c r="AU579" s="4"/>
      <c r="AV579" s="4"/>
      <c r="AW579" s="4"/>
      <c r="AX579" s="4"/>
      <c r="AY579" s="4"/>
      <c r="AZ579" s="4"/>
      <c r="BA579" s="4"/>
      <c r="BB579" s="4">
        <v>0</v>
      </c>
      <c r="BC579" s="4" t="s">
        <v>4062</v>
      </c>
      <c r="BD579" s="4">
        <v>1</v>
      </c>
      <c r="BE579" s="4">
        <v>4</v>
      </c>
      <c r="BF579" s="4" t="s">
        <v>3741</v>
      </c>
      <c r="BG579" s="4">
        <v>1840</v>
      </c>
      <c r="BH579" s="4">
        <v>1840</v>
      </c>
      <c r="BI579" s="4">
        <f t="shared" si="93"/>
        <v>460</v>
      </c>
      <c r="BJ579" s="19">
        <v>4</v>
      </c>
      <c r="BK579" s="19">
        <v>8</v>
      </c>
      <c r="BL579" s="16">
        <v>6</v>
      </c>
      <c r="BM579" s="45" t="s">
        <v>3534</v>
      </c>
      <c r="BN579" t="s">
        <v>3534</v>
      </c>
      <c r="BO579" t="str">
        <f t="shared" si="86"/>
        <v>-</v>
      </c>
      <c r="BP579" t="s">
        <v>3534</v>
      </c>
      <c r="BQ579">
        <v>437</v>
      </c>
      <c r="BR579">
        <f t="shared" si="87"/>
        <v>437</v>
      </c>
      <c r="BS579" t="s">
        <v>2948</v>
      </c>
    </row>
    <row r="580" spans="1:71" x14ac:dyDescent="0.4">
      <c r="A580" s="3">
        <v>577</v>
      </c>
      <c r="B580" s="3">
        <v>577</v>
      </c>
      <c r="C580" s="4" t="s">
        <v>639</v>
      </c>
      <c r="D580" s="4" t="str">
        <f t="shared" si="88"/>
        <v>J526WE</v>
      </c>
      <c r="E580" s="4" t="s">
        <v>639</v>
      </c>
      <c r="F580" s="4" t="s">
        <v>1857</v>
      </c>
      <c r="G580" s="5">
        <v>4521718190679</v>
      </c>
      <c r="H580" s="5"/>
      <c r="I580" s="5"/>
      <c r="J580" s="5">
        <v>1</v>
      </c>
      <c r="K580" s="5">
        <v>1</v>
      </c>
      <c r="L580" s="4">
        <v>460</v>
      </c>
      <c r="M580" s="4">
        <v>370</v>
      </c>
      <c r="N580" s="4">
        <v>204</v>
      </c>
      <c r="O580" s="6">
        <f t="shared" si="89"/>
        <v>0.44864864864864862</v>
      </c>
      <c r="P580" s="4" t="s">
        <v>2500</v>
      </c>
      <c r="Q580" s="4"/>
      <c r="R580" s="4"/>
      <c r="S580" s="4"/>
      <c r="T580" s="4"/>
      <c r="U580" s="4"/>
      <c r="V580" s="4"/>
      <c r="W580" s="4"/>
      <c r="X580" s="4"/>
      <c r="Y580" s="4">
        <v>291</v>
      </c>
      <c r="Z580" s="4">
        <f t="shared" si="90"/>
        <v>291</v>
      </c>
      <c r="AA580" s="4">
        <v>204</v>
      </c>
      <c r="AB580" s="4">
        <f t="shared" si="91"/>
        <v>204</v>
      </c>
      <c r="AC580" s="4"/>
      <c r="AD580" s="21">
        <f>ROUND(M580*AR580,0)</f>
        <v>370</v>
      </c>
      <c r="AE580" s="6">
        <f>1-AB580/AD580</f>
        <v>0.44864864864864862</v>
      </c>
      <c r="AF580" s="33">
        <v>0</v>
      </c>
      <c r="AG580" s="4">
        <f t="shared" si="92"/>
        <v>460</v>
      </c>
      <c r="AH580" s="33">
        <f t="shared" ref="AH580:AH643" si="94">AG580*AR580</f>
        <v>460</v>
      </c>
      <c r="AI580" s="6">
        <f>1-AB580/AH580</f>
        <v>0.55652173913043479</v>
      </c>
      <c r="AJ580" s="7">
        <v>291</v>
      </c>
      <c r="AK580" s="6">
        <f>1-AB580/AJ580</f>
        <v>0.2989690721649485</v>
      </c>
      <c r="AL580" s="4">
        <f>AJ580-AB580</f>
        <v>87</v>
      </c>
      <c r="AM580" s="28"/>
      <c r="AN580" s="6"/>
      <c r="AO580" s="6"/>
      <c r="AP580" s="6">
        <f>Z580/L580</f>
        <v>0.63260869565217392</v>
      </c>
      <c r="AQ580" s="6">
        <f>AJ580/M580</f>
        <v>0.78648648648648645</v>
      </c>
      <c r="AR580" s="6">
        <f>AB580/N580</f>
        <v>1</v>
      </c>
      <c r="AS580" s="4"/>
      <c r="AT580" s="4"/>
      <c r="AU580" s="4"/>
      <c r="AV580" s="4"/>
      <c r="AW580" s="4"/>
      <c r="AX580" s="4"/>
      <c r="AY580" s="4"/>
      <c r="AZ580" s="4"/>
      <c r="BA580" s="4"/>
      <c r="BB580" s="4">
        <v>0</v>
      </c>
      <c r="BC580" s="4" t="s">
        <v>4063</v>
      </c>
      <c r="BD580" s="4">
        <v>1</v>
      </c>
      <c r="BE580" s="4">
        <v>4</v>
      </c>
      <c r="BF580" s="4" t="s">
        <v>3741</v>
      </c>
      <c r="BG580" s="4">
        <v>1840</v>
      </c>
      <c r="BH580" s="4">
        <v>1840</v>
      </c>
      <c r="BI580" s="4">
        <f t="shared" si="93"/>
        <v>460</v>
      </c>
      <c r="BJ580" s="19">
        <v>4</v>
      </c>
      <c r="BK580" s="19">
        <v>8</v>
      </c>
      <c r="BL580" s="16">
        <v>6</v>
      </c>
      <c r="BM580" s="45" t="s">
        <v>3534</v>
      </c>
      <c r="BN580" t="s">
        <v>3534</v>
      </c>
      <c r="BO580" t="str">
        <f t="shared" si="86"/>
        <v>-</v>
      </c>
      <c r="BP580" t="s">
        <v>3534</v>
      </c>
      <c r="BQ580">
        <v>437</v>
      </c>
      <c r="BR580">
        <f t="shared" si="87"/>
        <v>437</v>
      </c>
      <c r="BS580" t="s">
        <v>2949</v>
      </c>
    </row>
    <row r="581" spans="1:71" x14ac:dyDescent="0.4">
      <c r="A581" s="3">
        <v>578</v>
      </c>
      <c r="B581" s="3">
        <v>578</v>
      </c>
      <c r="C581" s="4" t="s">
        <v>640</v>
      </c>
      <c r="D581" s="4" t="str">
        <f t="shared" si="88"/>
        <v>J528RR</v>
      </c>
      <c r="E581" s="4" t="s">
        <v>640</v>
      </c>
      <c r="F581" s="4" t="s">
        <v>1858</v>
      </c>
      <c r="G581" s="5">
        <v>4521718094526</v>
      </c>
      <c r="H581" s="5"/>
      <c r="I581" s="5"/>
      <c r="J581" s="5">
        <v>1</v>
      </c>
      <c r="K581" s="5">
        <v>1</v>
      </c>
      <c r="L581" s="4">
        <v>730</v>
      </c>
      <c r="M581" s="4">
        <v>476</v>
      </c>
      <c r="N581" s="4">
        <v>325</v>
      </c>
      <c r="O581" s="6">
        <f t="shared" si="89"/>
        <v>0.3172268907563025</v>
      </c>
      <c r="P581" s="4" t="s">
        <v>2500</v>
      </c>
      <c r="Q581" s="4"/>
      <c r="R581" s="4"/>
      <c r="S581" s="4"/>
      <c r="T581" s="4"/>
      <c r="U581" s="4"/>
      <c r="V581" s="4"/>
      <c r="W581" s="4"/>
      <c r="X581" s="4"/>
      <c r="Y581" s="4">
        <v>519</v>
      </c>
      <c r="Z581" s="4">
        <f t="shared" si="90"/>
        <v>519</v>
      </c>
      <c r="AA581" s="4">
        <v>337</v>
      </c>
      <c r="AB581" s="4">
        <f t="shared" si="91"/>
        <v>337</v>
      </c>
      <c r="AC581" s="4"/>
      <c r="AD581" s="21">
        <f>ROUND(M581*AR581,0)</f>
        <v>494</v>
      </c>
      <c r="AE581" s="6">
        <f>1-AB581/AD581</f>
        <v>0.31781376518218618</v>
      </c>
      <c r="AF581" s="33">
        <v>0</v>
      </c>
      <c r="AG581" s="4">
        <f t="shared" si="92"/>
        <v>482</v>
      </c>
      <c r="AH581" s="33">
        <f t="shared" si="94"/>
        <v>499.79692307692301</v>
      </c>
      <c r="AI581" s="6">
        <f>1-AB581/AH581</f>
        <v>0.32572614107883813</v>
      </c>
      <c r="AJ581" s="7">
        <v>499</v>
      </c>
      <c r="AK581" s="6">
        <f>1-AB581/AJ581</f>
        <v>0.32464929859719438</v>
      </c>
      <c r="AL581" s="4">
        <f>AJ581-AB581</f>
        <v>162</v>
      </c>
      <c r="AM581" s="28"/>
      <c r="AN581" s="6"/>
      <c r="AO581" s="6"/>
      <c r="AP581" s="6">
        <f>Z581/L581</f>
        <v>0.71095890410958906</v>
      </c>
      <c r="AQ581" s="6">
        <f>AJ581/M581</f>
        <v>1.0483193277310925</v>
      </c>
      <c r="AR581" s="6">
        <f>AB581/N581</f>
        <v>1.0369230769230768</v>
      </c>
      <c r="AS581" s="4"/>
      <c r="AT581" s="4"/>
      <c r="AU581" s="4"/>
      <c r="AV581" s="4"/>
      <c r="AW581" s="4"/>
      <c r="AX581" s="4"/>
      <c r="AY581" s="4"/>
      <c r="AZ581" s="4"/>
      <c r="BA581" s="4"/>
      <c r="BB581" s="4">
        <v>0</v>
      </c>
      <c r="BC581" s="4" t="s">
        <v>4064</v>
      </c>
      <c r="BD581" s="4"/>
      <c r="BE581" s="4"/>
      <c r="BF581" s="4" t="s">
        <v>3545</v>
      </c>
      <c r="BG581" s="4">
        <v>482</v>
      </c>
      <c r="BH581" s="4">
        <v>482</v>
      </c>
      <c r="BI581" s="4">
        <f t="shared" si="93"/>
        <v>482</v>
      </c>
      <c r="BJ581" s="19">
        <v>4</v>
      </c>
      <c r="BK581" s="19">
        <v>8</v>
      </c>
      <c r="BL581" s="16">
        <v>6</v>
      </c>
      <c r="BM581" s="45" t="s">
        <v>3534</v>
      </c>
      <c r="BN581" t="s">
        <v>3534</v>
      </c>
      <c r="BO581" t="str">
        <f t="shared" ref="BO581:BO644" si="95">IFERROR(BN581*AR581,"-")</f>
        <v>-</v>
      </c>
      <c r="BP581" t="s">
        <v>3534</v>
      </c>
      <c r="BQ581">
        <v>482</v>
      </c>
      <c r="BR581">
        <f t="shared" ref="BR581:BR644" si="96">IFERROR(BQ581*AR581,"-")</f>
        <v>499.79692307692301</v>
      </c>
      <c r="BS581" t="s">
        <v>2950</v>
      </c>
    </row>
    <row r="582" spans="1:71" x14ac:dyDescent="0.4">
      <c r="A582" s="3">
        <v>579</v>
      </c>
      <c r="B582" s="3">
        <v>579</v>
      </c>
      <c r="C582" s="4" t="s">
        <v>641</v>
      </c>
      <c r="D582" s="4" t="str">
        <f t="shared" si="88"/>
        <v>J527WE</v>
      </c>
      <c r="E582" s="4" t="s">
        <v>641</v>
      </c>
      <c r="F582" s="4" t="s">
        <v>1859</v>
      </c>
      <c r="G582" s="5">
        <v>4521718190686</v>
      </c>
      <c r="H582" s="5"/>
      <c r="I582" s="5"/>
      <c r="J582" s="5">
        <v>1</v>
      </c>
      <c r="K582" s="5">
        <v>1</v>
      </c>
      <c r="L582" s="4">
        <v>460</v>
      </c>
      <c r="M582" s="4">
        <v>370</v>
      </c>
      <c r="N582" s="4">
        <v>204</v>
      </c>
      <c r="O582" s="6">
        <f t="shared" si="89"/>
        <v>0.44864864864864862</v>
      </c>
      <c r="P582" s="4" t="s">
        <v>2500</v>
      </c>
      <c r="Q582" s="4"/>
      <c r="R582" s="4"/>
      <c r="S582" s="4"/>
      <c r="T582" s="4"/>
      <c r="U582" s="4"/>
      <c r="V582" s="4"/>
      <c r="W582" s="4"/>
      <c r="X582" s="4"/>
      <c r="Y582" s="4">
        <v>291</v>
      </c>
      <c r="Z582" s="4">
        <f t="shared" si="90"/>
        <v>291</v>
      </c>
      <c r="AA582" s="4">
        <v>204</v>
      </c>
      <c r="AB582" s="4">
        <f t="shared" si="91"/>
        <v>204</v>
      </c>
      <c r="AC582" s="4"/>
      <c r="AD582" s="21">
        <f>ROUND(M582*AR582,0)</f>
        <v>370</v>
      </c>
      <c r="AE582" s="6">
        <f>1-AB582/AD582</f>
        <v>0.44864864864864862</v>
      </c>
      <c r="AF582" s="33">
        <v>0</v>
      </c>
      <c r="AG582" s="4">
        <f t="shared" si="92"/>
        <v>460</v>
      </c>
      <c r="AH582" s="33">
        <f t="shared" si="94"/>
        <v>460</v>
      </c>
      <c r="AI582" s="6">
        <f>1-AB582/AH582</f>
        <v>0.55652173913043479</v>
      </c>
      <c r="AJ582" s="7">
        <v>291</v>
      </c>
      <c r="AK582" s="6">
        <f>1-AB582/AJ582</f>
        <v>0.2989690721649485</v>
      </c>
      <c r="AL582" s="4">
        <f>AJ582-AB582</f>
        <v>87</v>
      </c>
      <c r="AM582" s="28"/>
      <c r="AN582" s="6"/>
      <c r="AO582" s="6"/>
      <c r="AP582" s="6">
        <f>Z582/L582</f>
        <v>0.63260869565217392</v>
      </c>
      <c r="AQ582" s="6">
        <f>AJ582/M582</f>
        <v>0.78648648648648645</v>
      </c>
      <c r="AR582" s="6">
        <f>AB582/N582</f>
        <v>1</v>
      </c>
      <c r="AS582" s="4"/>
      <c r="AT582" s="4"/>
      <c r="AU582" s="4"/>
      <c r="AV582" s="4"/>
      <c r="AW582" s="4"/>
      <c r="AX582" s="4"/>
      <c r="AY582" s="4"/>
      <c r="AZ582" s="4"/>
      <c r="BA582" s="4"/>
      <c r="BB582" s="4">
        <v>0</v>
      </c>
      <c r="BC582" s="4" t="s">
        <v>4065</v>
      </c>
      <c r="BD582" s="4">
        <v>1</v>
      </c>
      <c r="BE582" s="4">
        <v>4</v>
      </c>
      <c r="BF582" s="4" t="s">
        <v>3741</v>
      </c>
      <c r="BG582" s="4">
        <v>1840</v>
      </c>
      <c r="BH582" s="4">
        <v>1840</v>
      </c>
      <c r="BI582" s="4">
        <f t="shared" si="93"/>
        <v>460</v>
      </c>
      <c r="BJ582" s="19">
        <v>4</v>
      </c>
      <c r="BK582" s="19">
        <v>8</v>
      </c>
      <c r="BL582" s="16">
        <v>6</v>
      </c>
      <c r="BM582" s="45" t="s">
        <v>3534</v>
      </c>
      <c r="BN582" t="s">
        <v>3534</v>
      </c>
      <c r="BO582" t="str">
        <f t="shared" si="95"/>
        <v>-</v>
      </c>
      <c r="BP582" t="s">
        <v>3534</v>
      </c>
      <c r="BQ582">
        <v>437</v>
      </c>
      <c r="BR582">
        <f t="shared" si="96"/>
        <v>437</v>
      </c>
      <c r="BS582" t="s">
        <v>2951</v>
      </c>
    </row>
    <row r="583" spans="1:71" x14ac:dyDescent="0.4">
      <c r="A583" s="3">
        <v>580</v>
      </c>
      <c r="B583" s="3">
        <v>580</v>
      </c>
      <c r="C583" s="4" t="s">
        <v>642</v>
      </c>
      <c r="D583" s="4" t="str">
        <f t="shared" si="88"/>
        <v>J529WE</v>
      </c>
      <c r="E583" s="4" t="s">
        <v>642</v>
      </c>
      <c r="F583" s="4" t="s">
        <v>1860</v>
      </c>
      <c r="G583" s="5">
        <v>4521718190709</v>
      </c>
      <c r="H583" s="5"/>
      <c r="I583" s="5"/>
      <c r="J583" s="5">
        <v>1</v>
      </c>
      <c r="K583" s="5">
        <v>1</v>
      </c>
      <c r="L583" s="4">
        <v>460</v>
      </c>
      <c r="M583" s="4">
        <v>370</v>
      </c>
      <c r="N583" s="4">
        <v>204</v>
      </c>
      <c r="O583" s="6">
        <f t="shared" si="89"/>
        <v>0.44864864864864862</v>
      </c>
      <c r="P583" s="4" t="s">
        <v>2500</v>
      </c>
      <c r="Q583" s="4"/>
      <c r="R583" s="4"/>
      <c r="S583" s="4"/>
      <c r="T583" s="4"/>
      <c r="U583" s="4"/>
      <c r="V583" s="4"/>
      <c r="W583" s="4"/>
      <c r="X583" s="4"/>
      <c r="Y583" s="4">
        <v>291</v>
      </c>
      <c r="Z583" s="4">
        <f t="shared" si="90"/>
        <v>291</v>
      </c>
      <c r="AA583" s="4">
        <v>204</v>
      </c>
      <c r="AB583" s="4">
        <f t="shared" si="91"/>
        <v>204</v>
      </c>
      <c r="AC583" s="4"/>
      <c r="AD583" s="21">
        <f>ROUND(M583*AR583,0)</f>
        <v>370</v>
      </c>
      <c r="AE583" s="6">
        <f>1-AB583/AD583</f>
        <v>0.44864864864864862</v>
      </c>
      <c r="AF583" s="33">
        <v>0</v>
      </c>
      <c r="AG583" s="4">
        <f t="shared" si="92"/>
        <v>460</v>
      </c>
      <c r="AH583" s="33">
        <f t="shared" si="94"/>
        <v>460</v>
      </c>
      <c r="AI583" s="6">
        <f>1-AB583/AH583</f>
        <v>0.55652173913043479</v>
      </c>
      <c r="AJ583" s="7">
        <v>291</v>
      </c>
      <c r="AK583" s="6">
        <f>1-AB583/AJ583</f>
        <v>0.2989690721649485</v>
      </c>
      <c r="AL583" s="4">
        <f>AJ583-AB583</f>
        <v>87</v>
      </c>
      <c r="AM583" s="28"/>
      <c r="AN583" s="6"/>
      <c r="AO583" s="6"/>
      <c r="AP583" s="6">
        <f>Z583/L583</f>
        <v>0.63260869565217392</v>
      </c>
      <c r="AQ583" s="6">
        <f>AJ583/M583</f>
        <v>0.78648648648648645</v>
      </c>
      <c r="AR583" s="6">
        <f>AB583/N583</f>
        <v>1</v>
      </c>
      <c r="AS583" s="4"/>
      <c r="AT583" s="4"/>
      <c r="AU583" s="4"/>
      <c r="AV583" s="4"/>
      <c r="AW583" s="4"/>
      <c r="AX583" s="4"/>
      <c r="AY583" s="4"/>
      <c r="AZ583" s="4"/>
      <c r="BA583" s="4"/>
      <c r="BB583" s="4">
        <v>0</v>
      </c>
      <c r="BC583" s="4" t="s">
        <v>4066</v>
      </c>
      <c r="BD583" s="4">
        <v>1</v>
      </c>
      <c r="BE583" s="4">
        <v>4</v>
      </c>
      <c r="BF583" s="4" t="s">
        <v>3741</v>
      </c>
      <c r="BG583" s="4">
        <v>1840</v>
      </c>
      <c r="BH583" s="4">
        <v>1840</v>
      </c>
      <c r="BI583" s="4">
        <f t="shared" si="93"/>
        <v>460</v>
      </c>
      <c r="BJ583" s="19">
        <v>4</v>
      </c>
      <c r="BK583" s="19">
        <v>8</v>
      </c>
      <c r="BL583" s="16">
        <v>6</v>
      </c>
      <c r="BM583" s="45" t="s">
        <v>3534</v>
      </c>
      <c r="BN583" t="s">
        <v>3534</v>
      </c>
      <c r="BO583" t="str">
        <f t="shared" si="95"/>
        <v>-</v>
      </c>
      <c r="BP583" t="s">
        <v>3534</v>
      </c>
      <c r="BQ583">
        <v>437</v>
      </c>
      <c r="BR583">
        <f t="shared" si="96"/>
        <v>437</v>
      </c>
      <c r="BS583" t="s">
        <v>2952</v>
      </c>
    </row>
    <row r="584" spans="1:71" x14ac:dyDescent="0.4">
      <c r="A584" s="3">
        <v>581</v>
      </c>
      <c r="B584" s="3">
        <v>581</v>
      </c>
      <c r="C584" s="4" t="s">
        <v>643</v>
      </c>
      <c r="D584" s="4" t="str">
        <f t="shared" si="88"/>
        <v>J528WE</v>
      </c>
      <c r="E584" s="4" t="s">
        <v>643</v>
      </c>
      <c r="F584" s="4" t="s">
        <v>1861</v>
      </c>
      <c r="G584" s="5">
        <v>4521718190693</v>
      </c>
      <c r="H584" s="5"/>
      <c r="I584" s="5"/>
      <c r="J584" s="5">
        <v>1</v>
      </c>
      <c r="K584" s="5">
        <v>1</v>
      </c>
      <c r="L584" s="4">
        <v>460</v>
      </c>
      <c r="M584" s="4">
        <v>370</v>
      </c>
      <c r="N584" s="4">
        <v>204</v>
      </c>
      <c r="O584" s="6">
        <f t="shared" si="89"/>
        <v>0.44864864864864862</v>
      </c>
      <c r="P584" s="4" t="s">
        <v>2500</v>
      </c>
      <c r="Q584" s="4"/>
      <c r="R584" s="4"/>
      <c r="S584" s="4"/>
      <c r="T584" s="4"/>
      <c r="U584" s="4"/>
      <c r="V584" s="4"/>
      <c r="W584" s="4"/>
      <c r="X584" s="4"/>
      <c r="Y584" s="4">
        <v>291</v>
      </c>
      <c r="Z584" s="4">
        <f t="shared" si="90"/>
        <v>291</v>
      </c>
      <c r="AA584" s="4">
        <v>204</v>
      </c>
      <c r="AB584" s="4">
        <f t="shared" si="91"/>
        <v>204</v>
      </c>
      <c r="AC584" s="4"/>
      <c r="AD584" s="21">
        <f>ROUND(M584*AR584,0)</f>
        <v>370</v>
      </c>
      <c r="AE584" s="6">
        <f>1-AB584/AD584</f>
        <v>0.44864864864864862</v>
      </c>
      <c r="AF584" s="33">
        <v>0</v>
      </c>
      <c r="AG584" s="4">
        <f t="shared" si="92"/>
        <v>460</v>
      </c>
      <c r="AH584" s="33">
        <f t="shared" si="94"/>
        <v>460</v>
      </c>
      <c r="AI584" s="6">
        <f>1-AB584/AH584</f>
        <v>0.55652173913043479</v>
      </c>
      <c r="AJ584" s="7">
        <v>291</v>
      </c>
      <c r="AK584" s="6">
        <f>1-AB584/AJ584</f>
        <v>0.2989690721649485</v>
      </c>
      <c r="AL584" s="4">
        <f>AJ584-AB584</f>
        <v>87</v>
      </c>
      <c r="AM584" s="28"/>
      <c r="AN584" s="6"/>
      <c r="AO584" s="6"/>
      <c r="AP584" s="6">
        <f>Z584/L584</f>
        <v>0.63260869565217392</v>
      </c>
      <c r="AQ584" s="6">
        <f>AJ584/M584</f>
        <v>0.78648648648648645</v>
      </c>
      <c r="AR584" s="6">
        <f>AB584/N584</f>
        <v>1</v>
      </c>
      <c r="AS584" s="4"/>
      <c r="AT584" s="4"/>
      <c r="AU584" s="4"/>
      <c r="AV584" s="4"/>
      <c r="AW584" s="4"/>
      <c r="AX584" s="4"/>
      <c r="AY584" s="4"/>
      <c r="AZ584" s="4"/>
      <c r="BA584" s="4"/>
      <c r="BB584" s="4">
        <v>0</v>
      </c>
      <c r="BC584" s="4" t="s">
        <v>4067</v>
      </c>
      <c r="BD584" s="4">
        <v>1</v>
      </c>
      <c r="BE584" s="4">
        <v>4</v>
      </c>
      <c r="BF584" s="4" t="s">
        <v>3741</v>
      </c>
      <c r="BG584" s="4">
        <v>1840</v>
      </c>
      <c r="BH584" s="4">
        <v>1840</v>
      </c>
      <c r="BI584" s="4">
        <f t="shared" si="93"/>
        <v>460</v>
      </c>
      <c r="BJ584" s="19">
        <v>4</v>
      </c>
      <c r="BK584" s="19">
        <v>8</v>
      </c>
      <c r="BL584" s="16">
        <v>6</v>
      </c>
      <c r="BM584" s="45" t="s">
        <v>3534</v>
      </c>
      <c r="BN584" t="s">
        <v>3534</v>
      </c>
      <c r="BO584" t="str">
        <f t="shared" si="95"/>
        <v>-</v>
      </c>
      <c r="BP584" t="s">
        <v>3534</v>
      </c>
      <c r="BQ584">
        <v>437</v>
      </c>
      <c r="BR584">
        <f t="shared" si="96"/>
        <v>437</v>
      </c>
      <c r="BS584" t="s">
        <v>2953</v>
      </c>
    </row>
    <row r="585" spans="1:71" x14ac:dyDescent="0.4">
      <c r="A585" s="3">
        <v>582</v>
      </c>
      <c r="B585" s="3">
        <v>582</v>
      </c>
      <c r="C585" s="4" t="s">
        <v>644</v>
      </c>
      <c r="D585" s="4" t="str">
        <f t="shared" si="88"/>
        <v>J530WE</v>
      </c>
      <c r="E585" s="4" t="s">
        <v>644</v>
      </c>
      <c r="F585" s="4" t="s">
        <v>1862</v>
      </c>
      <c r="G585" s="5">
        <v>4521718190716</v>
      </c>
      <c r="H585" s="5"/>
      <c r="I585" s="5"/>
      <c r="J585" s="5">
        <v>1</v>
      </c>
      <c r="K585" s="5">
        <v>1</v>
      </c>
      <c r="L585" s="4">
        <v>460</v>
      </c>
      <c r="M585" s="4">
        <v>370</v>
      </c>
      <c r="N585" s="4">
        <v>204</v>
      </c>
      <c r="O585" s="6">
        <f t="shared" si="89"/>
        <v>0.44864864864864862</v>
      </c>
      <c r="P585" s="4" t="s">
        <v>2500</v>
      </c>
      <c r="Q585" s="4"/>
      <c r="R585" s="4"/>
      <c r="S585" s="4"/>
      <c r="T585" s="4"/>
      <c r="U585" s="4"/>
      <c r="V585" s="4"/>
      <c r="W585" s="4"/>
      <c r="X585" s="4"/>
      <c r="Y585" s="4">
        <v>291</v>
      </c>
      <c r="Z585" s="4">
        <f t="shared" si="90"/>
        <v>291</v>
      </c>
      <c r="AA585" s="4">
        <v>204</v>
      </c>
      <c r="AB585" s="4">
        <f t="shared" si="91"/>
        <v>204</v>
      </c>
      <c r="AC585" s="4"/>
      <c r="AD585" s="21">
        <f>ROUND(M585*AR585,0)</f>
        <v>370</v>
      </c>
      <c r="AE585" s="6">
        <f>1-AB585/AD585</f>
        <v>0.44864864864864862</v>
      </c>
      <c r="AF585" s="33">
        <v>0</v>
      </c>
      <c r="AG585" s="4">
        <f t="shared" si="92"/>
        <v>460</v>
      </c>
      <c r="AH585" s="33">
        <f t="shared" si="94"/>
        <v>460</v>
      </c>
      <c r="AI585" s="6">
        <f>1-AB585/AH585</f>
        <v>0.55652173913043479</v>
      </c>
      <c r="AJ585" s="7">
        <v>291</v>
      </c>
      <c r="AK585" s="6">
        <f>1-AB585/AJ585</f>
        <v>0.2989690721649485</v>
      </c>
      <c r="AL585" s="4">
        <f>AJ585-AB585</f>
        <v>87</v>
      </c>
      <c r="AM585" s="28"/>
      <c r="AN585" s="6"/>
      <c r="AO585" s="6"/>
      <c r="AP585" s="6">
        <f>Z585/L585</f>
        <v>0.63260869565217392</v>
      </c>
      <c r="AQ585" s="6">
        <f>AJ585/M585</f>
        <v>0.78648648648648645</v>
      </c>
      <c r="AR585" s="6">
        <f>AB585/N585</f>
        <v>1</v>
      </c>
      <c r="AS585" s="4"/>
      <c r="AT585" s="4"/>
      <c r="AU585" s="4"/>
      <c r="AV585" s="4"/>
      <c r="AW585" s="4"/>
      <c r="AX585" s="4"/>
      <c r="AY585" s="4"/>
      <c r="AZ585" s="4"/>
      <c r="BA585" s="4"/>
      <c r="BB585" s="4">
        <v>0</v>
      </c>
      <c r="BC585" s="4" t="s">
        <v>4068</v>
      </c>
      <c r="BD585" s="4">
        <v>1</v>
      </c>
      <c r="BE585" s="4">
        <v>4</v>
      </c>
      <c r="BF585" s="4" t="s">
        <v>3741</v>
      </c>
      <c r="BG585" s="4">
        <v>1840</v>
      </c>
      <c r="BH585" s="4">
        <v>1840</v>
      </c>
      <c r="BI585" s="4">
        <f t="shared" si="93"/>
        <v>460</v>
      </c>
      <c r="BJ585" s="19">
        <v>4</v>
      </c>
      <c r="BK585" s="19">
        <v>8</v>
      </c>
      <c r="BL585" s="16">
        <v>6</v>
      </c>
      <c r="BM585" s="45" t="s">
        <v>3534</v>
      </c>
      <c r="BN585" t="s">
        <v>3534</v>
      </c>
      <c r="BO585" t="str">
        <f t="shared" si="95"/>
        <v>-</v>
      </c>
      <c r="BP585" t="s">
        <v>3534</v>
      </c>
      <c r="BQ585">
        <v>437</v>
      </c>
      <c r="BR585">
        <f t="shared" si="96"/>
        <v>437</v>
      </c>
      <c r="BS585" t="s">
        <v>2954</v>
      </c>
    </row>
    <row r="586" spans="1:71" x14ac:dyDescent="0.4">
      <c r="A586" s="3">
        <v>583</v>
      </c>
      <c r="B586" s="3">
        <v>583</v>
      </c>
      <c r="C586" s="4" t="s">
        <v>645</v>
      </c>
      <c r="D586" s="4" t="str">
        <f t="shared" si="88"/>
        <v>J531WE</v>
      </c>
      <c r="E586" s="4" t="s">
        <v>645</v>
      </c>
      <c r="F586" s="4" t="s">
        <v>1863</v>
      </c>
      <c r="G586" s="5">
        <v>4521718190723</v>
      </c>
      <c r="H586" s="5"/>
      <c r="I586" s="5"/>
      <c r="J586" s="5">
        <v>1</v>
      </c>
      <c r="K586" s="5">
        <v>1</v>
      </c>
      <c r="L586" s="4">
        <v>460</v>
      </c>
      <c r="M586" s="4">
        <v>370</v>
      </c>
      <c r="N586" s="4">
        <v>204</v>
      </c>
      <c r="O586" s="6">
        <f t="shared" si="89"/>
        <v>0.44864864864864862</v>
      </c>
      <c r="P586" s="4" t="s">
        <v>2500</v>
      </c>
      <c r="Q586" s="4"/>
      <c r="R586" s="4"/>
      <c r="S586" s="4"/>
      <c r="T586" s="4"/>
      <c r="U586" s="4"/>
      <c r="V586" s="4"/>
      <c r="W586" s="4"/>
      <c r="X586" s="4"/>
      <c r="Y586" s="4">
        <v>291</v>
      </c>
      <c r="Z586" s="4">
        <f t="shared" si="90"/>
        <v>291</v>
      </c>
      <c r="AA586" s="4">
        <v>204</v>
      </c>
      <c r="AB586" s="4">
        <f t="shared" si="91"/>
        <v>204</v>
      </c>
      <c r="AC586" s="4"/>
      <c r="AD586" s="21">
        <f>ROUND(M586*AR586,0)</f>
        <v>370</v>
      </c>
      <c r="AE586" s="6">
        <f>1-AB586/AD586</f>
        <v>0.44864864864864862</v>
      </c>
      <c r="AF586" s="33">
        <v>0</v>
      </c>
      <c r="AG586" s="4">
        <f t="shared" si="92"/>
        <v>460</v>
      </c>
      <c r="AH586" s="33">
        <f t="shared" si="94"/>
        <v>460</v>
      </c>
      <c r="AI586" s="6">
        <f>1-AB586/AH586</f>
        <v>0.55652173913043479</v>
      </c>
      <c r="AJ586" s="7">
        <v>291</v>
      </c>
      <c r="AK586" s="6">
        <f>1-AB586/AJ586</f>
        <v>0.2989690721649485</v>
      </c>
      <c r="AL586" s="4">
        <f>AJ586-AB586</f>
        <v>87</v>
      </c>
      <c r="AM586" s="28"/>
      <c r="AN586" s="6"/>
      <c r="AO586" s="6"/>
      <c r="AP586" s="6">
        <f>Z586/L586</f>
        <v>0.63260869565217392</v>
      </c>
      <c r="AQ586" s="6">
        <f>AJ586/M586</f>
        <v>0.78648648648648645</v>
      </c>
      <c r="AR586" s="6">
        <f>AB586/N586</f>
        <v>1</v>
      </c>
      <c r="AS586" s="4"/>
      <c r="AT586" s="4"/>
      <c r="AU586" s="4"/>
      <c r="AV586" s="4"/>
      <c r="AW586" s="4"/>
      <c r="AX586" s="4"/>
      <c r="AY586" s="4"/>
      <c r="AZ586" s="4"/>
      <c r="BA586" s="4"/>
      <c r="BB586" s="4">
        <v>0</v>
      </c>
      <c r="BC586" s="4" t="s">
        <v>4069</v>
      </c>
      <c r="BD586" s="4">
        <v>1</v>
      </c>
      <c r="BE586" s="4">
        <v>4</v>
      </c>
      <c r="BF586" s="4" t="s">
        <v>3741</v>
      </c>
      <c r="BG586" s="4">
        <v>1840</v>
      </c>
      <c r="BH586" s="4">
        <v>1840</v>
      </c>
      <c r="BI586" s="4">
        <f t="shared" si="93"/>
        <v>460</v>
      </c>
      <c r="BJ586" s="19">
        <v>4</v>
      </c>
      <c r="BK586" s="19">
        <v>8</v>
      </c>
      <c r="BL586" s="16">
        <v>6</v>
      </c>
      <c r="BM586" s="45" t="s">
        <v>3534</v>
      </c>
      <c r="BN586" t="s">
        <v>3534</v>
      </c>
      <c r="BO586" t="str">
        <f t="shared" si="95"/>
        <v>-</v>
      </c>
      <c r="BP586" t="s">
        <v>3534</v>
      </c>
      <c r="BQ586">
        <v>437</v>
      </c>
      <c r="BR586">
        <f t="shared" si="96"/>
        <v>437</v>
      </c>
      <c r="BS586" t="s">
        <v>2955</v>
      </c>
    </row>
    <row r="587" spans="1:71" x14ac:dyDescent="0.4">
      <c r="A587" s="3">
        <v>584</v>
      </c>
      <c r="B587" s="3">
        <v>584</v>
      </c>
      <c r="C587" s="4" t="s">
        <v>646</v>
      </c>
      <c r="D587" s="4" t="str">
        <f t="shared" si="88"/>
        <v>J533RR</v>
      </c>
      <c r="E587" s="4" t="s">
        <v>646</v>
      </c>
      <c r="F587" s="4" t="s">
        <v>1864</v>
      </c>
      <c r="G587" s="5">
        <v>4521718094649</v>
      </c>
      <c r="H587" s="5"/>
      <c r="I587" s="5"/>
      <c r="J587" s="5">
        <v>1</v>
      </c>
      <c r="K587" s="5">
        <v>1</v>
      </c>
      <c r="L587" s="4">
        <v>5630</v>
      </c>
      <c r="M587" s="4">
        <v>3435</v>
      </c>
      <c r="N587" s="4">
        <v>2533</v>
      </c>
      <c r="O587" s="6">
        <f t="shared" si="89"/>
        <v>0.26259097525473074</v>
      </c>
      <c r="P587" s="4" t="s">
        <v>2500</v>
      </c>
      <c r="Q587" s="4"/>
      <c r="R587" s="4"/>
      <c r="S587" s="4"/>
      <c r="T587" s="4"/>
      <c r="U587" s="4"/>
      <c r="V587" s="4"/>
      <c r="W587" s="4"/>
      <c r="X587" s="4"/>
      <c r="Y587" s="4">
        <v>3619</v>
      </c>
      <c r="Z587" s="4">
        <f t="shared" si="90"/>
        <v>3619</v>
      </c>
      <c r="AA587" s="4">
        <v>2533</v>
      </c>
      <c r="AB587" s="4">
        <f t="shared" si="91"/>
        <v>2533</v>
      </c>
      <c r="AC587" s="4"/>
      <c r="AD587" s="21">
        <f>ROUND(M587*AR587,0)</f>
        <v>3435</v>
      </c>
      <c r="AE587" s="6">
        <f>1-AB587/AD587</f>
        <v>0.26259097525473074</v>
      </c>
      <c r="AF587" s="33">
        <v>0</v>
      </c>
      <c r="AG587" s="4">
        <f t="shared" si="92"/>
        <v>7980</v>
      </c>
      <c r="AH587" s="33">
        <f t="shared" si="94"/>
        <v>7980</v>
      </c>
      <c r="AI587" s="6">
        <f>1-AB587/AH587</f>
        <v>0.68258145363408529</v>
      </c>
      <c r="AJ587" s="7">
        <v>3619</v>
      </c>
      <c r="AK587" s="6">
        <f>1-AB587/AJ587</f>
        <v>0.30008289582757663</v>
      </c>
      <c r="AL587" s="4">
        <f>AJ587-AB587</f>
        <v>1086</v>
      </c>
      <c r="AM587" s="28"/>
      <c r="AN587" s="6"/>
      <c r="AO587" s="6"/>
      <c r="AP587" s="6">
        <f>Z587/L587</f>
        <v>0.64280639431616338</v>
      </c>
      <c r="AQ587" s="6">
        <f>AJ587/M587</f>
        <v>1.053566229985444</v>
      </c>
      <c r="AR587" s="6">
        <f>AB587/N587</f>
        <v>1</v>
      </c>
      <c r="AS587" s="4"/>
      <c r="AT587" s="4"/>
      <c r="AU587" s="4"/>
      <c r="AV587" s="4"/>
      <c r="AW587" s="4"/>
      <c r="AX587" s="4"/>
      <c r="AY587" s="4"/>
      <c r="AZ587" s="4"/>
      <c r="BA587" s="4"/>
      <c r="BB587" s="4">
        <v>0</v>
      </c>
      <c r="BC587" s="4" t="s">
        <v>4070</v>
      </c>
      <c r="BD587" s="4"/>
      <c r="BE587" s="4"/>
      <c r="BF587" s="4" t="s">
        <v>3545</v>
      </c>
      <c r="BG587" s="4">
        <v>7980</v>
      </c>
      <c r="BH587" s="4">
        <v>7980</v>
      </c>
      <c r="BI587" s="4">
        <f t="shared" si="93"/>
        <v>7980</v>
      </c>
      <c r="BJ587" s="19">
        <v>4</v>
      </c>
      <c r="BK587" s="19">
        <v>8</v>
      </c>
      <c r="BL587" s="16">
        <v>6</v>
      </c>
      <c r="BM587" s="45" t="s">
        <v>3534</v>
      </c>
      <c r="BN587" t="s">
        <v>3534</v>
      </c>
      <c r="BO587" t="str">
        <f t="shared" si="95"/>
        <v>-</v>
      </c>
      <c r="BP587" t="s">
        <v>3534</v>
      </c>
      <c r="BQ587">
        <v>3897</v>
      </c>
      <c r="BR587">
        <f t="shared" si="96"/>
        <v>3897</v>
      </c>
      <c r="BS587" t="s">
        <v>2956</v>
      </c>
    </row>
    <row r="588" spans="1:71" x14ac:dyDescent="0.4">
      <c r="A588" s="3">
        <v>585</v>
      </c>
      <c r="B588" s="3">
        <v>585</v>
      </c>
      <c r="C588" s="4" t="s">
        <v>647</v>
      </c>
      <c r="D588" s="4" t="str">
        <f t="shared" si="88"/>
        <v>J532WE</v>
      </c>
      <c r="E588" s="4" t="s">
        <v>647</v>
      </c>
      <c r="F588" s="4" t="s">
        <v>1865</v>
      </c>
      <c r="G588" s="5">
        <v>4521718190730</v>
      </c>
      <c r="H588" s="5"/>
      <c r="I588" s="5"/>
      <c r="J588" s="5">
        <v>1</v>
      </c>
      <c r="K588" s="5">
        <v>1</v>
      </c>
      <c r="L588" s="4">
        <v>460</v>
      </c>
      <c r="M588" s="4">
        <v>370</v>
      </c>
      <c r="N588" s="4">
        <v>204</v>
      </c>
      <c r="O588" s="6">
        <f t="shared" si="89"/>
        <v>0.44864864864864862</v>
      </c>
      <c r="P588" s="4" t="s">
        <v>2500</v>
      </c>
      <c r="Q588" s="4"/>
      <c r="R588" s="4"/>
      <c r="S588" s="4"/>
      <c r="T588" s="4"/>
      <c r="U588" s="4"/>
      <c r="V588" s="4"/>
      <c r="W588" s="4"/>
      <c r="X588" s="4"/>
      <c r="Y588" s="4">
        <v>291</v>
      </c>
      <c r="Z588" s="4">
        <f t="shared" si="90"/>
        <v>291</v>
      </c>
      <c r="AA588" s="4">
        <v>204</v>
      </c>
      <c r="AB588" s="4">
        <f t="shared" si="91"/>
        <v>204</v>
      </c>
      <c r="AC588" s="4"/>
      <c r="AD588" s="21">
        <f>ROUND(M588*AR588,0)</f>
        <v>370</v>
      </c>
      <c r="AE588" s="6">
        <f>1-AB588/AD588</f>
        <v>0.44864864864864862</v>
      </c>
      <c r="AF588" s="33">
        <v>0</v>
      </c>
      <c r="AG588" s="4">
        <f t="shared" si="92"/>
        <v>460</v>
      </c>
      <c r="AH588" s="33">
        <f t="shared" si="94"/>
        <v>460</v>
      </c>
      <c r="AI588" s="6">
        <f>1-AB588/AH588</f>
        <v>0.55652173913043479</v>
      </c>
      <c r="AJ588" s="7">
        <v>291</v>
      </c>
      <c r="AK588" s="6">
        <f>1-AB588/AJ588</f>
        <v>0.2989690721649485</v>
      </c>
      <c r="AL588" s="4">
        <f>AJ588-AB588</f>
        <v>87</v>
      </c>
      <c r="AM588" s="28"/>
      <c r="AN588" s="6"/>
      <c r="AO588" s="6"/>
      <c r="AP588" s="6">
        <f>Z588/L588</f>
        <v>0.63260869565217392</v>
      </c>
      <c r="AQ588" s="6">
        <f>AJ588/M588</f>
        <v>0.78648648648648645</v>
      </c>
      <c r="AR588" s="6">
        <f>AB588/N588</f>
        <v>1</v>
      </c>
      <c r="AS588" s="4"/>
      <c r="AT588" s="4"/>
      <c r="AU588" s="4"/>
      <c r="AV588" s="4"/>
      <c r="AW588" s="4"/>
      <c r="AX588" s="4"/>
      <c r="AY588" s="4"/>
      <c r="AZ588" s="4"/>
      <c r="BA588" s="4"/>
      <c r="BB588" s="4">
        <v>0</v>
      </c>
      <c r="BC588" s="4" t="s">
        <v>4071</v>
      </c>
      <c r="BD588" s="4">
        <v>1</v>
      </c>
      <c r="BE588" s="4">
        <v>4</v>
      </c>
      <c r="BF588" s="4" t="s">
        <v>3741</v>
      </c>
      <c r="BG588" s="4">
        <v>1840</v>
      </c>
      <c r="BH588" s="4">
        <v>1840</v>
      </c>
      <c r="BI588" s="4">
        <f t="shared" si="93"/>
        <v>460</v>
      </c>
      <c r="BJ588" s="19">
        <v>4</v>
      </c>
      <c r="BK588" s="19">
        <v>8</v>
      </c>
      <c r="BL588" s="16">
        <v>6</v>
      </c>
      <c r="BM588" s="45" t="s">
        <v>3534</v>
      </c>
      <c r="BN588" t="s">
        <v>3534</v>
      </c>
      <c r="BO588" t="str">
        <f t="shared" si="95"/>
        <v>-</v>
      </c>
      <c r="BP588" t="s">
        <v>3534</v>
      </c>
      <c r="BQ588">
        <v>437</v>
      </c>
      <c r="BR588">
        <f t="shared" si="96"/>
        <v>437</v>
      </c>
      <c r="BS588" t="s">
        <v>2957</v>
      </c>
    </row>
    <row r="589" spans="1:71" x14ac:dyDescent="0.4">
      <c r="A589" s="3">
        <v>586</v>
      </c>
      <c r="B589" s="3">
        <v>586</v>
      </c>
      <c r="C589" s="4" t="s">
        <v>648</v>
      </c>
      <c r="D589" s="4" t="str">
        <f t="shared" si="88"/>
        <v>J534WE</v>
      </c>
      <c r="E589" s="4" t="s">
        <v>648</v>
      </c>
      <c r="F589" s="4" t="s">
        <v>1866</v>
      </c>
      <c r="G589" s="5">
        <v>4521718190877</v>
      </c>
      <c r="H589" s="5"/>
      <c r="I589" s="5"/>
      <c r="J589" s="5">
        <v>1</v>
      </c>
      <c r="K589" s="5">
        <v>1</v>
      </c>
      <c r="L589" s="4">
        <v>1140</v>
      </c>
      <c r="M589" s="4">
        <v>910</v>
      </c>
      <c r="N589" s="4">
        <v>510</v>
      </c>
      <c r="O589" s="6">
        <f t="shared" si="89"/>
        <v>0.43956043956043955</v>
      </c>
      <c r="P589" s="4" t="s">
        <v>2500</v>
      </c>
      <c r="Q589" s="4"/>
      <c r="R589" s="4"/>
      <c r="S589" s="4"/>
      <c r="T589" s="4"/>
      <c r="U589" s="4"/>
      <c r="V589" s="4"/>
      <c r="W589" s="4"/>
      <c r="X589" s="4"/>
      <c r="Y589" s="4">
        <v>728</v>
      </c>
      <c r="Z589" s="4">
        <f t="shared" si="90"/>
        <v>728</v>
      </c>
      <c r="AA589" s="4">
        <v>510</v>
      </c>
      <c r="AB589" s="4">
        <f t="shared" si="91"/>
        <v>510</v>
      </c>
      <c r="AC589" s="4"/>
      <c r="AD589" s="21">
        <f>ROUND(M589*AR589,0)</f>
        <v>910</v>
      </c>
      <c r="AE589" s="6">
        <f>1-AB589/AD589</f>
        <v>0.43956043956043955</v>
      </c>
      <c r="AF589" s="33">
        <v>0</v>
      </c>
      <c r="AG589" s="4">
        <f t="shared" si="92"/>
        <v>1140</v>
      </c>
      <c r="AH589" s="33">
        <f t="shared" si="94"/>
        <v>1140</v>
      </c>
      <c r="AI589" s="6">
        <f>1-AB589/AH589</f>
        <v>0.55263157894736836</v>
      </c>
      <c r="AJ589" s="7">
        <v>728</v>
      </c>
      <c r="AK589" s="6">
        <f>1-AB589/AJ589</f>
        <v>0.2994505494505495</v>
      </c>
      <c r="AL589" s="4">
        <f>AJ589-AB589</f>
        <v>218</v>
      </c>
      <c r="AM589" s="28"/>
      <c r="AN589" s="6"/>
      <c r="AO589" s="6"/>
      <c r="AP589" s="6">
        <f>Z589/L589</f>
        <v>0.63859649122807016</v>
      </c>
      <c r="AQ589" s="6">
        <f>AJ589/M589</f>
        <v>0.8</v>
      </c>
      <c r="AR589" s="6">
        <f>AB589/N589</f>
        <v>1</v>
      </c>
      <c r="AS589" s="4"/>
      <c r="AT589" s="4"/>
      <c r="AU589" s="4"/>
      <c r="AV589" s="4"/>
      <c r="AW589" s="4"/>
      <c r="AX589" s="4"/>
      <c r="AY589" s="4"/>
      <c r="AZ589" s="4"/>
      <c r="BA589" s="4"/>
      <c r="BB589" s="4">
        <v>0</v>
      </c>
      <c r="BC589" s="4" t="s">
        <v>4072</v>
      </c>
      <c r="BD589" s="4">
        <v>1</v>
      </c>
      <c r="BE589" s="4">
        <v>2</v>
      </c>
      <c r="BF589" s="4" t="s">
        <v>3631</v>
      </c>
      <c r="BG589" s="4">
        <v>2280</v>
      </c>
      <c r="BH589" s="4">
        <v>2280</v>
      </c>
      <c r="BI589" s="4">
        <f t="shared" si="93"/>
        <v>1140</v>
      </c>
      <c r="BJ589" s="19">
        <v>4</v>
      </c>
      <c r="BK589" s="19">
        <v>8</v>
      </c>
      <c r="BL589" s="16">
        <v>6</v>
      </c>
      <c r="BM589" s="45" t="s">
        <v>3534</v>
      </c>
      <c r="BN589" t="s">
        <v>3534</v>
      </c>
      <c r="BO589" t="str">
        <f t="shared" si="95"/>
        <v>-</v>
      </c>
      <c r="BP589" t="s">
        <v>3534</v>
      </c>
      <c r="BQ589">
        <v>1083</v>
      </c>
      <c r="BR589">
        <f t="shared" si="96"/>
        <v>1083</v>
      </c>
      <c r="BS589" t="s">
        <v>2958</v>
      </c>
    </row>
    <row r="590" spans="1:71" x14ac:dyDescent="0.4">
      <c r="A590" s="3">
        <v>587</v>
      </c>
      <c r="B590" s="3">
        <v>587</v>
      </c>
      <c r="C590" s="4" t="s">
        <v>649</v>
      </c>
      <c r="D590" s="4" t="str">
        <f t="shared" si="88"/>
        <v>J533WE</v>
      </c>
      <c r="E590" s="4" t="s">
        <v>649</v>
      </c>
      <c r="F590" s="4" t="s">
        <v>1867</v>
      </c>
      <c r="G590" s="5">
        <v>4521718190860</v>
      </c>
      <c r="H590" s="5"/>
      <c r="I590" s="5"/>
      <c r="J590" s="5">
        <v>1</v>
      </c>
      <c r="K590" s="5">
        <v>1</v>
      </c>
      <c r="L590" s="4">
        <v>1140</v>
      </c>
      <c r="M590" s="4">
        <v>910</v>
      </c>
      <c r="N590" s="4">
        <v>510</v>
      </c>
      <c r="O590" s="6">
        <f t="shared" si="89"/>
        <v>0.43956043956043955</v>
      </c>
      <c r="P590" s="4" t="s">
        <v>2500</v>
      </c>
      <c r="Q590" s="4"/>
      <c r="R590" s="4"/>
      <c r="S590" s="4"/>
      <c r="T590" s="4"/>
      <c r="U590" s="4"/>
      <c r="V590" s="4"/>
      <c r="W590" s="4"/>
      <c r="X590" s="4"/>
      <c r="Y590" s="4">
        <v>728</v>
      </c>
      <c r="Z590" s="4">
        <f t="shared" si="90"/>
        <v>728</v>
      </c>
      <c r="AA590" s="4">
        <v>510</v>
      </c>
      <c r="AB590" s="4">
        <f t="shared" si="91"/>
        <v>510</v>
      </c>
      <c r="AC590" s="4"/>
      <c r="AD590" s="21">
        <f>ROUND(M590*AR590,0)</f>
        <v>910</v>
      </c>
      <c r="AE590" s="6">
        <f>1-AB590/AD590</f>
        <v>0.43956043956043955</v>
      </c>
      <c r="AF590" s="33">
        <v>0</v>
      </c>
      <c r="AG590" s="4">
        <f t="shared" si="92"/>
        <v>1140</v>
      </c>
      <c r="AH590" s="33">
        <f t="shared" si="94"/>
        <v>1140</v>
      </c>
      <c r="AI590" s="6">
        <f>1-AB590/AH590</f>
        <v>0.55263157894736836</v>
      </c>
      <c r="AJ590" s="7">
        <v>728</v>
      </c>
      <c r="AK590" s="6">
        <f>1-AB590/AJ590</f>
        <v>0.2994505494505495</v>
      </c>
      <c r="AL590" s="4">
        <f>AJ590-AB590</f>
        <v>218</v>
      </c>
      <c r="AM590" s="28"/>
      <c r="AN590" s="6"/>
      <c r="AO590" s="6"/>
      <c r="AP590" s="6">
        <f>Z590/L590</f>
        <v>0.63859649122807016</v>
      </c>
      <c r="AQ590" s="6">
        <f>AJ590/M590</f>
        <v>0.8</v>
      </c>
      <c r="AR590" s="6">
        <f>AB590/N590</f>
        <v>1</v>
      </c>
      <c r="AS590" s="4"/>
      <c r="AT590" s="4"/>
      <c r="AU590" s="4"/>
      <c r="AV590" s="4"/>
      <c r="AW590" s="4"/>
      <c r="AX590" s="4"/>
      <c r="AY590" s="4"/>
      <c r="AZ590" s="4"/>
      <c r="BA590" s="4"/>
      <c r="BB590" s="4">
        <v>0</v>
      </c>
      <c r="BC590" s="4" t="s">
        <v>4073</v>
      </c>
      <c r="BD590" s="4">
        <v>1</v>
      </c>
      <c r="BE590" s="4">
        <v>2</v>
      </c>
      <c r="BF590" s="4" t="s">
        <v>3631</v>
      </c>
      <c r="BG590" s="4">
        <v>2280</v>
      </c>
      <c r="BH590" s="4">
        <v>2280</v>
      </c>
      <c r="BI590" s="4">
        <f t="shared" si="93"/>
        <v>1140</v>
      </c>
      <c r="BJ590" s="19">
        <v>4</v>
      </c>
      <c r="BK590" s="19">
        <v>8</v>
      </c>
      <c r="BL590" s="16">
        <v>6</v>
      </c>
      <c r="BM590" s="45" t="s">
        <v>3534</v>
      </c>
      <c r="BN590" t="s">
        <v>3534</v>
      </c>
      <c r="BO590" t="str">
        <f t="shared" si="95"/>
        <v>-</v>
      </c>
      <c r="BP590" t="s">
        <v>3534</v>
      </c>
      <c r="BQ590">
        <v>1083</v>
      </c>
      <c r="BR590">
        <f t="shared" si="96"/>
        <v>1083</v>
      </c>
      <c r="BS590" t="s">
        <v>2959</v>
      </c>
    </row>
    <row r="591" spans="1:71" x14ac:dyDescent="0.4">
      <c r="A591" s="3">
        <v>588</v>
      </c>
      <c r="B591" s="3">
        <v>588</v>
      </c>
      <c r="C591" s="4" t="s">
        <v>650</v>
      </c>
      <c r="D591" s="4" t="str">
        <f t="shared" si="88"/>
        <v>J536WE</v>
      </c>
      <c r="E591" s="4" t="s">
        <v>650</v>
      </c>
      <c r="F591" s="4" t="s">
        <v>1868</v>
      </c>
      <c r="G591" s="5">
        <v>4521718190891</v>
      </c>
      <c r="H591" s="5"/>
      <c r="I591" s="5"/>
      <c r="J591" s="5">
        <v>1</v>
      </c>
      <c r="K591" s="5">
        <v>1</v>
      </c>
      <c r="L591" s="4">
        <v>1140</v>
      </c>
      <c r="M591" s="4">
        <v>910</v>
      </c>
      <c r="N591" s="4">
        <v>510</v>
      </c>
      <c r="O591" s="6">
        <f t="shared" si="89"/>
        <v>0.43956043956043955</v>
      </c>
      <c r="P591" s="4" t="s">
        <v>2500</v>
      </c>
      <c r="Q591" s="4"/>
      <c r="R591" s="4"/>
      <c r="S591" s="4"/>
      <c r="T591" s="4"/>
      <c r="U591" s="4"/>
      <c r="V591" s="4"/>
      <c r="W591" s="4"/>
      <c r="X591" s="4"/>
      <c r="Y591" s="4">
        <v>728</v>
      </c>
      <c r="Z591" s="4">
        <f t="shared" si="90"/>
        <v>728</v>
      </c>
      <c r="AA591" s="4">
        <v>510</v>
      </c>
      <c r="AB591" s="4">
        <f t="shared" si="91"/>
        <v>510</v>
      </c>
      <c r="AC591" s="4"/>
      <c r="AD591" s="21">
        <f>ROUND(M591*AR591,0)</f>
        <v>910</v>
      </c>
      <c r="AE591" s="6">
        <f>1-AB591/AD591</f>
        <v>0.43956043956043955</v>
      </c>
      <c r="AF591" s="33">
        <v>0</v>
      </c>
      <c r="AG591" s="4">
        <f t="shared" si="92"/>
        <v>1140</v>
      </c>
      <c r="AH591" s="33">
        <f t="shared" si="94"/>
        <v>1140</v>
      </c>
      <c r="AI591" s="6">
        <f>1-AB591/AH591</f>
        <v>0.55263157894736836</v>
      </c>
      <c r="AJ591" s="7">
        <v>728</v>
      </c>
      <c r="AK591" s="6">
        <f>1-AB591/AJ591</f>
        <v>0.2994505494505495</v>
      </c>
      <c r="AL591" s="4">
        <f>AJ591-AB591</f>
        <v>218</v>
      </c>
      <c r="AM591" s="28"/>
      <c r="AN591" s="6"/>
      <c r="AO591" s="6"/>
      <c r="AP591" s="6">
        <f>Z591/L591</f>
        <v>0.63859649122807016</v>
      </c>
      <c r="AQ591" s="6">
        <f>AJ591/M591</f>
        <v>0.8</v>
      </c>
      <c r="AR591" s="6">
        <f>AB591/N591</f>
        <v>1</v>
      </c>
      <c r="AS591" s="4"/>
      <c r="AT591" s="4"/>
      <c r="AU591" s="4"/>
      <c r="AV591" s="4"/>
      <c r="AW591" s="4"/>
      <c r="AX591" s="4"/>
      <c r="AY591" s="4"/>
      <c r="AZ591" s="4"/>
      <c r="BA591" s="4"/>
      <c r="BB591" s="4">
        <v>0</v>
      </c>
      <c r="BC591" s="4" t="s">
        <v>4074</v>
      </c>
      <c r="BD591" s="4">
        <v>1</v>
      </c>
      <c r="BE591" s="4">
        <v>2</v>
      </c>
      <c r="BF591" s="4" t="s">
        <v>3631</v>
      </c>
      <c r="BG591" s="4">
        <v>2280</v>
      </c>
      <c r="BH591" s="4">
        <v>2280</v>
      </c>
      <c r="BI591" s="4">
        <f t="shared" si="93"/>
        <v>1140</v>
      </c>
      <c r="BJ591" s="19">
        <v>4</v>
      </c>
      <c r="BK591" s="19">
        <v>8</v>
      </c>
      <c r="BL591" s="16">
        <v>6</v>
      </c>
      <c r="BM591" s="45" t="s">
        <v>3534</v>
      </c>
      <c r="BN591" t="s">
        <v>3534</v>
      </c>
      <c r="BO591" t="str">
        <f t="shared" si="95"/>
        <v>-</v>
      </c>
      <c r="BP591" t="s">
        <v>3534</v>
      </c>
      <c r="BQ591">
        <v>1083</v>
      </c>
      <c r="BR591">
        <f t="shared" si="96"/>
        <v>1083</v>
      </c>
      <c r="BS591" t="s">
        <v>2960</v>
      </c>
    </row>
    <row r="592" spans="1:71" x14ac:dyDescent="0.4">
      <c r="A592" s="3">
        <v>589</v>
      </c>
      <c r="B592" s="3">
        <v>589</v>
      </c>
      <c r="C592" s="4" t="s">
        <v>651</v>
      </c>
      <c r="D592" s="4" t="str">
        <f t="shared" si="88"/>
        <v>J537WE</v>
      </c>
      <c r="E592" s="4" t="s">
        <v>651</v>
      </c>
      <c r="F592" s="4" t="s">
        <v>1869</v>
      </c>
      <c r="G592" s="5">
        <v>4521718190907</v>
      </c>
      <c r="H592" s="5"/>
      <c r="I592" s="5"/>
      <c r="J592" s="5">
        <v>1</v>
      </c>
      <c r="K592" s="5">
        <v>1</v>
      </c>
      <c r="L592" s="4">
        <v>1140</v>
      </c>
      <c r="M592" s="4">
        <v>910</v>
      </c>
      <c r="N592" s="4">
        <v>510</v>
      </c>
      <c r="O592" s="6">
        <f t="shared" si="89"/>
        <v>0.43956043956043955</v>
      </c>
      <c r="P592" s="4" t="s">
        <v>2500</v>
      </c>
      <c r="Q592" s="4"/>
      <c r="R592" s="4"/>
      <c r="S592" s="4"/>
      <c r="T592" s="4"/>
      <c r="U592" s="4"/>
      <c r="V592" s="4"/>
      <c r="W592" s="4"/>
      <c r="X592" s="4"/>
      <c r="Y592" s="4">
        <v>728</v>
      </c>
      <c r="Z592" s="4">
        <f t="shared" si="90"/>
        <v>728</v>
      </c>
      <c r="AA592" s="4">
        <v>510</v>
      </c>
      <c r="AB592" s="4">
        <f t="shared" si="91"/>
        <v>510</v>
      </c>
      <c r="AC592" s="4"/>
      <c r="AD592" s="21">
        <f>ROUND(M592*AR592,0)</f>
        <v>910</v>
      </c>
      <c r="AE592" s="6">
        <f>1-AB592/AD592</f>
        <v>0.43956043956043955</v>
      </c>
      <c r="AF592" s="33">
        <v>0</v>
      </c>
      <c r="AG592" s="4">
        <f t="shared" si="92"/>
        <v>1140</v>
      </c>
      <c r="AH592" s="33">
        <f t="shared" si="94"/>
        <v>1140</v>
      </c>
      <c r="AI592" s="6">
        <f>1-AB592/AH592</f>
        <v>0.55263157894736836</v>
      </c>
      <c r="AJ592" s="7">
        <v>728</v>
      </c>
      <c r="AK592" s="6">
        <f>1-AB592/AJ592</f>
        <v>0.2994505494505495</v>
      </c>
      <c r="AL592" s="4">
        <f>AJ592-AB592</f>
        <v>218</v>
      </c>
      <c r="AM592" s="28"/>
      <c r="AN592" s="6"/>
      <c r="AO592" s="6"/>
      <c r="AP592" s="6">
        <f>Z592/L592</f>
        <v>0.63859649122807016</v>
      </c>
      <c r="AQ592" s="6">
        <f>AJ592/M592</f>
        <v>0.8</v>
      </c>
      <c r="AR592" s="6">
        <f>AB592/N592</f>
        <v>1</v>
      </c>
      <c r="AS592" s="4"/>
      <c r="AT592" s="4"/>
      <c r="AU592" s="4"/>
      <c r="AV592" s="4"/>
      <c r="AW592" s="4"/>
      <c r="AX592" s="4"/>
      <c r="AY592" s="4"/>
      <c r="AZ592" s="4"/>
      <c r="BA592" s="4"/>
      <c r="BB592" s="4">
        <v>0</v>
      </c>
      <c r="BC592" s="4" t="s">
        <v>4075</v>
      </c>
      <c r="BD592" s="4">
        <v>1</v>
      </c>
      <c r="BE592" s="4">
        <v>2</v>
      </c>
      <c r="BF592" s="4" t="s">
        <v>3631</v>
      </c>
      <c r="BG592" s="4">
        <v>2280</v>
      </c>
      <c r="BH592" s="4">
        <v>2280</v>
      </c>
      <c r="BI592" s="4">
        <f t="shared" si="93"/>
        <v>1140</v>
      </c>
      <c r="BJ592" s="19">
        <v>4</v>
      </c>
      <c r="BK592" s="19">
        <v>8</v>
      </c>
      <c r="BL592" s="16">
        <v>6</v>
      </c>
      <c r="BM592" s="45" t="s">
        <v>3534</v>
      </c>
      <c r="BN592" t="s">
        <v>3534</v>
      </c>
      <c r="BO592" t="str">
        <f t="shared" si="95"/>
        <v>-</v>
      </c>
      <c r="BP592" t="s">
        <v>3534</v>
      </c>
      <c r="BQ592">
        <v>1083</v>
      </c>
      <c r="BR592">
        <f t="shared" si="96"/>
        <v>1083</v>
      </c>
      <c r="BS592" t="s">
        <v>2961</v>
      </c>
    </row>
    <row r="593" spans="1:71" x14ac:dyDescent="0.4">
      <c r="A593" s="3">
        <v>590</v>
      </c>
      <c r="B593" s="3">
        <v>590</v>
      </c>
      <c r="C593" s="4" t="s">
        <v>652</v>
      </c>
      <c r="D593" s="4" t="str">
        <f t="shared" si="88"/>
        <v>J538WE</v>
      </c>
      <c r="E593" s="4" t="s">
        <v>652</v>
      </c>
      <c r="F593" s="4" t="s">
        <v>1870</v>
      </c>
      <c r="G593" s="5">
        <v>4521718190914</v>
      </c>
      <c r="H593" s="5"/>
      <c r="I593" s="5"/>
      <c r="J593" s="5">
        <v>1</v>
      </c>
      <c r="K593" s="5">
        <v>1</v>
      </c>
      <c r="L593" s="4">
        <v>1140</v>
      </c>
      <c r="M593" s="4">
        <v>910</v>
      </c>
      <c r="N593" s="4">
        <v>510</v>
      </c>
      <c r="O593" s="6">
        <f t="shared" si="89"/>
        <v>0.43956043956043955</v>
      </c>
      <c r="P593" s="4" t="s">
        <v>2500</v>
      </c>
      <c r="Q593" s="4"/>
      <c r="R593" s="4"/>
      <c r="S593" s="4"/>
      <c r="T593" s="4"/>
      <c r="U593" s="4"/>
      <c r="V593" s="4"/>
      <c r="W593" s="4"/>
      <c r="X593" s="4"/>
      <c r="Y593" s="4">
        <v>728</v>
      </c>
      <c r="Z593" s="4">
        <f t="shared" si="90"/>
        <v>728</v>
      </c>
      <c r="AA593" s="4">
        <v>510</v>
      </c>
      <c r="AB593" s="4">
        <f t="shared" si="91"/>
        <v>510</v>
      </c>
      <c r="AC593" s="4"/>
      <c r="AD593" s="21">
        <f>ROUND(M593*AR593,0)</f>
        <v>910</v>
      </c>
      <c r="AE593" s="6">
        <f>1-AB593/AD593</f>
        <v>0.43956043956043955</v>
      </c>
      <c r="AF593" s="33">
        <v>0</v>
      </c>
      <c r="AG593" s="4">
        <f t="shared" si="92"/>
        <v>1140</v>
      </c>
      <c r="AH593" s="33">
        <f t="shared" si="94"/>
        <v>1140</v>
      </c>
      <c r="AI593" s="6">
        <f>1-AB593/AH593</f>
        <v>0.55263157894736836</v>
      </c>
      <c r="AJ593" s="7">
        <v>728</v>
      </c>
      <c r="AK593" s="6">
        <f>1-AB593/AJ593</f>
        <v>0.2994505494505495</v>
      </c>
      <c r="AL593" s="4">
        <f>AJ593-AB593</f>
        <v>218</v>
      </c>
      <c r="AM593" s="28"/>
      <c r="AN593" s="6"/>
      <c r="AO593" s="6"/>
      <c r="AP593" s="6">
        <f>Z593/L593</f>
        <v>0.63859649122807016</v>
      </c>
      <c r="AQ593" s="6">
        <f>AJ593/M593</f>
        <v>0.8</v>
      </c>
      <c r="AR593" s="6">
        <f>AB593/N593</f>
        <v>1</v>
      </c>
      <c r="AS593" s="4"/>
      <c r="AT593" s="4"/>
      <c r="AU593" s="4"/>
      <c r="AV593" s="4"/>
      <c r="AW593" s="4"/>
      <c r="AX593" s="4"/>
      <c r="AY593" s="4"/>
      <c r="AZ593" s="4"/>
      <c r="BA593" s="4"/>
      <c r="BB593" s="4">
        <v>0</v>
      </c>
      <c r="BC593" s="4" t="s">
        <v>4076</v>
      </c>
      <c r="BD593" s="4">
        <v>1</v>
      </c>
      <c r="BE593" s="4">
        <v>2</v>
      </c>
      <c r="BF593" s="4" t="s">
        <v>3631</v>
      </c>
      <c r="BG593" s="4">
        <v>2280</v>
      </c>
      <c r="BH593" s="4">
        <v>2280</v>
      </c>
      <c r="BI593" s="4">
        <f t="shared" si="93"/>
        <v>1140</v>
      </c>
      <c r="BJ593" s="19">
        <v>4</v>
      </c>
      <c r="BK593" s="19">
        <v>8</v>
      </c>
      <c r="BL593" s="16">
        <v>6</v>
      </c>
      <c r="BM593" s="45" t="s">
        <v>3534</v>
      </c>
      <c r="BN593" t="s">
        <v>3534</v>
      </c>
      <c r="BO593" t="str">
        <f t="shared" si="95"/>
        <v>-</v>
      </c>
      <c r="BP593" t="s">
        <v>3534</v>
      </c>
      <c r="BQ593">
        <v>1083</v>
      </c>
      <c r="BR593">
        <f t="shared" si="96"/>
        <v>1083</v>
      </c>
      <c r="BS593" t="s">
        <v>2962</v>
      </c>
    </row>
    <row r="594" spans="1:71" x14ac:dyDescent="0.4">
      <c r="A594" s="3">
        <v>591</v>
      </c>
      <c r="B594" s="3">
        <v>591</v>
      </c>
      <c r="C594" s="4" t="s">
        <v>653</v>
      </c>
      <c r="D594" s="4" t="str">
        <f t="shared" si="88"/>
        <v>J535WE</v>
      </c>
      <c r="E594" s="4" t="s">
        <v>653</v>
      </c>
      <c r="F594" s="4" t="s">
        <v>1871</v>
      </c>
      <c r="G594" s="5">
        <v>4521718190884</v>
      </c>
      <c r="H594" s="5"/>
      <c r="I594" s="5"/>
      <c r="J594" s="5">
        <v>1</v>
      </c>
      <c r="K594" s="5">
        <v>1</v>
      </c>
      <c r="L594" s="4">
        <v>1140</v>
      </c>
      <c r="M594" s="4">
        <v>910</v>
      </c>
      <c r="N594" s="4">
        <v>510</v>
      </c>
      <c r="O594" s="6">
        <f t="shared" si="89"/>
        <v>0.43956043956043955</v>
      </c>
      <c r="P594" s="4" t="s">
        <v>2500</v>
      </c>
      <c r="Q594" s="4"/>
      <c r="R594" s="4"/>
      <c r="S594" s="4"/>
      <c r="T594" s="4"/>
      <c r="U594" s="4"/>
      <c r="V594" s="4"/>
      <c r="W594" s="4"/>
      <c r="X594" s="4"/>
      <c r="Y594" s="4">
        <v>728</v>
      </c>
      <c r="Z594" s="4">
        <f t="shared" si="90"/>
        <v>728</v>
      </c>
      <c r="AA594" s="4">
        <v>510</v>
      </c>
      <c r="AB594" s="4">
        <f t="shared" si="91"/>
        <v>510</v>
      </c>
      <c r="AC594" s="4"/>
      <c r="AD594" s="21">
        <f>ROUND(M594*AR594,0)</f>
        <v>910</v>
      </c>
      <c r="AE594" s="6">
        <f>1-AB594/AD594</f>
        <v>0.43956043956043955</v>
      </c>
      <c r="AF594" s="33">
        <v>1.5</v>
      </c>
      <c r="AG594" s="4">
        <f t="shared" si="92"/>
        <v>1140</v>
      </c>
      <c r="AH594" s="33">
        <f t="shared" si="94"/>
        <v>1140</v>
      </c>
      <c r="AI594" s="6">
        <f>1-AB594/AH594</f>
        <v>0.55263157894736836</v>
      </c>
      <c r="AJ594" s="7">
        <v>728</v>
      </c>
      <c r="AK594" s="6">
        <f>1-AB594/AJ594</f>
        <v>0.2994505494505495</v>
      </c>
      <c r="AL594" s="4">
        <f>AJ594-AB594</f>
        <v>218</v>
      </c>
      <c r="AM594" s="28"/>
      <c r="AN594" s="6"/>
      <c r="AO594" s="6"/>
      <c r="AP594" s="6">
        <f>Z594/L594</f>
        <v>0.63859649122807016</v>
      </c>
      <c r="AQ594" s="6">
        <f>AJ594/M594</f>
        <v>0.8</v>
      </c>
      <c r="AR594" s="6">
        <f>AB594/N594</f>
        <v>1</v>
      </c>
      <c r="AS594" s="4"/>
      <c r="AT594" s="4"/>
      <c r="AU594" s="4"/>
      <c r="AV594" s="4"/>
      <c r="AW594" s="4"/>
      <c r="AX594" s="4"/>
      <c r="AY594" s="4"/>
      <c r="AZ594" s="4"/>
      <c r="BA594" s="4"/>
      <c r="BB594" s="4">
        <v>0</v>
      </c>
      <c r="BC594" s="4" t="s">
        <v>4077</v>
      </c>
      <c r="BD594" s="4">
        <v>1</v>
      </c>
      <c r="BE594" s="4">
        <v>2</v>
      </c>
      <c r="BF594" s="4" t="s">
        <v>3631</v>
      </c>
      <c r="BG594" s="4">
        <v>2280</v>
      </c>
      <c r="BH594" s="4">
        <v>2280</v>
      </c>
      <c r="BI594" s="4">
        <f t="shared" si="93"/>
        <v>1140</v>
      </c>
      <c r="BJ594" s="19">
        <v>4</v>
      </c>
      <c r="BK594" s="19">
        <v>8</v>
      </c>
      <c r="BL594" s="16">
        <v>6</v>
      </c>
      <c r="BM594" s="45" t="s">
        <v>3534</v>
      </c>
      <c r="BN594" t="s">
        <v>3534</v>
      </c>
      <c r="BO594" t="str">
        <f t="shared" si="95"/>
        <v>-</v>
      </c>
      <c r="BP594" t="s">
        <v>3534</v>
      </c>
      <c r="BQ594">
        <v>1083</v>
      </c>
      <c r="BR594">
        <f t="shared" si="96"/>
        <v>1083</v>
      </c>
      <c r="BS594" t="s">
        <v>2963</v>
      </c>
    </row>
    <row r="595" spans="1:71" x14ac:dyDescent="0.4">
      <c r="A595" s="3">
        <v>592</v>
      </c>
      <c r="B595" s="3">
        <v>592</v>
      </c>
      <c r="C595" s="4" t="s">
        <v>654</v>
      </c>
      <c r="D595" s="4" t="str">
        <f t="shared" si="88"/>
        <v>J539RR</v>
      </c>
      <c r="E595" s="4" t="s">
        <v>654</v>
      </c>
      <c r="F595" s="4" t="s">
        <v>1872</v>
      </c>
      <c r="G595" s="5">
        <v>4521718094762</v>
      </c>
      <c r="H595" s="5"/>
      <c r="I595" s="5"/>
      <c r="J595" s="5">
        <v>1</v>
      </c>
      <c r="K595" s="5">
        <v>1</v>
      </c>
      <c r="L595" s="4">
        <v>430</v>
      </c>
      <c r="M595" s="4">
        <v>257</v>
      </c>
      <c r="N595" s="4">
        <v>191</v>
      </c>
      <c r="O595" s="6">
        <f t="shared" si="89"/>
        <v>0.25680933852140075</v>
      </c>
      <c r="P595" s="4" t="s">
        <v>2500</v>
      </c>
      <c r="Q595" s="4"/>
      <c r="R595" s="4"/>
      <c r="S595" s="4"/>
      <c r="T595" s="4"/>
      <c r="U595" s="4"/>
      <c r="V595" s="4"/>
      <c r="W595" s="4"/>
      <c r="X595" s="4"/>
      <c r="Y595" s="4">
        <v>430</v>
      </c>
      <c r="Z595" s="4">
        <f t="shared" si="90"/>
        <v>430</v>
      </c>
      <c r="AA595" s="4">
        <v>194</v>
      </c>
      <c r="AB595" s="4">
        <f t="shared" si="91"/>
        <v>194</v>
      </c>
      <c r="AC595" s="4"/>
      <c r="AD595" s="21">
        <f>ROUND(M595*AR595,0)</f>
        <v>261</v>
      </c>
      <c r="AE595" s="6">
        <f>1-AB595/AD595</f>
        <v>0.25670498084291182</v>
      </c>
      <c r="AF595" s="33">
        <v>0.25</v>
      </c>
      <c r="AG595" s="4">
        <f t="shared" si="92"/>
        <v>580</v>
      </c>
      <c r="AH595" s="33">
        <f t="shared" si="94"/>
        <v>589.10994764397913</v>
      </c>
      <c r="AI595" s="6">
        <f>1-AB595/AH595</f>
        <v>0.67068965517241386</v>
      </c>
      <c r="AJ595" s="7">
        <f>ROUND(AB595/0.65,0)</f>
        <v>298</v>
      </c>
      <c r="AK595" s="6">
        <f>1-AB595/AJ595</f>
        <v>0.34899328859060408</v>
      </c>
      <c r="AL595" s="4">
        <f>AJ595-AB595</f>
        <v>104</v>
      </c>
      <c r="AM595" s="28"/>
      <c r="AN595" s="6"/>
      <c r="AO595" s="6"/>
      <c r="AP595" s="6">
        <f>Z595/L595</f>
        <v>1</v>
      </c>
      <c r="AQ595" s="6">
        <f>AJ595/M595</f>
        <v>1.1595330739299612</v>
      </c>
      <c r="AR595" s="6">
        <f>AB595/N595</f>
        <v>1.0157068062827226</v>
      </c>
      <c r="AS595" s="4"/>
      <c r="AT595" s="4"/>
      <c r="AU595" s="4"/>
      <c r="AV595" s="4"/>
      <c r="AW595" s="4"/>
      <c r="AX595" s="4"/>
      <c r="AY595" s="4"/>
      <c r="AZ595" s="4"/>
      <c r="BA595" s="4"/>
      <c r="BB595" s="4">
        <v>0</v>
      </c>
      <c r="BC595" s="4" t="s">
        <v>4078</v>
      </c>
      <c r="BD595" s="4">
        <v>1</v>
      </c>
      <c r="BE595" s="4">
        <v>3</v>
      </c>
      <c r="BF595" s="4" t="s">
        <v>3638</v>
      </c>
      <c r="BG595" s="4">
        <v>1740</v>
      </c>
      <c r="BH595" s="4">
        <v>1740</v>
      </c>
      <c r="BI595" s="4">
        <f t="shared" si="93"/>
        <v>580</v>
      </c>
      <c r="BJ595" s="19">
        <v>4</v>
      </c>
      <c r="BK595" s="19">
        <v>8</v>
      </c>
      <c r="BL595" s="16">
        <v>6</v>
      </c>
      <c r="BM595" s="45" t="s">
        <v>3534</v>
      </c>
      <c r="BN595" t="s">
        <v>3534</v>
      </c>
      <c r="BO595" t="str">
        <f t="shared" si="95"/>
        <v>-</v>
      </c>
      <c r="BP595" t="s">
        <v>3534</v>
      </c>
      <c r="BQ595">
        <v>355</v>
      </c>
      <c r="BR595">
        <f t="shared" si="96"/>
        <v>360.57591623036654</v>
      </c>
      <c r="BS595" t="s">
        <v>2964</v>
      </c>
    </row>
    <row r="596" spans="1:71" x14ac:dyDescent="0.4">
      <c r="A596" s="3">
        <v>593</v>
      </c>
      <c r="B596" s="3">
        <v>593</v>
      </c>
      <c r="C596" s="4" t="s">
        <v>655</v>
      </c>
      <c r="D596" s="4" t="str">
        <f t="shared" si="88"/>
        <v>J540WE</v>
      </c>
      <c r="E596" s="4" t="s">
        <v>655</v>
      </c>
      <c r="F596" s="4" t="s">
        <v>1873</v>
      </c>
      <c r="G596" s="5">
        <v>4521718190938</v>
      </c>
      <c r="H596" s="5"/>
      <c r="I596" s="5"/>
      <c r="J596" s="5">
        <v>1</v>
      </c>
      <c r="K596" s="5">
        <v>1</v>
      </c>
      <c r="L596" s="4">
        <v>1140</v>
      </c>
      <c r="M596" s="4">
        <v>910</v>
      </c>
      <c r="N596" s="4">
        <v>510</v>
      </c>
      <c r="O596" s="6">
        <f t="shared" si="89"/>
        <v>0.43956043956043955</v>
      </c>
      <c r="P596" s="4" t="s">
        <v>2500</v>
      </c>
      <c r="Q596" s="4"/>
      <c r="R596" s="4"/>
      <c r="S596" s="4"/>
      <c r="T596" s="4"/>
      <c r="U596" s="4"/>
      <c r="V596" s="4"/>
      <c r="W596" s="4"/>
      <c r="X596" s="4"/>
      <c r="Y596" s="4">
        <v>728</v>
      </c>
      <c r="Z596" s="4">
        <f t="shared" si="90"/>
        <v>728</v>
      </c>
      <c r="AA596" s="4">
        <v>510</v>
      </c>
      <c r="AB596" s="4">
        <f t="shared" si="91"/>
        <v>510</v>
      </c>
      <c r="AC596" s="4"/>
      <c r="AD596" s="21">
        <f>ROUND(M596*AR596,0)</f>
        <v>910</v>
      </c>
      <c r="AE596" s="6">
        <f>1-AB596/AD596</f>
        <v>0.43956043956043955</v>
      </c>
      <c r="AF596" s="33">
        <v>0</v>
      </c>
      <c r="AG596" s="4">
        <f t="shared" si="92"/>
        <v>1140</v>
      </c>
      <c r="AH596" s="33">
        <f t="shared" si="94"/>
        <v>1140</v>
      </c>
      <c r="AI596" s="6">
        <f>1-AB596/AH596</f>
        <v>0.55263157894736836</v>
      </c>
      <c r="AJ596" s="7">
        <v>728</v>
      </c>
      <c r="AK596" s="6">
        <f>1-AB596/AJ596</f>
        <v>0.2994505494505495</v>
      </c>
      <c r="AL596" s="4">
        <f>AJ596-AB596</f>
        <v>218</v>
      </c>
      <c r="AM596" s="28"/>
      <c r="AN596" s="6"/>
      <c r="AO596" s="6"/>
      <c r="AP596" s="6">
        <f>Z596/L596</f>
        <v>0.63859649122807016</v>
      </c>
      <c r="AQ596" s="6">
        <f>AJ596/M596</f>
        <v>0.8</v>
      </c>
      <c r="AR596" s="6">
        <f>AB596/N596</f>
        <v>1</v>
      </c>
      <c r="AS596" s="4"/>
      <c r="AT596" s="4"/>
      <c r="AU596" s="4"/>
      <c r="AV596" s="4"/>
      <c r="AW596" s="4"/>
      <c r="AX596" s="4"/>
      <c r="AY596" s="4"/>
      <c r="AZ596" s="4"/>
      <c r="BA596" s="4"/>
      <c r="BB596" s="4">
        <v>0</v>
      </c>
      <c r="BC596" s="4" t="s">
        <v>4079</v>
      </c>
      <c r="BD596" s="4">
        <v>1</v>
      </c>
      <c r="BE596" s="4">
        <v>2</v>
      </c>
      <c r="BF596" s="4" t="s">
        <v>3631</v>
      </c>
      <c r="BG596" s="4">
        <v>2280</v>
      </c>
      <c r="BH596" s="4">
        <v>2280</v>
      </c>
      <c r="BI596" s="4">
        <f t="shared" si="93"/>
        <v>1140</v>
      </c>
      <c r="BJ596" s="19">
        <v>4</v>
      </c>
      <c r="BK596" s="19">
        <v>8</v>
      </c>
      <c r="BL596" s="16">
        <v>6</v>
      </c>
      <c r="BM596" s="45" t="s">
        <v>3534</v>
      </c>
      <c r="BN596" t="s">
        <v>3534</v>
      </c>
      <c r="BO596" t="str">
        <f t="shared" si="95"/>
        <v>-</v>
      </c>
      <c r="BP596" t="s">
        <v>3534</v>
      </c>
      <c r="BQ596">
        <v>1083</v>
      </c>
      <c r="BR596">
        <f t="shared" si="96"/>
        <v>1083</v>
      </c>
      <c r="BS596" t="s">
        <v>2965</v>
      </c>
    </row>
    <row r="597" spans="1:71" x14ac:dyDescent="0.4">
      <c r="A597" s="3">
        <v>594</v>
      </c>
      <c r="B597" s="3">
        <v>594</v>
      </c>
      <c r="C597" s="4" t="s">
        <v>656</v>
      </c>
      <c r="D597" s="4" t="str">
        <f t="shared" si="88"/>
        <v>J541WE</v>
      </c>
      <c r="E597" s="4" t="s">
        <v>656</v>
      </c>
      <c r="F597" s="4" t="s">
        <v>1874</v>
      </c>
      <c r="G597" s="5">
        <v>4521718190945</v>
      </c>
      <c r="H597" s="5"/>
      <c r="I597" s="5"/>
      <c r="J597" s="5">
        <v>1</v>
      </c>
      <c r="K597" s="5">
        <v>1</v>
      </c>
      <c r="L597" s="4">
        <v>1140</v>
      </c>
      <c r="M597" s="4">
        <v>910</v>
      </c>
      <c r="N597" s="4">
        <v>510</v>
      </c>
      <c r="O597" s="6">
        <f t="shared" si="89"/>
        <v>0.43956043956043955</v>
      </c>
      <c r="P597" s="4" t="s">
        <v>2500</v>
      </c>
      <c r="Q597" s="4"/>
      <c r="R597" s="4"/>
      <c r="S597" s="4"/>
      <c r="T597" s="4"/>
      <c r="U597" s="4"/>
      <c r="V597" s="4"/>
      <c r="W597" s="4"/>
      <c r="X597" s="4"/>
      <c r="Y597" s="4">
        <v>728</v>
      </c>
      <c r="Z597" s="4">
        <f t="shared" si="90"/>
        <v>728</v>
      </c>
      <c r="AA597" s="4">
        <v>510</v>
      </c>
      <c r="AB597" s="4">
        <f t="shared" si="91"/>
        <v>510</v>
      </c>
      <c r="AC597" s="4"/>
      <c r="AD597" s="21">
        <f>ROUND(M597*AR597,0)</f>
        <v>910</v>
      </c>
      <c r="AE597" s="6">
        <f>1-AB597/AD597</f>
        <v>0.43956043956043955</v>
      </c>
      <c r="AF597" s="33">
        <v>0</v>
      </c>
      <c r="AG597" s="4">
        <f t="shared" si="92"/>
        <v>1140</v>
      </c>
      <c r="AH597" s="33">
        <f t="shared" si="94"/>
        <v>1140</v>
      </c>
      <c r="AI597" s="6">
        <f>1-AB597/AH597</f>
        <v>0.55263157894736836</v>
      </c>
      <c r="AJ597" s="7">
        <v>728</v>
      </c>
      <c r="AK597" s="6">
        <f>1-AB597/AJ597</f>
        <v>0.2994505494505495</v>
      </c>
      <c r="AL597" s="4">
        <f>AJ597-AB597</f>
        <v>218</v>
      </c>
      <c r="AM597" s="28"/>
      <c r="AN597" s="6"/>
      <c r="AO597" s="6"/>
      <c r="AP597" s="6">
        <f>Z597/L597</f>
        <v>0.63859649122807016</v>
      </c>
      <c r="AQ597" s="6">
        <f>AJ597/M597</f>
        <v>0.8</v>
      </c>
      <c r="AR597" s="6">
        <f>AB597/N597</f>
        <v>1</v>
      </c>
      <c r="AS597" s="4"/>
      <c r="AT597" s="4"/>
      <c r="AU597" s="4"/>
      <c r="AV597" s="4"/>
      <c r="AW597" s="4"/>
      <c r="AX597" s="4"/>
      <c r="AY597" s="4"/>
      <c r="AZ597" s="4"/>
      <c r="BA597" s="4"/>
      <c r="BB597" s="4">
        <v>0</v>
      </c>
      <c r="BC597" s="4" t="s">
        <v>4080</v>
      </c>
      <c r="BD597" s="4">
        <v>1</v>
      </c>
      <c r="BE597" s="4">
        <v>2</v>
      </c>
      <c r="BF597" s="4" t="s">
        <v>3631</v>
      </c>
      <c r="BG597" s="4">
        <v>2280</v>
      </c>
      <c r="BH597" s="4">
        <v>2280</v>
      </c>
      <c r="BI597" s="4">
        <f t="shared" si="93"/>
        <v>1140</v>
      </c>
      <c r="BJ597" s="19">
        <v>4</v>
      </c>
      <c r="BK597" s="19">
        <v>8</v>
      </c>
      <c r="BL597" s="16">
        <v>6</v>
      </c>
      <c r="BM597" s="45" t="s">
        <v>3534</v>
      </c>
      <c r="BN597" t="s">
        <v>3534</v>
      </c>
      <c r="BO597" t="str">
        <f t="shared" si="95"/>
        <v>-</v>
      </c>
      <c r="BP597" t="s">
        <v>3534</v>
      </c>
      <c r="BQ597">
        <v>1083</v>
      </c>
      <c r="BR597">
        <f t="shared" si="96"/>
        <v>1083</v>
      </c>
      <c r="BS597" t="s">
        <v>2966</v>
      </c>
    </row>
    <row r="598" spans="1:71" x14ac:dyDescent="0.4">
      <c r="A598" s="3">
        <v>595</v>
      </c>
      <c r="B598" s="3">
        <v>595</v>
      </c>
      <c r="C598" s="4" t="s">
        <v>657</v>
      </c>
      <c r="D598" s="4" t="str">
        <f t="shared" si="88"/>
        <v>J539WE</v>
      </c>
      <c r="E598" s="4" t="s">
        <v>657</v>
      </c>
      <c r="F598" s="4" t="s">
        <v>1875</v>
      </c>
      <c r="G598" s="5">
        <v>4521718190921</v>
      </c>
      <c r="H598" s="5"/>
      <c r="I598" s="5"/>
      <c r="J598" s="5">
        <v>1</v>
      </c>
      <c r="K598" s="5">
        <v>1</v>
      </c>
      <c r="L598" s="4">
        <v>1140</v>
      </c>
      <c r="M598" s="4">
        <v>910</v>
      </c>
      <c r="N598" s="4">
        <v>510</v>
      </c>
      <c r="O598" s="6">
        <f t="shared" si="89"/>
        <v>0.43956043956043955</v>
      </c>
      <c r="P598" s="4" t="s">
        <v>2500</v>
      </c>
      <c r="Q598" s="4"/>
      <c r="R598" s="4"/>
      <c r="S598" s="4"/>
      <c r="T598" s="4"/>
      <c r="U598" s="4"/>
      <c r="V598" s="4"/>
      <c r="W598" s="4"/>
      <c r="X598" s="4"/>
      <c r="Y598" s="4">
        <v>728</v>
      </c>
      <c r="Z598" s="4">
        <f t="shared" si="90"/>
        <v>728</v>
      </c>
      <c r="AA598" s="4">
        <v>510</v>
      </c>
      <c r="AB598" s="4">
        <f t="shared" si="91"/>
        <v>510</v>
      </c>
      <c r="AC598" s="4"/>
      <c r="AD598" s="21">
        <f>ROUND(M598*AR598,0)</f>
        <v>910</v>
      </c>
      <c r="AE598" s="6">
        <f>1-AB598/AD598</f>
        <v>0.43956043956043955</v>
      </c>
      <c r="AF598" s="33">
        <v>0</v>
      </c>
      <c r="AG598" s="4">
        <f t="shared" si="92"/>
        <v>1140</v>
      </c>
      <c r="AH598" s="33">
        <f t="shared" si="94"/>
        <v>1140</v>
      </c>
      <c r="AI598" s="6">
        <f>1-AB598/AH598</f>
        <v>0.55263157894736836</v>
      </c>
      <c r="AJ598" s="7">
        <v>728</v>
      </c>
      <c r="AK598" s="6">
        <f>1-AB598/AJ598</f>
        <v>0.2994505494505495</v>
      </c>
      <c r="AL598" s="4">
        <f>AJ598-AB598</f>
        <v>218</v>
      </c>
      <c r="AM598" s="28"/>
      <c r="AN598" s="6"/>
      <c r="AO598" s="6"/>
      <c r="AP598" s="6">
        <f>Z598/L598</f>
        <v>0.63859649122807016</v>
      </c>
      <c r="AQ598" s="6">
        <f>AJ598/M598</f>
        <v>0.8</v>
      </c>
      <c r="AR598" s="6">
        <f>AB598/N598</f>
        <v>1</v>
      </c>
      <c r="AS598" s="4"/>
      <c r="AT598" s="4"/>
      <c r="AU598" s="4"/>
      <c r="AV598" s="4"/>
      <c r="AW598" s="4"/>
      <c r="AX598" s="4"/>
      <c r="AY598" s="4"/>
      <c r="AZ598" s="4"/>
      <c r="BA598" s="4"/>
      <c r="BB598" s="4">
        <v>0</v>
      </c>
      <c r="BC598" s="4" t="s">
        <v>4081</v>
      </c>
      <c r="BD598" s="4">
        <v>1</v>
      </c>
      <c r="BE598" s="4">
        <v>2</v>
      </c>
      <c r="BF598" s="4" t="s">
        <v>3631</v>
      </c>
      <c r="BG598" s="4">
        <v>2280</v>
      </c>
      <c r="BH598" s="4">
        <v>2280</v>
      </c>
      <c r="BI598" s="4">
        <f t="shared" si="93"/>
        <v>1140</v>
      </c>
      <c r="BJ598" s="19">
        <v>4</v>
      </c>
      <c r="BK598" s="19">
        <v>8</v>
      </c>
      <c r="BL598" s="16">
        <v>6</v>
      </c>
      <c r="BM598" s="45" t="s">
        <v>3534</v>
      </c>
      <c r="BN598" t="s">
        <v>3534</v>
      </c>
      <c r="BO598" t="str">
        <f t="shared" si="95"/>
        <v>-</v>
      </c>
      <c r="BP598" t="s">
        <v>3534</v>
      </c>
      <c r="BQ598">
        <v>1083</v>
      </c>
      <c r="BR598">
        <f t="shared" si="96"/>
        <v>1083</v>
      </c>
      <c r="BS598" t="s">
        <v>2967</v>
      </c>
    </row>
    <row r="599" spans="1:71" x14ac:dyDescent="0.4">
      <c r="A599" s="3">
        <v>596</v>
      </c>
      <c r="B599" s="3">
        <v>596</v>
      </c>
      <c r="C599" s="4" t="s">
        <v>658</v>
      </c>
      <c r="D599" s="4" t="str">
        <f t="shared" ref="D599:D662" si="97">TEXT(C599,"000000")</f>
        <v>J542WE</v>
      </c>
      <c r="E599" s="4" t="s">
        <v>658</v>
      </c>
      <c r="F599" s="4" t="s">
        <v>1876</v>
      </c>
      <c r="G599" s="5">
        <v>4521718190952</v>
      </c>
      <c r="H599" s="5"/>
      <c r="I599" s="5"/>
      <c r="J599" s="5">
        <v>1</v>
      </c>
      <c r="K599" s="5">
        <v>1</v>
      </c>
      <c r="L599" s="4">
        <v>1140</v>
      </c>
      <c r="M599" s="4">
        <v>910</v>
      </c>
      <c r="N599" s="4">
        <v>510</v>
      </c>
      <c r="O599" s="6">
        <f t="shared" ref="O599:O662" si="98">1-N599/M599</f>
        <v>0.43956043956043955</v>
      </c>
      <c r="P599" s="4" t="s">
        <v>2500</v>
      </c>
      <c r="Q599" s="4"/>
      <c r="R599" s="4"/>
      <c r="S599" s="4"/>
      <c r="T599" s="4"/>
      <c r="U599" s="4"/>
      <c r="V599" s="4"/>
      <c r="W599" s="4"/>
      <c r="X599" s="4"/>
      <c r="Y599" s="4">
        <v>728</v>
      </c>
      <c r="Z599" s="4">
        <f t="shared" ref="Z599:Z662" si="99">IF(AC599="",Y599,Y599*AC599)</f>
        <v>728</v>
      </c>
      <c r="AA599" s="4">
        <v>510</v>
      </c>
      <c r="AB599" s="4">
        <f t="shared" ref="AB599:AB662" si="100">IF(AC599="",AA599,AA599*AC599)</f>
        <v>510</v>
      </c>
      <c r="AC599" s="4"/>
      <c r="AD599" s="21">
        <f>ROUND(M599*AR599,0)</f>
        <v>910</v>
      </c>
      <c r="AE599" s="6">
        <f>1-AB599/AD599</f>
        <v>0.43956043956043955</v>
      </c>
      <c r="AF599" s="33">
        <v>0</v>
      </c>
      <c r="AG599" s="4">
        <f t="shared" ref="AG599:AG662" si="101">BI599</f>
        <v>1140</v>
      </c>
      <c r="AH599" s="33">
        <f t="shared" si="94"/>
        <v>1140</v>
      </c>
      <c r="AI599" s="6">
        <f>1-AB599/AH599</f>
        <v>0.55263157894736836</v>
      </c>
      <c r="AJ599" s="7">
        <v>728</v>
      </c>
      <c r="AK599" s="6">
        <f>1-AB599/AJ599</f>
        <v>0.2994505494505495</v>
      </c>
      <c r="AL599" s="4">
        <f>AJ599-AB599</f>
        <v>218</v>
      </c>
      <c r="AM599" s="28"/>
      <c r="AN599" s="6"/>
      <c r="AO599" s="6"/>
      <c r="AP599" s="6">
        <f>Z599/L599</f>
        <v>0.63859649122807016</v>
      </c>
      <c r="AQ599" s="6">
        <f>AJ599/M599</f>
        <v>0.8</v>
      </c>
      <c r="AR599" s="6">
        <f>AB599/N599</f>
        <v>1</v>
      </c>
      <c r="AS599" s="4"/>
      <c r="AT599" s="4"/>
      <c r="AU599" s="4"/>
      <c r="AV599" s="4"/>
      <c r="AW599" s="4"/>
      <c r="AX599" s="4"/>
      <c r="AY599" s="4"/>
      <c r="AZ599" s="4"/>
      <c r="BA599" s="4"/>
      <c r="BB599" s="4">
        <v>0</v>
      </c>
      <c r="BC599" s="4" t="s">
        <v>4082</v>
      </c>
      <c r="BD599" s="4">
        <v>1</v>
      </c>
      <c r="BE599" s="4">
        <v>2</v>
      </c>
      <c r="BF599" s="4" t="s">
        <v>3631</v>
      </c>
      <c r="BG599" s="4">
        <v>2280</v>
      </c>
      <c r="BH599" s="4">
        <v>2280</v>
      </c>
      <c r="BI599" s="4">
        <f t="shared" ref="BI599:BI662" si="102">IF(BD599="",BH599,BD599/BE599*BH599)</f>
        <v>1140</v>
      </c>
      <c r="BJ599" s="19">
        <v>4</v>
      </c>
      <c r="BK599" s="19">
        <v>8</v>
      </c>
      <c r="BL599" s="16">
        <v>6</v>
      </c>
      <c r="BM599" s="45" t="s">
        <v>3534</v>
      </c>
      <c r="BN599" t="s">
        <v>3534</v>
      </c>
      <c r="BO599" t="str">
        <f t="shared" si="95"/>
        <v>-</v>
      </c>
      <c r="BP599" t="s">
        <v>3534</v>
      </c>
      <c r="BQ599">
        <v>1083</v>
      </c>
      <c r="BR599">
        <f t="shared" si="96"/>
        <v>1083</v>
      </c>
      <c r="BS599" t="s">
        <v>2968</v>
      </c>
    </row>
    <row r="600" spans="1:71" x14ac:dyDescent="0.4">
      <c r="A600" s="3">
        <v>597</v>
      </c>
      <c r="B600" s="3">
        <v>597</v>
      </c>
      <c r="C600" s="4" t="s">
        <v>659</v>
      </c>
      <c r="D600" s="4" t="str">
        <f t="shared" si="97"/>
        <v>J543WE</v>
      </c>
      <c r="E600" s="4" t="s">
        <v>659</v>
      </c>
      <c r="F600" s="4" t="s">
        <v>1877</v>
      </c>
      <c r="G600" s="5">
        <v>4521718190969</v>
      </c>
      <c r="H600" s="5"/>
      <c r="I600" s="5"/>
      <c r="J600" s="5">
        <v>1</v>
      </c>
      <c r="K600" s="5">
        <v>1</v>
      </c>
      <c r="L600" s="4">
        <v>1140</v>
      </c>
      <c r="M600" s="4">
        <v>910</v>
      </c>
      <c r="N600" s="4">
        <v>510</v>
      </c>
      <c r="O600" s="6">
        <f t="shared" si="98"/>
        <v>0.43956043956043955</v>
      </c>
      <c r="P600" s="4" t="s">
        <v>2500</v>
      </c>
      <c r="Q600" s="4"/>
      <c r="R600" s="4"/>
      <c r="S600" s="4"/>
      <c r="T600" s="4"/>
      <c r="U600" s="4"/>
      <c r="V600" s="4"/>
      <c r="W600" s="4"/>
      <c r="X600" s="4"/>
      <c r="Y600" s="4">
        <v>728</v>
      </c>
      <c r="Z600" s="4">
        <f t="shared" si="99"/>
        <v>728</v>
      </c>
      <c r="AA600" s="4">
        <v>510</v>
      </c>
      <c r="AB600" s="4">
        <f t="shared" si="100"/>
        <v>510</v>
      </c>
      <c r="AC600" s="4"/>
      <c r="AD600" s="21">
        <f>ROUND(M600*AR600,0)</f>
        <v>910</v>
      </c>
      <c r="AE600" s="6">
        <f>1-AB600/AD600</f>
        <v>0.43956043956043955</v>
      </c>
      <c r="AF600" s="33">
        <v>0</v>
      </c>
      <c r="AG600" s="4">
        <f t="shared" si="101"/>
        <v>1140</v>
      </c>
      <c r="AH600" s="33">
        <f t="shared" si="94"/>
        <v>1140</v>
      </c>
      <c r="AI600" s="6">
        <f>1-AB600/AH600</f>
        <v>0.55263157894736836</v>
      </c>
      <c r="AJ600" s="7">
        <v>728</v>
      </c>
      <c r="AK600" s="6">
        <f>1-AB600/AJ600</f>
        <v>0.2994505494505495</v>
      </c>
      <c r="AL600" s="4">
        <f>AJ600-AB600</f>
        <v>218</v>
      </c>
      <c r="AM600" s="28"/>
      <c r="AN600" s="6"/>
      <c r="AO600" s="6"/>
      <c r="AP600" s="6">
        <f>Z600/L600</f>
        <v>0.63859649122807016</v>
      </c>
      <c r="AQ600" s="6">
        <f>AJ600/M600</f>
        <v>0.8</v>
      </c>
      <c r="AR600" s="6">
        <f>AB600/N600</f>
        <v>1</v>
      </c>
      <c r="AS600" s="4"/>
      <c r="AT600" s="4"/>
      <c r="AU600" s="4"/>
      <c r="AV600" s="4"/>
      <c r="AW600" s="4"/>
      <c r="AX600" s="4"/>
      <c r="AY600" s="4"/>
      <c r="AZ600" s="4"/>
      <c r="BA600" s="4"/>
      <c r="BB600" s="4">
        <v>0</v>
      </c>
      <c r="BC600" s="4" t="s">
        <v>4083</v>
      </c>
      <c r="BD600" s="4">
        <v>1</v>
      </c>
      <c r="BE600" s="4">
        <v>2</v>
      </c>
      <c r="BF600" s="4" t="s">
        <v>3631</v>
      </c>
      <c r="BG600" s="4">
        <v>2280</v>
      </c>
      <c r="BH600" s="4">
        <v>2280</v>
      </c>
      <c r="BI600" s="4">
        <f t="shared" si="102"/>
        <v>1140</v>
      </c>
      <c r="BJ600" s="19">
        <v>4</v>
      </c>
      <c r="BK600" s="19">
        <v>8</v>
      </c>
      <c r="BL600" s="16">
        <v>6</v>
      </c>
      <c r="BM600" s="45" t="s">
        <v>3534</v>
      </c>
      <c r="BN600" t="s">
        <v>3534</v>
      </c>
      <c r="BO600" t="str">
        <f t="shared" si="95"/>
        <v>-</v>
      </c>
      <c r="BP600" t="s">
        <v>3534</v>
      </c>
      <c r="BQ600">
        <v>1083</v>
      </c>
      <c r="BR600">
        <f t="shared" si="96"/>
        <v>1083</v>
      </c>
      <c r="BS600" t="s">
        <v>2969</v>
      </c>
    </row>
    <row r="601" spans="1:71" x14ac:dyDescent="0.4">
      <c r="A601" s="3">
        <v>598</v>
      </c>
      <c r="B601" s="3">
        <v>598</v>
      </c>
      <c r="C601" s="4" t="s">
        <v>660</v>
      </c>
      <c r="D601" s="4" t="str">
        <f t="shared" si="97"/>
        <v>J545RR</v>
      </c>
      <c r="E601" s="4" t="s">
        <v>660</v>
      </c>
      <c r="F601" s="4" t="s">
        <v>1878</v>
      </c>
      <c r="G601" s="5">
        <v>4521718094892</v>
      </c>
      <c r="H601" s="5"/>
      <c r="I601" s="5"/>
      <c r="J601" s="5">
        <v>1</v>
      </c>
      <c r="K601" s="5">
        <v>1</v>
      </c>
      <c r="L601" s="4">
        <v>500</v>
      </c>
      <c r="M601" s="4">
        <v>332</v>
      </c>
      <c r="N601" s="4">
        <v>225</v>
      </c>
      <c r="O601" s="6">
        <f t="shared" si="98"/>
        <v>0.32228915662650603</v>
      </c>
      <c r="P601" s="4" t="s">
        <v>2500</v>
      </c>
      <c r="Q601" s="4"/>
      <c r="R601" s="4"/>
      <c r="S601" s="4"/>
      <c r="T601" s="4"/>
      <c r="U601" s="4"/>
      <c r="V601" s="4"/>
      <c r="W601" s="4"/>
      <c r="X601" s="4"/>
      <c r="Y601" s="4">
        <v>500</v>
      </c>
      <c r="Z601" s="4">
        <f t="shared" si="99"/>
        <v>500</v>
      </c>
      <c r="AA601" s="4">
        <v>225</v>
      </c>
      <c r="AB601" s="4">
        <f t="shared" si="100"/>
        <v>225</v>
      </c>
      <c r="AC601" s="4"/>
      <c r="AD601" s="21">
        <f>ROUND(M601*AR601,0)</f>
        <v>332</v>
      </c>
      <c r="AE601" s="6">
        <f>1-AB601/AD601</f>
        <v>0.32228915662650603</v>
      </c>
      <c r="AF601" s="33">
        <v>0</v>
      </c>
      <c r="AG601" s="4">
        <f t="shared" si="101"/>
        <v>510</v>
      </c>
      <c r="AH601" s="33">
        <f t="shared" si="94"/>
        <v>510</v>
      </c>
      <c r="AI601" s="6">
        <f>1-AB601/AH601</f>
        <v>0.55882352941176472</v>
      </c>
      <c r="AJ601" s="7">
        <f>ROUND(AB601/0.65,0)</f>
        <v>346</v>
      </c>
      <c r="AK601" s="6">
        <f>1-AB601/AJ601</f>
        <v>0.3497109826589595</v>
      </c>
      <c r="AL601" s="4">
        <f>AJ601-AB601</f>
        <v>121</v>
      </c>
      <c r="AM601" s="28"/>
      <c r="AN601" s="6"/>
      <c r="AO601" s="6"/>
      <c r="AP601" s="6">
        <f>Z601/L601</f>
        <v>1</v>
      </c>
      <c r="AQ601" s="6">
        <f>AJ601/M601</f>
        <v>1.0421686746987953</v>
      </c>
      <c r="AR601" s="6">
        <f>AB601/N601</f>
        <v>1</v>
      </c>
      <c r="AS601" s="4"/>
      <c r="AT601" s="4"/>
      <c r="AU601" s="4"/>
      <c r="AV601" s="4"/>
      <c r="AW601" s="4"/>
      <c r="AX601" s="4"/>
      <c r="AY601" s="4"/>
      <c r="AZ601" s="4"/>
      <c r="BA601" s="4"/>
      <c r="BB601" s="4">
        <v>0</v>
      </c>
      <c r="BC601" s="4" t="s">
        <v>4084</v>
      </c>
      <c r="BD601" s="4">
        <v>1</v>
      </c>
      <c r="BE601" s="4">
        <v>3</v>
      </c>
      <c r="BF601" s="4" t="s">
        <v>3638</v>
      </c>
      <c r="BG601" s="4">
        <v>1530</v>
      </c>
      <c r="BH601" s="4">
        <v>1530</v>
      </c>
      <c r="BI601" s="4">
        <f t="shared" si="102"/>
        <v>510</v>
      </c>
      <c r="BJ601" s="19">
        <v>4</v>
      </c>
      <c r="BK601" s="19">
        <v>8</v>
      </c>
      <c r="BL601" s="16">
        <v>6</v>
      </c>
      <c r="BM601" s="45" t="s">
        <v>3534</v>
      </c>
      <c r="BN601" t="s">
        <v>3534</v>
      </c>
      <c r="BO601" t="str">
        <f t="shared" si="95"/>
        <v>-</v>
      </c>
      <c r="BP601" t="s">
        <v>3534</v>
      </c>
      <c r="BQ601">
        <v>347</v>
      </c>
      <c r="BR601">
        <f t="shared" si="96"/>
        <v>347</v>
      </c>
      <c r="BS601" t="s">
        <v>2970</v>
      </c>
    </row>
    <row r="602" spans="1:71" x14ac:dyDescent="0.4">
      <c r="A602" s="3">
        <v>599</v>
      </c>
      <c r="B602" s="3">
        <v>599</v>
      </c>
      <c r="C602" s="4" t="s">
        <v>661</v>
      </c>
      <c r="D602" s="4" t="str">
        <f t="shared" si="97"/>
        <v>J544WE</v>
      </c>
      <c r="E602" s="4" t="s">
        <v>661</v>
      </c>
      <c r="F602" s="4" t="s">
        <v>1879</v>
      </c>
      <c r="G602" s="5">
        <v>4521718190976</v>
      </c>
      <c r="H602" s="5"/>
      <c r="I602" s="5"/>
      <c r="J602" s="5">
        <v>1</v>
      </c>
      <c r="K602" s="5">
        <v>1</v>
      </c>
      <c r="L602" s="4">
        <v>1140</v>
      </c>
      <c r="M602" s="4">
        <v>910</v>
      </c>
      <c r="N602" s="4">
        <v>510</v>
      </c>
      <c r="O602" s="6">
        <f t="shared" si="98"/>
        <v>0.43956043956043955</v>
      </c>
      <c r="P602" s="4" t="s">
        <v>2500</v>
      </c>
      <c r="Q602" s="4"/>
      <c r="R602" s="4"/>
      <c r="S602" s="4"/>
      <c r="T602" s="4"/>
      <c r="U602" s="4"/>
      <c r="V602" s="4"/>
      <c r="W602" s="4"/>
      <c r="X602" s="4"/>
      <c r="Y602" s="4">
        <v>728</v>
      </c>
      <c r="Z602" s="4">
        <f t="shared" si="99"/>
        <v>728</v>
      </c>
      <c r="AA602" s="4">
        <v>510</v>
      </c>
      <c r="AB602" s="4">
        <f t="shared" si="100"/>
        <v>510</v>
      </c>
      <c r="AC602" s="4"/>
      <c r="AD602" s="21">
        <f>ROUND(M602*AR602,0)</f>
        <v>910</v>
      </c>
      <c r="AE602" s="6">
        <f>1-AB602/AD602</f>
        <v>0.43956043956043955</v>
      </c>
      <c r="AF602" s="33">
        <v>0</v>
      </c>
      <c r="AG602" s="4">
        <f t="shared" si="101"/>
        <v>1140</v>
      </c>
      <c r="AH602" s="33">
        <f t="shared" si="94"/>
        <v>1140</v>
      </c>
      <c r="AI602" s="6">
        <f>1-AB602/AH602</f>
        <v>0.55263157894736836</v>
      </c>
      <c r="AJ602" s="7">
        <v>728</v>
      </c>
      <c r="AK602" s="6">
        <f>1-AB602/AJ602</f>
        <v>0.2994505494505495</v>
      </c>
      <c r="AL602" s="4">
        <f>AJ602-AB602</f>
        <v>218</v>
      </c>
      <c r="AM602" s="28"/>
      <c r="AN602" s="6"/>
      <c r="AO602" s="6"/>
      <c r="AP602" s="6">
        <f>Z602/L602</f>
        <v>0.63859649122807016</v>
      </c>
      <c r="AQ602" s="6">
        <f>AJ602/M602</f>
        <v>0.8</v>
      </c>
      <c r="AR602" s="6">
        <f>AB602/N602</f>
        <v>1</v>
      </c>
      <c r="AS602" s="4"/>
      <c r="AT602" s="4"/>
      <c r="AU602" s="4"/>
      <c r="AV602" s="4"/>
      <c r="AW602" s="4"/>
      <c r="AX602" s="4"/>
      <c r="AY602" s="4"/>
      <c r="AZ602" s="4"/>
      <c r="BA602" s="4"/>
      <c r="BB602" s="4">
        <v>0</v>
      </c>
      <c r="BC602" s="4" t="s">
        <v>4085</v>
      </c>
      <c r="BD602" s="4">
        <v>1</v>
      </c>
      <c r="BE602" s="4">
        <v>2</v>
      </c>
      <c r="BF602" s="4" t="s">
        <v>3631</v>
      </c>
      <c r="BG602" s="4">
        <v>2280</v>
      </c>
      <c r="BH602" s="4">
        <v>2280</v>
      </c>
      <c r="BI602" s="4">
        <f t="shared" si="102"/>
        <v>1140</v>
      </c>
      <c r="BJ602" s="19">
        <v>4</v>
      </c>
      <c r="BK602" s="19">
        <v>8</v>
      </c>
      <c r="BL602" s="16">
        <v>6</v>
      </c>
      <c r="BM602" s="45" t="s">
        <v>3534</v>
      </c>
      <c r="BN602" t="s">
        <v>3534</v>
      </c>
      <c r="BO602" t="str">
        <f t="shared" si="95"/>
        <v>-</v>
      </c>
      <c r="BP602" t="s">
        <v>3534</v>
      </c>
      <c r="BQ602">
        <v>1083</v>
      </c>
      <c r="BR602">
        <f t="shared" si="96"/>
        <v>1083</v>
      </c>
      <c r="BS602" t="s">
        <v>2971</v>
      </c>
    </row>
    <row r="603" spans="1:71" x14ac:dyDescent="0.4">
      <c r="A603" s="3">
        <v>600</v>
      </c>
      <c r="B603" s="3">
        <v>600</v>
      </c>
      <c r="C603" s="4" t="s">
        <v>662</v>
      </c>
      <c r="D603" s="4" t="str">
        <f t="shared" si="97"/>
        <v>J546WE</v>
      </c>
      <c r="E603" s="4" t="s">
        <v>662</v>
      </c>
      <c r="F603" s="4" t="s">
        <v>1880</v>
      </c>
      <c r="G603" s="5">
        <v>4521718190990</v>
      </c>
      <c r="H603" s="5"/>
      <c r="I603" s="5"/>
      <c r="J603" s="5">
        <v>1</v>
      </c>
      <c r="K603" s="5">
        <v>1</v>
      </c>
      <c r="L603" s="4">
        <v>1140</v>
      </c>
      <c r="M603" s="4">
        <v>910</v>
      </c>
      <c r="N603" s="4">
        <v>510</v>
      </c>
      <c r="O603" s="6">
        <f t="shared" si="98"/>
        <v>0.43956043956043955</v>
      </c>
      <c r="P603" s="4" t="s">
        <v>2500</v>
      </c>
      <c r="Q603" s="4"/>
      <c r="R603" s="4"/>
      <c r="S603" s="4"/>
      <c r="T603" s="4"/>
      <c r="U603" s="4"/>
      <c r="V603" s="4"/>
      <c r="W603" s="4"/>
      <c r="X603" s="4"/>
      <c r="Y603" s="4">
        <v>728</v>
      </c>
      <c r="Z603" s="4">
        <f t="shared" si="99"/>
        <v>728</v>
      </c>
      <c r="AA603" s="4">
        <v>510</v>
      </c>
      <c r="AB603" s="4">
        <f t="shared" si="100"/>
        <v>510</v>
      </c>
      <c r="AC603" s="4"/>
      <c r="AD603" s="21">
        <f>ROUND(M603*AR603,0)</f>
        <v>910</v>
      </c>
      <c r="AE603" s="6">
        <f>1-AB603/AD603</f>
        <v>0.43956043956043955</v>
      </c>
      <c r="AF603" s="33">
        <v>0</v>
      </c>
      <c r="AG603" s="4">
        <f t="shared" si="101"/>
        <v>1140</v>
      </c>
      <c r="AH603" s="33">
        <f t="shared" si="94"/>
        <v>1140</v>
      </c>
      <c r="AI603" s="6">
        <f>1-AB603/AH603</f>
        <v>0.55263157894736836</v>
      </c>
      <c r="AJ603" s="7">
        <v>728</v>
      </c>
      <c r="AK603" s="6">
        <f>1-AB603/AJ603</f>
        <v>0.2994505494505495</v>
      </c>
      <c r="AL603" s="4">
        <f>AJ603-AB603</f>
        <v>218</v>
      </c>
      <c r="AM603" s="28"/>
      <c r="AN603" s="6"/>
      <c r="AO603" s="6"/>
      <c r="AP603" s="6">
        <f>Z603/L603</f>
        <v>0.63859649122807016</v>
      </c>
      <c r="AQ603" s="6">
        <f>AJ603/M603</f>
        <v>0.8</v>
      </c>
      <c r="AR603" s="6">
        <f>AB603/N603</f>
        <v>1</v>
      </c>
      <c r="AS603" s="4"/>
      <c r="AT603" s="4"/>
      <c r="AU603" s="4"/>
      <c r="AV603" s="4"/>
      <c r="AW603" s="4"/>
      <c r="AX603" s="4"/>
      <c r="AY603" s="4"/>
      <c r="AZ603" s="4"/>
      <c r="BA603" s="4"/>
      <c r="BB603" s="4">
        <v>0</v>
      </c>
      <c r="BC603" s="4" t="s">
        <v>4086</v>
      </c>
      <c r="BD603" s="4">
        <v>1</v>
      </c>
      <c r="BE603" s="4">
        <v>2</v>
      </c>
      <c r="BF603" s="4" t="s">
        <v>3631</v>
      </c>
      <c r="BG603" s="4">
        <v>2280</v>
      </c>
      <c r="BH603" s="4">
        <v>2280</v>
      </c>
      <c r="BI603" s="4">
        <f t="shared" si="102"/>
        <v>1140</v>
      </c>
      <c r="BJ603" s="19">
        <v>4</v>
      </c>
      <c r="BK603" s="19">
        <v>8</v>
      </c>
      <c r="BL603" s="16">
        <v>6</v>
      </c>
      <c r="BM603" s="45" t="s">
        <v>3534</v>
      </c>
      <c r="BN603" t="s">
        <v>3534</v>
      </c>
      <c r="BO603" t="str">
        <f t="shared" si="95"/>
        <v>-</v>
      </c>
      <c r="BP603" t="s">
        <v>3534</v>
      </c>
      <c r="BQ603">
        <v>1083</v>
      </c>
      <c r="BR603">
        <f t="shared" si="96"/>
        <v>1083</v>
      </c>
      <c r="BS603" t="s">
        <v>2972</v>
      </c>
    </row>
    <row r="604" spans="1:71" x14ac:dyDescent="0.4">
      <c r="A604" s="3">
        <v>601</v>
      </c>
      <c r="B604" s="3">
        <v>601</v>
      </c>
      <c r="C604" s="4" t="s">
        <v>663</v>
      </c>
      <c r="D604" s="4" t="str">
        <f t="shared" si="97"/>
        <v>J545WE</v>
      </c>
      <c r="E604" s="4" t="s">
        <v>663</v>
      </c>
      <c r="F604" s="4" t="s">
        <v>1881</v>
      </c>
      <c r="G604" s="5">
        <v>4521718190983</v>
      </c>
      <c r="H604" s="5"/>
      <c r="I604" s="5"/>
      <c r="J604" s="5">
        <v>1</v>
      </c>
      <c r="K604" s="5">
        <v>1</v>
      </c>
      <c r="L604" s="4">
        <v>1140</v>
      </c>
      <c r="M604" s="4">
        <v>910</v>
      </c>
      <c r="N604" s="4">
        <v>510</v>
      </c>
      <c r="O604" s="6">
        <f t="shared" si="98"/>
        <v>0.43956043956043955</v>
      </c>
      <c r="P604" s="4" t="s">
        <v>2500</v>
      </c>
      <c r="Q604" s="4"/>
      <c r="R604" s="4"/>
      <c r="S604" s="4"/>
      <c r="T604" s="4"/>
      <c r="U604" s="4"/>
      <c r="V604" s="4"/>
      <c r="W604" s="4"/>
      <c r="X604" s="4"/>
      <c r="Y604" s="4">
        <v>728</v>
      </c>
      <c r="Z604" s="4">
        <f t="shared" si="99"/>
        <v>728</v>
      </c>
      <c r="AA604" s="4">
        <v>510</v>
      </c>
      <c r="AB604" s="4">
        <f t="shared" si="100"/>
        <v>510</v>
      </c>
      <c r="AC604" s="4"/>
      <c r="AD604" s="21">
        <f>ROUND(M604*AR604,0)</f>
        <v>910</v>
      </c>
      <c r="AE604" s="6">
        <f>1-AB604/AD604</f>
        <v>0.43956043956043955</v>
      </c>
      <c r="AF604" s="33">
        <v>0</v>
      </c>
      <c r="AG604" s="4">
        <f t="shared" si="101"/>
        <v>1140</v>
      </c>
      <c r="AH604" s="33">
        <f t="shared" si="94"/>
        <v>1140</v>
      </c>
      <c r="AI604" s="6">
        <f>1-AB604/AH604</f>
        <v>0.55263157894736836</v>
      </c>
      <c r="AJ604" s="7">
        <v>728</v>
      </c>
      <c r="AK604" s="6">
        <f>1-AB604/AJ604</f>
        <v>0.2994505494505495</v>
      </c>
      <c r="AL604" s="4">
        <f>AJ604-AB604</f>
        <v>218</v>
      </c>
      <c r="AM604" s="28"/>
      <c r="AN604" s="6"/>
      <c r="AO604" s="6"/>
      <c r="AP604" s="6">
        <f>Z604/L604</f>
        <v>0.63859649122807016</v>
      </c>
      <c r="AQ604" s="6">
        <f>AJ604/M604</f>
        <v>0.8</v>
      </c>
      <c r="AR604" s="6">
        <f>AB604/N604</f>
        <v>1</v>
      </c>
      <c r="AS604" s="4"/>
      <c r="AT604" s="4"/>
      <c r="AU604" s="4"/>
      <c r="AV604" s="4"/>
      <c r="AW604" s="4"/>
      <c r="AX604" s="4"/>
      <c r="AY604" s="4"/>
      <c r="AZ604" s="4"/>
      <c r="BA604" s="4"/>
      <c r="BB604" s="4">
        <v>0</v>
      </c>
      <c r="BC604" s="4" t="s">
        <v>4087</v>
      </c>
      <c r="BD604" s="4">
        <v>1</v>
      </c>
      <c r="BE604" s="4">
        <v>2</v>
      </c>
      <c r="BF604" s="4" t="s">
        <v>3631</v>
      </c>
      <c r="BG604" s="4">
        <v>2280</v>
      </c>
      <c r="BH604" s="4">
        <v>2280</v>
      </c>
      <c r="BI604" s="4">
        <f t="shared" si="102"/>
        <v>1140</v>
      </c>
      <c r="BJ604" s="19">
        <v>4</v>
      </c>
      <c r="BK604" s="19">
        <v>8</v>
      </c>
      <c r="BL604" s="16">
        <v>6</v>
      </c>
      <c r="BM604" s="45" t="s">
        <v>3534</v>
      </c>
      <c r="BN604" t="s">
        <v>3534</v>
      </c>
      <c r="BO604" t="str">
        <f t="shared" si="95"/>
        <v>-</v>
      </c>
      <c r="BP604" t="s">
        <v>3534</v>
      </c>
      <c r="BQ604">
        <v>1083</v>
      </c>
      <c r="BR604">
        <f t="shared" si="96"/>
        <v>1083</v>
      </c>
      <c r="BS604" t="s">
        <v>2973</v>
      </c>
    </row>
    <row r="605" spans="1:71" x14ac:dyDescent="0.4">
      <c r="A605" s="3">
        <v>602</v>
      </c>
      <c r="B605" s="3">
        <v>602</v>
      </c>
      <c r="C605" s="4" t="s">
        <v>664</v>
      </c>
      <c r="D605" s="4" t="str">
        <f t="shared" si="97"/>
        <v>J548WE</v>
      </c>
      <c r="E605" s="4" t="s">
        <v>664</v>
      </c>
      <c r="F605" s="4" t="s">
        <v>1882</v>
      </c>
      <c r="G605" s="5">
        <v>4521718191393</v>
      </c>
      <c r="H605" s="5"/>
      <c r="I605" s="5"/>
      <c r="J605" s="5">
        <v>1</v>
      </c>
      <c r="K605" s="5">
        <v>1</v>
      </c>
      <c r="L605" s="4">
        <v>460</v>
      </c>
      <c r="M605" s="4">
        <v>370</v>
      </c>
      <c r="N605" s="4">
        <v>204</v>
      </c>
      <c r="O605" s="6">
        <f t="shared" si="98"/>
        <v>0.44864864864864862</v>
      </c>
      <c r="P605" s="4" t="s">
        <v>2500</v>
      </c>
      <c r="Q605" s="4"/>
      <c r="R605" s="4"/>
      <c r="S605" s="4"/>
      <c r="T605" s="4"/>
      <c r="U605" s="4"/>
      <c r="V605" s="4"/>
      <c r="W605" s="4"/>
      <c r="X605" s="4"/>
      <c r="Y605" s="4">
        <v>291</v>
      </c>
      <c r="Z605" s="4">
        <f t="shared" si="99"/>
        <v>291</v>
      </c>
      <c r="AA605" s="4">
        <v>204</v>
      </c>
      <c r="AB605" s="4">
        <f t="shared" si="100"/>
        <v>204</v>
      </c>
      <c r="AC605" s="4"/>
      <c r="AD605" s="21">
        <f>ROUND(M605*AR605,0)</f>
        <v>370</v>
      </c>
      <c r="AE605" s="6">
        <f>1-AB605/AD605</f>
        <v>0.44864864864864862</v>
      </c>
      <c r="AF605" s="33">
        <v>0</v>
      </c>
      <c r="AG605" s="4">
        <f t="shared" si="101"/>
        <v>460</v>
      </c>
      <c r="AH605" s="33">
        <f t="shared" si="94"/>
        <v>460</v>
      </c>
      <c r="AI605" s="6">
        <f>1-AB605/AH605</f>
        <v>0.55652173913043479</v>
      </c>
      <c r="AJ605" s="7">
        <v>291</v>
      </c>
      <c r="AK605" s="6">
        <f>1-AB605/AJ605</f>
        <v>0.2989690721649485</v>
      </c>
      <c r="AL605" s="4">
        <f>AJ605-AB605</f>
        <v>87</v>
      </c>
      <c r="AM605" s="28"/>
      <c r="AN605" s="6"/>
      <c r="AO605" s="6"/>
      <c r="AP605" s="6">
        <f>Z605/L605</f>
        <v>0.63260869565217392</v>
      </c>
      <c r="AQ605" s="6">
        <f>AJ605/M605</f>
        <v>0.78648648648648645</v>
      </c>
      <c r="AR605" s="6">
        <f>AB605/N605</f>
        <v>1</v>
      </c>
      <c r="AS605" s="4"/>
      <c r="AT605" s="4"/>
      <c r="AU605" s="4"/>
      <c r="AV605" s="4"/>
      <c r="AW605" s="4"/>
      <c r="AX605" s="4"/>
      <c r="AY605" s="4"/>
      <c r="AZ605" s="4"/>
      <c r="BA605" s="4"/>
      <c r="BB605" s="4">
        <v>0</v>
      </c>
      <c r="BC605" s="4" t="s">
        <v>4088</v>
      </c>
      <c r="BD605" s="4">
        <v>1</v>
      </c>
      <c r="BE605" s="4">
        <v>4</v>
      </c>
      <c r="BF605" s="4" t="s">
        <v>3741</v>
      </c>
      <c r="BG605" s="4">
        <v>1840</v>
      </c>
      <c r="BH605" s="4">
        <v>1840</v>
      </c>
      <c r="BI605" s="4">
        <f t="shared" si="102"/>
        <v>460</v>
      </c>
      <c r="BJ605" s="19">
        <v>4</v>
      </c>
      <c r="BK605" s="19">
        <v>8</v>
      </c>
      <c r="BL605" s="16">
        <v>6</v>
      </c>
      <c r="BM605" s="45" t="s">
        <v>3534</v>
      </c>
      <c r="BN605" t="s">
        <v>3534</v>
      </c>
      <c r="BO605" t="str">
        <f t="shared" si="95"/>
        <v>-</v>
      </c>
      <c r="BP605" t="s">
        <v>3534</v>
      </c>
      <c r="BQ605">
        <v>437</v>
      </c>
      <c r="BR605">
        <f t="shared" si="96"/>
        <v>437</v>
      </c>
      <c r="BS605" t="s">
        <v>2974</v>
      </c>
    </row>
    <row r="606" spans="1:71" x14ac:dyDescent="0.4">
      <c r="A606" s="3">
        <v>603</v>
      </c>
      <c r="B606" s="3">
        <v>603</v>
      </c>
      <c r="C606" s="4" t="s">
        <v>665</v>
      </c>
      <c r="D606" s="4" t="str">
        <f t="shared" si="97"/>
        <v>J547WE</v>
      </c>
      <c r="E606" s="4" t="s">
        <v>665</v>
      </c>
      <c r="F606" s="4" t="s">
        <v>1883</v>
      </c>
      <c r="G606" s="5">
        <v>4521718191386</v>
      </c>
      <c r="H606" s="5"/>
      <c r="I606" s="5"/>
      <c r="J606" s="5">
        <v>1</v>
      </c>
      <c r="K606" s="5">
        <v>1</v>
      </c>
      <c r="L606" s="4">
        <v>460</v>
      </c>
      <c r="M606" s="4">
        <v>370</v>
      </c>
      <c r="N606" s="4">
        <v>204</v>
      </c>
      <c r="O606" s="6">
        <f t="shared" si="98"/>
        <v>0.44864864864864862</v>
      </c>
      <c r="P606" s="4" t="s">
        <v>2500</v>
      </c>
      <c r="Q606" s="4"/>
      <c r="R606" s="4"/>
      <c r="S606" s="4"/>
      <c r="T606" s="4"/>
      <c r="U606" s="4"/>
      <c r="V606" s="4"/>
      <c r="W606" s="4"/>
      <c r="X606" s="4"/>
      <c r="Y606" s="4">
        <v>291</v>
      </c>
      <c r="Z606" s="4">
        <f t="shared" si="99"/>
        <v>291</v>
      </c>
      <c r="AA606" s="4">
        <v>204</v>
      </c>
      <c r="AB606" s="4">
        <f t="shared" si="100"/>
        <v>204</v>
      </c>
      <c r="AC606" s="4"/>
      <c r="AD606" s="21">
        <f>ROUND(M606*AR606,0)</f>
        <v>370</v>
      </c>
      <c r="AE606" s="6">
        <f>1-AB606/AD606</f>
        <v>0.44864864864864862</v>
      </c>
      <c r="AF606" s="33">
        <v>0</v>
      </c>
      <c r="AG606" s="4">
        <f t="shared" si="101"/>
        <v>460</v>
      </c>
      <c r="AH606" s="33">
        <f t="shared" si="94"/>
        <v>460</v>
      </c>
      <c r="AI606" s="6">
        <f>1-AB606/AH606</f>
        <v>0.55652173913043479</v>
      </c>
      <c r="AJ606" s="7">
        <v>291</v>
      </c>
      <c r="AK606" s="6">
        <f>1-AB606/AJ606</f>
        <v>0.2989690721649485</v>
      </c>
      <c r="AL606" s="4">
        <f>AJ606-AB606</f>
        <v>87</v>
      </c>
      <c r="AM606" s="28"/>
      <c r="AN606" s="6"/>
      <c r="AO606" s="6"/>
      <c r="AP606" s="6">
        <f>Z606/L606</f>
        <v>0.63260869565217392</v>
      </c>
      <c r="AQ606" s="6">
        <f>AJ606/M606</f>
        <v>0.78648648648648645</v>
      </c>
      <c r="AR606" s="6">
        <f>AB606/N606</f>
        <v>1</v>
      </c>
      <c r="AS606" s="4"/>
      <c r="AT606" s="4"/>
      <c r="AU606" s="4"/>
      <c r="AV606" s="4"/>
      <c r="AW606" s="4"/>
      <c r="AX606" s="4"/>
      <c r="AY606" s="4"/>
      <c r="AZ606" s="4"/>
      <c r="BA606" s="4"/>
      <c r="BB606" s="4">
        <v>0</v>
      </c>
      <c r="BC606" s="4" t="s">
        <v>4089</v>
      </c>
      <c r="BD606" s="4">
        <v>1</v>
      </c>
      <c r="BE606" s="4">
        <v>4</v>
      </c>
      <c r="BF606" s="4" t="s">
        <v>3741</v>
      </c>
      <c r="BG606" s="4">
        <v>1840</v>
      </c>
      <c r="BH606" s="4">
        <v>1840</v>
      </c>
      <c r="BI606" s="4">
        <f t="shared" si="102"/>
        <v>460</v>
      </c>
      <c r="BJ606" s="19">
        <v>4</v>
      </c>
      <c r="BK606" s="19">
        <v>8</v>
      </c>
      <c r="BL606" s="16">
        <v>6</v>
      </c>
      <c r="BM606" s="45" t="s">
        <v>3534</v>
      </c>
      <c r="BN606" t="s">
        <v>3534</v>
      </c>
      <c r="BO606" t="str">
        <f t="shared" si="95"/>
        <v>-</v>
      </c>
      <c r="BP606" t="s">
        <v>3534</v>
      </c>
      <c r="BQ606">
        <v>437</v>
      </c>
      <c r="BR606">
        <f t="shared" si="96"/>
        <v>437</v>
      </c>
      <c r="BS606" t="s">
        <v>2975</v>
      </c>
    </row>
    <row r="607" spans="1:71" x14ac:dyDescent="0.4">
      <c r="A607" s="3">
        <v>604</v>
      </c>
      <c r="B607" s="3">
        <v>604</v>
      </c>
      <c r="C607" s="4" t="s">
        <v>666</v>
      </c>
      <c r="D607" s="4" t="str">
        <f t="shared" si="97"/>
        <v>J549WE</v>
      </c>
      <c r="E607" s="4" t="s">
        <v>666</v>
      </c>
      <c r="F607" s="4" t="s">
        <v>1884</v>
      </c>
      <c r="G607" s="5">
        <v>4521718191409</v>
      </c>
      <c r="H607" s="5"/>
      <c r="I607" s="5"/>
      <c r="J607" s="5">
        <v>1</v>
      </c>
      <c r="K607" s="5">
        <v>1</v>
      </c>
      <c r="L607" s="4">
        <v>460</v>
      </c>
      <c r="M607" s="4">
        <v>370</v>
      </c>
      <c r="N607" s="4">
        <v>204</v>
      </c>
      <c r="O607" s="6">
        <f t="shared" si="98"/>
        <v>0.44864864864864862</v>
      </c>
      <c r="P607" s="4" t="s">
        <v>2500</v>
      </c>
      <c r="Q607" s="4"/>
      <c r="R607" s="4"/>
      <c r="S607" s="4"/>
      <c r="T607" s="4"/>
      <c r="U607" s="4"/>
      <c r="V607" s="4"/>
      <c r="W607" s="4"/>
      <c r="X607" s="4"/>
      <c r="Y607" s="4">
        <v>291</v>
      </c>
      <c r="Z607" s="4">
        <f t="shared" si="99"/>
        <v>291</v>
      </c>
      <c r="AA607" s="4">
        <v>204</v>
      </c>
      <c r="AB607" s="4">
        <f t="shared" si="100"/>
        <v>204</v>
      </c>
      <c r="AC607" s="4"/>
      <c r="AD607" s="21">
        <f>ROUND(M607*AR607,0)</f>
        <v>370</v>
      </c>
      <c r="AE607" s="6">
        <f>1-AB607/AD607</f>
        <v>0.44864864864864862</v>
      </c>
      <c r="AF607" s="33">
        <v>1</v>
      </c>
      <c r="AG607" s="4">
        <f t="shared" si="101"/>
        <v>460</v>
      </c>
      <c r="AH607" s="33">
        <f t="shared" si="94"/>
        <v>460</v>
      </c>
      <c r="AI607" s="6">
        <f>1-AB607/AH607</f>
        <v>0.55652173913043479</v>
      </c>
      <c r="AJ607" s="7">
        <v>291</v>
      </c>
      <c r="AK607" s="6">
        <f>1-AB607/AJ607</f>
        <v>0.2989690721649485</v>
      </c>
      <c r="AL607" s="4">
        <f>AJ607-AB607</f>
        <v>87</v>
      </c>
      <c r="AM607" s="28"/>
      <c r="AN607" s="6"/>
      <c r="AO607" s="6"/>
      <c r="AP607" s="6">
        <f>Z607/L607</f>
        <v>0.63260869565217392</v>
      </c>
      <c r="AQ607" s="6">
        <f>AJ607/M607</f>
        <v>0.78648648648648645</v>
      </c>
      <c r="AR607" s="6">
        <f>AB607/N607</f>
        <v>1</v>
      </c>
      <c r="AS607" s="4"/>
      <c r="AT607" s="4"/>
      <c r="AU607" s="4"/>
      <c r="AV607" s="4"/>
      <c r="AW607" s="4"/>
      <c r="AX607" s="4"/>
      <c r="AY607" s="4"/>
      <c r="AZ607" s="4"/>
      <c r="BA607" s="4"/>
      <c r="BB607" s="4">
        <v>0</v>
      </c>
      <c r="BC607" s="4" t="s">
        <v>4090</v>
      </c>
      <c r="BD607" s="4">
        <v>1</v>
      </c>
      <c r="BE607" s="4">
        <v>4</v>
      </c>
      <c r="BF607" s="4" t="s">
        <v>3741</v>
      </c>
      <c r="BG607" s="4">
        <v>1840</v>
      </c>
      <c r="BH607" s="4">
        <v>1840</v>
      </c>
      <c r="BI607" s="4">
        <f t="shared" si="102"/>
        <v>460</v>
      </c>
      <c r="BJ607" s="19">
        <v>4</v>
      </c>
      <c r="BK607" s="19">
        <v>8</v>
      </c>
      <c r="BL607" s="16">
        <v>6</v>
      </c>
      <c r="BM607" s="45" t="s">
        <v>3534</v>
      </c>
      <c r="BN607" t="s">
        <v>3534</v>
      </c>
      <c r="BO607" t="str">
        <f t="shared" si="95"/>
        <v>-</v>
      </c>
      <c r="BP607" t="s">
        <v>3534</v>
      </c>
      <c r="BQ607">
        <v>437</v>
      </c>
      <c r="BR607">
        <f t="shared" si="96"/>
        <v>437</v>
      </c>
      <c r="BS607" t="s">
        <v>2976</v>
      </c>
    </row>
    <row r="608" spans="1:71" x14ac:dyDescent="0.4">
      <c r="A608" s="3">
        <v>605</v>
      </c>
      <c r="B608" s="3">
        <v>605</v>
      </c>
      <c r="C608" s="4" t="s">
        <v>667</v>
      </c>
      <c r="D608" s="4" t="str">
        <f t="shared" si="97"/>
        <v>J550WE</v>
      </c>
      <c r="E608" s="4" t="s">
        <v>667</v>
      </c>
      <c r="F608" s="4" t="s">
        <v>1885</v>
      </c>
      <c r="G608" s="5">
        <v>4521718191416</v>
      </c>
      <c r="H608" s="5"/>
      <c r="I608" s="5"/>
      <c r="J608" s="5">
        <v>1</v>
      </c>
      <c r="K608" s="5">
        <v>1</v>
      </c>
      <c r="L608" s="4">
        <v>460</v>
      </c>
      <c r="M608" s="4">
        <v>370</v>
      </c>
      <c r="N608" s="4">
        <v>204</v>
      </c>
      <c r="O608" s="6">
        <f t="shared" si="98"/>
        <v>0.44864864864864862</v>
      </c>
      <c r="P608" s="4" t="s">
        <v>2500</v>
      </c>
      <c r="Q608" s="4"/>
      <c r="R608" s="4"/>
      <c r="S608" s="4"/>
      <c r="T608" s="4"/>
      <c r="U608" s="4"/>
      <c r="V608" s="4"/>
      <c r="W608" s="4"/>
      <c r="X608" s="4"/>
      <c r="Y608" s="4">
        <v>291</v>
      </c>
      <c r="Z608" s="4">
        <f t="shared" si="99"/>
        <v>291</v>
      </c>
      <c r="AA608" s="4">
        <v>204</v>
      </c>
      <c r="AB608" s="4">
        <f t="shared" si="100"/>
        <v>204</v>
      </c>
      <c r="AC608" s="4"/>
      <c r="AD608" s="21">
        <f>ROUND(M608*AR608,0)</f>
        <v>370</v>
      </c>
      <c r="AE608" s="6">
        <f>1-AB608/AD608</f>
        <v>0.44864864864864862</v>
      </c>
      <c r="AF608" s="33">
        <v>0</v>
      </c>
      <c r="AG608" s="4">
        <f t="shared" si="101"/>
        <v>460</v>
      </c>
      <c r="AH608" s="33">
        <f t="shared" si="94"/>
        <v>460</v>
      </c>
      <c r="AI608" s="6">
        <f>1-AB608/AH608</f>
        <v>0.55652173913043479</v>
      </c>
      <c r="AJ608" s="7">
        <v>291</v>
      </c>
      <c r="AK608" s="6">
        <f>1-AB608/AJ608</f>
        <v>0.2989690721649485</v>
      </c>
      <c r="AL608" s="4">
        <f>AJ608-AB608</f>
        <v>87</v>
      </c>
      <c r="AM608" s="28"/>
      <c r="AN608" s="6"/>
      <c r="AO608" s="6"/>
      <c r="AP608" s="6">
        <f>Z608/L608</f>
        <v>0.63260869565217392</v>
      </c>
      <c r="AQ608" s="6">
        <f>AJ608/M608</f>
        <v>0.78648648648648645</v>
      </c>
      <c r="AR608" s="6">
        <f>AB608/N608</f>
        <v>1</v>
      </c>
      <c r="AS608" s="4"/>
      <c r="AT608" s="4"/>
      <c r="AU608" s="4"/>
      <c r="AV608" s="4"/>
      <c r="AW608" s="4"/>
      <c r="AX608" s="4"/>
      <c r="AY608" s="4"/>
      <c r="AZ608" s="4"/>
      <c r="BA608" s="4"/>
      <c r="BB608" s="4">
        <v>0</v>
      </c>
      <c r="BC608" s="4" t="s">
        <v>4091</v>
      </c>
      <c r="BD608" s="4">
        <v>1</v>
      </c>
      <c r="BE608" s="4">
        <v>4</v>
      </c>
      <c r="BF608" s="4" t="s">
        <v>3741</v>
      </c>
      <c r="BG608" s="4">
        <v>1840</v>
      </c>
      <c r="BH608" s="4">
        <v>1840</v>
      </c>
      <c r="BI608" s="4">
        <f t="shared" si="102"/>
        <v>460</v>
      </c>
      <c r="BJ608" s="19">
        <v>4</v>
      </c>
      <c r="BK608" s="19">
        <v>8</v>
      </c>
      <c r="BL608" s="16">
        <v>6</v>
      </c>
      <c r="BM608" s="45" t="s">
        <v>3534</v>
      </c>
      <c r="BN608" t="s">
        <v>3534</v>
      </c>
      <c r="BO608" t="str">
        <f t="shared" si="95"/>
        <v>-</v>
      </c>
      <c r="BP608" t="s">
        <v>3534</v>
      </c>
      <c r="BQ608">
        <v>437</v>
      </c>
      <c r="BR608">
        <f t="shared" si="96"/>
        <v>437</v>
      </c>
      <c r="BS608" t="s">
        <v>2977</v>
      </c>
    </row>
    <row r="609" spans="1:71" x14ac:dyDescent="0.4">
      <c r="A609" s="3">
        <v>606</v>
      </c>
      <c r="B609" s="3">
        <v>606</v>
      </c>
      <c r="C609" s="4" t="s">
        <v>668</v>
      </c>
      <c r="D609" s="4" t="str">
        <f t="shared" si="97"/>
        <v>J551RR</v>
      </c>
      <c r="E609" s="4" t="s">
        <v>668</v>
      </c>
      <c r="F609" s="4" t="s">
        <v>1886</v>
      </c>
      <c r="G609" s="5">
        <v>4521718095011</v>
      </c>
      <c r="H609" s="5"/>
      <c r="I609" s="5"/>
      <c r="J609" s="5">
        <v>1</v>
      </c>
      <c r="K609" s="5">
        <v>1</v>
      </c>
      <c r="L609" s="4">
        <v>270</v>
      </c>
      <c r="M609" s="4">
        <v>176</v>
      </c>
      <c r="N609" s="4">
        <v>121</v>
      </c>
      <c r="O609" s="6">
        <f t="shared" si="98"/>
        <v>0.3125</v>
      </c>
      <c r="P609" s="4" t="s">
        <v>2500</v>
      </c>
      <c r="Q609" s="4"/>
      <c r="R609" s="4"/>
      <c r="S609" s="4"/>
      <c r="T609" s="4"/>
      <c r="U609" s="4"/>
      <c r="V609" s="4"/>
      <c r="W609" s="4"/>
      <c r="X609" s="4"/>
      <c r="Y609" s="4">
        <v>173</v>
      </c>
      <c r="Z609" s="4">
        <f t="shared" si="99"/>
        <v>173</v>
      </c>
      <c r="AA609" s="4">
        <v>121</v>
      </c>
      <c r="AB609" s="4">
        <f t="shared" si="100"/>
        <v>121</v>
      </c>
      <c r="AC609" s="4"/>
      <c r="AD609" s="21">
        <f>ROUND(M609*AR609,0)</f>
        <v>176</v>
      </c>
      <c r="AE609" s="6">
        <f>1-AB609/AD609</f>
        <v>0.3125</v>
      </c>
      <c r="AF609" s="33">
        <v>0</v>
      </c>
      <c r="AG609" s="4">
        <f t="shared" si="101"/>
        <v>410</v>
      </c>
      <c r="AH609" s="33">
        <f t="shared" si="94"/>
        <v>410</v>
      </c>
      <c r="AI609" s="6">
        <f>1-AB609/AH609</f>
        <v>0.70487804878048776</v>
      </c>
      <c r="AJ609" s="7">
        <v>173</v>
      </c>
      <c r="AK609" s="6">
        <f>1-AB609/AJ609</f>
        <v>0.30057803468208089</v>
      </c>
      <c r="AL609" s="4">
        <f>AJ609-AB609</f>
        <v>52</v>
      </c>
      <c r="AM609" s="28"/>
      <c r="AN609" s="6"/>
      <c r="AO609" s="6"/>
      <c r="AP609" s="6">
        <f>Z609/L609</f>
        <v>0.64074074074074072</v>
      </c>
      <c r="AQ609" s="6">
        <f>AJ609/M609</f>
        <v>0.98295454545454541</v>
      </c>
      <c r="AR609" s="6">
        <f>AB609/N609</f>
        <v>1</v>
      </c>
      <c r="AS609" s="4"/>
      <c r="AT609" s="4"/>
      <c r="AU609" s="4"/>
      <c r="AV609" s="4"/>
      <c r="AW609" s="4"/>
      <c r="AX609" s="4"/>
      <c r="AY609" s="4"/>
      <c r="AZ609" s="4"/>
      <c r="BA609" s="4"/>
      <c r="BB609" s="4">
        <v>0</v>
      </c>
      <c r="BC609" s="4" t="s">
        <v>4092</v>
      </c>
      <c r="BD609" s="4">
        <v>1</v>
      </c>
      <c r="BE609" s="4">
        <v>4</v>
      </c>
      <c r="BF609" s="4" t="s">
        <v>4014</v>
      </c>
      <c r="BG609" s="4">
        <v>1640</v>
      </c>
      <c r="BH609" s="4">
        <v>1640</v>
      </c>
      <c r="BI609" s="4">
        <f t="shared" si="102"/>
        <v>410</v>
      </c>
      <c r="BJ609" s="19">
        <v>4</v>
      </c>
      <c r="BK609" s="19">
        <v>8</v>
      </c>
      <c r="BL609" s="16">
        <v>6</v>
      </c>
      <c r="BM609" s="45" t="s">
        <v>3534</v>
      </c>
      <c r="BN609" t="s">
        <v>3534</v>
      </c>
      <c r="BO609" t="str">
        <f t="shared" si="95"/>
        <v>-</v>
      </c>
      <c r="BP609" t="s">
        <v>3534</v>
      </c>
      <c r="BQ609">
        <v>173</v>
      </c>
      <c r="BR609">
        <f t="shared" si="96"/>
        <v>173</v>
      </c>
      <c r="BS609" t="s">
        <v>2978</v>
      </c>
    </row>
    <row r="610" spans="1:71" x14ac:dyDescent="0.4">
      <c r="A610" s="3">
        <v>607</v>
      </c>
      <c r="B610" s="3">
        <v>607</v>
      </c>
      <c r="C610" s="4" t="s">
        <v>669</v>
      </c>
      <c r="D610" s="4" t="str">
        <f t="shared" si="97"/>
        <v>J551WE</v>
      </c>
      <c r="E610" s="4" t="s">
        <v>669</v>
      </c>
      <c r="F610" s="4" t="s">
        <v>1887</v>
      </c>
      <c r="G610" s="5">
        <v>4521718191423</v>
      </c>
      <c r="H610" s="5"/>
      <c r="I610" s="5"/>
      <c r="J610" s="5">
        <v>1</v>
      </c>
      <c r="K610" s="5">
        <v>1</v>
      </c>
      <c r="L610" s="4">
        <v>460</v>
      </c>
      <c r="M610" s="4">
        <v>370</v>
      </c>
      <c r="N610" s="4">
        <v>204</v>
      </c>
      <c r="O610" s="6">
        <f t="shared" si="98"/>
        <v>0.44864864864864862</v>
      </c>
      <c r="P610" s="4" t="s">
        <v>2500</v>
      </c>
      <c r="Q610" s="4"/>
      <c r="R610" s="4"/>
      <c r="S610" s="4"/>
      <c r="T610" s="4"/>
      <c r="U610" s="4"/>
      <c r="V610" s="4"/>
      <c r="W610" s="4"/>
      <c r="X610" s="4"/>
      <c r="Y610" s="4">
        <v>291</v>
      </c>
      <c r="Z610" s="4">
        <f t="shared" si="99"/>
        <v>291</v>
      </c>
      <c r="AA610" s="4">
        <v>204</v>
      </c>
      <c r="AB610" s="4">
        <f t="shared" si="100"/>
        <v>204</v>
      </c>
      <c r="AC610" s="4"/>
      <c r="AD610" s="21">
        <f>ROUND(M610*AR610,0)</f>
        <v>370</v>
      </c>
      <c r="AE610" s="6">
        <f>1-AB610/AD610</f>
        <v>0.44864864864864862</v>
      </c>
      <c r="AF610" s="33">
        <v>0</v>
      </c>
      <c r="AG610" s="4">
        <f t="shared" si="101"/>
        <v>460</v>
      </c>
      <c r="AH610" s="33">
        <f t="shared" si="94"/>
        <v>460</v>
      </c>
      <c r="AI610" s="6">
        <f>1-AB610/AH610</f>
        <v>0.55652173913043479</v>
      </c>
      <c r="AJ610" s="7">
        <v>291</v>
      </c>
      <c r="AK610" s="6">
        <f>1-AB610/AJ610</f>
        <v>0.2989690721649485</v>
      </c>
      <c r="AL610" s="4">
        <f>AJ610-AB610</f>
        <v>87</v>
      </c>
      <c r="AM610" s="28"/>
      <c r="AN610" s="6"/>
      <c r="AO610" s="6"/>
      <c r="AP610" s="6">
        <f>Z610/L610</f>
        <v>0.63260869565217392</v>
      </c>
      <c r="AQ610" s="6">
        <f>AJ610/M610</f>
        <v>0.78648648648648645</v>
      </c>
      <c r="AR610" s="6">
        <f>AB610/N610</f>
        <v>1</v>
      </c>
      <c r="AS610" s="4"/>
      <c r="AT610" s="4"/>
      <c r="AU610" s="4"/>
      <c r="AV610" s="4"/>
      <c r="AW610" s="4"/>
      <c r="AX610" s="4"/>
      <c r="AY610" s="4"/>
      <c r="AZ610" s="4"/>
      <c r="BA610" s="4"/>
      <c r="BB610" s="4">
        <v>0</v>
      </c>
      <c r="BC610" s="4" t="s">
        <v>4093</v>
      </c>
      <c r="BD610" s="4">
        <v>1</v>
      </c>
      <c r="BE610" s="4">
        <v>4</v>
      </c>
      <c r="BF610" s="4" t="s">
        <v>3741</v>
      </c>
      <c r="BG610" s="4">
        <v>1840</v>
      </c>
      <c r="BH610" s="4">
        <v>1840</v>
      </c>
      <c r="BI610" s="4">
        <f t="shared" si="102"/>
        <v>460</v>
      </c>
      <c r="BJ610" s="19">
        <v>4</v>
      </c>
      <c r="BK610" s="19">
        <v>8</v>
      </c>
      <c r="BL610" s="16">
        <v>6</v>
      </c>
      <c r="BM610" s="45" t="s">
        <v>3534</v>
      </c>
      <c r="BN610" t="s">
        <v>3534</v>
      </c>
      <c r="BO610" t="str">
        <f t="shared" si="95"/>
        <v>-</v>
      </c>
      <c r="BP610" t="s">
        <v>3534</v>
      </c>
      <c r="BQ610">
        <v>437</v>
      </c>
      <c r="BR610">
        <f t="shared" si="96"/>
        <v>437</v>
      </c>
      <c r="BS610" t="s">
        <v>2979</v>
      </c>
    </row>
    <row r="611" spans="1:71" x14ac:dyDescent="0.4">
      <c r="A611" s="3">
        <v>608</v>
      </c>
      <c r="B611" s="3">
        <v>608</v>
      </c>
      <c r="C611" s="4" t="s">
        <v>670</v>
      </c>
      <c r="D611" s="4" t="str">
        <f t="shared" si="97"/>
        <v>J558WE</v>
      </c>
      <c r="E611" s="4" t="s">
        <v>670</v>
      </c>
      <c r="F611" s="4" t="s">
        <v>1888</v>
      </c>
      <c r="G611" s="5">
        <v>4521718191515</v>
      </c>
      <c r="H611" s="5"/>
      <c r="I611" s="5"/>
      <c r="J611" s="5">
        <v>1</v>
      </c>
      <c r="K611" s="5">
        <v>1</v>
      </c>
      <c r="L611" s="4">
        <v>1010</v>
      </c>
      <c r="M611" s="4">
        <v>810</v>
      </c>
      <c r="N611" s="4">
        <v>452</v>
      </c>
      <c r="O611" s="6">
        <f t="shared" si="98"/>
        <v>0.44197530864197532</v>
      </c>
      <c r="P611" s="4" t="s">
        <v>2500</v>
      </c>
      <c r="Q611" s="4"/>
      <c r="R611" s="4"/>
      <c r="S611" s="4"/>
      <c r="T611" s="4"/>
      <c r="U611" s="4"/>
      <c r="V611" s="4"/>
      <c r="W611" s="4"/>
      <c r="X611" s="4"/>
      <c r="Y611" s="4">
        <v>655</v>
      </c>
      <c r="Z611" s="4">
        <f t="shared" si="99"/>
        <v>655</v>
      </c>
      <c r="AA611" s="4">
        <v>459</v>
      </c>
      <c r="AB611" s="4">
        <f t="shared" si="100"/>
        <v>459</v>
      </c>
      <c r="AC611" s="4"/>
      <c r="AD611" s="21">
        <f>ROUND(M611*AR611,0)</f>
        <v>823</v>
      </c>
      <c r="AE611" s="6">
        <f>1-AB611/AD611</f>
        <v>0.44228432563791009</v>
      </c>
      <c r="AF611" s="33">
        <v>0</v>
      </c>
      <c r="AG611" s="4">
        <f t="shared" si="101"/>
        <v>1010</v>
      </c>
      <c r="AH611" s="33">
        <f t="shared" si="94"/>
        <v>1025.641592920354</v>
      </c>
      <c r="AI611" s="6">
        <f>1-AB611/AH611</f>
        <v>0.55247524752475252</v>
      </c>
      <c r="AJ611" s="7">
        <v>655</v>
      </c>
      <c r="AK611" s="6">
        <f>1-AB611/AJ611</f>
        <v>0.29923664122137406</v>
      </c>
      <c r="AL611" s="4">
        <f>AJ611-AB611</f>
        <v>196</v>
      </c>
      <c r="AM611" s="28"/>
      <c r="AN611" s="6"/>
      <c r="AO611" s="6"/>
      <c r="AP611" s="6">
        <f>Z611/L611</f>
        <v>0.64851485148514854</v>
      </c>
      <c r="AQ611" s="6">
        <f>AJ611/M611</f>
        <v>0.80864197530864201</v>
      </c>
      <c r="AR611" s="6">
        <f>AB611/N611</f>
        <v>1.0154867256637168</v>
      </c>
      <c r="AS611" s="4"/>
      <c r="AT611" s="4"/>
      <c r="AU611" s="4"/>
      <c r="AV611" s="4"/>
      <c r="AW611" s="4"/>
      <c r="AX611" s="4"/>
      <c r="AY611" s="4"/>
      <c r="AZ611" s="4"/>
      <c r="BA611" s="4"/>
      <c r="BB611" s="4">
        <v>0</v>
      </c>
      <c r="BC611" s="4" t="s">
        <v>4094</v>
      </c>
      <c r="BD611" s="4">
        <v>1</v>
      </c>
      <c r="BE611" s="4">
        <v>2</v>
      </c>
      <c r="BF611" s="4" t="s">
        <v>3631</v>
      </c>
      <c r="BG611" s="4">
        <v>2020</v>
      </c>
      <c r="BH611" s="4">
        <v>2020</v>
      </c>
      <c r="BI611" s="4">
        <f t="shared" si="102"/>
        <v>1010</v>
      </c>
      <c r="BJ611" s="19">
        <v>4</v>
      </c>
      <c r="BK611" s="19">
        <v>8</v>
      </c>
      <c r="BL611" s="16">
        <v>6</v>
      </c>
      <c r="BM611" s="45" t="s">
        <v>3534</v>
      </c>
      <c r="BN611" t="s">
        <v>3534</v>
      </c>
      <c r="BO611" t="str">
        <f t="shared" si="95"/>
        <v>-</v>
      </c>
      <c r="BP611" t="s">
        <v>3534</v>
      </c>
      <c r="BQ611">
        <v>960</v>
      </c>
      <c r="BR611">
        <f t="shared" si="96"/>
        <v>974.86725663716811</v>
      </c>
      <c r="BS611" t="s">
        <v>2980</v>
      </c>
    </row>
    <row r="612" spans="1:71" x14ac:dyDescent="0.4">
      <c r="A612" s="3">
        <v>609</v>
      </c>
      <c r="B612" s="3">
        <v>609</v>
      </c>
      <c r="C612" s="4" t="s">
        <v>671</v>
      </c>
      <c r="D612" s="4" t="str">
        <f t="shared" si="97"/>
        <v>J552WE</v>
      </c>
      <c r="E612" s="4" t="s">
        <v>671</v>
      </c>
      <c r="F612" s="4" t="s">
        <v>1889</v>
      </c>
      <c r="G612" s="5">
        <v>4521718191430</v>
      </c>
      <c r="H612" s="5"/>
      <c r="I612" s="5"/>
      <c r="J612" s="5">
        <v>1</v>
      </c>
      <c r="K612" s="5">
        <v>1</v>
      </c>
      <c r="L612" s="4">
        <v>460</v>
      </c>
      <c r="M612" s="4">
        <v>370</v>
      </c>
      <c r="N612" s="4">
        <v>204</v>
      </c>
      <c r="O612" s="6">
        <f t="shared" si="98"/>
        <v>0.44864864864864862</v>
      </c>
      <c r="P612" s="4" t="s">
        <v>2500</v>
      </c>
      <c r="Q612" s="4"/>
      <c r="R612" s="4"/>
      <c r="S612" s="4"/>
      <c r="T612" s="4"/>
      <c r="U612" s="4"/>
      <c r="V612" s="4"/>
      <c r="W612" s="4"/>
      <c r="X612" s="4"/>
      <c r="Y612" s="4">
        <v>291</v>
      </c>
      <c r="Z612" s="4">
        <f t="shared" si="99"/>
        <v>291</v>
      </c>
      <c r="AA612" s="4">
        <v>204</v>
      </c>
      <c r="AB612" s="4">
        <f t="shared" si="100"/>
        <v>204</v>
      </c>
      <c r="AC612" s="4"/>
      <c r="AD612" s="21">
        <f>ROUND(M612*AR612,0)</f>
        <v>370</v>
      </c>
      <c r="AE612" s="6">
        <f>1-AB612/AD612</f>
        <v>0.44864864864864862</v>
      </c>
      <c r="AF612" s="33">
        <v>1</v>
      </c>
      <c r="AG612" s="4">
        <f t="shared" si="101"/>
        <v>460</v>
      </c>
      <c r="AH612" s="33">
        <f t="shared" si="94"/>
        <v>460</v>
      </c>
      <c r="AI612" s="6">
        <f>1-AB612/AH612</f>
        <v>0.55652173913043479</v>
      </c>
      <c r="AJ612" s="7">
        <v>291</v>
      </c>
      <c r="AK612" s="6">
        <f>1-AB612/AJ612</f>
        <v>0.2989690721649485</v>
      </c>
      <c r="AL612" s="4">
        <f>AJ612-AB612</f>
        <v>87</v>
      </c>
      <c r="AM612" s="28"/>
      <c r="AN612" s="6"/>
      <c r="AO612" s="6"/>
      <c r="AP612" s="6">
        <f>Z612/L612</f>
        <v>0.63260869565217392</v>
      </c>
      <c r="AQ612" s="6">
        <f>AJ612/M612</f>
        <v>0.78648648648648645</v>
      </c>
      <c r="AR612" s="6">
        <f>AB612/N612</f>
        <v>1</v>
      </c>
      <c r="AS612" s="4"/>
      <c r="AT612" s="4"/>
      <c r="AU612" s="4"/>
      <c r="AV612" s="4"/>
      <c r="AW612" s="4"/>
      <c r="AX612" s="4"/>
      <c r="AY612" s="4"/>
      <c r="AZ612" s="4"/>
      <c r="BA612" s="4"/>
      <c r="BB612" s="4">
        <v>0</v>
      </c>
      <c r="BC612" s="4" t="s">
        <v>4095</v>
      </c>
      <c r="BD612" s="4">
        <v>1</v>
      </c>
      <c r="BE612" s="4">
        <v>4</v>
      </c>
      <c r="BF612" s="4" t="s">
        <v>3741</v>
      </c>
      <c r="BG612" s="4">
        <v>1840</v>
      </c>
      <c r="BH612" s="4">
        <v>1840</v>
      </c>
      <c r="BI612" s="4">
        <f t="shared" si="102"/>
        <v>460</v>
      </c>
      <c r="BJ612" s="19">
        <v>4</v>
      </c>
      <c r="BK612" s="19">
        <v>8</v>
      </c>
      <c r="BL612" s="16">
        <v>6</v>
      </c>
      <c r="BM612" s="45" t="s">
        <v>3534</v>
      </c>
      <c r="BN612" t="s">
        <v>3534</v>
      </c>
      <c r="BO612" t="str">
        <f t="shared" si="95"/>
        <v>-</v>
      </c>
      <c r="BP612" t="s">
        <v>3534</v>
      </c>
      <c r="BQ612">
        <v>437</v>
      </c>
      <c r="BR612">
        <f t="shared" si="96"/>
        <v>437</v>
      </c>
      <c r="BS612" t="s">
        <v>2981</v>
      </c>
    </row>
    <row r="613" spans="1:71" x14ac:dyDescent="0.4">
      <c r="A613" s="3">
        <v>610</v>
      </c>
      <c r="B613" s="3">
        <v>610</v>
      </c>
      <c r="C613" s="4" t="s">
        <v>672</v>
      </c>
      <c r="D613" s="4" t="str">
        <f t="shared" si="97"/>
        <v>J559WE</v>
      </c>
      <c r="E613" s="4" t="s">
        <v>672</v>
      </c>
      <c r="F613" s="4" t="s">
        <v>1890</v>
      </c>
      <c r="G613" s="5">
        <v>4521718191522</v>
      </c>
      <c r="H613" s="5"/>
      <c r="I613" s="5"/>
      <c r="J613" s="5">
        <v>1</v>
      </c>
      <c r="K613" s="5">
        <v>1</v>
      </c>
      <c r="L613" s="4">
        <v>1010</v>
      </c>
      <c r="M613" s="4">
        <v>810</v>
      </c>
      <c r="N613" s="4">
        <v>452</v>
      </c>
      <c r="O613" s="6">
        <f t="shared" si="98"/>
        <v>0.44197530864197532</v>
      </c>
      <c r="P613" s="4" t="s">
        <v>2500</v>
      </c>
      <c r="Q613" s="4"/>
      <c r="R613" s="4"/>
      <c r="S613" s="4"/>
      <c r="T613" s="4"/>
      <c r="U613" s="4"/>
      <c r="V613" s="4"/>
      <c r="W613" s="4"/>
      <c r="X613" s="4"/>
      <c r="Y613" s="4">
        <v>646</v>
      </c>
      <c r="Z613" s="4">
        <f t="shared" si="99"/>
        <v>646</v>
      </c>
      <c r="AA613" s="4">
        <v>452</v>
      </c>
      <c r="AB613" s="4">
        <f t="shared" si="100"/>
        <v>452</v>
      </c>
      <c r="AC613" s="4"/>
      <c r="AD613" s="21">
        <f>ROUND(M613*AR613,0)</f>
        <v>810</v>
      </c>
      <c r="AE613" s="6">
        <f>1-AB613/AD613</f>
        <v>0.44197530864197532</v>
      </c>
      <c r="AF613" s="33">
        <v>0</v>
      </c>
      <c r="AG613" s="4">
        <f t="shared" si="101"/>
        <v>1010</v>
      </c>
      <c r="AH613" s="33">
        <f t="shared" si="94"/>
        <v>1010</v>
      </c>
      <c r="AI613" s="6">
        <f>1-AB613/AH613</f>
        <v>0.55247524752475252</v>
      </c>
      <c r="AJ613" s="7">
        <v>646</v>
      </c>
      <c r="AK613" s="6">
        <f>1-AB613/AJ613</f>
        <v>0.30030959752321984</v>
      </c>
      <c r="AL613" s="4">
        <f>AJ613-AB613</f>
        <v>194</v>
      </c>
      <c r="AM613" s="28"/>
      <c r="AN613" s="6"/>
      <c r="AO613" s="6"/>
      <c r="AP613" s="6">
        <f>Z613/L613</f>
        <v>0.63960396039603962</v>
      </c>
      <c r="AQ613" s="6">
        <f>AJ613/M613</f>
        <v>0.79753086419753083</v>
      </c>
      <c r="AR613" s="6">
        <f>AB613/N613</f>
        <v>1</v>
      </c>
      <c r="AS613" s="4"/>
      <c r="AT613" s="4"/>
      <c r="AU613" s="4"/>
      <c r="AV613" s="4"/>
      <c r="AW613" s="4"/>
      <c r="AX613" s="4"/>
      <c r="AY613" s="4"/>
      <c r="AZ613" s="4"/>
      <c r="BA613" s="4"/>
      <c r="BB613" s="4">
        <v>0</v>
      </c>
      <c r="BC613" s="4" t="s">
        <v>4096</v>
      </c>
      <c r="BD613" s="4">
        <v>1</v>
      </c>
      <c r="BE613" s="4">
        <v>2</v>
      </c>
      <c r="BF613" s="4" t="s">
        <v>3631</v>
      </c>
      <c r="BG613" s="4">
        <v>2020</v>
      </c>
      <c r="BH613" s="4">
        <v>2020</v>
      </c>
      <c r="BI613" s="4">
        <f t="shared" si="102"/>
        <v>1010</v>
      </c>
      <c r="BJ613" s="19">
        <v>4</v>
      </c>
      <c r="BK613" s="19">
        <v>8</v>
      </c>
      <c r="BL613" s="16">
        <v>6</v>
      </c>
      <c r="BM613" s="45" t="s">
        <v>3534</v>
      </c>
      <c r="BN613" t="s">
        <v>3534</v>
      </c>
      <c r="BO613" t="str">
        <f t="shared" si="95"/>
        <v>-</v>
      </c>
      <c r="BP613" t="s">
        <v>3534</v>
      </c>
      <c r="BQ613">
        <v>960</v>
      </c>
      <c r="BR613">
        <f t="shared" si="96"/>
        <v>960</v>
      </c>
      <c r="BS613" t="s">
        <v>2982</v>
      </c>
    </row>
    <row r="614" spans="1:71" x14ac:dyDescent="0.4">
      <c r="A614" s="3">
        <v>611</v>
      </c>
      <c r="B614" s="3">
        <v>611</v>
      </c>
      <c r="C614" s="4" t="s">
        <v>673</v>
      </c>
      <c r="D614" s="4" t="str">
        <f t="shared" si="97"/>
        <v>J561RR</v>
      </c>
      <c r="E614" s="4" t="s">
        <v>673</v>
      </c>
      <c r="F614" s="4" t="s">
        <v>1891</v>
      </c>
      <c r="G614" s="5">
        <v>4521718095134</v>
      </c>
      <c r="H614" s="5"/>
      <c r="I614" s="5"/>
      <c r="J614" s="5">
        <v>1</v>
      </c>
      <c r="K614" s="5">
        <v>1</v>
      </c>
      <c r="L614" s="4">
        <v>270</v>
      </c>
      <c r="M614" s="4">
        <v>176</v>
      </c>
      <c r="N614" s="4">
        <v>118</v>
      </c>
      <c r="O614" s="6">
        <f t="shared" si="98"/>
        <v>0.32954545454545459</v>
      </c>
      <c r="P614" s="4" t="s">
        <v>2500</v>
      </c>
      <c r="Q614" s="4"/>
      <c r="R614" s="4"/>
      <c r="S614" s="4"/>
      <c r="T614" s="4"/>
      <c r="U614" s="4"/>
      <c r="V614" s="4"/>
      <c r="W614" s="4"/>
      <c r="X614" s="4"/>
      <c r="Y614" s="4">
        <v>270</v>
      </c>
      <c r="Z614" s="4">
        <f t="shared" si="99"/>
        <v>270</v>
      </c>
      <c r="AA614" s="4">
        <v>122</v>
      </c>
      <c r="AB614" s="4">
        <f t="shared" si="100"/>
        <v>122</v>
      </c>
      <c r="AC614" s="4"/>
      <c r="AD614" s="21">
        <f>ROUND(M614*AR614,0)</f>
        <v>182</v>
      </c>
      <c r="AE614" s="6">
        <f>1-AB614/AD614</f>
        <v>0.32967032967032972</v>
      </c>
      <c r="AF614" s="33">
        <v>0</v>
      </c>
      <c r="AG614" s="4">
        <f t="shared" si="101"/>
        <v>240</v>
      </c>
      <c r="AH614" s="33">
        <f t="shared" si="94"/>
        <v>248.13559322033896</v>
      </c>
      <c r="AI614" s="6">
        <f>1-AB614/AH614</f>
        <v>0.5083333333333333</v>
      </c>
      <c r="AJ614" s="7">
        <f>ROUND(AB614/0.65,0)</f>
        <v>188</v>
      </c>
      <c r="AK614" s="6">
        <f>1-AB614/AJ614</f>
        <v>0.35106382978723405</v>
      </c>
      <c r="AL614" s="4">
        <f>AJ614-AB614</f>
        <v>66</v>
      </c>
      <c r="AM614" s="28"/>
      <c r="AN614" s="6"/>
      <c r="AO614" s="6"/>
      <c r="AP614" s="6">
        <f>Z614/L614</f>
        <v>1</v>
      </c>
      <c r="AQ614" s="6">
        <f>AJ614/M614</f>
        <v>1.0681818181818181</v>
      </c>
      <c r="AR614" s="6">
        <f>AB614/N614</f>
        <v>1.0338983050847457</v>
      </c>
      <c r="AS614" s="4"/>
      <c r="AT614" s="4"/>
      <c r="AU614" s="4"/>
      <c r="AV614" s="4"/>
      <c r="AW614" s="4"/>
      <c r="AX614" s="4"/>
      <c r="AY614" s="4"/>
      <c r="AZ614" s="4"/>
      <c r="BA614" s="4"/>
      <c r="BB614" s="4">
        <v>0</v>
      </c>
      <c r="BC614" s="4" t="s">
        <v>4097</v>
      </c>
      <c r="BD614" s="4">
        <v>1</v>
      </c>
      <c r="BE614" s="4">
        <v>5</v>
      </c>
      <c r="BF614" s="4" t="s">
        <v>4098</v>
      </c>
      <c r="BG614" s="4">
        <v>1200</v>
      </c>
      <c r="BH614" s="4">
        <v>1200</v>
      </c>
      <c r="BI614" s="4">
        <f t="shared" si="102"/>
        <v>240</v>
      </c>
      <c r="BJ614" s="19">
        <v>4</v>
      </c>
      <c r="BK614" s="19">
        <v>8</v>
      </c>
      <c r="BL614" s="16">
        <v>6</v>
      </c>
      <c r="BM614" s="45" t="s">
        <v>3534</v>
      </c>
      <c r="BN614" t="s">
        <v>3534</v>
      </c>
      <c r="BO614" t="str">
        <f t="shared" si="95"/>
        <v>-</v>
      </c>
      <c r="BP614" t="s">
        <v>3534</v>
      </c>
      <c r="BQ614">
        <v>182</v>
      </c>
      <c r="BR614">
        <f t="shared" si="96"/>
        <v>188.16949152542372</v>
      </c>
      <c r="BS614" t="s">
        <v>2983</v>
      </c>
    </row>
    <row r="615" spans="1:71" x14ac:dyDescent="0.4">
      <c r="A615" s="3">
        <v>612</v>
      </c>
      <c r="B615" s="3">
        <v>612</v>
      </c>
      <c r="C615" s="4" t="s">
        <v>674</v>
      </c>
      <c r="D615" s="4" t="str">
        <f t="shared" si="97"/>
        <v>J561WE</v>
      </c>
      <c r="E615" s="4" t="s">
        <v>674</v>
      </c>
      <c r="F615" s="4" t="s">
        <v>1892</v>
      </c>
      <c r="G615" s="5">
        <v>4521718191973</v>
      </c>
      <c r="H615" s="5"/>
      <c r="I615" s="5"/>
      <c r="J615" s="5">
        <v>1</v>
      </c>
      <c r="K615" s="5">
        <v>1</v>
      </c>
      <c r="L615" s="4">
        <v>1140</v>
      </c>
      <c r="M615" s="4">
        <v>910</v>
      </c>
      <c r="N615" s="4">
        <v>510</v>
      </c>
      <c r="O615" s="6">
        <f t="shared" si="98"/>
        <v>0.43956043956043955</v>
      </c>
      <c r="P615" s="4" t="s">
        <v>2500</v>
      </c>
      <c r="Q615" s="4"/>
      <c r="R615" s="4"/>
      <c r="S615" s="4"/>
      <c r="T615" s="4"/>
      <c r="U615" s="4"/>
      <c r="V615" s="4"/>
      <c r="W615" s="4"/>
      <c r="X615" s="4"/>
      <c r="Y615" s="4">
        <v>546</v>
      </c>
      <c r="Z615" s="4">
        <f t="shared" si="99"/>
        <v>546</v>
      </c>
      <c r="AA615" s="4">
        <v>382</v>
      </c>
      <c r="AB615" s="4">
        <f t="shared" si="100"/>
        <v>382</v>
      </c>
      <c r="AC615" s="4"/>
      <c r="AD615" s="21">
        <f>ROUND(M615*AR615,0)</f>
        <v>682</v>
      </c>
      <c r="AE615" s="6">
        <f>1-AB615/AD615</f>
        <v>0.43988269794721413</v>
      </c>
      <c r="AF615" s="33">
        <v>0</v>
      </c>
      <c r="AG615" s="4">
        <f t="shared" si="101"/>
        <v>1140</v>
      </c>
      <c r="AH615" s="33">
        <f t="shared" si="94"/>
        <v>853.88235294117646</v>
      </c>
      <c r="AI615" s="6">
        <f>1-AB615/AH615</f>
        <v>0.55263157894736836</v>
      </c>
      <c r="AJ615" s="7">
        <v>546</v>
      </c>
      <c r="AK615" s="6">
        <f>1-AB615/AJ615</f>
        <v>0.30036630036630041</v>
      </c>
      <c r="AL615" s="4">
        <f>AJ615-AB615</f>
        <v>164</v>
      </c>
      <c r="AM615" s="28"/>
      <c r="AN615" s="6"/>
      <c r="AO615" s="6"/>
      <c r="AP615" s="6">
        <f>Z615/L615</f>
        <v>0.47894736842105262</v>
      </c>
      <c r="AQ615" s="6">
        <f>AJ615/M615</f>
        <v>0.6</v>
      </c>
      <c r="AR615" s="6">
        <f>AB615/N615</f>
        <v>0.74901960784313726</v>
      </c>
      <c r="AS615" s="4"/>
      <c r="AT615" s="4"/>
      <c r="AU615" s="4"/>
      <c r="AV615" s="4"/>
      <c r="AW615" s="4"/>
      <c r="AX615" s="4"/>
      <c r="AY615" s="4"/>
      <c r="AZ615" s="4"/>
      <c r="BA615" s="4"/>
      <c r="BB615" s="4">
        <v>0</v>
      </c>
      <c r="BC615" s="4" t="s">
        <v>4099</v>
      </c>
      <c r="BD615" s="4">
        <v>1</v>
      </c>
      <c r="BE615" s="4">
        <v>2</v>
      </c>
      <c r="BF615" s="4" t="s">
        <v>3631</v>
      </c>
      <c r="BG615" s="4">
        <v>2280</v>
      </c>
      <c r="BH615" s="4">
        <v>2280</v>
      </c>
      <c r="BI615" s="4">
        <f t="shared" si="102"/>
        <v>1140</v>
      </c>
      <c r="BJ615" s="19">
        <v>4</v>
      </c>
      <c r="BK615" s="19">
        <v>8</v>
      </c>
      <c r="BL615" s="16">
        <v>6</v>
      </c>
      <c r="BM615" s="45" t="s">
        <v>3534</v>
      </c>
      <c r="BN615" t="s">
        <v>3534</v>
      </c>
      <c r="BO615" t="str">
        <f t="shared" si="95"/>
        <v>-</v>
      </c>
      <c r="BP615" t="s">
        <v>3534</v>
      </c>
      <c r="BQ615">
        <v>1083</v>
      </c>
      <c r="BR615">
        <f t="shared" si="96"/>
        <v>811.1882352941177</v>
      </c>
      <c r="BS615" t="s">
        <v>2984</v>
      </c>
    </row>
    <row r="616" spans="1:71" x14ac:dyDescent="0.4">
      <c r="A616" s="3">
        <v>613</v>
      </c>
      <c r="B616" s="3">
        <v>613</v>
      </c>
      <c r="C616" s="4" t="s">
        <v>675</v>
      </c>
      <c r="D616" s="4" t="str">
        <f t="shared" si="97"/>
        <v>J560WE</v>
      </c>
      <c r="E616" s="4" t="s">
        <v>675</v>
      </c>
      <c r="F616" s="4" t="s">
        <v>1893</v>
      </c>
      <c r="G616" s="5">
        <v>4521718191539</v>
      </c>
      <c r="H616" s="5"/>
      <c r="I616" s="5"/>
      <c r="J616" s="5">
        <v>1</v>
      </c>
      <c r="K616" s="5">
        <v>1</v>
      </c>
      <c r="L616" s="4">
        <v>1010</v>
      </c>
      <c r="M616" s="4">
        <v>810</v>
      </c>
      <c r="N616" s="4">
        <v>452</v>
      </c>
      <c r="O616" s="6">
        <f t="shared" si="98"/>
        <v>0.44197530864197532</v>
      </c>
      <c r="P616" s="4" t="s">
        <v>2500</v>
      </c>
      <c r="Q616" s="4"/>
      <c r="R616" s="4"/>
      <c r="S616" s="4"/>
      <c r="T616" s="4"/>
      <c r="U616" s="4"/>
      <c r="V616" s="4"/>
      <c r="W616" s="4"/>
      <c r="X616" s="4"/>
      <c r="Y616" s="4">
        <v>646</v>
      </c>
      <c r="Z616" s="4">
        <f t="shared" si="99"/>
        <v>646</v>
      </c>
      <c r="AA616" s="4">
        <v>452</v>
      </c>
      <c r="AB616" s="4">
        <f t="shared" si="100"/>
        <v>452</v>
      </c>
      <c r="AC616" s="4"/>
      <c r="AD616" s="21">
        <f>ROUND(M616*AR616,0)</f>
        <v>810</v>
      </c>
      <c r="AE616" s="6">
        <f>1-AB616/AD616</f>
        <v>0.44197530864197532</v>
      </c>
      <c r="AF616" s="33">
        <v>0</v>
      </c>
      <c r="AG616" s="4">
        <f t="shared" si="101"/>
        <v>1010</v>
      </c>
      <c r="AH616" s="33">
        <f t="shared" si="94"/>
        <v>1010</v>
      </c>
      <c r="AI616" s="6">
        <f>1-AB616/AH616</f>
        <v>0.55247524752475252</v>
      </c>
      <c r="AJ616" s="7">
        <v>646</v>
      </c>
      <c r="AK616" s="6">
        <f>1-AB616/AJ616</f>
        <v>0.30030959752321984</v>
      </c>
      <c r="AL616" s="4">
        <f>AJ616-AB616</f>
        <v>194</v>
      </c>
      <c r="AM616" s="28"/>
      <c r="AN616" s="6"/>
      <c r="AO616" s="6"/>
      <c r="AP616" s="6">
        <f>Z616/L616</f>
        <v>0.63960396039603962</v>
      </c>
      <c r="AQ616" s="6">
        <f>AJ616/M616</f>
        <v>0.79753086419753083</v>
      </c>
      <c r="AR616" s="6">
        <f>AB616/N616</f>
        <v>1</v>
      </c>
      <c r="AS616" s="4"/>
      <c r="AT616" s="4"/>
      <c r="AU616" s="4"/>
      <c r="AV616" s="4"/>
      <c r="AW616" s="4"/>
      <c r="AX616" s="4"/>
      <c r="AY616" s="4"/>
      <c r="AZ616" s="4"/>
      <c r="BA616" s="4"/>
      <c r="BB616" s="4">
        <v>0</v>
      </c>
      <c r="BC616" s="4" t="s">
        <v>4100</v>
      </c>
      <c r="BD616" s="4">
        <v>1</v>
      </c>
      <c r="BE616" s="4">
        <v>2</v>
      </c>
      <c r="BF616" s="4" t="s">
        <v>3631</v>
      </c>
      <c r="BG616" s="4">
        <v>2020</v>
      </c>
      <c r="BH616" s="4">
        <v>2020</v>
      </c>
      <c r="BI616" s="4">
        <f t="shared" si="102"/>
        <v>1010</v>
      </c>
      <c r="BJ616" s="19">
        <v>4</v>
      </c>
      <c r="BK616" s="19">
        <v>8</v>
      </c>
      <c r="BL616" s="16">
        <v>6</v>
      </c>
      <c r="BM616" s="45" t="s">
        <v>3534</v>
      </c>
      <c r="BN616" t="s">
        <v>3534</v>
      </c>
      <c r="BO616" t="str">
        <f t="shared" si="95"/>
        <v>-</v>
      </c>
      <c r="BP616" t="s">
        <v>3534</v>
      </c>
      <c r="BQ616" t="s">
        <v>3534</v>
      </c>
      <c r="BR616" t="str">
        <f t="shared" si="96"/>
        <v>-</v>
      </c>
      <c r="BS616" t="s">
        <v>2985</v>
      </c>
    </row>
    <row r="617" spans="1:71" x14ac:dyDescent="0.4">
      <c r="A617" s="3">
        <v>614</v>
      </c>
      <c r="B617" s="3">
        <v>614</v>
      </c>
      <c r="C617" s="4" t="s">
        <v>676</v>
      </c>
      <c r="D617" s="4" t="str">
        <f t="shared" si="97"/>
        <v>J562WE</v>
      </c>
      <c r="E617" s="4" t="s">
        <v>676</v>
      </c>
      <c r="F617" s="4" t="s">
        <v>1894</v>
      </c>
      <c r="G617" s="5">
        <v>4521718191980</v>
      </c>
      <c r="H617" s="5"/>
      <c r="I617" s="5"/>
      <c r="J617" s="5">
        <v>1</v>
      </c>
      <c r="K617" s="5">
        <v>1</v>
      </c>
      <c r="L617" s="4">
        <v>1140</v>
      </c>
      <c r="M617" s="4">
        <v>910</v>
      </c>
      <c r="N617" s="4">
        <v>510</v>
      </c>
      <c r="O617" s="6">
        <f t="shared" si="98"/>
        <v>0.43956043956043955</v>
      </c>
      <c r="P617" s="4" t="s">
        <v>2500</v>
      </c>
      <c r="Q617" s="4"/>
      <c r="R617" s="4"/>
      <c r="S617" s="4"/>
      <c r="T617" s="4"/>
      <c r="U617" s="4"/>
      <c r="V617" s="4"/>
      <c r="W617" s="4"/>
      <c r="X617" s="4"/>
      <c r="Y617" s="4">
        <v>546</v>
      </c>
      <c r="Z617" s="4">
        <f t="shared" si="99"/>
        <v>546</v>
      </c>
      <c r="AA617" s="4">
        <v>382</v>
      </c>
      <c r="AB617" s="4">
        <f t="shared" si="100"/>
        <v>382</v>
      </c>
      <c r="AC617" s="4"/>
      <c r="AD617" s="21">
        <f>ROUND(M617*AR617,0)</f>
        <v>682</v>
      </c>
      <c r="AE617" s="6">
        <f>1-AB617/AD617</f>
        <v>0.43988269794721413</v>
      </c>
      <c r="AF617" s="33">
        <v>0</v>
      </c>
      <c r="AG617" s="4">
        <f t="shared" si="101"/>
        <v>1140</v>
      </c>
      <c r="AH617" s="33">
        <f t="shared" si="94"/>
        <v>853.88235294117646</v>
      </c>
      <c r="AI617" s="6">
        <f>1-AB617/AH617</f>
        <v>0.55263157894736836</v>
      </c>
      <c r="AJ617" s="7">
        <v>546</v>
      </c>
      <c r="AK617" s="6">
        <f>1-AB617/AJ617</f>
        <v>0.30036630036630041</v>
      </c>
      <c r="AL617" s="4">
        <f>AJ617-AB617</f>
        <v>164</v>
      </c>
      <c r="AM617" s="28"/>
      <c r="AN617" s="6"/>
      <c r="AO617" s="6"/>
      <c r="AP617" s="6">
        <f>Z617/L617</f>
        <v>0.47894736842105262</v>
      </c>
      <c r="AQ617" s="6">
        <f>AJ617/M617</f>
        <v>0.6</v>
      </c>
      <c r="AR617" s="6">
        <f>AB617/N617</f>
        <v>0.74901960784313726</v>
      </c>
      <c r="AS617" s="4"/>
      <c r="AT617" s="4"/>
      <c r="AU617" s="4"/>
      <c r="AV617" s="4"/>
      <c r="AW617" s="4"/>
      <c r="AX617" s="4"/>
      <c r="AY617" s="4"/>
      <c r="AZ617" s="4"/>
      <c r="BA617" s="4"/>
      <c r="BB617" s="4">
        <v>0</v>
      </c>
      <c r="BC617" s="4" t="s">
        <v>4101</v>
      </c>
      <c r="BD617" s="4">
        <v>1</v>
      </c>
      <c r="BE617" s="4">
        <v>2</v>
      </c>
      <c r="BF617" s="4" t="s">
        <v>3631</v>
      </c>
      <c r="BG617" s="4">
        <v>2280</v>
      </c>
      <c r="BH617" s="4">
        <v>2280</v>
      </c>
      <c r="BI617" s="4">
        <f t="shared" si="102"/>
        <v>1140</v>
      </c>
      <c r="BJ617" s="19">
        <v>4</v>
      </c>
      <c r="BK617" s="19">
        <v>8</v>
      </c>
      <c r="BL617" s="16">
        <v>6</v>
      </c>
      <c r="BM617" s="45" t="s">
        <v>3534</v>
      </c>
      <c r="BN617" t="s">
        <v>3534</v>
      </c>
      <c r="BO617" t="str">
        <f t="shared" si="95"/>
        <v>-</v>
      </c>
      <c r="BP617" t="s">
        <v>3534</v>
      </c>
      <c r="BQ617">
        <v>1083</v>
      </c>
      <c r="BR617">
        <f t="shared" si="96"/>
        <v>811.1882352941177</v>
      </c>
      <c r="BS617" t="s">
        <v>2986</v>
      </c>
    </row>
    <row r="618" spans="1:71" x14ac:dyDescent="0.4">
      <c r="A618" s="3">
        <v>615</v>
      </c>
      <c r="B618" s="3">
        <v>615</v>
      </c>
      <c r="C618" s="4" t="s">
        <v>677</v>
      </c>
      <c r="D618" s="4" t="str">
        <f t="shared" si="97"/>
        <v>J563WE</v>
      </c>
      <c r="E618" s="4" t="s">
        <v>677</v>
      </c>
      <c r="F618" s="4" t="s">
        <v>1895</v>
      </c>
      <c r="G618" s="5">
        <v>4521718191997</v>
      </c>
      <c r="H618" s="5"/>
      <c r="I618" s="5"/>
      <c r="J618" s="5">
        <v>1</v>
      </c>
      <c r="K618" s="5">
        <v>1</v>
      </c>
      <c r="L618" s="4">
        <v>1140</v>
      </c>
      <c r="M618" s="4">
        <v>910</v>
      </c>
      <c r="N618" s="4">
        <v>510</v>
      </c>
      <c r="O618" s="6">
        <f t="shared" si="98"/>
        <v>0.43956043956043955</v>
      </c>
      <c r="P618" s="4" t="s">
        <v>2500</v>
      </c>
      <c r="Q618" s="4"/>
      <c r="R618" s="4"/>
      <c r="S618" s="4"/>
      <c r="T618" s="4"/>
      <c r="U618" s="4"/>
      <c r="V618" s="4"/>
      <c r="W618" s="4"/>
      <c r="X618" s="4"/>
      <c r="Y618" s="4">
        <v>546</v>
      </c>
      <c r="Z618" s="4">
        <f t="shared" si="99"/>
        <v>546</v>
      </c>
      <c r="AA618" s="4">
        <v>382</v>
      </c>
      <c r="AB618" s="4">
        <f t="shared" si="100"/>
        <v>382</v>
      </c>
      <c r="AC618" s="4"/>
      <c r="AD618" s="21">
        <f>ROUND(M618*AR618,0)</f>
        <v>682</v>
      </c>
      <c r="AE618" s="6">
        <f>1-AB618/AD618</f>
        <v>0.43988269794721413</v>
      </c>
      <c r="AF618" s="33">
        <v>0</v>
      </c>
      <c r="AG618" s="4">
        <f t="shared" si="101"/>
        <v>1140</v>
      </c>
      <c r="AH618" s="33">
        <f t="shared" si="94"/>
        <v>853.88235294117646</v>
      </c>
      <c r="AI618" s="6">
        <f>1-AB618/AH618</f>
        <v>0.55263157894736836</v>
      </c>
      <c r="AJ618" s="7">
        <v>546</v>
      </c>
      <c r="AK618" s="6">
        <f>1-AB618/AJ618</f>
        <v>0.30036630036630041</v>
      </c>
      <c r="AL618" s="4">
        <f>AJ618-AB618</f>
        <v>164</v>
      </c>
      <c r="AM618" s="28"/>
      <c r="AN618" s="6"/>
      <c r="AO618" s="6"/>
      <c r="AP618" s="6">
        <f>Z618/L618</f>
        <v>0.47894736842105262</v>
      </c>
      <c r="AQ618" s="6">
        <f>AJ618/M618</f>
        <v>0.6</v>
      </c>
      <c r="AR618" s="6">
        <f>AB618/N618</f>
        <v>0.74901960784313726</v>
      </c>
      <c r="AS618" s="4"/>
      <c r="AT618" s="4"/>
      <c r="AU618" s="4"/>
      <c r="AV618" s="4"/>
      <c r="AW618" s="4"/>
      <c r="AX618" s="4"/>
      <c r="AY618" s="4"/>
      <c r="AZ618" s="4"/>
      <c r="BA618" s="4"/>
      <c r="BB618" s="4">
        <v>0</v>
      </c>
      <c r="BC618" s="4" t="s">
        <v>4102</v>
      </c>
      <c r="BD618" s="4">
        <v>1</v>
      </c>
      <c r="BE618" s="4">
        <v>2</v>
      </c>
      <c r="BF618" s="4" t="s">
        <v>3631</v>
      </c>
      <c r="BG618" s="4">
        <v>2280</v>
      </c>
      <c r="BH618" s="4">
        <v>2280</v>
      </c>
      <c r="BI618" s="4">
        <f t="shared" si="102"/>
        <v>1140</v>
      </c>
      <c r="BJ618" s="19">
        <v>4</v>
      </c>
      <c r="BK618" s="19">
        <v>8</v>
      </c>
      <c r="BL618" s="16">
        <v>6</v>
      </c>
      <c r="BM618" s="45" t="s">
        <v>3534</v>
      </c>
      <c r="BN618" t="s">
        <v>3534</v>
      </c>
      <c r="BO618" t="str">
        <f t="shared" si="95"/>
        <v>-</v>
      </c>
      <c r="BP618" t="s">
        <v>3534</v>
      </c>
      <c r="BQ618">
        <v>1083</v>
      </c>
      <c r="BR618">
        <f t="shared" si="96"/>
        <v>811.1882352941177</v>
      </c>
      <c r="BS618" t="s">
        <v>2987</v>
      </c>
    </row>
    <row r="619" spans="1:71" x14ac:dyDescent="0.4">
      <c r="A619" s="3">
        <v>616</v>
      </c>
      <c r="B619" s="3">
        <v>616</v>
      </c>
      <c r="C619" s="4" t="s">
        <v>678</v>
      </c>
      <c r="D619" s="4" t="str">
        <f t="shared" si="97"/>
        <v>J564WE</v>
      </c>
      <c r="E619" s="4" t="s">
        <v>678</v>
      </c>
      <c r="F619" s="4" t="s">
        <v>1896</v>
      </c>
      <c r="G619" s="5">
        <v>4521718192000</v>
      </c>
      <c r="H619" s="5"/>
      <c r="I619" s="5"/>
      <c r="J619" s="5">
        <v>1</v>
      </c>
      <c r="K619" s="5">
        <v>1</v>
      </c>
      <c r="L619" s="4">
        <v>1210</v>
      </c>
      <c r="M619" s="4">
        <v>970</v>
      </c>
      <c r="N619" s="4">
        <v>541</v>
      </c>
      <c r="O619" s="6">
        <f t="shared" si="98"/>
        <v>0.44226804123711339</v>
      </c>
      <c r="P619" s="4" t="s">
        <v>2500</v>
      </c>
      <c r="Q619" s="4"/>
      <c r="R619" s="4"/>
      <c r="S619" s="4"/>
      <c r="T619" s="4"/>
      <c r="U619" s="4"/>
      <c r="V619" s="4"/>
      <c r="W619" s="4"/>
      <c r="X619" s="4"/>
      <c r="Y619" s="4">
        <v>591</v>
      </c>
      <c r="Z619" s="4">
        <f t="shared" si="99"/>
        <v>591</v>
      </c>
      <c r="AA619" s="4">
        <v>414</v>
      </c>
      <c r="AB619" s="4">
        <f t="shared" si="100"/>
        <v>414</v>
      </c>
      <c r="AC619" s="4"/>
      <c r="AD619" s="21">
        <f>ROUND(M619*AR619,0)</f>
        <v>742</v>
      </c>
      <c r="AE619" s="6">
        <f>1-AB619/AD619</f>
        <v>0.44204851752021568</v>
      </c>
      <c r="AF619" s="33">
        <v>0</v>
      </c>
      <c r="AG619" s="4">
        <f t="shared" si="101"/>
        <v>1210</v>
      </c>
      <c r="AH619" s="33">
        <f t="shared" si="94"/>
        <v>925.95194085027731</v>
      </c>
      <c r="AI619" s="6">
        <f>1-AB619/AH619</f>
        <v>0.55289256198347103</v>
      </c>
      <c r="AJ619" s="7">
        <v>591</v>
      </c>
      <c r="AK619" s="6">
        <f>1-AB619/AJ619</f>
        <v>0.29949238578680204</v>
      </c>
      <c r="AL619" s="4">
        <f>AJ619-AB619</f>
        <v>177</v>
      </c>
      <c r="AM619" s="28"/>
      <c r="AN619" s="6"/>
      <c r="AO619" s="6"/>
      <c r="AP619" s="6">
        <f>Z619/L619</f>
        <v>0.48842975206611572</v>
      </c>
      <c r="AQ619" s="6">
        <f>AJ619/M619</f>
        <v>0.60927835051546386</v>
      </c>
      <c r="AR619" s="6">
        <f>AB619/N619</f>
        <v>0.76524953789279115</v>
      </c>
      <c r="AS619" s="4"/>
      <c r="AT619" s="4"/>
      <c r="AU619" s="4"/>
      <c r="AV619" s="4"/>
      <c r="AW619" s="4"/>
      <c r="AX619" s="4"/>
      <c r="AY619" s="4"/>
      <c r="AZ619" s="4"/>
      <c r="BA619" s="4"/>
      <c r="BB619" s="4">
        <v>0</v>
      </c>
      <c r="BC619" s="4" t="s">
        <v>4103</v>
      </c>
      <c r="BD619" s="4">
        <v>1</v>
      </c>
      <c r="BE619" s="4">
        <v>2</v>
      </c>
      <c r="BF619" s="4" t="s">
        <v>3631</v>
      </c>
      <c r="BG619" s="4">
        <v>2420</v>
      </c>
      <c r="BH619" s="4">
        <v>2420</v>
      </c>
      <c r="BI619" s="4">
        <f t="shared" si="102"/>
        <v>1210</v>
      </c>
      <c r="BJ619" s="19">
        <v>4</v>
      </c>
      <c r="BK619" s="19">
        <v>8</v>
      </c>
      <c r="BL619" s="16">
        <v>6</v>
      </c>
      <c r="BM619" s="45" t="s">
        <v>3534</v>
      </c>
      <c r="BN619" t="s">
        <v>3534</v>
      </c>
      <c r="BO619" t="str">
        <f t="shared" si="95"/>
        <v>-</v>
      </c>
      <c r="BP619" t="s">
        <v>3534</v>
      </c>
      <c r="BQ619">
        <v>1150</v>
      </c>
      <c r="BR619">
        <f t="shared" si="96"/>
        <v>880.0369685767098</v>
      </c>
      <c r="BS619" t="s">
        <v>2988</v>
      </c>
    </row>
    <row r="620" spans="1:71" x14ac:dyDescent="0.4">
      <c r="A620" s="3">
        <v>617</v>
      </c>
      <c r="B620" s="3">
        <v>617</v>
      </c>
      <c r="C620" s="4" t="s">
        <v>679</v>
      </c>
      <c r="D620" s="4" t="str">
        <f t="shared" si="97"/>
        <v>J565WE</v>
      </c>
      <c r="E620" s="4" t="s">
        <v>679</v>
      </c>
      <c r="F620" s="4" t="s">
        <v>1897</v>
      </c>
      <c r="G620" s="5">
        <v>4521718192017</v>
      </c>
      <c r="H620" s="5"/>
      <c r="I620" s="5"/>
      <c r="J620" s="5">
        <v>1</v>
      </c>
      <c r="K620" s="5">
        <v>1</v>
      </c>
      <c r="L620" s="4">
        <v>1210</v>
      </c>
      <c r="M620" s="4">
        <v>970</v>
      </c>
      <c r="N620" s="4">
        <v>541</v>
      </c>
      <c r="O620" s="6">
        <f t="shared" si="98"/>
        <v>0.44226804123711339</v>
      </c>
      <c r="P620" s="4" t="s">
        <v>2500</v>
      </c>
      <c r="Q620" s="4"/>
      <c r="R620" s="4"/>
      <c r="S620" s="4"/>
      <c r="T620" s="4"/>
      <c r="U620" s="4"/>
      <c r="V620" s="4"/>
      <c r="W620" s="4"/>
      <c r="X620" s="4"/>
      <c r="Y620" s="4">
        <v>591</v>
      </c>
      <c r="Z620" s="4">
        <f t="shared" si="99"/>
        <v>591</v>
      </c>
      <c r="AA620" s="4">
        <v>414</v>
      </c>
      <c r="AB620" s="4">
        <f t="shared" si="100"/>
        <v>414</v>
      </c>
      <c r="AC620" s="4"/>
      <c r="AD620" s="21">
        <f>ROUND(M620*AR620,0)</f>
        <v>742</v>
      </c>
      <c r="AE620" s="6">
        <f>1-AB620/AD620</f>
        <v>0.44204851752021568</v>
      </c>
      <c r="AF620" s="33">
        <v>0</v>
      </c>
      <c r="AG620" s="4">
        <f t="shared" si="101"/>
        <v>1210</v>
      </c>
      <c r="AH620" s="33">
        <f t="shared" si="94"/>
        <v>925.95194085027731</v>
      </c>
      <c r="AI620" s="6">
        <f>1-AB620/AH620</f>
        <v>0.55289256198347103</v>
      </c>
      <c r="AJ620" s="7">
        <v>591</v>
      </c>
      <c r="AK620" s="6">
        <f>1-AB620/AJ620</f>
        <v>0.29949238578680204</v>
      </c>
      <c r="AL620" s="4">
        <f>AJ620-AB620</f>
        <v>177</v>
      </c>
      <c r="AM620" s="28"/>
      <c r="AN620" s="6"/>
      <c r="AO620" s="6"/>
      <c r="AP620" s="6">
        <f>Z620/L620</f>
        <v>0.48842975206611572</v>
      </c>
      <c r="AQ620" s="6">
        <f>AJ620/M620</f>
        <v>0.60927835051546386</v>
      </c>
      <c r="AR620" s="6">
        <f>AB620/N620</f>
        <v>0.76524953789279115</v>
      </c>
      <c r="AS620" s="4"/>
      <c r="AT620" s="4"/>
      <c r="AU620" s="4"/>
      <c r="AV620" s="4"/>
      <c r="AW620" s="4"/>
      <c r="AX620" s="4"/>
      <c r="AY620" s="4"/>
      <c r="AZ620" s="4"/>
      <c r="BA620" s="4"/>
      <c r="BB620" s="4">
        <v>0</v>
      </c>
      <c r="BC620" s="4" t="s">
        <v>4104</v>
      </c>
      <c r="BD620" s="4">
        <v>1</v>
      </c>
      <c r="BE620" s="4">
        <v>2</v>
      </c>
      <c r="BF620" s="4" t="s">
        <v>3631</v>
      </c>
      <c r="BG620" s="4">
        <v>2420</v>
      </c>
      <c r="BH620" s="4">
        <v>2420</v>
      </c>
      <c r="BI620" s="4">
        <f t="shared" si="102"/>
        <v>1210</v>
      </c>
      <c r="BJ620" s="19">
        <v>4</v>
      </c>
      <c r="BK620" s="19">
        <v>8</v>
      </c>
      <c r="BL620" s="16">
        <v>6</v>
      </c>
      <c r="BM620" s="45" t="s">
        <v>3534</v>
      </c>
      <c r="BN620" t="s">
        <v>3534</v>
      </c>
      <c r="BO620" t="str">
        <f t="shared" si="95"/>
        <v>-</v>
      </c>
      <c r="BP620" t="s">
        <v>3534</v>
      </c>
      <c r="BQ620">
        <v>1150</v>
      </c>
      <c r="BR620">
        <f t="shared" si="96"/>
        <v>880.0369685767098</v>
      </c>
      <c r="BS620" t="s">
        <v>2989</v>
      </c>
    </row>
    <row r="621" spans="1:71" x14ac:dyDescent="0.4">
      <c r="A621" s="3">
        <v>618</v>
      </c>
      <c r="B621" s="3">
        <v>618</v>
      </c>
      <c r="C621" s="4" t="s">
        <v>680</v>
      </c>
      <c r="D621" s="4" t="str">
        <f t="shared" si="97"/>
        <v>J567WE</v>
      </c>
      <c r="E621" s="4" t="s">
        <v>680</v>
      </c>
      <c r="F621" s="4" t="s">
        <v>1898</v>
      </c>
      <c r="G621" s="5">
        <v>4521718192055</v>
      </c>
      <c r="H621" s="5"/>
      <c r="I621" s="5"/>
      <c r="J621" s="5">
        <v>1</v>
      </c>
      <c r="K621" s="5">
        <v>1</v>
      </c>
      <c r="L621" s="4">
        <v>940</v>
      </c>
      <c r="M621" s="4">
        <v>750</v>
      </c>
      <c r="N621" s="4">
        <v>420</v>
      </c>
      <c r="O621" s="6">
        <f t="shared" si="98"/>
        <v>0.43999999999999995</v>
      </c>
      <c r="P621" s="4" t="s">
        <v>2500</v>
      </c>
      <c r="Q621" s="4"/>
      <c r="R621" s="4"/>
      <c r="S621" s="4"/>
      <c r="T621" s="4"/>
      <c r="U621" s="4"/>
      <c r="V621" s="4"/>
      <c r="W621" s="4"/>
      <c r="X621" s="4"/>
      <c r="Y621" s="4">
        <v>600</v>
      </c>
      <c r="Z621" s="4">
        <f t="shared" si="99"/>
        <v>600</v>
      </c>
      <c r="AA621" s="4">
        <v>420</v>
      </c>
      <c r="AB621" s="4">
        <f t="shared" si="100"/>
        <v>420</v>
      </c>
      <c r="AC621" s="4"/>
      <c r="AD621" s="21">
        <f>ROUND(M621*AR621,0)</f>
        <v>750</v>
      </c>
      <c r="AE621" s="6">
        <f>1-AB621/AD621</f>
        <v>0.43999999999999995</v>
      </c>
      <c r="AF621" s="33">
        <v>0</v>
      </c>
      <c r="AG621" s="4">
        <f t="shared" si="101"/>
        <v>940</v>
      </c>
      <c r="AH621" s="33">
        <f t="shared" si="94"/>
        <v>940</v>
      </c>
      <c r="AI621" s="6">
        <f>1-AB621/AH621</f>
        <v>0.55319148936170215</v>
      </c>
      <c r="AJ621" s="7">
        <v>600</v>
      </c>
      <c r="AK621" s="6">
        <f>1-AB621/AJ621</f>
        <v>0.30000000000000004</v>
      </c>
      <c r="AL621" s="4">
        <f>AJ621-AB621</f>
        <v>180</v>
      </c>
      <c r="AM621" s="28"/>
      <c r="AN621" s="6"/>
      <c r="AO621" s="6"/>
      <c r="AP621" s="6">
        <f>Z621/L621</f>
        <v>0.63829787234042556</v>
      </c>
      <c r="AQ621" s="6">
        <f>AJ621/M621</f>
        <v>0.8</v>
      </c>
      <c r="AR621" s="6">
        <f>AB621/N621</f>
        <v>1</v>
      </c>
      <c r="AS621" s="4"/>
      <c r="AT621" s="4"/>
      <c r="AU621" s="4"/>
      <c r="AV621" s="4"/>
      <c r="AW621" s="4"/>
      <c r="AX621" s="4"/>
      <c r="AY621" s="4"/>
      <c r="AZ621" s="4"/>
      <c r="BA621" s="4"/>
      <c r="BB621" s="4">
        <v>0</v>
      </c>
      <c r="BC621" s="4" t="s">
        <v>4105</v>
      </c>
      <c r="BD621" s="4">
        <v>1</v>
      </c>
      <c r="BE621" s="4">
        <v>2</v>
      </c>
      <c r="BF621" s="4" t="s">
        <v>3631</v>
      </c>
      <c r="BG621" s="4">
        <v>1880</v>
      </c>
      <c r="BH621" s="4">
        <v>1880</v>
      </c>
      <c r="BI621" s="4">
        <f t="shared" si="102"/>
        <v>940</v>
      </c>
      <c r="BJ621" s="19">
        <v>4</v>
      </c>
      <c r="BK621" s="19">
        <v>8</v>
      </c>
      <c r="BL621" s="16">
        <v>6</v>
      </c>
      <c r="BM621" s="45" t="s">
        <v>3534</v>
      </c>
      <c r="BN621" t="s">
        <v>3534</v>
      </c>
      <c r="BO621" t="str">
        <f t="shared" si="95"/>
        <v>-</v>
      </c>
      <c r="BP621" t="s">
        <v>3534</v>
      </c>
      <c r="BQ621" t="s">
        <v>3534</v>
      </c>
      <c r="BR621" t="str">
        <f t="shared" si="96"/>
        <v>-</v>
      </c>
      <c r="BS621" t="s">
        <v>2990</v>
      </c>
    </row>
    <row r="622" spans="1:71" x14ac:dyDescent="0.4">
      <c r="A622" s="3">
        <v>619</v>
      </c>
      <c r="B622" s="3">
        <v>619</v>
      </c>
      <c r="C622" s="4" t="s">
        <v>681</v>
      </c>
      <c r="D622" s="4" t="str">
        <f t="shared" si="97"/>
        <v>J566WE</v>
      </c>
      <c r="E622" s="4" t="s">
        <v>681</v>
      </c>
      <c r="F622" s="4" t="s">
        <v>1899</v>
      </c>
      <c r="G622" s="5">
        <v>4521718192024</v>
      </c>
      <c r="H622" s="5"/>
      <c r="I622" s="5"/>
      <c r="J622" s="5">
        <v>1</v>
      </c>
      <c r="K622" s="5">
        <v>1</v>
      </c>
      <c r="L622" s="4">
        <v>1210</v>
      </c>
      <c r="M622" s="4">
        <v>970</v>
      </c>
      <c r="N622" s="4">
        <v>541</v>
      </c>
      <c r="O622" s="6">
        <f t="shared" si="98"/>
        <v>0.44226804123711339</v>
      </c>
      <c r="P622" s="4" t="s">
        <v>2500</v>
      </c>
      <c r="Q622" s="4"/>
      <c r="R622" s="4"/>
      <c r="S622" s="4"/>
      <c r="T622" s="4"/>
      <c r="U622" s="4"/>
      <c r="V622" s="4"/>
      <c r="W622" s="4"/>
      <c r="X622" s="4"/>
      <c r="Y622" s="4">
        <v>591</v>
      </c>
      <c r="Z622" s="4">
        <f t="shared" si="99"/>
        <v>591</v>
      </c>
      <c r="AA622" s="4">
        <v>414</v>
      </c>
      <c r="AB622" s="4">
        <f t="shared" si="100"/>
        <v>414</v>
      </c>
      <c r="AC622" s="4"/>
      <c r="AD622" s="21">
        <f>ROUND(M622*AR622,0)</f>
        <v>742</v>
      </c>
      <c r="AE622" s="6">
        <f>1-AB622/AD622</f>
        <v>0.44204851752021568</v>
      </c>
      <c r="AF622" s="33">
        <v>0</v>
      </c>
      <c r="AG622" s="4">
        <f t="shared" si="101"/>
        <v>1210</v>
      </c>
      <c r="AH622" s="33">
        <f t="shared" si="94"/>
        <v>925.95194085027731</v>
      </c>
      <c r="AI622" s="6">
        <f>1-AB622/AH622</f>
        <v>0.55289256198347103</v>
      </c>
      <c r="AJ622" s="7">
        <v>591</v>
      </c>
      <c r="AK622" s="6">
        <f>1-AB622/AJ622</f>
        <v>0.29949238578680204</v>
      </c>
      <c r="AL622" s="4">
        <f>AJ622-AB622</f>
        <v>177</v>
      </c>
      <c r="AM622" s="28"/>
      <c r="AN622" s="6"/>
      <c r="AO622" s="6"/>
      <c r="AP622" s="6">
        <f>Z622/L622</f>
        <v>0.48842975206611572</v>
      </c>
      <c r="AQ622" s="6">
        <f>AJ622/M622</f>
        <v>0.60927835051546386</v>
      </c>
      <c r="AR622" s="6">
        <f>AB622/N622</f>
        <v>0.76524953789279115</v>
      </c>
      <c r="AS622" s="4"/>
      <c r="AT622" s="4"/>
      <c r="AU622" s="4"/>
      <c r="AV622" s="4"/>
      <c r="AW622" s="4"/>
      <c r="AX622" s="4"/>
      <c r="AY622" s="4"/>
      <c r="AZ622" s="4"/>
      <c r="BA622" s="4"/>
      <c r="BB622" s="4">
        <v>0</v>
      </c>
      <c r="BC622" s="4" t="s">
        <v>4106</v>
      </c>
      <c r="BD622" s="4">
        <v>1</v>
      </c>
      <c r="BE622" s="4">
        <v>2</v>
      </c>
      <c r="BF622" s="4" t="s">
        <v>3631</v>
      </c>
      <c r="BG622" s="4">
        <v>2420</v>
      </c>
      <c r="BH622" s="4">
        <v>2420</v>
      </c>
      <c r="BI622" s="4">
        <f t="shared" si="102"/>
        <v>1210</v>
      </c>
      <c r="BJ622" s="19">
        <v>4</v>
      </c>
      <c r="BK622" s="19">
        <v>8</v>
      </c>
      <c r="BL622" s="16">
        <v>6</v>
      </c>
      <c r="BM622" s="45" t="s">
        <v>3534</v>
      </c>
      <c r="BN622" t="s">
        <v>3534</v>
      </c>
      <c r="BO622" t="str">
        <f t="shared" si="95"/>
        <v>-</v>
      </c>
      <c r="BP622" t="s">
        <v>3534</v>
      </c>
      <c r="BQ622">
        <v>1150</v>
      </c>
      <c r="BR622">
        <f t="shared" si="96"/>
        <v>880.0369685767098</v>
      </c>
      <c r="BS622" t="s">
        <v>2991</v>
      </c>
    </row>
    <row r="623" spans="1:71" x14ac:dyDescent="0.4">
      <c r="A623" s="3">
        <v>620</v>
      </c>
      <c r="B623" s="3">
        <v>620</v>
      </c>
      <c r="C623" s="4" t="s">
        <v>682</v>
      </c>
      <c r="D623" s="4" t="str">
        <f t="shared" si="97"/>
        <v>J569RR</v>
      </c>
      <c r="E623" s="4" t="s">
        <v>682</v>
      </c>
      <c r="F623" s="4" t="s">
        <v>1900</v>
      </c>
      <c r="G623" s="5">
        <v>4521718095264</v>
      </c>
      <c r="H623" s="5"/>
      <c r="I623" s="5"/>
      <c r="J623" s="5">
        <v>1</v>
      </c>
      <c r="K623" s="5">
        <v>1</v>
      </c>
      <c r="L623" s="4">
        <v>460</v>
      </c>
      <c r="M623" s="4">
        <v>307</v>
      </c>
      <c r="N623" s="4">
        <v>207</v>
      </c>
      <c r="O623" s="6">
        <f t="shared" si="98"/>
        <v>0.32573289902280134</v>
      </c>
      <c r="P623" s="4" t="s">
        <v>2500</v>
      </c>
      <c r="Q623" s="4"/>
      <c r="R623" s="4"/>
      <c r="S623" s="4"/>
      <c r="T623" s="4"/>
      <c r="U623" s="4"/>
      <c r="V623" s="4"/>
      <c r="W623" s="4"/>
      <c r="X623" s="4"/>
      <c r="Y623" s="4">
        <v>464</v>
      </c>
      <c r="Z623" s="4">
        <f t="shared" si="99"/>
        <v>464</v>
      </c>
      <c r="AA623" s="4">
        <v>209</v>
      </c>
      <c r="AB623" s="4">
        <f t="shared" si="100"/>
        <v>209</v>
      </c>
      <c r="AC623" s="4"/>
      <c r="AD623" s="21">
        <f>ROUND(M623*AR623,0)</f>
        <v>310</v>
      </c>
      <c r="AE623" s="6">
        <f>1-AB623/AD623</f>
        <v>0.32580645161290323</v>
      </c>
      <c r="AF623" s="33">
        <v>0</v>
      </c>
      <c r="AG623" s="4">
        <f t="shared" si="101"/>
        <v>339.5</v>
      </c>
      <c r="AH623" s="33">
        <f t="shared" si="94"/>
        <v>342.78019323671498</v>
      </c>
      <c r="AI623" s="6">
        <f>1-AB623/AH623</f>
        <v>0.39027982326951405</v>
      </c>
      <c r="AJ623" s="7">
        <f>ROUND(AB623/0.65,0)</f>
        <v>322</v>
      </c>
      <c r="AK623" s="6">
        <f>1-AB623/AJ623</f>
        <v>0.35093167701863359</v>
      </c>
      <c r="AL623" s="4">
        <f>AJ623-AB623</f>
        <v>113</v>
      </c>
      <c r="AM623" s="28"/>
      <c r="AN623" s="6"/>
      <c r="AO623" s="6"/>
      <c r="AP623" s="6">
        <f>Z623/L623</f>
        <v>1.008695652173913</v>
      </c>
      <c r="AQ623" s="6">
        <f>AJ623/M623</f>
        <v>1.0488599348534202</v>
      </c>
      <c r="AR623" s="6">
        <f>AB623/N623</f>
        <v>1.0096618357487923</v>
      </c>
      <c r="AS623" s="4"/>
      <c r="AT623" s="4"/>
      <c r="AU623" s="4"/>
      <c r="AV623" s="4"/>
      <c r="AW623" s="4"/>
      <c r="AX623" s="4"/>
      <c r="AY623" s="4"/>
      <c r="AZ623" s="4"/>
      <c r="BA623" s="4"/>
      <c r="BB623" s="4">
        <v>0</v>
      </c>
      <c r="BC623" s="4" t="s">
        <v>4107</v>
      </c>
      <c r="BD623" s="4">
        <v>1</v>
      </c>
      <c r="BE623" s="4">
        <v>4</v>
      </c>
      <c r="BF623" s="4" t="s">
        <v>3991</v>
      </c>
      <c r="BG623" s="4">
        <v>1358</v>
      </c>
      <c r="BH623" s="4">
        <v>1358</v>
      </c>
      <c r="BI623" s="4">
        <f t="shared" si="102"/>
        <v>339.5</v>
      </c>
      <c r="BJ623" s="19">
        <v>4</v>
      </c>
      <c r="BK623" s="19">
        <v>8</v>
      </c>
      <c r="BL623" s="16">
        <v>6</v>
      </c>
      <c r="BM623" s="45" t="s">
        <v>3534</v>
      </c>
      <c r="BN623" t="s">
        <v>3534</v>
      </c>
      <c r="BO623" t="str">
        <f t="shared" si="95"/>
        <v>-</v>
      </c>
      <c r="BP623" t="s">
        <v>3534</v>
      </c>
      <c r="BQ623">
        <v>319</v>
      </c>
      <c r="BR623">
        <f t="shared" si="96"/>
        <v>322.08212560386477</v>
      </c>
      <c r="BS623" t="s">
        <v>2992</v>
      </c>
    </row>
    <row r="624" spans="1:71" x14ac:dyDescent="0.4">
      <c r="A624" s="3">
        <v>621</v>
      </c>
      <c r="B624" s="3">
        <v>621</v>
      </c>
      <c r="C624" s="4" t="s">
        <v>683</v>
      </c>
      <c r="D624" s="4" t="str">
        <f t="shared" si="97"/>
        <v>J569WE</v>
      </c>
      <c r="E624" s="4" t="s">
        <v>683</v>
      </c>
      <c r="F624" s="4" t="s">
        <v>1901</v>
      </c>
      <c r="G624" s="5">
        <v>4521718192079</v>
      </c>
      <c r="H624" s="5"/>
      <c r="I624" s="5"/>
      <c r="J624" s="5">
        <v>1</v>
      </c>
      <c r="K624" s="5">
        <v>1</v>
      </c>
      <c r="L624" s="4">
        <v>870</v>
      </c>
      <c r="M624" s="4">
        <v>700</v>
      </c>
      <c r="N624" s="4">
        <v>389</v>
      </c>
      <c r="O624" s="6">
        <f t="shared" si="98"/>
        <v>0.44428571428571428</v>
      </c>
      <c r="P624" s="4" t="s">
        <v>2500</v>
      </c>
      <c r="Q624" s="4"/>
      <c r="R624" s="4"/>
      <c r="S624" s="4"/>
      <c r="T624" s="4"/>
      <c r="U624" s="4"/>
      <c r="V624" s="4"/>
      <c r="W624" s="4"/>
      <c r="X624" s="4"/>
      <c r="Y624" s="4">
        <v>555</v>
      </c>
      <c r="Z624" s="4">
        <f t="shared" si="99"/>
        <v>555</v>
      </c>
      <c r="AA624" s="4">
        <v>389</v>
      </c>
      <c r="AB624" s="4">
        <f t="shared" si="100"/>
        <v>389</v>
      </c>
      <c r="AC624" s="4"/>
      <c r="AD624" s="21">
        <f>ROUND(M624*AR624,0)</f>
        <v>700</v>
      </c>
      <c r="AE624" s="6">
        <f>1-AB624/AD624</f>
        <v>0.44428571428571428</v>
      </c>
      <c r="AF624" s="33">
        <v>0</v>
      </c>
      <c r="AG624" s="4">
        <f t="shared" si="101"/>
        <v>870</v>
      </c>
      <c r="AH624" s="33">
        <f t="shared" si="94"/>
        <v>870</v>
      </c>
      <c r="AI624" s="6">
        <f>1-AB624/AH624</f>
        <v>0.55287356321839076</v>
      </c>
      <c r="AJ624" s="7">
        <v>555</v>
      </c>
      <c r="AK624" s="6">
        <f>1-AB624/AJ624</f>
        <v>0.29909909909909915</v>
      </c>
      <c r="AL624" s="4">
        <f>AJ624-AB624</f>
        <v>166</v>
      </c>
      <c r="AM624" s="28"/>
      <c r="AN624" s="6"/>
      <c r="AO624" s="6"/>
      <c r="AP624" s="6">
        <f>Z624/L624</f>
        <v>0.63793103448275867</v>
      </c>
      <c r="AQ624" s="6">
        <f>AJ624/M624</f>
        <v>0.79285714285714282</v>
      </c>
      <c r="AR624" s="6">
        <f>AB624/N624</f>
        <v>1</v>
      </c>
      <c r="AS624" s="4"/>
      <c r="AT624" s="4"/>
      <c r="AU624" s="4"/>
      <c r="AV624" s="4"/>
      <c r="AW624" s="4"/>
      <c r="AX624" s="4"/>
      <c r="AY624" s="4"/>
      <c r="AZ624" s="4"/>
      <c r="BA624" s="4"/>
      <c r="BB624" s="4">
        <v>0</v>
      </c>
      <c r="BC624" s="4" t="s">
        <v>4108</v>
      </c>
      <c r="BD624" s="4">
        <v>1</v>
      </c>
      <c r="BE624" s="4">
        <v>2</v>
      </c>
      <c r="BF624" s="4" t="s">
        <v>3631</v>
      </c>
      <c r="BG624" s="4">
        <v>1740</v>
      </c>
      <c r="BH624" s="4">
        <v>1740</v>
      </c>
      <c r="BI624" s="4">
        <f t="shared" si="102"/>
        <v>870</v>
      </c>
      <c r="BJ624" s="19">
        <v>4</v>
      </c>
      <c r="BK624" s="19">
        <v>8</v>
      </c>
      <c r="BL624" s="16">
        <v>6</v>
      </c>
      <c r="BM624" s="45" t="s">
        <v>3534</v>
      </c>
      <c r="BN624" t="s">
        <v>3534</v>
      </c>
      <c r="BO624" t="str">
        <f t="shared" si="95"/>
        <v>-</v>
      </c>
      <c r="BP624" t="s">
        <v>3534</v>
      </c>
      <c r="BQ624">
        <v>827</v>
      </c>
      <c r="BR624">
        <f t="shared" si="96"/>
        <v>827</v>
      </c>
      <c r="BS624" t="s">
        <v>2993</v>
      </c>
    </row>
    <row r="625" spans="1:71" x14ac:dyDescent="0.4">
      <c r="A625" s="3">
        <v>622</v>
      </c>
      <c r="B625" s="3">
        <v>622</v>
      </c>
      <c r="C625" s="4" t="s">
        <v>684</v>
      </c>
      <c r="D625" s="4" t="str">
        <f t="shared" si="97"/>
        <v>J568WE</v>
      </c>
      <c r="E625" s="4" t="s">
        <v>684</v>
      </c>
      <c r="F625" s="4" t="s">
        <v>1902</v>
      </c>
      <c r="G625" s="5">
        <v>4521718192062</v>
      </c>
      <c r="H625" s="5"/>
      <c r="I625" s="5"/>
      <c r="J625" s="5">
        <v>1</v>
      </c>
      <c r="K625" s="5">
        <v>1</v>
      </c>
      <c r="L625" s="4">
        <v>1040</v>
      </c>
      <c r="M625" s="4">
        <v>830</v>
      </c>
      <c r="N625" s="4">
        <v>465</v>
      </c>
      <c r="O625" s="6">
        <f t="shared" si="98"/>
        <v>0.43975903614457834</v>
      </c>
      <c r="P625" s="4" t="s">
        <v>2500</v>
      </c>
      <c r="Q625" s="4"/>
      <c r="R625" s="4"/>
      <c r="S625" s="4"/>
      <c r="T625" s="4"/>
      <c r="U625" s="4"/>
      <c r="V625" s="4"/>
      <c r="W625" s="4"/>
      <c r="X625" s="4"/>
      <c r="Y625" s="4">
        <v>664</v>
      </c>
      <c r="Z625" s="4">
        <f t="shared" si="99"/>
        <v>664</v>
      </c>
      <c r="AA625" s="4">
        <v>465</v>
      </c>
      <c r="AB625" s="4">
        <f t="shared" si="100"/>
        <v>465</v>
      </c>
      <c r="AC625" s="4"/>
      <c r="AD625" s="21">
        <f>ROUND(M625*AR625,0)</f>
        <v>830</v>
      </c>
      <c r="AE625" s="6">
        <f>1-AB625/AD625</f>
        <v>0.43975903614457834</v>
      </c>
      <c r="AF625" s="33">
        <v>0</v>
      </c>
      <c r="AG625" s="4">
        <f t="shared" si="101"/>
        <v>1040</v>
      </c>
      <c r="AH625" s="33">
        <f t="shared" si="94"/>
        <v>1040</v>
      </c>
      <c r="AI625" s="6">
        <f>1-AB625/AH625</f>
        <v>0.55288461538461542</v>
      </c>
      <c r="AJ625" s="7">
        <v>664</v>
      </c>
      <c r="AK625" s="6">
        <f>1-AB625/AJ625</f>
        <v>0.29969879518072284</v>
      </c>
      <c r="AL625" s="4">
        <f>AJ625-AB625</f>
        <v>199</v>
      </c>
      <c r="AM625" s="28"/>
      <c r="AN625" s="6"/>
      <c r="AO625" s="6"/>
      <c r="AP625" s="6">
        <f>Z625/L625</f>
        <v>0.63846153846153841</v>
      </c>
      <c r="AQ625" s="6">
        <f>AJ625/M625</f>
        <v>0.8</v>
      </c>
      <c r="AR625" s="6">
        <f>AB625/N625</f>
        <v>1</v>
      </c>
      <c r="AS625" s="4"/>
      <c r="AT625" s="4"/>
      <c r="AU625" s="4"/>
      <c r="AV625" s="4"/>
      <c r="AW625" s="4"/>
      <c r="AX625" s="4"/>
      <c r="AY625" s="4"/>
      <c r="AZ625" s="4"/>
      <c r="BA625" s="4"/>
      <c r="BB625" s="4">
        <v>0</v>
      </c>
      <c r="BC625" s="4" t="s">
        <v>4109</v>
      </c>
      <c r="BD625" s="4">
        <v>1</v>
      </c>
      <c r="BE625" s="4">
        <v>2</v>
      </c>
      <c r="BF625" s="4" t="s">
        <v>3631</v>
      </c>
      <c r="BG625" s="4">
        <v>2080</v>
      </c>
      <c r="BH625" s="4">
        <v>2080</v>
      </c>
      <c r="BI625" s="4">
        <f t="shared" si="102"/>
        <v>1040</v>
      </c>
      <c r="BJ625" s="19">
        <v>4</v>
      </c>
      <c r="BK625" s="19">
        <v>8</v>
      </c>
      <c r="BL625" s="16">
        <v>6</v>
      </c>
      <c r="BM625" s="45" t="s">
        <v>3534</v>
      </c>
      <c r="BN625" t="s">
        <v>3534</v>
      </c>
      <c r="BO625" t="str">
        <f t="shared" si="95"/>
        <v>-</v>
      </c>
      <c r="BP625" t="s">
        <v>3534</v>
      </c>
      <c r="BQ625">
        <v>988</v>
      </c>
      <c r="BR625">
        <f t="shared" si="96"/>
        <v>988</v>
      </c>
      <c r="BS625" t="s">
        <v>2994</v>
      </c>
    </row>
    <row r="626" spans="1:71" x14ac:dyDescent="0.4">
      <c r="A626" s="3">
        <v>623</v>
      </c>
      <c r="B626" s="3">
        <v>623</v>
      </c>
      <c r="C626" s="4" t="s">
        <v>685</v>
      </c>
      <c r="D626" s="4" t="str">
        <f t="shared" si="97"/>
        <v>J570RR</v>
      </c>
      <c r="E626" s="4" t="s">
        <v>685</v>
      </c>
      <c r="F626" s="4" t="s">
        <v>1903</v>
      </c>
      <c r="G626" s="5">
        <v>4521718095271</v>
      </c>
      <c r="H626" s="5"/>
      <c r="I626" s="5"/>
      <c r="J626" s="5">
        <v>1</v>
      </c>
      <c r="K626" s="5">
        <v>1</v>
      </c>
      <c r="L626" s="4">
        <v>360</v>
      </c>
      <c r="M626" s="4">
        <v>232</v>
      </c>
      <c r="N626" s="4">
        <v>160</v>
      </c>
      <c r="O626" s="6">
        <f t="shared" si="98"/>
        <v>0.31034482758620685</v>
      </c>
      <c r="P626" s="4" t="s">
        <v>2500</v>
      </c>
      <c r="Q626" s="4"/>
      <c r="R626" s="4"/>
      <c r="S626" s="4"/>
      <c r="T626" s="4"/>
      <c r="U626" s="4"/>
      <c r="V626" s="4"/>
      <c r="W626" s="4"/>
      <c r="X626" s="4"/>
      <c r="Y626" s="4">
        <v>360</v>
      </c>
      <c r="Z626" s="4">
        <f t="shared" si="99"/>
        <v>360</v>
      </c>
      <c r="AA626" s="4">
        <v>162</v>
      </c>
      <c r="AB626" s="4">
        <f t="shared" si="100"/>
        <v>162</v>
      </c>
      <c r="AC626" s="4"/>
      <c r="AD626" s="21">
        <f>ROUND(M626*AR626,0)</f>
        <v>235</v>
      </c>
      <c r="AE626" s="6">
        <f>1-AB626/AD626</f>
        <v>0.31063829787234043</v>
      </c>
      <c r="AF626" s="33">
        <v>0.25</v>
      </c>
      <c r="AG626" s="4">
        <f t="shared" si="101"/>
        <v>338</v>
      </c>
      <c r="AH626" s="33">
        <f t="shared" si="94"/>
        <v>342.22499999999997</v>
      </c>
      <c r="AI626" s="6">
        <f>1-AB626/AH626</f>
        <v>0.52662721893491127</v>
      </c>
      <c r="AJ626" s="7">
        <f>ROUND(AB626/0.65,0)</f>
        <v>249</v>
      </c>
      <c r="AK626" s="6">
        <f>1-AB626/AJ626</f>
        <v>0.3493975903614458</v>
      </c>
      <c r="AL626" s="4">
        <f>AJ626-AB626</f>
        <v>87</v>
      </c>
      <c r="AM626" s="28"/>
      <c r="AN626" s="6"/>
      <c r="AO626" s="6"/>
      <c r="AP626" s="6">
        <f>Z626/L626</f>
        <v>1</v>
      </c>
      <c r="AQ626" s="6">
        <f>AJ626/M626</f>
        <v>1.0732758620689655</v>
      </c>
      <c r="AR626" s="6">
        <f>AB626/N626</f>
        <v>1.0125</v>
      </c>
      <c r="AS626" s="4"/>
      <c r="AT626" s="4"/>
      <c r="AU626" s="4"/>
      <c r="AV626" s="4"/>
      <c r="AW626" s="4"/>
      <c r="AX626" s="4"/>
      <c r="AY626" s="4"/>
      <c r="AZ626" s="4"/>
      <c r="BA626" s="4"/>
      <c r="BB626" s="4">
        <v>0</v>
      </c>
      <c r="BC626" s="4" t="s">
        <v>4110</v>
      </c>
      <c r="BD626" s="4">
        <v>1</v>
      </c>
      <c r="BE626" s="4">
        <v>4</v>
      </c>
      <c r="BF626" s="4" t="s">
        <v>3991</v>
      </c>
      <c r="BG626" s="4">
        <v>1352</v>
      </c>
      <c r="BH626" s="4">
        <v>1352</v>
      </c>
      <c r="BI626" s="4">
        <f t="shared" si="102"/>
        <v>338</v>
      </c>
      <c r="BJ626" s="19">
        <v>4</v>
      </c>
      <c r="BK626" s="19">
        <v>8</v>
      </c>
      <c r="BL626" s="16">
        <v>6</v>
      </c>
      <c r="BM626" s="45" t="s">
        <v>3534</v>
      </c>
      <c r="BN626" t="s">
        <v>3534</v>
      </c>
      <c r="BO626" t="str">
        <f t="shared" si="95"/>
        <v>-</v>
      </c>
      <c r="BP626" t="s">
        <v>3534</v>
      </c>
      <c r="BQ626">
        <v>246</v>
      </c>
      <c r="BR626">
        <f t="shared" si="96"/>
        <v>249.07499999999999</v>
      </c>
      <c r="BS626" t="s">
        <v>2995</v>
      </c>
    </row>
    <row r="627" spans="1:71" x14ac:dyDescent="0.4">
      <c r="A627" s="3">
        <v>624</v>
      </c>
      <c r="B627" s="3">
        <v>624</v>
      </c>
      <c r="C627" s="4" t="s">
        <v>686</v>
      </c>
      <c r="D627" s="4" t="str">
        <f t="shared" si="97"/>
        <v>J570WE</v>
      </c>
      <c r="E627" s="4" t="s">
        <v>686</v>
      </c>
      <c r="F627" s="4" t="s">
        <v>1904</v>
      </c>
      <c r="G627" s="5">
        <v>4521718192086</v>
      </c>
      <c r="H627" s="5"/>
      <c r="I627" s="5"/>
      <c r="J627" s="5">
        <v>1</v>
      </c>
      <c r="K627" s="5">
        <v>1</v>
      </c>
      <c r="L627" s="4">
        <v>870</v>
      </c>
      <c r="M627" s="4">
        <v>700</v>
      </c>
      <c r="N627" s="4">
        <v>389</v>
      </c>
      <c r="O627" s="6">
        <f t="shared" si="98"/>
        <v>0.44428571428571428</v>
      </c>
      <c r="P627" s="4" t="s">
        <v>2500</v>
      </c>
      <c r="Q627" s="4"/>
      <c r="R627" s="4"/>
      <c r="S627" s="4"/>
      <c r="T627" s="4"/>
      <c r="U627" s="4"/>
      <c r="V627" s="4"/>
      <c r="W627" s="4"/>
      <c r="X627" s="4"/>
      <c r="Y627" s="4">
        <v>555</v>
      </c>
      <c r="Z627" s="4">
        <f t="shared" si="99"/>
        <v>555</v>
      </c>
      <c r="AA627" s="4">
        <v>389</v>
      </c>
      <c r="AB627" s="4">
        <f t="shared" si="100"/>
        <v>389</v>
      </c>
      <c r="AC627" s="4"/>
      <c r="AD627" s="21">
        <f>ROUND(M627*AR627,0)</f>
        <v>700</v>
      </c>
      <c r="AE627" s="6">
        <f>1-AB627/AD627</f>
        <v>0.44428571428571428</v>
      </c>
      <c r="AF627" s="33">
        <v>0</v>
      </c>
      <c r="AG627" s="4">
        <f t="shared" si="101"/>
        <v>870</v>
      </c>
      <c r="AH627" s="33">
        <f t="shared" si="94"/>
        <v>870</v>
      </c>
      <c r="AI627" s="6">
        <f>1-AB627/AH627</f>
        <v>0.55287356321839076</v>
      </c>
      <c r="AJ627" s="7">
        <v>555</v>
      </c>
      <c r="AK627" s="6">
        <f>1-AB627/AJ627</f>
        <v>0.29909909909909915</v>
      </c>
      <c r="AL627" s="4">
        <f>AJ627-AB627</f>
        <v>166</v>
      </c>
      <c r="AM627" s="28"/>
      <c r="AN627" s="6"/>
      <c r="AO627" s="6"/>
      <c r="AP627" s="6">
        <f>Z627/L627</f>
        <v>0.63793103448275867</v>
      </c>
      <c r="AQ627" s="6">
        <f>AJ627/M627</f>
        <v>0.79285714285714282</v>
      </c>
      <c r="AR627" s="6">
        <f>AB627/N627</f>
        <v>1</v>
      </c>
      <c r="AS627" s="4"/>
      <c r="AT627" s="4"/>
      <c r="AU627" s="4"/>
      <c r="AV627" s="4"/>
      <c r="AW627" s="4"/>
      <c r="AX627" s="4"/>
      <c r="AY627" s="4"/>
      <c r="AZ627" s="4"/>
      <c r="BA627" s="4"/>
      <c r="BB627" s="4">
        <v>0</v>
      </c>
      <c r="BC627" s="4" t="s">
        <v>4111</v>
      </c>
      <c r="BD627" s="4">
        <v>1</v>
      </c>
      <c r="BE627" s="4">
        <v>2</v>
      </c>
      <c r="BF627" s="4" t="s">
        <v>3631</v>
      </c>
      <c r="BG627" s="4">
        <v>1740</v>
      </c>
      <c r="BH627" s="4">
        <v>1740</v>
      </c>
      <c r="BI627" s="4">
        <f t="shared" si="102"/>
        <v>870</v>
      </c>
      <c r="BJ627" s="19">
        <v>4</v>
      </c>
      <c r="BK627" s="19">
        <v>8</v>
      </c>
      <c r="BL627" s="16">
        <v>6</v>
      </c>
      <c r="BM627" s="45" t="s">
        <v>3534</v>
      </c>
      <c r="BN627" t="s">
        <v>3534</v>
      </c>
      <c r="BO627" t="str">
        <f t="shared" si="95"/>
        <v>-</v>
      </c>
      <c r="BP627" t="s">
        <v>3534</v>
      </c>
      <c r="BQ627" t="s">
        <v>3534</v>
      </c>
      <c r="BR627" t="str">
        <f t="shared" si="96"/>
        <v>-</v>
      </c>
      <c r="BS627" t="s">
        <v>2996</v>
      </c>
    </row>
    <row r="628" spans="1:71" x14ac:dyDescent="0.4">
      <c r="A628" s="3">
        <v>625</v>
      </c>
      <c r="B628" s="3">
        <v>625</v>
      </c>
      <c r="C628" s="4" t="s">
        <v>687</v>
      </c>
      <c r="D628" s="4" t="str">
        <f t="shared" si="97"/>
        <v>J571RR</v>
      </c>
      <c r="E628" s="4" t="s">
        <v>687</v>
      </c>
      <c r="F628" s="4" t="s">
        <v>1905</v>
      </c>
      <c r="G628" s="5">
        <v>4521718095288</v>
      </c>
      <c r="H628" s="5"/>
      <c r="I628" s="5"/>
      <c r="J628" s="5">
        <v>1</v>
      </c>
      <c r="K628" s="5">
        <v>1</v>
      </c>
      <c r="L628" s="4">
        <v>620</v>
      </c>
      <c r="M628" s="4">
        <v>427</v>
      </c>
      <c r="N628" s="4">
        <v>278</v>
      </c>
      <c r="O628" s="6">
        <f t="shared" si="98"/>
        <v>0.34894613583138179</v>
      </c>
      <c r="P628" s="4" t="s">
        <v>2500</v>
      </c>
      <c r="Q628" s="4"/>
      <c r="R628" s="4"/>
      <c r="S628" s="4"/>
      <c r="T628" s="4"/>
      <c r="U628" s="4"/>
      <c r="V628" s="4"/>
      <c r="W628" s="4"/>
      <c r="X628" s="4"/>
      <c r="Y628" s="4">
        <v>620</v>
      </c>
      <c r="Z628" s="4">
        <f t="shared" si="99"/>
        <v>620</v>
      </c>
      <c r="AA628" s="4">
        <v>279</v>
      </c>
      <c r="AB628" s="4">
        <f t="shared" si="100"/>
        <v>279</v>
      </c>
      <c r="AC628" s="4"/>
      <c r="AD628" s="21">
        <f>ROUND(M628*AR628,0)</f>
        <v>429</v>
      </c>
      <c r="AE628" s="6">
        <f>1-AB628/AD628</f>
        <v>0.34965034965034969</v>
      </c>
      <c r="AF628" s="33">
        <v>0.25</v>
      </c>
      <c r="AG628" s="4">
        <f t="shared" si="101"/>
        <v>480</v>
      </c>
      <c r="AH628" s="33">
        <f t="shared" si="94"/>
        <v>481.72661870503595</v>
      </c>
      <c r="AI628" s="6">
        <f>1-AB628/AH628</f>
        <v>0.42083333333333328</v>
      </c>
      <c r="AJ628" s="7">
        <f>ROUND(AB628/0.65,0)</f>
        <v>429</v>
      </c>
      <c r="AK628" s="6">
        <f>1-AB628/AJ628</f>
        <v>0.34965034965034969</v>
      </c>
      <c r="AL628" s="4">
        <f>AJ628-AB628</f>
        <v>150</v>
      </c>
      <c r="AM628" s="28"/>
      <c r="AN628" s="6"/>
      <c r="AO628" s="6"/>
      <c r="AP628" s="6">
        <f>Z628/L628</f>
        <v>1</v>
      </c>
      <c r="AQ628" s="6">
        <f>AJ628/M628</f>
        <v>1.0046838407494145</v>
      </c>
      <c r="AR628" s="6">
        <f>AB628/N628</f>
        <v>1.0035971223021583</v>
      </c>
      <c r="AS628" s="4"/>
      <c r="AT628" s="4"/>
      <c r="AU628" s="4"/>
      <c r="AV628" s="4"/>
      <c r="AW628" s="4"/>
      <c r="AX628" s="4"/>
      <c r="AY628" s="4"/>
      <c r="AZ628" s="4"/>
      <c r="BA628" s="4"/>
      <c r="BB628" s="4">
        <v>0</v>
      </c>
      <c r="BC628" s="4" t="s">
        <v>4112</v>
      </c>
      <c r="BD628" s="4"/>
      <c r="BE628" s="4"/>
      <c r="BF628" s="4" t="s">
        <v>3545</v>
      </c>
      <c r="BG628" s="4">
        <v>480</v>
      </c>
      <c r="BH628" s="4">
        <v>480</v>
      </c>
      <c r="BI628" s="4">
        <f t="shared" si="102"/>
        <v>480</v>
      </c>
      <c r="BJ628" s="19">
        <v>4</v>
      </c>
      <c r="BK628" s="19">
        <v>8</v>
      </c>
      <c r="BL628" s="16">
        <v>6</v>
      </c>
      <c r="BM628" s="45" t="s">
        <v>3534</v>
      </c>
      <c r="BN628" t="s">
        <v>3534</v>
      </c>
      <c r="BO628" t="str">
        <f t="shared" si="95"/>
        <v>-</v>
      </c>
      <c r="BP628" t="s">
        <v>3534</v>
      </c>
      <c r="BQ628">
        <v>419</v>
      </c>
      <c r="BR628">
        <f t="shared" si="96"/>
        <v>420.50719424460431</v>
      </c>
      <c r="BS628" t="s">
        <v>2997</v>
      </c>
    </row>
    <row r="629" spans="1:71" x14ac:dyDescent="0.4">
      <c r="A629" s="3">
        <v>626</v>
      </c>
      <c r="B629" s="3">
        <v>626</v>
      </c>
      <c r="C629" s="4" t="s">
        <v>688</v>
      </c>
      <c r="D629" s="4" t="str">
        <f t="shared" si="97"/>
        <v>J571WE</v>
      </c>
      <c r="E629" s="4" t="s">
        <v>688</v>
      </c>
      <c r="F629" s="4" t="s">
        <v>1906</v>
      </c>
      <c r="G629" s="5">
        <v>4521718192093</v>
      </c>
      <c r="H629" s="5"/>
      <c r="I629" s="5"/>
      <c r="J629" s="5">
        <v>1</v>
      </c>
      <c r="K629" s="5">
        <v>1</v>
      </c>
      <c r="L629" s="4">
        <v>950</v>
      </c>
      <c r="M629" s="4">
        <v>760</v>
      </c>
      <c r="N629" s="4">
        <v>427</v>
      </c>
      <c r="O629" s="6">
        <f t="shared" si="98"/>
        <v>0.43815789473684208</v>
      </c>
      <c r="P629" s="4" t="s">
        <v>2500</v>
      </c>
      <c r="Q629" s="4"/>
      <c r="R629" s="4"/>
      <c r="S629" s="4"/>
      <c r="T629" s="4"/>
      <c r="U629" s="4"/>
      <c r="V629" s="4"/>
      <c r="W629" s="4"/>
      <c r="X629" s="4"/>
      <c r="Y629" s="4">
        <v>610</v>
      </c>
      <c r="Z629" s="4">
        <f t="shared" si="99"/>
        <v>610</v>
      </c>
      <c r="AA629" s="4">
        <v>427</v>
      </c>
      <c r="AB629" s="4">
        <f t="shared" si="100"/>
        <v>427</v>
      </c>
      <c r="AC629" s="4"/>
      <c r="AD629" s="21">
        <f>ROUND(M629*AR629,0)</f>
        <v>760</v>
      </c>
      <c r="AE629" s="6">
        <f>1-AB629/AD629</f>
        <v>0.43815789473684208</v>
      </c>
      <c r="AF629" s="33">
        <v>0</v>
      </c>
      <c r="AG629" s="4">
        <f t="shared" si="101"/>
        <v>950</v>
      </c>
      <c r="AH629" s="33">
        <f t="shared" si="94"/>
        <v>950</v>
      </c>
      <c r="AI629" s="6">
        <f>1-AB629/AH629</f>
        <v>0.55052631578947375</v>
      </c>
      <c r="AJ629" s="7">
        <v>610</v>
      </c>
      <c r="AK629" s="6">
        <f>1-AB629/AJ629</f>
        <v>0.30000000000000004</v>
      </c>
      <c r="AL629" s="4">
        <f>AJ629-AB629</f>
        <v>183</v>
      </c>
      <c r="AM629" s="28"/>
      <c r="AN629" s="6"/>
      <c r="AO629" s="6"/>
      <c r="AP629" s="6">
        <f>Z629/L629</f>
        <v>0.64210526315789473</v>
      </c>
      <c r="AQ629" s="6">
        <f>AJ629/M629</f>
        <v>0.80263157894736847</v>
      </c>
      <c r="AR629" s="6">
        <f>AB629/N629</f>
        <v>1</v>
      </c>
      <c r="AS629" s="4"/>
      <c r="AT629" s="4"/>
      <c r="AU629" s="4"/>
      <c r="AV629" s="4"/>
      <c r="AW629" s="4"/>
      <c r="AX629" s="4"/>
      <c r="AY629" s="4"/>
      <c r="AZ629" s="4"/>
      <c r="BA629" s="4"/>
      <c r="BB629" s="4">
        <v>0</v>
      </c>
      <c r="BC629" s="4" t="s">
        <v>4113</v>
      </c>
      <c r="BD629" s="4">
        <v>1</v>
      </c>
      <c r="BE629" s="4">
        <v>2</v>
      </c>
      <c r="BF629" s="4" t="s">
        <v>3631</v>
      </c>
      <c r="BG629" s="4">
        <v>1900</v>
      </c>
      <c r="BH629" s="4">
        <v>1900</v>
      </c>
      <c r="BI629" s="4">
        <f t="shared" si="102"/>
        <v>950</v>
      </c>
      <c r="BJ629" s="19">
        <v>4</v>
      </c>
      <c r="BK629" s="19">
        <v>8</v>
      </c>
      <c r="BL629" s="16">
        <v>6</v>
      </c>
      <c r="BM629" s="45" t="s">
        <v>3534</v>
      </c>
      <c r="BN629" t="s">
        <v>3534</v>
      </c>
      <c r="BO629" t="str">
        <f t="shared" si="95"/>
        <v>-</v>
      </c>
      <c r="BP629" t="s">
        <v>3534</v>
      </c>
      <c r="BQ629">
        <v>903</v>
      </c>
      <c r="BR629">
        <f t="shared" si="96"/>
        <v>903</v>
      </c>
      <c r="BS629" t="s">
        <v>2998</v>
      </c>
    </row>
    <row r="630" spans="1:71" x14ac:dyDescent="0.4">
      <c r="A630" s="3">
        <v>627</v>
      </c>
      <c r="B630" s="3">
        <v>627</v>
      </c>
      <c r="C630" s="4" t="s">
        <v>689</v>
      </c>
      <c r="D630" s="4" t="str">
        <f t="shared" si="97"/>
        <v>J573WE</v>
      </c>
      <c r="E630" s="4" t="s">
        <v>689</v>
      </c>
      <c r="F630" s="4" t="s">
        <v>1907</v>
      </c>
      <c r="G630" s="5">
        <v>4521718192536</v>
      </c>
      <c r="H630" s="5"/>
      <c r="I630" s="5"/>
      <c r="J630" s="5">
        <v>1</v>
      </c>
      <c r="K630" s="5">
        <v>1</v>
      </c>
      <c r="L630" s="4">
        <v>700</v>
      </c>
      <c r="M630" s="4">
        <v>560</v>
      </c>
      <c r="N630" s="4">
        <v>313</v>
      </c>
      <c r="O630" s="6">
        <f t="shared" si="98"/>
        <v>0.44107142857142856</v>
      </c>
      <c r="P630" s="4" t="s">
        <v>2500</v>
      </c>
      <c r="Q630" s="4"/>
      <c r="R630" s="4"/>
      <c r="S630" s="4"/>
      <c r="T630" s="4"/>
      <c r="U630" s="4"/>
      <c r="V630" s="4"/>
      <c r="W630" s="4"/>
      <c r="X630" s="4"/>
      <c r="Y630" s="4">
        <v>455</v>
      </c>
      <c r="Z630" s="4">
        <f t="shared" si="99"/>
        <v>455</v>
      </c>
      <c r="AA630" s="4">
        <v>296</v>
      </c>
      <c r="AB630" s="4">
        <f t="shared" si="100"/>
        <v>296</v>
      </c>
      <c r="AC630" s="4"/>
      <c r="AD630" s="21">
        <f>ROUND(M630*AR630,0)</f>
        <v>530</v>
      </c>
      <c r="AE630" s="6">
        <f>1-AB630/AD630</f>
        <v>0.44150943396226416</v>
      </c>
      <c r="AF630" s="33">
        <v>0</v>
      </c>
      <c r="AG630" s="4">
        <f t="shared" si="101"/>
        <v>700</v>
      </c>
      <c r="AH630" s="33">
        <f t="shared" si="94"/>
        <v>661.98083067092648</v>
      </c>
      <c r="AI630" s="6">
        <f>1-AB630/AH630</f>
        <v>0.55285714285714282</v>
      </c>
      <c r="AJ630" s="7">
        <v>455</v>
      </c>
      <c r="AK630" s="6">
        <f>1-AB630/AJ630</f>
        <v>0.34945054945054943</v>
      </c>
      <c r="AL630" s="4">
        <f>AJ630-AB630</f>
        <v>159</v>
      </c>
      <c r="AM630" s="28"/>
      <c r="AN630" s="6"/>
      <c r="AO630" s="6"/>
      <c r="AP630" s="6">
        <f>Z630/L630</f>
        <v>0.65</v>
      </c>
      <c r="AQ630" s="6">
        <f>AJ630/M630</f>
        <v>0.8125</v>
      </c>
      <c r="AR630" s="6">
        <f>AB630/N630</f>
        <v>0.94568690095846641</v>
      </c>
      <c r="AS630" s="4"/>
      <c r="AT630" s="4"/>
      <c r="AU630" s="4"/>
      <c r="AV630" s="4"/>
      <c r="AW630" s="4"/>
      <c r="AX630" s="4"/>
      <c r="AY630" s="4"/>
      <c r="AZ630" s="4"/>
      <c r="BA630" s="4"/>
      <c r="BB630" s="4">
        <v>0</v>
      </c>
      <c r="BC630" s="4" t="s">
        <v>4114</v>
      </c>
      <c r="BD630" s="4">
        <v>1</v>
      </c>
      <c r="BE630" s="4">
        <v>3</v>
      </c>
      <c r="BF630" s="4" t="s">
        <v>3601</v>
      </c>
      <c r="BG630" s="4">
        <v>2100</v>
      </c>
      <c r="BH630" s="4">
        <v>2100</v>
      </c>
      <c r="BI630" s="4">
        <f t="shared" si="102"/>
        <v>700</v>
      </c>
      <c r="BJ630" s="19">
        <v>4</v>
      </c>
      <c r="BK630" s="19">
        <v>8</v>
      </c>
      <c r="BL630" s="16">
        <v>6</v>
      </c>
      <c r="BM630" s="45" t="s">
        <v>3534</v>
      </c>
      <c r="BN630" t="s">
        <v>3534</v>
      </c>
      <c r="BO630" t="str">
        <f t="shared" si="95"/>
        <v>-</v>
      </c>
      <c r="BP630" t="s">
        <v>3534</v>
      </c>
      <c r="BQ630">
        <v>665</v>
      </c>
      <c r="BR630">
        <f t="shared" si="96"/>
        <v>628.88178913738011</v>
      </c>
      <c r="BS630" t="s">
        <v>2999</v>
      </c>
    </row>
    <row r="631" spans="1:71" x14ac:dyDescent="0.4">
      <c r="A631" s="3">
        <v>628</v>
      </c>
      <c r="B631" s="3">
        <v>628</v>
      </c>
      <c r="C631" s="4" t="s">
        <v>690</v>
      </c>
      <c r="D631" s="4" t="str">
        <f t="shared" si="97"/>
        <v>J572RR</v>
      </c>
      <c r="E631" s="4" t="s">
        <v>690</v>
      </c>
      <c r="F631" s="4" t="s">
        <v>1908</v>
      </c>
      <c r="G631" s="5">
        <v>4521718095295</v>
      </c>
      <c r="H631" s="5"/>
      <c r="I631" s="5"/>
      <c r="J631" s="5">
        <v>1</v>
      </c>
      <c r="K631" s="5">
        <v>1</v>
      </c>
      <c r="L631" s="4">
        <v>610</v>
      </c>
      <c r="M631" s="4">
        <v>358</v>
      </c>
      <c r="N631" s="4">
        <v>272</v>
      </c>
      <c r="O631" s="6">
        <f t="shared" si="98"/>
        <v>0.24022346368715086</v>
      </c>
      <c r="P631" s="4" t="s">
        <v>2500</v>
      </c>
      <c r="Q631" s="4"/>
      <c r="R631" s="4"/>
      <c r="S631" s="4"/>
      <c r="T631" s="4"/>
      <c r="U631" s="4"/>
      <c r="V631" s="4"/>
      <c r="W631" s="4"/>
      <c r="X631" s="4"/>
      <c r="Y631" s="4">
        <v>610</v>
      </c>
      <c r="Z631" s="4">
        <f t="shared" si="99"/>
        <v>610</v>
      </c>
      <c r="AA631" s="4">
        <v>275</v>
      </c>
      <c r="AB631" s="4">
        <f t="shared" si="100"/>
        <v>275</v>
      </c>
      <c r="AC631" s="4"/>
      <c r="AD631" s="21">
        <f>ROUND(M631*AR631,0)</f>
        <v>362</v>
      </c>
      <c r="AE631" s="6">
        <f>1-AB631/AD631</f>
        <v>0.24033149171270718</v>
      </c>
      <c r="AF631" s="33">
        <v>1.25</v>
      </c>
      <c r="AG631" s="4">
        <f t="shared" si="101"/>
        <v>457.66666666666663</v>
      </c>
      <c r="AH631" s="33">
        <f t="shared" si="94"/>
        <v>462.71446078431364</v>
      </c>
      <c r="AI631" s="6">
        <f>1-AB631/AH631</f>
        <v>0.40568099053168238</v>
      </c>
      <c r="AJ631" s="7">
        <f>ROUND(AB631/0.65,0)</f>
        <v>423</v>
      </c>
      <c r="AK631" s="6">
        <f>1-AB631/AJ631</f>
        <v>0.34988179669030728</v>
      </c>
      <c r="AL631" s="4">
        <f>AJ631-AB631</f>
        <v>148</v>
      </c>
      <c r="AM631" s="28"/>
      <c r="AN631" s="6"/>
      <c r="AO631" s="6"/>
      <c r="AP631" s="6">
        <f>Z631/L631</f>
        <v>1</v>
      </c>
      <c r="AQ631" s="6">
        <f>AJ631/M631</f>
        <v>1.1815642458100559</v>
      </c>
      <c r="AR631" s="6">
        <f>AB631/N631</f>
        <v>1.0110294117647058</v>
      </c>
      <c r="AS631" s="4"/>
      <c r="AT631" s="4"/>
      <c r="AU631" s="4"/>
      <c r="AV631" s="4"/>
      <c r="AW631" s="4"/>
      <c r="AX631" s="4"/>
      <c r="AY631" s="4"/>
      <c r="AZ631" s="4"/>
      <c r="BA631" s="4"/>
      <c r="BB631" s="4">
        <v>0</v>
      </c>
      <c r="BC631" s="4" t="s">
        <v>4115</v>
      </c>
      <c r="BD631" s="4">
        <v>1</v>
      </c>
      <c r="BE631" s="4">
        <v>3</v>
      </c>
      <c r="BF631" s="4" t="s">
        <v>3698</v>
      </c>
      <c r="BG631" s="4">
        <v>1373</v>
      </c>
      <c r="BH631" s="4">
        <v>1373</v>
      </c>
      <c r="BI631" s="4">
        <f t="shared" si="102"/>
        <v>457.66666666666663</v>
      </c>
      <c r="BJ631" s="19">
        <v>4</v>
      </c>
      <c r="BK631" s="19">
        <v>8</v>
      </c>
      <c r="BL631" s="16">
        <v>6</v>
      </c>
      <c r="BM631" s="45" t="s">
        <v>3534</v>
      </c>
      <c r="BN631" t="s">
        <v>3534</v>
      </c>
      <c r="BO631" t="str">
        <f t="shared" si="95"/>
        <v>-</v>
      </c>
      <c r="BP631" t="s">
        <v>3534</v>
      </c>
      <c r="BQ631">
        <v>428</v>
      </c>
      <c r="BR631">
        <f t="shared" si="96"/>
        <v>432.72058823529409</v>
      </c>
      <c r="BS631" t="s">
        <v>3000</v>
      </c>
    </row>
    <row r="632" spans="1:71" x14ac:dyDescent="0.4">
      <c r="A632" s="3">
        <v>629</v>
      </c>
      <c r="B632" s="3">
        <v>629</v>
      </c>
      <c r="C632" s="4" t="s">
        <v>691</v>
      </c>
      <c r="D632" s="4" t="str">
        <f t="shared" si="97"/>
        <v>J572WE</v>
      </c>
      <c r="E632" s="4" t="s">
        <v>691</v>
      </c>
      <c r="F632" s="4" t="s">
        <v>1909</v>
      </c>
      <c r="G632" s="5">
        <v>4521718192529</v>
      </c>
      <c r="H632" s="5"/>
      <c r="I632" s="5"/>
      <c r="J632" s="5">
        <v>1</v>
      </c>
      <c r="K632" s="5">
        <v>1</v>
      </c>
      <c r="L632" s="4">
        <v>700</v>
      </c>
      <c r="M632" s="4">
        <v>560</v>
      </c>
      <c r="N632" s="4">
        <v>313</v>
      </c>
      <c r="O632" s="6">
        <f t="shared" si="98"/>
        <v>0.44107142857142856</v>
      </c>
      <c r="P632" s="4" t="s">
        <v>2500</v>
      </c>
      <c r="Q632" s="4"/>
      <c r="R632" s="4"/>
      <c r="S632" s="4"/>
      <c r="T632" s="4"/>
      <c r="U632" s="4"/>
      <c r="V632" s="4"/>
      <c r="W632" s="4"/>
      <c r="X632" s="4"/>
      <c r="Y632" s="4">
        <v>455</v>
      </c>
      <c r="Z632" s="4">
        <f t="shared" si="99"/>
        <v>455</v>
      </c>
      <c r="AA632" s="4">
        <v>296</v>
      </c>
      <c r="AB632" s="4">
        <f t="shared" si="100"/>
        <v>296</v>
      </c>
      <c r="AC632" s="4"/>
      <c r="AD632" s="21">
        <f>ROUND(M632*AR632,0)</f>
        <v>530</v>
      </c>
      <c r="AE632" s="6">
        <f>1-AB632/AD632</f>
        <v>0.44150943396226416</v>
      </c>
      <c r="AF632" s="33">
        <v>0</v>
      </c>
      <c r="AG632" s="4">
        <f t="shared" si="101"/>
        <v>700</v>
      </c>
      <c r="AH632" s="33">
        <f t="shared" si="94"/>
        <v>661.98083067092648</v>
      </c>
      <c r="AI632" s="6">
        <f>1-AB632/AH632</f>
        <v>0.55285714285714282</v>
      </c>
      <c r="AJ632" s="7">
        <v>455</v>
      </c>
      <c r="AK632" s="6">
        <f>1-AB632/AJ632</f>
        <v>0.34945054945054943</v>
      </c>
      <c r="AL632" s="4">
        <f>AJ632-AB632</f>
        <v>159</v>
      </c>
      <c r="AM632" s="28"/>
      <c r="AN632" s="6"/>
      <c r="AO632" s="6"/>
      <c r="AP632" s="6">
        <f>Z632/L632</f>
        <v>0.65</v>
      </c>
      <c r="AQ632" s="6">
        <f>AJ632/M632</f>
        <v>0.8125</v>
      </c>
      <c r="AR632" s="6">
        <f>AB632/N632</f>
        <v>0.94568690095846641</v>
      </c>
      <c r="AS632" s="4"/>
      <c r="AT632" s="4"/>
      <c r="AU632" s="4"/>
      <c r="AV632" s="4"/>
      <c r="AW632" s="4"/>
      <c r="AX632" s="4"/>
      <c r="AY632" s="4"/>
      <c r="AZ632" s="4"/>
      <c r="BA632" s="4"/>
      <c r="BB632" s="4">
        <v>0</v>
      </c>
      <c r="BC632" s="4" t="s">
        <v>4116</v>
      </c>
      <c r="BD632" s="4">
        <v>1</v>
      </c>
      <c r="BE632" s="4">
        <v>3</v>
      </c>
      <c r="BF632" s="4" t="s">
        <v>3601</v>
      </c>
      <c r="BG632" s="4">
        <v>2100</v>
      </c>
      <c r="BH632" s="4">
        <v>2100</v>
      </c>
      <c r="BI632" s="4">
        <f t="shared" si="102"/>
        <v>700</v>
      </c>
      <c r="BJ632" s="19">
        <v>4</v>
      </c>
      <c r="BK632" s="19">
        <v>8</v>
      </c>
      <c r="BL632" s="16">
        <v>6</v>
      </c>
      <c r="BM632" s="45" t="s">
        <v>3534</v>
      </c>
      <c r="BN632" t="s">
        <v>3534</v>
      </c>
      <c r="BO632" t="str">
        <f t="shared" si="95"/>
        <v>-</v>
      </c>
      <c r="BP632" t="s">
        <v>3534</v>
      </c>
      <c r="BQ632">
        <v>665</v>
      </c>
      <c r="BR632">
        <f t="shared" si="96"/>
        <v>628.88178913738011</v>
      </c>
      <c r="BS632" t="s">
        <v>3001</v>
      </c>
    </row>
    <row r="633" spans="1:71" x14ac:dyDescent="0.4">
      <c r="A633" s="3">
        <v>630</v>
      </c>
      <c r="B633" s="3">
        <v>630</v>
      </c>
      <c r="C633" s="4" t="s">
        <v>692</v>
      </c>
      <c r="D633" s="4" t="str">
        <f t="shared" si="97"/>
        <v>J574WE</v>
      </c>
      <c r="E633" s="4" t="s">
        <v>692</v>
      </c>
      <c r="F633" s="4" t="s">
        <v>1910</v>
      </c>
      <c r="G633" s="5">
        <v>4521718192543</v>
      </c>
      <c r="H633" s="5"/>
      <c r="I633" s="5"/>
      <c r="J633" s="5">
        <v>1</v>
      </c>
      <c r="K633" s="5">
        <v>1</v>
      </c>
      <c r="L633" s="4">
        <v>700</v>
      </c>
      <c r="M633" s="4">
        <v>560</v>
      </c>
      <c r="N633" s="4">
        <v>313</v>
      </c>
      <c r="O633" s="6">
        <f t="shared" si="98"/>
        <v>0.44107142857142856</v>
      </c>
      <c r="P633" s="4" t="s">
        <v>2500</v>
      </c>
      <c r="Q633" s="4"/>
      <c r="R633" s="4"/>
      <c r="S633" s="4"/>
      <c r="T633" s="4"/>
      <c r="U633" s="4"/>
      <c r="V633" s="4"/>
      <c r="W633" s="4"/>
      <c r="X633" s="4"/>
      <c r="Y633" s="4">
        <v>455</v>
      </c>
      <c r="Z633" s="4">
        <f t="shared" si="99"/>
        <v>455</v>
      </c>
      <c r="AA633" s="4">
        <v>296</v>
      </c>
      <c r="AB633" s="4">
        <f t="shared" si="100"/>
        <v>296</v>
      </c>
      <c r="AC633" s="4"/>
      <c r="AD633" s="21">
        <f>ROUND(M633*AR633,0)</f>
        <v>530</v>
      </c>
      <c r="AE633" s="6">
        <f>1-AB633/AD633</f>
        <v>0.44150943396226416</v>
      </c>
      <c r="AF633" s="33">
        <v>2.25</v>
      </c>
      <c r="AG633" s="4">
        <f t="shared" si="101"/>
        <v>700</v>
      </c>
      <c r="AH633" s="33">
        <f t="shared" si="94"/>
        <v>661.98083067092648</v>
      </c>
      <c r="AI633" s="6">
        <f>1-AB633/AH633</f>
        <v>0.55285714285714282</v>
      </c>
      <c r="AJ633" s="7">
        <v>455</v>
      </c>
      <c r="AK633" s="6">
        <f>1-AB633/AJ633</f>
        <v>0.34945054945054943</v>
      </c>
      <c r="AL633" s="4">
        <f>AJ633-AB633</f>
        <v>159</v>
      </c>
      <c r="AM633" s="28"/>
      <c r="AN633" s="6"/>
      <c r="AO633" s="6"/>
      <c r="AP633" s="6">
        <f>Z633/L633</f>
        <v>0.65</v>
      </c>
      <c r="AQ633" s="6">
        <f>AJ633/M633</f>
        <v>0.8125</v>
      </c>
      <c r="AR633" s="6">
        <f>AB633/N633</f>
        <v>0.94568690095846641</v>
      </c>
      <c r="AS633" s="4"/>
      <c r="AT633" s="4"/>
      <c r="AU633" s="4"/>
      <c r="AV633" s="4"/>
      <c r="AW633" s="4"/>
      <c r="AX633" s="4"/>
      <c r="AY633" s="4"/>
      <c r="AZ633" s="4"/>
      <c r="BA633" s="4"/>
      <c r="BB633" s="4">
        <v>0</v>
      </c>
      <c r="BC633" s="4" t="s">
        <v>4117</v>
      </c>
      <c r="BD633" s="4">
        <v>1</v>
      </c>
      <c r="BE633" s="4">
        <v>3</v>
      </c>
      <c r="BF633" s="4" t="s">
        <v>3601</v>
      </c>
      <c r="BG633" s="4">
        <v>2100</v>
      </c>
      <c r="BH633" s="4">
        <v>2100</v>
      </c>
      <c r="BI633" s="4">
        <f t="shared" si="102"/>
        <v>700</v>
      </c>
      <c r="BJ633" s="19">
        <v>4</v>
      </c>
      <c r="BK633" s="19">
        <v>8</v>
      </c>
      <c r="BL633" s="16">
        <v>6</v>
      </c>
      <c r="BM633" s="45" t="s">
        <v>3534</v>
      </c>
      <c r="BN633" t="s">
        <v>3534</v>
      </c>
      <c r="BO633" t="str">
        <f t="shared" si="95"/>
        <v>-</v>
      </c>
      <c r="BP633" t="s">
        <v>3534</v>
      </c>
      <c r="BQ633">
        <v>665</v>
      </c>
      <c r="BR633">
        <f t="shared" si="96"/>
        <v>628.88178913738011</v>
      </c>
      <c r="BS633" t="s">
        <v>3002</v>
      </c>
    </row>
    <row r="634" spans="1:71" x14ac:dyDescent="0.4">
      <c r="A634" s="3">
        <v>631</v>
      </c>
      <c r="B634" s="3">
        <v>631</v>
      </c>
      <c r="C634" s="4" t="s">
        <v>693</v>
      </c>
      <c r="D634" s="4" t="str">
        <f t="shared" si="97"/>
        <v>J580RR</v>
      </c>
      <c r="E634" s="4" t="s">
        <v>693</v>
      </c>
      <c r="F634" s="4" t="s">
        <v>1911</v>
      </c>
      <c r="G634" s="5">
        <v>4521718095462</v>
      </c>
      <c r="H634" s="5"/>
      <c r="I634" s="5"/>
      <c r="J634" s="5">
        <v>1</v>
      </c>
      <c r="K634" s="5">
        <v>1</v>
      </c>
      <c r="L634" s="4">
        <v>390</v>
      </c>
      <c r="M634" s="4">
        <v>251</v>
      </c>
      <c r="N634" s="4">
        <v>172</v>
      </c>
      <c r="O634" s="6">
        <f t="shared" si="98"/>
        <v>0.31474103585657376</v>
      </c>
      <c r="P634" s="4" t="s">
        <v>2500</v>
      </c>
      <c r="Q634" s="4"/>
      <c r="R634" s="4"/>
      <c r="S634" s="4"/>
      <c r="T634" s="4"/>
      <c r="U634" s="4"/>
      <c r="V634" s="4"/>
      <c r="W634" s="4"/>
      <c r="X634" s="4"/>
      <c r="Y634" s="4">
        <v>390</v>
      </c>
      <c r="Z634" s="4">
        <f t="shared" si="99"/>
        <v>390</v>
      </c>
      <c r="AA634" s="4">
        <v>176</v>
      </c>
      <c r="AB634" s="4">
        <f t="shared" si="100"/>
        <v>176</v>
      </c>
      <c r="AC634" s="4"/>
      <c r="AD634" s="21">
        <f>ROUND(M634*AR634,0)</f>
        <v>257</v>
      </c>
      <c r="AE634" s="6">
        <f>1-AB634/AD634</f>
        <v>0.31517509727626458</v>
      </c>
      <c r="AF634" s="33">
        <v>0</v>
      </c>
      <c r="AG634" s="4">
        <f t="shared" si="101"/>
        <v>550</v>
      </c>
      <c r="AH634" s="33">
        <f t="shared" si="94"/>
        <v>562.79069767441865</v>
      </c>
      <c r="AI634" s="6">
        <f>1-AB634/AH634</f>
        <v>0.68727272727272726</v>
      </c>
      <c r="AJ634" s="7">
        <f>ROUND(AB634/0.65,0)</f>
        <v>271</v>
      </c>
      <c r="AK634" s="6">
        <f>1-AB634/AJ634</f>
        <v>0.35055350553505538</v>
      </c>
      <c r="AL634" s="4">
        <f>AJ634-AB634</f>
        <v>95</v>
      </c>
      <c r="AM634" s="28"/>
      <c r="AN634" s="6"/>
      <c r="AO634" s="6"/>
      <c r="AP634" s="6">
        <f>Z634/L634</f>
        <v>1</v>
      </c>
      <c r="AQ634" s="6">
        <f>AJ634/M634</f>
        <v>1.0796812749003983</v>
      </c>
      <c r="AR634" s="6">
        <f>AB634/N634</f>
        <v>1.0232558139534884</v>
      </c>
      <c r="AS634" s="4"/>
      <c r="AT634" s="4"/>
      <c r="AU634" s="4"/>
      <c r="AV634" s="4"/>
      <c r="AW634" s="4"/>
      <c r="AX634" s="4"/>
      <c r="AY634" s="4"/>
      <c r="AZ634" s="4"/>
      <c r="BA634" s="4"/>
      <c r="BB634" s="4">
        <v>0</v>
      </c>
      <c r="BC634" s="4" t="s">
        <v>4118</v>
      </c>
      <c r="BD634" s="4">
        <v>1</v>
      </c>
      <c r="BE634" s="4">
        <v>3</v>
      </c>
      <c r="BF634" s="4" t="s">
        <v>3638</v>
      </c>
      <c r="BG634" s="4">
        <v>1650</v>
      </c>
      <c r="BH634" s="4">
        <v>1650</v>
      </c>
      <c r="BI634" s="4">
        <f t="shared" si="102"/>
        <v>550</v>
      </c>
      <c r="BJ634" s="19">
        <v>4</v>
      </c>
      <c r="BK634" s="19">
        <v>8</v>
      </c>
      <c r="BL634" s="16">
        <v>6</v>
      </c>
      <c r="BM634" s="45" t="s">
        <v>3534</v>
      </c>
      <c r="BN634" t="s">
        <v>3534</v>
      </c>
      <c r="BO634" t="str">
        <f t="shared" si="95"/>
        <v>-</v>
      </c>
      <c r="BP634" t="s">
        <v>3534</v>
      </c>
      <c r="BQ634">
        <v>264</v>
      </c>
      <c r="BR634">
        <f t="shared" si="96"/>
        <v>270.13953488372096</v>
      </c>
      <c r="BS634" t="s">
        <v>3003</v>
      </c>
    </row>
    <row r="635" spans="1:71" x14ac:dyDescent="0.4">
      <c r="A635" s="3">
        <v>632</v>
      </c>
      <c r="B635" s="3">
        <v>632</v>
      </c>
      <c r="C635" s="4" t="s">
        <v>694</v>
      </c>
      <c r="D635" s="4" t="str">
        <f t="shared" si="97"/>
        <v>J575RR</v>
      </c>
      <c r="E635" s="4" t="s">
        <v>694</v>
      </c>
      <c r="F635" s="4" t="s">
        <v>1912</v>
      </c>
      <c r="G635" s="5">
        <v>4521718095387</v>
      </c>
      <c r="H635" s="5"/>
      <c r="I635" s="5"/>
      <c r="J635" s="5">
        <v>1</v>
      </c>
      <c r="K635" s="5">
        <v>1</v>
      </c>
      <c r="L635" s="4">
        <v>580</v>
      </c>
      <c r="M635" s="4">
        <v>376</v>
      </c>
      <c r="N635" s="4">
        <v>260</v>
      </c>
      <c r="O635" s="6">
        <f t="shared" si="98"/>
        <v>0.30851063829787229</v>
      </c>
      <c r="P635" s="4" t="s">
        <v>2500</v>
      </c>
      <c r="Q635" s="4"/>
      <c r="R635" s="4"/>
      <c r="S635" s="4"/>
      <c r="T635" s="4"/>
      <c r="U635" s="4"/>
      <c r="V635" s="4"/>
      <c r="W635" s="4"/>
      <c r="X635" s="4"/>
      <c r="Y635" s="4">
        <v>400</v>
      </c>
      <c r="Z635" s="4">
        <f t="shared" si="99"/>
        <v>400</v>
      </c>
      <c r="AA635" s="4">
        <v>260</v>
      </c>
      <c r="AB635" s="4">
        <f t="shared" si="100"/>
        <v>260</v>
      </c>
      <c r="AC635" s="4"/>
      <c r="AD635" s="21">
        <f>ROUND(M635*AR635,0)</f>
        <v>376</v>
      </c>
      <c r="AE635" s="6">
        <f>1-AB635/AD635</f>
        <v>0.30851063829787229</v>
      </c>
      <c r="AF635" s="33">
        <v>0</v>
      </c>
      <c r="AG635" s="4">
        <f t="shared" si="101"/>
        <v>500</v>
      </c>
      <c r="AH635" s="33">
        <f t="shared" si="94"/>
        <v>500</v>
      </c>
      <c r="AI635" s="6">
        <f>1-AB635/AH635</f>
        <v>0.48</v>
      </c>
      <c r="AJ635" s="7">
        <v>400</v>
      </c>
      <c r="AK635" s="6">
        <f>1-AB635/AJ635</f>
        <v>0.35</v>
      </c>
      <c r="AL635" s="4">
        <f>AJ635-AB635</f>
        <v>140</v>
      </c>
      <c r="AM635" s="28"/>
      <c r="AN635" s="6"/>
      <c r="AO635" s="6"/>
      <c r="AP635" s="6">
        <f>Z635/L635</f>
        <v>0.68965517241379315</v>
      </c>
      <c r="AQ635" s="6">
        <f>AJ635/M635</f>
        <v>1.0638297872340425</v>
      </c>
      <c r="AR635" s="6">
        <f>AB635/N635</f>
        <v>1</v>
      </c>
      <c r="AS635" s="4"/>
      <c r="AT635" s="4"/>
      <c r="AU635" s="4"/>
      <c r="AV635" s="4"/>
      <c r="AW635" s="4"/>
      <c r="AX635" s="4"/>
      <c r="AY635" s="4"/>
      <c r="AZ635" s="4"/>
      <c r="BA635" s="4"/>
      <c r="BB635" s="4">
        <v>0</v>
      </c>
      <c r="BC635" s="4" t="s">
        <v>4119</v>
      </c>
      <c r="BD635" s="4">
        <v>1</v>
      </c>
      <c r="BE635" s="4">
        <v>3</v>
      </c>
      <c r="BF635" s="4" t="s">
        <v>3638</v>
      </c>
      <c r="BG635" s="4">
        <v>1500</v>
      </c>
      <c r="BH635" s="4">
        <v>1500</v>
      </c>
      <c r="BI635" s="4">
        <f t="shared" si="102"/>
        <v>500</v>
      </c>
      <c r="BJ635" s="19">
        <v>4</v>
      </c>
      <c r="BK635" s="19">
        <v>8</v>
      </c>
      <c r="BL635" s="16">
        <v>6</v>
      </c>
      <c r="BM635" s="45" t="s">
        <v>3534</v>
      </c>
      <c r="BN635" t="s">
        <v>3534</v>
      </c>
      <c r="BO635" t="str">
        <f t="shared" si="95"/>
        <v>-</v>
      </c>
      <c r="BP635" t="s">
        <v>3534</v>
      </c>
      <c r="BQ635">
        <v>400</v>
      </c>
      <c r="BR635">
        <f t="shared" si="96"/>
        <v>400</v>
      </c>
      <c r="BS635" t="s">
        <v>3004</v>
      </c>
    </row>
    <row r="636" spans="1:71" x14ac:dyDescent="0.4">
      <c r="A636" s="3">
        <v>633</v>
      </c>
      <c r="B636" s="3">
        <v>633</v>
      </c>
      <c r="C636" s="4" t="s">
        <v>695</v>
      </c>
      <c r="D636" s="4" t="str">
        <f t="shared" si="97"/>
        <v>J581RR</v>
      </c>
      <c r="E636" s="4" t="s">
        <v>695</v>
      </c>
      <c r="F636" s="4" t="s">
        <v>1913</v>
      </c>
      <c r="G636" s="5">
        <v>4521718095486</v>
      </c>
      <c r="H636" s="5"/>
      <c r="I636" s="5"/>
      <c r="J636" s="5">
        <v>1</v>
      </c>
      <c r="K636" s="5">
        <v>1</v>
      </c>
      <c r="L636" s="4">
        <v>740</v>
      </c>
      <c r="M636" s="4">
        <v>485</v>
      </c>
      <c r="N636" s="4">
        <v>332</v>
      </c>
      <c r="O636" s="6">
        <f t="shared" si="98"/>
        <v>0.31546391752577319</v>
      </c>
      <c r="P636" s="4" t="s">
        <v>2500</v>
      </c>
      <c r="Q636" s="4"/>
      <c r="R636" s="4"/>
      <c r="S636" s="4"/>
      <c r="T636" s="4"/>
      <c r="U636" s="4"/>
      <c r="V636" s="4"/>
      <c r="W636" s="4"/>
      <c r="X636" s="4"/>
      <c r="Y636" s="4">
        <v>740</v>
      </c>
      <c r="Z636" s="4">
        <f t="shared" si="99"/>
        <v>740</v>
      </c>
      <c r="AA636" s="4">
        <v>333</v>
      </c>
      <c r="AB636" s="4">
        <f t="shared" si="100"/>
        <v>333</v>
      </c>
      <c r="AC636" s="4"/>
      <c r="AD636" s="21">
        <f>ROUND(M636*AR636,0)</f>
        <v>486</v>
      </c>
      <c r="AE636" s="6">
        <f>1-AB636/AD636</f>
        <v>0.31481481481481477</v>
      </c>
      <c r="AF636" s="33">
        <v>1</v>
      </c>
      <c r="AG636" s="4">
        <f t="shared" si="101"/>
        <v>500</v>
      </c>
      <c r="AH636" s="33">
        <f t="shared" si="94"/>
        <v>501.50602409638554</v>
      </c>
      <c r="AI636" s="6">
        <f>1-AB636/AH636</f>
        <v>0.33599999999999997</v>
      </c>
      <c r="AJ636" s="7">
        <v>501</v>
      </c>
      <c r="AK636" s="6">
        <f>1-AB636/AJ636</f>
        <v>0.33532934131736525</v>
      </c>
      <c r="AL636" s="4">
        <f>AJ636-AB636</f>
        <v>168</v>
      </c>
      <c r="AM636" s="28"/>
      <c r="AN636" s="6"/>
      <c r="AO636" s="6"/>
      <c r="AP636" s="6">
        <f>Z636/L636</f>
        <v>1</v>
      </c>
      <c r="AQ636" s="6">
        <f>AJ636/M636</f>
        <v>1.0329896907216496</v>
      </c>
      <c r="AR636" s="6">
        <f>AB636/N636</f>
        <v>1.0030120481927711</v>
      </c>
      <c r="AS636" s="4"/>
      <c r="AT636" s="4"/>
      <c r="AU636" s="4"/>
      <c r="AV636" s="4"/>
      <c r="AW636" s="4"/>
      <c r="AX636" s="4"/>
      <c r="AY636" s="4"/>
      <c r="AZ636" s="4"/>
      <c r="BA636" s="4"/>
      <c r="BB636" s="4">
        <v>0</v>
      </c>
      <c r="BC636" s="4" t="s">
        <v>4120</v>
      </c>
      <c r="BD636" s="4"/>
      <c r="BE636" s="4"/>
      <c r="BF636" s="4" t="s">
        <v>3545</v>
      </c>
      <c r="BG636" s="4">
        <v>500</v>
      </c>
      <c r="BH636" s="4">
        <v>500</v>
      </c>
      <c r="BI636" s="4">
        <f t="shared" si="102"/>
        <v>500</v>
      </c>
      <c r="BJ636" s="19">
        <v>4</v>
      </c>
      <c r="BK636" s="19">
        <v>1</v>
      </c>
      <c r="BL636" s="16">
        <v>6</v>
      </c>
      <c r="BM636" s="45">
        <v>500</v>
      </c>
      <c r="BN636">
        <v>500</v>
      </c>
      <c r="BO636">
        <f t="shared" si="95"/>
        <v>501.50602409638554</v>
      </c>
      <c r="BP636" t="s">
        <v>3534</v>
      </c>
      <c r="BQ636">
        <v>500</v>
      </c>
      <c r="BR636">
        <f t="shared" si="96"/>
        <v>501.50602409638554</v>
      </c>
      <c r="BS636" t="s">
        <v>3005</v>
      </c>
    </row>
    <row r="637" spans="1:71" x14ac:dyDescent="0.4">
      <c r="A637" s="3">
        <v>634</v>
      </c>
      <c r="B637" s="3">
        <v>634</v>
      </c>
      <c r="C637" s="4" t="s">
        <v>696</v>
      </c>
      <c r="D637" s="4" t="str">
        <f t="shared" si="97"/>
        <v>J582RR</v>
      </c>
      <c r="E637" s="4" t="s">
        <v>696</v>
      </c>
      <c r="F637" s="4" t="s">
        <v>1914</v>
      </c>
      <c r="G637" s="5">
        <v>4521718095516</v>
      </c>
      <c r="H637" s="5"/>
      <c r="I637" s="5"/>
      <c r="J637" s="5">
        <v>1</v>
      </c>
      <c r="K637" s="5">
        <v>1</v>
      </c>
      <c r="L637" s="4">
        <v>480</v>
      </c>
      <c r="M637" s="4">
        <v>285</v>
      </c>
      <c r="N637" s="4">
        <v>213</v>
      </c>
      <c r="O637" s="6">
        <f t="shared" si="98"/>
        <v>0.25263157894736843</v>
      </c>
      <c r="P637" s="4" t="s">
        <v>2500</v>
      </c>
      <c r="Q637" s="4"/>
      <c r="R637" s="4"/>
      <c r="S637" s="4"/>
      <c r="T637" s="4"/>
      <c r="U637" s="4"/>
      <c r="V637" s="4"/>
      <c r="W637" s="4"/>
      <c r="X637" s="4"/>
      <c r="Y637" s="4">
        <v>328</v>
      </c>
      <c r="Z637" s="4">
        <f t="shared" si="99"/>
        <v>328</v>
      </c>
      <c r="AA637" s="4">
        <v>230</v>
      </c>
      <c r="AB637" s="4">
        <f t="shared" si="100"/>
        <v>230</v>
      </c>
      <c r="AC637" s="4"/>
      <c r="AD637" s="21">
        <f>ROUND(M637*AR637,0)</f>
        <v>308</v>
      </c>
      <c r="AE637" s="6">
        <f>1-AB637/AD637</f>
        <v>0.25324675324675328</v>
      </c>
      <c r="AF637" s="33">
        <v>0.25</v>
      </c>
      <c r="AG637" s="4">
        <f t="shared" si="101"/>
        <v>1000</v>
      </c>
      <c r="AH637" s="33">
        <f t="shared" si="94"/>
        <v>1079.81220657277</v>
      </c>
      <c r="AI637" s="6">
        <f>1-AB637/AH637</f>
        <v>0.78700000000000003</v>
      </c>
      <c r="AJ637" s="7">
        <v>328</v>
      </c>
      <c r="AK637" s="6">
        <f>1-AB637/AJ637</f>
        <v>0.29878048780487809</v>
      </c>
      <c r="AL637" s="4">
        <f>AJ637-AB637</f>
        <v>98</v>
      </c>
      <c r="AM637" s="28"/>
      <c r="AN637" s="6"/>
      <c r="AO637" s="6"/>
      <c r="AP637" s="6">
        <f>Z637/L637</f>
        <v>0.68333333333333335</v>
      </c>
      <c r="AQ637" s="6">
        <f>AJ637/M637</f>
        <v>1.1508771929824562</v>
      </c>
      <c r="AR637" s="6">
        <f>AB637/N637</f>
        <v>1.07981220657277</v>
      </c>
      <c r="AS637" s="4"/>
      <c r="AT637" s="4"/>
      <c r="AU637" s="4"/>
      <c r="AV637" s="4"/>
      <c r="AW637" s="4"/>
      <c r="AX637" s="4"/>
      <c r="AY637" s="4"/>
      <c r="AZ637" s="4"/>
      <c r="BA637" s="4"/>
      <c r="BB637" s="4">
        <v>0</v>
      </c>
      <c r="BC637" s="4" t="s">
        <v>4121</v>
      </c>
      <c r="BD637" s="4">
        <v>1</v>
      </c>
      <c r="BE637" s="4">
        <v>2</v>
      </c>
      <c r="BF637" s="4" t="s">
        <v>3640</v>
      </c>
      <c r="BG637" s="4">
        <v>2000</v>
      </c>
      <c r="BH637" s="4">
        <v>2000</v>
      </c>
      <c r="BI637" s="4">
        <f t="shared" si="102"/>
        <v>1000</v>
      </c>
      <c r="BJ637" s="19">
        <v>4</v>
      </c>
      <c r="BK637" s="19">
        <v>8</v>
      </c>
      <c r="BL637" s="16">
        <v>6</v>
      </c>
      <c r="BM637" s="45" t="s">
        <v>3534</v>
      </c>
      <c r="BN637" t="s">
        <v>3534</v>
      </c>
      <c r="BO637" t="str">
        <f t="shared" si="95"/>
        <v>-</v>
      </c>
      <c r="BP637" t="s">
        <v>3534</v>
      </c>
      <c r="BQ637">
        <v>328</v>
      </c>
      <c r="BR637">
        <f t="shared" si="96"/>
        <v>354.17840375586854</v>
      </c>
      <c r="BS637" t="s">
        <v>3006</v>
      </c>
    </row>
    <row r="638" spans="1:71" x14ac:dyDescent="0.4">
      <c r="A638" s="3">
        <v>635</v>
      </c>
      <c r="B638" s="3">
        <v>635</v>
      </c>
      <c r="C638" s="4" t="s">
        <v>697</v>
      </c>
      <c r="D638" s="4" t="str">
        <f t="shared" si="97"/>
        <v>J589RR</v>
      </c>
      <c r="E638" s="4" t="s">
        <v>697</v>
      </c>
      <c r="F638" s="4" t="s">
        <v>1915</v>
      </c>
      <c r="G638" s="5">
        <v>4521718095646</v>
      </c>
      <c r="H638" s="5"/>
      <c r="I638" s="5"/>
      <c r="J638" s="5">
        <v>1</v>
      </c>
      <c r="K638" s="5">
        <v>1</v>
      </c>
      <c r="L638" s="4">
        <v>790</v>
      </c>
      <c r="M638" s="4">
        <v>519</v>
      </c>
      <c r="N638" s="4">
        <v>355</v>
      </c>
      <c r="O638" s="6">
        <f t="shared" si="98"/>
        <v>0.31599229287090558</v>
      </c>
      <c r="P638" s="4" t="s">
        <v>2500</v>
      </c>
      <c r="Q638" s="4"/>
      <c r="R638" s="4"/>
      <c r="S638" s="4"/>
      <c r="T638" s="4"/>
      <c r="U638" s="4"/>
      <c r="V638" s="4"/>
      <c r="W638" s="4"/>
      <c r="X638" s="4"/>
      <c r="Y638" s="4">
        <v>546</v>
      </c>
      <c r="Z638" s="4">
        <f t="shared" si="99"/>
        <v>546</v>
      </c>
      <c r="AA638" s="4">
        <v>382</v>
      </c>
      <c r="AB638" s="4">
        <f t="shared" si="100"/>
        <v>382</v>
      </c>
      <c r="AC638" s="4"/>
      <c r="AD638" s="21">
        <f>ROUND(M638*AR638,0)</f>
        <v>558</v>
      </c>
      <c r="AE638" s="6">
        <f>1-AB638/AD638</f>
        <v>0.31541218637992829</v>
      </c>
      <c r="AF638" s="33">
        <v>0</v>
      </c>
      <c r="AG638" s="4">
        <f t="shared" si="101"/>
        <v>1000</v>
      </c>
      <c r="AH638" s="33">
        <f t="shared" si="94"/>
        <v>1076.056338028169</v>
      </c>
      <c r="AI638" s="6">
        <f>1-AB638/AH638</f>
        <v>0.64500000000000002</v>
      </c>
      <c r="AJ638" s="7">
        <v>546</v>
      </c>
      <c r="AK638" s="6">
        <f>1-AB638/AJ638</f>
        <v>0.30036630036630041</v>
      </c>
      <c r="AL638" s="4">
        <f>AJ638-AB638</f>
        <v>164</v>
      </c>
      <c r="AM638" s="28"/>
      <c r="AN638" s="6"/>
      <c r="AO638" s="6"/>
      <c r="AP638" s="6">
        <f>Z638/L638</f>
        <v>0.69113924050632913</v>
      </c>
      <c r="AQ638" s="6">
        <f>AJ638/M638</f>
        <v>1.0520231213872833</v>
      </c>
      <c r="AR638" s="6">
        <f>AB638/N638</f>
        <v>1.0760563380281689</v>
      </c>
      <c r="AS638" s="4"/>
      <c r="AT638" s="4"/>
      <c r="AU638" s="4"/>
      <c r="AV638" s="4"/>
      <c r="AW638" s="4"/>
      <c r="AX638" s="4"/>
      <c r="AY638" s="4"/>
      <c r="AZ638" s="4"/>
      <c r="BA638" s="4"/>
      <c r="BB638" s="4">
        <v>0</v>
      </c>
      <c r="BC638" s="4" t="s">
        <v>4122</v>
      </c>
      <c r="BD638" s="4">
        <v>1</v>
      </c>
      <c r="BE638" s="4">
        <v>2</v>
      </c>
      <c r="BF638" s="4" t="s">
        <v>3640</v>
      </c>
      <c r="BG638" s="4">
        <v>2000</v>
      </c>
      <c r="BH638" s="4">
        <v>2000</v>
      </c>
      <c r="BI638" s="4">
        <f t="shared" si="102"/>
        <v>1000</v>
      </c>
      <c r="BJ638" s="19">
        <v>4</v>
      </c>
      <c r="BK638" s="19">
        <v>8</v>
      </c>
      <c r="BL638" s="16">
        <v>6</v>
      </c>
      <c r="BM638" s="45" t="s">
        <v>3534</v>
      </c>
      <c r="BN638" t="s">
        <v>3534</v>
      </c>
      <c r="BO638" t="str">
        <f t="shared" si="95"/>
        <v>-</v>
      </c>
      <c r="BP638" t="s">
        <v>3534</v>
      </c>
      <c r="BQ638">
        <v>600</v>
      </c>
      <c r="BR638">
        <f t="shared" si="96"/>
        <v>645.63380281690138</v>
      </c>
      <c r="BS638" t="s">
        <v>3007</v>
      </c>
    </row>
    <row r="639" spans="1:71" x14ac:dyDescent="0.4">
      <c r="A639" s="3">
        <v>636</v>
      </c>
      <c r="B639" s="3">
        <v>636</v>
      </c>
      <c r="C639" s="4" t="s">
        <v>698</v>
      </c>
      <c r="D639" s="4" t="str">
        <f t="shared" si="97"/>
        <v>J622WK</v>
      </c>
      <c r="E639" s="4" t="s">
        <v>698</v>
      </c>
      <c r="F639" s="4" t="s">
        <v>1916</v>
      </c>
      <c r="G639" s="5">
        <v>4521718586694</v>
      </c>
      <c r="H639" s="5"/>
      <c r="I639" s="5"/>
      <c r="J639" s="5">
        <v>1</v>
      </c>
      <c r="K639" s="5">
        <v>1</v>
      </c>
      <c r="L639" s="4">
        <v>240</v>
      </c>
      <c r="M639" s="4">
        <v>119</v>
      </c>
      <c r="N639" s="4">
        <v>83</v>
      </c>
      <c r="O639" s="6">
        <f t="shared" si="98"/>
        <v>0.30252100840336138</v>
      </c>
      <c r="P639" s="4" t="s">
        <v>2500</v>
      </c>
      <c r="Q639" s="4"/>
      <c r="R639" s="4"/>
      <c r="S639" s="4"/>
      <c r="T639" s="4"/>
      <c r="U639" s="4"/>
      <c r="V639" s="4"/>
      <c r="W639" s="4"/>
      <c r="X639" s="4"/>
      <c r="Y639" s="4">
        <v>240</v>
      </c>
      <c r="Z639" s="4">
        <f t="shared" si="99"/>
        <v>240</v>
      </c>
      <c r="AA639" s="4">
        <v>83</v>
      </c>
      <c r="AB639" s="4">
        <f t="shared" si="100"/>
        <v>83</v>
      </c>
      <c r="AC639" s="4"/>
      <c r="AD639" s="21">
        <f>ROUND(M639*AR639,0)</f>
        <v>119</v>
      </c>
      <c r="AE639" s="6">
        <f>1-AB639/AD639</f>
        <v>0.30252100840336138</v>
      </c>
      <c r="AF639" s="33">
        <v>0</v>
      </c>
      <c r="AG639" s="4" t="str">
        <f t="shared" si="101"/>
        <v>-</v>
      </c>
      <c r="AH639" s="33" t="e">
        <f t="shared" si="94"/>
        <v>#VALUE!</v>
      </c>
      <c r="AI639" s="6" t="e">
        <f>1-AB639/AH639</f>
        <v>#VALUE!</v>
      </c>
      <c r="AJ639" s="7">
        <f>ROUND(AB639/0.65,0)</f>
        <v>128</v>
      </c>
      <c r="AK639" s="6">
        <f>1-AB639/AJ639</f>
        <v>0.3515625</v>
      </c>
      <c r="AL639" s="4">
        <f>AJ639-AB639</f>
        <v>45</v>
      </c>
      <c r="AM639" s="28"/>
      <c r="AN639" s="6"/>
      <c r="AO639" s="6"/>
      <c r="AP639" s="6">
        <f>Z639/L639</f>
        <v>1</v>
      </c>
      <c r="AQ639" s="6">
        <f>AJ639/M639</f>
        <v>1.0756302521008403</v>
      </c>
      <c r="AR639" s="6">
        <f>AB639/N639</f>
        <v>1</v>
      </c>
      <c r="AS639" s="4"/>
      <c r="AT639" s="4"/>
      <c r="AU639" s="4"/>
      <c r="AV639" s="4"/>
      <c r="AW639" s="4"/>
      <c r="AX639" s="4"/>
      <c r="AY639" s="4"/>
      <c r="AZ639" s="4"/>
      <c r="BA639" s="4"/>
      <c r="BB639" s="4">
        <v>0</v>
      </c>
      <c r="BC639" s="4" t="s">
        <v>3534</v>
      </c>
      <c r="BD639" s="4"/>
      <c r="BE639" s="4"/>
      <c r="BF639" s="4" t="s">
        <v>3534</v>
      </c>
      <c r="BG639" s="4" t="s">
        <v>3534</v>
      </c>
      <c r="BH639" s="4" t="s">
        <v>3534</v>
      </c>
      <c r="BI639" s="4" t="str">
        <f t="shared" si="102"/>
        <v>-</v>
      </c>
      <c r="BJ639" s="19">
        <v>4</v>
      </c>
      <c r="BK639" s="19">
        <v>8</v>
      </c>
      <c r="BL639" s="16">
        <v>6</v>
      </c>
      <c r="BM639" s="45" t="s">
        <v>3534</v>
      </c>
      <c r="BN639" t="s">
        <v>3534</v>
      </c>
      <c r="BO639" t="str">
        <f t="shared" si="95"/>
        <v>-</v>
      </c>
      <c r="BP639" t="s">
        <v>3534</v>
      </c>
      <c r="BQ639" t="s">
        <v>3534</v>
      </c>
      <c r="BR639" t="str">
        <f t="shared" si="96"/>
        <v>-</v>
      </c>
      <c r="BS639" t="s">
        <v>3534</v>
      </c>
    </row>
    <row r="640" spans="1:71" x14ac:dyDescent="0.4">
      <c r="A640" s="3">
        <v>637</v>
      </c>
      <c r="B640" s="3">
        <v>637</v>
      </c>
      <c r="C640" s="4" t="s">
        <v>699</v>
      </c>
      <c r="D640" s="4" t="str">
        <f t="shared" si="97"/>
        <v>J623WK</v>
      </c>
      <c r="E640" s="4" t="s">
        <v>699</v>
      </c>
      <c r="F640" s="4" t="s">
        <v>1917</v>
      </c>
      <c r="G640" s="5">
        <v>4521718586700</v>
      </c>
      <c r="H640" s="5"/>
      <c r="I640" s="5"/>
      <c r="J640" s="5">
        <v>1</v>
      </c>
      <c r="K640" s="5">
        <v>1</v>
      </c>
      <c r="L640" s="4">
        <v>240</v>
      </c>
      <c r="M640" s="4">
        <v>119</v>
      </c>
      <c r="N640" s="4">
        <v>83</v>
      </c>
      <c r="O640" s="6">
        <f t="shared" si="98"/>
        <v>0.30252100840336138</v>
      </c>
      <c r="P640" s="4" t="s">
        <v>2500</v>
      </c>
      <c r="Q640" s="4"/>
      <c r="R640" s="4"/>
      <c r="S640" s="4"/>
      <c r="T640" s="4"/>
      <c r="U640" s="4"/>
      <c r="V640" s="4"/>
      <c r="W640" s="4"/>
      <c r="X640" s="4"/>
      <c r="Y640" s="4">
        <v>240</v>
      </c>
      <c r="Z640" s="4">
        <f t="shared" si="99"/>
        <v>240</v>
      </c>
      <c r="AA640" s="4">
        <v>83</v>
      </c>
      <c r="AB640" s="4">
        <f t="shared" si="100"/>
        <v>83</v>
      </c>
      <c r="AC640" s="4"/>
      <c r="AD640" s="21">
        <f>ROUND(M640*AR640,0)</f>
        <v>119</v>
      </c>
      <c r="AE640" s="6">
        <f>1-AB640/AD640</f>
        <v>0.30252100840336138</v>
      </c>
      <c r="AF640" s="33">
        <v>0</v>
      </c>
      <c r="AG640" s="4" t="str">
        <f t="shared" si="101"/>
        <v>-</v>
      </c>
      <c r="AH640" s="33" t="e">
        <f t="shared" si="94"/>
        <v>#VALUE!</v>
      </c>
      <c r="AI640" s="6" t="e">
        <f>1-AB640/AH640</f>
        <v>#VALUE!</v>
      </c>
      <c r="AJ640" s="7">
        <f>ROUND(AB640/0.65,0)</f>
        <v>128</v>
      </c>
      <c r="AK640" s="6">
        <f>1-AB640/AJ640</f>
        <v>0.3515625</v>
      </c>
      <c r="AL640" s="4">
        <f>AJ640-AB640</f>
        <v>45</v>
      </c>
      <c r="AM640" s="28"/>
      <c r="AN640" s="6"/>
      <c r="AO640" s="6"/>
      <c r="AP640" s="6">
        <f>Z640/L640</f>
        <v>1</v>
      </c>
      <c r="AQ640" s="6">
        <f>AJ640/M640</f>
        <v>1.0756302521008403</v>
      </c>
      <c r="AR640" s="6">
        <f>AB640/N640</f>
        <v>1</v>
      </c>
      <c r="AS640" s="4"/>
      <c r="AT640" s="4"/>
      <c r="AU640" s="4"/>
      <c r="AV640" s="4"/>
      <c r="AW640" s="4"/>
      <c r="AX640" s="4"/>
      <c r="AY640" s="4"/>
      <c r="AZ640" s="4"/>
      <c r="BA640" s="4"/>
      <c r="BB640" s="4">
        <v>0</v>
      </c>
      <c r="BC640" s="4" t="s">
        <v>3534</v>
      </c>
      <c r="BD640" s="4"/>
      <c r="BE640" s="4"/>
      <c r="BF640" s="4" t="s">
        <v>3534</v>
      </c>
      <c r="BG640" s="4" t="s">
        <v>3534</v>
      </c>
      <c r="BH640" s="4" t="s">
        <v>3534</v>
      </c>
      <c r="BI640" s="4" t="str">
        <f t="shared" si="102"/>
        <v>-</v>
      </c>
      <c r="BJ640" s="19">
        <v>4</v>
      </c>
      <c r="BK640" s="19">
        <v>8</v>
      </c>
      <c r="BL640" s="16">
        <v>6</v>
      </c>
      <c r="BM640" s="45" t="s">
        <v>3534</v>
      </c>
      <c r="BN640" t="s">
        <v>3534</v>
      </c>
      <c r="BO640" t="str">
        <f t="shared" si="95"/>
        <v>-</v>
      </c>
      <c r="BP640" t="s">
        <v>3534</v>
      </c>
      <c r="BQ640" t="s">
        <v>3534</v>
      </c>
      <c r="BR640" t="str">
        <f t="shared" si="96"/>
        <v>-</v>
      </c>
      <c r="BS640" t="s">
        <v>3534</v>
      </c>
    </row>
    <row r="641" spans="1:71" x14ac:dyDescent="0.4">
      <c r="A641" s="3">
        <v>638</v>
      </c>
      <c r="B641" s="3">
        <v>638</v>
      </c>
      <c r="C641" s="4" t="s">
        <v>700</v>
      </c>
      <c r="D641" s="4" t="str">
        <f t="shared" si="97"/>
        <v>J624WK</v>
      </c>
      <c r="E641" s="4" t="s">
        <v>700</v>
      </c>
      <c r="F641" s="4" t="s">
        <v>1918</v>
      </c>
      <c r="G641" s="5">
        <v>4521718586717</v>
      </c>
      <c r="H641" s="5"/>
      <c r="I641" s="5"/>
      <c r="J641" s="5">
        <v>1</v>
      </c>
      <c r="K641" s="5">
        <v>1</v>
      </c>
      <c r="L641" s="4">
        <v>240</v>
      </c>
      <c r="M641" s="4">
        <v>119</v>
      </c>
      <c r="N641" s="4">
        <v>83</v>
      </c>
      <c r="O641" s="6">
        <f t="shared" si="98"/>
        <v>0.30252100840336138</v>
      </c>
      <c r="P641" s="4" t="s">
        <v>2500</v>
      </c>
      <c r="Q641" s="4"/>
      <c r="R641" s="4"/>
      <c r="S641" s="4"/>
      <c r="T641" s="4"/>
      <c r="U641" s="4"/>
      <c r="V641" s="4"/>
      <c r="W641" s="4"/>
      <c r="X641" s="4"/>
      <c r="Y641" s="4">
        <v>240</v>
      </c>
      <c r="Z641" s="4">
        <f t="shared" si="99"/>
        <v>240</v>
      </c>
      <c r="AA641" s="4">
        <v>83</v>
      </c>
      <c r="AB641" s="4">
        <f t="shared" si="100"/>
        <v>83</v>
      </c>
      <c r="AC641" s="4"/>
      <c r="AD641" s="21">
        <f>ROUND(M641*AR641,0)</f>
        <v>119</v>
      </c>
      <c r="AE641" s="6">
        <f>1-AB641/AD641</f>
        <v>0.30252100840336138</v>
      </c>
      <c r="AF641" s="33">
        <v>0</v>
      </c>
      <c r="AG641" s="4" t="str">
        <f t="shared" si="101"/>
        <v>-</v>
      </c>
      <c r="AH641" s="33" t="e">
        <f t="shared" si="94"/>
        <v>#VALUE!</v>
      </c>
      <c r="AI641" s="6" t="e">
        <f>1-AB641/AH641</f>
        <v>#VALUE!</v>
      </c>
      <c r="AJ641" s="7">
        <f>ROUND(AB641/0.65,0)</f>
        <v>128</v>
      </c>
      <c r="AK641" s="6">
        <f>1-AB641/AJ641</f>
        <v>0.3515625</v>
      </c>
      <c r="AL641" s="4">
        <f>AJ641-AB641</f>
        <v>45</v>
      </c>
      <c r="AM641" s="28"/>
      <c r="AN641" s="6"/>
      <c r="AO641" s="6"/>
      <c r="AP641" s="6">
        <f>Z641/L641</f>
        <v>1</v>
      </c>
      <c r="AQ641" s="6">
        <f>AJ641/M641</f>
        <v>1.0756302521008403</v>
      </c>
      <c r="AR641" s="6">
        <f>AB641/N641</f>
        <v>1</v>
      </c>
      <c r="AS641" s="4"/>
      <c r="AT641" s="4"/>
      <c r="AU641" s="4"/>
      <c r="AV641" s="4"/>
      <c r="AW641" s="4"/>
      <c r="AX641" s="4"/>
      <c r="AY641" s="4"/>
      <c r="AZ641" s="4"/>
      <c r="BA641" s="4"/>
      <c r="BB641" s="4">
        <v>0</v>
      </c>
      <c r="BC641" s="4" t="s">
        <v>3534</v>
      </c>
      <c r="BD641" s="4"/>
      <c r="BE641" s="4"/>
      <c r="BF641" s="4" t="s">
        <v>3534</v>
      </c>
      <c r="BG641" s="4" t="s">
        <v>3534</v>
      </c>
      <c r="BH641" s="4" t="s">
        <v>3534</v>
      </c>
      <c r="BI641" s="4" t="str">
        <f t="shared" si="102"/>
        <v>-</v>
      </c>
      <c r="BJ641" s="19">
        <v>4</v>
      </c>
      <c r="BK641" s="19">
        <v>8</v>
      </c>
      <c r="BL641" s="16">
        <v>6</v>
      </c>
      <c r="BM641" s="45" t="s">
        <v>3534</v>
      </c>
      <c r="BN641" t="s">
        <v>3534</v>
      </c>
      <c r="BO641" t="str">
        <f t="shared" si="95"/>
        <v>-</v>
      </c>
      <c r="BP641" t="s">
        <v>3534</v>
      </c>
      <c r="BQ641" t="s">
        <v>3534</v>
      </c>
      <c r="BR641" t="str">
        <f t="shared" si="96"/>
        <v>-</v>
      </c>
      <c r="BS641" t="s">
        <v>3534</v>
      </c>
    </row>
    <row r="642" spans="1:71" x14ac:dyDescent="0.4">
      <c r="A642" s="3">
        <v>639</v>
      </c>
      <c r="B642" s="3">
        <v>639</v>
      </c>
      <c r="C642" s="4" t="s">
        <v>701</v>
      </c>
      <c r="D642" s="4" t="str">
        <f t="shared" si="97"/>
        <v>J625WK</v>
      </c>
      <c r="E642" s="4" t="s">
        <v>701</v>
      </c>
      <c r="F642" s="4" t="s">
        <v>1919</v>
      </c>
      <c r="G642" s="5">
        <v>4521718586724</v>
      </c>
      <c r="H642" s="5"/>
      <c r="I642" s="5"/>
      <c r="J642" s="5">
        <v>1</v>
      </c>
      <c r="K642" s="5">
        <v>1</v>
      </c>
      <c r="L642" s="4">
        <v>240</v>
      </c>
      <c r="M642" s="4">
        <v>119</v>
      </c>
      <c r="N642" s="4">
        <v>83</v>
      </c>
      <c r="O642" s="6">
        <f t="shared" si="98"/>
        <v>0.30252100840336138</v>
      </c>
      <c r="P642" s="4" t="s">
        <v>2500</v>
      </c>
      <c r="Q642" s="4"/>
      <c r="R642" s="4"/>
      <c r="S642" s="4"/>
      <c r="T642" s="4"/>
      <c r="U642" s="4"/>
      <c r="V642" s="4"/>
      <c r="W642" s="4"/>
      <c r="X642" s="4"/>
      <c r="Y642" s="4">
        <v>240</v>
      </c>
      <c r="Z642" s="4">
        <f t="shared" si="99"/>
        <v>240</v>
      </c>
      <c r="AA642" s="4">
        <v>83</v>
      </c>
      <c r="AB642" s="4">
        <f t="shared" si="100"/>
        <v>83</v>
      </c>
      <c r="AC642" s="4"/>
      <c r="AD642" s="21">
        <f>ROUND(M642*AR642,0)</f>
        <v>119</v>
      </c>
      <c r="AE642" s="6">
        <f>1-AB642/AD642</f>
        <v>0.30252100840336138</v>
      </c>
      <c r="AF642" s="33">
        <v>0</v>
      </c>
      <c r="AG642" s="4" t="str">
        <f t="shared" si="101"/>
        <v>-</v>
      </c>
      <c r="AH642" s="33" t="e">
        <f t="shared" si="94"/>
        <v>#VALUE!</v>
      </c>
      <c r="AI642" s="6" t="e">
        <f>1-AB642/AH642</f>
        <v>#VALUE!</v>
      </c>
      <c r="AJ642" s="7">
        <f>ROUND(AB642/0.65,0)</f>
        <v>128</v>
      </c>
      <c r="AK642" s="6">
        <f>1-AB642/AJ642</f>
        <v>0.3515625</v>
      </c>
      <c r="AL642" s="4">
        <f>AJ642-AB642</f>
        <v>45</v>
      </c>
      <c r="AM642" s="28"/>
      <c r="AN642" s="6"/>
      <c r="AO642" s="6"/>
      <c r="AP642" s="6">
        <f>Z642/L642</f>
        <v>1</v>
      </c>
      <c r="AQ642" s="6">
        <f>AJ642/M642</f>
        <v>1.0756302521008403</v>
      </c>
      <c r="AR642" s="6">
        <f>AB642/N642</f>
        <v>1</v>
      </c>
      <c r="AS642" s="4"/>
      <c r="AT642" s="4"/>
      <c r="AU642" s="4"/>
      <c r="AV642" s="4"/>
      <c r="AW642" s="4"/>
      <c r="AX642" s="4"/>
      <c r="AY642" s="4"/>
      <c r="AZ642" s="4"/>
      <c r="BA642" s="4"/>
      <c r="BB642" s="4">
        <v>0</v>
      </c>
      <c r="BC642" s="4" t="s">
        <v>3534</v>
      </c>
      <c r="BD642" s="4"/>
      <c r="BE642" s="4"/>
      <c r="BF642" s="4" t="s">
        <v>3534</v>
      </c>
      <c r="BG642" s="4" t="s">
        <v>3534</v>
      </c>
      <c r="BH642" s="4" t="s">
        <v>3534</v>
      </c>
      <c r="BI642" s="4" t="str">
        <f t="shared" si="102"/>
        <v>-</v>
      </c>
      <c r="BJ642" s="19">
        <v>4</v>
      </c>
      <c r="BK642" s="19">
        <v>8</v>
      </c>
      <c r="BL642" s="16">
        <v>6</v>
      </c>
      <c r="BM642" s="45" t="s">
        <v>3534</v>
      </c>
      <c r="BN642" t="s">
        <v>3534</v>
      </c>
      <c r="BO642" t="str">
        <f t="shared" si="95"/>
        <v>-</v>
      </c>
      <c r="BP642" t="s">
        <v>3534</v>
      </c>
      <c r="BQ642" t="s">
        <v>3534</v>
      </c>
      <c r="BR642" t="str">
        <f t="shared" si="96"/>
        <v>-</v>
      </c>
      <c r="BS642" t="s">
        <v>3534</v>
      </c>
    </row>
    <row r="643" spans="1:71" x14ac:dyDescent="0.4">
      <c r="A643" s="3">
        <v>640</v>
      </c>
      <c r="B643" s="3">
        <v>640</v>
      </c>
      <c r="C643" s="4" t="s">
        <v>702</v>
      </c>
      <c r="D643" s="4" t="str">
        <f t="shared" si="97"/>
        <v>J626WK</v>
      </c>
      <c r="E643" s="4" t="s">
        <v>702</v>
      </c>
      <c r="F643" s="4" t="s">
        <v>1920</v>
      </c>
      <c r="G643" s="5">
        <v>4521718586731</v>
      </c>
      <c r="H643" s="5"/>
      <c r="I643" s="5"/>
      <c r="J643" s="5">
        <v>1</v>
      </c>
      <c r="K643" s="5">
        <v>1</v>
      </c>
      <c r="L643" s="4">
        <v>240</v>
      </c>
      <c r="M643" s="4">
        <v>119</v>
      </c>
      <c r="N643" s="4">
        <v>83</v>
      </c>
      <c r="O643" s="6">
        <f t="shared" si="98"/>
        <v>0.30252100840336138</v>
      </c>
      <c r="P643" s="4" t="s">
        <v>2500</v>
      </c>
      <c r="Q643" s="4"/>
      <c r="R643" s="4"/>
      <c r="S643" s="4"/>
      <c r="T643" s="4"/>
      <c r="U643" s="4"/>
      <c r="V643" s="4"/>
      <c r="W643" s="4"/>
      <c r="X643" s="4"/>
      <c r="Y643" s="4">
        <v>240</v>
      </c>
      <c r="Z643" s="4">
        <f t="shared" si="99"/>
        <v>240</v>
      </c>
      <c r="AA643" s="4">
        <v>83</v>
      </c>
      <c r="AB643" s="4">
        <f t="shared" si="100"/>
        <v>83</v>
      </c>
      <c r="AC643" s="4"/>
      <c r="AD643" s="21">
        <f>ROUND(M643*AR643,0)</f>
        <v>119</v>
      </c>
      <c r="AE643" s="6">
        <f>1-AB643/AD643</f>
        <v>0.30252100840336138</v>
      </c>
      <c r="AF643" s="33">
        <v>0</v>
      </c>
      <c r="AG643" s="4" t="str">
        <f t="shared" si="101"/>
        <v>-</v>
      </c>
      <c r="AH643" s="33" t="e">
        <f t="shared" si="94"/>
        <v>#VALUE!</v>
      </c>
      <c r="AI643" s="6" t="e">
        <f>1-AB643/AH643</f>
        <v>#VALUE!</v>
      </c>
      <c r="AJ643" s="7">
        <f>ROUND(AB643/0.65,0)</f>
        <v>128</v>
      </c>
      <c r="AK643" s="6">
        <f>1-AB643/AJ643</f>
        <v>0.3515625</v>
      </c>
      <c r="AL643" s="4">
        <f>AJ643-AB643</f>
        <v>45</v>
      </c>
      <c r="AM643" s="28"/>
      <c r="AN643" s="6"/>
      <c r="AO643" s="6"/>
      <c r="AP643" s="6">
        <f>Z643/L643</f>
        <v>1</v>
      </c>
      <c r="AQ643" s="6">
        <f>AJ643/M643</f>
        <v>1.0756302521008403</v>
      </c>
      <c r="AR643" s="6">
        <f>AB643/N643</f>
        <v>1</v>
      </c>
      <c r="AS643" s="4"/>
      <c r="AT643" s="4"/>
      <c r="AU643" s="4"/>
      <c r="AV643" s="4"/>
      <c r="AW643" s="4"/>
      <c r="AX643" s="4"/>
      <c r="AY643" s="4"/>
      <c r="AZ643" s="4"/>
      <c r="BA643" s="4"/>
      <c r="BB643" s="4">
        <v>0</v>
      </c>
      <c r="BC643" s="4" t="s">
        <v>3534</v>
      </c>
      <c r="BD643" s="4"/>
      <c r="BE643" s="4"/>
      <c r="BF643" s="4" t="s">
        <v>3534</v>
      </c>
      <c r="BG643" s="4" t="s">
        <v>3534</v>
      </c>
      <c r="BH643" s="4" t="s">
        <v>3534</v>
      </c>
      <c r="BI643" s="4" t="str">
        <f t="shared" si="102"/>
        <v>-</v>
      </c>
      <c r="BJ643" s="19">
        <v>4</v>
      </c>
      <c r="BK643" s="19">
        <v>8</v>
      </c>
      <c r="BL643" s="16">
        <v>6</v>
      </c>
      <c r="BM643" s="45" t="s">
        <v>3534</v>
      </c>
      <c r="BN643" t="s">
        <v>3534</v>
      </c>
      <c r="BO643" t="str">
        <f t="shared" si="95"/>
        <v>-</v>
      </c>
      <c r="BP643" t="s">
        <v>3534</v>
      </c>
      <c r="BQ643" t="s">
        <v>3534</v>
      </c>
      <c r="BR643" t="str">
        <f t="shared" si="96"/>
        <v>-</v>
      </c>
      <c r="BS643" t="s">
        <v>3534</v>
      </c>
    </row>
    <row r="644" spans="1:71" x14ac:dyDescent="0.4">
      <c r="A644" s="3">
        <v>641</v>
      </c>
      <c r="B644" s="3">
        <v>641</v>
      </c>
      <c r="C644" s="4" t="s">
        <v>703</v>
      </c>
      <c r="D644" s="4" t="str">
        <f t="shared" si="97"/>
        <v>J627WK</v>
      </c>
      <c r="E644" s="4" t="s">
        <v>703</v>
      </c>
      <c r="F644" s="4" t="s">
        <v>1921</v>
      </c>
      <c r="G644" s="5">
        <v>4521718586748</v>
      </c>
      <c r="H644" s="5"/>
      <c r="I644" s="5"/>
      <c r="J644" s="5">
        <v>1</v>
      </c>
      <c r="K644" s="5">
        <v>1</v>
      </c>
      <c r="L644" s="4">
        <v>240</v>
      </c>
      <c r="M644" s="4">
        <v>119</v>
      </c>
      <c r="N644" s="4">
        <v>83</v>
      </c>
      <c r="O644" s="6">
        <f t="shared" si="98"/>
        <v>0.30252100840336138</v>
      </c>
      <c r="P644" s="4" t="s">
        <v>2500</v>
      </c>
      <c r="Q644" s="4"/>
      <c r="R644" s="4"/>
      <c r="S644" s="4"/>
      <c r="T644" s="4"/>
      <c r="U644" s="4"/>
      <c r="V644" s="4"/>
      <c r="W644" s="4"/>
      <c r="X644" s="4"/>
      <c r="Y644" s="4">
        <v>240</v>
      </c>
      <c r="Z644" s="4">
        <f t="shared" si="99"/>
        <v>240</v>
      </c>
      <c r="AA644" s="4">
        <v>83</v>
      </c>
      <c r="AB644" s="4">
        <f t="shared" si="100"/>
        <v>83</v>
      </c>
      <c r="AC644" s="4"/>
      <c r="AD644" s="21">
        <f>ROUND(M644*AR644,0)</f>
        <v>119</v>
      </c>
      <c r="AE644" s="6">
        <f>1-AB644/AD644</f>
        <v>0.30252100840336138</v>
      </c>
      <c r="AF644" s="33">
        <v>0</v>
      </c>
      <c r="AG644" s="4" t="str">
        <f t="shared" si="101"/>
        <v>-</v>
      </c>
      <c r="AH644" s="33" t="e">
        <f t="shared" ref="AH644:AH707" si="103">AG644*AR644</f>
        <v>#VALUE!</v>
      </c>
      <c r="AI644" s="6" t="e">
        <f>1-AB644/AH644</f>
        <v>#VALUE!</v>
      </c>
      <c r="AJ644" s="7">
        <f>ROUND(AB644/0.65,0)</f>
        <v>128</v>
      </c>
      <c r="AK644" s="6">
        <f>1-AB644/AJ644</f>
        <v>0.3515625</v>
      </c>
      <c r="AL644" s="4">
        <f>AJ644-AB644</f>
        <v>45</v>
      </c>
      <c r="AM644" s="28"/>
      <c r="AN644" s="6"/>
      <c r="AO644" s="6"/>
      <c r="AP644" s="6">
        <f>Z644/L644</f>
        <v>1</v>
      </c>
      <c r="AQ644" s="6">
        <f>AJ644/M644</f>
        <v>1.0756302521008403</v>
      </c>
      <c r="AR644" s="6">
        <f>AB644/N644</f>
        <v>1</v>
      </c>
      <c r="AS644" s="4"/>
      <c r="AT644" s="4"/>
      <c r="AU644" s="4"/>
      <c r="AV644" s="4"/>
      <c r="AW644" s="4"/>
      <c r="AX644" s="4"/>
      <c r="AY644" s="4"/>
      <c r="AZ644" s="4"/>
      <c r="BA644" s="4"/>
      <c r="BB644" s="4">
        <v>0</v>
      </c>
      <c r="BC644" s="4" t="s">
        <v>3534</v>
      </c>
      <c r="BD644" s="4"/>
      <c r="BE644" s="4"/>
      <c r="BF644" s="4" t="s">
        <v>3534</v>
      </c>
      <c r="BG644" s="4" t="s">
        <v>3534</v>
      </c>
      <c r="BH644" s="4" t="s">
        <v>3534</v>
      </c>
      <c r="BI644" s="4" t="str">
        <f t="shared" si="102"/>
        <v>-</v>
      </c>
      <c r="BJ644" s="19">
        <v>4</v>
      </c>
      <c r="BK644" s="19">
        <v>8</v>
      </c>
      <c r="BL644" s="16">
        <v>6</v>
      </c>
      <c r="BM644" s="45" t="s">
        <v>3534</v>
      </c>
      <c r="BN644" t="s">
        <v>3534</v>
      </c>
      <c r="BO644" t="str">
        <f t="shared" si="95"/>
        <v>-</v>
      </c>
      <c r="BP644" t="s">
        <v>3534</v>
      </c>
      <c r="BQ644" t="s">
        <v>3534</v>
      </c>
      <c r="BR644" t="str">
        <f t="shared" si="96"/>
        <v>-</v>
      </c>
      <c r="BS644" t="s">
        <v>3534</v>
      </c>
    </row>
    <row r="645" spans="1:71" x14ac:dyDescent="0.4">
      <c r="A645" s="3">
        <v>642</v>
      </c>
      <c r="B645" s="3">
        <v>642</v>
      </c>
      <c r="C645" s="4" t="s">
        <v>704</v>
      </c>
      <c r="D645" s="4" t="str">
        <f t="shared" si="97"/>
        <v>J628WK</v>
      </c>
      <c r="E645" s="4" t="s">
        <v>704</v>
      </c>
      <c r="F645" s="4" t="s">
        <v>1922</v>
      </c>
      <c r="G645" s="5">
        <v>4521718586755</v>
      </c>
      <c r="H645" s="5"/>
      <c r="I645" s="5"/>
      <c r="J645" s="5">
        <v>1</v>
      </c>
      <c r="K645" s="5">
        <v>1</v>
      </c>
      <c r="L645" s="4">
        <v>240</v>
      </c>
      <c r="M645" s="4">
        <v>119</v>
      </c>
      <c r="N645" s="4">
        <v>83</v>
      </c>
      <c r="O645" s="6">
        <f t="shared" si="98"/>
        <v>0.30252100840336138</v>
      </c>
      <c r="P645" s="4" t="s">
        <v>2500</v>
      </c>
      <c r="Q645" s="4"/>
      <c r="R645" s="4"/>
      <c r="S645" s="4"/>
      <c r="T645" s="4"/>
      <c r="U645" s="4"/>
      <c r="V645" s="4"/>
      <c r="W645" s="4"/>
      <c r="X645" s="4"/>
      <c r="Y645" s="4">
        <v>240</v>
      </c>
      <c r="Z645" s="4">
        <f t="shared" si="99"/>
        <v>240</v>
      </c>
      <c r="AA645" s="4">
        <v>83</v>
      </c>
      <c r="AB645" s="4">
        <f t="shared" si="100"/>
        <v>83</v>
      </c>
      <c r="AC645" s="4"/>
      <c r="AD645" s="21">
        <f>ROUND(M645*AR645,0)</f>
        <v>119</v>
      </c>
      <c r="AE645" s="6">
        <f>1-AB645/AD645</f>
        <v>0.30252100840336138</v>
      </c>
      <c r="AF645" s="33">
        <v>0.25</v>
      </c>
      <c r="AG645" s="4" t="str">
        <f t="shared" si="101"/>
        <v>-</v>
      </c>
      <c r="AH645" s="33" t="e">
        <f t="shared" si="103"/>
        <v>#VALUE!</v>
      </c>
      <c r="AI645" s="6" t="e">
        <f>1-AB645/AH645</f>
        <v>#VALUE!</v>
      </c>
      <c r="AJ645" s="7">
        <f>ROUND(AB645/0.65,0)</f>
        <v>128</v>
      </c>
      <c r="AK645" s="6">
        <f>1-AB645/AJ645</f>
        <v>0.3515625</v>
      </c>
      <c r="AL645" s="4">
        <f>AJ645-AB645</f>
        <v>45</v>
      </c>
      <c r="AM645" s="28"/>
      <c r="AN645" s="6"/>
      <c r="AO645" s="6"/>
      <c r="AP645" s="6">
        <f>Z645/L645</f>
        <v>1</v>
      </c>
      <c r="AQ645" s="6">
        <f>AJ645/M645</f>
        <v>1.0756302521008403</v>
      </c>
      <c r="AR645" s="6">
        <f>AB645/N645</f>
        <v>1</v>
      </c>
      <c r="AS645" s="4"/>
      <c r="AT645" s="4"/>
      <c r="AU645" s="4"/>
      <c r="AV645" s="4"/>
      <c r="AW645" s="4"/>
      <c r="AX645" s="4"/>
      <c r="AY645" s="4"/>
      <c r="AZ645" s="4"/>
      <c r="BA645" s="4"/>
      <c r="BB645" s="4">
        <v>0</v>
      </c>
      <c r="BC645" s="4" t="s">
        <v>3534</v>
      </c>
      <c r="BD645" s="4"/>
      <c r="BE645" s="4"/>
      <c r="BF645" s="4" t="s">
        <v>3534</v>
      </c>
      <c r="BG645" s="4" t="s">
        <v>3534</v>
      </c>
      <c r="BH645" s="4" t="s">
        <v>3534</v>
      </c>
      <c r="BI645" s="4" t="str">
        <f t="shared" si="102"/>
        <v>-</v>
      </c>
      <c r="BJ645" s="19">
        <v>4</v>
      </c>
      <c r="BK645" s="19">
        <v>8</v>
      </c>
      <c r="BL645" s="16">
        <v>6</v>
      </c>
      <c r="BM645" s="45" t="s">
        <v>3534</v>
      </c>
      <c r="BN645" t="s">
        <v>3534</v>
      </c>
      <c r="BO645" t="str">
        <f t="shared" ref="BO645:BO708" si="104">IFERROR(BN645*AR645,"-")</f>
        <v>-</v>
      </c>
      <c r="BP645" t="s">
        <v>3534</v>
      </c>
      <c r="BQ645" t="s">
        <v>3534</v>
      </c>
      <c r="BR645" t="str">
        <f t="shared" ref="BR645:BR708" si="105">IFERROR(BQ645*AR645,"-")</f>
        <v>-</v>
      </c>
      <c r="BS645" t="s">
        <v>3534</v>
      </c>
    </row>
    <row r="646" spans="1:71" x14ac:dyDescent="0.4">
      <c r="A646" s="3">
        <v>643</v>
      </c>
      <c r="B646" s="3">
        <v>643</v>
      </c>
      <c r="C646" s="4" t="s">
        <v>705</v>
      </c>
      <c r="D646" s="4" t="str">
        <f t="shared" si="97"/>
        <v>J630WG</v>
      </c>
      <c r="E646" s="4" t="s">
        <v>705</v>
      </c>
      <c r="F646" s="4" t="s">
        <v>1923</v>
      </c>
      <c r="G646" s="5">
        <v>4521718183954</v>
      </c>
      <c r="H646" s="5"/>
      <c r="I646" s="5"/>
      <c r="J646" s="5">
        <v>1</v>
      </c>
      <c r="K646" s="5">
        <v>1</v>
      </c>
      <c r="L646" s="4">
        <v>2830</v>
      </c>
      <c r="M646" s="4">
        <v>1980</v>
      </c>
      <c r="N646" s="4">
        <v>1273</v>
      </c>
      <c r="O646" s="6">
        <f t="shared" si="98"/>
        <v>0.35707070707070709</v>
      </c>
      <c r="P646" s="4" t="s">
        <v>2500</v>
      </c>
      <c r="Q646" s="4"/>
      <c r="R646" s="4"/>
      <c r="S646" s="4"/>
      <c r="T646" s="4"/>
      <c r="U646" s="4"/>
      <c r="V646" s="4"/>
      <c r="W646" s="4"/>
      <c r="X646" s="4"/>
      <c r="Y646" s="4">
        <v>1819</v>
      </c>
      <c r="Z646" s="4">
        <f t="shared" si="99"/>
        <v>1819</v>
      </c>
      <c r="AA646" s="4">
        <v>1273</v>
      </c>
      <c r="AB646" s="4">
        <f t="shared" si="100"/>
        <v>1273</v>
      </c>
      <c r="AC646" s="4"/>
      <c r="AD646" s="21">
        <f>ROUND(M646*AR646,0)</f>
        <v>1980</v>
      </c>
      <c r="AE646" s="6">
        <f>1-AB646/AD646</f>
        <v>0.35707070707070709</v>
      </c>
      <c r="AF646" s="33">
        <v>0</v>
      </c>
      <c r="AG646" s="4">
        <f t="shared" si="101"/>
        <v>1546</v>
      </c>
      <c r="AH646" s="33">
        <f t="shared" si="103"/>
        <v>1546</v>
      </c>
      <c r="AI646" s="6">
        <f>1-AB646/AH646</f>
        <v>0.17658473479948256</v>
      </c>
      <c r="AJ646" s="7">
        <v>1819</v>
      </c>
      <c r="AK646" s="6">
        <f>1-AB646/AJ646</f>
        <v>0.30016492578339748</v>
      </c>
      <c r="AL646" s="4">
        <f>AJ646-AB646</f>
        <v>546</v>
      </c>
      <c r="AM646" s="28"/>
      <c r="AN646" s="6"/>
      <c r="AO646" s="6"/>
      <c r="AP646" s="6">
        <f>Z646/L646</f>
        <v>0.64275618374558308</v>
      </c>
      <c r="AQ646" s="6">
        <f>AJ646/M646</f>
        <v>0.91868686868686866</v>
      </c>
      <c r="AR646" s="6">
        <f>AB646/N646</f>
        <v>1</v>
      </c>
      <c r="AS646" s="4"/>
      <c r="AT646" s="4"/>
      <c r="AU646" s="4"/>
      <c r="AV646" s="4"/>
      <c r="AW646" s="4"/>
      <c r="AX646" s="4"/>
      <c r="AY646" s="4"/>
      <c r="AZ646" s="4"/>
      <c r="BA646" s="4"/>
      <c r="BB646" s="4">
        <v>0</v>
      </c>
      <c r="BC646" s="4" t="s">
        <v>4123</v>
      </c>
      <c r="BD646" s="4"/>
      <c r="BE646" s="4"/>
      <c r="BF646" s="4" t="s">
        <v>4124</v>
      </c>
      <c r="BG646" s="4">
        <v>1546</v>
      </c>
      <c r="BH646" s="4">
        <v>1546</v>
      </c>
      <c r="BI646" s="4">
        <f t="shared" si="102"/>
        <v>1546</v>
      </c>
      <c r="BJ646" s="19">
        <v>4</v>
      </c>
      <c r="BK646" s="19">
        <v>8</v>
      </c>
      <c r="BL646" s="16">
        <v>6</v>
      </c>
      <c r="BM646" s="45" t="s">
        <v>3534</v>
      </c>
      <c r="BN646" t="s">
        <v>3534</v>
      </c>
      <c r="BO646" t="str">
        <f t="shared" si="104"/>
        <v>-</v>
      </c>
      <c r="BP646" t="s">
        <v>3534</v>
      </c>
      <c r="BQ646">
        <v>2689</v>
      </c>
      <c r="BR646">
        <f t="shared" si="105"/>
        <v>2689</v>
      </c>
      <c r="BS646" t="s">
        <v>3008</v>
      </c>
    </row>
    <row r="647" spans="1:71" x14ac:dyDescent="0.4">
      <c r="A647" s="3">
        <v>644</v>
      </c>
      <c r="B647" s="3">
        <v>644</v>
      </c>
      <c r="C647" s="4" t="s">
        <v>706</v>
      </c>
      <c r="D647" s="4" t="str">
        <f t="shared" si="97"/>
        <v>J631WG</v>
      </c>
      <c r="E647" s="4" t="s">
        <v>706</v>
      </c>
      <c r="F647" s="4" t="s">
        <v>1924</v>
      </c>
      <c r="G647" s="5">
        <v>4521718183961</v>
      </c>
      <c r="H647" s="5"/>
      <c r="I647" s="5"/>
      <c r="J647" s="5">
        <v>1</v>
      </c>
      <c r="K647" s="5">
        <v>1</v>
      </c>
      <c r="L647" s="4">
        <v>2830</v>
      </c>
      <c r="M647" s="4">
        <v>1980</v>
      </c>
      <c r="N647" s="4">
        <v>1273</v>
      </c>
      <c r="O647" s="6">
        <f t="shared" si="98"/>
        <v>0.35707070707070709</v>
      </c>
      <c r="P647" s="4" t="s">
        <v>2500</v>
      </c>
      <c r="Q647" s="4"/>
      <c r="R647" s="4"/>
      <c r="S647" s="4"/>
      <c r="T647" s="4"/>
      <c r="U647" s="4"/>
      <c r="V647" s="4"/>
      <c r="W647" s="4"/>
      <c r="X647" s="4"/>
      <c r="Y647" s="4">
        <v>1819</v>
      </c>
      <c r="Z647" s="4">
        <f t="shared" si="99"/>
        <v>1819</v>
      </c>
      <c r="AA647" s="4">
        <v>1273</v>
      </c>
      <c r="AB647" s="4">
        <f t="shared" si="100"/>
        <v>1273</v>
      </c>
      <c r="AC647" s="4"/>
      <c r="AD647" s="21">
        <f>ROUND(M647*AR647,0)</f>
        <v>1980</v>
      </c>
      <c r="AE647" s="6">
        <f>1-AB647/AD647</f>
        <v>0.35707070707070709</v>
      </c>
      <c r="AF647" s="33">
        <v>0</v>
      </c>
      <c r="AG647" s="4">
        <f t="shared" si="101"/>
        <v>1546</v>
      </c>
      <c r="AH647" s="33">
        <f t="shared" si="103"/>
        <v>1546</v>
      </c>
      <c r="AI647" s="6">
        <f>1-AB647/AH647</f>
        <v>0.17658473479948256</v>
      </c>
      <c r="AJ647" s="7">
        <v>1819</v>
      </c>
      <c r="AK647" s="6">
        <f>1-AB647/AJ647</f>
        <v>0.30016492578339748</v>
      </c>
      <c r="AL647" s="4">
        <f>AJ647-AB647</f>
        <v>546</v>
      </c>
      <c r="AM647" s="28"/>
      <c r="AN647" s="6"/>
      <c r="AO647" s="6"/>
      <c r="AP647" s="6">
        <f>Z647/L647</f>
        <v>0.64275618374558308</v>
      </c>
      <c r="AQ647" s="6">
        <f>AJ647/M647</f>
        <v>0.91868686868686866</v>
      </c>
      <c r="AR647" s="6">
        <f>AB647/N647</f>
        <v>1</v>
      </c>
      <c r="AS647" s="4"/>
      <c r="AT647" s="4"/>
      <c r="AU647" s="4"/>
      <c r="AV647" s="4"/>
      <c r="AW647" s="4"/>
      <c r="AX647" s="4"/>
      <c r="AY647" s="4"/>
      <c r="AZ647" s="4"/>
      <c r="BA647" s="4"/>
      <c r="BB647" s="4">
        <v>0</v>
      </c>
      <c r="BC647" s="4" t="s">
        <v>4125</v>
      </c>
      <c r="BD647" s="4"/>
      <c r="BE647" s="4"/>
      <c r="BF647" s="4" t="s">
        <v>4124</v>
      </c>
      <c r="BG647" s="4">
        <v>1546</v>
      </c>
      <c r="BH647" s="4">
        <v>1546</v>
      </c>
      <c r="BI647" s="4">
        <f t="shared" si="102"/>
        <v>1546</v>
      </c>
      <c r="BJ647" s="19">
        <v>4</v>
      </c>
      <c r="BK647" s="19">
        <v>8</v>
      </c>
      <c r="BL647" s="16">
        <v>6</v>
      </c>
      <c r="BM647" s="45" t="s">
        <v>3534</v>
      </c>
      <c r="BN647" t="s">
        <v>3534</v>
      </c>
      <c r="BO647" t="str">
        <f t="shared" si="104"/>
        <v>-</v>
      </c>
      <c r="BP647" t="s">
        <v>3534</v>
      </c>
      <c r="BQ647">
        <v>2689</v>
      </c>
      <c r="BR647">
        <f t="shared" si="105"/>
        <v>2689</v>
      </c>
      <c r="BS647" t="s">
        <v>3009</v>
      </c>
    </row>
    <row r="648" spans="1:71" x14ac:dyDescent="0.4">
      <c r="A648" s="3">
        <v>645</v>
      </c>
      <c r="B648" s="3">
        <v>645</v>
      </c>
      <c r="C648" s="4" t="s">
        <v>707</v>
      </c>
      <c r="D648" s="4" t="str">
        <f t="shared" si="97"/>
        <v>J632WG</v>
      </c>
      <c r="E648" s="4" t="s">
        <v>707</v>
      </c>
      <c r="F648" s="4" t="s">
        <v>1925</v>
      </c>
      <c r="G648" s="5">
        <v>4521718183978</v>
      </c>
      <c r="H648" s="5"/>
      <c r="I648" s="5"/>
      <c r="J648" s="5">
        <v>1</v>
      </c>
      <c r="K648" s="5">
        <v>1</v>
      </c>
      <c r="L648" s="4">
        <v>2830</v>
      </c>
      <c r="M648" s="4">
        <v>1980</v>
      </c>
      <c r="N648" s="4">
        <v>1273</v>
      </c>
      <c r="O648" s="6">
        <f t="shared" si="98"/>
        <v>0.35707070707070709</v>
      </c>
      <c r="P648" s="4" t="s">
        <v>2500</v>
      </c>
      <c r="Q648" s="4"/>
      <c r="R648" s="4"/>
      <c r="S648" s="4"/>
      <c r="T648" s="4"/>
      <c r="U648" s="4"/>
      <c r="V648" s="4"/>
      <c r="W648" s="4"/>
      <c r="X648" s="4"/>
      <c r="Y648" s="4">
        <v>1819</v>
      </c>
      <c r="Z648" s="4">
        <f t="shared" si="99"/>
        <v>1819</v>
      </c>
      <c r="AA648" s="4">
        <v>1273</v>
      </c>
      <c r="AB648" s="4">
        <f t="shared" si="100"/>
        <v>1273</v>
      </c>
      <c r="AC648" s="4"/>
      <c r="AD648" s="21">
        <f>ROUND(M648*AR648,0)</f>
        <v>1980</v>
      </c>
      <c r="AE648" s="6">
        <f>1-AB648/AD648</f>
        <v>0.35707070707070709</v>
      </c>
      <c r="AF648" s="33">
        <v>0</v>
      </c>
      <c r="AG648" s="4">
        <f t="shared" si="101"/>
        <v>1546</v>
      </c>
      <c r="AH648" s="33">
        <f t="shared" si="103"/>
        <v>1546</v>
      </c>
      <c r="AI648" s="6">
        <f>1-AB648/AH648</f>
        <v>0.17658473479948256</v>
      </c>
      <c r="AJ648" s="7">
        <v>1819</v>
      </c>
      <c r="AK648" s="6">
        <f>1-AB648/AJ648</f>
        <v>0.30016492578339748</v>
      </c>
      <c r="AL648" s="4">
        <f>AJ648-AB648</f>
        <v>546</v>
      </c>
      <c r="AM648" s="28"/>
      <c r="AN648" s="6"/>
      <c r="AO648" s="6"/>
      <c r="AP648" s="6">
        <f>Z648/L648</f>
        <v>0.64275618374558308</v>
      </c>
      <c r="AQ648" s="6">
        <f>AJ648/M648</f>
        <v>0.91868686868686866</v>
      </c>
      <c r="AR648" s="6">
        <f>AB648/N648</f>
        <v>1</v>
      </c>
      <c r="AS648" s="4"/>
      <c r="AT648" s="4"/>
      <c r="AU648" s="4"/>
      <c r="AV648" s="4"/>
      <c r="AW648" s="4"/>
      <c r="AX648" s="4"/>
      <c r="AY648" s="4"/>
      <c r="AZ648" s="4"/>
      <c r="BA648" s="4"/>
      <c r="BB648" s="4">
        <v>0</v>
      </c>
      <c r="BC648" s="4" t="s">
        <v>4126</v>
      </c>
      <c r="BD648" s="4"/>
      <c r="BE648" s="4"/>
      <c r="BF648" s="4" t="s">
        <v>4124</v>
      </c>
      <c r="BG648" s="4">
        <v>1546</v>
      </c>
      <c r="BH648" s="4">
        <v>1546</v>
      </c>
      <c r="BI648" s="4">
        <f t="shared" si="102"/>
        <v>1546</v>
      </c>
      <c r="BJ648" s="19">
        <v>4</v>
      </c>
      <c r="BK648" s="19">
        <v>8</v>
      </c>
      <c r="BL648" s="16">
        <v>6</v>
      </c>
      <c r="BM648" s="45" t="s">
        <v>3534</v>
      </c>
      <c r="BN648" t="s">
        <v>3534</v>
      </c>
      <c r="BO648" t="str">
        <f t="shared" si="104"/>
        <v>-</v>
      </c>
      <c r="BP648" t="s">
        <v>3534</v>
      </c>
      <c r="BQ648">
        <v>2689</v>
      </c>
      <c r="BR648">
        <f t="shared" si="105"/>
        <v>2689</v>
      </c>
      <c r="BS648" t="s">
        <v>3010</v>
      </c>
    </row>
    <row r="649" spans="1:71" x14ac:dyDescent="0.4">
      <c r="A649" s="3">
        <v>646</v>
      </c>
      <c r="B649" s="3">
        <v>646</v>
      </c>
      <c r="C649" s="4" t="s">
        <v>708</v>
      </c>
      <c r="D649" s="4" t="str">
        <f t="shared" si="97"/>
        <v>J633WG</v>
      </c>
      <c r="E649" s="4" t="s">
        <v>708</v>
      </c>
      <c r="F649" s="4" t="s">
        <v>1926</v>
      </c>
      <c r="G649" s="5">
        <v>4521718183985</v>
      </c>
      <c r="H649" s="5"/>
      <c r="I649" s="5"/>
      <c r="J649" s="5">
        <v>1</v>
      </c>
      <c r="K649" s="5">
        <v>1</v>
      </c>
      <c r="L649" s="4">
        <v>2830</v>
      </c>
      <c r="M649" s="4">
        <v>1980</v>
      </c>
      <c r="N649" s="4">
        <v>1273</v>
      </c>
      <c r="O649" s="6">
        <f t="shared" si="98"/>
        <v>0.35707070707070709</v>
      </c>
      <c r="P649" s="4" t="s">
        <v>2500</v>
      </c>
      <c r="Q649" s="4"/>
      <c r="R649" s="4"/>
      <c r="S649" s="4"/>
      <c r="T649" s="4"/>
      <c r="U649" s="4"/>
      <c r="V649" s="4"/>
      <c r="W649" s="4"/>
      <c r="X649" s="4"/>
      <c r="Y649" s="4">
        <v>1819</v>
      </c>
      <c r="Z649" s="4">
        <f t="shared" si="99"/>
        <v>1819</v>
      </c>
      <c r="AA649" s="4">
        <v>1273</v>
      </c>
      <c r="AB649" s="4">
        <f t="shared" si="100"/>
        <v>1273</v>
      </c>
      <c r="AC649" s="4"/>
      <c r="AD649" s="21">
        <f>ROUND(M649*AR649,0)</f>
        <v>1980</v>
      </c>
      <c r="AE649" s="6">
        <f>1-AB649/AD649</f>
        <v>0.35707070707070709</v>
      </c>
      <c r="AF649" s="33">
        <v>0</v>
      </c>
      <c r="AG649" s="4">
        <f t="shared" si="101"/>
        <v>1546</v>
      </c>
      <c r="AH649" s="33">
        <f t="shared" si="103"/>
        <v>1546</v>
      </c>
      <c r="AI649" s="6">
        <f>1-AB649/AH649</f>
        <v>0.17658473479948256</v>
      </c>
      <c r="AJ649" s="7">
        <v>1819</v>
      </c>
      <c r="AK649" s="6">
        <f>1-AB649/AJ649</f>
        <v>0.30016492578339748</v>
      </c>
      <c r="AL649" s="4">
        <f>AJ649-AB649</f>
        <v>546</v>
      </c>
      <c r="AM649" s="28"/>
      <c r="AN649" s="6"/>
      <c r="AO649" s="6"/>
      <c r="AP649" s="6">
        <f>Z649/L649</f>
        <v>0.64275618374558308</v>
      </c>
      <c r="AQ649" s="6">
        <f>AJ649/M649</f>
        <v>0.91868686868686866</v>
      </c>
      <c r="AR649" s="6">
        <f>AB649/N649</f>
        <v>1</v>
      </c>
      <c r="AS649" s="4"/>
      <c r="AT649" s="4"/>
      <c r="AU649" s="4"/>
      <c r="AV649" s="4"/>
      <c r="AW649" s="4"/>
      <c r="AX649" s="4"/>
      <c r="AY649" s="4"/>
      <c r="AZ649" s="4"/>
      <c r="BA649" s="4"/>
      <c r="BB649" s="4">
        <v>0</v>
      </c>
      <c r="BC649" s="4" t="s">
        <v>4127</v>
      </c>
      <c r="BD649" s="4"/>
      <c r="BE649" s="4"/>
      <c r="BF649" s="4" t="s">
        <v>4124</v>
      </c>
      <c r="BG649" s="4">
        <v>1546</v>
      </c>
      <c r="BH649" s="4">
        <v>1546</v>
      </c>
      <c r="BI649" s="4">
        <f t="shared" si="102"/>
        <v>1546</v>
      </c>
      <c r="BJ649" s="19">
        <v>4</v>
      </c>
      <c r="BK649" s="19">
        <v>8</v>
      </c>
      <c r="BL649" s="16">
        <v>6</v>
      </c>
      <c r="BM649" s="45" t="s">
        <v>3534</v>
      </c>
      <c r="BN649" t="s">
        <v>3534</v>
      </c>
      <c r="BO649" t="str">
        <f t="shared" si="104"/>
        <v>-</v>
      </c>
      <c r="BP649" t="s">
        <v>3534</v>
      </c>
      <c r="BQ649">
        <v>2689</v>
      </c>
      <c r="BR649">
        <f t="shared" si="105"/>
        <v>2689</v>
      </c>
      <c r="BS649" t="s">
        <v>3011</v>
      </c>
    </row>
    <row r="650" spans="1:71" x14ac:dyDescent="0.4">
      <c r="A650" s="3">
        <v>647</v>
      </c>
      <c r="B650" s="3">
        <v>647</v>
      </c>
      <c r="C650" s="4" t="s">
        <v>709</v>
      </c>
      <c r="D650" s="4" t="str">
        <f t="shared" si="97"/>
        <v>J635WG</v>
      </c>
      <c r="E650" s="4" t="s">
        <v>709</v>
      </c>
      <c r="F650" s="4" t="s">
        <v>1927</v>
      </c>
      <c r="G650" s="5">
        <v>4521718184005</v>
      </c>
      <c r="H650" s="5"/>
      <c r="I650" s="5"/>
      <c r="J650" s="5">
        <v>1</v>
      </c>
      <c r="K650" s="5">
        <v>1</v>
      </c>
      <c r="L650" s="4">
        <v>2830</v>
      </c>
      <c r="M650" s="4">
        <v>1980</v>
      </c>
      <c r="N650" s="4">
        <v>1273</v>
      </c>
      <c r="O650" s="6">
        <f t="shared" si="98"/>
        <v>0.35707070707070709</v>
      </c>
      <c r="P650" s="4" t="s">
        <v>2500</v>
      </c>
      <c r="Q650" s="4"/>
      <c r="R650" s="4"/>
      <c r="S650" s="4"/>
      <c r="T650" s="4"/>
      <c r="U650" s="4"/>
      <c r="V650" s="4"/>
      <c r="W650" s="4"/>
      <c r="X650" s="4"/>
      <c r="Y650" s="4">
        <v>1819</v>
      </c>
      <c r="Z650" s="4">
        <f t="shared" si="99"/>
        <v>1819</v>
      </c>
      <c r="AA650" s="4">
        <v>1273</v>
      </c>
      <c r="AB650" s="4">
        <f t="shared" si="100"/>
        <v>1273</v>
      </c>
      <c r="AC650" s="4"/>
      <c r="AD650" s="21">
        <f>ROUND(M650*AR650,0)</f>
        <v>1980</v>
      </c>
      <c r="AE650" s="6">
        <f>1-AB650/AD650</f>
        <v>0.35707070707070709</v>
      </c>
      <c r="AF650" s="33">
        <v>0</v>
      </c>
      <c r="AG650" s="4">
        <f t="shared" si="101"/>
        <v>1546</v>
      </c>
      <c r="AH650" s="33">
        <f t="shared" si="103"/>
        <v>1546</v>
      </c>
      <c r="AI650" s="6">
        <f>1-AB650/AH650</f>
        <v>0.17658473479948256</v>
      </c>
      <c r="AJ650" s="7">
        <v>1819</v>
      </c>
      <c r="AK650" s="6">
        <f>1-AB650/AJ650</f>
        <v>0.30016492578339748</v>
      </c>
      <c r="AL650" s="4">
        <f>AJ650-AB650</f>
        <v>546</v>
      </c>
      <c r="AM650" s="28"/>
      <c r="AN650" s="6"/>
      <c r="AO650" s="6"/>
      <c r="AP650" s="6">
        <f>Z650/L650</f>
        <v>0.64275618374558308</v>
      </c>
      <c r="AQ650" s="6">
        <f>AJ650/M650</f>
        <v>0.91868686868686866</v>
      </c>
      <c r="AR650" s="6">
        <f>AB650/N650</f>
        <v>1</v>
      </c>
      <c r="AS650" s="4"/>
      <c r="AT650" s="4"/>
      <c r="AU650" s="4"/>
      <c r="AV650" s="4"/>
      <c r="AW650" s="4"/>
      <c r="AX650" s="4"/>
      <c r="AY650" s="4"/>
      <c r="AZ650" s="4"/>
      <c r="BA650" s="4"/>
      <c r="BB650" s="4">
        <v>0</v>
      </c>
      <c r="BC650" s="4" t="s">
        <v>4128</v>
      </c>
      <c r="BD650" s="4"/>
      <c r="BE650" s="4"/>
      <c r="BF650" s="4" t="s">
        <v>4124</v>
      </c>
      <c r="BG650" s="4">
        <v>1546</v>
      </c>
      <c r="BH650" s="4">
        <v>1546</v>
      </c>
      <c r="BI650" s="4">
        <f t="shared" si="102"/>
        <v>1546</v>
      </c>
      <c r="BJ650" s="19">
        <v>4</v>
      </c>
      <c r="BK650" s="19">
        <v>8</v>
      </c>
      <c r="BL650" s="16">
        <v>6</v>
      </c>
      <c r="BM650" s="45" t="s">
        <v>3534</v>
      </c>
      <c r="BN650" t="s">
        <v>3534</v>
      </c>
      <c r="BO650" t="str">
        <f t="shared" si="104"/>
        <v>-</v>
      </c>
      <c r="BP650" t="s">
        <v>3534</v>
      </c>
      <c r="BQ650">
        <v>2689</v>
      </c>
      <c r="BR650">
        <f t="shared" si="105"/>
        <v>2689</v>
      </c>
      <c r="BS650" t="s">
        <v>3012</v>
      </c>
    </row>
    <row r="651" spans="1:71" x14ac:dyDescent="0.4">
      <c r="A651" s="3">
        <v>648</v>
      </c>
      <c r="B651" s="3">
        <v>648</v>
      </c>
      <c r="C651" s="4" t="s">
        <v>710</v>
      </c>
      <c r="D651" s="4" t="str">
        <f t="shared" si="97"/>
        <v>J636WG</v>
      </c>
      <c r="E651" s="4" t="s">
        <v>710</v>
      </c>
      <c r="F651" s="4" t="s">
        <v>1928</v>
      </c>
      <c r="G651" s="5">
        <v>4521718184012</v>
      </c>
      <c r="H651" s="5"/>
      <c r="I651" s="5"/>
      <c r="J651" s="5">
        <v>1</v>
      </c>
      <c r="K651" s="5">
        <v>1</v>
      </c>
      <c r="L651" s="4">
        <v>3680</v>
      </c>
      <c r="M651" s="4">
        <v>2580</v>
      </c>
      <c r="N651" s="4">
        <v>1655</v>
      </c>
      <c r="O651" s="6">
        <f t="shared" si="98"/>
        <v>0.35852713178294571</v>
      </c>
      <c r="P651" s="4" t="s">
        <v>2500</v>
      </c>
      <c r="Q651" s="4"/>
      <c r="R651" s="4"/>
      <c r="S651" s="4"/>
      <c r="T651" s="4"/>
      <c r="U651" s="4"/>
      <c r="V651" s="4"/>
      <c r="W651" s="4"/>
      <c r="X651" s="4"/>
      <c r="Y651" s="4">
        <v>2364</v>
      </c>
      <c r="Z651" s="4">
        <f t="shared" si="99"/>
        <v>2364</v>
      </c>
      <c r="AA651" s="4">
        <v>1655</v>
      </c>
      <c r="AB651" s="4">
        <f t="shared" si="100"/>
        <v>1655</v>
      </c>
      <c r="AC651" s="4"/>
      <c r="AD651" s="21">
        <f>ROUND(M651*AR651,0)</f>
        <v>2580</v>
      </c>
      <c r="AE651" s="6">
        <f>1-AB651/AD651</f>
        <v>0.35852713178294571</v>
      </c>
      <c r="AF651" s="33">
        <v>0</v>
      </c>
      <c r="AG651" s="4">
        <f t="shared" si="101"/>
        <v>2900</v>
      </c>
      <c r="AH651" s="33">
        <f t="shared" si="103"/>
        <v>2900</v>
      </c>
      <c r="AI651" s="6">
        <f>1-AB651/AH651</f>
        <v>0.42931034482758623</v>
      </c>
      <c r="AJ651" s="7">
        <v>2364</v>
      </c>
      <c r="AK651" s="6">
        <f>1-AB651/AJ651</f>
        <v>0.29991539763113362</v>
      </c>
      <c r="AL651" s="4">
        <f>AJ651-AB651</f>
        <v>709</v>
      </c>
      <c r="AM651" s="28"/>
      <c r="AN651" s="6"/>
      <c r="AO651" s="6"/>
      <c r="AP651" s="6">
        <f>Z651/L651</f>
        <v>0.6423913043478261</v>
      </c>
      <c r="AQ651" s="6">
        <f>AJ651/M651</f>
        <v>0.91627906976744189</v>
      </c>
      <c r="AR651" s="6">
        <f>AB651/N651</f>
        <v>1</v>
      </c>
      <c r="AS651" s="4"/>
      <c r="AT651" s="4"/>
      <c r="AU651" s="4"/>
      <c r="AV651" s="4"/>
      <c r="AW651" s="4"/>
      <c r="AX651" s="4"/>
      <c r="AY651" s="4"/>
      <c r="AZ651" s="4"/>
      <c r="BA651" s="4"/>
      <c r="BB651" s="4">
        <v>0</v>
      </c>
      <c r="BC651" s="4" t="s">
        <v>4129</v>
      </c>
      <c r="BD651" s="4"/>
      <c r="BE651" s="4"/>
      <c r="BF651" s="4" t="s">
        <v>3538</v>
      </c>
      <c r="BG651" s="4">
        <v>2900</v>
      </c>
      <c r="BH651" s="4">
        <v>2900</v>
      </c>
      <c r="BI651" s="4">
        <f t="shared" si="102"/>
        <v>2900</v>
      </c>
      <c r="BJ651" s="19">
        <v>4</v>
      </c>
      <c r="BK651" s="19">
        <v>8</v>
      </c>
      <c r="BL651" s="16">
        <v>6</v>
      </c>
      <c r="BM651" s="45" t="s">
        <v>3534</v>
      </c>
      <c r="BN651" t="s">
        <v>3534</v>
      </c>
      <c r="BO651" t="str">
        <f t="shared" si="104"/>
        <v>-</v>
      </c>
      <c r="BP651" t="s">
        <v>3534</v>
      </c>
      <c r="BQ651">
        <v>3496</v>
      </c>
      <c r="BR651">
        <f t="shared" si="105"/>
        <v>3496</v>
      </c>
      <c r="BS651" t="s">
        <v>3013</v>
      </c>
    </row>
    <row r="652" spans="1:71" x14ac:dyDescent="0.4">
      <c r="A652" s="3">
        <v>649</v>
      </c>
      <c r="B652" s="3">
        <v>649</v>
      </c>
      <c r="C652" s="4" t="s">
        <v>711</v>
      </c>
      <c r="D652" s="4" t="str">
        <f t="shared" si="97"/>
        <v>J634WG</v>
      </c>
      <c r="E652" s="4" t="s">
        <v>711</v>
      </c>
      <c r="F652" s="4" t="s">
        <v>1929</v>
      </c>
      <c r="G652" s="5">
        <v>4521718183992</v>
      </c>
      <c r="H652" s="5"/>
      <c r="I652" s="5"/>
      <c r="J652" s="5">
        <v>1</v>
      </c>
      <c r="K652" s="5">
        <v>1</v>
      </c>
      <c r="L652" s="4">
        <v>2830</v>
      </c>
      <c r="M652" s="4">
        <v>1980</v>
      </c>
      <c r="N652" s="4">
        <v>1273</v>
      </c>
      <c r="O652" s="6">
        <f t="shared" si="98"/>
        <v>0.35707070707070709</v>
      </c>
      <c r="P652" s="4" t="s">
        <v>2500</v>
      </c>
      <c r="Q652" s="4"/>
      <c r="R652" s="4"/>
      <c r="S652" s="4"/>
      <c r="T652" s="4"/>
      <c r="U652" s="4"/>
      <c r="V652" s="4"/>
      <c r="W652" s="4"/>
      <c r="X652" s="4"/>
      <c r="Y652" s="4">
        <v>1819</v>
      </c>
      <c r="Z652" s="4">
        <f t="shared" si="99"/>
        <v>1819</v>
      </c>
      <c r="AA652" s="4">
        <v>1273</v>
      </c>
      <c r="AB652" s="4">
        <f t="shared" si="100"/>
        <v>1273</v>
      </c>
      <c r="AC652" s="4"/>
      <c r="AD652" s="21">
        <f>ROUND(M652*AR652,0)</f>
        <v>1980</v>
      </c>
      <c r="AE652" s="6">
        <f>1-AB652/AD652</f>
        <v>0.35707070707070709</v>
      </c>
      <c r="AF652" s="33">
        <v>0</v>
      </c>
      <c r="AG652" s="4">
        <f t="shared" si="101"/>
        <v>1546</v>
      </c>
      <c r="AH652" s="33">
        <f t="shared" si="103"/>
        <v>1546</v>
      </c>
      <c r="AI652" s="6">
        <f>1-AB652/AH652</f>
        <v>0.17658473479948256</v>
      </c>
      <c r="AJ652" s="7">
        <v>1819</v>
      </c>
      <c r="AK652" s="6">
        <f>1-AB652/AJ652</f>
        <v>0.30016492578339748</v>
      </c>
      <c r="AL652" s="4">
        <f>AJ652-AB652</f>
        <v>546</v>
      </c>
      <c r="AM652" s="28"/>
      <c r="AN652" s="6"/>
      <c r="AO652" s="6"/>
      <c r="AP652" s="6">
        <f>Z652/L652</f>
        <v>0.64275618374558308</v>
      </c>
      <c r="AQ652" s="6">
        <f>AJ652/M652</f>
        <v>0.91868686868686866</v>
      </c>
      <c r="AR652" s="6">
        <f>AB652/N652</f>
        <v>1</v>
      </c>
      <c r="AS652" s="4"/>
      <c r="AT652" s="4"/>
      <c r="AU652" s="4"/>
      <c r="AV652" s="4"/>
      <c r="AW652" s="4"/>
      <c r="AX652" s="4"/>
      <c r="AY652" s="4"/>
      <c r="AZ652" s="4"/>
      <c r="BA652" s="4"/>
      <c r="BB652" s="4">
        <v>0</v>
      </c>
      <c r="BC652" s="4" t="s">
        <v>4130</v>
      </c>
      <c r="BD652" s="4"/>
      <c r="BE652" s="4"/>
      <c r="BF652" s="4" t="s">
        <v>4124</v>
      </c>
      <c r="BG652" s="4">
        <v>1546</v>
      </c>
      <c r="BH652" s="4">
        <v>1546</v>
      </c>
      <c r="BI652" s="4">
        <f t="shared" si="102"/>
        <v>1546</v>
      </c>
      <c r="BJ652" s="19">
        <v>4</v>
      </c>
      <c r="BK652" s="19">
        <v>8</v>
      </c>
      <c r="BL652" s="16">
        <v>6</v>
      </c>
      <c r="BM652" s="45" t="s">
        <v>3534</v>
      </c>
      <c r="BN652" t="s">
        <v>3534</v>
      </c>
      <c r="BO652" t="str">
        <f t="shared" si="104"/>
        <v>-</v>
      </c>
      <c r="BP652" t="s">
        <v>3534</v>
      </c>
      <c r="BQ652">
        <v>2689</v>
      </c>
      <c r="BR652">
        <f t="shared" si="105"/>
        <v>2689</v>
      </c>
      <c r="BS652" t="s">
        <v>3014</v>
      </c>
    </row>
    <row r="653" spans="1:71" x14ac:dyDescent="0.4">
      <c r="A653" s="3">
        <v>650</v>
      </c>
      <c r="B653" s="3">
        <v>650</v>
      </c>
      <c r="C653" s="4" t="s">
        <v>712</v>
      </c>
      <c r="D653" s="4" t="str">
        <f t="shared" si="97"/>
        <v>J637WG</v>
      </c>
      <c r="E653" s="4" t="s">
        <v>712</v>
      </c>
      <c r="F653" s="4" t="s">
        <v>1930</v>
      </c>
      <c r="G653" s="5">
        <v>4521718184029</v>
      </c>
      <c r="H653" s="5"/>
      <c r="I653" s="5"/>
      <c r="J653" s="5">
        <v>1</v>
      </c>
      <c r="K653" s="5">
        <v>1</v>
      </c>
      <c r="L653" s="4">
        <v>3680</v>
      </c>
      <c r="M653" s="4">
        <v>2580</v>
      </c>
      <c r="N653" s="4">
        <v>1655</v>
      </c>
      <c r="O653" s="6">
        <f t="shared" si="98"/>
        <v>0.35852713178294571</v>
      </c>
      <c r="P653" s="4" t="s">
        <v>2500</v>
      </c>
      <c r="Q653" s="4"/>
      <c r="R653" s="4"/>
      <c r="S653" s="4"/>
      <c r="T653" s="4"/>
      <c r="U653" s="4"/>
      <c r="V653" s="4"/>
      <c r="W653" s="4"/>
      <c r="X653" s="4"/>
      <c r="Y653" s="4">
        <v>2364</v>
      </c>
      <c r="Z653" s="4">
        <f t="shared" si="99"/>
        <v>2364</v>
      </c>
      <c r="AA653" s="4">
        <v>1655</v>
      </c>
      <c r="AB653" s="4">
        <f t="shared" si="100"/>
        <v>1655</v>
      </c>
      <c r="AC653" s="4"/>
      <c r="AD653" s="21">
        <f>ROUND(M653*AR653,0)</f>
        <v>2580</v>
      </c>
      <c r="AE653" s="6">
        <f>1-AB653/AD653</f>
        <v>0.35852713178294571</v>
      </c>
      <c r="AF653" s="33">
        <v>0</v>
      </c>
      <c r="AG653" s="4">
        <f t="shared" si="101"/>
        <v>2900</v>
      </c>
      <c r="AH653" s="33">
        <f t="shared" si="103"/>
        <v>2900</v>
      </c>
      <c r="AI653" s="6">
        <f>1-AB653/AH653</f>
        <v>0.42931034482758623</v>
      </c>
      <c r="AJ653" s="7">
        <v>2364</v>
      </c>
      <c r="AK653" s="6">
        <f>1-AB653/AJ653</f>
        <v>0.29991539763113362</v>
      </c>
      <c r="AL653" s="4">
        <f>AJ653-AB653</f>
        <v>709</v>
      </c>
      <c r="AM653" s="28"/>
      <c r="AN653" s="6"/>
      <c r="AO653" s="6"/>
      <c r="AP653" s="6">
        <f>Z653/L653</f>
        <v>0.6423913043478261</v>
      </c>
      <c r="AQ653" s="6">
        <f>AJ653/M653</f>
        <v>0.91627906976744189</v>
      </c>
      <c r="AR653" s="6">
        <f>AB653/N653</f>
        <v>1</v>
      </c>
      <c r="AS653" s="4"/>
      <c r="AT653" s="4"/>
      <c r="AU653" s="4"/>
      <c r="AV653" s="4"/>
      <c r="AW653" s="4"/>
      <c r="AX653" s="4"/>
      <c r="AY653" s="4"/>
      <c r="AZ653" s="4"/>
      <c r="BA653" s="4"/>
      <c r="BB653" s="4">
        <v>0</v>
      </c>
      <c r="BC653" s="4" t="s">
        <v>4131</v>
      </c>
      <c r="BD653" s="4"/>
      <c r="BE653" s="4"/>
      <c r="BF653" s="4" t="s">
        <v>3538</v>
      </c>
      <c r="BG653" s="4">
        <v>2900</v>
      </c>
      <c r="BH653" s="4">
        <v>2900</v>
      </c>
      <c r="BI653" s="4">
        <f t="shared" si="102"/>
        <v>2900</v>
      </c>
      <c r="BJ653" s="19">
        <v>4</v>
      </c>
      <c r="BK653" s="19">
        <v>8</v>
      </c>
      <c r="BL653" s="16">
        <v>6</v>
      </c>
      <c r="BM653" s="45" t="s">
        <v>3534</v>
      </c>
      <c r="BN653" t="s">
        <v>3534</v>
      </c>
      <c r="BO653" t="str">
        <f t="shared" si="104"/>
        <v>-</v>
      </c>
      <c r="BP653" t="s">
        <v>3534</v>
      </c>
      <c r="BQ653">
        <v>3496</v>
      </c>
      <c r="BR653">
        <f t="shared" si="105"/>
        <v>3496</v>
      </c>
      <c r="BS653" t="s">
        <v>3015</v>
      </c>
    </row>
    <row r="654" spans="1:71" x14ac:dyDescent="0.4">
      <c r="A654" s="3">
        <v>651</v>
      </c>
      <c r="B654" s="3">
        <v>651</v>
      </c>
      <c r="C654" s="4" t="s">
        <v>713</v>
      </c>
      <c r="D654" s="4" t="str">
        <f t="shared" si="97"/>
        <v>J638WG</v>
      </c>
      <c r="E654" s="4" t="s">
        <v>713</v>
      </c>
      <c r="F654" s="4" t="s">
        <v>1931</v>
      </c>
      <c r="G654" s="5">
        <v>4521718184036</v>
      </c>
      <c r="H654" s="5"/>
      <c r="I654" s="5"/>
      <c r="J654" s="5">
        <v>1</v>
      </c>
      <c r="K654" s="5">
        <v>1</v>
      </c>
      <c r="L654" s="4">
        <v>3680</v>
      </c>
      <c r="M654" s="4">
        <v>2580</v>
      </c>
      <c r="N654" s="4">
        <v>1655</v>
      </c>
      <c r="O654" s="6">
        <f t="shared" si="98"/>
        <v>0.35852713178294571</v>
      </c>
      <c r="P654" s="4" t="s">
        <v>2500</v>
      </c>
      <c r="Q654" s="4"/>
      <c r="R654" s="4"/>
      <c r="S654" s="4"/>
      <c r="T654" s="4"/>
      <c r="U654" s="4"/>
      <c r="V654" s="4"/>
      <c r="W654" s="4"/>
      <c r="X654" s="4"/>
      <c r="Y654" s="4">
        <v>2364</v>
      </c>
      <c r="Z654" s="4">
        <f t="shared" si="99"/>
        <v>2364</v>
      </c>
      <c r="AA654" s="4">
        <v>1655</v>
      </c>
      <c r="AB654" s="4">
        <f t="shared" si="100"/>
        <v>1655</v>
      </c>
      <c r="AC654" s="4"/>
      <c r="AD654" s="21">
        <f>ROUND(M654*AR654,0)</f>
        <v>2580</v>
      </c>
      <c r="AE654" s="6">
        <f>1-AB654/AD654</f>
        <v>0.35852713178294571</v>
      </c>
      <c r="AF654" s="33">
        <v>0</v>
      </c>
      <c r="AG654" s="4">
        <f t="shared" si="101"/>
        <v>2900</v>
      </c>
      <c r="AH654" s="33">
        <f t="shared" si="103"/>
        <v>2900</v>
      </c>
      <c r="AI654" s="6">
        <f>1-AB654/AH654</f>
        <v>0.42931034482758623</v>
      </c>
      <c r="AJ654" s="7">
        <v>2364</v>
      </c>
      <c r="AK654" s="6">
        <f>1-AB654/AJ654</f>
        <v>0.29991539763113362</v>
      </c>
      <c r="AL654" s="4">
        <f>AJ654-AB654</f>
        <v>709</v>
      </c>
      <c r="AM654" s="28"/>
      <c r="AN654" s="6"/>
      <c r="AO654" s="6"/>
      <c r="AP654" s="6">
        <f>Z654/L654</f>
        <v>0.6423913043478261</v>
      </c>
      <c r="AQ654" s="6">
        <f>AJ654/M654</f>
        <v>0.91627906976744189</v>
      </c>
      <c r="AR654" s="6">
        <f>AB654/N654</f>
        <v>1</v>
      </c>
      <c r="AS654" s="4"/>
      <c r="AT654" s="4"/>
      <c r="AU654" s="4"/>
      <c r="AV654" s="4"/>
      <c r="AW654" s="4"/>
      <c r="AX654" s="4"/>
      <c r="AY654" s="4"/>
      <c r="AZ654" s="4"/>
      <c r="BA654" s="4"/>
      <c r="BB654" s="4">
        <v>0</v>
      </c>
      <c r="BC654" s="4" t="s">
        <v>4132</v>
      </c>
      <c r="BD654" s="4"/>
      <c r="BE654" s="4"/>
      <c r="BF654" s="4" t="s">
        <v>3538</v>
      </c>
      <c r="BG654" s="4">
        <v>2900</v>
      </c>
      <c r="BH654" s="4">
        <v>2900</v>
      </c>
      <c r="BI654" s="4">
        <f t="shared" si="102"/>
        <v>2900</v>
      </c>
      <c r="BJ654" s="19">
        <v>4</v>
      </c>
      <c r="BK654" s="19">
        <v>8</v>
      </c>
      <c r="BL654" s="16">
        <v>6</v>
      </c>
      <c r="BM654" s="45" t="s">
        <v>3534</v>
      </c>
      <c r="BN654" t="s">
        <v>3534</v>
      </c>
      <c r="BO654" t="str">
        <f t="shared" si="104"/>
        <v>-</v>
      </c>
      <c r="BP654" t="s">
        <v>3534</v>
      </c>
      <c r="BQ654">
        <v>3496</v>
      </c>
      <c r="BR654">
        <f t="shared" si="105"/>
        <v>3496</v>
      </c>
      <c r="BS654" t="s">
        <v>3016</v>
      </c>
    </row>
    <row r="655" spans="1:71" x14ac:dyDescent="0.4">
      <c r="A655" s="3">
        <v>652</v>
      </c>
      <c r="B655" s="3">
        <v>652</v>
      </c>
      <c r="C655" s="4" t="s">
        <v>714</v>
      </c>
      <c r="D655" s="4" t="str">
        <f t="shared" si="97"/>
        <v>J640WG</v>
      </c>
      <c r="E655" s="4" t="s">
        <v>714</v>
      </c>
      <c r="F655" s="4" t="s">
        <v>1932</v>
      </c>
      <c r="G655" s="5">
        <v>4521718184050</v>
      </c>
      <c r="H655" s="5"/>
      <c r="I655" s="5"/>
      <c r="J655" s="5">
        <v>1</v>
      </c>
      <c r="K655" s="5">
        <v>1</v>
      </c>
      <c r="L655" s="4">
        <v>3680</v>
      </c>
      <c r="M655" s="4">
        <v>2580</v>
      </c>
      <c r="N655" s="4">
        <v>1655</v>
      </c>
      <c r="O655" s="6">
        <f t="shared" si="98"/>
        <v>0.35852713178294571</v>
      </c>
      <c r="P655" s="4" t="s">
        <v>2500</v>
      </c>
      <c r="Q655" s="4"/>
      <c r="R655" s="4"/>
      <c r="S655" s="4"/>
      <c r="T655" s="4"/>
      <c r="U655" s="4"/>
      <c r="V655" s="4"/>
      <c r="W655" s="4"/>
      <c r="X655" s="4"/>
      <c r="Y655" s="4">
        <v>2364</v>
      </c>
      <c r="Z655" s="4">
        <f t="shared" si="99"/>
        <v>2364</v>
      </c>
      <c r="AA655" s="4">
        <v>1655</v>
      </c>
      <c r="AB655" s="4">
        <f t="shared" si="100"/>
        <v>1655</v>
      </c>
      <c r="AC655" s="4"/>
      <c r="AD655" s="21">
        <f>ROUND(M655*AR655,0)</f>
        <v>2580</v>
      </c>
      <c r="AE655" s="6">
        <f>1-AB655/AD655</f>
        <v>0.35852713178294571</v>
      </c>
      <c r="AF655" s="33">
        <v>0</v>
      </c>
      <c r="AG655" s="4">
        <f t="shared" si="101"/>
        <v>2900</v>
      </c>
      <c r="AH655" s="33">
        <f t="shared" si="103"/>
        <v>2900</v>
      </c>
      <c r="AI655" s="6">
        <f>1-AB655/AH655</f>
        <v>0.42931034482758623</v>
      </c>
      <c r="AJ655" s="7">
        <v>2364</v>
      </c>
      <c r="AK655" s="6">
        <f>1-AB655/AJ655</f>
        <v>0.29991539763113362</v>
      </c>
      <c r="AL655" s="4">
        <f>AJ655-AB655</f>
        <v>709</v>
      </c>
      <c r="AM655" s="28"/>
      <c r="AN655" s="6"/>
      <c r="AO655" s="6"/>
      <c r="AP655" s="6">
        <f>Z655/L655</f>
        <v>0.6423913043478261</v>
      </c>
      <c r="AQ655" s="6">
        <f>AJ655/M655</f>
        <v>0.91627906976744189</v>
      </c>
      <c r="AR655" s="6">
        <f>AB655/N655</f>
        <v>1</v>
      </c>
      <c r="AS655" s="4"/>
      <c r="AT655" s="4"/>
      <c r="AU655" s="4"/>
      <c r="AV655" s="4"/>
      <c r="AW655" s="4"/>
      <c r="AX655" s="4"/>
      <c r="AY655" s="4"/>
      <c r="AZ655" s="4"/>
      <c r="BA655" s="4"/>
      <c r="BB655" s="4">
        <v>0</v>
      </c>
      <c r="BC655" s="4" t="s">
        <v>4133</v>
      </c>
      <c r="BD655" s="4"/>
      <c r="BE655" s="4"/>
      <c r="BF655" s="4" t="s">
        <v>3538</v>
      </c>
      <c r="BG655" s="4">
        <v>2900</v>
      </c>
      <c r="BH655" s="4">
        <v>2900</v>
      </c>
      <c r="BI655" s="4">
        <f t="shared" si="102"/>
        <v>2900</v>
      </c>
      <c r="BJ655" s="19">
        <v>4</v>
      </c>
      <c r="BK655" s="19">
        <v>8</v>
      </c>
      <c r="BL655" s="16">
        <v>6</v>
      </c>
      <c r="BM655" s="45" t="s">
        <v>3534</v>
      </c>
      <c r="BN655" t="s">
        <v>3534</v>
      </c>
      <c r="BO655" t="str">
        <f t="shared" si="104"/>
        <v>-</v>
      </c>
      <c r="BP655" t="s">
        <v>3534</v>
      </c>
      <c r="BQ655">
        <v>3496</v>
      </c>
      <c r="BR655">
        <f t="shared" si="105"/>
        <v>3496</v>
      </c>
      <c r="BS655" t="s">
        <v>3017</v>
      </c>
    </row>
    <row r="656" spans="1:71" x14ac:dyDescent="0.4">
      <c r="A656" s="3">
        <v>653</v>
      </c>
      <c r="B656" s="3">
        <v>653</v>
      </c>
      <c r="C656" s="4" t="s">
        <v>715</v>
      </c>
      <c r="D656" s="4" t="str">
        <f t="shared" si="97"/>
        <v>J639WG</v>
      </c>
      <c r="E656" s="4" t="s">
        <v>715</v>
      </c>
      <c r="F656" s="4" t="s">
        <v>1933</v>
      </c>
      <c r="G656" s="5">
        <v>4521718184043</v>
      </c>
      <c r="H656" s="5"/>
      <c r="I656" s="5"/>
      <c r="J656" s="5">
        <v>1</v>
      </c>
      <c r="K656" s="5">
        <v>1</v>
      </c>
      <c r="L656" s="4">
        <v>3680</v>
      </c>
      <c r="M656" s="4">
        <v>2580</v>
      </c>
      <c r="N656" s="4">
        <v>1655</v>
      </c>
      <c r="O656" s="6">
        <f t="shared" si="98"/>
        <v>0.35852713178294571</v>
      </c>
      <c r="P656" s="4" t="s">
        <v>2500</v>
      </c>
      <c r="Q656" s="4"/>
      <c r="R656" s="4"/>
      <c r="S656" s="4"/>
      <c r="T656" s="4"/>
      <c r="U656" s="4"/>
      <c r="V656" s="4"/>
      <c r="W656" s="4"/>
      <c r="X656" s="4"/>
      <c r="Y656" s="4">
        <v>2364</v>
      </c>
      <c r="Z656" s="4">
        <f t="shared" si="99"/>
        <v>2364</v>
      </c>
      <c r="AA656" s="4">
        <v>1655</v>
      </c>
      <c r="AB656" s="4">
        <f t="shared" si="100"/>
        <v>1655</v>
      </c>
      <c r="AC656" s="4"/>
      <c r="AD656" s="21">
        <f>ROUND(M656*AR656,0)</f>
        <v>2580</v>
      </c>
      <c r="AE656" s="6">
        <f>1-AB656/AD656</f>
        <v>0.35852713178294571</v>
      </c>
      <c r="AF656" s="33">
        <v>0</v>
      </c>
      <c r="AG656" s="4">
        <f t="shared" si="101"/>
        <v>2900</v>
      </c>
      <c r="AH656" s="33">
        <f t="shared" si="103"/>
        <v>2900</v>
      </c>
      <c r="AI656" s="6">
        <f>1-AB656/AH656</f>
        <v>0.42931034482758623</v>
      </c>
      <c r="AJ656" s="7">
        <v>2364</v>
      </c>
      <c r="AK656" s="6">
        <f>1-AB656/AJ656</f>
        <v>0.29991539763113362</v>
      </c>
      <c r="AL656" s="4">
        <f>AJ656-AB656</f>
        <v>709</v>
      </c>
      <c r="AM656" s="28"/>
      <c r="AN656" s="6"/>
      <c r="AO656" s="6"/>
      <c r="AP656" s="6">
        <f>Z656/L656</f>
        <v>0.6423913043478261</v>
      </c>
      <c r="AQ656" s="6">
        <f>AJ656/M656</f>
        <v>0.91627906976744189</v>
      </c>
      <c r="AR656" s="6">
        <f>AB656/N656</f>
        <v>1</v>
      </c>
      <c r="AS656" s="4"/>
      <c r="AT656" s="4"/>
      <c r="AU656" s="4"/>
      <c r="AV656" s="4"/>
      <c r="AW656" s="4"/>
      <c r="AX656" s="4"/>
      <c r="AY656" s="4"/>
      <c r="AZ656" s="4"/>
      <c r="BA656" s="4"/>
      <c r="BB656" s="4">
        <v>0</v>
      </c>
      <c r="BC656" s="4" t="s">
        <v>4134</v>
      </c>
      <c r="BD656" s="4"/>
      <c r="BE656" s="4"/>
      <c r="BF656" s="4" t="s">
        <v>3538</v>
      </c>
      <c r="BG656" s="4">
        <v>2900</v>
      </c>
      <c r="BH656" s="4">
        <v>2900</v>
      </c>
      <c r="BI656" s="4">
        <f t="shared" si="102"/>
        <v>2900</v>
      </c>
      <c r="BJ656" s="19">
        <v>4</v>
      </c>
      <c r="BK656" s="19">
        <v>8</v>
      </c>
      <c r="BL656" s="16">
        <v>6</v>
      </c>
      <c r="BM656" s="45" t="s">
        <v>3534</v>
      </c>
      <c r="BN656" t="s">
        <v>3534</v>
      </c>
      <c r="BO656" t="str">
        <f t="shared" si="104"/>
        <v>-</v>
      </c>
      <c r="BP656" t="s">
        <v>3534</v>
      </c>
      <c r="BQ656">
        <v>3496</v>
      </c>
      <c r="BR656">
        <f t="shared" si="105"/>
        <v>3496</v>
      </c>
      <c r="BS656" t="s">
        <v>3018</v>
      </c>
    </row>
    <row r="657" spans="1:71" x14ac:dyDescent="0.4">
      <c r="A657" s="3">
        <v>654</v>
      </c>
      <c r="B657" s="3">
        <v>654</v>
      </c>
      <c r="C657" s="4" t="s">
        <v>716</v>
      </c>
      <c r="D657" s="4" t="str">
        <f t="shared" si="97"/>
        <v>J642WG</v>
      </c>
      <c r="E657" s="4" t="s">
        <v>716</v>
      </c>
      <c r="F657" s="4" t="s">
        <v>1934</v>
      </c>
      <c r="G657" s="5">
        <v>4521718184074</v>
      </c>
      <c r="H657" s="5"/>
      <c r="I657" s="5"/>
      <c r="J657" s="5">
        <v>1</v>
      </c>
      <c r="K657" s="5">
        <v>1</v>
      </c>
      <c r="L657" s="4">
        <v>3680</v>
      </c>
      <c r="M657" s="4">
        <v>2580</v>
      </c>
      <c r="N657" s="4">
        <v>1655</v>
      </c>
      <c r="O657" s="6">
        <f t="shared" si="98"/>
        <v>0.35852713178294571</v>
      </c>
      <c r="P657" s="4" t="s">
        <v>2500</v>
      </c>
      <c r="Q657" s="4"/>
      <c r="R657" s="4"/>
      <c r="S657" s="4"/>
      <c r="T657" s="4"/>
      <c r="U657" s="4"/>
      <c r="V657" s="4"/>
      <c r="W657" s="4"/>
      <c r="X657" s="4"/>
      <c r="Y657" s="4">
        <v>2364</v>
      </c>
      <c r="Z657" s="4">
        <f t="shared" si="99"/>
        <v>2364</v>
      </c>
      <c r="AA657" s="4">
        <v>1655</v>
      </c>
      <c r="AB657" s="4">
        <f t="shared" si="100"/>
        <v>1655</v>
      </c>
      <c r="AC657" s="4"/>
      <c r="AD657" s="21">
        <f>ROUND(M657*AR657,0)</f>
        <v>2580</v>
      </c>
      <c r="AE657" s="6">
        <f>1-AB657/AD657</f>
        <v>0.35852713178294571</v>
      </c>
      <c r="AF657" s="33">
        <v>0</v>
      </c>
      <c r="AG657" s="4">
        <f t="shared" si="101"/>
        <v>2900</v>
      </c>
      <c r="AH657" s="33">
        <f t="shared" si="103"/>
        <v>2900</v>
      </c>
      <c r="AI657" s="6">
        <f>1-AB657/AH657</f>
        <v>0.42931034482758623</v>
      </c>
      <c r="AJ657" s="7">
        <v>2364</v>
      </c>
      <c r="AK657" s="6">
        <f>1-AB657/AJ657</f>
        <v>0.29991539763113362</v>
      </c>
      <c r="AL657" s="4">
        <f>AJ657-AB657</f>
        <v>709</v>
      </c>
      <c r="AM657" s="28"/>
      <c r="AN657" s="6"/>
      <c r="AO657" s="6"/>
      <c r="AP657" s="6">
        <f>Z657/L657</f>
        <v>0.6423913043478261</v>
      </c>
      <c r="AQ657" s="6">
        <f>AJ657/M657</f>
        <v>0.91627906976744189</v>
      </c>
      <c r="AR657" s="6">
        <f>AB657/N657</f>
        <v>1</v>
      </c>
      <c r="AS657" s="4"/>
      <c r="AT657" s="4"/>
      <c r="AU657" s="4"/>
      <c r="AV657" s="4"/>
      <c r="AW657" s="4"/>
      <c r="AX657" s="4"/>
      <c r="AY657" s="4"/>
      <c r="AZ657" s="4"/>
      <c r="BA657" s="4"/>
      <c r="BB657" s="4">
        <v>0</v>
      </c>
      <c r="BC657" s="4" t="s">
        <v>4135</v>
      </c>
      <c r="BD657" s="4"/>
      <c r="BE657" s="4"/>
      <c r="BF657" s="4" t="s">
        <v>3538</v>
      </c>
      <c r="BG657" s="4">
        <v>2900</v>
      </c>
      <c r="BH657" s="4">
        <v>2900</v>
      </c>
      <c r="BI657" s="4">
        <f t="shared" si="102"/>
        <v>2900</v>
      </c>
      <c r="BJ657" s="19">
        <v>4</v>
      </c>
      <c r="BK657" s="19">
        <v>8</v>
      </c>
      <c r="BL657" s="16">
        <v>6</v>
      </c>
      <c r="BM657" s="45" t="s">
        <v>3534</v>
      </c>
      <c r="BN657" t="s">
        <v>3534</v>
      </c>
      <c r="BO657" t="str">
        <f t="shared" si="104"/>
        <v>-</v>
      </c>
      <c r="BP657" t="s">
        <v>3534</v>
      </c>
      <c r="BQ657">
        <v>3496</v>
      </c>
      <c r="BR657">
        <f t="shared" si="105"/>
        <v>3496</v>
      </c>
      <c r="BS657" t="s">
        <v>3019</v>
      </c>
    </row>
    <row r="658" spans="1:71" x14ac:dyDescent="0.4">
      <c r="A658" s="3">
        <v>655</v>
      </c>
      <c r="B658" s="3">
        <v>655</v>
      </c>
      <c r="C658" s="4" t="s">
        <v>717</v>
      </c>
      <c r="D658" s="4" t="str">
        <f t="shared" si="97"/>
        <v>J643RR</v>
      </c>
      <c r="E658" s="4" t="s">
        <v>717</v>
      </c>
      <c r="F658" s="4" t="s">
        <v>1935</v>
      </c>
      <c r="G658" s="5">
        <v>4521718117065</v>
      </c>
      <c r="H658" s="5"/>
      <c r="I658" s="5"/>
      <c r="J658" s="5">
        <v>1</v>
      </c>
      <c r="K658" s="5">
        <v>1</v>
      </c>
      <c r="L658" s="4">
        <v>390</v>
      </c>
      <c r="M658" s="4">
        <v>273</v>
      </c>
      <c r="N658" s="4">
        <v>172</v>
      </c>
      <c r="O658" s="6">
        <f t="shared" si="98"/>
        <v>0.36996336996336998</v>
      </c>
      <c r="P658" s="4" t="s">
        <v>2500</v>
      </c>
      <c r="Q658" s="4"/>
      <c r="R658" s="4"/>
      <c r="S658" s="4"/>
      <c r="T658" s="4"/>
      <c r="U658" s="4"/>
      <c r="V658" s="4"/>
      <c r="W658" s="4"/>
      <c r="X658" s="4"/>
      <c r="Y658" s="4">
        <v>391</v>
      </c>
      <c r="Z658" s="4">
        <f t="shared" si="99"/>
        <v>391</v>
      </c>
      <c r="AA658" s="4">
        <v>176</v>
      </c>
      <c r="AB658" s="4">
        <f t="shared" si="100"/>
        <v>176</v>
      </c>
      <c r="AC658" s="4"/>
      <c r="AD658" s="21">
        <f>ROUND(M658*AR658,0)</f>
        <v>279</v>
      </c>
      <c r="AE658" s="6">
        <f>1-AB658/AD658</f>
        <v>0.36917562724014341</v>
      </c>
      <c r="AF658" s="33">
        <v>0.25</v>
      </c>
      <c r="AG658" s="4">
        <f t="shared" si="101"/>
        <v>330</v>
      </c>
      <c r="AH658" s="33">
        <f t="shared" si="103"/>
        <v>337.67441860465118</v>
      </c>
      <c r="AI658" s="6">
        <f>1-AB658/AH658</f>
        <v>0.47878787878787876</v>
      </c>
      <c r="AJ658" s="7">
        <f>ROUND(AB658/0.65,0)</f>
        <v>271</v>
      </c>
      <c r="AK658" s="6">
        <f>1-AB658/AJ658</f>
        <v>0.35055350553505538</v>
      </c>
      <c r="AL658" s="4">
        <f>AJ658-AB658</f>
        <v>95</v>
      </c>
      <c r="AM658" s="28"/>
      <c r="AN658" s="6"/>
      <c r="AO658" s="6"/>
      <c r="AP658" s="6">
        <f>Z658/L658</f>
        <v>1.0025641025641026</v>
      </c>
      <c r="AQ658" s="6">
        <f>AJ658/M658</f>
        <v>0.9926739926739927</v>
      </c>
      <c r="AR658" s="6">
        <f>AB658/N658</f>
        <v>1.0232558139534884</v>
      </c>
      <c r="AS658" s="4"/>
      <c r="AT658" s="4"/>
      <c r="AU658" s="4"/>
      <c r="AV658" s="4"/>
      <c r="AW658" s="4"/>
      <c r="AX658" s="4"/>
      <c r="AY658" s="4"/>
      <c r="AZ658" s="4"/>
      <c r="BA658" s="4"/>
      <c r="BB658" s="4">
        <v>0</v>
      </c>
      <c r="BC658" s="4" t="s">
        <v>4136</v>
      </c>
      <c r="BD658" s="4">
        <v>1</v>
      </c>
      <c r="BE658" s="4">
        <v>5</v>
      </c>
      <c r="BF658" s="4" t="s">
        <v>3746</v>
      </c>
      <c r="BG658" s="4">
        <v>1650</v>
      </c>
      <c r="BH658" s="4">
        <v>1650</v>
      </c>
      <c r="BI658" s="4">
        <f t="shared" si="102"/>
        <v>330</v>
      </c>
      <c r="BJ658" s="19">
        <v>4</v>
      </c>
      <c r="BK658" s="19">
        <v>8</v>
      </c>
      <c r="BL658" s="16">
        <v>6</v>
      </c>
      <c r="BM658" s="45" t="s">
        <v>3534</v>
      </c>
      <c r="BN658" t="s">
        <v>3534</v>
      </c>
      <c r="BO658" t="str">
        <f t="shared" si="104"/>
        <v>-</v>
      </c>
      <c r="BP658" t="s">
        <v>3534</v>
      </c>
      <c r="BQ658">
        <v>273</v>
      </c>
      <c r="BR658">
        <f t="shared" si="105"/>
        <v>279.34883720930236</v>
      </c>
      <c r="BS658" t="s">
        <v>3020</v>
      </c>
    </row>
    <row r="659" spans="1:71" x14ac:dyDescent="0.4">
      <c r="A659" s="3">
        <v>656</v>
      </c>
      <c r="B659" s="3">
        <v>656</v>
      </c>
      <c r="C659" s="4" t="s">
        <v>718</v>
      </c>
      <c r="D659" s="4" t="str">
        <f t="shared" si="97"/>
        <v>J643TN</v>
      </c>
      <c r="E659" s="4" t="s">
        <v>718</v>
      </c>
      <c r="F659" s="4" t="s">
        <v>1936</v>
      </c>
      <c r="G659" s="5">
        <v>4521718218106</v>
      </c>
      <c r="H659" s="5"/>
      <c r="I659" s="5"/>
      <c r="J659" s="5">
        <v>1</v>
      </c>
      <c r="K659" s="5">
        <v>1</v>
      </c>
      <c r="L659" s="4">
        <v>660</v>
      </c>
      <c r="M659" s="4">
        <v>427</v>
      </c>
      <c r="N659" s="4">
        <v>293</v>
      </c>
      <c r="O659" s="6">
        <f t="shared" si="98"/>
        <v>0.31381733021077285</v>
      </c>
      <c r="P659" s="4" t="s">
        <v>2500</v>
      </c>
      <c r="Q659" s="4"/>
      <c r="R659" s="4"/>
      <c r="S659" s="4"/>
      <c r="T659" s="4"/>
      <c r="U659" s="4"/>
      <c r="V659" s="4"/>
      <c r="W659" s="4"/>
      <c r="X659" s="4"/>
      <c r="Y659" s="4">
        <v>419</v>
      </c>
      <c r="Z659" s="4">
        <f t="shared" si="99"/>
        <v>419</v>
      </c>
      <c r="AA659" s="4">
        <v>293</v>
      </c>
      <c r="AB659" s="4">
        <f t="shared" si="100"/>
        <v>293</v>
      </c>
      <c r="AC659" s="4"/>
      <c r="AD659" s="21">
        <f>ROUND(M659*AR659,0)</f>
        <v>427</v>
      </c>
      <c r="AE659" s="6">
        <f>1-AB659/AD659</f>
        <v>0.31381733021077285</v>
      </c>
      <c r="AF659" s="33">
        <v>0</v>
      </c>
      <c r="AG659" s="4" t="str">
        <f t="shared" si="101"/>
        <v>-</v>
      </c>
      <c r="AH659" s="33" t="e">
        <f t="shared" si="103"/>
        <v>#VALUE!</v>
      </c>
      <c r="AI659" s="6" t="e">
        <f>1-AB659/AH659</f>
        <v>#VALUE!</v>
      </c>
      <c r="AJ659" s="7">
        <v>419</v>
      </c>
      <c r="AK659" s="6">
        <f>1-AB659/AJ659</f>
        <v>0.30071599045346065</v>
      </c>
      <c r="AL659" s="4">
        <f>AJ659-AB659</f>
        <v>126</v>
      </c>
      <c r="AM659" s="28"/>
      <c r="AN659" s="6"/>
      <c r="AO659" s="6"/>
      <c r="AP659" s="6">
        <f>Z659/L659</f>
        <v>0.63484848484848488</v>
      </c>
      <c r="AQ659" s="6">
        <f>AJ659/M659</f>
        <v>0.9812646370023419</v>
      </c>
      <c r="AR659" s="6">
        <f>AB659/N659</f>
        <v>1</v>
      </c>
      <c r="AS659" s="4"/>
      <c r="AT659" s="4"/>
      <c r="AU659" s="4"/>
      <c r="AV659" s="4"/>
      <c r="AW659" s="4"/>
      <c r="AX659" s="4"/>
      <c r="AY659" s="4"/>
      <c r="AZ659" s="4"/>
      <c r="BA659" s="4"/>
      <c r="BB659" s="4">
        <v>0</v>
      </c>
      <c r="BC659" s="4" t="s">
        <v>3534</v>
      </c>
      <c r="BD659" s="4"/>
      <c r="BE659" s="4"/>
      <c r="BF659" s="4" t="s">
        <v>3534</v>
      </c>
      <c r="BG659" s="4" t="s">
        <v>3534</v>
      </c>
      <c r="BH659" s="4" t="s">
        <v>3534</v>
      </c>
      <c r="BI659" s="4" t="str">
        <f t="shared" si="102"/>
        <v>-</v>
      </c>
      <c r="BJ659" s="19">
        <v>4</v>
      </c>
      <c r="BK659" s="19">
        <v>8</v>
      </c>
      <c r="BL659" s="16">
        <v>6</v>
      </c>
      <c r="BM659" s="45" t="s">
        <v>3534</v>
      </c>
      <c r="BN659" t="s">
        <v>3534</v>
      </c>
      <c r="BO659" t="str">
        <f t="shared" si="104"/>
        <v>-</v>
      </c>
      <c r="BP659" t="s">
        <v>3534</v>
      </c>
      <c r="BQ659">
        <v>419</v>
      </c>
      <c r="BR659">
        <f t="shared" si="105"/>
        <v>419</v>
      </c>
      <c r="BS659" t="s">
        <v>3534</v>
      </c>
    </row>
    <row r="660" spans="1:71" x14ac:dyDescent="0.4">
      <c r="A660" s="3">
        <v>657</v>
      </c>
      <c r="B660" s="3">
        <v>657</v>
      </c>
      <c r="C660" s="4" t="s">
        <v>719</v>
      </c>
      <c r="D660" s="4" t="str">
        <f t="shared" si="97"/>
        <v>J643WG</v>
      </c>
      <c r="E660" s="4" t="s">
        <v>719</v>
      </c>
      <c r="F660" s="4" t="s">
        <v>1937</v>
      </c>
      <c r="G660" s="5">
        <v>4521718184081</v>
      </c>
      <c r="H660" s="5"/>
      <c r="I660" s="5"/>
      <c r="J660" s="5">
        <v>1</v>
      </c>
      <c r="K660" s="5">
        <v>1</v>
      </c>
      <c r="L660" s="4">
        <v>310</v>
      </c>
      <c r="M660" s="4">
        <v>280</v>
      </c>
      <c r="N660" s="4">
        <v>172</v>
      </c>
      <c r="O660" s="6">
        <f t="shared" si="98"/>
        <v>0.38571428571428568</v>
      </c>
      <c r="P660" s="4" t="s">
        <v>2500</v>
      </c>
      <c r="Q660" s="4"/>
      <c r="R660" s="4"/>
      <c r="S660" s="4"/>
      <c r="T660" s="4"/>
      <c r="U660" s="4"/>
      <c r="V660" s="4"/>
      <c r="W660" s="4"/>
      <c r="X660" s="4"/>
      <c r="Y660" s="4">
        <v>246</v>
      </c>
      <c r="Z660" s="4">
        <f t="shared" si="99"/>
        <v>246</v>
      </c>
      <c r="AA660" s="4">
        <v>172</v>
      </c>
      <c r="AB660" s="4">
        <f t="shared" si="100"/>
        <v>172</v>
      </c>
      <c r="AC660" s="4"/>
      <c r="AD660" s="21">
        <f>ROUND(M660*AR660,0)</f>
        <v>280</v>
      </c>
      <c r="AE660" s="6">
        <f>1-AB660/AD660</f>
        <v>0.38571428571428568</v>
      </c>
      <c r="AF660" s="33">
        <v>0</v>
      </c>
      <c r="AG660" s="4">
        <f t="shared" si="101"/>
        <v>310</v>
      </c>
      <c r="AH660" s="33">
        <f t="shared" si="103"/>
        <v>310</v>
      </c>
      <c r="AI660" s="6">
        <f>1-AB660/AH660</f>
        <v>0.44516129032258067</v>
      </c>
      <c r="AJ660" s="7">
        <v>246</v>
      </c>
      <c r="AK660" s="6">
        <f>1-AB660/AJ660</f>
        <v>0.30081300813008127</v>
      </c>
      <c r="AL660" s="4">
        <f>AJ660-AB660</f>
        <v>74</v>
      </c>
      <c r="AM660" s="28"/>
      <c r="AN660" s="6"/>
      <c r="AO660" s="6"/>
      <c r="AP660" s="6">
        <f>Z660/L660</f>
        <v>0.79354838709677422</v>
      </c>
      <c r="AQ660" s="6">
        <f>AJ660/M660</f>
        <v>0.87857142857142856</v>
      </c>
      <c r="AR660" s="6">
        <f>AB660/N660</f>
        <v>1</v>
      </c>
      <c r="AS660" s="4"/>
      <c r="AT660" s="4"/>
      <c r="AU660" s="4"/>
      <c r="AV660" s="4"/>
      <c r="AW660" s="4"/>
      <c r="AX660" s="4"/>
      <c r="AY660" s="4"/>
      <c r="AZ660" s="4"/>
      <c r="BA660" s="4"/>
      <c r="BB660" s="4">
        <v>0</v>
      </c>
      <c r="BC660" s="4" t="s">
        <v>4137</v>
      </c>
      <c r="BD660" s="4">
        <v>1</v>
      </c>
      <c r="BE660" s="4">
        <v>10</v>
      </c>
      <c r="BF660" s="4" t="s">
        <v>4032</v>
      </c>
      <c r="BG660" s="4">
        <v>3100</v>
      </c>
      <c r="BH660" s="4">
        <v>3100</v>
      </c>
      <c r="BI660" s="4">
        <f t="shared" si="102"/>
        <v>310</v>
      </c>
      <c r="BJ660" s="19">
        <v>4</v>
      </c>
      <c r="BK660" s="19">
        <v>8</v>
      </c>
      <c r="BL660" s="16">
        <v>6</v>
      </c>
      <c r="BM660" s="45" t="s">
        <v>3534</v>
      </c>
      <c r="BN660" t="s">
        <v>3534</v>
      </c>
      <c r="BO660" t="str">
        <f t="shared" si="104"/>
        <v>-</v>
      </c>
      <c r="BP660" t="s">
        <v>3534</v>
      </c>
      <c r="BQ660">
        <v>295</v>
      </c>
      <c r="BR660">
        <f t="shared" si="105"/>
        <v>295</v>
      </c>
      <c r="BS660" t="s">
        <v>3021</v>
      </c>
    </row>
    <row r="661" spans="1:71" x14ac:dyDescent="0.4">
      <c r="A661" s="3">
        <v>658</v>
      </c>
      <c r="B661" s="3">
        <v>658</v>
      </c>
      <c r="C661" s="4" t="s">
        <v>720</v>
      </c>
      <c r="D661" s="4" t="str">
        <f t="shared" si="97"/>
        <v>J644WG</v>
      </c>
      <c r="E661" s="4" t="s">
        <v>720</v>
      </c>
      <c r="F661" s="4" t="s">
        <v>1938</v>
      </c>
      <c r="G661" s="5">
        <v>4521718184098</v>
      </c>
      <c r="H661" s="5"/>
      <c r="I661" s="5"/>
      <c r="J661" s="5">
        <v>1</v>
      </c>
      <c r="K661" s="5">
        <v>1</v>
      </c>
      <c r="L661" s="4">
        <v>310</v>
      </c>
      <c r="M661" s="4">
        <v>280</v>
      </c>
      <c r="N661" s="4">
        <v>172</v>
      </c>
      <c r="O661" s="6">
        <f t="shared" si="98"/>
        <v>0.38571428571428568</v>
      </c>
      <c r="P661" s="4" t="s">
        <v>2500</v>
      </c>
      <c r="Q661" s="4"/>
      <c r="R661" s="4"/>
      <c r="S661" s="4"/>
      <c r="T661" s="4"/>
      <c r="U661" s="4"/>
      <c r="V661" s="4"/>
      <c r="W661" s="4"/>
      <c r="X661" s="4"/>
      <c r="Y661" s="4">
        <v>246</v>
      </c>
      <c r="Z661" s="4">
        <f t="shared" si="99"/>
        <v>246</v>
      </c>
      <c r="AA661" s="4">
        <v>172</v>
      </c>
      <c r="AB661" s="4">
        <f t="shared" si="100"/>
        <v>172</v>
      </c>
      <c r="AC661" s="4"/>
      <c r="AD661" s="21">
        <f>ROUND(M661*AR661,0)</f>
        <v>280</v>
      </c>
      <c r="AE661" s="6">
        <f>1-AB661/AD661</f>
        <v>0.38571428571428568</v>
      </c>
      <c r="AF661" s="33">
        <v>0</v>
      </c>
      <c r="AG661" s="4">
        <f t="shared" si="101"/>
        <v>310</v>
      </c>
      <c r="AH661" s="33">
        <f t="shared" si="103"/>
        <v>310</v>
      </c>
      <c r="AI661" s="6">
        <f>1-AB661/AH661</f>
        <v>0.44516129032258067</v>
      </c>
      <c r="AJ661" s="7">
        <v>246</v>
      </c>
      <c r="AK661" s="6">
        <f>1-AB661/AJ661</f>
        <v>0.30081300813008127</v>
      </c>
      <c r="AL661" s="4">
        <f>AJ661-AB661</f>
        <v>74</v>
      </c>
      <c r="AM661" s="28"/>
      <c r="AN661" s="6"/>
      <c r="AO661" s="6"/>
      <c r="AP661" s="6">
        <f>Z661/L661</f>
        <v>0.79354838709677422</v>
      </c>
      <c r="AQ661" s="6">
        <f>AJ661/M661</f>
        <v>0.87857142857142856</v>
      </c>
      <c r="AR661" s="6">
        <f>AB661/N661</f>
        <v>1</v>
      </c>
      <c r="AS661" s="4"/>
      <c r="AT661" s="4"/>
      <c r="AU661" s="4"/>
      <c r="AV661" s="4"/>
      <c r="AW661" s="4"/>
      <c r="AX661" s="4"/>
      <c r="AY661" s="4"/>
      <c r="AZ661" s="4"/>
      <c r="BA661" s="4"/>
      <c r="BB661" s="4">
        <v>0</v>
      </c>
      <c r="BC661" s="4" t="s">
        <v>4138</v>
      </c>
      <c r="BD661" s="4">
        <v>1</v>
      </c>
      <c r="BE661" s="4">
        <v>10</v>
      </c>
      <c r="BF661" s="4" t="s">
        <v>4032</v>
      </c>
      <c r="BG661" s="4">
        <v>3100</v>
      </c>
      <c r="BH661" s="4">
        <v>3100</v>
      </c>
      <c r="BI661" s="4">
        <f t="shared" si="102"/>
        <v>310</v>
      </c>
      <c r="BJ661" s="19">
        <v>4</v>
      </c>
      <c r="BK661" s="19">
        <v>8</v>
      </c>
      <c r="BL661" s="16">
        <v>6</v>
      </c>
      <c r="BM661" s="45" t="s">
        <v>3534</v>
      </c>
      <c r="BN661" t="s">
        <v>3534</v>
      </c>
      <c r="BO661" t="str">
        <f t="shared" si="104"/>
        <v>-</v>
      </c>
      <c r="BP661" t="s">
        <v>3534</v>
      </c>
      <c r="BQ661">
        <v>295</v>
      </c>
      <c r="BR661">
        <f t="shared" si="105"/>
        <v>295</v>
      </c>
      <c r="BS661" t="s">
        <v>3022</v>
      </c>
    </row>
    <row r="662" spans="1:71" x14ac:dyDescent="0.4">
      <c r="A662" s="3">
        <v>659</v>
      </c>
      <c r="B662" s="3">
        <v>659</v>
      </c>
      <c r="C662" s="4" t="s">
        <v>721</v>
      </c>
      <c r="D662" s="4" t="str">
        <f t="shared" si="97"/>
        <v>J645RR</v>
      </c>
      <c r="E662" s="4" t="s">
        <v>721</v>
      </c>
      <c r="F662" s="4" t="s">
        <v>1939</v>
      </c>
      <c r="G662" s="5">
        <v>4521718117577</v>
      </c>
      <c r="H662" s="5"/>
      <c r="I662" s="5"/>
      <c r="J662" s="5">
        <v>1</v>
      </c>
      <c r="K662" s="5">
        <v>1</v>
      </c>
      <c r="L662" s="4">
        <v>670</v>
      </c>
      <c r="M662" s="4">
        <v>440</v>
      </c>
      <c r="N662" s="4">
        <v>300</v>
      </c>
      <c r="O662" s="6">
        <f t="shared" si="98"/>
        <v>0.31818181818181823</v>
      </c>
      <c r="P662" s="4" t="s">
        <v>2500</v>
      </c>
      <c r="Q662" s="4"/>
      <c r="R662" s="4"/>
      <c r="S662" s="4"/>
      <c r="T662" s="4"/>
      <c r="U662" s="4"/>
      <c r="V662" s="4"/>
      <c r="W662" s="4"/>
      <c r="X662" s="4"/>
      <c r="Y662" s="4">
        <v>428</v>
      </c>
      <c r="Z662" s="4">
        <f t="shared" si="99"/>
        <v>428</v>
      </c>
      <c r="AA662" s="4">
        <v>300</v>
      </c>
      <c r="AB662" s="4">
        <f t="shared" si="100"/>
        <v>300</v>
      </c>
      <c r="AC662" s="4"/>
      <c r="AD662" s="21">
        <f>ROUND(M662*AR662,0)</f>
        <v>440</v>
      </c>
      <c r="AE662" s="6">
        <f>1-AB662/AD662</f>
        <v>0.31818181818181823</v>
      </c>
      <c r="AF662" s="33">
        <v>0</v>
      </c>
      <c r="AG662" s="4">
        <f t="shared" si="101"/>
        <v>510</v>
      </c>
      <c r="AH662" s="33">
        <f t="shared" si="103"/>
        <v>510</v>
      </c>
      <c r="AI662" s="6">
        <f>1-AB662/AH662</f>
        <v>0.41176470588235292</v>
      </c>
      <c r="AJ662" s="7">
        <v>428</v>
      </c>
      <c r="AK662" s="6">
        <f>1-AB662/AJ662</f>
        <v>0.2990654205607477</v>
      </c>
      <c r="AL662" s="4">
        <f>AJ662-AB662</f>
        <v>128</v>
      </c>
      <c r="AM662" s="28"/>
      <c r="AN662" s="6"/>
      <c r="AO662" s="6"/>
      <c r="AP662" s="6">
        <f>Z662/L662</f>
        <v>0.63880597014925378</v>
      </c>
      <c r="AQ662" s="6">
        <f>AJ662/M662</f>
        <v>0.97272727272727277</v>
      </c>
      <c r="AR662" s="6">
        <f>AB662/N662</f>
        <v>1</v>
      </c>
      <c r="AS662" s="4"/>
      <c r="AT662" s="4"/>
      <c r="AU662" s="4"/>
      <c r="AV662" s="4"/>
      <c r="AW662" s="4"/>
      <c r="AX662" s="4"/>
      <c r="AY662" s="4"/>
      <c r="AZ662" s="4"/>
      <c r="BA662" s="4"/>
      <c r="BB662" s="4">
        <v>0</v>
      </c>
      <c r="BC662" s="4" t="s">
        <v>4139</v>
      </c>
      <c r="BD662" s="4">
        <v>1</v>
      </c>
      <c r="BE662" s="4">
        <v>3</v>
      </c>
      <c r="BF662" s="4" t="s">
        <v>3638</v>
      </c>
      <c r="BG662" s="4">
        <v>1530</v>
      </c>
      <c r="BH662" s="4">
        <v>1530</v>
      </c>
      <c r="BI662" s="4">
        <f t="shared" si="102"/>
        <v>510</v>
      </c>
      <c r="BJ662" s="19">
        <v>4</v>
      </c>
      <c r="BK662" s="19">
        <v>8</v>
      </c>
      <c r="BL662" s="16">
        <v>6</v>
      </c>
      <c r="BM662" s="45" t="s">
        <v>3534</v>
      </c>
      <c r="BN662" t="s">
        <v>3534</v>
      </c>
      <c r="BO662" t="str">
        <f t="shared" si="104"/>
        <v>-</v>
      </c>
      <c r="BP662" t="s">
        <v>3534</v>
      </c>
      <c r="BQ662">
        <v>420</v>
      </c>
      <c r="BR662">
        <f t="shared" si="105"/>
        <v>420</v>
      </c>
      <c r="BS662" t="s">
        <v>3023</v>
      </c>
    </row>
    <row r="663" spans="1:71" x14ac:dyDescent="0.4">
      <c r="A663" s="3">
        <v>660</v>
      </c>
      <c r="B663" s="3">
        <v>660</v>
      </c>
      <c r="C663" s="4" t="s">
        <v>722</v>
      </c>
      <c r="D663" s="4" t="str">
        <f t="shared" ref="D663:D726" si="106">TEXT(C663,"000000")</f>
        <v>J645WG</v>
      </c>
      <c r="E663" s="4" t="s">
        <v>722</v>
      </c>
      <c r="F663" s="4" t="s">
        <v>1940</v>
      </c>
      <c r="G663" s="5">
        <v>4521718184104</v>
      </c>
      <c r="H663" s="5"/>
      <c r="I663" s="5"/>
      <c r="J663" s="5">
        <v>1</v>
      </c>
      <c r="K663" s="5">
        <v>1</v>
      </c>
      <c r="L663" s="4">
        <v>310</v>
      </c>
      <c r="M663" s="4">
        <v>280</v>
      </c>
      <c r="N663" s="4">
        <v>172</v>
      </c>
      <c r="O663" s="6">
        <f t="shared" ref="O663:O726" si="107">1-N663/M663</f>
        <v>0.38571428571428568</v>
      </c>
      <c r="P663" s="4" t="s">
        <v>2500</v>
      </c>
      <c r="Q663" s="4"/>
      <c r="R663" s="4"/>
      <c r="S663" s="4"/>
      <c r="T663" s="4"/>
      <c r="U663" s="4"/>
      <c r="V663" s="4"/>
      <c r="W663" s="4"/>
      <c r="X663" s="4"/>
      <c r="Y663" s="4">
        <v>246</v>
      </c>
      <c r="Z663" s="4">
        <f t="shared" ref="Z663:Z726" si="108">IF(AC663="",Y663,Y663*AC663)</f>
        <v>246</v>
      </c>
      <c r="AA663" s="4">
        <v>172</v>
      </c>
      <c r="AB663" s="4">
        <f t="shared" ref="AB663:AB726" si="109">IF(AC663="",AA663,AA663*AC663)</f>
        <v>172</v>
      </c>
      <c r="AC663" s="4"/>
      <c r="AD663" s="21">
        <f>ROUND(M663*AR663,0)</f>
        <v>280</v>
      </c>
      <c r="AE663" s="6">
        <f>1-AB663/AD663</f>
        <v>0.38571428571428568</v>
      </c>
      <c r="AF663" s="33">
        <v>0</v>
      </c>
      <c r="AG663" s="4">
        <f t="shared" ref="AG663:AG726" si="110">BI663</f>
        <v>310</v>
      </c>
      <c r="AH663" s="33">
        <f t="shared" si="103"/>
        <v>310</v>
      </c>
      <c r="AI663" s="6">
        <f>1-AB663/AH663</f>
        <v>0.44516129032258067</v>
      </c>
      <c r="AJ663" s="7">
        <v>246</v>
      </c>
      <c r="AK663" s="6">
        <f>1-AB663/AJ663</f>
        <v>0.30081300813008127</v>
      </c>
      <c r="AL663" s="4">
        <f>AJ663-AB663</f>
        <v>74</v>
      </c>
      <c r="AM663" s="28"/>
      <c r="AN663" s="6"/>
      <c r="AO663" s="6"/>
      <c r="AP663" s="6">
        <f>Z663/L663</f>
        <v>0.79354838709677422</v>
      </c>
      <c r="AQ663" s="6">
        <f>AJ663/M663</f>
        <v>0.87857142857142856</v>
      </c>
      <c r="AR663" s="6">
        <f>AB663/N663</f>
        <v>1</v>
      </c>
      <c r="AS663" s="4"/>
      <c r="AT663" s="4"/>
      <c r="AU663" s="4"/>
      <c r="AV663" s="4"/>
      <c r="AW663" s="4"/>
      <c r="AX663" s="4"/>
      <c r="AY663" s="4"/>
      <c r="AZ663" s="4"/>
      <c r="BA663" s="4"/>
      <c r="BB663" s="4">
        <v>0</v>
      </c>
      <c r="BC663" s="4" t="s">
        <v>4140</v>
      </c>
      <c r="BD663" s="4">
        <v>1</v>
      </c>
      <c r="BE663" s="4">
        <v>10</v>
      </c>
      <c r="BF663" s="4" t="s">
        <v>4032</v>
      </c>
      <c r="BG663" s="4">
        <v>3100</v>
      </c>
      <c r="BH663" s="4">
        <v>3100</v>
      </c>
      <c r="BI663" s="4">
        <f t="shared" ref="BI663:BI726" si="111">IF(BD663="",BH663,BD663/BE663*BH663)</f>
        <v>310</v>
      </c>
      <c r="BJ663" s="19">
        <v>4</v>
      </c>
      <c r="BK663" s="19">
        <v>8</v>
      </c>
      <c r="BL663" s="16">
        <v>6</v>
      </c>
      <c r="BM663" s="45" t="s">
        <v>3534</v>
      </c>
      <c r="BN663" t="s">
        <v>3534</v>
      </c>
      <c r="BO663" t="str">
        <f t="shared" si="104"/>
        <v>-</v>
      </c>
      <c r="BP663" t="s">
        <v>3534</v>
      </c>
      <c r="BQ663">
        <v>295</v>
      </c>
      <c r="BR663">
        <f t="shared" si="105"/>
        <v>295</v>
      </c>
      <c r="BS663" t="s">
        <v>3024</v>
      </c>
    </row>
    <row r="664" spans="1:71" x14ac:dyDescent="0.4">
      <c r="A664" s="3">
        <v>661</v>
      </c>
      <c r="B664" s="3">
        <v>661</v>
      </c>
      <c r="C664" s="4" t="s">
        <v>723</v>
      </c>
      <c r="D664" s="4" t="str">
        <f t="shared" si="106"/>
        <v>J641WG</v>
      </c>
      <c r="E664" s="4" t="s">
        <v>723</v>
      </c>
      <c r="F664" s="4" t="s">
        <v>1941</v>
      </c>
      <c r="G664" s="5">
        <v>4521718184067</v>
      </c>
      <c r="H664" s="5"/>
      <c r="I664" s="5"/>
      <c r="J664" s="5">
        <v>1</v>
      </c>
      <c r="K664" s="5">
        <v>1</v>
      </c>
      <c r="L664" s="4">
        <v>3680</v>
      </c>
      <c r="M664" s="4">
        <v>2580</v>
      </c>
      <c r="N664" s="4">
        <v>1655</v>
      </c>
      <c r="O664" s="6">
        <f t="shared" si="107"/>
        <v>0.35852713178294571</v>
      </c>
      <c r="P664" s="4" t="s">
        <v>2500</v>
      </c>
      <c r="Q664" s="4"/>
      <c r="R664" s="4"/>
      <c r="S664" s="4"/>
      <c r="T664" s="4"/>
      <c r="U664" s="4"/>
      <c r="V664" s="4"/>
      <c r="W664" s="4"/>
      <c r="X664" s="4"/>
      <c r="Y664" s="4">
        <v>2364</v>
      </c>
      <c r="Z664" s="4">
        <f t="shared" si="108"/>
        <v>2364</v>
      </c>
      <c r="AA664" s="4">
        <v>1655</v>
      </c>
      <c r="AB664" s="4">
        <f t="shared" si="109"/>
        <v>1655</v>
      </c>
      <c r="AC664" s="4"/>
      <c r="AD664" s="21">
        <f>ROUND(M664*AR664,0)</f>
        <v>2580</v>
      </c>
      <c r="AE664" s="6">
        <f>1-AB664/AD664</f>
        <v>0.35852713178294571</v>
      </c>
      <c r="AF664" s="33">
        <v>0</v>
      </c>
      <c r="AG664" s="4">
        <f t="shared" si="110"/>
        <v>2900</v>
      </c>
      <c r="AH664" s="33">
        <f t="shared" si="103"/>
        <v>2900</v>
      </c>
      <c r="AI664" s="6">
        <f>1-AB664/AH664</f>
        <v>0.42931034482758623</v>
      </c>
      <c r="AJ664" s="7">
        <v>2364</v>
      </c>
      <c r="AK664" s="6">
        <f>1-AB664/AJ664</f>
        <v>0.29991539763113362</v>
      </c>
      <c r="AL664" s="4">
        <f>AJ664-AB664</f>
        <v>709</v>
      </c>
      <c r="AM664" s="28"/>
      <c r="AN664" s="6"/>
      <c r="AO664" s="6"/>
      <c r="AP664" s="6">
        <f>Z664/L664</f>
        <v>0.6423913043478261</v>
      </c>
      <c r="AQ664" s="6">
        <f>AJ664/M664</f>
        <v>0.91627906976744189</v>
      </c>
      <c r="AR664" s="6">
        <f>AB664/N664</f>
        <v>1</v>
      </c>
      <c r="AS664" s="4"/>
      <c r="AT664" s="4"/>
      <c r="AU664" s="4"/>
      <c r="AV664" s="4"/>
      <c r="AW664" s="4"/>
      <c r="AX664" s="4"/>
      <c r="AY664" s="4"/>
      <c r="AZ664" s="4"/>
      <c r="BA664" s="4"/>
      <c r="BB664" s="4">
        <v>0</v>
      </c>
      <c r="BC664" s="4" t="s">
        <v>4141</v>
      </c>
      <c r="BD664" s="4"/>
      <c r="BE664" s="4"/>
      <c r="BF664" s="4" t="s">
        <v>3538</v>
      </c>
      <c r="BG664" s="4">
        <v>2900</v>
      </c>
      <c r="BH664" s="4">
        <v>2900</v>
      </c>
      <c r="BI664" s="4">
        <f t="shared" si="111"/>
        <v>2900</v>
      </c>
      <c r="BJ664" s="19">
        <v>4</v>
      </c>
      <c r="BK664" s="19">
        <v>8</v>
      </c>
      <c r="BL664" s="16">
        <v>6</v>
      </c>
      <c r="BM664" s="45" t="s">
        <v>3534</v>
      </c>
      <c r="BN664" t="s">
        <v>3534</v>
      </c>
      <c r="BO664" t="str">
        <f t="shared" si="104"/>
        <v>-</v>
      </c>
      <c r="BP664" t="s">
        <v>3534</v>
      </c>
      <c r="BQ664">
        <v>3496</v>
      </c>
      <c r="BR664">
        <f t="shared" si="105"/>
        <v>3496</v>
      </c>
      <c r="BS664" t="s">
        <v>3025</v>
      </c>
    </row>
    <row r="665" spans="1:71" x14ac:dyDescent="0.4">
      <c r="A665" s="3">
        <v>662</v>
      </c>
      <c r="B665" s="3">
        <v>662</v>
      </c>
      <c r="C665" s="4" t="s">
        <v>724</v>
      </c>
      <c r="D665" s="4" t="str">
        <f t="shared" si="106"/>
        <v>J646WG</v>
      </c>
      <c r="E665" s="4" t="s">
        <v>724</v>
      </c>
      <c r="F665" s="4" t="s">
        <v>1942</v>
      </c>
      <c r="G665" s="5">
        <v>4521718184111</v>
      </c>
      <c r="H665" s="5"/>
      <c r="I665" s="5"/>
      <c r="J665" s="5">
        <v>1</v>
      </c>
      <c r="K665" s="5">
        <v>1</v>
      </c>
      <c r="L665" s="4">
        <v>270</v>
      </c>
      <c r="M665" s="4">
        <v>245</v>
      </c>
      <c r="N665" s="4">
        <v>153</v>
      </c>
      <c r="O665" s="6">
        <f t="shared" si="107"/>
        <v>0.3755102040816326</v>
      </c>
      <c r="P665" s="4" t="s">
        <v>2500</v>
      </c>
      <c r="Q665" s="4"/>
      <c r="R665" s="4"/>
      <c r="S665" s="4"/>
      <c r="T665" s="4"/>
      <c r="U665" s="4"/>
      <c r="V665" s="4"/>
      <c r="W665" s="4"/>
      <c r="X665" s="4"/>
      <c r="Y665" s="4">
        <v>246</v>
      </c>
      <c r="Z665" s="4">
        <f t="shared" si="108"/>
        <v>246</v>
      </c>
      <c r="AA665" s="4">
        <v>172</v>
      </c>
      <c r="AB665" s="4">
        <f t="shared" si="109"/>
        <v>172</v>
      </c>
      <c r="AC665" s="4"/>
      <c r="AD665" s="21">
        <f>ROUND(M665*AR665,0)</f>
        <v>275</v>
      </c>
      <c r="AE665" s="6">
        <f>1-AB665/AD665</f>
        <v>0.37454545454545451</v>
      </c>
      <c r="AF665" s="33">
        <v>0</v>
      </c>
      <c r="AG665" s="4">
        <f t="shared" si="110"/>
        <v>270</v>
      </c>
      <c r="AH665" s="33">
        <f t="shared" si="103"/>
        <v>303.52941176470586</v>
      </c>
      <c r="AI665" s="6">
        <f>1-AB665/AH665</f>
        <v>0.43333333333333324</v>
      </c>
      <c r="AJ665" s="7">
        <v>246</v>
      </c>
      <c r="AK665" s="6">
        <f>1-AB665/AJ665</f>
        <v>0.30081300813008127</v>
      </c>
      <c r="AL665" s="4">
        <f>AJ665-AB665</f>
        <v>74</v>
      </c>
      <c r="AM665" s="28"/>
      <c r="AN665" s="6"/>
      <c r="AO665" s="6"/>
      <c r="AP665" s="6">
        <f>Z665/L665</f>
        <v>0.91111111111111109</v>
      </c>
      <c r="AQ665" s="6">
        <f>AJ665/M665</f>
        <v>1.0040816326530613</v>
      </c>
      <c r="AR665" s="6">
        <f>AB665/N665</f>
        <v>1.1241830065359477</v>
      </c>
      <c r="AS665" s="4"/>
      <c r="AT665" s="4"/>
      <c r="AU665" s="4"/>
      <c r="AV665" s="4"/>
      <c r="AW665" s="4"/>
      <c r="AX665" s="4"/>
      <c r="AY665" s="4"/>
      <c r="AZ665" s="4"/>
      <c r="BA665" s="4"/>
      <c r="BB665" s="4">
        <v>0</v>
      </c>
      <c r="BC665" s="4" t="s">
        <v>4142</v>
      </c>
      <c r="BD665" s="4">
        <v>1</v>
      </c>
      <c r="BE665" s="4">
        <v>10</v>
      </c>
      <c r="BF665" s="4" t="s">
        <v>4032</v>
      </c>
      <c r="BG665" s="4">
        <v>2700</v>
      </c>
      <c r="BH665" s="4">
        <v>2700</v>
      </c>
      <c r="BI665" s="4">
        <f t="shared" si="111"/>
        <v>270</v>
      </c>
      <c r="BJ665" s="19">
        <v>4</v>
      </c>
      <c r="BK665" s="19">
        <v>8</v>
      </c>
      <c r="BL665" s="16">
        <v>6</v>
      </c>
      <c r="BM665" s="45" t="s">
        <v>3534</v>
      </c>
      <c r="BN665" t="s">
        <v>3534</v>
      </c>
      <c r="BO665" t="str">
        <f t="shared" si="104"/>
        <v>-</v>
      </c>
      <c r="BP665" t="s">
        <v>3534</v>
      </c>
      <c r="BQ665">
        <v>257</v>
      </c>
      <c r="BR665">
        <f t="shared" si="105"/>
        <v>288.91503267973854</v>
      </c>
      <c r="BS665" t="s">
        <v>3026</v>
      </c>
    </row>
    <row r="666" spans="1:71" x14ac:dyDescent="0.4">
      <c r="A666" s="42">
        <v>663</v>
      </c>
      <c r="B666" s="3">
        <v>663</v>
      </c>
      <c r="C666" s="4" t="s">
        <v>725</v>
      </c>
      <c r="D666" s="4" t="str">
        <f t="shared" si="106"/>
        <v>J648WG</v>
      </c>
      <c r="E666" s="4" t="s">
        <v>725</v>
      </c>
      <c r="F666" s="4" t="s">
        <v>1943</v>
      </c>
      <c r="G666" s="5">
        <v>4521718184135</v>
      </c>
      <c r="H666" s="5"/>
      <c r="I666" s="5"/>
      <c r="J666" s="5">
        <v>1</v>
      </c>
      <c r="K666" s="5">
        <v>1</v>
      </c>
      <c r="L666" s="4">
        <v>3980</v>
      </c>
      <c r="M666" s="4">
        <v>3780</v>
      </c>
      <c r="N666" s="4">
        <v>2227</v>
      </c>
      <c r="O666" s="6">
        <f t="shared" si="107"/>
        <v>0.41084656084656079</v>
      </c>
      <c r="P666" s="4" t="s">
        <v>2500</v>
      </c>
      <c r="Q666" s="4"/>
      <c r="R666" s="4"/>
      <c r="S666" s="4"/>
      <c r="T666" s="4"/>
      <c r="U666" s="4"/>
      <c r="V666" s="4"/>
      <c r="W666" s="4"/>
      <c r="X666" s="4"/>
      <c r="Y666" s="4">
        <v>3182</v>
      </c>
      <c r="Z666" s="4">
        <f t="shared" si="108"/>
        <v>3182</v>
      </c>
      <c r="AA666" s="4">
        <v>2227</v>
      </c>
      <c r="AB666" s="4">
        <f t="shared" si="109"/>
        <v>2227</v>
      </c>
      <c r="AC666" s="4"/>
      <c r="AD666" s="21">
        <f>ROUND(M666*AR666,0)</f>
        <v>3780</v>
      </c>
      <c r="AE666" s="6">
        <f>1-AB666/AD666</f>
        <v>0.41084656084656079</v>
      </c>
      <c r="AF666" s="33">
        <v>0</v>
      </c>
      <c r="AG666" s="4">
        <f t="shared" si="110"/>
        <v>3980</v>
      </c>
      <c r="AH666" s="33">
        <f t="shared" si="103"/>
        <v>3980</v>
      </c>
      <c r="AI666" s="6">
        <f>1-AB666/AH666</f>
        <v>0.4404522613065327</v>
      </c>
      <c r="AJ666" s="7">
        <v>3182</v>
      </c>
      <c r="AK666" s="6">
        <f>1-AB666/AJ666</f>
        <v>0.30012570710245123</v>
      </c>
      <c r="AL666" s="4">
        <f>AJ666-AB666</f>
        <v>955</v>
      </c>
      <c r="AM666" s="28"/>
      <c r="AN666" s="6"/>
      <c r="AO666" s="6"/>
      <c r="AP666" s="6">
        <f>Z666/L666</f>
        <v>0.79949748743718596</v>
      </c>
      <c r="AQ666" s="6">
        <f>AJ666/M666</f>
        <v>0.84179894179894177</v>
      </c>
      <c r="AR666" s="6">
        <f>AB666/N666</f>
        <v>1</v>
      </c>
      <c r="AS666" s="4"/>
      <c r="AT666" s="4"/>
      <c r="AU666" s="4"/>
      <c r="AV666" s="4"/>
      <c r="AW666" s="4"/>
      <c r="AX666" s="4"/>
      <c r="AY666" s="4"/>
      <c r="AZ666" s="4"/>
      <c r="BA666" s="4"/>
      <c r="BB666" s="4">
        <v>0</v>
      </c>
      <c r="BC666" s="4" t="s">
        <v>4143</v>
      </c>
      <c r="BD666" s="4"/>
      <c r="BE666" s="4"/>
      <c r="BF666" s="4" t="s">
        <v>3538</v>
      </c>
      <c r="BG666" s="4">
        <v>3980</v>
      </c>
      <c r="BH666" s="4">
        <v>3980</v>
      </c>
      <c r="BI666" s="4">
        <f t="shared" si="111"/>
        <v>3980</v>
      </c>
      <c r="BJ666" s="19">
        <v>2</v>
      </c>
      <c r="BK666" s="19">
        <v>8</v>
      </c>
      <c r="BL666" s="16">
        <v>6</v>
      </c>
      <c r="BM666" s="45" t="s">
        <v>3534</v>
      </c>
      <c r="BN666" t="s">
        <v>3534</v>
      </c>
      <c r="BO666" t="str">
        <f t="shared" si="104"/>
        <v>-</v>
      </c>
      <c r="BP666" t="s">
        <v>3534</v>
      </c>
      <c r="BQ666">
        <v>3781</v>
      </c>
      <c r="BR666">
        <f t="shared" si="105"/>
        <v>3781</v>
      </c>
      <c r="BS666" t="s">
        <v>3027</v>
      </c>
    </row>
    <row r="667" spans="1:71" x14ac:dyDescent="0.4">
      <c r="A667" s="42">
        <v>664</v>
      </c>
      <c r="B667" s="3">
        <v>664</v>
      </c>
      <c r="C667" s="4" t="s">
        <v>726</v>
      </c>
      <c r="D667" s="4" t="str">
        <f t="shared" si="106"/>
        <v>J647WG</v>
      </c>
      <c r="E667" s="4" t="s">
        <v>726</v>
      </c>
      <c r="F667" s="4" t="s">
        <v>1944</v>
      </c>
      <c r="G667" s="5">
        <v>4521718184128</v>
      </c>
      <c r="H667" s="5"/>
      <c r="I667" s="5"/>
      <c r="J667" s="5">
        <v>1</v>
      </c>
      <c r="K667" s="5">
        <v>1</v>
      </c>
      <c r="L667" s="4">
        <v>3980</v>
      </c>
      <c r="M667" s="4">
        <v>3780</v>
      </c>
      <c r="N667" s="4">
        <v>2227</v>
      </c>
      <c r="O667" s="6">
        <f t="shared" si="107"/>
        <v>0.41084656084656079</v>
      </c>
      <c r="P667" s="4" t="s">
        <v>2500</v>
      </c>
      <c r="Q667" s="4"/>
      <c r="R667" s="4"/>
      <c r="S667" s="4"/>
      <c r="T667" s="4"/>
      <c r="U667" s="4"/>
      <c r="V667" s="4"/>
      <c r="W667" s="4"/>
      <c r="X667" s="4"/>
      <c r="Y667" s="4">
        <v>3182</v>
      </c>
      <c r="Z667" s="4">
        <f t="shared" si="108"/>
        <v>3182</v>
      </c>
      <c r="AA667" s="4">
        <v>2227</v>
      </c>
      <c r="AB667" s="4">
        <f t="shared" si="109"/>
        <v>2227</v>
      </c>
      <c r="AC667" s="4"/>
      <c r="AD667" s="21">
        <f>ROUND(M667*AR667,0)</f>
        <v>3780</v>
      </c>
      <c r="AE667" s="6">
        <f>1-AB667/AD667</f>
        <v>0.41084656084656079</v>
      </c>
      <c r="AF667" s="33">
        <v>0</v>
      </c>
      <c r="AG667" s="4">
        <f t="shared" si="110"/>
        <v>3980</v>
      </c>
      <c r="AH667" s="33">
        <f t="shared" si="103"/>
        <v>3980</v>
      </c>
      <c r="AI667" s="6">
        <f>1-AB667/AH667</f>
        <v>0.4404522613065327</v>
      </c>
      <c r="AJ667" s="7">
        <v>3182</v>
      </c>
      <c r="AK667" s="6">
        <f>1-AB667/AJ667</f>
        <v>0.30012570710245123</v>
      </c>
      <c r="AL667" s="4">
        <f>AJ667-AB667</f>
        <v>955</v>
      </c>
      <c r="AM667" s="28"/>
      <c r="AN667" s="6"/>
      <c r="AO667" s="6"/>
      <c r="AP667" s="6">
        <f>Z667/L667</f>
        <v>0.79949748743718596</v>
      </c>
      <c r="AQ667" s="6">
        <f>AJ667/M667</f>
        <v>0.84179894179894177</v>
      </c>
      <c r="AR667" s="6">
        <f>AB667/N667</f>
        <v>1</v>
      </c>
      <c r="AS667" s="4"/>
      <c r="AT667" s="4"/>
      <c r="AU667" s="4"/>
      <c r="AV667" s="4"/>
      <c r="AW667" s="4"/>
      <c r="AX667" s="4"/>
      <c r="AY667" s="4"/>
      <c r="AZ667" s="4"/>
      <c r="BA667" s="4"/>
      <c r="BB667" s="4">
        <v>0</v>
      </c>
      <c r="BC667" s="4" t="s">
        <v>4144</v>
      </c>
      <c r="BD667" s="4"/>
      <c r="BE667" s="4"/>
      <c r="BF667" s="4" t="s">
        <v>3538</v>
      </c>
      <c r="BG667" s="4">
        <v>3980</v>
      </c>
      <c r="BH667" s="4">
        <v>3980</v>
      </c>
      <c r="BI667" s="4">
        <f t="shared" si="111"/>
        <v>3980</v>
      </c>
      <c r="BJ667" s="19">
        <v>2</v>
      </c>
      <c r="BK667" s="19">
        <v>8</v>
      </c>
      <c r="BL667" s="16">
        <v>6</v>
      </c>
      <c r="BM667" s="45" t="s">
        <v>3534</v>
      </c>
      <c r="BN667" t="s">
        <v>3534</v>
      </c>
      <c r="BO667" t="str">
        <f t="shared" si="104"/>
        <v>-</v>
      </c>
      <c r="BP667" t="s">
        <v>3534</v>
      </c>
      <c r="BQ667">
        <v>3781</v>
      </c>
      <c r="BR667">
        <f t="shared" si="105"/>
        <v>3781</v>
      </c>
      <c r="BS667" t="s">
        <v>3028</v>
      </c>
    </row>
    <row r="668" spans="1:71" x14ac:dyDescent="0.4">
      <c r="A668" s="3">
        <v>665</v>
      </c>
      <c r="B668" s="3">
        <v>665</v>
      </c>
      <c r="C668" s="4" t="s">
        <v>727</v>
      </c>
      <c r="D668" s="4" t="str">
        <f t="shared" si="106"/>
        <v>J649TN</v>
      </c>
      <c r="E668" s="4" t="s">
        <v>727</v>
      </c>
      <c r="F668" s="4" t="s">
        <v>1945</v>
      </c>
      <c r="G668" s="5">
        <v>4521718218403</v>
      </c>
      <c r="H668" s="5"/>
      <c r="I668" s="5"/>
      <c r="J668" s="5">
        <v>1</v>
      </c>
      <c r="K668" s="5">
        <v>1</v>
      </c>
      <c r="L668" s="4">
        <v>660</v>
      </c>
      <c r="M668" s="4">
        <v>455</v>
      </c>
      <c r="N668" s="4">
        <v>296</v>
      </c>
      <c r="O668" s="6">
        <f t="shared" si="107"/>
        <v>0.34945054945054943</v>
      </c>
      <c r="P668" s="4" t="s">
        <v>2500</v>
      </c>
      <c r="Q668" s="4"/>
      <c r="R668" s="4"/>
      <c r="S668" s="4"/>
      <c r="T668" s="4"/>
      <c r="U668" s="4"/>
      <c r="V668" s="4"/>
      <c r="W668" s="4"/>
      <c r="X668" s="4"/>
      <c r="Y668" s="4">
        <v>455</v>
      </c>
      <c r="Z668" s="4">
        <f t="shared" si="108"/>
        <v>455</v>
      </c>
      <c r="AA668" s="4">
        <v>296</v>
      </c>
      <c r="AB668" s="4">
        <f t="shared" si="109"/>
        <v>296</v>
      </c>
      <c r="AC668" s="4"/>
      <c r="AD668" s="21">
        <f>ROUND(M668*AR668,0)</f>
        <v>455</v>
      </c>
      <c r="AE668" s="6">
        <f>1-AB668/AD668</f>
        <v>0.34945054945054943</v>
      </c>
      <c r="AF668" s="33">
        <v>2.25</v>
      </c>
      <c r="AG668" s="4" t="str">
        <f t="shared" si="110"/>
        <v>-</v>
      </c>
      <c r="AH668" s="33" t="e">
        <f t="shared" si="103"/>
        <v>#VALUE!</v>
      </c>
      <c r="AI668" s="6" t="e">
        <f>1-AB668/AH668</f>
        <v>#VALUE!</v>
      </c>
      <c r="AJ668" s="7">
        <v>455</v>
      </c>
      <c r="AK668" s="6">
        <f>1-AB668/AJ668</f>
        <v>0.34945054945054943</v>
      </c>
      <c r="AL668" s="4">
        <f>AJ668-AB668</f>
        <v>159</v>
      </c>
      <c r="AM668" s="28"/>
      <c r="AN668" s="6"/>
      <c r="AO668" s="6"/>
      <c r="AP668" s="6">
        <f>Z668/L668</f>
        <v>0.68939393939393945</v>
      </c>
      <c r="AQ668" s="6">
        <f>AJ668/M668</f>
        <v>1</v>
      </c>
      <c r="AR668" s="6">
        <f>AB668/N668</f>
        <v>1</v>
      </c>
      <c r="AS668" s="4"/>
      <c r="AT668" s="4"/>
      <c r="AU668" s="4"/>
      <c r="AV668" s="4"/>
      <c r="AW668" s="4"/>
      <c r="AX668" s="4"/>
      <c r="AY668" s="4"/>
      <c r="AZ668" s="4"/>
      <c r="BA668" s="4"/>
      <c r="BB668" s="4">
        <v>0</v>
      </c>
      <c r="BC668" s="4" t="s">
        <v>3534</v>
      </c>
      <c r="BD668" s="4"/>
      <c r="BE668" s="4"/>
      <c r="BF668" s="4" t="s">
        <v>3534</v>
      </c>
      <c r="BG668" s="4" t="s">
        <v>3534</v>
      </c>
      <c r="BH668" s="4" t="s">
        <v>3534</v>
      </c>
      <c r="BI668" s="4" t="str">
        <f t="shared" si="111"/>
        <v>-</v>
      </c>
      <c r="BJ668" s="19">
        <v>4</v>
      </c>
      <c r="BK668" s="19">
        <v>8</v>
      </c>
      <c r="BL668" s="16">
        <v>6</v>
      </c>
      <c r="BM668" s="45" t="s">
        <v>3534</v>
      </c>
      <c r="BN668" t="s">
        <v>3534</v>
      </c>
      <c r="BO668" t="str">
        <f t="shared" si="104"/>
        <v>-</v>
      </c>
      <c r="BP668" t="s">
        <v>3534</v>
      </c>
      <c r="BQ668">
        <v>455</v>
      </c>
      <c r="BR668">
        <f t="shared" si="105"/>
        <v>455</v>
      </c>
      <c r="BS668" t="s">
        <v>3534</v>
      </c>
    </row>
    <row r="669" spans="1:71" x14ac:dyDescent="0.4">
      <c r="A669" s="3">
        <v>666</v>
      </c>
      <c r="B669" s="3">
        <v>666</v>
      </c>
      <c r="C669" s="4" t="s">
        <v>728</v>
      </c>
      <c r="D669" s="4" t="str">
        <f t="shared" si="106"/>
        <v>J650TN</v>
      </c>
      <c r="E669" s="4" t="s">
        <v>728</v>
      </c>
      <c r="F669" s="4" t="s">
        <v>1946</v>
      </c>
      <c r="G669" s="5">
        <v>4521718217406</v>
      </c>
      <c r="H669" s="5"/>
      <c r="I669" s="5"/>
      <c r="J669" s="5">
        <v>1</v>
      </c>
      <c r="K669" s="5">
        <v>1</v>
      </c>
      <c r="L669" s="4">
        <v>400</v>
      </c>
      <c r="M669" s="4">
        <v>273</v>
      </c>
      <c r="N669" s="4">
        <v>177</v>
      </c>
      <c r="O669" s="6">
        <f t="shared" si="107"/>
        <v>0.35164835164835162</v>
      </c>
      <c r="P669" s="4" t="s">
        <v>2500</v>
      </c>
      <c r="Q669" s="4"/>
      <c r="R669" s="4"/>
      <c r="S669" s="4"/>
      <c r="T669" s="4"/>
      <c r="U669" s="4"/>
      <c r="V669" s="4"/>
      <c r="W669" s="4"/>
      <c r="X669" s="4"/>
      <c r="Y669" s="4">
        <v>273</v>
      </c>
      <c r="Z669" s="4">
        <f t="shared" si="108"/>
        <v>273</v>
      </c>
      <c r="AA669" s="4">
        <v>177</v>
      </c>
      <c r="AB669" s="4">
        <f t="shared" si="109"/>
        <v>177</v>
      </c>
      <c r="AC669" s="4"/>
      <c r="AD669" s="21">
        <f>ROUND(M669*AR669,0)</f>
        <v>273</v>
      </c>
      <c r="AE669" s="6">
        <f>1-AB669/AD669</f>
        <v>0.35164835164835162</v>
      </c>
      <c r="AF669" s="33">
        <v>0</v>
      </c>
      <c r="AG669" s="4" t="str">
        <f t="shared" si="110"/>
        <v>-</v>
      </c>
      <c r="AH669" s="33" t="e">
        <f t="shared" si="103"/>
        <v>#VALUE!</v>
      </c>
      <c r="AI669" s="6" t="e">
        <f>1-AB669/AH669</f>
        <v>#VALUE!</v>
      </c>
      <c r="AJ669" s="7">
        <f>ROUND(AB669/0.65,0)</f>
        <v>272</v>
      </c>
      <c r="AK669" s="6">
        <f>1-AB669/AJ669</f>
        <v>0.34926470588235292</v>
      </c>
      <c r="AL669" s="4">
        <f>AJ669-AB669</f>
        <v>95</v>
      </c>
      <c r="AM669" s="28"/>
      <c r="AN669" s="6"/>
      <c r="AO669" s="6"/>
      <c r="AP669" s="6">
        <f>Z669/L669</f>
        <v>0.6825</v>
      </c>
      <c r="AQ669" s="6">
        <f>AJ669/M669</f>
        <v>0.99633699633699635</v>
      </c>
      <c r="AR669" s="6">
        <f>AB669/N669</f>
        <v>1</v>
      </c>
      <c r="AS669" s="4"/>
      <c r="AT669" s="4"/>
      <c r="AU669" s="4"/>
      <c r="AV669" s="4"/>
      <c r="AW669" s="4"/>
      <c r="AX669" s="4"/>
      <c r="AY669" s="4"/>
      <c r="AZ669" s="4"/>
      <c r="BA669" s="4"/>
      <c r="BB669" s="4">
        <v>0</v>
      </c>
      <c r="BC669" s="4" t="s">
        <v>3534</v>
      </c>
      <c r="BD669" s="4"/>
      <c r="BE669" s="4"/>
      <c r="BF669" s="4" t="s">
        <v>3534</v>
      </c>
      <c r="BG669" s="4" t="s">
        <v>3534</v>
      </c>
      <c r="BH669" s="4" t="s">
        <v>3534</v>
      </c>
      <c r="BI669" s="4" t="str">
        <f t="shared" si="111"/>
        <v>-</v>
      </c>
      <c r="BJ669" s="19">
        <v>4</v>
      </c>
      <c r="BK669" s="19">
        <v>8</v>
      </c>
      <c r="BL669" s="16">
        <v>6</v>
      </c>
      <c r="BM669" s="45" t="s">
        <v>3534</v>
      </c>
      <c r="BN669" t="s">
        <v>3534</v>
      </c>
      <c r="BO669" t="str">
        <f t="shared" si="104"/>
        <v>-</v>
      </c>
      <c r="BP669" t="s">
        <v>3534</v>
      </c>
      <c r="BQ669">
        <v>273</v>
      </c>
      <c r="BR669">
        <f t="shared" si="105"/>
        <v>273</v>
      </c>
      <c r="BS669" t="s">
        <v>3534</v>
      </c>
    </row>
    <row r="670" spans="1:71" x14ac:dyDescent="0.4">
      <c r="A670" s="42">
        <v>667</v>
      </c>
      <c r="B670" s="3">
        <v>667</v>
      </c>
      <c r="C670" s="4" t="s">
        <v>729</v>
      </c>
      <c r="D670" s="4" t="str">
        <f t="shared" si="106"/>
        <v>J650WG</v>
      </c>
      <c r="E670" s="4" t="s">
        <v>729</v>
      </c>
      <c r="F670" s="4" t="s">
        <v>1947</v>
      </c>
      <c r="G670" s="5">
        <v>4521718184159</v>
      </c>
      <c r="H670" s="5"/>
      <c r="I670" s="5"/>
      <c r="J670" s="5">
        <v>1</v>
      </c>
      <c r="K670" s="5">
        <v>1</v>
      </c>
      <c r="L670" s="4">
        <v>3980</v>
      </c>
      <c r="M670" s="4">
        <v>3780</v>
      </c>
      <c r="N670" s="4">
        <v>2227</v>
      </c>
      <c r="O670" s="6">
        <f t="shared" si="107"/>
        <v>0.41084656084656079</v>
      </c>
      <c r="P670" s="4" t="s">
        <v>2500</v>
      </c>
      <c r="Q670" s="4"/>
      <c r="R670" s="4"/>
      <c r="S670" s="4"/>
      <c r="T670" s="4"/>
      <c r="U670" s="4"/>
      <c r="V670" s="4"/>
      <c r="W670" s="4"/>
      <c r="X670" s="4"/>
      <c r="Y670" s="4">
        <v>3182</v>
      </c>
      <c r="Z670" s="4">
        <f t="shared" si="108"/>
        <v>3182</v>
      </c>
      <c r="AA670" s="4">
        <v>2227</v>
      </c>
      <c r="AB670" s="4">
        <f t="shared" si="109"/>
        <v>2227</v>
      </c>
      <c r="AC670" s="4"/>
      <c r="AD670" s="21">
        <f>ROUND(M670*AR670,0)</f>
        <v>3780</v>
      </c>
      <c r="AE670" s="6">
        <f>1-AB670/AD670</f>
        <v>0.41084656084656079</v>
      </c>
      <c r="AF670" s="33">
        <v>0</v>
      </c>
      <c r="AG670" s="4">
        <f t="shared" si="110"/>
        <v>3980</v>
      </c>
      <c r="AH670" s="33">
        <f t="shared" si="103"/>
        <v>3980</v>
      </c>
      <c r="AI670" s="6">
        <f>1-AB670/AH670</f>
        <v>0.4404522613065327</v>
      </c>
      <c r="AJ670" s="7">
        <v>3182</v>
      </c>
      <c r="AK670" s="6">
        <f>1-AB670/AJ670</f>
        <v>0.30012570710245123</v>
      </c>
      <c r="AL670" s="4">
        <f>AJ670-AB670</f>
        <v>955</v>
      </c>
      <c r="AM670" s="28"/>
      <c r="AN670" s="6"/>
      <c r="AO670" s="6"/>
      <c r="AP670" s="6">
        <f>Z670/L670</f>
        <v>0.79949748743718596</v>
      </c>
      <c r="AQ670" s="6">
        <f>AJ670/M670</f>
        <v>0.84179894179894177</v>
      </c>
      <c r="AR670" s="6">
        <f>AB670/N670</f>
        <v>1</v>
      </c>
      <c r="AS670" s="4"/>
      <c r="AT670" s="4"/>
      <c r="AU670" s="4"/>
      <c r="AV670" s="4"/>
      <c r="AW670" s="4"/>
      <c r="AX670" s="4"/>
      <c r="AY670" s="4"/>
      <c r="AZ670" s="4"/>
      <c r="BA670" s="4"/>
      <c r="BB670" s="4">
        <v>0</v>
      </c>
      <c r="BC670" s="4" t="s">
        <v>4145</v>
      </c>
      <c r="BD670" s="4"/>
      <c r="BE670" s="4"/>
      <c r="BF670" s="4" t="s">
        <v>3538</v>
      </c>
      <c r="BG670" s="4">
        <v>3980</v>
      </c>
      <c r="BH670" s="4">
        <v>3980</v>
      </c>
      <c r="BI670" s="4">
        <f t="shared" si="111"/>
        <v>3980</v>
      </c>
      <c r="BJ670" s="19">
        <v>2</v>
      </c>
      <c r="BK670" s="19">
        <v>8</v>
      </c>
      <c r="BL670" s="16">
        <v>6</v>
      </c>
      <c r="BM670" s="45" t="s">
        <v>3534</v>
      </c>
      <c r="BN670" t="s">
        <v>3534</v>
      </c>
      <c r="BO670" t="str">
        <f t="shared" si="104"/>
        <v>-</v>
      </c>
      <c r="BP670" t="s">
        <v>3534</v>
      </c>
      <c r="BQ670">
        <v>3781</v>
      </c>
      <c r="BR670">
        <f t="shared" si="105"/>
        <v>3781</v>
      </c>
      <c r="BS670" t="s">
        <v>3029</v>
      </c>
    </row>
    <row r="671" spans="1:71" x14ac:dyDescent="0.4">
      <c r="A671" s="42">
        <v>668</v>
      </c>
      <c r="B671" s="3">
        <v>668</v>
      </c>
      <c r="C671" s="4" t="s">
        <v>730</v>
      </c>
      <c r="D671" s="4" t="str">
        <f t="shared" si="106"/>
        <v>J651WG</v>
      </c>
      <c r="E671" s="4" t="s">
        <v>730</v>
      </c>
      <c r="F671" s="4" t="s">
        <v>1948</v>
      </c>
      <c r="G671" s="5">
        <v>4521718184166</v>
      </c>
      <c r="H671" s="5"/>
      <c r="I671" s="5"/>
      <c r="J671" s="5">
        <v>1</v>
      </c>
      <c r="K671" s="5">
        <v>1</v>
      </c>
      <c r="L671" s="4">
        <v>3980</v>
      </c>
      <c r="M671" s="4">
        <v>3780</v>
      </c>
      <c r="N671" s="4">
        <v>2227</v>
      </c>
      <c r="O671" s="6">
        <f t="shared" si="107"/>
        <v>0.41084656084656079</v>
      </c>
      <c r="P671" s="4" t="s">
        <v>2500</v>
      </c>
      <c r="Q671" s="4"/>
      <c r="R671" s="4"/>
      <c r="S671" s="4"/>
      <c r="T671" s="4"/>
      <c r="U671" s="4"/>
      <c r="V671" s="4"/>
      <c r="W671" s="4"/>
      <c r="X671" s="4"/>
      <c r="Y671" s="4">
        <v>3182</v>
      </c>
      <c r="Z671" s="4">
        <f t="shared" si="108"/>
        <v>3182</v>
      </c>
      <c r="AA671" s="4">
        <v>2227</v>
      </c>
      <c r="AB671" s="4">
        <f t="shared" si="109"/>
        <v>2227</v>
      </c>
      <c r="AC671" s="4"/>
      <c r="AD671" s="21">
        <f>ROUND(M671*AR671,0)</f>
        <v>3780</v>
      </c>
      <c r="AE671" s="6">
        <f>1-AB671/AD671</f>
        <v>0.41084656084656079</v>
      </c>
      <c r="AF671" s="33">
        <v>0</v>
      </c>
      <c r="AG671" s="4">
        <f t="shared" si="110"/>
        <v>3980</v>
      </c>
      <c r="AH671" s="33">
        <f t="shared" si="103"/>
        <v>3980</v>
      </c>
      <c r="AI671" s="6">
        <f>1-AB671/AH671</f>
        <v>0.4404522613065327</v>
      </c>
      <c r="AJ671" s="7">
        <v>3182</v>
      </c>
      <c r="AK671" s="6">
        <f>1-AB671/AJ671</f>
        <v>0.30012570710245123</v>
      </c>
      <c r="AL671" s="4">
        <f>AJ671-AB671</f>
        <v>955</v>
      </c>
      <c r="AM671" s="28"/>
      <c r="AN671" s="6"/>
      <c r="AO671" s="6"/>
      <c r="AP671" s="6">
        <f>Z671/L671</f>
        <v>0.79949748743718596</v>
      </c>
      <c r="AQ671" s="6">
        <f>AJ671/M671</f>
        <v>0.84179894179894177</v>
      </c>
      <c r="AR671" s="6">
        <f>AB671/N671</f>
        <v>1</v>
      </c>
      <c r="AS671" s="4"/>
      <c r="AT671" s="4"/>
      <c r="AU671" s="4"/>
      <c r="AV671" s="4"/>
      <c r="AW671" s="4"/>
      <c r="AX671" s="4"/>
      <c r="AY671" s="4"/>
      <c r="AZ671" s="4"/>
      <c r="BA671" s="4"/>
      <c r="BB671" s="4">
        <v>0</v>
      </c>
      <c r="BC671" s="4" t="s">
        <v>4146</v>
      </c>
      <c r="BD671" s="4"/>
      <c r="BE671" s="4"/>
      <c r="BF671" s="4" t="s">
        <v>3538</v>
      </c>
      <c r="BG671" s="4">
        <v>3980</v>
      </c>
      <c r="BH671" s="4">
        <v>3980</v>
      </c>
      <c r="BI671" s="4">
        <f t="shared" si="111"/>
        <v>3980</v>
      </c>
      <c r="BJ671" s="19">
        <v>2</v>
      </c>
      <c r="BK671" s="19">
        <v>8</v>
      </c>
      <c r="BL671" s="16">
        <v>6</v>
      </c>
      <c r="BM671" s="45" t="s">
        <v>3534</v>
      </c>
      <c r="BN671" t="s">
        <v>3534</v>
      </c>
      <c r="BO671" t="str">
        <f t="shared" si="104"/>
        <v>-</v>
      </c>
      <c r="BP671" t="s">
        <v>3534</v>
      </c>
      <c r="BQ671">
        <v>3781</v>
      </c>
      <c r="BR671">
        <f t="shared" si="105"/>
        <v>3781</v>
      </c>
      <c r="BS671" t="s">
        <v>3030</v>
      </c>
    </row>
    <row r="672" spans="1:71" x14ac:dyDescent="0.4">
      <c r="A672" s="42">
        <v>669</v>
      </c>
      <c r="B672" s="3">
        <v>669</v>
      </c>
      <c r="C672" s="4" t="s">
        <v>731</v>
      </c>
      <c r="D672" s="4" t="str">
        <f t="shared" si="106"/>
        <v>J649WG</v>
      </c>
      <c r="E672" s="4" t="s">
        <v>731</v>
      </c>
      <c r="F672" s="4" t="s">
        <v>1949</v>
      </c>
      <c r="G672" s="5">
        <v>4521718184142</v>
      </c>
      <c r="H672" s="5"/>
      <c r="I672" s="5"/>
      <c r="J672" s="5">
        <v>1</v>
      </c>
      <c r="K672" s="5">
        <v>1</v>
      </c>
      <c r="L672" s="4">
        <v>3980</v>
      </c>
      <c r="M672" s="4">
        <v>3780</v>
      </c>
      <c r="N672" s="4">
        <v>2227</v>
      </c>
      <c r="O672" s="6">
        <f t="shared" si="107"/>
        <v>0.41084656084656079</v>
      </c>
      <c r="P672" s="4" t="s">
        <v>2500</v>
      </c>
      <c r="Q672" s="4"/>
      <c r="R672" s="4"/>
      <c r="S672" s="4"/>
      <c r="T672" s="4"/>
      <c r="U672" s="4"/>
      <c r="V672" s="4"/>
      <c r="W672" s="4"/>
      <c r="X672" s="4"/>
      <c r="Y672" s="4">
        <v>3182</v>
      </c>
      <c r="Z672" s="4">
        <f t="shared" si="108"/>
        <v>3182</v>
      </c>
      <c r="AA672" s="4">
        <v>2227</v>
      </c>
      <c r="AB672" s="4">
        <f t="shared" si="109"/>
        <v>2227</v>
      </c>
      <c r="AC672" s="4"/>
      <c r="AD672" s="21">
        <f>ROUND(M672*AR672,0)</f>
        <v>3780</v>
      </c>
      <c r="AE672" s="6">
        <f>1-AB672/AD672</f>
        <v>0.41084656084656079</v>
      </c>
      <c r="AF672" s="33">
        <v>0</v>
      </c>
      <c r="AG672" s="4">
        <f t="shared" si="110"/>
        <v>3980</v>
      </c>
      <c r="AH672" s="33">
        <f t="shared" si="103"/>
        <v>3980</v>
      </c>
      <c r="AI672" s="6">
        <f>1-AB672/AH672</f>
        <v>0.4404522613065327</v>
      </c>
      <c r="AJ672" s="7">
        <v>3182</v>
      </c>
      <c r="AK672" s="6">
        <f>1-AB672/AJ672</f>
        <v>0.30012570710245123</v>
      </c>
      <c r="AL672" s="4">
        <f>AJ672-AB672</f>
        <v>955</v>
      </c>
      <c r="AM672" s="28"/>
      <c r="AN672" s="6"/>
      <c r="AO672" s="6"/>
      <c r="AP672" s="6">
        <f>Z672/L672</f>
        <v>0.79949748743718596</v>
      </c>
      <c r="AQ672" s="6">
        <f>AJ672/M672</f>
        <v>0.84179894179894177</v>
      </c>
      <c r="AR672" s="6">
        <f>AB672/N672</f>
        <v>1</v>
      </c>
      <c r="AS672" s="4"/>
      <c r="AT672" s="4"/>
      <c r="AU672" s="4"/>
      <c r="AV672" s="4"/>
      <c r="AW672" s="4"/>
      <c r="AX672" s="4"/>
      <c r="AY672" s="4"/>
      <c r="AZ672" s="4"/>
      <c r="BA672" s="4"/>
      <c r="BB672" s="4">
        <v>0</v>
      </c>
      <c r="BC672" s="4" t="s">
        <v>4147</v>
      </c>
      <c r="BD672" s="4"/>
      <c r="BE672" s="4"/>
      <c r="BF672" s="4" t="s">
        <v>3538</v>
      </c>
      <c r="BG672" s="4">
        <v>3980</v>
      </c>
      <c r="BH672" s="4">
        <v>3980</v>
      </c>
      <c r="BI672" s="4">
        <f t="shared" si="111"/>
        <v>3980</v>
      </c>
      <c r="BJ672" s="19">
        <v>2</v>
      </c>
      <c r="BK672" s="19">
        <v>8</v>
      </c>
      <c r="BL672" s="16">
        <v>6</v>
      </c>
      <c r="BM672" s="45" t="s">
        <v>3534</v>
      </c>
      <c r="BN672" t="s">
        <v>3534</v>
      </c>
      <c r="BO672" t="str">
        <f t="shared" si="104"/>
        <v>-</v>
      </c>
      <c r="BP672" t="s">
        <v>3534</v>
      </c>
      <c r="BQ672">
        <v>3781</v>
      </c>
      <c r="BR672">
        <f t="shared" si="105"/>
        <v>3781</v>
      </c>
      <c r="BS672" t="s">
        <v>3031</v>
      </c>
    </row>
    <row r="673" spans="1:71" x14ac:dyDescent="0.4">
      <c r="A673" s="42">
        <v>670</v>
      </c>
      <c r="B673" s="3">
        <v>670</v>
      </c>
      <c r="C673" s="4" t="s">
        <v>732</v>
      </c>
      <c r="D673" s="4" t="str">
        <f t="shared" si="106"/>
        <v>J652WG</v>
      </c>
      <c r="E673" s="4" t="s">
        <v>732</v>
      </c>
      <c r="F673" s="4" t="s">
        <v>1950</v>
      </c>
      <c r="G673" s="5">
        <v>4521718184173</v>
      </c>
      <c r="H673" s="5"/>
      <c r="I673" s="5"/>
      <c r="J673" s="5">
        <v>1</v>
      </c>
      <c r="K673" s="5">
        <v>1</v>
      </c>
      <c r="L673" s="4">
        <v>3980</v>
      </c>
      <c r="M673" s="4">
        <v>3780</v>
      </c>
      <c r="N673" s="4">
        <v>2227</v>
      </c>
      <c r="O673" s="6">
        <f t="shared" si="107"/>
        <v>0.41084656084656079</v>
      </c>
      <c r="P673" s="4" t="s">
        <v>2500</v>
      </c>
      <c r="Q673" s="4"/>
      <c r="R673" s="4"/>
      <c r="S673" s="4"/>
      <c r="T673" s="4"/>
      <c r="U673" s="4"/>
      <c r="V673" s="4"/>
      <c r="W673" s="4"/>
      <c r="X673" s="4"/>
      <c r="Y673" s="4">
        <v>3182</v>
      </c>
      <c r="Z673" s="4">
        <f t="shared" si="108"/>
        <v>3182</v>
      </c>
      <c r="AA673" s="4">
        <v>2227</v>
      </c>
      <c r="AB673" s="4">
        <f t="shared" si="109"/>
        <v>2227</v>
      </c>
      <c r="AC673" s="4"/>
      <c r="AD673" s="21">
        <f>ROUND(M673*AR673,0)</f>
        <v>3780</v>
      </c>
      <c r="AE673" s="6">
        <f>1-AB673/AD673</f>
        <v>0.41084656084656079</v>
      </c>
      <c r="AF673" s="33">
        <v>0</v>
      </c>
      <c r="AG673" s="4">
        <f t="shared" si="110"/>
        <v>3980</v>
      </c>
      <c r="AH673" s="33">
        <f t="shared" si="103"/>
        <v>3980</v>
      </c>
      <c r="AI673" s="6">
        <f>1-AB673/AH673</f>
        <v>0.4404522613065327</v>
      </c>
      <c r="AJ673" s="7">
        <v>3182</v>
      </c>
      <c r="AK673" s="6">
        <f>1-AB673/AJ673</f>
        <v>0.30012570710245123</v>
      </c>
      <c r="AL673" s="4">
        <f>AJ673-AB673</f>
        <v>955</v>
      </c>
      <c r="AM673" s="28"/>
      <c r="AN673" s="6"/>
      <c r="AO673" s="6"/>
      <c r="AP673" s="6">
        <f>Z673/L673</f>
        <v>0.79949748743718596</v>
      </c>
      <c r="AQ673" s="6">
        <f>AJ673/M673</f>
        <v>0.84179894179894177</v>
      </c>
      <c r="AR673" s="6">
        <f>AB673/N673</f>
        <v>1</v>
      </c>
      <c r="AS673" s="4"/>
      <c r="AT673" s="4"/>
      <c r="AU673" s="4"/>
      <c r="AV673" s="4"/>
      <c r="AW673" s="4"/>
      <c r="AX673" s="4"/>
      <c r="AY673" s="4"/>
      <c r="AZ673" s="4"/>
      <c r="BA673" s="4"/>
      <c r="BB673" s="4">
        <v>0</v>
      </c>
      <c r="BC673" s="4" t="s">
        <v>4148</v>
      </c>
      <c r="BD673" s="4"/>
      <c r="BE673" s="4"/>
      <c r="BF673" s="4" t="s">
        <v>3538</v>
      </c>
      <c r="BG673" s="4">
        <v>3980</v>
      </c>
      <c r="BH673" s="4">
        <v>3980</v>
      </c>
      <c r="BI673" s="4">
        <f t="shared" si="111"/>
        <v>3980</v>
      </c>
      <c r="BJ673" s="19">
        <v>2</v>
      </c>
      <c r="BK673" s="19">
        <v>8</v>
      </c>
      <c r="BL673" s="16">
        <v>6</v>
      </c>
      <c r="BM673" s="45" t="s">
        <v>3534</v>
      </c>
      <c r="BN673" t="s">
        <v>3534</v>
      </c>
      <c r="BO673" t="str">
        <f t="shared" si="104"/>
        <v>-</v>
      </c>
      <c r="BP673" t="s">
        <v>3534</v>
      </c>
      <c r="BQ673">
        <v>3781</v>
      </c>
      <c r="BR673">
        <f t="shared" si="105"/>
        <v>3781</v>
      </c>
      <c r="BS673" t="s">
        <v>3032</v>
      </c>
    </row>
    <row r="674" spans="1:71" x14ac:dyDescent="0.4">
      <c r="A674" s="42">
        <v>671</v>
      </c>
      <c r="B674" s="3">
        <v>671</v>
      </c>
      <c r="C674" s="4" t="s">
        <v>733</v>
      </c>
      <c r="D674" s="4" t="str">
        <f t="shared" si="106"/>
        <v>J653WG</v>
      </c>
      <c r="E674" s="4" t="s">
        <v>733</v>
      </c>
      <c r="F674" s="4" t="s">
        <v>1951</v>
      </c>
      <c r="G674" s="5">
        <v>4521718184180</v>
      </c>
      <c r="H674" s="5"/>
      <c r="I674" s="5"/>
      <c r="J674" s="5">
        <v>1</v>
      </c>
      <c r="K674" s="5">
        <v>1</v>
      </c>
      <c r="L674" s="4">
        <v>3980</v>
      </c>
      <c r="M674" s="4">
        <v>3780</v>
      </c>
      <c r="N674" s="4">
        <v>2227</v>
      </c>
      <c r="O674" s="6">
        <f t="shared" si="107"/>
        <v>0.41084656084656079</v>
      </c>
      <c r="P674" s="4" t="s">
        <v>2500</v>
      </c>
      <c r="Q674" s="4"/>
      <c r="R674" s="4"/>
      <c r="S674" s="4"/>
      <c r="T674" s="4"/>
      <c r="U674" s="4"/>
      <c r="V674" s="4"/>
      <c r="W674" s="4"/>
      <c r="X674" s="4"/>
      <c r="Y674" s="4">
        <v>3182</v>
      </c>
      <c r="Z674" s="4">
        <f t="shared" si="108"/>
        <v>3182</v>
      </c>
      <c r="AA674" s="4">
        <v>2227</v>
      </c>
      <c r="AB674" s="4">
        <f t="shared" si="109"/>
        <v>2227</v>
      </c>
      <c r="AC674" s="4"/>
      <c r="AD674" s="21">
        <f>ROUND(M674*AR674,0)</f>
        <v>3780</v>
      </c>
      <c r="AE674" s="6">
        <f>1-AB674/AD674</f>
        <v>0.41084656084656079</v>
      </c>
      <c r="AF674" s="33">
        <v>0</v>
      </c>
      <c r="AG674" s="4">
        <f t="shared" si="110"/>
        <v>3980</v>
      </c>
      <c r="AH674" s="33">
        <f t="shared" si="103"/>
        <v>3980</v>
      </c>
      <c r="AI674" s="6">
        <f>1-AB674/AH674</f>
        <v>0.4404522613065327</v>
      </c>
      <c r="AJ674" s="7">
        <v>3182</v>
      </c>
      <c r="AK674" s="6">
        <f>1-AB674/AJ674</f>
        <v>0.30012570710245123</v>
      </c>
      <c r="AL674" s="4">
        <f>AJ674-AB674</f>
        <v>955</v>
      </c>
      <c r="AM674" s="28"/>
      <c r="AN674" s="6"/>
      <c r="AO674" s="6"/>
      <c r="AP674" s="6">
        <f>Z674/L674</f>
        <v>0.79949748743718596</v>
      </c>
      <c r="AQ674" s="6">
        <f>AJ674/M674</f>
        <v>0.84179894179894177</v>
      </c>
      <c r="AR674" s="6">
        <f>AB674/N674</f>
        <v>1</v>
      </c>
      <c r="AS674" s="4"/>
      <c r="AT674" s="4"/>
      <c r="AU674" s="4"/>
      <c r="AV674" s="4"/>
      <c r="AW674" s="4"/>
      <c r="AX674" s="4"/>
      <c r="AY674" s="4"/>
      <c r="AZ674" s="4"/>
      <c r="BA674" s="4"/>
      <c r="BB674" s="4">
        <v>0</v>
      </c>
      <c r="BC674" s="4" t="s">
        <v>4149</v>
      </c>
      <c r="BD674" s="4"/>
      <c r="BE674" s="4"/>
      <c r="BF674" s="4" t="s">
        <v>3538</v>
      </c>
      <c r="BG674" s="4">
        <v>3980</v>
      </c>
      <c r="BH674" s="4">
        <v>3980</v>
      </c>
      <c r="BI674" s="4">
        <f t="shared" si="111"/>
        <v>3980</v>
      </c>
      <c r="BJ674" s="19">
        <v>2</v>
      </c>
      <c r="BK674" s="19">
        <v>8</v>
      </c>
      <c r="BL674" s="16">
        <v>6</v>
      </c>
      <c r="BM674" s="45" t="s">
        <v>3534</v>
      </c>
      <c r="BN674" t="s">
        <v>3534</v>
      </c>
      <c r="BO674" t="str">
        <f t="shared" si="104"/>
        <v>-</v>
      </c>
      <c r="BP674" t="s">
        <v>3534</v>
      </c>
      <c r="BQ674">
        <v>3781</v>
      </c>
      <c r="BR674">
        <f t="shared" si="105"/>
        <v>3781</v>
      </c>
      <c r="BS674" t="s">
        <v>3033</v>
      </c>
    </row>
    <row r="675" spans="1:71" x14ac:dyDescent="0.4">
      <c r="A675" s="3">
        <v>672</v>
      </c>
      <c r="B675" s="3">
        <v>672</v>
      </c>
      <c r="C675" s="4" t="s">
        <v>734</v>
      </c>
      <c r="D675" s="4" t="str">
        <f t="shared" si="106"/>
        <v>J6540P</v>
      </c>
      <c r="E675" s="4" t="s">
        <v>734</v>
      </c>
      <c r="F675" s="4" t="s">
        <v>1952</v>
      </c>
      <c r="G675" s="5">
        <v>4521718010335</v>
      </c>
      <c r="H675" s="5"/>
      <c r="I675" s="5"/>
      <c r="J675" s="5">
        <v>1</v>
      </c>
      <c r="K675" s="5">
        <v>1</v>
      </c>
      <c r="L675" s="4">
        <v>820</v>
      </c>
      <c r="M675" s="4">
        <v>535</v>
      </c>
      <c r="N675" s="4">
        <v>367</v>
      </c>
      <c r="O675" s="6">
        <f t="shared" si="107"/>
        <v>0.31401869158878504</v>
      </c>
      <c r="P675" s="4" t="s">
        <v>2500</v>
      </c>
      <c r="Q675" s="4"/>
      <c r="R675" s="4"/>
      <c r="S675" s="4"/>
      <c r="T675" s="4"/>
      <c r="U675" s="4"/>
      <c r="V675" s="4"/>
      <c r="W675" s="4"/>
      <c r="X675" s="4"/>
      <c r="Y675" s="4">
        <v>591</v>
      </c>
      <c r="Z675" s="4">
        <f t="shared" si="108"/>
        <v>591</v>
      </c>
      <c r="AA675" s="4">
        <v>384</v>
      </c>
      <c r="AB675" s="4">
        <f t="shared" si="109"/>
        <v>384</v>
      </c>
      <c r="AC675" s="4"/>
      <c r="AD675" s="21">
        <f>ROUND(M675*AR675,0)</f>
        <v>560</v>
      </c>
      <c r="AE675" s="6">
        <f>1-AB675/AD675</f>
        <v>0.31428571428571428</v>
      </c>
      <c r="AF675" s="33">
        <v>0</v>
      </c>
      <c r="AG675" s="4">
        <f t="shared" si="110"/>
        <v>820</v>
      </c>
      <c r="AH675" s="33">
        <f t="shared" si="103"/>
        <v>857.98365122615792</v>
      </c>
      <c r="AI675" s="6">
        <f>1-AB675/AH675</f>
        <v>0.55243902439024384</v>
      </c>
      <c r="AJ675" s="7">
        <f>ROUND(AB675/0.65,0)</f>
        <v>591</v>
      </c>
      <c r="AK675" s="6">
        <f>1-AB675/AJ675</f>
        <v>0.35025380710659904</v>
      </c>
      <c r="AL675" s="4">
        <f>AJ675-AB675</f>
        <v>207</v>
      </c>
      <c r="AM675" s="28"/>
      <c r="AN675" s="6"/>
      <c r="AO675" s="6"/>
      <c r="AP675" s="6">
        <f>Z675/L675</f>
        <v>0.72073170731707314</v>
      </c>
      <c r="AQ675" s="6">
        <f>AJ675/M675</f>
        <v>1.1046728971962616</v>
      </c>
      <c r="AR675" s="6">
        <f>AB675/N675</f>
        <v>1.0463215258855585</v>
      </c>
      <c r="AS675" s="4"/>
      <c r="AT675" s="4"/>
      <c r="AU675" s="4"/>
      <c r="AV675" s="4"/>
      <c r="AW675" s="4"/>
      <c r="AX675" s="4"/>
      <c r="AY675" s="4"/>
      <c r="AZ675" s="4"/>
      <c r="BA675" s="4"/>
      <c r="BB675" s="4">
        <v>0</v>
      </c>
      <c r="BC675" s="4" t="s">
        <v>4150</v>
      </c>
      <c r="BD675" s="4">
        <v>1</v>
      </c>
      <c r="BE675" s="4">
        <v>2</v>
      </c>
      <c r="BF675" s="4" t="s">
        <v>3640</v>
      </c>
      <c r="BG675" s="4">
        <v>1640</v>
      </c>
      <c r="BH675" s="4">
        <v>1640</v>
      </c>
      <c r="BI675" s="4">
        <f t="shared" si="111"/>
        <v>820</v>
      </c>
      <c r="BJ675" s="19">
        <v>4</v>
      </c>
      <c r="BK675" s="19">
        <v>8</v>
      </c>
      <c r="BL675" s="16">
        <v>6</v>
      </c>
      <c r="BM675" s="45" t="s">
        <v>3534</v>
      </c>
      <c r="BN675" t="s">
        <v>3534</v>
      </c>
      <c r="BO675" t="str">
        <f t="shared" si="104"/>
        <v>-</v>
      </c>
      <c r="BP675">
        <v>566</v>
      </c>
      <c r="BQ675">
        <v>566</v>
      </c>
      <c r="BR675">
        <f t="shared" si="105"/>
        <v>592.21798365122606</v>
      </c>
      <c r="BS675" t="s">
        <v>3034</v>
      </c>
    </row>
    <row r="676" spans="1:71" x14ac:dyDescent="0.4">
      <c r="A676" s="3">
        <v>673</v>
      </c>
      <c r="B676" s="3">
        <v>673</v>
      </c>
      <c r="C676" s="4" t="s">
        <v>735</v>
      </c>
      <c r="D676" s="4" t="str">
        <f t="shared" si="106"/>
        <v>J6543P</v>
      </c>
      <c r="E676" s="4" t="s">
        <v>735</v>
      </c>
      <c r="F676" s="4" t="s">
        <v>1953</v>
      </c>
      <c r="G676" s="5">
        <v>4521718010700</v>
      </c>
      <c r="H676" s="5"/>
      <c r="I676" s="5"/>
      <c r="J676" s="5">
        <v>1</v>
      </c>
      <c r="K676" s="5">
        <v>1</v>
      </c>
      <c r="L676" s="4">
        <v>660</v>
      </c>
      <c r="M676" s="4">
        <v>430</v>
      </c>
      <c r="N676" s="4">
        <v>296</v>
      </c>
      <c r="O676" s="6">
        <f t="shared" si="107"/>
        <v>0.31162790697674414</v>
      </c>
      <c r="P676" s="4" t="s">
        <v>2500</v>
      </c>
      <c r="Q676" s="4"/>
      <c r="R676" s="4"/>
      <c r="S676" s="4"/>
      <c r="T676" s="4"/>
      <c r="U676" s="4"/>
      <c r="V676" s="4"/>
      <c r="W676" s="4"/>
      <c r="X676" s="4"/>
      <c r="Y676" s="4">
        <v>455</v>
      </c>
      <c r="Z676" s="4">
        <f t="shared" si="108"/>
        <v>455</v>
      </c>
      <c r="AA676" s="4">
        <v>296</v>
      </c>
      <c r="AB676" s="4">
        <f t="shared" si="109"/>
        <v>296</v>
      </c>
      <c r="AC676" s="4"/>
      <c r="AD676" s="21">
        <f>ROUND(M676*AR676,0)</f>
        <v>430</v>
      </c>
      <c r="AE676" s="6">
        <f>1-AB676/AD676</f>
        <v>0.31162790697674414</v>
      </c>
      <c r="AF676" s="33">
        <v>0</v>
      </c>
      <c r="AG676" s="4">
        <f t="shared" si="110"/>
        <v>660</v>
      </c>
      <c r="AH676" s="33">
        <f t="shared" si="103"/>
        <v>660</v>
      </c>
      <c r="AI676" s="6">
        <f>1-AB676/AH676</f>
        <v>0.55151515151515151</v>
      </c>
      <c r="AJ676" s="7">
        <v>455</v>
      </c>
      <c r="AK676" s="6">
        <f>1-AB676/AJ676</f>
        <v>0.34945054945054943</v>
      </c>
      <c r="AL676" s="4">
        <f>AJ676-AB676</f>
        <v>159</v>
      </c>
      <c r="AM676" s="28"/>
      <c r="AN676" s="6"/>
      <c r="AO676" s="6"/>
      <c r="AP676" s="6">
        <f>Z676/L676</f>
        <v>0.68939393939393945</v>
      </c>
      <c r="AQ676" s="6">
        <f>AJ676/M676</f>
        <v>1.058139534883721</v>
      </c>
      <c r="AR676" s="6">
        <f>AB676/N676</f>
        <v>1</v>
      </c>
      <c r="AS676" s="4"/>
      <c r="AT676" s="4"/>
      <c r="AU676" s="4"/>
      <c r="AV676" s="4"/>
      <c r="AW676" s="4"/>
      <c r="AX676" s="4"/>
      <c r="AY676" s="4"/>
      <c r="AZ676" s="4"/>
      <c r="BA676" s="4"/>
      <c r="BB676" s="4">
        <v>0</v>
      </c>
      <c r="BC676" s="4" t="s">
        <v>4151</v>
      </c>
      <c r="BD676" s="4">
        <v>1</v>
      </c>
      <c r="BE676" s="4">
        <v>5</v>
      </c>
      <c r="BF676" s="4" t="s">
        <v>3746</v>
      </c>
      <c r="BG676" s="4">
        <v>3300</v>
      </c>
      <c r="BH676" s="4">
        <v>3300</v>
      </c>
      <c r="BI676" s="4">
        <f t="shared" si="111"/>
        <v>660</v>
      </c>
      <c r="BJ676" s="19">
        <v>4</v>
      </c>
      <c r="BK676" s="19">
        <v>8</v>
      </c>
      <c r="BL676" s="16">
        <v>6</v>
      </c>
      <c r="BM676" s="45" t="s">
        <v>3534</v>
      </c>
      <c r="BN676" t="s">
        <v>3534</v>
      </c>
      <c r="BO676" t="str">
        <f t="shared" si="104"/>
        <v>-</v>
      </c>
      <c r="BP676">
        <v>560</v>
      </c>
      <c r="BQ676">
        <v>560</v>
      </c>
      <c r="BR676">
        <f t="shared" si="105"/>
        <v>560</v>
      </c>
      <c r="BS676" t="s">
        <v>3035</v>
      </c>
    </row>
    <row r="677" spans="1:71" x14ac:dyDescent="0.4">
      <c r="A677" s="3">
        <v>674</v>
      </c>
      <c r="B677" s="3">
        <v>674</v>
      </c>
      <c r="C677" s="4" t="s">
        <v>736</v>
      </c>
      <c r="D677" s="4" t="str">
        <f t="shared" si="106"/>
        <v>J6544P</v>
      </c>
      <c r="E677" s="4" t="s">
        <v>736</v>
      </c>
      <c r="F677" s="4" t="s">
        <v>1954</v>
      </c>
      <c r="G677" s="5">
        <v>4521718017617</v>
      </c>
      <c r="H677" s="5"/>
      <c r="I677" s="5"/>
      <c r="J677" s="5">
        <v>1</v>
      </c>
      <c r="K677" s="5">
        <v>1</v>
      </c>
      <c r="L677" s="4">
        <v>320</v>
      </c>
      <c r="M677" s="4">
        <v>207</v>
      </c>
      <c r="N677" s="4">
        <v>142</v>
      </c>
      <c r="O677" s="6">
        <f t="shared" si="107"/>
        <v>0.31400966183574874</v>
      </c>
      <c r="P677" s="4" t="s">
        <v>2500</v>
      </c>
      <c r="Q677" s="4"/>
      <c r="R677" s="4"/>
      <c r="S677" s="4"/>
      <c r="T677" s="4"/>
      <c r="U677" s="4"/>
      <c r="V677" s="4"/>
      <c r="W677" s="4"/>
      <c r="X677" s="4"/>
      <c r="Y677" s="4">
        <v>219</v>
      </c>
      <c r="Z677" s="4">
        <f t="shared" si="108"/>
        <v>219</v>
      </c>
      <c r="AA677" s="4">
        <v>142</v>
      </c>
      <c r="AB677" s="4">
        <f t="shared" si="109"/>
        <v>142</v>
      </c>
      <c r="AC677" s="4"/>
      <c r="AD677" s="21">
        <f>ROUND(M677*AR677,0)</f>
        <v>207</v>
      </c>
      <c r="AE677" s="6">
        <f>1-AB677/AD677</f>
        <v>0.31400966183574874</v>
      </c>
      <c r="AF677" s="33">
        <v>0</v>
      </c>
      <c r="AG677" s="4">
        <f t="shared" si="110"/>
        <v>213.70000000000002</v>
      </c>
      <c r="AH677" s="33">
        <f t="shared" si="103"/>
        <v>213.70000000000002</v>
      </c>
      <c r="AI677" s="6">
        <f>1-AB677/AH677</f>
        <v>0.33551708001871783</v>
      </c>
      <c r="AJ677" s="7">
        <v>213</v>
      </c>
      <c r="AK677" s="6">
        <f>1-AB677/AJ677</f>
        <v>0.33333333333333337</v>
      </c>
      <c r="AL677" s="4">
        <f>AJ677-AB677</f>
        <v>71</v>
      </c>
      <c r="AM677" s="28"/>
      <c r="AN677" s="6"/>
      <c r="AO677" s="6"/>
      <c r="AP677" s="6">
        <f>Z677/L677</f>
        <v>0.68437499999999996</v>
      </c>
      <c r="AQ677" s="6">
        <f>AJ677/M677</f>
        <v>1.0289855072463767</v>
      </c>
      <c r="AR677" s="6">
        <f>AB677/N677</f>
        <v>1</v>
      </c>
      <c r="AS677" s="4"/>
      <c r="AT677" s="4"/>
      <c r="AU677" s="4"/>
      <c r="AV677" s="4"/>
      <c r="AW677" s="4"/>
      <c r="AX677" s="4"/>
      <c r="AY677" s="4"/>
      <c r="AZ677" s="4"/>
      <c r="BA677" s="4"/>
      <c r="BB677" s="4">
        <v>0</v>
      </c>
      <c r="BC677" s="4" t="s">
        <v>4152</v>
      </c>
      <c r="BD677" s="4">
        <v>1</v>
      </c>
      <c r="BE677" s="4">
        <v>10</v>
      </c>
      <c r="BF677" s="4" t="s">
        <v>4032</v>
      </c>
      <c r="BG677" s="4">
        <v>2137</v>
      </c>
      <c r="BH677" s="4">
        <v>2137</v>
      </c>
      <c r="BI677" s="4">
        <f t="shared" si="111"/>
        <v>213.70000000000002</v>
      </c>
      <c r="BJ677" s="19">
        <v>4</v>
      </c>
      <c r="BK677" s="19">
        <v>8</v>
      </c>
      <c r="BL677" s="16">
        <v>6</v>
      </c>
      <c r="BM677" s="45" t="s">
        <v>3534</v>
      </c>
      <c r="BN677" t="s">
        <v>3534</v>
      </c>
      <c r="BO677" t="str">
        <f t="shared" si="104"/>
        <v>-</v>
      </c>
      <c r="BP677" t="s">
        <v>3534</v>
      </c>
      <c r="BQ677">
        <v>239</v>
      </c>
      <c r="BR677">
        <f t="shared" si="105"/>
        <v>239</v>
      </c>
      <c r="BS677" t="s">
        <v>3036</v>
      </c>
    </row>
    <row r="678" spans="1:71" x14ac:dyDescent="0.4">
      <c r="A678" s="3">
        <v>675</v>
      </c>
      <c r="B678" s="3">
        <v>675</v>
      </c>
      <c r="C678" s="4" t="s">
        <v>737</v>
      </c>
      <c r="D678" s="4" t="str">
        <f t="shared" si="106"/>
        <v>J6546P</v>
      </c>
      <c r="E678" s="4" t="s">
        <v>737</v>
      </c>
      <c r="F678" s="4" t="s">
        <v>1955</v>
      </c>
      <c r="G678" s="5">
        <v>4521718024356</v>
      </c>
      <c r="H678" s="5"/>
      <c r="I678" s="5"/>
      <c r="J678" s="5">
        <v>1</v>
      </c>
      <c r="K678" s="5">
        <v>1</v>
      </c>
      <c r="L678" s="4">
        <v>580</v>
      </c>
      <c r="M678" s="4">
        <v>471</v>
      </c>
      <c r="N678" s="4">
        <v>302</v>
      </c>
      <c r="O678" s="6">
        <f t="shared" si="107"/>
        <v>0.35881104033970279</v>
      </c>
      <c r="P678" s="4" t="s">
        <v>2500</v>
      </c>
      <c r="Q678" s="4"/>
      <c r="R678" s="4"/>
      <c r="S678" s="4"/>
      <c r="T678" s="4"/>
      <c r="U678" s="4"/>
      <c r="V678" s="4"/>
      <c r="W678" s="4"/>
      <c r="X678" s="4"/>
      <c r="Y678" s="4">
        <v>446</v>
      </c>
      <c r="Z678" s="4">
        <f t="shared" si="108"/>
        <v>446</v>
      </c>
      <c r="AA678" s="4">
        <v>290</v>
      </c>
      <c r="AB678" s="4">
        <f t="shared" si="109"/>
        <v>290</v>
      </c>
      <c r="AC678" s="4"/>
      <c r="AD678" s="21">
        <f>ROUND(M678*AR678,0)</f>
        <v>452</v>
      </c>
      <c r="AE678" s="6">
        <f>1-AB678/AD678</f>
        <v>0.3584070796460177</v>
      </c>
      <c r="AF678" s="33">
        <v>0.25</v>
      </c>
      <c r="AG678" s="4">
        <f t="shared" si="110"/>
        <v>622.33333333333326</v>
      </c>
      <c r="AH678" s="33">
        <f t="shared" si="103"/>
        <v>597.60485651214117</v>
      </c>
      <c r="AI678" s="6">
        <f>1-AB678/AH678</f>
        <v>0.51472951258703792</v>
      </c>
      <c r="AJ678" s="7">
        <v>446</v>
      </c>
      <c r="AK678" s="6">
        <f>1-AB678/AJ678</f>
        <v>0.34977578475336324</v>
      </c>
      <c r="AL678" s="4">
        <f>AJ678-AB678</f>
        <v>156</v>
      </c>
      <c r="AM678" s="28"/>
      <c r="AN678" s="6"/>
      <c r="AO678" s="6"/>
      <c r="AP678" s="6">
        <f>Z678/L678</f>
        <v>0.76896551724137929</v>
      </c>
      <c r="AQ678" s="6">
        <f>AJ678/M678</f>
        <v>0.94692144373673037</v>
      </c>
      <c r="AR678" s="6">
        <f>AB678/N678</f>
        <v>0.96026490066225167</v>
      </c>
      <c r="AS678" s="4"/>
      <c r="AT678" s="4"/>
      <c r="AU678" s="4"/>
      <c r="AV678" s="4"/>
      <c r="AW678" s="4"/>
      <c r="AX678" s="4"/>
      <c r="AY678" s="4"/>
      <c r="AZ678" s="4"/>
      <c r="BA678" s="4"/>
      <c r="BB678" s="4">
        <v>0</v>
      </c>
      <c r="BC678" s="4" t="s">
        <v>4153</v>
      </c>
      <c r="BD678" s="4">
        <v>1</v>
      </c>
      <c r="BE678" s="4">
        <v>3</v>
      </c>
      <c r="BF678" s="4" t="s">
        <v>3638</v>
      </c>
      <c r="BG678" s="4">
        <v>1867</v>
      </c>
      <c r="BH678" s="4">
        <v>1867</v>
      </c>
      <c r="BI678" s="4">
        <f t="shared" si="111"/>
        <v>622.33333333333326</v>
      </c>
      <c r="BJ678" s="19">
        <v>4</v>
      </c>
      <c r="BK678" s="19">
        <v>8</v>
      </c>
      <c r="BL678" s="16">
        <v>6</v>
      </c>
      <c r="BM678" s="45" t="s">
        <v>3534</v>
      </c>
      <c r="BN678" t="s">
        <v>3534</v>
      </c>
      <c r="BO678" t="str">
        <f t="shared" si="104"/>
        <v>-</v>
      </c>
      <c r="BP678" t="s">
        <v>3534</v>
      </c>
      <c r="BQ678">
        <v>465</v>
      </c>
      <c r="BR678">
        <f t="shared" si="105"/>
        <v>446.52317880794703</v>
      </c>
      <c r="BS678" t="s">
        <v>3037</v>
      </c>
    </row>
    <row r="679" spans="1:71" x14ac:dyDescent="0.4">
      <c r="A679" s="3">
        <v>676</v>
      </c>
      <c r="B679" s="3">
        <v>676</v>
      </c>
      <c r="C679" s="4" t="s">
        <v>738</v>
      </c>
      <c r="D679" s="4" t="str">
        <f t="shared" si="106"/>
        <v>J6547P</v>
      </c>
      <c r="E679" s="4" t="s">
        <v>738</v>
      </c>
      <c r="F679" s="4" t="s">
        <v>1956</v>
      </c>
      <c r="G679" s="5">
        <v>4521718024615</v>
      </c>
      <c r="H679" s="5"/>
      <c r="I679" s="5"/>
      <c r="J679" s="5">
        <v>1</v>
      </c>
      <c r="K679" s="5">
        <v>1</v>
      </c>
      <c r="L679" s="4">
        <v>250</v>
      </c>
      <c r="M679" s="4">
        <v>174</v>
      </c>
      <c r="N679" s="4">
        <v>112</v>
      </c>
      <c r="O679" s="6">
        <f t="shared" si="107"/>
        <v>0.35632183908045978</v>
      </c>
      <c r="P679" s="4" t="s">
        <v>2500</v>
      </c>
      <c r="Q679" s="4"/>
      <c r="R679" s="4"/>
      <c r="S679" s="4"/>
      <c r="T679" s="4"/>
      <c r="U679" s="4"/>
      <c r="V679" s="4"/>
      <c r="W679" s="4"/>
      <c r="X679" s="4"/>
      <c r="Y679" s="4">
        <v>173</v>
      </c>
      <c r="Z679" s="4">
        <f t="shared" si="108"/>
        <v>173</v>
      </c>
      <c r="AA679" s="4">
        <v>112</v>
      </c>
      <c r="AB679" s="4">
        <f t="shared" si="109"/>
        <v>112</v>
      </c>
      <c r="AC679" s="4"/>
      <c r="AD679" s="21">
        <f>ROUND(M679*AR679,0)</f>
        <v>174</v>
      </c>
      <c r="AE679" s="6">
        <f>1-AB679/AD679</f>
        <v>0.35632183908045978</v>
      </c>
      <c r="AF679" s="33">
        <v>18.5</v>
      </c>
      <c r="AG679" s="4">
        <f t="shared" si="110"/>
        <v>181</v>
      </c>
      <c r="AH679" s="33">
        <f t="shared" si="103"/>
        <v>181</v>
      </c>
      <c r="AI679" s="6">
        <f>1-AB679/AH679</f>
        <v>0.38121546961325969</v>
      </c>
      <c r="AJ679" s="7">
        <f>ROUND(AB679/0.65,0)</f>
        <v>172</v>
      </c>
      <c r="AK679" s="6">
        <f>1-AB679/AJ679</f>
        <v>0.34883720930232553</v>
      </c>
      <c r="AL679" s="4">
        <f>AJ679-AB679</f>
        <v>60</v>
      </c>
      <c r="AM679" s="28"/>
      <c r="AN679" s="6"/>
      <c r="AO679" s="6"/>
      <c r="AP679" s="6">
        <f>Z679/L679</f>
        <v>0.69199999999999995</v>
      </c>
      <c r="AQ679" s="6">
        <f>AJ679/M679</f>
        <v>0.9885057471264368</v>
      </c>
      <c r="AR679" s="6">
        <f>AB679/N679</f>
        <v>1</v>
      </c>
      <c r="AS679" s="4"/>
      <c r="AT679" s="4"/>
      <c r="AU679" s="4"/>
      <c r="AV679" s="4"/>
      <c r="AW679" s="4"/>
      <c r="AX679" s="4"/>
      <c r="AY679" s="4"/>
      <c r="AZ679" s="4"/>
      <c r="BA679" s="4"/>
      <c r="BB679" s="4">
        <v>0</v>
      </c>
      <c r="BC679" s="4" t="s">
        <v>4154</v>
      </c>
      <c r="BD679" s="4"/>
      <c r="BE679" s="4"/>
      <c r="BF679" s="4" t="s">
        <v>3545</v>
      </c>
      <c r="BG679" s="4">
        <v>181</v>
      </c>
      <c r="BH679" s="4">
        <v>181</v>
      </c>
      <c r="BI679" s="4">
        <f t="shared" si="111"/>
        <v>181</v>
      </c>
      <c r="BJ679" s="19">
        <v>4</v>
      </c>
      <c r="BK679" s="19">
        <v>8</v>
      </c>
      <c r="BL679" s="16">
        <v>6</v>
      </c>
      <c r="BM679" s="45" t="s">
        <v>3534</v>
      </c>
      <c r="BN679" t="s">
        <v>3534</v>
      </c>
      <c r="BO679" t="str">
        <f t="shared" si="104"/>
        <v>-</v>
      </c>
      <c r="BP679" t="s">
        <v>3534</v>
      </c>
      <c r="BQ679">
        <v>172</v>
      </c>
      <c r="BR679">
        <f t="shared" si="105"/>
        <v>172</v>
      </c>
      <c r="BS679" t="s">
        <v>3038</v>
      </c>
    </row>
    <row r="680" spans="1:71" x14ac:dyDescent="0.4">
      <c r="A680" s="3">
        <v>677</v>
      </c>
      <c r="B680" s="3">
        <v>677</v>
      </c>
      <c r="C680" s="4" t="s">
        <v>739</v>
      </c>
      <c r="D680" s="4" t="str">
        <f t="shared" si="106"/>
        <v>J6548P</v>
      </c>
      <c r="E680" s="4" t="s">
        <v>739</v>
      </c>
      <c r="F680" s="4" t="s">
        <v>1957</v>
      </c>
      <c r="G680" s="5">
        <v>4521718026497</v>
      </c>
      <c r="H680" s="5"/>
      <c r="I680" s="5"/>
      <c r="J680" s="5">
        <v>1</v>
      </c>
      <c r="K680" s="5">
        <v>1</v>
      </c>
      <c r="L680" s="4">
        <v>790</v>
      </c>
      <c r="M680" s="4">
        <v>555</v>
      </c>
      <c r="N680" s="4">
        <v>355</v>
      </c>
      <c r="O680" s="6">
        <f t="shared" si="107"/>
        <v>0.36036036036036034</v>
      </c>
      <c r="P680" s="4" t="s">
        <v>2500</v>
      </c>
      <c r="Q680" s="4"/>
      <c r="R680" s="4"/>
      <c r="S680" s="4"/>
      <c r="T680" s="4"/>
      <c r="U680" s="4"/>
      <c r="V680" s="4"/>
      <c r="W680" s="4"/>
      <c r="X680" s="4"/>
      <c r="Y680" s="4">
        <v>546</v>
      </c>
      <c r="Z680" s="4">
        <f t="shared" si="108"/>
        <v>546</v>
      </c>
      <c r="AA680" s="4">
        <v>355</v>
      </c>
      <c r="AB680" s="4">
        <f t="shared" si="109"/>
        <v>355</v>
      </c>
      <c r="AC680" s="4"/>
      <c r="AD680" s="21">
        <f>ROUND(M680*AR680,0)</f>
        <v>555</v>
      </c>
      <c r="AE680" s="6">
        <f>1-AB680/AD680</f>
        <v>0.36036036036036034</v>
      </c>
      <c r="AF680" s="33">
        <v>1.25</v>
      </c>
      <c r="AG680" s="4">
        <f t="shared" si="110"/>
        <v>700</v>
      </c>
      <c r="AH680" s="33">
        <f t="shared" si="103"/>
        <v>700</v>
      </c>
      <c r="AI680" s="6">
        <f>1-AB680/AH680</f>
        <v>0.49285714285714288</v>
      </c>
      <c r="AJ680" s="7">
        <v>546</v>
      </c>
      <c r="AK680" s="6">
        <f>1-AB680/AJ680</f>
        <v>0.3498168498168498</v>
      </c>
      <c r="AL680" s="4">
        <f>AJ680-AB680</f>
        <v>191</v>
      </c>
      <c r="AM680" s="28"/>
      <c r="AN680" s="6"/>
      <c r="AO680" s="6"/>
      <c r="AP680" s="6">
        <f>Z680/L680</f>
        <v>0.69113924050632913</v>
      </c>
      <c r="AQ680" s="6">
        <f>AJ680/M680</f>
        <v>0.98378378378378384</v>
      </c>
      <c r="AR680" s="6">
        <f>AB680/N680</f>
        <v>1</v>
      </c>
      <c r="AS680" s="4"/>
      <c r="AT680" s="4"/>
      <c r="AU680" s="4"/>
      <c r="AV680" s="4"/>
      <c r="AW680" s="4"/>
      <c r="AX680" s="4"/>
      <c r="AY680" s="4"/>
      <c r="AZ680" s="4"/>
      <c r="BA680" s="4"/>
      <c r="BB680" s="4">
        <v>0</v>
      </c>
      <c r="BC680" s="4" t="s">
        <v>4155</v>
      </c>
      <c r="BD680" s="4">
        <v>1</v>
      </c>
      <c r="BE680" s="4">
        <v>2</v>
      </c>
      <c r="BF680" s="4" t="s">
        <v>4156</v>
      </c>
      <c r="BG680" s="4">
        <v>1400</v>
      </c>
      <c r="BH680" s="4">
        <v>1400</v>
      </c>
      <c r="BI680" s="4">
        <f t="shared" si="111"/>
        <v>700</v>
      </c>
      <c r="BJ680" s="19">
        <v>4</v>
      </c>
      <c r="BK680" s="19">
        <v>8</v>
      </c>
      <c r="BL680" s="16">
        <v>6</v>
      </c>
      <c r="BM680" s="45" t="s">
        <v>3534</v>
      </c>
      <c r="BN680" t="s">
        <v>3534</v>
      </c>
      <c r="BO680" t="str">
        <f t="shared" si="104"/>
        <v>-</v>
      </c>
      <c r="BP680">
        <v>790</v>
      </c>
      <c r="BQ680">
        <v>790</v>
      </c>
      <c r="BR680">
        <f t="shared" si="105"/>
        <v>790</v>
      </c>
      <c r="BS680" t="s">
        <v>3039</v>
      </c>
    </row>
    <row r="681" spans="1:71" x14ac:dyDescent="0.4">
      <c r="A681" s="42">
        <v>678</v>
      </c>
      <c r="B681" s="3">
        <v>678</v>
      </c>
      <c r="C681" s="4" t="s">
        <v>740</v>
      </c>
      <c r="D681" s="4" t="str">
        <f t="shared" si="106"/>
        <v>J654WG</v>
      </c>
      <c r="E681" s="4" t="s">
        <v>740</v>
      </c>
      <c r="F681" s="4" t="s">
        <v>1958</v>
      </c>
      <c r="G681" s="5">
        <v>4521718184197</v>
      </c>
      <c r="H681" s="5"/>
      <c r="I681" s="5"/>
      <c r="J681" s="5">
        <v>1</v>
      </c>
      <c r="K681" s="5">
        <v>1</v>
      </c>
      <c r="L681" s="4">
        <v>3980</v>
      </c>
      <c r="M681" s="4">
        <v>3780</v>
      </c>
      <c r="N681" s="4">
        <v>2227</v>
      </c>
      <c r="O681" s="6">
        <f t="shared" si="107"/>
        <v>0.41084656084656079</v>
      </c>
      <c r="P681" s="4" t="s">
        <v>2500</v>
      </c>
      <c r="Q681" s="4"/>
      <c r="R681" s="4"/>
      <c r="S681" s="4"/>
      <c r="T681" s="4"/>
      <c r="U681" s="4"/>
      <c r="V681" s="4"/>
      <c r="W681" s="4"/>
      <c r="X681" s="4"/>
      <c r="Y681" s="4">
        <v>3182</v>
      </c>
      <c r="Z681" s="4">
        <f t="shared" si="108"/>
        <v>3182</v>
      </c>
      <c r="AA681" s="4">
        <v>2227</v>
      </c>
      <c r="AB681" s="4">
        <f t="shared" si="109"/>
        <v>2227</v>
      </c>
      <c r="AC681" s="4"/>
      <c r="AD681" s="21">
        <f>ROUND(M681*AR681,0)</f>
        <v>3780</v>
      </c>
      <c r="AE681" s="6">
        <f>1-AB681/AD681</f>
        <v>0.41084656084656079</v>
      </c>
      <c r="AF681" s="33">
        <v>0</v>
      </c>
      <c r="AG681" s="4">
        <f t="shared" si="110"/>
        <v>3980</v>
      </c>
      <c r="AH681" s="33">
        <f t="shared" si="103"/>
        <v>3980</v>
      </c>
      <c r="AI681" s="6">
        <f>1-AB681/AH681</f>
        <v>0.4404522613065327</v>
      </c>
      <c r="AJ681" s="7">
        <v>3182</v>
      </c>
      <c r="AK681" s="6">
        <f>1-AB681/AJ681</f>
        <v>0.30012570710245123</v>
      </c>
      <c r="AL681" s="4">
        <f>AJ681-AB681</f>
        <v>955</v>
      </c>
      <c r="AM681" s="28"/>
      <c r="AN681" s="6"/>
      <c r="AO681" s="6"/>
      <c r="AP681" s="6">
        <f>Z681/L681</f>
        <v>0.79949748743718596</v>
      </c>
      <c r="AQ681" s="6">
        <f>AJ681/M681</f>
        <v>0.84179894179894177</v>
      </c>
      <c r="AR681" s="6">
        <f>AB681/N681</f>
        <v>1</v>
      </c>
      <c r="AS681" s="4"/>
      <c r="AT681" s="4"/>
      <c r="AU681" s="4"/>
      <c r="AV681" s="4"/>
      <c r="AW681" s="4"/>
      <c r="AX681" s="4"/>
      <c r="AY681" s="4"/>
      <c r="AZ681" s="4"/>
      <c r="BA681" s="4"/>
      <c r="BB681" s="4">
        <v>0</v>
      </c>
      <c r="BC681" s="4" t="s">
        <v>4157</v>
      </c>
      <c r="BD681" s="4"/>
      <c r="BE681" s="4"/>
      <c r="BF681" s="4" t="s">
        <v>3538</v>
      </c>
      <c r="BG681" s="4">
        <v>3980</v>
      </c>
      <c r="BH681" s="4">
        <v>3980</v>
      </c>
      <c r="BI681" s="4">
        <f t="shared" si="111"/>
        <v>3980</v>
      </c>
      <c r="BJ681" s="19">
        <v>2</v>
      </c>
      <c r="BK681" s="19">
        <v>8</v>
      </c>
      <c r="BL681" s="16">
        <v>6</v>
      </c>
      <c r="BM681" s="45" t="s">
        <v>3534</v>
      </c>
      <c r="BN681" t="s">
        <v>3534</v>
      </c>
      <c r="BO681" t="str">
        <f t="shared" si="104"/>
        <v>-</v>
      </c>
      <c r="BP681" t="s">
        <v>3534</v>
      </c>
      <c r="BQ681">
        <v>3781</v>
      </c>
      <c r="BR681">
        <f t="shared" si="105"/>
        <v>3781</v>
      </c>
      <c r="BS681" t="s">
        <v>3040</v>
      </c>
    </row>
    <row r="682" spans="1:71" x14ac:dyDescent="0.4">
      <c r="A682" s="3">
        <v>679</v>
      </c>
      <c r="B682" s="3">
        <v>679</v>
      </c>
      <c r="C682" s="4" t="s">
        <v>741</v>
      </c>
      <c r="D682" s="4" t="str">
        <f t="shared" si="106"/>
        <v>J6550P</v>
      </c>
      <c r="E682" s="4" t="s">
        <v>741</v>
      </c>
      <c r="F682" s="4" t="s">
        <v>1959</v>
      </c>
      <c r="G682" s="5">
        <v>4901427258752</v>
      </c>
      <c r="H682" s="5"/>
      <c r="I682" s="5"/>
      <c r="J682" s="5">
        <v>1</v>
      </c>
      <c r="K682" s="5">
        <v>1</v>
      </c>
      <c r="L682" s="4">
        <v>273</v>
      </c>
      <c r="M682" s="4">
        <v>259</v>
      </c>
      <c r="N682" s="4">
        <v>191</v>
      </c>
      <c r="O682" s="6">
        <f t="shared" si="107"/>
        <v>0.26254826254826258</v>
      </c>
      <c r="P682" s="4" t="s">
        <v>2500</v>
      </c>
      <c r="Q682" s="4"/>
      <c r="R682" s="4"/>
      <c r="S682" s="4"/>
      <c r="T682" s="4"/>
      <c r="U682" s="4"/>
      <c r="V682" s="4"/>
      <c r="W682" s="4"/>
      <c r="X682" s="4"/>
      <c r="Y682" s="4">
        <v>273</v>
      </c>
      <c r="Z682" s="4">
        <f t="shared" si="108"/>
        <v>273</v>
      </c>
      <c r="AA682" s="4">
        <v>191</v>
      </c>
      <c r="AB682" s="4">
        <f t="shared" si="109"/>
        <v>191</v>
      </c>
      <c r="AC682" s="4"/>
      <c r="AD682" s="21">
        <f>ROUND(M682*AR682,0)</f>
        <v>259</v>
      </c>
      <c r="AE682" s="6">
        <f>1-AB682/AD682</f>
        <v>0.26254826254826258</v>
      </c>
      <c r="AF682" s="33">
        <v>0</v>
      </c>
      <c r="AG682" s="4" t="str">
        <f t="shared" si="110"/>
        <v>-</v>
      </c>
      <c r="AH682" s="33" t="e">
        <f t="shared" si="103"/>
        <v>#VALUE!</v>
      </c>
      <c r="AI682" s="6" t="e">
        <f>1-AB682/AH682</f>
        <v>#VALUE!</v>
      </c>
      <c r="AJ682" s="7">
        <v>273</v>
      </c>
      <c r="AK682" s="6">
        <f>1-AB682/AJ682</f>
        <v>0.30036630036630041</v>
      </c>
      <c r="AL682" s="4">
        <f>AJ682-AB682</f>
        <v>82</v>
      </c>
      <c r="AM682" s="28"/>
      <c r="AN682" s="6"/>
      <c r="AO682" s="6"/>
      <c r="AP682" s="6">
        <f>Z682/L682</f>
        <v>1</v>
      </c>
      <c r="AQ682" s="6">
        <f>AJ682/M682</f>
        <v>1.0540540540540539</v>
      </c>
      <c r="AR682" s="6">
        <f>AB682/N682</f>
        <v>1</v>
      </c>
      <c r="AS682" s="4"/>
      <c r="AT682" s="4"/>
      <c r="AU682" s="4"/>
      <c r="AV682" s="4"/>
      <c r="AW682" s="4"/>
      <c r="AX682" s="4"/>
      <c r="AY682" s="4"/>
      <c r="AZ682" s="4"/>
      <c r="BA682" s="4"/>
      <c r="BB682" s="4">
        <v>0</v>
      </c>
      <c r="BC682" s="4" t="s">
        <v>3534</v>
      </c>
      <c r="BD682" s="4"/>
      <c r="BE682" s="4"/>
      <c r="BF682" s="4" t="s">
        <v>3534</v>
      </c>
      <c r="BG682" s="4" t="s">
        <v>3534</v>
      </c>
      <c r="BH682" s="4" t="s">
        <v>3534</v>
      </c>
      <c r="BI682" s="4" t="str">
        <f t="shared" si="111"/>
        <v>-</v>
      </c>
      <c r="BJ682" s="19">
        <v>4</v>
      </c>
      <c r="BK682" s="19">
        <v>8</v>
      </c>
      <c r="BL682" s="16">
        <v>6</v>
      </c>
      <c r="BM682" s="45" t="s">
        <v>3534</v>
      </c>
      <c r="BN682" t="s">
        <v>3534</v>
      </c>
      <c r="BO682" t="str">
        <f t="shared" si="104"/>
        <v>-</v>
      </c>
      <c r="BP682" t="s">
        <v>3534</v>
      </c>
      <c r="BQ682">
        <v>273</v>
      </c>
      <c r="BR682">
        <f t="shared" si="105"/>
        <v>273</v>
      </c>
      <c r="BS682" t="s">
        <v>3534</v>
      </c>
    </row>
    <row r="683" spans="1:71" x14ac:dyDescent="0.4">
      <c r="A683" s="3">
        <v>680</v>
      </c>
      <c r="B683" s="3">
        <v>680</v>
      </c>
      <c r="C683" s="4" t="s">
        <v>742</v>
      </c>
      <c r="D683" s="4" t="str">
        <f t="shared" si="106"/>
        <v>J6551P</v>
      </c>
      <c r="E683" s="4" t="s">
        <v>742</v>
      </c>
      <c r="F683" s="4" t="s">
        <v>1960</v>
      </c>
      <c r="G683" s="5">
        <v>4902630011554</v>
      </c>
      <c r="H683" s="5"/>
      <c r="I683" s="5"/>
      <c r="J683" s="5">
        <v>1</v>
      </c>
      <c r="K683" s="5">
        <v>1</v>
      </c>
      <c r="L683" s="4">
        <v>691</v>
      </c>
      <c r="M683" s="4">
        <v>711</v>
      </c>
      <c r="N683" s="4">
        <v>484</v>
      </c>
      <c r="O683" s="6">
        <f t="shared" si="107"/>
        <v>0.31926863572433195</v>
      </c>
      <c r="P683" s="4" t="s">
        <v>2500</v>
      </c>
      <c r="Q683" s="4"/>
      <c r="R683" s="4"/>
      <c r="S683" s="4"/>
      <c r="T683" s="4"/>
      <c r="U683" s="4"/>
      <c r="V683" s="4"/>
      <c r="W683" s="4"/>
      <c r="X683" s="4"/>
      <c r="Y683" s="4">
        <v>691</v>
      </c>
      <c r="Z683" s="4">
        <f t="shared" si="108"/>
        <v>691</v>
      </c>
      <c r="AA683" s="4">
        <v>484</v>
      </c>
      <c r="AB683" s="4">
        <f t="shared" si="109"/>
        <v>484</v>
      </c>
      <c r="AC683" s="4"/>
      <c r="AD683" s="21">
        <f>ROUND(M683*AR683,0)</f>
        <v>711</v>
      </c>
      <c r="AE683" s="6">
        <f>1-AB683/AD683</f>
        <v>0.31926863572433195</v>
      </c>
      <c r="AF683" s="33">
        <v>0</v>
      </c>
      <c r="AG683" s="4">
        <f t="shared" si="110"/>
        <v>760</v>
      </c>
      <c r="AH683" s="33">
        <f t="shared" si="103"/>
        <v>760</v>
      </c>
      <c r="AI683" s="6">
        <f>1-AB683/AH683</f>
        <v>0.36315789473684212</v>
      </c>
      <c r="AJ683" s="7">
        <v>691</v>
      </c>
      <c r="AK683" s="6">
        <f>1-AB683/AJ683</f>
        <v>0.29956584659913166</v>
      </c>
      <c r="AL683" s="4">
        <f>AJ683-AB683</f>
        <v>207</v>
      </c>
      <c r="AM683" s="28"/>
      <c r="AN683" s="6"/>
      <c r="AO683" s="6"/>
      <c r="AP683" s="6">
        <f>Z683/L683</f>
        <v>1</v>
      </c>
      <c r="AQ683" s="6">
        <f>AJ683/M683</f>
        <v>0.97187060478199716</v>
      </c>
      <c r="AR683" s="6">
        <f>AB683/N683</f>
        <v>1</v>
      </c>
      <c r="AS683" s="4"/>
      <c r="AT683" s="4"/>
      <c r="AU683" s="4"/>
      <c r="AV683" s="4"/>
      <c r="AW683" s="4"/>
      <c r="AX683" s="4"/>
      <c r="AY683" s="4"/>
      <c r="AZ683" s="4"/>
      <c r="BA683" s="4"/>
      <c r="BB683" s="4">
        <v>0</v>
      </c>
      <c r="BC683" s="4" t="s">
        <v>4158</v>
      </c>
      <c r="BD683" s="4">
        <v>1</v>
      </c>
      <c r="BE683" s="4">
        <v>6</v>
      </c>
      <c r="BF683" s="4" t="s">
        <v>4159</v>
      </c>
      <c r="BG683" s="4">
        <v>4560</v>
      </c>
      <c r="BH683" s="4">
        <v>4560</v>
      </c>
      <c r="BI683" s="4">
        <f t="shared" si="111"/>
        <v>760</v>
      </c>
      <c r="BJ683" s="19">
        <v>4</v>
      </c>
      <c r="BK683" s="19">
        <v>8</v>
      </c>
      <c r="BL683" s="16">
        <v>6</v>
      </c>
      <c r="BM683" s="45" t="s">
        <v>3534</v>
      </c>
      <c r="BN683" t="s">
        <v>3534</v>
      </c>
      <c r="BO683" t="str">
        <f t="shared" si="104"/>
        <v>-</v>
      </c>
      <c r="BP683" t="s">
        <v>3534</v>
      </c>
      <c r="BQ683">
        <v>692</v>
      </c>
      <c r="BR683">
        <f t="shared" si="105"/>
        <v>692</v>
      </c>
      <c r="BS683" t="s">
        <v>3041</v>
      </c>
    </row>
    <row r="684" spans="1:71" x14ac:dyDescent="0.4">
      <c r="A684" s="3">
        <v>681</v>
      </c>
      <c r="B684" s="3">
        <v>681</v>
      </c>
      <c r="C684" s="4" t="s">
        <v>743</v>
      </c>
      <c r="D684" s="4" t="str">
        <f t="shared" si="106"/>
        <v>J6552P</v>
      </c>
      <c r="E684" s="4" t="s">
        <v>743</v>
      </c>
      <c r="F684" s="4" t="s">
        <v>1961</v>
      </c>
      <c r="G684" s="5">
        <v>4521718046136</v>
      </c>
      <c r="H684" s="5"/>
      <c r="I684" s="5"/>
      <c r="J684" s="5">
        <v>1</v>
      </c>
      <c r="K684" s="5">
        <v>1</v>
      </c>
      <c r="L684" s="4">
        <v>500</v>
      </c>
      <c r="M684" s="4">
        <v>330</v>
      </c>
      <c r="N684" s="4">
        <v>225</v>
      </c>
      <c r="O684" s="6">
        <f t="shared" si="107"/>
        <v>0.31818181818181823</v>
      </c>
      <c r="P684" s="4" t="s">
        <v>2500</v>
      </c>
      <c r="Q684" s="4"/>
      <c r="R684" s="4"/>
      <c r="S684" s="4"/>
      <c r="T684" s="4"/>
      <c r="U684" s="4"/>
      <c r="V684" s="4"/>
      <c r="W684" s="4"/>
      <c r="X684" s="4"/>
      <c r="Y684" s="4">
        <v>346</v>
      </c>
      <c r="Z684" s="4">
        <f t="shared" si="108"/>
        <v>346</v>
      </c>
      <c r="AA684" s="4">
        <v>225</v>
      </c>
      <c r="AB684" s="4">
        <f t="shared" si="109"/>
        <v>225</v>
      </c>
      <c r="AC684" s="4"/>
      <c r="AD684" s="21">
        <f>ROUND(M684*AR684,0)</f>
        <v>330</v>
      </c>
      <c r="AE684" s="6">
        <f>1-AB684/AD684</f>
        <v>0.31818181818181823</v>
      </c>
      <c r="AF684" s="33">
        <v>0</v>
      </c>
      <c r="AG684" s="4">
        <f t="shared" si="110"/>
        <v>490</v>
      </c>
      <c r="AH684" s="33">
        <f t="shared" si="103"/>
        <v>490</v>
      </c>
      <c r="AI684" s="6">
        <f>1-AB684/AH684</f>
        <v>0.54081632653061229</v>
      </c>
      <c r="AJ684" s="7">
        <v>346</v>
      </c>
      <c r="AK684" s="6">
        <f>1-AB684/AJ684</f>
        <v>0.3497109826589595</v>
      </c>
      <c r="AL684" s="4">
        <f>AJ684-AB684</f>
        <v>121</v>
      </c>
      <c r="AM684" s="28"/>
      <c r="AN684" s="6"/>
      <c r="AO684" s="6"/>
      <c r="AP684" s="6">
        <f>Z684/L684</f>
        <v>0.69199999999999995</v>
      </c>
      <c r="AQ684" s="6">
        <f>AJ684/M684</f>
        <v>1.0484848484848486</v>
      </c>
      <c r="AR684" s="6">
        <f>AB684/N684</f>
        <v>1</v>
      </c>
      <c r="AS684" s="4"/>
      <c r="AT684" s="4"/>
      <c r="AU684" s="4"/>
      <c r="AV684" s="4"/>
      <c r="AW684" s="4"/>
      <c r="AX684" s="4"/>
      <c r="AY684" s="4"/>
      <c r="AZ684" s="4"/>
      <c r="BA684" s="4"/>
      <c r="BB684" s="4">
        <v>0</v>
      </c>
      <c r="BC684" s="4" t="s">
        <v>4160</v>
      </c>
      <c r="BD684" s="4">
        <v>1</v>
      </c>
      <c r="BE684" s="4">
        <v>3</v>
      </c>
      <c r="BF684" s="4" t="s">
        <v>3638</v>
      </c>
      <c r="BG684" s="4">
        <v>1470</v>
      </c>
      <c r="BH684" s="4">
        <v>1470</v>
      </c>
      <c r="BI684" s="4">
        <f t="shared" si="111"/>
        <v>490</v>
      </c>
      <c r="BJ684" s="19">
        <v>4</v>
      </c>
      <c r="BK684" s="19">
        <v>8</v>
      </c>
      <c r="BL684" s="16">
        <v>6</v>
      </c>
      <c r="BM684" s="45" t="s">
        <v>3534</v>
      </c>
      <c r="BN684" t="s">
        <v>3534</v>
      </c>
      <c r="BO684" t="str">
        <f t="shared" si="104"/>
        <v>-</v>
      </c>
      <c r="BP684" t="s">
        <v>3534</v>
      </c>
      <c r="BQ684">
        <v>337</v>
      </c>
      <c r="BR684">
        <f t="shared" si="105"/>
        <v>337</v>
      </c>
      <c r="BS684" t="s">
        <v>3042</v>
      </c>
    </row>
    <row r="685" spans="1:71" x14ac:dyDescent="0.4">
      <c r="A685" s="3">
        <v>682</v>
      </c>
      <c r="B685" s="3">
        <v>682</v>
      </c>
      <c r="C685" s="4" t="s">
        <v>744</v>
      </c>
      <c r="D685" s="4" t="str">
        <f t="shared" si="106"/>
        <v>J6553P</v>
      </c>
      <c r="E685" s="4" t="s">
        <v>744</v>
      </c>
      <c r="F685" s="4" t="s">
        <v>1962</v>
      </c>
      <c r="G685" s="5">
        <v>4521718046143</v>
      </c>
      <c r="H685" s="5"/>
      <c r="I685" s="5"/>
      <c r="J685" s="5">
        <v>1</v>
      </c>
      <c r="K685" s="5">
        <v>1</v>
      </c>
      <c r="L685" s="4">
        <v>610</v>
      </c>
      <c r="M685" s="4">
        <v>401</v>
      </c>
      <c r="N685" s="4">
        <v>272</v>
      </c>
      <c r="O685" s="6">
        <f t="shared" si="107"/>
        <v>0.32169576059850369</v>
      </c>
      <c r="P685" s="4" t="s">
        <v>2500</v>
      </c>
      <c r="Q685" s="4"/>
      <c r="R685" s="4"/>
      <c r="S685" s="4"/>
      <c r="T685" s="4"/>
      <c r="U685" s="4"/>
      <c r="V685" s="4"/>
      <c r="W685" s="4"/>
      <c r="X685" s="4"/>
      <c r="Y685" s="4">
        <v>419</v>
      </c>
      <c r="Z685" s="4">
        <f t="shared" si="108"/>
        <v>419</v>
      </c>
      <c r="AA685" s="4">
        <v>272</v>
      </c>
      <c r="AB685" s="4">
        <f t="shared" si="109"/>
        <v>272</v>
      </c>
      <c r="AC685" s="4"/>
      <c r="AD685" s="21">
        <f>ROUND(M685*AR685,0)</f>
        <v>401</v>
      </c>
      <c r="AE685" s="6">
        <f>1-AB685/AD685</f>
        <v>0.32169576059850369</v>
      </c>
      <c r="AF685" s="33">
        <v>0</v>
      </c>
      <c r="AG685" s="4">
        <f t="shared" si="110"/>
        <v>580</v>
      </c>
      <c r="AH685" s="33">
        <f t="shared" si="103"/>
        <v>580</v>
      </c>
      <c r="AI685" s="6">
        <f>1-AB685/AH685</f>
        <v>0.53103448275862064</v>
      </c>
      <c r="AJ685" s="7">
        <f>ROUND(AB685/0.65,0)</f>
        <v>418</v>
      </c>
      <c r="AK685" s="6">
        <f>1-AB685/AJ685</f>
        <v>0.34928229665071775</v>
      </c>
      <c r="AL685" s="4">
        <f>AJ685-AB685</f>
        <v>146</v>
      </c>
      <c r="AM685" s="28"/>
      <c r="AN685" s="6"/>
      <c r="AO685" s="6"/>
      <c r="AP685" s="6">
        <f>Z685/L685</f>
        <v>0.68688524590163935</v>
      </c>
      <c r="AQ685" s="6">
        <f>AJ685/M685</f>
        <v>1.0423940149625934</v>
      </c>
      <c r="AR685" s="6">
        <f>AB685/N685</f>
        <v>1</v>
      </c>
      <c r="AS685" s="4"/>
      <c r="AT685" s="4"/>
      <c r="AU685" s="4"/>
      <c r="AV685" s="4"/>
      <c r="AW685" s="4"/>
      <c r="AX685" s="4"/>
      <c r="AY685" s="4"/>
      <c r="AZ685" s="4"/>
      <c r="BA685" s="4"/>
      <c r="BB685" s="4">
        <v>0</v>
      </c>
      <c r="BC685" s="4" t="s">
        <v>4161</v>
      </c>
      <c r="BD685" s="4">
        <v>1</v>
      </c>
      <c r="BE685" s="4">
        <v>2</v>
      </c>
      <c r="BF685" s="4" t="s">
        <v>3640</v>
      </c>
      <c r="BG685" s="4">
        <v>1160</v>
      </c>
      <c r="BH685" s="4">
        <v>1160</v>
      </c>
      <c r="BI685" s="4">
        <f t="shared" si="111"/>
        <v>580</v>
      </c>
      <c r="BJ685" s="19">
        <v>4</v>
      </c>
      <c r="BK685" s="19">
        <v>8</v>
      </c>
      <c r="BL685" s="16">
        <v>6</v>
      </c>
      <c r="BM685" s="45" t="s">
        <v>3534</v>
      </c>
      <c r="BN685" t="s">
        <v>3534</v>
      </c>
      <c r="BO685" t="str">
        <f t="shared" si="104"/>
        <v>-</v>
      </c>
      <c r="BP685" t="s">
        <v>3534</v>
      </c>
      <c r="BQ685">
        <v>410</v>
      </c>
      <c r="BR685">
        <f t="shared" si="105"/>
        <v>410</v>
      </c>
      <c r="BS685" t="s">
        <v>3043</v>
      </c>
    </row>
    <row r="686" spans="1:71" x14ac:dyDescent="0.4">
      <c r="A686" s="3">
        <v>683</v>
      </c>
      <c r="B686" s="3">
        <v>683</v>
      </c>
      <c r="C686" s="4" t="s">
        <v>745</v>
      </c>
      <c r="D686" s="4" t="str">
        <f t="shared" si="106"/>
        <v>J6554P</v>
      </c>
      <c r="E686" s="4" t="s">
        <v>745</v>
      </c>
      <c r="F686" s="4" t="s">
        <v>1963</v>
      </c>
      <c r="G686" s="5">
        <v>4521718046174</v>
      </c>
      <c r="H686" s="5"/>
      <c r="I686" s="5"/>
      <c r="J686" s="5">
        <v>1</v>
      </c>
      <c r="K686" s="5">
        <v>1</v>
      </c>
      <c r="L686" s="4">
        <v>490</v>
      </c>
      <c r="M686" s="4">
        <v>324</v>
      </c>
      <c r="N686" s="4">
        <v>219</v>
      </c>
      <c r="O686" s="6">
        <f t="shared" si="107"/>
        <v>0.32407407407407407</v>
      </c>
      <c r="P686" s="4" t="s">
        <v>2500</v>
      </c>
      <c r="Q686" s="4"/>
      <c r="R686" s="4"/>
      <c r="S686" s="4"/>
      <c r="T686" s="4"/>
      <c r="U686" s="4"/>
      <c r="V686" s="4"/>
      <c r="W686" s="4"/>
      <c r="X686" s="4"/>
      <c r="Y686" s="4">
        <v>337</v>
      </c>
      <c r="Z686" s="4">
        <f t="shared" si="108"/>
        <v>337</v>
      </c>
      <c r="AA686" s="4">
        <v>219</v>
      </c>
      <c r="AB686" s="4">
        <f t="shared" si="109"/>
        <v>219</v>
      </c>
      <c r="AC686" s="4"/>
      <c r="AD686" s="21">
        <f>ROUND(M686*AR686,0)</f>
        <v>324</v>
      </c>
      <c r="AE686" s="6">
        <f>1-AB686/AD686</f>
        <v>0.32407407407407407</v>
      </c>
      <c r="AF686" s="33">
        <v>0</v>
      </c>
      <c r="AG686" s="4">
        <f t="shared" si="110"/>
        <v>470</v>
      </c>
      <c r="AH686" s="33">
        <f t="shared" si="103"/>
        <v>470</v>
      </c>
      <c r="AI686" s="6">
        <f>1-AB686/AH686</f>
        <v>0.53404255319148941</v>
      </c>
      <c r="AJ686" s="7">
        <f>ROUND(AB686/0.65,0)</f>
        <v>337</v>
      </c>
      <c r="AK686" s="6">
        <f>1-AB686/AJ686</f>
        <v>0.35014836795252224</v>
      </c>
      <c r="AL686" s="4">
        <f>AJ686-AB686</f>
        <v>118</v>
      </c>
      <c r="AM686" s="28"/>
      <c r="AN686" s="6"/>
      <c r="AO686" s="6"/>
      <c r="AP686" s="6">
        <f>Z686/L686</f>
        <v>0.68775510204081636</v>
      </c>
      <c r="AQ686" s="6">
        <f>AJ686/M686</f>
        <v>1.0401234567901234</v>
      </c>
      <c r="AR686" s="6">
        <f>AB686/N686</f>
        <v>1</v>
      </c>
      <c r="AS686" s="4"/>
      <c r="AT686" s="4"/>
      <c r="AU686" s="4"/>
      <c r="AV686" s="4"/>
      <c r="AW686" s="4"/>
      <c r="AX686" s="4"/>
      <c r="AY686" s="4"/>
      <c r="AZ686" s="4"/>
      <c r="BA686" s="4"/>
      <c r="BB686" s="4">
        <v>0</v>
      </c>
      <c r="BC686" s="4" t="s">
        <v>4162</v>
      </c>
      <c r="BD686" s="4">
        <v>1</v>
      </c>
      <c r="BE686" s="4">
        <v>3</v>
      </c>
      <c r="BF686" s="4" t="s">
        <v>3638</v>
      </c>
      <c r="BG686" s="4">
        <v>1410</v>
      </c>
      <c r="BH686" s="4">
        <v>1410</v>
      </c>
      <c r="BI686" s="4">
        <f t="shared" si="111"/>
        <v>470</v>
      </c>
      <c r="BJ686" s="19">
        <v>4</v>
      </c>
      <c r="BK686" s="19">
        <v>8</v>
      </c>
      <c r="BL686" s="16">
        <v>6</v>
      </c>
      <c r="BM686" s="45" t="s">
        <v>3534</v>
      </c>
      <c r="BN686" t="s">
        <v>3534</v>
      </c>
      <c r="BO686" t="str">
        <f t="shared" si="104"/>
        <v>-</v>
      </c>
      <c r="BP686" t="s">
        <v>3534</v>
      </c>
      <c r="BQ686">
        <v>328</v>
      </c>
      <c r="BR686">
        <f t="shared" si="105"/>
        <v>328</v>
      </c>
      <c r="BS686" t="s">
        <v>3044</v>
      </c>
    </row>
    <row r="687" spans="1:71" x14ac:dyDescent="0.4">
      <c r="A687" s="3">
        <v>684</v>
      </c>
      <c r="B687" s="3">
        <v>684</v>
      </c>
      <c r="C687" s="4" t="s">
        <v>746</v>
      </c>
      <c r="D687" s="4" t="str">
        <f t="shared" si="106"/>
        <v>J6555P</v>
      </c>
      <c r="E687" s="4" t="s">
        <v>746</v>
      </c>
      <c r="F687" s="4" t="s">
        <v>1964</v>
      </c>
      <c r="G687" s="5">
        <v>4521718046228</v>
      </c>
      <c r="H687" s="5"/>
      <c r="I687" s="5"/>
      <c r="J687" s="5">
        <v>1</v>
      </c>
      <c r="K687" s="5">
        <v>1</v>
      </c>
      <c r="L687" s="4">
        <v>580</v>
      </c>
      <c r="M687" s="4">
        <v>407</v>
      </c>
      <c r="N687" s="4">
        <v>260</v>
      </c>
      <c r="O687" s="6">
        <f t="shared" si="107"/>
        <v>0.36117936117936122</v>
      </c>
      <c r="P687" s="4" t="s">
        <v>2500</v>
      </c>
      <c r="Q687" s="4"/>
      <c r="R687" s="4"/>
      <c r="S687" s="4"/>
      <c r="T687" s="4"/>
      <c r="U687" s="4"/>
      <c r="V687" s="4"/>
      <c r="W687" s="4"/>
      <c r="X687" s="4"/>
      <c r="Y687" s="4">
        <v>400</v>
      </c>
      <c r="Z687" s="4">
        <f t="shared" si="108"/>
        <v>400</v>
      </c>
      <c r="AA687" s="4">
        <v>260</v>
      </c>
      <c r="AB687" s="4">
        <f t="shared" si="109"/>
        <v>260</v>
      </c>
      <c r="AC687" s="4"/>
      <c r="AD687" s="21">
        <f>ROUND(M687*AR687,0)</f>
        <v>407</v>
      </c>
      <c r="AE687" s="6">
        <f>1-AB687/AD687</f>
        <v>0.36117936117936122</v>
      </c>
      <c r="AF687" s="33">
        <v>0.75</v>
      </c>
      <c r="AG687" s="4">
        <f t="shared" si="110"/>
        <v>545.66666666666663</v>
      </c>
      <c r="AH687" s="33">
        <f t="shared" si="103"/>
        <v>545.66666666666663</v>
      </c>
      <c r="AI687" s="6">
        <f>1-AB687/AH687</f>
        <v>0.52351863164324985</v>
      </c>
      <c r="AJ687" s="7">
        <v>400</v>
      </c>
      <c r="AK687" s="6">
        <f>1-AB687/AJ687</f>
        <v>0.35</v>
      </c>
      <c r="AL687" s="4">
        <f>AJ687-AB687</f>
        <v>140</v>
      </c>
      <c r="AM687" s="28"/>
      <c r="AN687" s="6"/>
      <c r="AO687" s="6"/>
      <c r="AP687" s="6">
        <f>Z687/L687</f>
        <v>0.68965517241379315</v>
      </c>
      <c r="AQ687" s="6">
        <f>AJ687/M687</f>
        <v>0.98280098280098283</v>
      </c>
      <c r="AR687" s="6">
        <f>AB687/N687</f>
        <v>1</v>
      </c>
      <c r="AS687" s="4"/>
      <c r="AT687" s="4"/>
      <c r="AU687" s="4"/>
      <c r="AV687" s="4"/>
      <c r="AW687" s="4"/>
      <c r="AX687" s="4"/>
      <c r="AY687" s="4"/>
      <c r="AZ687" s="4"/>
      <c r="BA687" s="4"/>
      <c r="BB687" s="4">
        <v>0</v>
      </c>
      <c r="BC687" s="4" t="s">
        <v>4163</v>
      </c>
      <c r="BD687" s="4">
        <v>1</v>
      </c>
      <c r="BE687" s="4">
        <v>3</v>
      </c>
      <c r="BF687" s="4" t="s">
        <v>4164</v>
      </c>
      <c r="BG687" s="4">
        <v>1637</v>
      </c>
      <c r="BH687" s="4">
        <v>1637</v>
      </c>
      <c r="BI687" s="4">
        <f t="shared" si="111"/>
        <v>545.66666666666663</v>
      </c>
      <c r="BJ687" s="19">
        <v>4</v>
      </c>
      <c r="BK687" s="19">
        <v>8</v>
      </c>
      <c r="BL687" s="16">
        <v>6</v>
      </c>
      <c r="BM687" s="45" t="s">
        <v>3534</v>
      </c>
      <c r="BN687" t="s">
        <v>3534</v>
      </c>
      <c r="BO687" t="str">
        <f t="shared" si="104"/>
        <v>-</v>
      </c>
      <c r="BP687" t="s">
        <v>3534</v>
      </c>
      <c r="BQ687">
        <v>391</v>
      </c>
      <c r="BR687">
        <f t="shared" si="105"/>
        <v>391</v>
      </c>
      <c r="BS687" t="s">
        <v>3045</v>
      </c>
    </row>
    <row r="688" spans="1:71" x14ac:dyDescent="0.4">
      <c r="A688" s="3">
        <v>685</v>
      </c>
      <c r="B688" s="3">
        <v>685</v>
      </c>
      <c r="C688" s="4" t="s">
        <v>747</v>
      </c>
      <c r="D688" s="4" t="str">
        <f t="shared" si="106"/>
        <v>J6556P</v>
      </c>
      <c r="E688" s="4" t="s">
        <v>747</v>
      </c>
      <c r="F688" s="4" t="s">
        <v>1965</v>
      </c>
      <c r="G688" s="5">
        <v>4521718059181</v>
      </c>
      <c r="H688" s="5"/>
      <c r="I688" s="5"/>
      <c r="J688" s="5">
        <v>1</v>
      </c>
      <c r="K688" s="5">
        <v>1</v>
      </c>
      <c r="L688" s="4">
        <v>420</v>
      </c>
      <c r="M688" s="4">
        <v>268</v>
      </c>
      <c r="N688" s="4">
        <v>185</v>
      </c>
      <c r="O688" s="6">
        <f t="shared" si="107"/>
        <v>0.30970149253731338</v>
      </c>
      <c r="P688" s="4" t="s">
        <v>2500</v>
      </c>
      <c r="Q688" s="4"/>
      <c r="R688" s="4"/>
      <c r="S688" s="4"/>
      <c r="T688" s="4"/>
      <c r="U688" s="4"/>
      <c r="V688" s="4"/>
      <c r="W688" s="4"/>
      <c r="X688" s="4"/>
      <c r="Y688" s="4">
        <v>264</v>
      </c>
      <c r="Z688" s="4">
        <f t="shared" si="108"/>
        <v>264</v>
      </c>
      <c r="AA688" s="4">
        <v>172</v>
      </c>
      <c r="AB688" s="4">
        <f t="shared" si="109"/>
        <v>172</v>
      </c>
      <c r="AC688" s="4"/>
      <c r="AD688" s="21">
        <f>ROUND(M688*AR688,0)</f>
        <v>249</v>
      </c>
      <c r="AE688" s="6">
        <f>1-AB688/AD688</f>
        <v>0.30923694779116462</v>
      </c>
      <c r="AF688" s="33">
        <v>0</v>
      </c>
      <c r="AG688" s="4">
        <f t="shared" si="110"/>
        <v>500</v>
      </c>
      <c r="AH688" s="33">
        <f t="shared" si="103"/>
        <v>464.8648648648649</v>
      </c>
      <c r="AI688" s="6">
        <f>1-AB688/AH688</f>
        <v>0.63</v>
      </c>
      <c r="AJ688" s="7">
        <v>264</v>
      </c>
      <c r="AK688" s="6">
        <f>1-AB688/AJ688</f>
        <v>0.34848484848484851</v>
      </c>
      <c r="AL688" s="4">
        <f>AJ688-AB688</f>
        <v>92</v>
      </c>
      <c r="AM688" s="28"/>
      <c r="AN688" s="6"/>
      <c r="AO688" s="6"/>
      <c r="AP688" s="6">
        <f>Z688/L688</f>
        <v>0.62857142857142856</v>
      </c>
      <c r="AQ688" s="6">
        <f>AJ688/M688</f>
        <v>0.9850746268656716</v>
      </c>
      <c r="AR688" s="6">
        <f>AB688/N688</f>
        <v>0.92972972972972978</v>
      </c>
      <c r="AS688" s="4"/>
      <c r="AT688" s="4"/>
      <c r="AU688" s="4"/>
      <c r="AV688" s="4"/>
      <c r="AW688" s="4"/>
      <c r="AX688" s="4"/>
      <c r="AY688" s="4"/>
      <c r="AZ688" s="4"/>
      <c r="BA688" s="4"/>
      <c r="BB688" s="4">
        <v>0</v>
      </c>
      <c r="BC688" s="4" t="s">
        <v>4165</v>
      </c>
      <c r="BD688" s="4">
        <v>1</v>
      </c>
      <c r="BE688" s="4">
        <v>4</v>
      </c>
      <c r="BF688" s="4" t="s">
        <v>4014</v>
      </c>
      <c r="BG688" s="4">
        <v>2000</v>
      </c>
      <c r="BH688" s="4">
        <v>2000</v>
      </c>
      <c r="BI688" s="4">
        <f t="shared" si="111"/>
        <v>500</v>
      </c>
      <c r="BJ688" s="19">
        <v>4</v>
      </c>
      <c r="BK688" s="19">
        <v>8</v>
      </c>
      <c r="BL688" s="16">
        <v>6</v>
      </c>
      <c r="BM688" s="45" t="s">
        <v>3534</v>
      </c>
      <c r="BN688" t="s">
        <v>3534</v>
      </c>
      <c r="BO688" t="str">
        <f t="shared" si="104"/>
        <v>-</v>
      </c>
      <c r="BP688" t="s">
        <v>3534</v>
      </c>
      <c r="BQ688">
        <v>414</v>
      </c>
      <c r="BR688">
        <f t="shared" si="105"/>
        <v>384.90810810810814</v>
      </c>
      <c r="BS688" t="s">
        <v>3046</v>
      </c>
    </row>
    <row r="689" spans="1:71" x14ac:dyDescent="0.4">
      <c r="A689" s="3">
        <v>686</v>
      </c>
      <c r="B689" s="3">
        <v>686</v>
      </c>
      <c r="C689" s="4" t="s">
        <v>748</v>
      </c>
      <c r="D689" s="4" t="str">
        <f t="shared" si="106"/>
        <v>J6549P</v>
      </c>
      <c r="E689" s="4" t="s">
        <v>748</v>
      </c>
      <c r="F689" s="4" t="s">
        <v>1966</v>
      </c>
      <c r="G689" s="5">
        <v>4521718026701</v>
      </c>
      <c r="H689" s="5"/>
      <c r="I689" s="5"/>
      <c r="J689" s="5">
        <v>1</v>
      </c>
      <c r="K689" s="5">
        <v>1</v>
      </c>
      <c r="L689" s="4">
        <v>390</v>
      </c>
      <c r="M689" s="4">
        <v>256</v>
      </c>
      <c r="N689" s="4">
        <v>172</v>
      </c>
      <c r="O689" s="6">
        <f t="shared" si="107"/>
        <v>0.328125</v>
      </c>
      <c r="P689" s="4" t="s">
        <v>2500</v>
      </c>
      <c r="Q689" s="4"/>
      <c r="R689" s="4"/>
      <c r="S689" s="4"/>
      <c r="T689" s="4"/>
      <c r="U689" s="4"/>
      <c r="V689" s="4"/>
      <c r="W689" s="4"/>
      <c r="X689" s="4"/>
      <c r="Y689" s="4">
        <v>264</v>
      </c>
      <c r="Z689" s="4">
        <f t="shared" si="108"/>
        <v>264</v>
      </c>
      <c r="AA689" s="4">
        <v>172</v>
      </c>
      <c r="AB689" s="4">
        <f t="shared" si="109"/>
        <v>172</v>
      </c>
      <c r="AC689" s="4"/>
      <c r="AD689" s="21">
        <f>ROUND(M689*AR689,0)</f>
        <v>256</v>
      </c>
      <c r="AE689" s="6">
        <f>1-AB689/AD689</f>
        <v>0.328125</v>
      </c>
      <c r="AF689" s="33">
        <v>0</v>
      </c>
      <c r="AG689" s="4">
        <f t="shared" si="110"/>
        <v>390</v>
      </c>
      <c r="AH689" s="33">
        <f t="shared" si="103"/>
        <v>390</v>
      </c>
      <c r="AI689" s="6">
        <f>1-AB689/AH689</f>
        <v>0.55897435897435899</v>
      </c>
      <c r="AJ689" s="7">
        <v>264</v>
      </c>
      <c r="AK689" s="6">
        <f>1-AB689/AJ689</f>
        <v>0.34848484848484851</v>
      </c>
      <c r="AL689" s="4">
        <f>AJ689-AB689</f>
        <v>92</v>
      </c>
      <c r="AM689" s="28"/>
      <c r="AN689" s="6"/>
      <c r="AO689" s="6"/>
      <c r="AP689" s="6">
        <f>Z689/L689</f>
        <v>0.67692307692307696</v>
      </c>
      <c r="AQ689" s="6">
        <f>AJ689/M689</f>
        <v>1.03125</v>
      </c>
      <c r="AR689" s="6">
        <f>AB689/N689</f>
        <v>1</v>
      </c>
      <c r="AS689" s="4"/>
      <c r="AT689" s="4"/>
      <c r="AU689" s="4"/>
      <c r="AV689" s="4"/>
      <c r="AW689" s="4"/>
      <c r="AX689" s="4"/>
      <c r="AY689" s="4"/>
      <c r="AZ689" s="4"/>
      <c r="BA689" s="4"/>
      <c r="BB689" s="4">
        <v>0</v>
      </c>
      <c r="BC689" s="4" t="s">
        <v>4166</v>
      </c>
      <c r="BD689" s="4">
        <v>1</v>
      </c>
      <c r="BE689" s="4">
        <v>5</v>
      </c>
      <c r="BF689" s="4" t="s">
        <v>3746</v>
      </c>
      <c r="BG689" s="4">
        <v>1950</v>
      </c>
      <c r="BH689" s="4">
        <v>1950</v>
      </c>
      <c r="BI689" s="4">
        <f t="shared" si="111"/>
        <v>390</v>
      </c>
      <c r="BJ689" s="19">
        <v>4</v>
      </c>
      <c r="BK689" s="19">
        <v>8</v>
      </c>
      <c r="BL689" s="16">
        <v>6</v>
      </c>
      <c r="BM689" s="45" t="s">
        <v>3534</v>
      </c>
      <c r="BN689" t="s">
        <v>3534</v>
      </c>
      <c r="BO689" t="str">
        <f t="shared" si="104"/>
        <v>-</v>
      </c>
      <c r="BP689" t="s">
        <v>3534</v>
      </c>
      <c r="BQ689">
        <v>265</v>
      </c>
      <c r="BR689">
        <f t="shared" si="105"/>
        <v>265</v>
      </c>
      <c r="BS689" t="s">
        <v>3047</v>
      </c>
    </row>
    <row r="690" spans="1:71" x14ac:dyDescent="0.4">
      <c r="A690" s="3">
        <v>687</v>
      </c>
      <c r="B690" s="3">
        <v>687</v>
      </c>
      <c r="C690" s="4" t="s">
        <v>749</v>
      </c>
      <c r="D690" s="4" t="str">
        <f t="shared" si="106"/>
        <v>J6559P</v>
      </c>
      <c r="E690" s="4" t="s">
        <v>749</v>
      </c>
      <c r="F690" s="4" t="s">
        <v>1967</v>
      </c>
      <c r="G690" s="5">
        <v>4521718069586</v>
      </c>
      <c r="H690" s="5"/>
      <c r="I690" s="5"/>
      <c r="J690" s="5">
        <v>1</v>
      </c>
      <c r="K690" s="5">
        <v>1</v>
      </c>
      <c r="L690" s="4">
        <v>420</v>
      </c>
      <c r="M690" s="4">
        <v>275</v>
      </c>
      <c r="N690" s="4">
        <v>189</v>
      </c>
      <c r="O690" s="6">
        <f t="shared" si="107"/>
        <v>0.31272727272727274</v>
      </c>
      <c r="P690" s="4" t="s">
        <v>2500</v>
      </c>
      <c r="Q690" s="4"/>
      <c r="R690" s="4"/>
      <c r="S690" s="4"/>
      <c r="T690" s="4"/>
      <c r="U690" s="4"/>
      <c r="V690" s="4"/>
      <c r="W690" s="4"/>
      <c r="X690" s="4"/>
      <c r="Y690" s="4">
        <v>291</v>
      </c>
      <c r="Z690" s="4">
        <f t="shared" si="108"/>
        <v>291</v>
      </c>
      <c r="AA690" s="4">
        <v>189</v>
      </c>
      <c r="AB690" s="4">
        <f t="shared" si="109"/>
        <v>189</v>
      </c>
      <c r="AC690" s="4"/>
      <c r="AD690" s="21">
        <f>ROUND(M690*AR690,0)</f>
        <v>275</v>
      </c>
      <c r="AE690" s="6">
        <f>1-AB690/AD690</f>
        <v>0.31272727272727274</v>
      </c>
      <c r="AF690" s="33">
        <v>0</v>
      </c>
      <c r="AG690" s="4">
        <f t="shared" si="110"/>
        <v>400</v>
      </c>
      <c r="AH690" s="33">
        <f t="shared" si="103"/>
        <v>400</v>
      </c>
      <c r="AI690" s="6">
        <f>1-AB690/AH690</f>
        <v>0.52750000000000008</v>
      </c>
      <c r="AJ690" s="7">
        <f>ROUND(AB690/0.65,0)</f>
        <v>291</v>
      </c>
      <c r="AK690" s="6">
        <f>1-AB690/AJ690</f>
        <v>0.35051546391752575</v>
      </c>
      <c r="AL690" s="4">
        <f>AJ690-AB690</f>
        <v>102</v>
      </c>
      <c r="AM690" s="28"/>
      <c r="AN690" s="6"/>
      <c r="AO690" s="6"/>
      <c r="AP690" s="6">
        <f>Z690/L690</f>
        <v>0.69285714285714284</v>
      </c>
      <c r="AQ690" s="6">
        <f>AJ690/M690</f>
        <v>1.0581818181818181</v>
      </c>
      <c r="AR690" s="6">
        <f>AB690/N690</f>
        <v>1</v>
      </c>
      <c r="AS690" s="4"/>
      <c r="AT690" s="4"/>
      <c r="AU690" s="4"/>
      <c r="AV690" s="4"/>
      <c r="AW690" s="4"/>
      <c r="AX690" s="4"/>
      <c r="AY690" s="4"/>
      <c r="AZ690" s="4"/>
      <c r="BA690" s="4"/>
      <c r="BB690" s="4">
        <v>0</v>
      </c>
      <c r="BC690" s="4" t="s">
        <v>4167</v>
      </c>
      <c r="BD690" s="4">
        <v>1</v>
      </c>
      <c r="BE690" s="4">
        <v>3</v>
      </c>
      <c r="BF690" s="4" t="s">
        <v>3638</v>
      </c>
      <c r="BG690" s="4">
        <v>1200</v>
      </c>
      <c r="BH690" s="4">
        <v>1200</v>
      </c>
      <c r="BI690" s="4">
        <f t="shared" si="111"/>
        <v>400</v>
      </c>
      <c r="BJ690" s="19">
        <v>4</v>
      </c>
      <c r="BK690" s="19">
        <v>8</v>
      </c>
      <c r="BL690" s="16">
        <v>6</v>
      </c>
      <c r="BM690" s="45" t="s">
        <v>3534</v>
      </c>
      <c r="BN690" t="s">
        <v>3534</v>
      </c>
      <c r="BO690" t="str">
        <f t="shared" si="104"/>
        <v>-</v>
      </c>
      <c r="BP690" t="s">
        <v>3534</v>
      </c>
      <c r="BQ690">
        <v>319</v>
      </c>
      <c r="BR690">
        <f t="shared" si="105"/>
        <v>319</v>
      </c>
      <c r="BS690" t="s">
        <v>3048</v>
      </c>
    </row>
    <row r="691" spans="1:71" x14ac:dyDescent="0.4">
      <c r="A691" s="3">
        <v>688</v>
      </c>
      <c r="B691" s="3">
        <v>688</v>
      </c>
      <c r="C691" s="4" t="s">
        <v>750</v>
      </c>
      <c r="D691" s="4" t="str">
        <f t="shared" si="106"/>
        <v>J655TN</v>
      </c>
      <c r="E691" s="4" t="s">
        <v>750</v>
      </c>
      <c r="F691" s="4" t="s">
        <v>1968</v>
      </c>
      <c r="G691" s="5">
        <v>4521718122762</v>
      </c>
      <c r="H691" s="5"/>
      <c r="I691" s="5"/>
      <c r="J691" s="5">
        <v>1</v>
      </c>
      <c r="K691" s="5">
        <v>1</v>
      </c>
      <c r="L691" s="4">
        <v>500</v>
      </c>
      <c r="M691" s="4">
        <v>346</v>
      </c>
      <c r="N691" s="4">
        <v>225</v>
      </c>
      <c r="O691" s="6">
        <f t="shared" si="107"/>
        <v>0.3497109826589595</v>
      </c>
      <c r="P691" s="4" t="s">
        <v>2500</v>
      </c>
      <c r="Q691" s="4"/>
      <c r="R691" s="4"/>
      <c r="S691" s="4"/>
      <c r="T691" s="4"/>
      <c r="U691" s="4"/>
      <c r="V691" s="4"/>
      <c r="W691" s="4"/>
      <c r="X691" s="4"/>
      <c r="Y691" s="4">
        <v>364</v>
      </c>
      <c r="Z691" s="4">
        <f t="shared" si="108"/>
        <v>364</v>
      </c>
      <c r="AA691" s="4">
        <v>237</v>
      </c>
      <c r="AB691" s="4">
        <f t="shared" si="109"/>
        <v>237</v>
      </c>
      <c r="AC691" s="4"/>
      <c r="AD691" s="21">
        <f>ROUND(M691*AR691,0)</f>
        <v>364</v>
      </c>
      <c r="AE691" s="6">
        <f>1-AB691/AD691</f>
        <v>0.34890109890109888</v>
      </c>
      <c r="AF691" s="33">
        <v>0</v>
      </c>
      <c r="AG691" s="4" t="str">
        <f t="shared" si="110"/>
        <v>-</v>
      </c>
      <c r="AH691" s="33" t="e">
        <f t="shared" si="103"/>
        <v>#VALUE!</v>
      </c>
      <c r="AI691" s="6" t="e">
        <f>1-AB691/AH691</f>
        <v>#VALUE!</v>
      </c>
      <c r="AJ691" s="7">
        <v>364</v>
      </c>
      <c r="AK691" s="6">
        <f>1-AB691/AJ691</f>
        <v>0.34890109890109888</v>
      </c>
      <c r="AL691" s="4">
        <f>AJ691-AB691</f>
        <v>127</v>
      </c>
      <c r="AM691" s="28"/>
      <c r="AN691" s="6"/>
      <c r="AO691" s="6"/>
      <c r="AP691" s="6">
        <f>Z691/L691</f>
        <v>0.72799999999999998</v>
      </c>
      <c r="AQ691" s="6">
        <f>AJ691/M691</f>
        <v>1.0520231213872833</v>
      </c>
      <c r="AR691" s="6">
        <f>AB691/N691</f>
        <v>1.0533333333333332</v>
      </c>
      <c r="AS691" s="4"/>
      <c r="AT691" s="4"/>
      <c r="AU691" s="4"/>
      <c r="AV691" s="4"/>
      <c r="AW691" s="4"/>
      <c r="AX691" s="4"/>
      <c r="AY691" s="4"/>
      <c r="AZ691" s="4"/>
      <c r="BA691" s="4"/>
      <c r="BB691" s="4">
        <v>0</v>
      </c>
      <c r="BC691" s="4" t="s">
        <v>3534</v>
      </c>
      <c r="BD691" s="4"/>
      <c r="BE691" s="4"/>
      <c r="BF691" s="4" t="s">
        <v>3534</v>
      </c>
      <c r="BG691" s="4" t="s">
        <v>3534</v>
      </c>
      <c r="BH691" s="4" t="s">
        <v>3534</v>
      </c>
      <c r="BI691" s="4" t="str">
        <f t="shared" si="111"/>
        <v>-</v>
      </c>
      <c r="BJ691" s="19">
        <v>4</v>
      </c>
      <c r="BK691" s="19">
        <v>8</v>
      </c>
      <c r="BL691" s="16">
        <v>6</v>
      </c>
      <c r="BM691" s="45" t="s">
        <v>3534</v>
      </c>
      <c r="BN691" t="s">
        <v>3534</v>
      </c>
      <c r="BO691" t="str">
        <f t="shared" si="104"/>
        <v>-</v>
      </c>
      <c r="BP691">
        <v>346</v>
      </c>
      <c r="BQ691">
        <v>346</v>
      </c>
      <c r="BR691">
        <f t="shared" si="105"/>
        <v>364.45333333333332</v>
      </c>
      <c r="BS691" t="s">
        <v>3534</v>
      </c>
    </row>
    <row r="692" spans="1:71" x14ac:dyDescent="0.4">
      <c r="A692" s="42">
        <v>689</v>
      </c>
      <c r="B692" s="3">
        <v>689</v>
      </c>
      <c r="C692" s="4" t="s">
        <v>751</v>
      </c>
      <c r="D692" s="4" t="str">
        <f t="shared" si="106"/>
        <v>J655WG</v>
      </c>
      <c r="E692" s="4" t="s">
        <v>751</v>
      </c>
      <c r="F692" s="4" t="s">
        <v>1969</v>
      </c>
      <c r="G692" s="5">
        <v>4521718184203</v>
      </c>
      <c r="H692" s="5"/>
      <c r="I692" s="5"/>
      <c r="J692" s="5">
        <v>1</v>
      </c>
      <c r="K692" s="5">
        <v>1</v>
      </c>
      <c r="L692" s="4">
        <v>3980</v>
      </c>
      <c r="M692" s="4">
        <v>3780</v>
      </c>
      <c r="N692" s="4">
        <v>2227</v>
      </c>
      <c r="O692" s="6">
        <f t="shared" si="107"/>
        <v>0.41084656084656079</v>
      </c>
      <c r="P692" s="4" t="s">
        <v>2500</v>
      </c>
      <c r="Q692" s="4"/>
      <c r="R692" s="4"/>
      <c r="S692" s="4"/>
      <c r="T692" s="4"/>
      <c r="U692" s="4"/>
      <c r="V692" s="4"/>
      <c r="W692" s="4"/>
      <c r="X692" s="4"/>
      <c r="Y692" s="4">
        <v>3182</v>
      </c>
      <c r="Z692" s="4">
        <f t="shared" si="108"/>
        <v>3182</v>
      </c>
      <c r="AA692" s="4">
        <v>2227</v>
      </c>
      <c r="AB692" s="4">
        <f t="shared" si="109"/>
        <v>2227</v>
      </c>
      <c r="AC692" s="4"/>
      <c r="AD692" s="21">
        <f>ROUND(M692*AR692,0)</f>
        <v>3780</v>
      </c>
      <c r="AE692" s="6">
        <f>1-AB692/AD692</f>
        <v>0.41084656084656079</v>
      </c>
      <c r="AF692" s="33">
        <v>0</v>
      </c>
      <c r="AG692" s="4">
        <f t="shared" si="110"/>
        <v>3980</v>
      </c>
      <c r="AH692" s="33">
        <f t="shared" si="103"/>
        <v>3980</v>
      </c>
      <c r="AI692" s="6">
        <f>1-AB692/AH692</f>
        <v>0.4404522613065327</v>
      </c>
      <c r="AJ692" s="7">
        <v>3182</v>
      </c>
      <c r="AK692" s="6">
        <f>1-AB692/AJ692</f>
        <v>0.30012570710245123</v>
      </c>
      <c r="AL692" s="4">
        <f>AJ692-AB692</f>
        <v>955</v>
      </c>
      <c r="AM692" s="28"/>
      <c r="AN692" s="6"/>
      <c r="AO692" s="6"/>
      <c r="AP692" s="6">
        <f>Z692/L692</f>
        <v>0.79949748743718596</v>
      </c>
      <c r="AQ692" s="6">
        <f>AJ692/M692</f>
        <v>0.84179894179894177</v>
      </c>
      <c r="AR692" s="6">
        <f>AB692/N692</f>
        <v>1</v>
      </c>
      <c r="AS692" s="4"/>
      <c r="AT692" s="4"/>
      <c r="AU692" s="4"/>
      <c r="AV692" s="4"/>
      <c r="AW692" s="4"/>
      <c r="AX692" s="4"/>
      <c r="AY692" s="4"/>
      <c r="AZ692" s="4"/>
      <c r="BA692" s="4"/>
      <c r="BB692" s="4">
        <v>0</v>
      </c>
      <c r="BC692" s="4" t="s">
        <v>4168</v>
      </c>
      <c r="BD692" s="4"/>
      <c r="BE692" s="4"/>
      <c r="BF692" s="4" t="s">
        <v>3538</v>
      </c>
      <c r="BG692" s="4">
        <v>3980</v>
      </c>
      <c r="BH692" s="4">
        <v>3980</v>
      </c>
      <c r="BI692" s="4">
        <f t="shared" si="111"/>
        <v>3980</v>
      </c>
      <c r="BJ692" s="19">
        <v>2</v>
      </c>
      <c r="BK692" s="19">
        <v>8</v>
      </c>
      <c r="BL692" s="16">
        <v>6</v>
      </c>
      <c r="BM692" s="45" t="s">
        <v>3534</v>
      </c>
      <c r="BN692" t="s">
        <v>3534</v>
      </c>
      <c r="BO692" t="str">
        <f t="shared" si="104"/>
        <v>-</v>
      </c>
      <c r="BP692" t="s">
        <v>3534</v>
      </c>
      <c r="BQ692">
        <v>3781</v>
      </c>
      <c r="BR692">
        <f t="shared" si="105"/>
        <v>3781</v>
      </c>
      <c r="BS692" t="s">
        <v>3049</v>
      </c>
    </row>
    <row r="693" spans="1:71" x14ac:dyDescent="0.4">
      <c r="A693" s="3">
        <v>690</v>
      </c>
      <c r="B693" s="3">
        <v>690</v>
      </c>
      <c r="C693" s="4" t="s">
        <v>752</v>
      </c>
      <c r="D693" s="4" t="str">
        <f t="shared" si="106"/>
        <v>J6564P</v>
      </c>
      <c r="E693" s="4" t="s">
        <v>752</v>
      </c>
      <c r="F693" s="4" t="s">
        <v>1970</v>
      </c>
      <c r="G693" s="5">
        <v>4521718078564</v>
      </c>
      <c r="H693" s="5"/>
      <c r="I693" s="5"/>
      <c r="J693" s="5">
        <v>1</v>
      </c>
      <c r="K693" s="5">
        <v>1</v>
      </c>
      <c r="L693" s="4">
        <v>390</v>
      </c>
      <c r="M693" s="4">
        <v>255</v>
      </c>
      <c r="N693" s="4">
        <v>172</v>
      </c>
      <c r="O693" s="6">
        <f t="shared" si="107"/>
        <v>0.32549019607843133</v>
      </c>
      <c r="P693" s="4" t="s">
        <v>2500</v>
      </c>
      <c r="Q693" s="4"/>
      <c r="R693" s="4"/>
      <c r="S693" s="4"/>
      <c r="T693" s="4"/>
      <c r="U693" s="4"/>
      <c r="V693" s="4"/>
      <c r="W693" s="4"/>
      <c r="X693" s="4"/>
      <c r="Y693" s="4">
        <v>264</v>
      </c>
      <c r="Z693" s="4">
        <f t="shared" si="108"/>
        <v>264</v>
      </c>
      <c r="AA693" s="4">
        <v>172</v>
      </c>
      <c r="AB693" s="4">
        <f t="shared" si="109"/>
        <v>172</v>
      </c>
      <c r="AC693" s="4"/>
      <c r="AD693" s="21">
        <f>ROUND(M693*AR693,0)</f>
        <v>255</v>
      </c>
      <c r="AE693" s="6">
        <f>1-AB693/AD693</f>
        <v>0.32549019607843133</v>
      </c>
      <c r="AF693" s="33">
        <v>0.5</v>
      </c>
      <c r="AG693" s="4">
        <f t="shared" si="110"/>
        <v>350</v>
      </c>
      <c r="AH693" s="33">
        <f t="shared" si="103"/>
        <v>350</v>
      </c>
      <c r="AI693" s="6">
        <f>1-AB693/AH693</f>
        <v>0.50857142857142856</v>
      </c>
      <c r="AJ693" s="7">
        <v>264</v>
      </c>
      <c r="AK693" s="6">
        <f>1-AB693/AJ693</f>
        <v>0.34848484848484851</v>
      </c>
      <c r="AL693" s="4">
        <f>AJ693-AB693</f>
        <v>92</v>
      </c>
      <c r="AM693" s="28"/>
      <c r="AN693" s="6"/>
      <c r="AO693" s="6"/>
      <c r="AP693" s="6">
        <f>Z693/L693</f>
        <v>0.67692307692307696</v>
      </c>
      <c r="AQ693" s="6">
        <f>AJ693/M693</f>
        <v>1.0352941176470589</v>
      </c>
      <c r="AR693" s="6">
        <f>AB693/N693</f>
        <v>1</v>
      </c>
      <c r="AS693" s="4"/>
      <c r="AT693" s="4"/>
      <c r="AU693" s="4"/>
      <c r="AV693" s="4"/>
      <c r="AW693" s="4"/>
      <c r="AX693" s="4"/>
      <c r="AY693" s="4"/>
      <c r="AZ693" s="4"/>
      <c r="BA693" s="4"/>
      <c r="BB693" s="4">
        <v>0</v>
      </c>
      <c r="BC693" s="4" t="s">
        <v>4169</v>
      </c>
      <c r="BD693" s="4">
        <v>1</v>
      </c>
      <c r="BE693" s="4">
        <v>3</v>
      </c>
      <c r="BF693" s="4" t="s">
        <v>3638</v>
      </c>
      <c r="BG693" s="4">
        <v>1050</v>
      </c>
      <c r="BH693" s="4">
        <v>1050</v>
      </c>
      <c r="BI693" s="4">
        <f t="shared" si="111"/>
        <v>350</v>
      </c>
      <c r="BJ693" s="19">
        <v>4</v>
      </c>
      <c r="BK693" s="19">
        <v>8</v>
      </c>
      <c r="BL693" s="16">
        <v>6</v>
      </c>
      <c r="BM693" s="45" t="s">
        <v>3534</v>
      </c>
      <c r="BN693" t="s">
        <v>3534</v>
      </c>
      <c r="BO693" t="str">
        <f t="shared" si="104"/>
        <v>-</v>
      </c>
      <c r="BP693" t="s">
        <v>3534</v>
      </c>
      <c r="BQ693">
        <v>257</v>
      </c>
      <c r="BR693">
        <f t="shared" si="105"/>
        <v>257</v>
      </c>
      <c r="BS693" t="s">
        <v>3050</v>
      </c>
    </row>
    <row r="694" spans="1:71" x14ac:dyDescent="0.4">
      <c r="A694" s="3">
        <v>691</v>
      </c>
      <c r="B694" s="3">
        <v>691</v>
      </c>
      <c r="C694" s="4" t="s">
        <v>753</v>
      </c>
      <c r="D694" s="4" t="str">
        <f t="shared" si="106"/>
        <v>J6565P</v>
      </c>
      <c r="E694" s="4" t="s">
        <v>753</v>
      </c>
      <c r="F694" s="4" t="s">
        <v>1971</v>
      </c>
      <c r="G694" s="5">
        <v>4521718078847</v>
      </c>
      <c r="H694" s="5"/>
      <c r="I694" s="5"/>
      <c r="J694" s="5">
        <v>1</v>
      </c>
      <c r="K694" s="5">
        <v>1</v>
      </c>
      <c r="L694" s="4">
        <v>440</v>
      </c>
      <c r="M694" s="4">
        <v>285</v>
      </c>
      <c r="N694" s="4">
        <v>195</v>
      </c>
      <c r="O694" s="6">
        <f t="shared" si="107"/>
        <v>0.31578947368421051</v>
      </c>
      <c r="P694" s="4" t="s">
        <v>2500</v>
      </c>
      <c r="Q694" s="4"/>
      <c r="R694" s="4"/>
      <c r="S694" s="4"/>
      <c r="T694" s="4"/>
      <c r="U694" s="4"/>
      <c r="V694" s="4"/>
      <c r="W694" s="4"/>
      <c r="X694" s="4"/>
      <c r="Y694" s="4">
        <v>300</v>
      </c>
      <c r="Z694" s="4">
        <f t="shared" si="108"/>
        <v>300</v>
      </c>
      <c r="AA694" s="4">
        <v>195</v>
      </c>
      <c r="AB694" s="4">
        <f t="shared" si="109"/>
        <v>195</v>
      </c>
      <c r="AC694" s="4"/>
      <c r="AD694" s="21">
        <f>ROUND(M694*AR694,0)</f>
        <v>285</v>
      </c>
      <c r="AE694" s="6">
        <f>1-AB694/AD694</f>
        <v>0.31578947368421051</v>
      </c>
      <c r="AF694" s="33">
        <v>0</v>
      </c>
      <c r="AG694" s="4">
        <f t="shared" si="110"/>
        <v>400</v>
      </c>
      <c r="AH694" s="33">
        <f t="shared" si="103"/>
        <v>400</v>
      </c>
      <c r="AI694" s="6">
        <f>1-AB694/AH694</f>
        <v>0.51249999999999996</v>
      </c>
      <c r="AJ694" s="7">
        <v>300</v>
      </c>
      <c r="AK694" s="6">
        <f>1-AB694/AJ694</f>
        <v>0.35</v>
      </c>
      <c r="AL694" s="4">
        <f>AJ694-AB694</f>
        <v>105</v>
      </c>
      <c r="AM694" s="28"/>
      <c r="AN694" s="6"/>
      <c r="AO694" s="6"/>
      <c r="AP694" s="6">
        <f>Z694/L694</f>
        <v>0.68181818181818177</v>
      </c>
      <c r="AQ694" s="6">
        <f>AJ694/M694</f>
        <v>1.0526315789473684</v>
      </c>
      <c r="AR694" s="6">
        <f>AB694/N694</f>
        <v>1</v>
      </c>
      <c r="AS694" s="4"/>
      <c r="AT694" s="4"/>
      <c r="AU694" s="4"/>
      <c r="AV694" s="4"/>
      <c r="AW694" s="4"/>
      <c r="AX694" s="4"/>
      <c r="AY694" s="4"/>
      <c r="AZ694" s="4"/>
      <c r="BA694" s="4"/>
      <c r="BB694" s="4">
        <v>0</v>
      </c>
      <c r="BC694" s="4" t="s">
        <v>4170</v>
      </c>
      <c r="BD694" s="4">
        <v>1</v>
      </c>
      <c r="BE694" s="4">
        <v>5</v>
      </c>
      <c r="BF694" s="4" t="s">
        <v>3746</v>
      </c>
      <c r="BG694" s="4">
        <v>2000</v>
      </c>
      <c r="BH694" s="4">
        <v>2000</v>
      </c>
      <c r="BI694" s="4">
        <f t="shared" si="111"/>
        <v>400</v>
      </c>
      <c r="BJ694" s="19">
        <v>4</v>
      </c>
      <c r="BK694" s="19">
        <v>8</v>
      </c>
      <c r="BL694" s="16">
        <v>6</v>
      </c>
      <c r="BM694" s="45" t="s">
        <v>3534</v>
      </c>
      <c r="BN694" t="s">
        <v>3534</v>
      </c>
      <c r="BO694" t="str">
        <f t="shared" si="104"/>
        <v>-</v>
      </c>
      <c r="BP694" t="s">
        <v>3534</v>
      </c>
      <c r="BQ694">
        <v>300</v>
      </c>
      <c r="BR694">
        <f t="shared" si="105"/>
        <v>300</v>
      </c>
      <c r="BS694" t="s">
        <v>3051</v>
      </c>
    </row>
    <row r="695" spans="1:71" x14ac:dyDescent="0.4">
      <c r="A695" s="3">
        <v>692</v>
      </c>
      <c r="B695" s="3">
        <v>692</v>
      </c>
      <c r="C695" s="4" t="s">
        <v>754</v>
      </c>
      <c r="D695" s="4" t="str">
        <f t="shared" si="106"/>
        <v>J6566P</v>
      </c>
      <c r="E695" s="4" t="s">
        <v>754</v>
      </c>
      <c r="F695" s="4" t="s">
        <v>1972</v>
      </c>
      <c r="G695" s="5">
        <v>4521718078861</v>
      </c>
      <c r="H695" s="5"/>
      <c r="I695" s="5"/>
      <c r="J695" s="5">
        <v>1</v>
      </c>
      <c r="K695" s="5">
        <v>1</v>
      </c>
      <c r="L695" s="4">
        <v>460</v>
      </c>
      <c r="M695" s="4">
        <v>272</v>
      </c>
      <c r="N695" s="4">
        <v>207</v>
      </c>
      <c r="O695" s="6">
        <f t="shared" si="107"/>
        <v>0.23897058823529416</v>
      </c>
      <c r="P695" s="4" t="s">
        <v>2500</v>
      </c>
      <c r="Q695" s="4"/>
      <c r="R695" s="4"/>
      <c r="S695" s="4"/>
      <c r="T695" s="4"/>
      <c r="U695" s="4"/>
      <c r="V695" s="4"/>
      <c r="W695" s="4"/>
      <c r="X695" s="4"/>
      <c r="Y695" s="4">
        <v>328</v>
      </c>
      <c r="Z695" s="4">
        <f t="shared" si="108"/>
        <v>328</v>
      </c>
      <c r="AA695" s="4">
        <v>213</v>
      </c>
      <c r="AB695" s="4">
        <f t="shared" si="109"/>
        <v>213</v>
      </c>
      <c r="AC695" s="4"/>
      <c r="AD695" s="21">
        <f>ROUND(M695*AR695,0)</f>
        <v>280</v>
      </c>
      <c r="AE695" s="6">
        <f>1-AB695/AD695</f>
        <v>0.23928571428571432</v>
      </c>
      <c r="AF695" s="33">
        <v>6.25</v>
      </c>
      <c r="AG695" s="4">
        <f t="shared" si="110"/>
        <v>460</v>
      </c>
      <c r="AH695" s="33">
        <f t="shared" si="103"/>
        <v>473.33333333333331</v>
      </c>
      <c r="AI695" s="6">
        <f>1-AB695/AH695</f>
        <v>0.55000000000000004</v>
      </c>
      <c r="AJ695" s="7">
        <f>ROUND(AB695/0.65,0)</f>
        <v>328</v>
      </c>
      <c r="AK695" s="6">
        <f>1-AB695/AJ695</f>
        <v>0.35060975609756095</v>
      </c>
      <c r="AL695" s="4">
        <f>AJ695-AB695</f>
        <v>115</v>
      </c>
      <c r="AM695" s="28"/>
      <c r="AN695" s="6"/>
      <c r="AO695" s="6"/>
      <c r="AP695" s="6">
        <f>Z695/L695</f>
        <v>0.71304347826086956</v>
      </c>
      <c r="AQ695" s="6">
        <f>AJ695/M695</f>
        <v>1.2058823529411764</v>
      </c>
      <c r="AR695" s="6">
        <f>AB695/N695</f>
        <v>1.0289855072463767</v>
      </c>
      <c r="AS695" s="4"/>
      <c r="AT695" s="4"/>
      <c r="AU695" s="4"/>
      <c r="AV695" s="4"/>
      <c r="AW695" s="4"/>
      <c r="AX695" s="4"/>
      <c r="AY695" s="4"/>
      <c r="AZ695" s="4"/>
      <c r="BA695" s="4"/>
      <c r="BB695" s="4">
        <v>0</v>
      </c>
      <c r="BC695" s="4" t="s">
        <v>4171</v>
      </c>
      <c r="BD695" s="4">
        <v>1</v>
      </c>
      <c r="BE695" s="4">
        <v>3</v>
      </c>
      <c r="BF695" s="4" t="s">
        <v>3638</v>
      </c>
      <c r="BG695" s="4">
        <v>1380</v>
      </c>
      <c r="BH695" s="4">
        <v>1380</v>
      </c>
      <c r="BI695" s="4">
        <f t="shared" si="111"/>
        <v>460</v>
      </c>
      <c r="BJ695" s="19">
        <v>4</v>
      </c>
      <c r="BK695" s="19">
        <v>8</v>
      </c>
      <c r="BL695" s="16">
        <v>6</v>
      </c>
      <c r="BM695" s="45" t="s">
        <v>3534</v>
      </c>
      <c r="BN695" t="s">
        <v>3534</v>
      </c>
      <c r="BO695" t="str">
        <f t="shared" si="104"/>
        <v>-</v>
      </c>
      <c r="BP695" t="s">
        <v>3534</v>
      </c>
      <c r="BQ695">
        <v>320</v>
      </c>
      <c r="BR695">
        <f t="shared" si="105"/>
        <v>329.27536231884056</v>
      </c>
      <c r="BS695" t="s">
        <v>3052</v>
      </c>
    </row>
    <row r="696" spans="1:71" x14ac:dyDescent="0.4">
      <c r="A696" s="3">
        <v>693</v>
      </c>
      <c r="B696" s="3">
        <v>693</v>
      </c>
      <c r="C696" s="4" t="s">
        <v>755</v>
      </c>
      <c r="D696" s="4" t="str">
        <f t="shared" si="106"/>
        <v>J6567P</v>
      </c>
      <c r="E696" s="4" t="s">
        <v>755</v>
      </c>
      <c r="F696" s="4" t="s">
        <v>1973</v>
      </c>
      <c r="G696" s="5">
        <v>4521718094724</v>
      </c>
      <c r="H696" s="5"/>
      <c r="I696" s="5"/>
      <c r="J696" s="5">
        <v>1</v>
      </c>
      <c r="K696" s="5">
        <v>1</v>
      </c>
      <c r="L696" s="4">
        <v>1500</v>
      </c>
      <c r="M696" s="4">
        <v>917</v>
      </c>
      <c r="N696" s="4">
        <v>675</v>
      </c>
      <c r="O696" s="6">
        <f t="shared" si="107"/>
        <v>0.26390403489640135</v>
      </c>
      <c r="P696" s="4" t="s">
        <v>2500</v>
      </c>
      <c r="Q696" s="4"/>
      <c r="R696" s="4"/>
      <c r="S696" s="4"/>
      <c r="T696" s="4"/>
      <c r="U696" s="4"/>
      <c r="V696" s="4"/>
      <c r="W696" s="4"/>
      <c r="X696" s="4"/>
      <c r="Y696" s="4">
        <v>1200</v>
      </c>
      <c r="Z696" s="4">
        <f t="shared" si="108"/>
        <v>1200</v>
      </c>
      <c r="AA696" s="4">
        <v>672</v>
      </c>
      <c r="AB696" s="4">
        <f t="shared" si="109"/>
        <v>672</v>
      </c>
      <c r="AC696" s="4"/>
      <c r="AD696" s="21">
        <f>ROUND(M696*AR696,0)</f>
        <v>913</v>
      </c>
      <c r="AE696" s="6">
        <f>1-AB696/AD696</f>
        <v>0.26396495071193871</v>
      </c>
      <c r="AF696" s="33">
        <v>0</v>
      </c>
      <c r="AG696" s="4">
        <f t="shared" si="110"/>
        <v>1500</v>
      </c>
      <c r="AH696" s="33">
        <f t="shared" si="103"/>
        <v>1493.3333333333333</v>
      </c>
      <c r="AI696" s="6">
        <f>1-AB696/AH696</f>
        <v>0.55000000000000004</v>
      </c>
      <c r="AJ696" s="7">
        <f>ROUND(AB696/0.65,0)</f>
        <v>1034</v>
      </c>
      <c r="AK696" s="6">
        <f>1-AB696/AJ696</f>
        <v>0.3500967117988395</v>
      </c>
      <c r="AL696" s="4">
        <f>AJ696-AB696</f>
        <v>362</v>
      </c>
      <c r="AM696" s="28"/>
      <c r="AN696" s="6"/>
      <c r="AO696" s="6"/>
      <c r="AP696" s="6">
        <f>Z696/L696</f>
        <v>0.8</v>
      </c>
      <c r="AQ696" s="6">
        <f>AJ696/M696</f>
        <v>1.1275899672846237</v>
      </c>
      <c r="AR696" s="6">
        <f>AB696/N696</f>
        <v>0.99555555555555553</v>
      </c>
      <c r="AS696" s="4"/>
      <c r="AT696" s="4"/>
      <c r="AU696" s="4"/>
      <c r="AV696" s="4"/>
      <c r="AW696" s="4"/>
      <c r="AX696" s="4"/>
      <c r="AY696" s="4"/>
      <c r="AZ696" s="4"/>
      <c r="BA696" s="4"/>
      <c r="BB696" s="4">
        <v>0</v>
      </c>
      <c r="BC696" s="4" t="s">
        <v>4172</v>
      </c>
      <c r="BD696" s="4"/>
      <c r="BE696" s="4"/>
      <c r="BF696" s="4" t="s">
        <v>3874</v>
      </c>
      <c r="BG696" s="4">
        <v>1500</v>
      </c>
      <c r="BH696" s="4">
        <v>1500</v>
      </c>
      <c r="BI696" s="4">
        <f t="shared" si="111"/>
        <v>1500</v>
      </c>
      <c r="BJ696" s="19">
        <v>4</v>
      </c>
      <c r="BK696" s="19">
        <v>8</v>
      </c>
      <c r="BL696" s="16">
        <v>6</v>
      </c>
      <c r="BM696" s="45" t="s">
        <v>3534</v>
      </c>
      <c r="BN696" t="s">
        <v>3534</v>
      </c>
      <c r="BO696" t="str">
        <f t="shared" si="104"/>
        <v>-</v>
      </c>
      <c r="BP696" t="s">
        <v>3534</v>
      </c>
      <c r="BQ696">
        <v>965</v>
      </c>
      <c r="BR696">
        <f t="shared" si="105"/>
        <v>960.71111111111111</v>
      </c>
      <c r="BS696" t="s">
        <v>3053</v>
      </c>
    </row>
    <row r="697" spans="1:71" x14ac:dyDescent="0.4">
      <c r="A697" s="3">
        <v>694</v>
      </c>
      <c r="B697" s="3">
        <v>694</v>
      </c>
      <c r="C697" s="4" t="s">
        <v>756</v>
      </c>
      <c r="D697" s="4" t="str">
        <f t="shared" si="106"/>
        <v>J6560P</v>
      </c>
      <c r="E697" s="4" t="s">
        <v>756</v>
      </c>
      <c r="F697" s="4" t="s">
        <v>1974</v>
      </c>
      <c r="G697" s="5">
        <v>4521718072852</v>
      </c>
      <c r="H697" s="5"/>
      <c r="I697" s="5"/>
      <c r="J697" s="5">
        <v>1</v>
      </c>
      <c r="K697" s="5">
        <v>1</v>
      </c>
      <c r="L697" s="4">
        <v>1210</v>
      </c>
      <c r="M697" s="4">
        <v>735</v>
      </c>
      <c r="N697" s="4">
        <v>541</v>
      </c>
      <c r="O697" s="6">
        <f t="shared" si="107"/>
        <v>0.2639455782312925</v>
      </c>
      <c r="P697" s="4" t="s">
        <v>2500</v>
      </c>
      <c r="Q697" s="4"/>
      <c r="R697" s="4"/>
      <c r="S697" s="4"/>
      <c r="T697" s="4"/>
      <c r="U697" s="4"/>
      <c r="V697" s="4"/>
      <c r="W697" s="4"/>
      <c r="X697" s="4"/>
      <c r="Y697" s="4">
        <v>737</v>
      </c>
      <c r="Z697" s="4">
        <f t="shared" si="108"/>
        <v>737</v>
      </c>
      <c r="AA697" s="4">
        <v>516</v>
      </c>
      <c r="AB697" s="4">
        <f t="shared" si="109"/>
        <v>516</v>
      </c>
      <c r="AC697" s="4"/>
      <c r="AD697" s="21">
        <f>ROUND(M697*AR697,0)</f>
        <v>701</v>
      </c>
      <c r="AE697" s="6">
        <f>1-AB697/AD697</f>
        <v>0.26390870185449355</v>
      </c>
      <c r="AF697" s="33">
        <v>0</v>
      </c>
      <c r="AG697" s="4">
        <f t="shared" si="110"/>
        <v>773</v>
      </c>
      <c r="AH697" s="33">
        <f t="shared" si="103"/>
        <v>737.27911275415897</v>
      </c>
      <c r="AI697" s="6">
        <f>1-AB697/AH697</f>
        <v>0.30012936610608021</v>
      </c>
      <c r="AJ697" s="7">
        <v>737</v>
      </c>
      <c r="AK697" s="6">
        <f>1-AB697/AJ697</f>
        <v>0.29986431478968789</v>
      </c>
      <c r="AL697" s="4">
        <f>AJ697-AB697</f>
        <v>221</v>
      </c>
      <c r="AM697" s="28"/>
      <c r="AN697" s="6"/>
      <c r="AO697" s="6"/>
      <c r="AP697" s="6">
        <f>Z697/L697</f>
        <v>0.60909090909090913</v>
      </c>
      <c r="AQ697" s="6">
        <f>AJ697/M697</f>
        <v>1.0027210884353741</v>
      </c>
      <c r="AR697" s="6">
        <f>AB697/N697</f>
        <v>0.95378927911275413</v>
      </c>
      <c r="AS697" s="4"/>
      <c r="AT697" s="4"/>
      <c r="AU697" s="4"/>
      <c r="AV697" s="4"/>
      <c r="AW697" s="4"/>
      <c r="AX697" s="4"/>
      <c r="AY697" s="4"/>
      <c r="AZ697" s="4"/>
      <c r="BA697" s="4"/>
      <c r="BB697" s="4">
        <v>0</v>
      </c>
      <c r="BC697" s="4" t="s">
        <v>4173</v>
      </c>
      <c r="BD697" s="4"/>
      <c r="BE697" s="4"/>
      <c r="BF697" s="4" t="s">
        <v>3545</v>
      </c>
      <c r="BG697" s="4">
        <v>773</v>
      </c>
      <c r="BH697" s="4">
        <v>773</v>
      </c>
      <c r="BI697" s="4">
        <f t="shared" si="111"/>
        <v>773</v>
      </c>
      <c r="BJ697" s="19">
        <v>4</v>
      </c>
      <c r="BK697" s="19">
        <v>8</v>
      </c>
      <c r="BL697" s="16">
        <v>6</v>
      </c>
      <c r="BM697" s="45" t="s">
        <v>3534</v>
      </c>
      <c r="BN697" t="s">
        <v>3534</v>
      </c>
      <c r="BO697" t="str">
        <f t="shared" si="104"/>
        <v>-</v>
      </c>
      <c r="BP697" t="s">
        <v>3534</v>
      </c>
      <c r="BQ697">
        <v>773</v>
      </c>
      <c r="BR697">
        <f t="shared" si="105"/>
        <v>737.27911275415897</v>
      </c>
      <c r="BS697" t="s">
        <v>3054</v>
      </c>
    </row>
    <row r="698" spans="1:71" x14ac:dyDescent="0.4">
      <c r="A698" s="3">
        <v>695</v>
      </c>
      <c r="B698" s="3">
        <v>695</v>
      </c>
      <c r="C698" s="4" t="s">
        <v>757</v>
      </c>
      <c r="D698" s="4" t="str">
        <f t="shared" si="106"/>
        <v>J6562P</v>
      </c>
      <c r="E698" s="4" t="s">
        <v>757</v>
      </c>
      <c r="F698" s="4" t="s">
        <v>1975</v>
      </c>
      <c r="G698" s="5">
        <v>4521718075693</v>
      </c>
      <c r="H698" s="5"/>
      <c r="I698" s="5"/>
      <c r="J698" s="5">
        <v>1</v>
      </c>
      <c r="K698" s="5">
        <v>1</v>
      </c>
      <c r="L698" s="4">
        <v>520</v>
      </c>
      <c r="M698" s="4">
        <v>341</v>
      </c>
      <c r="N698" s="4">
        <v>230</v>
      </c>
      <c r="O698" s="6">
        <f t="shared" si="107"/>
        <v>0.32551319648093846</v>
      </c>
      <c r="P698" s="4" t="s">
        <v>2500</v>
      </c>
      <c r="Q698" s="4"/>
      <c r="R698" s="4"/>
      <c r="S698" s="4"/>
      <c r="T698" s="4"/>
      <c r="U698" s="4"/>
      <c r="V698" s="4"/>
      <c r="W698" s="4"/>
      <c r="X698" s="4"/>
      <c r="Y698" s="4">
        <v>328</v>
      </c>
      <c r="Z698" s="4">
        <f t="shared" si="108"/>
        <v>328</v>
      </c>
      <c r="AA698" s="4">
        <v>230</v>
      </c>
      <c r="AB698" s="4">
        <f t="shared" si="109"/>
        <v>230</v>
      </c>
      <c r="AC698" s="4"/>
      <c r="AD698" s="21">
        <f>ROUND(M698*AR698,0)</f>
        <v>341</v>
      </c>
      <c r="AE698" s="6">
        <f>1-AB698/AD698</f>
        <v>0.32551319648093846</v>
      </c>
      <c r="AF698" s="33">
        <v>0</v>
      </c>
      <c r="AG698" s="4">
        <f t="shared" si="110"/>
        <v>214</v>
      </c>
      <c r="AH698" s="33">
        <f t="shared" si="103"/>
        <v>214</v>
      </c>
      <c r="AI698" s="6">
        <f>1-AB698/AH698</f>
        <v>-7.4766355140186924E-2</v>
      </c>
      <c r="AJ698" s="7">
        <v>328</v>
      </c>
      <c r="AK698" s="6">
        <f>1-AB698/AJ698</f>
        <v>0.29878048780487809</v>
      </c>
      <c r="AL698" s="4">
        <f>AJ698-AB698</f>
        <v>98</v>
      </c>
      <c r="AM698" s="28"/>
      <c r="AN698" s="6"/>
      <c r="AO698" s="6"/>
      <c r="AP698" s="6">
        <f>Z698/L698</f>
        <v>0.63076923076923075</v>
      </c>
      <c r="AQ698" s="6">
        <f>AJ698/M698</f>
        <v>0.96187683284457481</v>
      </c>
      <c r="AR698" s="6">
        <f>AB698/N698</f>
        <v>1</v>
      </c>
      <c r="AS698" s="4"/>
      <c r="AT698" s="4"/>
      <c r="AU698" s="4"/>
      <c r="AV698" s="4"/>
      <c r="AW698" s="4"/>
      <c r="AX698" s="4"/>
      <c r="AY698" s="4"/>
      <c r="AZ698" s="4"/>
      <c r="BA698" s="4"/>
      <c r="BB698" s="4">
        <v>0</v>
      </c>
      <c r="BC698" s="4" t="s">
        <v>4174</v>
      </c>
      <c r="BD698" s="4"/>
      <c r="BE698" s="4"/>
      <c r="BF698" s="4" t="s">
        <v>3545</v>
      </c>
      <c r="BG698" s="4">
        <v>214</v>
      </c>
      <c r="BH698" s="4">
        <v>214</v>
      </c>
      <c r="BI698" s="4">
        <f t="shared" si="111"/>
        <v>214</v>
      </c>
      <c r="BJ698" s="19">
        <v>4</v>
      </c>
      <c r="BK698" s="19">
        <v>8</v>
      </c>
      <c r="BL698" s="16">
        <v>6</v>
      </c>
      <c r="BM698" s="45" t="s">
        <v>3534</v>
      </c>
      <c r="BN698" t="s">
        <v>3534</v>
      </c>
      <c r="BO698" t="str">
        <f t="shared" si="104"/>
        <v>-</v>
      </c>
      <c r="BP698" t="s">
        <v>3534</v>
      </c>
      <c r="BQ698">
        <v>319</v>
      </c>
      <c r="BR698">
        <f t="shared" si="105"/>
        <v>319</v>
      </c>
      <c r="BS698" t="s">
        <v>3055</v>
      </c>
    </row>
    <row r="699" spans="1:71" x14ac:dyDescent="0.4">
      <c r="A699" s="3">
        <v>696</v>
      </c>
      <c r="B699" s="3">
        <v>696</v>
      </c>
      <c r="C699" s="4" t="s">
        <v>758</v>
      </c>
      <c r="D699" s="4" t="str">
        <f t="shared" si="106"/>
        <v>J6563P</v>
      </c>
      <c r="E699" s="4" t="s">
        <v>758</v>
      </c>
      <c r="F699" s="4" t="s">
        <v>1976</v>
      </c>
      <c r="G699" s="5">
        <v>4521718075709</v>
      </c>
      <c r="H699" s="5"/>
      <c r="I699" s="5"/>
      <c r="J699" s="5">
        <v>1</v>
      </c>
      <c r="K699" s="5">
        <v>1</v>
      </c>
      <c r="L699" s="4">
        <v>520</v>
      </c>
      <c r="M699" s="4">
        <v>334</v>
      </c>
      <c r="N699" s="4">
        <v>230</v>
      </c>
      <c r="O699" s="6">
        <f t="shared" si="107"/>
        <v>0.31137724550898205</v>
      </c>
      <c r="P699" s="4" t="s">
        <v>2500</v>
      </c>
      <c r="Q699" s="4"/>
      <c r="R699" s="4"/>
      <c r="S699" s="4"/>
      <c r="T699" s="4"/>
      <c r="U699" s="4"/>
      <c r="V699" s="4"/>
      <c r="W699" s="4"/>
      <c r="X699" s="4"/>
      <c r="Y699" s="4">
        <v>328</v>
      </c>
      <c r="Z699" s="4">
        <f t="shared" si="108"/>
        <v>328</v>
      </c>
      <c r="AA699" s="4">
        <v>230</v>
      </c>
      <c r="AB699" s="4">
        <f t="shared" si="109"/>
        <v>230</v>
      </c>
      <c r="AC699" s="4"/>
      <c r="AD699" s="21">
        <f>ROUND(M699*AR699,0)</f>
        <v>334</v>
      </c>
      <c r="AE699" s="6">
        <f>1-AB699/AD699</f>
        <v>0.31137724550898205</v>
      </c>
      <c r="AF699" s="33">
        <v>0</v>
      </c>
      <c r="AG699" s="4">
        <f t="shared" si="110"/>
        <v>550</v>
      </c>
      <c r="AH699" s="33">
        <f t="shared" si="103"/>
        <v>550</v>
      </c>
      <c r="AI699" s="6">
        <f>1-AB699/AH699</f>
        <v>0.58181818181818179</v>
      </c>
      <c r="AJ699" s="7">
        <v>328</v>
      </c>
      <c r="AK699" s="6">
        <f>1-AB699/AJ699</f>
        <v>0.29878048780487809</v>
      </c>
      <c r="AL699" s="4">
        <f>AJ699-AB699</f>
        <v>98</v>
      </c>
      <c r="AM699" s="28"/>
      <c r="AN699" s="6"/>
      <c r="AO699" s="6"/>
      <c r="AP699" s="6">
        <f>Z699/L699</f>
        <v>0.63076923076923075</v>
      </c>
      <c r="AQ699" s="6">
        <f>AJ699/M699</f>
        <v>0.98203592814371254</v>
      </c>
      <c r="AR699" s="6">
        <f>AB699/N699</f>
        <v>1</v>
      </c>
      <c r="AS699" s="4"/>
      <c r="AT699" s="4"/>
      <c r="AU699" s="4"/>
      <c r="AV699" s="4"/>
      <c r="AW699" s="4"/>
      <c r="AX699" s="4"/>
      <c r="AY699" s="4"/>
      <c r="AZ699" s="4"/>
      <c r="BA699" s="4"/>
      <c r="BB699" s="4">
        <v>0</v>
      </c>
      <c r="BC699" s="4" t="s">
        <v>4175</v>
      </c>
      <c r="BD699" s="4">
        <v>1</v>
      </c>
      <c r="BE699" s="4">
        <v>3</v>
      </c>
      <c r="BF699" s="4" t="s">
        <v>3638</v>
      </c>
      <c r="BG699" s="4">
        <v>1650</v>
      </c>
      <c r="BH699" s="4">
        <v>1650</v>
      </c>
      <c r="BI699" s="4">
        <f t="shared" si="111"/>
        <v>550</v>
      </c>
      <c r="BJ699" s="19">
        <v>4</v>
      </c>
      <c r="BK699" s="19">
        <v>8</v>
      </c>
      <c r="BL699" s="16">
        <v>6</v>
      </c>
      <c r="BM699" s="45" t="s">
        <v>3534</v>
      </c>
      <c r="BN699" t="s">
        <v>3534</v>
      </c>
      <c r="BO699" t="str">
        <f t="shared" si="104"/>
        <v>-</v>
      </c>
      <c r="BP699" t="s">
        <v>3534</v>
      </c>
      <c r="BQ699">
        <v>355</v>
      </c>
      <c r="BR699">
        <f t="shared" si="105"/>
        <v>355</v>
      </c>
      <c r="BS699" t="s">
        <v>3056</v>
      </c>
    </row>
    <row r="700" spans="1:71" x14ac:dyDescent="0.4">
      <c r="A700" s="3">
        <v>697</v>
      </c>
      <c r="B700" s="3">
        <v>697</v>
      </c>
      <c r="C700" s="4" t="s">
        <v>759</v>
      </c>
      <c r="D700" s="4" t="str">
        <f t="shared" si="106"/>
        <v>J656TN</v>
      </c>
      <c r="E700" s="4" t="s">
        <v>759</v>
      </c>
      <c r="F700" s="4" t="s">
        <v>1977</v>
      </c>
      <c r="G700" s="5">
        <v>4521718122779</v>
      </c>
      <c r="H700" s="5"/>
      <c r="I700" s="5"/>
      <c r="J700" s="5">
        <v>1</v>
      </c>
      <c r="K700" s="5">
        <v>1</v>
      </c>
      <c r="L700" s="4">
        <v>640</v>
      </c>
      <c r="M700" s="4">
        <v>437</v>
      </c>
      <c r="N700" s="4">
        <v>284</v>
      </c>
      <c r="O700" s="6">
        <f t="shared" si="107"/>
        <v>0.35011441647597252</v>
      </c>
      <c r="P700" s="4" t="s">
        <v>2500</v>
      </c>
      <c r="Q700" s="4"/>
      <c r="R700" s="4"/>
      <c r="S700" s="4"/>
      <c r="T700" s="4"/>
      <c r="U700" s="4"/>
      <c r="V700" s="4"/>
      <c r="W700" s="4"/>
      <c r="X700" s="4"/>
      <c r="Y700" s="4">
        <v>437</v>
      </c>
      <c r="Z700" s="4">
        <f t="shared" si="108"/>
        <v>437</v>
      </c>
      <c r="AA700" s="4">
        <v>284</v>
      </c>
      <c r="AB700" s="4">
        <f t="shared" si="109"/>
        <v>284</v>
      </c>
      <c r="AC700" s="4"/>
      <c r="AD700" s="21">
        <f>ROUND(M700*AR700,0)</f>
        <v>437</v>
      </c>
      <c r="AE700" s="6">
        <f>1-AB700/AD700</f>
        <v>0.35011441647597252</v>
      </c>
      <c r="AF700" s="33">
        <v>0</v>
      </c>
      <c r="AG700" s="4" t="str">
        <f t="shared" si="110"/>
        <v>-</v>
      </c>
      <c r="AH700" s="33" t="e">
        <f t="shared" si="103"/>
        <v>#VALUE!</v>
      </c>
      <c r="AI700" s="6" t="e">
        <f>1-AB700/AH700</f>
        <v>#VALUE!</v>
      </c>
      <c r="AJ700" s="7">
        <f>ROUND(AB700/0.65,0)</f>
        <v>437</v>
      </c>
      <c r="AK700" s="6">
        <f>1-AB700/AJ700</f>
        <v>0.35011441647597252</v>
      </c>
      <c r="AL700" s="4">
        <f>AJ700-AB700</f>
        <v>153</v>
      </c>
      <c r="AM700" s="28"/>
      <c r="AN700" s="6"/>
      <c r="AO700" s="6"/>
      <c r="AP700" s="6">
        <f>Z700/L700</f>
        <v>0.68281250000000004</v>
      </c>
      <c r="AQ700" s="6">
        <f>AJ700/M700</f>
        <v>1</v>
      </c>
      <c r="AR700" s="6">
        <f>AB700/N700</f>
        <v>1</v>
      </c>
      <c r="AS700" s="4"/>
      <c r="AT700" s="4"/>
      <c r="AU700" s="4"/>
      <c r="AV700" s="4"/>
      <c r="AW700" s="4"/>
      <c r="AX700" s="4"/>
      <c r="AY700" s="4"/>
      <c r="AZ700" s="4"/>
      <c r="BA700" s="4"/>
      <c r="BB700" s="4">
        <v>0</v>
      </c>
      <c r="BC700" s="4" t="s">
        <v>3534</v>
      </c>
      <c r="BD700" s="4"/>
      <c r="BE700" s="4"/>
      <c r="BF700" s="4" t="s">
        <v>3534</v>
      </c>
      <c r="BG700" s="4" t="s">
        <v>3534</v>
      </c>
      <c r="BH700" s="4" t="s">
        <v>3534</v>
      </c>
      <c r="BI700" s="4" t="str">
        <f t="shared" si="111"/>
        <v>-</v>
      </c>
      <c r="BJ700" s="19">
        <v>4</v>
      </c>
      <c r="BK700" s="19">
        <v>8</v>
      </c>
      <c r="BL700" s="16">
        <v>6</v>
      </c>
      <c r="BM700" s="45" t="s">
        <v>3534</v>
      </c>
      <c r="BN700" t="s">
        <v>3534</v>
      </c>
      <c r="BO700" t="str">
        <f t="shared" si="104"/>
        <v>-</v>
      </c>
      <c r="BP700">
        <v>437</v>
      </c>
      <c r="BQ700">
        <v>437</v>
      </c>
      <c r="BR700">
        <f t="shared" si="105"/>
        <v>437</v>
      </c>
      <c r="BS700" t="s">
        <v>3534</v>
      </c>
    </row>
    <row r="701" spans="1:71" x14ac:dyDescent="0.4">
      <c r="A701" s="42">
        <v>698</v>
      </c>
      <c r="B701" s="3">
        <v>698</v>
      </c>
      <c r="C701" s="4" t="s">
        <v>760</v>
      </c>
      <c r="D701" s="4" t="str">
        <f t="shared" si="106"/>
        <v>J656WG</v>
      </c>
      <c r="E701" s="4" t="s">
        <v>760</v>
      </c>
      <c r="F701" s="4" t="s">
        <v>1978</v>
      </c>
      <c r="G701" s="5">
        <v>4521718184210</v>
      </c>
      <c r="H701" s="5"/>
      <c r="I701" s="5"/>
      <c r="J701" s="5">
        <v>1</v>
      </c>
      <c r="K701" s="5">
        <v>1</v>
      </c>
      <c r="L701" s="4">
        <v>4090</v>
      </c>
      <c r="M701" s="4">
        <v>2860</v>
      </c>
      <c r="N701" s="4">
        <v>2127</v>
      </c>
      <c r="O701" s="6">
        <f t="shared" si="107"/>
        <v>0.25629370629370629</v>
      </c>
      <c r="P701" s="4" t="s">
        <v>2500</v>
      </c>
      <c r="Q701" s="4"/>
      <c r="R701" s="4"/>
      <c r="S701" s="4"/>
      <c r="T701" s="4"/>
      <c r="U701" s="4"/>
      <c r="V701" s="4"/>
      <c r="W701" s="4"/>
      <c r="X701" s="4"/>
      <c r="Y701" s="4">
        <v>3273</v>
      </c>
      <c r="Z701" s="4">
        <f t="shared" si="108"/>
        <v>3273</v>
      </c>
      <c r="AA701" s="4">
        <v>2291</v>
      </c>
      <c r="AB701" s="4">
        <f t="shared" si="109"/>
        <v>2291</v>
      </c>
      <c r="AC701" s="4"/>
      <c r="AD701" s="21">
        <f>ROUND(M701*AR701,0)</f>
        <v>3081</v>
      </c>
      <c r="AE701" s="6">
        <f>1-AB701/AD701</f>
        <v>0.25641025641025639</v>
      </c>
      <c r="AF701" s="33">
        <v>0</v>
      </c>
      <c r="AG701" s="4">
        <f t="shared" si="110"/>
        <v>4090</v>
      </c>
      <c r="AH701" s="33">
        <f t="shared" si="103"/>
        <v>4405.3549600376118</v>
      </c>
      <c r="AI701" s="6">
        <f>1-AB701/AH701</f>
        <v>0.47995110024449883</v>
      </c>
      <c r="AJ701" s="7">
        <v>3273</v>
      </c>
      <c r="AK701" s="6">
        <f>1-AB701/AJ701</f>
        <v>0.30003055300947146</v>
      </c>
      <c r="AL701" s="4">
        <f>AJ701-AB701</f>
        <v>982</v>
      </c>
      <c r="AM701" s="28"/>
      <c r="AN701" s="6"/>
      <c r="AO701" s="6"/>
      <c r="AP701" s="6">
        <f>Z701/L701</f>
        <v>0.80024449877750614</v>
      </c>
      <c r="AQ701" s="6">
        <f>AJ701/M701</f>
        <v>1.1444055944055944</v>
      </c>
      <c r="AR701" s="6">
        <f>AB701/N701</f>
        <v>1.0771039022096851</v>
      </c>
      <c r="AS701" s="4"/>
      <c r="AT701" s="4"/>
      <c r="AU701" s="4"/>
      <c r="AV701" s="4"/>
      <c r="AW701" s="4"/>
      <c r="AX701" s="4"/>
      <c r="AY701" s="4"/>
      <c r="AZ701" s="4"/>
      <c r="BA701" s="4"/>
      <c r="BB701" s="4">
        <v>0</v>
      </c>
      <c r="BC701" s="4" t="s">
        <v>4176</v>
      </c>
      <c r="BD701" s="4"/>
      <c r="BE701" s="4"/>
      <c r="BF701" s="4" t="s">
        <v>3538</v>
      </c>
      <c r="BG701" s="4">
        <v>4090</v>
      </c>
      <c r="BH701" s="4">
        <v>4090</v>
      </c>
      <c r="BI701" s="4">
        <f t="shared" si="111"/>
        <v>4090</v>
      </c>
      <c r="BJ701" s="19">
        <v>2</v>
      </c>
      <c r="BK701" s="19">
        <v>8</v>
      </c>
      <c r="BL701" s="16">
        <v>6</v>
      </c>
      <c r="BM701" s="45" t="s">
        <v>3534</v>
      </c>
      <c r="BN701" t="s">
        <v>3534</v>
      </c>
      <c r="BO701" t="str">
        <f t="shared" si="104"/>
        <v>-</v>
      </c>
      <c r="BP701" t="s">
        <v>3534</v>
      </c>
      <c r="BQ701">
        <v>3886</v>
      </c>
      <c r="BR701">
        <f t="shared" si="105"/>
        <v>4185.6257639868363</v>
      </c>
      <c r="BS701" t="s">
        <v>3057</v>
      </c>
    </row>
    <row r="702" spans="1:71" x14ac:dyDescent="0.4">
      <c r="A702" s="3">
        <v>699</v>
      </c>
      <c r="B702" s="3">
        <v>699</v>
      </c>
      <c r="C702" s="4" t="s">
        <v>761</v>
      </c>
      <c r="D702" s="4" t="str">
        <f t="shared" si="106"/>
        <v>J6570P</v>
      </c>
      <c r="E702" s="4" t="s">
        <v>761</v>
      </c>
      <c r="F702" s="4" t="s">
        <v>1979</v>
      </c>
      <c r="G702" s="5">
        <v>4521718095820</v>
      </c>
      <c r="H702" s="5"/>
      <c r="I702" s="5"/>
      <c r="J702" s="5">
        <v>1</v>
      </c>
      <c r="K702" s="5">
        <v>1</v>
      </c>
      <c r="L702" s="4">
        <v>490</v>
      </c>
      <c r="M702" s="4">
        <v>321</v>
      </c>
      <c r="N702" s="4">
        <v>219</v>
      </c>
      <c r="O702" s="6">
        <f t="shared" si="107"/>
        <v>0.31775700934579443</v>
      </c>
      <c r="P702" s="4" t="s">
        <v>2500</v>
      </c>
      <c r="Q702" s="4"/>
      <c r="R702" s="4"/>
      <c r="S702" s="4"/>
      <c r="T702" s="4"/>
      <c r="U702" s="4"/>
      <c r="V702" s="4"/>
      <c r="W702" s="4"/>
      <c r="X702" s="4"/>
      <c r="Y702" s="4">
        <v>337</v>
      </c>
      <c r="Z702" s="4">
        <f t="shared" si="108"/>
        <v>337</v>
      </c>
      <c r="AA702" s="4">
        <v>219</v>
      </c>
      <c r="AB702" s="4">
        <f t="shared" si="109"/>
        <v>219</v>
      </c>
      <c r="AC702" s="4"/>
      <c r="AD702" s="21">
        <f>ROUND(M702*AR702,0)</f>
        <v>321</v>
      </c>
      <c r="AE702" s="6">
        <f>1-AB702/AD702</f>
        <v>0.31775700934579443</v>
      </c>
      <c r="AF702" s="33">
        <v>0.25</v>
      </c>
      <c r="AG702" s="4">
        <f t="shared" si="110"/>
        <v>340</v>
      </c>
      <c r="AH702" s="33">
        <f t="shared" si="103"/>
        <v>340</v>
      </c>
      <c r="AI702" s="6">
        <f>1-AB702/AH702</f>
        <v>0.35588235294117643</v>
      </c>
      <c r="AJ702" s="7">
        <f>ROUND(AB702/0.65,0)</f>
        <v>337</v>
      </c>
      <c r="AK702" s="6">
        <f>1-AB702/AJ702</f>
        <v>0.35014836795252224</v>
      </c>
      <c r="AL702" s="4">
        <f>AJ702-AB702</f>
        <v>118</v>
      </c>
      <c r="AM702" s="28"/>
      <c r="AN702" s="6"/>
      <c r="AO702" s="6"/>
      <c r="AP702" s="6">
        <f>Z702/L702</f>
        <v>0.68775510204081636</v>
      </c>
      <c r="AQ702" s="6">
        <f>AJ702/M702</f>
        <v>1.0498442367601246</v>
      </c>
      <c r="AR702" s="6">
        <f>AB702/N702</f>
        <v>1</v>
      </c>
      <c r="AS702" s="4"/>
      <c r="AT702" s="4"/>
      <c r="AU702" s="4"/>
      <c r="AV702" s="4"/>
      <c r="AW702" s="4"/>
      <c r="AX702" s="4"/>
      <c r="AY702" s="4"/>
      <c r="AZ702" s="4"/>
      <c r="BA702" s="4"/>
      <c r="BB702" s="4">
        <v>0</v>
      </c>
      <c r="BC702" s="4" t="s">
        <v>4177</v>
      </c>
      <c r="BD702" s="4">
        <v>1</v>
      </c>
      <c r="BE702" s="4">
        <v>5</v>
      </c>
      <c r="BF702" s="4" t="s">
        <v>3746</v>
      </c>
      <c r="BG702" s="4">
        <v>1700</v>
      </c>
      <c r="BH702" s="4">
        <v>1700</v>
      </c>
      <c r="BI702" s="4">
        <f t="shared" si="111"/>
        <v>340</v>
      </c>
      <c r="BJ702" s="19">
        <v>4</v>
      </c>
      <c r="BK702" s="19">
        <v>8</v>
      </c>
      <c r="BL702" s="16">
        <v>6</v>
      </c>
      <c r="BM702" s="45" t="s">
        <v>3534</v>
      </c>
      <c r="BN702" t="s">
        <v>3534</v>
      </c>
      <c r="BO702" t="str">
        <f t="shared" si="104"/>
        <v>-</v>
      </c>
      <c r="BP702" t="s">
        <v>3534</v>
      </c>
      <c r="BQ702">
        <v>319</v>
      </c>
      <c r="BR702">
        <f t="shared" si="105"/>
        <v>319</v>
      </c>
      <c r="BS702" t="s">
        <v>3058</v>
      </c>
    </row>
    <row r="703" spans="1:71" x14ac:dyDescent="0.4">
      <c r="A703" s="3">
        <v>700</v>
      </c>
      <c r="B703" s="3">
        <v>700</v>
      </c>
      <c r="C703" s="4" t="s">
        <v>762</v>
      </c>
      <c r="D703" s="4" t="str">
        <f t="shared" si="106"/>
        <v>J6571P</v>
      </c>
      <c r="E703" s="4" t="s">
        <v>762</v>
      </c>
      <c r="F703" s="4" t="s">
        <v>1980</v>
      </c>
      <c r="G703" s="5">
        <v>4521718107530</v>
      </c>
      <c r="H703" s="5"/>
      <c r="I703" s="5"/>
      <c r="J703" s="5">
        <v>1</v>
      </c>
      <c r="K703" s="5">
        <v>1</v>
      </c>
      <c r="L703" s="4">
        <v>930</v>
      </c>
      <c r="M703" s="4">
        <v>710</v>
      </c>
      <c r="N703" s="4">
        <v>485</v>
      </c>
      <c r="O703" s="6">
        <f t="shared" si="107"/>
        <v>0.31690140845070425</v>
      </c>
      <c r="P703" s="4" t="s">
        <v>2500</v>
      </c>
      <c r="Q703" s="4"/>
      <c r="R703" s="4"/>
      <c r="S703" s="4"/>
      <c r="T703" s="4"/>
      <c r="U703" s="4"/>
      <c r="V703" s="4"/>
      <c r="W703" s="4"/>
      <c r="X703" s="4"/>
      <c r="Y703" s="4">
        <v>773</v>
      </c>
      <c r="Z703" s="4">
        <f t="shared" si="108"/>
        <v>773</v>
      </c>
      <c r="AA703" s="4">
        <v>502</v>
      </c>
      <c r="AB703" s="4">
        <f t="shared" si="109"/>
        <v>502</v>
      </c>
      <c r="AC703" s="4"/>
      <c r="AD703" s="21">
        <f>ROUND(M703*AR703,0)</f>
        <v>735</v>
      </c>
      <c r="AE703" s="6">
        <f>1-AB703/AD703</f>
        <v>0.31700680272108839</v>
      </c>
      <c r="AF703" s="33">
        <v>0</v>
      </c>
      <c r="AG703" s="4">
        <f t="shared" si="110"/>
        <v>1100</v>
      </c>
      <c r="AH703" s="33">
        <f t="shared" si="103"/>
        <v>1138.556701030928</v>
      </c>
      <c r="AI703" s="6">
        <f>1-AB703/AH703</f>
        <v>0.55909090909090908</v>
      </c>
      <c r="AJ703" s="7">
        <f>ROUND(AB703/0.65,0)</f>
        <v>772</v>
      </c>
      <c r="AK703" s="6">
        <f>1-AB703/AJ703</f>
        <v>0.34974093264248707</v>
      </c>
      <c r="AL703" s="4">
        <f>AJ703-AB703</f>
        <v>270</v>
      </c>
      <c r="AM703" s="28"/>
      <c r="AN703" s="6"/>
      <c r="AO703" s="6"/>
      <c r="AP703" s="6">
        <f>Z703/L703</f>
        <v>0.83118279569892473</v>
      </c>
      <c r="AQ703" s="6">
        <f>AJ703/M703</f>
        <v>1.0873239436619719</v>
      </c>
      <c r="AR703" s="6">
        <f>AB703/N703</f>
        <v>1.0350515463917527</v>
      </c>
      <c r="AS703" s="4"/>
      <c r="AT703" s="4"/>
      <c r="AU703" s="4"/>
      <c r="AV703" s="4"/>
      <c r="AW703" s="4"/>
      <c r="AX703" s="4"/>
      <c r="AY703" s="4"/>
      <c r="AZ703" s="4"/>
      <c r="BA703" s="4"/>
      <c r="BB703" s="4">
        <v>0</v>
      </c>
      <c r="BC703" s="4" t="s">
        <v>4178</v>
      </c>
      <c r="BD703" s="4"/>
      <c r="BE703" s="4"/>
      <c r="BF703" s="4" t="s">
        <v>3874</v>
      </c>
      <c r="BG703" s="4">
        <v>1100</v>
      </c>
      <c r="BH703" s="4">
        <v>1100</v>
      </c>
      <c r="BI703" s="4">
        <f t="shared" si="111"/>
        <v>1100</v>
      </c>
      <c r="BJ703" s="19">
        <v>4</v>
      </c>
      <c r="BK703" s="19">
        <v>8</v>
      </c>
      <c r="BL703" s="16">
        <v>5</v>
      </c>
      <c r="BM703" s="45" t="s">
        <v>3534</v>
      </c>
      <c r="BN703" t="s">
        <v>3534</v>
      </c>
      <c r="BO703" t="str">
        <f t="shared" si="104"/>
        <v>-</v>
      </c>
      <c r="BP703" t="s">
        <v>3534</v>
      </c>
      <c r="BQ703">
        <v>725</v>
      </c>
      <c r="BR703">
        <f t="shared" si="105"/>
        <v>750.41237113402065</v>
      </c>
      <c r="BS703" t="s">
        <v>3059</v>
      </c>
    </row>
    <row r="704" spans="1:71" x14ac:dyDescent="0.4">
      <c r="A704" s="42">
        <v>701</v>
      </c>
      <c r="B704" s="3">
        <v>701</v>
      </c>
      <c r="C704" s="4" t="s">
        <v>763</v>
      </c>
      <c r="D704" s="4" t="str">
        <f t="shared" si="106"/>
        <v>J6572P</v>
      </c>
      <c r="E704" s="4" t="s">
        <v>763</v>
      </c>
      <c r="F704" s="4" t="s">
        <v>1981</v>
      </c>
      <c r="G704" s="5">
        <v>4521718111308</v>
      </c>
      <c r="H704" s="5"/>
      <c r="I704" s="5"/>
      <c r="J704" s="5">
        <v>1</v>
      </c>
      <c r="K704" s="5">
        <v>1</v>
      </c>
      <c r="L704" s="4">
        <v>1820</v>
      </c>
      <c r="M704" s="4">
        <v>1549</v>
      </c>
      <c r="N704" s="4">
        <v>815</v>
      </c>
      <c r="O704" s="6">
        <f t="shared" si="107"/>
        <v>0.47385409941897993</v>
      </c>
      <c r="P704" s="4" t="s">
        <v>2500</v>
      </c>
      <c r="Q704" s="4"/>
      <c r="R704" s="4"/>
      <c r="S704" s="4"/>
      <c r="T704" s="4"/>
      <c r="U704" s="4"/>
      <c r="V704" s="4"/>
      <c r="W704" s="4"/>
      <c r="X704" s="4"/>
      <c r="Y704" s="4">
        <v>1173</v>
      </c>
      <c r="Z704" s="4">
        <f t="shared" si="108"/>
        <v>1173</v>
      </c>
      <c r="AA704" s="4">
        <v>821</v>
      </c>
      <c r="AB704" s="4">
        <f t="shared" si="109"/>
        <v>821</v>
      </c>
      <c r="AC704" s="4"/>
      <c r="AD704" s="21">
        <f>ROUND(M704*AR704,0)</f>
        <v>1560</v>
      </c>
      <c r="AE704" s="6">
        <f>1-AB704/AD704</f>
        <v>0.4737179487179487</v>
      </c>
      <c r="AF704" s="33">
        <v>0.25</v>
      </c>
      <c r="AG704" s="4">
        <f t="shared" si="110"/>
        <v>1800</v>
      </c>
      <c r="AH704" s="33">
        <f t="shared" si="103"/>
        <v>1813.2515337423313</v>
      </c>
      <c r="AI704" s="6">
        <f>1-AB704/AH704</f>
        <v>0.54722222222222228</v>
      </c>
      <c r="AJ704" s="7">
        <v>1600</v>
      </c>
      <c r="AK704" s="6">
        <f>1-AB704/AJ704</f>
        <v>0.48687499999999995</v>
      </c>
      <c r="AL704" s="4">
        <f>AJ704-AB704</f>
        <v>779</v>
      </c>
      <c r="AM704" s="28"/>
      <c r="AN704" s="6"/>
      <c r="AO704" s="6"/>
      <c r="AP704" s="6">
        <f>Z704/L704</f>
        <v>0.64450549450549455</v>
      </c>
      <c r="AQ704" s="6">
        <f>AJ704/M704</f>
        <v>1.0329244673983216</v>
      </c>
      <c r="AR704" s="6">
        <f>AB704/N704</f>
        <v>1.007361963190184</v>
      </c>
      <c r="AS704" s="4"/>
      <c r="AT704" s="4"/>
      <c r="AU704" s="4"/>
      <c r="AV704" s="4"/>
      <c r="AW704" s="4"/>
      <c r="AX704" s="4"/>
      <c r="AY704" s="4"/>
      <c r="AZ704" s="4"/>
      <c r="BA704" s="4"/>
      <c r="BB704" s="4">
        <v>0</v>
      </c>
      <c r="BC704" s="4" t="s">
        <v>4179</v>
      </c>
      <c r="BD704" s="4"/>
      <c r="BE704" s="4"/>
      <c r="BF704" s="4" t="s">
        <v>3545</v>
      </c>
      <c r="BG704" s="4">
        <v>1800</v>
      </c>
      <c r="BH704" s="4">
        <v>1800</v>
      </c>
      <c r="BI704" s="4">
        <f t="shared" si="111"/>
        <v>1800</v>
      </c>
      <c r="BJ704" s="19">
        <v>2</v>
      </c>
      <c r="BK704" s="19">
        <v>8</v>
      </c>
      <c r="BL704" s="16">
        <v>6</v>
      </c>
      <c r="BM704" s="45" t="s">
        <v>3534</v>
      </c>
      <c r="BN704" t="s">
        <v>3534</v>
      </c>
      <c r="BO704" t="str">
        <f t="shared" si="104"/>
        <v>-</v>
      </c>
      <c r="BP704" t="s">
        <v>3534</v>
      </c>
      <c r="BQ704">
        <v>1820</v>
      </c>
      <c r="BR704">
        <f t="shared" si="105"/>
        <v>1833.3987730061349</v>
      </c>
      <c r="BS704" t="s">
        <v>3060</v>
      </c>
    </row>
    <row r="705" spans="1:71" x14ac:dyDescent="0.4">
      <c r="A705" s="3">
        <v>702</v>
      </c>
      <c r="B705" s="3">
        <v>702</v>
      </c>
      <c r="C705" s="4" t="s">
        <v>764</v>
      </c>
      <c r="D705" s="4" t="str">
        <f t="shared" si="106"/>
        <v>J6573P</v>
      </c>
      <c r="E705" s="4" t="s">
        <v>764</v>
      </c>
      <c r="F705" s="4" t="s">
        <v>1982</v>
      </c>
      <c r="G705" s="5">
        <v>4521718116754</v>
      </c>
      <c r="H705" s="5"/>
      <c r="I705" s="5"/>
      <c r="J705" s="5">
        <v>1</v>
      </c>
      <c r="K705" s="5">
        <v>1</v>
      </c>
      <c r="L705" s="4">
        <v>520</v>
      </c>
      <c r="M705" s="4">
        <v>335</v>
      </c>
      <c r="N705" s="4">
        <v>231</v>
      </c>
      <c r="O705" s="6">
        <f t="shared" si="107"/>
        <v>0.31044776119402984</v>
      </c>
      <c r="P705" s="4" t="s">
        <v>2500</v>
      </c>
      <c r="Q705" s="4"/>
      <c r="R705" s="4"/>
      <c r="S705" s="4"/>
      <c r="T705" s="4"/>
      <c r="U705" s="4"/>
      <c r="V705" s="4"/>
      <c r="W705" s="4"/>
      <c r="X705" s="4"/>
      <c r="Y705" s="4">
        <v>355</v>
      </c>
      <c r="Z705" s="4">
        <f t="shared" si="108"/>
        <v>355</v>
      </c>
      <c r="AA705" s="4">
        <v>231</v>
      </c>
      <c r="AB705" s="4">
        <f t="shared" si="109"/>
        <v>231</v>
      </c>
      <c r="AC705" s="4"/>
      <c r="AD705" s="21">
        <f>ROUND(M705*AR705,0)</f>
        <v>335</v>
      </c>
      <c r="AE705" s="6">
        <f>1-AB705/AD705</f>
        <v>0.31044776119402984</v>
      </c>
      <c r="AF705" s="33">
        <v>0</v>
      </c>
      <c r="AG705" s="4">
        <f t="shared" si="110"/>
        <v>590</v>
      </c>
      <c r="AH705" s="33">
        <f t="shared" si="103"/>
        <v>590</v>
      </c>
      <c r="AI705" s="6">
        <f>1-AB705/AH705</f>
        <v>0.60847457627118651</v>
      </c>
      <c r="AJ705" s="7">
        <v>355</v>
      </c>
      <c r="AK705" s="6">
        <f>1-AB705/AJ705</f>
        <v>0.3492957746478873</v>
      </c>
      <c r="AL705" s="4">
        <f>AJ705-AB705</f>
        <v>124</v>
      </c>
      <c r="AM705" s="28"/>
      <c r="AN705" s="6"/>
      <c r="AO705" s="6"/>
      <c r="AP705" s="6">
        <f>Z705/L705</f>
        <v>0.68269230769230771</v>
      </c>
      <c r="AQ705" s="6">
        <f>AJ705/M705</f>
        <v>1.0597014925373134</v>
      </c>
      <c r="AR705" s="6">
        <f>AB705/N705</f>
        <v>1</v>
      </c>
      <c r="AS705" s="4"/>
      <c r="AT705" s="4"/>
      <c r="AU705" s="4"/>
      <c r="AV705" s="4"/>
      <c r="AW705" s="4"/>
      <c r="AX705" s="4"/>
      <c r="AY705" s="4"/>
      <c r="AZ705" s="4"/>
      <c r="BA705" s="4"/>
      <c r="BB705" s="4">
        <v>0</v>
      </c>
      <c r="BC705" s="4" t="s">
        <v>4180</v>
      </c>
      <c r="BD705" s="4">
        <v>1</v>
      </c>
      <c r="BE705" s="4">
        <v>3</v>
      </c>
      <c r="BF705" s="4" t="s">
        <v>3638</v>
      </c>
      <c r="BG705" s="4">
        <v>1770</v>
      </c>
      <c r="BH705" s="4">
        <v>1770</v>
      </c>
      <c r="BI705" s="4">
        <f t="shared" si="111"/>
        <v>590</v>
      </c>
      <c r="BJ705" s="19">
        <v>4</v>
      </c>
      <c r="BK705" s="19">
        <v>8</v>
      </c>
      <c r="BL705" s="16">
        <v>6</v>
      </c>
      <c r="BM705" s="45" t="s">
        <v>3534</v>
      </c>
      <c r="BN705" t="s">
        <v>3534</v>
      </c>
      <c r="BO705" t="str">
        <f t="shared" si="104"/>
        <v>-</v>
      </c>
      <c r="BP705" t="s">
        <v>3534</v>
      </c>
      <c r="BQ705">
        <v>355</v>
      </c>
      <c r="BR705">
        <f t="shared" si="105"/>
        <v>355</v>
      </c>
      <c r="BS705" t="s">
        <v>3061</v>
      </c>
    </row>
    <row r="706" spans="1:71" x14ac:dyDescent="0.4">
      <c r="A706" s="3">
        <v>703</v>
      </c>
      <c r="B706" s="3">
        <v>703</v>
      </c>
      <c r="C706" s="4" t="s">
        <v>765</v>
      </c>
      <c r="D706" s="4" t="str">
        <f t="shared" si="106"/>
        <v>J6575P</v>
      </c>
      <c r="E706" s="4" t="s">
        <v>765</v>
      </c>
      <c r="F706" s="4" t="s">
        <v>1983</v>
      </c>
      <c r="G706" s="5">
        <v>4521718120065</v>
      </c>
      <c r="H706" s="5"/>
      <c r="I706" s="5"/>
      <c r="J706" s="5">
        <v>1</v>
      </c>
      <c r="K706" s="5">
        <v>1</v>
      </c>
      <c r="L706" s="4">
        <v>390</v>
      </c>
      <c r="M706" s="4">
        <v>254</v>
      </c>
      <c r="N706" s="4">
        <v>172</v>
      </c>
      <c r="O706" s="6">
        <f t="shared" si="107"/>
        <v>0.32283464566929132</v>
      </c>
      <c r="P706" s="4" t="s">
        <v>2500</v>
      </c>
      <c r="Q706" s="4"/>
      <c r="R706" s="4"/>
      <c r="S706" s="4"/>
      <c r="T706" s="4"/>
      <c r="U706" s="4"/>
      <c r="V706" s="4"/>
      <c r="W706" s="4"/>
      <c r="X706" s="4"/>
      <c r="Y706" s="4">
        <v>264</v>
      </c>
      <c r="Z706" s="4">
        <f t="shared" si="108"/>
        <v>264</v>
      </c>
      <c r="AA706" s="4">
        <v>172</v>
      </c>
      <c r="AB706" s="4">
        <f t="shared" si="109"/>
        <v>172</v>
      </c>
      <c r="AC706" s="4"/>
      <c r="AD706" s="21">
        <f>ROUND(M706*AR706,0)</f>
        <v>254</v>
      </c>
      <c r="AE706" s="6">
        <f>1-AB706/AD706</f>
        <v>0.32283464566929132</v>
      </c>
      <c r="AF706" s="33">
        <v>0</v>
      </c>
      <c r="AG706" s="4">
        <f t="shared" si="110"/>
        <v>390</v>
      </c>
      <c r="AH706" s="33">
        <f t="shared" si="103"/>
        <v>390</v>
      </c>
      <c r="AI706" s="6">
        <f>1-AB706/AH706</f>
        <v>0.55897435897435899</v>
      </c>
      <c r="AJ706" s="7">
        <v>264</v>
      </c>
      <c r="AK706" s="6">
        <f>1-AB706/AJ706</f>
        <v>0.34848484848484851</v>
      </c>
      <c r="AL706" s="4">
        <f>AJ706-AB706</f>
        <v>92</v>
      </c>
      <c r="AM706" s="28"/>
      <c r="AN706" s="6"/>
      <c r="AO706" s="6"/>
      <c r="AP706" s="6">
        <f>Z706/L706</f>
        <v>0.67692307692307696</v>
      </c>
      <c r="AQ706" s="6">
        <f>AJ706/M706</f>
        <v>1.0393700787401574</v>
      </c>
      <c r="AR706" s="6">
        <f>AB706/N706</f>
        <v>1</v>
      </c>
      <c r="AS706" s="4"/>
      <c r="AT706" s="4"/>
      <c r="AU706" s="4"/>
      <c r="AV706" s="4"/>
      <c r="AW706" s="4"/>
      <c r="AX706" s="4"/>
      <c r="AY706" s="4"/>
      <c r="AZ706" s="4"/>
      <c r="BA706" s="4"/>
      <c r="BB706" s="4">
        <v>0</v>
      </c>
      <c r="BC706" s="4" t="s">
        <v>4181</v>
      </c>
      <c r="BD706" s="4">
        <v>1</v>
      </c>
      <c r="BE706" s="4">
        <v>5</v>
      </c>
      <c r="BF706" s="4" t="s">
        <v>4182</v>
      </c>
      <c r="BG706" s="4">
        <v>1950</v>
      </c>
      <c r="BH706" s="4">
        <v>1950</v>
      </c>
      <c r="BI706" s="4">
        <f t="shared" si="111"/>
        <v>390</v>
      </c>
      <c r="BJ706" s="19">
        <v>4</v>
      </c>
      <c r="BK706" s="19">
        <v>8</v>
      </c>
      <c r="BL706" s="16">
        <v>6</v>
      </c>
      <c r="BM706" s="45" t="s">
        <v>3534</v>
      </c>
      <c r="BN706" t="s">
        <v>3534</v>
      </c>
      <c r="BO706" t="str">
        <f t="shared" si="104"/>
        <v>-</v>
      </c>
      <c r="BP706">
        <v>265</v>
      </c>
      <c r="BQ706">
        <v>265</v>
      </c>
      <c r="BR706">
        <f t="shared" si="105"/>
        <v>265</v>
      </c>
      <c r="BS706" t="s">
        <v>3062</v>
      </c>
    </row>
    <row r="707" spans="1:71" x14ac:dyDescent="0.4">
      <c r="A707" s="3">
        <v>704</v>
      </c>
      <c r="B707" s="3">
        <v>704</v>
      </c>
      <c r="C707" s="4" t="s">
        <v>766</v>
      </c>
      <c r="D707" s="4" t="str">
        <f t="shared" si="106"/>
        <v>J6576P</v>
      </c>
      <c r="E707" s="4" t="s">
        <v>766</v>
      </c>
      <c r="F707" s="4" t="s">
        <v>1984</v>
      </c>
      <c r="G707" s="5">
        <v>4521718120096</v>
      </c>
      <c r="H707" s="5"/>
      <c r="I707" s="5"/>
      <c r="J707" s="5">
        <v>1</v>
      </c>
      <c r="K707" s="5">
        <v>1</v>
      </c>
      <c r="L707" s="4">
        <v>250</v>
      </c>
      <c r="M707" s="4">
        <v>190</v>
      </c>
      <c r="N707" s="4">
        <v>130</v>
      </c>
      <c r="O707" s="6">
        <f t="shared" si="107"/>
        <v>0.31578947368421051</v>
      </c>
      <c r="P707" s="4" t="s">
        <v>2500</v>
      </c>
      <c r="Q707" s="4"/>
      <c r="R707" s="4"/>
      <c r="S707" s="4"/>
      <c r="T707" s="4"/>
      <c r="U707" s="4"/>
      <c r="V707" s="4"/>
      <c r="W707" s="4"/>
      <c r="X707" s="4"/>
      <c r="Y707" s="4">
        <v>200</v>
      </c>
      <c r="Z707" s="4">
        <f t="shared" si="108"/>
        <v>200</v>
      </c>
      <c r="AA707" s="4">
        <v>130</v>
      </c>
      <c r="AB707" s="4">
        <f t="shared" si="109"/>
        <v>130</v>
      </c>
      <c r="AC707" s="4"/>
      <c r="AD707" s="21">
        <f>ROUND(M707*AR707,0)</f>
        <v>190</v>
      </c>
      <c r="AE707" s="6">
        <f>1-AB707/AD707</f>
        <v>0.31578947368421051</v>
      </c>
      <c r="AF707" s="33">
        <v>0.25</v>
      </c>
      <c r="AG707" s="4">
        <f t="shared" si="110"/>
        <v>330</v>
      </c>
      <c r="AH707" s="33">
        <f t="shared" si="103"/>
        <v>330</v>
      </c>
      <c r="AI707" s="6">
        <f>1-AB707/AH707</f>
        <v>0.60606060606060608</v>
      </c>
      <c r="AJ707" s="7">
        <v>200</v>
      </c>
      <c r="AK707" s="6">
        <f>1-AB707/AJ707</f>
        <v>0.35</v>
      </c>
      <c r="AL707" s="4">
        <f>AJ707-AB707</f>
        <v>70</v>
      </c>
      <c r="AM707" s="28"/>
      <c r="AN707" s="6"/>
      <c r="AO707" s="6"/>
      <c r="AP707" s="6">
        <f>Z707/L707</f>
        <v>0.8</v>
      </c>
      <c r="AQ707" s="6">
        <f>AJ707/M707</f>
        <v>1.0526315789473684</v>
      </c>
      <c r="AR707" s="6">
        <f>AB707/N707</f>
        <v>1</v>
      </c>
      <c r="AS707" s="4"/>
      <c r="AT707" s="4"/>
      <c r="AU707" s="4"/>
      <c r="AV707" s="4"/>
      <c r="AW707" s="4"/>
      <c r="AX707" s="4"/>
      <c r="AY707" s="4"/>
      <c r="AZ707" s="4"/>
      <c r="BA707" s="4"/>
      <c r="BB707" s="4">
        <v>0</v>
      </c>
      <c r="BC707" s="4" t="s">
        <v>4183</v>
      </c>
      <c r="BD707" s="4">
        <v>1</v>
      </c>
      <c r="BE707" s="4">
        <v>5</v>
      </c>
      <c r="BF707" s="4" t="s">
        <v>4184</v>
      </c>
      <c r="BG707" s="4">
        <v>1650</v>
      </c>
      <c r="BH707" s="4">
        <v>1650</v>
      </c>
      <c r="BI707" s="4">
        <f t="shared" si="111"/>
        <v>330</v>
      </c>
      <c r="BJ707" s="19">
        <v>4</v>
      </c>
      <c r="BK707" s="19">
        <v>8</v>
      </c>
      <c r="BL707" s="16">
        <v>6</v>
      </c>
      <c r="BM707" s="45" t="s">
        <v>3534</v>
      </c>
      <c r="BN707" t="s">
        <v>3534</v>
      </c>
      <c r="BO707" t="str">
        <f t="shared" si="104"/>
        <v>-</v>
      </c>
      <c r="BP707">
        <v>200</v>
      </c>
      <c r="BQ707">
        <v>200</v>
      </c>
      <c r="BR707">
        <f t="shared" si="105"/>
        <v>200</v>
      </c>
      <c r="BS707" t="s">
        <v>3063</v>
      </c>
    </row>
    <row r="708" spans="1:71" x14ac:dyDescent="0.4">
      <c r="A708" s="3">
        <v>705</v>
      </c>
      <c r="B708" s="3">
        <v>705</v>
      </c>
      <c r="C708" s="4" t="s">
        <v>767</v>
      </c>
      <c r="D708" s="4" t="str">
        <f t="shared" si="106"/>
        <v>J6577P</v>
      </c>
      <c r="E708" s="4" t="s">
        <v>767</v>
      </c>
      <c r="F708" s="4" t="s">
        <v>1985</v>
      </c>
      <c r="G708" s="5">
        <v>4521718120218</v>
      </c>
      <c r="H708" s="5"/>
      <c r="I708" s="5"/>
      <c r="J708" s="5">
        <v>1</v>
      </c>
      <c r="K708" s="5">
        <v>1</v>
      </c>
      <c r="L708" s="4">
        <v>260</v>
      </c>
      <c r="M708" s="4">
        <v>212</v>
      </c>
      <c r="N708" s="4">
        <v>137</v>
      </c>
      <c r="O708" s="6">
        <f t="shared" si="107"/>
        <v>0.35377358490566035</v>
      </c>
      <c r="P708" s="4" t="s">
        <v>2500</v>
      </c>
      <c r="Q708" s="4"/>
      <c r="R708" s="4"/>
      <c r="S708" s="4"/>
      <c r="T708" s="4"/>
      <c r="U708" s="4"/>
      <c r="V708" s="4"/>
      <c r="W708" s="4"/>
      <c r="X708" s="4"/>
      <c r="Y708" s="4">
        <v>210</v>
      </c>
      <c r="Z708" s="4">
        <f t="shared" si="108"/>
        <v>210</v>
      </c>
      <c r="AA708" s="4">
        <v>137</v>
      </c>
      <c r="AB708" s="4">
        <f t="shared" si="109"/>
        <v>137</v>
      </c>
      <c r="AC708" s="4"/>
      <c r="AD708" s="21">
        <f>ROUND(M708*AR708,0)</f>
        <v>212</v>
      </c>
      <c r="AE708" s="6">
        <f>1-AB708/AD708</f>
        <v>0.35377358490566035</v>
      </c>
      <c r="AF708" s="33">
        <v>0</v>
      </c>
      <c r="AG708" s="4">
        <f t="shared" si="110"/>
        <v>350</v>
      </c>
      <c r="AH708" s="33">
        <f t="shared" ref="AH708:AH771" si="112">AG708*AR708</f>
        <v>350</v>
      </c>
      <c r="AI708" s="6">
        <f>1-AB708/AH708</f>
        <v>0.60857142857142854</v>
      </c>
      <c r="AJ708" s="7">
        <v>210</v>
      </c>
      <c r="AK708" s="6">
        <f>1-AB708/AJ708</f>
        <v>0.34761904761904761</v>
      </c>
      <c r="AL708" s="4">
        <f>AJ708-AB708</f>
        <v>73</v>
      </c>
      <c r="AM708" s="28"/>
      <c r="AN708" s="6"/>
      <c r="AO708" s="6"/>
      <c r="AP708" s="6">
        <f>Z708/L708</f>
        <v>0.80769230769230771</v>
      </c>
      <c r="AQ708" s="6">
        <f>AJ708/M708</f>
        <v>0.99056603773584906</v>
      </c>
      <c r="AR708" s="6">
        <f>AB708/N708</f>
        <v>1</v>
      </c>
      <c r="AS708" s="4"/>
      <c r="AT708" s="4"/>
      <c r="AU708" s="4"/>
      <c r="AV708" s="4"/>
      <c r="AW708" s="4"/>
      <c r="AX708" s="4"/>
      <c r="AY708" s="4"/>
      <c r="AZ708" s="4"/>
      <c r="BA708" s="4"/>
      <c r="BB708" s="4">
        <v>0</v>
      </c>
      <c r="BC708" s="4" t="s">
        <v>4185</v>
      </c>
      <c r="BD708" s="4">
        <v>1</v>
      </c>
      <c r="BE708" s="4">
        <v>5</v>
      </c>
      <c r="BF708" s="4" t="s">
        <v>4184</v>
      </c>
      <c r="BG708" s="4">
        <v>1750</v>
      </c>
      <c r="BH708" s="4">
        <v>1750</v>
      </c>
      <c r="BI708" s="4">
        <f t="shared" si="111"/>
        <v>350</v>
      </c>
      <c r="BJ708" s="19">
        <v>4</v>
      </c>
      <c r="BK708" s="19">
        <v>8</v>
      </c>
      <c r="BL708" s="16">
        <v>6</v>
      </c>
      <c r="BM708" s="45" t="s">
        <v>3534</v>
      </c>
      <c r="BN708" t="s">
        <v>3534</v>
      </c>
      <c r="BO708" t="str">
        <f t="shared" si="104"/>
        <v>-</v>
      </c>
      <c r="BP708">
        <v>210</v>
      </c>
      <c r="BQ708">
        <v>210</v>
      </c>
      <c r="BR708">
        <f t="shared" si="105"/>
        <v>210</v>
      </c>
      <c r="BS708" t="s">
        <v>3064</v>
      </c>
    </row>
    <row r="709" spans="1:71" x14ac:dyDescent="0.4">
      <c r="A709" s="3">
        <v>706</v>
      </c>
      <c r="B709" s="3">
        <v>706</v>
      </c>
      <c r="C709" s="4" t="s">
        <v>768</v>
      </c>
      <c r="D709" s="4" t="str">
        <f t="shared" si="106"/>
        <v>J6578P</v>
      </c>
      <c r="E709" s="4" t="s">
        <v>768</v>
      </c>
      <c r="F709" s="4" t="s">
        <v>1986</v>
      </c>
      <c r="G709" s="5">
        <v>4521718125008</v>
      </c>
      <c r="H709" s="5"/>
      <c r="I709" s="5"/>
      <c r="J709" s="5">
        <v>1</v>
      </c>
      <c r="K709" s="5">
        <v>1</v>
      </c>
      <c r="L709" s="4">
        <v>1000</v>
      </c>
      <c r="M709" s="4">
        <v>760</v>
      </c>
      <c r="N709" s="4">
        <v>520</v>
      </c>
      <c r="O709" s="6">
        <f t="shared" si="107"/>
        <v>0.31578947368421051</v>
      </c>
      <c r="P709" s="4" t="s">
        <v>2500</v>
      </c>
      <c r="Q709" s="4"/>
      <c r="R709" s="4"/>
      <c r="S709" s="4"/>
      <c r="T709" s="4"/>
      <c r="U709" s="4"/>
      <c r="V709" s="4"/>
      <c r="W709" s="4"/>
      <c r="X709" s="4"/>
      <c r="Y709" s="4">
        <v>800</v>
      </c>
      <c r="Z709" s="4">
        <f t="shared" si="108"/>
        <v>800</v>
      </c>
      <c r="AA709" s="4">
        <v>520</v>
      </c>
      <c r="AB709" s="4">
        <f t="shared" si="109"/>
        <v>520</v>
      </c>
      <c r="AC709" s="4"/>
      <c r="AD709" s="21">
        <f>ROUND(M709*AR709,0)</f>
        <v>760</v>
      </c>
      <c r="AE709" s="6">
        <f>1-AB709/AD709</f>
        <v>0.31578947368421051</v>
      </c>
      <c r="AF709" s="33">
        <v>0</v>
      </c>
      <c r="AG709" s="4">
        <f t="shared" si="110"/>
        <v>1160</v>
      </c>
      <c r="AH709" s="33">
        <f t="shared" si="112"/>
        <v>1160</v>
      </c>
      <c r="AI709" s="6">
        <f>1-AB709/AH709</f>
        <v>0.55172413793103448</v>
      </c>
      <c r="AJ709" s="7">
        <v>800</v>
      </c>
      <c r="AK709" s="6">
        <f>1-AB709/AJ709</f>
        <v>0.35</v>
      </c>
      <c r="AL709" s="4">
        <f>AJ709-AB709</f>
        <v>280</v>
      </c>
      <c r="AM709" s="28"/>
      <c r="AN709" s="6"/>
      <c r="AO709" s="6"/>
      <c r="AP709" s="6">
        <f>Z709/L709</f>
        <v>0.8</v>
      </c>
      <c r="AQ709" s="6">
        <f>AJ709/M709</f>
        <v>1.0526315789473684</v>
      </c>
      <c r="AR709" s="6">
        <f>AB709/N709</f>
        <v>1</v>
      </c>
      <c r="AS709" s="4"/>
      <c r="AT709" s="4"/>
      <c r="AU709" s="4"/>
      <c r="AV709" s="4"/>
      <c r="AW709" s="4"/>
      <c r="AX709" s="4"/>
      <c r="AY709" s="4"/>
      <c r="AZ709" s="4"/>
      <c r="BA709" s="4"/>
      <c r="BB709" s="4">
        <v>0</v>
      </c>
      <c r="BC709" s="4" t="s">
        <v>4186</v>
      </c>
      <c r="BD709" s="4">
        <v>1</v>
      </c>
      <c r="BE709" s="4">
        <v>2</v>
      </c>
      <c r="BF709" s="4" t="s">
        <v>3659</v>
      </c>
      <c r="BG709" s="4">
        <v>2320</v>
      </c>
      <c r="BH709" s="4">
        <v>2320</v>
      </c>
      <c r="BI709" s="4">
        <f t="shared" si="111"/>
        <v>1160</v>
      </c>
      <c r="BJ709" s="19">
        <v>4</v>
      </c>
      <c r="BK709" s="19">
        <v>8</v>
      </c>
      <c r="BL709" s="16">
        <v>6</v>
      </c>
      <c r="BM709" s="45" t="s">
        <v>3534</v>
      </c>
      <c r="BN709" t="s">
        <v>3534</v>
      </c>
      <c r="BO709" t="str">
        <f t="shared" ref="BO709:BO772" si="113">IFERROR(BN709*AR709,"-")</f>
        <v>-</v>
      </c>
      <c r="BP709" t="s">
        <v>3534</v>
      </c>
      <c r="BQ709">
        <v>1000</v>
      </c>
      <c r="BR709">
        <f t="shared" ref="BR709:BR772" si="114">IFERROR(BQ709*AR709,"-")</f>
        <v>1000</v>
      </c>
      <c r="BS709" t="s">
        <v>3065</v>
      </c>
    </row>
    <row r="710" spans="1:71" x14ac:dyDescent="0.4">
      <c r="A710" s="3">
        <v>707</v>
      </c>
      <c r="B710" s="3">
        <v>707</v>
      </c>
      <c r="C710" s="4" t="s">
        <v>769</v>
      </c>
      <c r="D710" s="4" t="str">
        <f t="shared" si="106"/>
        <v>J6579P</v>
      </c>
      <c r="E710" s="4" t="s">
        <v>769</v>
      </c>
      <c r="F710" s="4" t="s">
        <v>1987</v>
      </c>
      <c r="G710" s="5">
        <v>4521718125060</v>
      </c>
      <c r="H710" s="5"/>
      <c r="I710" s="5"/>
      <c r="J710" s="5">
        <v>1</v>
      </c>
      <c r="K710" s="5">
        <v>1</v>
      </c>
      <c r="L710" s="4">
        <v>410</v>
      </c>
      <c r="M710" s="4">
        <v>315</v>
      </c>
      <c r="N710" s="4">
        <v>213</v>
      </c>
      <c r="O710" s="6">
        <f t="shared" si="107"/>
        <v>0.32380952380952377</v>
      </c>
      <c r="P710" s="4" t="s">
        <v>2500</v>
      </c>
      <c r="Q710" s="4"/>
      <c r="R710" s="4"/>
      <c r="S710" s="4"/>
      <c r="T710" s="4"/>
      <c r="U710" s="4"/>
      <c r="V710" s="4"/>
      <c r="W710" s="4"/>
      <c r="X710" s="4"/>
      <c r="Y710" s="4">
        <v>346</v>
      </c>
      <c r="Z710" s="4">
        <f t="shared" si="108"/>
        <v>346</v>
      </c>
      <c r="AA710" s="4">
        <v>225</v>
      </c>
      <c r="AB710" s="4">
        <f t="shared" si="109"/>
        <v>225</v>
      </c>
      <c r="AC710" s="4"/>
      <c r="AD710" s="21">
        <f>ROUND(M710*AR710,0)</f>
        <v>333</v>
      </c>
      <c r="AE710" s="6">
        <f>1-AB710/AD710</f>
        <v>0.32432432432432434</v>
      </c>
      <c r="AF710" s="33">
        <v>0</v>
      </c>
      <c r="AG710" s="4">
        <f t="shared" si="110"/>
        <v>426</v>
      </c>
      <c r="AH710" s="33">
        <f t="shared" si="112"/>
        <v>449.99999999999994</v>
      </c>
      <c r="AI710" s="6">
        <f>1-AB710/AH710</f>
        <v>0.49999999999999989</v>
      </c>
      <c r="AJ710" s="7">
        <v>346</v>
      </c>
      <c r="AK710" s="6">
        <f>1-AB710/AJ710</f>
        <v>0.3497109826589595</v>
      </c>
      <c r="AL710" s="4">
        <f>AJ710-AB710</f>
        <v>121</v>
      </c>
      <c r="AM710" s="28"/>
      <c r="AN710" s="6"/>
      <c r="AO710" s="6"/>
      <c r="AP710" s="6">
        <f>Z710/L710</f>
        <v>0.84390243902439022</v>
      </c>
      <c r="AQ710" s="6">
        <f>AJ710/M710</f>
        <v>1.0984126984126985</v>
      </c>
      <c r="AR710" s="6">
        <f>AB710/N710</f>
        <v>1.056338028169014</v>
      </c>
      <c r="AS710" s="4"/>
      <c r="AT710" s="4"/>
      <c r="AU710" s="4"/>
      <c r="AV710" s="4"/>
      <c r="AW710" s="4"/>
      <c r="AX710" s="4"/>
      <c r="AY710" s="4"/>
      <c r="AZ710" s="4"/>
      <c r="BA710" s="4"/>
      <c r="BB710" s="4">
        <v>0</v>
      </c>
      <c r="BC710" s="4" t="s">
        <v>4187</v>
      </c>
      <c r="BD710" s="4">
        <v>1</v>
      </c>
      <c r="BE710" s="4">
        <v>4</v>
      </c>
      <c r="BF710" s="4" t="s">
        <v>4014</v>
      </c>
      <c r="BG710" s="4">
        <v>1704</v>
      </c>
      <c r="BH710" s="4">
        <v>1704</v>
      </c>
      <c r="BI710" s="4">
        <f t="shared" si="111"/>
        <v>426</v>
      </c>
      <c r="BJ710" s="19">
        <v>4</v>
      </c>
      <c r="BK710" s="19">
        <v>8</v>
      </c>
      <c r="BL710" s="16">
        <v>6</v>
      </c>
      <c r="BM710" s="45" t="s">
        <v>3534</v>
      </c>
      <c r="BN710" t="s">
        <v>3534</v>
      </c>
      <c r="BO710" t="str">
        <f t="shared" si="113"/>
        <v>-</v>
      </c>
      <c r="BP710" t="s">
        <v>3534</v>
      </c>
      <c r="BQ710">
        <v>410</v>
      </c>
      <c r="BR710">
        <f t="shared" si="114"/>
        <v>433.09859154929575</v>
      </c>
      <c r="BS710" t="s">
        <v>3066</v>
      </c>
    </row>
    <row r="711" spans="1:71" x14ac:dyDescent="0.4">
      <c r="A711" s="3">
        <v>708</v>
      </c>
      <c r="B711" s="3">
        <v>708</v>
      </c>
      <c r="C711" s="4" t="s">
        <v>770</v>
      </c>
      <c r="D711" s="4" t="str">
        <f t="shared" si="106"/>
        <v>J6569P</v>
      </c>
      <c r="E711" s="4" t="s">
        <v>770</v>
      </c>
      <c r="F711" s="4" t="s">
        <v>1988</v>
      </c>
      <c r="G711" s="5">
        <v>4521718095684</v>
      </c>
      <c r="H711" s="5"/>
      <c r="I711" s="5"/>
      <c r="J711" s="5">
        <v>1</v>
      </c>
      <c r="K711" s="5">
        <v>1</v>
      </c>
      <c r="L711" s="4">
        <v>420</v>
      </c>
      <c r="M711" s="4">
        <v>275</v>
      </c>
      <c r="N711" s="4">
        <v>189</v>
      </c>
      <c r="O711" s="6">
        <f t="shared" si="107"/>
        <v>0.31272727272727274</v>
      </c>
      <c r="P711" s="4" t="s">
        <v>2500</v>
      </c>
      <c r="Q711" s="4"/>
      <c r="R711" s="4"/>
      <c r="S711" s="4"/>
      <c r="T711" s="4"/>
      <c r="U711" s="4"/>
      <c r="V711" s="4"/>
      <c r="W711" s="4"/>
      <c r="X711" s="4"/>
      <c r="Y711" s="4">
        <v>291</v>
      </c>
      <c r="Z711" s="4">
        <f t="shared" si="108"/>
        <v>291</v>
      </c>
      <c r="AA711" s="4">
        <v>189</v>
      </c>
      <c r="AB711" s="4">
        <f t="shared" si="109"/>
        <v>189</v>
      </c>
      <c r="AC711" s="4"/>
      <c r="AD711" s="21">
        <f>ROUND(M711*AR711,0)</f>
        <v>275</v>
      </c>
      <c r="AE711" s="6">
        <f>1-AB711/AD711</f>
        <v>0.31272727272727274</v>
      </c>
      <c r="AF711" s="33">
        <v>0</v>
      </c>
      <c r="AG711" s="4">
        <f t="shared" si="110"/>
        <v>390</v>
      </c>
      <c r="AH711" s="33">
        <f t="shared" si="112"/>
        <v>390</v>
      </c>
      <c r="AI711" s="6">
        <f>1-AB711/AH711</f>
        <v>0.51538461538461533</v>
      </c>
      <c r="AJ711" s="7">
        <f>ROUND(AB711/0.65,0)</f>
        <v>291</v>
      </c>
      <c r="AK711" s="6">
        <f>1-AB711/AJ711</f>
        <v>0.35051546391752575</v>
      </c>
      <c r="AL711" s="4">
        <f>AJ711-AB711</f>
        <v>102</v>
      </c>
      <c r="AM711" s="28"/>
      <c r="AN711" s="6"/>
      <c r="AO711" s="6"/>
      <c r="AP711" s="6">
        <f>Z711/L711</f>
        <v>0.69285714285714284</v>
      </c>
      <c r="AQ711" s="6">
        <f>AJ711/M711</f>
        <v>1.0581818181818181</v>
      </c>
      <c r="AR711" s="6">
        <f>AB711/N711</f>
        <v>1</v>
      </c>
      <c r="AS711" s="4"/>
      <c r="AT711" s="4"/>
      <c r="AU711" s="4"/>
      <c r="AV711" s="4"/>
      <c r="AW711" s="4"/>
      <c r="AX711" s="4"/>
      <c r="AY711" s="4"/>
      <c r="AZ711" s="4"/>
      <c r="BA711" s="4"/>
      <c r="BB711" s="4">
        <v>0</v>
      </c>
      <c r="BC711" s="4" t="s">
        <v>4188</v>
      </c>
      <c r="BD711" s="4">
        <v>1</v>
      </c>
      <c r="BE711" s="4">
        <v>4</v>
      </c>
      <c r="BF711" s="4" t="s">
        <v>4014</v>
      </c>
      <c r="BG711" s="4">
        <v>1560</v>
      </c>
      <c r="BH711" s="4">
        <v>1560</v>
      </c>
      <c r="BI711" s="4">
        <f t="shared" si="111"/>
        <v>390</v>
      </c>
      <c r="BJ711" s="19">
        <v>4</v>
      </c>
      <c r="BK711" s="19">
        <v>8</v>
      </c>
      <c r="BL711" s="16">
        <v>6</v>
      </c>
      <c r="BM711" s="45" t="s">
        <v>3534</v>
      </c>
      <c r="BN711" t="s">
        <v>3534</v>
      </c>
      <c r="BO711" t="str">
        <f t="shared" si="113"/>
        <v>-</v>
      </c>
      <c r="BP711" t="s">
        <v>3534</v>
      </c>
      <c r="BQ711">
        <v>310</v>
      </c>
      <c r="BR711">
        <f t="shared" si="114"/>
        <v>310</v>
      </c>
      <c r="BS711" t="s">
        <v>3067</v>
      </c>
    </row>
    <row r="712" spans="1:71" x14ac:dyDescent="0.4">
      <c r="A712" s="3">
        <v>709</v>
      </c>
      <c r="B712" s="3">
        <v>709</v>
      </c>
      <c r="C712" s="4" t="s">
        <v>771</v>
      </c>
      <c r="D712" s="4" t="str">
        <f t="shared" si="106"/>
        <v>J657TN</v>
      </c>
      <c r="E712" s="4" t="s">
        <v>771</v>
      </c>
      <c r="F712" s="4" t="s">
        <v>1989</v>
      </c>
      <c r="G712" s="5">
        <v>4521718102955</v>
      </c>
      <c r="H712" s="5"/>
      <c r="I712" s="5"/>
      <c r="J712" s="5">
        <v>1</v>
      </c>
      <c r="K712" s="5">
        <v>1</v>
      </c>
      <c r="L712" s="4">
        <v>290</v>
      </c>
      <c r="M712" s="4">
        <v>182</v>
      </c>
      <c r="N712" s="4">
        <v>127</v>
      </c>
      <c r="O712" s="6">
        <f t="shared" si="107"/>
        <v>0.30219780219780223</v>
      </c>
      <c r="P712" s="4" t="s">
        <v>2500</v>
      </c>
      <c r="Q712" s="4"/>
      <c r="R712" s="4"/>
      <c r="S712" s="4"/>
      <c r="T712" s="4"/>
      <c r="U712" s="4"/>
      <c r="V712" s="4"/>
      <c r="W712" s="4"/>
      <c r="X712" s="4"/>
      <c r="Y712" s="4">
        <v>182</v>
      </c>
      <c r="Z712" s="4">
        <f t="shared" si="108"/>
        <v>182</v>
      </c>
      <c r="AA712" s="4">
        <v>127</v>
      </c>
      <c r="AB712" s="4">
        <f t="shared" si="109"/>
        <v>127</v>
      </c>
      <c r="AC712" s="4"/>
      <c r="AD712" s="21">
        <f>ROUND(M712*AR712,0)</f>
        <v>182</v>
      </c>
      <c r="AE712" s="6">
        <f>1-AB712/AD712</f>
        <v>0.30219780219780223</v>
      </c>
      <c r="AF712" s="33">
        <v>1</v>
      </c>
      <c r="AG712" s="4" t="str">
        <f t="shared" si="110"/>
        <v>-</v>
      </c>
      <c r="AH712" s="33" t="e">
        <f t="shared" si="112"/>
        <v>#VALUE!</v>
      </c>
      <c r="AI712" s="6" t="e">
        <f>1-AB712/AH712</f>
        <v>#VALUE!</v>
      </c>
      <c r="AJ712" s="7">
        <v>182</v>
      </c>
      <c r="AK712" s="6">
        <f>1-AB712/AJ712</f>
        <v>0.30219780219780223</v>
      </c>
      <c r="AL712" s="4">
        <f>AJ712-AB712</f>
        <v>55</v>
      </c>
      <c r="AM712" s="28"/>
      <c r="AN712" s="6"/>
      <c r="AO712" s="6"/>
      <c r="AP712" s="6">
        <f>Z712/L712</f>
        <v>0.62758620689655176</v>
      </c>
      <c r="AQ712" s="6">
        <f>AJ712/M712</f>
        <v>1</v>
      </c>
      <c r="AR712" s="6">
        <f>AB712/N712</f>
        <v>1</v>
      </c>
      <c r="AS712" s="4"/>
      <c r="AT712" s="4"/>
      <c r="AU712" s="4"/>
      <c r="AV712" s="4"/>
      <c r="AW712" s="4"/>
      <c r="AX712" s="4"/>
      <c r="AY712" s="4"/>
      <c r="AZ712" s="4"/>
      <c r="BA712" s="4"/>
      <c r="BB712" s="4">
        <v>0</v>
      </c>
      <c r="BC712" s="4" t="s">
        <v>3534</v>
      </c>
      <c r="BD712" s="4"/>
      <c r="BE712" s="4"/>
      <c r="BF712" s="4" t="s">
        <v>3534</v>
      </c>
      <c r="BG712" s="4" t="s">
        <v>3534</v>
      </c>
      <c r="BH712" s="4" t="s">
        <v>3534</v>
      </c>
      <c r="BI712" s="4" t="str">
        <f t="shared" si="111"/>
        <v>-</v>
      </c>
      <c r="BJ712" s="19">
        <v>4</v>
      </c>
      <c r="BK712" s="19">
        <v>8</v>
      </c>
      <c r="BL712" s="16">
        <v>6</v>
      </c>
      <c r="BM712" s="45" t="s">
        <v>3534</v>
      </c>
      <c r="BN712" t="s">
        <v>3534</v>
      </c>
      <c r="BO712" t="str">
        <f t="shared" si="113"/>
        <v>-</v>
      </c>
      <c r="BP712" t="s">
        <v>3534</v>
      </c>
      <c r="BQ712">
        <v>182</v>
      </c>
      <c r="BR712">
        <f t="shared" si="114"/>
        <v>182</v>
      </c>
      <c r="BS712" t="s">
        <v>3534</v>
      </c>
    </row>
    <row r="713" spans="1:71" x14ac:dyDescent="0.4">
      <c r="A713" s="42">
        <v>710</v>
      </c>
      <c r="B713" s="3">
        <v>710</v>
      </c>
      <c r="C713" s="4" t="s">
        <v>772</v>
      </c>
      <c r="D713" s="4" t="str">
        <f t="shared" si="106"/>
        <v>J657WG</v>
      </c>
      <c r="E713" s="4" t="s">
        <v>772</v>
      </c>
      <c r="F713" s="4" t="s">
        <v>1990</v>
      </c>
      <c r="G713" s="5">
        <v>4521718184227</v>
      </c>
      <c r="H713" s="5"/>
      <c r="I713" s="5"/>
      <c r="J713" s="5">
        <v>1</v>
      </c>
      <c r="K713" s="5">
        <v>1</v>
      </c>
      <c r="L713" s="4">
        <v>4090</v>
      </c>
      <c r="M713" s="4">
        <v>2860</v>
      </c>
      <c r="N713" s="4">
        <v>2127</v>
      </c>
      <c r="O713" s="6">
        <f t="shared" si="107"/>
        <v>0.25629370629370629</v>
      </c>
      <c r="P713" s="4" t="s">
        <v>2500</v>
      </c>
      <c r="Q713" s="4"/>
      <c r="R713" s="4"/>
      <c r="S713" s="4"/>
      <c r="T713" s="4"/>
      <c r="U713" s="4"/>
      <c r="V713" s="4"/>
      <c r="W713" s="4"/>
      <c r="X713" s="4"/>
      <c r="Y713" s="4">
        <v>3273</v>
      </c>
      <c r="Z713" s="4">
        <f t="shared" si="108"/>
        <v>3273</v>
      </c>
      <c r="AA713" s="4">
        <v>2291</v>
      </c>
      <c r="AB713" s="4">
        <f t="shared" si="109"/>
        <v>2291</v>
      </c>
      <c r="AC713" s="4"/>
      <c r="AD713" s="21">
        <f>ROUND(M713*AR713,0)</f>
        <v>3081</v>
      </c>
      <c r="AE713" s="6">
        <f>1-AB713/AD713</f>
        <v>0.25641025641025639</v>
      </c>
      <c r="AF713" s="33">
        <v>0</v>
      </c>
      <c r="AG713" s="4">
        <f t="shared" si="110"/>
        <v>4090</v>
      </c>
      <c r="AH713" s="33">
        <f t="shared" si="112"/>
        <v>4405.3549600376118</v>
      </c>
      <c r="AI713" s="6">
        <f>1-AB713/AH713</f>
        <v>0.47995110024449883</v>
      </c>
      <c r="AJ713" s="7">
        <v>3273</v>
      </c>
      <c r="AK713" s="6">
        <f>1-AB713/AJ713</f>
        <v>0.30003055300947146</v>
      </c>
      <c r="AL713" s="4">
        <f>AJ713-AB713</f>
        <v>982</v>
      </c>
      <c r="AM713" s="28"/>
      <c r="AN713" s="6"/>
      <c r="AO713" s="6"/>
      <c r="AP713" s="6">
        <f>Z713/L713</f>
        <v>0.80024449877750614</v>
      </c>
      <c r="AQ713" s="6">
        <f>AJ713/M713</f>
        <v>1.1444055944055944</v>
      </c>
      <c r="AR713" s="6">
        <f>AB713/N713</f>
        <v>1.0771039022096851</v>
      </c>
      <c r="AS713" s="4"/>
      <c r="AT713" s="4"/>
      <c r="AU713" s="4"/>
      <c r="AV713" s="4"/>
      <c r="AW713" s="4"/>
      <c r="AX713" s="4"/>
      <c r="AY713" s="4"/>
      <c r="AZ713" s="4"/>
      <c r="BA713" s="4"/>
      <c r="BB713" s="4">
        <v>0</v>
      </c>
      <c r="BC713" s="4" t="s">
        <v>4189</v>
      </c>
      <c r="BD713" s="4"/>
      <c r="BE713" s="4"/>
      <c r="BF713" s="4" t="s">
        <v>3538</v>
      </c>
      <c r="BG713" s="4">
        <v>4090</v>
      </c>
      <c r="BH713" s="4">
        <v>4090</v>
      </c>
      <c r="BI713" s="4">
        <f t="shared" si="111"/>
        <v>4090</v>
      </c>
      <c r="BJ713" s="19">
        <v>2</v>
      </c>
      <c r="BK713" s="19">
        <v>8</v>
      </c>
      <c r="BL713" s="16">
        <v>6</v>
      </c>
      <c r="BM713" s="45" t="s">
        <v>3534</v>
      </c>
      <c r="BN713" t="s">
        <v>3534</v>
      </c>
      <c r="BO713" t="str">
        <f t="shared" si="113"/>
        <v>-</v>
      </c>
      <c r="BP713" t="s">
        <v>3534</v>
      </c>
      <c r="BQ713">
        <v>3886</v>
      </c>
      <c r="BR713">
        <f t="shared" si="114"/>
        <v>4185.6257639868363</v>
      </c>
      <c r="BS713" t="s">
        <v>3068</v>
      </c>
    </row>
    <row r="714" spans="1:71" x14ac:dyDescent="0.4">
      <c r="A714" s="3">
        <v>711</v>
      </c>
      <c r="B714" s="3">
        <v>711</v>
      </c>
      <c r="C714" s="4" t="s">
        <v>773</v>
      </c>
      <c r="D714" s="4" t="str">
        <f t="shared" si="106"/>
        <v>J6580P</v>
      </c>
      <c r="E714" s="4" t="s">
        <v>773</v>
      </c>
      <c r="F714" s="4" t="s">
        <v>1991</v>
      </c>
      <c r="G714" s="5">
        <v>4521718125077</v>
      </c>
      <c r="H714" s="5"/>
      <c r="I714" s="5"/>
      <c r="J714" s="5">
        <v>1</v>
      </c>
      <c r="K714" s="5">
        <v>1</v>
      </c>
      <c r="L714" s="4">
        <v>1280</v>
      </c>
      <c r="M714" s="4">
        <v>779</v>
      </c>
      <c r="N714" s="4">
        <v>573</v>
      </c>
      <c r="O714" s="6">
        <f t="shared" si="107"/>
        <v>0.2644415917843389</v>
      </c>
      <c r="P714" s="4" t="s">
        <v>2500</v>
      </c>
      <c r="Q714" s="4"/>
      <c r="R714" s="4"/>
      <c r="S714" s="4"/>
      <c r="T714" s="4"/>
      <c r="U714" s="4"/>
      <c r="V714" s="4"/>
      <c r="W714" s="4"/>
      <c r="X714" s="4"/>
      <c r="Y714" s="4">
        <v>819</v>
      </c>
      <c r="Z714" s="4">
        <f t="shared" si="108"/>
        <v>819</v>
      </c>
      <c r="AA714" s="4">
        <v>573</v>
      </c>
      <c r="AB714" s="4">
        <f t="shared" si="109"/>
        <v>573</v>
      </c>
      <c r="AC714" s="4"/>
      <c r="AD714" s="21">
        <f>ROUND(M714*AR714,0)</f>
        <v>779</v>
      </c>
      <c r="AE714" s="6">
        <f>1-AB714/AD714</f>
        <v>0.2644415917843389</v>
      </c>
      <c r="AF714" s="33">
        <v>0</v>
      </c>
      <c r="AG714" s="4">
        <f t="shared" si="110"/>
        <v>1560</v>
      </c>
      <c r="AH714" s="33">
        <f t="shared" si="112"/>
        <v>1560</v>
      </c>
      <c r="AI714" s="6">
        <f>1-AB714/AH714</f>
        <v>0.63269230769230766</v>
      </c>
      <c r="AJ714" s="7">
        <v>819</v>
      </c>
      <c r="AK714" s="6">
        <f>1-AB714/AJ714</f>
        <v>0.30036630036630041</v>
      </c>
      <c r="AL714" s="4">
        <f>AJ714-AB714</f>
        <v>246</v>
      </c>
      <c r="AM714" s="28"/>
      <c r="AN714" s="6"/>
      <c r="AO714" s="6"/>
      <c r="AP714" s="6">
        <f>Z714/L714</f>
        <v>0.63984375000000004</v>
      </c>
      <c r="AQ714" s="6">
        <f>AJ714/M714</f>
        <v>1.0513478818998716</v>
      </c>
      <c r="AR714" s="6">
        <f>AB714/N714</f>
        <v>1</v>
      </c>
      <c r="AS714" s="4"/>
      <c r="AT714" s="4"/>
      <c r="AU714" s="4"/>
      <c r="AV714" s="4"/>
      <c r="AW714" s="4"/>
      <c r="AX714" s="4"/>
      <c r="AY714" s="4"/>
      <c r="AZ714" s="4"/>
      <c r="BA714" s="4"/>
      <c r="BB714" s="4">
        <v>0</v>
      </c>
      <c r="BC714" s="4" t="s">
        <v>4190</v>
      </c>
      <c r="BD714" s="4"/>
      <c r="BE714" s="4"/>
      <c r="BF714" s="4" t="s">
        <v>3545</v>
      </c>
      <c r="BG714" s="4">
        <v>1560</v>
      </c>
      <c r="BH714" s="4">
        <v>1560</v>
      </c>
      <c r="BI714" s="4">
        <f t="shared" si="111"/>
        <v>1560</v>
      </c>
      <c r="BJ714" s="19">
        <v>4</v>
      </c>
      <c r="BK714" s="19">
        <v>8</v>
      </c>
      <c r="BL714" s="16">
        <v>6</v>
      </c>
      <c r="BM714" s="45" t="s">
        <v>3534</v>
      </c>
      <c r="BN714" t="s">
        <v>3534</v>
      </c>
      <c r="BO714" t="str">
        <f t="shared" si="113"/>
        <v>-</v>
      </c>
      <c r="BP714" t="s">
        <v>3534</v>
      </c>
      <c r="BQ714">
        <v>1274</v>
      </c>
      <c r="BR714">
        <f t="shared" si="114"/>
        <v>1274</v>
      </c>
      <c r="BS714" t="s">
        <v>3069</v>
      </c>
    </row>
    <row r="715" spans="1:71" x14ac:dyDescent="0.4">
      <c r="A715" s="3">
        <v>712</v>
      </c>
      <c r="B715" s="3">
        <v>712</v>
      </c>
      <c r="C715" s="4" t="s">
        <v>774</v>
      </c>
      <c r="D715" s="4" t="str">
        <f t="shared" si="106"/>
        <v>J6581P</v>
      </c>
      <c r="E715" s="4" t="s">
        <v>774</v>
      </c>
      <c r="F715" s="4" t="s">
        <v>1992</v>
      </c>
      <c r="G715" s="5">
        <v>4521718125152</v>
      </c>
      <c r="H715" s="5"/>
      <c r="I715" s="5"/>
      <c r="J715" s="5">
        <v>1</v>
      </c>
      <c r="K715" s="5">
        <v>1</v>
      </c>
      <c r="L715" s="4">
        <v>550</v>
      </c>
      <c r="M715" s="4">
        <v>412</v>
      </c>
      <c r="N715" s="4">
        <v>284</v>
      </c>
      <c r="O715" s="6">
        <f t="shared" si="107"/>
        <v>0.31067961165048541</v>
      </c>
      <c r="P715" s="4" t="s">
        <v>2500</v>
      </c>
      <c r="Q715" s="4"/>
      <c r="R715" s="4"/>
      <c r="S715" s="4"/>
      <c r="T715" s="4"/>
      <c r="U715" s="4"/>
      <c r="V715" s="4"/>
      <c r="W715" s="4"/>
      <c r="X715" s="4"/>
      <c r="Y715" s="4">
        <v>446</v>
      </c>
      <c r="Z715" s="4">
        <f t="shared" si="108"/>
        <v>446</v>
      </c>
      <c r="AA715" s="4">
        <v>290</v>
      </c>
      <c r="AB715" s="4">
        <f t="shared" si="109"/>
        <v>290</v>
      </c>
      <c r="AC715" s="4"/>
      <c r="AD715" s="21">
        <f>ROUND(M715*AR715,0)</f>
        <v>421</v>
      </c>
      <c r="AE715" s="6">
        <f>1-AB715/AD715</f>
        <v>0.3111638954869359</v>
      </c>
      <c r="AF715" s="33">
        <v>0</v>
      </c>
      <c r="AG715" s="4">
        <f t="shared" si="110"/>
        <v>492.33333333333331</v>
      </c>
      <c r="AH715" s="33">
        <f t="shared" si="112"/>
        <v>502.73474178403751</v>
      </c>
      <c r="AI715" s="6">
        <f>1-AB715/AH715</f>
        <v>0.42315504400812454</v>
      </c>
      <c r="AJ715" s="7">
        <v>446</v>
      </c>
      <c r="AK715" s="6">
        <f>1-AB715/AJ715</f>
        <v>0.34977578475336324</v>
      </c>
      <c r="AL715" s="4">
        <f>AJ715-AB715</f>
        <v>156</v>
      </c>
      <c r="AM715" s="28"/>
      <c r="AN715" s="6"/>
      <c r="AO715" s="6"/>
      <c r="AP715" s="6">
        <f>Z715/L715</f>
        <v>0.81090909090909091</v>
      </c>
      <c r="AQ715" s="6">
        <f>AJ715/M715</f>
        <v>1.0825242718446602</v>
      </c>
      <c r="AR715" s="6">
        <f>AB715/N715</f>
        <v>1.0211267605633803</v>
      </c>
      <c r="AS715" s="4"/>
      <c r="AT715" s="4"/>
      <c r="AU715" s="4"/>
      <c r="AV715" s="4"/>
      <c r="AW715" s="4"/>
      <c r="AX715" s="4"/>
      <c r="AY715" s="4"/>
      <c r="AZ715" s="4"/>
      <c r="BA715" s="4"/>
      <c r="BB715" s="4">
        <v>0</v>
      </c>
      <c r="BC715" s="4" t="s">
        <v>4191</v>
      </c>
      <c r="BD715" s="4">
        <v>1</v>
      </c>
      <c r="BE715" s="4">
        <v>3</v>
      </c>
      <c r="BF715" s="4" t="s">
        <v>3698</v>
      </c>
      <c r="BG715" s="4">
        <v>1477</v>
      </c>
      <c r="BH715" s="4">
        <v>1477</v>
      </c>
      <c r="BI715" s="4">
        <f t="shared" si="111"/>
        <v>492.33333333333331</v>
      </c>
      <c r="BJ715" s="19">
        <v>4</v>
      </c>
      <c r="BK715" s="19">
        <v>8</v>
      </c>
      <c r="BL715" s="16">
        <v>6</v>
      </c>
      <c r="BM715" s="45" t="s">
        <v>3534</v>
      </c>
      <c r="BN715" t="s">
        <v>3534</v>
      </c>
      <c r="BO715" t="str">
        <f t="shared" si="113"/>
        <v>-</v>
      </c>
      <c r="BP715">
        <v>437</v>
      </c>
      <c r="BQ715">
        <v>437</v>
      </c>
      <c r="BR715">
        <f t="shared" si="114"/>
        <v>446.23239436619718</v>
      </c>
      <c r="BS715" t="s">
        <v>3070</v>
      </c>
    </row>
    <row r="716" spans="1:71" x14ac:dyDescent="0.4">
      <c r="A716" s="3">
        <v>713</v>
      </c>
      <c r="B716" s="3">
        <v>713</v>
      </c>
      <c r="C716" s="4" t="s">
        <v>775</v>
      </c>
      <c r="D716" s="4" t="str">
        <f t="shared" si="106"/>
        <v>J6582P</v>
      </c>
      <c r="E716" s="4" t="s">
        <v>775</v>
      </c>
      <c r="F716" s="4" t="s">
        <v>1993</v>
      </c>
      <c r="G716" s="5">
        <v>4521718125169</v>
      </c>
      <c r="H716" s="5"/>
      <c r="I716" s="5"/>
      <c r="J716" s="5">
        <v>1</v>
      </c>
      <c r="K716" s="5">
        <v>1</v>
      </c>
      <c r="L716" s="4">
        <v>570</v>
      </c>
      <c r="M716" s="4">
        <v>405</v>
      </c>
      <c r="N716" s="4">
        <v>254</v>
      </c>
      <c r="O716" s="6">
        <f t="shared" si="107"/>
        <v>0.37283950617283945</v>
      </c>
      <c r="P716" s="4" t="s">
        <v>2500</v>
      </c>
      <c r="Q716" s="4"/>
      <c r="R716" s="4"/>
      <c r="S716" s="4"/>
      <c r="T716" s="4"/>
      <c r="U716" s="4"/>
      <c r="V716" s="4"/>
      <c r="W716" s="4"/>
      <c r="X716" s="4"/>
      <c r="Y716" s="4">
        <v>400</v>
      </c>
      <c r="Z716" s="4">
        <f t="shared" si="108"/>
        <v>400</v>
      </c>
      <c r="AA716" s="4">
        <v>260</v>
      </c>
      <c r="AB716" s="4">
        <f t="shared" si="109"/>
        <v>260</v>
      </c>
      <c r="AC716" s="4"/>
      <c r="AD716" s="21">
        <f>ROUND(M716*AR716,0)</f>
        <v>415</v>
      </c>
      <c r="AE716" s="6">
        <f>1-AB716/AD716</f>
        <v>0.37349397590361444</v>
      </c>
      <c r="AF716" s="33">
        <v>0</v>
      </c>
      <c r="AG716" s="4">
        <f t="shared" si="110"/>
        <v>780</v>
      </c>
      <c r="AH716" s="33">
        <f t="shared" si="112"/>
        <v>798.42519685039372</v>
      </c>
      <c r="AI716" s="6">
        <f>1-AB716/AH716</f>
        <v>0.67435897435897441</v>
      </c>
      <c r="AJ716" s="7">
        <v>400</v>
      </c>
      <c r="AK716" s="6">
        <f>1-AB716/AJ716</f>
        <v>0.35</v>
      </c>
      <c r="AL716" s="4">
        <f>AJ716-AB716</f>
        <v>140</v>
      </c>
      <c r="AM716" s="28"/>
      <c r="AN716" s="6"/>
      <c r="AO716" s="6"/>
      <c r="AP716" s="6">
        <f>Z716/L716</f>
        <v>0.70175438596491224</v>
      </c>
      <c r="AQ716" s="6">
        <f>AJ716/M716</f>
        <v>0.98765432098765427</v>
      </c>
      <c r="AR716" s="6">
        <f>AB716/N716</f>
        <v>1.0236220472440944</v>
      </c>
      <c r="AS716" s="4"/>
      <c r="AT716" s="4"/>
      <c r="AU716" s="4"/>
      <c r="AV716" s="4"/>
      <c r="AW716" s="4"/>
      <c r="AX716" s="4"/>
      <c r="AY716" s="4"/>
      <c r="AZ716" s="4"/>
      <c r="BA716" s="4"/>
      <c r="BB716" s="4">
        <v>0</v>
      </c>
      <c r="BC716" s="4" t="s">
        <v>4192</v>
      </c>
      <c r="BD716" s="4">
        <v>1</v>
      </c>
      <c r="BE716" s="4">
        <v>3</v>
      </c>
      <c r="BF716" s="4" t="s">
        <v>4193</v>
      </c>
      <c r="BG716" s="4">
        <v>2340</v>
      </c>
      <c r="BH716" s="4">
        <v>2340</v>
      </c>
      <c r="BI716" s="4">
        <f t="shared" si="111"/>
        <v>780</v>
      </c>
      <c r="BJ716" s="19">
        <v>4</v>
      </c>
      <c r="BK716" s="19">
        <v>8</v>
      </c>
      <c r="BL716" s="16">
        <v>6</v>
      </c>
      <c r="BM716" s="45" t="s">
        <v>3534</v>
      </c>
      <c r="BN716" t="s">
        <v>3534</v>
      </c>
      <c r="BO716" t="str">
        <f t="shared" si="113"/>
        <v>-</v>
      </c>
      <c r="BP716" t="s">
        <v>3534</v>
      </c>
      <c r="BQ716">
        <v>482</v>
      </c>
      <c r="BR716">
        <f t="shared" si="114"/>
        <v>493.38582677165351</v>
      </c>
      <c r="BS716" t="s">
        <v>3071</v>
      </c>
    </row>
    <row r="717" spans="1:71" x14ac:dyDescent="0.4">
      <c r="A717" s="3">
        <v>714</v>
      </c>
      <c r="B717" s="3">
        <v>714</v>
      </c>
      <c r="C717" s="4" t="s">
        <v>776</v>
      </c>
      <c r="D717" s="4" t="str">
        <f t="shared" si="106"/>
        <v>J6583P</v>
      </c>
      <c r="E717" s="4" t="s">
        <v>776</v>
      </c>
      <c r="F717" s="4" t="s">
        <v>1994</v>
      </c>
      <c r="G717" s="5">
        <v>4521718125398</v>
      </c>
      <c r="H717" s="5"/>
      <c r="I717" s="5"/>
      <c r="J717" s="5">
        <v>1</v>
      </c>
      <c r="K717" s="5">
        <v>1</v>
      </c>
      <c r="L717" s="4">
        <v>719</v>
      </c>
      <c r="M717" s="4">
        <v>740</v>
      </c>
      <c r="N717" s="4">
        <v>503</v>
      </c>
      <c r="O717" s="6">
        <f t="shared" si="107"/>
        <v>0.32027027027027022</v>
      </c>
      <c r="P717" s="4" t="s">
        <v>2500</v>
      </c>
      <c r="Q717" s="4"/>
      <c r="R717" s="4"/>
      <c r="S717" s="4"/>
      <c r="T717" s="4"/>
      <c r="U717" s="4"/>
      <c r="V717" s="4"/>
      <c r="W717" s="4"/>
      <c r="X717" s="4"/>
      <c r="Y717" s="4">
        <v>719</v>
      </c>
      <c r="Z717" s="4">
        <f t="shared" si="108"/>
        <v>719</v>
      </c>
      <c r="AA717" s="4">
        <v>503</v>
      </c>
      <c r="AB717" s="4">
        <f t="shared" si="109"/>
        <v>503</v>
      </c>
      <c r="AC717" s="4"/>
      <c r="AD717" s="21">
        <f>ROUND(M717*AR717,0)</f>
        <v>740</v>
      </c>
      <c r="AE717" s="6">
        <f>1-AB717/AD717</f>
        <v>0.32027027027027022</v>
      </c>
      <c r="AF717" s="33">
        <v>0</v>
      </c>
      <c r="AG717" s="4">
        <f t="shared" si="110"/>
        <v>1100</v>
      </c>
      <c r="AH717" s="33">
        <f t="shared" si="112"/>
        <v>1100</v>
      </c>
      <c r="AI717" s="6">
        <f>1-AB717/AH717</f>
        <v>0.54272727272727272</v>
      </c>
      <c r="AJ717" s="7">
        <v>719</v>
      </c>
      <c r="AK717" s="6">
        <f>1-AB717/AJ717</f>
        <v>0.30041724617524335</v>
      </c>
      <c r="AL717" s="4">
        <f>AJ717-AB717</f>
        <v>216</v>
      </c>
      <c r="AM717" s="28"/>
      <c r="AN717" s="6"/>
      <c r="AO717" s="6"/>
      <c r="AP717" s="6">
        <f>Z717/L717</f>
        <v>1</v>
      </c>
      <c r="AQ717" s="6">
        <f>AJ717/M717</f>
        <v>0.97162162162162158</v>
      </c>
      <c r="AR717" s="6">
        <f>AB717/N717</f>
        <v>1</v>
      </c>
      <c r="AS717" s="4"/>
      <c r="AT717" s="4"/>
      <c r="AU717" s="4"/>
      <c r="AV717" s="4"/>
      <c r="AW717" s="4"/>
      <c r="AX717" s="4"/>
      <c r="AY717" s="4"/>
      <c r="AZ717" s="4"/>
      <c r="BA717" s="4"/>
      <c r="BB717" s="4">
        <v>0</v>
      </c>
      <c r="BC717" s="4" t="s">
        <v>4194</v>
      </c>
      <c r="BD717" s="4">
        <v>1</v>
      </c>
      <c r="BE717" s="4">
        <v>2</v>
      </c>
      <c r="BF717" s="4" t="s">
        <v>3659</v>
      </c>
      <c r="BG717" s="4">
        <v>2200</v>
      </c>
      <c r="BH717" s="4">
        <v>2200</v>
      </c>
      <c r="BI717" s="4">
        <f t="shared" si="111"/>
        <v>1100</v>
      </c>
      <c r="BJ717" s="19">
        <v>4</v>
      </c>
      <c r="BK717" s="19">
        <v>8</v>
      </c>
      <c r="BL717" s="16">
        <v>6</v>
      </c>
      <c r="BM717" s="45" t="s">
        <v>3534</v>
      </c>
      <c r="BN717" t="s">
        <v>3534</v>
      </c>
      <c r="BO717" t="str">
        <f t="shared" si="113"/>
        <v>-</v>
      </c>
      <c r="BP717" t="s">
        <v>3534</v>
      </c>
      <c r="BQ717">
        <v>719</v>
      </c>
      <c r="BR717">
        <f t="shared" si="114"/>
        <v>719</v>
      </c>
      <c r="BS717" t="s">
        <v>3072</v>
      </c>
    </row>
    <row r="718" spans="1:71" x14ac:dyDescent="0.4">
      <c r="A718" s="3">
        <v>715</v>
      </c>
      <c r="B718" s="3">
        <v>715</v>
      </c>
      <c r="C718" s="4" t="s">
        <v>777</v>
      </c>
      <c r="D718" s="4" t="str">
        <f t="shared" si="106"/>
        <v>J6584P</v>
      </c>
      <c r="E718" s="4" t="s">
        <v>777</v>
      </c>
      <c r="F718" s="4" t="s">
        <v>1995</v>
      </c>
      <c r="G718" s="5">
        <v>4521718125404</v>
      </c>
      <c r="H718" s="5"/>
      <c r="I718" s="5"/>
      <c r="J718" s="5">
        <v>1</v>
      </c>
      <c r="K718" s="5">
        <v>1</v>
      </c>
      <c r="L718" s="4">
        <v>873</v>
      </c>
      <c r="M718" s="4">
        <v>890</v>
      </c>
      <c r="N718" s="4">
        <v>611</v>
      </c>
      <c r="O718" s="6">
        <f t="shared" si="107"/>
        <v>0.31348314606741579</v>
      </c>
      <c r="P718" s="4" t="s">
        <v>2500</v>
      </c>
      <c r="Q718" s="4"/>
      <c r="R718" s="4"/>
      <c r="S718" s="4"/>
      <c r="T718" s="4"/>
      <c r="U718" s="4"/>
      <c r="V718" s="4"/>
      <c r="W718" s="4"/>
      <c r="X718" s="4"/>
      <c r="Y718" s="4">
        <v>873</v>
      </c>
      <c r="Z718" s="4">
        <f t="shared" si="108"/>
        <v>873</v>
      </c>
      <c r="AA718" s="4">
        <v>611</v>
      </c>
      <c r="AB718" s="4">
        <f t="shared" si="109"/>
        <v>611</v>
      </c>
      <c r="AC718" s="4"/>
      <c r="AD718" s="21">
        <f>ROUND(M718*AR718,0)</f>
        <v>890</v>
      </c>
      <c r="AE718" s="6">
        <f>1-AB718/AD718</f>
        <v>0.31348314606741579</v>
      </c>
      <c r="AF718" s="33">
        <v>1</v>
      </c>
      <c r="AG718" s="4">
        <f t="shared" si="110"/>
        <v>1330</v>
      </c>
      <c r="AH718" s="33">
        <f t="shared" si="112"/>
        <v>1330</v>
      </c>
      <c r="AI718" s="6">
        <f>1-AB718/AH718</f>
        <v>0.54060150375939853</v>
      </c>
      <c r="AJ718" s="7">
        <v>873</v>
      </c>
      <c r="AK718" s="6">
        <f>1-AB718/AJ718</f>
        <v>0.30011454753722799</v>
      </c>
      <c r="AL718" s="4">
        <f>AJ718-AB718</f>
        <v>262</v>
      </c>
      <c r="AM718" s="28"/>
      <c r="AN718" s="6"/>
      <c r="AO718" s="6"/>
      <c r="AP718" s="6">
        <f>Z718/L718</f>
        <v>1</v>
      </c>
      <c r="AQ718" s="6">
        <f>AJ718/M718</f>
        <v>0.98089887640449436</v>
      </c>
      <c r="AR718" s="6">
        <f>AB718/N718</f>
        <v>1</v>
      </c>
      <c r="AS718" s="4"/>
      <c r="AT718" s="4"/>
      <c r="AU718" s="4"/>
      <c r="AV718" s="4"/>
      <c r="AW718" s="4"/>
      <c r="AX718" s="4"/>
      <c r="AY718" s="4"/>
      <c r="AZ718" s="4"/>
      <c r="BA718" s="4"/>
      <c r="BB718" s="4">
        <v>0</v>
      </c>
      <c r="BC718" s="4" t="s">
        <v>4195</v>
      </c>
      <c r="BD718" s="4"/>
      <c r="BE718" s="4"/>
      <c r="BF718" s="4" t="s">
        <v>3649</v>
      </c>
      <c r="BG718" s="4">
        <v>1330</v>
      </c>
      <c r="BH718" s="4">
        <v>1330</v>
      </c>
      <c r="BI718" s="4">
        <f t="shared" si="111"/>
        <v>1330</v>
      </c>
      <c r="BJ718" s="19">
        <v>4</v>
      </c>
      <c r="BK718" s="19">
        <v>8</v>
      </c>
      <c r="BL718" s="16">
        <v>6</v>
      </c>
      <c r="BM718" s="45" t="s">
        <v>3534</v>
      </c>
      <c r="BN718" t="s">
        <v>3534</v>
      </c>
      <c r="BO718" t="str">
        <f t="shared" si="113"/>
        <v>-</v>
      </c>
      <c r="BP718" t="s">
        <v>3534</v>
      </c>
      <c r="BQ718">
        <v>873</v>
      </c>
      <c r="BR718">
        <f t="shared" si="114"/>
        <v>873</v>
      </c>
      <c r="BS718" t="s">
        <v>3073</v>
      </c>
    </row>
    <row r="719" spans="1:71" x14ac:dyDescent="0.4">
      <c r="A719" s="3">
        <v>716</v>
      </c>
      <c r="B719" s="3">
        <v>716</v>
      </c>
      <c r="C719" s="4" t="s">
        <v>778</v>
      </c>
      <c r="D719" s="4" t="str">
        <f t="shared" si="106"/>
        <v>J658TN</v>
      </c>
      <c r="E719" s="4" t="s">
        <v>778</v>
      </c>
      <c r="F719" s="4" t="s">
        <v>1996</v>
      </c>
      <c r="G719" s="5">
        <v>4521718219608</v>
      </c>
      <c r="H719" s="5"/>
      <c r="I719" s="5"/>
      <c r="J719" s="5">
        <v>1</v>
      </c>
      <c r="K719" s="5">
        <v>1</v>
      </c>
      <c r="L719" s="4">
        <v>250</v>
      </c>
      <c r="M719" s="4">
        <v>173</v>
      </c>
      <c r="N719" s="4">
        <v>112</v>
      </c>
      <c r="O719" s="6">
        <f t="shared" si="107"/>
        <v>0.35260115606936415</v>
      </c>
      <c r="P719" s="4" t="s">
        <v>2500</v>
      </c>
      <c r="Q719" s="4"/>
      <c r="R719" s="4"/>
      <c r="S719" s="4"/>
      <c r="T719" s="4"/>
      <c r="U719" s="4"/>
      <c r="V719" s="4"/>
      <c r="W719" s="4"/>
      <c r="X719" s="4"/>
      <c r="Y719" s="4">
        <v>228</v>
      </c>
      <c r="Z719" s="4">
        <f t="shared" si="108"/>
        <v>228</v>
      </c>
      <c r="AA719" s="4">
        <v>103</v>
      </c>
      <c r="AB719" s="4">
        <f t="shared" si="109"/>
        <v>103</v>
      </c>
      <c r="AC719" s="4"/>
      <c r="AD719" s="21">
        <f>ROUND(M719*AR719,0)</f>
        <v>159</v>
      </c>
      <c r="AE719" s="6">
        <f>1-AB719/AD719</f>
        <v>0.35220125786163525</v>
      </c>
      <c r="AF719" s="33">
        <v>8.5</v>
      </c>
      <c r="AG719" s="4" t="str">
        <f t="shared" si="110"/>
        <v>-</v>
      </c>
      <c r="AH719" s="33" t="e">
        <f t="shared" si="112"/>
        <v>#VALUE!</v>
      </c>
      <c r="AI719" s="6" t="e">
        <f>1-AB719/AH719</f>
        <v>#VALUE!</v>
      </c>
      <c r="AJ719" s="7">
        <f>ROUND(AB719/0.65,0)</f>
        <v>158</v>
      </c>
      <c r="AK719" s="6">
        <f>1-AB719/AJ719</f>
        <v>0.34810126582278478</v>
      </c>
      <c r="AL719" s="4">
        <f>AJ719-AB719</f>
        <v>55</v>
      </c>
      <c r="AM719" s="28"/>
      <c r="AN719" s="6"/>
      <c r="AO719" s="6"/>
      <c r="AP719" s="6">
        <f>Z719/L719</f>
        <v>0.91200000000000003</v>
      </c>
      <c r="AQ719" s="6">
        <f>AJ719/M719</f>
        <v>0.91329479768786126</v>
      </c>
      <c r="AR719" s="6">
        <f>AB719/N719</f>
        <v>0.9196428571428571</v>
      </c>
      <c r="AS719" s="4"/>
      <c r="AT719" s="4"/>
      <c r="AU719" s="4"/>
      <c r="AV719" s="4"/>
      <c r="AW719" s="4"/>
      <c r="AX719" s="4"/>
      <c r="AY719" s="4"/>
      <c r="AZ719" s="4"/>
      <c r="BA719" s="4"/>
      <c r="BB719" s="4">
        <v>0</v>
      </c>
      <c r="BC719" s="4" t="s">
        <v>3534</v>
      </c>
      <c r="BD719" s="4"/>
      <c r="BE719" s="4"/>
      <c r="BF719" s="4" t="s">
        <v>3534</v>
      </c>
      <c r="BG719" s="4" t="s">
        <v>3534</v>
      </c>
      <c r="BH719" s="4" t="s">
        <v>3534</v>
      </c>
      <c r="BI719" s="4" t="str">
        <f t="shared" si="111"/>
        <v>-</v>
      </c>
      <c r="BJ719" s="19">
        <v>4</v>
      </c>
      <c r="BK719" s="19">
        <v>8</v>
      </c>
      <c r="BL719" s="16">
        <v>6</v>
      </c>
      <c r="BM719" s="45" t="s">
        <v>3534</v>
      </c>
      <c r="BN719" t="s">
        <v>3534</v>
      </c>
      <c r="BO719" t="str">
        <f t="shared" si="113"/>
        <v>-</v>
      </c>
      <c r="BP719" t="s">
        <v>3534</v>
      </c>
      <c r="BQ719">
        <v>173</v>
      </c>
      <c r="BR719">
        <f t="shared" si="114"/>
        <v>159.09821428571428</v>
      </c>
      <c r="BS719" t="s">
        <v>3534</v>
      </c>
    </row>
    <row r="720" spans="1:71" x14ac:dyDescent="0.4">
      <c r="A720" s="42">
        <v>717</v>
      </c>
      <c r="B720" s="3">
        <v>717</v>
      </c>
      <c r="C720" s="4" t="s">
        <v>779</v>
      </c>
      <c r="D720" s="4" t="str">
        <f t="shared" si="106"/>
        <v>J658WG</v>
      </c>
      <c r="E720" s="4" t="s">
        <v>779</v>
      </c>
      <c r="F720" s="4" t="s">
        <v>1997</v>
      </c>
      <c r="G720" s="5">
        <v>4521718184234</v>
      </c>
      <c r="H720" s="5"/>
      <c r="I720" s="5"/>
      <c r="J720" s="5">
        <v>1</v>
      </c>
      <c r="K720" s="5">
        <v>1</v>
      </c>
      <c r="L720" s="4">
        <v>4090</v>
      </c>
      <c r="M720" s="4">
        <v>2860</v>
      </c>
      <c r="N720" s="4">
        <v>2127</v>
      </c>
      <c r="O720" s="6">
        <f t="shared" si="107"/>
        <v>0.25629370629370629</v>
      </c>
      <c r="P720" s="4" t="s">
        <v>2500</v>
      </c>
      <c r="Q720" s="4"/>
      <c r="R720" s="4"/>
      <c r="S720" s="4"/>
      <c r="T720" s="4"/>
      <c r="U720" s="4"/>
      <c r="V720" s="4"/>
      <c r="W720" s="4"/>
      <c r="X720" s="4"/>
      <c r="Y720" s="4">
        <v>3273</v>
      </c>
      <c r="Z720" s="4">
        <f t="shared" si="108"/>
        <v>3273</v>
      </c>
      <c r="AA720" s="4">
        <v>2291</v>
      </c>
      <c r="AB720" s="4">
        <f t="shared" si="109"/>
        <v>2291</v>
      </c>
      <c r="AC720" s="4"/>
      <c r="AD720" s="21">
        <f>ROUND(M720*AR720,0)</f>
        <v>3081</v>
      </c>
      <c r="AE720" s="6">
        <f>1-AB720/AD720</f>
        <v>0.25641025641025639</v>
      </c>
      <c r="AF720" s="33">
        <v>0</v>
      </c>
      <c r="AG720" s="4">
        <f t="shared" si="110"/>
        <v>4090</v>
      </c>
      <c r="AH720" s="33">
        <f t="shared" si="112"/>
        <v>4405.3549600376118</v>
      </c>
      <c r="AI720" s="6">
        <f>1-AB720/AH720</f>
        <v>0.47995110024449883</v>
      </c>
      <c r="AJ720" s="7">
        <v>3273</v>
      </c>
      <c r="AK720" s="6">
        <f>1-AB720/AJ720</f>
        <v>0.30003055300947146</v>
      </c>
      <c r="AL720" s="4">
        <f>AJ720-AB720</f>
        <v>982</v>
      </c>
      <c r="AM720" s="28"/>
      <c r="AN720" s="6"/>
      <c r="AO720" s="6"/>
      <c r="AP720" s="6">
        <f>Z720/L720</f>
        <v>0.80024449877750614</v>
      </c>
      <c r="AQ720" s="6">
        <f>AJ720/M720</f>
        <v>1.1444055944055944</v>
      </c>
      <c r="AR720" s="6">
        <f>AB720/N720</f>
        <v>1.0771039022096851</v>
      </c>
      <c r="AS720" s="4"/>
      <c r="AT720" s="4"/>
      <c r="AU720" s="4"/>
      <c r="AV720" s="4"/>
      <c r="AW720" s="4"/>
      <c r="AX720" s="4"/>
      <c r="AY720" s="4"/>
      <c r="AZ720" s="4"/>
      <c r="BA720" s="4"/>
      <c r="BB720" s="4">
        <v>0</v>
      </c>
      <c r="BC720" s="4" t="s">
        <v>4196</v>
      </c>
      <c r="BD720" s="4"/>
      <c r="BE720" s="4"/>
      <c r="BF720" s="4" t="s">
        <v>3538</v>
      </c>
      <c r="BG720" s="4">
        <v>4090</v>
      </c>
      <c r="BH720" s="4">
        <v>4090</v>
      </c>
      <c r="BI720" s="4">
        <f t="shared" si="111"/>
        <v>4090</v>
      </c>
      <c r="BJ720" s="19">
        <v>2</v>
      </c>
      <c r="BK720" s="19">
        <v>8</v>
      </c>
      <c r="BL720" s="16">
        <v>6</v>
      </c>
      <c r="BM720" s="45" t="s">
        <v>3534</v>
      </c>
      <c r="BN720" t="s">
        <v>3534</v>
      </c>
      <c r="BO720" t="str">
        <f t="shared" si="113"/>
        <v>-</v>
      </c>
      <c r="BP720" t="s">
        <v>3534</v>
      </c>
      <c r="BQ720">
        <v>3886</v>
      </c>
      <c r="BR720">
        <f t="shared" si="114"/>
        <v>4185.6257639868363</v>
      </c>
      <c r="BS720" t="s">
        <v>3074</v>
      </c>
    </row>
    <row r="721" spans="1:71" x14ac:dyDescent="0.4">
      <c r="A721" s="3">
        <v>718</v>
      </c>
      <c r="B721" s="3">
        <v>718</v>
      </c>
      <c r="C721" s="4" t="s">
        <v>780</v>
      </c>
      <c r="D721" s="4" t="str">
        <f t="shared" si="106"/>
        <v>J6585P</v>
      </c>
      <c r="E721" s="4" t="s">
        <v>780</v>
      </c>
      <c r="F721" s="4" t="s">
        <v>1998</v>
      </c>
      <c r="G721" s="5">
        <v>4521718125572</v>
      </c>
      <c r="H721" s="5"/>
      <c r="I721" s="5"/>
      <c r="J721" s="5">
        <v>1</v>
      </c>
      <c r="K721" s="5">
        <v>1</v>
      </c>
      <c r="L721" s="4">
        <v>540</v>
      </c>
      <c r="M721" s="4">
        <v>411</v>
      </c>
      <c r="N721" s="4">
        <v>278</v>
      </c>
      <c r="O721" s="6">
        <f t="shared" si="107"/>
        <v>0.32360097323600978</v>
      </c>
      <c r="P721" s="4" t="s">
        <v>2500</v>
      </c>
      <c r="Q721" s="4"/>
      <c r="R721" s="4"/>
      <c r="S721" s="4"/>
      <c r="T721" s="4"/>
      <c r="U721" s="4"/>
      <c r="V721" s="4"/>
      <c r="W721" s="4"/>
      <c r="X721" s="4"/>
      <c r="Y721" s="4">
        <v>428</v>
      </c>
      <c r="Z721" s="4">
        <f t="shared" si="108"/>
        <v>428</v>
      </c>
      <c r="AA721" s="4">
        <v>278</v>
      </c>
      <c r="AB721" s="4">
        <f t="shared" si="109"/>
        <v>278</v>
      </c>
      <c r="AC721" s="4"/>
      <c r="AD721" s="21">
        <f>ROUND(M721*AR721,0)</f>
        <v>411</v>
      </c>
      <c r="AE721" s="6">
        <f>1-AB721/AD721</f>
        <v>0.32360097323600978</v>
      </c>
      <c r="AF721" s="33">
        <v>0</v>
      </c>
      <c r="AG721" s="4">
        <f t="shared" si="110"/>
        <v>587.25</v>
      </c>
      <c r="AH721" s="33">
        <f t="shared" si="112"/>
        <v>587.25</v>
      </c>
      <c r="AI721" s="6">
        <f>1-AB721/AH721</f>
        <v>0.52660706683695191</v>
      </c>
      <c r="AJ721" s="7">
        <f>ROUND(AB721/0.65,0)</f>
        <v>428</v>
      </c>
      <c r="AK721" s="6">
        <f>1-AB721/AJ721</f>
        <v>0.35046728971962615</v>
      </c>
      <c r="AL721" s="4">
        <f>AJ721-AB721</f>
        <v>150</v>
      </c>
      <c r="AM721" s="28"/>
      <c r="AN721" s="6"/>
      <c r="AO721" s="6"/>
      <c r="AP721" s="6">
        <f>Z721/L721</f>
        <v>0.79259259259259263</v>
      </c>
      <c r="AQ721" s="6">
        <f>AJ721/M721</f>
        <v>1.0413625304136254</v>
      </c>
      <c r="AR721" s="6">
        <f>AB721/N721</f>
        <v>1</v>
      </c>
      <c r="AS721" s="4"/>
      <c r="AT721" s="4"/>
      <c r="AU721" s="4"/>
      <c r="AV721" s="4"/>
      <c r="AW721" s="4"/>
      <c r="AX721" s="4"/>
      <c r="AY721" s="4"/>
      <c r="AZ721" s="4"/>
      <c r="BA721" s="4"/>
      <c r="BB721" s="4">
        <v>0</v>
      </c>
      <c r="BC721" s="4" t="s">
        <v>4197</v>
      </c>
      <c r="BD721" s="4">
        <v>1</v>
      </c>
      <c r="BE721" s="4">
        <v>4</v>
      </c>
      <c r="BF721" s="4" t="s">
        <v>4014</v>
      </c>
      <c r="BG721" s="4">
        <v>2349</v>
      </c>
      <c r="BH721" s="4">
        <v>2349</v>
      </c>
      <c r="BI721" s="4">
        <f t="shared" si="111"/>
        <v>587.25</v>
      </c>
      <c r="BJ721" s="19">
        <v>4</v>
      </c>
      <c r="BK721" s="19">
        <v>8</v>
      </c>
      <c r="BL721" s="16">
        <v>6</v>
      </c>
      <c r="BM721" s="45" t="s">
        <v>3534</v>
      </c>
      <c r="BN721" t="s">
        <v>3534</v>
      </c>
      <c r="BO721" t="str">
        <f t="shared" si="113"/>
        <v>-</v>
      </c>
      <c r="BP721" t="s">
        <v>3534</v>
      </c>
      <c r="BQ721">
        <v>540</v>
      </c>
      <c r="BR721">
        <f t="shared" si="114"/>
        <v>540</v>
      </c>
      <c r="BS721" t="s">
        <v>3075</v>
      </c>
    </row>
    <row r="722" spans="1:71" x14ac:dyDescent="0.4">
      <c r="A722" s="3">
        <v>719</v>
      </c>
      <c r="B722" s="3">
        <v>719</v>
      </c>
      <c r="C722" s="4" t="s">
        <v>781</v>
      </c>
      <c r="D722" s="4" t="str">
        <f t="shared" si="106"/>
        <v>J6586P</v>
      </c>
      <c r="E722" s="4" t="s">
        <v>781</v>
      </c>
      <c r="F722" s="4" t="s">
        <v>1999</v>
      </c>
      <c r="G722" s="5">
        <v>4521718125619</v>
      </c>
      <c r="H722" s="5"/>
      <c r="I722" s="5"/>
      <c r="J722" s="5">
        <v>1</v>
      </c>
      <c r="K722" s="5">
        <v>1</v>
      </c>
      <c r="L722" s="4">
        <v>500</v>
      </c>
      <c r="M722" s="4">
        <v>334</v>
      </c>
      <c r="N722" s="4">
        <v>225</v>
      </c>
      <c r="O722" s="6">
        <f t="shared" si="107"/>
        <v>0.32634730538922152</v>
      </c>
      <c r="P722" s="4" t="s">
        <v>2500</v>
      </c>
      <c r="Q722" s="4"/>
      <c r="R722" s="4"/>
      <c r="S722" s="4"/>
      <c r="T722" s="4"/>
      <c r="U722" s="4"/>
      <c r="V722" s="4"/>
      <c r="W722" s="4"/>
      <c r="X722" s="4"/>
      <c r="Y722" s="4">
        <v>346</v>
      </c>
      <c r="Z722" s="4">
        <f t="shared" si="108"/>
        <v>346</v>
      </c>
      <c r="AA722" s="4">
        <v>225</v>
      </c>
      <c r="AB722" s="4">
        <f t="shared" si="109"/>
        <v>225</v>
      </c>
      <c r="AC722" s="4"/>
      <c r="AD722" s="21">
        <f>ROUND(M722*AR722,0)</f>
        <v>334</v>
      </c>
      <c r="AE722" s="6">
        <f>1-AB722/AD722</f>
        <v>0.32634730538922152</v>
      </c>
      <c r="AF722" s="33">
        <v>0</v>
      </c>
      <c r="AG722" s="4">
        <f t="shared" si="110"/>
        <v>500</v>
      </c>
      <c r="AH722" s="33">
        <f t="shared" si="112"/>
        <v>500</v>
      </c>
      <c r="AI722" s="6">
        <f>1-AB722/AH722</f>
        <v>0.55000000000000004</v>
      </c>
      <c r="AJ722" s="7">
        <v>346</v>
      </c>
      <c r="AK722" s="6">
        <f>1-AB722/AJ722</f>
        <v>0.3497109826589595</v>
      </c>
      <c r="AL722" s="4">
        <f>AJ722-AB722</f>
        <v>121</v>
      </c>
      <c r="AM722" s="28"/>
      <c r="AN722" s="6"/>
      <c r="AO722" s="6"/>
      <c r="AP722" s="6">
        <f>Z722/L722</f>
        <v>0.69199999999999995</v>
      </c>
      <c r="AQ722" s="6">
        <f>AJ722/M722</f>
        <v>1.0359281437125749</v>
      </c>
      <c r="AR722" s="6">
        <f>AB722/N722</f>
        <v>1</v>
      </c>
      <c r="AS722" s="4"/>
      <c r="AT722" s="4"/>
      <c r="AU722" s="4"/>
      <c r="AV722" s="4"/>
      <c r="AW722" s="4"/>
      <c r="AX722" s="4"/>
      <c r="AY722" s="4"/>
      <c r="AZ722" s="4"/>
      <c r="BA722" s="4"/>
      <c r="BB722" s="4">
        <v>0</v>
      </c>
      <c r="BC722" s="4" t="s">
        <v>4198</v>
      </c>
      <c r="BD722" s="4">
        <v>1</v>
      </c>
      <c r="BE722" s="4">
        <v>4</v>
      </c>
      <c r="BF722" s="4" t="s">
        <v>4014</v>
      </c>
      <c r="BG722" s="4">
        <v>2000</v>
      </c>
      <c r="BH722" s="4">
        <v>2000</v>
      </c>
      <c r="BI722" s="4">
        <f t="shared" si="111"/>
        <v>500</v>
      </c>
      <c r="BJ722" s="19">
        <v>4</v>
      </c>
      <c r="BK722" s="19">
        <v>8</v>
      </c>
      <c r="BL722" s="16">
        <v>6</v>
      </c>
      <c r="BM722" s="45" t="s">
        <v>3534</v>
      </c>
      <c r="BN722" t="s">
        <v>3534</v>
      </c>
      <c r="BO722" t="str">
        <f t="shared" si="113"/>
        <v>-</v>
      </c>
      <c r="BP722">
        <v>450</v>
      </c>
      <c r="BQ722">
        <v>450</v>
      </c>
      <c r="BR722">
        <f t="shared" si="114"/>
        <v>450</v>
      </c>
      <c r="BS722" t="s">
        <v>3076</v>
      </c>
    </row>
    <row r="723" spans="1:71" x14ac:dyDescent="0.4">
      <c r="A723" s="3">
        <v>720</v>
      </c>
      <c r="B723" s="3">
        <v>720</v>
      </c>
      <c r="C723" s="4" t="s">
        <v>782</v>
      </c>
      <c r="D723" s="4" t="str">
        <f t="shared" si="106"/>
        <v>J6590P</v>
      </c>
      <c r="E723" s="4" t="s">
        <v>782</v>
      </c>
      <c r="F723" s="4" t="s">
        <v>2000</v>
      </c>
      <c r="G723" s="5">
        <v>4521718129761</v>
      </c>
      <c r="H723" s="5"/>
      <c r="I723" s="5"/>
      <c r="J723" s="5">
        <v>1</v>
      </c>
      <c r="K723" s="5">
        <v>1</v>
      </c>
      <c r="L723" s="4">
        <v>480</v>
      </c>
      <c r="M723" s="4">
        <v>365</v>
      </c>
      <c r="N723" s="4">
        <v>248</v>
      </c>
      <c r="O723" s="6">
        <f t="shared" si="107"/>
        <v>0.32054794520547947</v>
      </c>
      <c r="P723" s="4" t="s">
        <v>2500</v>
      </c>
      <c r="Q723" s="4"/>
      <c r="R723" s="4"/>
      <c r="S723" s="4"/>
      <c r="T723" s="4"/>
      <c r="U723" s="4"/>
      <c r="V723" s="4"/>
      <c r="W723" s="4"/>
      <c r="X723" s="4"/>
      <c r="Y723" s="4">
        <v>382</v>
      </c>
      <c r="Z723" s="4">
        <f t="shared" si="108"/>
        <v>382</v>
      </c>
      <c r="AA723" s="4">
        <v>248</v>
      </c>
      <c r="AB723" s="4">
        <f t="shared" si="109"/>
        <v>248</v>
      </c>
      <c r="AC723" s="4"/>
      <c r="AD723" s="21">
        <f>ROUND(M723*AR723,0)</f>
        <v>365</v>
      </c>
      <c r="AE723" s="6">
        <f>1-AB723/AD723</f>
        <v>0.32054794520547947</v>
      </c>
      <c r="AF723" s="33">
        <v>0</v>
      </c>
      <c r="AG723" s="4">
        <f t="shared" si="110"/>
        <v>550</v>
      </c>
      <c r="AH723" s="33">
        <f t="shared" si="112"/>
        <v>550</v>
      </c>
      <c r="AI723" s="6">
        <f>1-AB723/AH723</f>
        <v>0.54909090909090907</v>
      </c>
      <c r="AJ723" s="7">
        <f>ROUND(AB723/0.65,0)</f>
        <v>382</v>
      </c>
      <c r="AK723" s="6">
        <f>1-AB723/AJ723</f>
        <v>0.35078534031413611</v>
      </c>
      <c r="AL723" s="4">
        <f>AJ723-AB723</f>
        <v>134</v>
      </c>
      <c r="AM723" s="28"/>
      <c r="AN723" s="6"/>
      <c r="AO723" s="6"/>
      <c r="AP723" s="6">
        <f>Z723/L723</f>
        <v>0.79583333333333328</v>
      </c>
      <c r="AQ723" s="6">
        <f>AJ723/M723</f>
        <v>1.0465753424657533</v>
      </c>
      <c r="AR723" s="6">
        <f>AB723/N723</f>
        <v>1</v>
      </c>
      <c r="AS723" s="4"/>
      <c r="AT723" s="4"/>
      <c r="AU723" s="4"/>
      <c r="AV723" s="4"/>
      <c r="AW723" s="4"/>
      <c r="AX723" s="4"/>
      <c r="AY723" s="4"/>
      <c r="AZ723" s="4"/>
      <c r="BA723" s="4"/>
      <c r="BB723" s="4">
        <v>0</v>
      </c>
      <c r="BC723" s="4" t="s">
        <v>4199</v>
      </c>
      <c r="BD723" s="4">
        <v>1</v>
      </c>
      <c r="BE723" s="4">
        <v>4</v>
      </c>
      <c r="BF723" s="4" t="s">
        <v>4200</v>
      </c>
      <c r="BG723" s="4">
        <v>2200</v>
      </c>
      <c r="BH723" s="4">
        <v>2200</v>
      </c>
      <c r="BI723" s="4">
        <f t="shared" si="111"/>
        <v>550</v>
      </c>
      <c r="BJ723" s="19">
        <v>4</v>
      </c>
      <c r="BK723" s="19">
        <v>8</v>
      </c>
      <c r="BL723" s="16">
        <v>6</v>
      </c>
      <c r="BM723" s="45" t="s">
        <v>3534</v>
      </c>
      <c r="BN723" t="s">
        <v>3534</v>
      </c>
      <c r="BO723" t="str">
        <f t="shared" si="113"/>
        <v>-</v>
      </c>
      <c r="BP723" t="s">
        <v>3534</v>
      </c>
      <c r="BQ723">
        <v>496</v>
      </c>
      <c r="BR723">
        <f t="shared" si="114"/>
        <v>496</v>
      </c>
      <c r="BS723" t="s">
        <v>3077</v>
      </c>
    </row>
    <row r="724" spans="1:71" x14ac:dyDescent="0.4">
      <c r="A724" s="3">
        <v>721</v>
      </c>
      <c r="B724" s="3">
        <v>721</v>
      </c>
      <c r="C724" s="4" t="s">
        <v>783</v>
      </c>
      <c r="D724" s="4" t="str">
        <f t="shared" si="106"/>
        <v>J6591P</v>
      </c>
      <c r="E724" s="4" t="s">
        <v>783</v>
      </c>
      <c r="F724" s="4" t="s">
        <v>2001</v>
      </c>
      <c r="G724" s="5">
        <v>4521718130385</v>
      </c>
      <c r="H724" s="5"/>
      <c r="I724" s="5"/>
      <c r="J724" s="5">
        <v>1</v>
      </c>
      <c r="K724" s="5">
        <v>1</v>
      </c>
      <c r="L724" s="4">
        <v>600</v>
      </c>
      <c r="M724" s="4">
        <v>393</v>
      </c>
      <c r="N724" s="4">
        <v>267</v>
      </c>
      <c r="O724" s="6">
        <f t="shared" si="107"/>
        <v>0.32061068702290074</v>
      </c>
      <c r="P724" s="4" t="s">
        <v>2500</v>
      </c>
      <c r="Q724" s="4"/>
      <c r="R724" s="4"/>
      <c r="S724" s="4"/>
      <c r="T724" s="4"/>
      <c r="U724" s="4"/>
      <c r="V724" s="4"/>
      <c r="W724" s="4"/>
      <c r="X724" s="4"/>
      <c r="Y724" s="4">
        <v>410</v>
      </c>
      <c r="Z724" s="4">
        <f t="shared" si="108"/>
        <v>410</v>
      </c>
      <c r="AA724" s="4">
        <v>267</v>
      </c>
      <c r="AB724" s="4">
        <f t="shared" si="109"/>
        <v>267</v>
      </c>
      <c r="AC724" s="4"/>
      <c r="AD724" s="21">
        <f>ROUND(M724*AR724,0)</f>
        <v>393</v>
      </c>
      <c r="AE724" s="6">
        <f>1-AB724/AD724</f>
        <v>0.32061068702290074</v>
      </c>
      <c r="AF724" s="33">
        <v>0</v>
      </c>
      <c r="AG724" s="4">
        <f t="shared" si="110"/>
        <v>600</v>
      </c>
      <c r="AH724" s="33">
        <f t="shared" si="112"/>
        <v>600</v>
      </c>
      <c r="AI724" s="6">
        <f>1-AB724/AH724</f>
        <v>0.55499999999999994</v>
      </c>
      <c r="AJ724" s="7">
        <v>410</v>
      </c>
      <c r="AK724" s="6">
        <f>1-AB724/AJ724</f>
        <v>0.34878048780487803</v>
      </c>
      <c r="AL724" s="4">
        <f>AJ724-AB724</f>
        <v>143</v>
      </c>
      <c r="AM724" s="28"/>
      <c r="AN724" s="6"/>
      <c r="AO724" s="6"/>
      <c r="AP724" s="6">
        <f>Z724/L724</f>
        <v>0.68333333333333335</v>
      </c>
      <c r="AQ724" s="6">
        <f>AJ724/M724</f>
        <v>1.0432569974554708</v>
      </c>
      <c r="AR724" s="6">
        <f>AB724/N724</f>
        <v>1</v>
      </c>
      <c r="AS724" s="4"/>
      <c r="AT724" s="4"/>
      <c r="AU724" s="4"/>
      <c r="AV724" s="4"/>
      <c r="AW724" s="4"/>
      <c r="AX724" s="4"/>
      <c r="AY724" s="4"/>
      <c r="AZ724" s="4"/>
      <c r="BA724" s="4"/>
      <c r="BB724" s="4">
        <v>0</v>
      </c>
      <c r="BC724" s="4" t="s">
        <v>4201</v>
      </c>
      <c r="BD724" s="4">
        <v>1</v>
      </c>
      <c r="BE724" s="4">
        <v>3</v>
      </c>
      <c r="BF724" s="4" t="s">
        <v>4202</v>
      </c>
      <c r="BG724" s="4">
        <v>1800</v>
      </c>
      <c r="BH724" s="4">
        <v>1800</v>
      </c>
      <c r="BI724" s="4">
        <f t="shared" si="111"/>
        <v>600</v>
      </c>
      <c r="BJ724" s="19">
        <v>4</v>
      </c>
      <c r="BK724" s="19">
        <v>8</v>
      </c>
      <c r="BL724" s="16">
        <v>6</v>
      </c>
      <c r="BM724" s="45" t="s">
        <v>3534</v>
      </c>
      <c r="BN724" t="s">
        <v>3534</v>
      </c>
      <c r="BO724" t="str">
        <f t="shared" si="113"/>
        <v>-</v>
      </c>
      <c r="BP724">
        <v>412</v>
      </c>
      <c r="BQ724">
        <v>412</v>
      </c>
      <c r="BR724">
        <f t="shared" si="114"/>
        <v>412</v>
      </c>
      <c r="BS724" t="s">
        <v>3078</v>
      </c>
    </row>
    <row r="725" spans="1:71" x14ac:dyDescent="0.4">
      <c r="A725" s="3">
        <v>722</v>
      </c>
      <c r="B725" s="3">
        <v>722</v>
      </c>
      <c r="C725" s="4" t="s">
        <v>784</v>
      </c>
      <c r="D725" s="4" t="str">
        <f t="shared" si="106"/>
        <v>J6587P</v>
      </c>
      <c r="E725" s="4" t="s">
        <v>784</v>
      </c>
      <c r="F725" s="4" t="s">
        <v>2002</v>
      </c>
      <c r="G725" s="5">
        <v>4521718125626</v>
      </c>
      <c r="H725" s="5"/>
      <c r="I725" s="5"/>
      <c r="J725" s="5">
        <v>1</v>
      </c>
      <c r="K725" s="5">
        <v>1</v>
      </c>
      <c r="L725" s="4">
        <v>690</v>
      </c>
      <c r="M725" s="4">
        <v>481</v>
      </c>
      <c r="N725" s="4">
        <v>307</v>
      </c>
      <c r="O725" s="6">
        <f t="shared" si="107"/>
        <v>0.36174636174636177</v>
      </c>
      <c r="P725" s="4" t="s">
        <v>2500</v>
      </c>
      <c r="Q725" s="4"/>
      <c r="R725" s="4"/>
      <c r="S725" s="4"/>
      <c r="T725" s="4"/>
      <c r="U725" s="4"/>
      <c r="V725" s="4"/>
      <c r="W725" s="4"/>
      <c r="X725" s="4"/>
      <c r="Y725" s="4">
        <v>473</v>
      </c>
      <c r="Z725" s="4">
        <f t="shared" si="108"/>
        <v>473</v>
      </c>
      <c r="AA725" s="4">
        <v>307</v>
      </c>
      <c r="AB725" s="4">
        <f t="shared" si="109"/>
        <v>307</v>
      </c>
      <c r="AC725" s="4"/>
      <c r="AD725" s="21">
        <f>ROUND(M725*AR725,0)</f>
        <v>481</v>
      </c>
      <c r="AE725" s="6">
        <f>1-AB725/AD725</f>
        <v>0.36174636174636177</v>
      </c>
      <c r="AF725" s="33">
        <v>0</v>
      </c>
      <c r="AG725" s="4">
        <f t="shared" si="110"/>
        <v>690</v>
      </c>
      <c r="AH725" s="33">
        <f t="shared" si="112"/>
        <v>690</v>
      </c>
      <c r="AI725" s="6">
        <f>1-AB725/AH725</f>
        <v>0.55507246376811592</v>
      </c>
      <c r="AJ725" s="7">
        <f>ROUND(AB725/0.65,0)</f>
        <v>472</v>
      </c>
      <c r="AK725" s="6">
        <f>1-AB725/AJ725</f>
        <v>0.34957627118644063</v>
      </c>
      <c r="AL725" s="4">
        <f>AJ725-AB725</f>
        <v>165</v>
      </c>
      <c r="AM725" s="28"/>
      <c r="AN725" s="6"/>
      <c r="AO725" s="6"/>
      <c r="AP725" s="6">
        <f>Z725/L725</f>
        <v>0.6855072463768116</v>
      </c>
      <c r="AQ725" s="6">
        <f>AJ725/M725</f>
        <v>0.98128898128898134</v>
      </c>
      <c r="AR725" s="6">
        <f>AB725/N725</f>
        <v>1</v>
      </c>
      <c r="AS725" s="4"/>
      <c r="AT725" s="4"/>
      <c r="AU725" s="4"/>
      <c r="AV725" s="4"/>
      <c r="AW725" s="4"/>
      <c r="AX725" s="4"/>
      <c r="AY725" s="4"/>
      <c r="AZ725" s="4"/>
      <c r="BA725" s="4"/>
      <c r="BB725" s="4">
        <v>0</v>
      </c>
      <c r="BC725" s="4" t="s">
        <v>4203</v>
      </c>
      <c r="BD725" s="4">
        <v>1</v>
      </c>
      <c r="BE725" s="4">
        <v>3</v>
      </c>
      <c r="BF725" s="4" t="s">
        <v>3638</v>
      </c>
      <c r="BG725" s="4">
        <v>2070</v>
      </c>
      <c r="BH725" s="4">
        <v>2070</v>
      </c>
      <c r="BI725" s="4">
        <f t="shared" si="111"/>
        <v>690</v>
      </c>
      <c r="BJ725" s="19">
        <v>4</v>
      </c>
      <c r="BK725" s="19">
        <v>8</v>
      </c>
      <c r="BL725" s="16">
        <v>6</v>
      </c>
      <c r="BM725" s="45" t="s">
        <v>3534</v>
      </c>
      <c r="BN725" t="s">
        <v>3534</v>
      </c>
      <c r="BO725" t="str">
        <f t="shared" si="113"/>
        <v>-</v>
      </c>
      <c r="BP725">
        <v>614</v>
      </c>
      <c r="BQ725">
        <v>614</v>
      </c>
      <c r="BR725">
        <f t="shared" si="114"/>
        <v>614</v>
      </c>
      <c r="BS725" t="s">
        <v>3079</v>
      </c>
    </row>
    <row r="726" spans="1:71" x14ac:dyDescent="0.4">
      <c r="A726" s="3">
        <v>723</v>
      </c>
      <c r="B726" s="3">
        <v>723</v>
      </c>
      <c r="C726" s="4" t="s">
        <v>785</v>
      </c>
      <c r="D726" s="4" t="str">
        <f t="shared" si="106"/>
        <v>J6592P</v>
      </c>
      <c r="E726" s="4" t="s">
        <v>785</v>
      </c>
      <c r="F726" s="4" t="s">
        <v>2003</v>
      </c>
      <c r="G726" s="5">
        <v>4521718130392</v>
      </c>
      <c r="H726" s="5"/>
      <c r="I726" s="5"/>
      <c r="J726" s="5">
        <v>1</v>
      </c>
      <c r="K726" s="5">
        <v>1</v>
      </c>
      <c r="L726" s="4">
        <v>720</v>
      </c>
      <c r="M726" s="4">
        <v>548</v>
      </c>
      <c r="N726" s="4">
        <v>372</v>
      </c>
      <c r="O726" s="6">
        <f t="shared" si="107"/>
        <v>0.32116788321167888</v>
      </c>
      <c r="P726" s="4" t="s">
        <v>2500</v>
      </c>
      <c r="Q726" s="4"/>
      <c r="R726" s="4"/>
      <c r="S726" s="4"/>
      <c r="T726" s="4"/>
      <c r="U726" s="4"/>
      <c r="V726" s="4"/>
      <c r="W726" s="4"/>
      <c r="X726" s="4"/>
      <c r="Y726" s="4">
        <v>573</v>
      </c>
      <c r="Z726" s="4">
        <f t="shared" si="108"/>
        <v>573</v>
      </c>
      <c r="AA726" s="4">
        <v>372</v>
      </c>
      <c r="AB726" s="4">
        <f t="shared" si="109"/>
        <v>372</v>
      </c>
      <c r="AC726" s="4"/>
      <c r="AD726" s="21">
        <f>ROUND(M726*AR726,0)</f>
        <v>548</v>
      </c>
      <c r="AE726" s="6">
        <f>1-AB726/AD726</f>
        <v>0.32116788321167888</v>
      </c>
      <c r="AF726" s="33">
        <v>0</v>
      </c>
      <c r="AG726" s="4">
        <f t="shared" si="110"/>
        <v>767</v>
      </c>
      <c r="AH726" s="33">
        <f t="shared" si="112"/>
        <v>767</v>
      </c>
      <c r="AI726" s="6">
        <f>1-AB726/AH726</f>
        <v>0.51499348109517595</v>
      </c>
      <c r="AJ726" s="7">
        <f>ROUND(AB726/0.65,0)</f>
        <v>572</v>
      </c>
      <c r="AK726" s="6">
        <f>1-AB726/AJ726</f>
        <v>0.34965034965034969</v>
      </c>
      <c r="AL726" s="4">
        <f>AJ726-AB726</f>
        <v>200</v>
      </c>
      <c r="AM726" s="28"/>
      <c r="AN726" s="6"/>
      <c r="AO726" s="6"/>
      <c r="AP726" s="6">
        <f>Z726/L726</f>
        <v>0.79583333333333328</v>
      </c>
      <c r="AQ726" s="6">
        <f>AJ726/M726</f>
        <v>1.0437956204379562</v>
      </c>
      <c r="AR726" s="6">
        <f>AB726/N726</f>
        <v>1</v>
      </c>
      <c r="AS726" s="4"/>
      <c r="AT726" s="4"/>
      <c r="AU726" s="4"/>
      <c r="AV726" s="4"/>
      <c r="AW726" s="4"/>
      <c r="AX726" s="4"/>
      <c r="AY726" s="4"/>
      <c r="AZ726" s="4"/>
      <c r="BA726" s="4"/>
      <c r="BB726" s="4">
        <v>0</v>
      </c>
      <c r="BC726" s="4" t="s">
        <v>4204</v>
      </c>
      <c r="BD726" s="4">
        <v>1</v>
      </c>
      <c r="BE726" s="4">
        <v>2</v>
      </c>
      <c r="BF726" s="4" t="s">
        <v>4205</v>
      </c>
      <c r="BG726" s="4">
        <v>1534</v>
      </c>
      <c r="BH726" s="4">
        <v>1534</v>
      </c>
      <c r="BI726" s="4">
        <f t="shared" si="111"/>
        <v>767</v>
      </c>
      <c r="BJ726" s="19">
        <v>4</v>
      </c>
      <c r="BK726" s="19">
        <v>8</v>
      </c>
      <c r="BL726" s="16">
        <v>6</v>
      </c>
      <c r="BM726" s="45" t="s">
        <v>3534</v>
      </c>
      <c r="BN726" t="s">
        <v>3534</v>
      </c>
      <c r="BO726" t="str">
        <f t="shared" si="113"/>
        <v>-</v>
      </c>
      <c r="BP726">
        <v>573</v>
      </c>
      <c r="BQ726">
        <v>573</v>
      </c>
      <c r="BR726">
        <f t="shared" si="114"/>
        <v>573</v>
      </c>
      <c r="BS726" t="s">
        <v>3080</v>
      </c>
    </row>
    <row r="727" spans="1:71" x14ac:dyDescent="0.4">
      <c r="A727" s="3">
        <v>724</v>
      </c>
      <c r="B727" s="3">
        <v>724</v>
      </c>
      <c r="C727" s="4" t="s">
        <v>786</v>
      </c>
      <c r="D727" s="4" t="str">
        <f t="shared" ref="D727:D790" si="115">TEXT(C727,"000000")</f>
        <v>J6593P</v>
      </c>
      <c r="E727" s="4" t="s">
        <v>786</v>
      </c>
      <c r="F727" s="4" t="s">
        <v>2004</v>
      </c>
      <c r="G727" s="5">
        <v>4521718130965</v>
      </c>
      <c r="H727" s="5"/>
      <c r="I727" s="5"/>
      <c r="J727" s="5">
        <v>1</v>
      </c>
      <c r="K727" s="5">
        <v>1</v>
      </c>
      <c r="L727" s="4">
        <v>480</v>
      </c>
      <c r="M727" s="4">
        <v>316</v>
      </c>
      <c r="N727" s="4">
        <v>213</v>
      </c>
      <c r="O727" s="6">
        <f t="shared" ref="O727:O790" si="116">1-N727/M727</f>
        <v>0.32594936708860756</v>
      </c>
      <c r="P727" s="4" t="s">
        <v>2500</v>
      </c>
      <c r="Q727" s="4"/>
      <c r="R727" s="4"/>
      <c r="S727" s="4"/>
      <c r="T727" s="4"/>
      <c r="U727" s="4"/>
      <c r="V727" s="4"/>
      <c r="W727" s="4"/>
      <c r="X727" s="4"/>
      <c r="Y727" s="4">
        <v>337</v>
      </c>
      <c r="Z727" s="4">
        <f t="shared" ref="Z727:Z790" si="117">IF(AC727="",Y727,Y727*AC727)</f>
        <v>337</v>
      </c>
      <c r="AA727" s="4">
        <v>219</v>
      </c>
      <c r="AB727" s="4">
        <f t="shared" ref="AB727:AB790" si="118">IF(AC727="",AA727,AA727*AC727)</f>
        <v>219</v>
      </c>
      <c r="AC727" s="4"/>
      <c r="AD727" s="21">
        <f>ROUND(M727*AR727,0)</f>
        <v>325</v>
      </c>
      <c r="AE727" s="6">
        <f>1-AB727/AD727</f>
        <v>0.32615384615384613</v>
      </c>
      <c r="AF727" s="33">
        <v>0</v>
      </c>
      <c r="AG727" s="4" t="str">
        <f t="shared" ref="AG727:AG790" si="119">BI727</f>
        <v>-</v>
      </c>
      <c r="AH727" s="33" t="e">
        <f t="shared" si="112"/>
        <v>#VALUE!</v>
      </c>
      <c r="AI727" s="6" t="e">
        <f>1-AB727/AH727</f>
        <v>#VALUE!</v>
      </c>
      <c r="AJ727" s="7">
        <f>ROUND(AB727/0.65,0)</f>
        <v>337</v>
      </c>
      <c r="AK727" s="6">
        <f>1-AB727/AJ727</f>
        <v>0.35014836795252224</v>
      </c>
      <c r="AL727" s="4">
        <f>AJ727-AB727</f>
        <v>118</v>
      </c>
      <c r="AM727" s="28"/>
      <c r="AN727" s="6"/>
      <c r="AO727" s="6"/>
      <c r="AP727" s="6">
        <f>Z727/L727</f>
        <v>0.70208333333333328</v>
      </c>
      <c r="AQ727" s="6">
        <f>AJ727/M727</f>
        <v>1.0664556962025316</v>
      </c>
      <c r="AR727" s="6">
        <f>AB727/N727</f>
        <v>1.028169014084507</v>
      </c>
      <c r="AS727" s="4"/>
      <c r="AT727" s="4"/>
      <c r="AU727" s="4"/>
      <c r="AV727" s="4"/>
      <c r="AW727" s="4"/>
      <c r="AX727" s="4"/>
      <c r="AY727" s="4"/>
      <c r="AZ727" s="4"/>
      <c r="BA727" s="4"/>
      <c r="BB727" s="4">
        <v>0</v>
      </c>
      <c r="BC727" s="4" t="s">
        <v>3534</v>
      </c>
      <c r="BD727" s="4"/>
      <c r="BE727" s="4"/>
      <c r="BF727" s="4" t="s">
        <v>3534</v>
      </c>
      <c r="BG727" s="4" t="s">
        <v>3534</v>
      </c>
      <c r="BH727" s="4" t="s">
        <v>3534</v>
      </c>
      <c r="BI727" s="4" t="str">
        <f t="shared" ref="BI727:BI790" si="120">IF(BD727="",BH727,BD727/BE727*BH727)</f>
        <v>-</v>
      </c>
      <c r="BJ727" s="19">
        <v>4</v>
      </c>
      <c r="BK727" s="19">
        <v>8</v>
      </c>
      <c r="BL727" s="16">
        <v>6</v>
      </c>
      <c r="BM727" s="45" t="s">
        <v>3534</v>
      </c>
      <c r="BN727" t="s">
        <v>3534</v>
      </c>
      <c r="BO727" t="str">
        <f t="shared" si="113"/>
        <v>-</v>
      </c>
      <c r="BP727" t="s">
        <v>3534</v>
      </c>
      <c r="BQ727">
        <v>480</v>
      </c>
      <c r="BR727">
        <f t="shared" si="114"/>
        <v>493.52112676056333</v>
      </c>
      <c r="BS727" t="s">
        <v>3534</v>
      </c>
    </row>
    <row r="728" spans="1:71" x14ac:dyDescent="0.4">
      <c r="A728" s="3">
        <v>725</v>
      </c>
      <c r="B728" s="3">
        <v>725</v>
      </c>
      <c r="C728" s="4" t="s">
        <v>787</v>
      </c>
      <c r="D728" s="4" t="str">
        <f t="shared" si="115"/>
        <v>J6594P</v>
      </c>
      <c r="E728" s="4" t="s">
        <v>787</v>
      </c>
      <c r="F728" s="4" t="s">
        <v>2005</v>
      </c>
      <c r="G728" s="5">
        <v>4521718131672</v>
      </c>
      <c r="H728" s="5"/>
      <c r="I728" s="5"/>
      <c r="J728" s="5">
        <v>1</v>
      </c>
      <c r="K728" s="5">
        <v>1</v>
      </c>
      <c r="L728" s="4">
        <v>620</v>
      </c>
      <c r="M728" s="4">
        <v>411</v>
      </c>
      <c r="N728" s="4">
        <v>278</v>
      </c>
      <c r="O728" s="6">
        <f t="shared" si="116"/>
        <v>0.32360097323600978</v>
      </c>
      <c r="P728" s="4" t="s">
        <v>2500</v>
      </c>
      <c r="Q728" s="4"/>
      <c r="R728" s="4"/>
      <c r="S728" s="4"/>
      <c r="T728" s="4"/>
      <c r="U728" s="4"/>
      <c r="V728" s="4"/>
      <c r="W728" s="4"/>
      <c r="X728" s="4"/>
      <c r="Y728" s="4">
        <v>428</v>
      </c>
      <c r="Z728" s="4">
        <f t="shared" si="117"/>
        <v>428</v>
      </c>
      <c r="AA728" s="4">
        <v>278</v>
      </c>
      <c r="AB728" s="4">
        <f t="shared" si="118"/>
        <v>278</v>
      </c>
      <c r="AC728" s="4"/>
      <c r="AD728" s="21">
        <f>ROUND(M728*AR728,0)</f>
        <v>411</v>
      </c>
      <c r="AE728" s="6">
        <f>1-AB728/AD728</f>
        <v>0.32360097323600978</v>
      </c>
      <c r="AF728" s="33">
        <v>0.25</v>
      </c>
      <c r="AG728" s="4">
        <f t="shared" si="119"/>
        <v>620</v>
      </c>
      <c r="AH728" s="33">
        <f t="shared" si="112"/>
        <v>620</v>
      </c>
      <c r="AI728" s="6">
        <f>1-AB728/AH728</f>
        <v>0.55161290322580647</v>
      </c>
      <c r="AJ728" s="7">
        <f>ROUND(AB728/0.65,0)</f>
        <v>428</v>
      </c>
      <c r="AK728" s="6">
        <f>1-AB728/AJ728</f>
        <v>0.35046728971962615</v>
      </c>
      <c r="AL728" s="4">
        <f>AJ728-AB728</f>
        <v>150</v>
      </c>
      <c r="AM728" s="28"/>
      <c r="AN728" s="6"/>
      <c r="AO728" s="6"/>
      <c r="AP728" s="6">
        <f>Z728/L728</f>
        <v>0.69032258064516128</v>
      </c>
      <c r="AQ728" s="6">
        <f>AJ728/M728</f>
        <v>1.0413625304136254</v>
      </c>
      <c r="AR728" s="6">
        <f>AB728/N728</f>
        <v>1</v>
      </c>
      <c r="AS728" s="4"/>
      <c r="AT728" s="4"/>
      <c r="AU728" s="4"/>
      <c r="AV728" s="4"/>
      <c r="AW728" s="4"/>
      <c r="AX728" s="4"/>
      <c r="AY728" s="4"/>
      <c r="AZ728" s="4"/>
      <c r="BA728" s="4"/>
      <c r="BB728" s="4">
        <v>0</v>
      </c>
      <c r="BC728" s="4" t="s">
        <v>4206</v>
      </c>
      <c r="BD728" s="4">
        <v>1</v>
      </c>
      <c r="BE728" s="4">
        <v>3</v>
      </c>
      <c r="BF728" s="4" t="s">
        <v>4202</v>
      </c>
      <c r="BG728" s="4">
        <v>1860</v>
      </c>
      <c r="BH728" s="4">
        <v>1860</v>
      </c>
      <c r="BI728" s="4">
        <f t="shared" si="120"/>
        <v>620</v>
      </c>
      <c r="BJ728" s="19">
        <v>4</v>
      </c>
      <c r="BK728" s="19">
        <v>8</v>
      </c>
      <c r="BL728" s="16">
        <v>6</v>
      </c>
      <c r="BM728" s="45" t="s">
        <v>3534</v>
      </c>
      <c r="BN728" t="s">
        <v>3534</v>
      </c>
      <c r="BO728" t="str">
        <f t="shared" si="113"/>
        <v>-</v>
      </c>
      <c r="BP728" t="s">
        <v>3534</v>
      </c>
      <c r="BQ728">
        <v>428</v>
      </c>
      <c r="BR728">
        <f t="shared" si="114"/>
        <v>428</v>
      </c>
      <c r="BS728" t="s">
        <v>3081</v>
      </c>
    </row>
    <row r="729" spans="1:71" x14ac:dyDescent="0.4">
      <c r="A729" s="3">
        <v>726</v>
      </c>
      <c r="B729" s="3">
        <v>726</v>
      </c>
      <c r="C729" s="4" t="s">
        <v>788</v>
      </c>
      <c r="D729" s="4" t="str">
        <f t="shared" si="115"/>
        <v>J659TN</v>
      </c>
      <c r="E729" s="4" t="s">
        <v>788</v>
      </c>
      <c r="F729" s="4" t="s">
        <v>2006</v>
      </c>
      <c r="G729" s="5">
        <v>4521718217680</v>
      </c>
      <c r="H729" s="5"/>
      <c r="I729" s="5"/>
      <c r="J729" s="5">
        <v>1</v>
      </c>
      <c r="K729" s="5">
        <v>1</v>
      </c>
      <c r="L729" s="4">
        <v>540</v>
      </c>
      <c r="M729" s="4">
        <v>346</v>
      </c>
      <c r="N729" s="4">
        <v>242</v>
      </c>
      <c r="O729" s="6">
        <f t="shared" si="116"/>
        <v>0.30057803468208089</v>
      </c>
      <c r="P729" s="4" t="s">
        <v>2500</v>
      </c>
      <c r="Q729" s="4"/>
      <c r="R729" s="4"/>
      <c r="S729" s="4"/>
      <c r="T729" s="4"/>
      <c r="U729" s="4"/>
      <c r="V729" s="4"/>
      <c r="W729" s="4"/>
      <c r="X729" s="4"/>
      <c r="Y729" s="4">
        <v>346</v>
      </c>
      <c r="Z729" s="4">
        <f t="shared" si="117"/>
        <v>346</v>
      </c>
      <c r="AA729" s="4">
        <v>242</v>
      </c>
      <c r="AB729" s="4">
        <f t="shared" si="118"/>
        <v>242</v>
      </c>
      <c r="AC729" s="4"/>
      <c r="AD729" s="21">
        <f>ROUND(M729*AR729,0)</f>
        <v>346</v>
      </c>
      <c r="AE729" s="6">
        <f>1-AB729/AD729</f>
        <v>0.30057803468208089</v>
      </c>
      <c r="AF729" s="33">
        <v>0</v>
      </c>
      <c r="AG729" s="4" t="str">
        <f t="shared" si="119"/>
        <v>-</v>
      </c>
      <c r="AH729" s="33" t="e">
        <f t="shared" si="112"/>
        <v>#VALUE!</v>
      </c>
      <c r="AI729" s="6" t="e">
        <f>1-AB729/AH729</f>
        <v>#VALUE!</v>
      </c>
      <c r="AJ729" s="7">
        <v>346</v>
      </c>
      <c r="AK729" s="6">
        <f>1-AB729/AJ729</f>
        <v>0.30057803468208089</v>
      </c>
      <c r="AL729" s="4">
        <f>AJ729-AB729</f>
        <v>104</v>
      </c>
      <c r="AM729" s="28"/>
      <c r="AN729" s="6"/>
      <c r="AO729" s="6"/>
      <c r="AP729" s="6">
        <f>Z729/L729</f>
        <v>0.64074074074074072</v>
      </c>
      <c r="AQ729" s="6">
        <f>AJ729/M729</f>
        <v>1</v>
      </c>
      <c r="AR729" s="6">
        <f>AB729/N729</f>
        <v>1</v>
      </c>
      <c r="AS729" s="4"/>
      <c r="AT729" s="4"/>
      <c r="AU729" s="4"/>
      <c r="AV729" s="4"/>
      <c r="AW729" s="4"/>
      <c r="AX729" s="4"/>
      <c r="AY729" s="4"/>
      <c r="AZ729" s="4"/>
      <c r="BA729" s="4"/>
      <c r="BB729" s="4">
        <v>0</v>
      </c>
      <c r="BC729" s="4" t="s">
        <v>3534</v>
      </c>
      <c r="BD729" s="4"/>
      <c r="BE729" s="4"/>
      <c r="BF729" s="4" t="s">
        <v>3534</v>
      </c>
      <c r="BG729" s="4" t="s">
        <v>3534</v>
      </c>
      <c r="BH729" s="4" t="s">
        <v>3534</v>
      </c>
      <c r="BI729" s="4" t="str">
        <f t="shared" si="120"/>
        <v>-</v>
      </c>
      <c r="BJ729" s="19">
        <v>4</v>
      </c>
      <c r="BK729" s="19">
        <v>8</v>
      </c>
      <c r="BL729" s="16">
        <v>6</v>
      </c>
      <c r="BM729" s="45" t="s">
        <v>3534</v>
      </c>
      <c r="BN729" t="s">
        <v>3534</v>
      </c>
      <c r="BO729" t="str">
        <f t="shared" si="113"/>
        <v>-</v>
      </c>
      <c r="BP729" t="s">
        <v>3534</v>
      </c>
      <c r="BQ729">
        <v>346</v>
      </c>
      <c r="BR729">
        <f t="shared" si="114"/>
        <v>346</v>
      </c>
      <c r="BS729" t="s">
        <v>3534</v>
      </c>
    </row>
    <row r="730" spans="1:71" x14ac:dyDescent="0.4">
      <c r="A730" s="42">
        <v>727</v>
      </c>
      <c r="B730" s="3">
        <v>727</v>
      </c>
      <c r="C730" s="4" t="s">
        <v>789</v>
      </c>
      <c r="D730" s="4" t="str">
        <f t="shared" si="115"/>
        <v>J659WG</v>
      </c>
      <c r="E730" s="4" t="s">
        <v>789</v>
      </c>
      <c r="F730" s="4" t="s">
        <v>2007</v>
      </c>
      <c r="G730" s="5">
        <v>4521718184241</v>
      </c>
      <c r="H730" s="5"/>
      <c r="I730" s="5"/>
      <c r="J730" s="5">
        <v>1</v>
      </c>
      <c r="K730" s="5">
        <v>1</v>
      </c>
      <c r="L730" s="4">
        <v>4090</v>
      </c>
      <c r="M730" s="4">
        <v>2860</v>
      </c>
      <c r="N730" s="4">
        <v>2127</v>
      </c>
      <c r="O730" s="6">
        <f t="shared" si="116"/>
        <v>0.25629370629370629</v>
      </c>
      <c r="P730" s="4" t="s">
        <v>2500</v>
      </c>
      <c r="Q730" s="4"/>
      <c r="R730" s="4"/>
      <c r="S730" s="4"/>
      <c r="T730" s="4"/>
      <c r="U730" s="4"/>
      <c r="V730" s="4"/>
      <c r="W730" s="4"/>
      <c r="X730" s="4"/>
      <c r="Y730" s="4">
        <v>3273</v>
      </c>
      <c r="Z730" s="4">
        <f t="shared" si="117"/>
        <v>3273</v>
      </c>
      <c r="AA730" s="4">
        <v>2291</v>
      </c>
      <c r="AB730" s="4">
        <f t="shared" si="118"/>
        <v>2291</v>
      </c>
      <c r="AC730" s="4"/>
      <c r="AD730" s="21">
        <f>ROUND(M730*AR730,0)</f>
        <v>3081</v>
      </c>
      <c r="AE730" s="6">
        <f>1-AB730/AD730</f>
        <v>0.25641025641025639</v>
      </c>
      <c r="AF730" s="33">
        <v>0</v>
      </c>
      <c r="AG730" s="4">
        <f t="shared" si="119"/>
        <v>4090</v>
      </c>
      <c r="AH730" s="33">
        <f t="shared" si="112"/>
        <v>4405.3549600376118</v>
      </c>
      <c r="AI730" s="6">
        <f>1-AB730/AH730</f>
        <v>0.47995110024449883</v>
      </c>
      <c r="AJ730" s="7">
        <v>3273</v>
      </c>
      <c r="AK730" s="6">
        <f>1-AB730/AJ730</f>
        <v>0.30003055300947146</v>
      </c>
      <c r="AL730" s="4">
        <f>AJ730-AB730</f>
        <v>982</v>
      </c>
      <c r="AM730" s="28"/>
      <c r="AN730" s="6"/>
      <c r="AO730" s="6"/>
      <c r="AP730" s="6">
        <f>Z730/L730</f>
        <v>0.80024449877750614</v>
      </c>
      <c r="AQ730" s="6">
        <f>AJ730/M730</f>
        <v>1.1444055944055944</v>
      </c>
      <c r="AR730" s="6">
        <f>AB730/N730</f>
        <v>1.0771039022096851</v>
      </c>
      <c r="AS730" s="4"/>
      <c r="AT730" s="4"/>
      <c r="AU730" s="4"/>
      <c r="AV730" s="4"/>
      <c r="AW730" s="4"/>
      <c r="AX730" s="4"/>
      <c r="AY730" s="4"/>
      <c r="AZ730" s="4"/>
      <c r="BA730" s="4"/>
      <c r="BB730" s="4">
        <v>0</v>
      </c>
      <c r="BC730" s="4" t="s">
        <v>4207</v>
      </c>
      <c r="BD730" s="4"/>
      <c r="BE730" s="4"/>
      <c r="BF730" s="4" t="s">
        <v>3538</v>
      </c>
      <c r="BG730" s="4">
        <v>4090</v>
      </c>
      <c r="BH730" s="4">
        <v>4090</v>
      </c>
      <c r="BI730" s="4">
        <f t="shared" si="120"/>
        <v>4090</v>
      </c>
      <c r="BJ730" s="19">
        <v>2</v>
      </c>
      <c r="BK730" s="19">
        <v>8</v>
      </c>
      <c r="BL730" s="16">
        <v>6</v>
      </c>
      <c r="BM730" s="45" t="s">
        <v>3534</v>
      </c>
      <c r="BN730" t="s">
        <v>3534</v>
      </c>
      <c r="BO730" t="str">
        <f t="shared" si="113"/>
        <v>-</v>
      </c>
      <c r="BP730" t="s">
        <v>3534</v>
      </c>
      <c r="BQ730">
        <v>3886</v>
      </c>
      <c r="BR730">
        <f t="shared" si="114"/>
        <v>4185.6257639868363</v>
      </c>
      <c r="BS730" t="s">
        <v>3082</v>
      </c>
    </row>
    <row r="731" spans="1:71" x14ac:dyDescent="0.4">
      <c r="A731" s="3">
        <v>728</v>
      </c>
      <c r="B731" s="3">
        <v>728</v>
      </c>
      <c r="C731" s="4" t="s">
        <v>790</v>
      </c>
      <c r="D731" s="4" t="str">
        <f t="shared" si="115"/>
        <v>J6600P</v>
      </c>
      <c r="E731" s="4" t="s">
        <v>790</v>
      </c>
      <c r="F731" s="4" t="s">
        <v>2008</v>
      </c>
      <c r="G731" s="5">
        <v>4521718135151</v>
      </c>
      <c r="H731" s="5"/>
      <c r="I731" s="5"/>
      <c r="J731" s="5">
        <v>1</v>
      </c>
      <c r="K731" s="5">
        <v>1</v>
      </c>
      <c r="L731" s="4">
        <v>1090</v>
      </c>
      <c r="M731" s="4">
        <v>894</v>
      </c>
      <c r="N731" s="4">
        <v>611</v>
      </c>
      <c r="O731" s="6">
        <f t="shared" si="116"/>
        <v>0.31655480984340045</v>
      </c>
      <c r="P731" s="4" t="s">
        <v>2500</v>
      </c>
      <c r="Q731" s="4"/>
      <c r="R731" s="4"/>
      <c r="S731" s="4"/>
      <c r="T731" s="4"/>
      <c r="U731" s="4"/>
      <c r="V731" s="4"/>
      <c r="W731" s="4"/>
      <c r="X731" s="4"/>
      <c r="Y731" s="4">
        <v>873</v>
      </c>
      <c r="Z731" s="4">
        <f t="shared" si="117"/>
        <v>873</v>
      </c>
      <c r="AA731" s="4">
        <v>611</v>
      </c>
      <c r="AB731" s="4">
        <f t="shared" si="118"/>
        <v>611</v>
      </c>
      <c r="AC731" s="4"/>
      <c r="AD731" s="21">
        <f>ROUND(M731*AR731,0)</f>
        <v>894</v>
      </c>
      <c r="AE731" s="6">
        <f>1-AB731/AD731</f>
        <v>0.31655480984340045</v>
      </c>
      <c r="AF731" s="33">
        <v>0</v>
      </c>
      <c r="AG731" s="4">
        <f t="shared" si="119"/>
        <v>1199.5</v>
      </c>
      <c r="AH731" s="33">
        <f t="shared" si="112"/>
        <v>1199.5</v>
      </c>
      <c r="AI731" s="6">
        <f>1-AB731/AH731</f>
        <v>0.49062109212171734</v>
      </c>
      <c r="AJ731" s="7">
        <v>873</v>
      </c>
      <c r="AK731" s="6">
        <f>1-AB731/AJ731</f>
        <v>0.30011454753722799</v>
      </c>
      <c r="AL731" s="4">
        <f>AJ731-AB731</f>
        <v>262</v>
      </c>
      <c r="AM731" s="28"/>
      <c r="AN731" s="6"/>
      <c r="AO731" s="6"/>
      <c r="AP731" s="6">
        <f>Z731/L731</f>
        <v>0.80091743119266057</v>
      </c>
      <c r="AQ731" s="6">
        <f>AJ731/M731</f>
        <v>0.97651006711409394</v>
      </c>
      <c r="AR731" s="6">
        <f>AB731/N731</f>
        <v>1</v>
      </c>
      <c r="AS731" s="4"/>
      <c r="AT731" s="4"/>
      <c r="AU731" s="4"/>
      <c r="AV731" s="4"/>
      <c r="AW731" s="4"/>
      <c r="AX731" s="4"/>
      <c r="AY731" s="4"/>
      <c r="AZ731" s="4"/>
      <c r="BA731" s="4"/>
      <c r="BB731" s="4">
        <v>0</v>
      </c>
      <c r="BC731" s="4" t="s">
        <v>4208</v>
      </c>
      <c r="BD731" s="4">
        <v>1</v>
      </c>
      <c r="BE731" s="4">
        <v>2</v>
      </c>
      <c r="BF731" s="4" t="s">
        <v>3640</v>
      </c>
      <c r="BG731" s="4">
        <v>2399</v>
      </c>
      <c r="BH731" s="4">
        <v>2399</v>
      </c>
      <c r="BI731" s="4">
        <f t="shared" si="120"/>
        <v>1199.5</v>
      </c>
      <c r="BJ731" s="19">
        <v>4</v>
      </c>
      <c r="BK731" s="19">
        <v>8</v>
      </c>
      <c r="BL731" s="16">
        <v>6</v>
      </c>
      <c r="BM731" s="45" t="s">
        <v>3534</v>
      </c>
      <c r="BN731" t="s">
        <v>3534</v>
      </c>
      <c r="BO731" t="str">
        <f t="shared" si="113"/>
        <v>-</v>
      </c>
      <c r="BP731" t="s">
        <v>3534</v>
      </c>
      <c r="BQ731">
        <v>940</v>
      </c>
      <c r="BR731">
        <f t="shared" si="114"/>
        <v>940</v>
      </c>
      <c r="BS731" t="s">
        <v>3083</v>
      </c>
    </row>
    <row r="732" spans="1:71" x14ac:dyDescent="0.4">
      <c r="A732" s="3">
        <v>729</v>
      </c>
      <c r="B732" s="3">
        <v>729</v>
      </c>
      <c r="C732" s="4" t="s">
        <v>791</v>
      </c>
      <c r="D732" s="4" t="str">
        <f t="shared" si="115"/>
        <v>J6601P</v>
      </c>
      <c r="E732" s="4" t="s">
        <v>791</v>
      </c>
      <c r="F732" s="4" t="s">
        <v>2009</v>
      </c>
      <c r="G732" s="5">
        <v>4521718135168</v>
      </c>
      <c r="H732" s="5"/>
      <c r="I732" s="5"/>
      <c r="J732" s="5">
        <v>1</v>
      </c>
      <c r="K732" s="5">
        <v>1</v>
      </c>
      <c r="L732" s="4">
        <v>610</v>
      </c>
      <c r="M732" s="4">
        <v>396</v>
      </c>
      <c r="N732" s="4">
        <v>272</v>
      </c>
      <c r="O732" s="6">
        <f t="shared" si="116"/>
        <v>0.31313131313131315</v>
      </c>
      <c r="P732" s="4" t="s">
        <v>2500</v>
      </c>
      <c r="Q732" s="4"/>
      <c r="R732" s="4"/>
      <c r="S732" s="4"/>
      <c r="T732" s="4"/>
      <c r="U732" s="4"/>
      <c r="V732" s="4"/>
      <c r="W732" s="4"/>
      <c r="X732" s="4"/>
      <c r="Y732" s="4">
        <v>419</v>
      </c>
      <c r="Z732" s="4">
        <f t="shared" si="117"/>
        <v>419</v>
      </c>
      <c r="AA732" s="4">
        <v>272</v>
      </c>
      <c r="AB732" s="4">
        <f t="shared" si="118"/>
        <v>272</v>
      </c>
      <c r="AC732" s="4"/>
      <c r="AD732" s="21">
        <f>ROUND(M732*AR732,0)</f>
        <v>396</v>
      </c>
      <c r="AE732" s="6">
        <f>1-AB732/AD732</f>
        <v>0.31313131313131315</v>
      </c>
      <c r="AF732" s="33">
        <v>0.5</v>
      </c>
      <c r="AG732" s="4">
        <f t="shared" si="119"/>
        <v>610</v>
      </c>
      <c r="AH732" s="33">
        <f t="shared" si="112"/>
        <v>610</v>
      </c>
      <c r="AI732" s="6">
        <f>1-AB732/AH732</f>
        <v>0.5540983606557377</v>
      </c>
      <c r="AJ732" s="7">
        <f>ROUND(AB732/0.65,0)</f>
        <v>418</v>
      </c>
      <c r="AK732" s="6">
        <f>1-AB732/AJ732</f>
        <v>0.34928229665071775</v>
      </c>
      <c r="AL732" s="4">
        <f>AJ732-AB732</f>
        <v>146</v>
      </c>
      <c r="AM732" s="28"/>
      <c r="AN732" s="6"/>
      <c r="AO732" s="6"/>
      <c r="AP732" s="6">
        <f>Z732/L732</f>
        <v>0.68688524590163935</v>
      </c>
      <c r="AQ732" s="6">
        <f>AJ732/M732</f>
        <v>1.0555555555555556</v>
      </c>
      <c r="AR732" s="6">
        <f>AB732/N732</f>
        <v>1</v>
      </c>
      <c r="AS732" s="4"/>
      <c r="AT732" s="4"/>
      <c r="AU732" s="4"/>
      <c r="AV732" s="4"/>
      <c r="AW732" s="4"/>
      <c r="AX732" s="4"/>
      <c r="AY732" s="4"/>
      <c r="AZ732" s="4"/>
      <c r="BA732" s="4"/>
      <c r="BB732" s="4">
        <v>0</v>
      </c>
      <c r="BC732" s="4" t="s">
        <v>4209</v>
      </c>
      <c r="BD732" s="4">
        <v>1</v>
      </c>
      <c r="BE732" s="4">
        <v>3</v>
      </c>
      <c r="BF732" s="4" t="s">
        <v>4193</v>
      </c>
      <c r="BG732" s="4">
        <v>1830</v>
      </c>
      <c r="BH732" s="4">
        <v>1830</v>
      </c>
      <c r="BI732" s="4">
        <f t="shared" si="120"/>
        <v>610</v>
      </c>
      <c r="BJ732" s="19">
        <v>4</v>
      </c>
      <c r="BK732" s="19">
        <v>8</v>
      </c>
      <c r="BL732" s="16">
        <v>6</v>
      </c>
      <c r="BM732" s="45" t="s">
        <v>3534</v>
      </c>
      <c r="BN732" t="s">
        <v>3534</v>
      </c>
      <c r="BO732" t="str">
        <f t="shared" si="113"/>
        <v>-</v>
      </c>
      <c r="BP732" t="s">
        <v>3534</v>
      </c>
      <c r="BQ732">
        <v>529</v>
      </c>
      <c r="BR732">
        <f t="shared" si="114"/>
        <v>529</v>
      </c>
      <c r="BS732" t="s">
        <v>3084</v>
      </c>
    </row>
    <row r="733" spans="1:71" x14ac:dyDescent="0.4">
      <c r="A733" s="3">
        <v>730</v>
      </c>
      <c r="B733" s="3">
        <v>730</v>
      </c>
      <c r="C733" s="4" t="s">
        <v>792</v>
      </c>
      <c r="D733" s="4" t="str">
        <f t="shared" si="115"/>
        <v>J6595P</v>
      </c>
      <c r="E733" s="4" t="s">
        <v>792</v>
      </c>
      <c r="F733" s="4" t="s">
        <v>2010</v>
      </c>
      <c r="G733" s="5">
        <v>4521718132488</v>
      </c>
      <c r="H733" s="5"/>
      <c r="I733" s="5"/>
      <c r="J733" s="5">
        <v>1</v>
      </c>
      <c r="K733" s="5">
        <v>1</v>
      </c>
      <c r="L733" s="4">
        <v>640</v>
      </c>
      <c r="M733" s="4">
        <v>489</v>
      </c>
      <c r="N733" s="4">
        <v>332</v>
      </c>
      <c r="O733" s="6">
        <f t="shared" si="116"/>
        <v>0.32106339468302658</v>
      </c>
      <c r="P733" s="4" t="s">
        <v>2500</v>
      </c>
      <c r="Q733" s="4"/>
      <c r="R733" s="4"/>
      <c r="S733" s="4"/>
      <c r="T733" s="4"/>
      <c r="U733" s="4"/>
      <c r="V733" s="4"/>
      <c r="W733" s="4"/>
      <c r="X733" s="4"/>
      <c r="Y733" s="4">
        <v>510</v>
      </c>
      <c r="Z733" s="4">
        <f t="shared" si="117"/>
        <v>510</v>
      </c>
      <c r="AA733" s="4">
        <v>332</v>
      </c>
      <c r="AB733" s="4">
        <f t="shared" si="118"/>
        <v>332</v>
      </c>
      <c r="AC733" s="4"/>
      <c r="AD733" s="21">
        <f>ROUND(M733*AR733,0)</f>
        <v>489</v>
      </c>
      <c r="AE733" s="6">
        <f>1-AB733/AD733</f>
        <v>0.32106339468302658</v>
      </c>
      <c r="AF733" s="33">
        <v>0</v>
      </c>
      <c r="AG733" s="4">
        <f t="shared" si="119"/>
        <v>282</v>
      </c>
      <c r="AH733" s="33">
        <f t="shared" si="112"/>
        <v>282</v>
      </c>
      <c r="AI733" s="6">
        <f>1-AB733/AH733</f>
        <v>-0.17730496453900702</v>
      </c>
      <c r="AJ733" s="7">
        <v>510</v>
      </c>
      <c r="AK733" s="6">
        <f>1-AB733/AJ733</f>
        <v>0.34901960784313724</v>
      </c>
      <c r="AL733" s="4">
        <f>AJ733-AB733</f>
        <v>178</v>
      </c>
      <c r="AM733" s="28"/>
      <c r="AN733" s="6"/>
      <c r="AO733" s="6"/>
      <c r="AP733" s="6">
        <f>Z733/L733</f>
        <v>0.796875</v>
      </c>
      <c r="AQ733" s="6">
        <f>AJ733/M733</f>
        <v>1.0429447852760736</v>
      </c>
      <c r="AR733" s="6">
        <f>AB733/N733</f>
        <v>1</v>
      </c>
      <c r="AS733" s="4"/>
      <c r="AT733" s="4"/>
      <c r="AU733" s="4"/>
      <c r="AV733" s="4"/>
      <c r="AW733" s="4"/>
      <c r="AX733" s="4"/>
      <c r="AY733" s="4"/>
      <c r="AZ733" s="4"/>
      <c r="BA733" s="4"/>
      <c r="BB733" s="4">
        <v>0</v>
      </c>
      <c r="BC733" s="4" t="s">
        <v>4210</v>
      </c>
      <c r="BD733" s="4"/>
      <c r="BE733" s="4"/>
      <c r="BF733" s="4" t="s">
        <v>3545</v>
      </c>
      <c r="BG733" s="4">
        <v>282</v>
      </c>
      <c r="BH733" s="4">
        <v>282</v>
      </c>
      <c r="BI733" s="4">
        <f t="shared" si="120"/>
        <v>282</v>
      </c>
      <c r="BJ733" s="19">
        <v>4</v>
      </c>
      <c r="BK733" s="19">
        <v>8</v>
      </c>
      <c r="BL733" s="16">
        <v>6</v>
      </c>
      <c r="BM733" s="45" t="s">
        <v>3534</v>
      </c>
      <c r="BN733" t="s">
        <v>3534</v>
      </c>
      <c r="BO733" t="str">
        <f t="shared" si="113"/>
        <v>-</v>
      </c>
      <c r="BP733" t="s">
        <v>3534</v>
      </c>
      <c r="BQ733">
        <v>511</v>
      </c>
      <c r="BR733">
        <f t="shared" si="114"/>
        <v>511</v>
      </c>
      <c r="BS733" t="s">
        <v>3085</v>
      </c>
    </row>
    <row r="734" spans="1:71" x14ac:dyDescent="0.4">
      <c r="A734" s="3">
        <v>731</v>
      </c>
      <c r="B734" s="3">
        <v>731</v>
      </c>
      <c r="C734" s="4" t="s">
        <v>793</v>
      </c>
      <c r="D734" s="4" t="str">
        <f t="shared" si="115"/>
        <v>J6596P</v>
      </c>
      <c r="E734" s="4" t="s">
        <v>793</v>
      </c>
      <c r="F734" s="4" t="s">
        <v>2011</v>
      </c>
      <c r="G734" s="5">
        <v>4521718132990</v>
      </c>
      <c r="H734" s="5"/>
      <c r="I734" s="5"/>
      <c r="J734" s="5">
        <v>1</v>
      </c>
      <c r="K734" s="5">
        <v>1</v>
      </c>
      <c r="L734" s="4">
        <v>600</v>
      </c>
      <c r="M734" s="4">
        <v>394</v>
      </c>
      <c r="N734" s="4">
        <v>267</v>
      </c>
      <c r="O734" s="6">
        <f t="shared" si="116"/>
        <v>0.32233502538071068</v>
      </c>
      <c r="P734" s="4" t="s">
        <v>2500</v>
      </c>
      <c r="Q734" s="4"/>
      <c r="R734" s="4"/>
      <c r="S734" s="4"/>
      <c r="T734" s="4"/>
      <c r="U734" s="4"/>
      <c r="V734" s="4"/>
      <c r="W734" s="4"/>
      <c r="X734" s="4"/>
      <c r="Y734" s="4">
        <v>419</v>
      </c>
      <c r="Z734" s="4">
        <f t="shared" si="117"/>
        <v>419</v>
      </c>
      <c r="AA734" s="4">
        <v>272</v>
      </c>
      <c r="AB734" s="4">
        <f t="shared" si="118"/>
        <v>272</v>
      </c>
      <c r="AC734" s="4"/>
      <c r="AD734" s="21">
        <f>ROUND(M734*AR734,0)</f>
        <v>401</v>
      </c>
      <c r="AE734" s="6">
        <f>1-AB734/AD734</f>
        <v>0.32169576059850369</v>
      </c>
      <c r="AF734" s="33">
        <v>0</v>
      </c>
      <c r="AG734" s="4">
        <f t="shared" si="119"/>
        <v>223</v>
      </c>
      <c r="AH734" s="33">
        <f t="shared" si="112"/>
        <v>227.17602996254683</v>
      </c>
      <c r="AI734" s="6">
        <f>1-AB734/AH734</f>
        <v>-0.19730941704035865</v>
      </c>
      <c r="AJ734" s="7">
        <f>ROUND(AB734/0.65,0)</f>
        <v>418</v>
      </c>
      <c r="AK734" s="6">
        <f>1-AB734/AJ734</f>
        <v>0.34928229665071775</v>
      </c>
      <c r="AL734" s="4">
        <f>AJ734-AB734</f>
        <v>146</v>
      </c>
      <c r="AM734" s="28"/>
      <c r="AN734" s="6"/>
      <c r="AO734" s="6"/>
      <c r="AP734" s="6">
        <f>Z734/L734</f>
        <v>0.69833333333333336</v>
      </c>
      <c r="AQ734" s="6">
        <f>AJ734/M734</f>
        <v>1.0609137055837563</v>
      </c>
      <c r="AR734" s="6">
        <f>AB734/N734</f>
        <v>1.0187265917602997</v>
      </c>
      <c r="AS734" s="4"/>
      <c r="AT734" s="4"/>
      <c r="AU734" s="4"/>
      <c r="AV734" s="4"/>
      <c r="AW734" s="4"/>
      <c r="AX734" s="4"/>
      <c r="AY734" s="4"/>
      <c r="AZ734" s="4"/>
      <c r="BA734" s="4"/>
      <c r="BB734" s="4">
        <v>0</v>
      </c>
      <c r="BC734" s="4" t="s">
        <v>4211</v>
      </c>
      <c r="BD734" s="4"/>
      <c r="BE734" s="4"/>
      <c r="BF734" s="4" t="s">
        <v>3545</v>
      </c>
      <c r="BG734" s="4">
        <v>223</v>
      </c>
      <c r="BH734" s="4">
        <v>223</v>
      </c>
      <c r="BI734" s="4">
        <f t="shared" si="120"/>
        <v>223</v>
      </c>
      <c r="BJ734" s="19">
        <v>4</v>
      </c>
      <c r="BK734" s="19">
        <v>8</v>
      </c>
      <c r="BL734" s="16">
        <v>6</v>
      </c>
      <c r="BM734" s="45" t="s">
        <v>3534</v>
      </c>
      <c r="BN734" t="s">
        <v>3534</v>
      </c>
      <c r="BO734" t="str">
        <f t="shared" si="113"/>
        <v>-</v>
      </c>
      <c r="BP734" t="s">
        <v>3534</v>
      </c>
      <c r="BQ734">
        <v>534</v>
      </c>
      <c r="BR734">
        <f t="shared" si="114"/>
        <v>544</v>
      </c>
      <c r="BS734" t="s">
        <v>3086</v>
      </c>
    </row>
    <row r="735" spans="1:71" x14ac:dyDescent="0.4">
      <c r="A735" s="3">
        <v>732</v>
      </c>
      <c r="B735" s="3">
        <v>732</v>
      </c>
      <c r="C735" s="4" t="s">
        <v>794</v>
      </c>
      <c r="D735" s="4" t="str">
        <f t="shared" si="115"/>
        <v>J6602P</v>
      </c>
      <c r="E735" s="4" t="s">
        <v>794</v>
      </c>
      <c r="F735" s="4" t="s">
        <v>2012</v>
      </c>
      <c r="G735" s="5">
        <v>4521718135182</v>
      </c>
      <c r="H735" s="5"/>
      <c r="I735" s="5"/>
      <c r="J735" s="5">
        <v>1</v>
      </c>
      <c r="K735" s="5">
        <v>1</v>
      </c>
      <c r="L735" s="4">
        <v>770</v>
      </c>
      <c r="M735" s="4">
        <v>503</v>
      </c>
      <c r="N735" s="4">
        <v>343</v>
      </c>
      <c r="O735" s="6">
        <f t="shared" si="116"/>
        <v>0.31809145129224647</v>
      </c>
      <c r="P735" s="4" t="s">
        <v>2500</v>
      </c>
      <c r="Q735" s="4"/>
      <c r="R735" s="4"/>
      <c r="S735" s="4"/>
      <c r="T735" s="4"/>
      <c r="U735" s="4"/>
      <c r="V735" s="4"/>
      <c r="W735" s="4"/>
      <c r="X735" s="4"/>
      <c r="Y735" s="4">
        <v>537</v>
      </c>
      <c r="Z735" s="4">
        <f t="shared" si="117"/>
        <v>537</v>
      </c>
      <c r="AA735" s="4">
        <v>349</v>
      </c>
      <c r="AB735" s="4">
        <f t="shared" si="118"/>
        <v>349</v>
      </c>
      <c r="AC735" s="4"/>
      <c r="AD735" s="21">
        <f>ROUND(M735*AR735,0)</f>
        <v>512</v>
      </c>
      <c r="AE735" s="6">
        <f>1-AB735/AD735</f>
        <v>0.318359375</v>
      </c>
      <c r="AF735" s="33">
        <v>0</v>
      </c>
      <c r="AG735" s="4">
        <f t="shared" si="119"/>
        <v>770</v>
      </c>
      <c r="AH735" s="33">
        <f t="shared" si="112"/>
        <v>783.46938775510193</v>
      </c>
      <c r="AI735" s="6">
        <f>1-AB735/AH735</f>
        <v>0.55454545454545445</v>
      </c>
      <c r="AJ735" s="7">
        <f>ROUND(AB735/0.65,0)</f>
        <v>537</v>
      </c>
      <c r="AK735" s="6">
        <f>1-AB735/AJ735</f>
        <v>0.35009310986964615</v>
      </c>
      <c r="AL735" s="4">
        <f>AJ735-AB735</f>
        <v>188</v>
      </c>
      <c r="AM735" s="28"/>
      <c r="AN735" s="6"/>
      <c r="AO735" s="6"/>
      <c r="AP735" s="6">
        <f>Z735/L735</f>
        <v>0.69740259740259736</v>
      </c>
      <c r="AQ735" s="6">
        <f>AJ735/M735</f>
        <v>1.0675944333996024</v>
      </c>
      <c r="AR735" s="6">
        <f>AB735/N735</f>
        <v>1.0174927113702623</v>
      </c>
      <c r="AS735" s="4"/>
      <c r="AT735" s="4"/>
      <c r="AU735" s="4"/>
      <c r="AV735" s="4"/>
      <c r="AW735" s="4"/>
      <c r="AX735" s="4"/>
      <c r="AY735" s="4"/>
      <c r="AZ735" s="4"/>
      <c r="BA735" s="4"/>
      <c r="BB735" s="4">
        <v>0</v>
      </c>
      <c r="BC735" s="4" t="s">
        <v>4212</v>
      </c>
      <c r="BD735" s="4">
        <v>1</v>
      </c>
      <c r="BE735" s="4">
        <v>2</v>
      </c>
      <c r="BF735" s="4" t="s">
        <v>3640</v>
      </c>
      <c r="BG735" s="4">
        <v>1540</v>
      </c>
      <c r="BH735" s="4">
        <v>1540</v>
      </c>
      <c r="BI735" s="4">
        <f t="shared" si="120"/>
        <v>770</v>
      </c>
      <c r="BJ735" s="19">
        <v>4</v>
      </c>
      <c r="BK735" s="19">
        <v>8</v>
      </c>
      <c r="BL735" s="16">
        <v>6</v>
      </c>
      <c r="BM735" s="45" t="s">
        <v>3534</v>
      </c>
      <c r="BN735" t="s">
        <v>3534</v>
      </c>
      <c r="BO735" t="str">
        <f t="shared" si="113"/>
        <v>-</v>
      </c>
      <c r="BP735" t="s">
        <v>3534</v>
      </c>
      <c r="BQ735">
        <v>700</v>
      </c>
      <c r="BR735">
        <f t="shared" si="114"/>
        <v>712.24489795918362</v>
      </c>
      <c r="BS735" t="s">
        <v>3087</v>
      </c>
    </row>
    <row r="736" spans="1:71" x14ac:dyDescent="0.4">
      <c r="A736" s="3">
        <v>733</v>
      </c>
      <c r="B736" s="3">
        <v>733</v>
      </c>
      <c r="C736" s="4" t="s">
        <v>795</v>
      </c>
      <c r="D736" s="4" t="str">
        <f t="shared" si="115"/>
        <v>J6603P</v>
      </c>
      <c r="E736" s="4" t="s">
        <v>795</v>
      </c>
      <c r="F736" s="4" t="s">
        <v>2013</v>
      </c>
      <c r="G736" s="5">
        <v>4521718136035</v>
      </c>
      <c r="H736" s="5"/>
      <c r="I736" s="5"/>
      <c r="J736" s="5">
        <v>1</v>
      </c>
      <c r="K736" s="5">
        <v>1</v>
      </c>
      <c r="L736" s="4">
        <v>980</v>
      </c>
      <c r="M736" s="4">
        <v>689</v>
      </c>
      <c r="N736" s="4">
        <v>440</v>
      </c>
      <c r="O736" s="6">
        <f t="shared" si="116"/>
        <v>0.36139332365747456</v>
      </c>
      <c r="P736" s="4" t="s">
        <v>2500</v>
      </c>
      <c r="Q736" s="4"/>
      <c r="R736" s="4"/>
      <c r="S736" s="4"/>
      <c r="T736" s="4"/>
      <c r="U736" s="4"/>
      <c r="V736" s="4"/>
      <c r="W736" s="4"/>
      <c r="X736" s="4"/>
      <c r="Y736" s="4">
        <v>628</v>
      </c>
      <c r="Z736" s="4">
        <f t="shared" si="117"/>
        <v>628</v>
      </c>
      <c r="AA736" s="4">
        <v>440</v>
      </c>
      <c r="AB736" s="4">
        <f t="shared" si="118"/>
        <v>440</v>
      </c>
      <c r="AC736" s="4"/>
      <c r="AD736" s="21">
        <f>ROUND(M736*AR736,0)</f>
        <v>689</v>
      </c>
      <c r="AE736" s="6">
        <f>1-AB736/AD736</f>
        <v>0.36139332365747456</v>
      </c>
      <c r="AF736" s="33">
        <v>0</v>
      </c>
      <c r="AG736" s="4">
        <f t="shared" si="119"/>
        <v>619</v>
      </c>
      <c r="AH736" s="33">
        <f t="shared" si="112"/>
        <v>619</v>
      </c>
      <c r="AI736" s="6">
        <f>1-AB736/AH736</f>
        <v>0.28917609046849757</v>
      </c>
      <c r="AJ736" s="7">
        <v>619</v>
      </c>
      <c r="AK736" s="6">
        <f>1-AB736/AJ736</f>
        <v>0.28917609046849757</v>
      </c>
      <c r="AL736" s="4">
        <f>AJ736-AB736</f>
        <v>179</v>
      </c>
      <c r="AM736" s="28"/>
      <c r="AN736" s="6"/>
      <c r="AO736" s="6"/>
      <c r="AP736" s="6">
        <f>Z736/L736</f>
        <v>0.64081632653061227</v>
      </c>
      <c r="AQ736" s="6">
        <f>AJ736/M736</f>
        <v>0.89840348330914366</v>
      </c>
      <c r="AR736" s="6">
        <f>AB736/N736</f>
        <v>1</v>
      </c>
      <c r="AS736" s="4"/>
      <c r="AT736" s="4"/>
      <c r="AU736" s="4"/>
      <c r="AV736" s="4"/>
      <c r="AW736" s="4"/>
      <c r="AX736" s="4"/>
      <c r="AY736" s="4"/>
      <c r="AZ736" s="4"/>
      <c r="BA736" s="4"/>
      <c r="BB736" s="4">
        <v>0</v>
      </c>
      <c r="BC736" s="4" t="s">
        <v>4213</v>
      </c>
      <c r="BD736" s="4"/>
      <c r="BE736" s="4"/>
      <c r="BF736" s="4" t="s">
        <v>3545</v>
      </c>
      <c r="BG736" s="4">
        <v>619</v>
      </c>
      <c r="BH736" s="4">
        <v>619</v>
      </c>
      <c r="BI736" s="4">
        <f t="shared" si="120"/>
        <v>619</v>
      </c>
      <c r="BJ736" s="19">
        <v>4</v>
      </c>
      <c r="BK736" s="19">
        <v>8</v>
      </c>
      <c r="BL736" s="16">
        <v>6</v>
      </c>
      <c r="BM736" s="45" t="s">
        <v>3534</v>
      </c>
      <c r="BN736" t="s">
        <v>3534</v>
      </c>
      <c r="BO736" t="str">
        <f t="shared" si="113"/>
        <v>-</v>
      </c>
      <c r="BP736" t="s">
        <v>3534</v>
      </c>
      <c r="BQ736">
        <v>678</v>
      </c>
      <c r="BR736">
        <f t="shared" si="114"/>
        <v>678</v>
      </c>
      <c r="BS736" t="s">
        <v>3088</v>
      </c>
    </row>
    <row r="737" spans="1:71" x14ac:dyDescent="0.4">
      <c r="A737" s="3">
        <v>734</v>
      </c>
      <c r="B737" s="3">
        <v>734</v>
      </c>
      <c r="C737" s="4" t="s">
        <v>796</v>
      </c>
      <c r="D737" s="4" t="str">
        <f t="shared" si="115"/>
        <v>J6597P</v>
      </c>
      <c r="E737" s="4" t="s">
        <v>796</v>
      </c>
      <c r="F737" s="4" t="s">
        <v>2014</v>
      </c>
      <c r="G737" s="5">
        <v>4521718133171</v>
      </c>
      <c r="H737" s="5"/>
      <c r="I737" s="5"/>
      <c r="J737" s="5">
        <v>1</v>
      </c>
      <c r="K737" s="5">
        <v>1</v>
      </c>
      <c r="L737" s="4">
        <v>790</v>
      </c>
      <c r="M737" s="4">
        <v>637</v>
      </c>
      <c r="N737" s="4">
        <v>408</v>
      </c>
      <c r="O737" s="6">
        <f t="shared" si="116"/>
        <v>0.35949764521193095</v>
      </c>
      <c r="P737" s="4" t="s">
        <v>2500</v>
      </c>
      <c r="Q737" s="4"/>
      <c r="R737" s="4"/>
      <c r="S737" s="4"/>
      <c r="T737" s="4"/>
      <c r="U737" s="4"/>
      <c r="V737" s="4"/>
      <c r="W737" s="4"/>
      <c r="X737" s="4"/>
      <c r="Y737" s="4">
        <v>628</v>
      </c>
      <c r="Z737" s="4">
        <f t="shared" si="117"/>
        <v>628</v>
      </c>
      <c r="AA737" s="4">
        <v>408</v>
      </c>
      <c r="AB737" s="4">
        <f t="shared" si="118"/>
        <v>408</v>
      </c>
      <c r="AC737" s="4"/>
      <c r="AD737" s="21">
        <f>ROUND(M737*AR737,0)</f>
        <v>637</v>
      </c>
      <c r="AE737" s="6">
        <f>1-AB737/AD737</f>
        <v>0.35949764521193095</v>
      </c>
      <c r="AF737" s="33">
        <v>0.25</v>
      </c>
      <c r="AG737" s="4">
        <f t="shared" si="119"/>
        <v>785</v>
      </c>
      <c r="AH737" s="33">
        <f t="shared" si="112"/>
        <v>785</v>
      </c>
      <c r="AI737" s="6">
        <f>1-AB737/AH737</f>
        <v>0.4802547770700637</v>
      </c>
      <c r="AJ737" s="7">
        <f>ROUND(AB737/0.65,0)</f>
        <v>628</v>
      </c>
      <c r="AK737" s="6">
        <f>1-AB737/AJ737</f>
        <v>0.35031847133757965</v>
      </c>
      <c r="AL737" s="4">
        <f>AJ737-AB737</f>
        <v>220</v>
      </c>
      <c r="AM737" s="28"/>
      <c r="AN737" s="6"/>
      <c r="AO737" s="6"/>
      <c r="AP737" s="6">
        <f>Z737/L737</f>
        <v>0.79493670886075951</v>
      </c>
      <c r="AQ737" s="6">
        <f>AJ737/M737</f>
        <v>0.98587127158555732</v>
      </c>
      <c r="AR737" s="6">
        <f>AB737/N737</f>
        <v>1</v>
      </c>
      <c r="AS737" s="4"/>
      <c r="AT737" s="4"/>
      <c r="AU737" s="4"/>
      <c r="AV737" s="4"/>
      <c r="AW737" s="4"/>
      <c r="AX737" s="4"/>
      <c r="AY737" s="4"/>
      <c r="AZ737" s="4"/>
      <c r="BA737" s="4"/>
      <c r="BB737" s="4">
        <v>0</v>
      </c>
      <c r="BC737" s="4" t="s">
        <v>4214</v>
      </c>
      <c r="BD737" s="4">
        <v>1</v>
      </c>
      <c r="BE737" s="4">
        <v>2</v>
      </c>
      <c r="BF737" s="4" t="s">
        <v>3640</v>
      </c>
      <c r="BG737" s="4">
        <v>1570</v>
      </c>
      <c r="BH737" s="4">
        <v>1570</v>
      </c>
      <c r="BI737" s="4">
        <f t="shared" si="120"/>
        <v>785</v>
      </c>
      <c r="BJ737" s="19">
        <v>4</v>
      </c>
      <c r="BK737" s="19">
        <v>8</v>
      </c>
      <c r="BL737" s="16">
        <v>6</v>
      </c>
      <c r="BM737" s="45" t="s">
        <v>3534</v>
      </c>
      <c r="BN737" t="s">
        <v>3534</v>
      </c>
      <c r="BO737" t="str">
        <f t="shared" si="113"/>
        <v>-</v>
      </c>
      <c r="BP737" t="s">
        <v>3534</v>
      </c>
      <c r="BQ737">
        <v>1000</v>
      </c>
      <c r="BR737">
        <f t="shared" si="114"/>
        <v>1000</v>
      </c>
      <c r="BS737" t="s">
        <v>3089</v>
      </c>
    </row>
    <row r="738" spans="1:71" x14ac:dyDescent="0.4">
      <c r="A738" s="3">
        <v>735</v>
      </c>
      <c r="B738" s="3">
        <v>735</v>
      </c>
      <c r="C738" s="4" t="s">
        <v>797</v>
      </c>
      <c r="D738" s="4" t="str">
        <f t="shared" si="115"/>
        <v>J6598P</v>
      </c>
      <c r="E738" s="4" t="s">
        <v>797</v>
      </c>
      <c r="F738" s="4" t="s">
        <v>2015</v>
      </c>
      <c r="G738" s="5">
        <v>4521718133478</v>
      </c>
      <c r="H738" s="5"/>
      <c r="I738" s="5"/>
      <c r="J738" s="5">
        <v>1</v>
      </c>
      <c r="K738" s="5">
        <v>1</v>
      </c>
      <c r="L738" s="4">
        <v>1610</v>
      </c>
      <c r="M738" s="4">
        <v>1230</v>
      </c>
      <c r="N738" s="4">
        <v>904</v>
      </c>
      <c r="O738" s="6">
        <f t="shared" si="116"/>
        <v>0.26504065040650404</v>
      </c>
      <c r="P738" s="4" t="s">
        <v>2500</v>
      </c>
      <c r="Q738" s="4"/>
      <c r="R738" s="4"/>
      <c r="S738" s="4"/>
      <c r="T738" s="4"/>
      <c r="U738" s="4"/>
      <c r="V738" s="4"/>
      <c r="W738" s="4"/>
      <c r="X738" s="4"/>
      <c r="Y738" s="4">
        <v>1291</v>
      </c>
      <c r="Z738" s="4">
        <f t="shared" si="117"/>
        <v>1291</v>
      </c>
      <c r="AA738" s="4">
        <v>904</v>
      </c>
      <c r="AB738" s="4">
        <f t="shared" si="118"/>
        <v>904</v>
      </c>
      <c r="AC738" s="4"/>
      <c r="AD738" s="21">
        <f>ROUND(M738*AR738,0)</f>
        <v>1230</v>
      </c>
      <c r="AE738" s="6">
        <f>1-AB738/AD738</f>
        <v>0.26504065040650404</v>
      </c>
      <c r="AF738" s="33">
        <v>0</v>
      </c>
      <c r="AG738" s="4">
        <f t="shared" si="119"/>
        <v>1652</v>
      </c>
      <c r="AH738" s="33">
        <f t="shared" si="112"/>
        <v>1652</v>
      </c>
      <c r="AI738" s="6">
        <f>1-AB738/AH738</f>
        <v>0.45278450363196121</v>
      </c>
      <c r="AJ738" s="7">
        <v>1291</v>
      </c>
      <c r="AK738" s="6">
        <f>1-AB738/AJ738</f>
        <v>0.29976762199845086</v>
      </c>
      <c r="AL738" s="4">
        <f>AJ738-AB738</f>
        <v>387</v>
      </c>
      <c r="AM738" s="28"/>
      <c r="AN738" s="6"/>
      <c r="AO738" s="6"/>
      <c r="AP738" s="6">
        <f>Z738/L738</f>
        <v>0.80186335403726705</v>
      </c>
      <c r="AQ738" s="6">
        <f>AJ738/M738</f>
        <v>1.0495934959349593</v>
      </c>
      <c r="AR738" s="6">
        <f>AB738/N738</f>
        <v>1</v>
      </c>
      <c r="AS738" s="4"/>
      <c r="AT738" s="4"/>
      <c r="AU738" s="4"/>
      <c r="AV738" s="4"/>
      <c r="AW738" s="4"/>
      <c r="AX738" s="4"/>
      <c r="AY738" s="4"/>
      <c r="AZ738" s="4"/>
      <c r="BA738" s="4"/>
      <c r="BB738" s="4">
        <v>0</v>
      </c>
      <c r="BC738" s="4" t="s">
        <v>4215</v>
      </c>
      <c r="BD738" s="4"/>
      <c r="BE738" s="4"/>
      <c r="BF738" s="4" t="s">
        <v>3649</v>
      </c>
      <c r="BG738" s="4">
        <v>1652</v>
      </c>
      <c r="BH738" s="4">
        <v>1652</v>
      </c>
      <c r="BI738" s="4">
        <f t="shared" si="120"/>
        <v>1652</v>
      </c>
      <c r="BJ738" s="19">
        <v>4</v>
      </c>
      <c r="BK738" s="19">
        <v>8</v>
      </c>
      <c r="BL738" s="16">
        <v>6</v>
      </c>
      <c r="BM738" s="45" t="s">
        <v>3534</v>
      </c>
      <c r="BN738" t="s">
        <v>3534</v>
      </c>
      <c r="BO738" t="str">
        <f t="shared" si="113"/>
        <v>-</v>
      </c>
      <c r="BP738">
        <v>1392</v>
      </c>
      <c r="BQ738">
        <v>1392</v>
      </c>
      <c r="BR738">
        <f t="shared" si="114"/>
        <v>1392</v>
      </c>
      <c r="BS738" t="s">
        <v>3090</v>
      </c>
    </row>
    <row r="739" spans="1:71" x14ac:dyDescent="0.4">
      <c r="A739" s="3">
        <v>736</v>
      </c>
      <c r="B739" s="3">
        <v>736</v>
      </c>
      <c r="C739" s="4" t="s">
        <v>798</v>
      </c>
      <c r="D739" s="4" t="str">
        <f t="shared" si="115"/>
        <v>J6604P</v>
      </c>
      <c r="E739" s="4" t="s">
        <v>798</v>
      </c>
      <c r="F739" s="4" t="s">
        <v>2016</v>
      </c>
      <c r="G739" s="5">
        <v>4521718137759</v>
      </c>
      <c r="H739" s="5"/>
      <c r="I739" s="5"/>
      <c r="J739" s="5">
        <v>1</v>
      </c>
      <c r="K739" s="5">
        <v>1</v>
      </c>
      <c r="L739" s="4">
        <v>420</v>
      </c>
      <c r="M739" s="4">
        <v>275</v>
      </c>
      <c r="N739" s="4">
        <v>185</v>
      </c>
      <c r="O739" s="6">
        <f t="shared" si="116"/>
        <v>0.32727272727272727</v>
      </c>
      <c r="P739" s="4" t="s">
        <v>2500</v>
      </c>
      <c r="Q739" s="4"/>
      <c r="R739" s="4"/>
      <c r="S739" s="4"/>
      <c r="T739" s="4"/>
      <c r="U739" s="4"/>
      <c r="V739" s="4"/>
      <c r="W739" s="4"/>
      <c r="X739" s="4"/>
      <c r="Y739" s="4">
        <v>264</v>
      </c>
      <c r="Z739" s="4">
        <f t="shared" si="117"/>
        <v>264</v>
      </c>
      <c r="AA739" s="4">
        <v>185</v>
      </c>
      <c r="AB739" s="4">
        <f t="shared" si="118"/>
        <v>185</v>
      </c>
      <c r="AC739" s="4"/>
      <c r="AD739" s="21">
        <f>ROUND(M739*AR739,0)</f>
        <v>275</v>
      </c>
      <c r="AE739" s="6">
        <f>1-AB739/AD739</f>
        <v>0.32727272727272727</v>
      </c>
      <c r="AF739" s="33">
        <v>0</v>
      </c>
      <c r="AG739" s="4">
        <f t="shared" si="119"/>
        <v>420</v>
      </c>
      <c r="AH739" s="33">
        <f t="shared" si="112"/>
        <v>420</v>
      </c>
      <c r="AI739" s="6">
        <f>1-AB739/AH739</f>
        <v>0.55952380952380953</v>
      </c>
      <c r="AJ739" s="7">
        <v>264</v>
      </c>
      <c r="AK739" s="6">
        <f>1-AB739/AJ739</f>
        <v>0.2992424242424242</v>
      </c>
      <c r="AL739" s="4">
        <f>AJ739-AB739</f>
        <v>79</v>
      </c>
      <c r="AM739" s="28"/>
      <c r="AN739" s="6"/>
      <c r="AO739" s="6"/>
      <c r="AP739" s="6">
        <f>Z739/L739</f>
        <v>0.62857142857142856</v>
      </c>
      <c r="AQ739" s="6">
        <f>AJ739/M739</f>
        <v>0.96</v>
      </c>
      <c r="AR739" s="6">
        <f>AB739/N739</f>
        <v>1</v>
      </c>
      <c r="AS739" s="4"/>
      <c r="AT739" s="4"/>
      <c r="AU739" s="4"/>
      <c r="AV739" s="4"/>
      <c r="AW739" s="4"/>
      <c r="AX739" s="4"/>
      <c r="AY739" s="4"/>
      <c r="AZ739" s="4"/>
      <c r="BA739" s="4"/>
      <c r="BB739" s="4">
        <v>0</v>
      </c>
      <c r="BC739" s="4" t="s">
        <v>4216</v>
      </c>
      <c r="BD739" s="4">
        <v>1</v>
      </c>
      <c r="BE739" s="4">
        <v>5</v>
      </c>
      <c r="BF739" s="4" t="s">
        <v>4098</v>
      </c>
      <c r="BG739" s="4">
        <v>2100</v>
      </c>
      <c r="BH739" s="4">
        <v>2100</v>
      </c>
      <c r="BI739" s="4">
        <f t="shared" si="120"/>
        <v>420</v>
      </c>
      <c r="BJ739" s="19">
        <v>4</v>
      </c>
      <c r="BK739" s="19">
        <v>8</v>
      </c>
      <c r="BL739" s="16">
        <v>6</v>
      </c>
      <c r="BM739" s="45" t="s">
        <v>3534</v>
      </c>
      <c r="BN739" t="s">
        <v>3534</v>
      </c>
      <c r="BO739" t="str">
        <f t="shared" si="113"/>
        <v>-</v>
      </c>
      <c r="BP739" t="s">
        <v>3534</v>
      </c>
      <c r="BQ739">
        <v>265</v>
      </c>
      <c r="BR739">
        <f t="shared" si="114"/>
        <v>265</v>
      </c>
      <c r="BS739" t="s">
        <v>3091</v>
      </c>
    </row>
    <row r="740" spans="1:71" x14ac:dyDescent="0.4">
      <c r="A740" s="3">
        <v>737</v>
      </c>
      <c r="B740" s="3">
        <v>737</v>
      </c>
      <c r="C740" s="4" t="s">
        <v>799</v>
      </c>
      <c r="D740" s="4" t="str">
        <f t="shared" si="115"/>
        <v>J6606P</v>
      </c>
      <c r="E740" s="4" t="s">
        <v>799</v>
      </c>
      <c r="F740" s="4" t="s">
        <v>2017</v>
      </c>
      <c r="G740" s="5">
        <v>4521718138602</v>
      </c>
      <c r="H740" s="5"/>
      <c r="I740" s="5"/>
      <c r="J740" s="5">
        <v>1</v>
      </c>
      <c r="K740" s="5">
        <v>1</v>
      </c>
      <c r="L740" s="4">
        <v>2660</v>
      </c>
      <c r="M740" s="4">
        <v>1753</v>
      </c>
      <c r="N740" s="4">
        <v>1197</v>
      </c>
      <c r="O740" s="6">
        <f t="shared" si="116"/>
        <v>0.31717056474614946</v>
      </c>
      <c r="P740" s="4" t="s">
        <v>2500</v>
      </c>
      <c r="Q740" s="4"/>
      <c r="R740" s="4"/>
      <c r="S740" s="4"/>
      <c r="T740" s="4"/>
      <c r="U740" s="4"/>
      <c r="V740" s="4"/>
      <c r="W740" s="4"/>
      <c r="X740" s="4"/>
      <c r="Y740" s="4">
        <v>1880</v>
      </c>
      <c r="Z740" s="4">
        <f t="shared" si="117"/>
        <v>1880</v>
      </c>
      <c r="AA740" s="4">
        <v>1316</v>
      </c>
      <c r="AB740" s="4">
        <f t="shared" si="118"/>
        <v>1316</v>
      </c>
      <c r="AC740" s="4"/>
      <c r="AD740" s="21">
        <f>ROUND(M740*AR740,0)</f>
        <v>1927</v>
      </c>
      <c r="AE740" s="6">
        <f>1-AB740/AD740</f>
        <v>0.31707317073170727</v>
      </c>
      <c r="AF740" s="33">
        <v>0</v>
      </c>
      <c r="AG740" s="4">
        <f t="shared" si="119"/>
        <v>2660</v>
      </c>
      <c r="AH740" s="33">
        <f t="shared" si="112"/>
        <v>2924.4444444444443</v>
      </c>
      <c r="AI740" s="6">
        <f>1-AB740/AH740</f>
        <v>0.55000000000000004</v>
      </c>
      <c r="AJ740" s="7">
        <v>1880</v>
      </c>
      <c r="AK740" s="6">
        <f>1-AB740/AJ740</f>
        <v>0.30000000000000004</v>
      </c>
      <c r="AL740" s="4">
        <f>AJ740-AB740</f>
        <v>564</v>
      </c>
      <c r="AM740" s="28"/>
      <c r="AN740" s="6"/>
      <c r="AO740" s="6"/>
      <c r="AP740" s="6">
        <f>Z740/L740</f>
        <v>0.70676691729323304</v>
      </c>
      <c r="AQ740" s="6">
        <f>AJ740/M740</f>
        <v>1.0724472333143182</v>
      </c>
      <c r="AR740" s="6">
        <f>AB740/N740</f>
        <v>1.0994152046783625</v>
      </c>
      <c r="AS740" s="4"/>
      <c r="AT740" s="4"/>
      <c r="AU740" s="4"/>
      <c r="AV740" s="4"/>
      <c r="AW740" s="4"/>
      <c r="AX740" s="4"/>
      <c r="AY740" s="4"/>
      <c r="AZ740" s="4"/>
      <c r="BA740" s="4"/>
      <c r="BB740" s="4">
        <v>0</v>
      </c>
      <c r="BC740" s="4" t="s">
        <v>4217</v>
      </c>
      <c r="BD740" s="4"/>
      <c r="BE740" s="4"/>
      <c r="BF740" s="4" t="s">
        <v>4218</v>
      </c>
      <c r="BG740" s="4">
        <v>2660</v>
      </c>
      <c r="BH740" s="4">
        <v>2660</v>
      </c>
      <c r="BI740" s="4">
        <f t="shared" si="120"/>
        <v>2660</v>
      </c>
      <c r="BJ740" s="19">
        <v>4</v>
      </c>
      <c r="BK740" s="19">
        <v>8</v>
      </c>
      <c r="BL740" s="16">
        <v>6</v>
      </c>
      <c r="BM740" s="45" t="s">
        <v>3534</v>
      </c>
      <c r="BN740" t="s">
        <v>3534</v>
      </c>
      <c r="BO740" t="str">
        <f t="shared" si="113"/>
        <v>-</v>
      </c>
      <c r="BP740" t="s">
        <v>3534</v>
      </c>
      <c r="BQ740">
        <v>1710</v>
      </c>
      <c r="BR740">
        <f t="shared" si="114"/>
        <v>1880</v>
      </c>
      <c r="BS740" t="s">
        <v>3092</v>
      </c>
    </row>
    <row r="741" spans="1:71" x14ac:dyDescent="0.4">
      <c r="A741" s="3">
        <v>738</v>
      </c>
      <c r="B741" s="3">
        <v>738</v>
      </c>
      <c r="C741" s="4" t="s">
        <v>800</v>
      </c>
      <c r="D741" s="4" t="str">
        <f t="shared" si="115"/>
        <v>J6607P</v>
      </c>
      <c r="E741" s="4" t="s">
        <v>800</v>
      </c>
      <c r="F741" s="4" t="s">
        <v>2018</v>
      </c>
      <c r="G741" s="5">
        <v>4521718139005</v>
      </c>
      <c r="H741" s="5"/>
      <c r="I741" s="5"/>
      <c r="J741" s="5">
        <v>1</v>
      </c>
      <c r="K741" s="5">
        <v>1</v>
      </c>
      <c r="L741" s="4">
        <v>290</v>
      </c>
      <c r="M741" s="4">
        <v>193</v>
      </c>
      <c r="N741" s="4">
        <v>130</v>
      </c>
      <c r="O741" s="6">
        <f t="shared" si="116"/>
        <v>0.32642487046632129</v>
      </c>
      <c r="P741" s="4" t="s">
        <v>2500</v>
      </c>
      <c r="Q741" s="4"/>
      <c r="R741" s="4"/>
      <c r="S741" s="4"/>
      <c r="T741" s="4"/>
      <c r="U741" s="4"/>
      <c r="V741" s="4"/>
      <c r="W741" s="4"/>
      <c r="X741" s="4"/>
      <c r="Y741" s="4">
        <v>210</v>
      </c>
      <c r="Z741" s="4">
        <f t="shared" si="117"/>
        <v>210</v>
      </c>
      <c r="AA741" s="4">
        <v>137</v>
      </c>
      <c r="AB741" s="4">
        <f t="shared" si="118"/>
        <v>137</v>
      </c>
      <c r="AC741" s="4"/>
      <c r="AD741" s="21">
        <f>ROUND(M741*AR741,0)</f>
        <v>203</v>
      </c>
      <c r="AE741" s="6">
        <f>1-AB741/AD741</f>
        <v>0.32512315270935965</v>
      </c>
      <c r="AF741" s="33">
        <v>0</v>
      </c>
      <c r="AG741" s="4">
        <f t="shared" si="119"/>
        <v>290</v>
      </c>
      <c r="AH741" s="33">
        <f t="shared" si="112"/>
        <v>305.61538461538464</v>
      </c>
      <c r="AI741" s="6">
        <f>1-AB741/AH741</f>
        <v>0.55172413793103448</v>
      </c>
      <c r="AJ741" s="7">
        <v>210</v>
      </c>
      <c r="AK741" s="6">
        <f>1-AB741/AJ741</f>
        <v>0.34761904761904761</v>
      </c>
      <c r="AL741" s="4">
        <f>AJ741-AB741</f>
        <v>73</v>
      </c>
      <c r="AM741" s="28"/>
      <c r="AN741" s="6"/>
      <c r="AO741" s="6"/>
      <c r="AP741" s="6">
        <f>Z741/L741</f>
        <v>0.72413793103448276</v>
      </c>
      <c r="AQ741" s="6">
        <f>AJ741/M741</f>
        <v>1.0880829015544042</v>
      </c>
      <c r="AR741" s="6">
        <f>AB741/N741</f>
        <v>1.0538461538461539</v>
      </c>
      <c r="AS741" s="4"/>
      <c r="AT741" s="4"/>
      <c r="AU741" s="4"/>
      <c r="AV741" s="4"/>
      <c r="AW741" s="4"/>
      <c r="AX741" s="4"/>
      <c r="AY741" s="4"/>
      <c r="AZ741" s="4"/>
      <c r="BA741" s="4"/>
      <c r="BB741" s="4">
        <v>0</v>
      </c>
      <c r="BC741" s="4" t="s">
        <v>4219</v>
      </c>
      <c r="BD741" s="4">
        <v>1</v>
      </c>
      <c r="BE741" s="4">
        <v>5</v>
      </c>
      <c r="BF741" s="4" t="s">
        <v>3746</v>
      </c>
      <c r="BG741" s="4">
        <v>1450</v>
      </c>
      <c r="BH741" s="4">
        <v>1450</v>
      </c>
      <c r="BI741" s="4">
        <f t="shared" si="120"/>
        <v>290</v>
      </c>
      <c r="BJ741" s="19">
        <v>4</v>
      </c>
      <c r="BK741" s="19">
        <v>8</v>
      </c>
      <c r="BL741" s="16">
        <v>6</v>
      </c>
      <c r="BM741" s="45" t="s">
        <v>3534</v>
      </c>
      <c r="BN741" t="s">
        <v>3534</v>
      </c>
      <c r="BO741" t="str">
        <f t="shared" si="113"/>
        <v>-</v>
      </c>
      <c r="BP741">
        <v>201</v>
      </c>
      <c r="BQ741">
        <v>201</v>
      </c>
      <c r="BR741">
        <f t="shared" si="114"/>
        <v>211.82307692307694</v>
      </c>
      <c r="BS741" t="s">
        <v>3093</v>
      </c>
    </row>
    <row r="742" spans="1:71" x14ac:dyDescent="0.4">
      <c r="A742" s="3">
        <v>739</v>
      </c>
      <c r="B742" s="3">
        <v>739</v>
      </c>
      <c r="C742" s="4" t="s">
        <v>801</v>
      </c>
      <c r="D742" s="4" t="str">
        <f t="shared" si="115"/>
        <v>J6608P</v>
      </c>
      <c r="E742" s="4" t="s">
        <v>801</v>
      </c>
      <c r="F742" s="4" t="s">
        <v>2019</v>
      </c>
      <c r="G742" s="5">
        <v>4521718139012</v>
      </c>
      <c r="H742" s="5"/>
      <c r="I742" s="5"/>
      <c r="J742" s="5">
        <v>1</v>
      </c>
      <c r="K742" s="5">
        <v>1</v>
      </c>
      <c r="L742" s="4">
        <v>440</v>
      </c>
      <c r="M742" s="4">
        <v>285</v>
      </c>
      <c r="N742" s="4">
        <v>195</v>
      </c>
      <c r="O742" s="6">
        <f t="shared" si="116"/>
        <v>0.31578947368421051</v>
      </c>
      <c r="P742" s="4" t="s">
        <v>2500</v>
      </c>
      <c r="Q742" s="4"/>
      <c r="R742" s="4"/>
      <c r="S742" s="4"/>
      <c r="T742" s="4"/>
      <c r="U742" s="4"/>
      <c r="V742" s="4"/>
      <c r="W742" s="4"/>
      <c r="X742" s="4"/>
      <c r="Y742" s="4">
        <v>310</v>
      </c>
      <c r="Z742" s="4">
        <f t="shared" si="117"/>
        <v>310</v>
      </c>
      <c r="AA742" s="4">
        <v>202</v>
      </c>
      <c r="AB742" s="4">
        <f t="shared" si="118"/>
        <v>202</v>
      </c>
      <c r="AC742" s="4"/>
      <c r="AD742" s="21">
        <f>ROUND(M742*AR742,0)</f>
        <v>295</v>
      </c>
      <c r="AE742" s="6">
        <f>1-AB742/AD742</f>
        <v>0.31525423728813562</v>
      </c>
      <c r="AF742" s="33">
        <v>0</v>
      </c>
      <c r="AG742" s="4">
        <f t="shared" si="119"/>
        <v>440</v>
      </c>
      <c r="AH742" s="33">
        <f t="shared" si="112"/>
        <v>455.79487179487182</v>
      </c>
      <c r="AI742" s="6">
        <f>1-AB742/AH742</f>
        <v>0.55681818181818188</v>
      </c>
      <c r="AJ742" s="7">
        <v>310</v>
      </c>
      <c r="AK742" s="6">
        <f>1-AB742/AJ742</f>
        <v>0.34838709677419355</v>
      </c>
      <c r="AL742" s="4">
        <f>AJ742-AB742</f>
        <v>108</v>
      </c>
      <c r="AM742" s="28"/>
      <c r="AN742" s="6"/>
      <c r="AO742" s="6"/>
      <c r="AP742" s="6">
        <f>Z742/L742</f>
        <v>0.70454545454545459</v>
      </c>
      <c r="AQ742" s="6">
        <f>AJ742/M742</f>
        <v>1.0877192982456141</v>
      </c>
      <c r="AR742" s="6">
        <f>AB742/N742</f>
        <v>1.035897435897436</v>
      </c>
      <c r="AS742" s="4"/>
      <c r="AT742" s="4"/>
      <c r="AU742" s="4"/>
      <c r="AV742" s="4"/>
      <c r="AW742" s="4"/>
      <c r="AX742" s="4"/>
      <c r="AY742" s="4"/>
      <c r="AZ742" s="4"/>
      <c r="BA742" s="4"/>
      <c r="BB742" s="4">
        <v>0</v>
      </c>
      <c r="BC742" s="4" t="s">
        <v>4220</v>
      </c>
      <c r="BD742" s="4">
        <v>5</v>
      </c>
      <c r="BE742" s="4">
        <v>15</v>
      </c>
      <c r="BF742" s="4" t="s">
        <v>4221</v>
      </c>
      <c r="BG742" s="4">
        <v>1320</v>
      </c>
      <c r="BH742" s="4">
        <v>1320</v>
      </c>
      <c r="BI742" s="4">
        <f t="shared" si="120"/>
        <v>440</v>
      </c>
      <c r="BJ742" s="19">
        <v>4</v>
      </c>
      <c r="BK742" s="19">
        <v>8</v>
      </c>
      <c r="BL742" s="16">
        <v>6</v>
      </c>
      <c r="BM742" s="45" t="s">
        <v>3534</v>
      </c>
      <c r="BN742" t="s">
        <v>3534</v>
      </c>
      <c r="BO742" t="str">
        <f t="shared" si="113"/>
        <v>-</v>
      </c>
      <c r="BP742">
        <v>300</v>
      </c>
      <c r="BQ742">
        <v>300</v>
      </c>
      <c r="BR742">
        <f t="shared" si="114"/>
        <v>310.76923076923077</v>
      </c>
      <c r="BS742" t="s">
        <v>3094</v>
      </c>
    </row>
    <row r="743" spans="1:71" x14ac:dyDescent="0.4">
      <c r="A743" s="3">
        <v>740</v>
      </c>
      <c r="B743" s="3">
        <v>740</v>
      </c>
      <c r="C743" s="4" t="s">
        <v>802</v>
      </c>
      <c r="D743" s="4" t="str">
        <f t="shared" si="115"/>
        <v>J6599P</v>
      </c>
      <c r="E743" s="4" t="s">
        <v>802</v>
      </c>
      <c r="F743" s="4" t="s">
        <v>2020</v>
      </c>
      <c r="G743" s="5">
        <v>4521718134109</v>
      </c>
      <c r="H743" s="5"/>
      <c r="I743" s="5"/>
      <c r="J743" s="5">
        <v>1</v>
      </c>
      <c r="K743" s="5">
        <v>1</v>
      </c>
      <c r="L743" s="4">
        <v>830</v>
      </c>
      <c r="M743" s="4">
        <v>544</v>
      </c>
      <c r="N743" s="4">
        <v>372</v>
      </c>
      <c r="O743" s="6">
        <f t="shared" si="116"/>
        <v>0.31617647058823528</v>
      </c>
      <c r="P743" s="4" t="s">
        <v>2500</v>
      </c>
      <c r="Q743" s="4"/>
      <c r="R743" s="4"/>
      <c r="S743" s="4"/>
      <c r="T743" s="4"/>
      <c r="U743" s="4"/>
      <c r="V743" s="4"/>
      <c r="W743" s="4"/>
      <c r="X743" s="4"/>
      <c r="Y743" s="4">
        <v>582</v>
      </c>
      <c r="Z743" s="4">
        <f t="shared" si="117"/>
        <v>582</v>
      </c>
      <c r="AA743" s="4">
        <v>378</v>
      </c>
      <c r="AB743" s="4">
        <f t="shared" si="118"/>
        <v>378</v>
      </c>
      <c r="AC743" s="4"/>
      <c r="AD743" s="21">
        <f>ROUND(M743*AR743,0)</f>
        <v>553</v>
      </c>
      <c r="AE743" s="6">
        <f>1-AB743/AD743</f>
        <v>0.31645569620253167</v>
      </c>
      <c r="AF743" s="33">
        <v>0</v>
      </c>
      <c r="AG743" s="4">
        <f t="shared" si="119"/>
        <v>830</v>
      </c>
      <c r="AH743" s="33">
        <f t="shared" si="112"/>
        <v>843.38709677419354</v>
      </c>
      <c r="AI743" s="6">
        <f>1-AB743/AH743</f>
        <v>0.55180722891566258</v>
      </c>
      <c r="AJ743" s="7">
        <f>ROUND(AB743/0.65,0)</f>
        <v>582</v>
      </c>
      <c r="AK743" s="6">
        <f>1-AB743/AJ743</f>
        <v>0.35051546391752575</v>
      </c>
      <c r="AL743" s="4">
        <f>AJ743-AB743</f>
        <v>204</v>
      </c>
      <c r="AM743" s="28"/>
      <c r="AN743" s="6"/>
      <c r="AO743" s="6"/>
      <c r="AP743" s="6">
        <f>Z743/L743</f>
        <v>0.70120481927710843</v>
      </c>
      <c r="AQ743" s="6">
        <f>AJ743/M743</f>
        <v>1.0698529411764706</v>
      </c>
      <c r="AR743" s="6">
        <f>AB743/N743</f>
        <v>1.0161290322580645</v>
      </c>
      <c r="AS743" s="4"/>
      <c r="AT743" s="4"/>
      <c r="AU743" s="4"/>
      <c r="AV743" s="4"/>
      <c r="AW743" s="4"/>
      <c r="AX743" s="4"/>
      <c r="AY743" s="4"/>
      <c r="AZ743" s="4"/>
      <c r="BA743" s="4"/>
      <c r="BB743" s="4">
        <v>0</v>
      </c>
      <c r="BC743" s="4" t="s">
        <v>4222</v>
      </c>
      <c r="BD743" s="4">
        <v>1</v>
      </c>
      <c r="BE743" s="4">
        <v>2</v>
      </c>
      <c r="BF743" s="4" t="s">
        <v>3640</v>
      </c>
      <c r="BG743" s="4">
        <v>1660</v>
      </c>
      <c r="BH743" s="4">
        <v>1660</v>
      </c>
      <c r="BI743" s="4">
        <f t="shared" si="120"/>
        <v>830</v>
      </c>
      <c r="BJ743" s="19">
        <v>4</v>
      </c>
      <c r="BK743" s="19">
        <v>8</v>
      </c>
      <c r="BL743" s="16">
        <v>6</v>
      </c>
      <c r="BM743" s="45" t="s">
        <v>3534</v>
      </c>
      <c r="BN743" t="s">
        <v>3534</v>
      </c>
      <c r="BO743" t="str">
        <f t="shared" si="113"/>
        <v>-</v>
      </c>
      <c r="BP743" t="s">
        <v>3534</v>
      </c>
      <c r="BQ743">
        <v>744</v>
      </c>
      <c r="BR743">
        <f t="shared" si="114"/>
        <v>756</v>
      </c>
      <c r="BS743" t="s">
        <v>3095</v>
      </c>
    </row>
    <row r="744" spans="1:71" x14ac:dyDescent="0.4">
      <c r="A744" s="3">
        <v>741</v>
      </c>
      <c r="B744" s="3">
        <v>741</v>
      </c>
      <c r="C744" s="4" t="s">
        <v>803</v>
      </c>
      <c r="D744" s="4" t="str">
        <f t="shared" si="115"/>
        <v>J6610P</v>
      </c>
      <c r="E744" s="4" t="s">
        <v>803</v>
      </c>
      <c r="F744" s="4" t="s">
        <v>2021</v>
      </c>
      <c r="G744" s="5">
        <v>4521718139111</v>
      </c>
      <c r="H744" s="5"/>
      <c r="I744" s="5"/>
      <c r="J744" s="5">
        <v>1</v>
      </c>
      <c r="K744" s="5">
        <v>1</v>
      </c>
      <c r="L744" s="4">
        <v>870</v>
      </c>
      <c r="M744" s="4">
        <v>571</v>
      </c>
      <c r="N744" s="4">
        <v>390</v>
      </c>
      <c r="O744" s="6">
        <f t="shared" si="116"/>
        <v>0.31698774080560421</v>
      </c>
      <c r="P744" s="4" t="s">
        <v>2500</v>
      </c>
      <c r="Q744" s="4"/>
      <c r="R744" s="4"/>
      <c r="S744" s="4"/>
      <c r="T744" s="4"/>
      <c r="U744" s="4"/>
      <c r="V744" s="4"/>
      <c r="W744" s="4"/>
      <c r="X744" s="4"/>
      <c r="Y744" s="4">
        <v>610</v>
      </c>
      <c r="Z744" s="4">
        <f t="shared" si="117"/>
        <v>610</v>
      </c>
      <c r="AA744" s="4">
        <v>397</v>
      </c>
      <c r="AB744" s="4">
        <f t="shared" si="118"/>
        <v>397</v>
      </c>
      <c r="AC744" s="4"/>
      <c r="AD744" s="21">
        <f>ROUND(M744*AR744,0)</f>
        <v>581</v>
      </c>
      <c r="AE744" s="6">
        <f>1-AB744/AD744</f>
        <v>0.31669535283993111</v>
      </c>
      <c r="AF744" s="33">
        <v>1.7500000000000002</v>
      </c>
      <c r="AG744" s="4">
        <f t="shared" si="119"/>
        <v>870</v>
      </c>
      <c r="AH744" s="33">
        <f t="shared" si="112"/>
        <v>885.61538461538453</v>
      </c>
      <c r="AI744" s="6">
        <f>1-AB744/AH744</f>
        <v>0.55172413793103448</v>
      </c>
      <c r="AJ744" s="7">
        <v>610</v>
      </c>
      <c r="AK744" s="6">
        <f>1-AB744/AJ744</f>
        <v>0.34918032786885245</v>
      </c>
      <c r="AL744" s="4">
        <f>AJ744-AB744</f>
        <v>213</v>
      </c>
      <c r="AM744" s="28"/>
      <c r="AN744" s="6"/>
      <c r="AO744" s="6"/>
      <c r="AP744" s="6">
        <f>Z744/L744</f>
        <v>0.70114942528735635</v>
      </c>
      <c r="AQ744" s="6">
        <f>AJ744/M744</f>
        <v>1.0683012259194395</v>
      </c>
      <c r="AR744" s="6">
        <f>AB744/N744</f>
        <v>1.0179487179487179</v>
      </c>
      <c r="AS744" s="4"/>
      <c r="AT744" s="4"/>
      <c r="AU744" s="4"/>
      <c r="AV744" s="4"/>
      <c r="AW744" s="4"/>
      <c r="AX744" s="4"/>
      <c r="AY744" s="4"/>
      <c r="AZ744" s="4"/>
      <c r="BA744" s="4"/>
      <c r="BB744" s="4">
        <v>0</v>
      </c>
      <c r="BC744" s="4" t="s">
        <v>4223</v>
      </c>
      <c r="BD744" s="4">
        <v>1</v>
      </c>
      <c r="BE744" s="4">
        <v>2</v>
      </c>
      <c r="BF744" s="4" t="s">
        <v>3640</v>
      </c>
      <c r="BG744" s="4">
        <v>1740</v>
      </c>
      <c r="BH744" s="4">
        <v>1740</v>
      </c>
      <c r="BI744" s="4">
        <f t="shared" si="120"/>
        <v>870</v>
      </c>
      <c r="BJ744" s="19">
        <v>4</v>
      </c>
      <c r="BK744" s="19">
        <v>8</v>
      </c>
      <c r="BL744" s="16">
        <v>6</v>
      </c>
      <c r="BM744" s="45" t="s">
        <v>3534</v>
      </c>
      <c r="BN744" t="s">
        <v>3534</v>
      </c>
      <c r="BO744" t="str">
        <f t="shared" si="113"/>
        <v>-</v>
      </c>
      <c r="BP744">
        <v>601</v>
      </c>
      <c r="BQ744">
        <v>601</v>
      </c>
      <c r="BR744">
        <f t="shared" si="114"/>
        <v>611.7871794871794</v>
      </c>
      <c r="BS744" t="s">
        <v>3096</v>
      </c>
    </row>
    <row r="745" spans="1:71" x14ac:dyDescent="0.4">
      <c r="A745" s="3">
        <v>742</v>
      </c>
      <c r="B745" s="3">
        <v>742</v>
      </c>
      <c r="C745" s="4" t="s">
        <v>804</v>
      </c>
      <c r="D745" s="4" t="str">
        <f t="shared" si="115"/>
        <v>J6611P</v>
      </c>
      <c r="E745" s="4" t="s">
        <v>804</v>
      </c>
      <c r="F745" s="4" t="s">
        <v>2022</v>
      </c>
      <c r="G745" s="5">
        <v>4521718139128</v>
      </c>
      <c r="H745" s="5"/>
      <c r="I745" s="5"/>
      <c r="J745" s="5">
        <v>1</v>
      </c>
      <c r="K745" s="5">
        <v>1</v>
      </c>
      <c r="L745" s="4">
        <v>440</v>
      </c>
      <c r="M745" s="4">
        <v>361</v>
      </c>
      <c r="N745" s="4">
        <v>231</v>
      </c>
      <c r="O745" s="6">
        <f t="shared" si="116"/>
        <v>0.36011080332409973</v>
      </c>
      <c r="P745" s="4" t="s">
        <v>2500</v>
      </c>
      <c r="Q745" s="4"/>
      <c r="R745" s="4"/>
      <c r="S745" s="4"/>
      <c r="T745" s="4"/>
      <c r="U745" s="4"/>
      <c r="V745" s="4"/>
      <c r="W745" s="4"/>
      <c r="X745" s="4"/>
      <c r="Y745" s="4">
        <v>355</v>
      </c>
      <c r="Z745" s="4">
        <f t="shared" si="117"/>
        <v>355</v>
      </c>
      <c r="AA745" s="4">
        <v>231</v>
      </c>
      <c r="AB745" s="4">
        <f t="shared" si="118"/>
        <v>231</v>
      </c>
      <c r="AC745" s="4"/>
      <c r="AD745" s="21">
        <f>ROUND(M745*AR745,0)</f>
        <v>361</v>
      </c>
      <c r="AE745" s="6">
        <f>1-AB745/AD745</f>
        <v>0.36011080332409973</v>
      </c>
      <c r="AF745" s="33">
        <v>0</v>
      </c>
      <c r="AG745" s="4" t="str">
        <f t="shared" si="119"/>
        <v>-</v>
      </c>
      <c r="AH745" s="33" t="e">
        <f t="shared" si="112"/>
        <v>#VALUE!</v>
      </c>
      <c r="AI745" s="6" t="e">
        <f>1-AB745/AH745</f>
        <v>#VALUE!</v>
      </c>
      <c r="AJ745" s="7">
        <v>355</v>
      </c>
      <c r="AK745" s="6">
        <f>1-AB745/AJ745</f>
        <v>0.3492957746478873</v>
      </c>
      <c r="AL745" s="4">
        <f>AJ745-AB745</f>
        <v>124</v>
      </c>
      <c r="AM745" s="28"/>
      <c r="AN745" s="6"/>
      <c r="AO745" s="6"/>
      <c r="AP745" s="6">
        <f>Z745/L745</f>
        <v>0.80681818181818177</v>
      </c>
      <c r="AQ745" s="6">
        <f>AJ745/M745</f>
        <v>0.9833795013850416</v>
      </c>
      <c r="AR745" s="6">
        <f>AB745/N745</f>
        <v>1</v>
      </c>
      <c r="AS745" s="4"/>
      <c r="AT745" s="4"/>
      <c r="AU745" s="4"/>
      <c r="AV745" s="4"/>
      <c r="AW745" s="4"/>
      <c r="AX745" s="4"/>
      <c r="AY745" s="4"/>
      <c r="AZ745" s="4"/>
      <c r="BA745" s="4"/>
      <c r="BB745" s="4">
        <v>0</v>
      </c>
      <c r="BC745" s="4" t="s">
        <v>4224</v>
      </c>
      <c r="BD745" s="4"/>
      <c r="BE745" s="4"/>
      <c r="BF745" s="4" t="s">
        <v>4225</v>
      </c>
      <c r="BG745" s="4">
        <v>515</v>
      </c>
      <c r="BH745" s="4" t="s">
        <v>3534</v>
      </c>
      <c r="BI745" s="4" t="str">
        <f t="shared" si="120"/>
        <v>-</v>
      </c>
      <c r="BJ745" s="19">
        <v>4</v>
      </c>
      <c r="BK745" s="19">
        <v>8</v>
      </c>
      <c r="BL745" s="16">
        <v>6</v>
      </c>
      <c r="BM745" s="45" t="s">
        <v>3534</v>
      </c>
      <c r="BN745" t="s">
        <v>3534</v>
      </c>
      <c r="BO745" t="str">
        <f t="shared" si="113"/>
        <v>-</v>
      </c>
      <c r="BP745">
        <v>356</v>
      </c>
      <c r="BQ745">
        <v>356</v>
      </c>
      <c r="BR745">
        <f t="shared" si="114"/>
        <v>356</v>
      </c>
      <c r="BS745" t="s">
        <v>3097</v>
      </c>
    </row>
    <row r="746" spans="1:71" x14ac:dyDescent="0.4">
      <c r="A746" s="3">
        <v>743</v>
      </c>
      <c r="B746" s="3">
        <v>743</v>
      </c>
      <c r="C746" s="4" t="s">
        <v>805</v>
      </c>
      <c r="D746" s="4" t="str">
        <f t="shared" si="115"/>
        <v>J6612P</v>
      </c>
      <c r="E746" s="4" t="s">
        <v>805</v>
      </c>
      <c r="F746" s="4" t="s">
        <v>2023</v>
      </c>
      <c r="G746" s="5">
        <v>4521718139142</v>
      </c>
      <c r="H746" s="5"/>
      <c r="I746" s="5"/>
      <c r="J746" s="5">
        <v>1</v>
      </c>
      <c r="K746" s="5">
        <v>1</v>
      </c>
      <c r="L746" s="4">
        <v>140</v>
      </c>
      <c r="M746" s="4">
        <v>109</v>
      </c>
      <c r="N746" s="4">
        <v>72</v>
      </c>
      <c r="O746" s="6">
        <f t="shared" si="116"/>
        <v>0.33944954128440363</v>
      </c>
      <c r="P746" s="4" t="s">
        <v>2500</v>
      </c>
      <c r="Q746" s="4"/>
      <c r="R746" s="4"/>
      <c r="S746" s="4"/>
      <c r="T746" s="4"/>
      <c r="U746" s="4"/>
      <c r="V746" s="4"/>
      <c r="W746" s="4"/>
      <c r="X746" s="4"/>
      <c r="Y746" s="4">
        <v>119</v>
      </c>
      <c r="Z746" s="4">
        <f t="shared" si="117"/>
        <v>119</v>
      </c>
      <c r="AA746" s="4">
        <v>77</v>
      </c>
      <c r="AB746" s="4">
        <f t="shared" si="118"/>
        <v>77</v>
      </c>
      <c r="AC746" s="4"/>
      <c r="AD746" s="21">
        <f>ROUND(M746*AR746,0)</f>
        <v>117</v>
      </c>
      <c r="AE746" s="6">
        <f>1-AB746/AD746</f>
        <v>0.34188034188034189</v>
      </c>
      <c r="AF746" s="33">
        <v>6.75</v>
      </c>
      <c r="AG746" s="4" t="str">
        <f t="shared" si="119"/>
        <v>-</v>
      </c>
      <c r="AH746" s="33" t="e">
        <f t="shared" si="112"/>
        <v>#VALUE!</v>
      </c>
      <c r="AI746" s="6" t="e">
        <f>1-AB746/AH746</f>
        <v>#VALUE!</v>
      </c>
      <c r="AJ746" s="7">
        <f>ROUND(AB746/0.65,0)</f>
        <v>118</v>
      </c>
      <c r="AK746" s="6">
        <f>1-AB746/AJ746</f>
        <v>0.34745762711864403</v>
      </c>
      <c r="AL746" s="4">
        <f>AJ746-AB746</f>
        <v>41</v>
      </c>
      <c r="AM746" s="28"/>
      <c r="AN746" s="6"/>
      <c r="AO746" s="6"/>
      <c r="AP746" s="6">
        <f>Z746/L746</f>
        <v>0.85</v>
      </c>
      <c r="AQ746" s="6">
        <f>AJ746/M746</f>
        <v>1.0825688073394495</v>
      </c>
      <c r="AR746" s="6">
        <f>AB746/N746</f>
        <v>1.0694444444444444</v>
      </c>
      <c r="AS746" s="4"/>
      <c r="AT746" s="4"/>
      <c r="AU746" s="4"/>
      <c r="AV746" s="4"/>
      <c r="AW746" s="4"/>
      <c r="AX746" s="4"/>
      <c r="AY746" s="4"/>
      <c r="AZ746" s="4"/>
      <c r="BA746" s="4"/>
      <c r="BB746" s="4">
        <v>0</v>
      </c>
      <c r="BC746" s="4" t="s">
        <v>3534</v>
      </c>
      <c r="BD746" s="4"/>
      <c r="BE746" s="4"/>
      <c r="BF746" s="4" t="s">
        <v>3534</v>
      </c>
      <c r="BG746" s="4" t="s">
        <v>3534</v>
      </c>
      <c r="BH746" s="4" t="s">
        <v>3534</v>
      </c>
      <c r="BI746" s="4" t="str">
        <f t="shared" si="120"/>
        <v>-</v>
      </c>
      <c r="BJ746" s="19">
        <v>4</v>
      </c>
      <c r="BK746" s="19">
        <v>8</v>
      </c>
      <c r="BL746" s="16">
        <v>6</v>
      </c>
      <c r="BM746" s="45" t="s">
        <v>3534</v>
      </c>
      <c r="BN746" t="s">
        <v>3534</v>
      </c>
      <c r="BO746" t="str">
        <f t="shared" si="113"/>
        <v>-</v>
      </c>
      <c r="BP746" t="s">
        <v>3534</v>
      </c>
      <c r="BQ746">
        <v>144</v>
      </c>
      <c r="BR746">
        <f t="shared" si="114"/>
        <v>154</v>
      </c>
      <c r="BS746" t="s">
        <v>3534</v>
      </c>
    </row>
    <row r="747" spans="1:71" x14ac:dyDescent="0.4">
      <c r="A747" s="3">
        <v>744</v>
      </c>
      <c r="B747" s="3">
        <v>744</v>
      </c>
      <c r="C747" s="4" t="s">
        <v>806</v>
      </c>
      <c r="D747" s="4" t="str">
        <f t="shared" si="115"/>
        <v>J6609P</v>
      </c>
      <c r="E747" s="4" t="s">
        <v>806</v>
      </c>
      <c r="F747" s="4" t="s">
        <v>2024</v>
      </c>
      <c r="G747" s="5">
        <v>4521718139104</v>
      </c>
      <c r="H747" s="5"/>
      <c r="I747" s="5"/>
      <c r="J747" s="5">
        <v>1</v>
      </c>
      <c r="K747" s="5">
        <v>1</v>
      </c>
      <c r="L747" s="4">
        <v>430</v>
      </c>
      <c r="M747" s="4">
        <v>352</v>
      </c>
      <c r="N747" s="4">
        <v>225</v>
      </c>
      <c r="O747" s="6">
        <f t="shared" si="116"/>
        <v>0.36079545454545459</v>
      </c>
      <c r="P747" s="4" t="s">
        <v>2500</v>
      </c>
      <c r="Q747" s="4"/>
      <c r="R747" s="4"/>
      <c r="S747" s="4"/>
      <c r="T747" s="4"/>
      <c r="U747" s="4"/>
      <c r="V747" s="4"/>
      <c r="W747" s="4"/>
      <c r="X747" s="4"/>
      <c r="Y747" s="4">
        <v>355</v>
      </c>
      <c r="Z747" s="4">
        <f t="shared" si="117"/>
        <v>355</v>
      </c>
      <c r="AA747" s="4">
        <v>231</v>
      </c>
      <c r="AB747" s="4">
        <f t="shared" si="118"/>
        <v>231</v>
      </c>
      <c r="AC747" s="4"/>
      <c r="AD747" s="21">
        <f>ROUND(M747*AR747,0)</f>
        <v>361</v>
      </c>
      <c r="AE747" s="6">
        <f>1-AB747/AD747</f>
        <v>0.36011080332409973</v>
      </c>
      <c r="AF747" s="33">
        <v>0</v>
      </c>
      <c r="AG747" s="4">
        <f t="shared" si="119"/>
        <v>500</v>
      </c>
      <c r="AH747" s="33">
        <f t="shared" si="112"/>
        <v>513.33333333333326</v>
      </c>
      <c r="AI747" s="6">
        <f>1-AB747/AH747</f>
        <v>0.54999999999999993</v>
      </c>
      <c r="AJ747" s="7">
        <v>355</v>
      </c>
      <c r="AK747" s="6">
        <f>1-AB747/AJ747</f>
        <v>0.3492957746478873</v>
      </c>
      <c r="AL747" s="4">
        <f>AJ747-AB747</f>
        <v>124</v>
      </c>
      <c r="AM747" s="28"/>
      <c r="AN747" s="6"/>
      <c r="AO747" s="6"/>
      <c r="AP747" s="6">
        <f>Z747/L747</f>
        <v>0.82558139534883723</v>
      </c>
      <c r="AQ747" s="6">
        <f>AJ747/M747</f>
        <v>1.0085227272727273</v>
      </c>
      <c r="AR747" s="6">
        <f>AB747/N747</f>
        <v>1.0266666666666666</v>
      </c>
      <c r="AS747" s="4"/>
      <c r="AT747" s="4"/>
      <c r="AU747" s="4"/>
      <c r="AV747" s="4"/>
      <c r="AW747" s="4"/>
      <c r="AX747" s="4"/>
      <c r="AY747" s="4"/>
      <c r="AZ747" s="4"/>
      <c r="BA747" s="4"/>
      <c r="BB747" s="4">
        <v>0</v>
      </c>
      <c r="BC747" s="4" t="s">
        <v>4226</v>
      </c>
      <c r="BD747" s="4">
        <v>1</v>
      </c>
      <c r="BE747" s="4">
        <v>3</v>
      </c>
      <c r="BF747" s="4" t="s">
        <v>3638</v>
      </c>
      <c r="BG747" s="4">
        <v>1500</v>
      </c>
      <c r="BH747" s="4">
        <v>1500</v>
      </c>
      <c r="BI747" s="4">
        <f t="shared" si="120"/>
        <v>500</v>
      </c>
      <c r="BJ747" s="19">
        <v>4</v>
      </c>
      <c r="BK747" s="19">
        <v>8</v>
      </c>
      <c r="BL747" s="16">
        <v>6</v>
      </c>
      <c r="BM747" s="45" t="s">
        <v>3534</v>
      </c>
      <c r="BN747" t="s">
        <v>3534</v>
      </c>
      <c r="BO747" t="str">
        <f t="shared" si="113"/>
        <v>-</v>
      </c>
      <c r="BP747">
        <v>347</v>
      </c>
      <c r="BQ747">
        <v>347</v>
      </c>
      <c r="BR747">
        <f t="shared" si="114"/>
        <v>356.25333333333333</v>
      </c>
      <c r="BS747" t="s">
        <v>3098</v>
      </c>
    </row>
    <row r="748" spans="1:71" x14ac:dyDescent="0.4">
      <c r="A748" s="3">
        <v>745</v>
      </c>
      <c r="B748" s="3">
        <v>745</v>
      </c>
      <c r="C748" s="4" t="s">
        <v>807</v>
      </c>
      <c r="D748" s="4" t="str">
        <f t="shared" si="115"/>
        <v>J660TN</v>
      </c>
      <c r="E748" s="4" t="s">
        <v>807</v>
      </c>
      <c r="F748" s="4" t="s">
        <v>2025</v>
      </c>
      <c r="G748" s="5">
        <v>4521718217673</v>
      </c>
      <c r="H748" s="5"/>
      <c r="I748" s="5"/>
      <c r="J748" s="5">
        <v>1</v>
      </c>
      <c r="K748" s="5">
        <v>1</v>
      </c>
      <c r="L748" s="4">
        <v>540</v>
      </c>
      <c r="M748" s="4">
        <v>373</v>
      </c>
      <c r="N748" s="4">
        <v>242</v>
      </c>
      <c r="O748" s="6">
        <f t="shared" si="116"/>
        <v>0.3512064343163539</v>
      </c>
      <c r="P748" s="4" t="s">
        <v>2500</v>
      </c>
      <c r="Q748" s="4"/>
      <c r="R748" s="4"/>
      <c r="S748" s="4"/>
      <c r="T748" s="4"/>
      <c r="U748" s="4"/>
      <c r="V748" s="4"/>
      <c r="W748" s="4"/>
      <c r="X748" s="4"/>
      <c r="Y748" s="4">
        <v>373</v>
      </c>
      <c r="Z748" s="4">
        <f t="shared" si="117"/>
        <v>373</v>
      </c>
      <c r="AA748" s="4">
        <v>242</v>
      </c>
      <c r="AB748" s="4">
        <f t="shared" si="118"/>
        <v>242</v>
      </c>
      <c r="AC748" s="4"/>
      <c r="AD748" s="21">
        <f>ROUND(M748*AR748,0)</f>
        <v>373</v>
      </c>
      <c r="AE748" s="6">
        <f>1-AB748/AD748</f>
        <v>0.3512064343163539</v>
      </c>
      <c r="AF748" s="33">
        <v>0</v>
      </c>
      <c r="AG748" s="4" t="str">
        <f t="shared" si="119"/>
        <v>-</v>
      </c>
      <c r="AH748" s="33" t="e">
        <f t="shared" si="112"/>
        <v>#VALUE!</v>
      </c>
      <c r="AI748" s="6" t="e">
        <f>1-AB748/AH748</f>
        <v>#VALUE!</v>
      </c>
      <c r="AJ748" s="7">
        <f>ROUND(AB748/0.65,0)</f>
        <v>372</v>
      </c>
      <c r="AK748" s="6">
        <f>1-AB748/AJ748</f>
        <v>0.34946236559139787</v>
      </c>
      <c r="AL748" s="4">
        <f>AJ748-AB748</f>
        <v>130</v>
      </c>
      <c r="AM748" s="28"/>
      <c r="AN748" s="6"/>
      <c r="AO748" s="6"/>
      <c r="AP748" s="6">
        <f>Z748/L748</f>
        <v>0.69074074074074077</v>
      </c>
      <c r="AQ748" s="6">
        <f>AJ748/M748</f>
        <v>0.99731903485254692</v>
      </c>
      <c r="AR748" s="6">
        <f>AB748/N748</f>
        <v>1</v>
      </c>
      <c r="AS748" s="4"/>
      <c r="AT748" s="4"/>
      <c r="AU748" s="4"/>
      <c r="AV748" s="4"/>
      <c r="AW748" s="4"/>
      <c r="AX748" s="4"/>
      <c r="AY748" s="4"/>
      <c r="AZ748" s="4"/>
      <c r="BA748" s="4"/>
      <c r="BB748" s="4">
        <v>0</v>
      </c>
      <c r="BC748" s="4" t="s">
        <v>3534</v>
      </c>
      <c r="BD748" s="4"/>
      <c r="BE748" s="4"/>
      <c r="BF748" s="4" t="s">
        <v>3534</v>
      </c>
      <c r="BG748" s="4" t="s">
        <v>3534</v>
      </c>
      <c r="BH748" s="4" t="s">
        <v>3534</v>
      </c>
      <c r="BI748" s="4" t="str">
        <f t="shared" si="120"/>
        <v>-</v>
      </c>
      <c r="BJ748" s="19">
        <v>4</v>
      </c>
      <c r="BK748" s="19">
        <v>8</v>
      </c>
      <c r="BL748" s="16">
        <v>6</v>
      </c>
      <c r="BM748" s="45" t="s">
        <v>3534</v>
      </c>
      <c r="BN748" t="s">
        <v>3534</v>
      </c>
      <c r="BO748" t="str">
        <f t="shared" si="113"/>
        <v>-</v>
      </c>
      <c r="BP748" t="s">
        <v>3534</v>
      </c>
      <c r="BQ748">
        <v>373</v>
      </c>
      <c r="BR748">
        <f t="shared" si="114"/>
        <v>373</v>
      </c>
      <c r="BS748" t="s">
        <v>3534</v>
      </c>
    </row>
    <row r="749" spans="1:71" x14ac:dyDescent="0.4">
      <c r="A749" s="3">
        <v>746</v>
      </c>
      <c r="B749" s="3">
        <v>746</v>
      </c>
      <c r="C749" s="4" t="s">
        <v>808</v>
      </c>
      <c r="D749" s="4" t="str">
        <f t="shared" si="115"/>
        <v>J6613P</v>
      </c>
      <c r="E749" s="4" t="s">
        <v>808</v>
      </c>
      <c r="F749" s="4" t="s">
        <v>2026</v>
      </c>
      <c r="G749" s="5">
        <v>4521718139395</v>
      </c>
      <c r="H749" s="5"/>
      <c r="I749" s="5"/>
      <c r="J749" s="5">
        <v>1</v>
      </c>
      <c r="K749" s="5">
        <v>1</v>
      </c>
      <c r="L749" s="4">
        <v>140</v>
      </c>
      <c r="M749" s="4">
        <v>109</v>
      </c>
      <c r="N749" s="4">
        <v>72</v>
      </c>
      <c r="O749" s="6">
        <f t="shared" si="116"/>
        <v>0.33944954128440363</v>
      </c>
      <c r="P749" s="4" t="s">
        <v>2500</v>
      </c>
      <c r="Q749" s="4"/>
      <c r="R749" s="4"/>
      <c r="S749" s="4"/>
      <c r="T749" s="4"/>
      <c r="U749" s="4"/>
      <c r="V749" s="4"/>
      <c r="W749" s="4"/>
      <c r="X749" s="4"/>
      <c r="Y749" s="4">
        <v>119</v>
      </c>
      <c r="Z749" s="4">
        <f t="shared" si="117"/>
        <v>119</v>
      </c>
      <c r="AA749" s="4">
        <v>77</v>
      </c>
      <c r="AB749" s="4">
        <f t="shared" si="118"/>
        <v>77</v>
      </c>
      <c r="AC749" s="4"/>
      <c r="AD749" s="21">
        <f>ROUND(M749*AR749,0)</f>
        <v>117</v>
      </c>
      <c r="AE749" s="6">
        <f>1-AB749/AD749</f>
        <v>0.34188034188034189</v>
      </c>
      <c r="AF749" s="33">
        <v>0</v>
      </c>
      <c r="AG749" s="4">
        <f t="shared" si="119"/>
        <v>160</v>
      </c>
      <c r="AH749" s="33">
        <f t="shared" si="112"/>
        <v>171.11111111111111</v>
      </c>
      <c r="AI749" s="6">
        <f>1-AB749/AH749</f>
        <v>0.55000000000000004</v>
      </c>
      <c r="AJ749" s="7">
        <f>ROUND(AB749/0.65,0)</f>
        <v>118</v>
      </c>
      <c r="AK749" s="6">
        <f>1-AB749/AJ749</f>
        <v>0.34745762711864403</v>
      </c>
      <c r="AL749" s="4">
        <f>AJ749-AB749</f>
        <v>41</v>
      </c>
      <c r="AM749" s="28"/>
      <c r="AN749" s="6"/>
      <c r="AO749" s="6"/>
      <c r="AP749" s="6">
        <f>Z749/L749</f>
        <v>0.85</v>
      </c>
      <c r="AQ749" s="6">
        <f>AJ749/M749</f>
        <v>1.0825688073394495</v>
      </c>
      <c r="AR749" s="6">
        <f>AB749/N749</f>
        <v>1.0694444444444444</v>
      </c>
      <c r="AS749" s="4"/>
      <c r="AT749" s="4"/>
      <c r="AU749" s="4"/>
      <c r="AV749" s="4"/>
      <c r="AW749" s="4"/>
      <c r="AX749" s="4"/>
      <c r="AY749" s="4"/>
      <c r="AZ749" s="4"/>
      <c r="BA749" s="4"/>
      <c r="BB749" s="4">
        <v>0</v>
      </c>
      <c r="BC749" s="4" t="s">
        <v>4227</v>
      </c>
      <c r="BD749" s="4">
        <v>1</v>
      </c>
      <c r="BE749" s="4">
        <v>10</v>
      </c>
      <c r="BF749" s="4" t="s">
        <v>4228</v>
      </c>
      <c r="BG749" s="4">
        <v>1600</v>
      </c>
      <c r="BH749" s="4">
        <v>1600</v>
      </c>
      <c r="BI749" s="4">
        <f t="shared" si="120"/>
        <v>160</v>
      </c>
      <c r="BJ749" s="19">
        <v>4</v>
      </c>
      <c r="BK749" s="19">
        <v>8</v>
      </c>
      <c r="BL749" s="16">
        <v>6</v>
      </c>
      <c r="BM749" s="45" t="s">
        <v>3534</v>
      </c>
      <c r="BN749" t="s">
        <v>3534</v>
      </c>
      <c r="BO749" t="str">
        <f t="shared" si="113"/>
        <v>-</v>
      </c>
      <c r="BP749" t="s">
        <v>3534</v>
      </c>
      <c r="BQ749">
        <v>110</v>
      </c>
      <c r="BR749">
        <f t="shared" si="114"/>
        <v>117.63888888888889</v>
      </c>
      <c r="BS749" t="s">
        <v>3099</v>
      </c>
    </row>
    <row r="750" spans="1:71" x14ac:dyDescent="0.4">
      <c r="A750" s="3">
        <v>747</v>
      </c>
      <c r="B750" s="3">
        <v>747</v>
      </c>
      <c r="C750" s="4" t="s">
        <v>809</v>
      </c>
      <c r="D750" s="4" t="str">
        <f t="shared" si="115"/>
        <v>J6614P</v>
      </c>
      <c r="E750" s="4" t="s">
        <v>809</v>
      </c>
      <c r="F750" s="4" t="s">
        <v>2027</v>
      </c>
      <c r="G750" s="5">
        <v>4521718139678</v>
      </c>
      <c r="H750" s="5"/>
      <c r="I750" s="5"/>
      <c r="J750" s="5">
        <v>1</v>
      </c>
      <c r="K750" s="5">
        <v>1</v>
      </c>
      <c r="L750" s="4">
        <v>190</v>
      </c>
      <c r="M750" s="4">
        <v>123</v>
      </c>
      <c r="N750" s="4">
        <v>83</v>
      </c>
      <c r="O750" s="6">
        <f t="shared" si="116"/>
        <v>0.32520325203252032</v>
      </c>
      <c r="P750" s="4" t="s">
        <v>2500</v>
      </c>
      <c r="Q750" s="4"/>
      <c r="R750" s="4"/>
      <c r="S750" s="4"/>
      <c r="T750" s="4"/>
      <c r="U750" s="4"/>
      <c r="V750" s="4"/>
      <c r="W750" s="4"/>
      <c r="X750" s="4"/>
      <c r="Y750" s="4">
        <v>128</v>
      </c>
      <c r="Z750" s="4">
        <f t="shared" si="117"/>
        <v>128</v>
      </c>
      <c r="AA750" s="4">
        <v>83</v>
      </c>
      <c r="AB750" s="4">
        <f t="shared" si="118"/>
        <v>83</v>
      </c>
      <c r="AC750" s="4"/>
      <c r="AD750" s="21">
        <f>ROUND(M750*AR750,0)</f>
        <v>123</v>
      </c>
      <c r="AE750" s="6">
        <f>1-AB750/AD750</f>
        <v>0.32520325203252032</v>
      </c>
      <c r="AF750" s="33">
        <v>0</v>
      </c>
      <c r="AG750" s="4">
        <f t="shared" si="119"/>
        <v>179</v>
      </c>
      <c r="AH750" s="33">
        <f t="shared" si="112"/>
        <v>179</v>
      </c>
      <c r="AI750" s="6">
        <f>1-AB750/AH750</f>
        <v>0.53631284916201116</v>
      </c>
      <c r="AJ750" s="7">
        <f>ROUND(AB750/0.65,0)</f>
        <v>128</v>
      </c>
      <c r="AK750" s="6">
        <f>1-AB750/AJ750</f>
        <v>0.3515625</v>
      </c>
      <c r="AL750" s="4">
        <f>AJ750-AB750</f>
        <v>45</v>
      </c>
      <c r="AM750" s="28"/>
      <c r="AN750" s="6"/>
      <c r="AO750" s="6"/>
      <c r="AP750" s="6">
        <f>Z750/L750</f>
        <v>0.67368421052631577</v>
      </c>
      <c r="AQ750" s="6">
        <f>AJ750/M750</f>
        <v>1.0406504065040652</v>
      </c>
      <c r="AR750" s="6">
        <f>AB750/N750</f>
        <v>1</v>
      </c>
      <c r="AS750" s="4"/>
      <c r="AT750" s="4"/>
      <c r="AU750" s="4"/>
      <c r="AV750" s="4"/>
      <c r="AW750" s="4"/>
      <c r="AX750" s="4"/>
      <c r="AY750" s="4"/>
      <c r="AZ750" s="4"/>
      <c r="BA750" s="4"/>
      <c r="BB750" s="4">
        <v>0</v>
      </c>
      <c r="BC750" s="4" t="s">
        <v>4229</v>
      </c>
      <c r="BD750" s="4">
        <v>1</v>
      </c>
      <c r="BE750" s="4">
        <v>10</v>
      </c>
      <c r="BF750" s="4" t="s">
        <v>4230</v>
      </c>
      <c r="BG750" s="4">
        <v>1790</v>
      </c>
      <c r="BH750" s="4">
        <v>1790</v>
      </c>
      <c r="BI750" s="4">
        <f t="shared" si="120"/>
        <v>179</v>
      </c>
      <c r="BJ750" s="19">
        <v>4</v>
      </c>
      <c r="BK750" s="19">
        <v>8</v>
      </c>
      <c r="BL750" s="16">
        <v>6</v>
      </c>
      <c r="BM750" s="45" t="s">
        <v>3534</v>
      </c>
      <c r="BN750" t="s">
        <v>3534</v>
      </c>
      <c r="BO750" t="str">
        <f t="shared" si="113"/>
        <v>-</v>
      </c>
      <c r="BP750" t="s">
        <v>3534</v>
      </c>
      <c r="BQ750">
        <v>129</v>
      </c>
      <c r="BR750">
        <f t="shared" si="114"/>
        <v>129</v>
      </c>
      <c r="BS750" t="s">
        <v>3100</v>
      </c>
    </row>
    <row r="751" spans="1:71" x14ac:dyDescent="0.4">
      <c r="A751" s="3">
        <v>748</v>
      </c>
      <c r="B751" s="3">
        <v>748</v>
      </c>
      <c r="C751" s="4" t="s">
        <v>810</v>
      </c>
      <c r="D751" s="4" t="str">
        <f t="shared" si="115"/>
        <v>J6616P</v>
      </c>
      <c r="E751" s="4" t="s">
        <v>810</v>
      </c>
      <c r="F751" s="4" t="s">
        <v>2028</v>
      </c>
      <c r="G751" s="5">
        <v>4521718140933</v>
      </c>
      <c r="H751" s="5"/>
      <c r="I751" s="5"/>
      <c r="J751" s="5">
        <v>1</v>
      </c>
      <c r="K751" s="5">
        <v>1</v>
      </c>
      <c r="L751" s="4">
        <v>220</v>
      </c>
      <c r="M751" s="4">
        <v>166</v>
      </c>
      <c r="N751" s="4">
        <v>121</v>
      </c>
      <c r="O751" s="6">
        <f t="shared" si="116"/>
        <v>0.27108433734939763</v>
      </c>
      <c r="P751" s="4" t="s">
        <v>2500</v>
      </c>
      <c r="Q751" s="4"/>
      <c r="R751" s="4"/>
      <c r="S751" s="4"/>
      <c r="T751" s="4"/>
      <c r="U751" s="4"/>
      <c r="V751" s="4"/>
      <c r="W751" s="4"/>
      <c r="X751" s="4"/>
      <c r="Y751" s="4">
        <v>173</v>
      </c>
      <c r="Z751" s="4">
        <f t="shared" si="117"/>
        <v>173</v>
      </c>
      <c r="AA751" s="4">
        <v>121</v>
      </c>
      <c r="AB751" s="4">
        <f t="shared" si="118"/>
        <v>121</v>
      </c>
      <c r="AC751" s="4"/>
      <c r="AD751" s="21">
        <f>ROUND(M751*AR751,0)</f>
        <v>166</v>
      </c>
      <c r="AE751" s="6">
        <f>1-AB751/AD751</f>
        <v>0.27108433734939763</v>
      </c>
      <c r="AF751" s="33">
        <v>0</v>
      </c>
      <c r="AG751" s="4">
        <f t="shared" si="119"/>
        <v>750</v>
      </c>
      <c r="AH751" s="33">
        <f t="shared" si="112"/>
        <v>750</v>
      </c>
      <c r="AI751" s="6">
        <f>1-AB751/AH751</f>
        <v>0.83866666666666667</v>
      </c>
      <c r="AJ751" s="7">
        <v>173</v>
      </c>
      <c r="AK751" s="6">
        <f>1-AB751/AJ751</f>
        <v>0.30057803468208089</v>
      </c>
      <c r="AL751" s="4">
        <f>AJ751-AB751</f>
        <v>52</v>
      </c>
      <c r="AM751" s="28"/>
      <c r="AN751" s="6"/>
      <c r="AO751" s="6"/>
      <c r="AP751" s="6">
        <f>Z751/L751</f>
        <v>0.78636363636363638</v>
      </c>
      <c r="AQ751" s="6">
        <f>AJ751/M751</f>
        <v>1.0421686746987953</v>
      </c>
      <c r="AR751" s="6">
        <f>AB751/N751</f>
        <v>1</v>
      </c>
      <c r="AS751" s="4"/>
      <c r="AT751" s="4"/>
      <c r="AU751" s="4"/>
      <c r="AV751" s="4"/>
      <c r="AW751" s="4"/>
      <c r="AX751" s="4"/>
      <c r="AY751" s="4"/>
      <c r="AZ751" s="4"/>
      <c r="BA751" s="4"/>
      <c r="BB751" s="4">
        <v>0</v>
      </c>
      <c r="BC751" s="4" t="s">
        <v>4231</v>
      </c>
      <c r="BD751" s="4"/>
      <c r="BE751" s="4"/>
      <c r="BF751" s="4" t="s">
        <v>3874</v>
      </c>
      <c r="BG751" s="4">
        <v>750</v>
      </c>
      <c r="BH751" s="4">
        <v>750</v>
      </c>
      <c r="BI751" s="4">
        <f t="shared" si="120"/>
        <v>750</v>
      </c>
      <c r="BJ751" s="19">
        <v>4</v>
      </c>
      <c r="BK751" s="19">
        <v>8</v>
      </c>
      <c r="BL751" s="16">
        <v>6</v>
      </c>
      <c r="BM751" s="45" t="s">
        <v>3534</v>
      </c>
      <c r="BN751" t="s">
        <v>3534</v>
      </c>
      <c r="BO751" t="str">
        <f t="shared" si="113"/>
        <v>-</v>
      </c>
      <c r="BP751" t="s">
        <v>3534</v>
      </c>
      <c r="BQ751">
        <v>1050</v>
      </c>
      <c r="BR751">
        <f t="shared" si="114"/>
        <v>1050</v>
      </c>
      <c r="BS751" t="s">
        <v>3101</v>
      </c>
    </row>
    <row r="752" spans="1:71" x14ac:dyDescent="0.4">
      <c r="A752" s="3">
        <v>749</v>
      </c>
      <c r="B752" s="3">
        <v>749</v>
      </c>
      <c r="C752" s="4" t="s">
        <v>811</v>
      </c>
      <c r="D752" s="4" t="str">
        <f t="shared" si="115"/>
        <v>J6617P</v>
      </c>
      <c r="E752" s="4" t="s">
        <v>811</v>
      </c>
      <c r="F752" s="4" t="s">
        <v>2029</v>
      </c>
      <c r="G752" s="5">
        <v>4521718142012</v>
      </c>
      <c r="H752" s="5"/>
      <c r="I752" s="5"/>
      <c r="J752" s="5">
        <v>1</v>
      </c>
      <c r="K752" s="5">
        <v>1</v>
      </c>
      <c r="L752" s="4">
        <v>670</v>
      </c>
      <c r="M752" s="4">
        <v>406</v>
      </c>
      <c r="N752" s="4">
        <v>300</v>
      </c>
      <c r="O752" s="6">
        <f t="shared" si="116"/>
        <v>0.26108374384236455</v>
      </c>
      <c r="P752" s="4" t="s">
        <v>2500</v>
      </c>
      <c r="Q752" s="4"/>
      <c r="R752" s="4"/>
      <c r="S752" s="4"/>
      <c r="T752" s="4"/>
      <c r="U752" s="4"/>
      <c r="V752" s="4"/>
      <c r="W752" s="4"/>
      <c r="X752" s="4"/>
      <c r="Y752" s="4">
        <v>446</v>
      </c>
      <c r="Z752" s="4">
        <f t="shared" si="117"/>
        <v>446</v>
      </c>
      <c r="AA752" s="4">
        <v>312</v>
      </c>
      <c r="AB752" s="4">
        <f t="shared" si="118"/>
        <v>312</v>
      </c>
      <c r="AC752" s="4"/>
      <c r="AD752" s="21">
        <f>ROUND(M752*AR752,0)</f>
        <v>422</v>
      </c>
      <c r="AE752" s="6">
        <f>1-AB752/AD752</f>
        <v>0.26066350710900477</v>
      </c>
      <c r="AF752" s="33">
        <v>0.25</v>
      </c>
      <c r="AG752" s="4">
        <f t="shared" si="119"/>
        <v>670</v>
      </c>
      <c r="AH752" s="33">
        <f t="shared" si="112"/>
        <v>696.80000000000007</v>
      </c>
      <c r="AI752" s="6">
        <f>1-AB752/AH752</f>
        <v>0.55223880597014929</v>
      </c>
      <c r="AJ752" s="7">
        <v>446</v>
      </c>
      <c r="AK752" s="6">
        <f>1-AB752/AJ752</f>
        <v>0.30044843049327352</v>
      </c>
      <c r="AL752" s="4">
        <f>AJ752-AB752</f>
        <v>134</v>
      </c>
      <c r="AM752" s="28"/>
      <c r="AN752" s="6"/>
      <c r="AO752" s="6"/>
      <c r="AP752" s="6">
        <f>Z752/L752</f>
        <v>0.66567164179104477</v>
      </c>
      <c r="AQ752" s="6">
        <f>AJ752/M752</f>
        <v>1.0985221674876848</v>
      </c>
      <c r="AR752" s="6">
        <f>AB752/N752</f>
        <v>1.04</v>
      </c>
      <c r="AS752" s="4"/>
      <c r="AT752" s="4"/>
      <c r="AU752" s="4"/>
      <c r="AV752" s="4"/>
      <c r="AW752" s="4"/>
      <c r="AX752" s="4"/>
      <c r="AY752" s="4"/>
      <c r="AZ752" s="4"/>
      <c r="BA752" s="4"/>
      <c r="BB752" s="4">
        <v>0</v>
      </c>
      <c r="BC752" s="4" t="s">
        <v>4232</v>
      </c>
      <c r="BD752" s="4">
        <v>1</v>
      </c>
      <c r="BE752" s="4">
        <v>3</v>
      </c>
      <c r="BF752" s="4" t="s">
        <v>3638</v>
      </c>
      <c r="BG752" s="4">
        <v>2010</v>
      </c>
      <c r="BH752" s="4">
        <v>2010</v>
      </c>
      <c r="BI752" s="4">
        <f t="shared" si="120"/>
        <v>670</v>
      </c>
      <c r="BJ752" s="19">
        <v>4</v>
      </c>
      <c r="BK752" s="19">
        <v>8</v>
      </c>
      <c r="BL752" s="16">
        <v>6</v>
      </c>
      <c r="BM752" s="45" t="s">
        <v>3534</v>
      </c>
      <c r="BN752" t="s">
        <v>3534</v>
      </c>
      <c r="BO752" t="str">
        <f t="shared" si="113"/>
        <v>-</v>
      </c>
      <c r="BP752" t="s">
        <v>3534</v>
      </c>
      <c r="BQ752">
        <v>429</v>
      </c>
      <c r="BR752">
        <f t="shared" si="114"/>
        <v>446.16</v>
      </c>
      <c r="BS752" t="s">
        <v>3102</v>
      </c>
    </row>
    <row r="753" spans="1:71" x14ac:dyDescent="0.4">
      <c r="A753" s="3">
        <v>750</v>
      </c>
      <c r="B753" s="3">
        <v>750</v>
      </c>
      <c r="C753" s="4" t="s">
        <v>812</v>
      </c>
      <c r="D753" s="4" t="str">
        <f t="shared" si="115"/>
        <v>J6618P</v>
      </c>
      <c r="E753" s="4" t="s">
        <v>812</v>
      </c>
      <c r="F753" s="4" t="s">
        <v>2030</v>
      </c>
      <c r="G753" s="5">
        <v>4521718142029</v>
      </c>
      <c r="H753" s="5"/>
      <c r="I753" s="5"/>
      <c r="J753" s="5">
        <v>1</v>
      </c>
      <c r="K753" s="5">
        <v>1</v>
      </c>
      <c r="L753" s="4">
        <v>530</v>
      </c>
      <c r="M753" s="4">
        <v>323</v>
      </c>
      <c r="N753" s="4">
        <v>236</v>
      </c>
      <c r="O753" s="6">
        <f t="shared" si="116"/>
        <v>0.26934984520123839</v>
      </c>
      <c r="P753" s="4" t="s">
        <v>2500</v>
      </c>
      <c r="Q753" s="4"/>
      <c r="R753" s="4"/>
      <c r="S753" s="4"/>
      <c r="T753" s="4"/>
      <c r="U753" s="4"/>
      <c r="V753" s="4"/>
      <c r="W753" s="4"/>
      <c r="X753" s="4"/>
      <c r="Y753" s="4">
        <v>355</v>
      </c>
      <c r="Z753" s="4">
        <f t="shared" si="117"/>
        <v>355</v>
      </c>
      <c r="AA753" s="4">
        <v>249</v>
      </c>
      <c r="AB753" s="4">
        <f t="shared" si="118"/>
        <v>249</v>
      </c>
      <c r="AC753" s="4"/>
      <c r="AD753" s="21">
        <f>ROUND(M753*AR753,0)</f>
        <v>341</v>
      </c>
      <c r="AE753" s="6">
        <f>1-AB753/AD753</f>
        <v>0.26979472140762462</v>
      </c>
      <c r="AF753" s="33">
        <v>0</v>
      </c>
      <c r="AG753" s="4" t="str">
        <f t="shared" si="119"/>
        <v>-</v>
      </c>
      <c r="AH753" s="33" t="e">
        <f t="shared" si="112"/>
        <v>#VALUE!</v>
      </c>
      <c r="AI753" s="6" t="e">
        <f>1-AB753/AH753</f>
        <v>#VALUE!</v>
      </c>
      <c r="AJ753" s="7">
        <v>355</v>
      </c>
      <c r="AK753" s="6">
        <f>1-AB753/AJ753</f>
        <v>0.29859154929577469</v>
      </c>
      <c r="AL753" s="4">
        <f>AJ753-AB753</f>
        <v>106</v>
      </c>
      <c r="AM753" s="28"/>
      <c r="AN753" s="6"/>
      <c r="AO753" s="6"/>
      <c r="AP753" s="6">
        <f>Z753/L753</f>
        <v>0.66981132075471694</v>
      </c>
      <c r="AQ753" s="6">
        <f>AJ753/M753</f>
        <v>1.0990712074303406</v>
      </c>
      <c r="AR753" s="6">
        <f>AB753/N753</f>
        <v>1.0550847457627119</v>
      </c>
      <c r="AS753" s="4"/>
      <c r="AT753" s="4"/>
      <c r="AU753" s="4"/>
      <c r="AV753" s="4"/>
      <c r="AW753" s="4"/>
      <c r="AX753" s="4"/>
      <c r="AY753" s="4"/>
      <c r="AZ753" s="4"/>
      <c r="BA753" s="4"/>
      <c r="BB753" s="4">
        <v>0</v>
      </c>
      <c r="BC753" s="4" t="s">
        <v>3534</v>
      </c>
      <c r="BD753" s="4"/>
      <c r="BE753" s="4"/>
      <c r="BF753" s="4" t="s">
        <v>3534</v>
      </c>
      <c r="BG753" s="4" t="s">
        <v>3534</v>
      </c>
      <c r="BH753" s="4" t="s">
        <v>3534</v>
      </c>
      <c r="BI753" s="4" t="str">
        <f t="shared" si="120"/>
        <v>-</v>
      </c>
      <c r="BJ753" s="19">
        <v>4</v>
      </c>
      <c r="BK753" s="19">
        <v>8</v>
      </c>
      <c r="BL753" s="16">
        <v>6</v>
      </c>
      <c r="BM753" s="45" t="s">
        <v>3534</v>
      </c>
      <c r="BN753" t="s">
        <v>3534</v>
      </c>
      <c r="BO753" t="str">
        <f t="shared" si="113"/>
        <v>-</v>
      </c>
      <c r="BP753" t="s">
        <v>3534</v>
      </c>
      <c r="BQ753">
        <v>338</v>
      </c>
      <c r="BR753">
        <f t="shared" si="114"/>
        <v>356.61864406779665</v>
      </c>
      <c r="BS753" t="s">
        <v>3534</v>
      </c>
    </row>
    <row r="754" spans="1:71" x14ac:dyDescent="0.4">
      <c r="A754" s="3">
        <v>751</v>
      </c>
      <c r="B754" s="3">
        <v>751</v>
      </c>
      <c r="C754" s="4" t="s">
        <v>813</v>
      </c>
      <c r="D754" s="4" t="str">
        <f t="shared" si="115"/>
        <v>J6619P</v>
      </c>
      <c r="E754" s="4" t="s">
        <v>813</v>
      </c>
      <c r="F754" s="4" t="s">
        <v>2031</v>
      </c>
      <c r="G754" s="5">
        <v>4521718142036</v>
      </c>
      <c r="H754" s="5"/>
      <c r="I754" s="5"/>
      <c r="J754" s="5">
        <v>1</v>
      </c>
      <c r="K754" s="5">
        <v>1</v>
      </c>
      <c r="L754" s="4">
        <v>520</v>
      </c>
      <c r="M754" s="4">
        <v>316</v>
      </c>
      <c r="N754" s="4">
        <v>230</v>
      </c>
      <c r="O754" s="6">
        <f t="shared" si="116"/>
        <v>0.27215189873417722</v>
      </c>
      <c r="P754" s="4" t="s">
        <v>2500</v>
      </c>
      <c r="Q754" s="4"/>
      <c r="R754" s="4"/>
      <c r="S754" s="4"/>
      <c r="T754" s="4"/>
      <c r="U754" s="4"/>
      <c r="V754" s="4"/>
      <c r="W754" s="4"/>
      <c r="X754" s="4"/>
      <c r="Y754" s="4">
        <v>346</v>
      </c>
      <c r="Z754" s="4">
        <f t="shared" si="117"/>
        <v>346</v>
      </c>
      <c r="AA754" s="4">
        <v>242</v>
      </c>
      <c r="AB754" s="4">
        <f t="shared" si="118"/>
        <v>242</v>
      </c>
      <c r="AC754" s="4"/>
      <c r="AD754" s="21">
        <f>ROUND(M754*AR754,0)</f>
        <v>332</v>
      </c>
      <c r="AE754" s="6">
        <f>1-AB754/AD754</f>
        <v>0.27108433734939763</v>
      </c>
      <c r="AF754" s="33">
        <v>1.7500000000000002</v>
      </c>
      <c r="AG754" s="4">
        <f t="shared" si="119"/>
        <v>520</v>
      </c>
      <c r="AH754" s="33">
        <f t="shared" si="112"/>
        <v>547.13043478260863</v>
      </c>
      <c r="AI754" s="6">
        <f>1-AB754/AH754</f>
        <v>0.55769230769230771</v>
      </c>
      <c r="AJ754" s="7">
        <v>346</v>
      </c>
      <c r="AK754" s="6">
        <f>1-AB754/AJ754</f>
        <v>0.30057803468208089</v>
      </c>
      <c r="AL754" s="4">
        <f>AJ754-AB754</f>
        <v>104</v>
      </c>
      <c r="AM754" s="28"/>
      <c r="AN754" s="6"/>
      <c r="AO754" s="6"/>
      <c r="AP754" s="6">
        <f>Z754/L754</f>
        <v>0.66538461538461535</v>
      </c>
      <c r="AQ754" s="6">
        <f>AJ754/M754</f>
        <v>1.0949367088607596</v>
      </c>
      <c r="AR754" s="6">
        <f>AB754/N754</f>
        <v>1.0521739130434782</v>
      </c>
      <c r="AS754" s="4"/>
      <c r="AT754" s="4"/>
      <c r="AU754" s="4"/>
      <c r="AV754" s="4"/>
      <c r="AW754" s="4"/>
      <c r="AX754" s="4"/>
      <c r="AY754" s="4"/>
      <c r="AZ754" s="4"/>
      <c r="BA754" s="4"/>
      <c r="BB754" s="4">
        <v>0</v>
      </c>
      <c r="BC754" s="4" t="s">
        <v>4233</v>
      </c>
      <c r="BD754" s="4">
        <v>1</v>
      </c>
      <c r="BE754" s="4">
        <v>4</v>
      </c>
      <c r="BF754" s="4" t="s">
        <v>4014</v>
      </c>
      <c r="BG754" s="4">
        <v>2080</v>
      </c>
      <c r="BH754" s="4">
        <v>2080</v>
      </c>
      <c r="BI754" s="4">
        <f t="shared" si="120"/>
        <v>520</v>
      </c>
      <c r="BJ754" s="19">
        <v>4</v>
      </c>
      <c r="BK754" s="19">
        <v>8</v>
      </c>
      <c r="BL754" s="16">
        <v>6</v>
      </c>
      <c r="BM754" s="45" t="s">
        <v>3534</v>
      </c>
      <c r="BN754" t="s">
        <v>3534</v>
      </c>
      <c r="BO754" t="str">
        <f t="shared" si="113"/>
        <v>-</v>
      </c>
      <c r="BP754" t="s">
        <v>3534</v>
      </c>
      <c r="BQ754">
        <v>329</v>
      </c>
      <c r="BR754">
        <f t="shared" si="114"/>
        <v>346.16521739130434</v>
      </c>
      <c r="BS754" t="s">
        <v>3103</v>
      </c>
    </row>
    <row r="755" spans="1:71" x14ac:dyDescent="0.4">
      <c r="A755" s="42">
        <v>752</v>
      </c>
      <c r="B755" s="3">
        <v>752</v>
      </c>
      <c r="C755" s="4" t="s">
        <v>814</v>
      </c>
      <c r="D755" s="4" t="str">
        <f t="shared" si="115"/>
        <v>J660WG</v>
      </c>
      <c r="E755" s="4" t="s">
        <v>814</v>
      </c>
      <c r="F755" s="4" t="s">
        <v>2032</v>
      </c>
      <c r="G755" s="5">
        <v>4521718184258</v>
      </c>
      <c r="H755" s="5"/>
      <c r="I755" s="5"/>
      <c r="J755" s="5">
        <v>1</v>
      </c>
      <c r="K755" s="5">
        <v>1</v>
      </c>
      <c r="L755" s="4">
        <v>4090</v>
      </c>
      <c r="M755" s="4">
        <v>2860</v>
      </c>
      <c r="N755" s="4">
        <v>2127</v>
      </c>
      <c r="O755" s="6">
        <f t="shared" si="116"/>
        <v>0.25629370629370629</v>
      </c>
      <c r="P755" s="4" t="s">
        <v>2500</v>
      </c>
      <c r="Q755" s="4"/>
      <c r="R755" s="4"/>
      <c r="S755" s="4"/>
      <c r="T755" s="4"/>
      <c r="U755" s="4"/>
      <c r="V755" s="4"/>
      <c r="W755" s="4"/>
      <c r="X755" s="4"/>
      <c r="Y755" s="4">
        <v>3273</v>
      </c>
      <c r="Z755" s="4">
        <f t="shared" si="117"/>
        <v>3273</v>
      </c>
      <c r="AA755" s="4">
        <v>2291</v>
      </c>
      <c r="AB755" s="4">
        <f t="shared" si="118"/>
        <v>2291</v>
      </c>
      <c r="AC755" s="4"/>
      <c r="AD755" s="21">
        <f>ROUND(M755*AR755,0)</f>
        <v>3081</v>
      </c>
      <c r="AE755" s="6">
        <f>1-AB755/AD755</f>
        <v>0.25641025641025639</v>
      </c>
      <c r="AF755" s="33">
        <v>0</v>
      </c>
      <c r="AG755" s="4">
        <f t="shared" si="119"/>
        <v>4090</v>
      </c>
      <c r="AH755" s="33">
        <f t="shared" si="112"/>
        <v>4405.3549600376118</v>
      </c>
      <c r="AI755" s="6">
        <f>1-AB755/AH755</f>
        <v>0.47995110024449883</v>
      </c>
      <c r="AJ755" s="7">
        <v>3273</v>
      </c>
      <c r="AK755" s="6">
        <f>1-AB755/AJ755</f>
        <v>0.30003055300947146</v>
      </c>
      <c r="AL755" s="4">
        <f>AJ755-AB755</f>
        <v>982</v>
      </c>
      <c r="AM755" s="28"/>
      <c r="AN755" s="6"/>
      <c r="AO755" s="6"/>
      <c r="AP755" s="6">
        <f>Z755/L755</f>
        <v>0.80024449877750614</v>
      </c>
      <c r="AQ755" s="6">
        <f>AJ755/M755</f>
        <v>1.1444055944055944</v>
      </c>
      <c r="AR755" s="6">
        <f>AB755/N755</f>
        <v>1.0771039022096851</v>
      </c>
      <c r="AS755" s="4"/>
      <c r="AT755" s="4"/>
      <c r="AU755" s="4"/>
      <c r="AV755" s="4"/>
      <c r="AW755" s="4"/>
      <c r="AX755" s="4"/>
      <c r="AY755" s="4"/>
      <c r="AZ755" s="4"/>
      <c r="BA755" s="4"/>
      <c r="BB755" s="4">
        <v>0</v>
      </c>
      <c r="BC755" s="4" t="s">
        <v>4234</v>
      </c>
      <c r="BD755" s="4"/>
      <c r="BE755" s="4"/>
      <c r="BF755" s="4" t="s">
        <v>3538</v>
      </c>
      <c r="BG755" s="4">
        <v>4090</v>
      </c>
      <c r="BH755" s="4">
        <v>4090</v>
      </c>
      <c r="BI755" s="4">
        <f t="shared" si="120"/>
        <v>4090</v>
      </c>
      <c r="BJ755" s="19">
        <v>2</v>
      </c>
      <c r="BK755" s="19">
        <v>8</v>
      </c>
      <c r="BL755" s="16">
        <v>6</v>
      </c>
      <c r="BM755" s="45" t="s">
        <v>3534</v>
      </c>
      <c r="BN755" t="s">
        <v>3534</v>
      </c>
      <c r="BO755" t="str">
        <f t="shared" si="113"/>
        <v>-</v>
      </c>
      <c r="BP755" t="s">
        <v>3534</v>
      </c>
      <c r="BQ755">
        <v>3886</v>
      </c>
      <c r="BR755">
        <f t="shared" si="114"/>
        <v>4185.6257639868363</v>
      </c>
      <c r="BS755" t="s">
        <v>3104</v>
      </c>
    </row>
    <row r="756" spans="1:71" x14ac:dyDescent="0.4">
      <c r="A756" s="3">
        <v>753</v>
      </c>
      <c r="B756" s="3">
        <v>753</v>
      </c>
      <c r="C756" s="4" t="s">
        <v>815</v>
      </c>
      <c r="D756" s="4" t="str">
        <f t="shared" si="115"/>
        <v>J661TN</v>
      </c>
      <c r="E756" s="4" t="s">
        <v>815</v>
      </c>
      <c r="F756" s="4" t="s">
        <v>2033</v>
      </c>
      <c r="G756" s="5">
        <v>4521718218137</v>
      </c>
      <c r="H756" s="5"/>
      <c r="I756" s="5"/>
      <c r="J756" s="5">
        <v>1</v>
      </c>
      <c r="K756" s="5">
        <v>1</v>
      </c>
      <c r="L756" s="4">
        <v>750</v>
      </c>
      <c r="M756" s="4">
        <v>482</v>
      </c>
      <c r="N756" s="4">
        <v>337</v>
      </c>
      <c r="O756" s="6">
        <f t="shared" si="116"/>
        <v>0.30082987551867224</v>
      </c>
      <c r="P756" s="4" t="s">
        <v>2500</v>
      </c>
      <c r="Q756" s="4"/>
      <c r="R756" s="4"/>
      <c r="S756" s="4"/>
      <c r="T756" s="4"/>
      <c r="U756" s="4"/>
      <c r="V756" s="4"/>
      <c r="W756" s="4"/>
      <c r="X756" s="4"/>
      <c r="Y756" s="4">
        <v>519</v>
      </c>
      <c r="Z756" s="4">
        <f t="shared" si="117"/>
        <v>519</v>
      </c>
      <c r="AA756" s="4">
        <v>363</v>
      </c>
      <c r="AB756" s="4">
        <f t="shared" si="118"/>
        <v>363</v>
      </c>
      <c r="AC756" s="4"/>
      <c r="AD756" s="21">
        <f>ROUND(M756*AR756,0)</f>
        <v>519</v>
      </c>
      <c r="AE756" s="6">
        <f>1-AB756/AD756</f>
        <v>0.30057803468208089</v>
      </c>
      <c r="AF756" s="33">
        <v>0</v>
      </c>
      <c r="AG756" s="4" t="str">
        <f t="shared" si="119"/>
        <v>-</v>
      </c>
      <c r="AH756" s="33" t="e">
        <f t="shared" si="112"/>
        <v>#VALUE!</v>
      </c>
      <c r="AI756" s="6" t="e">
        <f>1-AB756/AH756</f>
        <v>#VALUE!</v>
      </c>
      <c r="AJ756" s="7">
        <v>519</v>
      </c>
      <c r="AK756" s="6">
        <f>1-AB756/AJ756</f>
        <v>0.30057803468208089</v>
      </c>
      <c r="AL756" s="4">
        <f>AJ756-AB756</f>
        <v>156</v>
      </c>
      <c r="AM756" s="28"/>
      <c r="AN756" s="6"/>
      <c r="AO756" s="6"/>
      <c r="AP756" s="6">
        <f>Z756/L756</f>
        <v>0.69199999999999995</v>
      </c>
      <c r="AQ756" s="6">
        <f>AJ756/M756</f>
        <v>1.0767634854771784</v>
      </c>
      <c r="AR756" s="6">
        <f>AB756/N756</f>
        <v>1.0771513353115727</v>
      </c>
      <c r="AS756" s="4"/>
      <c r="AT756" s="4"/>
      <c r="AU756" s="4"/>
      <c r="AV756" s="4"/>
      <c r="AW756" s="4"/>
      <c r="AX756" s="4"/>
      <c r="AY756" s="4"/>
      <c r="AZ756" s="4"/>
      <c r="BA756" s="4"/>
      <c r="BB756" s="4">
        <v>0</v>
      </c>
      <c r="BC756" s="4" t="s">
        <v>3534</v>
      </c>
      <c r="BD756" s="4"/>
      <c r="BE756" s="4"/>
      <c r="BF756" s="4" t="s">
        <v>3534</v>
      </c>
      <c r="BG756" s="4" t="s">
        <v>3534</v>
      </c>
      <c r="BH756" s="4" t="s">
        <v>3534</v>
      </c>
      <c r="BI756" s="4" t="str">
        <f t="shared" si="120"/>
        <v>-</v>
      </c>
      <c r="BJ756" s="19">
        <v>4</v>
      </c>
      <c r="BK756" s="19">
        <v>8</v>
      </c>
      <c r="BL756" s="16">
        <v>6</v>
      </c>
      <c r="BM756" s="45" t="s">
        <v>3534</v>
      </c>
      <c r="BN756" t="s">
        <v>3534</v>
      </c>
      <c r="BO756" t="str">
        <f t="shared" si="113"/>
        <v>-</v>
      </c>
      <c r="BP756" t="s">
        <v>3534</v>
      </c>
      <c r="BQ756">
        <v>482</v>
      </c>
      <c r="BR756">
        <f t="shared" si="114"/>
        <v>519.186943620178</v>
      </c>
      <c r="BS756" t="s">
        <v>3534</v>
      </c>
    </row>
    <row r="757" spans="1:71" x14ac:dyDescent="0.4">
      <c r="A757" s="42">
        <v>754</v>
      </c>
      <c r="B757" s="3">
        <v>754</v>
      </c>
      <c r="C757" s="4" t="s">
        <v>816</v>
      </c>
      <c r="D757" s="4" t="str">
        <f t="shared" si="115"/>
        <v>J661WG</v>
      </c>
      <c r="E757" s="4" t="s">
        <v>816</v>
      </c>
      <c r="F757" s="4" t="s">
        <v>2034</v>
      </c>
      <c r="G757" s="5">
        <v>4521718184265</v>
      </c>
      <c r="H757" s="5"/>
      <c r="I757" s="5"/>
      <c r="J757" s="5">
        <v>1</v>
      </c>
      <c r="K757" s="5">
        <v>1</v>
      </c>
      <c r="L757" s="4">
        <v>4090</v>
      </c>
      <c r="M757" s="4">
        <v>2860</v>
      </c>
      <c r="N757" s="4">
        <v>2127</v>
      </c>
      <c r="O757" s="6">
        <f t="shared" si="116"/>
        <v>0.25629370629370629</v>
      </c>
      <c r="P757" s="4" t="s">
        <v>2500</v>
      </c>
      <c r="Q757" s="4"/>
      <c r="R757" s="4"/>
      <c r="S757" s="4"/>
      <c r="T757" s="4"/>
      <c r="U757" s="4"/>
      <c r="V757" s="4"/>
      <c r="W757" s="4"/>
      <c r="X757" s="4"/>
      <c r="Y757" s="4">
        <v>3273</v>
      </c>
      <c r="Z757" s="4">
        <f t="shared" si="117"/>
        <v>3273</v>
      </c>
      <c r="AA757" s="4">
        <v>2291</v>
      </c>
      <c r="AB757" s="4">
        <f t="shared" si="118"/>
        <v>2291</v>
      </c>
      <c r="AC757" s="4"/>
      <c r="AD757" s="21">
        <f>ROUND(M757*AR757,0)</f>
        <v>3081</v>
      </c>
      <c r="AE757" s="6">
        <f>1-AB757/AD757</f>
        <v>0.25641025641025639</v>
      </c>
      <c r="AF757" s="33">
        <v>0</v>
      </c>
      <c r="AG757" s="4">
        <f t="shared" si="119"/>
        <v>4090</v>
      </c>
      <c r="AH757" s="33">
        <f t="shared" si="112"/>
        <v>4405.3549600376118</v>
      </c>
      <c r="AI757" s="6">
        <f>1-AB757/AH757</f>
        <v>0.47995110024449883</v>
      </c>
      <c r="AJ757" s="7">
        <v>3273</v>
      </c>
      <c r="AK757" s="6">
        <f>1-AB757/AJ757</f>
        <v>0.30003055300947146</v>
      </c>
      <c r="AL757" s="4">
        <f>AJ757-AB757</f>
        <v>982</v>
      </c>
      <c r="AM757" s="28"/>
      <c r="AN757" s="6"/>
      <c r="AO757" s="6"/>
      <c r="AP757" s="6">
        <f>Z757/L757</f>
        <v>0.80024449877750614</v>
      </c>
      <c r="AQ757" s="6">
        <f>AJ757/M757</f>
        <v>1.1444055944055944</v>
      </c>
      <c r="AR757" s="6">
        <f>AB757/N757</f>
        <v>1.0771039022096851</v>
      </c>
      <c r="AS757" s="4"/>
      <c r="AT757" s="4"/>
      <c r="AU757" s="4"/>
      <c r="AV757" s="4"/>
      <c r="AW757" s="4"/>
      <c r="AX757" s="4"/>
      <c r="AY757" s="4"/>
      <c r="AZ757" s="4"/>
      <c r="BA757" s="4"/>
      <c r="BB757" s="4">
        <v>0</v>
      </c>
      <c r="BC757" s="4" t="s">
        <v>4235</v>
      </c>
      <c r="BD757" s="4"/>
      <c r="BE757" s="4"/>
      <c r="BF757" s="4" t="s">
        <v>3538</v>
      </c>
      <c r="BG757" s="4">
        <v>4090</v>
      </c>
      <c r="BH757" s="4">
        <v>4090</v>
      </c>
      <c r="BI757" s="4">
        <f t="shared" si="120"/>
        <v>4090</v>
      </c>
      <c r="BJ757" s="19">
        <v>2</v>
      </c>
      <c r="BK757" s="19">
        <v>8</v>
      </c>
      <c r="BL757" s="16">
        <v>6</v>
      </c>
      <c r="BM757" s="45" t="s">
        <v>3534</v>
      </c>
      <c r="BN757" t="s">
        <v>3534</v>
      </c>
      <c r="BO757" t="str">
        <f t="shared" si="113"/>
        <v>-</v>
      </c>
      <c r="BP757" t="s">
        <v>3534</v>
      </c>
      <c r="BQ757">
        <v>3886</v>
      </c>
      <c r="BR757">
        <f t="shared" si="114"/>
        <v>4185.6257639868363</v>
      </c>
      <c r="BS757" t="s">
        <v>3105</v>
      </c>
    </row>
    <row r="758" spans="1:71" x14ac:dyDescent="0.4">
      <c r="A758" s="3">
        <v>755</v>
      </c>
      <c r="B758" s="3">
        <v>755</v>
      </c>
      <c r="C758" s="4" t="s">
        <v>817</v>
      </c>
      <c r="D758" s="4" t="str">
        <f t="shared" si="115"/>
        <v>J6620P</v>
      </c>
      <c r="E758" s="4" t="s">
        <v>817</v>
      </c>
      <c r="F758" s="4" t="s">
        <v>2035</v>
      </c>
      <c r="G758" s="5">
        <v>4521718200002</v>
      </c>
      <c r="H758" s="5"/>
      <c r="I758" s="5"/>
      <c r="J758" s="5">
        <v>1</v>
      </c>
      <c r="K758" s="5">
        <v>1</v>
      </c>
      <c r="L758" s="4">
        <v>90</v>
      </c>
      <c r="M758" s="4">
        <v>68</v>
      </c>
      <c r="N758" s="4">
        <v>47</v>
      </c>
      <c r="O758" s="6">
        <f t="shared" si="116"/>
        <v>0.30882352941176472</v>
      </c>
      <c r="P758" s="4" t="s">
        <v>2500</v>
      </c>
      <c r="Q758" s="4"/>
      <c r="R758" s="4"/>
      <c r="S758" s="4"/>
      <c r="T758" s="4"/>
      <c r="U758" s="4"/>
      <c r="V758" s="4"/>
      <c r="W758" s="4"/>
      <c r="X758" s="4"/>
      <c r="Y758" s="4">
        <v>73</v>
      </c>
      <c r="Z758" s="4">
        <f t="shared" si="117"/>
        <v>73</v>
      </c>
      <c r="AA758" s="4">
        <v>47</v>
      </c>
      <c r="AB758" s="4">
        <f t="shared" si="118"/>
        <v>47</v>
      </c>
      <c r="AC758" s="4"/>
      <c r="AD758" s="21">
        <f>ROUND(M758*AR758,0)</f>
        <v>68</v>
      </c>
      <c r="AE758" s="6">
        <f>1-AB758/AD758</f>
        <v>0.30882352941176472</v>
      </c>
      <c r="AF758" s="33">
        <v>8.75</v>
      </c>
      <c r="AG758" s="4" t="str">
        <f t="shared" si="119"/>
        <v>-</v>
      </c>
      <c r="AH758" s="33" t="e">
        <f t="shared" si="112"/>
        <v>#VALUE!</v>
      </c>
      <c r="AI758" s="6" t="e">
        <f>1-AB758/AH758</f>
        <v>#VALUE!</v>
      </c>
      <c r="AJ758" s="7">
        <f>ROUND(AB758/0.65,0)</f>
        <v>72</v>
      </c>
      <c r="AK758" s="6">
        <f>1-AB758/AJ758</f>
        <v>0.34722222222222221</v>
      </c>
      <c r="AL758" s="4">
        <f>AJ758-AB758</f>
        <v>25</v>
      </c>
      <c r="AM758" s="28"/>
      <c r="AN758" s="6"/>
      <c r="AO758" s="6"/>
      <c r="AP758" s="6">
        <f>Z758/L758</f>
        <v>0.81111111111111112</v>
      </c>
      <c r="AQ758" s="6">
        <f>AJ758/M758</f>
        <v>1.0588235294117647</v>
      </c>
      <c r="AR758" s="6">
        <f>AB758/N758</f>
        <v>1</v>
      </c>
      <c r="AS758" s="4"/>
      <c r="AT758" s="4"/>
      <c r="AU758" s="4"/>
      <c r="AV758" s="4"/>
      <c r="AW758" s="4"/>
      <c r="AX758" s="4"/>
      <c r="AY758" s="4"/>
      <c r="AZ758" s="4"/>
      <c r="BA758" s="4"/>
      <c r="BB758" s="4">
        <v>0</v>
      </c>
      <c r="BC758" s="4" t="s">
        <v>3534</v>
      </c>
      <c r="BD758" s="4"/>
      <c r="BE758" s="4"/>
      <c r="BF758" s="4" t="s">
        <v>3534</v>
      </c>
      <c r="BG758" s="4" t="s">
        <v>3534</v>
      </c>
      <c r="BH758" s="4" t="s">
        <v>3534</v>
      </c>
      <c r="BI758" s="4" t="str">
        <f t="shared" si="120"/>
        <v>-</v>
      </c>
      <c r="BJ758" s="19">
        <v>4</v>
      </c>
      <c r="BK758" s="19">
        <v>8</v>
      </c>
      <c r="BL758" s="16">
        <v>6</v>
      </c>
      <c r="BM758" s="45" t="s">
        <v>3534</v>
      </c>
      <c r="BN758" t="s">
        <v>3534</v>
      </c>
      <c r="BO758" t="str">
        <f t="shared" si="113"/>
        <v>-</v>
      </c>
      <c r="BP758" t="s">
        <v>3534</v>
      </c>
      <c r="BQ758" t="s">
        <v>3534</v>
      </c>
      <c r="BR758" t="str">
        <f t="shared" si="114"/>
        <v>-</v>
      </c>
      <c r="BS758" t="s">
        <v>3534</v>
      </c>
    </row>
    <row r="759" spans="1:71" x14ac:dyDescent="0.4">
      <c r="A759" s="3">
        <v>756</v>
      </c>
      <c r="B759" s="3">
        <v>756</v>
      </c>
      <c r="C759" s="4" t="s">
        <v>818</v>
      </c>
      <c r="D759" s="4" t="str">
        <f t="shared" si="115"/>
        <v>J6621P</v>
      </c>
      <c r="E759" s="4" t="s">
        <v>818</v>
      </c>
      <c r="F759" s="4" t="s">
        <v>2036</v>
      </c>
      <c r="G759" s="5">
        <v>4521718200019</v>
      </c>
      <c r="H759" s="5"/>
      <c r="I759" s="5"/>
      <c r="J759" s="5">
        <v>1</v>
      </c>
      <c r="K759" s="5">
        <v>1</v>
      </c>
      <c r="L759" s="4">
        <v>100</v>
      </c>
      <c r="M759" s="4">
        <v>62</v>
      </c>
      <c r="N759" s="4">
        <v>42</v>
      </c>
      <c r="O759" s="6">
        <f t="shared" si="116"/>
        <v>0.32258064516129037</v>
      </c>
      <c r="P759" s="4" t="s">
        <v>2500</v>
      </c>
      <c r="Q759" s="4"/>
      <c r="R759" s="4"/>
      <c r="S759" s="4"/>
      <c r="T759" s="4"/>
      <c r="U759" s="4"/>
      <c r="V759" s="4"/>
      <c r="W759" s="4"/>
      <c r="X759" s="4"/>
      <c r="Y759" s="4">
        <v>64</v>
      </c>
      <c r="Z759" s="4">
        <f t="shared" si="117"/>
        <v>64</v>
      </c>
      <c r="AA759" s="4">
        <v>42</v>
      </c>
      <c r="AB759" s="4">
        <f t="shared" si="118"/>
        <v>42</v>
      </c>
      <c r="AC759" s="4"/>
      <c r="AD759" s="21">
        <f>ROUND(M759*AR759,0)</f>
        <v>62</v>
      </c>
      <c r="AE759" s="6">
        <f>1-AB759/AD759</f>
        <v>0.32258064516129037</v>
      </c>
      <c r="AF759" s="33">
        <v>0</v>
      </c>
      <c r="AG759" s="4">
        <f t="shared" si="119"/>
        <v>100</v>
      </c>
      <c r="AH759" s="33">
        <f t="shared" si="112"/>
        <v>100</v>
      </c>
      <c r="AI759" s="6">
        <f>1-AB759/AH759</f>
        <v>0.58000000000000007</v>
      </c>
      <c r="AJ759" s="7">
        <v>64</v>
      </c>
      <c r="AK759" s="6">
        <f>1-AB759/AJ759</f>
        <v>0.34375</v>
      </c>
      <c r="AL759" s="4">
        <f>AJ759-AB759</f>
        <v>22</v>
      </c>
      <c r="AM759" s="28"/>
      <c r="AN759" s="6"/>
      <c r="AO759" s="6"/>
      <c r="AP759" s="6">
        <f>Z759/L759</f>
        <v>0.64</v>
      </c>
      <c r="AQ759" s="6">
        <f>AJ759/M759</f>
        <v>1.032258064516129</v>
      </c>
      <c r="AR759" s="6">
        <f>AB759/N759</f>
        <v>1</v>
      </c>
      <c r="AS759" s="4"/>
      <c r="AT759" s="4"/>
      <c r="AU759" s="4"/>
      <c r="AV759" s="4"/>
      <c r="AW759" s="4"/>
      <c r="AX759" s="4"/>
      <c r="AY759" s="4"/>
      <c r="AZ759" s="4"/>
      <c r="BA759" s="4"/>
      <c r="BB759" s="4">
        <v>0</v>
      </c>
      <c r="BC759" s="4" t="s">
        <v>4236</v>
      </c>
      <c r="BD759" s="4">
        <v>1</v>
      </c>
      <c r="BE759" s="4">
        <v>20</v>
      </c>
      <c r="BF759" s="4" t="s">
        <v>4237</v>
      </c>
      <c r="BG759" s="4">
        <v>2000</v>
      </c>
      <c r="BH759" s="4">
        <v>2000</v>
      </c>
      <c r="BI759" s="4">
        <f t="shared" si="120"/>
        <v>100</v>
      </c>
      <c r="BJ759" s="19">
        <v>4</v>
      </c>
      <c r="BK759" s="19">
        <v>8</v>
      </c>
      <c r="BL759" s="16">
        <v>6</v>
      </c>
      <c r="BM759" s="45" t="s">
        <v>3534</v>
      </c>
      <c r="BN759" t="s">
        <v>3534</v>
      </c>
      <c r="BO759" t="str">
        <f t="shared" si="113"/>
        <v>-</v>
      </c>
      <c r="BP759" t="s">
        <v>3534</v>
      </c>
      <c r="BQ759" t="s">
        <v>3534</v>
      </c>
      <c r="BR759" t="str">
        <f t="shared" si="114"/>
        <v>-</v>
      </c>
      <c r="BS759" t="s">
        <v>3106</v>
      </c>
    </row>
    <row r="760" spans="1:71" x14ac:dyDescent="0.4">
      <c r="A760" s="3">
        <v>757</v>
      </c>
      <c r="B760" s="3">
        <v>757</v>
      </c>
      <c r="C760" s="4" t="s">
        <v>819</v>
      </c>
      <c r="D760" s="4" t="str">
        <f t="shared" si="115"/>
        <v>J6622P</v>
      </c>
      <c r="E760" s="4" t="s">
        <v>819</v>
      </c>
      <c r="F760" s="4" t="s">
        <v>2037</v>
      </c>
      <c r="G760" s="5">
        <v>4521718200101</v>
      </c>
      <c r="H760" s="5"/>
      <c r="I760" s="5"/>
      <c r="J760" s="5">
        <v>1</v>
      </c>
      <c r="K760" s="5">
        <v>1</v>
      </c>
      <c r="L760" s="4">
        <v>230</v>
      </c>
      <c r="M760" s="4">
        <v>155</v>
      </c>
      <c r="N760" s="4">
        <v>101</v>
      </c>
      <c r="O760" s="6">
        <f t="shared" si="116"/>
        <v>0.34838709677419355</v>
      </c>
      <c r="P760" s="4" t="s">
        <v>2500</v>
      </c>
      <c r="Q760" s="4"/>
      <c r="R760" s="4"/>
      <c r="S760" s="4"/>
      <c r="T760" s="4"/>
      <c r="U760" s="4"/>
      <c r="V760" s="4"/>
      <c r="W760" s="4"/>
      <c r="X760" s="4"/>
      <c r="Y760" s="4">
        <v>155</v>
      </c>
      <c r="Z760" s="4">
        <f t="shared" si="117"/>
        <v>155</v>
      </c>
      <c r="AA760" s="4">
        <v>101</v>
      </c>
      <c r="AB760" s="4">
        <f t="shared" si="118"/>
        <v>101</v>
      </c>
      <c r="AC760" s="4"/>
      <c r="AD760" s="21">
        <f>ROUND(M760*AR760,0)</f>
        <v>155</v>
      </c>
      <c r="AE760" s="6">
        <f>1-AB760/AD760</f>
        <v>0.34838709677419355</v>
      </c>
      <c r="AF760" s="33">
        <v>3</v>
      </c>
      <c r="AG760" s="4">
        <f t="shared" si="119"/>
        <v>230</v>
      </c>
      <c r="AH760" s="33">
        <f t="shared" si="112"/>
        <v>230</v>
      </c>
      <c r="AI760" s="6">
        <f>1-AB760/AH760</f>
        <v>0.56086956521739129</v>
      </c>
      <c r="AJ760" s="7">
        <v>155</v>
      </c>
      <c r="AK760" s="6">
        <f>1-AB760/AJ760</f>
        <v>0.34838709677419355</v>
      </c>
      <c r="AL760" s="4">
        <f>AJ760-AB760</f>
        <v>54</v>
      </c>
      <c r="AM760" s="28"/>
      <c r="AN760" s="6"/>
      <c r="AO760" s="6"/>
      <c r="AP760" s="6">
        <f>Z760/L760</f>
        <v>0.67391304347826086</v>
      </c>
      <c r="AQ760" s="6">
        <f>AJ760/M760</f>
        <v>1</v>
      </c>
      <c r="AR760" s="6">
        <f>AB760/N760</f>
        <v>1</v>
      </c>
      <c r="AS760" s="4"/>
      <c r="AT760" s="4"/>
      <c r="AU760" s="4"/>
      <c r="AV760" s="4"/>
      <c r="AW760" s="4"/>
      <c r="AX760" s="4"/>
      <c r="AY760" s="4"/>
      <c r="AZ760" s="4"/>
      <c r="BA760" s="4"/>
      <c r="BB760" s="4">
        <v>0</v>
      </c>
      <c r="BC760" s="4" t="s">
        <v>4238</v>
      </c>
      <c r="BD760" s="4">
        <v>1</v>
      </c>
      <c r="BE760" s="4">
        <v>5</v>
      </c>
      <c r="BF760" s="4" t="s">
        <v>4239</v>
      </c>
      <c r="BG760" s="4">
        <v>1150</v>
      </c>
      <c r="BH760" s="4">
        <v>1150</v>
      </c>
      <c r="BI760" s="4">
        <f t="shared" si="120"/>
        <v>230</v>
      </c>
      <c r="BJ760" s="19">
        <v>4</v>
      </c>
      <c r="BK760" s="19">
        <v>8</v>
      </c>
      <c r="BL760" s="16">
        <v>6</v>
      </c>
      <c r="BM760" s="45" t="s">
        <v>3534</v>
      </c>
      <c r="BN760" t="s">
        <v>3534</v>
      </c>
      <c r="BO760" t="str">
        <f t="shared" si="113"/>
        <v>-</v>
      </c>
      <c r="BP760" t="s">
        <v>3534</v>
      </c>
      <c r="BQ760" t="s">
        <v>3534</v>
      </c>
      <c r="BR760" t="str">
        <f t="shared" si="114"/>
        <v>-</v>
      </c>
      <c r="BS760" t="s">
        <v>3107</v>
      </c>
    </row>
    <row r="761" spans="1:71" x14ac:dyDescent="0.4">
      <c r="A761" s="3">
        <v>758</v>
      </c>
      <c r="B761" s="3">
        <v>758</v>
      </c>
      <c r="C761" s="4" t="s">
        <v>820</v>
      </c>
      <c r="D761" s="4" t="str">
        <f t="shared" si="115"/>
        <v>J6623P</v>
      </c>
      <c r="E761" s="4" t="s">
        <v>820</v>
      </c>
      <c r="F761" s="4" t="s">
        <v>2038</v>
      </c>
      <c r="G761" s="5">
        <v>4521718200118</v>
      </c>
      <c r="H761" s="5"/>
      <c r="I761" s="5"/>
      <c r="J761" s="5">
        <v>1</v>
      </c>
      <c r="K761" s="5">
        <v>1</v>
      </c>
      <c r="L761" s="4">
        <v>420</v>
      </c>
      <c r="M761" s="4">
        <v>297</v>
      </c>
      <c r="N761" s="4">
        <v>189</v>
      </c>
      <c r="O761" s="6">
        <f t="shared" si="116"/>
        <v>0.36363636363636365</v>
      </c>
      <c r="P761" s="4" t="s">
        <v>2500</v>
      </c>
      <c r="Q761" s="4"/>
      <c r="R761" s="4"/>
      <c r="S761" s="4"/>
      <c r="T761" s="4"/>
      <c r="U761" s="4"/>
      <c r="V761" s="4"/>
      <c r="W761" s="4"/>
      <c r="X761" s="4"/>
      <c r="Y761" s="4">
        <v>291</v>
      </c>
      <c r="Z761" s="4">
        <f t="shared" si="117"/>
        <v>291</v>
      </c>
      <c r="AA761" s="4">
        <v>189</v>
      </c>
      <c r="AB761" s="4">
        <f t="shared" si="118"/>
        <v>189</v>
      </c>
      <c r="AC761" s="4"/>
      <c r="AD761" s="21">
        <f>ROUND(M761*AR761,0)</f>
        <v>297</v>
      </c>
      <c r="AE761" s="6">
        <f>1-AB761/AD761</f>
        <v>0.36363636363636365</v>
      </c>
      <c r="AF761" s="33">
        <v>1.5</v>
      </c>
      <c r="AG761" s="4" t="str">
        <f t="shared" si="119"/>
        <v>-</v>
      </c>
      <c r="AH761" s="33" t="e">
        <f t="shared" si="112"/>
        <v>#VALUE!</v>
      </c>
      <c r="AI761" s="6" t="e">
        <f>1-AB761/AH761</f>
        <v>#VALUE!</v>
      </c>
      <c r="AJ761" s="7">
        <f>ROUND(AB761/0.65,0)</f>
        <v>291</v>
      </c>
      <c r="AK761" s="6">
        <f>1-AB761/AJ761</f>
        <v>0.35051546391752575</v>
      </c>
      <c r="AL761" s="4">
        <f>AJ761-AB761</f>
        <v>102</v>
      </c>
      <c r="AM761" s="28"/>
      <c r="AN761" s="6"/>
      <c r="AO761" s="6"/>
      <c r="AP761" s="6">
        <f>Z761/L761</f>
        <v>0.69285714285714284</v>
      </c>
      <c r="AQ761" s="6">
        <f>AJ761/M761</f>
        <v>0.97979797979797978</v>
      </c>
      <c r="AR761" s="6">
        <f>AB761/N761</f>
        <v>1</v>
      </c>
      <c r="AS761" s="4"/>
      <c r="AT761" s="4"/>
      <c r="AU761" s="4"/>
      <c r="AV761" s="4"/>
      <c r="AW761" s="4"/>
      <c r="AX761" s="4"/>
      <c r="AY761" s="4"/>
      <c r="AZ761" s="4"/>
      <c r="BA761" s="4"/>
      <c r="BB761" s="4">
        <v>0</v>
      </c>
      <c r="BC761" s="4" t="s">
        <v>3534</v>
      </c>
      <c r="BD761" s="4"/>
      <c r="BE761" s="4"/>
      <c r="BF761" s="4" t="s">
        <v>3534</v>
      </c>
      <c r="BG761" s="4" t="s">
        <v>3534</v>
      </c>
      <c r="BH761" s="4" t="s">
        <v>3534</v>
      </c>
      <c r="BI761" s="4" t="str">
        <f t="shared" si="120"/>
        <v>-</v>
      </c>
      <c r="BJ761" s="19">
        <v>4</v>
      </c>
      <c r="BK761" s="19">
        <v>8</v>
      </c>
      <c r="BL761" s="16">
        <v>6</v>
      </c>
      <c r="BM761" s="45" t="s">
        <v>3534</v>
      </c>
      <c r="BN761" t="s">
        <v>3534</v>
      </c>
      <c r="BO761" t="str">
        <f t="shared" si="113"/>
        <v>-</v>
      </c>
      <c r="BP761" t="s">
        <v>3534</v>
      </c>
      <c r="BQ761" t="s">
        <v>3534</v>
      </c>
      <c r="BR761" t="str">
        <f t="shared" si="114"/>
        <v>-</v>
      </c>
      <c r="BS761" t="s">
        <v>3534</v>
      </c>
    </row>
    <row r="762" spans="1:71" x14ac:dyDescent="0.4">
      <c r="A762" s="3">
        <v>759</v>
      </c>
      <c r="B762" s="3">
        <v>759</v>
      </c>
      <c r="C762" s="4" t="s">
        <v>821</v>
      </c>
      <c r="D762" s="4" t="str">
        <f t="shared" si="115"/>
        <v>J6624P</v>
      </c>
      <c r="E762" s="4" t="s">
        <v>821</v>
      </c>
      <c r="F762" s="4" t="s">
        <v>2039</v>
      </c>
      <c r="G762" s="5">
        <v>4521718200125</v>
      </c>
      <c r="H762" s="5"/>
      <c r="I762" s="5"/>
      <c r="J762" s="5">
        <v>1</v>
      </c>
      <c r="K762" s="5">
        <v>1</v>
      </c>
      <c r="L762" s="4">
        <v>310</v>
      </c>
      <c r="M762" s="4">
        <v>200</v>
      </c>
      <c r="N762" s="4">
        <v>137</v>
      </c>
      <c r="O762" s="6">
        <f t="shared" si="116"/>
        <v>0.31499999999999995</v>
      </c>
      <c r="P762" s="4" t="s">
        <v>2500</v>
      </c>
      <c r="Q762" s="4"/>
      <c r="R762" s="4"/>
      <c r="S762" s="4"/>
      <c r="T762" s="4"/>
      <c r="U762" s="4"/>
      <c r="V762" s="4"/>
      <c r="W762" s="4"/>
      <c r="X762" s="4"/>
      <c r="Y762" s="4">
        <v>219</v>
      </c>
      <c r="Z762" s="4">
        <f t="shared" si="117"/>
        <v>219</v>
      </c>
      <c r="AA762" s="4">
        <v>142</v>
      </c>
      <c r="AB762" s="4">
        <f t="shared" si="118"/>
        <v>142</v>
      </c>
      <c r="AC762" s="4"/>
      <c r="AD762" s="21">
        <f>ROUND(M762*AR762,0)</f>
        <v>207</v>
      </c>
      <c r="AE762" s="6">
        <f>1-AB762/AD762</f>
        <v>0.31400966183574874</v>
      </c>
      <c r="AF762" s="33">
        <v>1.7500000000000002</v>
      </c>
      <c r="AG762" s="4">
        <f t="shared" si="119"/>
        <v>310</v>
      </c>
      <c r="AH762" s="33">
        <f t="shared" si="112"/>
        <v>321.31386861313871</v>
      </c>
      <c r="AI762" s="6">
        <f>1-AB762/AH762</f>
        <v>0.5580645161290323</v>
      </c>
      <c r="AJ762" s="7">
        <f>ROUND(AB762/0.65,0)</f>
        <v>218</v>
      </c>
      <c r="AK762" s="6">
        <f>1-AB762/AJ762</f>
        <v>0.34862385321100919</v>
      </c>
      <c r="AL762" s="4">
        <f>AJ762-AB762</f>
        <v>76</v>
      </c>
      <c r="AM762" s="28"/>
      <c r="AN762" s="6"/>
      <c r="AO762" s="6"/>
      <c r="AP762" s="6">
        <f>Z762/L762</f>
        <v>0.70645161290322578</v>
      </c>
      <c r="AQ762" s="6">
        <f>AJ762/M762</f>
        <v>1.0900000000000001</v>
      </c>
      <c r="AR762" s="6">
        <f>AB762/N762</f>
        <v>1.0364963503649636</v>
      </c>
      <c r="AS762" s="4"/>
      <c r="AT762" s="4"/>
      <c r="AU762" s="4"/>
      <c r="AV762" s="4"/>
      <c r="AW762" s="4"/>
      <c r="AX762" s="4"/>
      <c r="AY762" s="4"/>
      <c r="AZ762" s="4"/>
      <c r="BA762" s="4"/>
      <c r="BB762" s="4">
        <v>0</v>
      </c>
      <c r="BC762" s="4" t="s">
        <v>4240</v>
      </c>
      <c r="BD762" s="4">
        <v>1</v>
      </c>
      <c r="BE762" s="4">
        <v>5</v>
      </c>
      <c r="BF762" s="4" t="s">
        <v>4239</v>
      </c>
      <c r="BG762" s="4">
        <v>1550</v>
      </c>
      <c r="BH762" s="4">
        <v>1550</v>
      </c>
      <c r="BI762" s="4">
        <f t="shared" si="120"/>
        <v>310</v>
      </c>
      <c r="BJ762" s="19">
        <v>4</v>
      </c>
      <c r="BK762" s="19">
        <v>8</v>
      </c>
      <c r="BL762" s="16">
        <v>6</v>
      </c>
      <c r="BM762" s="45" t="s">
        <v>3534</v>
      </c>
      <c r="BN762" t="s">
        <v>3534</v>
      </c>
      <c r="BO762" t="str">
        <f t="shared" si="113"/>
        <v>-</v>
      </c>
      <c r="BP762" t="s">
        <v>3534</v>
      </c>
      <c r="BQ762" t="s">
        <v>3534</v>
      </c>
      <c r="BR762" t="str">
        <f t="shared" si="114"/>
        <v>-</v>
      </c>
      <c r="BS762" t="s">
        <v>3108</v>
      </c>
    </row>
    <row r="763" spans="1:71" x14ac:dyDescent="0.4">
      <c r="A763" s="3">
        <v>760</v>
      </c>
      <c r="B763" s="3">
        <v>760</v>
      </c>
      <c r="C763" s="4" t="s">
        <v>822</v>
      </c>
      <c r="D763" s="4" t="str">
        <f t="shared" si="115"/>
        <v>J6625P</v>
      </c>
      <c r="E763" s="4" t="s">
        <v>822</v>
      </c>
      <c r="F763" s="4" t="s">
        <v>2040</v>
      </c>
      <c r="G763" s="5">
        <v>4521718200132</v>
      </c>
      <c r="H763" s="5"/>
      <c r="I763" s="5"/>
      <c r="J763" s="5">
        <v>1</v>
      </c>
      <c r="K763" s="5">
        <v>1</v>
      </c>
      <c r="L763" s="4">
        <v>650</v>
      </c>
      <c r="M763" s="4">
        <v>455</v>
      </c>
      <c r="N763" s="4">
        <v>290</v>
      </c>
      <c r="O763" s="6">
        <f t="shared" si="116"/>
        <v>0.36263736263736268</v>
      </c>
      <c r="P763" s="4" t="s">
        <v>2500</v>
      </c>
      <c r="Q763" s="4"/>
      <c r="R763" s="4"/>
      <c r="S763" s="4"/>
      <c r="T763" s="4"/>
      <c r="U763" s="4"/>
      <c r="V763" s="4"/>
      <c r="W763" s="4"/>
      <c r="X763" s="4"/>
      <c r="Y763" s="4">
        <v>455</v>
      </c>
      <c r="Z763" s="4">
        <f t="shared" si="117"/>
        <v>455</v>
      </c>
      <c r="AA763" s="4">
        <v>296</v>
      </c>
      <c r="AB763" s="4">
        <f t="shared" si="118"/>
        <v>296</v>
      </c>
      <c r="AC763" s="4"/>
      <c r="AD763" s="21">
        <f>ROUND(M763*AR763,0)</f>
        <v>464</v>
      </c>
      <c r="AE763" s="6">
        <f>1-AB763/AD763</f>
        <v>0.36206896551724133</v>
      </c>
      <c r="AF763" s="33">
        <v>0.5</v>
      </c>
      <c r="AG763" s="4">
        <f t="shared" si="119"/>
        <v>650</v>
      </c>
      <c r="AH763" s="33">
        <f t="shared" si="112"/>
        <v>663.44827586206895</v>
      </c>
      <c r="AI763" s="6">
        <f>1-AB763/AH763</f>
        <v>0.55384615384615388</v>
      </c>
      <c r="AJ763" s="7">
        <v>455</v>
      </c>
      <c r="AK763" s="6">
        <f>1-AB763/AJ763</f>
        <v>0.34945054945054943</v>
      </c>
      <c r="AL763" s="4">
        <f>AJ763-AB763</f>
        <v>159</v>
      </c>
      <c r="AM763" s="28"/>
      <c r="AN763" s="6"/>
      <c r="AO763" s="6"/>
      <c r="AP763" s="6">
        <f>Z763/L763</f>
        <v>0.7</v>
      </c>
      <c r="AQ763" s="6">
        <f>AJ763/M763</f>
        <v>1</v>
      </c>
      <c r="AR763" s="6">
        <f>AB763/N763</f>
        <v>1.0206896551724138</v>
      </c>
      <c r="AS763" s="4"/>
      <c r="AT763" s="4"/>
      <c r="AU763" s="4"/>
      <c r="AV763" s="4"/>
      <c r="AW763" s="4"/>
      <c r="AX763" s="4"/>
      <c r="AY763" s="4"/>
      <c r="AZ763" s="4"/>
      <c r="BA763" s="4"/>
      <c r="BB763" s="4">
        <v>0</v>
      </c>
      <c r="BC763" s="4" t="s">
        <v>4241</v>
      </c>
      <c r="BD763" s="4">
        <v>1</v>
      </c>
      <c r="BE763" s="4">
        <v>3</v>
      </c>
      <c r="BF763" s="4" t="s">
        <v>3636</v>
      </c>
      <c r="BG763" s="4">
        <v>1950</v>
      </c>
      <c r="BH763" s="4">
        <v>1950</v>
      </c>
      <c r="BI763" s="4">
        <f t="shared" si="120"/>
        <v>650</v>
      </c>
      <c r="BJ763" s="19">
        <v>4</v>
      </c>
      <c r="BK763" s="19">
        <v>8</v>
      </c>
      <c r="BL763" s="16">
        <v>6</v>
      </c>
      <c r="BM763" s="45" t="s">
        <v>3534</v>
      </c>
      <c r="BN763" t="s">
        <v>3534</v>
      </c>
      <c r="BO763" t="str">
        <f t="shared" si="113"/>
        <v>-</v>
      </c>
      <c r="BP763" t="s">
        <v>3534</v>
      </c>
      <c r="BQ763" t="s">
        <v>3534</v>
      </c>
      <c r="BR763" t="str">
        <f t="shared" si="114"/>
        <v>-</v>
      </c>
      <c r="BS763" t="s">
        <v>3109</v>
      </c>
    </row>
    <row r="764" spans="1:71" x14ac:dyDescent="0.4">
      <c r="A764" s="3">
        <v>761</v>
      </c>
      <c r="B764" s="3">
        <v>761</v>
      </c>
      <c r="C764" s="4" t="s">
        <v>823</v>
      </c>
      <c r="D764" s="4" t="str">
        <f t="shared" si="115"/>
        <v>J6626P</v>
      </c>
      <c r="E764" s="4" t="s">
        <v>823</v>
      </c>
      <c r="F764" s="4" t="s">
        <v>2041</v>
      </c>
      <c r="G764" s="5">
        <v>4521718200200</v>
      </c>
      <c r="H764" s="5"/>
      <c r="I764" s="5"/>
      <c r="J764" s="5">
        <v>1</v>
      </c>
      <c r="K764" s="5">
        <v>1</v>
      </c>
      <c r="L764" s="4">
        <v>300</v>
      </c>
      <c r="M764" s="4">
        <v>229</v>
      </c>
      <c r="N764" s="4">
        <v>154</v>
      </c>
      <c r="O764" s="6">
        <f t="shared" si="116"/>
        <v>0.32751091703056767</v>
      </c>
      <c r="P764" s="4" t="s">
        <v>2500</v>
      </c>
      <c r="Q764" s="4"/>
      <c r="R764" s="4"/>
      <c r="S764" s="4"/>
      <c r="T764" s="4"/>
      <c r="U764" s="4"/>
      <c r="V764" s="4"/>
      <c r="W764" s="4"/>
      <c r="X764" s="4"/>
      <c r="Y764" s="4">
        <v>246</v>
      </c>
      <c r="Z764" s="4">
        <f t="shared" si="117"/>
        <v>246</v>
      </c>
      <c r="AA764" s="4">
        <v>160</v>
      </c>
      <c r="AB764" s="4">
        <f t="shared" si="118"/>
        <v>160</v>
      </c>
      <c r="AC764" s="4"/>
      <c r="AD764" s="21">
        <f>ROUND(M764*AR764,0)</f>
        <v>238</v>
      </c>
      <c r="AE764" s="6">
        <f>1-AB764/AD764</f>
        <v>0.32773109243697474</v>
      </c>
      <c r="AF764" s="33">
        <v>4.75</v>
      </c>
      <c r="AG764" s="4" t="str">
        <f t="shared" si="119"/>
        <v>-</v>
      </c>
      <c r="AH764" s="33" t="e">
        <f t="shared" si="112"/>
        <v>#VALUE!</v>
      </c>
      <c r="AI764" s="6" t="e">
        <f>1-AB764/AH764</f>
        <v>#VALUE!</v>
      </c>
      <c r="AJ764" s="7">
        <v>246</v>
      </c>
      <c r="AK764" s="6">
        <f>1-AB764/AJ764</f>
        <v>0.34959349593495936</v>
      </c>
      <c r="AL764" s="4">
        <f>AJ764-AB764</f>
        <v>86</v>
      </c>
      <c r="AM764" s="28"/>
      <c r="AN764" s="6"/>
      <c r="AO764" s="6"/>
      <c r="AP764" s="6">
        <f>Z764/L764</f>
        <v>0.82</v>
      </c>
      <c r="AQ764" s="6">
        <f>AJ764/M764</f>
        <v>1.0742358078602621</v>
      </c>
      <c r="AR764" s="6">
        <f>AB764/N764</f>
        <v>1.0389610389610389</v>
      </c>
      <c r="AS764" s="4"/>
      <c r="AT764" s="4"/>
      <c r="AU764" s="4"/>
      <c r="AV764" s="4"/>
      <c r="AW764" s="4"/>
      <c r="AX764" s="4"/>
      <c r="AY764" s="4"/>
      <c r="AZ764" s="4"/>
      <c r="BA764" s="4"/>
      <c r="BB764" s="4">
        <v>0</v>
      </c>
      <c r="BC764" s="4" t="s">
        <v>3534</v>
      </c>
      <c r="BD764" s="4"/>
      <c r="BE764" s="4"/>
      <c r="BF764" s="4" t="s">
        <v>3534</v>
      </c>
      <c r="BG764" s="4" t="s">
        <v>3534</v>
      </c>
      <c r="BH764" s="4" t="s">
        <v>3534</v>
      </c>
      <c r="BI764" s="4" t="str">
        <f t="shared" si="120"/>
        <v>-</v>
      </c>
      <c r="BJ764" s="19">
        <v>4</v>
      </c>
      <c r="BK764" s="19">
        <v>8</v>
      </c>
      <c r="BL764" s="16">
        <v>6</v>
      </c>
      <c r="BM764" s="45" t="s">
        <v>3534</v>
      </c>
      <c r="BN764" t="s">
        <v>3534</v>
      </c>
      <c r="BO764" t="str">
        <f t="shared" si="113"/>
        <v>-</v>
      </c>
      <c r="BP764" t="s">
        <v>3534</v>
      </c>
      <c r="BQ764" t="s">
        <v>3534</v>
      </c>
      <c r="BR764" t="str">
        <f t="shared" si="114"/>
        <v>-</v>
      </c>
      <c r="BS764" t="s">
        <v>3534</v>
      </c>
    </row>
    <row r="765" spans="1:71" x14ac:dyDescent="0.4">
      <c r="A765" s="3">
        <v>762</v>
      </c>
      <c r="B765" s="3">
        <v>762</v>
      </c>
      <c r="C765" s="4" t="s">
        <v>824</v>
      </c>
      <c r="D765" s="4" t="str">
        <f t="shared" si="115"/>
        <v>J6627P</v>
      </c>
      <c r="E765" s="4" t="s">
        <v>824</v>
      </c>
      <c r="F765" s="4" t="s">
        <v>2042</v>
      </c>
      <c r="G765" s="5">
        <v>4521718200217</v>
      </c>
      <c r="H765" s="5"/>
      <c r="I765" s="5"/>
      <c r="J765" s="5">
        <v>1</v>
      </c>
      <c r="K765" s="5">
        <v>1</v>
      </c>
      <c r="L765" s="4">
        <v>610</v>
      </c>
      <c r="M765" s="4">
        <v>399</v>
      </c>
      <c r="N765" s="4">
        <v>272</v>
      </c>
      <c r="O765" s="6">
        <f t="shared" si="116"/>
        <v>0.31829573934837097</v>
      </c>
      <c r="P765" s="4" t="s">
        <v>2500</v>
      </c>
      <c r="Q765" s="4"/>
      <c r="R765" s="4"/>
      <c r="S765" s="4"/>
      <c r="T765" s="4"/>
      <c r="U765" s="4"/>
      <c r="V765" s="4"/>
      <c r="W765" s="4"/>
      <c r="X765" s="4"/>
      <c r="Y765" s="4">
        <v>437</v>
      </c>
      <c r="Z765" s="4">
        <f t="shared" si="117"/>
        <v>437</v>
      </c>
      <c r="AA765" s="4">
        <v>284</v>
      </c>
      <c r="AB765" s="4">
        <f t="shared" si="118"/>
        <v>284</v>
      </c>
      <c r="AC765" s="4"/>
      <c r="AD765" s="21">
        <f>ROUND(M765*AR765,0)</f>
        <v>417</v>
      </c>
      <c r="AE765" s="6">
        <f>1-AB765/AD765</f>
        <v>0.31894484412470026</v>
      </c>
      <c r="AF765" s="33">
        <v>0</v>
      </c>
      <c r="AG765" s="4" t="str">
        <f t="shared" si="119"/>
        <v>-</v>
      </c>
      <c r="AH765" s="33" t="e">
        <f t="shared" si="112"/>
        <v>#VALUE!</v>
      </c>
      <c r="AI765" s="6" t="e">
        <f>1-AB765/AH765</f>
        <v>#VALUE!</v>
      </c>
      <c r="AJ765" s="7">
        <f>ROUND(AB765/0.65,0)</f>
        <v>437</v>
      </c>
      <c r="AK765" s="6">
        <f>1-AB765/AJ765</f>
        <v>0.35011441647597252</v>
      </c>
      <c r="AL765" s="4">
        <f>AJ765-AB765</f>
        <v>153</v>
      </c>
      <c r="AM765" s="28"/>
      <c r="AN765" s="6"/>
      <c r="AO765" s="6"/>
      <c r="AP765" s="6">
        <f>Z765/L765</f>
        <v>0.71639344262295079</v>
      </c>
      <c r="AQ765" s="6">
        <f>AJ765/M765</f>
        <v>1.0952380952380953</v>
      </c>
      <c r="AR765" s="6">
        <f>AB765/N765</f>
        <v>1.0441176470588236</v>
      </c>
      <c r="AS765" s="4"/>
      <c r="AT765" s="4"/>
      <c r="AU765" s="4"/>
      <c r="AV765" s="4"/>
      <c r="AW765" s="4"/>
      <c r="AX765" s="4"/>
      <c r="AY765" s="4"/>
      <c r="AZ765" s="4"/>
      <c r="BA765" s="4"/>
      <c r="BB765" s="4">
        <v>0</v>
      </c>
      <c r="BC765" s="4" t="s">
        <v>3534</v>
      </c>
      <c r="BD765" s="4"/>
      <c r="BE765" s="4"/>
      <c r="BF765" s="4" t="s">
        <v>3534</v>
      </c>
      <c r="BG765" s="4" t="s">
        <v>3534</v>
      </c>
      <c r="BH765" s="4" t="s">
        <v>3534</v>
      </c>
      <c r="BI765" s="4" t="str">
        <f t="shared" si="120"/>
        <v>-</v>
      </c>
      <c r="BJ765" s="19">
        <v>4</v>
      </c>
      <c r="BK765" s="19">
        <v>8</v>
      </c>
      <c r="BL765" s="16">
        <v>6</v>
      </c>
      <c r="BM765" s="45" t="s">
        <v>3534</v>
      </c>
      <c r="BN765" t="s">
        <v>3534</v>
      </c>
      <c r="BO765" t="str">
        <f t="shared" si="113"/>
        <v>-</v>
      </c>
      <c r="BP765" t="s">
        <v>3534</v>
      </c>
      <c r="BQ765" t="s">
        <v>3534</v>
      </c>
      <c r="BR765" t="str">
        <f t="shared" si="114"/>
        <v>-</v>
      </c>
      <c r="BS765" t="s">
        <v>3534</v>
      </c>
    </row>
    <row r="766" spans="1:71" x14ac:dyDescent="0.4">
      <c r="A766" s="3">
        <v>763</v>
      </c>
      <c r="B766" s="3">
        <v>763</v>
      </c>
      <c r="C766" s="4" t="s">
        <v>825</v>
      </c>
      <c r="D766" s="4" t="str">
        <f t="shared" si="115"/>
        <v>J6628P</v>
      </c>
      <c r="E766" s="4" t="s">
        <v>825</v>
      </c>
      <c r="F766" s="4" t="s">
        <v>2043</v>
      </c>
      <c r="G766" s="5">
        <v>4521718200224</v>
      </c>
      <c r="H766" s="5"/>
      <c r="I766" s="5"/>
      <c r="J766" s="5">
        <v>1</v>
      </c>
      <c r="K766" s="5">
        <v>1</v>
      </c>
      <c r="L766" s="4">
        <v>480</v>
      </c>
      <c r="M766" s="4">
        <v>308</v>
      </c>
      <c r="N766" s="4">
        <v>213</v>
      </c>
      <c r="O766" s="6">
        <f t="shared" si="116"/>
        <v>0.30844155844155841</v>
      </c>
      <c r="P766" s="4" t="s">
        <v>2500</v>
      </c>
      <c r="Q766" s="4"/>
      <c r="R766" s="4"/>
      <c r="S766" s="4"/>
      <c r="T766" s="4"/>
      <c r="U766" s="4"/>
      <c r="V766" s="4"/>
      <c r="W766" s="4"/>
      <c r="X766" s="4"/>
      <c r="Y766" s="4">
        <v>337</v>
      </c>
      <c r="Z766" s="4">
        <f t="shared" si="117"/>
        <v>337</v>
      </c>
      <c r="AA766" s="4">
        <v>219</v>
      </c>
      <c r="AB766" s="4">
        <f t="shared" si="118"/>
        <v>219</v>
      </c>
      <c r="AC766" s="4"/>
      <c r="AD766" s="21">
        <f>ROUND(M766*AR766,0)</f>
        <v>317</v>
      </c>
      <c r="AE766" s="6">
        <f>1-AB766/AD766</f>
        <v>0.30914826498422709</v>
      </c>
      <c r="AF766" s="33">
        <v>1</v>
      </c>
      <c r="AG766" s="4">
        <f t="shared" si="119"/>
        <v>480</v>
      </c>
      <c r="AH766" s="33">
        <f t="shared" si="112"/>
        <v>493.52112676056333</v>
      </c>
      <c r="AI766" s="6">
        <f>1-AB766/AH766</f>
        <v>0.55624999999999991</v>
      </c>
      <c r="AJ766" s="7">
        <f>ROUND(AB766/0.65,0)</f>
        <v>337</v>
      </c>
      <c r="AK766" s="6">
        <f>1-AB766/AJ766</f>
        <v>0.35014836795252224</v>
      </c>
      <c r="AL766" s="4">
        <f>AJ766-AB766</f>
        <v>118</v>
      </c>
      <c r="AM766" s="28"/>
      <c r="AN766" s="6"/>
      <c r="AO766" s="6"/>
      <c r="AP766" s="6">
        <f>Z766/L766</f>
        <v>0.70208333333333328</v>
      </c>
      <c r="AQ766" s="6">
        <f>AJ766/M766</f>
        <v>1.0941558441558441</v>
      </c>
      <c r="AR766" s="6">
        <f>AB766/N766</f>
        <v>1.028169014084507</v>
      </c>
      <c r="AS766" s="4"/>
      <c r="AT766" s="4"/>
      <c r="AU766" s="4"/>
      <c r="AV766" s="4"/>
      <c r="AW766" s="4"/>
      <c r="AX766" s="4"/>
      <c r="AY766" s="4"/>
      <c r="AZ766" s="4"/>
      <c r="BA766" s="4"/>
      <c r="BB766" s="4">
        <v>0</v>
      </c>
      <c r="BC766" s="4" t="s">
        <v>4242</v>
      </c>
      <c r="BD766" s="4">
        <v>1</v>
      </c>
      <c r="BE766" s="4">
        <v>4</v>
      </c>
      <c r="BF766" s="4" t="s">
        <v>4243</v>
      </c>
      <c r="BG766" s="4">
        <v>1920</v>
      </c>
      <c r="BH766" s="4">
        <v>1920</v>
      </c>
      <c r="BI766" s="4">
        <f t="shared" si="120"/>
        <v>480</v>
      </c>
      <c r="BJ766" s="19">
        <v>4</v>
      </c>
      <c r="BK766" s="19">
        <v>8</v>
      </c>
      <c r="BL766" s="16">
        <v>6</v>
      </c>
      <c r="BM766" s="45" t="s">
        <v>3534</v>
      </c>
      <c r="BN766" t="s">
        <v>3534</v>
      </c>
      <c r="BO766" t="str">
        <f t="shared" si="113"/>
        <v>-</v>
      </c>
      <c r="BP766" t="s">
        <v>3534</v>
      </c>
      <c r="BQ766" t="s">
        <v>3534</v>
      </c>
      <c r="BR766" t="str">
        <f t="shared" si="114"/>
        <v>-</v>
      </c>
      <c r="BS766" t="s">
        <v>3110</v>
      </c>
    </row>
    <row r="767" spans="1:71" x14ac:dyDescent="0.4">
      <c r="A767" s="3">
        <v>764</v>
      </c>
      <c r="B767" s="3">
        <v>764</v>
      </c>
      <c r="C767" s="4" t="s">
        <v>826</v>
      </c>
      <c r="D767" s="4" t="str">
        <f t="shared" si="115"/>
        <v>J6629P</v>
      </c>
      <c r="E767" s="4" t="s">
        <v>826</v>
      </c>
      <c r="F767" s="4" t="s">
        <v>2044</v>
      </c>
      <c r="G767" s="5">
        <v>4521718200309</v>
      </c>
      <c r="H767" s="5"/>
      <c r="I767" s="5"/>
      <c r="J767" s="5">
        <v>1</v>
      </c>
      <c r="K767" s="5">
        <v>1</v>
      </c>
      <c r="L767" s="4">
        <v>240</v>
      </c>
      <c r="M767" s="4">
        <v>160</v>
      </c>
      <c r="N767" s="4">
        <v>107</v>
      </c>
      <c r="O767" s="6">
        <f t="shared" si="116"/>
        <v>0.33125000000000004</v>
      </c>
      <c r="P767" s="4" t="s">
        <v>2500</v>
      </c>
      <c r="Q767" s="4"/>
      <c r="R767" s="4"/>
      <c r="S767" s="4"/>
      <c r="T767" s="4"/>
      <c r="U767" s="4"/>
      <c r="V767" s="4"/>
      <c r="W767" s="4"/>
      <c r="X767" s="4"/>
      <c r="Y767" s="4">
        <v>164</v>
      </c>
      <c r="Z767" s="4">
        <f t="shared" si="117"/>
        <v>164</v>
      </c>
      <c r="AA767" s="4">
        <v>107</v>
      </c>
      <c r="AB767" s="4">
        <f t="shared" si="118"/>
        <v>107</v>
      </c>
      <c r="AC767" s="4"/>
      <c r="AD767" s="21">
        <f>ROUND(M767*AR767,0)</f>
        <v>160</v>
      </c>
      <c r="AE767" s="6">
        <f>1-AB767/AD767</f>
        <v>0.33125000000000004</v>
      </c>
      <c r="AF767" s="33">
        <v>0</v>
      </c>
      <c r="AG767" s="4">
        <f t="shared" si="119"/>
        <v>270</v>
      </c>
      <c r="AH767" s="33">
        <f t="shared" si="112"/>
        <v>270</v>
      </c>
      <c r="AI767" s="6">
        <f>1-AB767/AH767</f>
        <v>0.60370370370370363</v>
      </c>
      <c r="AJ767" s="7">
        <v>164</v>
      </c>
      <c r="AK767" s="6">
        <f>1-AB767/AJ767</f>
        <v>0.34756097560975607</v>
      </c>
      <c r="AL767" s="4">
        <f>AJ767-AB767</f>
        <v>57</v>
      </c>
      <c r="AM767" s="28"/>
      <c r="AN767" s="6"/>
      <c r="AO767" s="6"/>
      <c r="AP767" s="6">
        <f>Z767/L767</f>
        <v>0.68333333333333335</v>
      </c>
      <c r="AQ767" s="6">
        <f>AJ767/M767</f>
        <v>1.0249999999999999</v>
      </c>
      <c r="AR767" s="6">
        <f>AB767/N767</f>
        <v>1</v>
      </c>
      <c r="AS767" s="4"/>
      <c r="AT767" s="4"/>
      <c r="AU767" s="4"/>
      <c r="AV767" s="4"/>
      <c r="AW767" s="4"/>
      <c r="AX767" s="4"/>
      <c r="AY767" s="4"/>
      <c r="AZ767" s="4"/>
      <c r="BA767" s="4"/>
      <c r="BB767" s="4">
        <v>0</v>
      </c>
      <c r="BC767" s="4" t="s">
        <v>4244</v>
      </c>
      <c r="BD767" s="4">
        <v>1</v>
      </c>
      <c r="BE767" s="4">
        <v>5</v>
      </c>
      <c r="BF767" s="4" t="s">
        <v>4239</v>
      </c>
      <c r="BG767" s="4">
        <v>1350</v>
      </c>
      <c r="BH767" s="4">
        <v>1350</v>
      </c>
      <c r="BI767" s="4">
        <f t="shared" si="120"/>
        <v>270</v>
      </c>
      <c r="BJ767" s="19">
        <v>4</v>
      </c>
      <c r="BK767" s="19">
        <v>8</v>
      </c>
      <c r="BL767" s="16">
        <v>6</v>
      </c>
      <c r="BM767" s="45" t="s">
        <v>3534</v>
      </c>
      <c r="BN767" t="s">
        <v>3534</v>
      </c>
      <c r="BO767" t="str">
        <f t="shared" si="113"/>
        <v>-</v>
      </c>
      <c r="BP767" t="s">
        <v>3534</v>
      </c>
      <c r="BQ767" t="s">
        <v>3534</v>
      </c>
      <c r="BR767" t="str">
        <f t="shared" si="114"/>
        <v>-</v>
      </c>
      <c r="BS767" t="s">
        <v>3111</v>
      </c>
    </row>
    <row r="768" spans="1:71" x14ac:dyDescent="0.4">
      <c r="A768" s="3">
        <v>765</v>
      </c>
      <c r="B768" s="3">
        <v>765</v>
      </c>
      <c r="C768" s="4" t="s">
        <v>827</v>
      </c>
      <c r="D768" s="4" t="str">
        <f t="shared" si="115"/>
        <v>J6638P</v>
      </c>
      <c r="E768" s="4" t="s">
        <v>827</v>
      </c>
      <c r="F768" s="4" t="s">
        <v>2045</v>
      </c>
      <c r="G768" s="5">
        <v>4521718200828</v>
      </c>
      <c r="H768" s="5"/>
      <c r="I768" s="5"/>
      <c r="J768" s="5">
        <v>1</v>
      </c>
      <c r="K768" s="5">
        <v>1</v>
      </c>
      <c r="L768" s="4">
        <v>320</v>
      </c>
      <c r="M768" s="4">
        <v>243</v>
      </c>
      <c r="N768" s="4">
        <v>166</v>
      </c>
      <c r="O768" s="6">
        <f t="shared" si="116"/>
        <v>0.3168724279835391</v>
      </c>
      <c r="P768" s="4" t="s">
        <v>2500</v>
      </c>
      <c r="Q768" s="4"/>
      <c r="R768" s="4"/>
      <c r="S768" s="4"/>
      <c r="T768" s="4"/>
      <c r="U768" s="4"/>
      <c r="V768" s="4"/>
      <c r="W768" s="4"/>
      <c r="X768" s="4"/>
      <c r="Y768" s="4">
        <v>264</v>
      </c>
      <c r="Z768" s="4">
        <f t="shared" si="117"/>
        <v>264</v>
      </c>
      <c r="AA768" s="4">
        <v>172</v>
      </c>
      <c r="AB768" s="4">
        <f t="shared" si="118"/>
        <v>172</v>
      </c>
      <c r="AC768" s="4"/>
      <c r="AD768" s="21">
        <f>ROUND(M768*AR768,0)</f>
        <v>252</v>
      </c>
      <c r="AE768" s="6">
        <f>1-AB768/AD768</f>
        <v>0.31746031746031744</v>
      </c>
      <c r="AF768" s="33">
        <v>0</v>
      </c>
      <c r="AG768" s="4">
        <f t="shared" si="119"/>
        <v>370</v>
      </c>
      <c r="AH768" s="33">
        <f t="shared" si="112"/>
        <v>383.37349397590361</v>
      </c>
      <c r="AI768" s="6">
        <f>1-AB768/AH768</f>
        <v>0.55135135135135127</v>
      </c>
      <c r="AJ768" s="7">
        <v>264</v>
      </c>
      <c r="AK768" s="6">
        <f>1-AB768/AJ768</f>
        <v>0.34848484848484851</v>
      </c>
      <c r="AL768" s="4">
        <f>AJ768-AB768</f>
        <v>92</v>
      </c>
      <c r="AM768" s="28"/>
      <c r="AN768" s="6"/>
      <c r="AO768" s="6"/>
      <c r="AP768" s="6">
        <f>Z768/L768</f>
        <v>0.82499999999999996</v>
      </c>
      <c r="AQ768" s="6">
        <f>AJ768/M768</f>
        <v>1.0864197530864197</v>
      </c>
      <c r="AR768" s="6">
        <f>AB768/N768</f>
        <v>1.036144578313253</v>
      </c>
      <c r="AS768" s="4"/>
      <c r="AT768" s="4"/>
      <c r="AU768" s="4"/>
      <c r="AV768" s="4"/>
      <c r="AW768" s="4"/>
      <c r="AX768" s="4"/>
      <c r="AY768" s="4"/>
      <c r="AZ768" s="4"/>
      <c r="BA768" s="4"/>
      <c r="BB768" s="4">
        <v>0</v>
      </c>
      <c r="BC768" s="4" t="s">
        <v>4245</v>
      </c>
      <c r="BD768" s="4">
        <v>1</v>
      </c>
      <c r="BE768" s="4">
        <v>5</v>
      </c>
      <c r="BF768" s="4" t="s">
        <v>4239</v>
      </c>
      <c r="BG768" s="4">
        <v>1850</v>
      </c>
      <c r="BH768" s="4">
        <v>1850</v>
      </c>
      <c r="BI768" s="4">
        <f t="shared" si="120"/>
        <v>370</v>
      </c>
      <c r="BJ768" s="19">
        <v>4</v>
      </c>
      <c r="BK768" s="19">
        <v>8</v>
      </c>
      <c r="BL768" s="16">
        <v>6</v>
      </c>
      <c r="BM768" s="45" t="s">
        <v>3534</v>
      </c>
      <c r="BN768" t="s">
        <v>3534</v>
      </c>
      <c r="BO768" t="str">
        <f t="shared" si="113"/>
        <v>-</v>
      </c>
      <c r="BP768" t="s">
        <v>3534</v>
      </c>
      <c r="BQ768">
        <v>320</v>
      </c>
      <c r="BR768">
        <f t="shared" si="114"/>
        <v>331.56626506024099</v>
      </c>
      <c r="BS768" t="s">
        <v>3112</v>
      </c>
    </row>
    <row r="769" spans="1:71" x14ac:dyDescent="0.4">
      <c r="A769" s="3">
        <v>766</v>
      </c>
      <c r="B769" s="3">
        <v>766</v>
      </c>
      <c r="C769" s="4" t="s">
        <v>828</v>
      </c>
      <c r="D769" s="4" t="str">
        <f t="shared" si="115"/>
        <v>J662TN</v>
      </c>
      <c r="E769" s="4" t="s">
        <v>828</v>
      </c>
      <c r="F769" s="4" t="s">
        <v>2046</v>
      </c>
      <c r="G769" s="5">
        <v>4521718217574</v>
      </c>
      <c r="H769" s="5"/>
      <c r="I769" s="5"/>
      <c r="J769" s="5">
        <v>1</v>
      </c>
      <c r="K769" s="5">
        <v>1</v>
      </c>
      <c r="L769" s="4">
        <v>460</v>
      </c>
      <c r="M769" s="4">
        <v>319</v>
      </c>
      <c r="N769" s="4">
        <v>207</v>
      </c>
      <c r="O769" s="6">
        <f t="shared" si="116"/>
        <v>0.35109717868338552</v>
      </c>
      <c r="P769" s="4" t="s">
        <v>2500</v>
      </c>
      <c r="Q769" s="4"/>
      <c r="R769" s="4"/>
      <c r="S769" s="4"/>
      <c r="T769" s="4"/>
      <c r="U769" s="4"/>
      <c r="V769" s="4"/>
      <c r="W769" s="4"/>
      <c r="X769" s="4"/>
      <c r="Y769" s="4">
        <v>319</v>
      </c>
      <c r="Z769" s="4">
        <f t="shared" si="117"/>
        <v>319</v>
      </c>
      <c r="AA769" s="4">
        <v>207</v>
      </c>
      <c r="AB769" s="4">
        <f t="shared" si="118"/>
        <v>207</v>
      </c>
      <c r="AC769" s="4"/>
      <c r="AD769" s="21">
        <f>ROUND(M769*AR769,0)</f>
        <v>319</v>
      </c>
      <c r="AE769" s="6">
        <f>1-AB769/AD769</f>
        <v>0.35109717868338552</v>
      </c>
      <c r="AF769" s="33">
        <v>0</v>
      </c>
      <c r="AG769" s="4" t="str">
        <f t="shared" si="119"/>
        <v>-</v>
      </c>
      <c r="AH769" s="33" t="e">
        <f t="shared" si="112"/>
        <v>#VALUE!</v>
      </c>
      <c r="AI769" s="6" t="e">
        <f>1-AB769/AH769</f>
        <v>#VALUE!</v>
      </c>
      <c r="AJ769" s="7">
        <f>ROUND(AB769/0.65,0)</f>
        <v>318</v>
      </c>
      <c r="AK769" s="6">
        <f>1-AB769/AJ769</f>
        <v>0.34905660377358494</v>
      </c>
      <c r="AL769" s="4">
        <f>AJ769-AB769</f>
        <v>111</v>
      </c>
      <c r="AM769" s="28"/>
      <c r="AN769" s="6"/>
      <c r="AO769" s="6"/>
      <c r="AP769" s="6">
        <f>Z769/L769</f>
        <v>0.69347826086956521</v>
      </c>
      <c r="AQ769" s="6">
        <f>AJ769/M769</f>
        <v>0.99686520376175547</v>
      </c>
      <c r="AR769" s="6">
        <f>AB769/N769</f>
        <v>1</v>
      </c>
      <c r="AS769" s="4"/>
      <c r="AT769" s="4"/>
      <c r="AU769" s="4"/>
      <c r="AV769" s="4"/>
      <c r="AW769" s="4"/>
      <c r="AX769" s="4"/>
      <c r="AY769" s="4"/>
      <c r="AZ769" s="4"/>
      <c r="BA769" s="4"/>
      <c r="BB769" s="4">
        <v>0</v>
      </c>
      <c r="BC769" s="4" t="s">
        <v>3534</v>
      </c>
      <c r="BD769" s="4"/>
      <c r="BE769" s="4"/>
      <c r="BF769" s="4" t="s">
        <v>3534</v>
      </c>
      <c r="BG769" s="4" t="s">
        <v>3534</v>
      </c>
      <c r="BH769" s="4" t="s">
        <v>3534</v>
      </c>
      <c r="BI769" s="4" t="str">
        <f t="shared" si="120"/>
        <v>-</v>
      </c>
      <c r="BJ769" s="19">
        <v>4</v>
      </c>
      <c r="BK769" s="19">
        <v>8</v>
      </c>
      <c r="BL769" s="16">
        <v>6</v>
      </c>
      <c r="BM769" s="45" t="s">
        <v>3534</v>
      </c>
      <c r="BN769" t="s">
        <v>3534</v>
      </c>
      <c r="BO769" t="str">
        <f t="shared" si="113"/>
        <v>-</v>
      </c>
      <c r="BP769">
        <v>319</v>
      </c>
      <c r="BQ769">
        <v>319</v>
      </c>
      <c r="BR769">
        <f t="shared" si="114"/>
        <v>319</v>
      </c>
      <c r="BS769" t="s">
        <v>3534</v>
      </c>
    </row>
    <row r="770" spans="1:71" x14ac:dyDescent="0.4">
      <c r="A770" s="42">
        <v>767</v>
      </c>
      <c r="B770" s="3">
        <v>767</v>
      </c>
      <c r="C770" s="4" t="s">
        <v>829</v>
      </c>
      <c r="D770" s="4" t="str">
        <f t="shared" si="115"/>
        <v>J662WG</v>
      </c>
      <c r="E770" s="4" t="s">
        <v>829</v>
      </c>
      <c r="F770" s="4" t="s">
        <v>2047</v>
      </c>
      <c r="G770" s="5">
        <v>4521718184272</v>
      </c>
      <c r="H770" s="5"/>
      <c r="I770" s="5"/>
      <c r="J770" s="5">
        <v>1</v>
      </c>
      <c r="K770" s="5">
        <v>1</v>
      </c>
      <c r="L770" s="4">
        <v>4090</v>
      </c>
      <c r="M770" s="4">
        <v>2860</v>
      </c>
      <c r="N770" s="4">
        <v>2127</v>
      </c>
      <c r="O770" s="6">
        <f t="shared" si="116"/>
        <v>0.25629370629370629</v>
      </c>
      <c r="P770" s="4" t="s">
        <v>2500</v>
      </c>
      <c r="Q770" s="4"/>
      <c r="R770" s="4"/>
      <c r="S770" s="4"/>
      <c r="T770" s="4"/>
      <c r="U770" s="4"/>
      <c r="V770" s="4"/>
      <c r="W770" s="4"/>
      <c r="X770" s="4"/>
      <c r="Y770" s="4">
        <v>3273</v>
      </c>
      <c r="Z770" s="4">
        <f t="shared" si="117"/>
        <v>3273</v>
      </c>
      <c r="AA770" s="4">
        <v>2291</v>
      </c>
      <c r="AB770" s="4">
        <f t="shared" si="118"/>
        <v>2291</v>
      </c>
      <c r="AC770" s="4"/>
      <c r="AD770" s="21">
        <f>ROUND(M770*AR770,0)</f>
        <v>3081</v>
      </c>
      <c r="AE770" s="6">
        <f>1-AB770/AD770</f>
        <v>0.25641025641025639</v>
      </c>
      <c r="AF770" s="33">
        <v>0</v>
      </c>
      <c r="AG770" s="4">
        <f t="shared" si="119"/>
        <v>4090</v>
      </c>
      <c r="AH770" s="33">
        <f t="shared" si="112"/>
        <v>4405.3549600376118</v>
      </c>
      <c r="AI770" s="6">
        <f>1-AB770/AH770</f>
        <v>0.47995110024449883</v>
      </c>
      <c r="AJ770" s="7">
        <v>3273</v>
      </c>
      <c r="AK770" s="6">
        <f>1-AB770/AJ770</f>
        <v>0.30003055300947146</v>
      </c>
      <c r="AL770" s="4">
        <f>AJ770-AB770</f>
        <v>982</v>
      </c>
      <c r="AM770" s="28"/>
      <c r="AN770" s="6"/>
      <c r="AO770" s="6"/>
      <c r="AP770" s="6">
        <f>Z770/L770</f>
        <v>0.80024449877750614</v>
      </c>
      <c r="AQ770" s="6">
        <f>AJ770/M770</f>
        <v>1.1444055944055944</v>
      </c>
      <c r="AR770" s="6">
        <f>AB770/N770</f>
        <v>1.0771039022096851</v>
      </c>
      <c r="AS770" s="4"/>
      <c r="AT770" s="4"/>
      <c r="AU770" s="4"/>
      <c r="AV770" s="4"/>
      <c r="AW770" s="4"/>
      <c r="AX770" s="4"/>
      <c r="AY770" s="4"/>
      <c r="AZ770" s="4"/>
      <c r="BA770" s="4"/>
      <c r="BB770" s="4">
        <v>0</v>
      </c>
      <c r="BC770" s="4" t="s">
        <v>4246</v>
      </c>
      <c r="BD770" s="4"/>
      <c r="BE770" s="4"/>
      <c r="BF770" s="4" t="s">
        <v>3538</v>
      </c>
      <c r="BG770" s="4">
        <v>4090</v>
      </c>
      <c r="BH770" s="4">
        <v>4090</v>
      </c>
      <c r="BI770" s="4">
        <f t="shared" si="120"/>
        <v>4090</v>
      </c>
      <c r="BJ770" s="19">
        <v>2</v>
      </c>
      <c r="BK770" s="19">
        <v>8</v>
      </c>
      <c r="BL770" s="16">
        <v>6</v>
      </c>
      <c r="BM770" s="45" t="s">
        <v>3534</v>
      </c>
      <c r="BN770" t="s">
        <v>3534</v>
      </c>
      <c r="BO770" t="str">
        <f t="shared" si="113"/>
        <v>-</v>
      </c>
      <c r="BP770" t="s">
        <v>3534</v>
      </c>
      <c r="BQ770">
        <v>3886</v>
      </c>
      <c r="BR770">
        <f t="shared" si="114"/>
        <v>4185.6257639868363</v>
      </c>
      <c r="BS770" t="s">
        <v>3113</v>
      </c>
    </row>
    <row r="771" spans="1:71" x14ac:dyDescent="0.4">
      <c r="A771" s="3">
        <v>768</v>
      </c>
      <c r="B771" s="3">
        <v>768</v>
      </c>
      <c r="C771" s="4" t="s">
        <v>830</v>
      </c>
      <c r="D771" s="4" t="str">
        <f t="shared" si="115"/>
        <v>J6630P</v>
      </c>
      <c r="E771" s="4" t="s">
        <v>830</v>
      </c>
      <c r="F771" s="4" t="s">
        <v>2048</v>
      </c>
      <c r="G771" s="5">
        <v>4521718200316</v>
      </c>
      <c r="H771" s="5"/>
      <c r="I771" s="5"/>
      <c r="J771" s="5">
        <v>1</v>
      </c>
      <c r="K771" s="5">
        <v>1</v>
      </c>
      <c r="L771" s="4">
        <v>450</v>
      </c>
      <c r="M771" s="4">
        <v>296</v>
      </c>
      <c r="N771" s="4">
        <v>202</v>
      </c>
      <c r="O771" s="6">
        <f t="shared" si="116"/>
        <v>0.31756756756756754</v>
      </c>
      <c r="P771" s="4" t="s">
        <v>2500</v>
      </c>
      <c r="Q771" s="4"/>
      <c r="R771" s="4"/>
      <c r="S771" s="4"/>
      <c r="T771" s="4"/>
      <c r="U771" s="4"/>
      <c r="V771" s="4"/>
      <c r="W771" s="4"/>
      <c r="X771" s="4"/>
      <c r="Y771" s="4">
        <v>310</v>
      </c>
      <c r="Z771" s="4">
        <f t="shared" si="117"/>
        <v>310</v>
      </c>
      <c r="AA771" s="4">
        <v>202</v>
      </c>
      <c r="AB771" s="4">
        <f t="shared" si="118"/>
        <v>202</v>
      </c>
      <c r="AC771" s="4"/>
      <c r="AD771" s="21">
        <f>ROUND(M771*AR771,0)</f>
        <v>296</v>
      </c>
      <c r="AE771" s="6">
        <f>1-AB771/AD771</f>
        <v>0.31756756756756754</v>
      </c>
      <c r="AF771" s="33">
        <v>4</v>
      </c>
      <c r="AG771" s="4" t="str">
        <f t="shared" si="119"/>
        <v>-</v>
      </c>
      <c r="AH771" s="33" t="e">
        <f t="shared" si="112"/>
        <v>#VALUE!</v>
      </c>
      <c r="AI771" s="6" t="e">
        <f>1-AB771/AH771</f>
        <v>#VALUE!</v>
      </c>
      <c r="AJ771" s="7">
        <v>310</v>
      </c>
      <c r="AK771" s="6">
        <f>1-AB771/AJ771</f>
        <v>0.34838709677419355</v>
      </c>
      <c r="AL771" s="4">
        <f>AJ771-AB771</f>
        <v>108</v>
      </c>
      <c r="AM771" s="28"/>
      <c r="AN771" s="6"/>
      <c r="AO771" s="6"/>
      <c r="AP771" s="6">
        <f>Z771/L771</f>
        <v>0.68888888888888888</v>
      </c>
      <c r="AQ771" s="6">
        <f>AJ771/M771</f>
        <v>1.0472972972972974</v>
      </c>
      <c r="AR771" s="6">
        <f>AB771/N771</f>
        <v>1</v>
      </c>
      <c r="AS771" s="4"/>
      <c r="AT771" s="4"/>
      <c r="AU771" s="4"/>
      <c r="AV771" s="4"/>
      <c r="AW771" s="4"/>
      <c r="AX771" s="4"/>
      <c r="AY771" s="4"/>
      <c r="AZ771" s="4"/>
      <c r="BA771" s="4"/>
      <c r="BB771" s="4">
        <v>0</v>
      </c>
      <c r="BC771" s="4" t="s">
        <v>3534</v>
      </c>
      <c r="BD771" s="4"/>
      <c r="BE771" s="4"/>
      <c r="BF771" s="4" t="s">
        <v>3534</v>
      </c>
      <c r="BG771" s="4" t="s">
        <v>3534</v>
      </c>
      <c r="BH771" s="4" t="s">
        <v>3534</v>
      </c>
      <c r="BI771" s="4" t="str">
        <f t="shared" si="120"/>
        <v>-</v>
      </c>
      <c r="BJ771" s="19">
        <v>4</v>
      </c>
      <c r="BK771" s="19">
        <v>8</v>
      </c>
      <c r="BL771" s="16">
        <v>6</v>
      </c>
      <c r="BM771" s="45" t="s">
        <v>3534</v>
      </c>
      <c r="BN771" t="s">
        <v>3534</v>
      </c>
      <c r="BO771" t="str">
        <f t="shared" si="113"/>
        <v>-</v>
      </c>
      <c r="BP771" t="s">
        <v>3534</v>
      </c>
      <c r="BQ771" t="s">
        <v>3534</v>
      </c>
      <c r="BR771" t="str">
        <f t="shared" si="114"/>
        <v>-</v>
      </c>
      <c r="BS771" t="s">
        <v>3534</v>
      </c>
    </row>
    <row r="772" spans="1:71" x14ac:dyDescent="0.4">
      <c r="A772" s="3">
        <v>769</v>
      </c>
      <c r="B772" s="3">
        <v>769</v>
      </c>
      <c r="C772" s="4" t="s">
        <v>831</v>
      </c>
      <c r="D772" s="4" t="str">
        <f t="shared" si="115"/>
        <v>J6631P</v>
      </c>
      <c r="E772" s="4" t="s">
        <v>831</v>
      </c>
      <c r="F772" s="4" t="s">
        <v>2049</v>
      </c>
      <c r="G772" s="5">
        <v>4521718200323</v>
      </c>
      <c r="H772" s="5"/>
      <c r="I772" s="5"/>
      <c r="J772" s="5">
        <v>1</v>
      </c>
      <c r="K772" s="5">
        <v>1</v>
      </c>
      <c r="L772" s="4">
        <v>320</v>
      </c>
      <c r="M772" s="4">
        <v>205</v>
      </c>
      <c r="N772" s="4">
        <v>142</v>
      </c>
      <c r="O772" s="6">
        <f t="shared" si="116"/>
        <v>0.30731707317073176</v>
      </c>
      <c r="P772" s="4" t="s">
        <v>2500</v>
      </c>
      <c r="Q772" s="4"/>
      <c r="R772" s="4"/>
      <c r="S772" s="4"/>
      <c r="T772" s="4"/>
      <c r="U772" s="4"/>
      <c r="V772" s="4"/>
      <c r="W772" s="4"/>
      <c r="X772" s="4"/>
      <c r="Y772" s="4">
        <v>228</v>
      </c>
      <c r="Z772" s="4">
        <f t="shared" si="117"/>
        <v>228</v>
      </c>
      <c r="AA772" s="4">
        <v>148</v>
      </c>
      <c r="AB772" s="4">
        <f t="shared" si="118"/>
        <v>148</v>
      </c>
      <c r="AC772" s="4"/>
      <c r="AD772" s="21">
        <f>ROUND(M772*AR772,0)</f>
        <v>214</v>
      </c>
      <c r="AE772" s="6">
        <f>1-AB772/AD772</f>
        <v>0.30841121495327106</v>
      </c>
      <c r="AF772" s="33">
        <v>0</v>
      </c>
      <c r="AG772" s="4" t="str">
        <f t="shared" si="119"/>
        <v>-</v>
      </c>
      <c r="AH772" s="33" t="e">
        <f t="shared" ref="AH772:AH835" si="121">AG772*AR772</f>
        <v>#VALUE!</v>
      </c>
      <c r="AI772" s="6" t="e">
        <f>1-AB772/AH772</f>
        <v>#VALUE!</v>
      </c>
      <c r="AJ772" s="7">
        <f>ROUND(AB772/0.65,0)</f>
        <v>228</v>
      </c>
      <c r="AK772" s="6">
        <f>1-AB772/AJ772</f>
        <v>0.35087719298245612</v>
      </c>
      <c r="AL772" s="4">
        <f>AJ772-AB772</f>
        <v>80</v>
      </c>
      <c r="AM772" s="28"/>
      <c r="AN772" s="6"/>
      <c r="AO772" s="6"/>
      <c r="AP772" s="6">
        <f>Z772/L772</f>
        <v>0.71250000000000002</v>
      </c>
      <c r="AQ772" s="6">
        <f>AJ772/M772</f>
        <v>1.1121951219512196</v>
      </c>
      <c r="AR772" s="6">
        <f>AB772/N772</f>
        <v>1.0422535211267605</v>
      </c>
      <c r="AS772" s="4"/>
      <c r="AT772" s="4"/>
      <c r="AU772" s="4"/>
      <c r="AV772" s="4"/>
      <c r="AW772" s="4"/>
      <c r="AX772" s="4"/>
      <c r="AY772" s="4"/>
      <c r="AZ772" s="4"/>
      <c r="BA772" s="4"/>
      <c r="BB772" s="4">
        <v>0</v>
      </c>
      <c r="BC772" s="4" t="s">
        <v>3534</v>
      </c>
      <c r="BD772" s="4"/>
      <c r="BE772" s="4"/>
      <c r="BF772" s="4" t="s">
        <v>3534</v>
      </c>
      <c r="BG772" s="4" t="s">
        <v>3534</v>
      </c>
      <c r="BH772" s="4" t="s">
        <v>3534</v>
      </c>
      <c r="BI772" s="4" t="str">
        <f t="shared" si="120"/>
        <v>-</v>
      </c>
      <c r="BJ772" s="19">
        <v>4</v>
      </c>
      <c r="BK772" s="19">
        <v>8</v>
      </c>
      <c r="BL772" s="16">
        <v>6</v>
      </c>
      <c r="BM772" s="45" t="s">
        <v>3534</v>
      </c>
      <c r="BN772" t="s">
        <v>3534</v>
      </c>
      <c r="BO772" t="str">
        <f t="shared" si="113"/>
        <v>-</v>
      </c>
      <c r="BP772" t="s">
        <v>3534</v>
      </c>
      <c r="BQ772">
        <v>220</v>
      </c>
      <c r="BR772">
        <f t="shared" si="114"/>
        <v>229.2957746478873</v>
      </c>
      <c r="BS772" t="s">
        <v>3534</v>
      </c>
    </row>
    <row r="773" spans="1:71" x14ac:dyDescent="0.4">
      <c r="A773" s="3">
        <v>770</v>
      </c>
      <c r="B773" s="3">
        <v>770</v>
      </c>
      <c r="C773" s="4" t="s">
        <v>832</v>
      </c>
      <c r="D773" s="4" t="str">
        <f t="shared" si="115"/>
        <v>J6632P</v>
      </c>
      <c r="E773" s="4" t="s">
        <v>832</v>
      </c>
      <c r="F773" s="4" t="s">
        <v>2050</v>
      </c>
      <c r="G773" s="5">
        <v>4521718200330</v>
      </c>
      <c r="H773" s="5"/>
      <c r="I773" s="5"/>
      <c r="J773" s="5">
        <v>1</v>
      </c>
      <c r="K773" s="5">
        <v>1</v>
      </c>
      <c r="L773" s="4">
        <v>750</v>
      </c>
      <c r="M773" s="4">
        <v>490</v>
      </c>
      <c r="N773" s="4">
        <v>337</v>
      </c>
      <c r="O773" s="6">
        <f t="shared" si="116"/>
        <v>0.31224489795918364</v>
      </c>
      <c r="P773" s="4" t="s">
        <v>2500</v>
      </c>
      <c r="Q773" s="4"/>
      <c r="R773" s="4"/>
      <c r="S773" s="4"/>
      <c r="T773" s="4"/>
      <c r="U773" s="4"/>
      <c r="V773" s="4"/>
      <c r="W773" s="4"/>
      <c r="X773" s="4"/>
      <c r="Y773" s="4">
        <v>528</v>
      </c>
      <c r="Z773" s="4">
        <f t="shared" si="117"/>
        <v>528</v>
      </c>
      <c r="AA773" s="4">
        <v>343</v>
      </c>
      <c r="AB773" s="4">
        <f t="shared" si="118"/>
        <v>343</v>
      </c>
      <c r="AC773" s="4"/>
      <c r="AD773" s="21">
        <f>ROUND(M773*AR773,0)</f>
        <v>499</v>
      </c>
      <c r="AE773" s="6">
        <f>1-AB773/AD773</f>
        <v>0.31262525050100198</v>
      </c>
      <c r="AF773" s="33">
        <v>0</v>
      </c>
      <c r="AG773" s="4" t="str">
        <f t="shared" si="119"/>
        <v>-</v>
      </c>
      <c r="AH773" s="33" t="e">
        <f t="shared" si="121"/>
        <v>#VALUE!</v>
      </c>
      <c r="AI773" s="6" t="e">
        <f>1-AB773/AH773</f>
        <v>#VALUE!</v>
      </c>
      <c r="AJ773" s="7">
        <f>ROUND(AB773/0.65,0)</f>
        <v>528</v>
      </c>
      <c r="AK773" s="6">
        <f>1-AB773/AJ773</f>
        <v>0.35037878787878785</v>
      </c>
      <c r="AL773" s="4">
        <f>AJ773-AB773</f>
        <v>185</v>
      </c>
      <c r="AM773" s="28"/>
      <c r="AN773" s="6"/>
      <c r="AO773" s="6"/>
      <c r="AP773" s="6">
        <f>Z773/L773</f>
        <v>0.70399999999999996</v>
      </c>
      <c r="AQ773" s="6">
        <f>AJ773/M773</f>
        <v>1.0775510204081633</v>
      </c>
      <c r="AR773" s="6">
        <f>AB773/N773</f>
        <v>1.0178041543026706</v>
      </c>
      <c r="AS773" s="4"/>
      <c r="AT773" s="4"/>
      <c r="AU773" s="4"/>
      <c r="AV773" s="4"/>
      <c r="AW773" s="4"/>
      <c r="AX773" s="4"/>
      <c r="AY773" s="4"/>
      <c r="AZ773" s="4"/>
      <c r="BA773" s="4"/>
      <c r="BB773" s="4">
        <v>0</v>
      </c>
      <c r="BC773" s="4" t="s">
        <v>3534</v>
      </c>
      <c r="BD773" s="4"/>
      <c r="BE773" s="4"/>
      <c r="BF773" s="4" t="s">
        <v>3534</v>
      </c>
      <c r="BG773" s="4" t="s">
        <v>3534</v>
      </c>
      <c r="BH773" s="4" t="s">
        <v>3534</v>
      </c>
      <c r="BI773" s="4" t="str">
        <f t="shared" si="120"/>
        <v>-</v>
      </c>
      <c r="BJ773" s="19">
        <v>4</v>
      </c>
      <c r="BK773" s="19">
        <v>8</v>
      </c>
      <c r="BL773" s="16">
        <v>6</v>
      </c>
      <c r="BM773" s="45" t="s">
        <v>3534</v>
      </c>
      <c r="BN773" t="s">
        <v>3534</v>
      </c>
      <c r="BO773" t="str">
        <f t="shared" ref="BO773:BO836" si="122">IFERROR(BN773*AR773,"-")</f>
        <v>-</v>
      </c>
      <c r="BP773" t="s">
        <v>3534</v>
      </c>
      <c r="BQ773" t="s">
        <v>3534</v>
      </c>
      <c r="BR773" t="str">
        <f t="shared" ref="BR773:BR836" si="123">IFERROR(BQ773*AR773,"-")</f>
        <v>-</v>
      </c>
      <c r="BS773" t="s">
        <v>3534</v>
      </c>
    </row>
    <row r="774" spans="1:71" x14ac:dyDescent="0.4">
      <c r="A774" s="3">
        <v>771</v>
      </c>
      <c r="B774" s="3">
        <v>771</v>
      </c>
      <c r="C774" s="4" t="s">
        <v>833</v>
      </c>
      <c r="D774" s="4" t="str">
        <f t="shared" si="115"/>
        <v>J6633P</v>
      </c>
      <c r="E774" s="4" t="s">
        <v>833</v>
      </c>
      <c r="F774" s="4" t="s">
        <v>2051</v>
      </c>
      <c r="G774" s="5">
        <v>4521718200507</v>
      </c>
      <c r="H774" s="5"/>
      <c r="I774" s="5"/>
      <c r="J774" s="5">
        <v>1</v>
      </c>
      <c r="K774" s="5">
        <v>1</v>
      </c>
      <c r="L774" s="4">
        <v>370</v>
      </c>
      <c r="M774" s="4">
        <v>245</v>
      </c>
      <c r="N774" s="4">
        <v>166</v>
      </c>
      <c r="O774" s="6">
        <f t="shared" si="116"/>
        <v>0.32244897959183672</v>
      </c>
      <c r="P774" s="4" t="s">
        <v>2500</v>
      </c>
      <c r="Q774" s="4"/>
      <c r="R774" s="4"/>
      <c r="S774" s="4"/>
      <c r="T774" s="4"/>
      <c r="U774" s="4"/>
      <c r="V774" s="4"/>
      <c r="W774" s="4"/>
      <c r="X774" s="4"/>
      <c r="Y774" s="4">
        <v>264</v>
      </c>
      <c r="Z774" s="4">
        <f t="shared" si="117"/>
        <v>264</v>
      </c>
      <c r="AA774" s="4">
        <v>172</v>
      </c>
      <c r="AB774" s="4">
        <f t="shared" si="118"/>
        <v>172</v>
      </c>
      <c r="AC774" s="4"/>
      <c r="AD774" s="21">
        <f>ROUND(M774*AR774,0)</f>
        <v>254</v>
      </c>
      <c r="AE774" s="6">
        <f>1-AB774/AD774</f>
        <v>0.32283464566929132</v>
      </c>
      <c r="AF774" s="33">
        <v>0</v>
      </c>
      <c r="AG774" s="4">
        <f t="shared" si="119"/>
        <v>370</v>
      </c>
      <c r="AH774" s="33">
        <f t="shared" si="121"/>
        <v>383.37349397590361</v>
      </c>
      <c r="AI774" s="6">
        <f>1-AB774/AH774</f>
        <v>0.55135135135135127</v>
      </c>
      <c r="AJ774" s="7">
        <v>264</v>
      </c>
      <c r="AK774" s="6">
        <f>1-AB774/AJ774</f>
        <v>0.34848484848484851</v>
      </c>
      <c r="AL774" s="4">
        <f>AJ774-AB774</f>
        <v>92</v>
      </c>
      <c r="AM774" s="28"/>
      <c r="AN774" s="6"/>
      <c r="AO774" s="6"/>
      <c r="AP774" s="6">
        <f>Z774/L774</f>
        <v>0.71351351351351355</v>
      </c>
      <c r="AQ774" s="6">
        <f>AJ774/M774</f>
        <v>1.0775510204081633</v>
      </c>
      <c r="AR774" s="6">
        <f>AB774/N774</f>
        <v>1.036144578313253</v>
      </c>
      <c r="AS774" s="4"/>
      <c r="AT774" s="4"/>
      <c r="AU774" s="4"/>
      <c r="AV774" s="4"/>
      <c r="AW774" s="4"/>
      <c r="AX774" s="4"/>
      <c r="AY774" s="4"/>
      <c r="AZ774" s="4"/>
      <c r="BA774" s="4"/>
      <c r="BB774" s="4">
        <v>0</v>
      </c>
      <c r="BC774" s="4" t="s">
        <v>4247</v>
      </c>
      <c r="BD774" s="4">
        <v>1</v>
      </c>
      <c r="BE774" s="4">
        <v>5</v>
      </c>
      <c r="BF774" s="4" t="s">
        <v>4239</v>
      </c>
      <c r="BG774" s="4">
        <v>1850</v>
      </c>
      <c r="BH774" s="4">
        <v>1850</v>
      </c>
      <c r="BI774" s="4">
        <f t="shared" si="120"/>
        <v>370</v>
      </c>
      <c r="BJ774" s="19">
        <v>4</v>
      </c>
      <c r="BK774" s="19">
        <v>8</v>
      </c>
      <c r="BL774" s="16">
        <v>6</v>
      </c>
      <c r="BM774" s="45" t="s">
        <v>3534</v>
      </c>
      <c r="BN774" t="s">
        <v>3534</v>
      </c>
      <c r="BO774" t="str">
        <f t="shared" si="122"/>
        <v>-</v>
      </c>
      <c r="BP774" t="s">
        <v>3534</v>
      </c>
      <c r="BQ774" t="s">
        <v>3534</v>
      </c>
      <c r="BR774" t="str">
        <f t="shared" si="123"/>
        <v>-</v>
      </c>
      <c r="BS774" t="s">
        <v>3114</v>
      </c>
    </row>
    <row r="775" spans="1:71" x14ac:dyDescent="0.4">
      <c r="A775" s="3">
        <v>772</v>
      </c>
      <c r="B775" s="3">
        <v>772</v>
      </c>
      <c r="C775" s="4" t="s">
        <v>834</v>
      </c>
      <c r="D775" s="4" t="str">
        <f t="shared" si="115"/>
        <v>J6634P</v>
      </c>
      <c r="E775" s="4" t="s">
        <v>834</v>
      </c>
      <c r="F775" s="4" t="s">
        <v>2052</v>
      </c>
      <c r="G775" s="5">
        <v>4521718200514</v>
      </c>
      <c r="H775" s="5"/>
      <c r="I775" s="5"/>
      <c r="J775" s="5">
        <v>1</v>
      </c>
      <c r="K775" s="5">
        <v>1</v>
      </c>
      <c r="L775" s="4">
        <v>730</v>
      </c>
      <c r="M775" s="4">
        <v>475</v>
      </c>
      <c r="N775" s="4">
        <v>325</v>
      </c>
      <c r="O775" s="6">
        <f t="shared" si="116"/>
        <v>0.31578947368421051</v>
      </c>
      <c r="P775" s="4" t="s">
        <v>2500</v>
      </c>
      <c r="Q775" s="4"/>
      <c r="R775" s="4"/>
      <c r="S775" s="4"/>
      <c r="T775" s="4"/>
      <c r="U775" s="4"/>
      <c r="V775" s="4"/>
      <c r="W775" s="4"/>
      <c r="X775" s="4"/>
      <c r="Y775" s="4">
        <v>510</v>
      </c>
      <c r="Z775" s="4">
        <f t="shared" si="117"/>
        <v>510</v>
      </c>
      <c r="AA775" s="4">
        <v>332</v>
      </c>
      <c r="AB775" s="4">
        <f t="shared" si="118"/>
        <v>332</v>
      </c>
      <c r="AC775" s="4"/>
      <c r="AD775" s="21">
        <f>ROUND(M775*AR775,0)</f>
        <v>485</v>
      </c>
      <c r="AE775" s="6">
        <f>1-AB775/AD775</f>
        <v>0.31546391752577319</v>
      </c>
      <c r="AF775" s="33">
        <v>0</v>
      </c>
      <c r="AG775" s="4">
        <f t="shared" si="119"/>
        <v>730</v>
      </c>
      <c r="AH775" s="33">
        <f t="shared" si="121"/>
        <v>745.72307692307686</v>
      </c>
      <c r="AI775" s="6">
        <f>1-AB775/AH775</f>
        <v>0.5547945205479452</v>
      </c>
      <c r="AJ775" s="7">
        <v>510</v>
      </c>
      <c r="AK775" s="6">
        <f>1-AB775/AJ775</f>
        <v>0.34901960784313724</v>
      </c>
      <c r="AL775" s="4">
        <f>AJ775-AB775</f>
        <v>178</v>
      </c>
      <c r="AM775" s="28"/>
      <c r="AN775" s="6"/>
      <c r="AO775" s="6"/>
      <c r="AP775" s="6">
        <f>Z775/L775</f>
        <v>0.69863013698630139</v>
      </c>
      <c r="AQ775" s="6">
        <f>AJ775/M775</f>
        <v>1.0736842105263158</v>
      </c>
      <c r="AR775" s="6">
        <f>AB775/N775</f>
        <v>1.0215384615384615</v>
      </c>
      <c r="AS775" s="4"/>
      <c r="AT775" s="4"/>
      <c r="AU775" s="4"/>
      <c r="AV775" s="4"/>
      <c r="AW775" s="4"/>
      <c r="AX775" s="4"/>
      <c r="AY775" s="4"/>
      <c r="AZ775" s="4"/>
      <c r="BA775" s="4"/>
      <c r="BB775" s="4">
        <v>0</v>
      </c>
      <c r="BC775" s="4" t="s">
        <v>4248</v>
      </c>
      <c r="BD775" s="4">
        <v>1</v>
      </c>
      <c r="BE775" s="4">
        <v>3</v>
      </c>
      <c r="BF775" s="4" t="s">
        <v>3636</v>
      </c>
      <c r="BG775" s="4">
        <v>2190</v>
      </c>
      <c r="BH775" s="4">
        <v>2190</v>
      </c>
      <c r="BI775" s="4">
        <f t="shared" si="120"/>
        <v>730</v>
      </c>
      <c r="BJ775" s="19">
        <v>4</v>
      </c>
      <c r="BK775" s="19">
        <v>8</v>
      </c>
      <c r="BL775" s="16">
        <v>6</v>
      </c>
      <c r="BM775" s="45" t="s">
        <v>3534</v>
      </c>
      <c r="BN775" t="s">
        <v>3534</v>
      </c>
      <c r="BO775" t="str">
        <f t="shared" si="122"/>
        <v>-</v>
      </c>
      <c r="BP775" t="s">
        <v>3534</v>
      </c>
      <c r="BQ775" t="s">
        <v>3534</v>
      </c>
      <c r="BR775" t="str">
        <f t="shared" si="123"/>
        <v>-</v>
      </c>
      <c r="BS775" t="s">
        <v>3115</v>
      </c>
    </row>
    <row r="776" spans="1:71" x14ac:dyDescent="0.4">
      <c r="A776" s="3">
        <v>773</v>
      </c>
      <c r="B776" s="3">
        <v>773</v>
      </c>
      <c r="C776" s="4" t="s">
        <v>835</v>
      </c>
      <c r="D776" s="4" t="str">
        <f t="shared" si="115"/>
        <v>J6635P</v>
      </c>
      <c r="E776" s="4" t="s">
        <v>835</v>
      </c>
      <c r="F776" s="4" t="s">
        <v>2053</v>
      </c>
      <c r="G776" s="5">
        <v>4521718200521</v>
      </c>
      <c r="H776" s="5"/>
      <c r="I776" s="5"/>
      <c r="J776" s="5">
        <v>1</v>
      </c>
      <c r="K776" s="5">
        <v>1</v>
      </c>
      <c r="L776" s="4">
        <v>440</v>
      </c>
      <c r="M776" s="4">
        <v>336</v>
      </c>
      <c r="N776" s="4">
        <v>231</v>
      </c>
      <c r="O776" s="6">
        <f t="shared" si="116"/>
        <v>0.3125</v>
      </c>
      <c r="P776" s="4" t="s">
        <v>2500</v>
      </c>
      <c r="Q776" s="4"/>
      <c r="R776" s="4"/>
      <c r="S776" s="4"/>
      <c r="T776" s="4"/>
      <c r="U776" s="4"/>
      <c r="V776" s="4"/>
      <c r="W776" s="4"/>
      <c r="X776" s="4"/>
      <c r="Y776" s="4">
        <v>364</v>
      </c>
      <c r="Z776" s="4">
        <f t="shared" si="117"/>
        <v>364</v>
      </c>
      <c r="AA776" s="4">
        <v>237</v>
      </c>
      <c r="AB776" s="4">
        <f t="shared" si="118"/>
        <v>237</v>
      </c>
      <c r="AC776" s="4"/>
      <c r="AD776" s="21">
        <f>ROUND(M776*AR776,0)</f>
        <v>345</v>
      </c>
      <c r="AE776" s="6">
        <f>1-AB776/AD776</f>
        <v>0.31304347826086953</v>
      </c>
      <c r="AF776" s="33">
        <v>0</v>
      </c>
      <c r="AG776" s="4">
        <f t="shared" si="119"/>
        <v>520</v>
      </c>
      <c r="AH776" s="33">
        <f t="shared" si="121"/>
        <v>533.50649350649348</v>
      </c>
      <c r="AI776" s="6">
        <f>1-AB776/AH776</f>
        <v>0.55576923076923079</v>
      </c>
      <c r="AJ776" s="7">
        <v>364</v>
      </c>
      <c r="AK776" s="6">
        <f>1-AB776/AJ776</f>
        <v>0.34890109890109888</v>
      </c>
      <c r="AL776" s="4">
        <f>AJ776-AB776</f>
        <v>127</v>
      </c>
      <c r="AM776" s="28"/>
      <c r="AN776" s="6"/>
      <c r="AO776" s="6"/>
      <c r="AP776" s="6">
        <f>Z776/L776</f>
        <v>0.82727272727272727</v>
      </c>
      <c r="AQ776" s="6">
        <f>AJ776/M776</f>
        <v>1.0833333333333333</v>
      </c>
      <c r="AR776" s="6">
        <f>AB776/N776</f>
        <v>1.025974025974026</v>
      </c>
      <c r="AS776" s="4"/>
      <c r="AT776" s="4"/>
      <c r="AU776" s="4"/>
      <c r="AV776" s="4"/>
      <c r="AW776" s="4"/>
      <c r="AX776" s="4"/>
      <c r="AY776" s="4"/>
      <c r="AZ776" s="4"/>
      <c r="BA776" s="4"/>
      <c r="BB776" s="4">
        <v>0</v>
      </c>
      <c r="BC776" s="4" t="s">
        <v>4249</v>
      </c>
      <c r="BD776" s="4">
        <v>1</v>
      </c>
      <c r="BE776" s="4">
        <v>3</v>
      </c>
      <c r="BF776" s="4" t="s">
        <v>3636</v>
      </c>
      <c r="BG776" s="4">
        <v>1560</v>
      </c>
      <c r="BH776" s="4">
        <v>1560</v>
      </c>
      <c r="BI776" s="4">
        <f t="shared" si="120"/>
        <v>520</v>
      </c>
      <c r="BJ776" s="19">
        <v>4</v>
      </c>
      <c r="BK776" s="19">
        <v>8</v>
      </c>
      <c r="BL776" s="16">
        <v>6</v>
      </c>
      <c r="BM776" s="45" t="s">
        <v>3534</v>
      </c>
      <c r="BN776" t="s">
        <v>3534</v>
      </c>
      <c r="BO776" t="str">
        <f t="shared" si="122"/>
        <v>-</v>
      </c>
      <c r="BP776" t="s">
        <v>3534</v>
      </c>
      <c r="BQ776" t="s">
        <v>3534</v>
      </c>
      <c r="BR776" t="str">
        <f t="shared" si="123"/>
        <v>-</v>
      </c>
      <c r="BS776" t="s">
        <v>3116</v>
      </c>
    </row>
    <row r="777" spans="1:71" x14ac:dyDescent="0.4">
      <c r="A777" s="3">
        <v>774</v>
      </c>
      <c r="B777" s="3">
        <v>774</v>
      </c>
      <c r="C777" s="4" t="s">
        <v>836</v>
      </c>
      <c r="D777" s="4" t="str">
        <f t="shared" si="115"/>
        <v>J6639P</v>
      </c>
      <c r="E777" s="4" t="s">
        <v>836</v>
      </c>
      <c r="F777" s="4" t="s">
        <v>2054</v>
      </c>
      <c r="G777" s="5">
        <v>4521718201344</v>
      </c>
      <c r="H777" s="5"/>
      <c r="I777" s="5"/>
      <c r="J777" s="5">
        <v>1</v>
      </c>
      <c r="K777" s="5">
        <v>1</v>
      </c>
      <c r="L777" s="4">
        <v>350</v>
      </c>
      <c r="M777" s="4">
        <v>267</v>
      </c>
      <c r="N777" s="4">
        <v>183</v>
      </c>
      <c r="O777" s="6">
        <f t="shared" si="116"/>
        <v>0.3146067415730337</v>
      </c>
      <c r="P777" s="4" t="s">
        <v>2500</v>
      </c>
      <c r="Q777" s="4"/>
      <c r="R777" s="4"/>
      <c r="S777" s="4"/>
      <c r="T777" s="4"/>
      <c r="U777" s="4"/>
      <c r="V777" s="4"/>
      <c r="W777" s="4"/>
      <c r="X777" s="4"/>
      <c r="Y777" s="4">
        <v>291</v>
      </c>
      <c r="Z777" s="4">
        <f t="shared" si="117"/>
        <v>291</v>
      </c>
      <c r="AA777" s="4">
        <v>189</v>
      </c>
      <c r="AB777" s="4">
        <f t="shared" si="118"/>
        <v>189</v>
      </c>
      <c r="AC777" s="4"/>
      <c r="AD777" s="21">
        <f>ROUND(M777*AR777,0)</f>
        <v>276</v>
      </c>
      <c r="AE777" s="6">
        <f>1-AB777/AD777</f>
        <v>0.31521739130434778</v>
      </c>
      <c r="AF777" s="33">
        <v>0</v>
      </c>
      <c r="AG777" s="4">
        <f t="shared" si="119"/>
        <v>380</v>
      </c>
      <c r="AH777" s="33">
        <f t="shared" si="121"/>
        <v>392.45901639344265</v>
      </c>
      <c r="AI777" s="6">
        <f>1-AB777/AH777</f>
        <v>0.518421052631579</v>
      </c>
      <c r="AJ777" s="7">
        <f>ROUND(AB777/0.65,0)</f>
        <v>291</v>
      </c>
      <c r="AK777" s="6">
        <f>1-AB777/AJ777</f>
        <v>0.35051546391752575</v>
      </c>
      <c r="AL777" s="4">
        <f>AJ777-AB777</f>
        <v>102</v>
      </c>
      <c r="AM777" s="28"/>
      <c r="AN777" s="6"/>
      <c r="AO777" s="6"/>
      <c r="AP777" s="6">
        <f>Z777/L777</f>
        <v>0.83142857142857141</v>
      </c>
      <c r="AQ777" s="6">
        <f>AJ777/M777</f>
        <v>1.0898876404494382</v>
      </c>
      <c r="AR777" s="6">
        <f>AB777/N777</f>
        <v>1.0327868852459017</v>
      </c>
      <c r="AS777" s="4"/>
      <c r="AT777" s="4"/>
      <c r="AU777" s="4"/>
      <c r="AV777" s="4"/>
      <c r="AW777" s="4"/>
      <c r="AX777" s="4"/>
      <c r="AY777" s="4"/>
      <c r="AZ777" s="4"/>
      <c r="BA777" s="4"/>
      <c r="BB777" s="4">
        <v>0</v>
      </c>
      <c r="BC777" s="4" t="s">
        <v>4250</v>
      </c>
      <c r="BD777" s="4">
        <v>1</v>
      </c>
      <c r="BE777" s="4">
        <v>5</v>
      </c>
      <c r="BF777" s="4" t="s">
        <v>4239</v>
      </c>
      <c r="BG777" s="4">
        <v>1900</v>
      </c>
      <c r="BH777" s="4">
        <v>1900</v>
      </c>
      <c r="BI777" s="4">
        <f t="shared" si="120"/>
        <v>380</v>
      </c>
      <c r="BJ777" s="19">
        <v>4</v>
      </c>
      <c r="BK777" s="19">
        <v>8</v>
      </c>
      <c r="BL777" s="16">
        <v>6</v>
      </c>
      <c r="BM777" s="45" t="s">
        <v>3534</v>
      </c>
      <c r="BN777" t="s">
        <v>3534</v>
      </c>
      <c r="BO777" t="str">
        <f t="shared" si="122"/>
        <v>-</v>
      </c>
      <c r="BP777" t="s">
        <v>3534</v>
      </c>
      <c r="BQ777">
        <v>350</v>
      </c>
      <c r="BR777">
        <f t="shared" si="123"/>
        <v>361.47540983606558</v>
      </c>
      <c r="BS777" t="s">
        <v>3117</v>
      </c>
    </row>
    <row r="778" spans="1:71" x14ac:dyDescent="0.4">
      <c r="A778" s="3">
        <v>775</v>
      </c>
      <c r="B778" s="3">
        <v>775</v>
      </c>
      <c r="C778" s="4" t="s">
        <v>837</v>
      </c>
      <c r="D778" s="4" t="str">
        <f t="shared" si="115"/>
        <v>J663TN</v>
      </c>
      <c r="E778" s="4" t="s">
        <v>837</v>
      </c>
      <c r="F778" s="4" t="s">
        <v>2055</v>
      </c>
      <c r="G778" s="5">
        <v>4521718217666</v>
      </c>
      <c r="H778" s="5"/>
      <c r="I778" s="5"/>
      <c r="J778" s="5">
        <v>1</v>
      </c>
      <c r="K778" s="5">
        <v>1</v>
      </c>
      <c r="L778" s="4">
        <v>480</v>
      </c>
      <c r="M778" s="4">
        <v>328</v>
      </c>
      <c r="N778" s="4">
        <v>213</v>
      </c>
      <c r="O778" s="6">
        <f t="shared" si="116"/>
        <v>0.35060975609756095</v>
      </c>
      <c r="P778" s="4" t="s">
        <v>2500</v>
      </c>
      <c r="Q778" s="4"/>
      <c r="R778" s="4"/>
      <c r="S778" s="4"/>
      <c r="T778" s="4"/>
      <c r="U778" s="4"/>
      <c r="V778" s="4"/>
      <c r="W778" s="4"/>
      <c r="X778" s="4"/>
      <c r="Y778" s="4">
        <v>328</v>
      </c>
      <c r="Z778" s="4">
        <f t="shared" si="117"/>
        <v>328</v>
      </c>
      <c r="AA778" s="4">
        <v>213</v>
      </c>
      <c r="AB778" s="4">
        <f t="shared" si="118"/>
        <v>213</v>
      </c>
      <c r="AC778" s="4"/>
      <c r="AD778" s="21">
        <f>ROUND(M778*AR778,0)</f>
        <v>328</v>
      </c>
      <c r="AE778" s="6">
        <f>1-AB778/AD778</f>
        <v>0.35060975609756095</v>
      </c>
      <c r="AF778" s="33">
        <v>0</v>
      </c>
      <c r="AG778" s="4" t="str">
        <f t="shared" si="119"/>
        <v>-</v>
      </c>
      <c r="AH778" s="33" t="e">
        <f t="shared" si="121"/>
        <v>#VALUE!</v>
      </c>
      <c r="AI778" s="6" t="e">
        <f>1-AB778/AH778</f>
        <v>#VALUE!</v>
      </c>
      <c r="AJ778" s="7">
        <f>ROUND(AB778/0.65,0)</f>
        <v>328</v>
      </c>
      <c r="AK778" s="6">
        <f>1-AB778/AJ778</f>
        <v>0.35060975609756095</v>
      </c>
      <c r="AL778" s="4">
        <f>AJ778-AB778</f>
        <v>115</v>
      </c>
      <c r="AM778" s="28"/>
      <c r="AN778" s="6"/>
      <c r="AO778" s="6"/>
      <c r="AP778" s="6">
        <f>Z778/L778</f>
        <v>0.68333333333333335</v>
      </c>
      <c r="AQ778" s="6">
        <f>AJ778/M778</f>
        <v>1</v>
      </c>
      <c r="AR778" s="6">
        <f>AB778/N778</f>
        <v>1</v>
      </c>
      <c r="AS778" s="4"/>
      <c r="AT778" s="4"/>
      <c r="AU778" s="4"/>
      <c r="AV778" s="4"/>
      <c r="AW778" s="4"/>
      <c r="AX778" s="4"/>
      <c r="AY778" s="4"/>
      <c r="AZ778" s="4"/>
      <c r="BA778" s="4"/>
      <c r="BB778" s="4">
        <v>0</v>
      </c>
      <c r="BC778" s="4" t="s">
        <v>3534</v>
      </c>
      <c r="BD778" s="4"/>
      <c r="BE778" s="4"/>
      <c r="BF778" s="4" t="s">
        <v>3534</v>
      </c>
      <c r="BG778" s="4" t="s">
        <v>3534</v>
      </c>
      <c r="BH778" s="4" t="s">
        <v>3534</v>
      </c>
      <c r="BI778" s="4" t="str">
        <f t="shared" si="120"/>
        <v>-</v>
      </c>
      <c r="BJ778" s="19">
        <v>4</v>
      </c>
      <c r="BK778" s="19">
        <v>8</v>
      </c>
      <c r="BL778" s="16">
        <v>6</v>
      </c>
      <c r="BM778" s="45" t="s">
        <v>3534</v>
      </c>
      <c r="BN778" t="s">
        <v>3534</v>
      </c>
      <c r="BO778" t="str">
        <f t="shared" si="122"/>
        <v>-</v>
      </c>
      <c r="BP778" t="s">
        <v>3534</v>
      </c>
      <c r="BQ778">
        <v>328</v>
      </c>
      <c r="BR778">
        <f t="shared" si="123"/>
        <v>328</v>
      </c>
      <c r="BS778" t="s">
        <v>3534</v>
      </c>
    </row>
    <row r="779" spans="1:71" x14ac:dyDescent="0.4">
      <c r="A779" s="3">
        <v>776</v>
      </c>
      <c r="B779" s="3">
        <v>776</v>
      </c>
      <c r="C779" s="4" t="s">
        <v>838</v>
      </c>
      <c r="D779" s="4" t="str">
        <f t="shared" si="115"/>
        <v>J6636P</v>
      </c>
      <c r="E779" s="4" t="s">
        <v>838</v>
      </c>
      <c r="F779" s="4" t="s">
        <v>2056</v>
      </c>
      <c r="G779" s="5">
        <v>4521718200804</v>
      </c>
      <c r="H779" s="5"/>
      <c r="I779" s="5"/>
      <c r="J779" s="5">
        <v>1</v>
      </c>
      <c r="K779" s="5">
        <v>1</v>
      </c>
      <c r="L779" s="4">
        <v>220</v>
      </c>
      <c r="M779" s="4">
        <v>138</v>
      </c>
      <c r="N779" s="4">
        <v>95</v>
      </c>
      <c r="O779" s="6">
        <f t="shared" si="116"/>
        <v>0.31159420289855078</v>
      </c>
      <c r="P779" s="4" t="s">
        <v>2500</v>
      </c>
      <c r="Q779" s="4"/>
      <c r="R779" s="4"/>
      <c r="S779" s="4"/>
      <c r="T779" s="4"/>
      <c r="U779" s="4"/>
      <c r="V779" s="4"/>
      <c r="W779" s="4"/>
      <c r="X779" s="4"/>
      <c r="Y779" s="4">
        <v>146</v>
      </c>
      <c r="Z779" s="4">
        <f t="shared" si="117"/>
        <v>146</v>
      </c>
      <c r="AA779" s="4">
        <v>95</v>
      </c>
      <c r="AB779" s="4">
        <f t="shared" si="118"/>
        <v>95</v>
      </c>
      <c r="AC779" s="4"/>
      <c r="AD779" s="21">
        <f>ROUND(M779*AR779,0)</f>
        <v>138</v>
      </c>
      <c r="AE779" s="6">
        <f>1-AB779/AD779</f>
        <v>0.31159420289855078</v>
      </c>
      <c r="AF779" s="33">
        <v>0</v>
      </c>
      <c r="AG779" s="4" t="str">
        <f t="shared" si="119"/>
        <v>-</v>
      </c>
      <c r="AH779" s="33" t="e">
        <f t="shared" si="121"/>
        <v>#VALUE!</v>
      </c>
      <c r="AI779" s="6" t="e">
        <f>1-AB779/AH779</f>
        <v>#VALUE!</v>
      </c>
      <c r="AJ779" s="7">
        <v>146</v>
      </c>
      <c r="AK779" s="6">
        <f>1-AB779/AJ779</f>
        <v>0.34931506849315064</v>
      </c>
      <c r="AL779" s="4">
        <f>AJ779-AB779</f>
        <v>51</v>
      </c>
      <c r="AM779" s="28"/>
      <c r="AN779" s="6"/>
      <c r="AO779" s="6"/>
      <c r="AP779" s="6">
        <f>Z779/L779</f>
        <v>0.66363636363636369</v>
      </c>
      <c r="AQ779" s="6">
        <f>AJ779/M779</f>
        <v>1.0579710144927537</v>
      </c>
      <c r="AR779" s="6">
        <f>AB779/N779</f>
        <v>1</v>
      </c>
      <c r="AS779" s="4"/>
      <c r="AT779" s="4"/>
      <c r="AU779" s="4"/>
      <c r="AV779" s="4"/>
      <c r="AW779" s="4"/>
      <c r="AX779" s="4"/>
      <c r="AY779" s="4"/>
      <c r="AZ779" s="4"/>
      <c r="BA779" s="4"/>
      <c r="BB779" s="4">
        <v>0</v>
      </c>
      <c r="BC779" s="4" t="s">
        <v>3534</v>
      </c>
      <c r="BD779" s="4"/>
      <c r="BE779" s="4"/>
      <c r="BF779" s="4" t="s">
        <v>3534</v>
      </c>
      <c r="BG779" s="4" t="s">
        <v>3534</v>
      </c>
      <c r="BH779" s="4" t="s">
        <v>3534</v>
      </c>
      <c r="BI779" s="4" t="str">
        <f t="shared" si="120"/>
        <v>-</v>
      </c>
      <c r="BJ779" s="19">
        <v>4</v>
      </c>
      <c r="BK779" s="19">
        <v>8</v>
      </c>
      <c r="BL779" s="16">
        <v>6</v>
      </c>
      <c r="BM779" s="45" t="s">
        <v>3534</v>
      </c>
      <c r="BN779" t="s">
        <v>3534</v>
      </c>
      <c r="BO779" t="str">
        <f t="shared" si="122"/>
        <v>-</v>
      </c>
      <c r="BP779" t="s">
        <v>3534</v>
      </c>
      <c r="BQ779">
        <v>182</v>
      </c>
      <c r="BR779">
        <f t="shared" si="123"/>
        <v>182</v>
      </c>
      <c r="BS779" t="s">
        <v>3534</v>
      </c>
    </row>
    <row r="780" spans="1:71" x14ac:dyDescent="0.4">
      <c r="A780" s="3">
        <v>777</v>
      </c>
      <c r="B780" s="3">
        <v>777</v>
      </c>
      <c r="C780" s="4" t="s">
        <v>839</v>
      </c>
      <c r="D780" s="4" t="str">
        <f t="shared" si="115"/>
        <v>J6637P</v>
      </c>
      <c r="E780" s="4" t="s">
        <v>839</v>
      </c>
      <c r="F780" s="4" t="s">
        <v>2057</v>
      </c>
      <c r="G780" s="5">
        <v>4521718200811</v>
      </c>
      <c r="H780" s="5"/>
      <c r="I780" s="5"/>
      <c r="J780" s="5">
        <v>1</v>
      </c>
      <c r="K780" s="5">
        <v>1</v>
      </c>
      <c r="L780" s="4">
        <v>250</v>
      </c>
      <c r="M780" s="4">
        <v>191</v>
      </c>
      <c r="N780" s="4">
        <v>130</v>
      </c>
      <c r="O780" s="6">
        <f t="shared" si="116"/>
        <v>0.31937172774869105</v>
      </c>
      <c r="P780" s="4" t="s">
        <v>2500</v>
      </c>
      <c r="Q780" s="4"/>
      <c r="R780" s="4"/>
      <c r="S780" s="4"/>
      <c r="T780" s="4"/>
      <c r="U780" s="4"/>
      <c r="V780" s="4"/>
      <c r="W780" s="4"/>
      <c r="X780" s="4"/>
      <c r="Y780" s="4">
        <v>200</v>
      </c>
      <c r="Z780" s="4">
        <f t="shared" si="117"/>
        <v>200</v>
      </c>
      <c r="AA780" s="4">
        <v>130</v>
      </c>
      <c r="AB780" s="4">
        <f t="shared" si="118"/>
        <v>130</v>
      </c>
      <c r="AC780" s="4"/>
      <c r="AD780" s="21">
        <f>ROUND(M780*AR780,0)</f>
        <v>191</v>
      </c>
      <c r="AE780" s="6">
        <f>1-AB780/AD780</f>
        <v>0.31937172774869105</v>
      </c>
      <c r="AF780" s="33">
        <v>0</v>
      </c>
      <c r="AG780" s="4" t="str">
        <f t="shared" si="119"/>
        <v>-</v>
      </c>
      <c r="AH780" s="33" t="e">
        <f t="shared" si="121"/>
        <v>#VALUE!</v>
      </c>
      <c r="AI780" s="6" t="e">
        <f>1-AB780/AH780</f>
        <v>#VALUE!</v>
      </c>
      <c r="AJ780" s="7">
        <v>200</v>
      </c>
      <c r="AK780" s="6">
        <f>1-AB780/AJ780</f>
        <v>0.35</v>
      </c>
      <c r="AL780" s="4">
        <f>AJ780-AB780</f>
        <v>70</v>
      </c>
      <c r="AM780" s="28"/>
      <c r="AN780" s="6"/>
      <c r="AO780" s="6"/>
      <c r="AP780" s="6">
        <f>Z780/L780</f>
        <v>0.8</v>
      </c>
      <c r="AQ780" s="6">
        <f>AJ780/M780</f>
        <v>1.0471204188481675</v>
      </c>
      <c r="AR780" s="6">
        <f>AB780/N780</f>
        <v>1</v>
      </c>
      <c r="AS780" s="4"/>
      <c r="AT780" s="4"/>
      <c r="AU780" s="4"/>
      <c r="AV780" s="4"/>
      <c r="AW780" s="4"/>
      <c r="AX780" s="4"/>
      <c r="AY780" s="4"/>
      <c r="AZ780" s="4"/>
      <c r="BA780" s="4"/>
      <c r="BB780" s="4">
        <v>0</v>
      </c>
      <c r="BC780" s="4" t="s">
        <v>3534</v>
      </c>
      <c r="BD780" s="4"/>
      <c r="BE780" s="4"/>
      <c r="BF780" s="4" t="s">
        <v>3534</v>
      </c>
      <c r="BG780" s="4" t="s">
        <v>3534</v>
      </c>
      <c r="BH780" s="4" t="s">
        <v>3534</v>
      </c>
      <c r="BI780" s="4" t="str">
        <f t="shared" si="120"/>
        <v>-</v>
      </c>
      <c r="BJ780" s="19">
        <v>4</v>
      </c>
      <c r="BK780" s="19">
        <v>8</v>
      </c>
      <c r="BL780" s="16">
        <v>6</v>
      </c>
      <c r="BM780" s="45" t="s">
        <v>3534</v>
      </c>
      <c r="BN780" t="s">
        <v>3534</v>
      </c>
      <c r="BO780" t="str">
        <f t="shared" si="122"/>
        <v>-</v>
      </c>
      <c r="BP780" t="s">
        <v>3534</v>
      </c>
      <c r="BQ780">
        <v>250</v>
      </c>
      <c r="BR780">
        <f t="shared" si="123"/>
        <v>250</v>
      </c>
      <c r="BS780" t="s">
        <v>3534</v>
      </c>
    </row>
    <row r="781" spans="1:71" x14ac:dyDescent="0.4">
      <c r="A781" s="42">
        <v>778</v>
      </c>
      <c r="B781" s="3">
        <v>778</v>
      </c>
      <c r="C781" s="4" t="s">
        <v>840</v>
      </c>
      <c r="D781" s="4" t="str">
        <f t="shared" si="115"/>
        <v>J663WG</v>
      </c>
      <c r="E781" s="4" t="s">
        <v>840</v>
      </c>
      <c r="F781" s="4" t="s">
        <v>2058</v>
      </c>
      <c r="G781" s="5">
        <v>4521718184289</v>
      </c>
      <c r="H781" s="5"/>
      <c r="I781" s="5"/>
      <c r="J781" s="5">
        <v>1</v>
      </c>
      <c r="K781" s="5">
        <v>1</v>
      </c>
      <c r="L781" s="4">
        <v>4090</v>
      </c>
      <c r="M781" s="4">
        <v>2860</v>
      </c>
      <c r="N781" s="4">
        <v>2127</v>
      </c>
      <c r="O781" s="6">
        <f t="shared" si="116"/>
        <v>0.25629370629370629</v>
      </c>
      <c r="P781" s="4" t="s">
        <v>2500</v>
      </c>
      <c r="Q781" s="4"/>
      <c r="R781" s="4"/>
      <c r="S781" s="4"/>
      <c r="T781" s="4"/>
      <c r="U781" s="4"/>
      <c r="V781" s="4"/>
      <c r="W781" s="4"/>
      <c r="X781" s="4"/>
      <c r="Y781" s="4">
        <v>3273</v>
      </c>
      <c r="Z781" s="4">
        <f t="shared" si="117"/>
        <v>3273</v>
      </c>
      <c r="AA781" s="4">
        <v>2291</v>
      </c>
      <c r="AB781" s="4">
        <f t="shared" si="118"/>
        <v>2291</v>
      </c>
      <c r="AC781" s="4"/>
      <c r="AD781" s="21">
        <f>ROUND(M781*AR781,0)</f>
        <v>3081</v>
      </c>
      <c r="AE781" s="6">
        <f>1-AB781/AD781</f>
        <v>0.25641025641025639</v>
      </c>
      <c r="AF781" s="33">
        <v>0</v>
      </c>
      <c r="AG781" s="4">
        <f t="shared" si="119"/>
        <v>4090</v>
      </c>
      <c r="AH781" s="33">
        <f t="shared" si="121"/>
        <v>4405.3549600376118</v>
      </c>
      <c r="AI781" s="6">
        <f>1-AB781/AH781</f>
        <v>0.47995110024449883</v>
      </c>
      <c r="AJ781" s="7">
        <v>3273</v>
      </c>
      <c r="AK781" s="6">
        <f>1-AB781/AJ781</f>
        <v>0.30003055300947146</v>
      </c>
      <c r="AL781" s="4">
        <f>AJ781-AB781</f>
        <v>982</v>
      </c>
      <c r="AM781" s="28"/>
      <c r="AN781" s="6"/>
      <c r="AO781" s="6"/>
      <c r="AP781" s="6">
        <f>Z781/L781</f>
        <v>0.80024449877750614</v>
      </c>
      <c r="AQ781" s="6">
        <f>AJ781/M781</f>
        <v>1.1444055944055944</v>
      </c>
      <c r="AR781" s="6">
        <f>AB781/N781</f>
        <v>1.0771039022096851</v>
      </c>
      <c r="AS781" s="4"/>
      <c r="AT781" s="4"/>
      <c r="AU781" s="4"/>
      <c r="AV781" s="4"/>
      <c r="AW781" s="4"/>
      <c r="AX781" s="4"/>
      <c r="AY781" s="4"/>
      <c r="AZ781" s="4"/>
      <c r="BA781" s="4"/>
      <c r="BB781" s="4">
        <v>0</v>
      </c>
      <c r="BC781" s="4" t="s">
        <v>4251</v>
      </c>
      <c r="BD781" s="4"/>
      <c r="BE781" s="4"/>
      <c r="BF781" s="4" t="s">
        <v>3538</v>
      </c>
      <c r="BG781" s="4">
        <v>4090</v>
      </c>
      <c r="BH781" s="4">
        <v>4090</v>
      </c>
      <c r="BI781" s="4">
        <f t="shared" si="120"/>
        <v>4090</v>
      </c>
      <c r="BJ781" s="19">
        <v>2</v>
      </c>
      <c r="BK781" s="19">
        <v>8</v>
      </c>
      <c r="BL781" s="16">
        <v>6</v>
      </c>
      <c r="BM781" s="45" t="s">
        <v>3534</v>
      </c>
      <c r="BN781" t="s">
        <v>3534</v>
      </c>
      <c r="BO781" t="str">
        <f t="shared" si="122"/>
        <v>-</v>
      </c>
      <c r="BP781" t="s">
        <v>3534</v>
      </c>
      <c r="BQ781">
        <v>3886</v>
      </c>
      <c r="BR781">
        <f t="shared" si="123"/>
        <v>4185.6257639868363</v>
      </c>
      <c r="BS781" t="s">
        <v>3118</v>
      </c>
    </row>
    <row r="782" spans="1:71" x14ac:dyDescent="0.4">
      <c r="A782" s="3">
        <v>779</v>
      </c>
      <c r="B782" s="3">
        <v>779</v>
      </c>
      <c r="C782" s="4" t="s">
        <v>841</v>
      </c>
      <c r="D782" s="4" t="str">
        <f t="shared" si="115"/>
        <v>J6640P</v>
      </c>
      <c r="E782" s="4" t="s">
        <v>841</v>
      </c>
      <c r="F782" s="4" t="s">
        <v>2059</v>
      </c>
      <c r="G782" s="5">
        <v>4521718202907</v>
      </c>
      <c r="H782" s="5"/>
      <c r="I782" s="5"/>
      <c r="J782" s="5">
        <v>1</v>
      </c>
      <c r="K782" s="5">
        <v>1</v>
      </c>
      <c r="L782" s="4">
        <v>230</v>
      </c>
      <c r="M782" s="4">
        <v>176</v>
      </c>
      <c r="N782" s="4">
        <v>118</v>
      </c>
      <c r="O782" s="6">
        <f t="shared" si="116"/>
        <v>0.32954545454545459</v>
      </c>
      <c r="P782" s="4" t="s">
        <v>2500</v>
      </c>
      <c r="Q782" s="4"/>
      <c r="R782" s="4"/>
      <c r="S782" s="4"/>
      <c r="T782" s="4"/>
      <c r="U782" s="4"/>
      <c r="V782" s="4"/>
      <c r="W782" s="4"/>
      <c r="X782" s="4"/>
      <c r="Y782" s="4">
        <v>182</v>
      </c>
      <c r="Z782" s="4">
        <f t="shared" si="117"/>
        <v>182</v>
      </c>
      <c r="AA782" s="4">
        <v>118</v>
      </c>
      <c r="AB782" s="4">
        <f t="shared" si="118"/>
        <v>118</v>
      </c>
      <c r="AC782" s="4"/>
      <c r="AD782" s="21">
        <f>ROUND(M782*AR782,0)</f>
        <v>176</v>
      </c>
      <c r="AE782" s="6">
        <f>1-AB782/AD782</f>
        <v>0.32954545454545459</v>
      </c>
      <c r="AF782" s="33">
        <v>0</v>
      </c>
      <c r="AG782" s="4">
        <f t="shared" si="119"/>
        <v>270</v>
      </c>
      <c r="AH782" s="33">
        <f t="shared" si="121"/>
        <v>270</v>
      </c>
      <c r="AI782" s="6">
        <f>1-AB782/AH782</f>
        <v>0.56296296296296289</v>
      </c>
      <c r="AJ782" s="7">
        <f>ROUND(AB782/0.65,0)</f>
        <v>182</v>
      </c>
      <c r="AK782" s="6">
        <f>1-AB782/AJ782</f>
        <v>0.35164835164835162</v>
      </c>
      <c r="AL782" s="4">
        <f>AJ782-AB782</f>
        <v>64</v>
      </c>
      <c r="AM782" s="28"/>
      <c r="AN782" s="6"/>
      <c r="AO782" s="6"/>
      <c r="AP782" s="6">
        <f>Z782/L782</f>
        <v>0.79130434782608694</v>
      </c>
      <c r="AQ782" s="6">
        <f>AJ782/M782</f>
        <v>1.0340909090909092</v>
      </c>
      <c r="AR782" s="6">
        <f>AB782/N782</f>
        <v>1</v>
      </c>
      <c r="AS782" s="4"/>
      <c r="AT782" s="4"/>
      <c r="AU782" s="4"/>
      <c r="AV782" s="4"/>
      <c r="AW782" s="4"/>
      <c r="AX782" s="4"/>
      <c r="AY782" s="4"/>
      <c r="AZ782" s="4"/>
      <c r="BA782" s="4"/>
      <c r="BB782" s="4">
        <v>0</v>
      </c>
      <c r="BC782" s="4" t="s">
        <v>4252</v>
      </c>
      <c r="BD782" s="4">
        <v>1</v>
      </c>
      <c r="BE782" s="4">
        <v>6</v>
      </c>
      <c r="BF782" s="4" t="s">
        <v>4253</v>
      </c>
      <c r="BG782" s="4">
        <v>1620</v>
      </c>
      <c r="BH782" s="4">
        <v>1620</v>
      </c>
      <c r="BI782" s="4">
        <f t="shared" si="120"/>
        <v>270</v>
      </c>
      <c r="BJ782" s="19">
        <v>4</v>
      </c>
      <c r="BK782" s="19">
        <v>8</v>
      </c>
      <c r="BL782" s="16">
        <v>6</v>
      </c>
      <c r="BM782" s="45" t="s">
        <v>3534</v>
      </c>
      <c r="BN782" t="s">
        <v>3534</v>
      </c>
      <c r="BO782" t="str">
        <f t="shared" si="122"/>
        <v>-</v>
      </c>
      <c r="BP782" t="s">
        <v>3534</v>
      </c>
      <c r="BQ782">
        <v>230</v>
      </c>
      <c r="BR782">
        <f t="shared" si="123"/>
        <v>230</v>
      </c>
      <c r="BS782" t="s">
        <v>3119</v>
      </c>
    </row>
    <row r="783" spans="1:71" x14ac:dyDescent="0.4">
      <c r="A783" s="3">
        <v>780</v>
      </c>
      <c r="B783" s="3">
        <v>780</v>
      </c>
      <c r="C783" s="4" t="s">
        <v>842</v>
      </c>
      <c r="D783" s="4" t="str">
        <f t="shared" si="115"/>
        <v>J6642P</v>
      </c>
      <c r="E783" s="4" t="s">
        <v>842</v>
      </c>
      <c r="F783" s="4" t="s">
        <v>2060</v>
      </c>
      <c r="G783" s="5">
        <v>4521718202921</v>
      </c>
      <c r="H783" s="5"/>
      <c r="I783" s="5"/>
      <c r="J783" s="5">
        <v>1</v>
      </c>
      <c r="K783" s="5">
        <v>1</v>
      </c>
      <c r="L783" s="4">
        <v>420</v>
      </c>
      <c r="M783" s="4">
        <v>322</v>
      </c>
      <c r="N783" s="4">
        <v>219</v>
      </c>
      <c r="O783" s="6">
        <f t="shared" si="116"/>
        <v>0.31987577639751552</v>
      </c>
      <c r="P783" s="4" t="s">
        <v>2500</v>
      </c>
      <c r="Q783" s="4"/>
      <c r="R783" s="4"/>
      <c r="S783" s="4"/>
      <c r="T783" s="4"/>
      <c r="U783" s="4"/>
      <c r="V783" s="4"/>
      <c r="W783" s="4"/>
      <c r="X783" s="4"/>
      <c r="Y783" s="4">
        <v>337</v>
      </c>
      <c r="Z783" s="4">
        <f t="shared" si="117"/>
        <v>337</v>
      </c>
      <c r="AA783" s="4">
        <v>219</v>
      </c>
      <c r="AB783" s="4">
        <f t="shared" si="118"/>
        <v>219</v>
      </c>
      <c r="AC783" s="4"/>
      <c r="AD783" s="21">
        <f>ROUND(M783*AR783,0)</f>
        <v>322</v>
      </c>
      <c r="AE783" s="6">
        <f>1-AB783/AD783</f>
        <v>0.31987577639751552</v>
      </c>
      <c r="AF783" s="33">
        <v>0</v>
      </c>
      <c r="AG783" s="4">
        <f t="shared" si="119"/>
        <v>490</v>
      </c>
      <c r="AH783" s="33">
        <f t="shared" si="121"/>
        <v>490</v>
      </c>
      <c r="AI783" s="6">
        <f>1-AB783/AH783</f>
        <v>0.55306122448979589</v>
      </c>
      <c r="AJ783" s="7">
        <f>ROUND(AB783/0.65,0)</f>
        <v>337</v>
      </c>
      <c r="AK783" s="6">
        <f>1-AB783/AJ783</f>
        <v>0.35014836795252224</v>
      </c>
      <c r="AL783" s="4">
        <f>AJ783-AB783</f>
        <v>118</v>
      </c>
      <c r="AM783" s="28"/>
      <c r="AN783" s="6"/>
      <c r="AO783" s="6"/>
      <c r="AP783" s="6">
        <f>Z783/L783</f>
        <v>0.80238095238095242</v>
      </c>
      <c r="AQ783" s="6">
        <f>AJ783/M783</f>
        <v>1.0465838509316769</v>
      </c>
      <c r="AR783" s="6">
        <f>AB783/N783</f>
        <v>1</v>
      </c>
      <c r="AS783" s="4"/>
      <c r="AT783" s="4"/>
      <c r="AU783" s="4"/>
      <c r="AV783" s="4"/>
      <c r="AW783" s="4"/>
      <c r="AX783" s="4"/>
      <c r="AY783" s="4"/>
      <c r="AZ783" s="4"/>
      <c r="BA783" s="4"/>
      <c r="BB783" s="4">
        <v>0</v>
      </c>
      <c r="BC783" s="4" t="s">
        <v>4254</v>
      </c>
      <c r="BD783" s="4">
        <v>1</v>
      </c>
      <c r="BE783" s="4">
        <v>4</v>
      </c>
      <c r="BF783" s="4" t="s">
        <v>4243</v>
      </c>
      <c r="BG783" s="4">
        <v>1960</v>
      </c>
      <c r="BH783" s="4">
        <v>1960</v>
      </c>
      <c r="BI783" s="4">
        <f t="shared" si="120"/>
        <v>490</v>
      </c>
      <c r="BJ783" s="19">
        <v>4</v>
      </c>
      <c r="BK783" s="19">
        <v>8</v>
      </c>
      <c r="BL783" s="16">
        <v>6</v>
      </c>
      <c r="BM783" s="45" t="s">
        <v>3534</v>
      </c>
      <c r="BN783" t="s">
        <v>3534</v>
      </c>
      <c r="BO783" t="str">
        <f t="shared" si="122"/>
        <v>-</v>
      </c>
      <c r="BP783" t="s">
        <v>3534</v>
      </c>
      <c r="BQ783">
        <v>420</v>
      </c>
      <c r="BR783">
        <f t="shared" si="123"/>
        <v>420</v>
      </c>
      <c r="BS783" t="s">
        <v>3120</v>
      </c>
    </row>
    <row r="784" spans="1:71" x14ac:dyDescent="0.4">
      <c r="A784" s="3">
        <v>781</v>
      </c>
      <c r="B784" s="3">
        <v>781</v>
      </c>
      <c r="C784" s="4" t="s">
        <v>843</v>
      </c>
      <c r="D784" s="4" t="str">
        <f t="shared" si="115"/>
        <v>J6643P</v>
      </c>
      <c r="E784" s="4" t="s">
        <v>843</v>
      </c>
      <c r="F784" s="4" t="s">
        <v>2061</v>
      </c>
      <c r="G784" s="5">
        <v>4521718208114</v>
      </c>
      <c r="H784" s="5"/>
      <c r="I784" s="5"/>
      <c r="J784" s="5">
        <v>1</v>
      </c>
      <c r="K784" s="5">
        <v>1</v>
      </c>
      <c r="L784" s="4">
        <v>1580</v>
      </c>
      <c r="M784" s="4">
        <v>1033</v>
      </c>
      <c r="N784" s="4">
        <v>709</v>
      </c>
      <c r="O784" s="6">
        <f t="shared" si="116"/>
        <v>0.31364956437560498</v>
      </c>
      <c r="P784" s="4" t="s">
        <v>2500</v>
      </c>
      <c r="Q784" s="4"/>
      <c r="R784" s="4"/>
      <c r="S784" s="4"/>
      <c r="T784" s="4"/>
      <c r="U784" s="4"/>
      <c r="V784" s="4"/>
      <c r="W784" s="4"/>
      <c r="X784" s="4"/>
      <c r="Y784" s="4">
        <v>1091</v>
      </c>
      <c r="Z784" s="4">
        <f t="shared" si="117"/>
        <v>1091</v>
      </c>
      <c r="AA784" s="4">
        <v>709</v>
      </c>
      <c r="AB784" s="4">
        <f t="shared" si="118"/>
        <v>709</v>
      </c>
      <c r="AC784" s="4"/>
      <c r="AD784" s="21">
        <f>ROUND(M784*AR784,0)</f>
        <v>1033</v>
      </c>
      <c r="AE784" s="6">
        <f>1-AB784/AD784</f>
        <v>0.31364956437560498</v>
      </c>
      <c r="AF784" s="33">
        <v>0</v>
      </c>
      <c r="AG784" s="4">
        <f t="shared" si="119"/>
        <v>1666</v>
      </c>
      <c r="AH784" s="33">
        <f t="shared" si="121"/>
        <v>1666</v>
      </c>
      <c r="AI784" s="6">
        <f>1-AB784/AH784</f>
        <v>0.57442977190876343</v>
      </c>
      <c r="AJ784" s="7">
        <f>ROUND(AB784/0.65,0)</f>
        <v>1091</v>
      </c>
      <c r="AK784" s="6">
        <f>1-AB784/AJ784</f>
        <v>0.3501374885426215</v>
      </c>
      <c r="AL784" s="4">
        <f>AJ784-AB784</f>
        <v>382</v>
      </c>
      <c r="AM784" s="28"/>
      <c r="AN784" s="6"/>
      <c r="AO784" s="6"/>
      <c r="AP784" s="6">
        <f>Z784/L784</f>
        <v>0.69050632911392407</v>
      </c>
      <c r="AQ784" s="6">
        <f>AJ784/M784</f>
        <v>1.0561471442400774</v>
      </c>
      <c r="AR784" s="6">
        <f>AB784/N784</f>
        <v>1</v>
      </c>
      <c r="AS784" s="4"/>
      <c r="AT784" s="4"/>
      <c r="AU784" s="4"/>
      <c r="AV784" s="4"/>
      <c r="AW784" s="4"/>
      <c r="AX784" s="4"/>
      <c r="AY784" s="4"/>
      <c r="AZ784" s="4"/>
      <c r="BA784" s="4"/>
      <c r="BB784" s="4">
        <v>0</v>
      </c>
      <c r="BC784" s="4" t="s">
        <v>4255</v>
      </c>
      <c r="BD784" s="4">
        <v>1</v>
      </c>
      <c r="BE784" s="4">
        <v>2</v>
      </c>
      <c r="BF784" s="4" t="s">
        <v>3901</v>
      </c>
      <c r="BG784" s="4">
        <v>3332</v>
      </c>
      <c r="BH784" s="4">
        <v>3332</v>
      </c>
      <c r="BI784" s="4">
        <f t="shared" si="120"/>
        <v>1666</v>
      </c>
      <c r="BJ784" s="19">
        <v>4</v>
      </c>
      <c r="BK784" s="19">
        <v>8</v>
      </c>
      <c r="BL784" s="16">
        <v>6</v>
      </c>
      <c r="BM784" s="45" t="s">
        <v>3534</v>
      </c>
      <c r="BN784" t="s">
        <v>3534</v>
      </c>
      <c r="BO784" t="str">
        <f t="shared" si="122"/>
        <v>-</v>
      </c>
      <c r="BP784" t="s">
        <v>3534</v>
      </c>
      <c r="BQ784">
        <v>1691</v>
      </c>
      <c r="BR784">
        <f t="shared" si="123"/>
        <v>1691</v>
      </c>
      <c r="BS784" t="s">
        <v>3121</v>
      </c>
    </row>
    <row r="785" spans="1:71" x14ac:dyDescent="0.4">
      <c r="A785" s="3">
        <v>782</v>
      </c>
      <c r="B785" s="3">
        <v>782</v>
      </c>
      <c r="C785" s="4" t="s">
        <v>844</v>
      </c>
      <c r="D785" s="4" t="str">
        <f t="shared" si="115"/>
        <v>J6641P</v>
      </c>
      <c r="E785" s="4" t="s">
        <v>844</v>
      </c>
      <c r="F785" s="4" t="s">
        <v>2062</v>
      </c>
      <c r="G785" s="5">
        <v>4521718202914</v>
      </c>
      <c r="H785" s="5"/>
      <c r="I785" s="5"/>
      <c r="J785" s="5">
        <v>1</v>
      </c>
      <c r="K785" s="5">
        <v>1</v>
      </c>
      <c r="L785" s="4">
        <v>290</v>
      </c>
      <c r="M785" s="4">
        <v>214</v>
      </c>
      <c r="N785" s="4">
        <v>148</v>
      </c>
      <c r="O785" s="6">
        <f t="shared" si="116"/>
        <v>0.30841121495327106</v>
      </c>
      <c r="P785" s="4" t="s">
        <v>2500</v>
      </c>
      <c r="Q785" s="4"/>
      <c r="R785" s="4"/>
      <c r="S785" s="4"/>
      <c r="T785" s="4"/>
      <c r="U785" s="4"/>
      <c r="V785" s="4"/>
      <c r="W785" s="4"/>
      <c r="X785" s="4"/>
      <c r="Y785" s="4">
        <v>228</v>
      </c>
      <c r="Z785" s="4">
        <f t="shared" si="117"/>
        <v>228</v>
      </c>
      <c r="AA785" s="4">
        <v>148</v>
      </c>
      <c r="AB785" s="4">
        <f t="shared" si="118"/>
        <v>148</v>
      </c>
      <c r="AC785" s="4"/>
      <c r="AD785" s="21">
        <f>ROUND(M785*AR785,0)</f>
        <v>214</v>
      </c>
      <c r="AE785" s="6">
        <f>1-AB785/AD785</f>
        <v>0.30841121495327106</v>
      </c>
      <c r="AF785" s="33">
        <v>7.75</v>
      </c>
      <c r="AG785" s="4">
        <f t="shared" si="119"/>
        <v>330</v>
      </c>
      <c r="AH785" s="33">
        <f t="shared" si="121"/>
        <v>330</v>
      </c>
      <c r="AI785" s="6">
        <f>1-AB785/AH785</f>
        <v>0.55151515151515151</v>
      </c>
      <c r="AJ785" s="7">
        <f>ROUND(AB785/0.65,0)</f>
        <v>228</v>
      </c>
      <c r="AK785" s="6">
        <f>1-AB785/AJ785</f>
        <v>0.35087719298245612</v>
      </c>
      <c r="AL785" s="4">
        <f>AJ785-AB785</f>
        <v>80</v>
      </c>
      <c r="AM785" s="28"/>
      <c r="AN785" s="6"/>
      <c r="AO785" s="6"/>
      <c r="AP785" s="6">
        <f>Z785/L785</f>
        <v>0.78620689655172415</v>
      </c>
      <c r="AQ785" s="6">
        <f>AJ785/M785</f>
        <v>1.0654205607476634</v>
      </c>
      <c r="AR785" s="6">
        <f>AB785/N785</f>
        <v>1</v>
      </c>
      <c r="AS785" s="4"/>
      <c r="AT785" s="4"/>
      <c r="AU785" s="4"/>
      <c r="AV785" s="4"/>
      <c r="AW785" s="4"/>
      <c r="AX785" s="4"/>
      <c r="AY785" s="4"/>
      <c r="AZ785" s="4"/>
      <c r="BA785" s="4"/>
      <c r="BB785" s="4">
        <v>0</v>
      </c>
      <c r="BC785" s="4" t="s">
        <v>4256</v>
      </c>
      <c r="BD785" s="4">
        <v>1</v>
      </c>
      <c r="BE785" s="4">
        <v>5</v>
      </c>
      <c r="BF785" s="4" t="s">
        <v>4239</v>
      </c>
      <c r="BG785" s="4">
        <v>1650</v>
      </c>
      <c r="BH785" s="4">
        <v>1650</v>
      </c>
      <c r="BI785" s="4">
        <f t="shared" si="120"/>
        <v>330</v>
      </c>
      <c r="BJ785" s="19">
        <v>4</v>
      </c>
      <c r="BK785" s="19">
        <v>8</v>
      </c>
      <c r="BL785" s="16">
        <v>6</v>
      </c>
      <c r="BM785" s="45" t="s">
        <v>3534</v>
      </c>
      <c r="BN785" t="s">
        <v>3534</v>
      </c>
      <c r="BO785" t="str">
        <f t="shared" si="122"/>
        <v>-</v>
      </c>
      <c r="BP785" t="s">
        <v>3534</v>
      </c>
      <c r="BQ785">
        <v>290</v>
      </c>
      <c r="BR785">
        <f t="shared" si="123"/>
        <v>290</v>
      </c>
      <c r="BS785" t="s">
        <v>3122</v>
      </c>
    </row>
    <row r="786" spans="1:71" x14ac:dyDescent="0.4">
      <c r="A786" s="3">
        <v>783</v>
      </c>
      <c r="B786" s="3">
        <v>783</v>
      </c>
      <c r="C786" s="4" t="s">
        <v>845</v>
      </c>
      <c r="D786" s="4" t="str">
        <f t="shared" si="115"/>
        <v>J6644P</v>
      </c>
      <c r="E786" s="4" t="s">
        <v>845</v>
      </c>
      <c r="F786" s="4" t="s">
        <v>2063</v>
      </c>
      <c r="G786" s="5">
        <v>4521718232164</v>
      </c>
      <c r="H786" s="5"/>
      <c r="I786" s="5"/>
      <c r="J786" s="5">
        <v>1</v>
      </c>
      <c r="K786" s="5">
        <v>1</v>
      </c>
      <c r="L786" s="4">
        <v>660</v>
      </c>
      <c r="M786" s="4">
        <v>498</v>
      </c>
      <c r="N786" s="4">
        <v>343</v>
      </c>
      <c r="O786" s="6">
        <f t="shared" si="116"/>
        <v>0.3112449799196787</v>
      </c>
      <c r="P786" s="4" t="s">
        <v>2500</v>
      </c>
      <c r="Q786" s="4"/>
      <c r="R786" s="4"/>
      <c r="S786" s="4"/>
      <c r="T786" s="4"/>
      <c r="U786" s="4"/>
      <c r="V786" s="4"/>
      <c r="W786" s="4"/>
      <c r="X786" s="4"/>
      <c r="Y786" s="4">
        <v>537</v>
      </c>
      <c r="Z786" s="4">
        <f t="shared" si="117"/>
        <v>537</v>
      </c>
      <c r="AA786" s="4">
        <v>349</v>
      </c>
      <c r="AB786" s="4">
        <f t="shared" si="118"/>
        <v>349</v>
      </c>
      <c r="AC786" s="4"/>
      <c r="AD786" s="21">
        <f>ROUND(M786*AR786,0)</f>
        <v>507</v>
      </c>
      <c r="AE786" s="6">
        <f>1-AB786/AD786</f>
        <v>0.31163708086785014</v>
      </c>
      <c r="AF786" s="33">
        <v>0</v>
      </c>
      <c r="AG786" s="4">
        <f t="shared" si="119"/>
        <v>678</v>
      </c>
      <c r="AH786" s="33">
        <f t="shared" si="121"/>
        <v>689.86005830903787</v>
      </c>
      <c r="AI786" s="6">
        <f>1-AB786/AH786</f>
        <v>0.49410029498525077</v>
      </c>
      <c r="AJ786" s="7">
        <f>ROUND(AB786/0.65,0)</f>
        <v>537</v>
      </c>
      <c r="AK786" s="6">
        <f>1-AB786/AJ786</f>
        <v>0.35009310986964615</v>
      </c>
      <c r="AL786" s="4">
        <f>AJ786-AB786</f>
        <v>188</v>
      </c>
      <c r="AM786" s="28"/>
      <c r="AN786" s="6"/>
      <c r="AO786" s="6"/>
      <c r="AP786" s="6">
        <f>Z786/L786</f>
        <v>0.8136363636363636</v>
      </c>
      <c r="AQ786" s="6">
        <f>AJ786/M786</f>
        <v>1.0783132530120483</v>
      </c>
      <c r="AR786" s="6">
        <f>AB786/N786</f>
        <v>1.0174927113702623</v>
      </c>
      <c r="AS786" s="4"/>
      <c r="AT786" s="4"/>
      <c r="AU786" s="4"/>
      <c r="AV786" s="4"/>
      <c r="AW786" s="4"/>
      <c r="AX786" s="4"/>
      <c r="AY786" s="4"/>
      <c r="AZ786" s="4"/>
      <c r="BA786" s="4"/>
      <c r="BB786" s="4">
        <v>0</v>
      </c>
      <c r="BC786" s="4" t="s">
        <v>4257</v>
      </c>
      <c r="BD786" s="4">
        <v>1</v>
      </c>
      <c r="BE786" s="4">
        <v>3</v>
      </c>
      <c r="BF786" s="4" t="s">
        <v>4193</v>
      </c>
      <c r="BG786" s="4">
        <v>2034</v>
      </c>
      <c r="BH786" s="4">
        <v>2034</v>
      </c>
      <c r="BI786" s="4">
        <f t="shared" si="120"/>
        <v>678</v>
      </c>
      <c r="BJ786" s="19">
        <v>4</v>
      </c>
      <c r="BK786" s="19">
        <v>8</v>
      </c>
      <c r="BL786" s="16">
        <v>6</v>
      </c>
      <c r="BM786" s="45" t="s">
        <v>3534</v>
      </c>
      <c r="BN786" t="s">
        <v>3534</v>
      </c>
      <c r="BO786" t="str">
        <f t="shared" si="122"/>
        <v>-</v>
      </c>
      <c r="BP786" t="s">
        <v>3534</v>
      </c>
      <c r="BQ786">
        <v>660</v>
      </c>
      <c r="BR786">
        <f t="shared" si="123"/>
        <v>671.54518950437318</v>
      </c>
      <c r="BS786" t="s">
        <v>3123</v>
      </c>
    </row>
    <row r="787" spans="1:71" x14ac:dyDescent="0.4">
      <c r="A787" s="3">
        <v>784</v>
      </c>
      <c r="B787" s="3">
        <v>784</v>
      </c>
      <c r="C787" s="4" t="s">
        <v>846</v>
      </c>
      <c r="D787" s="4" t="str">
        <f t="shared" si="115"/>
        <v>J6647P</v>
      </c>
      <c r="E787" s="4" t="s">
        <v>846</v>
      </c>
      <c r="F787" s="4" t="s">
        <v>2064</v>
      </c>
      <c r="G787" s="5">
        <v>4521718233031</v>
      </c>
      <c r="H787" s="5"/>
      <c r="I787" s="5"/>
      <c r="J787" s="5">
        <v>1</v>
      </c>
      <c r="K787" s="5">
        <v>1</v>
      </c>
      <c r="L787" s="4">
        <v>750</v>
      </c>
      <c r="M787" s="4">
        <v>568</v>
      </c>
      <c r="N787" s="4">
        <v>420</v>
      </c>
      <c r="O787" s="6">
        <f t="shared" si="116"/>
        <v>0.26056338028169013</v>
      </c>
      <c r="P787" s="4" t="s">
        <v>2500</v>
      </c>
      <c r="Q787" s="4"/>
      <c r="R787" s="4"/>
      <c r="S787" s="4"/>
      <c r="T787" s="4"/>
      <c r="U787" s="4"/>
      <c r="V787" s="4"/>
      <c r="W787" s="4"/>
      <c r="X787" s="4"/>
      <c r="Y787" s="4">
        <v>600</v>
      </c>
      <c r="Z787" s="4">
        <f t="shared" si="117"/>
        <v>600</v>
      </c>
      <c r="AA787" s="4">
        <v>420</v>
      </c>
      <c r="AB787" s="4">
        <f t="shared" si="118"/>
        <v>420</v>
      </c>
      <c r="AC787" s="4"/>
      <c r="AD787" s="21">
        <f>ROUND(M787*AR787,0)</f>
        <v>568</v>
      </c>
      <c r="AE787" s="6">
        <f>1-AB787/AD787</f>
        <v>0.26056338028169013</v>
      </c>
      <c r="AF787" s="33">
        <v>0.75</v>
      </c>
      <c r="AG787" s="4">
        <f t="shared" si="119"/>
        <v>516.4</v>
      </c>
      <c r="AH787" s="33">
        <f t="shared" si="121"/>
        <v>516.4</v>
      </c>
      <c r="AI787" s="6">
        <f>1-AB787/AH787</f>
        <v>0.18667699457784659</v>
      </c>
      <c r="AJ787" s="7">
        <v>600</v>
      </c>
      <c r="AK787" s="6">
        <f>1-AB787/AJ787</f>
        <v>0.30000000000000004</v>
      </c>
      <c r="AL787" s="4">
        <f>AJ787-AB787</f>
        <v>180</v>
      </c>
      <c r="AM787" s="28"/>
      <c r="AN787" s="6"/>
      <c r="AO787" s="6"/>
      <c r="AP787" s="6">
        <f>Z787/L787</f>
        <v>0.8</v>
      </c>
      <c r="AQ787" s="6">
        <f>AJ787/M787</f>
        <v>1.056338028169014</v>
      </c>
      <c r="AR787" s="6">
        <f>AB787/N787</f>
        <v>1</v>
      </c>
      <c r="AS787" s="4"/>
      <c r="AT787" s="4"/>
      <c r="AU787" s="4"/>
      <c r="AV787" s="4"/>
      <c r="AW787" s="4"/>
      <c r="AX787" s="4"/>
      <c r="AY787" s="4"/>
      <c r="AZ787" s="4"/>
      <c r="BA787" s="4"/>
      <c r="BB787" s="4">
        <v>0</v>
      </c>
      <c r="BC787" s="4" t="s">
        <v>4258</v>
      </c>
      <c r="BD787" s="4">
        <v>1</v>
      </c>
      <c r="BE787" s="4">
        <v>5</v>
      </c>
      <c r="BF787" s="4" t="s">
        <v>3790</v>
      </c>
      <c r="BG787" s="4">
        <v>2582</v>
      </c>
      <c r="BH787" s="4">
        <v>2582</v>
      </c>
      <c r="BI787" s="4">
        <f t="shared" si="120"/>
        <v>516.4</v>
      </c>
      <c r="BJ787" s="19">
        <v>4</v>
      </c>
      <c r="BK787" s="19">
        <v>8</v>
      </c>
      <c r="BL787" s="16">
        <v>6</v>
      </c>
      <c r="BM787" s="45" t="s">
        <v>3534</v>
      </c>
      <c r="BN787" t="s">
        <v>3534</v>
      </c>
      <c r="BO787" t="str">
        <f t="shared" si="122"/>
        <v>-</v>
      </c>
      <c r="BP787" t="s">
        <v>3534</v>
      </c>
      <c r="BQ787">
        <v>750</v>
      </c>
      <c r="BR787">
        <f t="shared" si="123"/>
        <v>750</v>
      </c>
      <c r="BS787" t="s">
        <v>3124</v>
      </c>
    </row>
    <row r="788" spans="1:71" x14ac:dyDescent="0.4">
      <c r="A788" s="42">
        <v>785</v>
      </c>
      <c r="B788" s="3">
        <v>785</v>
      </c>
      <c r="C788" s="4" t="s">
        <v>847</v>
      </c>
      <c r="D788" s="4" t="str">
        <f t="shared" si="115"/>
        <v>J664WG</v>
      </c>
      <c r="E788" s="4" t="s">
        <v>847</v>
      </c>
      <c r="F788" s="4" t="s">
        <v>2065</v>
      </c>
      <c r="G788" s="5">
        <v>4521718184296</v>
      </c>
      <c r="H788" s="5"/>
      <c r="I788" s="5"/>
      <c r="J788" s="5">
        <v>1</v>
      </c>
      <c r="K788" s="5">
        <v>1</v>
      </c>
      <c r="L788" s="4">
        <v>4090</v>
      </c>
      <c r="M788" s="4">
        <v>2860</v>
      </c>
      <c r="N788" s="4">
        <v>2127</v>
      </c>
      <c r="O788" s="6">
        <f t="shared" si="116"/>
        <v>0.25629370629370629</v>
      </c>
      <c r="P788" s="4" t="s">
        <v>2500</v>
      </c>
      <c r="Q788" s="4"/>
      <c r="R788" s="4"/>
      <c r="S788" s="4"/>
      <c r="T788" s="4"/>
      <c r="U788" s="4"/>
      <c r="V788" s="4"/>
      <c r="W788" s="4"/>
      <c r="X788" s="4"/>
      <c r="Y788" s="4">
        <v>3273</v>
      </c>
      <c r="Z788" s="4">
        <f t="shared" si="117"/>
        <v>3273</v>
      </c>
      <c r="AA788" s="4">
        <v>2291</v>
      </c>
      <c r="AB788" s="4">
        <f t="shared" si="118"/>
        <v>2291</v>
      </c>
      <c r="AC788" s="4"/>
      <c r="AD788" s="21">
        <f>ROUND(M788*AR788,0)</f>
        <v>3081</v>
      </c>
      <c r="AE788" s="6">
        <f>1-AB788/AD788</f>
        <v>0.25641025641025639</v>
      </c>
      <c r="AF788" s="33">
        <v>0</v>
      </c>
      <c r="AG788" s="4">
        <f t="shared" si="119"/>
        <v>4090</v>
      </c>
      <c r="AH788" s="33">
        <f t="shared" si="121"/>
        <v>4405.3549600376118</v>
      </c>
      <c r="AI788" s="6">
        <f>1-AB788/AH788</f>
        <v>0.47995110024449883</v>
      </c>
      <c r="AJ788" s="7">
        <v>3273</v>
      </c>
      <c r="AK788" s="6">
        <f>1-AB788/AJ788</f>
        <v>0.30003055300947146</v>
      </c>
      <c r="AL788" s="4">
        <f>AJ788-AB788</f>
        <v>982</v>
      </c>
      <c r="AM788" s="28"/>
      <c r="AN788" s="6"/>
      <c r="AO788" s="6"/>
      <c r="AP788" s="6">
        <f>Z788/L788</f>
        <v>0.80024449877750614</v>
      </c>
      <c r="AQ788" s="6">
        <f>AJ788/M788</f>
        <v>1.1444055944055944</v>
      </c>
      <c r="AR788" s="6">
        <f>AB788/N788</f>
        <v>1.0771039022096851</v>
      </c>
      <c r="AS788" s="4"/>
      <c r="AT788" s="4"/>
      <c r="AU788" s="4"/>
      <c r="AV788" s="4"/>
      <c r="AW788" s="4"/>
      <c r="AX788" s="4"/>
      <c r="AY788" s="4"/>
      <c r="AZ788" s="4"/>
      <c r="BA788" s="4"/>
      <c r="BB788" s="4">
        <v>0</v>
      </c>
      <c r="BC788" s="4" t="s">
        <v>4259</v>
      </c>
      <c r="BD788" s="4"/>
      <c r="BE788" s="4"/>
      <c r="BF788" s="4" t="s">
        <v>3538</v>
      </c>
      <c r="BG788" s="4">
        <v>4090</v>
      </c>
      <c r="BH788" s="4">
        <v>4090</v>
      </c>
      <c r="BI788" s="4">
        <f t="shared" si="120"/>
        <v>4090</v>
      </c>
      <c r="BJ788" s="19">
        <v>2</v>
      </c>
      <c r="BK788" s="19">
        <v>8</v>
      </c>
      <c r="BL788" s="16">
        <v>6</v>
      </c>
      <c r="BM788" s="45" t="s">
        <v>3534</v>
      </c>
      <c r="BN788" t="s">
        <v>3534</v>
      </c>
      <c r="BO788" t="str">
        <f t="shared" si="122"/>
        <v>-</v>
      </c>
      <c r="BP788" t="s">
        <v>3534</v>
      </c>
      <c r="BQ788">
        <v>3886</v>
      </c>
      <c r="BR788">
        <f t="shared" si="123"/>
        <v>4185.6257639868363</v>
      </c>
      <c r="BS788" t="s">
        <v>3125</v>
      </c>
    </row>
    <row r="789" spans="1:71" x14ac:dyDescent="0.4">
      <c r="A789" s="3">
        <v>786</v>
      </c>
      <c r="B789" s="3">
        <v>786</v>
      </c>
      <c r="C789" s="4" t="s">
        <v>848</v>
      </c>
      <c r="D789" s="4" t="str">
        <f t="shared" si="115"/>
        <v>J6650P</v>
      </c>
      <c r="E789" s="4" t="s">
        <v>848</v>
      </c>
      <c r="F789" s="4" t="s">
        <v>2066</v>
      </c>
      <c r="G789" s="5">
        <v>4521718233352</v>
      </c>
      <c r="H789" s="5"/>
      <c r="I789" s="5"/>
      <c r="J789" s="5">
        <v>1</v>
      </c>
      <c r="K789" s="5">
        <v>1</v>
      </c>
      <c r="L789" s="4">
        <v>1000</v>
      </c>
      <c r="M789" s="4">
        <v>760</v>
      </c>
      <c r="N789" s="4">
        <v>520</v>
      </c>
      <c r="O789" s="6">
        <f t="shared" si="116"/>
        <v>0.31578947368421051</v>
      </c>
      <c r="P789" s="4" t="s">
        <v>2500</v>
      </c>
      <c r="Q789" s="4"/>
      <c r="R789" s="4"/>
      <c r="S789" s="4"/>
      <c r="T789" s="4"/>
      <c r="U789" s="4"/>
      <c r="V789" s="4"/>
      <c r="W789" s="4"/>
      <c r="X789" s="4"/>
      <c r="Y789" s="4">
        <v>800</v>
      </c>
      <c r="Z789" s="4">
        <f t="shared" si="117"/>
        <v>800</v>
      </c>
      <c r="AA789" s="4">
        <v>520</v>
      </c>
      <c r="AB789" s="4">
        <f t="shared" si="118"/>
        <v>520</v>
      </c>
      <c r="AC789" s="4"/>
      <c r="AD789" s="21">
        <f>ROUND(M789*AR789,0)</f>
        <v>760</v>
      </c>
      <c r="AE789" s="6">
        <f>1-AB789/AD789</f>
        <v>0.31578947368421051</v>
      </c>
      <c r="AF789" s="33">
        <v>2</v>
      </c>
      <c r="AG789" s="4">
        <f t="shared" si="119"/>
        <v>1150</v>
      </c>
      <c r="AH789" s="33">
        <f t="shared" si="121"/>
        <v>1150</v>
      </c>
      <c r="AI789" s="6">
        <f>1-AB789/AH789</f>
        <v>0.54782608695652169</v>
      </c>
      <c r="AJ789" s="7">
        <v>800</v>
      </c>
      <c r="AK789" s="6">
        <f>1-AB789/AJ789</f>
        <v>0.35</v>
      </c>
      <c r="AL789" s="4">
        <f>AJ789-AB789</f>
        <v>280</v>
      </c>
      <c r="AM789" s="28"/>
      <c r="AN789" s="6"/>
      <c r="AO789" s="6"/>
      <c r="AP789" s="6">
        <f>Z789/L789</f>
        <v>0.8</v>
      </c>
      <c r="AQ789" s="6">
        <f>AJ789/M789</f>
        <v>1.0526315789473684</v>
      </c>
      <c r="AR789" s="6">
        <f>AB789/N789</f>
        <v>1</v>
      </c>
      <c r="AS789" s="4"/>
      <c r="AT789" s="4"/>
      <c r="AU789" s="4"/>
      <c r="AV789" s="4"/>
      <c r="AW789" s="4"/>
      <c r="AX789" s="4"/>
      <c r="AY789" s="4"/>
      <c r="AZ789" s="4"/>
      <c r="BA789" s="4"/>
      <c r="BB789" s="4">
        <v>0</v>
      </c>
      <c r="BC789" s="4" t="s">
        <v>4260</v>
      </c>
      <c r="BD789" s="4">
        <v>1</v>
      </c>
      <c r="BE789" s="4">
        <v>2</v>
      </c>
      <c r="BF789" s="4" t="s">
        <v>3901</v>
      </c>
      <c r="BG789" s="4">
        <v>2300</v>
      </c>
      <c r="BH789" s="4">
        <v>2300</v>
      </c>
      <c r="BI789" s="4">
        <f t="shared" si="120"/>
        <v>1150</v>
      </c>
      <c r="BJ789" s="19">
        <v>4</v>
      </c>
      <c r="BK789" s="19">
        <v>8</v>
      </c>
      <c r="BL789" s="16">
        <v>6</v>
      </c>
      <c r="BM789" s="45" t="s">
        <v>3534</v>
      </c>
      <c r="BN789" t="s">
        <v>3534</v>
      </c>
      <c r="BO789" t="str">
        <f t="shared" si="122"/>
        <v>-</v>
      </c>
      <c r="BP789" t="s">
        <v>3534</v>
      </c>
      <c r="BQ789">
        <v>800</v>
      </c>
      <c r="BR789">
        <f t="shared" si="123"/>
        <v>800</v>
      </c>
      <c r="BS789" t="s">
        <v>3126</v>
      </c>
    </row>
    <row r="790" spans="1:71" x14ac:dyDescent="0.4">
      <c r="A790" s="3">
        <v>787</v>
      </c>
      <c r="B790" s="3">
        <v>787</v>
      </c>
      <c r="C790" s="4" t="s">
        <v>849</v>
      </c>
      <c r="D790" s="4" t="str">
        <f t="shared" si="115"/>
        <v>J6651P</v>
      </c>
      <c r="E790" s="4" t="s">
        <v>849</v>
      </c>
      <c r="F790" s="4" t="s">
        <v>2067</v>
      </c>
      <c r="G790" s="5">
        <v>4521718233680</v>
      </c>
      <c r="H790" s="5"/>
      <c r="I790" s="5"/>
      <c r="J790" s="5">
        <v>1</v>
      </c>
      <c r="K790" s="5">
        <v>1</v>
      </c>
      <c r="L790" s="4">
        <v>1650</v>
      </c>
      <c r="M790" s="4">
        <v>1254</v>
      </c>
      <c r="N790" s="4">
        <v>923</v>
      </c>
      <c r="O790" s="6">
        <f t="shared" si="116"/>
        <v>0.26395534290271128</v>
      </c>
      <c r="P790" s="4" t="s">
        <v>2500</v>
      </c>
      <c r="Q790" s="4"/>
      <c r="R790" s="4"/>
      <c r="S790" s="4"/>
      <c r="T790" s="4"/>
      <c r="U790" s="4"/>
      <c r="V790" s="4"/>
      <c r="W790" s="4"/>
      <c r="X790" s="4"/>
      <c r="Y790" s="4">
        <v>1319</v>
      </c>
      <c r="Z790" s="4">
        <f t="shared" si="117"/>
        <v>1319</v>
      </c>
      <c r="AA790" s="4">
        <v>923</v>
      </c>
      <c r="AB790" s="4">
        <f t="shared" si="118"/>
        <v>923</v>
      </c>
      <c r="AC790" s="4"/>
      <c r="AD790" s="21">
        <f>ROUND(M790*AR790,0)</f>
        <v>1254</v>
      </c>
      <c r="AE790" s="6">
        <f>1-AB790/AD790</f>
        <v>0.26395534290271128</v>
      </c>
      <c r="AF790" s="33">
        <v>0</v>
      </c>
      <c r="AG790" s="4">
        <f t="shared" si="119"/>
        <v>1730</v>
      </c>
      <c r="AH790" s="33">
        <f t="shared" si="121"/>
        <v>1730</v>
      </c>
      <c r="AI790" s="6">
        <f>1-AB790/AH790</f>
        <v>0.46647398843930632</v>
      </c>
      <c r="AJ790" s="7">
        <v>1319</v>
      </c>
      <c r="AK790" s="6">
        <f>1-AB790/AJ790</f>
        <v>0.3002274450341168</v>
      </c>
      <c r="AL790" s="4">
        <f>AJ790-AB790</f>
        <v>396</v>
      </c>
      <c r="AM790" s="28"/>
      <c r="AN790" s="6"/>
      <c r="AO790" s="6"/>
      <c r="AP790" s="6">
        <f>Z790/L790</f>
        <v>0.79939393939393943</v>
      </c>
      <c r="AQ790" s="6">
        <f>AJ790/M790</f>
        <v>1.0518341307814991</v>
      </c>
      <c r="AR790" s="6">
        <f>AB790/N790</f>
        <v>1</v>
      </c>
      <c r="AS790" s="4"/>
      <c r="AT790" s="4"/>
      <c r="AU790" s="4"/>
      <c r="AV790" s="4"/>
      <c r="AW790" s="4"/>
      <c r="AX790" s="4"/>
      <c r="AY790" s="4"/>
      <c r="AZ790" s="4"/>
      <c r="BA790" s="4"/>
      <c r="BB790" s="4">
        <v>0</v>
      </c>
      <c r="BC790" s="4" t="s">
        <v>4261</v>
      </c>
      <c r="BD790" s="4"/>
      <c r="BE790" s="4"/>
      <c r="BF790" s="4" t="s">
        <v>3874</v>
      </c>
      <c r="BG790" s="4">
        <v>1730</v>
      </c>
      <c r="BH790" s="4">
        <v>1730</v>
      </c>
      <c r="BI790" s="4">
        <f t="shared" si="120"/>
        <v>1730</v>
      </c>
      <c r="BJ790" s="19">
        <v>4</v>
      </c>
      <c r="BK790" s="19">
        <v>8</v>
      </c>
      <c r="BL790" s="16">
        <v>6</v>
      </c>
      <c r="BM790" s="45" t="s">
        <v>3534</v>
      </c>
      <c r="BN790" t="s">
        <v>3534</v>
      </c>
      <c r="BO790" t="str">
        <f t="shared" si="122"/>
        <v>-</v>
      </c>
      <c r="BP790">
        <v>1319</v>
      </c>
      <c r="BQ790">
        <v>1319</v>
      </c>
      <c r="BR790">
        <f t="shared" si="123"/>
        <v>1319</v>
      </c>
      <c r="BS790" t="s">
        <v>3127</v>
      </c>
    </row>
    <row r="791" spans="1:71" x14ac:dyDescent="0.4">
      <c r="A791" s="3">
        <v>788</v>
      </c>
      <c r="B791" s="3">
        <v>788</v>
      </c>
      <c r="C791" s="4" t="s">
        <v>850</v>
      </c>
      <c r="D791" s="4" t="str">
        <f t="shared" ref="D791:D854" si="124">TEXT(C791,"000000")</f>
        <v>J6652P</v>
      </c>
      <c r="E791" s="4" t="s">
        <v>850</v>
      </c>
      <c r="F791" s="4" t="s">
        <v>2068</v>
      </c>
      <c r="G791" s="5">
        <v>4521718233697</v>
      </c>
      <c r="H791" s="5"/>
      <c r="I791" s="5"/>
      <c r="J791" s="5">
        <v>1</v>
      </c>
      <c r="K791" s="5">
        <v>1</v>
      </c>
      <c r="L791" s="4">
        <v>3200</v>
      </c>
      <c r="M791" s="4">
        <v>2432</v>
      </c>
      <c r="N791" s="4">
        <v>1795</v>
      </c>
      <c r="O791" s="6">
        <f t="shared" ref="O791:O854" si="125">1-N791/M791</f>
        <v>0.26192434210526316</v>
      </c>
      <c r="P791" s="4" t="s">
        <v>2500</v>
      </c>
      <c r="Q791" s="4"/>
      <c r="R791" s="4"/>
      <c r="S791" s="4"/>
      <c r="T791" s="4"/>
      <c r="U791" s="4"/>
      <c r="V791" s="4"/>
      <c r="W791" s="4"/>
      <c r="X791" s="4"/>
      <c r="Y791" s="4">
        <v>2546</v>
      </c>
      <c r="Z791" s="4">
        <f t="shared" ref="Z791:Z854" si="126">IF(AC791="",Y791,Y791*AC791)</f>
        <v>2546</v>
      </c>
      <c r="AA791" s="4">
        <v>1782</v>
      </c>
      <c r="AB791" s="4">
        <f t="shared" ref="AB791:AB854" si="127">IF(AC791="",AA791,AA791*AC791)</f>
        <v>1782</v>
      </c>
      <c r="AC791" s="4"/>
      <c r="AD791" s="21">
        <f>ROUND(M791*AR791,0)</f>
        <v>2414</v>
      </c>
      <c r="AE791" s="6">
        <f>1-AB791/AD791</f>
        <v>0.26180613090306548</v>
      </c>
      <c r="AF791" s="33">
        <v>0</v>
      </c>
      <c r="AG791" s="4">
        <f t="shared" ref="AG791:AG854" si="128">BI791</f>
        <v>3200</v>
      </c>
      <c r="AH791" s="33">
        <f t="shared" si="121"/>
        <v>3176.824512534819</v>
      </c>
      <c r="AI791" s="6">
        <f>1-AB791/AH791</f>
        <v>0.43906250000000002</v>
      </c>
      <c r="AJ791" s="7">
        <v>2546</v>
      </c>
      <c r="AK791" s="6">
        <f>1-AB791/AJ791</f>
        <v>0.30007855459544386</v>
      </c>
      <c r="AL791" s="4">
        <f>AJ791-AB791</f>
        <v>764</v>
      </c>
      <c r="AM791" s="28"/>
      <c r="AN791" s="6"/>
      <c r="AO791" s="6"/>
      <c r="AP791" s="6">
        <f>Z791/L791</f>
        <v>0.79562500000000003</v>
      </c>
      <c r="AQ791" s="6">
        <f>AJ791/M791</f>
        <v>1.046875</v>
      </c>
      <c r="AR791" s="6">
        <f>AB791/N791</f>
        <v>0.99275766016713096</v>
      </c>
      <c r="AS791" s="4"/>
      <c r="AT791" s="4"/>
      <c r="AU791" s="4"/>
      <c r="AV791" s="4"/>
      <c r="AW791" s="4"/>
      <c r="AX791" s="4"/>
      <c r="AY791" s="4"/>
      <c r="AZ791" s="4"/>
      <c r="BA791" s="4"/>
      <c r="BB791" s="4">
        <v>0</v>
      </c>
      <c r="BC791" s="4" t="s">
        <v>4262</v>
      </c>
      <c r="BD791" s="4"/>
      <c r="BE791" s="4"/>
      <c r="BF791" s="4" t="s">
        <v>3874</v>
      </c>
      <c r="BG791" s="4">
        <v>3200</v>
      </c>
      <c r="BH791" s="4">
        <v>3200</v>
      </c>
      <c r="BI791" s="4">
        <f t="shared" ref="BI791:BI854" si="129">IF(BD791="",BH791,BD791/BE791*BH791)</f>
        <v>3200</v>
      </c>
      <c r="BJ791" s="19">
        <v>4</v>
      </c>
      <c r="BK791" s="19">
        <v>8</v>
      </c>
      <c r="BL791" s="16">
        <v>6</v>
      </c>
      <c r="BM791" s="45" t="s">
        <v>3534</v>
      </c>
      <c r="BN791" t="s">
        <v>3534</v>
      </c>
      <c r="BO791" t="str">
        <f t="shared" si="122"/>
        <v>-</v>
      </c>
      <c r="BP791">
        <v>2564</v>
      </c>
      <c r="BQ791">
        <v>2564</v>
      </c>
      <c r="BR791">
        <f t="shared" si="123"/>
        <v>2545.4306406685237</v>
      </c>
      <c r="BS791" t="s">
        <v>3128</v>
      </c>
    </row>
    <row r="792" spans="1:71" x14ac:dyDescent="0.4">
      <c r="A792" s="3">
        <v>789</v>
      </c>
      <c r="B792" s="3">
        <v>789</v>
      </c>
      <c r="C792" s="4" t="s">
        <v>851</v>
      </c>
      <c r="D792" s="4" t="str">
        <f t="shared" si="124"/>
        <v>J6653P</v>
      </c>
      <c r="E792" s="4" t="s">
        <v>851</v>
      </c>
      <c r="F792" s="4" t="s">
        <v>2069</v>
      </c>
      <c r="G792" s="5">
        <v>4521718233741</v>
      </c>
      <c r="H792" s="5"/>
      <c r="I792" s="5"/>
      <c r="J792" s="5">
        <v>1</v>
      </c>
      <c r="K792" s="5">
        <v>1</v>
      </c>
      <c r="L792" s="4">
        <v>600</v>
      </c>
      <c r="M792" s="4">
        <v>494</v>
      </c>
      <c r="N792" s="4">
        <v>390</v>
      </c>
      <c r="O792" s="6">
        <f t="shared" si="125"/>
        <v>0.21052631578947367</v>
      </c>
      <c r="P792" s="4" t="s">
        <v>2500</v>
      </c>
      <c r="Q792" s="4"/>
      <c r="R792" s="4"/>
      <c r="S792" s="4"/>
      <c r="T792" s="4"/>
      <c r="U792" s="4"/>
      <c r="V792" s="4"/>
      <c r="W792" s="4"/>
      <c r="X792" s="4"/>
      <c r="Y792" s="4">
        <v>600</v>
      </c>
      <c r="Z792" s="4">
        <f t="shared" si="126"/>
        <v>600</v>
      </c>
      <c r="AA792" s="4">
        <v>390</v>
      </c>
      <c r="AB792" s="4">
        <f t="shared" si="127"/>
        <v>390</v>
      </c>
      <c r="AC792" s="4"/>
      <c r="AD792" s="21">
        <f>ROUND(M792*AR792,0)</f>
        <v>494</v>
      </c>
      <c r="AE792" s="6">
        <f>1-AB792/AD792</f>
        <v>0.21052631578947367</v>
      </c>
      <c r="AF792" s="33">
        <v>0</v>
      </c>
      <c r="AG792" s="4">
        <f t="shared" si="128"/>
        <v>756</v>
      </c>
      <c r="AH792" s="33">
        <f t="shared" si="121"/>
        <v>756</v>
      </c>
      <c r="AI792" s="6">
        <f>1-AB792/AH792</f>
        <v>0.48412698412698407</v>
      </c>
      <c r="AJ792" s="7">
        <v>600</v>
      </c>
      <c r="AK792" s="6">
        <f>1-AB792/AJ792</f>
        <v>0.35</v>
      </c>
      <c r="AL792" s="4">
        <f>AJ792-AB792</f>
        <v>210</v>
      </c>
      <c r="AM792" s="28"/>
      <c r="AN792" s="6"/>
      <c r="AO792" s="6"/>
      <c r="AP792" s="6">
        <f>Z792/L792</f>
        <v>1</v>
      </c>
      <c r="AQ792" s="6">
        <f>AJ792/M792</f>
        <v>1.214574898785425</v>
      </c>
      <c r="AR792" s="6">
        <f>AB792/N792</f>
        <v>1</v>
      </c>
      <c r="AS792" s="4"/>
      <c r="AT792" s="4"/>
      <c r="AU792" s="4"/>
      <c r="AV792" s="4"/>
      <c r="AW792" s="4"/>
      <c r="AX792" s="4"/>
      <c r="AY792" s="4"/>
      <c r="AZ792" s="4"/>
      <c r="BA792" s="4"/>
      <c r="BB792" s="4">
        <v>0</v>
      </c>
      <c r="BC792" s="4" t="s">
        <v>4263</v>
      </c>
      <c r="BD792" s="4"/>
      <c r="BE792" s="4"/>
      <c r="BF792" s="4" t="s">
        <v>3545</v>
      </c>
      <c r="BG792" s="4">
        <v>756</v>
      </c>
      <c r="BH792" s="4">
        <v>756</v>
      </c>
      <c r="BI792" s="4">
        <f t="shared" si="129"/>
        <v>756</v>
      </c>
      <c r="BJ792" s="19">
        <v>4</v>
      </c>
      <c r="BK792" s="19">
        <v>8</v>
      </c>
      <c r="BL792" s="16">
        <v>6</v>
      </c>
      <c r="BM792" s="45" t="s">
        <v>3534</v>
      </c>
      <c r="BN792" t="s">
        <v>3534</v>
      </c>
      <c r="BO792" t="str">
        <f t="shared" si="122"/>
        <v>-</v>
      </c>
      <c r="BP792">
        <v>600</v>
      </c>
      <c r="BQ792">
        <v>600</v>
      </c>
      <c r="BR792">
        <f t="shared" si="123"/>
        <v>600</v>
      </c>
      <c r="BS792" t="s">
        <v>3129</v>
      </c>
    </row>
    <row r="793" spans="1:71" x14ac:dyDescent="0.4">
      <c r="A793" s="3">
        <v>790</v>
      </c>
      <c r="B793" s="3">
        <v>790</v>
      </c>
      <c r="C793" s="4" t="s">
        <v>852</v>
      </c>
      <c r="D793" s="4" t="str">
        <f t="shared" si="124"/>
        <v>J6654P</v>
      </c>
      <c r="E793" s="4" t="s">
        <v>852</v>
      </c>
      <c r="F793" s="4" t="s">
        <v>2070</v>
      </c>
      <c r="G793" s="5">
        <v>4521718234359</v>
      </c>
      <c r="H793" s="5"/>
      <c r="I793" s="5"/>
      <c r="J793" s="5">
        <v>1</v>
      </c>
      <c r="K793" s="5">
        <v>1</v>
      </c>
      <c r="L793" s="4">
        <v>640</v>
      </c>
      <c r="M793" s="4">
        <v>415</v>
      </c>
      <c r="N793" s="4">
        <v>284</v>
      </c>
      <c r="O793" s="6">
        <f t="shared" si="125"/>
        <v>0.31566265060240961</v>
      </c>
      <c r="P793" s="4" t="s">
        <v>2500</v>
      </c>
      <c r="Q793" s="4"/>
      <c r="R793" s="4"/>
      <c r="S793" s="4"/>
      <c r="T793" s="4"/>
      <c r="U793" s="4"/>
      <c r="V793" s="4"/>
      <c r="W793" s="4"/>
      <c r="X793" s="4"/>
      <c r="Y793" s="4">
        <v>437</v>
      </c>
      <c r="Z793" s="4">
        <f t="shared" si="126"/>
        <v>437</v>
      </c>
      <c r="AA793" s="4">
        <v>284</v>
      </c>
      <c r="AB793" s="4">
        <f t="shared" si="127"/>
        <v>284</v>
      </c>
      <c r="AC793" s="4"/>
      <c r="AD793" s="21">
        <f>ROUND(M793*AR793,0)</f>
        <v>415</v>
      </c>
      <c r="AE793" s="6">
        <f>1-AB793/AD793</f>
        <v>0.31566265060240961</v>
      </c>
      <c r="AF793" s="33">
        <v>0</v>
      </c>
      <c r="AG793" s="4">
        <f t="shared" si="128"/>
        <v>640</v>
      </c>
      <c r="AH793" s="33">
        <f t="shared" si="121"/>
        <v>640</v>
      </c>
      <c r="AI793" s="6">
        <f>1-AB793/AH793</f>
        <v>0.55625000000000002</v>
      </c>
      <c r="AJ793" s="7">
        <f>ROUND(AB793/0.65,0)</f>
        <v>437</v>
      </c>
      <c r="AK793" s="6">
        <f>1-AB793/AJ793</f>
        <v>0.35011441647597252</v>
      </c>
      <c r="AL793" s="4">
        <f>AJ793-AB793</f>
        <v>153</v>
      </c>
      <c r="AM793" s="28"/>
      <c r="AN793" s="6"/>
      <c r="AO793" s="6"/>
      <c r="AP793" s="6">
        <f>Z793/L793</f>
        <v>0.68281250000000004</v>
      </c>
      <c r="AQ793" s="6">
        <f>AJ793/M793</f>
        <v>1.0530120481927712</v>
      </c>
      <c r="AR793" s="6">
        <f>AB793/N793</f>
        <v>1</v>
      </c>
      <c r="AS793" s="4"/>
      <c r="AT793" s="4"/>
      <c r="AU793" s="4"/>
      <c r="AV793" s="4"/>
      <c r="AW793" s="4"/>
      <c r="AX793" s="4"/>
      <c r="AY793" s="4"/>
      <c r="AZ793" s="4"/>
      <c r="BA793" s="4"/>
      <c r="BB793" s="4">
        <v>0</v>
      </c>
      <c r="BC793" s="4" t="s">
        <v>4264</v>
      </c>
      <c r="BD793" s="4">
        <v>1</v>
      </c>
      <c r="BE793" s="4">
        <v>3</v>
      </c>
      <c r="BF793" s="4" t="s">
        <v>4265</v>
      </c>
      <c r="BG793" s="4">
        <v>1920</v>
      </c>
      <c r="BH793" s="4">
        <v>1920</v>
      </c>
      <c r="BI793" s="4">
        <f t="shared" si="129"/>
        <v>640</v>
      </c>
      <c r="BJ793" s="19">
        <v>4</v>
      </c>
      <c r="BK793" s="19">
        <v>8</v>
      </c>
      <c r="BL793" s="16">
        <v>6</v>
      </c>
      <c r="BM793" s="45" t="s">
        <v>3534</v>
      </c>
      <c r="BN793" t="s">
        <v>3534</v>
      </c>
      <c r="BO793" t="str">
        <f t="shared" si="122"/>
        <v>-</v>
      </c>
      <c r="BP793" t="s">
        <v>3534</v>
      </c>
      <c r="BQ793">
        <v>568</v>
      </c>
      <c r="BR793">
        <f t="shared" si="123"/>
        <v>568</v>
      </c>
      <c r="BS793" t="s">
        <v>3130</v>
      </c>
    </row>
    <row r="794" spans="1:71" x14ac:dyDescent="0.4">
      <c r="A794" s="3">
        <v>791</v>
      </c>
      <c r="B794" s="3">
        <v>791</v>
      </c>
      <c r="C794" s="4" t="s">
        <v>853</v>
      </c>
      <c r="D794" s="4" t="str">
        <f t="shared" si="124"/>
        <v>J6655P</v>
      </c>
      <c r="E794" s="4" t="s">
        <v>853</v>
      </c>
      <c r="F794" s="4" t="s">
        <v>2071</v>
      </c>
      <c r="G794" s="5">
        <v>4521718236049</v>
      </c>
      <c r="H794" s="5"/>
      <c r="I794" s="5"/>
      <c r="J794" s="5">
        <v>1</v>
      </c>
      <c r="K794" s="5">
        <v>1</v>
      </c>
      <c r="L794" s="4">
        <v>230</v>
      </c>
      <c r="M794" s="4">
        <v>156</v>
      </c>
      <c r="N794" s="4">
        <v>101</v>
      </c>
      <c r="O794" s="6">
        <f t="shared" si="125"/>
        <v>0.35256410256410253</v>
      </c>
      <c r="P794" s="4" t="s">
        <v>2500</v>
      </c>
      <c r="Q794" s="4"/>
      <c r="R794" s="4"/>
      <c r="S794" s="4"/>
      <c r="T794" s="4"/>
      <c r="U794" s="4"/>
      <c r="V794" s="4"/>
      <c r="W794" s="4"/>
      <c r="X794" s="4"/>
      <c r="Y794" s="4">
        <v>155</v>
      </c>
      <c r="Z794" s="4">
        <f t="shared" si="126"/>
        <v>155</v>
      </c>
      <c r="AA794" s="4">
        <v>101</v>
      </c>
      <c r="AB794" s="4">
        <f t="shared" si="127"/>
        <v>101</v>
      </c>
      <c r="AC794" s="4"/>
      <c r="AD794" s="21">
        <f>ROUND(M794*AR794,0)</f>
        <v>156</v>
      </c>
      <c r="AE794" s="6">
        <f>1-AB794/AD794</f>
        <v>0.35256410256410253</v>
      </c>
      <c r="AF794" s="33">
        <v>1.25</v>
      </c>
      <c r="AG794" s="4" t="str">
        <f t="shared" si="128"/>
        <v>-</v>
      </c>
      <c r="AH794" s="33" t="e">
        <f t="shared" si="121"/>
        <v>#VALUE!</v>
      </c>
      <c r="AI794" s="6" t="e">
        <f>1-AB794/AH794</f>
        <v>#VALUE!</v>
      </c>
      <c r="AJ794" s="7">
        <v>155</v>
      </c>
      <c r="AK794" s="6">
        <f>1-AB794/AJ794</f>
        <v>0.34838709677419355</v>
      </c>
      <c r="AL794" s="4">
        <f>AJ794-AB794</f>
        <v>54</v>
      </c>
      <c r="AM794" s="28"/>
      <c r="AN794" s="6"/>
      <c r="AO794" s="6"/>
      <c r="AP794" s="6">
        <f>Z794/L794</f>
        <v>0.67391304347826086</v>
      </c>
      <c r="AQ794" s="6">
        <f>AJ794/M794</f>
        <v>0.99358974358974361</v>
      </c>
      <c r="AR794" s="6">
        <f>AB794/N794</f>
        <v>1</v>
      </c>
      <c r="AS794" s="4"/>
      <c r="AT794" s="4"/>
      <c r="AU794" s="4"/>
      <c r="AV794" s="4"/>
      <c r="AW794" s="4"/>
      <c r="AX794" s="4"/>
      <c r="AY794" s="4"/>
      <c r="AZ794" s="4"/>
      <c r="BA794" s="4"/>
      <c r="BB794" s="4">
        <v>0</v>
      </c>
      <c r="BC794" s="4" t="s">
        <v>3534</v>
      </c>
      <c r="BD794" s="4"/>
      <c r="BE794" s="4"/>
      <c r="BF794" s="4" t="s">
        <v>3534</v>
      </c>
      <c r="BG794" s="4" t="s">
        <v>3534</v>
      </c>
      <c r="BH794" s="4" t="s">
        <v>3534</v>
      </c>
      <c r="BI794" s="4" t="str">
        <f t="shared" si="129"/>
        <v>-</v>
      </c>
      <c r="BJ794" s="19">
        <v>4</v>
      </c>
      <c r="BK794" s="19">
        <v>8</v>
      </c>
      <c r="BL794" s="16">
        <v>6</v>
      </c>
      <c r="BM794" s="45" t="s">
        <v>3534</v>
      </c>
      <c r="BN794" t="s">
        <v>3534</v>
      </c>
      <c r="BO794" t="str">
        <f t="shared" si="122"/>
        <v>-</v>
      </c>
      <c r="BP794" t="s">
        <v>3534</v>
      </c>
      <c r="BQ794">
        <v>157</v>
      </c>
      <c r="BR794">
        <f t="shared" si="123"/>
        <v>157</v>
      </c>
      <c r="BS794" t="s">
        <v>3534</v>
      </c>
    </row>
    <row r="795" spans="1:71" x14ac:dyDescent="0.4">
      <c r="A795" s="3">
        <v>792</v>
      </c>
      <c r="B795" s="3">
        <v>792</v>
      </c>
      <c r="C795" s="4" t="s">
        <v>854</v>
      </c>
      <c r="D795" s="4" t="str">
        <f t="shared" si="124"/>
        <v>J6656P</v>
      </c>
      <c r="E795" s="4" t="s">
        <v>854</v>
      </c>
      <c r="F795" s="4" t="s">
        <v>2072</v>
      </c>
      <c r="G795" s="5">
        <v>4521718236070</v>
      </c>
      <c r="H795" s="5"/>
      <c r="I795" s="5"/>
      <c r="J795" s="5">
        <v>1</v>
      </c>
      <c r="K795" s="5">
        <v>1</v>
      </c>
      <c r="L795" s="4">
        <v>530</v>
      </c>
      <c r="M795" s="4">
        <v>349</v>
      </c>
      <c r="N795" s="4">
        <v>237</v>
      </c>
      <c r="O795" s="6">
        <f t="shared" si="125"/>
        <v>0.3209169054441261</v>
      </c>
      <c r="P795" s="4" t="s">
        <v>2500</v>
      </c>
      <c r="Q795" s="4"/>
      <c r="R795" s="4"/>
      <c r="S795" s="4"/>
      <c r="T795" s="4"/>
      <c r="U795" s="4"/>
      <c r="V795" s="4"/>
      <c r="W795" s="4"/>
      <c r="X795" s="4"/>
      <c r="Y795" s="4">
        <v>364</v>
      </c>
      <c r="Z795" s="4">
        <f t="shared" si="126"/>
        <v>364</v>
      </c>
      <c r="AA795" s="4">
        <v>237</v>
      </c>
      <c r="AB795" s="4">
        <f t="shared" si="127"/>
        <v>237</v>
      </c>
      <c r="AC795" s="4"/>
      <c r="AD795" s="21">
        <f>ROUND(M795*AR795,0)</f>
        <v>349</v>
      </c>
      <c r="AE795" s="6">
        <f>1-AB795/AD795</f>
        <v>0.3209169054441261</v>
      </c>
      <c r="AF795" s="33">
        <v>0</v>
      </c>
      <c r="AG795" s="4" t="str">
        <f t="shared" si="128"/>
        <v>-</v>
      </c>
      <c r="AH795" s="33" t="e">
        <f t="shared" si="121"/>
        <v>#VALUE!</v>
      </c>
      <c r="AI795" s="6" t="e">
        <f>1-AB795/AH795</f>
        <v>#VALUE!</v>
      </c>
      <c r="AJ795" s="7">
        <v>364</v>
      </c>
      <c r="AK795" s="6">
        <f>1-AB795/AJ795</f>
        <v>0.34890109890109888</v>
      </c>
      <c r="AL795" s="4">
        <f>AJ795-AB795</f>
        <v>127</v>
      </c>
      <c r="AM795" s="28"/>
      <c r="AN795" s="6"/>
      <c r="AO795" s="6"/>
      <c r="AP795" s="6">
        <f>Z795/L795</f>
        <v>0.68679245283018864</v>
      </c>
      <c r="AQ795" s="6">
        <f>AJ795/M795</f>
        <v>1.0429799426934097</v>
      </c>
      <c r="AR795" s="6">
        <f>AB795/N795</f>
        <v>1</v>
      </c>
      <c r="AS795" s="4"/>
      <c r="AT795" s="4"/>
      <c r="AU795" s="4"/>
      <c r="AV795" s="4"/>
      <c r="AW795" s="4"/>
      <c r="AX795" s="4"/>
      <c r="AY795" s="4"/>
      <c r="AZ795" s="4"/>
      <c r="BA795" s="4"/>
      <c r="BB795" s="4">
        <v>0</v>
      </c>
      <c r="BC795" s="4" t="s">
        <v>3534</v>
      </c>
      <c r="BD795" s="4"/>
      <c r="BE795" s="4"/>
      <c r="BF795" s="4" t="s">
        <v>3534</v>
      </c>
      <c r="BG795" s="4" t="s">
        <v>3534</v>
      </c>
      <c r="BH795" s="4" t="s">
        <v>3534</v>
      </c>
      <c r="BI795" s="4" t="str">
        <f t="shared" si="129"/>
        <v>-</v>
      </c>
      <c r="BJ795" s="19">
        <v>4</v>
      </c>
      <c r="BK795" s="19">
        <v>8</v>
      </c>
      <c r="BL795" s="16">
        <v>6</v>
      </c>
      <c r="BM795" s="45" t="s">
        <v>3534</v>
      </c>
      <c r="BN795" t="s">
        <v>3534</v>
      </c>
      <c r="BO795" t="str">
        <f t="shared" si="122"/>
        <v>-</v>
      </c>
      <c r="BP795" t="s">
        <v>3534</v>
      </c>
      <c r="BQ795">
        <v>453</v>
      </c>
      <c r="BR795">
        <f t="shared" si="123"/>
        <v>453</v>
      </c>
      <c r="BS795" t="s">
        <v>3534</v>
      </c>
    </row>
    <row r="796" spans="1:71" x14ac:dyDescent="0.4">
      <c r="A796" s="3">
        <v>793</v>
      </c>
      <c r="B796" s="3">
        <v>793</v>
      </c>
      <c r="C796" s="4" t="s">
        <v>855</v>
      </c>
      <c r="D796" s="4" t="str">
        <f t="shared" si="124"/>
        <v>J6657P</v>
      </c>
      <c r="E796" s="4" t="s">
        <v>855</v>
      </c>
      <c r="F796" s="4" t="s">
        <v>2073</v>
      </c>
      <c r="G796" s="5">
        <v>4521718236797</v>
      </c>
      <c r="H796" s="5"/>
      <c r="I796" s="5"/>
      <c r="J796" s="5">
        <v>1</v>
      </c>
      <c r="K796" s="5">
        <v>1</v>
      </c>
      <c r="L796" s="4">
        <v>420</v>
      </c>
      <c r="M796" s="4">
        <v>254</v>
      </c>
      <c r="N796" s="4">
        <v>185</v>
      </c>
      <c r="O796" s="6">
        <f t="shared" si="125"/>
        <v>0.27165354330708658</v>
      </c>
      <c r="P796" s="4" t="s">
        <v>2500</v>
      </c>
      <c r="Q796" s="4"/>
      <c r="R796" s="4"/>
      <c r="S796" s="4"/>
      <c r="T796" s="4"/>
      <c r="U796" s="4"/>
      <c r="V796" s="4"/>
      <c r="W796" s="4"/>
      <c r="X796" s="4"/>
      <c r="Y796" s="4">
        <v>264</v>
      </c>
      <c r="Z796" s="4">
        <f t="shared" si="126"/>
        <v>264</v>
      </c>
      <c r="AA796" s="4">
        <v>185</v>
      </c>
      <c r="AB796" s="4">
        <f t="shared" si="127"/>
        <v>185</v>
      </c>
      <c r="AC796" s="4"/>
      <c r="AD796" s="21">
        <f>ROUND(M796*AR796,0)</f>
        <v>254</v>
      </c>
      <c r="AE796" s="6">
        <f>1-AB796/AD796</f>
        <v>0.27165354330708658</v>
      </c>
      <c r="AF796" s="33">
        <v>0</v>
      </c>
      <c r="AG796" s="4">
        <f t="shared" si="128"/>
        <v>420</v>
      </c>
      <c r="AH796" s="33">
        <f t="shared" si="121"/>
        <v>420</v>
      </c>
      <c r="AI796" s="6">
        <f>1-AB796/AH796</f>
        <v>0.55952380952380953</v>
      </c>
      <c r="AJ796" s="7">
        <v>264</v>
      </c>
      <c r="AK796" s="6">
        <f>1-AB796/AJ796</f>
        <v>0.2992424242424242</v>
      </c>
      <c r="AL796" s="4">
        <f>AJ796-AB796</f>
        <v>79</v>
      </c>
      <c r="AM796" s="28"/>
      <c r="AN796" s="6"/>
      <c r="AO796" s="6"/>
      <c r="AP796" s="6">
        <f>Z796/L796</f>
        <v>0.62857142857142856</v>
      </c>
      <c r="AQ796" s="6">
        <f>AJ796/M796</f>
        <v>1.0393700787401574</v>
      </c>
      <c r="AR796" s="6">
        <f>AB796/N796</f>
        <v>1</v>
      </c>
      <c r="AS796" s="4"/>
      <c r="AT796" s="4"/>
      <c r="AU796" s="4"/>
      <c r="AV796" s="4"/>
      <c r="AW796" s="4"/>
      <c r="AX796" s="4"/>
      <c r="AY796" s="4"/>
      <c r="AZ796" s="4"/>
      <c r="BA796" s="4"/>
      <c r="BB796" s="4">
        <v>0</v>
      </c>
      <c r="BC796" s="4" t="s">
        <v>4266</v>
      </c>
      <c r="BD796" s="4">
        <v>1</v>
      </c>
      <c r="BE796" s="4">
        <v>3</v>
      </c>
      <c r="BF796" s="4" t="s">
        <v>3638</v>
      </c>
      <c r="BG796" s="4">
        <v>1260</v>
      </c>
      <c r="BH796" s="4">
        <v>1260</v>
      </c>
      <c r="BI796" s="4">
        <f t="shared" si="129"/>
        <v>420</v>
      </c>
      <c r="BJ796" s="19">
        <v>4</v>
      </c>
      <c r="BK796" s="19">
        <v>8</v>
      </c>
      <c r="BL796" s="16">
        <v>6</v>
      </c>
      <c r="BM796" s="45" t="s">
        <v>3534</v>
      </c>
      <c r="BN796" t="s">
        <v>3534</v>
      </c>
      <c r="BO796" t="str">
        <f t="shared" si="122"/>
        <v>-</v>
      </c>
      <c r="BP796" t="s">
        <v>3534</v>
      </c>
      <c r="BQ796">
        <v>265</v>
      </c>
      <c r="BR796">
        <f t="shared" si="123"/>
        <v>265</v>
      </c>
      <c r="BS796" t="s">
        <v>3131</v>
      </c>
    </row>
    <row r="797" spans="1:71" x14ac:dyDescent="0.4">
      <c r="A797" s="3">
        <v>794</v>
      </c>
      <c r="B797" s="3">
        <v>794</v>
      </c>
      <c r="C797" s="4" t="s">
        <v>856</v>
      </c>
      <c r="D797" s="4" t="str">
        <f t="shared" si="124"/>
        <v>J6658P</v>
      </c>
      <c r="E797" s="4" t="s">
        <v>856</v>
      </c>
      <c r="F797" s="4" t="s">
        <v>2074</v>
      </c>
      <c r="G797" s="5">
        <v>4521718237121</v>
      </c>
      <c r="H797" s="5"/>
      <c r="I797" s="5"/>
      <c r="J797" s="5">
        <v>1</v>
      </c>
      <c r="K797" s="5">
        <v>1</v>
      </c>
      <c r="L797" s="4">
        <v>680</v>
      </c>
      <c r="M797" s="4">
        <v>559</v>
      </c>
      <c r="N797" s="4">
        <v>382</v>
      </c>
      <c r="O797" s="6">
        <f t="shared" si="125"/>
        <v>0.31663685152057242</v>
      </c>
      <c r="P797" s="4" t="s">
        <v>2500</v>
      </c>
      <c r="Q797" s="4"/>
      <c r="R797" s="4"/>
      <c r="S797" s="4"/>
      <c r="T797" s="4"/>
      <c r="U797" s="4"/>
      <c r="V797" s="4"/>
      <c r="W797" s="4"/>
      <c r="X797" s="4"/>
      <c r="Y797" s="4">
        <v>546</v>
      </c>
      <c r="Z797" s="4">
        <f t="shared" si="126"/>
        <v>546</v>
      </c>
      <c r="AA797" s="4">
        <v>382</v>
      </c>
      <c r="AB797" s="4">
        <f t="shared" si="127"/>
        <v>382</v>
      </c>
      <c r="AC797" s="4"/>
      <c r="AD797" s="21">
        <f>ROUND(M797*AR797,0)</f>
        <v>559</v>
      </c>
      <c r="AE797" s="6">
        <f>1-AB797/AD797</f>
        <v>0.31663685152057242</v>
      </c>
      <c r="AF797" s="33">
        <v>0</v>
      </c>
      <c r="AG797" s="4">
        <f t="shared" si="128"/>
        <v>1000</v>
      </c>
      <c r="AH797" s="33">
        <f t="shared" si="121"/>
        <v>1000</v>
      </c>
      <c r="AI797" s="6">
        <f>1-AB797/AH797</f>
        <v>0.61799999999999999</v>
      </c>
      <c r="AJ797" s="7">
        <v>546</v>
      </c>
      <c r="AK797" s="6">
        <f>1-AB797/AJ797</f>
        <v>0.30036630036630041</v>
      </c>
      <c r="AL797" s="4">
        <f>AJ797-AB797</f>
        <v>164</v>
      </c>
      <c r="AM797" s="28"/>
      <c r="AN797" s="6"/>
      <c r="AO797" s="6"/>
      <c r="AP797" s="6">
        <f>Z797/L797</f>
        <v>0.80294117647058827</v>
      </c>
      <c r="AQ797" s="6">
        <f>AJ797/M797</f>
        <v>0.97674418604651159</v>
      </c>
      <c r="AR797" s="6">
        <f>AB797/N797</f>
        <v>1</v>
      </c>
      <c r="AS797" s="4"/>
      <c r="AT797" s="4"/>
      <c r="AU797" s="4"/>
      <c r="AV797" s="4"/>
      <c r="AW797" s="4"/>
      <c r="AX797" s="4"/>
      <c r="AY797" s="4"/>
      <c r="AZ797" s="4"/>
      <c r="BA797" s="4"/>
      <c r="BB797" s="4">
        <v>0</v>
      </c>
      <c r="BC797" s="4" t="s">
        <v>4267</v>
      </c>
      <c r="BD797" s="4">
        <v>1</v>
      </c>
      <c r="BE797" s="4">
        <v>2</v>
      </c>
      <c r="BF797" s="4" t="s">
        <v>3640</v>
      </c>
      <c r="BG797" s="4">
        <v>2000</v>
      </c>
      <c r="BH797" s="4">
        <v>2000</v>
      </c>
      <c r="BI797" s="4">
        <f t="shared" si="129"/>
        <v>1000</v>
      </c>
      <c r="BJ797" s="19">
        <v>4</v>
      </c>
      <c r="BK797" s="19">
        <v>8</v>
      </c>
      <c r="BL797" s="16">
        <v>6</v>
      </c>
      <c r="BM797" s="45" t="s">
        <v>3534</v>
      </c>
      <c r="BN797" t="s">
        <v>3534</v>
      </c>
      <c r="BO797" t="str">
        <f t="shared" si="122"/>
        <v>-</v>
      </c>
      <c r="BP797" t="s">
        <v>3534</v>
      </c>
      <c r="BQ797">
        <v>680</v>
      </c>
      <c r="BR797">
        <f t="shared" si="123"/>
        <v>680</v>
      </c>
      <c r="BS797" t="s">
        <v>3132</v>
      </c>
    </row>
    <row r="798" spans="1:71" x14ac:dyDescent="0.4">
      <c r="A798" s="3">
        <v>795</v>
      </c>
      <c r="B798" s="3">
        <v>795</v>
      </c>
      <c r="C798" s="4" t="s">
        <v>857</v>
      </c>
      <c r="D798" s="4" t="str">
        <f t="shared" si="124"/>
        <v>J6659P</v>
      </c>
      <c r="E798" s="4" t="s">
        <v>857</v>
      </c>
      <c r="F798" s="4" t="s">
        <v>2075</v>
      </c>
      <c r="G798" s="5">
        <v>4521718238371</v>
      </c>
      <c r="H798" s="5"/>
      <c r="I798" s="5"/>
      <c r="J798" s="5">
        <v>1</v>
      </c>
      <c r="K798" s="5">
        <v>1</v>
      </c>
      <c r="L798" s="4">
        <v>320</v>
      </c>
      <c r="M798" s="4">
        <v>239</v>
      </c>
      <c r="N798" s="4">
        <v>166</v>
      </c>
      <c r="O798" s="6">
        <f t="shared" si="125"/>
        <v>0.30543933054393302</v>
      </c>
      <c r="P798" s="4" t="s">
        <v>2500</v>
      </c>
      <c r="Q798" s="4"/>
      <c r="R798" s="4"/>
      <c r="S798" s="4"/>
      <c r="T798" s="4"/>
      <c r="U798" s="4"/>
      <c r="V798" s="4"/>
      <c r="W798" s="4"/>
      <c r="X798" s="4"/>
      <c r="Y798" s="4">
        <v>255</v>
      </c>
      <c r="Z798" s="4">
        <f t="shared" si="126"/>
        <v>255</v>
      </c>
      <c r="AA798" s="4">
        <v>166</v>
      </c>
      <c r="AB798" s="4">
        <f t="shared" si="127"/>
        <v>166</v>
      </c>
      <c r="AC798" s="4"/>
      <c r="AD798" s="21">
        <f>ROUND(M798*AR798,0)</f>
        <v>239</v>
      </c>
      <c r="AE798" s="6">
        <f>1-AB798/AD798</f>
        <v>0.30543933054393302</v>
      </c>
      <c r="AF798" s="33">
        <v>0</v>
      </c>
      <c r="AG798" s="4">
        <f t="shared" si="128"/>
        <v>364</v>
      </c>
      <c r="AH798" s="33">
        <f t="shared" si="121"/>
        <v>364</v>
      </c>
      <c r="AI798" s="6">
        <f>1-AB798/AH798</f>
        <v>0.54395604395604402</v>
      </c>
      <c r="AJ798" s="7">
        <v>255</v>
      </c>
      <c r="AK798" s="6">
        <f>1-AB798/AJ798</f>
        <v>0.34901960784313724</v>
      </c>
      <c r="AL798" s="4">
        <f>AJ798-AB798</f>
        <v>89</v>
      </c>
      <c r="AM798" s="28"/>
      <c r="AN798" s="6"/>
      <c r="AO798" s="6"/>
      <c r="AP798" s="6">
        <f>Z798/L798</f>
        <v>0.796875</v>
      </c>
      <c r="AQ798" s="6">
        <f>AJ798/M798</f>
        <v>1.0669456066945606</v>
      </c>
      <c r="AR798" s="6">
        <f>AB798/N798</f>
        <v>1</v>
      </c>
      <c r="AS798" s="4"/>
      <c r="AT798" s="4"/>
      <c r="AU798" s="4"/>
      <c r="AV798" s="4"/>
      <c r="AW798" s="4"/>
      <c r="AX798" s="4"/>
      <c r="AY798" s="4"/>
      <c r="AZ798" s="4"/>
      <c r="BA798" s="4"/>
      <c r="BB798" s="4">
        <v>0</v>
      </c>
      <c r="BC798" s="4" t="s">
        <v>4268</v>
      </c>
      <c r="BD798" s="4">
        <v>1</v>
      </c>
      <c r="BE798" s="4">
        <v>5</v>
      </c>
      <c r="BF798" s="4" t="s">
        <v>3746</v>
      </c>
      <c r="BG798" s="4">
        <v>1820</v>
      </c>
      <c r="BH798" s="4">
        <v>1820</v>
      </c>
      <c r="BI798" s="4">
        <f t="shared" si="129"/>
        <v>364</v>
      </c>
      <c r="BJ798" s="19">
        <v>4</v>
      </c>
      <c r="BK798" s="19">
        <v>8</v>
      </c>
      <c r="BL798" s="16">
        <v>6</v>
      </c>
      <c r="BM798" s="45" t="s">
        <v>3534</v>
      </c>
      <c r="BN798" t="s">
        <v>3534</v>
      </c>
      <c r="BO798" t="str">
        <f t="shared" si="122"/>
        <v>-</v>
      </c>
      <c r="BP798" t="s">
        <v>3534</v>
      </c>
      <c r="BQ798">
        <v>256</v>
      </c>
      <c r="BR798">
        <f t="shared" si="123"/>
        <v>256</v>
      </c>
      <c r="BS798" t="s">
        <v>3133</v>
      </c>
    </row>
    <row r="799" spans="1:71" x14ac:dyDescent="0.4">
      <c r="A799" s="3">
        <v>796</v>
      </c>
      <c r="B799" s="3">
        <v>796</v>
      </c>
      <c r="C799" s="4" t="s">
        <v>858</v>
      </c>
      <c r="D799" s="4" t="str">
        <f t="shared" si="124"/>
        <v>J6669P</v>
      </c>
      <c r="E799" s="4" t="s">
        <v>858</v>
      </c>
      <c r="F799" s="4" t="s">
        <v>2076</v>
      </c>
      <c r="G799" s="5">
        <v>4521718300603</v>
      </c>
      <c r="H799" s="5"/>
      <c r="I799" s="5"/>
      <c r="J799" s="5">
        <v>1</v>
      </c>
      <c r="K799" s="5">
        <v>1</v>
      </c>
      <c r="L799" s="4">
        <v>680</v>
      </c>
      <c r="M799" s="4">
        <v>523</v>
      </c>
      <c r="N799" s="4">
        <v>355</v>
      </c>
      <c r="O799" s="6">
        <f t="shared" si="125"/>
        <v>0.32122370936902489</v>
      </c>
      <c r="P799" s="4" t="s">
        <v>2500</v>
      </c>
      <c r="Q799" s="4"/>
      <c r="R799" s="4"/>
      <c r="S799" s="4"/>
      <c r="T799" s="4"/>
      <c r="U799" s="4"/>
      <c r="V799" s="4"/>
      <c r="W799" s="4"/>
      <c r="X799" s="4"/>
      <c r="Y799" s="4">
        <v>546</v>
      </c>
      <c r="Z799" s="4">
        <f t="shared" si="126"/>
        <v>546</v>
      </c>
      <c r="AA799" s="4">
        <v>355</v>
      </c>
      <c r="AB799" s="4">
        <f t="shared" si="127"/>
        <v>355</v>
      </c>
      <c r="AC799" s="4"/>
      <c r="AD799" s="21">
        <f>ROUND(M799*AR799,0)</f>
        <v>523</v>
      </c>
      <c r="AE799" s="6">
        <f>1-AB799/AD799</f>
        <v>0.32122370936902489</v>
      </c>
      <c r="AF799" s="33">
        <v>0</v>
      </c>
      <c r="AG799" s="4">
        <f t="shared" si="128"/>
        <v>721</v>
      </c>
      <c r="AH799" s="33">
        <f t="shared" si="121"/>
        <v>721</v>
      </c>
      <c r="AI799" s="6">
        <f>1-AB799/AH799</f>
        <v>0.50762829403606102</v>
      </c>
      <c r="AJ799" s="7">
        <v>546</v>
      </c>
      <c r="AK799" s="6">
        <f>1-AB799/AJ799</f>
        <v>0.3498168498168498</v>
      </c>
      <c r="AL799" s="4">
        <f>AJ799-AB799</f>
        <v>191</v>
      </c>
      <c r="AM799" s="28"/>
      <c r="AN799" s="6"/>
      <c r="AO799" s="6"/>
      <c r="AP799" s="6">
        <f>Z799/L799</f>
        <v>0.80294117647058827</v>
      </c>
      <c r="AQ799" s="6">
        <f>AJ799/M799</f>
        <v>1.0439770554493308</v>
      </c>
      <c r="AR799" s="6">
        <f>AB799/N799</f>
        <v>1</v>
      </c>
      <c r="AS799" s="4"/>
      <c r="AT799" s="4"/>
      <c r="AU799" s="4"/>
      <c r="AV799" s="4"/>
      <c r="AW799" s="4"/>
      <c r="AX799" s="4"/>
      <c r="AY799" s="4"/>
      <c r="AZ799" s="4"/>
      <c r="BA799" s="4"/>
      <c r="BB799" s="4">
        <v>0</v>
      </c>
      <c r="BC799" s="4" t="s">
        <v>4269</v>
      </c>
      <c r="BD799" s="4">
        <v>1</v>
      </c>
      <c r="BE799" s="4">
        <v>3</v>
      </c>
      <c r="BF799" s="4" t="s">
        <v>3638</v>
      </c>
      <c r="BG799" s="4">
        <v>2163</v>
      </c>
      <c r="BH799" s="4">
        <v>2163</v>
      </c>
      <c r="BI799" s="4">
        <f t="shared" si="129"/>
        <v>721</v>
      </c>
      <c r="BJ799" s="19">
        <v>4</v>
      </c>
      <c r="BK799" s="19">
        <v>8</v>
      </c>
      <c r="BL799" s="16">
        <v>6</v>
      </c>
      <c r="BM799" s="45" t="s">
        <v>3534</v>
      </c>
      <c r="BN799" t="s">
        <v>3534</v>
      </c>
      <c r="BO799" t="str">
        <f t="shared" si="122"/>
        <v>-</v>
      </c>
      <c r="BP799" t="s">
        <v>3534</v>
      </c>
      <c r="BQ799">
        <v>680</v>
      </c>
      <c r="BR799">
        <f t="shared" si="123"/>
        <v>680</v>
      </c>
      <c r="BS799" t="s">
        <v>3134</v>
      </c>
    </row>
    <row r="800" spans="1:71" x14ac:dyDescent="0.4">
      <c r="A800" s="3">
        <v>797</v>
      </c>
      <c r="B800" s="3">
        <v>797</v>
      </c>
      <c r="C800" s="4" t="s">
        <v>859</v>
      </c>
      <c r="D800" s="4" t="str">
        <f t="shared" si="124"/>
        <v>J665WG</v>
      </c>
      <c r="E800" s="4" t="s">
        <v>859</v>
      </c>
      <c r="F800" s="4" t="s">
        <v>2077</v>
      </c>
      <c r="G800" s="5">
        <v>4521718184739</v>
      </c>
      <c r="H800" s="5"/>
      <c r="I800" s="5"/>
      <c r="J800" s="5">
        <v>1</v>
      </c>
      <c r="K800" s="5">
        <v>1</v>
      </c>
      <c r="L800" s="4">
        <v>6230</v>
      </c>
      <c r="M800" s="4">
        <v>4360</v>
      </c>
      <c r="N800" s="4">
        <v>2800</v>
      </c>
      <c r="O800" s="6">
        <f t="shared" si="125"/>
        <v>0.35779816513761464</v>
      </c>
      <c r="P800" s="4" t="s">
        <v>2500</v>
      </c>
      <c r="Q800" s="4"/>
      <c r="R800" s="4"/>
      <c r="S800" s="4"/>
      <c r="T800" s="4"/>
      <c r="U800" s="4"/>
      <c r="V800" s="4"/>
      <c r="W800" s="4"/>
      <c r="X800" s="4"/>
      <c r="Y800" s="4">
        <v>4000</v>
      </c>
      <c r="Z800" s="4">
        <f t="shared" si="126"/>
        <v>4000</v>
      </c>
      <c r="AA800" s="4">
        <v>2800</v>
      </c>
      <c r="AB800" s="4">
        <f t="shared" si="127"/>
        <v>2800</v>
      </c>
      <c r="AC800" s="4"/>
      <c r="AD800" s="21">
        <f>ROUND(M800*AR800,0)</f>
        <v>4360</v>
      </c>
      <c r="AE800" s="6">
        <f>1-AB800/AD800</f>
        <v>0.35779816513761464</v>
      </c>
      <c r="AF800" s="33">
        <v>0.5</v>
      </c>
      <c r="AG800" s="4">
        <f t="shared" si="128"/>
        <v>4660</v>
      </c>
      <c r="AH800" s="33">
        <f t="shared" si="121"/>
        <v>4660</v>
      </c>
      <c r="AI800" s="6">
        <f>1-AB800/AH800</f>
        <v>0.39914163090128751</v>
      </c>
      <c r="AJ800" s="7">
        <v>4000</v>
      </c>
      <c r="AK800" s="6">
        <f>1-AB800/AJ800</f>
        <v>0.30000000000000004</v>
      </c>
      <c r="AL800" s="4">
        <f>AJ800-AB800</f>
        <v>1200</v>
      </c>
      <c r="AM800" s="28"/>
      <c r="AN800" s="6"/>
      <c r="AO800" s="6"/>
      <c r="AP800" s="6">
        <f>Z800/L800</f>
        <v>0.6420545746388443</v>
      </c>
      <c r="AQ800" s="6">
        <f>AJ800/M800</f>
        <v>0.91743119266055051</v>
      </c>
      <c r="AR800" s="6">
        <f>AB800/N800</f>
        <v>1</v>
      </c>
      <c r="AS800" s="4"/>
      <c r="AT800" s="4"/>
      <c r="AU800" s="4"/>
      <c r="AV800" s="4"/>
      <c r="AW800" s="4"/>
      <c r="AX800" s="4"/>
      <c r="AY800" s="4"/>
      <c r="AZ800" s="4"/>
      <c r="BA800" s="4"/>
      <c r="BB800" s="4">
        <v>0</v>
      </c>
      <c r="BC800" s="4" t="s">
        <v>4270</v>
      </c>
      <c r="BD800" s="4"/>
      <c r="BE800" s="4"/>
      <c r="BF800" s="4" t="s">
        <v>3538</v>
      </c>
      <c r="BG800" s="4">
        <v>4660</v>
      </c>
      <c r="BH800" s="4">
        <v>4660</v>
      </c>
      <c r="BI800" s="4">
        <f t="shared" si="129"/>
        <v>4660</v>
      </c>
      <c r="BJ800" s="19">
        <v>4</v>
      </c>
      <c r="BK800" s="19">
        <v>8</v>
      </c>
      <c r="BL800" s="16">
        <v>6</v>
      </c>
      <c r="BM800" s="45" t="s">
        <v>3534</v>
      </c>
      <c r="BN800" t="s">
        <v>3534</v>
      </c>
      <c r="BO800" t="str">
        <f t="shared" si="122"/>
        <v>-</v>
      </c>
      <c r="BP800" t="s">
        <v>3534</v>
      </c>
      <c r="BQ800">
        <v>5919</v>
      </c>
      <c r="BR800">
        <f t="shared" si="123"/>
        <v>5919</v>
      </c>
      <c r="BS800" t="s">
        <v>3135</v>
      </c>
    </row>
    <row r="801" spans="1:71" x14ac:dyDescent="0.4">
      <c r="A801" s="3">
        <v>798</v>
      </c>
      <c r="B801" s="3">
        <v>798</v>
      </c>
      <c r="C801" s="4" t="s">
        <v>860</v>
      </c>
      <c r="D801" s="4" t="str">
        <f t="shared" si="124"/>
        <v>J6660P</v>
      </c>
      <c r="E801" s="4" t="s">
        <v>860</v>
      </c>
      <c r="F801" s="4" t="s">
        <v>2078</v>
      </c>
      <c r="G801" s="5">
        <v>4521718270067</v>
      </c>
      <c r="H801" s="5"/>
      <c r="I801" s="5"/>
      <c r="J801" s="5">
        <v>1</v>
      </c>
      <c r="K801" s="5">
        <v>1</v>
      </c>
      <c r="L801" s="4">
        <v>1240</v>
      </c>
      <c r="M801" s="4">
        <v>734</v>
      </c>
      <c r="N801" s="4">
        <v>554</v>
      </c>
      <c r="O801" s="6">
        <f t="shared" si="125"/>
        <v>0.24523160762942775</v>
      </c>
      <c r="P801" s="4" t="s">
        <v>2500</v>
      </c>
      <c r="Q801" s="4"/>
      <c r="R801" s="4"/>
      <c r="S801" s="4"/>
      <c r="T801" s="4"/>
      <c r="U801" s="4"/>
      <c r="V801" s="4"/>
      <c r="W801" s="4"/>
      <c r="X801" s="4"/>
      <c r="Y801" s="4">
        <v>800</v>
      </c>
      <c r="Z801" s="4">
        <f t="shared" si="126"/>
        <v>800</v>
      </c>
      <c r="AA801" s="4">
        <v>560</v>
      </c>
      <c r="AB801" s="4">
        <f t="shared" si="127"/>
        <v>560</v>
      </c>
      <c r="AC801" s="4"/>
      <c r="AD801" s="21">
        <f>ROUND(M801*AR801,0)</f>
        <v>742</v>
      </c>
      <c r="AE801" s="6">
        <f>1-AB801/AD801</f>
        <v>0.24528301886792447</v>
      </c>
      <c r="AF801" s="33">
        <v>0</v>
      </c>
      <c r="AG801" s="4">
        <f t="shared" si="128"/>
        <v>1282</v>
      </c>
      <c r="AH801" s="33">
        <f t="shared" si="121"/>
        <v>1295.884476534296</v>
      </c>
      <c r="AI801" s="6">
        <f>1-AB801/AH801</f>
        <v>0.56786271450858039</v>
      </c>
      <c r="AJ801" s="7">
        <v>800</v>
      </c>
      <c r="AK801" s="6">
        <f>1-AB801/AJ801</f>
        <v>0.30000000000000004</v>
      </c>
      <c r="AL801" s="4">
        <f>AJ801-AB801</f>
        <v>240</v>
      </c>
      <c r="AM801" s="28"/>
      <c r="AN801" s="6"/>
      <c r="AO801" s="6"/>
      <c r="AP801" s="6">
        <f>Z801/L801</f>
        <v>0.64516129032258063</v>
      </c>
      <c r="AQ801" s="6">
        <f>AJ801/M801</f>
        <v>1.0899182561307903</v>
      </c>
      <c r="AR801" s="6">
        <f>AB801/N801</f>
        <v>1.0108303249097472</v>
      </c>
      <c r="AS801" s="4"/>
      <c r="AT801" s="4"/>
      <c r="AU801" s="4"/>
      <c r="AV801" s="4"/>
      <c r="AW801" s="4"/>
      <c r="AX801" s="4"/>
      <c r="AY801" s="4"/>
      <c r="AZ801" s="4"/>
      <c r="BA801" s="4"/>
      <c r="BB801" s="4">
        <v>0</v>
      </c>
      <c r="BC801" s="4" t="s">
        <v>4271</v>
      </c>
      <c r="BD801" s="4"/>
      <c r="BE801" s="4"/>
      <c r="BF801" s="4" t="s">
        <v>3545</v>
      </c>
      <c r="BG801" s="4">
        <v>1282</v>
      </c>
      <c r="BH801" s="4">
        <v>1282</v>
      </c>
      <c r="BI801" s="4">
        <f t="shared" si="129"/>
        <v>1282</v>
      </c>
      <c r="BJ801" s="19">
        <v>4</v>
      </c>
      <c r="BK801" s="19">
        <v>8</v>
      </c>
      <c r="BL801" s="16">
        <v>6</v>
      </c>
      <c r="BM801" s="45">
        <v>700</v>
      </c>
      <c r="BN801">
        <v>700</v>
      </c>
      <c r="BO801">
        <f t="shared" si="122"/>
        <v>707.58122743682304</v>
      </c>
      <c r="BP801" t="s">
        <v>3534</v>
      </c>
      <c r="BQ801">
        <v>1240</v>
      </c>
      <c r="BR801">
        <f t="shared" si="123"/>
        <v>1253.4296028880865</v>
      </c>
      <c r="BS801" t="s">
        <v>3136</v>
      </c>
    </row>
    <row r="802" spans="1:71" x14ac:dyDescent="0.4">
      <c r="A802" s="3">
        <v>799</v>
      </c>
      <c r="B802" s="3">
        <v>799</v>
      </c>
      <c r="C802" s="4" t="s">
        <v>861</v>
      </c>
      <c r="D802" s="4" t="str">
        <f t="shared" si="124"/>
        <v>J6661P</v>
      </c>
      <c r="E802" s="4" t="s">
        <v>861</v>
      </c>
      <c r="F802" s="4" t="s">
        <v>2079</v>
      </c>
      <c r="G802" s="5">
        <v>4521718270234</v>
      </c>
      <c r="H802" s="5"/>
      <c r="I802" s="5"/>
      <c r="J802" s="5">
        <v>1</v>
      </c>
      <c r="K802" s="5">
        <v>1</v>
      </c>
      <c r="L802" s="4">
        <v>1050</v>
      </c>
      <c r="M802" s="4">
        <v>624</v>
      </c>
      <c r="N802" s="4">
        <v>471</v>
      </c>
      <c r="O802" s="6">
        <f t="shared" si="125"/>
        <v>0.24519230769230771</v>
      </c>
      <c r="P802" s="4" t="s">
        <v>2500</v>
      </c>
      <c r="Q802" s="4"/>
      <c r="R802" s="4"/>
      <c r="S802" s="4"/>
      <c r="T802" s="4"/>
      <c r="U802" s="4"/>
      <c r="V802" s="4"/>
      <c r="W802" s="4"/>
      <c r="X802" s="4"/>
      <c r="Y802" s="4">
        <v>682</v>
      </c>
      <c r="Z802" s="4">
        <f t="shared" si="126"/>
        <v>682</v>
      </c>
      <c r="AA802" s="4">
        <v>477</v>
      </c>
      <c r="AB802" s="4">
        <f t="shared" si="127"/>
        <v>477</v>
      </c>
      <c r="AC802" s="4"/>
      <c r="AD802" s="21">
        <f>ROUND(M802*AR802,0)</f>
        <v>632</v>
      </c>
      <c r="AE802" s="6">
        <f>1-AB802/AD802</f>
        <v>0.245253164556962</v>
      </c>
      <c r="AF802" s="33">
        <v>5.25</v>
      </c>
      <c r="AG802" s="4">
        <f t="shared" si="128"/>
        <v>750</v>
      </c>
      <c r="AH802" s="33">
        <f t="shared" si="121"/>
        <v>759.55414012738856</v>
      </c>
      <c r="AI802" s="6">
        <f>1-AB802/AH802</f>
        <v>0.372</v>
      </c>
      <c r="AJ802" s="7">
        <v>682</v>
      </c>
      <c r="AK802" s="6">
        <f>1-AB802/AJ802</f>
        <v>0.30058651026392957</v>
      </c>
      <c r="AL802" s="4">
        <f>AJ802-AB802</f>
        <v>205</v>
      </c>
      <c r="AM802" s="28"/>
      <c r="AN802" s="6"/>
      <c r="AO802" s="6"/>
      <c r="AP802" s="6">
        <f>Z802/L802</f>
        <v>0.6495238095238095</v>
      </c>
      <c r="AQ802" s="6">
        <f>AJ802/M802</f>
        <v>1.0929487179487178</v>
      </c>
      <c r="AR802" s="6">
        <f>AB802/N802</f>
        <v>1.0127388535031847</v>
      </c>
      <c r="AS802" s="4"/>
      <c r="AT802" s="4"/>
      <c r="AU802" s="4"/>
      <c r="AV802" s="4"/>
      <c r="AW802" s="4"/>
      <c r="AX802" s="4"/>
      <c r="AY802" s="4"/>
      <c r="AZ802" s="4"/>
      <c r="BA802" s="4"/>
      <c r="BB802" s="4">
        <v>0</v>
      </c>
      <c r="BC802" s="4" t="s">
        <v>4272</v>
      </c>
      <c r="BD802" s="4"/>
      <c r="BE802" s="4"/>
      <c r="BF802" s="4" t="s">
        <v>3545</v>
      </c>
      <c r="BG802" s="4">
        <v>750</v>
      </c>
      <c r="BH802" s="4">
        <v>750</v>
      </c>
      <c r="BI802" s="4">
        <f t="shared" si="129"/>
        <v>750</v>
      </c>
      <c r="BJ802" s="19">
        <v>4</v>
      </c>
      <c r="BK802" s="19">
        <v>8</v>
      </c>
      <c r="BL802" s="16">
        <v>6</v>
      </c>
      <c r="BM802" s="45">
        <v>750</v>
      </c>
      <c r="BN802">
        <v>750</v>
      </c>
      <c r="BO802">
        <f t="shared" si="122"/>
        <v>759.55414012738856</v>
      </c>
      <c r="BP802" t="s">
        <v>3534</v>
      </c>
      <c r="BQ802">
        <v>939</v>
      </c>
      <c r="BR802">
        <f t="shared" si="123"/>
        <v>950.96178343949043</v>
      </c>
      <c r="BS802" t="s">
        <v>3137</v>
      </c>
    </row>
    <row r="803" spans="1:71" x14ac:dyDescent="0.4">
      <c r="A803" s="3">
        <v>800</v>
      </c>
      <c r="B803" s="3">
        <v>800</v>
      </c>
      <c r="C803" s="4" t="s">
        <v>862</v>
      </c>
      <c r="D803" s="4" t="str">
        <f t="shared" si="124"/>
        <v>J6662P</v>
      </c>
      <c r="E803" s="4" t="s">
        <v>862</v>
      </c>
      <c r="F803" s="4" t="s">
        <v>2080</v>
      </c>
      <c r="G803" s="5">
        <v>4521718274379</v>
      </c>
      <c r="H803" s="5"/>
      <c r="I803" s="5"/>
      <c r="J803" s="5">
        <v>1</v>
      </c>
      <c r="K803" s="5">
        <v>1</v>
      </c>
      <c r="L803" s="4">
        <v>290</v>
      </c>
      <c r="M803" s="4">
        <v>214</v>
      </c>
      <c r="N803" s="4">
        <v>148</v>
      </c>
      <c r="O803" s="6">
        <f t="shared" si="125"/>
        <v>0.30841121495327106</v>
      </c>
      <c r="P803" s="4" t="s">
        <v>2500</v>
      </c>
      <c r="Q803" s="4"/>
      <c r="R803" s="4"/>
      <c r="S803" s="4"/>
      <c r="T803" s="4"/>
      <c r="U803" s="4"/>
      <c r="V803" s="4"/>
      <c r="W803" s="4"/>
      <c r="X803" s="4"/>
      <c r="Y803" s="4">
        <v>237</v>
      </c>
      <c r="Z803" s="4">
        <f t="shared" si="126"/>
        <v>237</v>
      </c>
      <c r="AA803" s="4">
        <v>154</v>
      </c>
      <c r="AB803" s="4">
        <f t="shared" si="127"/>
        <v>154</v>
      </c>
      <c r="AC803" s="4"/>
      <c r="AD803" s="21">
        <f>ROUND(M803*AR803,0)</f>
        <v>223</v>
      </c>
      <c r="AE803" s="6">
        <f>1-AB803/AD803</f>
        <v>0.3094170403587444</v>
      </c>
      <c r="AF803" s="33">
        <v>0</v>
      </c>
      <c r="AG803" s="4">
        <f t="shared" si="128"/>
        <v>290</v>
      </c>
      <c r="AH803" s="33">
        <f t="shared" si="121"/>
        <v>301.75675675675677</v>
      </c>
      <c r="AI803" s="6">
        <f>1-AB803/AH803</f>
        <v>0.48965517241379308</v>
      </c>
      <c r="AJ803" s="7">
        <f>ROUND(AB803/0.65,0)</f>
        <v>237</v>
      </c>
      <c r="AK803" s="6">
        <f>1-AB803/AJ803</f>
        <v>0.35021097046413507</v>
      </c>
      <c r="AL803" s="4">
        <f>AJ803-AB803</f>
        <v>83</v>
      </c>
      <c r="AM803" s="28"/>
      <c r="AN803" s="6"/>
      <c r="AO803" s="6"/>
      <c r="AP803" s="6">
        <f>Z803/L803</f>
        <v>0.8172413793103448</v>
      </c>
      <c r="AQ803" s="6">
        <f>AJ803/M803</f>
        <v>1.1074766355140186</v>
      </c>
      <c r="AR803" s="6">
        <f>AB803/N803</f>
        <v>1.0405405405405406</v>
      </c>
      <c r="AS803" s="4"/>
      <c r="AT803" s="4"/>
      <c r="AU803" s="4"/>
      <c r="AV803" s="4"/>
      <c r="AW803" s="4"/>
      <c r="AX803" s="4"/>
      <c r="AY803" s="4"/>
      <c r="AZ803" s="4"/>
      <c r="BA803" s="4"/>
      <c r="BB803" s="4">
        <v>0</v>
      </c>
      <c r="BC803" s="4" t="s">
        <v>4273</v>
      </c>
      <c r="BD803" s="4">
        <v>1</v>
      </c>
      <c r="BE803" s="4">
        <v>6</v>
      </c>
      <c r="BF803" s="4" t="s">
        <v>4023</v>
      </c>
      <c r="BG803" s="4">
        <v>1740</v>
      </c>
      <c r="BH803" s="4">
        <v>1740</v>
      </c>
      <c r="BI803" s="4">
        <f t="shared" si="129"/>
        <v>290</v>
      </c>
      <c r="BJ803" s="19">
        <v>4</v>
      </c>
      <c r="BK803" s="19">
        <v>8</v>
      </c>
      <c r="BL803" s="16">
        <v>6</v>
      </c>
      <c r="BM803" s="45" t="s">
        <v>3534</v>
      </c>
      <c r="BN803" t="s">
        <v>3534</v>
      </c>
      <c r="BO803" t="str">
        <f t="shared" si="122"/>
        <v>-</v>
      </c>
      <c r="BP803" t="s">
        <v>3534</v>
      </c>
      <c r="BQ803">
        <v>229</v>
      </c>
      <c r="BR803">
        <f t="shared" si="123"/>
        <v>238.2837837837838</v>
      </c>
      <c r="BS803" t="s">
        <v>3138</v>
      </c>
    </row>
    <row r="804" spans="1:71" x14ac:dyDescent="0.4">
      <c r="A804" s="3">
        <v>801</v>
      </c>
      <c r="B804" s="3">
        <v>801</v>
      </c>
      <c r="C804" s="4" t="s">
        <v>863</v>
      </c>
      <c r="D804" s="4" t="str">
        <f t="shared" si="124"/>
        <v>J6663P</v>
      </c>
      <c r="E804" s="4" t="s">
        <v>863</v>
      </c>
      <c r="F804" s="4" t="s">
        <v>2081</v>
      </c>
      <c r="G804" s="5">
        <v>4521718300009</v>
      </c>
      <c r="H804" s="5"/>
      <c r="I804" s="5"/>
      <c r="J804" s="5">
        <v>1</v>
      </c>
      <c r="K804" s="5">
        <v>1</v>
      </c>
      <c r="L804" s="4">
        <v>940</v>
      </c>
      <c r="M804" s="4">
        <v>775</v>
      </c>
      <c r="N804" s="4">
        <v>491</v>
      </c>
      <c r="O804" s="6">
        <f t="shared" si="125"/>
        <v>0.36645161290322581</v>
      </c>
      <c r="P804" s="4" t="s">
        <v>2500</v>
      </c>
      <c r="Q804" s="4"/>
      <c r="R804" s="4"/>
      <c r="S804" s="4"/>
      <c r="T804" s="4"/>
      <c r="U804" s="4"/>
      <c r="V804" s="4"/>
      <c r="W804" s="4"/>
      <c r="X804" s="4"/>
      <c r="Y804" s="4">
        <v>755</v>
      </c>
      <c r="Z804" s="4">
        <f t="shared" si="126"/>
        <v>755</v>
      </c>
      <c r="AA804" s="4">
        <v>491</v>
      </c>
      <c r="AB804" s="4">
        <f t="shared" si="127"/>
        <v>491</v>
      </c>
      <c r="AC804" s="4"/>
      <c r="AD804" s="21">
        <f>ROUND(M804*AR804,0)</f>
        <v>775</v>
      </c>
      <c r="AE804" s="6">
        <f>1-AB804/AD804</f>
        <v>0.36645161290322581</v>
      </c>
      <c r="AF804" s="33">
        <v>0.5</v>
      </c>
      <c r="AG804" s="4">
        <f t="shared" si="128"/>
        <v>974.5</v>
      </c>
      <c r="AH804" s="33">
        <f t="shared" si="121"/>
        <v>974.5</v>
      </c>
      <c r="AI804" s="6">
        <f>1-AB804/AH804</f>
        <v>0.49615187275525907</v>
      </c>
      <c r="AJ804" s="7">
        <v>755</v>
      </c>
      <c r="AK804" s="6">
        <f>1-AB804/AJ804</f>
        <v>0.3496688741721854</v>
      </c>
      <c r="AL804" s="4">
        <f>AJ804-AB804</f>
        <v>264</v>
      </c>
      <c r="AM804" s="28"/>
      <c r="AN804" s="6"/>
      <c r="AO804" s="6"/>
      <c r="AP804" s="6">
        <f>Z804/L804</f>
        <v>0.80319148936170215</v>
      </c>
      <c r="AQ804" s="6">
        <f>AJ804/M804</f>
        <v>0.97419354838709682</v>
      </c>
      <c r="AR804" s="6">
        <f>AB804/N804</f>
        <v>1</v>
      </c>
      <c r="AS804" s="4"/>
      <c r="AT804" s="4"/>
      <c r="AU804" s="4"/>
      <c r="AV804" s="4"/>
      <c r="AW804" s="4"/>
      <c r="AX804" s="4"/>
      <c r="AY804" s="4"/>
      <c r="AZ804" s="4"/>
      <c r="BA804" s="4"/>
      <c r="BB804" s="4">
        <v>0</v>
      </c>
      <c r="BC804" s="4" t="s">
        <v>4274</v>
      </c>
      <c r="BD804" s="4">
        <v>1</v>
      </c>
      <c r="BE804" s="4">
        <v>2</v>
      </c>
      <c r="BF804" s="4" t="s">
        <v>3640</v>
      </c>
      <c r="BG804" s="4">
        <v>1949</v>
      </c>
      <c r="BH804" s="4">
        <v>1949</v>
      </c>
      <c r="BI804" s="4">
        <f t="shared" si="129"/>
        <v>974.5</v>
      </c>
      <c r="BJ804" s="19">
        <v>4</v>
      </c>
      <c r="BK804" s="19">
        <v>8</v>
      </c>
      <c r="BL804" s="16">
        <v>6</v>
      </c>
      <c r="BM804" s="45" t="s">
        <v>3534</v>
      </c>
      <c r="BN804" t="s">
        <v>3534</v>
      </c>
      <c r="BO804" t="str">
        <f t="shared" si="122"/>
        <v>-</v>
      </c>
      <c r="BP804" t="s">
        <v>3534</v>
      </c>
      <c r="BQ804">
        <v>930</v>
      </c>
      <c r="BR804">
        <f t="shared" si="123"/>
        <v>930</v>
      </c>
      <c r="BS804" t="s">
        <v>3139</v>
      </c>
    </row>
    <row r="805" spans="1:71" x14ac:dyDescent="0.4">
      <c r="A805" s="3">
        <v>802</v>
      </c>
      <c r="B805" s="3">
        <v>802</v>
      </c>
      <c r="C805" s="4" t="s">
        <v>864</v>
      </c>
      <c r="D805" s="4" t="str">
        <f t="shared" si="124"/>
        <v>J6664P</v>
      </c>
      <c r="E805" s="4" t="s">
        <v>864</v>
      </c>
      <c r="F805" s="4" t="s">
        <v>2082</v>
      </c>
      <c r="G805" s="5">
        <v>4521718300030</v>
      </c>
      <c r="H805" s="5"/>
      <c r="I805" s="5"/>
      <c r="J805" s="5">
        <v>1</v>
      </c>
      <c r="K805" s="5">
        <v>1</v>
      </c>
      <c r="L805" s="4">
        <v>1110</v>
      </c>
      <c r="M805" s="4">
        <v>850</v>
      </c>
      <c r="N805" s="4">
        <v>624</v>
      </c>
      <c r="O805" s="6">
        <f t="shared" si="125"/>
        <v>0.26588235294117646</v>
      </c>
      <c r="P805" s="4" t="s">
        <v>2500</v>
      </c>
      <c r="Q805" s="4"/>
      <c r="R805" s="4"/>
      <c r="S805" s="4"/>
      <c r="T805" s="4"/>
      <c r="U805" s="4"/>
      <c r="V805" s="4"/>
      <c r="W805" s="4"/>
      <c r="X805" s="4"/>
      <c r="Y805" s="4">
        <v>891</v>
      </c>
      <c r="Z805" s="4">
        <f t="shared" si="126"/>
        <v>891</v>
      </c>
      <c r="AA805" s="4">
        <v>624</v>
      </c>
      <c r="AB805" s="4">
        <f t="shared" si="127"/>
        <v>624</v>
      </c>
      <c r="AC805" s="4"/>
      <c r="AD805" s="21">
        <f>ROUND(M805*AR805,0)</f>
        <v>850</v>
      </c>
      <c r="AE805" s="6">
        <f>1-AB805/AD805</f>
        <v>0.26588235294117646</v>
      </c>
      <c r="AF805" s="33">
        <v>0</v>
      </c>
      <c r="AG805" s="4">
        <f t="shared" si="128"/>
        <v>1140</v>
      </c>
      <c r="AH805" s="33">
        <f t="shared" si="121"/>
        <v>1140</v>
      </c>
      <c r="AI805" s="6">
        <f>1-AB805/AH805</f>
        <v>0.45263157894736838</v>
      </c>
      <c r="AJ805" s="7">
        <v>891</v>
      </c>
      <c r="AK805" s="6">
        <f>1-AB805/AJ805</f>
        <v>0.29966329966329963</v>
      </c>
      <c r="AL805" s="4">
        <f>AJ805-AB805</f>
        <v>267</v>
      </c>
      <c r="AM805" s="28"/>
      <c r="AN805" s="6"/>
      <c r="AO805" s="6"/>
      <c r="AP805" s="6">
        <f>Z805/L805</f>
        <v>0.80270270270270272</v>
      </c>
      <c r="AQ805" s="6">
        <f>AJ805/M805</f>
        <v>1.0482352941176472</v>
      </c>
      <c r="AR805" s="6">
        <f>AB805/N805</f>
        <v>1</v>
      </c>
      <c r="AS805" s="4"/>
      <c r="AT805" s="4"/>
      <c r="AU805" s="4"/>
      <c r="AV805" s="4"/>
      <c r="AW805" s="4"/>
      <c r="AX805" s="4"/>
      <c r="AY805" s="4"/>
      <c r="AZ805" s="4"/>
      <c r="BA805" s="4"/>
      <c r="BB805" s="4">
        <v>0</v>
      </c>
      <c r="BC805" s="4" t="s">
        <v>4275</v>
      </c>
      <c r="BD805" s="4"/>
      <c r="BE805" s="4"/>
      <c r="BF805" s="4" t="s">
        <v>3545</v>
      </c>
      <c r="BG805" s="4">
        <v>1140</v>
      </c>
      <c r="BH805" s="4">
        <v>1140</v>
      </c>
      <c r="BI805" s="4">
        <f t="shared" si="129"/>
        <v>1140</v>
      </c>
      <c r="BJ805" s="19">
        <v>4</v>
      </c>
      <c r="BK805" s="19">
        <v>8</v>
      </c>
      <c r="BL805" s="16">
        <v>6</v>
      </c>
      <c r="BM805" s="45" t="s">
        <v>3534</v>
      </c>
      <c r="BN805" t="s">
        <v>3534</v>
      </c>
      <c r="BO805" t="str">
        <f t="shared" si="122"/>
        <v>-</v>
      </c>
      <c r="BP805" t="s">
        <v>3534</v>
      </c>
      <c r="BQ805">
        <v>1170</v>
      </c>
      <c r="BR805">
        <f t="shared" si="123"/>
        <v>1170</v>
      </c>
      <c r="BS805" t="s">
        <v>3140</v>
      </c>
    </row>
    <row r="806" spans="1:71" x14ac:dyDescent="0.4">
      <c r="A806" s="3">
        <v>803</v>
      </c>
      <c r="B806" s="3">
        <v>803</v>
      </c>
      <c r="C806" s="4" t="s">
        <v>865</v>
      </c>
      <c r="D806" s="4" t="str">
        <f t="shared" si="124"/>
        <v>J6665P</v>
      </c>
      <c r="E806" s="4" t="s">
        <v>865</v>
      </c>
      <c r="F806" s="4" t="s">
        <v>2083</v>
      </c>
      <c r="G806" s="5">
        <v>4521718300078</v>
      </c>
      <c r="H806" s="5"/>
      <c r="I806" s="5"/>
      <c r="J806" s="5">
        <v>1</v>
      </c>
      <c r="K806" s="5">
        <v>1</v>
      </c>
      <c r="L806" s="4">
        <v>1130</v>
      </c>
      <c r="M806" s="4">
        <v>853</v>
      </c>
      <c r="N806" s="4">
        <v>585</v>
      </c>
      <c r="O806" s="6">
        <f t="shared" si="125"/>
        <v>0.31418522860492382</v>
      </c>
      <c r="P806" s="4" t="s">
        <v>2500</v>
      </c>
      <c r="Q806" s="4"/>
      <c r="R806" s="4"/>
      <c r="S806" s="4"/>
      <c r="T806" s="4"/>
      <c r="U806" s="4"/>
      <c r="V806" s="4"/>
      <c r="W806" s="4"/>
      <c r="X806" s="4"/>
      <c r="Y806" s="4">
        <v>900</v>
      </c>
      <c r="Z806" s="4">
        <f t="shared" si="126"/>
        <v>900</v>
      </c>
      <c r="AA806" s="4">
        <v>585</v>
      </c>
      <c r="AB806" s="4">
        <f t="shared" si="127"/>
        <v>585</v>
      </c>
      <c r="AC806" s="4"/>
      <c r="AD806" s="21">
        <f>ROUND(M806*AR806,0)</f>
        <v>853</v>
      </c>
      <c r="AE806" s="6">
        <f>1-AB806/AD806</f>
        <v>0.31418522860492382</v>
      </c>
      <c r="AF806" s="33">
        <v>0</v>
      </c>
      <c r="AG806" s="4">
        <f t="shared" si="128"/>
        <v>1199.5</v>
      </c>
      <c r="AH806" s="33">
        <f t="shared" si="121"/>
        <v>1199.5</v>
      </c>
      <c r="AI806" s="6">
        <f>1-AB806/AH806</f>
        <v>0.51229679032930386</v>
      </c>
      <c r="AJ806" s="7">
        <v>900</v>
      </c>
      <c r="AK806" s="6">
        <f>1-AB806/AJ806</f>
        <v>0.35</v>
      </c>
      <c r="AL806" s="4">
        <f>AJ806-AB806</f>
        <v>315</v>
      </c>
      <c r="AM806" s="28"/>
      <c r="AN806" s="6"/>
      <c r="AO806" s="6"/>
      <c r="AP806" s="6">
        <f>Z806/L806</f>
        <v>0.79646017699115046</v>
      </c>
      <c r="AQ806" s="6">
        <f>AJ806/M806</f>
        <v>1.0550996483001172</v>
      </c>
      <c r="AR806" s="6">
        <f>AB806/N806</f>
        <v>1</v>
      </c>
      <c r="AS806" s="4"/>
      <c r="AT806" s="4"/>
      <c r="AU806" s="4"/>
      <c r="AV806" s="4"/>
      <c r="AW806" s="4"/>
      <c r="AX806" s="4"/>
      <c r="AY806" s="4"/>
      <c r="AZ806" s="4"/>
      <c r="BA806" s="4"/>
      <c r="BB806" s="4">
        <v>0</v>
      </c>
      <c r="BC806" s="4" t="s">
        <v>4276</v>
      </c>
      <c r="BD806" s="4">
        <v>1</v>
      </c>
      <c r="BE806" s="4">
        <v>2</v>
      </c>
      <c r="BF806" s="4" t="s">
        <v>3640</v>
      </c>
      <c r="BG806" s="4">
        <v>2399</v>
      </c>
      <c r="BH806" s="4">
        <v>2399</v>
      </c>
      <c r="BI806" s="4">
        <f t="shared" si="129"/>
        <v>1199.5</v>
      </c>
      <c r="BJ806" s="19">
        <v>4</v>
      </c>
      <c r="BK806" s="19">
        <v>8</v>
      </c>
      <c r="BL806" s="16">
        <v>6</v>
      </c>
      <c r="BM806" s="45" t="s">
        <v>3534</v>
      </c>
      <c r="BN806" t="s">
        <v>3534</v>
      </c>
      <c r="BO806" t="str">
        <f t="shared" si="122"/>
        <v>-</v>
      </c>
      <c r="BP806" t="s">
        <v>3534</v>
      </c>
      <c r="BQ806">
        <v>1100</v>
      </c>
      <c r="BR806">
        <f t="shared" si="123"/>
        <v>1100</v>
      </c>
      <c r="BS806" t="s">
        <v>3141</v>
      </c>
    </row>
    <row r="807" spans="1:71" x14ac:dyDescent="0.4">
      <c r="A807" s="3">
        <v>804</v>
      </c>
      <c r="B807" s="3">
        <v>804</v>
      </c>
      <c r="C807" s="4" t="s">
        <v>866</v>
      </c>
      <c r="D807" s="4" t="str">
        <f t="shared" si="124"/>
        <v>J6666P</v>
      </c>
      <c r="E807" s="4" t="s">
        <v>866</v>
      </c>
      <c r="F807" s="4" t="s">
        <v>2084</v>
      </c>
      <c r="G807" s="5">
        <v>4521718300085</v>
      </c>
      <c r="H807" s="5"/>
      <c r="I807" s="5"/>
      <c r="J807" s="5">
        <v>1</v>
      </c>
      <c r="K807" s="5">
        <v>1</v>
      </c>
      <c r="L807" s="4">
        <v>940</v>
      </c>
      <c r="M807" s="4">
        <v>772</v>
      </c>
      <c r="N807" s="4">
        <v>529</v>
      </c>
      <c r="O807" s="6">
        <f t="shared" si="125"/>
        <v>0.31476683937823835</v>
      </c>
      <c r="P807" s="4" t="s">
        <v>2500</v>
      </c>
      <c r="Q807" s="4"/>
      <c r="R807" s="4"/>
      <c r="S807" s="4"/>
      <c r="T807" s="4"/>
      <c r="U807" s="4"/>
      <c r="V807" s="4"/>
      <c r="W807" s="4"/>
      <c r="X807" s="4"/>
      <c r="Y807" s="4">
        <v>755</v>
      </c>
      <c r="Z807" s="4">
        <f t="shared" si="126"/>
        <v>755</v>
      </c>
      <c r="AA807" s="4">
        <v>529</v>
      </c>
      <c r="AB807" s="4">
        <f t="shared" si="127"/>
        <v>529</v>
      </c>
      <c r="AC807" s="4"/>
      <c r="AD807" s="21">
        <f>ROUND(M807*AR807,0)</f>
        <v>772</v>
      </c>
      <c r="AE807" s="6">
        <f>1-AB807/AD807</f>
        <v>0.31476683937823835</v>
      </c>
      <c r="AF807" s="33">
        <v>0</v>
      </c>
      <c r="AG807" s="4">
        <f t="shared" si="128"/>
        <v>1063.5</v>
      </c>
      <c r="AH807" s="33">
        <f t="shared" si="121"/>
        <v>1063.5</v>
      </c>
      <c r="AI807" s="6">
        <f>1-AB807/AH807</f>
        <v>0.50258580159849553</v>
      </c>
      <c r="AJ807" s="7">
        <v>755</v>
      </c>
      <c r="AK807" s="6">
        <f>1-AB807/AJ807</f>
        <v>0.29933774834437088</v>
      </c>
      <c r="AL807" s="4">
        <f>AJ807-AB807</f>
        <v>226</v>
      </c>
      <c r="AM807" s="28"/>
      <c r="AN807" s="6"/>
      <c r="AO807" s="6"/>
      <c r="AP807" s="6">
        <f>Z807/L807</f>
        <v>0.80319148936170215</v>
      </c>
      <c r="AQ807" s="6">
        <f>AJ807/M807</f>
        <v>0.977979274611399</v>
      </c>
      <c r="AR807" s="6">
        <f>AB807/N807</f>
        <v>1</v>
      </c>
      <c r="AS807" s="4"/>
      <c r="AT807" s="4"/>
      <c r="AU807" s="4"/>
      <c r="AV807" s="4"/>
      <c r="AW807" s="4"/>
      <c r="AX807" s="4"/>
      <c r="AY807" s="4"/>
      <c r="AZ807" s="4"/>
      <c r="BA807" s="4"/>
      <c r="BB807" s="4">
        <v>0</v>
      </c>
      <c r="BC807" s="4" t="s">
        <v>4277</v>
      </c>
      <c r="BD807" s="4">
        <v>1</v>
      </c>
      <c r="BE807" s="4">
        <v>2</v>
      </c>
      <c r="BF807" s="4" t="s">
        <v>3640</v>
      </c>
      <c r="BG807" s="4">
        <v>2127</v>
      </c>
      <c r="BH807" s="4">
        <v>2127</v>
      </c>
      <c r="BI807" s="4">
        <f t="shared" si="129"/>
        <v>1063.5</v>
      </c>
      <c r="BJ807" s="19">
        <v>4</v>
      </c>
      <c r="BK807" s="19">
        <v>8</v>
      </c>
      <c r="BL807" s="16">
        <v>6</v>
      </c>
      <c r="BM807" s="45" t="s">
        <v>3534</v>
      </c>
      <c r="BN807" t="s">
        <v>3534</v>
      </c>
      <c r="BO807" t="str">
        <f t="shared" si="122"/>
        <v>-</v>
      </c>
      <c r="BP807" t="s">
        <v>3534</v>
      </c>
      <c r="BQ807">
        <v>920</v>
      </c>
      <c r="BR807">
        <f t="shared" si="123"/>
        <v>920</v>
      </c>
      <c r="BS807" t="s">
        <v>3142</v>
      </c>
    </row>
    <row r="808" spans="1:71" x14ac:dyDescent="0.4">
      <c r="A808" s="3">
        <v>805</v>
      </c>
      <c r="B808" s="3">
        <v>805</v>
      </c>
      <c r="C808" s="4" t="s">
        <v>867</v>
      </c>
      <c r="D808" s="4" t="str">
        <f t="shared" si="124"/>
        <v>J6667P</v>
      </c>
      <c r="E808" s="4" t="s">
        <v>867</v>
      </c>
      <c r="F808" s="4" t="s">
        <v>2085</v>
      </c>
      <c r="G808" s="5">
        <v>4521718300245</v>
      </c>
      <c r="H808" s="5"/>
      <c r="I808" s="5"/>
      <c r="J808" s="5">
        <v>1</v>
      </c>
      <c r="K808" s="5">
        <v>1</v>
      </c>
      <c r="L808" s="4">
        <v>880</v>
      </c>
      <c r="M808" s="4">
        <v>662</v>
      </c>
      <c r="N808" s="4">
        <v>455</v>
      </c>
      <c r="O808" s="6">
        <f t="shared" si="125"/>
        <v>0.31268882175226587</v>
      </c>
      <c r="P808" s="4" t="s">
        <v>2500</v>
      </c>
      <c r="Q808" s="4"/>
      <c r="R808" s="4"/>
      <c r="S808" s="4"/>
      <c r="T808" s="4"/>
      <c r="U808" s="4"/>
      <c r="V808" s="4"/>
      <c r="W808" s="4"/>
      <c r="X808" s="4"/>
      <c r="Y808" s="4">
        <v>700</v>
      </c>
      <c r="Z808" s="4">
        <f t="shared" si="126"/>
        <v>700</v>
      </c>
      <c r="AA808" s="4">
        <v>455</v>
      </c>
      <c r="AB808" s="4">
        <f t="shared" si="127"/>
        <v>455</v>
      </c>
      <c r="AC808" s="4"/>
      <c r="AD808" s="21">
        <f>ROUND(M808*AR808,0)</f>
        <v>662</v>
      </c>
      <c r="AE808" s="6">
        <f>1-AB808/AD808</f>
        <v>0.31268882175226587</v>
      </c>
      <c r="AF808" s="33">
        <v>0</v>
      </c>
      <c r="AG808" s="4">
        <f t="shared" si="128"/>
        <v>929.5</v>
      </c>
      <c r="AH808" s="33">
        <f t="shared" si="121"/>
        <v>929.5</v>
      </c>
      <c r="AI808" s="6">
        <f>1-AB808/AH808</f>
        <v>0.51048951048951041</v>
      </c>
      <c r="AJ808" s="7">
        <v>700</v>
      </c>
      <c r="AK808" s="6">
        <f>1-AB808/AJ808</f>
        <v>0.35</v>
      </c>
      <c r="AL808" s="4">
        <f>AJ808-AB808</f>
        <v>245</v>
      </c>
      <c r="AM808" s="28"/>
      <c r="AN808" s="6"/>
      <c r="AO808" s="6"/>
      <c r="AP808" s="6">
        <f>Z808/L808</f>
        <v>0.79545454545454541</v>
      </c>
      <c r="AQ808" s="6">
        <f>AJ808/M808</f>
        <v>1.0574018126888218</v>
      </c>
      <c r="AR808" s="6">
        <f>AB808/N808</f>
        <v>1</v>
      </c>
      <c r="AS808" s="4"/>
      <c r="AT808" s="4"/>
      <c r="AU808" s="4"/>
      <c r="AV808" s="4"/>
      <c r="AW808" s="4"/>
      <c r="AX808" s="4"/>
      <c r="AY808" s="4"/>
      <c r="AZ808" s="4"/>
      <c r="BA808" s="4"/>
      <c r="BB808" s="4">
        <v>0</v>
      </c>
      <c r="BC808" s="4" t="s">
        <v>4278</v>
      </c>
      <c r="BD808" s="4">
        <v>1</v>
      </c>
      <c r="BE808" s="4">
        <v>2</v>
      </c>
      <c r="BF808" s="4" t="s">
        <v>3640</v>
      </c>
      <c r="BG808" s="4">
        <v>1859</v>
      </c>
      <c r="BH808" s="4">
        <v>1859</v>
      </c>
      <c r="BI808" s="4">
        <f t="shared" si="129"/>
        <v>929.5</v>
      </c>
      <c r="BJ808" s="19">
        <v>4</v>
      </c>
      <c r="BK808" s="19">
        <v>8</v>
      </c>
      <c r="BL808" s="16">
        <v>6</v>
      </c>
      <c r="BM808" s="45" t="s">
        <v>3534</v>
      </c>
      <c r="BN808" t="s">
        <v>3534</v>
      </c>
      <c r="BO808" t="str">
        <f t="shared" si="122"/>
        <v>-</v>
      </c>
      <c r="BP808" t="s">
        <v>3534</v>
      </c>
      <c r="BQ808">
        <v>990</v>
      </c>
      <c r="BR808">
        <f t="shared" si="123"/>
        <v>990</v>
      </c>
      <c r="BS808" t="s">
        <v>3143</v>
      </c>
    </row>
    <row r="809" spans="1:71" x14ac:dyDescent="0.4">
      <c r="A809" s="3">
        <v>806</v>
      </c>
      <c r="B809" s="3">
        <v>806</v>
      </c>
      <c r="C809" s="4" t="s">
        <v>868</v>
      </c>
      <c r="D809" s="4" t="str">
        <f t="shared" si="124"/>
        <v>J6670P</v>
      </c>
      <c r="E809" s="4" t="s">
        <v>868</v>
      </c>
      <c r="F809" s="4" t="s">
        <v>2086</v>
      </c>
      <c r="G809" s="5">
        <v>4521718312361</v>
      </c>
      <c r="H809" s="5"/>
      <c r="I809" s="5"/>
      <c r="J809" s="5">
        <v>1</v>
      </c>
      <c r="K809" s="5">
        <v>1</v>
      </c>
      <c r="L809" s="4">
        <v>1300</v>
      </c>
      <c r="M809" s="4">
        <v>854</v>
      </c>
      <c r="N809" s="4">
        <v>585</v>
      </c>
      <c r="O809" s="6">
        <f t="shared" si="125"/>
        <v>0.31498829039812648</v>
      </c>
      <c r="P809" s="4" t="s">
        <v>2500</v>
      </c>
      <c r="Q809" s="4"/>
      <c r="R809" s="4"/>
      <c r="S809" s="4"/>
      <c r="T809" s="4"/>
      <c r="U809" s="4"/>
      <c r="V809" s="4"/>
      <c r="W809" s="4"/>
      <c r="X809" s="4"/>
      <c r="Y809" s="4">
        <v>900</v>
      </c>
      <c r="Z809" s="4">
        <f t="shared" si="126"/>
        <v>900</v>
      </c>
      <c r="AA809" s="4">
        <v>585</v>
      </c>
      <c r="AB809" s="4">
        <f t="shared" si="127"/>
        <v>585</v>
      </c>
      <c r="AC809" s="4"/>
      <c r="AD809" s="21">
        <f>ROUND(M809*AR809,0)</f>
        <v>854</v>
      </c>
      <c r="AE809" s="6">
        <f>1-AB809/AD809</f>
        <v>0.31498829039812648</v>
      </c>
      <c r="AF809" s="33">
        <v>0</v>
      </c>
      <c r="AG809" s="4">
        <f t="shared" si="128"/>
        <v>1300</v>
      </c>
      <c r="AH809" s="33">
        <f t="shared" si="121"/>
        <v>1300</v>
      </c>
      <c r="AI809" s="6">
        <f>1-AB809/AH809</f>
        <v>0.55000000000000004</v>
      </c>
      <c r="AJ809" s="7">
        <v>900</v>
      </c>
      <c r="AK809" s="6">
        <f>1-AB809/AJ809</f>
        <v>0.35</v>
      </c>
      <c r="AL809" s="4">
        <f>AJ809-AB809</f>
        <v>315</v>
      </c>
      <c r="AM809" s="28"/>
      <c r="AN809" s="6"/>
      <c r="AO809" s="6"/>
      <c r="AP809" s="6">
        <f>Z809/L809</f>
        <v>0.69230769230769229</v>
      </c>
      <c r="AQ809" s="6">
        <f>AJ809/M809</f>
        <v>1.053864168618267</v>
      </c>
      <c r="AR809" s="6">
        <f>AB809/N809</f>
        <v>1</v>
      </c>
      <c r="AS809" s="4"/>
      <c r="AT809" s="4"/>
      <c r="AU809" s="4"/>
      <c r="AV809" s="4"/>
      <c r="AW809" s="4"/>
      <c r="AX809" s="4"/>
      <c r="AY809" s="4"/>
      <c r="AZ809" s="4"/>
      <c r="BA809" s="4"/>
      <c r="BB809" s="4">
        <v>0</v>
      </c>
      <c r="BC809" s="4" t="s">
        <v>4279</v>
      </c>
      <c r="BD809" s="4">
        <v>1</v>
      </c>
      <c r="BE809" s="4">
        <v>2</v>
      </c>
      <c r="BF809" s="4" t="s">
        <v>3640</v>
      </c>
      <c r="BG809" s="4">
        <v>2600</v>
      </c>
      <c r="BH809" s="4">
        <v>2600</v>
      </c>
      <c r="BI809" s="4">
        <f t="shared" si="129"/>
        <v>1300</v>
      </c>
      <c r="BJ809" s="19">
        <v>4</v>
      </c>
      <c r="BK809" s="19">
        <v>8</v>
      </c>
      <c r="BL809" s="16">
        <v>6</v>
      </c>
      <c r="BM809" s="45" t="s">
        <v>3534</v>
      </c>
      <c r="BN809" t="s">
        <v>3534</v>
      </c>
      <c r="BO809" t="str">
        <f t="shared" si="122"/>
        <v>-</v>
      </c>
      <c r="BP809" t="s">
        <v>3534</v>
      </c>
      <c r="BQ809">
        <v>1080</v>
      </c>
      <c r="BR809">
        <f t="shared" si="123"/>
        <v>1080</v>
      </c>
      <c r="BS809" t="s">
        <v>3144</v>
      </c>
    </row>
    <row r="810" spans="1:71" x14ac:dyDescent="0.4">
      <c r="A810" s="3">
        <v>807</v>
      </c>
      <c r="B810" s="3">
        <v>807</v>
      </c>
      <c r="C810" s="4" t="s">
        <v>869</v>
      </c>
      <c r="D810" s="4" t="str">
        <f t="shared" si="124"/>
        <v>J6668P</v>
      </c>
      <c r="E810" s="4" t="s">
        <v>869</v>
      </c>
      <c r="F810" s="4" t="s">
        <v>2087</v>
      </c>
      <c r="G810" s="5">
        <v>4521718300597</v>
      </c>
      <c r="H810" s="5"/>
      <c r="I810" s="5"/>
      <c r="J810" s="5">
        <v>1</v>
      </c>
      <c r="K810" s="5">
        <v>1</v>
      </c>
      <c r="L810" s="4">
        <v>460</v>
      </c>
      <c r="M810" s="4">
        <v>347</v>
      </c>
      <c r="N810" s="4">
        <v>237</v>
      </c>
      <c r="O810" s="6">
        <f t="shared" si="125"/>
        <v>0.31700288184438041</v>
      </c>
      <c r="P810" s="4" t="s">
        <v>2500</v>
      </c>
      <c r="Q810" s="4"/>
      <c r="R810" s="4"/>
      <c r="S810" s="4"/>
      <c r="T810" s="4"/>
      <c r="U810" s="4"/>
      <c r="V810" s="4"/>
      <c r="W810" s="4"/>
      <c r="X810" s="4"/>
      <c r="Y810" s="4">
        <v>364</v>
      </c>
      <c r="Z810" s="4">
        <f t="shared" si="126"/>
        <v>364</v>
      </c>
      <c r="AA810" s="4">
        <v>237</v>
      </c>
      <c r="AB810" s="4">
        <f t="shared" si="127"/>
        <v>237</v>
      </c>
      <c r="AC810" s="4"/>
      <c r="AD810" s="21">
        <f>ROUND(M810*AR810,0)</f>
        <v>347</v>
      </c>
      <c r="AE810" s="6">
        <f>1-AB810/AD810</f>
        <v>0.31700288184438041</v>
      </c>
      <c r="AF810" s="33">
        <v>0</v>
      </c>
      <c r="AG810" s="4">
        <f t="shared" si="128"/>
        <v>550</v>
      </c>
      <c r="AH810" s="33">
        <f t="shared" si="121"/>
        <v>550</v>
      </c>
      <c r="AI810" s="6">
        <f>1-AB810/AH810</f>
        <v>0.56909090909090909</v>
      </c>
      <c r="AJ810" s="7">
        <v>364</v>
      </c>
      <c r="AK810" s="6">
        <f>1-AB810/AJ810</f>
        <v>0.34890109890109888</v>
      </c>
      <c r="AL810" s="4">
        <f>AJ810-AB810</f>
        <v>127</v>
      </c>
      <c r="AM810" s="28"/>
      <c r="AN810" s="6"/>
      <c r="AO810" s="6"/>
      <c r="AP810" s="6">
        <f>Z810/L810</f>
        <v>0.79130434782608694</v>
      </c>
      <c r="AQ810" s="6">
        <f>AJ810/M810</f>
        <v>1.0489913544668588</v>
      </c>
      <c r="AR810" s="6">
        <f>AB810/N810</f>
        <v>1</v>
      </c>
      <c r="AS810" s="4"/>
      <c r="AT810" s="4"/>
      <c r="AU810" s="4"/>
      <c r="AV810" s="4"/>
      <c r="AW810" s="4"/>
      <c r="AX810" s="4"/>
      <c r="AY810" s="4"/>
      <c r="AZ810" s="4"/>
      <c r="BA810" s="4"/>
      <c r="BB810" s="4">
        <v>0</v>
      </c>
      <c r="BC810" s="4" t="s">
        <v>4280</v>
      </c>
      <c r="BD810" s="4">
        <v>1</v>
      </c>
      <c r="BE810" s="4">
        <v>4</v>
      </c>
      <c r="BF810" s="4" t="s">
        <v>4014</v>
      </c>
      <c r="BG810" s="4">
        <v>2200</v>
      </c>
      <c r="BH810" s="4">
        <v>2200</v>
      </c>
      <c r="BI810" s="4">
        <f t="shared" si="129"/>
        <v>550</v>
      </c>
      <c r="BJ810" s="19">
        <v>4</v>
      </c>
      <c r="BK810" s="19">
        <v>8</v>
      </c>
      <c r="BL810" s="16">
        <v>6</v>
      </c>
      <c r="BM810" s="45" t="s">
        <v>3534</v>
      </c>
      <c r="BN810" t="s">
        <v>3534</v>
      </c>
      <c r="BO810" t="str">
        <f t="shared" si="122"/>
        <v>-</v>
      </c>
      <c r="BP810" t="s">
        <v>3534</v>
      </c>
      <c r="BQ810">
        <v>460</v>
      </c>
      <c r="BR810">
        <f t="shared" si="123"/>
        <v>460</v>
      </c>
      <c r="BS810" t="s">
        <v>3145</v>
      </c>
    </row>
    <row r="811" spans="1:71" x14ac:dyDescent="0.4">
      <c r="A811" s="3">
        <v>808</v>
      </c>
      <c r="B811" s="3">
        <v>808</v>
      </c>
      <c r="C811" s="4" t="s">
        <v>870</v>
      </c>
      <c r="D811" s="4" t="str">
        <f t="shared" si="124"/>
        <v>J6674P</v>
      </c>
      <c r="E811" s="4" t="s">
        <v>870</v>
      </c>
      <c r="F811" s="4" t="s">
        <v>2088</v>
      </c>
      <c r="G811" s="5">
        <v>4521718450766</v>
      </c>
      <c r="H811" s="5"/>
      <c r="I811" s="5"/>
      <c r="J811" s="5">
        <v>1</v>
      </c>
      <c r="K811" s="5">
        <v>1</v>
      </c>
      <c r="L811" s="4">
        <v>2500</v>
      </c>
      <c r="M811" s="4">
        <v>1492</v>
      </c>
      <c r="N811" s="4">
        <v>1123</v>
      </c>
      <c r="O811" s="6">
        <f t="shared" si="125"/>
        <v>0.24731903485254692</v>
      </c>
      <c r="P811" s="4" t="s">
        <v>2500</v>
      </c>
      <c r="Q811" s="4"/>
      <c r="R811" s="4"/>
      <c r="S811" s="4"/>
      <c r="T811" s="4"/>
      <c r="U811" s="4"/>
      <c r="V811" s="4"/>
      <c r="W811" s="4"/>
      <c r="X811" s="4"/>
      <c r="Y811" s="4">
        <v>1728</v>
      </c>
      <c r="Z811" s="4">
        <f t="shared" si="126"/>
        <v>1728</v>
      </c>
      <c r="AA811" s="4">
        <v>1123</v>
      </c>
      <c r="AB811" s="4">
        <f t="shared" si="127"/>
        <v>1123</v>
      </c>
      <c r="AC811" s="4"/>
      <c r="AD811" s="21">
        <f>ROUND(M811*AR811,0)</f>
        <v>1492</v>
      </c>
      <c r="AE811" s="6">
        <f>1-AB811/AD811</f>
        <v>0.24731903485254692</v>
      </c>
      <c r="AF811" s="33">
        <v>0</v>
      </c>
      <c r="AG811" s="4">
        <f t="shared" si="128"/>
        <v>2500</v>
      </c>
      <c r="AH811" s="33">
        <f t="shared" si="121"/>
        <v>2500</v>
      </c>
      <c r="AI811" s="6">
        <f>1-AB811/AH811</f>
        <v>0.55079999999999996</v>
      </c>
      <c r="AJ811" s="7">
        <f>ROUND(AB811/0.65,0)</f>
        <v>1728</v>
      </c>
      <c r="AK811" s="6">
        <f>1-AB811/AJ811</f>
        <v>0.3501157407407407</v>
      </c>
      <c r="AL811" s="4">
        <f>AJ811-AB811</f>
        <v>605</v>
      </c>
      <c r="AM811" s="28"/>
      <c r="AN811" s="6"/>
      <c r="AO811" s="6"/>
      <c r="AP811" s="6">
        <f>Z811/L811</f>
        <v>0.69120000000000004</v>
      </c>
      <c r="AQ811" s="6">
        <f>AJ811/M811</f>
        <v>1.158176943699732</v>
      </c>
      <c r="AR811" s="6">
        <f>AB811/N811</f>
        <v>1</v>
      </c>
      <c r="AS811" s="4"/>
      <c r="AT811" s="4"/>
      <c r="AU811" s="4"/>
      <c r="AV811" s="4"/>
      <c r="AW811" s="4"/>
      <c r="AX811" s="4"/>
      <c r="AY811" s="4"/>
      <c r="AZ811" s="4"/>
      <c r="BA811" s="4"/>
      <c r="BB811" s="4">
        <v>0</v>
      </c>
      <c r="BC811" s="4" t="s">
        <v>4281</v>
      </c>
      <c r="BD811" s="4"/>
      <c r="BE811" s="4"/>
      <c r="BF811" s="4" t="s">
        <v>3874</v>
      </c>
      <c r="BG811" s="4">
        <v>2500</v>
      </c>
      <c r="BH811" s="4">
        <v>2500</v>
      </c>
      <c r="BI811" s="4">
        <f t="shared" si="129"/>
        <v>2500</v>
      </c>
      <c r="BJ811" s="19">
        <v>4</v>
      </c>
      <c r="BK811" s="19">
        <v>8</v>
      </c>
      <c r="BL811" s="16">
        <v>6</v>
      </c>
      <c r="BM811" s="45" t="s">
        <v>3534</v>
      </c>
      <c r="BN811" t="s">
        <v>3534</v>
      </c>
      <c r="BO811" t="str">
        <f t="shared" si="122"/>
        <v>-</v>
      </c>
      <c r="BP811">
        <v>2500</v>
      </c>
      <c r="BQ811">
        <v>2500</v>
      </c>
      <c r="BR811">
        <f t="shared" si="123"/>
        <v>2500</v>
      </c>
      <c r="BS811" t="s">
        <v>3146</v>
      </c>
    </row>
    <row r="812" spans="1:71" x14ac:dyDescent="0.4">
      <c r="A812" s="3">
        <v>809</v>
      </c>
      <c r="B812" s="3">
        <v>809</v>
      </c>
      <c r="C812" s="4" t="s">
        <v>871</v>
      </c>
      <c r="D812" s="4" t="str">
        <f t="shared" si="124"/>
        <v>J6675P</v>
      </c>
      <c r="E812" s="4" t="s">
        <v>871</v>
      </c>
      <c r="F812" s="4" t="s">
        <v>2089</v>
      </c>
      <c r="G812" s="5">
        <v>4521718450773</v>
      </c>
      <c r="H812" s="5"/>
      <c r="I812" s="5"/>
      <c r="J812" s="5">
        <v>1</v>
      </c>
      <c r="K812" s="5">
        <v>1</v>
      </c>
      <c r="L812" s="4">
        <v>2890</v>
      </c>
      <c r="M812" s="4">
        <v>1721</v>
      </c>
      <c r="N812" s="4">
        <v>1300</v>
      </c>
      <c r="O812" s="6">
        <f t="shared" si="125"/>
        <v>0.24462521789657177</v>
      </c>
      <c r="P812" s="4" t="s">
        <v>2500</v>
      </c>
      <c r="Q812" s="4"/>
      <c r="R812" s="4"/>
      <c r="S812" s="4"/>
      <c r="T812" s="4"/>
      <c r="U812" s="4"/>
      <c r="V812" s="4"/>
      <c r="W812" s="4"/>
      <c r="X812" s="4"/>
      <c r="Y812" s="4">
        <v>2000</v>
      </c>
      <c r="Z812" s="4">
        <f t="shared" si="126"/>
        <v>2000</v>
      </c>
      <c r="AA812" s="4">
        <v>1300</v>
      </c>
      <c r="AB812" s="4">
        <f t="shared" si="127"/>
        <v>1300</v>
      </c>
      <c r="AC812" s="4"/>
      <c r="AD812" s="21">
        <f>ROUND(M812*AR812,0)</f>
        <v>1721</v>
      </c>
      <c r="AE812" s="6">
        <f>1-AB812/AD812</f>
        <v>0.24462521789657177</v>
      </c>
      <c r="AF812" s="33">
        <v>0.5</v>
      </c>
      <c r="AG812" s="4">
        <f t="shared" si="128"/>
        <v>2890</v>
      </c>
      <c r="AH812" s="33">
        <f t="shared" si="121"/>
        <v>2890</v>
      </c>
      <c r="AI812" s="6">
        <f>1-AB812/AH812</f>
        <v>0.55017301038062283</v>
      </c>
      <c r="AJ812" s="7">
        <v>2000</v>
      </c>
      <c r="AK812" s="6">
        <f>1-AB812/AJ812</f>
        <v>0.35</v>
      </c>
      <c r="AL812" s="4">
        <f>AJ812-AB812</f>
        <v>700</v>
      </c>
      <c r="AM812" s="28"/>
      <c r="AN812" s="6"/>
      <c r="AO812" s="6"/>
      <c r="AP812" s="6">
        <f>Z812/L812</f>
        <v>0.69204152249134943</v>
      </c>
      <c r="AQ812" s="6">
        <f>AJ812/M812</f>
        <v>1.1621150493898895</v>
      </c>
      <c r="AR812" s="6">
        <f>AB812/N812</f>
        <v>1</v>
      </c>
      <c r="AS812" s="4"/>
      <c r="AT812" s="4"/>
      <c r="AU812" s="4"/>
      <c r="AV812" s="4"/>
      <c r="AW812" s="4"/>
      <c r="AX812" s="4"/>
      <c r="AY812" s="4"/>
      <c r="AZ812" s="4"/>
      <c r="BA812" s="4"/>
      <c r="BB812" s="4">
        <v>0</v>
      </c>
      <c r="BC812" s="4" t="s">
        <v>4282</v>
      </c>
      <c r="BD812" s="4"/>
      <c r="BE812" s="4"/>
      <c r="BF812" s="4" t="s">
        <v>3874</v>
      </c>
      <c r="BG812" s="4">
        <v>2890</v>
      </c>
      <c r="BH812" s="4">
        <v>2890</v>
      </c>
      <c r="BI812" s="4">
        <f t="shared" si="129"/>
        <v>2890</v>
      </c>
      <c r="BJ812" s="19">
        <v>4</v>
      </c>
      <c r="BK812" s="19">
        <v>8</v>
      </c>
      <c r="BL812" s="16">
        <v>6</v>
      </c>
      <c r="BM812" s="45" t="s">
        <v>3534</v>
      </c>
      <c r="BN812" t="s">
        <v>3534</v>
      </c>
      <c r="BO812" t="str">
        <f t="shared" si="122"/>
        <v>-</v>
      </c>
      <c r="BP812">
        <v>2890</v>
      </c>
      <c r="BQ812">
        <v>2890</v>
      </c>
      <c r="BR812">
        <f t="shared" si="123"/>
        <v>2890</v>
      </c>
      <c r="BS812" t="s">
        <v>3147</v>
      </c>
    </row>
    <row r="813" spans="1:71" x14ac:dyDescent="0.4">
      <c r="A813" s="3">
        <v>810</v>
      </c>
      <c r="B813" s="3">
        <v>810</v>
      </c>
      <c r="C813" s="4" t="s">
        <v>872</v>
      </c>
      <c r="D813" s="4" t="str">
        <f t="shared" si="124"/>
        <v>J6676P</v>
      </c>
      <c r="E813" s="4" t="s">
        <v>872</v>
      </c>
      <c r="F813" s="4" t="s">
        <v>2090</v>
      </c>
      <c r="G813" s="5">
        <v>4521718450780</v>
      </c>
      <c r="H813" s="5"/>
      <c r="I813" s="5"/>
      <c r="J813" s="5">
        <v>1</v>
      </c>
      <c r="K813" s="5">
        <v>1</v>
      </c>
      <c r="L813" s="4">
        <v>3810</v>
      </c>
      <c r="M813" s="4">
        <v>2276</v>
      </c>
      <c r="N813" s="4">
        <v>1714</v>
      </c>
      <c r="O813" s="6">
        <f t="shared" si="125"/>
        <v>0.24692442882249566</v>
      </c>
      <c r="P813" s="4" t="s">
        <v>2500</v>
      </c>
      <c r="Q813" s="4"/>
      <c r="R813" s="4"/>
      <c r="S813" s="4"/>
      <c r="T813" s="4"/>
      <c r="U813" s="4"/>
      <c r="V813" s="4"/>
      <c r="W813" s="4"/>
      <c r="X813" s="4"/>
      <c r="Y813" s="4">
        <v>2637</v>
      </c>
      <c r="Z813" s="4">
        <f t="shared" si="126"/>
        <v>2637</v>
      </c>
      <c r="AA813" s="4">
        <v>1714</v>
      </c>
      <c r="AB813" s="4">
        <f t="shared" si="127"/>
        <v>1714</v>
      </c>
      <c r="AC813" s="4"/>
      <c r="AD813" s="21">
        <f>ROUND(M813*AR813,0)</f>
        <v>2276</v>
      </c>
      <c r="AE813" s="6">
        <f>1-AB813/AD813</f>
        <v>0.24692442882249566</v>
      </c>
      <c r="AF813" s="33">
        <v>1</v>
      </c>
      <c r="AG813" s="4">
        <f t="shared" si="128"/>
        <v>3810</v>
      </c>
      <c r="AH813" s="33">
        <f t="shared" si="121"/>
        <v>3810</v>
      </c>
      <c r="AI813" s="6">
        <f>1-AB813/AH813</f>
        <v>0.55013123359580052</v>
      </c>
      <c r="AJ813" s="7">
        <f>ROUND(AB813/0.65,0)</f>
        <v>2637</v>
      </c>
      <c r="AK813" s="6">
        <f>1-AB813/AJ813</f>
        <v>0.3500189609404627</v>
      </c>
      <c r="AL813" s="4">
        <f>AJ813-AB813</f>
        <v>923</v>
      </c>
      <c r="AM813" s="28"/>
      <c r="AN813" s="6"/>
      <c r="AO813" s="6"/>
      <c r="AP813" s="6">
        <f>Z813/L813</f>
        <v>0.69212598425196847</v>
      </c>
      <c r="AQ813" s="6">
        <f>AJ813/M813</f>
        <v>1.1586115992970123</v>
      </c>
      <c r="AR813" s="6">
        <f>AB813/N813</f>
        <v>1</v>
      </c>
      <c r="AS813" s="4"/>
      <c r="AT813" s="4"/>
      <c r="AU813" s="4"/>
      <c r="AV813" s="4"/>
      <c r="AW813" s="4"/>
      <c r="AX813" s="4"/>
      <c r="AY813" s="4"/>
      <c r="AZ813" s="4"/>
      <c r="BA813" s="4"/>
      <c r="BB813" s="4">
        <v>0</v>
      </c>
      <c r="BC813" s="4" t="s">
        <v>4283</v>
      </c>
      <c r="BD813" s="4"/>
      <c r="BE813" s="4"/>
      <c r="BF813" s="4" t="s">
        <v>3874</v>
      </c>
      <c r="BG813" s="4">
        <v>3810</v>
      </c>
      <c r="BH813" s="4">
        <v>3810</v>
      </c>
      <c r="BI813" s="4">
        <f t="shared" si="129"/>
        <v>3810</v>
      </c>
      <c r="BJ813" s="19">
        <v>4</v>
      </c>
      <c r="BK813" s="19">
        <v>8</v>
      </c>
      <c r="BL813" s="16">
        <v>6</v>
      </c>
      <c r="BM813" s="45" t="s">
        <v>3534</v>
      </c>
      <c r="BN813" t="s">
        <v>3534</v>
      </c>
      <c r="BO813" t="str">
        <f t="shared" si="122"/>
        <v>-</v>
      </c>
      <c r="BP813">
        <v>3810</v>
      </c>
      <c r="BQ813">
        <v>3810</v>
      </c>
      <c r="BR813">
        <f t="shared" si="123"/>
        <v>3810</v>
      </c>
      <c r="BS813" t="s">
        <v>3148</v>
      </c>
    </row>
    <row r="814" spans="1:71" x14ac:dyDescent="0.4">
      <c r="A814" s="3">
        <v>811</v>
      </c>
      <c r="B814" s="3">
        <v>811</v>
      </c>
      <c r="C814" s="4" t="s">
        <v>873</v>
      </c>
      <c r="D814" s="4" t="str">
        <f t="shared" si="124"/>
        <v>J6677P</v>
      </c>
      <c r="E814" s="4" t="s">
        <v>873</v>
      </c>
      <c r="F814" s="4" t="s">
        <v>2091</v>
      </c>
      <c r="G814" s="5">
        <v>4521718450797</v>
      </c>
      <c r="H814" s="5"/>
      <c r="I814" s="5"/>
      <c r="J814" s="5">
        <v>1</v>
      </c>
      <c r="K814" s="5">
        <v>1</v>
      </c>
      <c r="L814" s="4">
        <v>5000</v>
      </c>
      <c r="M814" s="4">
        <v>2983</v>
      </c>
      <c r="N814" s="4">
        <v>2246</v>
      </c>
      <c r="O814" s="6">
        <f t="shared" si="125"/>
        <v>0.24706671136439828</v>
      </c>
      <c r="P814" s="4" t="s">
        <v>2500</v>
      </c>
      <c r="Q814" s="4"/>
      <c r="R814" s="4"/>
      <c r="S814" s="4"/>
      <c r="T814" s="4"/>
      <c r="U814" s="4"/>
      <c r="V814" s="4"/>
      <c r="W814" s="4"/>
      <c r="X814" s="4"/>
      <c r="Y814" s="4">
        <v>3455</v>
      </c>
      <c r="Z814" s="4">
        <f t="shared" si="126"/>
        <v>3455</v>
      </c>
      <c r="AA814" s="4">
        <v>2246</v>
      </c>
      <c r="AB814" s="4">
        <f t="shared" si="127"/>
        <v>2246</v>
      </c>
      <c r="AC814" s="4"/>
      <c r="AD814" s="21">
        <f>ROUND(M814*AR814,0)</f>
        <v>2983</v>
      </c>
      <c r="AE814" s="6">
        <f>1-AB814/AD814</f>
        <v>0.24706671136439828</v>
      </c>
      <c r="AF814" s="33">
        <v>0</v>
      </c>
      <c r="AG814" s="4">
        <f t="shared" si="128"/>
        <v>5000</v>
      </c>
      <c r="AH814" s="33">
        <f t="shared" si="121"/>
        <v>5000</v>
      </c>
      <c r="AI814" s="6">
        <f>1-AB814/AH814</f>
        <v>0.55079999999999996</v>
      </c>
      <c r="AJ814" s="7">
        <v>3455</v>
      </c>
      <c r="AK814" s="6">
        <f>1-AB814/AJ814</f>
        <v>0.3499276410998553</v>
      </c>
      <c r="AL814" s="4">
        <f>AJ814-AB814</f>
        <v>1209</v>
      </c>
      <c r="AM814" s="28"/>
      <c r="AN814" s="6"/>
      <c r="AO814" s="6"/>
      <c r="AP814" s="6">
        <f>Z814/L814</f>
        <v>0.69099999999999995</v>
      </c>
      <c r="AQ814" s="6">
        <f>AJ814/M814</f>
        <v>1.1582299698290313</v>
      </c>
      <c r="AR814" s="6">
        <f>AB814/N814</f>
        <v>1</v>
      </c>
      <c r="AS814" s="4"/>
      <c r="AT814" s="4"/>
      <c r="AU814" s="4"/>
      <c r="AV814" s="4"/>
      <c r="AW814" s="4"/>
      <c r="AX814" s="4"/>
      <c r="AY814" s="4"/>
      <c r="AZ814" s="4"/>
      <c r="BA814" s="4"/>
      <c r="BB814" s="4">
        <v>0</v>
      </c>
      <c r="BC814" s="4" t="s">
        <v>4284</v>
      </c>
      <c r="BD814" s="4"/>
      <c r="BE814" s="4"/>
      <c r="BF814" s="4" t="s">
        <v>3874</v>
      </c>
      <c r="BG814" s="4">
        <v>5000</v>
      </c>
      <c r="BH814" s="4">
        <v>5000</v>
      </c>
      <c r="BI814" s="4">
        <f t="shared" si="129"/>
        <v>5000</v>
      </c>
      <c r="BJ814" s="19">
        <v>4</v>
      </c>
      <c r="BK814" s="19">
        <v>8</v>
      </c>
      <c r="BL814" s="16">
        <v>6</v>
      </c>
      <c r="BM814" s="45" t="s">
        <v>3534</v>
      </c>
      <c r="BN814" t="s">
        <v>3534</v>
      </c>
      <c r="BO814" t="str">
        <f t="shared" si="122"/>
        <v>-</v>
      </c>
      <c r="BP814" t="s">
        <v>3534</v>
      </c>
      <c r="BQ814">
        <v>5349</v>
      </c>
      <c r="BR814">
        <f t="shared" si="123"/>
        <v>5349</v>
      </c>
      <c r="BS814" t="s">
        <v>3149</v>
      </c>
    </row>
    <row r="815" spans="1:71" x14ac:dyDescent="0.4">
      <c r="A815" s="3">
        <v>812</v>
      </c>
      <c r="B815" s="3">
        <v>812</v>
      </c>
      <c r="C815" s="4" t="s">
        <v>874</v>
      </c>
      <c r="D815" s="4" t="str">
        <f t="shared" si="124"/>
        <v>J6678P</v>
      </c>
      <c r="E815" s="4" t="s">
        <v>874</v>
      </c>
      <c r="F815" s="4" t="s">
        <v>2092</v>
      </c>
      <c r="G815" s="5">
        <v>4521718455891</v>
      </c>
      <c r="H815" s="5"/>
      <c r="I815" s="5"/>
      <c r="J815" s="5">
        <v>1</v>
      </c>
      <c r="K815" s="5">
        <v>1</v>
      </c>
      <c r="L815" s="4">
        <v>670</v>
      </c>
      <c r="M815" s="4">
        <v>408</v>
      </c>
      <c r="N815" s="4">
        <v>300</v>
      </c>
      <c r="O815" s="6">
        <f t="shared" si="125"/>
        <v>0.26470588235294112</v>
      </c>
      <c r="P815" s="4" t="s">
        <v>2500</v>
      </c>
      <c r="Q815" s="4"/>
      <c r="R815" s="4"/>
      <c r="S815" s="4"/>
      <c r="T815" s="4"/>
      <c r="U815" s="4"/>
      <c r="V815" s="4"/>
      <c r="W815" s="4"/>
      <c r="X815" s="4"/>
      <c r="Y815" s="4">
        <v>446</v>
      </c>
      <c r="Z815" s="4">
        <f t="shared" si="126"/>
        <v>446</v>
      </c>
      <c r="AA815" s="4">
        <v>312</v>
      </c>
      <c r="AB815" s="4">
        <f t="shared" si="127"/>
        <v>312</v>
      </c>
      <c r="AC815" s="4"/>
      <c r="AD815" s="21">
        <f>ROUND(M815*AR815,0)</f>
        <v>424</v>
      </c>
      <c r="AE815" s="6">
        <f>1-AB815/AD815</f>
        <v>0.26415094339622647</v>
      </c>
      <c r="AF815" s="33">
        <v>0</v>
      </c>
      <c r="AG815" s="4">
        <f t="shared" si="128"/>
        <v>482.33333333333331</v>
      </c>
      <c r="AH815" s="33">
        <f t="shared" si="121"/>
        <v>501.62666666666667</v>
      </c>
      <c r="AI815" s="6">
        <f>1-AB815/AH815</f>
        <v>0.37802349689011749</v>
      </c>
      <c r="AJ815" s="7">
        <v>446</v>
      </c>
      <c r="AK815" s="6">
        <f>1-AB815/AJ815</f>
        <v>0.30044843049327352</v>
      </c>
      <c r="AL815" s="4">
        <f>AJ815-AB815</f>
        <v>134</v>
      </c>
      <c r="AM815" s="28"/>
      <c r="AN815" s="6"/>
      <c r="AO815" s="6"/>
      <c r="AP815" s="6">
        <f>Z815/L815</f>
        <v>0.66567164179104477</v>
      </c>
      <c r="AQ815" s="6">
        <f>AJ815/M815</f>
        <v>1.0931372549019607</v>
      </c>
      <c r="AR815" s="6">
        <f>AB815/N815</f>
        <v>1.04</v>
      </c>
      <c r="AS815" s="4"/>
      <c r="AT815" s="4"/>
      <c r="AU815" s="4"/>
      <c r="AV815" s="4"/>
      <c r="AW815" s="4"/>
      <c r="AX815" s="4"/>
      <c r="AY815" s="4"/>
      <c r="AZ815" s="4"/>
      <c r="BA815" s="4"/>
      <c r="BB815" s="4">
        <v>0</v>
      </c>
      <c r="BC815" s="4" t="s">
        <v>4285</v>
      </c>
      <c r="BD815" s="4">
        <v>1</v>
      </c>
      <c r="BE815" s="4">
        <v>3</v>
      </c>
      <c r="BF815" s="4" t="s">
        <v>3698</v>
      </c>
      <c r="BG815" s="4">
        <v>1447</v>
      </c>
      <c r="BH815" s="4">
        <v>1447</v>
      </c>
      <c r="BI815" s="4">
        <f t="shared" si="129"/>
        <v>482.33333333333331</v>
      </c>
      <c r="BJ815" s="19">
        <v>4</v>
      </c>
      <c r="BK815" s="19">
        <v>8</v>
      </c>
      <c r="BL815" s="16">
        <v>6</v>
      </c>
      <c r="BM815" s="45" t="s">
        <v>3534</v>
      </c>
      <c r="BN815" t="s">
        <v>3534</v>
      </c>
      <c r="BO815" t="str">
        <f t="shared" si="122"/>
        <v>-</v>
      </c>
      <c r="BP815" t="s">
        <v>3534</v>
      </c>
      <c r="BQ815">
        <v>429</v>
      </c>
      <c r="BR815">
        <f t="shared" si="123"/>
        <v>446.16</v>
      </c>
      <c r="BS815" t="s">
        <v>3150</v>
      </c>
    </row>
    <row r="816" spans="1:71" x14ac:dyDescent="0.4">
      <c r="A816" s="3">
        <v>813</v>
      </c>
      <c r="B816" s="3">
        <v>813</v>
      </c>
      <c r="C816" s="4" t="s">
        <v>875</v>
      </c>
      <c r="D816" s="4" t="str">
        <f t="shared" si="124"/>
        <v>J6671P</v>
      </c>
      <c r="E816" s="4" t="s">
        <v>875</v>
      </c>
      <c r="F816" s="4" t="s">
        <v>2093</v>
      </c>
      <c r="G816" s="5">
        <v>4521718314082</v>
      </c>
      <c r="H816" s="5"/>
      <c r="I816" s="5"/>
      <c r="J816" s="5">
        <v>1</v>
      </c>
      <c r="K816" s="5">
        <v>1</v>
      </c>
      <c r="L816" s="4">
        <v>4950</v>
      </c>
      <c r="M816" s="4">
        <v>3021</v>
      </c>
      <c r="N816" s="4">
        <v>2227</v>
      </c>
      <c r="O816" s="6">
        <f t="shared" si="125"/>
        <v>0.26282687851704734</v>
      </c>
      <c r="P816" s="4" t="s">
        <v>2500</v>
      </c>
      <c r="Q816" s="4"/>
      <c r="R816" s="4"/>
      <c r="S816" s="4"/>
      <c r="T816" s="4"/>
      <c r="U816" s="4"/>
      <c r="V816" s="4"/>
      <c r="W816" s="4"/>
      <c r="X816" s="4"/>
      <c r="Y816" s="4">
        <v>3182</v>
      </c>
      <c r="Z816" s="4">
        <f t="shared" si="126"/>
        <v>3182</v>
      </c>
      <c r="AA816" s="4">
        <v>2227</v>
      </c>
      <c r="AB816" s="4">
        <f t="shared" si="127"/>
        <v>2227</v>
      </c>
      <c r="AC816" s="4"/>
      <c r="AD816" s="21">
        <f>ROUND(M816*AR816,0)</f>
        <v>3021</v>
      </c>
      <c r="AE816" s="6">
        <f>1-AB816/AD816</f>
        <v>0.26282687851704734</v>
      </c>
      <c r="AF816" s="33">
        <v>0</v>
      </c>
      <c r="AG816" s="4">
        <f t="shared" si="128"/>
        <v>4950</v>
      </c>
      <c r="AH816" s="33">
        <f t="shared" si="121"/>
        <v>4950</v>
      </c>
      <c r="AI816" s="6">
        <f>1-AB816/AH816</f>
        <v>0.55010101010101009</v>
      </c>
      <c r="AJ816" s="7">
        <v>3182</v>
      </c>
      <c r="AK816" s="6">
        <f>1-AB816/AJ816</f>
        <v>0.30012570710245123</v>
      </c>
      <c r="AL816" s="4">
        <f>AJ816-AB816</f>
        <v>955</v>
      </c>
      <c r="AM816" s="28"/>
      <c r="AN816" s="6"/>
      <c r="AO816" s="6"/>
      <c r="AP816" s="6">
        <f>Z816/L816</f>
        <v>0.64282828282828286</v>
      </c>
      <c r="AQ816" s="6">
        <f>AJ816/M816</f>
        <v>1.053293611386958</v>
      </c>
      <c r="AR816" s="6">
        <f>AB816/N816</f>
        <v>1</v>
      </c>
      <c r="AS816" s="4"/>
      <c r="AT816" s="4"/>
      <c r="AU816" s="4"/>
      <c r="AV816" s="4"/>
      <c r="AW816" s="4"/>
      <c r="AX816" s="4"/>
      <c r="AY816" s="4"/>
      <c r="AZ816" s="4"/>
      <c r="BA816" s="4"/>
      <c r="BB816" s="4">
        <v>0</v>
      </c>
      <c r="BC816" s="4" t="s">
        <v>4286</v>
      </c>
      <c r="BD816" s="4"/>
      <c r="BE816" s="4"/>
      <c r="BF816" s="4" t="s">
        <v>3545</v>
      </c>
      <c r="BG816" s="4">
        <v>4950</v>
      </c>
      <c r="BH816" s="4">
        <v>4950</v>
      </c>
      <c r="BI816" s="4">
        <f t="shared" si="129"/>
        <v>4950</v>
      </c>
      <c r="BJ816" s="19">
        <v>4</v>
      </c>
      <c r="BK816" s="19">
        <v>8</v>
      </c>
      <c r="BL816" s="16">
        <v>6</v>
      </c>
      <c r="BM816" s="45" t="s">
        <v>3534</v>
      </c>
      <c r="BN816" t="s">
        <v>3534</v>
      </c>
      <c r="BO816" t="str">
        <f t="shared" si="122"/>
        <v>-</v>
      </c>
      <c r="BP816" t="s">
        <v>3534</v>
      </c>
      <c r="BQ816">
        <v>4454</v>
      </c>
      <c r="BR816">
        <f t="shared" si="123"/>
        <v>4454</v>
      </c>
      <c r="BS816" t="s">
        <v>3151</v>
      </c>
    </row>
    <row r="817" spans="1:71" x14ac:dyDescent="0.4">
      <c r="A817" s="3">
        <v>814</v>
      </c>
      <c r="B817" s="3">
        <v>814</v>
      </c>
      <c r="C817" s="4" t="s">
        <v>876</v>
      </c>
      <c r="D817" s="4" t="str">
        <f t="shared" si="124"/>
        <v>J6682P</v>
      </c>
      <c r="E817" s="4" t="s">
        <v>876</v>
      </c>
      <c r="F817" s="4" t="s">
        <v>2094</v>
      </c>
      <c r="G817" s="5">
        <v>4521718553641</v>
      </c>
      <c r="H817" s="5"/>
      <c r="I817" s="5"/>
      <c r="J817" s="5">
        <v>1</v>
      </c>
      <c r="K817" s="5">
        <v>1</v>
      </c>
      <c r="L817" s="4">
        <v>1000</v>
      </c>
      <c r="M817" s="4">
        <v>760</v>
      </c>
      <c r="N817" s="4">
        <v>560</v>
      </c>
      <c r="O817" s="6">
        <f t="shared" si="125"/>
        <v>0.26315789473684215</v>
      </c>
      <c r="P817" s="4" t="s">
        <v>2500</v>
      </c>
      <c r="Q817" s="4"/>
      <c r="R817" s="4"/>
      <c r="S817" s="4"/>
      <c r="T817" s="4"/>
      <c r="U817" s="4"/>
      <c r="V817" s="4"/>
      <c r="W817" s="4"/>
      <c r="X817" s="4"/>
      <c r="Y817" s="4">
        <v>800</v>
      </c>
      <c r="Z817" s="4">
        <f t="shared" si="126"/>
        <v>800</v>
      </c>
      <c r="AA817" s="4">
        <v>560</v>
      </c>
      <c r="AB817" s="4">
        <f t="shared" si="127"/>
        <v>560</v>
      </c>
      <c r="AC817" s="4"/>
      <c r="AD817" s="21">
        <f>ROUND(M817*AR817,0)</f>
        <v>760</v>
      </c>
      <c r="AE817" s="6">
        <f>1-AB817/AD817</f>
        <v>0.26315789473684215</v>
      </c>
      <c r="AF817" s="33">
        <v>2</v>
      </c>
      <c r="AG817" s="4" t="str">
        <f t="shared" si="128"/>
        <v>-</v>
      </c>
      <c r="AH817" s="33" t="e">
        <f t="shared" si="121"/>
        <v>#VALUE!</v>
      </c>
      <c r="AI817" s="6" t="e">
        <f>1-AB817/AH817</f>
        <v>#VALUE!</v>
      </c>
      <c r="AJ817" s="7">
        <v>800</v>
      </c>
      <c r="AK817" s="6">
        <f>1-AB817/AJ817</f>
        <v>0.30000000000000004</v>
      </c>
      <c r="AL817" s="4">
        <f>AJ817-AB817</f>
        <v>240</v>
      </c>
      <c r="AM817" s="28"/>
      <c r="AN817" s="6"/>
      <c r="AO817" s="6"/>
      <c r="AP817" s="6">
        <f>Z817/L817</f>
        <v>0.8</v>
      </c>
      <c r="AQ817" s="6">
        <f>AJ817/M817</f>
        <v>1.0526315789473684</v>
      </c>
      <c r="AR817" s="6">
        <f>AB817/N817</f>
        <v>1</v>
      </c>
      <c r="AS817" s="4"/>
      <c r="AT817" s="4"/>
      <c r="AU817" s="4"/>
      <c r="AV817" s="4"/>
      <c r="AW817" s="4"/>
      <c r="AX817" s="4"/>
      <c r="AY817" s="4"/>
      <c r="AZ817" s="4"/>
      <c r="BA817" s="4"/>
      <c r="BB817" s="4">
        <v>0</v>
      </c>
      <c r="BC817" s="4" t="s">
        <v>3534</v>
      </c>
      <c r="BD817" s="4"/>
      <c r="BE817" s="4"/>
      <c r="BF817" s="4" t="s">
        <v>3534</v>
      </c>
      <c r="BG817" s="4" t="s">
        <v>3534</v>
      </c>
      <c r="BH817" s="4" t="s">
        <v>3534</v>
      </c>
      <c r="BI817" s="4" t="str">
        <f t="shared" si="129"/>
        <v>-</v>
      </c>
      <c r="BJ817" s="19">
        <v>4</v>
      </c>
      <c r="BK817" s="19">
        <v>8</v>
      </c>
      <c r="BL817" s="16">
        <v>6</v>
      </c>
      <c r="BM817" s="45" t="s">
        <v>3534</v>
      </c>
      <c r="BN817" t="s">
        <v>3534</v>
      </c>
      <c r="BO817" t="str">
        <f t="shared" si="122"/>
        <v>-</v>
      </c>
      <c r="BP817" t="s">
        <v>3534</v>
      </c>
      <c r="BQ817">
        <v>800</v>
      </c>
      <c r="BR817">
        <f t="shared" si="123"/>
        <v>800</v>
      </c>
      <c r="BS817" t="s">
        <v>3534</v>
      </c>
    </row>
    <row r="818" spans="1:71" x14ac:dyDescent="0.4">
      <c r="A818" s="3">
        <v>815</v>
      </c>
      <c r="B818" s="3">
        <v>815</v>
      </c>
      <c r="C818" s="4" t="s">
        <v>877</v>
      </c>
      <c r="D818" s="4" t="str">
        <f t="shared" si="124"/>
        <v>J6683P</v>
      </c>
      <c r="E818" s="4" t="s">
        <v>877</v>
      </c>
      <c r="F818" s="4" t="s">
        <v>2095</v>
      </c>
      <c r="G818" s="5">
        <v>4521718553672</v>
      </c>
      <c r="H818" s="5"/>
      <c r="I818" s="5"/>
      <c r="J818" s="5">
        <v>1</v>
      </c>
      <c r="K818" s="5">
        <v>1</v>
      </c>
      <c r="L818" s="4">
        <v>1300</v>
      </c>
      <c r="M818" s="4">
        <v>1053</v>
      </c>
      <c r="N818" s="4">
        <v>726</v>
      </c>
      <c r="O818" s="6">
        <f t="shared" si="125"/>
        <v>0.31054131054131051</v>
      </c>
      <c r="P818" s="4" t="s">
        <v>2500</v>
      </c>
      <c r="Q818" s="4"/>
      <c r="R818" s="4"/>
      <c r="S818" s="4"/>
      <c r="T818" s="4"/>
      <c r="U818" s="4"/>
      <c r="V818" s="4"/>
      <c r="W818" s="4"/>
      <c r="X818" s="4"/>
      <c r="Y818" s="4">
        <v>1300</v>
      </c>
      <c r="Z818" s="4">
        <f t="shared" si="126"/>
        <v>1300</v>
      </c>
      <c r="AA818" s="4">
        <v>845</v>
      </c>
      <c r="AB818" s="4">
        <f t="shared" si="127"/>
        <v>845</v>
      </c>
      <c r="AC818" s="4"/>
      <c r="AD818" s="21">
        <f>ROUND(M818*AR818,0)</f>
        <v>1226</v>
      </c>
      <c r="AE818" s="6">
        <f>1-AB818/AD818</f>
        <v>0.31076672104404568</v>
      </c>
      <c r="AF818" s="33">
        <v>0.25</v>
      </c>
      <c r="AG818" s="4">
        <f t="shared" si="128"/>
        <v>1300</v>
      </c>
      <c r="AH818" s="33">
        <f t="shared" si="121"/>
        <v>1513.0853994490358</v>
      </c>
      <c r="AI818" s="6">
        <f>1-AB818/AH818</f>
        <v>0.44153846153846155</v>
      </c>
      <c r="AJ818" s="7">
        <v>1300</v>
      </c>
      <c r="AK818" s="6">
        <f>1-AB818/AJ818</f>
        <v>0.35</v>
      </c>
      <c r="AL818" s="4">
        <f>AJ818-AB818</f>
        <v>455</v>
      </c>
      <c r="AM818" s="28"/>
      <c r="AN818" s="6"/>
      <c r="AO818" s="6"/>
      <c r="AP818" s="6">
        <f>Z818/L818</f>
        <v>1</v>
      </c>
      <c r="AQ818" s="6">
        <f>AJ818/M818</f>
        <v>1.2345679012345678</v>
      </c>
      <c r="AR818" s="6">
        <f>AB818/N818</f>
        <v>1.1639118457300275</v>
      </c>
      <c r="AS818" s="4"/>
      <c r="AT818" s="4"/>
      <c r="AU818" s="4"/>
      <c r="AV818" s="4"/>
      <c r="AW818" s="4"/>
      <c r="AX818" s="4"/>
      <c r="AY818" s="4"/>
      <c r="AZ818" s="4"/>
      <c r="BA818" s="4"/>
      <c r="BB818" s="4">
        <v>0</v>
      </c>
      <c r="BC818" s="4" t="s">
        <v>4287</v>
      </c>
      <c r="BD818" s="4"/>
      <c r="BE818" s="4"/>
      <c r="BF818" s="4" t="s">
        <v>3874</v>
      </c>
      <c r="BG818" s="4">
        <v>1300</v>
      </c>
      <c r="BH818" s="4">
        <v>1300</v>
      </c>
      <c r="BI818" s="4">
        <f t="shared" si="129"/>
        <v>1300</v>
      </c>
      <c r="BJ818" s="19">
        <v>4</v>
      </c>
      <c r="BK818" s="19">
        <v>8</v>
      </c>
      <c r="BL818" s="16">
        <v>6</v>
      </c>
      <c r="BM818" s="45" t="s">
        <v>3534</v>
      </c>
      <c r="BN818" t="s">
        <v>3534</v>
      </c>
      <c r="BO818" t="str">
        <f t="shared" si="122"/>
        <v>-</v>
      </c>
      <c r="BP818" t="s">
        <v>3534</v>
      </c>
      <c r="BQ818">
        <v>1037</v>
      </c>
      <c r="BR818">
        <f t="shared" si="123"/>
        <v>1206.9765840220384</v>
      </c>
      <c r="BS818" t="s">
        <v>3152</v>
      </c>
    </row>
    <row r="819" spans="1:71" x14ac:dyDescent="0.4">
      <c r="A819" s="3">
        <v>816</v>
      </c>
      <c r="B819" s="3">
        <v>816</v>
      </c>
      <c r="C819" s="4" t="s">
        <v>878</v>
      </c>
      <c r="D819" s="4" t="str">
        <f t="shared" si="124"/>
        <v>J6685P</v>
      </c>
      <c r="E819" s="4" t="s">
        <v>878</v>
      </c>
      <c r="F819" s="4" t="s">
        <v>2096</v>
      </c>
      <c r="G819" s="5">
        <v>4521718553702</v>
      </c>
      <c r="H819" s="5"/>
      <c r="I819" s="5"/>
      <c r="J819" s="5">
        <v>1</v>
      </c>
      <c r="K819" s="5">
        <v>1</v>
      </c>
      <c r="L819" s="4">
        <v>350</v>
      </c>
      <c r="M819" s="4">
        <v>239</v>
      </c>
      <c r="N819" s="4">
        <v>166</v>
      </c>
      <c r="O819" s="6">
        <f t="shared" si="125"/>
        <v>0.30543933054393302</v>
      </c>
      <c r="P819" s="4" t="s">
        <v>2500</v>
      </c>
      <c r="Q819" s="4"/>
      <c r="R819" s="4"/>
      <c r="S819" s="4"/>
      <c r="T819" s="4"/>
      <c r="U819" s="4"/>
      <c r="V819" s="4"/>
      <c r="W819" s="4"/>
      <c r="X819" s="4"/>
      <c r="Y819" s="4">
        <v>237</v>
      </c>
      <c r="Z819" s="4">
        <f t="shared" si="126"/>
        <v>237</v>
      </c>
      <c r="AA819" s="4">
        <v>166</v>
      </c>
      <c r="AB819" s="4">
        <f t="shared" si="127"/>
        <v>166</v>
      </c>
      <c r="AC819" s="4"/>
      <c r="AD819" s="21">
        <f>ROUND(M819*AR819,0)</f>
        <v>239</v>
      </c>
      <c r="AE819" s="6">
        <f>1-AB819/AD819</f>
        <v>0.30543933054393302</v>
      </c>
      <c r="AF819" s="33">
        <v>30.25</v>
      </c>
      <c r="AG819" s="4" t="e">
        <f t="shared" si="128"/>
        <v>#VALUE!</v>
      </c>
      <c r="AH819" s="33" t="e">
        <f t="shared" si="121"/>
        <v>#VALUE!</v>
      </c>
      <c r="AI819" s="6" t="e">
        <f>1-AB819/AH819</f>
        <v>#VALUE!</v>
      </c>
      <c r="AJ819" s="7">
        <v>237</v>
      </c>
      <c r="AK819" s="6">
        <f>1-AB819/AJ819</f>
        <v>0.29957805907172996</v>
      </c>
      <c r="AL819" s="4">
        <f>AJ819-AB819</f>
        <v>71</v>
      </c>
      <c r="AM819" s="28"/>
      <c r="AN819" s="6"/>
      <c r="AO819" s="6"/>
      <c r="AP819" s="6">
        <f>Z819/L819</f>
        <v>0.67714285714285716</v>
      </c>
      <c r="AQ819" s="6">
        <f>AJ819/M819</f>
        <v>0.99163179916317989</v>
      </c>
      <c r="AR819" s="6">
        <f>AB819/N819</f>
        <v>1</v>
      </c>
      <c r="AS819" s="4"/>
      <c r="AT819" s="4"/>
      <c r="AU819" s="4"/>
      <c r="AV819" s="4"/>
      <c r="AW819" s="4"/>
      <c r="AX819" s="4"/>
      <c r="AY819" s="4"/>
      <c r="AZ819" s="4"/>
      <c r="BA819" s="4"/>
      <c r="BB819" s="4">
        <v>0</v>
      </c>
      <c r="BC819" s="4" t="s">
        <v>4288</v>
      </c>
      <c r="BD819" s="4">
        <v>1</v>
      </c>
      <c r="BE819" s="4">
        <v>4</v>
      </c>
      <c r="BF819" s="4" t="s">
        <v>3991</v>
      </c>
      <c r="BG819" s="4">
        <v>1190</v>
      </c>
      <c r="BH819" s="4" t="s">
        <v>3534</v>
      </c>
      <c r="BI819" s="4" t="e">
        <f t="shared" si="129"/>
        <v>#VALUE!</v>
      </c>
      <c r="BJ819" s="19">
        <v>4</v>
      </c>
      <c r="BK819" s="19">
        <v>8</v>
      </c>
      <c r="BL819" s="16">
        <v>6</v>
      </c>
      <c r="BM819" s="45" t="s">
        <v>3534</v>
      </c>
      <c r="BN819" t="s">
        <v>3534</v>
      </c>
      <c r="BO819" t="str">
        <f t="shared" si="122"/>
        <v>-</v>
      </c>
      <c r="BP819" t="s">
        <v>3534</v>
      </c>
      <c r="BQ819">
        <v>332</v>
      </c>
      <c r="BR819">
        <f t="shared" si="123"/>
        <v>332</v>
      </c>
      <c r="BS819" t="s">
        <v>3153</v>
      </c>
    </row>
    <row r="820" spans="1:71" x14ac:dyDescent="0.4">
      <c r="A820" s="3">
        <v>817</v>
      </c>
      <c r="B820" s="3">
        <v>817</v>
      </c>
      <c r="C820" s="4" t="s">
        <v>879</v>
      </c>
      <c r="D820" s="4" t="str">
        <f t="shared" si="124"/>
        <v>J6686P</v>
      </c>
      <c r="E820" s="4" t="s">
        <v>879</v>
      </c>
      <c r="F820" s="4" t="s">
        <v>2097</v>
      </c>
      <c r="G820" s="5">
        <v>4521718553832</v>
      </c>
      <c r="H820" s="5"/>
      <c r="I820" s="5"/>
      <c r="J820" s="5">
        <v>1</v>
      </c>
      <c r="K820" s="5">
        <v>1</v>
      </c>
      <c r="L820" s="4">
        <v>900</v>
      </c>
      <c r="M820" s="4">
        <v>683</v>
      </c>
      <c r="N820" s="4">
        <v>503</v>
      </c>
      <c r="O820" s="6">
        <f t="shared" si="125"/>
        <v>0.26354319180087848</v>
      </c>
      <c r="P820" s="4" t="s">
        <v>2500</v>
      </c>
      <c r="Q820" s="4"/>
      <c r="R820" s="4"/>
      <c r="S820" s="4"/>
      <c r="T820" s="4"/>
      <c r="U820" s="4"/>
      <c r="V820" s="4"/>
      <c r="W820" s="4"/>
      <c r="X820" s="4"/>
      <c r="Y820" s="4">
        <v>719</v>
      </c>
      <c r="Z820" s="4">
        <f t="shared" si="126"/>
        <v>719</v>
      </c>
      <c r="AA820" s="4">
        <v>503</v>
      </c>
      <c r="AB820" s="4">
        <f t="shared" si="127"/>
        <v>503</v>
      </c>
      <c r="AC820" s="4"/>
      <c r="AD820" s="21">
        <f>ROUND(M820*AR820,0)</f>
        <v>683</v>
      </c>
      <c r="AE820" s="6">
        <f>1-AB820/AD820</f>
        <v>0.26354319180087848</v>
      </c>
      <c r="AF820" s="33">
        <v>0</v>
      </c>
      <c r="AG820" s="4">
        <f t="shared" si="128"/>
        <v>1560</v>
      </c>
      <c r="AH820" s="33">
        <f t="shared" si="121"/>
        <v>1560</v>
      </c>
      <c r="AI820" s="6">
        <f>1-AB820/AH820</f>
        <v>0.6775641025641026</v>
      </c>
      <c r="AJ820" s="7">
        <v>719</v>
      </c>
      <c r="AK820" s="6">
        <f>1-AB820/AJ820</f>
        <v>0.30041724617524335</v>
      </c>
      <c r="AL820" s="4">
        <f>AJ820-AB820</f>
        <v>216</v>
      </c>
      <c r="AM820" s="28"/>
      <c r="AN820" s="6"/>
      <c r="AO820" s="6"/>
      <c r="AP820" s="6">
        <f>Z820/L820</f>
        <v>0.79888888888888887</v>
      </c>
      <c r="AQ820" s="6">
        <f>AJ820/M820</f>
        <v>1.0527086383601756</v>
      </c>
      <c r="AR820" s="6">
        <f>AB820/N820</f>
        <v>1</v>
      </c>
      <c r="AS820" s="4"/>
      <c r="AT820" s="4"/>
      <c r="AU820" s="4"/>
      <c r="AV820" s="4"/>
      <c r="AW820" s="4"/>
      <c r="AX820" s="4"/>
      <c r="AY820" s="4"/>
      <c r="AZ820" s="4"/>
      <c r="BA820" s="4"/>
      <c r="BB820" s="4">
        <v>0</v>
      </c>
      <c r="BC820" s="4" t="s">
        <v>4289</v>
      </c>
      <c r="BD820" s="4"/>
      <c r="BE820" s="4"/>
      <c r="BF820" s="4" t="s">
        <v>3545</v>
      </c>
      <c r="BG820" s="4">
        <v>1560</v>
      </c>
      <c r="BH820" s="4">
        <v>1560</v>
      </c>
      <c r="BI820" s="4">
        <f t="shared" si="129"/>
        <v>1560</v>
      </c>
      <c r="BJ820" s="19">
        <v>4</v>
      </c>
      <c r="BK820" s="19">
        <v>8</v>
      </c>
      <c r="BL820" s="16">
        <v>6</v>
      </c>
      <c r="BM820" s="45" t="s">
        <v>3534</v>
      </c>
      <c r="BN820" t="s">
        <v>3534</v>
      </c>
      <c r="BO820" t="str">
        <f t="shared" si="122"/>
        <v>-</v>
      </c>
      <c r="BP820" t="s">
        <v>3534</v>
      </c>
      <c r="BQ820">
        <v>719</v>
      </c>
      <c r="BR820">
        <f t="shared" si="123"/>
        <v>719</v>
      </c>
      <c r="BS820" t="s">
        <v>3154</v>
      </c>
    </row>
    <row r="821" spans="1:71" x14ac:dyDescent="0.4">
      <c r="A821" s="3">
        <v>818</v>
      </c>
      <c r="B821" s="3">
        <v>818</v>
      </c>
      <c r="C821" s="4" t="s">
        <v>880</v>
      </c>
      <c r="D821" s="4" t="str">
        <f t="shared" si="124"/>
        <v>J6687P</v>
      </c>
      <c r="E821" s="4" t="s">
        <v>880</v>
      </c>
      <c r="F821" s="4" t="s">
        <v>2098</v>
      </c>
      <c r="G821" s="5">
        <v>4521718553849</v>
      </c>
      <c r="H821" s="5"/>
      <c r="I821" s="5"/>
      <c r="J821" s="5">
        <v>1</v>
      </c>
      <c r="K821" s="5">
        <v>1</v>
      </c>
      <c r="L821" s="4">
        <v>430</v>
      </c>
      <c r="M821" s="4">
        <v>353</v>
      </c>
      <c r="N821" s="4">
        <v>242</v>
      </c>
      <c r="O821" s="6">
        <f t="shared" si="125"/>
        <v>0.31444759206798867</v>
      </c>
      <c r="P821" s="4" t="s">
        <v>2500</v>
      </c>
      <c r="Q821" s="4"/>
      <c r="R821" s="4"/>
      <c r="S821" s="4"/>
      <c r="T821" s="4"/>
      <c r="U821" s="4"/>
      <c r="V821" s="4"/>
      <c r="W821" s="4"/>
      <c r="X821" s="4"/>
      <c r="Y821" s="4">
        <v>364</v>
      </c>
      <c r="Z821" s="4">
        <f t="shared" si="126"/>
        <v>364</v>
      </c>
      <c r="AA821" s="4">
        <v>255</v>
      </c>
      <c r="AB821" s="4">
        <f t="shared" si="127"/>
        <v>255</v>
      </c>
      <c r="AC821" s="4"/>
      <c r="AD821" s="21">
        <f>ROUND(M821*AR821,0)</f>
        <v>372</v>
      </c>
      <c r="AE821" s="6">
        <f>1-AB821/AD821</f>
        <v>0.31451612903225812</v>
      </c>
      <c r="AF821" s="33">
        <v>1</v>
      </c>
      <c r="AG821" s="4">
        <f t="shared" si="128"/>
        <v>400</v>
      </c>
      <c r="AH821" s="33">
        <f t="shared" si="121"/>
        <v>421.48760330578511</v>
      </c>
      <c r="AI821" s="6">
        <f>1-AB821/AH821</f>
        <v>0.39500000000000002</v>
      </c>
      <c r="AJ821" s="7">
        <v>364</v>
      </c>
      <c r="AK821" s="6">
        <f>1-AB821/AJ821</f>
        <v>0.2994505494505495</v>
      </c>
      <c r="AL821" s="4">
        <f>AJ821-AB821</f>
        <v>109</v>
      </c>
      <c r="AM821" s="28"/>
      <c r="AN821" s="6"/>
      <c r="AO821" s="6"/>
      <c r="AP821" s="6">
        <f>Z821/L821</f>
        <v>0.84651162790697676</v>
      </c>
      <c r="AQ821" s="6">
        <f>AJ821/M821</f>
        <v>1.0311614730878187</v>
      </c>
      <c r="AR821" s="6">
        <f>AB821/N821</f>
        <v>1.0537190082644627</v>
      </c>
      <c r="AS821" s="4"/>
      <c r="AT821" s="4"/>
      <c r="AU821" s="4"/>
      <c r="AV821" s="4"/>
      <c r="AW821" s="4"/>
      <c r="AX821" s="4"/>
      <c r="AY821" s="4"/>
      <c r="AZ821" s="4"/>
      <c r="BA821" s="4"/>
      <c r="BB821" s="4">
        <v>0</v>
      </c>
      <c r="BC821" s="4" t="s">
        <v>4290</v>
      </c>
      <c r="BD821" s="4"/>
      <c r="BE821" s="4"/>
      <c r="BF821" s="4" t="s">
        <v>3545</v>
      </c>
      <c r="BG821" s="4">
        <v>400</v>
      </c>
      <c r="BH821" s="4">
        <v>400</v>
      </c>
      <c r="BI821" s="4">
        <f t="shared" si="129"/>
        <v>400</v>
      </c>
      <c r="BJ821" s="19">
        <v>4</v>
      </c>
      <c r="BK821" s="19">
        <v>8</v>
      </c>
      <c r="BL821" s="16">
        <v>6</v>
      </c>
      <c r="BM821" s="45" t="s">
        <v>3534</v>
      </c>
      <c r="BN821" t="s">
        <v>3534</v>
      </c>
      <c r="BO821" t="str">
        <f t="shared" si="122"/>
        <v>-</v>
      </c>
      <c r="BP821" t="s">
        <v>3534</v>
      </c>
      <c r="BQ821">
        <v>346</v>
      </c>
      <c r="BR821">
        <f t="shared" si="123"/>
        <v>364.58677685950408</v>
      </c>
      <c r="BS821" t="s">
        <v>3155</v>
      </c>
    </row>
    <row r="822" spans="1:71" x14ac:dyDescent="0.4">
      <c r="A822" s="3">
        <v>819</v>
      </c>
      <c r="B822" s="3">
        <v>819</v>
      </c>
      <c r="C822" s="4" t="s">
        <v>881</v>
      </c>
      <c r="D822" s="4" t="str">
        <f t="shared" si="124"/>
        <v>J6692P</v>
      </c>
      <c r="E822" s="4" t="s">
        <v>881</v>
      </c>
      <c r="F822" s="4" t="s">
        <v>2099</v>
      </c>
      <c r="G822" s="5">
        <v>4521718554457</v>
      </c>
      <c r="H822" s="5"/>
      <c r="I822" s="5"/>
      <c r="J822" s="5">
        <v>1</v>
      </c>
      <c r="K822" s="5">
        <v>1</v>
      </c>
      <c r="L822" s="4">
        <v>1300</v>
      </c>
      <c r="M822" s="4">
        <v>1053</v>
      </c>
      <c r="N822" s="4">
        <v>726</v>
      </c>
      <c r="O822" s="6">
        <f t="shared" si="125"/>
        <v>0.31054131054131051</v>
      </c>
      <c r="P822" s="4" t="s">
        <v>2500</v>
      </c>
      <c r="Q822" s="4"/>
      <c r="R822" s="4"/>
      <c r="S822" s="4"/>
      <c r="T822" s="4"/>
      <c r="U822" s="4"/>
      <c r="V822" s="4"/>
      <c r="W822" s="4"/>
      <c r="X822" s="4"/>
      <c r="Y822" s="4">
        <v>1300</v>
      </c>
      <c r="Z822" s="4">
        <f t="shared" si="126"/>
        <v>1300</v>
      </c>
      <c r="AA822" s="4">
        <v>728</v>
      </c>
      <c r="AB822" s="4">
        <f t="shared" si="127"/>
        <v>728</v>
      </c>
      <c r="AC822" s="4"/>
      <c r="AD822" s="21">
        <f>ROUND(M822*AR822,0)</f>
        <v>1056</v>
      </c>
      <c r="AE822" s="6">
        <f>1-AB822/AD822</f>
        <v>0.31060606060606055</v>
      </c>
      <c r="AF822" s="33">
        <v>0.25</v>
      </c>
      <c r="AG822" s="4">
        <f t="shared" si="128"/>
        <v>1300</v>
      </c>
      <c r="AH822" s="33">
        <f t="shared" si="121"/>
        <v>1303.5812672176307</v>
      </c>
      <c r="AI822" s="6">
        <f>1-AB822/AH822</f>
        <v>0.44153846153846144</v>
      </c>
      <c r="AJ822" s="7">
        <f>ROUND(AB822/0.65,0)</f>
        <v>1120</v>
      </c>
      <c r="AK822" s="6">
        <f>1-AB822/AJ822</f>
        <v>0.35</v>
      </c>
      <c r="AL822" s="4">
        <f>AJ822-AB822</f>
        <v>392</v>
      </c>
      <c r="AM822" s="28"/>
      <c r="AN822" s="6"/>
      <c r="AO822" s="6"/>
      <c r="AP822" s="6">
        <f>Z822/L822</f>
        <v>1</v>
      </c>
      <c r="AQ822" s="6">
        <f>AJ822/M822</f>
        <v>1.0636277302943971</v>
      </c>
      <c r="AR822" s="6">
        <f>AB822/N822</f>
        <v>1.002754820936639</v>
      </c>
      <c r="AS822" s="4"/>
      <c r="AT822" s="4"/>
      <c r="AU822" s="4"/>
      <c r="AV822" s="4"/>
      <c r="AW822" s="4"/>
      <c r="AX822" s="4"/>
      <c r="AY822" s="4"/>
      <c r="AZ822" s="4"/>
      <c r="BA822" s="4"/>
      <c r="BB822" s="4">
        <v>0</v>
      </c>
      <c r="BC822" s="4" t="s">
        <v>4291</v>
      </c>
      <c r="BD822" s="4"/>
      <c r="BE822" s="4"/>
      <c r="BF822" s="4" t="s">
        <v>3874</v>
      </c>
      <c r="BG822" s="4">
        <v>1300</v>
      </c>
      <c r="BH822" s="4">
        <v>1300</v>
      </c>
      <c r="BI822" s="4">
        <f t="shared" si="129"/>
        <v>1300</v>
      </c>
      <c r="BJ822" s="19">
        <v>4</v>
      </c>
      <c r="BK822" s="19">
        <v>8</v>
      </c>
      <c r="BL822" s="16">
        <v>6</v>
      </c>
      <c r="BM822" s="45" t="s">
        <v>3534</v>
      </c>
      <c r="BN822" t="s">
        <v>3534</v>
      </c>
      <c r="BO822" t="str">
        <f t="shared" si="122"/>
        <v>-</v>
      </c>
      <c r="BP822" t="s">
        <v>3534</v>
      </c>
      <c r="BQ822">
        <v>1037</v>
      </c>
      <c r="BR822">
        <f t="shared" si="123"/>
        <v>1039.8567493112946</v>
      </c>
      <c r="BS822" t="s">
        <v>3156</v>
      </c>
    </row>
    <row r="823" spans="1:71" x14ac:dyDescent="0.4">
      <c r="A823" s="3">
        <v>820</v>
      </c>
      <c r="B823" s="3">
        <v>820</v>
      </c>
      <c r="C823" s="4" t="s">
        <v>882</v>
      </c>
      <c r="D823" s="4" t="str">
        <f t="shared" si="124"/>
        <v>J6695P</v>
      </c>
      <c r="E823" s="4" t="s">
        <v>882</v>
      </c>
      <c r="F823" s="4" t="s">
        <v>2100</v>
      </c>
      <c r="G823" s="5">
        <v>4521718555218</v>
      </c>
      <c r="H823" s="5"/>
      <c r="I823" s="5"/>
      <c r="J823" s="5">
        <v>1</v>
      </c>
      <c r="K823" s="5">
        <v>1</v>
      </c>
      <c r="L823" s="4">
        <v>1400</v>
      </c>
      <c r="M823" s="4">
        <v>1139</v>
      </c>
      <c r="N823" s="4">
        <v>783</v>
      </c>
      <c r="O823" s="6">
        <f t="shared" si="125"/>
        <v>0.31255487269534676</v>
      </c>
      <c r="P823" s="4" t="s">
        <v>2500</v>
      </c>
      <c r="Q823" s="4"/>
      <c r="R823" s="4"/>
      <c r="S823" s="4"/>
      <c r="T823" s="4"/>
      <c r="U823" s="4"/>
      <c r="V823" s="4"/>
      <c r="W823" s="4"/>
      <c r="X823" s="4"/>
      <c r="Y823" s="4">
        <v>1119</v>
      </c>
      <c r="Z823" s="4">
        <f t="shared" si="126"/>
        <v>1119</v>
      </c>
      <c r="AA823" s="4">
        <v>783</v>
      </c>
      <c r="AB823" s="4">
        <f t="shared" si="127"/>
        <v>783</v>
      </c>
      <c r="AC823" s="4"/>
      <c r="AD823" s="21">
        <f>ROUND(M823*AR823,0)</f>
        <v>1139</v>
      </c>
      <c r="AE823" s="6">
        <f>1-AB823/AD823</f>
        <v>0.31255487269534676</v>
      </c>
      <c r="AF823" s="33">
        <v>0</v>
      </c>
      <c r="AG823" s="4">
        <f t="shared" si="128"/>
        <v>1680</v>
      </c>
      <c r="AH823" s="33">
        <f t="shared" si="121"/>
        <v>1680</v>
      </c>
      <c r="AI823" s="6">
        <f>1-AB823/AH823</f>
        <v>0.53392857142857142</v>
      </c>
      <c r="AJ823" s="7">
        <v>1119</v>
      </c>
      <c r="AK823" s="6">
        <f>1-AB823/AJ823</f>
        <v>0.30026809651474529</v>
      </c>
      <c r="AL823" s="4">
        <f>AJ823-AB823</f>
        <v>336</v>
      </c>
      <c r="AM823" s="28"/>
      <c r="AN823" s="6"/>
      <c r="AO823" s="6"/>
      <c r="AP823" s="6">
        <f>Z823/L823</f>
        <v>0.79928571428571427</v>
      </c>
      <c r="AQ823" s="6">
        <f>AJ823/M823</f>
        <v>0.9824407374890255</v>
      </c>
      <c r="AR823" s="6">
        <f>AB823/N823</f>
        <v>1</v>
      </c>
      <c r="AS823" s="4"/>
      <c r="AT823" s="4"/>
      <c r="AU823" s="4"/>
      <c r="AV823" s="4"/>
      <c r="AW823" s="4"/>
      <c r="AX823" s="4"/>
      <c r="AY823" s="4"/>
      <c r="AZ823" s="4"/>
      <c r="BA823" s="4"/>
      <c r="BB823" s="4">
        <v>0</v>
      </c>
      <c r="BC823" s="4" t="s">
        <v>4292</v>
      </c>
      <c r="BD823" s="4"/>
      <c r="BE823" s="4"/>
      <c r="BF823" s="4" t="s">
        <v>3545</v>
      </c>
      <c r="BG823" s="4">
        <v>1680</v>
      </c>
      <c r="BH823" s="4">
        <v>1680</v>
      </c>
      <c r="BI823" s="4">
        <f t="shared" si="129"/>
        <v>1680</v>
      </c>
      <c r="BJ823" s="19">
        <v>4</v>
      </c>
      <c r="BK823" s="19">
        <v>8</v>
      </c>
      <c r="BL823" s="16">
        <v>6</v>
      </c>
      <c r="BM823" s="45" t="s">
        <v>3534</v>
      </c>
      <c r="BN823" t="s">
        <v>3534</v>
      </c>
      <c r="BO823" t="str">
        <f t="shared" si="122"/>
        <v>-</v>
      </c>
      <c r="BP823" t="s">
        <v>3534</v>
      </c>
      <c r="BQ823">
        <v>1119</v>
      </c>
      <c r="BR823">
        <f t="shared" si="123"/>
        <v>1119</v>
      </c>
      <c r="BS823" t="s">
        <v>3157</v>
      </c>
    </row>
    <row r="824" spans="1:71" x14ac:dyDescent="0.4">
      <c r="A824" s="3">
        <v>821</v>
      </c>
      <c r="B824" s="3">
        <v>821</v>
      </c>
      <c r="C824" s="4" t="s">
        <v>883</v>
      </c>
      <c r="D824" s="4" t="str">
        <f t="shared" si="124"/>
        <v>J6710P</v>
      </c>
      <c r="E824" s="4" t="s">
        <v>883</v>
      </c>
      <c r="F824" s="4" t="s">
        <v>2101</v>
      </c>
      <c r="G824" s="5">
        <v>4521718559704</v>
      </c>
      <c r="H824" s="5"/>
      <c r="I824" s="5"/>
      <c r="J824" s="5">
        <v>1</v>
      </c>
      <c r="K824" s="5">
        <v>1</v>
      </c>
      <c r="L824" s="4">
        <v>710</v>
      </c>
      <c r="M824" s="4">
        <v>537</v>
      </c>
      <c r="N824" s="4">
        <v>367</v>
      </c>
      <c r="O824" s="6">
        <f t="shared" si="125"/>
        <v>0.31657355679702048</v>
      </c>
      <c r="P824" s="4" t="s">
        <v>2500</v>
      </c>
      <c r="Q824" s="4"/>
      <c r="R824" s="4"/>
      <c r="S824" s="4"/>
      <c r="T824" s="4"/>
      <c r="U824" s="4"/>
      <c r="V824" s="4"/>
      <c r="W824" s="4"/>
      <c r="X824" s="4"/>
      <c r="Y824" s="4">
        <v>564</v>
      </c>
      <c r="Z824" s="4">
        <f t="shared" si="126"/>
        <v>564</v>
      </c>
      <c r="AA824" s="4">
        <v>367</v>
      </c>
      <c r="AB824" s="4">
        <f t="shared" si="127"/>
        <v>367</v>
      </c>
      <c r="AC824" s="4"/>
      <c r="AD824" s="21">
        <f>ROUND(M824*AR824,0)</f>
        <v>537</v>
      </c>
      <c r="AE824" s="6">
        <f>1-AB824/AD824</f>
        <v>0.31657355679702048</v>
      </c>
      <c r="AF824" s="33">
        <v>0</v>
      </c>
      <c r="AG824" s="4">
        <f t="shared" si="128"/>
        <v>881</v>
      </c>
      <c r="AH824" s="33">
        <f t="shared" si="121"/>
        <v>881</v>
      </c>
      <c r="AI824" s="6">
        <f>1-AB824/AH824</f>
        <v>0.58342792281498301</v>
      </c>
      <c r="AJ824" s="7">
        <v>564</v>
      </c>
      <c r="AK824" s="6">
        <f>1-AB824/AJ824</f>
        <v>0.349290780141844</v>
      </c>
      <c r="AL824" s="4">
        <f>AJ824-AB824</f>
        <v>197</v>
      </c>
      <c r="AM824" s="28"/>
      <c r="AN824" s="6"/>
      <c r="AO824" s="6"/>
      <c r="AP824" s="6">
        <f>Z824/L824</f>
        <v>0.79436619718309864</v>
      </c>
      <c r="AQ824" s="6">
        <f>AJ824/M824</f>
        <v>1.0502793296089385</v>
      </c>
      <c r="AR824" s="6">
        <f>AB824/N824</f>
        <v>1</v>
      </c>
      <c r="AS824" s="4"/>
      <c r="AT824" s="4"/>
      <c r="AU824" s="4"/>
      <c r="AV824" s="4"/>
      <c r="AW824" s="4"/>
      <c r="AX824" s="4"/>
      <c r="AY824" s="4"/>
      <c r="AZ824" s="4"/>
      <c r="BA824" s="4"/>
      <c r="BB824" s="4">
        <v>0</v>
      </c>
      <c r="BC824" s="4" t="s">
        <v>4293</v>
      </c>
      <c r="BD824" s="4">
        <v>1</v>
      </c>
      <c r="BE824" s="4">
        <v>3</v>
      </c>
      <c r="BF824" s="4" t="s">
        <v>4193</v>
      </c>
      <c r="BG824" s="4">
        <v>2643</v>
      </c>
      <c r="BH824" s="4">
        <v>2643</v>
      </c>
      <c r="BI824" s="4">
        <f t="shared" si="129"/>
        <v>881</v>
      </c>
      <c r="BJ824" s="19">
        <v>4</v>
      </c>
      <c r="BK824" s="19">
        <v>8</v>
      </c>
      <c r="BL824" s="16">
        <v>6</v>
      </c>
      <c r="BM824" s="45" t="s">
        <v>3534</v>
      </c>
      <c r="BN824" t="s">
        <v>3534</v>
      </c>
      <c r="BO824" t="str">
        <f t="shared" si="122"/>
        <v>-</v>
      </c>
      <c r="BP824">
        <v>565</v>
      </c>
      <c r="BQ824">
        <v>565</v>
      </c>
      <c r="BR824">
        <f t="shared" si="123"/>
        <v>565</v>
      </c>
      <c r="BS824" t="s">
        <v>3158</v>
      </c>
    </row>
    <row r="825" spans="1:71" x14ac:dyDescent="0.4">
      <c r="A825" s="3">
        <v>822</v>
      </c>
      <c r="B825" s="3">
        <v>822</v>
      </c>
      <c r="C825" s="4" t="s">
        <v>884</v>
      </c>
      <c r="D825" s="4" t="str">
        <f t="shared" si="124"/>
        <v>J6711P</v>
      </c>
      <c r="E825" s="4" t="s">
        <v>884</v>
      </c>
      <c r="F825" s="4" t="s">
        <v>2102</v>
      </c>
      <c r="G825" s="5">
        <v>4521718559711</v>
      </c>
      <c r="H825" s="5"/>
      <c r="I825" s="5"/>
      <c r="J825" s="5">
        <v>1</v>
      </c>
      <c r="K825" s="5">
        <v>1</v>
      </c>
      <c r="L825" s="4">
        <v>400</v>
      </c>
      <c r="M825" s="4">
        <v>302</v>
      </c>
      <c r="N825" s="4">
        <v>207</v>
      </c>
      <c r="O825" s="6">
        <f t="shared" si="125"/>
        <v>0.31456953642384111</v>
      </c>
      <c r="P825" s="4" t="s">
        <v>2500</v>
      </c>
      <c r="Q825" s="4"/>
      <c r="R825" s="4"/>
      <c r="S825" s="4"/>
      <c r="T825" s="4"/>
      <c r="U825" s="4"/>
      <c r="V825" s="4"/>
      <c r="W825" s="4"/>
      <c r="X825" s="4"/>
      <c r="Y825" s="4">
        <v>319</v>
      </c>
      <c r="Z825" s="4">
        <f t="shared" si="126"/>
        <v>319</v>
      </c>
      <c r="AA825" s="4">
        <v>207</v>
      </c>
      <c r="AB825" s="4">
        <f t="shared" si="127"/>
        <v>207</v>
      </c>
      <c r="AC825" s="4"/>
      <c r="AD825" s="21">
        <f>ROUND(M825*AR825,0)</f>
        <v>302</v>
      </c>
      <c r="AE825" s="6">
        <f>1-AB825/AD825</f>
        <v>0.31456953642384111</v>
      </c>
      <c r="AF825" s="33">
        <v>0</v>
      </c>
      <c r="AG825" s="4">
        <f t="shared" si="128"/>
        <v>468</v>
      </c>
      <c r="AH825" s="33">
        <f t="shared" si="121"/>
        <v>468</v>
      </c>
      <c r="AI825" s="6">
        <f>1-AB825/AH825</f>
        <v>0.55769230769230771</v>
      </c>
      <c r="AJ825" s="7">
        <f>ROUND(AB825/0.65,0)</f>
        <v>318</v>
      </c>
      <c r="AK825" s="6">
        <f>1-AB825/AJ825</f>
        <v>0.34905660377358494</v>
      </c>
      <c r="AL825" s="4">
        <f>AJ825-AB825</f>
        <v>111</v>
      </c>
      <c r="AM825" s="28"/>
      <c r="AN825" s="6"/>
      <c r="AO825" s="6"/>
      <c r="AP825" s="6">
        <f>Z825/L825</f>
        <v>0.79749999999999999</v>
      </c>
      <c r="AQ825" s="6">
        <f>AJ825/M825</f>
        <v>1.0529801324503312</v>
      </c>
      <c r="AR825" s="6">
        <f>AB825/N825</f>
        <v>1</v>
      </c>
      <c r="AS825" s="4"/>
      <c r="AT825" s="4"/>
      <c r="AU825" s="4"/>
      <c r="AV825" s="4"/>
      <c r="AW825" s="4"/>
      <c r="AX825" s="4"/>
      <c r="AY825" s="4"/>
      <c r="AZ825" s="4"/>
      <c r="BA825" s="4"/>
      <c r="BB825" s="4">
        <v>0</v>
      </c>
      <c r="BC825" s="4" t="s">
        <v>4294</v>
      </c>
      <c r="BD825" s="4">
        <v>1</v>
      </c>
      <c r="BE825" s="4">
        <v>4</v>
      </c>
      <c r="BF825" s="4" t="s">
        <v>4200</v>
      </c>
      <c r="BG825" s="4">
        <v>1872</v>
      </c>
      <c r="BH825" s="4">
        <v>1872</v>
      </c>
      <c r="BI825" s="4">
        <f t="shared" si="129"/>
        <v>468</v>
      </c>
      <c r="BJ825" s="19">
        <v>4</v>
      </c>
      <c r="BK825" s="19">
        <v>8</v>
      </c>
      <c r="BL825" s="16">
        <v>6</v>
      </c>
      <c r="BM825" s="45" t="s">
        <v>3534</v>
      </c>
      <c r="BN825" t="s">
        <v>3534</v>
      </c>
      <c r="BO825" t="str">
        <f t="shared" si="122"/>
        <v>-</v>
      </c>
      <c r="BP825">
        <v>520</v>
      </c>
      <c r="BQ825">
        <v>520</v>
      </c>
      <c r="BR825">
        <f t="shared" si="123"/>
        <v>520</v>
      </c>
      <c r="BS825" t="s">
        <v>3159</v>
      </c>
    </row>
    <row r="826" spans="1:71" x14ac:dyDescent="0.4">
      <c r="A826" s="3">
        <v>823</v>
      </c>
      <c r="B826" s="3">
        <v>823</v>
      </c>
      <c r="C826" s="4" t="s">
        <v>885</v>
      </c>
      <c r="D826" s="4" t="str">
        <f t="shared" si="124"/>
        <v>J6701P</v>
      </c>
      <c r="E826" s="4" t="s">
        <v>885</v>
      </c>
      <c r="F826" s="4" t="s">
        <v>2103</v>
      </c>
      <c r="G826" s="5">
        <v>4521718555294</v>
      </c>
      <c r="H826" s="5"/>
      <c r="I826" s="5"/>
      <c r="J826" s="5">
        <v>1</v>
      </c>
      <c r="K826" s="5">
        <v>1</v>
      </c>
      <c r="L826" s="4">
        <v>1150</v>
      </c>
      <c r="M826" s="4">
        <v>874</v>
      </c>
      <c r="N826" s="4">
        <v>643</v>
      </c>
      <c r="O826" s="6">
        <f t="shared" si="125"/>
        <v>0.26430205949656749</v>
      </c>
      <c r="P826" s="4" t="s">
        <v>2500</v>
      </c>
      <c r="Q826" s="4"/>
      <c r="R826" s="4"/>
      <c r="S826" s="4"/>
      <c r="T826" s="4"/>
      <c r="U826" s="4"/>
      <c r="V826" s="4"/>
      <c r="W826" s="4"/>
      <c r="X826" s="4"/>
      <c r="Y826" s="4">
        <v>919</v>
      </c>
      <c r="Z826" s="4">
        <f t="shared" si="126"/>
        <v>919</v>
      </c>
      <c r="AA826" s="4">
        <v>643</v>
      </c>
      <c r="AB826" s="4">
        <f t="shared" si="127"/>
        <v>643</v>
      </c>
      <c r="AC826" s="4"/>
      <c r="AD826" s="21">
        <f>ROUND(M826*AR826,0)</f>
        <v>874</v>
      </c>
      <c r="AE826" s="6">
        <f>1-AB826/AD826</f>
        <v>0.26430205949656749</v>
      </c>
      <c r="AF826" s="33">
        <v>0</v>
      </c>
      <c r="AG826" s="4">
        <f t="shared" si="128"/>
        <v>1430</v>
      </c>
      <c r="AH826" s="33">
        <f t="shared" si="121"/>
        <v>1430</v>
      </c>
      <c r="AI826" s="6">
        <f>1-AB826/AH826</f>
        <v>0.55034965034965033</v>
      </c>
      <c r="AJ826" s="7">
        <v>919</v>
      </c>
      <c r="AK826" s="6">
        <f>1-AB826/AJ826</f>
        <v>0.30032644178454837</v>
      </c>
      <c r="AL826" s="4">
        <f>AJ826-AB826</f>
        <v>276</v>
      </c>
      <c r="AM826" s="28"/>
      <c r="AN826" s="6"/>
      <c r="AO826" s="6"/>
      <c r="AP826" s="6">
        <f>Z826/L826</f>
        <v>0.7991304347826087</v>
      </c>
      <c r="AQ826" s="6">
        <f>AJ826/M826</f>
        <v>1.0514874141876429</v>
      </c>
      <c r="AR826" s="6">
        <f>AB826/N826</f>
        <v>1</v>
      </c>
      <c r="AS826" s="4"/>
      <c r="AT826" s="4"/>
      <c r="AU826" s="4"/>
      <c r="AV826" s="4"/>
      <c r="AW826" s="4"/>
      <c r="AX826" s="4"/>
      <c r="AY826" s="4"/>
      <c r="AZ826" s="4"/>
      <c r="BA826" s="4"/>
      <c r="BB826" s="4">
        <v>0</v>
      </c>
      <c r="BC826" s="4" t="s">
        <v>4295</v>
      </c>
      <c r="BD826" s="4"/>
      <c r="BE826" s="4"/>
      <c r="BF826" s="4" t="s">
        <v>3874</v>
      </c>
      <c r="BG826" s="4">
        <v>1430</v>
      </c>
      <c r="BH826" s="4">
        <v>1430</v>
      </c>
      <c r="BI826" s="4">
        <f t="shared" si="129"/>
        <v>1430</v>
      </c>
      <c r="BJ826" s="19">
        <v>4</v>
      </c>
      <c r="BK826" s="19">
        <v>8</v>
      </c>
      <c r="BL826" s="16">
        <v>6</v>
      </c>
      <c r="BM826" s="45" t="s">
        <v>3534</v>
      </c>
      <c r="BN826" t="s">
        <v>3534</v>
      </c>
      <c r="BO826" t="str">
        <f t="shared" si="122"/>
        <v>-</v>
      </c>
      <c r="BP826" t="s">
        <v>3534</v>
      </c>
      <c r="BQ826">
        <v>919</v>
      </c>
      <c r="BR826">
        <f t="shared" si="123"/>
        <v>919</v>
      </c>
      <c r="BS826" t="s">
        <v>3160</v>
      </c>
    </row>
    <row r="827" spans="1:71" x14ac:dyDescent="0.4">
      <c r="A827" s="3">
        <v>824</v>
      </c>
      <c r="B827" s="3">
        <v>824</v>
      </c>
      <c r="C827" s="4" t="s">
        <v>886</v>
      </c>
      <c r="D827" s="4" t="str">
        <f t="shared" si="124"/>
        <v>J6702P</v>
      </c>
      <c r="E827" s="4" t="s">
        <v>886</v>
      </c>
      <c r="F827" s="4" t="s">
        <v>2104</v>
      </c>
      <c r="G827" s="5">
        <v>4521718555300</v>
      </c>
      <c r="H827" s="5"/>
      <c r="I827" s="5"/>
      <c r="J827" s="5">
        <v>1</v>
      </c>
      <c r="K827" s="5">
        <v>1</v>
      </c>
      <c r="L827" s="4">
        <v>1100</v>
      </c>
      <c r="M827" s="4">
        <v>836</v>
      </c>
      <c r="N827" s="4">
        <v>617</v>
      </c>
      <c r="O827" s="6">
        <f t="shared" si="125"/>
        <v>0.26196172248803828</v>
      </c>
      <c r="P827" s="4" t="s">
        <v>2500</v>
      </c>
      <c r="Q827" s="4"/>
      <c r="R827" s="4"/>
      <c r="S827" s="4"/>
      <c r="T827" s="4"/>
      <c r="U827" s="4"/>
      <c r="V827" s="4"/>
      <c r="W827" s="4"/>
      <c r="X827" s="4"/>
      <c r="Y827" s="4">
        <v>882</v>
      </c>
      <c r="Z827" s="4">
        <f t="shared" si="126"/>
        <v>882</v>
      </c>
      <c r="AA827" s="4">
        <v>617</v>
      </c>
      <c r="AB827" s="4">
        <f t="shared" si="127"/>
        <v>617</v>
      </c>
      <c r="AC827" s="4"/>
      <c r="AD827" s="21">
        <f>ROUND(M827*AR827,0)</f>
        <v>836</v>
      </c>
      <c r="AE827" s="6">
        <f>1-AB827/AD827</f>
        <v>0.26196172248803828</v>
      </c>
      <c r="AF827" s="33">
        <v>0</v>
      </c>
      <c r="AG827" s="4">
        <f t="shared" si="128"/>
        <v>1680</v>
      </c>
      <c r="AH827" s="33">
        <f t="shared" si="121"/>
        <v>1680</v>
      </c>
      <c r="AI827" s="6">
        <f>1-AB827/AH827</f>
        <v>0.63273809523809521</v>
      </c>
      <c r="AJ827" s="7">
        <v>882</v>
      </c>
      <c r="AK827" s="6">
        <f>1-AB827/AJ827</f>
        <v>0.30045351473922899</v>
      </c>
      <c r="AL827" s="4">
        <f>AJ827-AB827</f>
        <v>265</v>
      </c>
      <c r="AM827" s="28"/>
      <c r="AN827" s="6"/>
      <c r="AO827" s="6"/>
      <c r="AP827" s="6">
        <f>Z827/L827</f>
        <v>0.80181818181818176</v>
      </c>
      <c r="AQ827" s="6">
        <f>AJ827/M827</f>
        <v>1.0550239234449761</v>
      </c>
      <c r="AR827" s="6">
        <f>AB827/N827</f>
        <v>1</v>
      </c>
      <c r="AS827" s="4"/>
      <c r="AT827" s="4"/>
      <c r="AU827" s="4"/>
      <c r="AV827" s="4"/>
      <c r="AW827" s="4"/>
      <c r="AX827" s="4"/>
      <c r="AY827" s="4"/>
      <c r="AZ827" s="4"/>
      <c r="BA827" s="4"/>
      <c r="BB827" s="4">
        <v>0</v>
      </c>
      <c r="BC827" s="4" t="s">
        <v>4296</v>
      </c>
      <c r="BD827" s="4"/>
      <c r="BE827" s="4"/>
      <c r="BF827" s="4" t="s">
        <v>3874</v>
      </c>
      <c r="BG827" s="4">
        <v>1680</v>
      </c>
      <c r="BH827" s="4">
        <v>1680</v>
      </c>
      <c r="BI827" s="4">
        <f t="shared" si="129"/>
        <v>1680</v>
      </c>
      <c r="BJ827" s="19">
        <v>4</v>
      </c>
      <c r="BK827" s="19">
        <v>8</v>
      </c>
      <c r="BL827" s="16">
        <v>6</v>
      </c>
      <c r="BM827" s="45" t="s">
        <v>3534</v>
      </c>
      <c r="BN827" t="s">
        <v>3534</v>
      </c>
      <c r="BO827" t="str">
        <f t="shared" si="122"/>
        <v>-</v>
      </c>
      <c r="BP827" t="s">
        <v>3534</v>
      </c>
      <c r="BQ827">
        <v>882</v>
      </c>
      <c r="BR827">
        <f t="shared" si="123"/>
        <v>882</v>
      </c>
      <c r="BS827" t="s">
        <v>3161</v>
      </c>
    </row>
    <row r="828" spans="1:71" x14ac:dyDescent="0.4">
      <c r="A828" s="3">
        <v>825</v>
      </c>
      <c r="B828" s="3">
        <v>825</v>
      </c>
      <c r="C828" s="4" t="s">
        <v>887</v>
      </c>
      <c r="D828" s="4" t="str">
        <f t="shared" si="124"/>
        <v>J6703P</v>
      </c>
      <c r="E828" s="4" t="s">
        <v>887</v>
      </c>
      <c r="F828" s="4" t="s">
        <v>2105</v>
      </c>
      <c r="G828" s="5">
        <v>4521718555324</v>
      </c>
      <c r="H828" s="5"/>
      <c r="I828" s="5"/>
      <c r="J828" s="5">
        <v>1</v>
      </c>
      <c r="K828" s="5">
        <v>1</v>
      </c>
      <c r="L828" s="4">
        <v>450</v>
      </c>
      <c r="M828" s="4">
        <v>342</v>
      </c>
      <c r="N828" s="4">
        <v>255</v>
      </c>
      <c r="O828" s="6">
        <f t="shared" si="125"/>
        <v>0.25438596491228072</v>
      </c>
      <c r="P828" s="4" t="s">
        <v>2500</v>
      </c>
      <c r="Q828" s="4"/>
      <c r="R828" s="4"/>
      <c r="S828" s="4"/>
      <c r="T828" s="4"/>
      <c r="U828" s="4"/>
      <c r="V828" s="4"/>
      <c r="W828" s="4"/>
      <c r="X828" s="4"/>
      <c r="Y828" s="4">
        <v>364</v>
      </c>
      <c r="Z828" s="4">
        <f t="shared" si="126"/>
        <v>364</v>
      </c>
      <c r="AA828" s="4">
        <v>255</v>
      </c>
      <c r="AB828" s="4">
        <f t="shared" si="127"/>
        <v>255</v>
      </c>
      <c r="AC828" s="4"/>
      <c r="AD828" s="21">
        <f>ROUND(M828*AR828,0)</f>
        <v>342</v>
      </c>
      <c r="AE828" s="6">
        <f>1-AB828/AD828</f>
        <v>0.25438596491228072</v>
      </c>
      <c r="AF828" s="33">
        <v>0</v>
      </c>
      <c r="AG828" s="4">
        <f t="shared" si="128"/>
        <v>438.33333333333331</v>
      </c>
      <c r="AH828" s="33">
        <f t="shared" si="121"/>
        <v>438.33333333333331</v>
      </c>
      <c r="AI828" s="6">
        <f>1-AB828/AH828</f>
        <v>0.41825095057034223</v>
      </c>
      <c r="AJ828" s="7">
        <v>364</v>
      </c>
      <c r="AK828" s="6">
        <f>1-AB828/AJ828</f>
        <v>0.2994505494505495</v>
      </c>
      <c r="AL828" s="4">
        <f>AJ828-AB828</f>
        <v>109</v>
      </c>
      <c r="AM828" s="28"/>
      <c r="AN828" s="6"/>
      <c r="AO828" s="6"/>
      <c r="AP828" s="6">
        <f>Z828/L828</f>
        <v>0.80888888888888888</v>
      </c>
      <c r="AQ828" s="6">
        <f>AJ828/M828</f>
        <v>1.064327485380117</v>
      </c>
      <c r="AR828" s="6">
        <f>AB828/N828</f>
        <v>1</v>
      </c>
      <c r="AS828" s="4"/>
      <c r="AT828" s="4"/>
      <c r="AU828" s="4"/>
      <c r="AV828" s="4"/>
      <c r="AW828" s="4"/>
      <c r="AX828" s="4"/>
      <c r="AY828" s="4"/>
      <c r="AZ828" s="4"/>
      <c r="BA828" s="4"/>
      <c r="BB828" s="4">
        <v>0</v>
      </c>
      <c r="BC828" s="4" t="s">
        <v>4297</v>
      </c>
      <c r="BD828" s="4">
        <v>1</v>
      </c>
      <c r="BE828" s="4">
        <v>3</v>
      </c>
      <c r="BF828" s="4" t="s">
        <v>3914</v>
      </c>
      <c r="BG828" s="4">
        <v>1315</v>
      </c>
      <c r="BH828" s="4">
        <v>1315</v>
      </c>
      <c r="BI828" s="4">
        <f t="shared" si="129"/>
        <v>438.33333333333331</v>
      </c>
      <c r="BJ828" s="19">
        <v>4</v>
      </c>
      <c r="BK828" s="19">
        <v>8</v>
      </c>
      <c r="BL828" s="16">
        <v>6</v>
      </c>
      <c r="BM828" s="45" t="s">
        <v>3534</v>
      </c>
      <c r="BN828" t="s">
        <v>3534</v>
      </c>
      <c r="BO828" t="str">
        <f t="shared" si="122"/>
        <v>-</v>
      </c>
      <c r="BP828" t="s">
        <v>3534</v>
      </c>
      <c r="BQ828">
        <v>365</v>
      </c>
      <c r="BR828">
        <f t="shared" si="123"/>
        <v>365</v>
      </c>
      <c r="BS828" t="s">
        <v>3162</v>
      </c>
    </row>
    <row r="829" spans="1:71" x14ac:dyDescent="0.4">
      <c r="A829" s="3">
        <v>826</v>
      </c>
      <c r="B829" s="3">
        <v>826</v>
      </c>
      <c r="C829" s="4" t="s">
        <v>888</v>
      </c>
      <c r="D829" s="4" t="str">
        <f t="shared" si="124"/>
        <v>J6704P</v>
      </c>
      <c r="E829" s="4" t="s">
        <v>888</v>
      </c>
      <c r="F829" s="4" t="s">
        <v>2106</v>
      </c>
      <c r="G829" s="5">
        <v>4521718555348</v>
      </c>
      <c r="H829" s="5"/>
      <c r="I829" s="5"/>
      <c r="J829" s="5">
        <v>1</v>
      </c>
      <c r="K829" s="5">
        <v>1</v>
      </c>
      <c r="L829" s="4">
        <v>1250</v>
      </c>
      <c r="M829" s="4">
        <v>950</v>
      </c>
      <c r="N829" s="4">
        <v>700</v>
      </c>
      <c r="O829" s="6">
        <f t="shared" si="125"/>
        <v>0.26315789473684215</v>
      </c>
      <c r="P829" s="4" t="s">
        <v>2500</v>
      </c>
      <c r="Q829" s="4"/>
      <c r="R829" s="4"/>
      <c r="S829" s="4"/>
      <c r="T829" s="4"/>
      <c r="U829" s="4"/>
      <c r="V829" s="4"/>
      <c r="W829" s="4"/>
      <c r="X829" s="4"/>
      <c r="Y829" s="4">
        <v>1250</v>
      </c>
      <c r="Z829" s="4">
        <f t="shared" si="126"/>
        <v>1250</v>
      </c>
      <c r="AA829" s="4">
        <v>813</v>
      </c>
      <c r="AB829" s="4">
        <f t="shared" si="127"/>
        <v>813</v>
      </c>
      <c r="AC829" s="4"/>
      <c r="AD829" s="21">
        <f>ROUND(M829*AR829,0)</f>
        <v>1103</v>
      </c>
      <c r="AE829" s="6">
        <f>1-AB829/AD829</f>
        <v>0.26291931097008159</v>
      </c>
      <c r="AF829" s="33">
        <v>0</v>
      </c>
      <c r="AG829" s="4">
        <f t="shared" si="128"/>
        <v>1560</v>
      </c>
      <c r="AH829" s="33">
        <f t="shared" si="121"/>
        <v>1811.8285714285714</v>
      </c>
      <c r="AI829" s="6">
        <f>1-AB829/AH829</f>
        <v>0.55128205128205132</v>
      </c>
      <c r="AJ829" s="7">
        <v>1250</v>
      </c>
      <c r="AK829" s="6">
        <f>1-AB829/AJ829</f>
        <v>0.34960000000000002</v>
      </c>
      <c r="AL829" s="4">
        <f>AJ829-AB829</f>
        <v>437</v>
      </c>
      <c r="AM829" s="28"/>
      <c r="AN829" s="6"/>
      <c r="AO829" s="6"/>
      <c r="AP829" s="6">
        <f>Z829/L829</f>
        <v>1</v>
      </c>
      <c r="AQ829" s="6">
        <f>AJ829/M829</f>
        <v>1.3157894736842106</v>
      </c>
      <c r="AR829" s="6">
        <f>AB829/N829</f>
        <v>1.1614285714285715</v>
      </c>
      <c r="AS829" s="4"/>
      <c r="AT829" s="4"/>
      <c r="AU829" s="4"/>
      <c r="AV829" s="4"/>
      <c r="AW829" s="4"/>
      <c r="AX829" s="4"/>
      <c r="AY829" s="4"/>
      <c r="AZ829" s="4"/>
      <c r="BA829" s="4"/>
      <c r="BB829" s="4">
        <v>0</v>
      </c>
      <c r="BC829" s="4" t="s">
        <v>4298</v>
      </c>
      <c r="BD829" s="4"/>
      <c r="BE829" s="4"/>
      <c r="BF829" s="4" t="s">
        <v>3874</v>
      </c>
      <c r="BG829" s="4">
        <v>1560</v>
      </c>
      <c r="BH829" s="4">
        <v>1560</v>
      </c>
      <c r="BI829" s="4">
        <f t="shared" si="129"/>
        <v>1560</v>
      </c>
      <c r="BJ829" s="19">
        <v>4</v>
      </c>
      <c r="BK829" s="19">
        <v>8</v>
      </c>
      <c r="BL829" s="16">
        <v>6</v>
      </c>
      <c r="BM829" s="45" t="s">
        <v>3534</v>
      </c>
      <c r="BN829" t="s">
        <v>3534</v>
      </c>
      <c r="BO829" t="str">
        <f t="shared" si="122"/>
        <v>-</v>
      </c>
      <c r="BP829" t="s">
        <v>3534</v>
      </c>
      <c r="BQ829">
        <v>1000</v>
      </c>
      <c r="BR829">
        <f t="shared" si="123"/>
        <v>1161.4285714285716</v>
      </c>
      <c r="BS829" t="s">
        <v>3163</v>
      </c>
    </row>
    <row r="830" spans="1:71" x14ac:dyDescent="0.4">
      <c r="A830" s="3">
        <v>827</v>
      </c>
      <c r="B830" s="3">
        <v>827</v>
      </c>
      <c r="C830" s="4" t="s">
        <v>889</v>
      </c>
      <c r="D830" s="4" t="str">
        <f t="shared" si="124"/>
        <v>J6706P</v>
      </c>
      <c r="E830" s="4" t="s">
        <v>889</v>
      </c>
      <c r="F830" s="4" t="s">
        <v>2107</v>
      </c>
      <c r="G830" s="5">
        <v>4521718555409</v>
      </c>
      <c r="H830" s="5"/>
      <c r="I830" s="5"/>
      <c r="J830" s="5">
        <v>1</v>
      </c>
      <c r="K830" s="5">
        <v>1</v>
      </c>
      <c r="L830" s="4">
        <v>800</v>
      </c>
      <c r="M830" s="4">
        <v>605</v>
      </c>
      <c r="N830" s="4">
        <v>446</v>
      </c>
      <c r="O830" s="6">
        <f t="shared" si="125"/>
        <v>0.26280991735537185</v>
      </c>
      <c r="P830" s="4" t="s">
        <v>2500</v>
      </c>
      <c r="Q830" s="4"/>
      <c r="R830" s="4"/>
      <c r="S830" s="4"/>
      <c r="T830" s="4"/>
      <c r="U830" s="4"/>
      <c r="V830" s="4"/>
      <c r="W830" s="4"/>
      <c r="X830" s="4"/>
      <c r="Y830" s="4">
        <v>637</v>
      </c>
      <c r="Z830" s="4">
        <f t="shared" si="126"/>
        <v>637</v>
      </c>
      <c r="AA830" s="4">
        <v>446</v>
      </c>
      <c r="AB830" s="4">
        <f t="shared" si="127"/>
        <v>446</v>
      </c>
      <c r="AC830" s="4"/>
      <c r="AD830" s="21">
        <f>ROUND(M830*AR830,0)</f>
        <v>605</v>
      </c>
      <c r="AE830" s="6">
        <f>1-AB830/AD830</f>
        <v>0.26280991735537185</v>
      </c>
      <c r="AF830" s="33">
        <v>0</v>
      </c>
      <c r="AG830" s="4">
        <f t="shared" si="128"/>
        <v>645</v>
      </c>
      <c r="AH830" s="33">
        <f t="shared" si="121"/>
        <v>645</v>
      </c>
      <c r="AI830" s="6">
        <f>1-AB830/AH830</f>
        <v>0.30852713178294577</v>
      </c>
      <c r="AJ830" s="7">
        <v>637</v>
      </c>
      <c r="AK830" s="6">
        <f>1-AB830/AJ830</f>
        <v>0.29984301412872838</v>
      </c>
      <c r="AL830" s="4">
        <f>AJ830-AB830</f>
        <v>191</v>
      </c>
      <c r="AM830" s="28"/>
      <c r="AN830" s="6"/>
      <c r="AO830" s="6"/>
      <c r="AP830" s="6">
        <f>Z830/L830</f>
        <v>0.79625000000000001</v>
      </c>
      <c r="AQ830" s="6">
        <f>AJ830/M830</f>
        <v>1.052892561983471</v>
      </c>
      <c r="AR830" s="6">
        <f>AB830/N830</f>
        <v>1</v>
      </c>
      <c r="AS830" s="4"/>
      <c r="AT830" s="4"/>
      <c r="AU830" s="4"/>
      <c r="AV830" s="4"/>
      <c r="AW830" s="4"/>
      <c r="AX830" s="4"/>
      <c r="AY830" s="4"/>
      <c r="AZ830" s="4"/>
      <c r="BA830" s="4"/>
      <c r="BB830" s="4">
        <v>0</v>
      </c>
      <c r="BC830" s="4" t="s">
        <v>4299</v>
      </c>
      <c r="BD830" s="4"/>
      <c r="BE830" s="4"/>
      <c r="BF830" s="4" t="s">
        <v>3545</v>
      </c>
      <c r="BG830" s="4">
        <v>645</v>
      </c>
      <c r="BH830" s="4">
        <v>645</v>
      </c>
      <c r="BI830" s="4">
        <f t="shared" si="129"/>
        <v>645</v>
      </c>
      <c r="BJ830" s="19">
        <v>4</v>
      </c>
      <c r="BK830" s="19">
        <v>8</v>
      </c>
      <c r="BL830" s="16">
        <v>6</v>
      </c>
      <c r="BM830" s="45" t="s">
        <v>3534</v>
      </c>
      <c r="BN830" t="s">
        <v>3534</v>
      </c>
      <c r="BO830" t="str">
        <f t="shared" si="122"/>
        <v>-</v>
      </c>
      <c r="BP830" t="s">
        <v>3534</v>
      </c>
      <c r="BQ830">
        <v>638</v>
      </c>
      <c r="BR830">
        <f t="shared" si="123"/>
        <v>638</v>
      </c>
      <c r="BS830" t="s">
        <v>3164</v>
      </c>
    </row>
    <row r="831" spans="1:71" x14ac:dyDescent="0.4">
      <c r="A831" s="3">
        <v>828</v>
      </c>
      <c r="B831" s="3">
        <v>828</v>
      </c>
      <c r="C831" s="4" t="s">
        <v>890</v>
      </c>
      <c r="D831" s="4" t="str">
        <f t="shared" si="124"/>
        <v>J6707P</v>
      </c>
      <c r="E831" s="4" t="s">
        <v>890</v>
      </c>
      <c r="F831" s="4" t="s">
        <v>2108</v>
      </c>
      <c r="G831" s="5">
        <v>4521718555416</v>
      </c>
      <c r="H831" s="5"/>
      <c r="I831" s="5"/>
      <c r="J831" s="5">
        <v>1</v>
      </c>
      <c r="K831" s="5">
        <v>1</v>
      </c>
      <c r="L831" s="4">
        <v>850</v>
      </c>
      <c r="M831" s="4">
        <v>646</v>
      </c>
      <c r="N831" s="4">
        <v>477</v>
      </c>
      <c r="O831" s="6">
        <f t="shared" si="125"/>
        <v>0.26160990712074306</v>
      </c>
      <c r="P831" s="4" t="s">
        <v>2500</v>
      </c>
      <c r="Q831" s="4"/>
      <c r="R831" s="4"/>
      <c r="S831" s="4"/>
      <c r="T831" s="4"/>
      <c r="U831" s="4"/>
      <c r="V831" s="4"/>
      <c r="W831" s="4"/>
      <c r="X831" s="4"/>
      <c r="Y831" s="4">
        <v>850</v>
      </c>
      <c r="Z831" s="4">
        <f t="shared" si="126"/>
        <v>850</v>
      </c>
      <c r="AA831" s="4">
        <v>595</v>
      </c>
      <c r="AB831" s="4">
        <f t="shared" si="127"/>
        <v>595</v>
      </c>
      <c r="AC831" s="4"/>
      <c r="AD831" s="21">
        <f>ROUND(M831*AR831,0)</f>
        <v>806</v>
      </c>
      <c r="AE831" s="6">
        <f>1-AB831/AD831</f>
        <v>0.26178660049627789</v>
      </c>
      <c r="AF831" s="33">
        <v>0</v>
      </c>
      <c r="AG831" s="4">
        <f t="shared" si="128"/>
        <v>1060</v>
      </c>
      <c r="AH831" s="33">
        <f t="shared" si="121"/>
        <v>1322.2222222222224</v>
      </c>
      <c r="AI831" s="6">
        <f>1-AB831/AH831</f>
        <v>0.55000000000000004</v>
      </c>
      <c r="AJ831" s="7">
        <v>850</v>
      </c>
      <c r="AK831" s="6">
        <f>1-AB831/AJ831</f>
        <v>0.30000000000000004</v>
      </c>
      <c r="AL831" s="4">
        <f>AJ831-AB831</f>
        <v>255</v>
      </c>
      <c r="AM831" s="28"/>
      <c r="AN831" s="6"/>
      <c r="AO831" s="6"/>
      <c r="AP831" s="6">
        <f>Z831/L831</f>
        <v>1</v>
      </c>
      <c r="AQ831" s="6">
        <f>AJ831/M831</f>
        <v>1.3157894736842106</v>
      </c>
      <c r="AR831" s="6">
        <f>AB831/N831</f>
        <v>1.2473794549266248</v>
      </c>
      <c r="AS831" s="4"/>
      <c r="AT831" s="4"/>
      <c r="AU831" s="4"/>
      <c r="AV831" s="4"/>
      <c r="AW831" s="4"/>
      <c r="AX831" s="4"/>
      <c r="AY831" s="4"/>
      <c r="AZ831" s="4"/>
      <c r="BA831" s="4"/>
      <c r="BB831" s="4">
        <v>0</v>
      </c>
      <c r="BC831" s="4" t="s">
        <v>4300</v>
      </c>
      <c r="BD831" s="4">
        <v>1</v>
      </c>
      <c r="BE831" s="4">
        <v>2</v>
      </c>
      <c r="BF831" s="4" t="s">
        <v>3901</v>
      </c>
      <c r="BG831" s="4">
        <v>2120</v>
      </c>
      <c r="BH831" s="4">
        <v>2120</v>
      </c>
      <c r="BI831" s="4">
        <f t="shared" si="129"/>
        <v>1060</v>
      </c>
      <c r="BJ831" s="19">
        <v>4</v>
      </c>
      <c r="BK831" s="19">
        <v>8</v>
      </c>
      <c r="BL831" s="16">
        <v>6</v>
      </c>
      <c r="BM831" s="45" t="s">
        <v>3534</v>
      </c>
      <c r="BN831" t="s">
        <v>3534</v>
      </c>
      <c r="BO831" t="str">
        <f t="shared" si="122"/>
        <v>-</v>
      </c>
      <c r="BP831" t="s">
        <v>3534</v>
      </c>
      <c r="BQ831">
        <v>681</v>
      </c>
      <c r="BR831">
        <f t="shared" si="123"/>
        <v>849.46540880503153</v>
      </c>
      <c r="BS831" t="s">
        <v>3165</v>
      </c>
    </row>
    <row r="832" spans="1:71" x14ac:dyDescent="0.4">
      <c r="A832" s="3">
        <v>829</v>
      </c>
      <c r="B832" s="3">
        <v>829</v>
      </c>
      <c r="C832" s="4" t="s">
        <v>891</v>
      </c>
      <c r="D832" s="4" t="str">
        <f t="shared" si="124"/>
        <v>J6717P</v>
      </c>
      <c r="E832" s="4" t="s">
        <v>891</v>
      </c>
      <c r="F832" s="4" t="s">
        <v>2109</v>
      </c>
      <c r="G832" s="5">
        <v>4521718569390</v>
      </c>
      <c r="H832" s="5"/>
      <c r="I832" s="5"/>
      <c r="J832" s="5">
        <v>1</v>
      </c>
      <c r="K832" s="5">
        <v>1</v>
      </c>
      <c r="L832" s="4">
        <v>500</v>
      </c>
      <c r="M832" s="4">
        <v>383</v>
      </c>
      <c r="N832" s="4">
        <v>280</v>
      </c>
      <c r="O832" s="6">
        <f t="shared" si="125"/>
        <v>0.2689295039164491</v>
      </c>
      <c r="P832" s="4" t="s">
        <v>2500</v>
      </c>
      <c r="Q832" s="4"/>
      <c r="R832" s="4"/>
      <c r="S832" s="4"/>
      <c r="T832" s="4"/>
      <c r="U832" s="4"/>
      <c r="V832" s="4"/>
      <c r="W832" s="4"/>
      <c r="X832" s="4"/>
      <c r="Y832" s="4">
        <v>400</v>
      </c>
      <c r="Z832" s="4">
        <f t="shared" si="126"/>
        <v>400</v>
      </c>
      <c r="AA832" s="4">
        <v>280</v>
      </c>
      <c r="AB832" s="4">
        <f t="shared" si="127"/>
        <v>280</v>
      </c>
      <c r="AC832" s="4"/>
      <c r="AD832" s="21">
        <f>ROUND(M832*AR832,0)</f>
        <v>383</v>
      </c>
      <c r="AE832" s="6">
        <f>1-AB832/AD832</f>
        <v>0.2689295039164491</v>
      </c>
      <c r="AF832" s="33">
        <v>0</v>
      </c>
      <c r="AG832" s="4">
        <f t="shared" si="128"/>
        <v>780</v>
      </c>
      <c r="AH832" s="33">
        <f t="shared" si="121"/>
        <v>780</v>
      </c>
      <c r="AI832" s="6">
        <f>1-AB832/AH832</f>
        <v>0.64102564102564097</v>
      </c>
      <c r="AJ832" s="7">
        <v>400</v>
      </c>
      <c r="AK832" s="6">
        <f>1-AB832/AJ832</f>
        <v>0.30000000000000004</v>
      </c>
      <c r="AL832" s="4">
        <f>AJ832-AB832</f>
        <v>120</v>
      </c>
      <c r="AM832" s="28"/>
      <c r="AN832" s="6"/>
      <c r="AO832" s="6"/>
      <c r="AP832" s="6">
        <f>Z832/L832</f>
        <v>0.8</v>
      </c>
      <c r="AQ832" s="6">
        <f>AJ832/M832</f>
        <v>1.0443864229765014</v>
      </c>
      <c r="AR832" s="6">
        <f>AB832/N832</f>
        <v>1</v>
      </c>
      <c r="AS832" s="4"/>
      <c r="AT832" s="4"/>
      <c r="AU832" s="4"/>
      <c r="AV832" s="4"/>
      <c r="AW832" s="4"/>
      <c r="AX832" s="4"/>
      <c r="AY832" s="4"/>
      <c r="AZ832" s="4"/>
      <c r="BA832" s="4"/>
      <c r="BB832" s="4">
        <v>0</v>
      </c>
      <c r="BC832" s="4" t="s">
        <v>4301</v>
      </c>
      <c r="BD832" s="4">
        <v>1</v>
      </c>
      <c r="BE832" s="4">
        <v>2</v>
      </c>
      <c r="BF832" s="4" t="s">
        <v>3901</v>
      </c>
      <c r="BG832" s="4">
        <v>1560</v>
      </c>
      <c r="BH832" s="4">
        <v>1560</v>
      </c>
      <c r="BI832" s="4">
        <f t="shared" si="129"/>
        <v>780</v>
      </c>
      <c r="BJ832" s="19">
        <v>4</v>
      </c>
      <c r="BK832" s="19">
        <v>8</v>
      </c>
      <c r="BL832" s="16">
        <v>6</v>
      </c>
      <c r="BM832" s="45" t="s">
        <v>3534</v>
      </c>
      <c r="BN832" t="s">
        <v>3534</v>
      </c>
      <c r="BO832" t="str">
        <f t="shared" si="122"/>
        <v>-</v>
      </c>
      <c r="BP832" t="s">
        <v>3534</v>
      </c>
      <c r="BQ832" t="s">
        <v>3534</v>
      </c>
      <c r="BR832" t="str">
        <f t="shared" si="123"/>
        <v>-</v>
      </c>
      <c r="BS832" t="s">
        <v>3166</v>
      </c>
    </row>
    <row r="833" spans="1:71" x14ac:dyDescent="0.4">
      <c r="A833" s="3">
        <v>830</v>
      </c>
      <c r="B833" s="3">
        <v>830</v>
      </c>
      <c r="C833" s="4" t="s">
        <v>892</v>
      </c>
      <c r="D833" s="4" t="str">
        <f t="shared" si="124"/>
        <v>J6718P</v>
      </c>
      <c r="E833" s="4" t="s">
        <v>892</v>
      </c>
      <c r="F833" s="4" t="s">
        <v>2110</v>
      </c>
      <c r="G833" s="5">
        <v>4521718605166</v>
      </c>
      <c r="H833" s="5"/>
      <c r="I833" s="5"/>
      <c r="J833" s="5">
        <v>1</v>
      </c>
      <c r="K833" s="5">
        <v>1</v>
      </c>
      <c r="L833" s="4">
        <v>120</v>
      </c>
      <c r="M833" s="4">
        <v>68</v>
      </c>
      <c r="N833" s="4">
        <v>51</v>
      </c>
      <c r="O833" s="6">
        <f t="shared" si="125"/>
        <v>0.25</v>
      </c>
      <c r="P833" s="4" t="s">
        <v>2500</v>
      </c>
      <c r="Q833" s="4"/>
      <c r="R833" s="4"/>
      <c r="S833" s="4"/>
      <c r="T833" s="4"/>
      <c r="U833" s="4"/>
      <c r="V833" s="4"/>
      <c r="W833" s="4"/>
      <c r="X833" s="4"/>
      <c r="Y833" s="4">
        <v>73</v>
      </c>
      <c r="Z833" s="4">
        <f t="shared" si="126"/>
        <v>73</v>
      </c>
      <c r="AA833" s="4">
        <v>51</v>
      </c>
      <c r="AB833" s="4">
        <f t="shared" si="127"/>
        <v>51</v>
      </c>
      <c r="AC833" s="4"/>
      <c r="AD833" s="21">
        <f>ROUND(M833*AR833,0)</f>
        <v>68</v>
      </c>
      <c r="AE833" s="6">
        <f>1-AB833/AD833</f>
        <v>0.25</v>
      </c>
      <c r="AF833" s="33">
        <v>0</v>
      </c>
      <c r="AG833" s="4">
        <f t="shared" si="128"/>
        <v>80</v>
      </c>
      <c r="AH833" s="33">
        <f t="shared" si="121"/>
        <v>80</v>
      </c>
      <c r="AI833" s="6">
        <f>1-AB833/AH833</f>
        <v>0.36250000000000004</v>
      </c>
      <c r="AJ833" s="7">
        <v>73</v>
      </c>
      <c r="AK833" s="6">
        <f>1-AB833/AJ833</f>
        <v>0.30136986301369861</v>
      </c>
      <c r="AL833" s="4">
        <f>AJ833-AB833</f>
        <v>22</v>
      </c>
      <c r="AM833" s="28"/>
      <c r="AN833" s="6"/>
      <c r="AO833" s="6"/>
      <c r="AP833" s="6">
        <f>Z833/L833</f>
        <v>0.60833333333333328</v>
      </c>
      <c r="AQ833" s="6">
        <f>AJ833/M833</f>
        <v>1.0735294117647058</v>
      </c>
      <c r="AR833" s="6">
        <f>AB833/N833</f>
        <v>1</v>
      </c>
      <c r="AS833" s="4"/>
      <c r="AT833" s="4"/>
      <c r="AU833" s="4"/>
      <c r="AV833" s="4"/>
      <c r="AW833" s="4"/>
      <c r="AX833" s="4"/>
      <c r="AY833" s="4"/>
      <c r="AZ833" s="4"/>
      <c r="BA833" s="4"/>
      <c r="BB833" s="4">
        <v>0</v>
      </c>
      <c r="BC833" s="4" t="s">
        <v>4302</v>
      </c>
      <c r="BD833" s="4">
        <v>1</v>
      </c>
      <c r="BE833" s="4">
        <v>20</v>
      </c>
      <c r="BF833" s="4" t="s">
        <v>4303</v>
      </c>
      <c r="BG833" s="4">
        <v>1600</v>
      </c>
      <c r="BH833" s="4">
        <v>1600</v>
      </c>
      <c r="BI833" s="4">
        <f t="shared" si="129"/>
        <v>80</v>
      </c>
      <c r="BJ833" s="19">
        <v>4</v>
      </c>
      <c r="BK833" s="19">
        <v>8</v>
      </c>
      <c r="BL833" s="16">
        <v>6</v>
      </c>
      <c r="BM833" s="45" t="s">
        <v>3534</v>
      </c>
      <c r="BN833" t="s">
        <v>3534</v>
      </c>
      <c r="BO833" t="str">
        <f t="shared" si="122"/>
        <v>-</v>
      </c>
      <c r="BP833" t="s">
        <v>3534</v>
      </c>
      <c r="BQ833">
        <v>102</v>
      </c>
      <c r="BR833">
        <f t="shared" si="123"/>
        <v>102</v>
      </c>
      <c r="BS833" t="s">
        <v>3167</v>
      </c>
    </row>
    <row r="834" spans="1:71" x14ac:dyDescent="0.4">
      <c r="A834" s="3">
        <v>831</v>
      </c>
      <c r="B834" s="3">
        <v>831</v>
      </c>
      <c r="C834" s="4" t="s">
        <v>893</v>
      </c>
      <c r="D834" s="4" t="str">
        <f t="shared" si="124"/>
        <v>J6708P</v>
      </c>
      <c r="E834" s="4" t="s">
        <v>893</v>
      </c>
      <c r="F834" s="4" t="s">
        <v>2111</v>
      </c>
      <c r="G834" s="5">
        <v>4521718558806</v>
      </c>
      <c r="H834" s="5"/>
      <c r="I834" s="5"/>
      <c r="J834" s="5">
        <v>1</v>
      </c>
      <c r="K834" s="5">
        <v>1</v>
      </c>
      <c r="L834" s="4">
        <v>800</v>
      </c>
      <c r="M834" s="4">
        <v>604</v>
      </c>
      <c r="N834" s="4">
        <v>446</v>
      </c>
      <c r="O834" s="6">
        <f t="shared" si="125"/>
        <v>0.26158940397350994</v>
      </c>
      <c r="P834" s="4" t="s">
        <v>2500</v>
      </c>
      <c r="Q834" s="4"/>
      <c r="R834" s="4"/>
      <c r="S834" s="4"/>
      <c r="T834" s="4"/>
      <c r="U834" s="4"/>
      <c r="V834" s="4"/>
      <c r="W834" s="4"/>
      <c r="X834" s="4"/>
      <c r="Y834" s="4">
        <v>800</v>
      </c>
      <c r="Z834" s="4">
        <f t="shared" si="126"/>
        <v>800</v>
      </c>
      <c r="AA834" s="4">
        <v>520</v>
      </c>
      <c r="AB834" s="4">
        <f t="shared" si="127"/>
        <v>520</v>
      </c>
      <c r="AC834" s="4"/>
      <c r="AD834" s="21">
        <f>ROUND(M834*AR834,0)</f>
        <v>704</v>
      </c>
      <c r="AE834" s="6">
        <f>1-AB834/AD834</f>
        <v>0.26136363636363635</v>
      </c>
      <c r="AF834" s="33">
        <v>1</v>
      </c>
      <c r="AG834" s="4">
        <f t="shared" si="128"/>
        <v>1280</v>
      </c>
      <c r="AH834" s="33">
        <f t="shared" si="121"/>
        <v>1492.3766816143498</v>
      </c>
      <c r="AI834" s="6">
        <f>1-AB834/AH834</f>
        <v>0.65156250000000004</v>
      </c>
      <c r="AJ834" s="7">
        <v>800</v>
      </c>
      <c r="AK834" s="6">
        <f>1-AB834/AJ834</f>
        <v>0.35</v>
      </c>
      <c r="AL834" s="4">
        <f>AJ834-AB834</f>
        <v>280</v>
      </c>
      <c r="AM834" s="28"/>
      <c r="AN834" s="6"/>
      <c r="AO834" s="6"/>
      <c r="AP834" s="6">
        <f>Z834/L834</f>
        <v>1</v>
      </c>
      <c r="AQ834" s="6">
        <f>AJ834/M834</f>
        <v>1.3245033112582782</v>
      </c>
      <c r="AR834" s="6">
        <f>AB834/N834</f>
        <v>1.1659192825112108</v>
      </c>
      <c r="AS834" s="4"/>
      <c r="AT834" s="4"/>
      <c r="AU834" s="4"/>
      <c r="AV834" s="4"/>
      <c r="AW834" s="4"/>
      <c r="AX834" s="4"/>
      <c r="AY834" s="4"/>
      <c r="AZ834" s="4"/>
      <c r="BA834" s="4"/>
      <c r="BB834" s="4">
        <v>0</v>
      </c>
      <c r="BC834" s="4" t="s">
        <v>4304</v>
      </c>
      <c r="BD834" s="4">
        <v>1</v>
      </c>
      <c r="BE834" s="4">
        <v>2</v>
      </c>
      <c r="BF834" s="4" t="s">
        <v>3901</v>
      </c>
      <c r="BG834" s="4">
        <v>2560</v>
      </c>
      <c r="BH834" s="4">
        <v>2560</v>
      </c>
      <c r="BI834" s="4">
        <f t="shared" si="129"/>
        <v>1280</v>
      </c>
      <c r="BJ834" s="19">
        <v>4</v>
      </c>
      <c r="BK834" s="19">
        <v>8</v>
      </c>
      <c r="BL834" s="16">
        <v>6</v>
      </c>
      <c r="BM834" s="45" t="s">
        <v>3534</v>
      </c>
      <c r="BN834" t="s">
        <v>3534</v>
      </c>
      <c r="BO834" t="str">
        <f t="shared" si="122"/>
        <v>-</v>
      </c>
      <c r="BP834" t="s">
        <v>3534</v>
      </c>
      <c r="BQ834">
        <v>897</v>
      </c>
      <c r="BR834">
        <f t="shared" si="123"/>
        <v>1045.8295964125562</v>
      </c>
      <c r="BS834" t="s">
        <v>3168</v>
      </c>
    </row>
    <row r="835" spans="1:71" x14ac:dyDescent="0.4">
      <c r="A835" s="3">
        <v>832</v>
      </c>
      <c r="B835" s="3">
        <v>832</v>
      </c>
      <c r="C835" s="4" t="s">
        <v>894</v>
      </c>
      <c r="D835" s="4" t="str">
        <f t="shared" si="124"/>
        <v>J6720P</v>
      </c>
      <c r="E835" s="4" t="s">
        <v>894</v>
      </c>
      <c r="F835" s="4" t="s">
        <v>2112</v>
      </c>
      <c r="G835" s="5">
        <v>4548030548148</v>
      </c>
      <c r="H835" s="5"/>
      <c r="I835" s="5"/>
      <c r="J835" s="5">
        <v>1</v>
      </c>
      <c r="K835" s="5">
        <v>1</v>
      </c>
      <c r="L835" s="4">
        <v>1819</v>
      </c>
      <c r="M835" s="4">
        <v>1819</v>
      </c>
      <c r="N835" s="4">
        <v>1273</v>
      </c>
      <c r="O835" s="6">
        <f t="shared" si="125"/>
        <v>0.30016492578339748</v>
      </c>
      <c r="P835" s="4" t="s">
        <v>2500</v>
      </c>
      <c r="Q835" s="4"/>
      <c r="R835" s="4"/>
      <c r="S835" s="4"/>
      <c r="T835" s="4"/>
      <c r="U835" s="4"/>
      <c r="V835" s="4"/>
      <c r="W835" s="4"/>
      <c r="X835" s="4"/>
      <c r="Y835" s="4">
        <v>1819</v>
      </c>
      <c r="Z835" s="4">
        <f t="shared" si="126"/>
        <v>1819</v>
      </c>
      <c r="AA835" s="4">
        <v>1273</v>
      </c>
      <c r="AB835" s="4">
        <f t="shared" si="127"/>
        <v>1273</v>
      </c>
      <c r="AC835" s="4"/>
      <c r="AD835" s="21">
        <f>ROUND(M835*AR835,0)</f>
        <v>1819</v>
      </c>
      <c r="AE835" s="6">
        <f>1-AB835/AD835</f>
        <v>0.30016492578339748</v>
      </c>
      <c r="AF835" s="33">
        <v>0.5</v>
      </c>
      <c r="AG835" s="4">
        <f t="shared" si="128"/>
        <v>1820</v>
      </c>
      <c r="AH835" s="33">
        <f t="shared" si="121"/>
        <v>1820</v>
      </c>
      <c r="AI835" s="6">
        <f>1-AB835/AH835</f>
        <v>0.30054945054945059</v>
      </c>
      <c r="AJ835" s="7">
        <v>1819</v>
      </c>
      <c r="AK835" s="6">
        <f>1-AB835/AJ835</f>
        <v>0.30016492578339748</v>
      </c>
      <c r="AL835" s="4">
        <f>AJ835-AB835</f>
        <v>546</v>
      </c>
      <c r="AM835" s="28"/>
      <c r="AN835" s="6"/>
      <c r="AO835" s="6"/>
      <c r="AP835" s="6">
        <f>Z835/L835</f>
        <v>1</v>
      </c>
      <c r="AQ835" s="6">
        <f>AJ835/M835</f>
        <v>1</v>
      </c>
      <c r="AR835" s="6">
        <f>AB835/N835</f>
        <v>1</v>
      </c>
      <c r="AS835" s="4"/>
      <c r="AT835" s="4"/>
      <c r="AU835" s="4"/>
      <c r="AV835" s="4"/>
      <c r="AW835" s="4"/>
      <c r="AX835" s="4"/>
      <c r="AY835" s="4"/>
      <c r="AZ835" s="4"/>
      <c r="BA835" s="4"/>
      <c r="BB835" s="4">
        <v>0</v>
      </c>
      <c r="BC835" s="4" t="s">
        <v>4305</v>
      </c>
      <c r="BD835" s="4"/>
      <c r="BE835" s="4"/>
      <c r="BF835" s="4" t="s">
        <v>3555</v>
      </c>
      <c r="BG835" s="4">
        <v>1820</v>
      </c>
      <c r="BH835" s="4">
        <v>1820</v>
      </c>
      <c r="BI835" s="4">
        <f t="shared" si="129"/>
        <v>1820</v>
      </c>
      <c r="BJ835" s="19">
        <v>4</v>
      </c>
      <c r="BK835" s="19">
        <v>8</v>
      </c>
      <c r="BL835" s="16">
        <v>6</v>
      </c>
      <c r="BM835" s="45" t="s">
        <v>3534</v>
      </c>
      <c r="BN835" t="s">
        <v>3534</v>
      </c>
      <c r="BO835" t="str">
        <f t="shared" si="122"/>
        <v>-</v>
      </c>
      <c r="BP835" t="s">
        <v>3534</v>
      </c>
      <c r="BQ835">
        <v>3012</v>
      </c>
      <c r="BR835">
        <f t="shared" si="123"/>
        <v>3012</v>
      </c>
      <c r="BS835" t="s">
        <v>3169</v>
      </c>
    </row>
    <row r="836" spans="1:71" x14ac:dyDescent="0.4">
      <c r="A836" s="3">
        <v>833</v>
      </c>
      <c r="B836" s="3">
        <v>833</v>
      </c>
      <c r="C836" s="4" t="s">
        <v>895</v>
      </c>
      <c r="D836" s="4" t="str">
        <f t="shared" si="124"/>
        <v>J6719P</v>
      </c>
      <c r="E836" s="4" t="s">
        <v>895</v>
      </c>
      <c r="F836" s="4" t="s">
        <v>2113</v>
      </c>
      <c r="G836" s="5">
        <v>4548030548131</v>
      </c>
      <c r="H836" s="5"/>
      <c r="I836" s="5"/>
      <c r="J836" s="5">
        <v>1</v>
      </c>
      <c r="K836" s="5">
        <v>1</v>
      </c>
      <c r="L836" s="4">
        <v>4091</v>
      </c>
      <c r="M836" s="4">
        <v>4091</v>
      </c>
      <c r="N836" s="4">
        <v>2864</v>
      </c>
      <c r="O836" s="6">
        <f t="shared" si="125"/>
        <v>0.29992666829626013</v>
      </c>
      <c r="P836" s="4" t="s">
        <v>2500</v>
      </c>
      <c r="Q836" s="4"/>
      <c r="R836" s="4"/>
      <c r="S836" s="4"/>
      <c r="T836" s="4"/>
      <c r="U836" s="4"/>
      <c r="V836" s="4"/>
      <c r="W836" s="4"/>
      <c r="X836" s="4"/>
      <c r="Y836" s="4">
        <v>4091</v>
      </c>
      <c r="Z836" s="4">
        <f t="shared" si="126"/>
        <v>4091</v>
      </c>
      <c r="AA836" s="4">
        <v>2864</v>
      </c>
      <c r="AB836" s="4">
        <f t="shared" si="127"/>
        <v>2864</v>
      </c>
      <c r="AC836" s="4"/>
      <c r="AD836" s="21">
        <f>ROUND(M836*AR836,0)</f>
        <v>4091</v>
      </c>
      <c r="AE836" s="6">
        <f>1-AB836/AD836</f>
        <v>0.29992666829626013</v>
      </c>
      <c r="AF836" s="33">
        <v>0</v>
      </c>
      <c r="AG836" s="4">
        <f t="shared" si="128"/>
        <v>4091</v>
      </c>
      <c r="AH836" s="33">
        <f t="shared" ref="AH836:AH899" si="130">AG836*AR836</f>
        <v>4091</v>
      </c>
      <c r="AI836" s="6">
        <f>1-AB836/AH836</f>
        <v>0.29992666829626013</v>
      </c>
      <c r="AJ836" s="7">
        <v>4091</v>
      </c>
      <c r="AK836" s="6">
        <f>1-AB836/AJ836</f>
        <v>0.29992666829626013</v>
      </c>
      <c r="AL836" s="4">
        <f>AJ836-AB836</f>
        <v>1227</v>
      </c>
      <c r="AM836" s="28"/>
      <c r="AN836" s="6"/>
      <c r="AO836" s="6"/>
      <c r="AP836" s="6">
        <f>Z836/L836</f>
        <v>1</v>
      </c>
      <c r="AQ836" s="6">
        <f>AJ836/M836</f>
        <v>1</v>
      </c>
      <c r="AR836" s="6">
        <f>AB836/N836</f>
        <v>1</v>
      </c>
      <c r="AS836" s="4"/>
      <c r="AT836" s="4"/>
      <c r="AU836" s="4"/>
      <c r="AV836" s="4"/>
      <c r="AW836" s="4"/>
      <c r="AX836" s="4"/>
      <c r="AY836" s="4"/>
      <c r="AZ836" s="4"/>
      <c r="BA836" s="4"/>
      <c r="BB836" s="4">
        <v>0</v>
      </c>
      <c r="BC836" s="4" t="s">
        <v>4306</v>
      </c>
      <c r="BD836" s="4"/>
      <c r="BE836" s="4"/>
      <c r="BF836" s="4" t="s">
        <v>3555</v>
      </c>
      <c r="BG836" s="4">
        <v>4091</v>
      </c>
      <c r="BH836" s="4">
        <v>4091</v>
      </c>
      <c r="BI836" s="4">
        <f t="shared" si="129"/>
        <v>4091</v>
      </c>
      <c r="BJ836" s="19">
        <v>4</v>
      </c>
      <c r="BK836" s="19">
        <v>8</v>
      </c>
      <c r="BL836" s="16">
        <v>6</v>
      </c>
      <c r="BM836" s="45" t="s">
        <v>3534</v>
      </c>
      <c r="BN836" t="s">
        <v>3534</v>
      </c>
      <c r="BO836" t="str">
        <f t="shared" si="122"/>
        <v>-</v>
      </c>
      <c r="BP836" t="s">
        <v>3534</v>
      </c>
      <c r="BQ836">
        <v>3895</v>
      </c>
      <c r="BR836">
        <f t="shared" si="123"/>
        <v>3895</v>
      </c>
      <c r="BS836" t="s">
        <v>3170</v>
      </c>
    </row>
    <row r="837" spans="1:71" x14ac:dyDescent="0.4">
      <c r="A837" s="3">
        <v>834</v>
      </c>
      <c r="B837" s="3">
        <v>834</v>
      </c>
      <c r="C837" s="4" t="s">
        <v>896</v>
      </c>
      <c r="D837" s="4" t="str">
        <f t="shared" si="124"/>
        <v>J684TN</v>
      </c>
      <c r="E837" s="4" t="s">
        <v>896</v>
      </c>
      <c r="F837" s="4" t="s">
        <v>2114</v>
      </c>
      <c r="G837" s="5">
        <v>4521718189413</v>
      </c>
      <c r="H837" s="5"/>
      <c r="I837" s="5"/>
      <c r="J837" s="5">
        <v>1</v>
      </c>
      <c r="K837" s="5">
        <v>1</v>
      </c>
      <c r="L837" s="4">
        <v>290</v>
      </c>
      <c r="M837" s="4">
        <v>182</v>
      </c>
      <c r="N837" s="4">
        <v>127</v>
      </c>
      <c r="O837" s="6">
        <f t="shared" si="125"/>
        <v>0.30219780219780223</v>
      </c>
      <c r="P837" s="4" t="s">
        <v>2500</v>
      </c>
      <c r="Q837" s="4"/>
      <c r="R837" s="4"/>
      <c r="S837" s="4"/>
      <c r="T837" s="4"/>
      <c r="U837" s="4"/>
      <c r="V837" s="4"/>
      <c r="W837" s="4"/>
      <c r="X837" s="4"/>
      <c r="Y837" s="4">
        <v>182</v>
      </c>
      <c r="Z837" s="4">
        <f t="shared" si="126"/>
        <v>182</v>
      </c>
      <c r="AA837" s="4">
        <v>118</v>
      </c>
      <c r="AB837" s="4">
        <f t="shared" si="127"/>
        <v>118</v>
      </c>
      <c r="AC837" s="4"/>
      <c r="AD837" s="21">
        <f>ROUND(M837*AR837,0)</f>
        <v>169</v>
      </c>
      <c r="AE837" s="6">
        <f>1-AB837/AD837</f>
        <v>0.30177514792899407</v>
      </c>
      <c r="AF837" s="33">
        <v>0</v>
      </c>
      <c r="AG837" s="4" t="str">
        <f t="shared" si="128"/>
        <v>-</v>
      </c>
      <c r="AH837" s="33" t="e">
        <f t="shared" si="130"/>
        <v>#VALUE!</v>
      </c>
      <c r="AI837" s="6" t="e">
        <f>1-AB837/AH837</f>
        <v>#VALUE!</v>
      </c>
      <c r="AJ837" s="7">
        <f>ROUND(AB837/0.65,0)</f>
        <v>182</v>
      </c>
      <c r="AK837" s="6">
        <f>1-AB837/AJ837</f>
        <v>0.35164835164835162</v>
      </c>
      <c r="AL837" s="4">
        <f>AJ837-AB837</f>
        <v>64</v>
      </c>
      <c r="AM837" s="28"/>
      <c r="AN837" s="6"/>
      <c r="AO837" s="6"/>
      <c r="AP837" s="6">
        <f>Z837/L837</f>
        <v>0.62758620689655176</v>
      </c>
      <c r="AQ837" s="6">
        <f>AJ837/M837</f>
        <v>1</v>
      </c>
      <c r="AR837" s="6">
        <f>AB837/N837</f>
        <v>0.92913385826771655</v>
      </c>
      <c r="AS837" s="4"/>
      <c r="AT837" s="4"/>
      <c r="AU837" s="4"/>
      <c r="AV837" s="4"/>
      <c r="AW837" s="4"/>
      <c r="AX837" s="4"/>
      <c r="AY837" s="4"/>
      <c r="AZ837" s="4"/>
      <c r="BA837" s="4"/>
      <c r="BB837" s="4">
        <v>0</v>
      </c>
      <c r="BC837" s="4" t="s">
        <v>3534</v>
      </c>
      <c r="BD837" s="4"/>
      <c r="BE837" s="4"/>
      <c r="BF837" s="4" t="s">
        <v>3534</v>
      </c>
      <c r="BG837" s="4" t="s">
        <v>3534</v>
      </c>
      <c r="BH837" s="4" t="s">
        <v>3534</v>
      </c>
      <c r="BI837" s="4" t="str">
        <f t="shared" si="129"/>
        <v>-</v>
      </c>
      <c r="BJ837" s="19">
        <v>4</v>
      </c>
      <c r="BK837" s="19">
        <v>8</v>
      </c>
      <c r="BL837" s="16">
        <v>6</v>
      </c>
      <c r="BM837" s="45" t="s">
        <v>3534</v>
      </c>
      <c r="BN837" t="s">
        <v>3534</v>
      </c>
      <c r="BO837" t="str">
        <f t="shared" ref="BO837:BO900" si="131">IFERROR(BN837*AR837,"-")</f>
        <v>-</v>
      </c>
      <c r="BP837">
        <v>182</v>
      </c>
      <c r="BQ837">
        <v>182</v>
      </c>
      <c r="BR837">
        <f t="shared" ref="BR837:BR900" si="132">IFERROR(BQ837*AR837,"-")</f>
        <v>169.10236220472441</v>
      </c>
      <c r="BS837" t="s">
        <v>3534</v>
      </c>
    </row>
    <row r="838" spans="1:71" x14ac:dyDescent="0.4">
      <c r="A838" s="3">
        <v>835</v>
      </c>
      <c r="B838" s="3">
        <v>835</v>
      </c>
      <c r="C838" s="4" t="s">
        <v>897</v>
      </c>
      <c r="D838" s="4" t="str">
        <f t="shared" si="124"/>
        <v>J683TN</v>
      </c>
      <c r="E838" s="4" t="s">
        <v>897</v>
      </c>
      <c r="F838" s="4" t="s">
        <v>2115</v>
      </c>
      <c r="G838" s="5">
        <v>4521718189406</v>
      </c>
      <c r="H838" s="5"/>
      <c r="I838" s="5"/>
      <c r="J838" s="5">
        <v>1</v>
      </c>
      <c r="K838" s="5">
        <v>1</v>
      </c>
      <c r="L838" s="4">
        <v>290</v>
      </c>
      <c r="M838" s="4">
        <v>182</v>
      </c>
      <c r="N838" s="4">
        <v>127</v>
      </c>
      <c r="O838" s="6">
        <f t="shared" si="125"/>
        <v>0.30219780219780223</v>
      </c>
      <c r="P838" s="4" t="s">
        <v>2500</v>
      </c>
      <c r="Q838" s="4"/>
      <c r="R838" s="4"/>
      <c r="S838" s="4"/>
      <c r="T838" s="4"/>
      <c r="U838" s="4"/>
      <c r="V838" s="4"/>
      <c r="W838" s="4"/>
      <c r="X838" s="4"/>
      <c r="Y838" s="4">
        <v>182</v>
      </c>
      <c r="Z838" s="4">
        <f t="shared" si="126"/>
        <v>182</v>
      </c>
      <c r="AA838" s="4">
        <v>118</v>
      </c>
      <c r="AB838" s="4">
        <f t="shared" si="127"/>
        <v>118</v>
      </c>
      <c r="AC838" s="4"/>
      <c r="AD838" s="21">
        <f>ROUND(M838*AR838,0)</f>
        <v>169</v>
      </c>
      <c r="AE838" s="6">
        <f>1-AB838/AD838</f>
        <v>0.30177514792899407</v>
      </c>
      <c r="AF838" s="33">
        <v>0</v>
      </c>
      <c r="AG838" s="4" t="str">
        <f t="shared" si="128"/>
        <v>-</v>
      </c>
      <c r="AH838" s="33" t="e">
        <f t="shared" si="130"/>
        <v>#VALUE!</v>
      </c>
      <c r="AI838" s="6" t="e">
        <f>1-AB838/AH838</f>
        <v>#VALUE!</v>
      </c>
      <c r="AJ838" s="7">
        <f>ROUND(AB838/0.65,0)</f>
        <v>182</v>
      </c>
      <c r="AK838" s="6">
        <f>1-AB838/AJ838</f>
        <v>0.35164835164835162</v>
      </c>
      <c r="AL838" s="4">
        <f>AJ838-AB838</f>
        <v>64</v>
      </c>
      <c r="AM838" s="28"/>
      <c r="AN838" s="6"/>
      <c r="AO838" s="6"/>
      <c r="AP838" s="6">
        <f>Z838/L838</f>
        <v>0.62758620689655176</v>
      </c>
      <c r="AQ838" s="6">
        <f>AJ838/M838</f>
        <v>1</v>
      </c>
      <c r="AR838" s="6">
        <f>AB838/N838</f>
        <v>0.92913385826771655</v>
      </c>
      <c r="AS838" s="4"/>
      <c r="AT838" s="4"/>
      <c r="AU838" s="4"/>
      <c r="AV838" s="4"/>
      <c r="AW838" s="4"/>
      <c r="AX838" s="4"/>
      <c r="AY838" s="4"/>
      <c r="AZ838" s="4"/>
      <c r="BA838" s="4"/>
      <c r="BB838" s="4">
        <v>0</v>
      </c>
      <c r="BC838" s="4" t="s">
        <v>3534</v>
      </c>
      <c r="BD838" s="4"/>
      <c r="BE838" s="4"/>
      <c r="BF838" s="4" t="s">
        <v>3534</v>
      </c>
      <c r="BG838" s="4" t="s">
        <v>3534</v>
      </c>
      <c r="BH838" s="4" t="s">
        <v>3534</v>
      </c>
      <c r="BI838" s="4" t="str">
        <f t="shared" si="129"/>
        <v>-</v>
      </c>
      <c r="BJ838" s="19">
        <v>4</v>
      </c>
      <c r="BK838" s="19">
        <v>8</v>
      </c>
      <c r="BL838" s="16">
        <v>6</v>
      </c>
      <c r="BM838" s="45" t="s">
        <v>3534</v>
      </c>
      <c r="BN838" t="s">
        <v>3534</v>
      </c>
      <c r="BO838" t="str">
        <f t="shared" si="131"/>
        <v>-</v>
      </c>
      <c r="BP838">
        <v>182</v>
      </c>
      <c r="BQ838">
        <v>182</v>
      </c>
      <c r="BR838">
        <f t="shared" si="132"/>
        <v>169.10236220472441</v>
      </c>
      <c r="BS838" t="s">
        <v>3534</v>
      </c>
    </row>
    <row r="839" spans="1:71" x14ac:dyDescent="0.4">
      <c r="A839" s="3">
        <v>836</v>
      </c>
      <c r="B839" s="3">
        <v>836</v>
      </c>
      <c r="C839" s="4" t="s">
        <v>898</v>
      </c>
      <c r="D839" s="4" t="str">
        <f t="shared" si="124"/>
        <v>J685TN</v>
      </c>
      <c r="E839" s="4" t="s">
        <v>898</v>
      </c>
      <c r="F839" s="4" t="s">
        <v>2116</v>
      </c>
      <c r="G839" s="5">
        <v>4521718189420</v>
      </c>
      <c r="H839" s="5"/>
      <c r="I839" s="5"/>
      <c r="J839" s="5">
        <v>1</v>
      </c>
      <c r="K839" s="5">
        <v>1</v>
      </c>
      <c r="L839" s="4">
        <v>290</v>
      </c>
      <c r="M839" s="4">
        <v>182</v>
      </c>
      <c r="N839" s="4">
        <v>127</v>
      </c>
      <c r="O839" s="6">
        <f t="shared" si="125"/>
        <v>0.30219780219780223</v>
      </c>
      <c r="P839" s="4" t="s">
        <v>2500</v>
      </c>
      <c r="Q839" s="4"/>
      <c r="R839" s="4"/>
      <c r="S839" s="4"/>
      <c r="T839" s="4"/>
      <c r="U839" s="4"/>
      <c r="V839" s="4"/>
      <c r="W839" s="4"/>
      <c r="X839" s="4"/>
      <c r="Y839" s="4">
        <v>182</v>
      </c>
      <c r="Z839" s="4">
        <f t="shared" si="126"/>
        <v>182</v>
      </c>
      <c r="AA839" s="4">
        <v>118</v>
      </c>
      <c r="AB839" s="4">
        <f t="shared" si="127"/>
        <v>118</v>
      </c>
      <c r="AC839" s="4"/>
      <c r="AD839" s="21">
        <f>ROUND(M839*AR839,0)</f>
        <v>169</v>
      </c>
      <c r="AE839" s="6">
        <f>1-AB839/AD839</f>
        <v>0.30177514792899407</v>
      </c>
      <c r="AF839" s="33">
        <v>0</v>
      </c>
      <c r="AG839" s="4" t="str">
        <f t="shared" si="128"/>
        <v>-</v>
      </c>
      <c r="AH839" s="33" t="e">
        <f t="shared" si="130"/>
        <v>#VALUE!</v>
      </c>
      <c r="AI839" s="6" t="e">
        <f>1-AB839/AH839</f>
        <v>#VALUE!</v>
      </c>
      <c r="AJ839" s="7">
        <f>ROUND(AB839/0.65,0)</f>
        <v>182</v>
      </c>
      <c r="AK839" s="6">
        <f>1-AB839/AJ839</f>
        <v>0.35164835164835162</v>
      </c>
      <c r="AL839" s="4">
        <f>AJ839-AB839</f>
        <v>64</v>
      </c>
      <c r="AM839" s="28"/>
      <c r="AN839" s="6"/>
      <c r="AO839" s="6"/>
      <c r="AP839" s="6">
        <f>Z839/L839</f>
        <v>0.62758620689655176</v>
      </c>
      <c r="AQ839" s="6">
        <f>AJ839/M839</f>
        <v>1</v>
      </c>
      <c r="AR839" s="6">
        <f>AB839/N839</f>
        <v>0.92913385826771655</v>
      </c>
      <c r="AS839" s="4"/>
      <c r="AT839" s="4"/>
      <c r="AU839" s="4"/>
      <c r="AV839" s="4"/>
      <c r="AW839" s="4"/>
      <c r="AX839" s="4"/>
      <c r="AY839" s="4"/>
      <c r="AZ839" s="4"/>
      <c r="BA839" s="4"/>
      <c r="BB839" s="4">
        <v>0</v>
      </c>
      <c r="BC839" s="4" t="s">
        <v>3534</v>
      </c>
      <c r="BD839" s="4"/>
      <c r="BE839" s="4"/>
      <c r="BF839" s="4" t="s">
        <v>3534</v>
      </c>
      <c r="BG839" s="4" t="s">
        <v>3534</v>
      </c>
      <c r="BH839" s="4" t="s">
        <v>3534</v>
      </c>
      <c r="BI839" s="4" t="str">
        <f t="shared" si="129"/>
        <v>-</v>
      </c>
      <c r="BJ839" s="19">
        <v>4</v>
      </c>
      <c r="BK839" s="19">
        <v>8</v>
      </c>
      <c r="BL839" s="16">
        <v>6</v>
      </c>
      <c r="BM839" s="45" t="s">
        <v>3534</v>
      </c>
      <c r="BN839" t="s">
        <v>3534</v>
      </c>
      <c r="BO839" t="str">
        <f t="shared" si="131"/>
        <v>-</v>
      </c>
      <c r="BP839">
        <v>182</v>
      </c>
      <c r="BQ839">
        <v>182</v>
      </c>
      <c r="BR839">
        <f t="shared" si="132"/>
        <v>169.10236220472441</v>
      </c>
      <c r="BS839" t="s">
        <v>3534</v>
      </c>
    </row>
    <row r="840" spans="1:71" x14ac:dyDescent="0.4">
      <c r="A840" s="3">
        <v>837</v>
      </c>
      <c r="B840" s="3">
        <v>837</v>
      </c>
      <c r="C840" s="4" t="s">
        <v>899</v>
      </c>
      <c r="D840" s="4" t="str">
        <f t="shared" si="124"/>
        <v>J686TN</v>
      </c>
      <c r="E840" s="4" t="s">
        <v>899</v>
      </c>
      <c r="F840" s="4" t="s">
        <v>2117</v>
      </c>
      <c r="G840" s="5">
        <v>4521718217659</v>
      </c>
      <c r="H840" s="5"/>
      <c r="I840" s="5"/>
      <c r="J840" s="5">
        <v>1</v>
      </c>
      <c r="K840" s="5">
        <v>1</v>
      </c>
      <c r="L840" s="4">
        <v>450</v>
      </c>
      <c r="M840" s="4">
        <v>310</v>
      </c>
      <c r="N840" s="4">
        <v>202</v>
      </c>
      <c r="O840" s="6">
        <f t="shared" si="125"/>
        <v>0.34838709677419355</v>
      </c>
      <c r="P840" s="4" t="s">
        <v>2500</v>
      </c>
      <c r="Q840" s="4"/>
      <c r="R840" s="4"/>
      <c r="S840" s="4"/>
      <c r="T840" s="4"/>
      <c r="U840" s="4"/>
      <c r="V840" s="4"/>
      <c r="W840" s="4"/>
      <c r="X840" s="4"/>
      <c r="Y840" s="4">
        <v>219</v>
      </c>
      <c r="Z840" s="4">
        <f t="shared" si="126"/>
        <v>219</v>
      </c>
      <c r="AA840" s="4">
        <v>142</v>
      </c>
      <c r="AB840" s="4">
        <f t="shared" si="127"/>
        <v>142</v>
      </c>
      <c r="AC840" s="4"/>
      <c r="AD840" s="21">
        <f>ROUND(M840*AR840,0)</f>
        <v>218</v>
      </c>
      <c r="AE840" s="6">
        <f>1-AB840/AD840</f>
        <v>0.34862385321100919</v>
      </c>
      <c r="AF840" s="33">
        <v>0.25</v>
      </c>
      <c r="AG840" s="4" t="str">
        <f t="shared" si="128"/>
        <v>-</v>
      </c>
      <c r="AH840" s="33" t="e">
        <f t="shared" si="130"/>
        <v>#VALUE!</v>
      </c>
      <c r="AI840" s="6" t="e">
        <f>1-AB840/AH840</f>
        <v>#VALUE!</v>
      </c>
      <c r="AJ840" s="7">
        <f>ROUND(AB840/0.65,0)</f>
        <v>218</v>
      </c>
      <c r="AK840" s="6">
        <f>1-AB840/AJ840</f>
        <v>0.34862385321100919</v>
      </c>
      <c r="AL840" s="4">
        <f>AJ840-AB840</f>
        <v>76</v>
      </c>
      <c r="AM840" s="28"/>
      <c r="AN840" s="6"/>
      <c r="AO840" s="6"/>
      <c r="AP840" s="6">
        <f>Z840/L840</f>
        <v>0.48666666666666669</v>
      </c>
      <c r="AQ840" s="6">
        <f>AJ840/M840</f>
        <v>0.70322580645161292</v>
      </c>
      <c r="AR840" s="6">
        <f>AB840/N840</f>
        <v>0.70297029702970293</v>
      </c>
      <c r="AS840" s="4"/>
      <c r="AT840" s="4"/>
      <c r="AU840" s="4"/>
      <c r="AV840" s="4"/>
      <c r="AW840" s="4"/>
      <c r="AX840" s="4"/>
      <c r="AY840" s="4"/>
      <c r="AZ840" s="4"/>
      <c r="BA840" s="4"/>
      <c r="BB840" s="4">
        <v>0</v>
      </c>
      <c r="BC840" s="4" t="s">
        <v>3534</v>
      </c>
      <c r="BD840" s="4"/>
      <c r="BE840" s="4"/>
      <c r="BF840" s="4" t="s">
        <v>3534</v>
      </c>
      <c r="BG840" s="4" t="s">
        <v>3534</v>
      </c>
      <c r="BH840" s="4" t="s">
        <v>3534</v>
      </c>
      <c r="BI840" s="4" t="str">
        <f t="shared" si="129"/>
        <v>-</v>
      </c>
      <c r="BJ840" s="19">
        <v>4</v>
      </c>
      <c r="BK840" s="19">
        <v>8</v>
      </c>
      <c r="BL840" s="16">
        <v>6</v>
      </c>
      <c r="BM840" s="45" t="s">
        <v>3534</v>
      </c>
      <c r="BN840" t="s">
        <v>3534</v>
      </c>
      <c r="BO840" t="str">
        <f t="shared" si="131"/>
        <v>-</v>
      </c>
      <c r="BP840" t="s">
        <v>3534</v>
      </c>
      <c r="BQ840">
        <v>310</v>
      </c>
      <c r="BR840">
        <f t="shared" si="132"/>
        <v>217.9207920792079</v>
      </c>
      <c r="BS840" t="s">
        <v>3534</v>
      </c>
    </row>
    <row r="841" spans="1:71" x14ac:dyDescent="0.4">
      <c r="A841" s="3">
        <v>838</v>
      </c>
      <c r="B841" s="3">
        <v>838</v>
      </c>
      <c r="C841" s="4" t="s">
        <v>900</v>
      </c>
      <c r="D841" s="4" t="str">
        <f t="shared" si="124"/>
        <v>J688TN</v>
      </c>
      <c r="E841" s="4" t="s">
        <v>900</v>
      </c>
      <c r="F841" s="4" t="s">
        <v>2118</v>
      </c>
      <c r="G841" s="5">
        <v>4521718217420</v>
      </c>
      <c r="H841" s="5"/>
      <c r="I841" s="5"/>
      <c r="J841" s="5">
        <v>1</v>
      </c>
      <c r="K841" s="5">
        <v>1</v>
      </c>
      <c r="L841" s="4">
        <v>700</v>
      </c>
      <c r="M841" s="4">
        <v>446</v>
      </c>
      <c r="N841" s="4">
        <v>312</v>
      </c>
      <c r="O841" s="6">
        <f t="shared" si="125"/>
        <v>0.30044843049327352</v>
      </c>
      <c r="P841" s="4" t="s">
        <v>2500</v>
      </c>
      <c r="Q841" s="4"/>
      <c r="R841" s="4"/>
      <c r="S841" s="4"/>
      <c r="T841" s="4"/>
      <c r="U841" s="4"/>
      <c r="V841" s="4"/>
      <c r="W841" s="4"/>
      <c r="X841" s="4"/>
      <c r="Y841" s="4">
        <v>700</v>
      </c>
      <c r="Z841" s="4">
        <f t="shared" si="126"/>
        <v>700</v>
      </c>
      <c r="AA841" s="4">
        <v>315</v>
      </c>
      <c r="AB841" s="4">
        <f t="shared" si="127"/>
        <v>315</v>
      </c>
      <c r="AC841" s="4"/>
      <c r="AD841" s="21">
        <f>ROUND(M841*AR841,0)</f>
        <v>450</v>
      </c>
      <c r="AE841" s="6">
        <f>1-AB841/AD841</f>
        <v>0.30000000000000004</v>
      </c>
      <c r="AF841" s="33">
        <v>0</v>
      </c>
      <c r="AG841" s="4" t="str">
        <f t="shared" si="128"/>
        <v>-</v>
      </c>
      <c r="AH841" s="33" t="e">
        <f t="shared" si="130"/>
        <v>#VALUE!</v>
      </c>
      <c r="AI841" s="6" t="e">
        <f>1-AB841/AH841</f>
        <v>#VALUE!</v>
      </c>
      <c r="AJ841" s="7">
        <f>ROUND(AB841/0.65,0)</f>
        <v>485</v>
      </c>
      <c r="AK841" s="6">
        <f>1-AB841/AJ841</f>
        <v>0.35051546391752575</v>
      </c>
      <c r="AL841" s="4">
        <f>AJ841-AB841</f>
        <v>170</v>
      </c>
      <c r="AM841" s="28"/>
      <c r="AN841" s="6"/>
      <c r="AO841" s="6"/>
      <c r="AP841" s="6">
        <f>Z841/L841</f>
        <v>1</v>
      </c>
      <c r="AQ841" s="6">
        <f>AJ841/M841</f>
        <v>1.0874439461883407</v>
      </c>
      <c r="AR841" s="6">
        <f>AB841/N841</f>
        <v>1.0096153846153846</v>
      </c>
      <c r="AS841" s="4"/>
      <c r="AT841" s="4"/>
      <c r="AU841" s="4"/>
      <c r="AV841" s="4"/>
      <c r="AW841" s="4"/>
      <c r="AX841" s="4"/>
      <c r="AY841" s="4"/>
      <c r="AZ841" s="4"/>
      <c r="BA841" s="4"/>
      <c r="BB841" s="4">
        <v>0</v>
      </c>
      <c r="BC841" s="4" t="s">
        <v>3534</v>
      </c>
      <c r="BD841" s="4"/>
      <c r="BE841" s="4"/>
      <c r="BF841" s="4" t="s">
        <v>3534</v>
      </c>
      <c r="BG841" s="4" t="s">
        <v>3534</v>
      </c>
      <c r="BH841" s="4" t="s">
        <v>3534</v>
      </c>
      <c r="BI841" s="4" t="str">
        <f t="shared" si="129"/>
        <v>-</v>
      </c>
      <c r="BJ841" s="19">
        <v>4</v>
      </c>
      <c r="BK841" s="19">
        <v>8</v>
      </c>
      <c r="BL841" s="16">
        <v>6</v>
      </c>
      <c r="BM841" s="45" t="s">
        <v>3534</v>
      </c>
      <c r="BN841" t="s">
        <v>3534</v>
      </c>
      <c r="BO841" t="str">
        <f t="shared" si="131"/>
        <v>-</v>
      </c>
      <c r="BP841" t="s">
        <v>3534</v>
      </c>
      <c r="BQ841">
        <v>446</v>
      </c>
      <c r="BR841">
        <f t="shared" si="132"/>
        <v>450.28846153846155</v>
      </c>
      <c r="BS841" t="s">
        <v>3534</v>
      </c>
    </row>
    <row r="842" spans="1:71" x14ac:dyDescent="0.4">
      <c r="A842" s="3">
        <v>839</v>
      </c>
      <c r="B842" s="3">
        <v>839</v>
      </c>
      <c r="C842" s="4" t="s">
        <v>901</v>
      </c>
      <c r="D842" s="4" t="str">
        <f t="shared" si="124"/>
        <v>J687TN</v>
      </c>
      <c r="E842" s="4" t="s">
        <v>901</v>
      </c>
      <c r="F842" s="4" t="s">
        <v>2119</v>
      </c>
      <c r="G842" s="5">
        <v>4521718217536</v>
      </c>
      <c r="H842" s="5"/>
      <c r="I842" s="5"/>
      <c r="J842" s="5">
        <v>1</v>
      </c>
      <c r="K842" s="5">
        <v>1</v>
      </c>
      <c r="L842" s="4">
        <v>450</v>
      </c>
      <c r="M842" s="4">
        <v>310</v>
      </c>
      <c r="N842" s="4">
        <v>202</v>
      </c>
      <c r="O842" s="6">
        <f t="shared" si="125"/>
        <v>0.34838709677419355</v>
      </c>
      <c r="P842" s="4" t="s">
        <v>2500</v>
      </c>
      <c r="Q842" s="4"/>
      <c r="R842" s="4"/>
      <c r="S842" s="4"/>
      <c r="T842" s="4"/>
      <c r="U842" s="4"/>
      <c r="V842" s="4"/>
      <c r="W842" s="4"/>
      <c r="X842" s="4"/>
      <c r="Y842" s="4">
        <v>455</v>
      </c>
      <c r="Z842" s="4">
        <f t="shared" si="126"/>
        <v>455</v>
      </c>
      <c r="AA842" s="4">
        <v>205</v>
      </c>
      <c r="AB842" s="4">
        <f t="shared" si="127"/>
        <v>205</v>
      </c>
      <c r="AC842" s="4"/>
      <c r="AD842" s="21">
        <f>ROUND(M842*AR842,0)</f>
        <v>315</v>
      </c>
      <c r="AE842" s="6">
        <f>1-AB842/AD842</f>
        <v>0.34920634920634919</v>
      </c>
      <c r="AF842" s="33">
        <v>0</v>
      </c>
      <c r="AG842" s="4" t="str">
        <f t="shared" si="128"/>
        <v>-</v>
      </c>
      <c r="AH842" s="33" t="e">
        <f t="shared" si="130"/>
        <v>#VALUE!</v>
      </c>
      <c r="AI842" s="6" t="e">
        <f>1-AB842/AH842</f>
        <v>#VALUE!</v>
      </c>
      <c r="AJ842" s="7">
        <f>ROUND(AB842/0.65,0)</f>
        <v>315</v>
      </c>
      <c r="AK842" s="6">
        <f>1-AB842/AJ842</f>
        <v>0.34920634920634919</v>
      </c>
      <c r="AL842" s="4">
        <f>AJ842-AB842</f>
        <v>110</v>
      </c>
      <c r="AM842" s="28"/>
      <c r="AN842" s="6"/>
      <c r="AO842" s="6"/>
      <c r="AP842" s="6">
        <f>Z842/L842</f>
        <v>1.0111111111111111</v>
      </c>
      <c r="AQ842" s="6">
        <f>AJ842/M842</f>
        <v>1.0161290322580645</v>
      </c>
      <c r="AR842" s="6">
        <f>AB842/N842</f>
        <v>1.0148514851485149</v>
      </c>
      <c r="AS842" s="4"/>
      <c r="AT842" s="4"/>
      <c r="AU842" s="4"/>
      <c r="AV842" s="4"/>
      <c r="AW842" s="4"/>
      <c r="AX842" s="4"/>
      <c r="AY842" s="4"/>
      <c r="AZ842" s="4"/>
      <c r="BA842" s="4"/>
      <c r="BB842" s="4">
        <v>0</v>
      </c>
      <c r="BC842" s="4" t="s">
        <v>3534</v>
      </c>
      <c r="BD842" s="4"/>
      <c r="BE842" s="4"/>
      <c r="BF842" s="4" t="s">
        <v>3534</v>
      </c>
      <c r="BG842" s="4" t="s">
        <v>3534</v>
      </c>
      <c r="BH842" s="4" t="s">
        <v>3534</v>
      </c>
      <c r="BI842" s="4" t="str">
        <f t="shared" si="129"/>
        <v>-</v>
      </c>
      <c r="BJ842" s="19">
        <v>4</v>
      </c>
      <c r="BK842" s="19">
        <v>8</v>
      </c>
      <c r="BL842" s="16">
        <v>6</v>
      </c>
      <c r="BM842" s="45" t="s">
        <v>3534</v>
      </c>
      <c r="BN842" t="s">
        <v>3534</v>
      </c>
      <c r="BO842" t="str">
        <f t="shared" si="131"/>
        <v>-</v>
      </c>
      <c r="BP842" t="s">
        <v>3534</v>
      </c>
      <c r="BQ842">
        <v>310</v>
      </c>
      <c r="BR842">
        <f t="shared" si="132"/>
        <v>314.60396039603961</v>
      </c>
      <c r="BS842" t="s">
        <v>3534</v>
      </c>
    </row>
    <row r="843" spans="1:71" x14ac:dyDescent="0.4">
      <c r="A843" s="3">
        <v>840</v>
      </c>
      <c r="B843" s="3">
        <v>840</v>
      </c>
      <c r="C843" s="4" t="s">
        <v>902</v>
      </c>
      <c r="D843" s="4" t="str">
        <f t="shared" si="124"/>
        <v>J692TN</v>
      </c>
      <c r="E843" s="4" t="s">
        <v>902</v>
      </c>
      <c r="F843" s="4" t="s">
        <v>2120</v>
      </c>
      <c r="G843" s="5">
        <v>4548030551896</v>
      </c>
      <c r="H843" s="5"/>
      <c r="I843" s="5"/>
      <c r="J843" s="5">
        <v>1</v>
      </c>
      <c r="K843" s="5">
        <v>1</v>
      </c>
      <c r="L843" s="4">
        <v>120</v>
      </c>
      <c r="M843" s="4">
        <v>82</v>
      </c>
      <c r="N843" s="4">
        <v>53</v>
      </c>
      <c r="O843" s="6">
        <f t="shared" si="125"/>
        <v>0.35365853658536583</v>
      </c>
      <c r="P843" s="4" t="s">
        <v>2500</v>
      </c>
      <c r="Q843" s="4"/>
      <c r="R843" s="4"/>
      <c r="S843" s="4"/>
      <c r="T843" s="4"/>
      <c r="U843" s="4"/>
      <c r="V843" s="4"/>
      <c r="W843" s="4"/>
      <c r="X843" s="4"/>
      <c r="Y843" s="4">
        <v>82</v>
      </c>
      <c r="Z843" s="4">
        <f t="shared" si="126"/>
        <v>82</v>
      </c>
      <c r="AA843" s="4">
        <v>53</v>
      </c>
      <c r="AB843" s="4">
        <f t="shared" si="127"/>
        <v>53</v>
      </c>
      <c r="AC843" s="4"/>
      <c r="AD843" s="21">
        <f>ROUND(M843*AR843,0)</f>
        <v>82</v>
      </c>
      <c r="AE843" s="6">
        <f>1-AB843/AD843</f>
        <v>0.35365853658536583</v>
      </c>
      <c r="AF843" s="33">
        <v>0</v>
      </c>
      <c r="AG843" s="4" t="str">
        <f t="shared" si="128"/>
        <v>-</v>
      </c>
      <c r="AH843" s="33" t="e">
        <f t="shared" si="130"/>
        <v>#VALUE!</v>
      </c>
      <c r="AI843" s="6" t="e">
        <f>1-AB843/AH843</f>
        <v>#VALUE!</v>
      </c>
      <c r="AJ843" s="7">
        <f>ROUND(AB843/0.65,0)</f>
        <v>82</v>
      </c>
      <c r="AK843" s="6">
        <f>1-AB843/AJ843</f>
        <v>0.35365853658536583</v>
      </c>
      <c r="AL843" s="4">
        <f>AJ843-AB843</f>
        <v>29</v>
      </c>
      <c r="AM843" s="28"/>
      <c r="AN843" s="6"/>
      <c r="AO843" s="6"/>
      <c r="AP843" s="6">
        <f>Z843/L843</f>
        <v>0.68333333333333335</v>
      </c>
      <c r="AQ843" s="6">
        <f>AJ843/M843</f>
        <v>1</v>
      </c>
      <c r="AR843" s="6">
        <f>AB843/N843</f>
        <v>1</v>
      </c>
      <c r="AS843" s="4"/>
      <c r="AT843" s="4"/>
      <c r="AU843" s="4"/>
      <c r="AV843" s="4"/>
      <c r="AW843" s="4"/>
      <c r="AX843" s="4"/>
      <c r="AY843" s="4"/>
      <c r="AZ843" s="4"/>
      <c r="BA843" s="4"/>
      <c r="BB843" s="4">
        <v>0</v>
      </c>
      <c r="BC843" s="4" t="s">
        <v>3534</v>
      </c>
      <c r="BD843" s="4"/>
      <c r="BE843" s="4"/>
      <c r="BF843" s="4" t="s">
        <v>3534</v>
      </c>
      <c r="BG843" s="4" t="s">
        <v>3534</v>
      </c>
      <c r="BH843" s="4" t="s">
        <v>3534</v>
      </c>
      <c r="BI843" s="4" t="str">
        <f t="shared" si="129"/>
        <v>-</v>
      </c>
      <c r="BJ843" s="19">
        <v>4</v>
      </c>
      <c r="BK843" s="19">
        <v>8</v>
      </c>
      <c r="BL843" s="16">
        <v>6</v>
      </c>
      <c r="BM843" s="45" t="s">
        <v>3534</v>
      </c>
      <c r="BN843" t="s">
        <v>3534</v>
      </c>
      <c r="BO843" t="str">
        <f t="shared" si="131"/>
        <v>-</v>
      </c>
      <c r="BP843">
        <v>82</v>
      </c>
      <c r="BQ843">
        <v>82</v>
      </c>
      <c r="BR843">
        <f t="shared" si="132"/>
        <v>82</v>
      </c>
      <c r="BS843" t="s">
        <v>3534</v>
      </c>
    </row>
    <row r="844" spans="1:71" x14ac:dyDescent="0.4">
      <c r="A844" s="3">
        <v>841</v>
      </c>
      <c r="B844" s="3">
        <v>841</v>
      </c>
      <c r="C844" s="4" t="s">
        <v>903</v>
      </c>
      <c r="D844" s="4" t="str">
        <f t="shared" si="124"/>
        <v>J693TN</v>
      </c>
      <c r="E844" s="4" t="s">
        <v>903</v>
      </c>
      <c r="F844" s="4" t="s">
        <v>2121</v>
      </c>
      <c r="G844" s="5">
        <v>4548030029906</v>
      </c>
      <c r="H844" s="5"/>
      <c r="I844" s="5"/>
      <c r="J844" s="5">
        <v>1</v>
      </c>
      <c r="K844" s="5">
        <v>1</v>
      </c>
      <c r="L844" s="4">
        <v>580</v>
      </c>
      <c r="M844" s="4">
        <v>464</v>
      </c>
      <c r="N844" s="4">
        <v>325</v>
      </c>
      <c r="O844" s="6">
        <f t="shared" si="125"/>
        <v>0.29956896551724133</v>
      </c>
      <c r="P844" s="4" t="s">
        <v>2500</v>
      </c>
      <c r="Q844" s="4"/>
      <c r="R844" s="4"/>
      <c r="S844" s="4"/>
      <c r="T844" s="4"/>
      <c r="U844" s="4"/>
      <c r="V844" s="4"/>
      <c r="W844" s="4"/>
      <c r="X844" s="4"/>
      <c r="Y844" s="4">
        <v>491</v>
      </c>
      <c r="Z844" s="4">
        <f t="shared" si="126"/>
        <v>491</v>
      </c>
      <c r="AA844" s="4">
        <v>344</v>
      </c>
      <c r="AB844" s="4">
        <f t="shared" si="127"/>
        <v>344</v>
      </c>
      <c r="AC844" s="4"/>
      <c r="AD844" s="21">
        <f>ROUND(M844*AR844,0)</f>
        <v>491</v>
      </c>
      <c r="AE844" s="6">
        <f>1-AB844/AD844</f>
        <v>0.29938900203665986</v>
      </c>
      <c r="AF844" s="33">
        <v>0</v>
      </c>
      <c r="AG844" s="4">
        <f t="shared" si="128"/>
        <v>560</v>
      </c>
      <c r="AH844" s="33">
        <f t="shared" si="130"/>
        <v>592.73846153846159</v>
      </c>
      <c r="AI844" s="6">
        <f>1-AB844/AH844</f>
        <v>0.41964285714285721</v>
      </c>
      <c r="AJ844" s="7">
        <v>491</v>
      </c>
      <c r="AK844" s="6">
        <f>1-AB844/AJ844</f>
        <v>0.29938900203665986</v>
      </c>
      <c r="AL844" s="4">
        <f>AJ844-AB844</f>
        <v>147</v>
      </c>
      <c r="AM844" s="28"/>
      <c r="AN844" s="6"/>
      <c r="AO844" s="6"/>
      <c r="AP844" s="6">
        <f>Z844/L844</f>
        <v>0.84655172413793101</v>
      </c>
      <c r="AQ844" s="6">
        <f>AJ844/M844</f>
        <v>1.0581896551724137</v>
      </c>
      <c r="AR844" s="6">
        <f>AB844/N844</f>
        <v>1.0584615384615386</v>
      </c>
      <c r="AS844" s="4"/>
      <c r="AT844" s="4"/>
      <c r="AU844" s="4"/>
      <c r="AV844" s="4"/>
      <c r="AW844" s="4"/>
      <c r="AX844" s="4"/>
      <c r="AY844" s="4"/>
      <c r="AZ844" s="4"/>
      <c r="BA844" s="4"/>
      <c r="BB844" s="4">
        <v>0</v>
      </c>
      <c r="BC844" s="4" t="s">
        <v>4307</v>
      </c>
      <c r="BD844" s="4">
        <v>1</v>
      </c>
      <c r="BE844" s="4">
        <v>6</v>
      </c>
      <c r="BF844" s="4" t="s">
        <v>4034</v>
      </c>
      <c r="BG844" s="4">
        <v>3360</v>
      </c>
      <c r="BH844" s="4">
        <v>3360</v>
      </c>
      <c r="BI844" s="4">
        <f t="shared" si="129"/>
        <v>560</v>
      </c>
      <c r="BJ844" s="19">
        <v>4</v>
      </c>
      <c r="BK844" s="19">
        <v>8</v>
      </c>
      <c r="BL844" s="16">
        <v>6</v>
      </c>
      <c r="BM844" s="45" t="s">
        <v>3534</v>
      </c>
      <c r="BN844" t="s">
        <v>3534</v>
      </c>
      <c r="BO844" t="str">
        <f t="shared" si="131"/>
        <v>-</v>
      </c>
      <c r="BP844" t="s">
        <v>3534</v>
      </c>
      <c r="BQ844">
        <v>464</v>
      </c>
      <c r="BR844">
        <f t="shared" si="132"/>
        <v>491.1261538461539</v>
      </c>
      <c r="BS844" t="s">
        <v>3171</v>
      </c>
    </row>
    <row r="845" spans="1:71" x14ac:dyDescent="0.4">
      <c r="A845" s="3">
        <v>842</v>
      </c>
      <c r="B845" s="3">
        <v>842</v>
      </c>
      <c r="C845" s="4" t="s">
        <v>904</v>
      </c>
      <c r="D845" s="4" t="str">
        <f t="shared" si="124"/>
        <v>J694TN</v>
      </c>
      <c r="E845" s="4" t="s">
        <v>904</v>
      </c>
      <c r="F845" s="4" t="s">
        <v>2122</v>
      </c>
      <c r="G845" s="5">
        <v>4521718218984</v>
      </c>
      <c r="H845" s="5"/>
      <c r="I845" s="5"/>
      <c r="J845" s="5">
        <v>1</v>
      </c>
      <c r="K845" s="5">
        <v>1</v>
      </c>
      <c r="L845" s="4">
        <v>770</v>
      </c>
      <c r="M845" s="4">
        <v>491</v>
      </c>
      <c r="N845" s="4">
        <v>344</v>
      </c>
      <c r="O845" s="6">
        <f t="shared" si="125"/>
        <v>0.29938900203665986</v>
      </c>
      <c r="P845" s="4" t="s">
        <v>2500</v>
      </c>
      <c r="Q845" s="4"/>
      <c r="R845" s="4"/>
      <c r="S845" s="4"/>
      <c r="T845" s="4"/>
      <c r="U845" s="4"/>
      <c r="V845" s="4"/>
      <c r="W845" s="4"/>
      <c r="X845" s="4"/>
      <c r="Y845" s="4">
        <v>491</v>
      </c>
      <c r="Z845" s="4">
        <f t="shared" si="126"/>
        <v>491</v>
      </c>
      <c r="AA845" s="4">
        <v>344</v>
      </c>
      <c r="AB845" s="4">
        <f t="shared" si="127"/>
        <v>344</v>
      </c>
      <c r="AC845" s="4"/>
      <c r="AD845" s="21">
        <f>ROUND(M845*AR845,0)</f>
        <v>491</v>
      </c>
      <c r="AE845" s="6">
        <f>1-AB845/AD845</f>
        <v>0.29938900203665986</v>
      </c>
      <c r="AF845" s="33">
        <v>0</v>
      </c>
      <c r="AG845" s="4" t="str">
        <f t="shared" si="128"/>
        <v>-</v>
      </c>
      <c r="AH845" s="33" t="e">
        <f t="shared" si="130"/>
        <v>#VALUE!</v>
      </c>
      <c r="AI845" s="6" t="e">
        <f>1-AB845/AH845</f>
        <v>#VALUE!</v>
      </c>
      <c r="AJ845" s="7">
        <v>491</v>
      </c>
      <c r="AK845" s="6">
        <f>1-AB845/AJ845</f>
        <v>0.29938900203665986</v>
      </c>
      <c r="AL845" s="4">
        <f>AJ845-AB845</f>
        <v>147</v>
      </c>
      <c r="AM845" s="28"/>
      <c r="AN845" s="6"/>
      <c r="AO845" s="6"/>
      <c r="AP845" s="6">
        <f>Z845/L845</f>
        <v>0.63766233766233771</v>
      </c>
      <c r="AQ845" s="6">
        <f>AJ845/M845</f>
        <v>1</v>
      </c>
      <c r="AR845" s="6">
        <f>AB845/N845</f>
        <v>1</v>
      </c>
      <c r="AS845" s="4"/>
      <c r="AT845" s="4"/>
      <c r="AU845" s="4"/>
      <c r="AV845" s="4"/>
      <c r="AW845" s="4"/>
      <c r="AX845" s="4"/>
      <c r="AY845" s="4"/>
      <c r="AZ845" s="4"/>
      <c r="BA845" s="4"/>
      <c r="BB845" s="4">
        <v>0</v>
      </c>
      <c r="BC845" s="4" t="s">
        <v>3534</v>
      </c>
      <c r="BD845" s="4"/>
      <c r="BE845" s="4"/>
      <c r="BF845" s="4" t="s">
        <v>3534</v>
      </c>
      <c r="BG845" s="4" t="s">
        <v>3534</v>
      </c>
      <c r="BH845" s="4" t="s">
        <v>3534</v>
      </c>
      <c r="BI845" s="4" t="str">
        <f t="shared" si="129"/>
        <v>-</v>
      </c>
      <c r="BJ845" s="19">
        <v>4</v>
      </c>
      <c r="BK845" s="19">
        <v>8</v>
      </c>
      <c r="BL845" s="16">
        <v>6</v>
      </c>
      <c r="BM845" s="45" t="s">
        <v>3534</v>
      </c>
      <c r="BN845" t="s">
        <v>3534</v>
      </c>
      <c r="BO845" t="str">
        <f t="shared" si="131"/>
        <v>-</v>
      </c>
      <c r="BP845" t="s">
        <v>3534</v>
      </c>
      <c r="BQ845">
        <v>491</v>
      </c>
      <c r="BR845">
        <f t="shared" si="132"/>
        <v>491</v>
      </c>
      <c r="BS845" t="s">
        <v>3534</v>
      </c>
    </row>
    <row r="846" spans="1:71" x14ac:dyDescent="0.4">
      <c r="A846" s="3">
        <v>843</v>
      </c>
      <c r="B846" s="3">
        <v>843</v>
      </c>
      <c r="C846" s="4" t="s">
        <v>905</v>
      </c>
      <c r="D846" s="4" t="str">
        <f t="shared" si="124"/>
        <v>J691TN</v>
      </c>
      <c r="E846" s="4" t="s">
        <v>905</v>
      </c>
      <c r="F846" s="4" t="s">
        <v>2123</v>
      </c>
      <c r="G846" s="5">
        <v>4548030551889</v>
      </c>
      <c r="H846" s="5"/>
      <c r="I846" s="5"/>
      <c r="J846" s="5">
        <v>1</v>
      </c>
      <c r="K846" s="5">
        <v>1</v>
      </c>
      <c r="L846" s="4">
        <v>190</v>
      </c>
      <c r="M846" s="4">
        <v>128</v>
      </c>
      <c r="N846" s="4">
        <v>83</v>
      </c>
      <c r="O846" s="6">
        <f t="shared" si="125"/>
        <v>0.3515625</v>
      </c>
      <c r="P846" s="4" t="s">
        <v>2500</v>
      </c>
      <c r="Q846" s="4"/>
      <c r="R846" s="4"/>
      <c r="S846" s="4"/>
      <c r="T846" s="4"/>
      <c r="U846" s="4"/>
      <c r="V846" s="4"/>
      <c r="W846" s="4"/>
      <c r="X846" s="4"/>
      <c r="Y846" s="4">
        <v>128</v>
      </c>
      <c r="Z846" s="4">
        <f t="shared" si="126"/>
        <v>128</v>
      </c>
      <c r="AA846" s="4">
        <v>83</v>
      </c>
      <c r="AB846" s="4">
        <f t="shared" si="127"/>
        <v>83</v>
      </c>
      <c r="AC846" s="4"/>
      <c r="AD846" s="21">
        <f>ROUND(M846*AR846,0)</f>
        <v>128</v>
      </c>
      <c r="AE846" s="6">
        <f>1-AB846/AD846</f>
        <v>0.3515625</v>
      </c>
      <c r="AF846" s="33">
        <v>0</v>
      </c>
      <c r="AG846" s="4" t="str">
        <f t="shared" si="128"/>
        <v>-</v>
      </c>
      <c r="AH846" s="33" t="e">
        <f t="shared" si="130"/>
        <v>#VALUE!</v>
      </c>
      <c r="AI846" s="6" t="e">
        <f>1-AB846/AH846</f>
        <v>#VALUE!</v>
      </c>
      <c r="AJ846" s="7">
        <f>ROUND(AB846/0.65,0)</f>
        <v>128</v>
      </c>
      <c r="AK846" s="6">
        <f>1-AB846/AJ846</f>
        <v>0.3515625</v>
      </c>
      <c r="AL846" s="4">
        <f>AJ846-AB846</f>
        <v>45</v>
      </c>
      <c r="AM846" s="28"/>
      <c r="AN846" s="6"/>
      <c r="AO846" s="6"/>
      <c r="AP846" s="6">
        <f>Z846/L846</f>
        <v>0.67368421052631577</v>
      </c>
      <c r="AQ846" s="6">
        <f>AJ846/M846</f>
        <v>1</v>
      </c>
      <c r="AR846" s="6">
        <f>AB846/N846</f>
        <v>1</v>
      </c>
      <c r="AS846" s="4"/>
      <c r="AT846" s="4"/>
      <c r="AU846" s="4"/>
      <c r="AV846" s="4"/>
      <c r="AW846" s="4"/>
      <c r="AX846" s="4"/>
      <c r="AY846" s="4"/>
      <c r="AZ846" s="4"/>
      <c r="BA846" s="4"/>
      <c r="BB846" s="4">
        <v>0</v>
      </c>
      <c r="BC846" s="4" t="s">
        <v>3534</v>
      </c>
      <c r="BD846" s="4"/>
      <c r="BE846" s="4"/>
      <c r="BF846" s="4" t="s">
        <v>3534</v>
      </c>
      <c r="BG846" s="4" t="s">
        <v>3534</v>
      </c>
      <c r="BH846" s="4" t="s">
        <v>3534</v>
      </c>
      <c r="BI846" s="4" t="str">
        <f t="shared" si="129"/>
        <v>-</v>
      </c>
      <c r="BJ846" s="19">
        <v>4</v>
      </c>
      <c r="BK846" s="19">
        <v>8</v>
      </c>
      <c r="BL846" s="16">
        <v>6</v>
      </c>
      <c r="BM846" s="45" t="s">
        <v>3534</v>
      </c>
      <c r="BN846" t="s">
        <v>3534</v>
      </c>
      <c r="BO846" t="str">
        <f t="shared" si="131"/>
        <v>-</v>
      </c>
      <c r="BP846">
        <v>128</v>
      </c>
      <c r="BQ846">
        <v>128</v>
      </c>
      <c r="BR846">
        <f t="shared" si="132"/>
        <v>128</v>
      </c>
      <c r="BS846" t="s">
        <v>3534</v>
      </c>
    </row>
    <row r="847" spans="1:71" x14ac:dyDescent="0.4">
      <c r="A847" s="3">
        <v>844</v>
      </c>
      <c r="B847" s="3">
        <v>844</v>
      </c>
      <c r="C847" s="4" t="s">
        <v>906</v>
      </c>
      <c r="D847" s="4" t="str">
        <f t="shared" si="124"/>
        <v>J695TN</v>
      </c>
      <c r="E847" s="4" t="s">
        <v>906</v>
      </c>
      <c r="F847" s="4" t="s">
        <v>2124</v>
      </c>
      <c r="G847" s="5">
        <v>4521718219066</v>
      </c>
      <c r="H847" s="5"/>
      <c r="I847" s="5"/>
      <c r="J847" s="5">
        <v>1</v>
      </c>
      <c r="K847" s="5">
        <v>1</v>
      </c>
      <c r="L847" s="4">
        <v>660</v>
      </c>
      <c r="M847" s="4">
        <v>419</v>
      </c>
      <c r="N847" s="4">
        <v>293</v>
      </c>
      <c r="O847" s="6">
        <f t="shared" si="125"/>
        <v>0.30071599045346065</v>
      </c>
      <c r="P847" s="4" t="s">
        <v>2500</v>
      </c>
      <c r="Q847" s="4"/>
      <c r="R847" s="4"/>
      <c r="S847" s="4"/>
      <c r="T847" s="4"/>
      <c r="U847" s="4"/>
      <c r="V847" s="4"/>
      <c r="W847" s="4"/>
      <c r="X847" s="4"/>
      <c r="Y847" s="4">
        <v>660</v>
      </c>
      <c r="Z847" s="4">
        <f t="shared" si="126"/>
        <v>660</v>
      </c>
      <c r="AA847" s="4">
        <v>297</v>
      </c>
      <c r="AB847" s="4">
        <f t="shared" si="127"/>
        <v>297</v>
      </c>
      <c r="AC847" s="4"/>
      <c r="AD847" s="21">
        <f>ROUND(M847*AR847,0)</f>
        <v>425</v>
      </c>
      <c r="AE847" s="6">
        <f>1-AB847/AD847</f>
        <v>0.30117647058823527</v>
      </c>
      <c r="AF847" s="33">
        <v>0</v>
      </c>
      <c r="AG847" s="4" t="str">
        <f t="shared" si="128"/>
        <v>-</v>
      </c>
      <c r="AH847" s="33" t="e">
        <f t="shared" si="130"/>
        <v>#VALUE!</v>
      </c>
      <c r="AI847" s="6" t="e">
        <f>1-AB847/AH847</f>
        <v>#VALUE!</v>
      </c>
      <c r="AJ847" s="7">
        <f>ROUND(AB847/0.65,0)</f>
        <v>457</v>
      </c>
      <c r="AK847" s="6">
        <f>1-AB847/AJ847</f>
        <v>0.35010940919037203</v>
      </c>
      <c r="AL847" s="4">
        <f>AJ847-AB847</f>
        <v>160</v>
      </c>
      <c r="AM847" s="28"/>
      <c r="AN847" s="6"/>
      <c r="AO847" s="6"/>
      <c r="AP847" s="6">
        <f>Z847/L847</f>
        <v>1</v>
      </c>
      <c r="AQ847" s="6">
        <f>AJ847/M847</f>
        <v>1.090692124105012</v>
      </c>
      <c r="AR847" s="6">
        <f>AB847/N847</f>
        <v>1.0136518771331058</v>
      </c>
      <c r="AS847" s="4"/>
      <c r="AT847" s="4"/>
      <c r="AU847" s="4"/>
      <c r="AV847" s="4"/>
      <c r="AW847" s="4"/>
      <c r="AX847" s="4"/>
      <c r="AY847" s="4"/>
      <c r="AZ847" s="4"/>
      <c r="BA847" s="4"/>
      <c r="BB847" s="4">
        <v>0</v>
      </c>
      <c r="BC847" s="4" t="s">
        <v>3534</v>
      </c>
      <c r="BD847" s="4"/>
      <c r="BE847" s="4"/>
      <c r="BF847" s="4" t="s">
        <v>3534</v>
      </c>
      <c r="BG847" s="4" t="s">
        <v>3534</v>
      </c>
      <c r="BH847" s="4" t="s">
        <v>3534</v>
      </c>
      <c r="BI847" s="4" t="str">
        <f t="shared" si="129"/>
        <v>-</v>
      </c>
      <c r="BJ847" s="19">
        <v>4</v>
      </c>
      <c r="BK847" s="19">
        <v>8</v>
      </c>
      <c r="BL847" s="16">
        <v>6</v>
      </c>
      <c r="BM847" s="45" t="s">
        <v>3534</v>
      </c>
      <c r="BN847" t="s">
        <v>3534</v>
      </c>
      <c r="BO847" t="str">
        <f t="shared" si="131"/>
        <v>-</v>
      </c>
      <c r="BP847" t="s">
        <v>3534</v>
      </c>
      <c r="BQ847">
        <v>419</v>
      </c>
      <c r="BR847">
        <f t="shared" si="132"/>
        <v>424.72013651877131</v>
      </c>
      <c r="BS847" t="s">
        <v>3534</v>
      </c>
    </row>
    <row r="848" spans="1:71" x14ac:dyDescent="0.4">
      <c r="A848" s="3">
        <v>845</v>
      </c>
      <c r="B848" s="3">
        <v>845</v>
      </c>
      <c r="C848" s="4" t="s">
        <v>907</v>
      </c>
      <c r="D848" s="4" t="str">
        <f t="shared" si="124"/>
        <v>J696TN</v>
      </c>
      <c r="E848" s="4" t="s">
        <v>907</v>
      </c>
      <c r="F848" s="4" t="s">
        <v>2125</v>
      </c>
      <c r="G848" s="5">
        <v>4521718218809</v>
      </c>
      <c r="H848" s="5"/>
      <c r="I848" s="5"/>
      <c r="J848" s="5">
        <v>1</v>
      </c>
      <c r="K848" s="5">
        <v>1</v>
      </c>
      <c r="L848" s="4">
        <v>330</v>
      </c>
      <c r="M848" s="4">
        <v>227</v>
      </c>
      <c r="N848" s="4">
        <v>148</v>
      </c>
      <c r="O848" s="6">
        <f t="shared" si="125"/>
        <v>0.34801762114537449</v>
      </c>
      <c r="P848" s="4" t="s">
        <v>2500</v>
      </c>
      <c r="Q848" s="4"/>
      <c r="R848" s="4"/>
      <c r="S848" s="4"/>
      <c r="T848" s="4"/>
      <c r="U848" s="4"/>
      <c r="V848" s="4"/>
      <c r="W848" s="4"/>
      <c r="X848" s="4"/>
      <c r="Y848" s="4">
        <v>228</v>
      </c>
      <c r="Z848" s="4">
        <f t="shared" si="126"/>
        <v>228</v>
      </c>
      <c r="AA848" s="4">
        <v>148</v>
      </c>
      <c r="AB848" s="4">
        <f t="shared" si="127"/>
        <v>148</v>
      </c>
      <c r="AC848" s="4"/>
      <c r="AD848" s="21">
        <f>ROUND(M848*AR848,0)</f>
        <v>227</v>
      </c>
      <c r="AE848" s="6">
        <f>1-AB848/AD848</f>
        <v>0.34801762114537449</v>
      </c>
      <c r="AF848" s="33">
        <v>0</v>
      </c>
      <c r="AG848" s="4" t="str">
        <f t="shared" si="128"/>
        <v>-</v>
      </c>
      <c r="AH848" s="33" t="e">
        <f t="shared" si="130"/>
        <v>#VALUE!</v>
      </c>
      <c r="AI848" s="6" t="e">
        <f>1-AB848/AH848</f>
        <v>#VALUE!</v>
      </c>
      <c r="AJ848" s="7">
        <f>ROUND(AB848/0.65,0)</f>
        <v>228</v>
      </c>
      <c r="AK848" s="6">
        <f>1-AB848/AJ848</f>
        <v>0.35087719298245612</v>
      </c>
      <c r="AL848" s="4">
        <f>AJ848-AB848</f>
        <v>80</v>
      </c>
      <c r="AM848" s="28"/>
      <c r="AN848" s="6"/>
      <c r="AO848" s="6"/>
      <c r="AP848" s="6">
        <f>Z848/L848</f>
        <v>0.69090909090909092</v>
      </c>
      <c r="AQ848" s="6">
        <f>AJ848/M848</f>
        <v>1.0044052863436124</v>
      </c>
      <c r="AR848" s="6">
        <f>AB848/N848</f>
        <v>1</v>
      </c>
      <c r="AS848" s="4"/>
      <c r="AT848" s="4"/>
      <c r="AU848" s="4"/>
      <c r="AV848" s="4"/>
      <c r="AW848" s="4"/>
      <c r="AX848" s="4"/>
      <c r="AY848" s="4"/>
      <c r="AZ848" s="4"/>
      <c r="BA848" s="4"/>
      <c r="BB848" s="4">
        <v>0</v>
      </c>
      <c r="BC848" s="4" t="s">
        <v>3534</v>
      </c>
      <c r="BD848" s="4"/>
      <c r="BE848" s="4"/>
      <c r="BF848" s="4" t="s">
        <v>3534</v>
      </c>
      <c r="BG848" s="4" t="s">
        <v>3534</v>
      </c>
      <c r="BH848" s="4" t="s">
        <v>3534</v>
      </c>
      <c r="BI848" s="4" t="str">
        <f t="shared" si="129"/>
        <v>-</v>
      </c>
      <c r="BJ848" s="19">
        <v>4</v>
      </c>
      <c r="BK848" s="19">
        <v>8</v>
      </c>
      <c r="BL848" s="16">
        <v>6</v>
      </c>
      <c r="BM848" s="45" t="s">
        <v>3534</v>
      </c>
      <c r="BN848" t="s">
        <v>3534</v>
      </c>
      <c r="BO848" t="str">
        <f t="shared" si="131"/>
        <v>-</v>
      </c>
      <c r="BP848" t="s">
        <v>3534</v>
      </c>
      <c r="BQ848">
        <v>264</v>
      </c>
      <c r="BR848">
        <f t="shared" si="132"/>
        <v>264</v>
      </c>
      <c r="BS848" t="s">
        <v>3534</v>
      </c>
    </row>
    <row r="849" spans="1:71" x14ac:dyDescent="0.4">
      <c r="A849" s="3">
        <v>846</v>
      </c>
      <c r="B849" s="3">
        <v>846</v>
      </c>
      <c r="C849" s="4" t="s">
        <v>908</v>
      </c>
      <c r="D849" s="4" t="str">
        <f t="shared" si="124"/>
        <v>J719LY</v>
      </c>
      <c r="E849" s="4" t="s">
        <v>908</v>
      </c>
      <c r="F849" s="4" t="s">
        <v>2126</v>
      </c>
      <c r="G849" s="5">
        <v>4521718647708</v>
      </c>
      <c r="H849" s="5"/>
      <c r="I849" s="5"/>
      <c r="J849" s="5">
        <v>1</v>
      </c>
      <c r="K849" s="5">
        <v>1</v>
      </c>
      <c r="L849" s="4">
        <v>119</v>
      </c>
      <c r="M849" s="4">
        <v>108</v>
      </c>
      <c r="N849" s="4">
        <v>83</v>
      </c>
      <c r="O849" s="6">
        <f t="shared" si="125"/>
        <v>0.23148148148148151</v>
      </c>
      <c r="P849" s="4" t="s">
        <v>2500</v>
      </c>
      <c r="Q849" s="4"/>
      <c r="R849" s="4"/>
      <c r="S849" s="4"/>
      <c r="T849" s="4"/>
      <c r="U849" s="4"/>
      <c r="V849" s="4"/>
      <c r="W849" s="4"/>
      <c r="X849" s="4"/>
      <c r="Y849" s="4">
        <v>119</v>
      </c>
      <c r="Z849" s="4">
        <f t="shared" si="126"/>
        <v>119</v>
      </c>
      <c r="AA849" s="4">
        <v>83</v>
      </c>
      <c r="AB849" s="4">
        <f t="shared" si="127"/>
        <v>83</v>
      </c>
      <c r="AC849" s="4"/>
      <c r="AD849" s="21">
        <f>ROUND(M849*AR849,0)</f>
        <v>108</v>
      </c>
      <c r="AE849" s="6">
        <f>1-AB849/AD849</f>
        <v>0.23148148148148151</v>
      </c>
      <c r="AF849" s="33">
        <v>0</v>
      </c>
      <c r="AG849" s="4">
        <f t="shared" si="128"/>
        <v>130</v>
      </c>
      <c r="AH849" s="33">
        <f t="shared" si="130"/>
        <v>130</v>
      </c>
      <c r="AI849" s="6">
        <f>1-AB849/AH849</f>
        <v>0.36153846153846159</v>
      </c>
      <c r="AJ849" s="7">
        <v>119</v>
      </c>
      <c r="AK849" s="6">
        <f>1-AB849/AJ849</f>
        <v>0.30252100840336138</v>
      </c>
      <c r="AL849" s="4">
        <f>AJ849-AB849</f>
        <v>36</v>
      </c>
      <c r="AM849" s="28"/>
      <c r="AN849" s="6"/>
      <c r="AO849" s="6"/>
      <c r="AP849" s="6">
        <f>Z849/L849</f>
        <v>1</v>
      </c>
      <c r="AQ849" s="6">
        <f>AJ849/M849</f>
        <v>1.1018518518518519</v>
      </c>
      <c r="AR849" s="6">
        <f>AB849/N849</f>
        <v>1</v>
      </c>
      <c r="AS849" s="4"/>
      <c r="AT849" s="4"/>
      <c r="AU849" s="4"/>
      <c r="AV849" s="4"/>
      <c r="AW849" s="4"/>
      <c r="AX849" s="4"/>
      <c r="AY849" s="4"/>
      <c r="AZ849" s="4"/>
      <c r="BA849" s="4"/>
      <c r="BB849" s="4">
        <v>0</v>
      </c>
      <c r="BC849" s="4" t="s">
        <v>4308</v>
      </c>
      <c r="BD849" s="4">
        <v>1</v>
      </c>
      <c r="BE849" s="4">
        <v>11</v>
      </c>
      <c r="BF849" s="4" t="s">
        <v>4309</v>
      </c>
      <c r="BG849" s="4">
        <v>1430</v>
      </c>
      <c r="BH849" s="4">
        <v>1430</v>
      </c>
      <c r="BI849" s="4">
        <f t="shared" si="129"/>
        <v>130</v>
      </c>
      <c r="BJ849" s="19">
        <v>4</v>
      </c>
      <c r="BK849" s="19">
        <v>8</v>
      </c>
      <c r="BL849" s="16">
        <v>6</v>
      </c>
      <c r="BM849" s="45" t="s">
        <v>3534</v>
      </c>
      <c r="BN849" t="s">
        <v>3534</v>
      </c>
      <c r="BO849" t="str">
        <f t="shared" si="131"/>
        <v>-</v>
      </c>
      <c r="BP849" t="s">
        <v>3534</v>
      </c>
      <c r="BQ849">
        <v>143</v>
      </c>
      <c r="BR849">
        <f t="shared" si="132"/>
        <v>143</v>
      </c>
      <c r="BS849" t="s">
        <v>3172</v>
      </c>
    </row>
    <row r="850" spans="1:71" x14ac:dyDescent="0.4">
      <c r="A850" s="3">
        <v>847</v>
      </c>
      <c r="B850" s="3">
        <v>847</v>
      </c>
      <c r="C850" s="4" t="s">
        <v>909</v>
      </c>
      <c r="D850" s="4" t="str">
        <f t="shared" si="124"/>
        <v>J716LY</v>
      </c>
      <c r="E850" s="4" t="s">
        <v>909</v>
      </c>
      <c r="F850" s="4" t="s">
        <v>2127</v>
      </c>
      <c r="G850" s="5">
        <v>4521718071992</v>
      </c>
      <c r="H850" s="5"/>
      <c r="I850" s="5"/>
      <c r="J850" s="5">
        <v>1</v>
      </c>
      <c r="K850" s="5">
        <v>1</v>
      </c>
      <c r="L850" s="4">
        <v>980</v>
      </c>
      <c r="M850" s="4">
        <v>567</v>
      </c>
      <c r="N850" s="4">
        <v>440</v>
      </c>
      <c r="O850" s="6">
        <f t="shared" si="125"/>
        <v>0.22398589065255736</v>
      </c>
      <c r="P850" s="4" t="s">
        <v>2500</v>
      </c>
      <c r="Q850" s="4"/>
      <c r="R850" s="4"/>
      <c r="S850" s="4"/>
      <c r="T850" s="4"/>
      <c r="U850" s="4"/>
      <c r="V850" s="4"/>
      <c r="W850" s="4"/>
      <c r="X850" s="4"/>
      <c r="Y850" s="4">
        <v>628</v>
      </c>
      <c r="Z850" s="4">
        <f t="shared" si="126"/>
        <v>628</v>
      </c>
      <c r="AA850" s="4">
        <v>440</v>
      </c>
      <c r="AB850" s="4">
        <f t="shared" si="127"/>
        <v>440</v>
      </c>
      <c r="AC850" s="4"/>
      <c r="AD850" s="21">
        <f>ROUND(M850*AR850,0)</f>
        <v>567</v>
      </c>
      <c r="AE850" s="6">
        <f>1-AB850/AD850</f>
        <v>0.22398589065255736</v>
      </c>
      <c r="AF850" s="33">
        <v>0</v>
      </c>
      <c r="AG850" s="4">
        <f t="shared" si="128"/>
        <v>628</v>
      </c>
      <c r="AH850" s="33">
        <f t="shared" si="130"/>
        <v>628</v>
      </c>
      <c r="AI850" s="6">
        <f>1-AB850/AH850</f>
        <v>0.29936305732484081</v>
      </c>
      <c r="AJ850" s="7">
        <v>628</v>
      </c>
      <c r="AK850" s="6">
        <f>1-AB850/AJ850</f>
        <v>0.29936305732484081</v>
      </c>
      <c r="AL850" s="4">
        <f>AJ850-AB850</f>
        <v>188</v>
      </c>
      <c r="AM850" s="28"/>
      <c r="AN850" s="6"/>
      <c r="AO850" s="6"/>
      <c r="AP850" s="6">
        <f>Z850/L850</f>
        <v>0.64081632653061227</v>
      </c>
      <c r="AQ850" s="6">
        <f>AJ850/M850</f>
        <v>1.1075837742504409</v>
      </c>
      <c r="AR850" s="6">
        <f>AB850/N850</f>
        <v>1</v>
      </c>
      <c r="AS850" s="4"/>
      <c r="AT850" s="4"/>
      <c r="AU850" s="4"/>
      <c r="AV850" s="4"/>
      <c r="AW850" s="4"/>
      <c r="AX850" s="4"/>
      <c r="AY850" s="4"/>
      <c r="AZ850" s="4"/>
      <c r="BA850" s="4"/>
      <c r="BB850" s="4">
        <v>0</v>
      </c>
      <c r="BC850" s="4" t="s">
        <v>4310</v>
      </c>
      <c r="BD850" s="4"/>
      <c r="BE850" s="4"/>
      <c r="BF850" s="4" t="s">
        <v>3545</v>
      </c>
      <c r="BG850" s="4">
        <v>628</v>
      </c>
      <c r="BH850" s="4">
        <v>628</v>
      </c>
      <c r="BI850" s="4">
        <f t="shared" si="129"/>
        <v>628</v>
      </c>
      <c r="BJ850" s="19">
        <v>4</v>
      </c>
      <c r="BK850" s="19">
        <v>8</v>
      </c>
      <c r="BL850" s="16">
        <v>6</v>
      </c>
      <c r="BM850" s="45" t="s">
        <v>3534</v>
      </c>
      <c r="BN850" t="s">
        <v>3534</v>
      </c>
      <c r="BO850" t="str">
        <f t="shared" si="131"/>
        <v>-</v>
      </c>
      <c r="BP850" t="s">
        <v>3534</v>
      </c>
      <c r="BQ850">
        <v>629</v>
      </c>
      <c r="BR850">
        <f t="shared" si="132"/>
        <v>629</v>
      </c>
      <c r="BS850" t="s">
        <v>3173</v>
      </c>
    </row>
    <row r="851" spans="1:71" x14ac:dyDescent="0.4">
      <c r="A851" s="3">
        <v>848</v>
      </c>
      <c r="B851" s="3">
        <v>848</v>
      </c>
      <c r="C851" s="4" t="s">
        <v>910</v>
      </c>
      <c r="D851" s="4" t="str">
        <f t="shared" si="124"/>
        <v>J720LY</v>
      </c>
      <c r="E851" s="4" t="s">
        <v>910</v>
      </c>
      <c r="F851" s="4" t="s">
        <v>2128</v>
      </c>
      <c r="G851" s="5">
        <v>4521718765051</v>
      </c>
      <c r="H851" s="5"/>
      <c r="I851" s="5"/>
      <c r="J851" s="5">
        <v>1</v>
      </c>
      <c r="K851" s="5">
        <v>1</v>
      </c>
      <c r="L851" s="4">
        <v>240</v>
      </c>
      <c r="M851" s="4">
        <v>216</v>
      </c>
      <c r="N851" s="4">
        <v>168</v>
      </c>
      <c r="O851" s="6">
        <f t="shared" si="125"/>
        <v>0.22222222222222221</v>
      </c>
      <c r="P851" s="4" t="s">
        <v>2500</v>
      </c>
      <c r="Q851" s="4"/>
      <c r="R851" s="4"/>
      <c r="S851" s="4"/>
      <c r="T851" s="4"/>
      <c r="U851" s="4"/>
      <c r="V851" s="4"/>
      <c r="W851" s="4"/>
      <c r="X851" s="4"/>
      <c r="Y851" s="4">
        <v>237</v>
      </c>
      <c r="Z851" s="4">
        <f t="shared" si="126"/>
        <v>237</v>
      </c>
      <c r="AA851" s="4">
        <v>166</v>
      </c>
      <c r="AB851" s="4">
        <f t="shared" si="127"/>
        <v>166</v>
      </c>
      <c r="AC851" s="4"/>
      <c r="AD851" s="21">
        <f>ROUND(M851*AR851,0)</f>
        <v>213</v>
      </c>
      <c r="AE851" s="6">
        <f>1-AB851/AD851</f>
        <v>0.22065727699530513</v>
      </c>
      <c r="AF851" s="33">
        <v>0</v>
      </c>
      <c r="AG851" s="4">
        <f t="shared" si="128"/>
        <v>240</v>
      </c>
      <c r="AH851" s="33">
        <f t="shared" si="130"/>
        <v>237.14285714285717</v>
      </c>
      <c r="AI851" s="6">
        <f>1-AB851/AH851</f>
        <v>0.30000000000000004</v>
      </c>
      <c r="AJ851" s="7">
        <v>237</v>
      </c>
      <c r="AK851" s="6">
        <f>1-AB851/AJ851</f>
        <v>0.29957805907172996</v>
      </c>
      <c r="AL851" s="4">
        <f>AJ851-AB851</f>
        <v>71</v>
      </c>
      <c r="AM851" s="28"/>
      <c r="AN851" s="6"/>
      <c r="AO851" s="6"/>
      <c r="AP851" s="6">
        <f>Z851/L851</f>
        <v>0.98750000000000004</v>
      </c>
      <c r="AQ851" s="6">
        <f>AJ851/M851</f>
        <v>1.0972222222222223</v>
      </c>
      <c r="AR851" s="6">
        <f>AB851/N851</f>
        <v>0.98809523809523814</v>
      </c>
      <c r="AS851" s="4"/>
      <c r="AT851" s="4"/>
      <c r="AU851" s="4"/>
      <c r="AV851" s="4"/>
      <c r="AW851" s="4"/>
      <c r="AX851" s="4"/>
      <c r="AY851" s="4"/>
      <c r="AZ851" s="4"/>
      <c r="BA851" s="4"/>
      <c r="BB851" s="4">
        <v>0</v>
      </c>
      <c r="BC851" s="4" t="s">
        <v>4311</v>
      </c>
      <c r="BD851" s="4">
        <v>1</v>
      </c>
      <c r="BE851" s="4">
        <v>10</v>
      </c>
      <c r="BF851" s="4" t="s">
        <v>4312</v>
      </c>
      <c r="BG851" s="4">
        <v>2400</v>
      </c>
      <c r="BH851" s="4">
        <v>2400</v>
      </c>
      <c r="BI851" s="4">
        <f t="shared" si="129"/>
        <v>240</v>
      </c>
      <c r="BJ851" s="19">
        <v>4</v>
      </c>
      <c r="BK851" s="19">
        <v>8</v>
      </c>
      <c r="BL851" s="16">
        <v>6</v>
      </c>
      <c r="BM851" s="45" t="s">
        <v>3534</v>
      </c>
      <c r="BN851" t="s">
        <v>3534</v>
      </c>
      <c r="BO851" t="str">
        <f t="shared" si="131"/>
        <v>-</v>
      </c>
      <c r="BP851" t="s">
        <v>3534</v>
      </c>
      <c r="BQ851">
        <v>235</v>
      </c>
      <c r="BR851">
        <f t="shared" si="132"/>
        <v>232.20238095238096</v>
      </c>
      <c r="BS851" t="s">
        <v>3174</v>
      </c>
    </row>
    <row r="852" spans="1:71" x14ac:dyDescent="0.4">
      <c r="A852" s="3">
        <v>849</v>
      </c>
      <c r="B852" s="3">
        <v>849</v>
      </c>
      <c r="C852" s="4" t="s">
        <v>911</v>
      </c>
      <c r="D852" s="4" t="str">
        <f t="shared" si="124"/>
        <v>J721LY</v>
      </c>
      <c r="E852" s="4" t="s">
        <v>911</v>
      </c>
      <c r="F852" s="4" t="s">
        <v>2129</v>
      </c>
      <c r="G852" s="5">
        <v>4521718765068</v>
      </c>
      <c r="H852" s="5"/>
      <c r="I852" s="5"/>
      <c r="J852" s="5">
        <v>1</v>
      </c>
      <c r="K852" s="5">
        <v>1</v>
      </c>
      <c r="L852" s="4">
        <v>240</v>
      </c>
      <c r="M852" s="4">
        <v>216</v>
      </c>
      <c r="N852" s="4">
        <v>168</v>
      </c>
      <c r="O852" s="6">
        <f t="shared" si="125"/>
        <v>0.22222222222222221</v>
      </c>
      <c r="P852" s="4" t="s">
        <v>2500</v>
      </c>
      <c r="Q852" s="4"/>
      <c r="R852" s="4"/>
      <c r="S852" s="4"/>
      <c r="T852" s="4"/>
      <c r="U852" s="4"/>
      <c r="V852" s="4"/>
      <c r="W852" s="4"/>
      <c r="X852" s="4"/>
      <c r="Y852" s="4">
        <v>237</v>
      </c>
      <c r="Z852" s="4">
        <f t="shared" si="126"/>
        <v>237</v>
      </c>
      <c r="AA852" s="4">
        <v>166</v>
      </c>
      <c r="AB852" s="4">
        <f t="shared" si="127"/>
        <v>166</v>
      </c>
      <c r="AC852" s="4"/>
      <c r="AD852" s="21">
        <f>ROUND(M852*AR852,0)</f>
        <v>213</v>
      </c>
      <c r="AE852" s="6">
        <f>1-AB852/AD852</f>
        <v>0.22065727699530513</v>
      </c>
      <c r="AF852" s="33">
        <v>0</v>
      </c>
      <c r="AG852" s="4">
        <f t="shared" si="128"/>
        <v>240</v>
      </c>
      <c r="AH852" s="33">
        <f t="shared" si="130"/>
        <v>237.14285714285717</v>
      </c>
      <c r="AI852" s="6">
        <f>1-AB852/AH852</f>
        <v>0.30000000000000004</v>
      </c>
      <c r="AJ852" s="7">
        <v>237</v>
      </c>
      <c r="AK852" s="6">
        <f>1-AB852/AJ852</f>
        <v>0.29957805907172996</v>
      </c>
      <c r="AL852" s="4">
        <f>AJ852-AB852</f>
        <v>71</v>
      </c>
      <c r="AM852" s="28"/>
      <c r="AN852" s="6"/>
      <c r="AO852" s="6"/>
      <c r="AP852" s="6">
        <f>Z852/L852</f>
        <v>0.98750000000000004</v>
      </c>
      <c r="AQ852" s="6">
        <f>AJ852/M852</f>
        <v>1.0972222222222223</v>
      </c>
      <c r="AR852" s="6">
        <f>AB852/N852</f>
        <v>0.98809523809523814</v>
      </c>
      <c r="AS852" s="4"/>
      <c r="AT852" s="4"/>
      <c r="AU852" s="4"/>
      <c r="AV852" s="4"/>
      <c r="AW852" s="4"/>
      <c r="AX852" s="4"/>
      <c r="AY852" s="4"/>
      <c r="AZ852" s="4"/>
      <c r="BA852" s="4"/>
      <c r="BB852" s="4">
        <v>0</v>
      </c>
      <c r="BC852" s="4" t="s">
        <v>4313</v>
      </c>
      <c r="BD852" s="4">
        <v>1</v>
      </c>
      <c r="BE852" s="4">
        <v>10</v>
      </c>
      <c r="BF852" s="4" t="s">
        <v>4312</v>
      </c>
      <c r="BG852" s="4">
        <v>2400</v>
      </c>
      <c r="BH852" s="4">
        <v>2400</v>
      </c>
      <c r="BI852" s="4">
        <f t="shared" si="129"/>
        <v>240</v>
      </c>
      <c r="BJ852" s="19">
        <v>4</v>
      </c>
      <c r="BK852" s="19">
        <v>8</v>
      </c>
      <c r="BL852" s="16">
        <v>6</v>
      </c>
      <c r="BM852" s="45" t="s">
        <v>3534</v>
      </c>
      <c r="BN852" t="s">
        <v>3534</v>
      </c>
      <c r="BO852" t="str">
        <f t="shared" si="131"/>
        <v>-</v>
      </c>
      <c r="BP852" t="s">
        <v>3534</v>
      </c>
      <c r="BQ852">
        <v>235</v>
      </c>
      <c r="BR852">
        <f t="shared" si="132"/>
        <v>232.20238095238096</v>
      </c>
      <c r="BS852" t="s">
        <v>3175</v>
      </c>
    </row>
    <row r="853" spans="1:71" x14ac:dyDescent="0.4">
      <c r="A853" s="3">
        <v>850</v>
      </c>
      <c r="B853" s="3">
        <v>850</v>
      </c>
      <c r="C853" s="4" t="s">
        <v>912</v>
      </c>
      <c r="D853" s="4" t="str">
        <f t="shared" si="124"/>
        <v>J722LY</v>
      </c>
      <c r="E853" s="4" t="s">
        <v>912</v>
      </c>
      <c r="F853" s="4" t="s">
        <v>2130</v>
      </c>
      <c r="G853" s="5">
        <v>4521718765075</v>
      </c>
      <c r="H853" s="5"/>
      <c r="I853" s="5"/>
      <c r="J853" s="5">
        <v>1</v>
      </c>
      <c r="K853" s="5">
        <v>1</v>
      </c>
      <c r="L853" s="4">
        <v>240</v>
      </c>
      <c r="M853" s="4">
        <v>216</v>
      </c>
      <c r="N853" s="4">
        <v>168</v>
      </c>
      <c r="O853" s="6">
        <f t="shared" si="125"/>
        <v>0.22222222222222221</v>
      </c>
      <c r="P853" s="4" t="s">
        <v>2500</v>
      </c>
      <c r="Q853" s="4"/>
      <c r="R853" s="4"/>
      <c r="S853" s="4"/>
      <c r="T853" s="4"/>
      <c r="U853" s="4"/>
      <c r="V853" s="4"/>
      <c r="W853" s="4"/>
      <c r="X853" s="4"/>
      <c r="Y853" s="4">
        <v>237</v>
      </c>
      <c r="Z853" s="4">
        <f t="shared" si="126"/>
        <v>237</v>
      </c>
      <c r="AA853" s="4">
        <v>166</v>
      </c>
      <c r="AB853" s="4">
        <f t="shared" si="127"/>
        <v>166</v>
      </c>
      <c r="AC853" s="4"/>
      <c r="AD853" s="21">
        <f>ROUND(M853*AR853,0)</f>
        <v>213</v>
      </c>
      <c r="AE853" s="6">
        <f>1-AB853/AD853</f>
        <v>0.22065727699530513</v>
      </c>
      <c r="AF853" s="33">
        <v>0</v>
      </c>
      <c r="AG853" s="4">
        <f t="shared" si="128"/>
        <v>240</v>
      </c>
      <c r="AH853" s="33">
        <f t="shared" si="130"/>
        <v>237.14285714285717</v>
      </c>
      <c r="AI853" s="6">
        <f>1-AB853/AH853</f>
        <v>0.30000000000000004</v>
      </c>
      <c r="AJ853" s="7">
        <v>237</v>
      </c>
      <c r="AK853" s="6">
        <f>1-AB853/AJ853</f>
        <v>0.29957805907172996</v>
      </c>
      <c r="AL853" s="4">
        <f>AJ853-AB853</f>
        <v>71</v>
      </c>
      <c r="AM853" s="28"/>
      <c r="AN853" s="6"/>
      <c r="AO853" s="6"/>
      <c r="AP853" s="6">
        <f>Z853/L853</f>
        <v>0.98750000000000004</v>
      </c>
      <c r="AQ853" s="6">
        <f>AJ853/M853</f>
        <v>1.0972222222222223</v>
      </c>
      <c r="AR853" s="6">
        <f>AB853/N853</f>
        <v>0.98809523809523814</v>
      </c>
      <c r="AS853" s="4"/>
      <c r="AT853" s="4"/>
      <c r="AU853" s="4"/>
      <c r="AV853" s="4"/>
      <c r="AW853" s="4"/>
      <c r="AX853" s="4"/>
      <c r="AY853" s="4"/>
      <c r="AZ853" s="4"/>
      <c r="BA853" s="4"/>
      <c r="BB853" s="4">
        <v>0</v>
      </c>
      <c r="BC853" s="4" t="s">
        <v>4314</v>
      </c>
      <c r="BD853" s="4">
        <v>1</v>
      </c>
      <c r="BE853" s="4">
        <v>10</v>
      </c>
      <c r="BF853" s="4" t="s">
        <v>4312</v>
      </c>
      <c r="BG853" s="4">
        <v>2400</v>
      </c>
      <c r="BH853" s="4">
        <v>2400</v>
      </c>
      <c r="BI853" s="4">
        <f t="shared" si="129"/>
        <v>240</v>
      </c>
      <c r="BJ853" s="19">
        <v>4</v>
      </c>
      <c r="BK853" s="19">
        <v>8</v>
      </c>
      <c r="BL853" s="16">
        <v>6</v>
      </c>
      <c r="BM853" s="45" t="s">
        <v>3534</v>
      </c>
      <c r="BN853" t="s">
        <v>3534</v>
      </c>
      <c r="BO853" t="str">
        <f t="shared" si="131"/>
        <v>-</v>
      </c>
      <c r="BP853" t="s">
        <v>3534</v>
      </c>
      <c r="BQ853">
        <v>235</v>
      </c>
      <c r="BR853">
        <f t="shared" si="132"/>
        <v>232.20238095238096</v>
      </c>
      <c r="BS853" t="s">
        <v>3176</v>
      </c>
    </row>
    <row r="854" spans="1:71" x14ac:dyDescent="0.4">
      <c r="A854" s="3">
        <v>851</v>
      </c>
      <c r="B854" s="3">
        <v>851</v>
      </c>
      <c r="C854" s="4" t="s">
        <v>913</v>
      </c>
      <c r="D854" s="4" t="str">
        <f t="shared" si="124"/>
        <v>J723LY</v>
      </c>
      <c r="E854" s="4" t="s">
        <v>913</v>
      </c>
      <c r="F854" s="4" t="s">
        <v>2131</v>
      </c>
      <c r="G854" s="5">
        <v>4521718765082</v>
      </c>
      <c r="H854" s="5"/>
      <c r="I854" s="5"/>
      <c r="J854" s="5">
        <v>1</v>
      </c>
      <c r="K854" s="5">
        <v>1</v>
      </c>
      <c r="L854" s="4">
        <v>240</v>
      </c>
      <c r="M854" s="4">
        <v>216</v>
      </c>
      <c r="N854" s="4">
        <v>168</v>
      </c>
      <c r="O854" s="6">
        <f t="shared" si="125"/>
        <v>0.22222222222222221</v>
      </c>
      <c r="P854" s="4" t="s">
        <v>2500</v>
      </c>
      <c r="Q854" s="4"/>
      <c r="R854" s="4"/>
      <c r="S854" s="4"/>
      <c r="T854" s="4"/>
      <c r="U854" s="4"/>
      <c r="V854" s="4"/>
      <c r="W854" s="4"/>
      <c r="X854" s="4"/>
      <c r="Y854" s="4">
        <v>237</v>
      </c>
      <c r="Z854" s="4">
        <f t="shared" si="126"/>
        <v>237</v>
      </c>
      <c r="AA854" s="4">
        <v>166</v>
      </c>
      <c r="AB854" s="4">
        <f t="shared" si="127"/>
        <v>166</v>
      </c>
      <c r="AC854" s="4"/>
      <c r="AD854" s="21">
        <f>ROUND(M854*AR854,0)</f>
        <v>213</v>
      </c>
      <c r="AE854" s="6">
        <f>1-AB854/AD854</f>
        <v>0.22065727699530513</v>
      </c>
      <c r="AF854" s="33">
        <v>0</v>
      </c>
      <c r="AG854" s="4">
        <f t="shared" si="128"/>
        <v>240</v>
      </c>
      <c r="AH854" s="33">
        <f t="shared" si="130"/>
        <v>237.14285714285717</v>
      </c>
      <c r="AI854" s="6">
        <f>1-AB854/AH854</f>
        <v>0.30000000000000004</v>
      </c>
      <c r="AJ854" s="7">
        <v>237</v>
      </c>
      <c r="AK854" s="6">
        <f>1-AB854/AJ854</f>
        <v>0.29957805907172996</v>
      </c>
      <c r="AL854" s="4">
        <f>AJ854-AB854</f>
        <v>71</v>
      </c>
      <c r="AM854" s="28"/>
      <c r="AN854" s="6"/>
      <c r="AO854" s="6"/>
      <c r="AP854" s="6">
        <f>Z854/L854</f>
        <v>0.98750000000000004</v>
      </c>
      <c r="AQ854" s="6">
        <f>AJ854/M854</f>
        <v>1.0972222222222223</v>
      </c>
      <c r="AR854" s="6">
        <f>AB854/N854</f>
        <v>0.98809523809523814</v>
      </c>
      <c r="AS854" s="4"/>
      <c r="AT854" s="4"/>
      <c r="AU854" s="4"/>
      <c r="AV854" s="4"/>
      <c r="AW854" s="4"/>
      <c r="AX854" s="4"/>
      <c r="AY854" s="4"/>
      <c r="AZ854" s="4"/>
      <c r="BA854" s="4"/>
      <c r="BB854" s="4">
        <v>0</v>
      </c>
      <c r="BC854" s="4" t="s">
        <v>4315</v>
      </c>
      <c r="BD854" s="4">
        <v>1</v>
      </c>
      <c r="BE854" s="4">
        <v>10</v>
      </c>
      <c r="BF854" s="4" t="s">
        <v>4312</v>
      </c>
      <c r="BG854" s="4">
        <v>2400</v>
      </c>
      <c r="BH854" s="4">
        <v>2400</v>
      </c>
      <c r="BI854" s="4">
        <f t="shared" si="129"/>
        <v>240</v>
      </c>
      <c r="BJ854" s="19">
        <v>4</v>
      </c>
      <c r="BK854" s="19">
        <v>8</v>
      </c>
      <c r="BL854" s="16">
        <v>6</v>
      </c>
      <c r="BM854" s="45" t="s">
        <v>3534</v>
      </c>
      <c r="BN854" t="s">
        <v>3534</v>
      </c>
      <c r="BO854" t="str">
        <f t="shared" si="131"/>
        <v>-</v>
      </c>
      <c r="BP854" t="s">
        <v>3534</v>
      </c>
      <c r="BQ854">
        <v>235</v>
      </c>
      <c r="BR854">
        <f t="shared" si="132"/>
        <v>232.20238095238096</v>
      </c>
      <c r="BS854" t="s">
        <v>3177</v>
      </c>
    </row>
    <row r="855" spans="1:71" x14ac:dyDescent="0.4">
      <c r="A855" s="3">
        <v>852</v>
      </c>
      <c r="B855" s="3">
        <v>852</v>
      </c>
      <c r="C855" s="4" t="s">
        <v>914</v>
      </c>
      <c r="D855" s="4" t="str">
        <f t="shared" ref="D855:D918" si="133">TEXT(C855,"000000")</f>
        <v>J726LY</v>
      </c>
      <c r="E855" s="4" t="s">
        <v>914</v>
      </c>
      <c r="F855" s="4" t="s">
        <v>2132</v>
      </c>
      <c r="G855" s="5">
        <v>4521718765365</v>
      </c>
      <c r="H855" s="5"/>
      <c r="I855" s="5"/>
      <c r="J855" s="5">
        <v>1</v>
      </c>
      <c r="K855" s="5">
        <v>1</v>
      </c>
      <c r="L855" s="4">
        <v>5500</v>
      </c>
      <c r="M855" s="4">
        <v>4610</v>
      </c>
      <c r="N855" s="4">
        <v>3575</v>
      </c>
      <c r="O855" s="6">
        <f t="shared" ref="O855:O918" si="134">1-N855/M855</f>
        <v>0.22451193058568331</v>
      </c>
      <c r="P855" s="4" t="s">
        <v>2500</v>
      </c>
      <c r="Q855" s="4"/>
      <c r="R855" s="4"/>
      <c r="S855" s="4"/>
      <c r="T855" s="4"/>
      <c r="U855" s="4"/>
      <c r="V855" s="4"/>
      <c r="W855" s="4"/>
      <c r="X855" s="4"/>
      <c r="Y855" s="4">
        <v>5500</v>
      </c>
      <c r="Z855" s="4">
        <f t="shared" ref="Z855:Z918" si="135">IF(AC855="",Y855,Y855*AC855)</f>
        <v>5500</v>
      </c>
      <c r="AA855" s="4">
        <v>3575</v>
      </c>
      <c r="AB855" s="4">
        <f t="shared" ref="AB855:AB918" si="136">IF(AC855="",AA855,AA855*AC855)</f>
        <v>3575</v>
      </c>
      <c r="AC855" s="4"/>
      <c r="AD855" s="21">
        <f>ROUND(M855*AR855,0)</f>
        <v>4610</v>
      </c>
      <c r="AE855" s="6">
        <f>1-AB855/AD855</f>
        <v>0.22451193058568331</v>
      </c>
      <c r="AF855" s="33">
        <v>0</v>
      </c>
      <c r="AG855" s="4">
        <f t="shared" ref="AG855:AG918" si="137">BI855</f>
        <v>5000</v>
      </c>
      <c r="AH855" s="33">
        <f t="shared" si="130"/>
        <v>5000</v>
      </c>
      <c r="AI855" s="6">
        <f>1-AB855/AH855</f>
        <v>0.28500000000000003</v>
      </c>
      <c r="AJ855" s="7">
        <v>5000</v>
      </c>
      <c r="AK855" s="6">
        <f>1-AB855/AJ855</f>
        <v>0.28500000000000003</v>
      </c>
      <c r="AL855" s="4">
        <f>AJ855-AB855</f>
        <v>1425</v>
      </c>
      <c r="AM855" s="28"/>
      <c r="AN855" s="6"/>
      <c r="AO855" s="6"/>
      <c r="AP855" s="6">
        <f>Z855/L855</f>
        <v>1</v>
      </c>
      <c r="AQ855" s="6">
        <f>AJ855/M855</f>
        <v>1.0845986984815619</v>
      </c>
      <c r="AR855" s="6">
        <f>AB855/N855</f>
        <v>1</v>
      </c>
      <c r="AS855" s="4"/>
      <c r="AT855" s="4"/>
      <c r="AU855" s="4"/>
      <c r="AV855" s="4"/>
      <c r="AW855" s="4"/>
      <c r="AX855" s="4"/>
      <c r="AY855" s="4"/>
      <c r="AZ855" s="4"/>
      <c r="BA855" s="4"/>
      <c r="BB855" s="4">
        <v>0</v>
      </c>
      <c r="BC855" s="4" t="s">
        <v>4316</v>
      </c>
      <c r="BD855" s="4"/>
      <c r="BE855" s="4"/>
      <c r="BF855" s="4" t="s">
        <v>3545</v>
      </c>
      <c r="BG855" s="4">
        <v>5000</v>
      </c>
      <c r="BH855" s="4">
        <v>5000</v>
      </c>
      <c r="BI855" s="4">
        <f t="shared" ref="BI855:BI918" si="138">IF(BD855="",BH855,BD855/BE855*BH855)</f>
        <v>5000</v>
      </c>
      <c r="BJ855" s="19">
        <v>4</v>
      </c>
      <c r="BK855" s="19">
        <v>8</v>
      </c>
      <c r="BL855" s="16">
        <v>6</v>
      </c>
      <c r="BM855" s="45" t="s">
        <v>3534</v>
      </c>
      <c r="BN855" t="s">
        <v>3534</v>
      </c>
      <c r="BO855" t="str">
        <f t="shared" si="131"/>
        <v>-</v>
      </c>
      <c r="BP855" t="s">
        <v>3534</v>
      </c>
      <c r="BQ855">
        <v>4980</v>
      </c>
      <c r="BR855">
        <f t="shared" si="132"/>
        <v>4980</v>
      </c>
      <c r="BS855" t="s">
        <v>3178</v>
      </c>
    </row>
    <row r="856" spans="1:71" x14ac:dyDescent="0.4">
      <c r="A856" s="3">
        <v>853</v>
      </c>
      <c r="B856" s="3">
        <v>853</v>
      </c>
      <c r="C856" s="4" t="s">
        <v>915</v>
      </c>
      <c r="D856" s="4" t="str">
        <f t="shared" si="133"/>
        <v>J725LY</v>
      </c>
      <c r="E856" s="4" t="s">
        <v>915</v>
      </c>
      <c r="F856" s="4" t="s">
        <v>2133</v>
      </c>
      <c r="G856" s="5">
        <v>4521718765358</v>
      </c>
      <c r="H856" s="5"/>
      <c r="I856" s="5"/>
      <c r="J856" s="5">
        <v>1</v>
      </c>
      <c r="K856" s="5">
        <v>1</v>
      </c>
      <c r="L856" s="4">
        <v>15000</v>
      </c>
      <c r="M856" s="4">
        <v>13232</v>
      </c>
      <c r="N856" s="4">
        <v>9750</v>
      </c>
      <c r="O856" s="6">
        <f t="shared" si="134"/>
        <v>0.2631499395405078</v>
      </c>
      <c r="P856" s="4" t="s">
        <v>2500</v>
      </c>
      <c r="Q856" s="4"/>
      <c r="R856" s="4"/>
      <c r="S856" s="4"/>
      <c r="T856" s="4"/>
      <c r="U856" s="4"/>
      <c r="V856" s="4"/>
      <c r="W856" s="4"/>
      <c r="X856" s="4"/>
      <c r="Y856" s="4">
        <v>15000</v>
      </c>
      <c r="Z856" s="4">
        <f t="shared" si="135"/>
        <v>15000</v>
      </c>
      <c r="AA856" s="4">
        <v>9750</v>
      </c>
      <c r="AB856" s="4">
        <f t="shared" si="136"/>
        <v>9750</v>
      </c>
      <c r="AC856" s="4"/>
      <c r="AD856" s="21">
        <f>ROUND(M856*AR856,0)</f>
        <v>13232</v>
      </c>
      <c r="AE856" s="6">
        <f>1-AB856/AD856</f>
        <v>0.2631499395405078</v>
      </c>
      <c r="AF856" s="33">
        <v>1</v>
      </c>
      <c r="AG856" s="4">
        <f t="shared" si="137"/>
        <v>12000</v>
      </c>
      <c r="AH856" s="33">
        <f t="shared" si="130"/>
        <v>12000</v>
      </c>
      <c r="AI856" s="6">
        <f>1-AB856/AH856</f>
        <v>0.1875</v>
      </c>
      <c r="AJ856" s="7">
        <v>15000</v>
      </c>
      <c r="AK856" s="6">
        <f>1-AB856/AJ856</f>
        <v>0.35</v>
      </c>
      <c r="AL856" s="4">
        <f>AJ856-AB856</f>
        <v>5250</v>
      </c>
      <c r="AM856" s="28"/>
      <c r="AN856" s="6"/>
      <c r="AO856" s="6"/>
      <c r="AP856" s="6">
        <f>Z856/L856</f>
        <v>1</v>
      </c>
      <c r="AQ856" s="6">
        <f>AJ856/M856</f>
        <v>1.1336154776299878</v>
      </c>
      <c r="AR856" s="6">
        <f>AB856/N856</f>
        <v>1</v>
      </c>
      <c r="AS856" s="4"/>
      <c r="AT856" s="4"/>
      <c r="AU856" s="4"/>
      <c r="AV856" s="4"/>
      <c r="AW856" s="4"/>
      <c r="AX856" s="4"/>
      <c r="AY856" s="4"/>
      <c r="AZ856" s="4"/>
      <c r="BA856" s="4"/>
      <c r="BB856" s="4">
        <v>0</v>
      </c>
      <c r="BC856" s="4" t="s">
        <v>4317</v>
      </c>
      <c r="BD856" s="4"/>
      <c r="BE856" s="4"/>
      <c r="BF856" s="4" t="s">
        <v>3545</v>
      </c>
      <c r="BG856" s="4">
        <v>12000</v>
      </c>
      <c r="BH856" s="4">
        <v>12000</v>
      </c>
      <c r="BI856" s="4">
        <f t="shared" si="138"/>
        <v>12000</v>
      </c>
      <c r="BJ856" s="19">
        <v>4</v>
      </c>
      <c r="BK856" s="19">
        <v>8</v>
      </c>
      <c r="BL856" s="16">
        <v>6</v>
      </c>
      <c r="BM856" s="45">
        <v>12800</v>
      </c>
      <c r="BN856">
        <v>12800</v>
      </c>
      <c r="BO856">
        <f t="shared" si="131"/>
        <v>12800</v>
      </c>
      <c r="BP856" t="s">
        <v>3534</v>
      </c>
      <c r="BQ856">
        <v>13620</v>
      </c>
      <c r="BR856">
        <f t="shared" si="132"/>
        <v>13620</v>
      </c>
      <c r="BS856" t="s">
        <v>3179</v>
      </c>
    </row>
    <row r="857" spans="1:71" x14ac:dyDescent="0.4">
      <c r="A857" s="3">
        <v>854</v>
      </c>
      <c r="B857" s="3">
        <v>854</v>
      </c>
      <c r="C857" s="4" t="s">
        <v>916</v>
      </c>
      <c r="D857" s="4" t="str">
        <f t="shared" si="133"/>
        <v>J727LY</v>
      </c>
      <c r="E857" s="4" t="s">
        <v>916</v>
      </c>
      <c r="F857" s="4" t="s">
        <v>2134</v>
      </c>
      <c r="G857" s="5">
        <v>4521718765372</v>
      </c>
      <c r="H857" s="5"/>
      <c r="I857" s="5"/>
      <c r="J857" s="5">
        <v>1</v>
      </c>
      <c r="K857" s="5">
        <v>1</v>
      </c>
      <c r="L857" s="4">
        <v>5500</v>
      </c>
      <c r="M857" s="4">
        <v>4610</v>
      </c>
      <c r="N857" s="4">
        <v>3575</v>
      </c>
      <c r="O857" s="6">
        <f t="shared" si="134"/>
        <v>0.22451193058568331</v>
      </c>
      <c r="P857" s="4" t="s">
        <v>2500</v>
      </c>
      <c r="Q857" s="4"/>
      <c r="R857" s="4"/>
      <c r="S857" s="4"/>
      <c r="T857" s="4"/>
      <c r="U857" s="4"/>
      <c r="V857" s="4"/>
      <c r="W857" s="4"/>
      <c r="X857" s="4"/>
      <c r="Y857" s="4">
        <v>5500</v>
      </c>
      <c r="Z857" s="4">
        <f t="shared" si="135"/>
        <v>5500</v>
      </c>
      <c r="AA857" s="4">
        <v>3575</v>
      </c>
      <c r="AB857" s="4">
        <f t="shared" si="136"/>
        <v>3575</v>
      </c>
      <c r="AC857" s="4"/>
      <c r="AD857" s="21">
        <f>ROUND(M857*AR857,0)</f>
        <v>4610</v>
      </c>
      <c r="AE857" s="6">
        <f>1-AB857/AD857</f>
        <v>0.22451193058568331</v>
      </c>
      <c r="AF857" s="33">
        <v>0.25</v>
      </c>
      <c r="AG857" s="4">
        <f t="shared" si="137"/>
        <v>5533</v>
      </c>
      <c r="AH857" s="33">
        <f t="shared" si="130"/>
        <v>5533</v>
      </c>
      <c r="AI857" s="6">
        <f>1-AB857/AH857</f>
        <v>0.35387673956262422</v>
      </c>
      <c r="AJ857" s="7">
        <v>5500</v>
      </c>
      <c r="AK857" s="6">
        <f>1-AB857/AJ857</f>
        <v>0.35</v>
      </c>
      <c r="AL857" s="4">
        <f>AJ857-AB857</f>
        <v>1925</v>
      </c>
      <c r="AM857" s="28"/>
      <c r="AN857" s="6"/>
      <c r="AO857" s="6"/>
      <c r="AP857" s="6">
        <f>Z857/L857</f>
        <v>1</v>
      </c>
      <c r="AQ857" s="6">
        <f>AJ857/M857</f>
        <v>1.1930585683297179</v>
      </c>
      <c r="AR857" s="6">
        <f>AB857/N857</f>
        <v>1</v>
      </c>
      <c r="AS857" s="4"/>
      <c r="AT857" s="4"/>
      <c r="AU857" s="4"/>
      <c r="AV857" s="4"/>
      <c r="AW857" s="4"/>
      <c r="AX857" s="4"/>
      <c r="AY857" s="4"/>
      <c r="AZ857" s="4"/>
      <c r="BA857" s="4"/>
      <c r="BB857" s="4">
        <v>0</v>
      </c>
      <c r="BC857" s="4" t="s">
        <v>4318</v>
      </c>
      <c r="BD857" s="4"/>
      <c r="BE857" s="4"/>
      <c r="BF857" s="4" t="s">
        <v>3545</v>
      </c>
      <c r="BG857" s="4">
        <v>5533</v>
      </c>
      <c r="BH857" s="4">
        <v>5533</v>
      </c>
      <c r="BI857" s="4">
        <f t="shared" si="138"/>
        <v>5533</v>
      </c>
      <c r="BJ857" s="19">
        <v>4</v>
      </c>
      <c r="BK857" s="19">
        <v>8</v>
      </c>
      <c r="BL857" s="16">
        <v>6</v>
      </c>
      <c r="BM857" s="45" t="s">
        <v>3534</v>
      </c>
      <c r="BN857" t="s">
        <v>3534</v>
      </c>
      <c r="BO857" t="str">
        <f t="shared" si="131"/>
        <v>-</v>
      </c>
      <c r="BP857" t="s">
        <v>3534</v>
      </c>
      <c r="BQ857">
        <v>4980</v>
      </c>
      <c r="BR857">
        <f t="shared" si="132"/>
        <v>4980</v>
      </c>
      <c r="BS857" t="s">
        <v>3180</v>
      </c>
    </row>
    <row r="858" spans="1:71" x14ac:dyDescent="0.4">
      <c r="A858" s="3">
        <v>855</v>
      </c>
      <c r="B858" s="3">
        <v>855</v>
      </c>
      <c r="C858" s="4" t="s">
        <v>917</v>
      </c>
      <c r="D858" s="4" t="str">
        <f t="shared" si="133"/>
        <v>J732LY</v>
      </c>
      <c r="E858" s="4" t="s">
        <v>917</v>
      </c>
      <c r="F858" s="4" t="s">
        <v>2135</v>
      </c>
      <c r="G858" s="5">
        <v>4521718765426</v>
      </c>
      <c r="H858" s="5"/>
      <c r="I858" s="5"/>
      <c r="J858" s="5">
        <v>1</v>
      </c>
      <c r="K858" s="5">
        <v>1</v>
      </c>
      <c r="L858" s="4">
        <v>28000</v>
      </c>
      <c r="M858" s="4">
        <v>22800</v>
      </c>
      <c r="N858" s="4">
        <v>18200</v>
      </c>
      <c r="O858" s="6">
        <f t="shared" si="134"/>
        <v>0.20175438596491224</v>
      </c>
      <c r="P858" s="4" t="s">
        <v>2500</v>
      </c>
      <c r="Q858" s="4"/>
      <c r="R858" s="4"/>
      <c r="S858" s="4"/>
      <c r="T858" s="4"/>
      <c r="U858" s="4"/>
      <c r="V858" s="4"/>
      <c r="W858" s="4"/>
      <c r="X858" s="4"/>
      <c r="Y858" s="4">
        <v>28000</v>
      </c>
      <c r="Z858" s="4">
        <f t="shared" si="135"/>
        <v>28000</v>
      </c>
      <c r="AA858" s="4">
        <v>18200</v>
      </c>
      <c r="AB858" s="4">
        <f t="shared" si="136"/>
        <v>18200</v>
      </c>
      <c r="AC858" s="4"/>
      <c r="AD858" s="21">
        <f>ROUND(M858*AR858,0)</f>
        <v>22800</v>
      </c>
      <c r="AE858" s="6">
        <f>1-AB858/AD858</f>
        <v>0.20175438596491224</v>
      </c>
      <c r="AF858" s="33">
        <v>0</v>
      </c>
      <c r="AG858" s="4">
        <f t="shared" si="137"/>
        <v>21600</v>
      </c>
      <c r="AH858" s="33">
        <f t="shared" si="130"/>
        <v>21600</v>
      </c>
      <c r="AI858" s="6">
        <f>1-AB858/AH858</f>
        <v>0.15740740740740744</v>
      </c>
      <c r="AJ858" s="7">
        <v>28000</v>
      </c>
      <c r="AK858" s="6">
        <f>1-AB858/AJ858</f>
        <v>0.35</v>
      </c>
      <c r="AL858" s="4">
        <f>AJ858-AB858</f>
        <v>9800</v>
      </c>
      <c r="AM858" s="28"/>
      <c r="AN858" s="6"/>
      <c r="AO858" s="6"/>
      <c r="AP858" s="6">
        <f>Z858/L858</f>
        <v>1</v>
      </c>
      <c r="AQ858" s="6">
        <f>AJ858/M858</f>
        <v>1.2280701754385965</v>
      </c>
      <c r="AR858" s="6">
        <f>AB858/N858</f>
        <v>1</v>
      </c>
      <c r="AS858" s="4"/>
      <c r="AT858" s="4"/>
      <c r="AU858" s="4"/>
      <c r="AV858" s="4"/>
      <c r="AW858" s="4"/>
      <c r="AX858" s="4"/>
      <c r="AY858" s="4"/>
      <c r="AZ858" s="4"/>
      <c r="BA858" s="4"/>
      <c r="BB858" s="4">
        <v>0</v>
      </c>
      <c r="BC858" s="4" t="s">
        <v>4319</v>
      </c>
      <c r="BD858" s="4"/>
      <c r="BE858" s="4"/>
      <c r="BF858" s="4" t="s">
        <v>3545</v>
      </c>
      <c r="BG858" s="4">
        <v>21600</v>
      </c>
      <c r="BH858" s="4">
        <v>21600</v>
      </c>
      <c r="BI858" s="4">
        <f t="shared" si="138"/>
        <v>21600</v>
      </c>
      <c r="BJ858" s="19">
        <v>4</v>
      </c>
      <c r="BK858" s="19">
        <v>8</v>
      </c>
      <c r="BL858" s="16">
        <v>6</v>
      </c>
      <c r="BM858" s="45">
        <v>17100</v>
      </c>
      <c r="BN858">
        <v>17100</v>
      </c>
      <c r="BO858">
        <f t="shared" si="131"/>
        <v>17100</v>
      </c>
      <c r="BP858" t="s">
        <v>3534</v>
      </c>
      <c r="BQ858">
        <v>25808</v>
      </c>
      <c r="BR858">
        <f t="shared" si="132"/>
        <v>25808</v>
      </c>
      <c r="BS858" t="s">
        <v>3181</v>
      </c>
    </row>
    <row r="859" spans="1:71" x14ac:dyDescent="0.4">
      <c r="A859" s="3">
        <v>856</v>
      </c>
      <c r="B859" s="3">
        <v>856</v>
      </c>
      <c r="C859" s="4" t="s">
        <v>918</v>
      </c>
      <c r="D859" s="4" t="str">
        <f t="shared" si="133"/>
        <v>J733LY</v>
      </c>
      <c r="E859" s="4" t="s">
        <v>918</v>
      </c>
      <c r="F859" s="4" t="s">
        <v>2136</v>
      </c>
      <c r="G859" s="5">
        <v>4521718765433</v>
      </c>
      <c r="H859" s="5"/>
      <c r="I859" s="5"/>
      <c r="J859" s="5">
        <v>1</v>
      </c>
      <c r="K859" s="5">
        <v>1</v>
      </c>
      <c r="L859" s="4">
        <v>1300</v>
      </c>
      <c r="M859" s="4">
        <v>1069</v>
      </c>
      <c r="N859" s="4">
        <v>845</v>
      </c>
      <c r="O859" s="6">
        <f t="shared" si="134"/>
        <v>0.20954162768942941</v>
      </c>
      <c r="P859" s="4" t="s">
        <v>2500</v>
      </c>
      <c r="Q859" s="4"/>
      <c r="R859" s="4"/>
      <c r="S859" s="4"/>
      <c r="T859" s="4"/>
      <c r="U859" s="4"/>
      <c r="V859" s="4"/>
      <c r="W859" s="4"/>
      <c r="X859" s="4"/>
      <c r="Y859" s="4">
        <v>1300</v>
      </c>
      <c r="Z859" s="4">
        <f t="shared" si="135"/>
        <v>1300</v>
      </c>
      <c r="AA859" s="4">
        <v>845</v>
      </c>
      <c r="AB859" s="4">
        <f t="shared" si="136"/>
        <v>845</v>
      </c>
      <c r="AC859" s="4"/>
      <c r="AD859" s="21">
        <f>ROUND(M859*AR859,0)</f>
        <v>1069</v>
      </c>
      <c r="AE859" s="6">
        <f>1-AB859/AD859</f>
        <v>0.20954162768942941</v>
      </c>
      <c r="AF859" s="33">
        <v>0</v>
      </c>
      <c r="AG859" s="4">
        <f t="shared" si="137"/>
        <v>1100</v>
      </c>
      <c r="AH859" s="33">
        <f t="shared" si="130"/>
        <v>1100</v>
      </c>
      <c r="AI859" s="6">
        <f>1-AB859/AH859</f>
        <v>0.23181818181818181</v>
      </c>
      <c r="AJ859" s="7">
        <v>1300</v>
      </c>
      <c r="AK859" s="6">
        <f>1-AB859/AJ859</f>
        <v>0.35</v>
      </c>
      <c r="AL859" s="4">
        <f>AJ859-AB859</f>
        <v>455</v>
      </c>
      <c r="AM859" s="28"/>
      <c r="AN859" s="6"/>
      <c r="AO859" s="6"/>
      <c r="AP859" s="6">
        <f>Z859/L859</f>
        <v>1</v>
      </c>
      <c r="AQ859" s="6">
        <f>AJ859/M859</f>
        <v>1.2160898035547241</v>
      </c>
      <c r="AR859" s="6">
        <f>AB859/N859</f>
        <v>1</v>
      </c>
      <c r="AS859" s="4"/>
      <c r="AT859" s="4"/>
      <c r="AU859" s="4"/>
      <c r="AV859" s="4"/>
      <c r="AW859" s="4"/>
      <c r="AX859" s="4"/>
      <c r="AY859" s="4"/>
      <c r="AZ859" s="4"/>
      <c r="BA859" s="4"/>
      <c r="BB859" s="4">
        <v>0</v>
      </c>
      <c r="BC859" s="4" t="s">
        <v>4320</v>
      </c>
      <c r="BD859" s="4"/>
      <c r="BE859" s="4"/>
      <c r="BF859" s="4" t="s">
        <v>3545</v>
      </c>
      <c r="BG859" s="4">
        <v>1100</v>
      </c>
      <c r="BH859" s="4">
        <v>1100</v>
      </c>
      <c r="BI859" s="4">
        <f t="shared" si="138"/>
        <v>1100</v>
      </c>
      <c r="BJ859" s="19">
        <v>4</v>
      </c>
      <c r="BK859" s="19">
        <v>8</v>
      </c>
      <c r="BL859" s="16">
        <v>6</v>
      </c>
      <c r="BM859" s="45">
        <v>1150</v>
      </c>
      <c r="BN859">
        <v>1150</v>
      </c>
      <c r="BO859">
        <f t="shared" si="131"/>
        <v>1150</v>
      </c>
      <c r="BP859" t="s">
        <v>3534</v>
      </c>
      <c r="BQ859">
        <v>1208</v>
      </c>
      <c r="BR859">
        <f t="shared" si="132"/>
        <v>1208</v>
      </c>
      <c r="BS859" t="s">
        <v>3182</v>
      </c>
    </row>
    <row r="860" spans="1:71" x14ac:dyDescent="0.4">
      <c r="A860" s="3">
        <v>857</v>
      </c>
      <c r="B860" s="3">
        <v>857</v>
      </c>
      <c r="C860" s="4" t="s">
        <v>919</v>
      </c>
      <c r="D860" s="4" t="str">
        <f t="shared" si="133"/>
        <v>J729LY</v>
      </c>
      <c r="E860" s="4" t="s">
        <v>919</v>
      </c>
      <c r="F860" s="4" t="s">
        <v>2137</v>
      </c>
      <c r="G860" s="5">
        <v>4521718765396</v>
      </c>
      <c r="H860" s="5"/>
      <c r="I860" s="5"/>
      <c r="J860" s="5">
        <v>1</v>
      </c>
      <c r="K860" s="5">
        <v>1</v>
      </c>
      <c r="L860" s="4">
        <v>3000</v>
      </c>
      <c r="M860" s="4">
        <v>2565</v>
      </c>
      <c r="N860" s="4">
        <v>1950</v>
      </c>
      <c r="O860" s="6">
        <f t="shared" si="134"/>
        <v>0.23976608187134507</v>
      </c>
      <c r="P860" s="4" t="s">
        <v>2500</v>
      </c>
      <c r="Q860" s="4"/>
      <c r="R860" s="4"/>
      <c r="S860" s="4"/>
      <c r="T860" s="4"/>
      <c r="U860" s="4"/>
      <c r="V860" s="4"/>
      <c r="W860" s="4"/>
      <c r="X860" s="4"/>
      <c r="Y860" s="4">
        <v>3000</v>
      </c>
      <c r="Z860" s="4">
        <f t="shared" si="135"/>
        <v>3000</v>
      </c>
      <c r="AA860" s="4">
        <v>1950</v>
      </c>
      <c r="AB860" s="4">
        <f t="shared" si="136"/>
        <v>1950</v>
      </c>
      <c r="AC860" s="4"/>
      <c r="AD860" s="21">
        <f>ROUND(M860*AR860,0)</f>
        <v>2565</v>
      </c>
      <c r="AE860" s="6">
        <f>1-AB860/AD860</f>
        <v>0.23976608187134507</v>
      </c>
      <c r="AF860" s="33">
        <v>0</v>
      </c>
      <c r="AG860" s="4">
        <f t="shared" si="137"/>
        <v>3279</v>
      </c>
      <c r="AH860" s="33">
        <f t="shared" si="130"/>
        <v>3279</v>
      </c>
      <c r="AI860" s="6">
        <f>1-AB860/AH860</f>
        <v>0.40530649588289114</v>
      </c>
      <c r="AJ860" s="7">
        <v>3000</v>
      </c>
      <c r="AK860" s="6">
        <f>1-AB860/AJ860</f>
        <v>0.35</v>
      </c>
      <c r="AL860" s="4">
        <f>AJ860-AB860</f>
        <v>1050</v>
      </c>
      <c r="AM860" s="28"/>
      <c r="AN860" s="6"/>
      <c r="AO860" s="6"/>
      <c r="AP860" s="6">
        <f>Z860/L860</f>
        <v>1</v>
      </c>
      <c r="AQ860" s="6">
        <f>AJ860/M860</f>
        <v>1.1695906432748537</v>
      </c>
      <c r="AR860" s="6">
        <f>AB860/N860</f>
        <v>1</v>
      </c>
      <c r="AS860" s="4"/>
      <c r="AT860" s="4"/>
      <c r="AU860" s="4"/>
      <c r="AV860" s="4"/>
      <c r="AW860" s="4"/>
      <c r="AX860" s="4"/>
      <c r="AY860" s="4"/>
      <c r="AZ860" s="4"/>
      <c r="BA860" s="4"/>
      <c r="BB860" s="4">
        <v>0</v>
      </c>
      <c r="BC860" s="4" t="s">
        <v>4321</v>
      </c>
      <c r="BD860" s="4"/>
      <c r="BE860" s="4"/>
      <c r="BF860" s="4" t="s">
        <v>3545</v>
      </c>
      <c r="BG860" s="4">
        <v>3279</v>
      </c>
      <c r="BH860" s="4">
        <v>3279</v>
      </c>
      <c r="BI860" s="4">
        <f t="shared" si="138"/>
        <v>3279</v>
      </c>
      <c r="BJ860" s="19">
        <v>4</v>
      </c>
      <c r="BK860" s="19">
        <v>8</v>
      </c>
      <c r="BL860" s="16">
        <v>6</v>
      </c>
      <c r="BM860" s="45" t="s">
        <v>3534</v>
      </c>
      <c r="BN860" t="s">
        <v>3534</v>
      </c>
      <c r="BO860" t="str">
        <f t="shared" si="131"/>
        <v>-</v>
      </c>
      <c r="BP860" t="s">
        <v>3534</v>
      </c>
      <c r="BQ860">
        <v>2752</v>
      </c>
      <c r="BR860">
        <f t="shared" si="132"/>
        <v>2752</v>
      </c>
      <c r="BS860" t="s">
        <v>3183</v>
      </c>
    </row>
    <row r="861" spans="1:71" x14ac:dyDescent="0.4">
      <c r="A861" s="3">
        <v>858</v>
      </c>
      <c r="B861" s="3">
        <v>858</v>
      </c>
      <c r="C861" s="4" t="s">
        <v>920</v>
      </c>
      <c r="D861" s="4" t="str">
        <f t="shared" si="133"/>
        <v>J737LY</v>
      </c>
      <c r="E861" s="4" t="s">
        <v>920</v>
      </c>
      <c r="F861" s="4" t="s">
        <v>2138</v>
      </c>
      <c r="G861" s="5">
        <v>4521718766607</v>
      </c>
      <c r="H861" s="5"/>
      <c r="I861" s="5"/>
      <c r="J861" s="5">
        <v>1</v>
      </c>
      <c r="K861" s="5">
        <v>1</v>
      </c>
      <c r="L861" s="4">
        <v>680</v>
      </c>
      <c r="M861" s="4">
        <v>563</v>
      </c>
      <c r="N861" s="4">
        <v>442</v>
      </c>
      <c r="O861" s="6">
        <f t="shared" si="134"/>
        <v>0.21492007104795741</v>
      </c>
      <c r="P861" s="4" t="s">
        <v>2500</v>
      </c>
      <c r="Q861" s="4"/>
      <c r="R861" s="4"/>
      <c r="S861" s="4"/>
      <c r="T861" s="4"/>
      <c r="U861" s="4"/>
      <c r="V861" s="4"/>
      <c r="W861" s="4"/>
      <c r="X861" s="4"/>
      <c r="Y861" s="4">
        <v>673</v>
      </c>
      <c r="Z861" s="4">
        <f t="shared" si="135"/>
        <v>673</v>
      </c>
      <c r="AA861" s="4">
        <v>437</v>
      </c>
      <c r="AB861" s="4">
        <f t="shared" si="136"/>
        <v>437</v>
      </c>
      <c r="AC861" s="4"/>
      <c r="AD861" s="21">
        <f>ROUND(M861*AR861,0)</f>
        <v>557</v>
      </c>
      <c r="AE861" s="6">
        <f>1-AB861/AD861</f>
        <v>0.21543985637342911</v>
      </c>
      <c r="AF861" s="33">
        <v>0</v>
      </c>
      <c r="AG861" s="4">
        <f t="shared" si="137"/>
        <v>670</v>
      </c>
      <c r="AH861" s="33">
        <f t="shared" si="130"/>
        <v>662.42081447963801</v>
      </c>
      <c r="AI861" s="6">
        <f>1-AB861/AH861</f>
        <v>0.34029850746268653</v>
      </c>
      <c r="AJ861" s="7">
        <v>662</v>
      </c>
      <c r="AK861" s="6">
        <f>1-AB861/AJ861</f>
        <v>0.33987915407854985</v>
      </c>
      <c r="AL861" s="4">
        <f>AJ861-AB861</f>
        <v>225</v>
      </c>
      <c r="AM861" s="28"/>
      <c r="AN861" s="6"/>
      <c r="AO861" s="6"/>
      <c r="AP861" s="6">
        <f>Z861/L861</f>
        <v>0.98970588235294121</v>
      </c>
      <c r="AQ861" s="6">
        <f>AJ861/M861</f>
        <v>1.1758436944937833</v>
      </c>
      <c r="AR861" s="6">
        <f>AB861/N861</f>
        <v>0.9886877828054299</v>
      </c>
      <c r="AS861" s="4"/>
      <c r="AT861" s="4"/>
      <c r="AU861" s="4"/>
      <c r="AV861" s="4"/>
      <c r="AW861" s="4"/>
      <c r="AX861" s="4"/>
      <c r="AY861" s="4"/>
      <c r="AZ861" s="4"/>
      <c r="BA861" s="4"/>
      <c r="BB861" s="4">
        <v>0</v>
      </c>
      <c r="BC861" s="4" t="s">
        <v>4322</v>
      </c>
      <c r="BD861" s="4"/>
      <c r="BE861" s="4"/>
      <c r="BF861" s="4" t="s">
        <v>3545</v>
      </c>
      <c r="BG861" s="4">
        <v>670</v>
      </c>
      <c r="BH861" s="4">
        <v>670</v>
      </c>
      <c r="BI861" s="4">
        <f t="shared" si="138"/>
        <v>670</v>
      </c>
      <c r="BJ861" s="19">
        <v>4</v>
      </c>
      <c r="BK861" s="19">
        <v>8</v>
      </c>
      <c r="BL861" s="16">
        <v>6</v>
      </c>
      <c r="BM861" s="45" t="s">
        <v>3534</v>
      </c>
      <c r="BN861" t="s">
        <v>3534</v>
      </c>
      <c r="BO861" t="str">
        <f t="shared" si="131"/>
        <v>-</v>
      </c>
      <c r="BP861" t="s">
        <v>3534</v>
      </c>
      <c r="BQ861">
        <v>620</v>
      </c>
      <c r="BR861">
        <f t="shared" si="132"/>
        <v>612.98642533936652</v>
      </c>
      <c r="BS861" t="s">
        <v>3184</v>
      </c>
    </row>
    <row r="862" spans="1:71" x14ac:dyDescent="0.4">
      <c r="A862" s="3">
        <v>859</v>
      </c>
      <c r="B862" s="3">
        <v>859</v>
      </c>
      <c r="C862" s="4" t="s">
        <v>921</v>
      </c>
      <c r="D862" s="4" t="str">
        <f t="shared" si="133"/>
        <v>J736LY</v>
      </c>
      <c r="E862" s="4" t="s">
        <v>921</v>
      </c>
      <c r="F862" s="4" t="s">
        <v>2139</v>
      </c>
      <c r="G862" s="5">
        <v>4521718765464</v>
      </c>
      <c r="H862" s="5"/>
      <c r="I862" s="5"/>
      <c r="J862" s="5">
        <v>1</v>
      </c>
      <c r="K862" s="5">
        <v>1</v>
      </c>
      <c r="L862" s="4">
        <v>4000</v>
      </c>
      <c r="M862" s="4">
        <v>3376</v>
      </c>
      <c r="N862" s="4">
        <v>2600</v>
      </c>
      <c r="O862" s="6">
        <f t="shared" si="134"/>
        <v>0.22985781990521326</v>
      </c>
      <c r="P862" s="4" t="s">
        <v>2500</v>
      </c>
      <c r="Q862" s="4"/>
      <c r="R862" s="4"/>
      <c r="S862" s="4"/>
      <c r="T862" s="4"/>
      <c r="U862" s="4"/>
      <c r="V862" s="4"/>
      <c r="W862" s="4"/>
      <c r="X862" s="4"/>
      <c r="Y862" s="4">
        <v>4000</v>
      </c>
      <c r="Z862" s="4">
        <f t="shared" si="135"/>
        <v>4000</v>
      </c>
      <c r="AA862" s="4">
        <v>2600</v>
      </c>
      <c r="AB862" s="4">
        <f t="shared" si="136"/>
        <v>2600</v>
      </c>
      <c r="AC862" s="4"/>
      <c r="AD862" s="21">
        <f>ROUND(M862*AR862,0)</f>
        <v>3376</v>
      </c>
      <c r="AE862" s="6">
        <f>1-AB862/AD862</f>
        <v>0.22985781990521326</v>
      </c>
      <c r="AF862" s="33">
        <v>0</v>
      </c>
      <c r="AG862" s="4">
        <f t="shared" si="137"/>
        <v>3000</v>
      </c>
      <c r="AH862" s="33">
        <f t="shared" si="130"/>
        <v>3000</v>
      </c>
      <c r="AI862" s="6">
        <f>1-AB862/AH862</f>
        <v>0.1333333333333333</v>
      </c>
      <c r="AJ862" s="7">
        <v>4000</v>
      </c>
      <c r="AK862" s="6">
        <f>1-AB862/AJ862</f>
        <v>0.35</v>
      </c>
      <c r="AL862" s="4">
        <f>AJ862-AB862</f>
        <v>1400</v>
      </c>
      <c r="AM862" s="28"/>
      <c r="AN862" s="6"/>
      <c r="AO862" s="6"/>
      <c r="AP862" s="6">
        <f>Z862/L862</f>
        <v>1</v>
      </c>
      <c r="AQ862" s="6">
        <f>AJ862/M862</f>
        <v>1.1848341232227488</v>
      </c>
      <c r="AR862" s="6">
        <f>AB862/N862</f>
        <v>1</v>
      </c>
      <c r="AS862" s="4"/>
      <c r="AT862" s="4"/>
      <c r="AU862" s="4"/>
      <c r="AV862" s="4"/>
      <c r="AW862" s="4"/>
      <c r="AX862" s="4"/>
      <c r="AY862" s="4"/>
      <c r="AZ862" s="4"/>
      <c r="BA862" s="4"/>
      <c r="BB862" s="4">
        <v>0</v>
      </c>
      <c r="BC862" s="4" t="s">
        <v>4323</v>
      </c>
      <c r="BD862" s="4"/>
      <c r="BE862" s="4"/>
      <c r="BF862" s="4" t="s">
        <v>3545</v>
      </c>
      <c r="BG862" s="4">
        <v>3000</v>
      </c>
      <c r="BH862" s="4">
        <v>3000</v>
      </c>
      <c r="BI862" s="4">
        <f t="shared" si="138"/>
        <v>3000</v>
      </c>
      <c r="BJ862" s="19">
        <v>4</v>
      </c>
      <c r="BK862" s="19">
        <v>8</v>
      </c>
      <c r="BL862" s="16">
        <v>6</v>
      </c>
      <c r="BM862" s="45" t="s">
        <v>3534</v>
      </c>
      <c r="BN862" t="s">
        <v>3534</v>
      </c>
      <c r="BO862" t="str">
        <f t="shared" si="131"/>
        <v>-</v>
      </c>
      <c r="BP862" t="s">
        <v>3534</v>
      </c>
      <c r="BQ862">
        <v>3695</v>
      </c>
      <c r="BR862">
        <f t="shared" si="132"/>
        <v>3695</v>
      </c>
      <c r="BS862" t="s">
        <v>3185</v>
      </c>
    </row>
    <row r="863" spans="1:71" x14ac:dyDescent="0.4">
      <c r="A863" s="3">
        <v>860</v>
      </c>
      <c r="B863" s="3">
        <v>860</v>
      </c>
      <c r="C863" s="4" t="s">
        <v>922</v>
      </c>
      <c r="D863" s="4" t="str">
        <f t="shared" si="133"/>
        <v>J741LY</v>
      </c>
      <c r="E863" s="4" t="s">
        <v>922</v>
      </c>
      <c r="F863" s="4" t="s">
        <v>2140</v>
      </c>
      <c r="G863" s="5">
        <v>4521718766645</v>
      </c>
      <c r="H863" s="5"/>
      <c r="I863" s="5"/>
      <c r="J863" s="5">
        <v>1</v>
      </c>
      <c r="K863" s="5">
        <v>1</v>
      </c>
      <c r="L863" s="4">
        <v>680</v>
      </c>
      <c r="M863" s="4">
        <v>563</v>
      </c>
      <c r="N863" s="4">
        <v>442</v>
      </c>
      <c r="O863" s="6">
        <f t="shared" si="134"/>
        <v>0.21492007104795741</v>
      </c>
      <c r="P863" s="4" t="s">
        <v>2500</v>
      </c>
      <c r="Q863" s="4"/>
      <c r="R863" s="4"/>
      <c r="S863" s="4"/>
      <c r="T863" s="4"/>
      <c r="U863" s="4"/>
      <c r="V863" s="4"/>
      <c r="W863" s="4"/>
      <c r="X863" s="4"/>
      <c r="Y863" s="4">
        <v>673</v>
      </c>
      <c r="Z863" s="4">
        <f t="shared" si="135"/>
        <v>673</v>
      </c>
      <c r="AA863" s="4">
        <v>437</v>
      </c>
      <c r="AB863" s="4">
        <f t="shared" si="136"/>
        <v>437</v>
      </c>
      <c r="AC863" s="4"/>
      <c r="AD863" s="21">
        <f>ROUND(M863*AR863,0)</f>
        <v>557</v>
      </c>
      <c r="AE863" s="6">
        <f>1-AB863/AD863</f>
        <v>0.21543985637342911</v>
      </c>
      <c r="AF863" s="33">
        <v>0</v>
      </c>
      <c r="AG863" s="4">
        <f t="shared" si="137"/>
        <v>670</v>
      </c>
      <c r="AH863" s="33">
        <f t="shared" si="130"/>
        <v>662.42081447963801</v>
      </c>
      <c r="AI863" s="6">
        <f>1-AB863/AH863</f>
        <v>0.34029850746268653</v>
      </c>
      <c r="AJ863" s="7">
        <v>662</v>
      </c>
      <c r="AK863" s="6">
        <f>1-AB863/AJ863</f>
        <v>0.33987915407854985</v>
      </c>
      <c r="AL863" s="4">
        <f>AJ863-AB863</f>
        <v>225</v>
      </c>
      <c r="AM863" s="28"/>
      <c r="AN863" s="6"/>
      <c r="AO863" s="6"/>
      <c r="AP863" s="6">
        <f>Z863/L863</f>
        <v>0.98970588235294121</v>
      </c>
      <c r="AQ863" s="6">
        <f>AJ863/M863</f>
        <v>1.1758436944937833</v>
      </c>
      <c r="AR863" s="6">
        <f>AB863/N863</f>
        <v>0.9886877828054299</v>
      </c>
      <c r="AS863" s="4"/>
      <c r="AT863" s="4"/>
      <c r="AU863" s="4"/>
      <c r="AV863" s="4"/>
      <c r="AW863" s="4"/>
      <c r="AX863" s="4"/>
      <c r="AY863" s="4"/>
      <c r="AZ863" s="4"/>
      <c r="BA863" s="4"/>
      <c r="BB863" s="4">
        <v>0</v>
      </c>
      <c r="BC863" s="4" t="s">
        <v>4324</v>
      </c>
      <c r="BD863" s="4"/>
      <c r="BE863" s="4"/>
      <c r="BF863" s="4" t="s">
        <v>3545</v>
      </c>
      <c r="BG863" s="4">
        <v>670</v>
      </c>
      <c r="BH863" s="4">
        <v>670</v>
      </c>
      <c r="BI863" s="4">
        <f t="shared" si="138"/>
        <v>670</v>
      </c>
      <c r="BJ863" s="19">
        <v>4</v>
      </c>
      <c r="BK863" s="19">
        <v>8</v>
      </c>
      <c r="BL863" s="16">
        <v>6</v>
      </c>
      <c r="BM863" s="45" t="s">
        <v>3534</v>
      </c>
      <c r="BN863" t="s">
        <v>3534</v>
      </c>
      <c r="BO863" t="str">
        <f t="shared" si="131"/>
        <v>-</v>
      </c>
      <c r="BP863" t="s">
        <v>3534</v>
      </c>
      <c r="BQ863">
        <v>620</v>
      </c>
      <c r="BR863">
        <f t="shared" si="132"/>
        <v>612.98642533936652</v>
      </c>
      <c r="BS863" t="s">
        <v>3186</v>
      </c>
    </row>
    <row r="864" spans="1:71" x14ac:dyDescent="0.4">
      <c r="A864" s="3">
        <v>861</v>
      </c>
      <c r="B864" s="3">
        <v>861</v>
      </c>
      <c r="C864" s="4" t="s">
        <v>923</v>
      </c>
      <c r="D864" s="4" t="str">
        <f t="shared" si="133"/>
        <v>J740LY</v>
      </c>
      <c r="E864" s="4" t="s">
        <v>923</v>
      </c>
      <c r="F864" s="4" t="s">
        <v>2141</v>
      </c>
      <c r="G864" s="5">
        <v>4521718766638</v>
      </c>
      <c r="H864" s="5"/>
      <c r="I864" s="5"/>
      <c r="J864" s="5">
        <v>1</v>
      </c>
      <c r="K864" s="5">
        <v>1</v>
      </c>
      <c r="L864" s="4">
        <v>680</v>
      </c>
      <c r="M864" s="4">
        <v>563</v>
      </c>
      <c r="N864" s="4">
        <v>442</v>
      </c>
      <c r="O864" s="6">
        <f t="shared" si="134"/>
        <v>0.21492007104795741</v>
      </c>
      <c r="P864" s="4" t="s">
        <v>2500</v>
      </c>
      <c r="Q864" s="4"/>
      <c r="R864" s="4"/>
      <c r="S864" s="4"/>
      <c r="T864" s="4"/>
      <c r="U864" s="4"/>
      <c r="V864" s="4"/>
      <c r="W864" s="4"/>
      <c r="X864" s="4"/>
      <c r="Y864" s="4">
        <v>673</v>
      </c>
      <c r="Z864" s="4">
        <f t="shared" si="135"/>
        <v>673</v>
      </c>
      <c r="AA864" s="4">
        <v>437</v>
      </c>
      <c r="AB864" s="4">
        <f t="shared" si="136"/>
        <v>437</v>
      </c>
      <c r="AC864" s="4"/>
      <c r="AD864" s="21">
        <f>ROUND(M864*AR864,0)</f>
        <v>557</v>
      </c>
      <c r="AE864" s="6">
        <f>1-AB864/AD864</f>
        <v>0.21543985637342911</v>
      </c>
      <c r="AF864" s="33">
        <v>0</v>
      </c>
      <c r="AG864" s="4">
        <f t="shared" si="137"/>
        <v>670</v>
      </c>
      <c r="AH864" s="33">
        <f t="shared" si="130"/>
        <v>662.42081447963801</v>
      </c>
      <c r="AI864" s="6">
        <f>1-AB864/AH864</f>
        <v>0.34029850746268653</v>
      </c>
      <c r="AJ864" s="7">
        <v>662</v>
      </c>
      <c r="AK864" s="6">
        <f>1-AB864/AJ864</f>
        <v>0.33987915407854985</v>
      </c>
      <c r="AL864" s="4">
        <f>AJ864-AB864</f>
        <v>225</v>
      </c>
      <c r="AM864" s="28"/>
      <c r="AN864" s="6"/>
      <c r="AO864" s="6"/>
      <c r="AP864" s="6">
        <f>Z864/L864</f>
        <v>0.98970588235294121</v>
      </c>
      <c r="AQ864" s="6">
        <f>AJ864/M864</f>
        <v>1.1758436944937833</v>
      </c>
      <c r="AR864" s="6">
        <f>AB864/N864</f>
        <v>0.9886877828054299</v>
      </c>
      <c r="AS864" s="4"/>
      <c r="AT864" s="4"/>
      <c r="AU864" s="4"/>
      <c r="AV864" s="4"/>
      <c r="AW864" s="4"/>
      <c r="AX864" s="4"/>
      <c r="AY864" s="4"/>
      <c r="AZ864" s="4"/>
      <c r="BA864" s="4"/>
      <c r="BB864" s="4">
        <v>0</v>
      </c>
      <c r="BC864" s="4" t="s">
        <v>4325</v>
      </c>
      <c r="BD864" s="4"/>
      <c r="BE864" s="4"/>
      <c r="BF864" s="4" t="s">
        <v>3545</v>
      </c>
      <c r="BG864" s="4">
        <v>670</v>
      </c>
      <c r="BH864" s="4">
        <v>670</v>
      </c>
      <c r="BI864" s="4">
        <f t="shared" si="138"/>
        <v>670</v>
      </c>
      <c r="BJ864" s="19">
        <v>4</v>
      </c>
      <c r="BK864" s="19">
        <v>8</v>
      </c>
      <c r="BL864" s="16">
        <v>6</v>
      </c>
      <c r="BM864" s="45" t="s">
        <v>3534</v>
      </c>
      <c r="BN864" t="s">
        <v>3534</v>
      </c>
      <c r="BO864" t="str">
        <f t="shared" si="131"/>
        <v>-</v>
      </c>
      <c r="BP864" t="s">
        <v>3534</v>
      </c>
      <c r="BQ864">
        <v>620</v>
      </c>
      <c r="BR864">
        <f t="shared" si="132"/>
        <v>612.98642533936652</v>
      </c>
      <c r="BS864" t="s">
        <v>3187</v>
      </c>
    </row>
    <row r="865" spans="1:71" x14ac:dyDescent="0.4">
      <c r="A865" s="3">
        <v>862</v>
      </c>
      <c r="B865" s="3">
        <v>862</v>
      </c>
      <c r="C865" s="4" t="s">
        <v>924</v>
      </c>
      <c r="D865" s="4" t="str">
        <f t="shared" si="133"/>
        <v>J743LY</v>
      </c>
      <c r="E865" s="4" t="s">
        <v>924</v>
      </c>
      <c r="F865" s="4" t="s">
        <v>2142</v>
      </c>
      <c r="G865" s="5">
        <v>4521718766669</v>
      </c>
      <c r="H865" s="5"/>
      <c r="I865" s="5"/>
      <c r="J865" s="5">
        <v>1</v>
      </c>
      <c r="K865" s="5">
        <v>1</v>
      </c>
      <c r="L865" s="4">
        <v>680</v>
      </c>
      <c r="M865" s="4">
        <v>563</v>
      </c>
      <c r="N865" s="4">
        <v>442</v>
      </c>
      <c r="O865" s="6">
        <f t="shared" si="134"/>
        <v>0.21492007104795741</v>
      </c>
      <c r="P865" s="4" t="s">
        <v>2500</v>
      </c>
      <c r="Q865" s="4"/>
      <c r="R865" s="4"/>
      <c r="S865" s="4"/>
      <c r="T865" s="4"/>
      <c r="U865" s="4"/>
      <c r="V865" s="4"/>
      <c r="W865" s="4"/>
      <c r="X865" s="4"/>
      <c r="Y865" s="4">
        <v>673</v>
      </c>
      <c r="Z865" s="4">
        <f t="shared" si="135"/>
        <v>673</v>
      </c>
      <c r="AA865" s="4">
        <v>437</v>
      </c>
      <c r="AB865" s="4">
        <f t="shared" si="136"/>
        <v>437</v>
      </c>
      <c r="AC865" s="4"/>
      <c r="AD865" s="21">
        <f>ROUND(M865*AR865,0)</f>
        <v>557</v>
      </c>
      <c r="AE865" s="6">
        <f>1-AB865/AD865</f>
        <v>0.21543985637342911</v>
      </c>
      <c r="AF865" s="33">
        <v>0</v>
      </c>
      <c r="AG865" s="4">
        <f t="shared" si="137"/>
        <v>670</v>
      </c>
      <c r="AH865" s="33">
        <f t="shared" si="130"/>
        <v>662.42081447963801</v>
      </c>
      <c r="AI865" s="6">
        <f>1-AB865/AH865</f>
        <v>0.34029850746268653</v>
      </c>
      <c r="AJ865" s="7">
        <v>662</v>
      </c>
      <c r="AK865" s="6">
        <f>1-AB865/AJ865</f>
        <v>0.33987915407854985</v>
      </c>
      <c r="AL865" s="4">
        <f>AJ865-AB865</f>
        <v>225</v>
      </c>
      <c r="AM865" s="28"/>
      <c r="AN865" s="6"/>
      <c r="AO865" s="6"/>
      <c r="AP865" s="6">
        <f>Z865/L865</f>
        <v>0.98970588235294121</v>
      </c>
      <c r="AQ865" s="6">
        <f>AJ865/M865</f>
        <v>1.1758436944937833</v>
      </c>
      <c r="AR865" s="6">
        <f>AB865/N865</f>
        <v>0.9886877828054299</v>
      </c>
      <c r="AS865" s="4"/>
      <c r="AT865" s="4"/>
      <c r="AU865" s="4"/>
      <c r="AV865" s="4"/>
      <c r="AW865" s="4"/>
      <c r="AX865" s="4"/>
      <c r="AY865" s="4"/>
      <c r="AZ865" s="4"/>
      <c r="BA865" s="4"/>
      <c r="BB865" s="4">
        <v>0</v>
      </c>
      <c r="BC865" s="4" t="s">
        <v>4326</v>
      </c>
      <c r="BD865" s="4"/>
      <c r="BE865" s="4"/>
      <c r="BF865" s="4" t="s">
        <v>3545</v>
      </c>
      <c r="BG865" s="4">
        <v>670</v>
      </c>
      <c r="BH865" s="4">
        <v>670</v>
      </c>
      <c r="BI865" s="4">
        <f t="shared" si="138"/>
        <v>670</v>
      </c>
      <c r="BJ865" s="19">
        <v>4</v>
      </c>
      <c r="BK865" s="19">
        <v>8</v>
      </c>
      <c r="BL865" s="16">
        <v>6</v>
      </c>
      <c r="BM865" s="45" t="s">
        <v>3534</v>
      </c>
      <c r="BN865" t="s">
        <v>3534</v>
      </c>
      <c r="BO865" t="str">
        <f t="shared" si="131"/>
        <v>-</v>
      </c>
      <c r="BP865" t="s">
        <v>3534</v>
      </c>
      <c r="BQ865">
        <v>620</v>
      </c>
      <c r="BR865">
        <f t="shared" si="132"/>
        <v>612.98642533936652</v>
      </c>
      <c r="BS865" t="s">
        <v>3188</v>
      </c>
    </row>
    <row r="866" spans="1:71" x14ac:dyDescent="0.4">
      <c r="A866" s="3">
        <v>863</v>
      </c>
      <c r="B866" s="3">
        <v>863</v>
      </c>
      <c r="C866" s="4" t="s">
        <v>925</v>
      </c>
      <c r="D866" s="4" t="str">
        <f t="shared" si="133"/>
        <v>J744LY</v>
      </c>
      <c r="E866" s="4" t="s">
        <v>925</v>
      </c>
      <c r="F866" s="4" t="s">
        <v>2143</v>
      </c>
      <c r="G866" s="5">
        <v>4521718766676</v>
      </c>
      <c r="H866" s="5"/>
      <c r="I866" s="5"/>
      <c r="J866" s="5">
        <v>1</v>
      </c>
      <c r="K866" s="5">
        <v>1</v>
      </c>
      <c r="L866" s="4">
        <v>680</v>
      </c>
      <c r="M866" s="4">
        <v>563</v>
      </c>
      <c r="N866" s="4">
        <v>442</v>
      </c>
      <c r="O866" s="6">
        <f t="shared" si="134"/>
        <v>0.21492007104795741</v>
      </c>
      <c r="P866" s="4" t="s">
        <v>2500</v>
      </c>
      <c r="Q866" s="4"/>
      <c r="R866" s="4"/>
      <c r="S866" s="4"/>
      <c r="T866" s="4"/>
      <c r="U866" s="4"/>
      <c r="V866" s="4"/>
      <c r="W866" s="4"/>
      <c r="X866" s="4"/>
      <c r="Y866" s="4">
        <v>673</v>
      </c>
      <c r="Z866" s="4">
        <f t="shared" si="135"/>
        <v>673</v>
      </c>
      <c r="AA866" s="4">
        <v>437</v>
      </c>
      <c r="AB866" s="4">
        <f t="shared" si="136"/>
        <v>437</v>
      </c>
      <c r="AC866" s="4"/>
      <c r="AD866" s="21">
        <f>ROUND(M866*AR866,0)</f>
        <v>557</v>
      </c>
      <c r="AE866" s="6">
        <f>1-AB866/AD866</f>
        <v>0.21543985637342911</v>
      </c>
      <c r="AF866" s="33">
        <v>0</v>
      </c>
      <c r="AG866" s="4">
        <f t="shared" si="137"/>
        <v>670</v>
      </c>
      <c r="AH866" s="33">
        <f t="shared" si="130"/>
        <v>662.42081447963801</v>
      </c>
      <c r="AI866" s="6">
        <f>1-AB866/AH866</f>
        <v>0.34029850746268653</v>
      </c>
      <c r="AJ866" s="7">
        <v>662</v>
      </c>
      <c r="AK866" s="6">
        <f>1-AB866/AJ866</f>
        <v>0.33987915407854985</v>
      </c>
      <c r="AL866" s="4">
        <f>AJ866-AB866</f>
        <v>225</v>
      </c>
      <c r="AM866" s="28"/>
      <c r="AN866" s="6"/>
      <c r="AO866" s="6"/>
      <c r="AP866" s="6">
        <f>Z866/L866</f>
        <v>0.98970588235294121</v>
      </c>
      <c r="AQ866" s="6">
        <f>AJ866/M866</f>
        <v>1.1758436944937833</v>
      </c>
      <c r="AR866" s="6">
        <f>AB866/N866</f>
        <v>0.9886877828054299</v>
      </c>
      <c r="AS866" s="4"/>
      <c r="AT866" s="4"/>
      <c r="AU866" s="4"/>
      <c r="AV866" s="4"/>
      <c r="AW866" s="4"/>
      <c r="AX866" s="4"/>
      <c r="AY866" s="4"/>
      <c r="AZ866" s="4"/>
      <c r="BA866" s="4"/>
      <c r="BB866" s="4">
        <v>0</v>
      </c>
      <c r="BC866" s="4" t="s">
        <v>4327</v>
      </c>
      <c r="BD866" s="4"/>
      <c r="BE866" s="4"/>
      <c r="BF866" s="4" t="s">
        <v>3545</v>
      </c>
      <c r="BG866" s="4">
        <v>670</v>
      </c>
      <c r="BH866" s="4">
        <v>670</v>
      </c>
      <c r="BI866" s="4">
        <f t="shared" si="138"/>
        <v>670</v>
      </c>
      <c r="BJ866" s="19">
        <v>4</v>
      </c>
      <c r="BK866" s="19">
        <v>8</v>
      </c>
      <c r="BL866" s="16">
        <v>6</v>
      </c>
      <c r="BM866" s="45" t="s">
        <v>3534</v>
      </c>
      <c r="BN866" t="s">
        <v>3534</v>
      </c>
      <c r="BO866" t="str">
        <f t="shared" si="131"/>
        <v>-</v>
      </c>
      <c r="BP866" t="s">
        <v>3534</v>
      </c>
      <c r="BQ866">
        <v>620</v>
      </c>
      <c r="BR866">
        <f t="shared" si="132"/>
        <v>612.98642533936652</v>
      </c>
      <c r="BS866" t="s">
        <v>3189</v>
      </c>
    </row>
    <row r="867" spans="1:71" x14ac:dyDescent="0.4">
      <c r="A867" s="3">
        <v>864</v>
      </c>
      <c r="B867" s="3">
        <v>864</v>
      </c>
      <c r="C867" s="4" t="s">
        <v>926</v>
      </c>
      <c r="D867" s="4" t="str">
        <f t="shared" si="133"/>
        <v>J7461N</v>
      </c>
      <c r="E867" s="4" t="s">
        <v>926</v>
      </c>
      <c r="F867" s="4" t="s">
        <v>2144</v>
      </c>
      <c r="G867" s="5">
        <v>4521718059518</v>
      </c>
      <c r="H867" s="5"/>
      <c r="I867" s="5"/>
      <c r="J867" s="5">
        <v>1</v>
      </c>
      <c r="K867" s="5">
        <v>1</v>
      </c>
      <c r="L867" s="4">
        <v>2240</v>
      </c>
      <c r="M867" s="4">
        <v>1470</v>
      </c>
      <c r="N867" s="4">
        <v>1005</v>
      </c>
      <c r="O867" s="6">
        <f t="shared" si="134"/>
        <v>0.31632653061224492</v>
      </c>
      <c r="P867" s="4" t="s">
        <v>2500</v>
      </c>
      <c r="Q867" s="4"/>
      <c r="R867" s="4"/>
      <c r="S867" s="4"/>
      <c r="T867" s="4"/>
      <c r="U867" s="4"/>
      <c r="V867" s="4"/>
      <c r="W867" s="4"/>
      <c r="X867" s="4"/>
      <c r="Y867" s="4">
        <v>1546</v>
      </c>
      <c r="Z867" s="4">
        <f t="shared" si="135"/>
        <v>1546</v>
      </c>
      <c r="AA867" s="4">
        <v>1005</v>
      </c>
      <c r="AB867" s="4">
        <f t="shared" si="136"/>
        <v>1005</v>
      </c>
      <c r="AC867" s="4"/>
      <c r="AD867" s="21">
        <f>ROUND(M867*AR867,0)</f>
        <v>1470</v>
      </c>
      <c r="AE867" s="6">
        <f>1-AB867/AD867</f>
        <v>0.31632653061224492</v>
      </c>
      <c r="AF867" s="33">
        <v>0</v>
      </c>
      <c r="AG867" s="4">
        <f t="shared" si="137"/>
        <v>1810</v>
      </c>
      <c r="AH867" s="33">
        <f t="shared" si="130"/>
        <v>1810</v>
      </c>
      <c r="AI867" s="6">
        <f>1-AB867/AH867</f>
        <v>0.44475138121546964</v>
      </c>
      <c r="AJ867" s="7">
        <v>1546</v>
      </c>
      <c r="AK867" s="6">
        <f>1-AB867/AJ867</f>
        <v>0.3499353169469599</v>
      </c>
      <c r="AL867" s="4">
        <f>AJ867-AB867</f>
        <v>541</v>
      </c>
      <c r="AM867" s="28"/>
      <c r="AN867" s="6"/>
      <c r="AO867" s="6"/>
      <c r="AP867" s="6">
        <f>Z867/L867</f>
        <v>0.69017857142857142</v>
      </c>
      <c r="AQ867" s="6">
        <f>AJ867/M867</f>
        <v>1.0517006802721089</v>
      </c>
      <c r="AR867" s="6">
        <f>AB867/N867</f>
        <v>1</v>
      </c>
      <c r="AS867" s="4"/>
      <c r="AT867" s="4"/>
      <c r="AU867" s="4"/>
      <c r="AV867" s="4"/>
      <c r="AW867" s="4"/>
      <c r="AX867" s="4"/>
      <c r="AY867" s="4"/>
      <c r="AZ867" s="4"/>
      <c r="BA867" s="4"/>
      <c r="BB867" s="4">
        <v>0</v>
      </c>
      <c r="BC867" s="4" t="s">
        <v>4328</v>
      </c>
      <c r="BD867" s="4"/>
      <c r="BE867" s="4"/>
      <c r="BF867" s="4" t="s">
        <v>3545</v>
      </c>
      <c r="BG867" s="4">
        <v>1810</v>
      </c>
      <c r="BH867" s="4">
        <v>1810</v>
      </c>
      <c r="BI867" s="4">
        <f t="shared" si="138"/>
        <v>1810</v>
      </c>
      <c r="BJ867" s="19">
        <v>4</v>
      </c>
      <c r="BK867" s="19">
        <v>8</v>
      </c>
      <c r="BL867" s="16">
        <v>3</v>
      </c>
      <c r="BM867" s="45" t="s">
        <v>3534</v>
      </c>
      <c r="BN867" t="s">
        <v>3534</v>
      </c>
      <c r="BO867" t="str">
        <f t="shared" si="131"/>
        <v>-</v>
      </c>
      <c r="BP867" t="s">
        <v>3534</v>
      </c>
      <c r="BQ867">
        <v>1934</v>
      </c>
      <c r="BR867">
        <f t="shared" si="132"/>
        <v>1934</v>
      </c>
      <c r="BS867" t="s">
        <v>3190</v>
      </c>
    </row>
    <row r="868" spans="1:71" x14ac:dyDescent="0.4">
      <c r="A868" s="3">
        <v>865</v>
      </c>
      <c r="B868" s="3">
        <v>865</v>
      </c>
      <c r="C868" s="4" t="s">
        <v>927</v>
      </c>
      <c r="D868" s="4" t="str">
        <f t="shared" si="133"/>
        <v>J7462N</v>
      </c>
      <c r="E868" s="4" t="s">
        <v>927</v>
      </c>
      <c r="F868" s="4" t="s">
        <v>2145</v>
      </c>
      <c r="G868" s="5">
        <v>4521718595603</v>
      </c>
      <c r="H868" s="5"/>
      <c r="I868" s="5"/>
      <c r="J868" s="5">
        <v>1</v>
      </c>
      <c r="K868" s="5">
        <v>1</v>
      </c>
      <c r="L868" s="4">
        <v>450</v>
      </c>
      <c r="M868" s="4">
        <v>321</v>
      </c>
      <c r="N868" s="4">
        <v>202</v>
      </c>
      <c r="O868" s="6">
        <f t="shared" si="134"/>
        <v>0.37071651090342683</v>
      </c>
      <c r="P868" s="4" t="s">
        <v>2500</v>
      </c>
      <c r="Q868" s="4"/>
      <c r="R868" s="4"/>
      <c r="S868" s="4"/>
      <c r="T868" s="4"/>
      <c r="U868" s="4"/>
      <c r="V868" s="4"/>
      <c r="W868" s="4"/>
      <c r="X868" s="4"/>
      <c r="Y868" s="4">
        <v>310</v>
      </c>
      <c r="Z868" s="4">
        <f t="shared" si="135"/>
        <v>310</v>
      </c>
      <c r="AA868" s="4">
        <v>202</v>
      </c>
      <c r="AB868" s="4">
        <f t="shared" si="136"/>
        <v>202</v>
      </c>
      <c r="AC868" s="4"/>
      <c r="AD868" s="21">
        <f>ROUND(M868*AR868,0)</f>
        <v>321</v>
      </c>
      <c r="AE868" s="6">
        <f>1-AB868/AD868</f>
        <v>0.37071651090342683</v>
      </c>
      <c r="AF868" s="33">
        <v>1.7500000000000002</v>
      </c>
      <c r="AG868" s="4" t="str">
        <f t="shared" si="137"/>
        <v>-</v>
      </c>
      <c r="AH868" s="33" t="e">
        <f t="shared" si="130"/>
        <v>#VALUE!</v>
      </c>
      <c r="AI868" s="6" t="e">
        <f>1-AB868/AH868</f>
        <v>#VALUE!</v>
      </c>
      <c r="AJ868" s="7">
        <v>310</v>
      </c>
      <c r="AK868" s="6">
        <f>1-AB868/AJ868</f>
        <v>0.34838709677419355</v>
      </c>
      <c r="AL868" s="4">
        <f>AJ868-AB868</f>
        <v>108</v>
      </c>
      <c r="AM868" s="28"/>
      <c r="AN868" s="6"/>
      <c r="AO868" s="6"/>
      <c r="AP868" s="6">
        <f>Z868/L868</f>
        <v>0.68888888888888888</v>
      </c>
      <c r="AQ868" s="6">
        <f>AJ868/M868</f>
        <v>0.96573208722741433</v>
      </c>
      <c r="AR868" s="6">
        <f>AB868/N868</f>
        <v>1</v>
      </c>
      <c r="AS868" s="4"/>
      <c r="AT868" s="4"/>
      <c r="AU868" s="4"/>
      <c r="AV868" s="4"/>
      <c r="AW868" s="4"/>
      <c r="AX868" s="4"/>
      <c r="AY868" s="4"/>
      <c r="AZ868" s="4"/>
      <c r="BA868" s="4"/>
      <c r="BB868" s="4">
        <v>0</v>
      </c>
      <c r="BC868" s="4" t="s">
        <v>3534</v>
      </c>
      <c r="BD868" s="4"/>
      <c r="BE868" s="4"/>
      <c r="BF868" s="4" t="s">
        <v>3534</v>
      </c>
      <c r="BG868" s="4" t="s">
        <v>3534</v>
      </c>
      <c r="BH868" s="4" t="s">
        <v>3534</v>
      </c>
      <c r="BI868" s="4" t="str">
        <f t="shared" si="138"/>
        <v>-</v>
      </c>
      <c r="BJ868" s="19">
        <v>4</v>
      </c>
      <c r="BK868" s="19">
        <v>8</v>
      </c>
      <c r="BL868" s="16">
        <v>5</v>
      </c>
      <c r="BM868" s="45" t="s">
        <v>3534</v>
      </c>
      <c r="BN868" t="s">
        <v>3534</v>
      </c>
      <c r="BO868" t="str">
        <f t="shared" si="131"/>
        <v>-</v>
      </c>
      <c r="BP868" t="s">
        <v>3534</v>
      </c>
      <c r="BQ868" t="s">
        <v>3534</v>
      </c>
      <c r="BR868" t="str">
        <f t="shared" si="132"/>
        <v>-</v>
      </c>
      <c r="BS868" t="s">
        <v>3534</v>
      </c>
    </row>
    <row r="869" spans="1:71" x14ac:dyDescent="0.4">
      <c r="A869" s="3">
        <v>866</v>
      </c>
      <c r="B869" s="3">
        <v>866</v>
      </c>
      <c r="C869" s="4" t="s">
        <v>928</v>
      </c>
      <c r="D869" s="4" t="str">
        <f t="shared" si="133"/>
        <v>J7463N</v>
      </c>
      <c r="E869" s="4" t="s">
        <v>928</v>
      </c>
      <c r="F869" s="4" t="s">
        <v>2146</v>
      </c>
      <c r="G869" s="5">
        <v>4521718059570</v>
      </c>
      <c r="H869" s="5"/>
      <c r="I869" s="5"/>
      <c r="J869" s="5">
        <v>1</v>
      </c>
      <c r="K869" s="5">
        <v>1</v>
      </c>
      <c r="L869" s="4">
        <v>450</v>
      </c>
      <c r="M869" s="4">
        <v>317</v>
      </c>
      <c r="N869" s="4">
        <v>202</v>
      </c>
      <c r="O869" s="6">
        <f t="shared" si="134"/>
        <v>0.36277602523659302</v>
      </c>
      <c r="P869" s="4" t="s">
        <v>2500</v>
      </c>
      <c r="Q869" s="4"/>
      <c r="R869" s="4"/>
      <c r="S869" s="4"/>
      <c r="T869" s="4"/>
      <c r="U869" s="4"/>
      <c r="V869" s="4"/>
      <c r="W869" s="4"/>
      <c r="X869" s="4"/>
      <c r="Y869" s="4">
        <v>310</v>
      </c>
      <c r="Z869" s="4">
        <f t="shared" si="135"/>
        <v>310</v>
      </c>
      <c r="AA869" s="4">
        <v>202</v>
      </c>
      <c r="AB869" s="4">
        <f t="shared" si="136"/>
        <v>202</v>
      </c>
      <c r="AC869" s="4"/>
      <c r="AD869" s="21">
        <f>ROUND(M869*AR869,0)</f>
        <v>317</v>
      </c>
      <c r="AE869" s="6">
        <f>1-AB869/AD869</f>
        <v>0.36277602523659302</v>
      </c>
      <c r="AF869" s="33">
        <v>1</v>
      </c>
      <c r="AG869" s="4">
        <f t="shared" si="137"/>
        <v>457.20000000000005</v>
      </c>
      <c r="AH869" s="33">
        <f t="shared" si="130"/>
        <v>457.20000000000005</v>
      </c>
      <c r="AI869" s="6">
        <f>1-AB869/AH869</f>
        <v>0.55818022747156615</v>
      </c>
      <c r="AJ869" s="7">
        <v>310</v>
      </c>
      <c r="AK869" s="6">
        <f>1-AB869/AJ869</f>
        <v>0.34838709677419355</v>
      </c>
      <c r="AL869" s="4">
        <f>AJ869-AB869</f>
        <v>108</v>
      </c>
      <c r="AM869" s="28"/>
      <c r="AN869" s="6"/>
      <c r="AO869" s="6"/>
      <c r="AP869" s="6">
        <f>Z869/L869</f>
        <v>0.68888888888888888</v>
      </c>
      <c r="AQ869" s="6">
        <f>AJ869/M869</f>
        <v>0.97791798107255523</v>
      </c>
      <c r="AR869" s="6">
        <f>AB869/N869</f>
        <v>1</v>
      </c>
      <c r="AS869" s="4"/>
      <c r="AT869" s="4"/>
      <c r="AU869" s="4"/>
      <c r="AV869" s="4"/>
      <c r="AW869" s="4"/>
      <c r="AX869" s="4"/>
      <c r="AY869" s="4"/>
      <c r="AZ869" s="4"/>
      <c r="BA869" s="4"/>
      <c r="BB869" s="4">
        <v>0</v>
      </c>
      <c r="BC869" s="4" t="s">
        <v>4329</v>
      </c>
      <c r="BD869" s="4">
        <v>1</v>
      </c>
      <c r="BE869" s="4">
        <v>5</v>
      </c>
      <c r="BF869" s="4" t="s">
        <v>4330</v>
      </c>
      <c r="BG869" s="4">
        <v>2286</v>
      </c>
      <c r="BH869" s="4">
        <v>2286</v>
      </c>
      <c r="BI869" s="4">
        <f t="shared" si="138"/>
        <v>457.20000000000005</v>
      </c>
      <c r="BJ869" s="19">
        <v>4</v>
      </c>
      <c r="BK869" s="19">
        <v>8</v>
      </c>
      <c r="BL869" s="16">
        <v>5</v>
      </c>
      <c r="BM869" s="45" t="s">
        <v>3534</v>
      </c>
      <c r="BN869" t="s">
        <v>3534</v>
      </c>
      <c r="BO869" t="str">
        <f t="shared" si="131"/>
        <v>-</v>
      </c>
      <c r="BP869" t="s">
        <v>3534</v>
      </c>
      <c r="BQ869">
        <v>404</v>
      </c>
      <c r="BR869">
        <f t="shared" si="132"/>
        <v>404</v>
      </c>
      <c r="BS869" t="s">
        <v>3191</v>
      </c>
    </row>
    <row r="870" spans="1:71" x14ac:dyDescent="0.4">
      <c r="A870" s="3">
        <v>867</v>
      </c>
      <c r="B870" s="3">
        <v>867</v>
      </c>
      <c r="C870" s="4" t="s">
        <v>929</v>
      </c>
      <c r="D870" s="4" t="str">
        <f t="shared" si="133"/>
        <v>J7459N</v>
      </c>
      <c r="E870" s="4" t="s">
        <v>929</v>
      </c>
      <c r="F870" s="4" t="s">
        <v>2147</v>
      </c>
      <c r="G870" s="5">
        <v>4521718059402</v>
      </c>
      <c r="H870" s="5"/>
      <c r="I870" s="5"/>
      <c r="J870" s="5">
        <v>1</v>
      </c>
      <c r="K870" s="5">
        <v>1</v>
      </c>
      <c r="L870" s="4">
        <v>140</v>
      </c>
      <c r="M870" s="4">
        <v>113</v>
      </c>
      <c r="N870" s="4">
        <v>77</v>
      </c>
      <c r="O870" s="6">
        <f t="shared" si="134"/>
        <v>0.31858407079646023</v>
      </c>
      <c r="P870" s="4" t="s">
        <v>2500</v>
      </c>
      <c r="Q870" s="4"/>
      <c r="R870" s="4"/>
      <c r="S870" s="4"/>
      <c r="T870" s="4"/>
      <c r="U870" s="4"/>
      <c r="V870" s="4"/>
      <c r="W870" s="4"/>
      <c r="X870" s="4"/>
      <c r="Y870" s="4">
        <v>128</v>
      </c>
      <c r="Z870" s="4">
        <f t="shared" si="135"/>
        <v>128</v>
      </c>
      <c r="AA870" s="4">
        <v>90</v>
      </c>
      <c r="AB870" s="4">
        <f t="shared" si="136"/>
        <v>90</v>
      </c>
      <c r="AC870" s="4"/>
      <c r="AD870" s="21">
        <f>ROUND(M870*AR870,0)</f>
        <v>132</v>
      </c>
      <c r="AE870" s="6">
        <f>1-AB870/AD870</f>
        <v>0.31818181818181823</v>
      </c>
      <c r="AF870" s="33">
        <v>0.25</v>
      </c>
      <c r="AG870" s="4">
        <f t="shared" si="137"/>
        <v>151</v>
      </c>
      <c r="AH870" s="33">
        <f t="shared" si="130"/>
        <v>176.49350649350649</v>
      </c>
      <c r="AI870" s="6">
        <f>1-AB870/AH870</f>
        <v>0.49006622516556286</v>
      </c>
      <c r="AJ870" s="7">
        <v>128</v>
      </c>
      <c r="AK870" s="6">
        <f>1-AB870/AJ870</f>
        <v>0.296875</v>
      </c>
      <c r="AL870" s="4">
        <f>AJ870-AB870</f>
        <v>38</v>
      </c>
      <c r="AM870" s="28"/>
      <c r="AN870" s="6"/>
      <c r="AO870" s="6"/>
      <c r="AP870" s="6">
        <f>Z870/L870</f>
        <v>0.91428571428571426</v>
      </c>
      <c r="AQ870" s="6">
        <f>AJ870/M870</f>
        <v>1.1327433628318584</v>
      </c>
      <c r="AR870" s="6">
        <f>AB870/N870</f>
        <v>1.1688311688311688</v>
      </c>
      <c r="AS870" s="4"/>
      <c r="AT870" s="4"/>
      <c r="AU870" s="4"/>
      <c r="AV870" s="4"/>
      <c r="AW870" s="4"/>
      <c r="AX870" s="4"/>
      <c r="AY870" s="4"/>
      <c r="AZ870" s="4"/>
      <c r="BA870" s="4"/>
      <c r="BB870" s="4">
        <v>0</v>
      </c>
      <c r="BC870" s="4" t="s">
        <v>4331</v>
      </c>
      <c r="BD870" s="4"/>
      <c r="BE870" s="4"/>
      <c r="BF870" s="4" t="s">
        <v>3555</v>
      </c>
      <c r="BG870" s="4">
        <v>151</v>
      </c>
      <c r="BH870" s="4">
        <v>151</v>
      </c>
      <c r="BI870" s="4">
        <f t="shared" si="138"/>
        <v>151</v>
      </c>
      <c r="BJ870" s="19">
        <v>4</v>
      </c>
      <c r="BK870" s="19">
        <v>8</v>
      </c>
      <c r="BL870" s="16">
        <v>3</v>
      </c>
      <c r="BM870" s="45" t="s">
        <v>3534</v>
      </c>
      <c r="BN870" t="s">
        <v>3534</v>
      </c>
      <c r="BO870" t="str">
        <f t="shared" si="131"/>
        <v>-</v>
      </c>
      <c r="BP870" t="s">
        <v>3534</v>
      </c>
      <c r="BQ870">
        <v>154</v>
      </c>
      <c r="BR870">
        <f t="shared" si="132"/>
        <v>180</v>
      </c>
      <c r="BS870" t="s">
        <v>3192</v>
      </c>
    </row>
    <row r="871" spans="1:71" x14ac:dyDescent="0.4">
      <c r="A871" s="3">
        <v>868</v>
      </c>
      <c r="B871" s="3">
        <v>868</v>
      </c>
      <c r="C871" s="4" t="s">
        <v>930</v>
      </c>
      <c r="D871" s="4" t="str">
        <f t="shared" si="133"/>
        <v>J745LY</v>
      </c>
      <c r="E871" s="4" t="s">
        <v>930</v>
      </c>
      <c r="F871" s="4" t="s">
        <v>2148</v>
      </c>
      <c r="G871" s="5">
        <v>4521718766683</v>
      </c>
      <c r="H871" s="5"/>
      <c r="I871" s="5"/>
      <c r="J871" s="5">
        <v>1</v>
      </c>
      <c r="K871" s="5">
        <v>1</v>
      </c>
      <c r="L871" s="4">
        <v>680</v>
      </c>
      <c r="M871" s="4">
        <v>563</v>
      </c>
      <c r="N871" s="4">
        <v>442</v>
      </c>
      <c r="O871" s="6">
        <f t="shared" si="134"/>
        <v>0.21492007104795741</v>
      </c>
      <c r="P871" s="4" t="s">
        <v>2500</v>
      </c>
      <c r="Q871" s="4"/>
      <c r="R871" s="4"/>
      <c r="S871" s="4"/>
      <c r="T871" s="4"/>
      <c r="U871" s="4"/>
      <c r="V871" s="4"/>
      <c r="W871" s="4"/>
      <c r="X871" s="4"/>
      <c r="Y871" s="4">
        <v>673</v>
      </c>
      <c r="Z871" s="4">
        <f t="shared" si="135"/>
        <v>673</v>
      </c>
      <c r="AA871" s="4">
        <v>437</v>
      </c>
      <c r="AB871" s="4">
        <f t="shared" si="136"/>
        <v>437</v>
      </c>
      <c r="AC871" s="4"/>
      <c r="AD871" s="21">
        <f>ROUND(M871*AR871,0)</f>
        <v>557</v>
      </c>
      <c r="AE871" s="6">
        <f>1-AB871/AD871</f>
        <v>0.21543985637342911</v>
      </c>
      <c r="AF871" s="33">
        <v>0</v>
      </c>
      <c r="AG871" s="4">
        <f t="shared" si="137"/>
        <v>670</v>
      </c>
      <c r="AH871" s="33">
        <f t="shared" si="130"/>
        <v>662.42081447963801</v>
      </c>
      <c r="AI871" s="6">
        <f>1-AB871/AH871</f>
        <v>0.34029850746268653</v>
      </c>
      <c r="AJ871" s="7">
        <v>662</v>
      </c>
      <c r="AK871" s="6">
        <f>1-AB871/AJ871</f>
        <v>0.33987915407854985</v>
      </c>
      <c r="AL871" s="4">
        <f>AJ871-AB871</f>
        <v>225</v>
      </c>
      <c r="AM871" s="28"/>
      <c r="AN871" s="6"/>
      <c r="AO871" s="6"/>
      <c r="AP871" s="6">
        <f>Z871/L871</f>
        <v>0.98970588235294121</v>
      </c>
      <c r="AQ871" s="6">
        <f>AJ871/M871</f>
        <v>1.1758436944937833</v>
      </c>
      <c r="AR871" s="6">
        <f>AB871/N871</f>
        <v>0.9886877828054299</v>
      </c>
      <c r="AS871" s="4"/>
      <c r="AT871" s="4"/>
      <c r="AU871" s="4"/>
      <c r="AV871" s="4"/>
      <c r="AW871" s="4"/>
      <c r="AX871" s="4"/>
      <c r="AY871" s="4"/>
      <c r="AZ871" s="4"/>
      <c r="BA871" s="4"/>
      <c r="BB871" s="4">
        <v>0</v>
      </c>
      <c r="BC871" s="4" t="s">
        <v>4332</v>
      </c>
      <c r="BD871" s="4"/>
      <c r="BE871" s="4"/>
      <c r="BF871" s="4" t="s">
        <v>3545</v>
      </c>
      <c r="BG871" s="4">
        <v>670</v>
      </c>
      <c r="BH871" s="4">
        <v>670</v>
      </c>
      <c r="BI871" s="4">
        <f t="shared" si="138"/>
        <v>670</v>
      </c>
      <c r="BJ871" s="19">
        <v>4</v>
      </c>
      <c r="BK871" s="19">
        <v>8</v>
      </c>
      <c r="BL871" s="16">
        <v>6</v>
      </c>
      <c r="BM871" s="45" t="s">
        <v>3534</v>
      </c>
      <c r="BN871" t="s">
        <v>3534</v>
      </c>
      <c r="BO871" t="str">
        <f t="shared" si="131"/>
        <v>-</v>
      </c>
      <c r="BP871" t="s">
        <v>3534</v>
      </c>
      <c r="BQ871">
        <v>620</v>
      </c>
      <c r="BR871">
        <f t="shared" si="132"/>
        <v>612.98642533936652</v>
      </c>
      <c r="BS871" t="s">
        <v>3193</v>
      </c>
    </row>
    <row r="872" spans="1:71" x14ac:dyDescent="0.4">
      <c r="A872" s="3">
        <v>869</v>
      </c>
      <c r="B872" s="3">
        <v>869</v>
      </c>
      <c r="C872" s="4" t="s">
        <v>931</v>
      </c>
      <c r="D872" s="4" t="str">
        <f t="shared" si="133"/>
        <v>J7470N</v>
      </c>
      <c r="E872" s="4" t="s">
        <v>931</v>
      </c>
      <c r="F872" s="4" t="s">
        <v>2149</v>
      </c>
      <c r="G872" s="5">
        <v>4521718182575</v>
      </c>
      <c r="H872" s="5"/>
      <c r="I872" s="5"/>
      <c r="J872" s="5">
        <v>1</v>
      </c>
      <c r="K872" s="5">
        <v>1</v>
      </c>
      <c r="L872" s="4">
        <v>500</v>
      </c>
      <c r="M872" s="4">
        <v>328</v>
      </c>
      <c r="N872" s="4">
        <v>225</v>
      </c>
      <c r="O872" s="6">
        <f t="shared" si="134"/>
        <v>0.31402439024390238</v>
      </c>
      <c r="P872" s="4" t="s">
        <v>2500</v>
      </c>
      <c r="Q872" s="4"/>
      <c r="R872" s="4"/>
      <c r="S872" s="4"/>
      <c r="T872" s="4"/>
      <c r="U872" s="4"/>
      <c r="V872" s="4"/>
      <c r="W872" s="4"/>
      <c r="X872" s="4"/>
      <c r="Y872" s="4">
        <v>346</v>
      </c>
      <c r="Z872" s="4">
        <f t="shared" si="135"/>
        <v>346</v>
      </c>
      <c r="AA872" s="4">
        <v>225</v>
      </c>
      <c r="AB872" s="4">
        <f t="shared" si="136"/>
        <v>225</v>
      </c>
      <c r="AC872" s="4"/>
      <c r="AD872" s="21">
        <f>ROUND(M872*AR872,0)</f>
        <v>328</v>
      </c>
      <c r="AE872" s="6">
        <f>1-AB872/AD872</f>
        <v>0.31402439024390238</v>
      </c>
      <c r="AF872" s="33">
        <v>0</v>
      </c>
      <c r="AG872" s="4">
        <f t="shared" si="137"/>
        <v>500</v>
      </c>
      <c r="AH872" s="33">
        <f t="shared" si="130"/>
        <v>500</v>
      </c>
      <c r="AI872" s="6">
        <f>1-AB872/AH872</f>
        <v>0.55000000000000004</v>
      </c>
      <c r="AJ872" s="7">
        <v>346</v>
      </c>
      <c r="AK872" s="6">
        <f>1-AB872/AJ872</f>
        <v>0.3497109826589595</v>
      </c>
      <c r="AL872" s="4">
        <f>AJ872-AB872</f>
        <v>121</v>
      </c>
      <c r="AM872" s="28"/>
      <c r="AN872" s="6"/>
      <c r="AO872" s="6"/>
      <c r="AP872" s="6">
        <f>Z872/L872</f>
        <v>0.69199999999999995</v>
      </c>
      <c r="AQ872" s="6">
        <f>AJ872/M872</f>
        <v>1.0548780487804879</v>
      </c>
      <c r="AR872" s="6">
        <f>AB872/N872</f>
        <v>1</v>
      </c>
      <c r="AS872" s="4"/>
      <c r="AT872" s="4"/>
      <c r="AU872" s="4"/>
      <c r="AV872" s="4"/>
      <c r="AW872" s="4"/>
      <c r="AX872" s="4"/>
      <c r="AY872" s="4"/>
      <c r="AZ872" s="4"/>
      <c r="BA872" s="4"/>
      <c r="BB872" s="4">
        <v>0</v>
      </c>
      <c r="BC872" s="4" t="s">
        <v>4333</v>
      </c>
      <c r="BD872" s="4">
        <v>1</v>
      </c>
      <c r="BE872" s="4">
        <v>6</v>
      </c>
      <c r="BF872" s="4" t="s">
        <v>3935</v>
      </c>
      <c r="BG872" s="4">
        <v>3000</v>
      </c>
      <c r="BH872" s="4">
        <v>3000</v>
      </c>
      <c r="BI872" s="4">
        <f t="shared" si="138"/>
        <v>500</v>
      </c>
      <c r="BJ872" s="19">
        <v>4</v>
      </c>
      <c r="BK872" s="19">
        <v>8</v>
      </c>
      <c r="BL872" s="16">
        <v>6</v>
      </c>
      <c r="BM872" s="45" t="s">
        <v>3534</v>
      </c>
      <c r="BN872" t="s">
        <v>3534</v>
      </c>
      <c r="BO872" t="str">
        <f t="shared" si="131"/>
        <v>-</v>
      </c>
      <c r="BP872">
        <v>450</v>
      </c>
      <c r="BQ872">
        <v>450</v>
      </c>
      <c r="BR872">
        <f t="shared" si="132"/>
        <v>450</v>
      </c>
      <c r="BS872" t="s">
        <v>3194</v>
      </c>
    </row>
    <row r="873" spans="1:71" x14ac:dyDescent="0.4">
      <c r="A873" s="3">
        <v>870</v>
      </c>
      <c r="B873" s="3">
        <v>870</v>
      </c>
      <c r="C873" s="4" t="s">
        <v>932</v>
      </c>
      <c r="D873" s="4" t="str">
        <f t="shared" si="133"/>
        <v>J7471N</v>
      </c>
      <c r="E873" s="4" t="s">
        <v>932</v>
      </c>
      <c r="F873" s="4" t="s">
        <v>2150</v>
      </c>
      <c r="G873" s="5">
        <v>4521718182582</v>
      </c>
      <c r="H873" s="5"/>
      <c r="I873" s="5"/>
      <c r="J873" s="5">
        <v>1</v>
      </c>
      <c r="K873" s="5">
        <v>1</v>
      </c>
      <c r="L873" s="4">
        <v>500</v>
      </c>
      <c r="M873" s="4">
        <v>328</v>
      </c>
      <c r="N873" s="4">
        <v>225</v>
      </c>
      <c r="O873" s="6">
        <f t="shared" si="134"/>
        <v>0.31402439024390238</v>
      </c>
      <c r="P873" s="4" t="s">
        <v>2500</v>
      </c>
      <c r="Q873" s="4"/>
      <c r="R873" s="4"/>
      <c r="S873" s="4"/>
      <c r="T873" s="4"/>
      <c r="U873" s="4"/>
      <c r="V873" s="4"/>
      <c r="W873" s="4"/>
      <c r="X873" s="4"/>
      <c r="Y873" s="4">
        <v>346</v>
      </c>
      <c r="Z873" s="4">
        <f t="shared" si="135"/>
        <v>346</v>
      </c>
      <c r="AA873" s="4">
        <v>225</v>
      </c>
      <c r="AB873" s="4">
        <f t="shared" si="136"/>
        <v>225</v>
      </c>
      <c r="AC873" s="4"/>
      <c r="AD873" s="21">
        <f>ROUND(M873*AR873,0)</f>
        <v>328</v>
      </c>
      <c r="AE873" s="6">
        <f>1-AB873/AD873</f>
        <v>0.31402439024390238</v>
      </c>
      <c r="AF873" s="33">
        <v>0</v>
      </c>
      <c r="AG873" s="4">
        <f t="shared" si="137"/>
        <v>500</v>
      </c>
      <c r="AH873" s="33">
        <f t="shared" si="130"/>
        <v>500</v>
      </c>
      <c r="AI873" s="6">
        <f>1-AB873/AH873</f>
        <v>0.55000000000000004</v>
      </c>
      <c r="AJ873" s="7">
        <v>346</v>
      </c>
      <c r="AK873" s="6">
        <f>1-AB873/AJ873</f>
        <v>0.3497109826589595</v>
      </c>
      <c r="AL873" s="4">
        <f>AJ873-AB873</f>
        <v>121</v>
      </c>
      <c r="AM873" s="28"/>
      <c r="AN873" s="6"/>
      <c r="AO873" s="6"/>
      <c r="AP873" s="6">
        <f>Z873/L873</f>
        <v>0.69199999999999995</v>
      </c>
      <c r="AQ873" s="6">
        <f>AJ873/M873</f>
        <v>1.0548780487804879</v>
      </c>
      <c r="AR873" s="6">
        <f>AB873/N873</f>
        <v>1</v>
      </c>
      <c r="AS873" s="4"/>
      <c r="AT873" s="4"/>
      <c r="AU873" s="4"/>
      <c r="AV873" s="4"/>
      <c r="AW873" s="4"/>
      <c r="AX873" s="4"/>
      <c r="AY873" s="4"/>
      <c r="AZ873" s="4"/>
      <c r="BA873" s="4"/>
      <c r="BB873" s="4">
        <v>0</v>
      </c>
      <c r="BC873" s="4" t="s">
        <v>4334</v>
      </c>
      <c r="BD873" s="4">
        <v>1</v>
      </c>
      <c r="BE873" s="4">
        <v>6</v>
      </c>
      <c r="BF873" s="4" t="s">
        <v>3935</v>
      </c>
      <c r="BG873" s="4">
        <v>3000</v>
      </c>
      <c r="BH873" s="4">
        <v>3000</v>
      </c>
      <c r="BI873" s="4">
        <f t="shared" si="138"/>
        <v>500</v>
      </c>
      <c r="BJ873" s="19">
        <v>4</v>
      </c>
      <c r="BK873" s="19">
        <v>8</v>
      </c>
      <c r="BL873" s="16">
        <v>6</v>
      </c>
      <c r="BM873" s="45" t="s">
        <v>3534</v>
      </c>
      <c r="BN873" t="s">
        <v>3534</v>
      </c>
      <c r="BO873" t="str">
        <f t="shared" si="131"/>
        <v>-</v>
      </c>
      <c r="BP873">
        <v>450</v>
      </c>
      <c r="BQ873">
        <v>450</v>
      </c>
      <c r="BR873">
        <f t="shared" si="132"/>
        <v>450</v>
      </c>
      <c r="BS873" t="s">
        <v>3195</v>
      </c>
    </row>
    <row r="874" spans="1:71" x14ac:dyDescent="0.4">
      <c r="A874" s="3">
        <v>871</v>
      </c>
      <c r="B874" s="3">
        <v>871</v>
      </c>
      <c r="C874" s="4" t="s">
        <v>933</v>
      </c>
      <c r="D874" s="4" t="str">
        <f t="shared" si="133"/>
        <v>J7467N</v>
      </c>
      <c r="E874" s="4" t="s">
        <v>933</v>
      </c>
      <c r="F874" s="4" t="s">
        <v>2151</v>
      </c>
      <c r="G874" s="5">
        <v>4521718126043</v>
      </c>
      <c r="H874" s="5"/>
      <c r="I874" s="5"/>
      <c r="J874" s="5">
        <v>1</v>
      </c>
      <c r="K874" s="5">
        <v>1</v>
      </c>
      <c r="L874" s="4">
        <v>1190</v>
      </c>
      <c r="M874" s="4">
        <v>978</v>
      </c>
      <c r="N874" s="4">
        <v>669</v>
      </c>
      <c r="O874" s="6">
        <f t="shared" si="134"/>
        <v>0.31595092024539873</v>
      </c>
      <c r="P874" s="4" t="s">
        <v>2500</v>
      </c>
      <c r="Q874" s="4"/>
      <c r="R874" s="4"/>
      <c r="S874" s="4"/>
      <c r="T874" s="4"/>
      <c r="U874" s="4"/>
      <c r="V874" s="4"/>
      <c r="W874" s="4"/>
      <c r="X874" s="4"/>
      <c r="Y874" s="4">
        <v>910</v>
      </c>
      <c r="Z874" s="4">
        <f t="shared" si="135"/>
        <v>910</v>
      </c>
      <c r="AA874" s="4">
        <v>637</v>
      </c>
      <c r="AB874" s="4">
        <f t="shared" si="136"/>
        <v>637</v>
      </c>
      <c r="AC874" s="4"/>
      <c r="AD874" s="21">
        <f>ROUND(M874*AR874,0)</f>
        <v>931</v>
      </c>
      <c r="AE874" s="6">
        <f>1-AB874/AD874</f>
        <v>0.31578947368421051</v>
      </c>
      <c r="AF874" s="33">
        <v>4.75</v>
      </c>
      <c r="AG874" s="4">
        <f t="shared" si="137"/>
        <v>1190</v>
      </c>
      <c r="AH874" s="33">
        <f t="shared" si="130"/>
        <v>1133.0792227204784</v>
      </c>
      <c r="AI874" s="6">
        <f>1-AB874/AH874</f>
        <v>0.43781512605042017</v>
      </c>
      <c r="AJ874" s="7">
        <v>910</v>
      </c>
      <c r="AK874" s="6">
        <f>1-AB874/AJ874</f>
        <v>0.30000000000000004</v>
      </c>
      <c r="AL874" s="4">
        <f>AJ874-AB874</f>
        <v>273</v>
      </c>
      <c r="AM874" s="28"/>
      <c r="AN874" s="6"/>
      <c r="AO874" s="6"/>
      <c r="AP874" s="6">
        <f>Z874/L874</f>
        <v>0.76470588235294112</v>
      </c>
      <c r="AQ874" s="6">
        <f>AJ874/M874</f>
        <v>0.93047034764826175</v>
      </c>
      <c r="AR874" s="6">
        <f>AB874/N874</f>
        <v>0.95216741405082217</v>
      </c>
      <c r="AS874" s="4"/>
      <c r="AT874" s="4"/>
      <c r="AU874" s="4"/>
      <c r="AV874" s="4"/>
      <c r="AW874" s="4"/>
      <c r="AX874" s="4"/>
      <c r="AY874" s="4"/>
      <c r="AZ874" s="4"/>
      <c r="BA874" s="4"/>
      <c r="BB874" s="4">
        <v>0</v>
      </c>
      <c r="BC874" s="4" t="s">
        <v>4335</v>
      </c>
      <c r="BD874" s="4">
        <v>1</v>
      </c>
      <c r="BE874" s="4">
        <v>2</v>
      </c>
      <c r="BF874" s="4" t="s">
        <v>3834</v>
      </c>
      <c r="BG874" s="4">
        <v>2380</v>
      </c>
      <c r="BH874" s="4">
        <v>2380</v>
      </c>
      <c r="BI874" s="4">
        <f t="shared" si="138"/>
        <v>1190</v>
      </c>
      <c r="BJ874" s="19">
        <v>4</v>
      </c>
      <c r="BK874" s="19">
        <v>8</v>
      </c>
      <c r="BL874" s="16">
        <v>3</v>
      </c>
      <c r="BM874" s="45" t="s">
        <v>3534</v>
      </c>
      <c r="BN874" t="s">
        <v>3534</v>
      </c>
      <c r="BO874" t="str">
        <f t="shared" si="131"/>
        <v>-</v>
      </c>
      <c r="BP874" t="s">
        <v>3534</v>
      </c>
      <c r="BQ874">
        <v>1190</v>
      </c>
      <c r="BR874">
        <f t="shared" si="132"/>
        <v>1133.0792227204784</v>
      </c>
      <c r="BS874" t="s">
        <v>3196</v>
      </c>
    </row>
    <row r="875" spans="1:71" x14ac:dyDescent="0.4">
      <c r="A875" s="3">
        <v>872</v>
      </c>
      <c r="B875" s="3">
        <v>872</v>
      </c>
      <c r="C875" s="4" t="s">
        <v>934</v>
      </c>
      <c r="D875" s="4" t="str">
        <f t="shared" si="133"/>
        <v>J7472N</v>
      </c>
      <c r="E875" s="4" t="s">
        <v>934</v>
      </c>
      <c r="F875" s="4" t="s">
        <v>2152</v>
      </c>
      <c r="G875" s="5">
        <v>4521718182599</v>
      </c>
      <c r="H875" s="5"/>
      <c r="I875" s="5"/>
      <c r="J875" s="5">
        <v>1</v>
      </c>
      <c r="K875" s="5">
        <v>1</v>
      </c>
      <c r="L875" s="4">
        <v>500</v>
      </c>
      <c r="M875" s="4">
        <v>328</v>
      </c>
      <c r="N875" s="4">
        <v>225</v>
      </c>
      <c r="O875" s="6">
        <f t="shared" si="134"/>
        <v>0.31402439024390238</v>
      </c>
      <c r="P875" s="4" t="s">
        <v>2500</v>
      </c>
      <c r="Q875" s="4"/>
      <c r="R875" s="4"/>
      <c r="S875" s="4"/>
      <c r="T875" s="4"/>
      <c r="U875" s="4"/>
      <c r="V875" s="4"/>
      <c r="W875" s="4"/>
      <c r="X875" s="4"/>
      <c r="Y875" s="4">
        <v>346</v>
      </c>
      <c r="Z875" s="4">
        <f t="shared" si="135"/>
        <v>346</v>
      </c>
      <c r="AA875" s="4">
        <v>225</v>
      </c>
      <c r="AB875" s="4">
        <f t="shared" si="136"/>
        <v>225</v>
      </c>
      <c r="AC875" s="4"/>
      <c r="AD875" s="21">
        <f>ROUND(M875*AR875,0)</f>
        <v>328</v>
      </c>
      <c r="AE875" s="6">
        <f>1-AB875/AD875</f>
        <v>0.31402439024390238</v>
      </c>
      <c r="AF875" s="33">
        <v>0</v>
      </c>
      <c r="AG875" s="4">
        <f t="shared" si="137"/>
        <v>500</v>
      </c>
      <c r="AH875" s="33">
        <f t="shared" si="130"/>
        <v>500</v>
      </c>
      <c r="AI875" s="6">
        <f>1-AB875/AH875</f>
        <v>0.55000000000000004</v>
      </c>
      <c r="AJ875" s="7">
        <v>346</v>
      </c>
      <c r="AK875" s="6">
        <f>1-AB875/AJ875</f>
        <v>0.3497109826589595</v>
      </c>
      <c r="AL875" s="4">
        <f>AJ875-AB875</f>
        <v>121</v>
      </c>
      <c r="AM875" s="28"/>
      <c r="AN875" s="6"/>
      <c r="AO875" s="6"/>
      <c r="AP875" s="6">
        <f>Z875/L875</f>
        <v>0.69199999999999995</v>
      </c>
      <c r="AQ875" s="6">
        <f>AJ875/M875</f>
        <v>1.0548780487804879</v>
      </c>
      <c r="AR875" s="6">
        <f>AB875/N875</f>
        <v>1</v>
      </c>
      <c r="AS875" s="4"/>
      <c r="AT875" s="4"/>
      <c r="AU875" s="4"/>
      <c r="AV875" s="4"/>
      <c r="AW875" s="4"/>
      <c r="AX875" s="4"/>
      <c r="AY875" s="4"/>
      <c r="AZ875" s="4"/>
      <c r="BA875" s="4"/>
      <c r="BB875" s="4">
        <v>0</v>
      </c>
      <c r="BC875" s="4" t="s">
        <v>4336</v>
      </c>
      <c r="BD875" s="4">
        <v>1</v>
      </c>
      <c r="BE875" s="4">
        <v>6</v>
      </c>
      <c r="BF875" s="4" t="s">
        <v>3935</v>
      </c>
      <c r="BG875" s="4">
        <v>3000</v>
      </c>
      <c r="BH875" s="4">
        <v>3000</v>
      </c>
      <c r="BI875" s="4">
        <f t="shared" si="138"/>
        <v>500</v>
      </c>
      <c r="BJ875" s="19">
        <v>4</v>
      </c>
      <c r="BK875" s="19">
        <v>8</v>
      </c>
      <c r="BL875" s="16">
        <v>6</v>
      </c>
      <c r="BM875" s="45" t="s">
        <v>3534</v>
      </c>
      <c r="BN875" t="s">
        <v>3534</v>
      </c>
      <c r="BO875" t="str">
        <f t="shared" si="131"/>
        <v>-</v>
      </c>
      <c r="BP875">
        <v>450</v>
      </c>
      <c r="BQ875">
        <v>450</v>
      </c>
      <c r="BR875">
        <f t="shared" si="132"/>
        <v>450</v>
      </c>
      <c r="BS875" t="s">
        <v>3197</v>
      </c>
    </row>
    <row r="876" spans="1:71" x14ac:dyDescent="0.4">
      <c r="A876" s="3">
        <v>873</v>
      </c>
      <c r="B876" s="3">
        <v>873</v>
      </c>
      <c r="C876" s="4" t="s">
        <v>935</v>
      </c>
      <c r="D876" s="4" t="str">
        <f t="shared" si="133"/>
        <v>J7473N</v>
      </c>
      <c r="E876" s="4" t="s">
        <v>935</v>
      </c>
      <c r="F876" s="4" t="s">
        <v>2153</v>
      </c>
      <c r="G876" s="5">
        <v>4521718182605</v>
      </c>
      <c r="H876" s="5"/>
      <c r="I876" s="5"/>
      <c r="J876" s="5">
        <v>1</v>
      </c>
      <c r="K876" s="5">
        <v>1</v>
      </c>
      <c r="L876" s="4">
        <v>560</v>
      </c>
      <c r="M876" s="4">
        <v>363</v>
      </c>
      <c r="N876" s="4">
        <v>248</v>
      </c>
      <c r="O876" s="6">
        <f t="shared" si="134"/>
        <v>0.3168044077134986</v>
      </c>
      <c r="P876" s="4" t="s">
        <v>2500</v>
      </c>
      <c r="Q876" s="4"/>
      <c r="R876" s="4"/>
      <c r="S876" s="4"/>
      <c r="T876" s="4"/>
      <c r="U876" s="4"/>
      <c r="V876" s="4"/>
      <c r="W876" s="4"/>
      <c r="X876" s="4"/>
      <c r="Y876" s="4">
        <v>382</v>
      </c>
      <c r="Z876" s="4">
        <f t="shared" si="135"/>
        <v>382</v>
      </c>
      <c r="AA876" s="4">
        <v>248</v>
      </c>
      <c r="AB876" s="4">
        <f t="shared" si="136"/>
        <v>248</v>
      </c>
      <c r="AC876" s="4"/>
      <c r="AD876" s="21">
        <f>ROUND(M876*AR876,0)</f>
        <v>363</v>
      </c>
      <c r="AE876" s="6">
        <f>1-AB876/AD876</f>
        <v>0.3168044077134986</v>
      </c>
      <c r="AF876" s="33">
        <v>0</v>
      </c>
      <c r="AG876" s="4">
        <f t="shared" si="137"/>
        <v>560</v>
      </c>
      <c r="AH876" s="33">
        <f t="shared" si="130"/>
        <v>560</v>
      </c>
      <c r="AI876" s="6">
        <f>1-AB876/AH876</f>
        <v>0.55714285714285716</v>
      </c>
      <c r="AJ876" s="7">
        <f>ROUND(AB876/0.65,0)</f>
        <v>382</v>
      </c>
      <c r="AK876" s="6">
        <f>1-AB876/AJ876</f>
        <v>0.35078534031413611</v>
      </c>
      <c r="AL876" s="4">
        <f>AJ876-AB876</f>
        <v>134</v>
      </c>
      <c r="AM876" s="28"/>
      <c r="AN876" s="6"/>
      <c r="AO876" s="6"/>
      <c r="AP876" s="6">
        <f>Z876/L876</f>
        <v>0.68214285714285716</v>
      </c>
      <c r="AQ876" s="6">
        <f>AJ876/M876</f>
        <v>1.0523415977961432</v>
      </c>
      <c r="AR876" s="6">
        <f>AB876/N876</f>
        <v>1</v>
      </c>
      <c r="AS876" s="4"/>
      <c r="AT876" s="4"/>
      <c r="AU876" s="4"/>
      <c r="AV876" s="4"/>
      <c r="AW876" s="4"/>
      <c r="AX876" s="4"/>
      <c r="AY876" s="4"/>
      <c r="AZ876" s="4"/>
      <c r="BA876" s="4"/>
      <c r="BB876" s="4">
        <v>0</v>
      </c>
      <c r="BC876" s="4" t="s">
        <v>4337</v>
      </c>
      <c r="BD876" s="4">
        <v>1</v>
      </c>
      <c r="BE876" s="4">
        <v>5</v>
      </c>
      <c r="BF876" s="4" t="s">
        <v>3790</v>
      </c>
      <c r="BG876" s="4">
        <v>2800</v>
      </c>
      <c r="BH876" s="4">
        <v>2800</v>
      </c>
      <c r="BI876" s="4">
        <f t="shared" si="138"/>
        <v>560</v>
      </c>
      <c r="BJ876" s="19">
        <v>4</v>
      </c>
      <c r="BK876" s="19">
        <v>8</v>
      </c>
      <c r="BL876" s="16">
        <v>6</v>
      </c>
      <c r="BM876" s="45" t="s">
        <v>3534</v>
      </c>
      <c r="BN876" t="s">
        <v>3534</v>
      </c>
      <c r="BO876" t="str">
        <f t="shared" si="131"/>
        <v>-</v>
      </c>
      <c r="BP876">
        <v>496</v>
      </c>
      <c r="BQ876">
        <v>496</v>
      </c>
      <c r="BR876">
        <f t="shared" si="132"/>
        <v>496</v>
      </c>
      <c r="BS876" t="s">
        <v>3198</v>
      </c>
    </row>
    <row r="877" spans="1:71" x14ac:dyDescent="0.4">
      <c r="A877" s="3">
        <v>874</v>
      </c>
      <c r="B877" s="3">
        <v>874</v>
      </c>
      <c r="C877" s="4" t="s">
        <v>936</v>
      </c>
      <c r="D877" s="4" t="str">
        <f t="shared" si="133"/>
        <v>J7474N</v>
      </c>
      <c r="E877" s="4" t="s">
        <v>936</v>
      </c>
      <c r="F877" s="4" t="s">
        <v>2154</v>
      </c>
      <c r="G877" s="5">
        <v>4521718182612</v>
      </c>
      <c r="H877" s="5"/>
      <c r="I877" s="5"/>
      <c r="J877" s="5">
        <v>1</v>
      </c>
      <c r="K877" s="5">
        <v>1</v>
      </c>
      <c r="L877" s="4">
        <v>560</v>
      </c>
      <c r="M877" s="4">
        <v>363</v>
      </c>
      <c r="N877" s="4">
        <v>248</v>
      </c>
      <c r="O877" s="6">
        <f t="shared" si="134"/>
        <v>0.3168044077134986</v>
      </c>
      <c r="P877" s="4" t="s">
        <v>2500</v>
      </c>
      <c r="Q877" s="4"/>
      <c r="R877" s="4"/>
      <c r="S877" s="4"/>
      <c r="T877" s="4"/>
      <c r="U877" s="4"/>
      <c r="V877" s="4"/>
      <c r="W877" s="4"/>
      <c r="X877" s="4"/>
      <c r="Y877" s="4">
        <v>382</v>
      </c>
      <c r="Z877" s="4">
        <f t="shared" si="135"/>
        <v>382</v>
      </c>
      <c r="AA877" s="4">
        <v>248</v>
      </c>
      <c r="AB877" s="4">
        <f t="shared" si="136"/>
        <v>248</v>
      </c>
      <c r="AC877" s="4"/>
      <c r="AD877" s="21">
        <f>ROUND(M877*AR877,0)</f>
        <v>363</v>
      </c>
      <c r="AE877" s="6">
        <f>1-AB877/AD877</f>
        <v>0.3168044077134986</v>
      </c>
      <c r="AF877" s="33">
        <v>0.5</v>
      </c>
      <c r="AG877" s="4">
        <f t="shared" si="137"/>
        <v>560</v>
      </c>
      <c r="AH877" s="33">
        <f t="shared" si="130"/>
        <v>560</v>
      </c>
      <c r="AI877" s="6">
        <f>1-AB877/AH877</f>
        <v>0.55714285714285716</v>
      </c>
      <c r="AJ877" s="7">
        <f>ROUND(AB877/0.65,0)</f>
        <v>382</v>
      </c>
      <c r="AK877" s="6">
        <f>1-AB877/AJ877</f>
        <v>0.35078534031413611</v>
      </c>
      <c r="AL877" s="4">
        <f>AJ877-AB877</f>
        <v>134</v>
      </c>
      <c r="AM877" s="28"/>
      <c r="AN877" s="6"/>
      <c r="AO877" s="6"/>
      <c r="AP877" s="6">
        <f>Z877/L877</f>
        <v>0.68214285714285716</v>
      </c>
      <c r="AQ877" s="6">
        <f>AJ877/M877</f>
        <v>1.0523415977961432</v>
      </c>
      <c r="AR877" s="6">
        <f>AB877/N877</f>
        <v>1</v>
      </c>
      <c r="AS877" s="4"/>
      <c r="AT877" s="4"/>
      <c r="AU877" s="4"/>
      <c r="AV877" s="4"/>
      <c r="AW877" s="4"/>
      <c r="AX877" s="4"/>
      <c r="AY877" s="4"/>
      <c r="AZ877" s="4"/>
      <c r="BA877" s="4"/>
      <c r="BB877" s="4">
        <v>0</v>
      </c>
      <c r="BC877" s="4" t="s">
        <v>4338</v>
      </c>
      <c r="BD877" s="4">
        <v>1</v>
      </c>
      <c r="BE877" s="4">
        <v>5</v>
      </c>
      <c r="BF877" s="4" t="s">
        <v>3790</v>
      </c>
      <c r="BG877" s="4">
        <v>2800</v>
      </c>
      <c r="BH877" s="4">
        <v>2800</v>
      </c>
      <c r="BI877" s="4">
        <f t="shared" si="138"/>
        <v>560</v>
      </c>
      <c r="BJ877" s="19">
        <v>4</v>
      </c>
      <c r="BK877" s="19">
        <v>8</v>
      </c>
      <c r="BL877" s="16">
        <v>6</v>
      </c>
      <c r="BM877" s="45" t="s">
        <v>3534</v>
      </c>
      <c r="BN877" t="s">
        <v>3534</v>
      </c>
      <c r="BO877" t="str">
        <f t="shared" si="131"/>
        <v>-</v>
      </c>
      <c r="BP877">
        <v>496</v>
      </c>
      <c r="BQ877">
        <v>496</v>
      </c>
      <c r="BR877">
        <f t="shared" si="132"/>
        <v>496</v>
      </c>
      <c r="BS877" t="s">
        <v>3199</v>
      </c>
    </row>
    <row r="878" spans="1:71" x14ac:dyDescent="0.4">
      <c r="A878" s="3">
        <v>875</v>
      </c>
      <c r="B878" s="3">
        <v>875</v>
      </c>
      <c r="C878" s="4" t="s">
        <v>937</v>
      </c>
      <c r="D878" s="4" t="str">
        <f t="shared" si="133"/>
        <v>J7475N</v>
      </c>
      <c r="E878" s="4" t="s">
        <v>937</v>
      </c>
      <c r="F878" s="4" t="s">
        <v>2155</v>
      </c>
      <c r="G878" s="5">
        <v>4521718182629</v>
      </c>
      <c r="H878" s="5"/>
      <c r="I878" s="5"/>
      <c r="J878" s="5">
        <v>1</v>
      </c>
      <c r="K878" s="5">
        <v>1</v>
      </c>
      <c r="L878" s="4">
        <v>560</v>
      </c>
      <c r="M878" s="4">
        <v>363</v>
      </c>
      <c r="N878" s="4">
        <v>248</v>
      </c>
      <c r="O878" s="6">
        <f t="shared" si="134"/>
        <v>0.3168044077134986</v>
      </c>
      <c r="P878" s="4" t="s">
        <v>2500</v>
      </c>
      <c r="Q878" s="4"/>
      <c r="R878" s="4"/>
      <c r="S878" s="4"/>
      <c r="T878" s="4"/>
      <c r="U878" s="4"/>
      <c r="V878" s="4"/>
      <c r="W878" s="4"/>
      <c r="X878" s="4"/>
      <c r="Y878" s="4">
        <v>382</v>
      </c>
      <c r="Z878" s="4">
        <f t="shared" si="135"/>
        <v>382</v>
      </c>
      <c r="AA878" s="4">
        <v>248</v>
      </c>
      <c r="AB878" s="4">
        <f t="shared" si="136"/>
        <v>248</v>
      </c>
      <c r="AC878" s="4"/>
      <c r="AD878" s="21">
        <f>ROUND(M878*AR878,0)</f>
        <v>363</v>
      </c>
      <c r="AE878" s="6">
        <f>1-AB878/AD878</f>
        <v>0.3168044077134986</v>
      </c>
      <c r="AF878" s="33">
        <v>0</v>
      </c>
      <c r="AG878" s="4">
        <f t="shared" si="137"/>
        <v>560</v>
      </c>
      <c r="AH878" s="33">
        <f t="shared" si="130"/>
        <v>560</v>
      </c>
      <c r="AI878" s="6">
        <f>1-AB878/AH878</f>
        <v>0.55714285714285716</v>
      </c>
      <c r="AJ878" s="7">
        <f>ROUND(AB878/0.65,0)</f>
        <v>382</v>
      </c>
      <c r="AK878" s="6">
        <f>1-AB878/AJ878</f>
        <v>0.35078534031413611</v>
      </c>
      <c r="AL878" s="4">
        <f>AJ878-AB878</f>
        <v>134</v>
      </c>
      <c r="AM878" s="28"/>
      <c r="AN878" s="6"/>
      <c r="AO878" s="6"/>
      <c r="AP878" s="6">
        <f>Z878/L878</f>
        <v>0.68214285714285716</v>
      </c>
      <c r="AQ878" s="6">
        <f>AJ878/M878</f>
        <v>1.0523415977961432</v>
      </c>
      <c r="AR878" s="6">
        <f>AB878/N878</f>
        <v>1</v>
      </c>
      <c r="AS878" s="4"/>
      <c r="AT878" s="4"/>
      <c r="AU878" s="4"/>
      <c r="AV878" s="4"/>
      <c r="AW878" s="4"/>
      <c r="AX878" s="4"/>
      <c r="AY878" s="4"/>
      <c r="AZ878" s="4"/>
      <c r="BA878" s="4"/>
      <c r="BB878" s="4">
        <v>0</v>
      </c>
      <c r="BC878" s="4" t="s">
        <v>4339</v>
      </c>
      <c r="BD878" s="4">
        <v>1</v>
      </c>
      <c r="BE878" s="4">
        <v>5</v>
      </c>
      <c r="BF878" s="4" t="s">
        <v>3790</v>
      </c>
      <c r="BG878" s="4">
        <v>2800</v>
      </c>
      <c r="BH878" s="4">
        <v>2800</v>
      </c>
      <c r="BI878" s="4">
        <f t="shared" si="138"/>
        <v>560</v>
      </c>
      <c r="BJ878" s="19">
        <v>4</v>
      </c>
      <c r="BK878" s="19">
        <v>8</v>
      </c>
      <c r="BL878" s="16">
        <v>6</v>
      </c>
      <c r="BM878" s="45" t="s">
        <v>3534</v>
      </c>
      <c r="BN878" t="s">
        <v>3534</v>
      </c>
      <c r="BO878" t="str">
        <f t="shared" si="131"/>
        <v>-</v>
      </c>
      <c r="BP878">
        <v>496</v>
      </c>
      <c r="BQ878">
        <v>496</v>
      </c>
      <c r="BR878">
        <f t="shared" si="132"/>
        <v>496</v>
      </c>
      <c r="BS878" t="s">
        <v>3200</v>
      </c>
    </row>
    <row r="879" spans="1:71" x14ac:dyDescent="0.4">
      <c r="A879" s="3">
        <v>876</v>
      </c>
      <c r="B879" s="3">
        <v>876</v>
      </c>
      <c r="C879" s="4" t="s">
        <v>938</v>
      </c>
      <c r="D879" s="4" t="str">
        <f t="shared" si="133"/>
        <v>J7469N</v>
      </c>
      <c r="E879" s="4" t="s">
        <v>938</v>
      </c>
      <c r="F879" s="4" t="s">
        <v>2156</v>
      </c>
      <c r="G879" s="5">
        <v>4521718182568</v>
      </c>
      <c r="H879" s="5"/>
      <c r="I879" s="5"/>
      <c r="J879" s="5">
        <v>1</v>
      </c>
      <c r="K879" s="5">
        <v>1</v>
      </c>
      <c r="L879" s="4">
        <v>700</v>
      </c>
      <c r="M879" s="4">
        <v>457</v>
      </c>
      <c r="N879" s="4">
        <v>313</v>
      </c>
      <c r="O879" s="6">
        <f t="shared" si="134"/>
        <v>0.31509846827133481</v>
      </c>
      <c r="P879" s="4" t="s">
        <v>2500</v>
      </c>
      <c r="Q879" s="4"/>
      <c r="R879" s="4"/>
      <c r="S879" s="4"/>
      <c r="T879" s="4"/>
      <c r="U879" s="4"/>
      <c r="V879" s="4"/>
      <c r="W879" s="4"/>
      <c r="X879" s="4"/>
      <c r="Y879" s="4">
        <v>482</v>
      </c>
      <c r="Z879" s="4">
        <f t="shared" si="135"/>
        <v>482</v>
      </c>
      <c r="AA879" s="4">
        <v>313</v>
      </c>
      <c r="AB879" s="4">
        <f t="shared" si="136"/>
        <v>313</v>
      </c>
      <c r="AC879" s="4"/>
      <c r="AD879" s="21">
        <f>ROUND(M879*AR879,0)</f>
        <v>457</v>
      </c>
      <c r="AE879" s="6">
        <f>1-AB879/AD879</f>
        <v>0.31509846827133481</v>
      </c>
      <c r="AF879" s="33">
        <v>0.25</v>
      </c>
      <c r="AG879" s="4">
        <f t="shared" si="137"/>
        <v>700</v>
      </c>
      <c r="AH879" s="33">
        <f t="shared" si="130"/>
        <v>700</v>
      </c>
      <c r="AI879" s="6">
        <f>1-AB879/AH879</f>
        <v>0.55285714285714294</v>
      </c>
      <c r="AJ879" s="7">
        <f>ROUND(AB879/0.65,0)</f>
        <v>482</v>
      </c>
      <c r="AK879" s="6">
        <f>1-AB879/AJ879</f>
        <v>0.35062240663900412</v>
      </c>
      <c r="AL879" s="4">
        <f>AJ879-AB879</f>
        <v>169</v>
      </c>
      <c r="AM879" s="28"/>
      <c r="AN879" s="6"/>
      <c r="AO879" s="6"/>
      <c r="AP879" s="6">
        <f>Z879/L879</f>
        <v>0.68857142857142861</v>
      </c>
      <c r="AQ879" s="6">
        <f>AJ879/M879</f>
        <v>1.0547045951859957</v>
      </c>
      <c r="AR879" s="6">
        <f>AB879/N879</f>
        <v>1</v>
      </c>
      <c r="AS879" s="4"/>
      <c r="AT879" s="4"/>
      <c r="AU879" s="4"/>
      <c r="AV879" s="4"/>
      <c r="AW879" s="4"/>
      <c r="AX879" s="4"/>
      <c r="AY879" s="4"/>
      <c r="AZ879" s="4"/>
      <c r="BA879" s="4"/>
      <c r="BB879" s="4">
        <v>0</v>
      </c>
      <c r="BC879" s="4" t="s">
        <v>4340</v>
      </c>
      <c r="BD879" s="4">
        <v>1</v>
      </c>
      <c r="BE879" s="4">
        <v>4</v>
      </c>
      <c r="BF879" s="4" t="s">
        <v>4341</v>
      </c>
      <c r="BG879" s="4">
        <v>2800</v>
      </c>
      <c r="BH879" s="4">
        <v>2800</v>
      </c>
      <c r="BI879" s="4">
        <f t="shared" si="138"/>
        <v>700</v>
      </c>
      <c r="BJ879" s="19">
        <v>4</v>
      </c>
      <c r="BK879" s="19">
        <v>8</v>
      </c>
      <c r="BL879" s="16">
        <v>6</v>
      </c>
      <c r="BM879" s="45" t="s">
        <v>3534</v>
      </c>
      <c r="BN879" t="s">
        <v>3534</v>
      </c>
      <c r="BO879" t="str">
        <f t="shared" si="131"/>
        <v>-</v>
      </c>
      <c r="BP879">
        <v>626</v>
      </c>
      <c r="BQ879">
        <v>626</v>
      </c>
      <c r="BR879">
        <f t="shared" si="132"/>
        <v>626</v>
      </c>
      <c r="BS879" t="s">
        <v>3201</v>
      </c>
    </row>
    <row r="880" spans="1:71" x14ac:dyDescent="0.4">
      <c r="A880" s="3">
        <v>877</v>
      </c>
      <c r="B880" s="3">
        <v>877</v>
      </c>
      <c r="C880" s="4" t="s">
        <v>939</v>
      </c>
      <c r="D880" s="4" t="str">
        <f t="shared" si="133"/>
        <v>J7476N</v>
      </c>
      <c r="E880" s="4" t="s">
        <v>939</v>
      </c>
      <c r="F880" s="4" t="s">
        <v>2157</v>
      </c>
      <c r="G880" s="5">
        <v>4521718182636</v>
      </c>
      <c r="H880" s="5"/>
      <c r="I880" s="5"/>
      <c r="J880" s="5">
        <v>1</v>
      </c>
      <c r="K880" s="5">
        <v>1</v>
      </c>
      <c r="L880" s="4">
        <v>560</v>
      </c>
      <c r="M880" s="4">
        <v>389</v>
      </c>
      <c r="N880" s="4">
        <v>248</v>
      </c>
      <c r="O880" s="6">
        <f t="shared" si="134"/>
        <v>0.36246786632390748</v>
      </c>
      <c r="P880" s="4" t="s">
        <v>2500</v>
      </c>
      <c r="Q880" s="4"/>
      <c r="R880" s="4"/>
      <c r="S880" s="4"/>
      <c r="T880" s="4"/>
      <c r="U880" s="4"/>
      <c r="V880" s="4"/>
      <c r="W880" s="4"/>
      <c r="X880" s="4"/>
      <c r="Y880" s="4">
        <v>382</v>
      </c>
      <c r="Z880" s="4">
        <f t="shared" si="135"/>
        <v>382</v>
      </c>
      <c r="AA880" s="4">
        <v>248</v>
      </c>
      <c r="AB880" s="4">
        <f t="shared" si="136"/>
        <v>248</v>
      </c>
      <c r="AC880" s="4"/>
      <c r="AD880" s="21">
        <f>ROUND(M880*AR880,0)</f>
        <v>389</v>
      </c>
      <c r="AE880" s="6">
        <f>1-AB880/AD880</f>
        <v>0.36246786632390748</v>
      </c>
      <c r="AF880" s="33">
        <v>0</v>
      </c>
      <c r="AG880" s="4">
        <f t="shared" si="137"/>
        <v>355</v>
      </c>
      <c r="AH880" s="33">
        <f t="shared" si="130"/>
        <v>355</v>
      </c>
      <c r="AI880" s="6">
        <f>1-AB880/AH880</f>
        <v>0.30140845070422539</v>
      </c>
      <c r="AJ880" s="7">
        <v>355</v>
      </c>
      <c r="AK880" s="6">
        <f>1-AB880/AJ880</f>
        <v>0.30140845070422539</v>
      </c>
      <c r="AL880" s="4">
        <f>AJ880-AB880</f>
        <v>107</v>
      </c>
      <c r="AM880" s="28"/>
      <c r="AN880" s="6"/>
      <c r="AO880" s="6"/>
      <c r="AP880" s="6">
        <f>Z880/L880</f>
        <v>0.68214285714285716</v>
      </c>
      <c r="AQ880" s="6">
        <f>AJ880/M880</f>
        <v>0.91259640102827766</v>
      </c>
      <c r="AR880" s="6">
        <f>AB880/N880</f>
        <v>1</v>
      </c>
      <c r="AS880" s="4"/>
      <c r="AT880" s="4"/>
      <c r="AU880" s="4"/>
      <c r="AV880" s="4"/>
      <c r="AW880" s="4"/>
      <c r="AX880" s="4"/>
      <c r="AY880" s="4"/>
      <c r="AZ880" s="4"/>
      <c r="BA880" s="4"/>
      <c r="BB880" s="4">
        <v>0</v>
      </c>
      <c r="BC880" s="4" t="s">
        <v>4342</v>
      </c>
      <c r="BD880" s="4"/>
      <c r="BE880" s="4"/>
      <c r="BF880" s="4" t="s">
        <v>3649</v>
      </c>
      <c r="BG880" s="4">
        <v>355</v>
      </c>
      <c r="BH880" s="4">
        <v>355</v>
      </c>
      <c r="BI880" s="4">
        <f t="shared" si="138"/>
        <v>355</v>
      </c>
      <c r="BJ880" s="19">
        <v>4</v>
      </c>
      <c r="BK880" s="19">
        <v>1</v>
      </c>
      <c r="BL880" s="16">
        <v>6</v>
      </c>
      <c r="BM880" s="45" t="s">
        <v>3534</v>
      </c>
      <c r="BN880" t="s">
        <v>3534</v>
      </c>
      <c r="BO880" t="str">
        <f t="shared" si="131"/>
        <v>-</v>
      </c>
      <c r="BP880">
        <v>496</v>
      </c>
      <c r="BQ880">
        <v>496</v>
      </c>
      <c r="BR880">
        <f t="shared" si="132"/>
        <v>496</v>
      </c>
      <c r="BS880" t="s">
        <v>3202</v>
      </c>
    </row>
    <row r="881" spans="1:71" x14ac:dyDescent="0.4">
      <c r="A881" s="3">
        <v>878</v>
      </c>
      <c r="B881" s="3">
        <v>878</v>
      </c>
      <c r="C881" s="4" t="s">
        <v>940</v>
      </c>
      <c r="D881" s="4" t="str">
        <f t="shared" si="133"/>
        <v>J7477N</v>
      </c>
      <c r="E881" s="4" t="s">
        <v>940</v>
      </c>
      <c r="F881" s="4" t="s">
        <v>2158</v>
      </c>
      <c r="G881" s="5">
        <v>4521718182643</v>
      </c>
      <c r="H881" s="5"/>
      <c r="I881" s="5"/>
      <c r="J881" s="5">
        <v>1</v>
      </c>
      <c r="K881" s="5">
        <v>1</v>
      </c>
      <c r="L881" s="4">
        <v>560</v>
      </c>
      <c r="M881" s="4">
        <v>362</v>
      </c>
      <c r="N881" s="4">
        <v>248</v>
      </c>
      <c r="O881" s="6">
        <f t="shared" si="134"/>
        <v>0.31491712707182318</v>
      </c>
      <c r="P881" s="4" t="s">
        <v>2500</v>
      </c>
      <c r="Q881" s="4"/>
      <c r="R881" s="4"/>
      <c r="S881" s="4"/>
      <c r="T881" s="4"/>
      <c r="U881" s="4"/>
      <c r="V881" s="4"/>
      <c r="W881" s="4"/>
      <c r="X881" s="4"/>
      <c r="Y881" s="4">
        <v>382</v>
      </c>
      <c r="Z881" s="4">
        <f t="shared" si="135"/>
        <v>382</v>
      </c>
      <c r="AA881" s="4">
        <v>248</v>
      </c>
      <c r="AB881" s="4">
        <f t="shared" si="136"/>
        <v>248</v>
      </c>
      <c r="AC881" s="4"/>
      <c r="AD881" s="21">
        <f>ROUND(M881*AR881,0)</f>
        <v>362</v>
      </c>
      <c r="AE881" s="6">
        <f>1-AB881/AD881</f>
        <v>0.31491712707182318</v>
      </c>
      <c r="AF881" s="33">
        <v>0</v>
      </c>
      <c r="AG881" s="4">
        <f t="shared" si="137"/>
        <v>355</v>
      </c>
      <c r="AH881" s="33">
        <f t="shared" si="130"/>
        <v>355</v>
      </c>
      <c r="AI881" s="6">
        <f>1-AB881/AH881</f>
        <v>0.30140845070422539</v>
      </c>
      <c r="AJ881" s="7">
        <v>355</v>
      </c>
      <c r="AK881" s="6">
        <f>1-AB881/AJ881</f>
        <v>0.30140845070422539</v>
      </c>
      <c r="AL881" s="4">
        <f>AJ881-AB881</f>
        <v>107</v>
      </c>
      <c r="AM881" s="28"/>
      <c r="AN881" s="6"/>
      <c r="AO881" s="6"/>
      <c r="AP881" s="6">
        <f>Z881/L881</f>
        <v>0.68214285714285716</v>
      </c>
      <c r="AQ881" s="6">
        <f>AJ881/M881</f>
        <v>0.98066298342541436</v>
      </c>
      <c r="AR881" s="6">
        <f>AB881/N881</f>
        <v>1</v>
      </c>
      <c r="AS881" s="4"/>
      <c r="AT881" s="4"/>
      <c r="AU881" s="4"/>
      <c r="AV881" s="4"/>
      <c r="AW881" s="4"/>
      <c r="AX881" s="4"/>
      <c r="AY881" s="4"/>
      <c r="AZ881" s="4"/>
      <c r="BA881" s="4"/>
      <c r="BB881" s="4">
        <v>0</v>
      </c>
      <c r="BC881" s="4" t="s">
        <v>4343</v>
      </c>
      <c r="BD881" s="4"/>
      <c r="BE881" s="4"/>
      <c r="BF881" s="4" t="s">
        <v>3649</v>
      </c>
      <c r="BG881" s="4">
        <v>355</v>
      </c>
      <c r="BH881" s="4">
        <v>355</v>
      </c>
      <c r="BI881" s="4">
        <f t="shared" si="138"/>
        <v>355</v>
      </c>
      <c r="BJ881" s="19">
        <v>4</v>
      </c>
      <c r="BK881" s="19">
        <v>8</v>
      </c>
      <c r="BL881" s="16">
        <v>6</v>
      </c>
      <c r="BM881" s="45" t="s">
        <v>3534</v>
      </c>
      <c r="BN881" t="s">
        <v>3534</v>
      </c>
      <c r="BO881" t="str">
        <f t="shared" si="131"/>
        <v>-</v>
      </c>
      <c r="BP881">
        <v>496</v>
      </c>
      <c r="BQ881">
        <v>496</v>
      </c>
      <c r="BR881">
        <f t="shared" si="132"/>
        <v>496</v>
      </c>
      <c r="BS881" t="s">
        <v>3203</v>
      </c>
    </row>
    <row r="882" spans="1:71" x14ac:dyDescent="0.4">
      <c r="A882" s="3">
        <v>879</v>
      </c>
      <c r="B882" s="3">
        <v>879</v>
      </c>
      <c r="C882" s="4" t="s">
        <v>941</v>
      </c>
      <c r="D882" s="4" t="str">
        <f t="shared" si="133"/>
        <v>J7478N</v>
      </c>
      <c r="E882" s="4" t="s">
        <v>941</v>
      </c>
      <c r="F882" s="4" t="s">
        <v>2159</v>
      </c>
      <c r="G882" s="5">
        <v>4521718182650</v>
      </c>
      <c r="H882" s="5"/>
      <c r="I882" s="5"/>
      <c r="J882" s="5">
        <v>1</v>
      </c>
      <c r="K882" s="5">
        <v>1</v>
      </c>
      <c r="L882" s="4">
        <v>560</v>
      </c>
      <c r="M882" s="4">
        <v>389</v>
      </c>
      <c r="N882" s="4">
        <v>248</v>
      </c>
      <c r="O882" s="6">
        <f t="shared" si="134"/>
        <v>0.36246786632390748</v>
      </c>
      <c r="P882" s="4" t="s">
        <v>2500</v>
      </c>
      <c r="Q882" s="4"/>
      <c r="R882" s="4"/>
      <c r="S882" s="4"/>
      <c r="T882" s="4"/>
      <c r="U882" s="4"/>
      <c r="V882" s="4"/>
      <c r="W882" s="4"/>
      <c r="X882" s="4"/>
      <c r="Y882" s="4">
        <v>382</v>
      </c>
      <c r="Z882" s="4">
        <f t="shared" si="135"/>
        <v>382</v>
      </c>
      <c r="AA882" s="4">
        <v>248</v>
      </c>
      <c r="AB882" s="4">
        <f t="shared" si="136"/>
        <v>248</v>
      </c>
      <c r="AC882" s="4"/>
      <c r="AD882" s="21">
        <f>ROUND(M882*AR882,0)</f>
        <v>389</v>
      </c>
      <c r="AE882" s="6">
        <f>1-AB882/AD882</f>
        <v>0.36246786632390748</v>
      </c>
      <c r="AF882" s="33">
        <v>0</v>
      </c>
      <c r="AG882" s="4">
        <f t="shared" si="137"/>
        <v>355</v>
      </c>
      <c r="AH882" s="33">
        <f t="shared" si="130"/>
        <v>355</v>
      </c>
      <c r="AI882" s="6">
        <f>1-AB882/AH882</f>
        <v>0.30140845070422539</v>
      </c>
      <c r="AJ882" s="7">
        <v>355</v>
      </c>
      <c r="AK882" s="6">
        <f>1-AB882/AJ882</f>
        <v>0.30140845070422539</v>
      </c>
      <c r="AL882" s="4">
        <f>AJ882-AB882</f>
        <v>107</v>
      </c>
      <c r="AM882" s="28"/>
      <c r="AN882" s="6"/>
      <c r="AO882" s="6"/>
      <c r="AP882" s="6">
        <f>Z882/L882</f>
        <v>0.68214285714285716</v>
      </c>
      <c r="AQ882" s="6">
        <f>AJ882/M882</f>
        <v>0.91259640102827766</v>
      </c>
      <c r="AR882" s="6">
        <f>AB882/N882</f>
        <v>1</v>
      </c>
      <c r="AS882" s="4"/>
      <c r="AT882" s="4"/>
      <c r="AU882" s="4"/>
      <c r="AV882" s="4"/>
      <c r="AW882" s="4"/>
      <c r="AX882" s="4"/>
      <c r="AY882" s="4"/>
      <c r="AZ882" s="4"/>
      <c r="BA882" s="4"/>
      <c r="BB882" s="4">
        <v>0</v>
      </c>
      <c r="BC882" s="4" t="s">
        <v>4344</v>
      </c>
      <c r="BD882" s="4"/>
      <c r="BE882" s="4"/>
      <c r="BF882" s="4" t="s">
        <v>3649</v>
      </c>
      <c r="BG882" s="4">
        <v>355</v>
      </c>
      <c r="BH882" s="4">
        <v>355</v>
      </c>
      <c r="BI882" s="4">
        <f t="shared" si="138"/>
        <v>355</v>
      </c>
      <c r="BJ882" s="19">
        <v>4</v>
      </c>
      <c r="BK882" s="19">
        <v>8</v>
      </c>
      <c r="BL882" s="16">
        <v>6</v>
      </c>
      <c r="BM882" s="45" t="s">
        <v>3534</v>
      </c>
      <c r="BN882" t="s">
        <v>3534</v>
      </c>
      <c r="BO882" t="str">
        <f t="shared" si="131"/>
        <v>-</v>
      </c>
      <c r="BP882">
        <v>496</v>
      </c>
      <c r="BQ882">
        <v>496</v>
      </c>
      <c r="BR882">
        <f t="shared" si="132"/>
        <v>496</v>
      </c>
      <c r="BS882" t="s">
        <v>3204</v>
      </c>
    </row>
    <row r="883" spans="1:71" x14ac:dyDescent="0.4">
      <c r="A883" s="3">
        <v>880</v>
      </c>
      <c r="B883" s="3">
        <v>880</v>
      </c>
      <c r="C883" s="4" t="s">
        <v>942</v>
      </c>
      <c r="D883" s="4" t="str">
        <f t="shared" si="133"/>
        <v>J7480N</v>
      </c>
      <c r="E883" s="4" t="s">
        <v>942</v>
      </c>
      <c r="F883" s="4" t="s">
        <v>2160</v>
      </c>
      <c r="G883" s="5">
        <v>4521718182773</v>
      </c>
      <c r="H883" s="5"/>
      <c r="I883" s="5"/>
      <c r="J883" s="5">
        <v>1</v>
      </c>
      <c r="K883" s="5">
        <v>1</v>
      </c>
      <c r="L883" s="4">
        <v>840</v>
      </c>
      <c r="M883" s="4">
        <v>553</v>
      </c>
      <c r="N883" s="4">
        <v>378</v>
      </c>
      <c r="O883" s="6">
        <f t="shared" si="134"/>
        <v>0.31645569620253167</v>
      </c>
      <c r="P883" s="4" t="s">
        <v>2500</v>
      </c>
      <c r="Q883" s="4"/>
      <c r="R883" s="4"/>
      <c r="S883" s="4"/>
      <c r="T883" s="4"/>
      <c r="U883" s="4"/>
      <c r="V883" s="4"/>
      <c r="W883" s="4"/>
      <c r="X883" s="4"/>
      <c r="Y883" s="4">
        <v>582</v>
      </c>
      <c r="Z883" s="4">
        <f t="shared" si="135"/>
        <v>582</v>
      </c>
      <c r="AA883" s="4">
        <v>378</v>
      </c>
      <c r="AB883" s="4">
        <f t="shared" si="136"/>
        <v>378</v>
      </c>
      <c r="AC883" s="4"/>
      <c r="AD883" s="21">
        <f>ROUND(M883*AR883,0)</f>
        <v>553</v>
      </c>
      <c r="AE883" s="6">
        <f>1-AB883/AD883</f>
        <v>0.31645569620253167</v>
      </c>
      <c r="AF883" s="33">
        <v>0</v>
      </c>
      <c r="AG883" s="4">
        <f t="shared" si="137"/>
        <v>840</v>
      </c>
      <c r="AH883" s="33">
        <f t="shared" si="130"/>
        <v>840</v>
      </c>
      <c r="AI883" s="6">
        <f>1-AB883/AH883</f>
        <v>0.55000000000000004</v>
      </c>
      <c r="AJ883" s="7">
        <f>ROUND(AB883/0.65,0)</f>
        <v>582</v>
      </c>
      <c r="AK883" s="6">
        <f>1-AB883/AJ883</f>
        <v>0.35051546391752575</v>
      </c>
      <c r="AL883" s="4">
        <f>AJ883-AB883</f>
        <v>204</v>
      </c>
      <c r="AM883" s="28"/>
      <c r="AN883" s="6"/>
      <c r="AO883" s="6"/>
      <c r="AP883" s="6">
        <f>Z883/L883</f>
        <v>0.69285714285714284</v>
      </c>
      <c r="AQ883" s="6">
        <f>AJ883/M883</f>
        <v>1.0524412296564196</v>
      </c>
      <c r="AR883" s="6">
        <f>AB883/N883</f>
        <v>1</v>
      </c>
      <c r="AS883" s="4"/>
      <c r="AT883" s="4"/>
      <c r="AU883" s="4"/>
      <c r="AV883" s="4"/>
      <c r="AW883" s="4"/>
      <c r="AX883" s="4"/>
      <c r="AY883" s="4"/>
      <c r="AZ883" s="4"/>
      <c r="BA883" s="4"/>
      <c r="BB883" s="4">
        <v>0</v>
      </c>
      <c r="BC883" s="4" t="s">
        <v>4345</v>
      </c>
      <c r="BD883" s="4">
        <v>1</v>
      </c>
      <c r="BE883" s="4">
        <v>3</v>
      </c>
      <c r="BF883" s="4" t="s">
        <v>4346</v>
      </c>
      <c r="BG883" s="4">
        <v>2520</v>
      </c>
      <c r="BH883" s="4">
        <v>2520</v>
      </c>
      <c r="BI883" s="4">
        <f t="shared" si="138"/>
        <v>840</v>
      </c>
      <c r="BJ883" s="19">
        <v>4</v>
      </c>
      <c r="BK883" s="19">
        <v>8</v>
      </c>
      <c r="BL883" s="16">
        <v>6</v>
      </c>
      <c r="BM883" s="45" t="s">
        <v>3534</v>
      </c>
      <c r="BN883" t="s">
        <v>3534</v>
      </c>
      <c r="BO883" t="str">
        <f t="shared" si="131"/>
        <v>-</v>
      </c>
      <c r="BP883">
        <v>756</v>
      </c>
      <c r="BQ883">
        <v>756</v>
      </c>
      <c r="BR883">
        <f t="shared" si="132"/>
        <v>756</v>
      </c>
      <c r="BS883" t="s">
        <v>3205</v>
      </c>
    </row>
    <row r="884" spans="1:71" x14ac:dyDescent="0.4">
      <c r="A884" s="3">
        <v>881</v>
      </c>
      <c r="B884" s="3">
        <v>881</v>
      </c>
      <c r="C884" s="4" t="s">
        <v>943</v>
      </c>
      <c r="D884" s="4" t="str">
        <f t="shared" si="133"/>
        <v>J7481N</v>
      </c>
      <c r="E884" s="4" t="s">
        <v>943</v>
      </c>
      <c r="F884" s="4" t="s">
        <v>2161</v>
      </c>
      <c r="G884" s="5">
        <v>4521718182780</v>
      </c>
      <c r="H884" s="5"/>
      <c r="I884" s="5"/>
      <c r="J884" s="5">
        <v>1</v>
      </c>
      <c r="K884" s="5">
        <v>1</v>
      </c>
      <c r="L884" s="4">
        <v>840</v>
      </c>
      <c r="M884" s="4">
        <v>553</v>
      </c>
      <c r="N884" s="4">
        <v>378</v>
      </c>
      <c r="O884" s="6">
        <f t="shared" si="134"/>
        <v>0.31645569620253167</v>
      </c>
      <c r="P884" s="4" t="s">
        <v>2500</v>
      </c>
      <c r="Q884" s="4"/>
      <c r="R884" s="4"/>
      <c r="S884" s="4"/>
      <c r="T884" s="4"/>
      <c r="U884" s="4"/>
      <c r="V884" s="4"/>
      <c r="W884" s="4"/>
      <c r="X884" s="4"/>
      <c r="Y884" s="4">
        <v>582</v>
      </c>
      <c r="Z884" s="4">
        <f t="shared" si="135"/>
        <v>582</v>
      </c>
      <c r="AA884" s="4">
        <v>378</v>
      </c>
      <c r="AB884" s="4">
        <f t="shared" si="136"/>
        <v>378</v>
      </c>
      <c r="AC884" s="4"/>
      <c r="AD884" s="21">
        <f>ROUND(M884*AR884,0)</f>
        <v>553</v>
      </c>
      <c r="AE884" s="6">
        <f>1-AB884/AD884</f>
        <v>0.31645569620253167</v>
      </c>
      <c r="AF884" s="33">
        <v>0</v>
      </c>
      <c r="AG884" s="4">
        <f t="shared" si="137"/>
        <v>840</v>
      </c>
      <c r="AH884" s="33">
        <f t="shared" si="130"/>
        <v>840</v>
      </c>
      <c r="AI884" s="6">
        <f>1-AB884/AH884</f>
        <v>0.55000000000000004</v>
      </c>
      <c r="AJ884" s="7">
        <f>ROUND(AB884/0.65,0)</f>
        <v>582</v>
      </c>
      <c r="AK884" s="6">
        <f>1-AB884/AJ884</f>
        <v>0.35051546391752575</v>
      </c>
      <c r="AL884" s="4">
        <f>AJ884-AB884</f>
        <v>204</v>
      </c>
      <c r="AM884" s="28"/>
      <c r="AN884" s="6"/>
      <c r="AO884" s="6"/>
      <c r="AP884" s="6">
        <f>Z884/L884</f>
        <v>0.69285714285714284</v>
      </c>
      <c r="AQ884" s="6">
        <f>AJ884/M884</f>
        <v>1.0524412296564196</v>
      </c>
      <c r="AR884" s="6">
        <f>AB884/N884</f>
        <v>1</v>
      </c>
      <c r="AS884" s="4"/>
      <c r="AT884" s="4"/>
      <c r="AU884" s="4"/>
      <c r="AV884" s="4"/>
      <c r="AW884" s="4"/>
      <c r="AX884" s="4"/>
      <c r="AY884" s="4"/>
      <c r="AZ884" s="4"/>
      <c r="BA884" s="4"/>
      <c r="BB884" s="4">
        <v>0</v>
      </c>
      <c r="BC884" s="4" t="s">
        <v>4347</v>
      </c>
      <c r="BD884" s="4">
        <v>1</v>
      </c>
      <c r="BE884" s="4">
        <v>3</v>
      </c>
      <c r="BF884" s="4" t="s">
        <v>4346</v>
      </c>
      <c r="BG884" s="4">
        <v>2520</v>
      </c>
      <c r="BH884" s="4">
        <v>2520</v>
      </c>
      <c r="BI884" s="4">
        <f t="shared" si="138"/>
        <v>840</v>
      </c>
      <c r="BJ884" s="19">
        <v>4</v>
      </c>
      <c r="BK884" s="19">
        <v>8</v>
      </c>
      <c r="BL884" s="16">
        <v>6</v>
      </c>
      <c r="BM884" s="45" t="s">
        <v>3534</v>
      </c>
      <c r="BN884" t="s">
        <v>3534</v>
      </c>
      <c r="BO884" t="str">
        <f t="shared" si="131"/>
        <v>-</v>
      </c>
      <c r="BP884">
        <v>756</v>
      </c>
      <c r="BQ884">
        <v>756</v>
      </c>
      <c r="BR884">
        <f t="shared" si="132"/>
        <v>756</v>
      </c>
      <c r="BS884" t="s">
        <v>3206</v>
      </c>
    </row>
    <row r="885" spans="1:71" x14ac:dyDescent="0.4">
      <c r="A885" s="3">
        <v>882</v>
      </c>
      <c r="B885" s="3">
        <v>882</v>
      </c>
      <c r="C885" s="4" t="s">
        <v>944</v>
      </c>
      <c r="D885" s="4" t="str">
        <f t="shared" si="133"/>
        <v>J7482N</v>
      </c>
      <c r="E885" s="4" t="s">
        <v>944</v>
      </c>
      <c r="F885" s="4" t="s">
        <v>2162</v>
      </c>
      <c r="G885" s="5">
        <v>4521718182797</v>
      </c>
      <c r="H885" s="5"/>
      <c r="I885" s="5"/>
      <c r="J885" s="5">
        <v>1</v>
      </c>
      <c r="K885" s="5">
        <v>1</v>
      </c>
      <c r="L885" s="4">
        <v>840</v>
      </c>
      <c r="M885" s="4">
        <v>553</v>
      </c>
      <c r="N885" s="4">
        <v>378</v>
      </c>
      <c r="O885" s="6">
        <f t="shared" si="134"/>
        <v>0.31645569620253167</v>
      </c>
      <c r="P885" s="4" t="s">
        <v>2500</v>
      </c>
      <c r="Q885" s="4"/>
      <c r="R885" s="4"/>
      <c r="S885" s="4"/>
      <c r="T885" s="4"/>
      <c r="U885" s="4"/>
      <c r="V885" s="4"/>
      <c r="W885" s="4"/>
      <c r="X885" s="4"/>
      <c r="Y885" s="4">
        <v>582</v>
      </c>
      <c r="Z885" s="4">
        <f t="shared" si="135"/>
        <v>582</v>
      </c>
      <c r="AA885" s="4">
        <v>378</v>
      </c>
      <c r="AB885" s="4">
        <f t="shared" si="136"/>
        <v>378</v>
      </c>
      <c r="AC885" s="4"/>
      <c r="AD885" s="21">
        <f>ROUND(M885*AR885,0)</f>
        <v>553</v>
      </c>
      <c r="AE885" s="6">
        <f>1-AB885/AD885</f>
        <v>0.31645569620253167</v>
      </c>
      <c r="AF885" s="33">
        <v>0</v>
      </c>
      <c r="AG885" s="4">
        <f t="shared" si="137"/>
        <v>840</v>
      </c>
      <c r="AH885" s="33">
        <f t="shared" si="130"/>
        <v>840</v>
      </c>
      <c r="AI885" s="6">
        <f>1-AB885/AH885</f>
        <v>0.55000000000000004</v>
      </c>
      <c r="AJ885" s="7">
        <f>ROUND(AB885/0.65,0)</f>
        <v>582</v>
      </c>
      <c r="AK885" s="6">
        <f>1-AB885/AJ885</f>
        <v>0.35051546391752575</v>
      </c>
      <c r="AL885" s="4">
        <f>AJ885-AB885</f>
        <v>204</v>
      </c>
      <c r="AM885" s="28"/>
      <c r="AN885" s="6"/>
      <c r="AO885" s="6"/>
      <c r="AP885" s="6">
        <f>Z885/L885</f>
        <v>0.69285714285714284</v>
      </c>
      <c r="AQ885" s="6">
        <f>AJ885/M885</f>
        <v>1.0524412296564196</v>
      </c>
      <c r="AR885" s="6">
        <f>AB885/N885</f>
        <v>1</v>
      </c>
      <c r="AS885" s="4"/>
      <c r="AT885" s="4"/>
      <c r="AU885" s="4"/>
      <c r="AV885" s="4"/>
      <c r="AW885" s="4"/>
      <c r="AX885" s="4"/>
      <c r="AY885" s="4"/>
      <c r="AZ885" s="4"/>
      <c r="BA885" s="4"/>
      <c r="BB885" s="4">
        <v>0</v>
      </c>
      <c r="BC885" s="4" t="s">
        <v>4348</v>
      </c>
      <c r="BD885" s="4">
        <v>1</v>
      </c>
      <c r="BE885" s="4">
        <v>3</v>
      </c>
      <c r="BF885" s="4" t="s">
        <v>4346</v>
      </c>
      <c r="BG885" s="4">
        <v>2520</v>
      </c>
      <c r="BH885" s="4">
        <v>2520</v>
      </c>
      <c r="BI885" s="4">
        <f t="shared" si="138"/>
        <v>840</v>
      </c>
      <c r="BJ885" s="19">
        <v>4</v>
      </c>
      <c r="BK885" s="19">
        <v>8</v>
      </c>
      <c r="BL885" s="16">
        <v>6</v>
      </c>
      <c r="BM885" s="45" t="s">
        <v>3534</v>
      </c>
      <c r="BN885" t="s">
        <v>3534</v>
      </c>
      <c r="BO885" t="str">
        <f t="shared" si="131"/>
        <v>-</v>
      </c>
      <c r="BP885">
        <v>756</v>
      </c>
      <c r="BQ885">
        <v>756</v>
      </c>
      <c r="BR885">
        <f t="shared" si="132"/>
        <v>756</v>
      </c>
      <c r="BS885" t="s">
        <v>3207</v>
      </c>
    </row>
    <row r="886" spans="1:71" x14ac:dyDescent="0.4">
      <c r="A886" s="3">
        <v>883</v>
      </c>
      <c r="B886" s="3">
        <v>883</v>
      </c>
      <c r="C886" s="4" t="s">
        <v>945</v>
      </c>
      <c r="D886" s="4" t="str">
        <f t="shared" si="133"/>
        <v>J7483N</v>
      </c>
      <c r="E886" s="4" t="s">
        <v>945</v>
      </c>
      <c r="F886" s="4" t="s">
        <v>2163</v>
      </c>
      <c r="G886" s="5">
        <v>4521718182803</v>
      </c>
      <c r="H886" s="5"/>
      <c r="I886" s="5"/>
      <c r="J886" s="5">
        <v>1</v>
      </c>
      <c r="K886" s="5">
        <v>1</v>
      </c>
      <c r="L886" s="4">
        <v>780</v>
      </c>
      <c r="M886" s="4">
        <v>548</v>
      </c>
      <c r="N886" s="4">
        <v>349</v>
      </c>
      <c r="O886" s="6">
        <f t="shared" si="134"/>
        <v>0.36313868613138689</v>
      </c>
      <c r="P886" s="4" t="s">
        <v>2500</v>
      </c>
      <c r="Q886" s="4"/>
      <c r="R886" s="4"/>
      <c r="S886" s="4"/>
      <c r="T886" s="4"/>
      <c r="U886" s="4"/>
      <c r="V886" s="4"/>
      <c r="W886" s="4"/>
      <c r="X886" s="4"/>
      <c r="Y886" s="4">
        <v>537</v>
      </c>
      <c r="Z886" s="4">
        <f t="shared" si="135"/>
        <v>537</v>
      </c>
      <c r="AA886" s="4">
        <v>349</v>
      </c>
      <c r="AB886" s="4">
        <f t="shared" si="136"/>
        <v>349</v>
      </c>
      <c r="AC886" s="4"/>
      <c r="AD886" s="21">
        <f>ROUND(M886*AR886,0)</f>
        <v>548</v>
      </c>
      <c r="AE886" s="6">
        <f>1-AB886/AD886</f>
        <v>0.36313868613138689</v>
      </c>
      <c r="AF886" s="33">
        <v>0.5</v>
      </c>
      <c r="AG886" s="4">
        <f t="shared" si="137"/>
        <v>780</v>
      </c>
      <c r="AH886" s="33">
        <f t="shared" si="130"/>
        <v>780</v>
      </c>
      <c r="AI886" s="6">
        <f>1-AB886/AH886</f>
        <v>0.5525641025641026</v>
      </c>
      <c r="AJ886" s="7">
        <f>ROUND(AB886/0.65,0)</f>
        <v>537</v>
      </c>
      <c r="AK886" s="6">
        <f>1-AB886/AJ886</f>
        <v>0.35009310986964615</v>
      </c>
      <c r="AL886" s="4">
        <f>AJ886-AB886</f>
        <v>188</v>
      </c>
      <c r="AM886" s="28"/>
      <c r="AN886" s="6"/>
      <c r="AO886" s="6"/>
      <c r="AP886" s="6">
        <f>Z886/L886</f>
        <v>0.68846153846153846</v>
      </c>
      <c r="AQ886" s="6">
        <f>AJ886/M886</f>
        <v>0.97992700729927007</v>
      </c>
      <c r="AR886" s="6">
        <f>AB886/N886</f>
        <v>1</v>
      </c>
      <c r="AS886" s="4"/>
      <c r="AT886" s="4"/>
      <c r="AU886" s="4"/>
      <c r="AV886" s="4"/>
      <c r="AW886" s="4"/>
      <c r="AX886" s="4"/>
      <c r="AY886" s="4"/>
      <c r="AZ886" s="4"/>
      <c r="BA886" s="4"/>
      <c r="BB886" s="4">
        <v>0</v>
      </c>
      <c r="BC886" s="4" t="s">
        <v>4349</v>
      </c>
      <c r="BD886" s="4">
        <v>1</v>
      </c>
      <c r="BE886" s="4">
        <v>4</v>
      </c>
      <c r="BF886" s="4" t="s">
        <v>4341</v>
      </c>
      <c r="BG886" s="4">
        <v>3120</v>
      </c>
      <c r="BH886" s="4">
        <v>3120</v>
      </c>
      <c r="BI886" s="4">
        <f t="shared" si="138"/>
        <v>780</v>
      </c>
      <c r="BJ886" s="19">
        <v>4</v>
      </c>
      <c r="BK886" s="19">
        <v>8</v>
      </c>
      <c r="BL886" s="16">
        <v>6</v>
      </c>
      <c r="BM886" s="45" t="s">
        <v>3534</v>
      </c>
      <c r="BN886" t="s">
        <v>3534</v>
      </c>
      <c r="BO886" t="str">
        <f t="shared" si="131"/>
        <v>-</v>
      </c>
      <c r="BP886">
        <v>698</v>
      </c>
      <c r="BQ886">
        <v>698</v>
      </c>
      <c r="BR886">
        <f t="shared" si="132"/>
        <v>698</v>
      </c>
      <c r="BS886" t="s">
        <v>3208</v>
      </c>
    </row>
    <row r="887" spans="1:71" x14ac:dyDescent="0.4">
      <c r="A887" s="3">
        <v>884</v>
      </c>
      <c r="B887" s="3">
        <v>884</v>
      </c>
      <c r="C887" s="4" t="s">
        <v>946</v>
      </c>
      <c r="D887" s="4" t="str">
        <f t="shared" si="133"/>
        <v>J7484N</v>
      </c>
      <c r="E887" s="4" t="s">
        <v>946</v>
      </c>
      <c r="F887" s="4" t="s">
        <v>2164</v>
      </c>
      <c r="G887" s="5">
        <v>4521718182810</v>
      </c>
      <c r="H887" s="5"/>
      <c r="I887" s="5"/>
      <c r="J887" s="5">
        <v>1</v>
      </c>
      <c r="K887" s="5">
        <v>1</v>
      </c>
      <c r="L887" s="4">
        <v>780</v>
      </c>
      <c r="M887" s="4">
        <v>510</v>
      </c>
      <c r="N887" s="4">
        <v>349</v>
      </c>
      <c r="O887" s="6">
        <f t="shared" si="134"/>
        <v>0.31568627450980391</v>
      </c>
      <c r="P887" s="4" t="s">
        <v>2500</v>
      </c>
      <c r="Q887" s="4"/>
      <c r="R887" s="4"/>
      <c r="S887" s="4"/>
      <c r="T887" s="4"/>
      <c r="U887" s="4"/>
      <c r="V887" s="4"/>
      <c r="W887" s="4"/>
      <c r="X887" s="4"/>
      <c r="Y887" s="4">
        <v>537</v>
      </c>
      <c r="Z887" s="4">
        <f t="shared" si="135"/>
        <v>537</v>
      </c>
      <c r="AA887" s="4">
        <v>349</v>
      </c>
      <c r="AB887" s="4">
        <f t="shared" si="136"/>
        <v>349</v>
      </c>
      <c r="AC887" s="4"/>
      <c r="AD887" s="21">
        <f>ROUND(M887*AR887,0)</f>
        <v>510</v>
      </c>
      <c r="AE887" s="6">
        <f>1-AB887/AD887</f>
        <v>0.31568627450980391</v>
      </c>
      <c r="AF887" s="33">
        <v>0</v>
      </c>
      <c r="AG887" s="4">
        <f t="shared" si="137"/>
        <v>780</v>
      </c>
      <c r="AH887" s="33">
        <f t="shared" si="130"/>
        <v>780</v>
      </c>
      <c r="AI887" s="6">
        <f>1-AB887/AH887</f>
        <v>0.5525641025641026</v>
      </c>
      <c r="AJ887" s="7">
        <f>ROUND(AB887/0.65,0)</f>
        <v>537</v>
      </c>
      <c r="AK887" s="6">
        <f>1-AB887/AJ887</f>
        <v>0.35009310986964615</v>
      </c>
      <c r="AL887" s="4">
        <f>AJ887-AB887</f>
        <v>188</v>
      </c>
      <c r="AM887" s="28"/>
      <c r="AN887" s="6"/>
      <c r="AO887" s="6"/>
      <c r="AP887" s="6">
        <f>Z887/L887</f>
        <v>0.68846153846153846</v>
      </c>
      <c r="AQ887" s="6">
        <f>AJ887/M887</f>
        <v>1.0529411764705883</v>
      </c>
      <c r="AR887" s="6">
        <f>AB887/N887</f>
        <v>1</v>
      </c>
      <c r="AS887" s="4"/>
      <c r="AT887" s="4"/>
      <c r="AU887" s="4"/>
      <c r="AV887" s="4"/>
      <c r="AW887" s="4"/>
      <c r="AX887" s="4"/>
      <c r="AY887" s="4"/>
      <c r="AZ887" s="4"/>
      <c r="BA887" s="4"/>
      <c r="BB887" s="4">
        <v>0</v>
      </c>
      <c r="BC887" s="4" t="s">
        <v>4350</v>
      </c>
      <c r="BD887" s="4">
        <v>1</v>
      </c>
      <c r="BE887" s="4">
        <v>4</v>
      </c>
      <c r="BF887" s="4" t="s">
        <v>4341</v>
      </c>
      <c r="BG887" s="4">
        <v>3120</v>
      </c>
      <c r="BH887" s="4">
        <v>3120</v>
      </c>
      <c r="BI887" s="4">
        <f t="shared" si="138"/>
        <v>780</v>
      </c>
      <c r="BJ887" s="19">
        <v>4</v>
      </c>
      <c r="BK887" s="19">
        <v>8</v>
      </c>
      <c r="BL887" s="16">
        <v>6</v>
      </c>
      <c r="BM887" s="45" t="s">
        <v>3534</v>
      </c>
      <c r="BN887" t="s">
        <v>3534</v>
      </c>
      <c r="BO887" t="str">
        <f t="shared" si="131"/>
        <v>-</v>
      </c>
      <c r="BP887">
        <v>698</v>
      </c>
      <c r="BQ887">
        <v>698</v>
      </c>
      <c r="BR887">
        <f t="shared" si="132"/>
        <v>698</v>
      </c>
      <c r="BS887" t="s">
        <v>3209</v>
      </c>
    </row>
    <row r="888" spans="1:71" x14ac:dyDescent="0.4">
      <c r="A888" s="3">
        <v>885</v>
      </c>
      <c r="B888" s="3">
        <v>885</v>
      </c>
      <c r="C888" s="4" t="s">
        <v>947</v>
      </c>
      <c r="D888" s="4" t="str">
        <f t="shared" si="133"/>
        <v>J7485N</v>
      </c>
      <c r="E888" s="4" t="s">
        <v>947</v>
      </c>
      <c r="F888" s="4" t="s">
        <v>2165</v>
      </c>
      <c r="G888" s="5">
        <v>4521718182827</v>
      </c>
      <c r="H888" s="5"/>
      <c r="I888" s="5"/>
      <c r="J888" s="5">
        <v>1</v>
      </c>
      <c r="K888" s="5">
        <v>1</v>
      </c>
      <c r="L888" s="4">
        <v>780</v>
      </c>
      <c r="M888" s="4">
        <v>510</v>
      </c>
      <c r="N888" s="4">
        <v>349</v>
      </c>
      <c r="O888" s="6">
        <f t="shared" si="134"/>
        <v>0.31568627450980391</v>
      </c>
      <c r="P888" s="4" t="s">
        <v>2500</v>
      </c>
      <c r="Q888" s="4"/>
      <c r="R888" s="4"/>
      <c r="S888" s="4"/>
      <c r="T888" s="4"/>
      <c r="U888" s="4"/>
      <c r="V888" s="4"/>
      <c r="W888" s="4"/>
      <c r="X888" s="4"/>
      <c r="Y888" s="4">
        <v>537</v>
      </c>
      <c r="Z888" s="4">
        <f t="shared" si="135"/>
        <v>537</v>
      </c>
      <c r="AA888" s="4">
        <v>349</v>
      </c>
      <c r="AB888" s="4">
        <f t="shared" si="136"/>
        <v>349</v>
      </c>
      <c r="AC888" s="4"/>
      <c r="AD888" s="21">
        <f>ROUND(M888*AR888,0)</f>
        <v>510</v>
      </c>
      <c r="AE888" s="6">
        <f>1-AB888/AD888</f>
        <v>0.31568627450980391</v>
      </c>
      <c r="AF888" s="33">
        <v>0.25</v>
      </c>
      <c r="AG888" s="4">
        <f t="shared" si="137"/>
        <v>780</v>
      </c>
      <c r="AH888" s="33">
        <f t="shared" si="130"/>
        <v>780</v>
      </c>
      <c r="AI888" s="6">
        <f>1-AB888/AH888</f>
        <v>0.5525641025641026</v>
      </c>
      <c r="AJ888" s="7">
        <f>ROUND(AB888/0.65,0)</f>
        <v>537</v>
      </c>
      <c r="AK888" s="6">
        <f>1-AB888/AJ888</f>
        <v>0.35009310986964615</v>
      </c>
      <c r="AL888" s="4">
        <f>AJ888-AB888</f>
        <v>188</v>
      </c>
      <c r="AM888" s="28"/>
      <c r="AN888" s="6"/>
      <c r="AO888" s="6"/>
      <c r="AP888" s="6">
        <f>Z888/L888</f>
        <v>0.68846153846153846</v>
      </c>
      <c r="AQ888" s="6">
        <f>AJ888/M888</f>
        <v>1.0529411764705883</v>
      </c>
      <c r="AR888" s="6">
        <f>AB888/N888</f>
        <v>1</v>
      </c>
      <c r="AS888" s="4"/>
      <c r="AT888" s="4"/>
      <c r="AU888" s="4"/>
      <c r="AV888" s="4"/>
      <c r="AW888" s="4"/>
      <c r="AX888" s="4"/>
      <c r="AY888" s="4"/>
      <c r="AZ888" s="4"/>
      <c r="BA888" s="4"/>
      <c r="BB888" s="4">
        <v>0</v>
      </c>
      <c r="BC888" s="4" t="s">
        <v>4351</v>
      </c>
      <c r="BD888" s="4">
        <v>1</v>
      </c>
      <c r="BE888" s="4">
        <v>4</v>
      </c>
      <c r="BF888" s="4" t="s">
        <v>4341</v>
      </c>
      <c r="BG888" s="4">
        <v>3120</v>
      </c>
      <c r="BH888" s="4">
        <v>3120</v>
      </c>
      <c r="BI888" s="4">
        <f t="shared" si="138"/>
        <v>780</v>
      </c>
      <c r="BJ888" s="19">
        <v>4</v>
      </c>
      <c r="BK888" s="19">
        <v>8</v>
      </c>
      <c r="BL888" s="16">
        <v>6</v>
      </c>
      <c r="BM888" s="45" t="s">
        <v>3534</v>
      </c>
      <c r="BN888" t="s">
        <v>3534</v>
      </c>
      <c r="BO888" t="str">
        <f t="shared" si="131"/>
        <v>-</v>
      </c>
      <c r="BP888">
        <v>698</v>
      </c>
      <c r="BQ888">
        <v>698</v>
      </c>
      <c r="BR888">
        <f t="shared" si="132"/>
        <v>698</v>
      </c>
      <c r="BS888" t="s">
        <v>3210</v>
      </c>
    </row>
    <row r="889" spans="1:71" x14ac:dyDescent="0.4">
      <c r="A889" s="3">
        <v>886</v>
      </c>
      <c r="B889" s="3">
        <v>886</v>
      </c>
      <c r="C889" s="4" t="s">
        <v>948</v>
      </c>
      <c r="D889" s="4" t="str">
        <f t="shared" si="133"/>
        <v>J7486N</v>
      </c>
      <c r="E889" s="4" t="s">
        <v>948</v>
      </c>
      <c r="F889" s="4" t="s">
        <v>2166</v>
      </c>
      <c r="G889" s="5">
        <v>4521718182834</v>
      </c>
      <c r="H889" s="5"/>
      <c r="I889" s="5"/>
      <c r="J889" s="5">
        <v>1</v>
      </c>
      <c r="K889" s="5">
        <v>1</v>
      </c>
      <c r="L889" s="4">
        <v>730</v>
      </c>
      <c r="M889" s="4">
        <v>475</v>
      </c>
      <c r="N889" s="4">
        <v>325</v>
      </c>
      <c r="O889" s="6">
        <f t="shared" si="134"/>
        <v>0.31578947368421051</v>
      </c>
      <c r="P889" s="4" t="s">
        <v>2500</v>
      </c>
      <c r="Q889" s="4"/>
      <c r="R889" s="4"/>
      <c r="S889" s="4"/>
      <c r="T889" s="4"/>
      <c r="U889" s="4"/>
      <c r="V889" s="4"/>
      <c r="W889" s="4"/>
      <c r="X889" s="4"/>
      <c r="Y889" s="4">
        <v>500</v>
      </c>
      <c r="Z889" s="4">
        <f t="shared" si="135"/>
        <v>500</v>
      </c>
      <c r="AA889" s="4">
        <v>325</v>
      </c>
      <c r="AB889" s="4">
        <f t="shared" si="136"/>
        <v>325</v>
      </c>
      <c r="AC889" s="4"/>
      <c r="AD889" s="21">
        <f>ROUND(M889*AR889,0)</f>
        <v>475</v>
      </c>
      <c r="AE889" s="6">
        <f>1-AB889/AD889</f>
        <v>0.31578947368421051</v>
      </c>
      <c r="AF889" s="33">
        <v>0</v>
      </c>
      <c r="AG889" s="4">
        <f t="shared" si="137"/>
        <v>730</v>
      </c>
      <c r="AH889" s="33">
        <f t="shared" si="130"/>
        <v>730</v>
      </c>
      <c r="AI889" s="6">
        <f>1-AB889/AH889</f>
        <v>0.5547945205479452</v>
      </c>
      <c r="AJ889" s="7">
        <v>500</v>
      </c>
      <c r="AK889" s="6">
        <f>1-AB889/AJ889</f>
        <v>0.35</v>
      </c>
      <c r="AL889" s="4">
        <f>AJ889-AB889</f>
        <v>175</v>
      </c>
      <c r="AM889" s="28"/>
      <c r="AN889" s="6"/>
      <c r="AO889" s="6"/>
      <c r="AP889" s="6">
        <f>Z889/L889</f>
        <v>0.68493150684931503</v>
      </c>
      <c r="AQ889" s="6">
        <f>AJ889/M889</f>
        <v>1.0526315789473684</v>
      </c>
      <c r="AR889" s="6">
        <f>AB889/N889</f>
        <v>1</v>
      </c>
      <c r="AS889" s="4"/>
      <c r="AT889" s="4"/>
      <c r="AU889" s="4"/>
      <c r="AV889" s="4"/>
      <c r="AW889" s="4"/>
      <c r="AX889" s="4"/>
      <c r="AY889" s="4"/>
      <c r="AZ889" s="4"/>
      <c r="BA889" s="4"/>
      <c r="BB889" s="4">
        <v>0</v>
      </c>
      <c r="BC889" s="4" t="s">
        <v>4352</v>
      </c>
      <c r="BD889" s="4">
        <v>1</v>
      </c>
      <c r="BE889" s="4">
        <v>4</v>
      </c>
      <c r="BF889" s="4" t="s">
        <v>3933</v>
      </c>
      <c r="BG889" s="4">
        <v>2920</v>
      </c>
      <c r="BH889" s="4">
        <v>2920</v>
      </c>
      <c r="BI889" s="4">
        <f t="shared" si="138"/>
        <v>730</v>
      </c>
      <c r="BJ889" s="19">
        <v>4</v>
      </c>
      <c r="BK889" s="19">
        <v>8</v>
      </c>
      <c r="BL889" s="16">
        <v>6</v>
      </c>
      <c r="BM889" s="45" t="s">
        <v>3534</v>
      </c>
      <c r="BN889" t="s">
        <v>3534</v>
      </c>
      <c r="BO889" t="str">
        <f t="shared" si="131"/>
        <v>-</v>
      </c>
      <c r="BP889">
        <v>650</v>
      </c>
      <c r="BQ889">
        <v>650</v>
      </c>
      <c r="BR889">
        <f t="shared" si="132"/>
        <v>650</v>
      </c>
      <c r="BS889" t="s">
        <v>3211</v>
      </c>
    </row>
    <row r="890" spans="1:71" x14ac:dyDescent="0.4">
      <c r="A890" s="3">
        <v>887</v>
      </c>
      <c r="B890" s="3">
        <v>887</v>
      </c>
      <c r="C890" s="4" t="s">
        <v>949</v>
      </c>
      <c r="D890" s="4" t="str">
        <f t="shared" si="133"/>
        <v>J7487N</v>
      </c>
      <c r="E890" s="4" t="s">
        <v>949</v>
      </c>
      <c r="F890" s="4" t="s">
        <v>2167</v>
      </c>
      <c r="G890" s="5">
        <v>4521718182841</v>
      </c>
      <c r="H890" s="5"/>
      <c r="I890" s="5"/>
      <c r="J890" s="5">
        <v>1</v>
      </c>
      <c r="K890" s="5">
        <v>1</v>
      </c>
      <c r="L890" s="4">
        <v>730</v>
      </c>
      <c r="M890" s="4">
        <v>475</v>
      </c>
      <c r="N890" s="4">
        <v>325</v>
      </c>
      <c r="O890" s="6">
        <f t="shared" si="134"/>
        <v>0.31578947368421051</v>
      </c>
      <c r="P890" s="4" t="s">
        <v>2500</v>
      </c>
      <c r="Q890" s="4"/>
      <c r="R890" s="4"/>
      <c r="S890" s="4"/>
      <c r="T890" s="4"/>
      <c r="U890" s="4"/>
      <c r="V890" s="4"/>
      <c r="W890" s="4"/>
      <c r="X890" s="4"/>
      <c r="Y890" s="4">
        <v>500</v>
      </c>
      <c r="Z890" s="4">
        <f t="shared" si="135"/>
        <v>500</v>
      </c>
      <c r="AA890" s="4">
        <v>325</v>
      </c>
      <c r="AB890" s="4">
        <f t="shared" si="136"/>
        <v>325</v>
      </c>
      <c r="AC890" s="4"/>
      <c r="AD890" s="21">
        <f>ROUND(M890*AR890,0)</f>
        <v>475</v>
      </c>
      <c r="AE890" s="6">
        <f>1-AB890/AD890</f>
        <v>0.31578947368421051</v>
      </c>
      <c r="AF890" s="33">
        <v>0</v>
      </c>
      <c r="AG890" s="4">
        <f t="shared" si="137"/>
        <v>730</v>
      </c>
      <c r="AH890" s="33">
        <f t="shared" si="130"/>
        <v>730</v>
      </c>
      <c r="AI890" s="6">
        <f>1-AB890/AH890</f>
        <v>0.5547945205479452</v>
      </c>
      <c r="AJ890" s="7">
        <v>500</v>
      </c>
      <c r="AK890" s="6">
        <f>1-AB890/AJ890</f>
        <v>0.35</v>
      </c>
      <c r="AL890" s="4">
        <f>AJ890-AB890</f>
        <v>175</v>
      </c>
      <c r="AM890" s="28"/>
      <c r="AN890" s="6"/>
      <c r="AO890" s="6"/>
      <c r="AP890" s="6">
        <f>Z890/L890</f>
        <v>0.68493150684931503</v>
      </c>
      <c r="AQ890" s="6">
        <f>AJ890/M890</f>
        <v>1.0526315789473684</v>
      </c>
      <c r="AR890" s="6">
        <f>AB890/N890</f>
        <v>1</v>
      </c>
      <c r="AS890" s="4"/>
      <c r="AT890" s="4"/>
      <c r="AU890" s="4"/>
      <c r="AV890" s="4"/>
      <c r="AW890" s="4"/>
      <c r="AX890" s="4"/>
      <c r="AY890" s="4"/>
      <c r="AZ890" s="4"/>
      <c r="BA890" s="4"/>
      <c r="BB890" s="4">
        <v>0</v>
      </c>
      <c r="BC890" s="4" t="s">
        <v>4353</v>
      </c>
      <c r="BD890" s="4">
        <v>1</v>
      </c>
      <c r="BE890" s="4">
        <v>4</v>
      </c>
      <c r="BF890" s="4" t="s">
        <v>3933</v>
      </c>
      <c r="BG890" s="4">
        <v>2920</v>
      </c>
      <c r="BH890" s="4">
        <v>2920</v>
      </c>
      <c r="BI890" s="4">
        <f t="shared" si="138"/>
        <v>730</v>
      </c>
      <c r="BJ890" s="19">
        <v>4</v>
      </c>
      <c r="BK890" s="19">
        <v>8</v>
      </c>
      <c r="BL890" s="16">
        <v>6</v>
      </c>
      <c r="BM890" s="45" t="s">
        <v>3534</v>
      </c>
      <c r="BN890" t="s">
        <v>3534</v>
      </c>
      <c r="BO890" t="str">
        <f t="shared" si="131"/>
        <v>-</v>
      </c>
      <c r="BP890">
        <v>650</v>
      </c>
      <c r="BQ890">
        <v>650</v>
      </c>
      <c r="BR890">
        <f t="shared" si="132"/>
        <v>650</v>
      </c>
      <c r="BS890" t="s">
        <v>3212</v>
      </c>
    </row>
    <row r="891" spans="1:71" x14ac:dyDescent="0.4">
      <c r="A891" s="3">
        <v>888</v>
      </c>
      <c r="B891" s="3">
        <v>888</v>
      </c>
      <c r="C891" s="4" t="s">
        <v>950</v>
      </c>
      <c r="D891" s="4" t="str">
        <f t="shared" si="133"/>
        <v>J7488N</v>
      </c>
      <c r="E891" s="4" t="s">
        <v>950</v>
      </c>
      <c r="F891" s="4" t="s">
        <v>2168</v>
      </c>
      <c r="G891" s="5">
        <v>4521718182858</v>
      </c>
      <c r="H891" s="5"/>
      <c r="I891" s="5"/>
      <c r="J891" s="5">
        <v>1</v>
      </c>
      <c r="K891" s="5">
        <v>1</v>
      </c>
      <c r="L891" s="4">
        <v>730</v>
      </c>
      <c r="M891" s="4">
        <v>475</v>
      </c>
      <c r="N891" s="4">
        <v>325</v>
      </c>
      <c r="O891" s="6">
        <f t="shared" si="134"/>
        <v>0.31578947368421051</v>
      </c>
      <c r="P891" s="4" t="s">
        <v>2500</v>
      </c>
      <c r="Q891" s="4"/>
      <c r="R891" s="4"/>
      <c r="S891" s="4"/>
      <c r="T891" s="4"/>
      <c r="U891" s="4"/>
      <c r="V891" s="4"/>
      <c r="W891" s="4"/>
      <c r="X891" s="4"/>
      <c r="Y891" s="4">
        <v>500</v>
      </c>
      <c r="Z891" s="4">
        <f t="shared" si="135"/>
        <v>500</v>
      </c>
      <c r="AA891" s="4">
        <v>325</v>
      </c>
      <c r="AB891" s="4">
        <f t="shared" si="136"/>
        <v>325</v>
      </c>
      <c r="AC891" s="4"/>
      <c r="AD891" s="21">
        <f>ROUND(M891*AR891,0)</f>
        <v>475</v>
      </c>
      <c r="AE891" s="6">
        <f>1-AB891/AD891</f>
        <v>0.31578947368421051</v>
      </c>
      <c r="AF891" s="33">
        <v>0</v>
      </c>
      <c r="AG891" s="4">
        <f t="shared" si="137"/>
        <v>730</v>
      </c>
      <c r="AH891" s="33">
        <f t="shared" si="130"/>
        <v>730</v>
      </c>
      <c r="AI891" s="6">
        <f>1-AB891/AH891</f>
        <v>0.5547945205479452</v>
      </c>
      <c r="AJ891" s="7">
        <v>500</v>
      </c>
      <c r="AK891" s="6">
        <f>1-AB891/AJ891</f>
        <v>0.35</v>
      </c>
      <c r="AL891" s="4">
        <f>AJ891-AB891</f>
        <v>175</v>
      </c>
      <c r="AM891" s="28"/>
      <c r="AN891" s="6"/>
      <c r="AO891" s="6"/>
      <c r="AP891" s="6">
        <f>Z891/L891</f>
        <v>0.68493150684931503</v>
      </c>
      <c r="AQ891" s="6">
        <f>AJ891/M891</f>
        <v>1.0526315789473684</v>
      </c>
      <c r="AR891" s="6">
        <f>AB891/N891</f>
        <v>1</v>
      </c>
      <c r="AS891" s="4"/>
      <c r="AT891" s="4"/>
      <c r="AU891" s="4"/>
      <c r="AV891" s="4"/>
      <c r="AW891" s="4"/>
      <c r="AX891" s="4"/>
      <c r="AY891" s="4"/>
      <c r="AZ891" s="4"/>
      <c r="BA891" s="4"/>
      <c r="BB891" s="4">
        <v>0</v>
      </c>
      <c r="BC891" s="4" t="s">
        <v>4354</v>
      </c>
      <c r="BD891" s="4">
        <v>1</v>
      </c>
      <c r="BE891" s="4">
        <v>4</v>
      </c>
      <c r="BF891" s="4" t="s">
        <v>3933</v>
      </c>
      <c r="BG891" s="4">
        <v>2920</v>
      </c>
      <c r="BH891" s="4">
        <v>2920</v>
      </c>
      <c r="BI891" s="4">
        <f t="shared" si="138"/>
        <v>730</v>
      </c>
      <c r="BJ891" s="19">
        <v>4</v>
      </c>
      <c r="BK891" s="19">
        <v>8</v>
      </c>
      <c r="BL891" s="16">
        <v>6</v>
      </c>
      <c r="BM891" s="45" t="s">
        <v>3534</v>
      </c>
      <c r="BN891" t="s">
        <v>3534</v>
      </c>
      <c r="BO891" t="str">
        <f t="shared" si="131"/>
        <v>-</v>
      </c>
      <c r="BP891">
        <v>650</v>
      </c>
      <c r="BQ891">
        <v>650</v>
      </c>
      <c r="BR891">
        <f t="shared" si="132"/>
        <v>650</v>
      </c>
      <c r="BS891" t="s">
        <v>3213</v>
      </c>
    </row>
    <row r="892" spans="1:71" x14ac:dyDescent="0.4">
      <c r="A892" s="3">
        <v>889</v>
      </c>
      <c r="B892" s="3">
        <v>889</v>
      </c>
      <c r="C892" s="4" t="s">
        <v>951</v>
      </c>
      <c r="D892" s="4" t="str">
        <f t="shared" si="133"/>
        <v>J7489N</v>
      </c>
      <c r="E892" s="4" t="s">
        <v>951</v>
      </c>
      <c r="F892" s="4" t="s">
        <v>2169</v>
      </c>
      <c r="G892" s="5">
        <v>4521718182865</v>
      </c>
      <c r="H892" s="5"/>
      <c r="I892" s="5"/>
      <c r="J892" s="5">
        <v>1</v>
      </c>
      <c r="K892" s="5">
        <v>1</v>
      </c>
      <c r="L892" s="4">
        <v>730</v>
      </c>
      <c r="M892" s="4">
        <v>475</v>
      </c>
      <c r="N892" s="4">
        <v>325</v>
      </c>
      <c r="O892" s="6">
        <f t="shared" si="134"/>
        <v>0.31578947368421051</v>
      </c>
      <c r="P892" s="4" t="s">
        <v>2500</v>
      </c>
      <c r="Q892" s="4"/>
      <c r="R892" s="4"/>
      <c r="S892" s="4"/>
      <c r="T892" s="4"/>
      <c r="U892" s="4"/>
      <c r="V892" s="4"/>
      <c r="W892" s="4"/>
      <c r="X892" s="4"/>
      <c r="Y892" s="4">
        <v>500</v>
      </c>
      <c r="Z892" s="4">
        <f t="shared" si="135"/>
        <v>500</v>
      </c>
      <c r="AA892" s="4">
        <v>325</v>
      </c>
      <c r="AB892" s="4">
        <f t="shared" si="136"/>
        <v>325</v>
      </c>
      <c r="AC892" s="4"/>
      <c r="AD892" s="21">
        <f>ROUND(M892*AR892,0)</f>
        <v>475</v>
      </c>
      <c r="AE892" s="6">
        <f>1-AB892/AD892</f>
        <v>0.31578947368421051</v>
      </c>
      <c r="AF892" s="33">
        <v>0</v>
      </c>
      <c r="AG892" s="4">
        <f t="shared" si="137"/>
        <v>730</v>
      </c>
      <c r="AH892" s="33">
        <f t="shared" si="130"/>
        <v>730</v>
      </c>
      <c r="AI892" s="6">
        <f>1-AB892/AH892</f>
        <v>0.5547945205479452</v>
      </c>
      <c r="AJ892" s="7">
        <v>500</v>
      </c>
      <c r="AK892" s="6">
        <f>1-AB892/AJ892</f>
        <v>0.35</v>
      </c>
      <c r="AL892" s="4">
        <f>AJ892-AB892</f>
        <v>175</v>
      </c>
      <c r="AM892" s="28"/>
      <c r="AN892" s="6"/>
      <c r="AO892" s="6"/>
      <c r="AP892" s="6">
        <f>Z892/L892</f>
        <v>0.68493150684931503</v>
      </c>
      <c r="AQ892" s="6">
        <f>AJ892/M892</f>
        <v>1.0526315789473684</v>
      </c>
      <c r="AR892" s="6">
        <f>AB892/N892</f>
        <v>1</v>
      </c>
      <c r="AS892" s="4"/>
      <c r="AT892" s="4"/>
      <c r="AU892" s="4"/>
      <c r="AV892" s="4"/>
      <c r="AW892" s="4"/>
      <c r="AX892" s="4"/>
      <c r="AY892" s="4"/>
      <c r="AZ892" s="4"/>
      <c r="BA892" s="4"/>
      <c r="BB892" s="4">
        <v>0</v>
      </c>
      <c r="BC892" s="4" t="s">
        <v>4355</v>
      </c>
      <c r="BD892" s="4">
        <v>1</v>
      </c>
      <c r="BE892" s="4">
        <v>4</v>
      </c>
      <c r="BF892" s="4" t="s">
        <v>3933</v>
      </c>
      <c r="BG892" s="4">
        <v>2920</v>
      </c>
      <c r="BH892" s="4">
        <v>2920</v>
      </c>
      <c r="BI892" s="4">
        <f t="shared" si="138"/>
        <v>730</v>
      </c>
      <c r="BJ892" s="19">
        <v>4</v>
      </c>
      <c r="BK892" s="19">
        <v>8</v>
      </c>
      <c r="BL892" s="16">
        <v>6</v>
      </c>
      <c r="BM892" s="45" t="s">
        <v>3534</v>
      </c>
      <c r="BN892" t="s">
        <v>3534</v>
      </c>
      <c r="BO892" t="str">
        <f t="shared" si="131"/>
        <v>-</v>
      </c>
      <c r="BP892">
        <v>650</v>
      </c>
      <c r="BQ892">
        <v>650</v>
      </c>
      <c r="BR892">
        <f t="shared" si="132"/>
        <v>650</v>
      </c>
      <c r="BS892" t="s">
        <v>3214</v>
      </c>
    </row>
    <row r="893" spans="1:71" x14ac:dyDescent="0.4">
      <c r="A893" s="3">
        <v>890</v>
      </c>
      <c r="B893" s="3">
        <v>890</v>
      </c>
      <c r="C893" s="4" t="s">
        <v>952</v>
      </c>
      <c r="D893" s="4" t="str">
        <f t="shared" si="133"/>
        <v>J7479N</v>
      </c>
      <c r="E893" s="4" t="s">
        <v>952</v>
      </c>
      <c r="F893" s="4" t="s">
        <v>2170</v>
      </c>
      <c r="G893" s="5">
        <v>4521718182674</v>
      </c>
      <c r="H893" s="5"/>
      <c r="I893" s="5"/>
      <c r="J893" s="5">
        <v>1</v>
      </c>
      <c r="K893" s="5">
        <v>1</v>
      </c>
      <c r="L893" s="4">
        <v>620</v>
      </c>
      <c r="M893" s="4">
        <v>406</v>
      </c>
      <c r="N893" s="4">
        <v>278</v>
      </c>
      <c r="O893" s="6">
        <f t="shared" si="134"/>
        <v>0.31527093596059108</v>
      </c>
      <c r="P893" s="4" t="s">
        <v>2500</v>
      </c>
      <c r="Q893" s="4"/>
      <c r="R893" s="4"/>
      <c r="S893" s="4"/>
      <c r="T893" s="4"/>
      <c r="U893" s="4"/>
      <c r="V893" s="4"/>
      <c r="W893" s="4"/>
      <c r="X893" s="4"/>
      <c r="Y893" s="4">
        <v>428</v>
      </c>
      <c r="Z893" s="4">
        <f t="shared" si="135"/>
        <v>428</v>
      </c>
      <c r="AA893" s="4">
        <v>278</v>
      </c>
      <c r="AB893" s="4">
        <f t="shared" si="136"/>
        <v>278</v>
      </c>
      <c r="AC893" s="4"/>
      <c r="AD893" s="21">
        <f>ROUND(M893*AR893,0)</f>
        <v>406</v>
      </c>
      <c r="AE893" s="6">
        <f>1-AB893/AD893</f>
        <v>0.31527093596059108</v>
      </c>
      <c r="AF893" s="33">
        <v>0</v>
      </c>
      <c r="AG893" s="4">
        <f t="shared" si="137"/>
        <v>620</v>
      </c>
      <c r="AH893" s="33">
        <f t="shared" si="130"/>
        <v>620</v>
      </c>
      <c r="AI893" s="6">
        <f>1-AB893/AH893</f>
        <v>0.55161290322580647</v>
      </c>
      <c r="AJ893" s="7">
        <f>ROUND(AB893/0.65,0)</f>
        <v>428</v>
      </c>
      <c r="AK893" s="6">
        <f>1-AB893/AJ893</f>
        <v>0.35046728971962615</v>
      </c>
      <c r="AL893" s="4">
        <f>AJ893-AB893</f>
        <v>150</v>
      </c>
      <c r="AM893" s="28"/>
      <c r="AN893" s="6"/>
      <c r="AO893" s="6"/>
      <c r="AP893" s="6">
        <f>Z893/L893</f>
        <v>0.69032258064516128</v>
      </c>
      <c r="AQ893" s="6">
        <f>AJ893/M893</f>
        <v>1.0541871921182266</v>
      </c>
      <c r="AR893" s="6">
        <f>AB893/N893</f>
        <v>1</v>
      </c>
      <c r="AS893" s="4"/>
      <c r="AT893" s="4"/>
      <c r="AU893" s="4"/>
      <c r="AV893" s="4"/>
      <c r="AW893" s="4"/>
      <c r="AX893" s="4"/>
      <c r="AY893" s="4"/>
      <c r="AZ893" s="4"/>
      <c r="BA893" s="4"/>
      <c r="BB893" s="4">
        <v>0</v>
      </c>
      <c r="BC893" s="4" t="s">
        <v>4356</v>
      </c>
      <c r="BD893" s="4">
        <v>1</v>
      </c>
      <c r="BE893" s="4">
        <v>5</v>
      </c>
      <c r="BF893" s="4" t="s">
        <v>3790</v>
      </c>
      <c r="BG893" s="4">
        <v>3100</v>
      </c>
      <c r="BH893" s="4">
        <v>3100</v>
      </c>
      <c r="BI893" s="4">
        <f t="shared" si="138"/>
        <v>620</v>
      </c>
      <c r="BJ893" s="19">
        <v>4</v>
      </c>
      <c r="BK893" s="19">
        <v>8</v>
      </c>
      <c r="BL893" s="16">
        <v>6</v>
      </c>
      <c r="BM893" s="45" t="s">
        <v>3534</v>
      </c>
      <c r="BN893" t="s">
        <v>3534</v>
      </c>
      <c r="BO893" t="str">
        <f t="shared" si="131"/>
        <v>-</v>
      </c>
      <c r="BP893">
        <v>556</v>
      </c>
      <c r="BQ893">
        <v>556</v>
      </c>
      <c r="BR893">
        <f t="shared" si="132"/>
        <v>556</v>
      </c>
      <c r="BS893" t="s">
        <v>3215</v>
      </c>
    </row>
    <row r="894" spans="1:71" x14ac:dyDescent="0.4">
      <c r="A894" s="3">
        <v>891</v>
      </c>
      <c r="B894" s="3">
        <v>891</v>
      </c>
      <c r="C894" s="4" t="s">
        <v>953</v>
      </c>
      <c r="D894" s="4" t="str">
        <f t="shared" si="133"/>
        <v>J7490N</v>
      </c>
      <c r="E894" s="4" t="s">
        <v>953</v>
      </c>
      <c r="F894" s="4" t="s">
        <v>2171</v>
      </c>
      <c r="G894" s="5">
        <v>4521718182896</v>
      </c>
      <c r="H894" s="5"/>
      <c r="I894" s="5"/>
      <c r="J894" s="5">
        <v>1</v>
      </c>
      <c r="K894" s="5">
        <v>1</v>
      </c>
      <c r="L894" s="4">
        <v>770</v>
      </c>
      <c r="M894" s="4">
        <v>501</v>
      </c>
      <c r="N894" s="4">
        <v>343</v>
      </c>
      <c r="O894" s="6">
        <f t="shared" si="134"/>
        <v>0.31536926147704591</v>
      </c>
      <c r="P894" s="4" t="s">
        <v>2500</v>
      </c>
      <c r="Q894" s="4"/>
      <c r="R894" s="4"/>
      <c r="S894" s="4"/>
      <c r="T894" s="4"/>
      <c r="U894" s="4"/>
      <c r="V894" s="4"/>
      <c r="W894" s="4"/>
      <c r="X894" s="4"/>
      <c r="Y894" s="4">
        <v>528</v>
      </c>
      <c r="Z894" s="4">
        <f t="shared" si="135"/>
        <v>528</v>
      </c>
      <c r="AA894" s="4">
        <v>343</v>
      </c>
      <c r="AB894" s="4">
        <f t="shared" si="136"/>
        <v>343</v>
      </c>
      <c r="AC894" s="4"/>
      <c r="AD894" s="21">
        <f>ROUND(M894*AR894,0)</f>
        <v>501</v>
      </c>
      <c r="AE894" s="6">
        <f>1-AB894/AD894</f>
        <v>0.31536926147704591</v>
      </c>
      <c r="AF894" s="33">
        <v>0</v>
      </c>
      <c r="AG894" s="4">
        <f t="shared" si="137"/>
        <v>770</v>
      </c>
      <c r="AH894" s="33">
        <f t="shared" si="130"/>
        <v>770</v>
      </c>
      <c r="AI894" s="6">
        <f>1-AB894/AH894</f>
        <v>0.55454545454545456</v>
      </c>
      <c r="AJ894" s="7">
        <f>ROUND(AB894/0.65,0)</f>
        <v>528</v>
      </c>
      <c r="AK894" s="6">
        <f>1-AB894/AJ894</f>
        <v>0.35037878787878785</v>
      </c>
      <c r="AL894" s="4">
        <f>AJ894-AB894</f>
        <v>185</v>
      </c>
      <c r="AM894" s="28"/>
      <c r="AN894" s="6"/>
      <c r="AO894" s="6"/>
      <c r="AP894" s="6">
        <f>Z894/L894</f>
        <v>0.68571428571428572</v>
      </c>
      <c r="AQ894" s="6">
        <f>AJ894/M894</f>
        <v>1.0538922155688624</v>
      </c>
      <c r="AR894" s="6">
        <f>AB894/N894</f>
        <v>1</v>
      </c>
      <c r="AS894" s="4"/>
      <c r="AT894" s="4"/>
      <c r="AU894" s="4"/>
      <c r="AV894" s="4"/>
      <c r="AW894" s="4"/>
      <c r="AX894" s="4"/>
      <c r="AY894" s="4"/>
      <c r="AZ894" s="4"/>
      <c r="BA894" s="4"/>
      <c r="BB894" s="4">
        <v>0</v>
      </c>
      <c r="BC894" s="4" t="s">
        <v>4357</v>
      </c>
      <c r="BD894" s="4">
        <v>1</v>
      </c>
      <c r="BE894" s="4">
        <v>4</v>
      </c>
      <c r="BF894" s="4" t="s">
        <v>3933</v>
      </c>
      <c r="BG894" s="4">
        <v>3080</v>
      </c>
      <c r="BH894" s="4">
        <v>3080</v>
      </c>
      <c r="BI894" s="4">
        <f t="shared" si="138"/>
        <v>770</v>
      </c>
      <c r="BJ894" s="19">
        <v>4</v>
      </c>
      <c r="BK894" s="19">
        <v>8</v>
      </c>
      <c r="BL894" s="16">
        <v>6</v>
      </c>
      <c r="BM894" s="45" t="s">
        <v>3534</v>
      </c>
      <c r="BN894" t="s">
        <v>3534</v>
      </c>
      <c r="BO894" t="str">
        <f t="shared" si="131"/>
        <v>-</v>
      </c>
      <c r="BP894">
        <v>686</v>
      </c>
      <c r="BQ894">
        <v>686</v>
      </c>
      <c r="BR894">
        <f t="shared" si="132"/>
        <v>686</v>
      </c>
      <c r="BS894" t="s">
        <v>3216</v>
      </c>
    </row>
    <row r="895" spans="1:71" x14ac:dyDescent="0.4">
      <c r="A895" s="3">
        <v>892</v>
      </c>
      <c r="B895" s="3">
        <v>892</v>
      </c>
      <c r="C895" s="4" t="s">
        <v>954</v>
      </c>
      <c r="D895" s="4" t="str">
        <f t="shared" si="133"/>
        <v>J7491N</v>
      </c>
      <c r="E895" s="4" t="s">
        <v>954</v>
      </c>
      <c r="F895" s="4" t="s">
        <v>2172</v>
      </c>
      <c r="G895" s="5">
        <v>4521718182902</v>
      </c>
      <c r="H895" s="5"/>
      <c r="I895" s="5"/>
      <c r="J895" s="5">
        <v>1</v>
      </c>
      <c r="K895" s="5">
        <v>1</v>
      </c>
      <c r="L895" s="4">
        <v>770</v>
      </c>
      <c r="M895" s="4">
        <v>501</v>
      </c>
      <c r="N895" s="4">
        <v>343</v>
      </c>
      <c r="O895" s="6">
        <f t="shared" si="134"/>
        <v>0.31536926147704591</v>
      </c>
      <c r="P895" s="4" t="s">
        <v>2500</v>
      </c>
      <c r="Q895" s="4"/>
      <c r="R895" s="4"/>
      <c r="S895" s="4"/>
      <c r="T895" s="4"/>
      <c r="U895" s="4"/>
      <c r="V895" s="4"/>
      <c r="W895" s="4"/>
      <c r="X895" s="4"/>
      <c r="Y895" s="4">
        <v>528</v>
      </c>
      <c r="Z895" s="4">
        <f t="shared" si="135"/>
        <v>528</v>
      </c>
      <c r="AA895" s="4">
        <v>343</v>
      </c>
      <c r="AB895" s="4">
        <f t="shared" si="136"/>
        <v>343</v>
      </c>
      <c r="AC895" s="4"/>
      <c r="AD895" s="21">
        <f>ROUND(M895*AR895,0)</f>
        <v>501</v>
      </c>
      <c r="AE895" s="6">
        <f>1-AB895/AD895</f>
        <v>0.31536926147704591</v>
      </c>
      <c r="AF895" s="33">
        <v>0</v>
      </c>
      <c r="AG895" s="4">
        <f t="shared" si="137"/>
        <v>770</v>
      </c>
      <c r="AH895" s="33">
        <f t="shared" si="130"/>
        <v>770</v>
      </c>
      <c r="AI895" s="6">
        <f>1-AB895/AH895</f>
        <v>0.55454545454545456</v>
      </c>
      <c r="AJ895" s="7">
        <f>ROUND(AB895/0.65,0)</f>
        <v>528</v>
      </c>
      <c r="AK895" s="6">
        <f>1-AB895/AJ895</f>
        <v>0.35037878787878785</v>
      </c>
      <c r="AL895" s="4">
        <f>AJ895-AB895</f>
        <v>185</v>
      </c>
      <c r="AM895" s="28"/>
      <c r="AN895" s="6"/>
      <c r="AO895" s="6"/>
      <c r="AP895" s="6">
        <f>Z895/L895</f>
        <v>0.68571428571428572</v>
      </c>
      <c r="AQ895" s="6">
        <f>AJ895/M895</f>
        <v>1.0538922155688624</v>
      </c>
      <c r="AR895" s="6">
        <f>AB895/N895</f>
        <v>1</v>
      </c>
      <c r="AS895" s="4"/>
      <c r="AT895" s="4"/>
      <c r="AU895" s="4"/>
      <c r="AV895" s="4"/>
      <c r="AW895" s="4"/>
      <c r="AX895" s="4"/>
      <c r="AY895" s="4"/>
      <c r="AZ895" s="4"/>
      <c r="BA895" s="4"/>
      <c r="BB895" s="4">
        <v>0</v>
      </c>
      <c r="BC895" s="4" t="s">
        <v>4358</v>
      </c>
      <c r="BD895" s="4">
        <v>1</v>
      </c>
      <c r="BE895" s="4">
        <v>4</v>
      </c>
      <c r="BF895" s="4" t="s">
        <v>3933</v>
      </c>
      <c r="BG895" s="4">
        <v>3080</v>
      </c>
      <c r="BH895" s="4">
        <v>3080</v>
      </c>
      <c r="BI895" s="4">
        <f t="shared" si="138"/>
        <v>770</v>
      </c>
      <c r="BJ895" s="19">
        <v>4</v>
      </c>
      <c r="BK895" s="19">
        <v>8</v>
      </c>
      <c r="BL895" s="16">
        <v>6</v>
      </c>
      <c r="BM895" s="45" t="s">
        <v>3534</v>
      </c>
      <c r="BN895" t="s">
        <v>3534</v>
      </c>
      <c r="BO895" t="str">
        <f t="shared" si="131"/>
        <v>-</v>
      </c>
      <c r="BP895">
        <v>686</v>
      </c>
      <c r="BQ895">
        <v>686</v>
      </c>
      <c r="BR895">
        <f t="shared" si="132"/>
        <v>686</v>
      </c>
      <c r="BS895" t="s">
        <v>3217</v>
      </c>
    </row>
    <row r="896" spans="1:71" x14ac:dyDescent="0.4">
      <c r="A896" s="3">
        <v>893</v>
      </c>
      <c r="B896" s="3">
        <v>893</v>
      </c>
      <c r="C896" s="4" t="s">
        <v>955</v>
      </c>
      <c r="D896" s="4" t="str">
        <f t="shared" si="133"/>
        <v>J7492N</v>
      </c>
      <c r="E896" s="4" t="s">
        <v>955</v>
      </c>
      <c r="F896" s="4" t="s">
        <v>2173</v>
      </c>
      <c r="G896" s="5">
        <v>4521718182919</v>
      </c>
      <c r="H896" s="5"/>
      <c r="I896" s="5"/>
      <c r="J896" s="5">
        <v>1</v>
      </c>
      <c r="K896" s="5">
        <v>1</v>
      </c>
      <c r="L896" s="4">
        <v>770</v>
      </c>
      <c r="M896" s="4">
        <v>501</v>
      </c>
      <c r="N896" s="4">
        <v>343</v>
      </c>
      <c r="O896" s="6">
        <f t="shared" si="134"/>
        <v>0.31536926147704591</v>
      </c>
      <c r="P896" s="4" t="s">
        <v>2500</v>
      </c>
      <c r="Q896" s="4"/>
      <c r="R896" s="4"/>
      <c r="S896" s="4"/>
      <c r="T896" s="4"/>
      <c r="U896" s="4"/>
      <c r="V896" s="4"/>
      <c r="W896" s="4"/>
      <c r="X896" s="4"/>
      <c r="Y896" s="4">
        <v>528</v>
      </c>
      <c r="Z896" s="4">
        <f t="shared" si="135"/>
        <v>528</v>
      </c>
      <c r="AA896" s="4">
        <v>343</v>
      </c>
      <c r="AB896" s="4">
        <f t="shared" si="136"/>
        <v>343</v>
      </c>
      <c r="AC896" s="4"/>
      <c r="AD896" s="21">
        <f>ROUND(M896*AR896,0)</f>
        <v>501</v>
      </c>
      <c r="AE896" s="6">
        <f>1-AB896/AD896</f>
        <v>0.31536926147704591</v>
      </c>
      <c r="AF896" s="33">
        <v>0</v>
      </c>
      <c r="AG896" s="4">
        <f t="shared" si="137"/>
        <v>770</v>
      </c>
      <c r="AH896" s="33">
        <f t="shared" si="130"/>
        <v>770</v>
      </c>
      <c r="AI896" s="6">
        <f>1-AB896/AH896</f>
        <v>0.55454545454545456</v>
      </c>
      <c r="AJ896" s="7">
        <f>ROUND(AB896/0.65,0)</f>
        <v>528</v>
      </c>
      <c r="AK896" s="6">
        <f>1-AB896/AJ896</f>
        <v>0.35037878787878785</v>
      </c>
      <c r="AL896" s="4">
        <f>AJ896-AB896</f>
        <v>185</v>
      </c>
      <c r="AM896" s="28"/>
      <c r="AN896" s="6"/>
      <c r="AO896" s="6"/>
      <c r="AP896" s="6">
        <f>Z896/L896</f>
        <v>0.68571428571428572</v>
      </c>
      <c r="AQ896" s="6">
        <f>AJ896/M896</f>
        <v>1.0538922155688624</v>
      </c>
      <c r="AR896" s="6">
        <f>AB896/N896</f>
        <v>1</v>
      </c>
      <c r="AS896" s="4"/>
      <c r="AT896" s="4"/>
      <c r="AU896" s="4"/>
      <c r="AV896" s="4"/>
      <c r="AW896" s="4"/>
      <c r="AX896" s="4"/>
      <c r="AY896" s="4"/>
      <c r="AZ896" s="4"/>
      <c r="BA896" s="4"/>
      <c r="BB896" s="4">
        <v>0</v>
      </c>
      <c r="BC896" s="4" t="s">
        <v>4359</v>
      </c>
      <c r="BD896" s="4">
        <v>1</v>
      </c>
      <c r="BE896" s="4">
        <v>4</v>
      </c>
      <c r="BF896" s="4" t="s">
        <v>3933</v>
      </c>
      <c r="BG896" s="4">
        <v>3080</v>
      </c>
      <c r="BH896" s="4">
        <v>3080</v>
      </c>
      <c r="BI896" s="4">
        <f t="shared" si="138"/>
        <v>770</v>
      </c>
      <c r="BJ896" s="19">
        <v>4</v>
      </c>
      <c r="BK896" s="19">
        <v>8</v>
      </c>
      <c r="BL896" s="16">
        <v>6</v>
      </c>
      <c r="BM896" s="45" t="s">
        <v>3534</v>
      </c>
      <c r="BN896" t="s">
        <v>3534</v>
      </c>
      <c r="BO896" t="str">
        <f t="shared" si="131"/>
        <v>-</v>
      </c>
      <c r="BP896">
        <v>686</v>
      </c>
      <c r="BQ896">
        <v>686</v>
      </c>
      <c r="BR896">
        <f t="shared" si="132"/>
        <v>686</v>
      </c>
      <c r="BS896" t="s">
        <v>3218</v>
      </c>
    </row>
    <row r="897" spans="1:71" x14ac:dyDescent="0.4">
      <c r="A897" s="3">
        <v>894</v>
      </c>
      <c r="B897" s="3">
        <v>894</v>
      </c>
      <c r="C897" s="4" t="s">
        <v>956</v>
      </c>
      <c r="D897" s="4" t="str">
        <f t="shared" si="133"/>
        <v>J7496N</v>
      </c>
      <c r="E897" s="4" t="s">
        <v>956</v>
      </c>
      <c r="F897" s="4" t="s">
        <v>2174</v>
      </c>
      <c r="G897" s="5">
        <v>4521718182957</v>
      </c>
      <c r="H897" s="5"/>
      <c r="I897" s="5"/>
      <c r="J897" s="5">
        <v>1</v>
      </c>
      <c r="K897" s="5">
        <v>1</v>
      </c>
      <c r="L897" s="4">
        <v>860</v>
      </c>
      <c r="M897" s="4">
        <v>561</v>
      </c>
      <c r="N897" s="4">
        <v>384</v>
      </c>
      <c r="O897" s="6">
        <f t="shared" si="134"/>
        <v>0.31550802139037437</v>
      </c>
      <c r="P897" s="4" t="s">
        <v>2500</v>
      </c>
      <c r="Q897" s="4"/>
      <c r="R897" s="4"/>
      <c r="S897" s="4"/>
      <c r="T897" s="4"/>
      <c r="U897" s="4"/>
      <c r="V897" s="4"/>
      <c r="W897" s="4"/>
      <c r="X897" s="4"/>
      <c r="Y897" s="4">
        <v>591</v>
      </c>
      <c r="Z897" s="4">
        <f t="shared" si="135"/>
        <v>591</v>
      </c>
      <c r="AA897" s="4">
        <v>384</v>
      </c>
      <c r="AB897" s="4">
        <f t="shared" si="136"/>
        <v>384</v>
      </c>
      <c r="AC897" s="4"/>
      <c r="AD897" s="21">
        <f>ROUND(M897*AR897,0)</f>
        <v>561</v>
      </c>
      <c r="AE897" s="6">
        <f>1-AB897/AD897</f>
        <v>0.31550802139037437</v>
      </c>
      <c r="AF897" s="33">
        <v>0</v>
      </c>
      <c r="AG897" s="4">
        <f t="shared" si="137"/>
        <v>860</v>
      </c>
      <c r="AH897" s="33">
        <f t="shared" si="130"/>
        <v>860</v>
      </c>
      <c r="AI897" s="6">
        <f>1-AB897/AH897</f>
        <v>0.55348837209302326</v>
      </c>
      <c r="AJ897" s="7">
        <f>ROUND(AB897/0.65,0)</f>
        <v>591</v>
      </c>
      <c r="AK897" s="6">
        <f>1-AB897/AJ897</f>
        <v>0.35025380710659904</v>
      </c>
      <c r="AL897" s="4">
        <f>AJ897-AB897</f>
        <v>207</v>
      </c>
      <c r="AM897" s="28"/>
      <c r="AN897" s="6"/>
      <c r="AO897" s="6"/>
      <c r="AP897" s="6">
        <f>Z897/L897</f>
        <v>0.68720930232558142</v>
      </c>
      <c r="AQ897" s="6">
        <f>AJ897/M897</f>
        <v>1.053475935828877</v>
      </c>
      <c r="AR897" s="6">
        <f>AB897/N897</f>
        <v>1</v>
      </c>
      <c r="AS897" s="4"/>
      <c r="AT897" s="4"/>
      <c r="AU897" s="4"/>
      <c r="AV897" s="4"/>
      <c r="AW897" s="4"/>
      <c r="AX897" s="4"/>
      <c r="AY897" s="4"/>
      <c r="AZ897" s="4"/>
      <c r="BA897" s="4"/>
      <c r="BB897" s="4">
        <v>0</v>
      </c>
      <c r="BC897" s="4" t="s">
        <v>4360</v>
      </c>
      <c r="BD897" s="4">
        <v>1</v>
      </c>
      <c r="BE897" s="4">
        <v>3</v>
      </c>
      <c r="BF897" s="4" t="s">
        <v>3698</v>
      </c>
      <c r="BG897" s="4">
        <v>2580</v>
      </c>
      <c r="BH897" s="4">
        <v>2580</v>
      </c>
      <c r="BI897" s="4">
        <f t="shared" si="138"/>
        <v>860</v>
      </c>
      <c r="BJ897" s="19">
        <v>4</v>
      </c>
      <c r="BK897" s="19">
        <v>8</v>
      </c>
      <c r="BL897" s="16">
        <v>6</v>
      </c>
      <c r="BM897" s="45" t="s">
        <v>3534</v>
      </c>
      <c r="BN897" t="s">
        <v>3534</v>
      </c>
      <c r="BO897" t="str">
        <f t="shared" si="131"/>
        <v>-</v>
      </c>
      <c r="BP897">
        <v>768</v>
      </c>
      <c r="BQ897">
        <v>768</v>
      </c>
      <c r="BR897">
        <f t="shared" si="132"/>
        <v>768</v>
      </c>
      <c r="BS897" t="s">
        <v>3219</v>
      </c>
    </row>
    <row r="898" spans="1:71" x14ac:dyDescent="0.4">
      <c r="A898" s="3">
        <v>895</v>
      </c>
      <c r="B898" s="3">
        <v>895</v>
      </c>
      <c r="C898" s="4" t="s">
        <v>957</v>
      </c>
      <c r="D898" s="4" t="str">
        <f t="shared" si="133"/>
        <v>J7499N</v>
      </c>
      <c r="E898" s="4" t="s">
        <v>957</v>
      </c>
      <c r="F898" s="4" t="s">
        <v>2175</v>
      </c>
      <c r="G898" s="5">
        <v>4521718182988</v>
      </c>
      <c r="H898" s="5"/>
      <c r="I898" s="5"/>
      <c r="J898" s="5">
        <v>1</v>
      </c>
      <c r="K898" s="5">
        <v>1</v>
      </c>
      <c r="L898" s="4">
        <v>960</v>
      </c>
      <c r="M898" s="4">
        <v>631</v>
      </c>
      <c r="N898" s="4">
        <v>432</v>
      </c>
      <c r="O898" s="6">
        <f t="shared" si="134"/>
        <v>0.31537242472266247</v>
      </c>
      <c r="P898" s="4" t="s">
        <v>2500</v>
      </c>
      <c r="Q898" s="4"/>
      <c r="R898" s="4"/>
      <c r="S898" s="4"/>
      <c r="T898" s="4"/>
      <c r="U898" s="4"/>
      <c r="V898" s="4"/>
      <c r="W898" s="4"/>
      <c r="X898" s="4"/>
      <c r="Y898" s="4">
        <v>664</v>
      </c>
      <c r="Z898" s="4">
        <f t="shared" si="135"/>
        <v>664</v>
      </c>
      <c r="AA898" s="4">
        <v>432</v>
      </c>
      <c r="AB898" s="4">
        <f t="shared" si="136"/>
        <v>432</v>
      </c>
      <c r="AC898" s="4"/>
      <c r="AD898" s="21">
        <f>ROUND(M898*AR898,0)</f>
        <v>631</v>
      </c>
      <c r="AE898" s="6">
        <f>1-AB898/AD898</f>
        <v>0.31537242472266247</v>
      </c>
      <c r="AF898" s="33">
        <v>0</v>
      </c>
      <c r="AG898" s="4">
        <f t="shared" si="137"/>
        <v>960</v>
      </c>
      <c r="AH898" s="33">
        <f t="shared" si="130"/>
        <v>960</v>
      </c>
      <c r="AI898" s="6">
        <f>1-AB898/AH898</f>
        <v>0.55000000000000004</v>
      </c>
      <c r="AJ898" s="7">
        <v>664</v>
      </c>
      <c r="AK898" s="6">
        <f>1-AB898/AJ898</f>
        <v>0.3493975903614458</v>
      </c>
      <c r="AL898" s="4">
        <f>AJ898-AB898</f>
        <v>232</v>
      </c>
      <c r="AM898" s="28"/>
      <c r="AN898" s="6"/>
      <c r="AO898" s="6"/>
      <c r="AP898" s="6">
        <f>Z898/L898</f>
        <v>0.69166666666666665</v>
      </c>
      <c r="AQ898" s="6">
        <f>AJ898/M898</f>
        <v>1.05229793977813</v>
      </c>
      <c r="AR898" s="6">
        <f>AB898/N898</f>
        <v>1</v>
      </c>
      <c r="AS898" s="4"/>
      <c r="AT898" s="4"/>
      <c r="AU898" s="4"/>
      <c r="AV898" s="4"/>
      <c r="AW898" s="4"/>
      <c r="AX898" s="4"/>
      <c r="AY898" s="4"/>
      <c r="AZ898" s="4"/>
      <c r="BA898" s="4"/>
      <c r="BB898" s="4">
        <v>0</v>
      </c>
      <c r="BC898" s="4" t="s">
        <v>4361</v>
      </c>
      <c r="BD898" s="4">
        <v>1</v>
      </c>
      <c r="BE898" s="4">
        <v>3</v>
      </c>
      <c r="BF898" s="4" t="s">
        <v>3698</v>
      </c>
      <c r="BG898" s="4">
        <v>2880</v>
      </c>
      <c r="BH898" s="4">
        <v>2880</v>
      </c>
      <c r="BI898" s="4">
        <f t="shared" si="138"/>
        <v>960</v>
      </c>
      <c r="BJ898" s="19">
        <v>4</v>
      </c>
      <c r="BK898" s="19">
        <v>8</v>
      </c>
      <c r="BL898" s="16">
        <v>6</v>
      </c>
      <c r="BM898" s="45" t="s">
        <v>3534</v>
      </c>
      <c r="BN898" t="s">
        <v>3534</v>
      </c>
      <c r="BO898" t="str">
        <f t="shared" si="131"/>
        <v>-</v>
      </c>
      <c r="BP898">
        <v>864</v>
      </c>
      <c r="BQ898">
        <v>864</v>
      </c>
      <c r="BR898">
        <f t="shared" si="132"/>
        <v>864</v>
      </c>
      <c r="BS898" t="s">
        <v>3220</v>
      </c>
    </row>
    <row r="899" spans="1:71" x14ac:dyDescent="0.4">
      <c r="A899" s="3">
        <v>896</v>
      </c>
      <c r="B899" s="3">
        <v>896</v>
      </c>
      <c r="C899" s="4" t="s">
        <v>958</v>
      </c>
      <c r="D899" s="4" t="str">
        <f t="shared" si="133"/>
        <v>J7500N</v>
      </c>
      <c r="E899" s="4" t="s">
        <v>958</v>
      </c>
      <c r="F899" s="4" t="s">
        <v>2176</v>
      </c>
      <c r="G899" s="5">
        <v>4521718182995</v>
      </c>
      <c r="H899" s="5"/>
      <c r="I899" s="5"/>
      <c r="J899" s="5">
        <v>1</v>
      </c>
      <c r="K899" s="5">
        <v>1</v>
      </c>
      <c r="L899" s="4">
        <v>960</v>
      </c>
      <c r="M899" s="4">
        <v>631</v>
      </c>
      <c r="N899" s="4">
        <v>432</v>
      </c>
      <c r="O899" s="6">
        <f t="shared" si="134"/>
        <v>0.31537242472266247</v>
      </c>
      <c r="P899" s="4" t="s">
        <v>2500</v>
      </c>
      <c r="Q899" s="4"/>
      <c r="R899" s="4"/>
      <c r="S899" s="4"/>
      <c r="T899" s="4"/>
      <c r="U899" s="4"/>
      <c r="V899" s="4"/>
      <c r="W899" s="4"/>
      <c r="X899" s="4"/>
      <c r="Y899" s="4">
        <v>664</v>
      </c>
      <c r="Z899" s="4">
        <f t="shared" si="135"/>
        <v>664</v>
      </c>
      <c r="AA899" s="4">
        <v>432</v>
      </c>
      <c r="AB899" s="4">
        <f t="shared" si="136"/>
        <v>432</v>
      </c>
      <c r="AC899" s="4"/>
      <c r="AD899" s="21">
        <f>ROUND(M899*AR899,0)</f>
        <v>631</v>
      </c>
      <c r="AE899" s="6">
        <f>1-AB899/AD899</f>
        <v>0.31537242472266247</v>
      </c>
      <c r="AF899" s="33">
        <v>0</v>
      </c>
      <c r="AG899" s="4">
        <f t="shared" si="137"/>
        <v>960</v>
      </c>
      <c r="AH899" s="33">
        <f t="shared" si="130"/>
        <v>960</v>
      </c>
      <c r="AI899" s="6">
        <f>1-AB899/AH899</f>
        <v>0.55000000000000004</v>
      </c>
      <c r="AJ899" s="7">
        <v>664</v>
      </c>
      <c r="AK899" s="6">
        <f>1-AB899/AJ899</f>
        <v>0.3493975903614458</v>
      </c>
      <c r="AL899" s="4">
        <f>AJ899-AB899</f>
        <v>232</v>
      </c>
      <c r="AM899" s="28"/>
      <c r="AN899" s="6"/>
      <c r="AO899" s="6"/>
      <c r="AP899" s="6">
        <f>Z899/L899</f>
        <v>0.69166666666666665</v>
      </c>
      <c r="AQ899" s="6">
        <f>AJ899/M899</f>
        <v>1.05229793977813</v>
      </c>
      <c r="AR899" s="6">
        <f>AB899/N899</f>
        <v>1</v>
      </c>
      <c r="AS899" s="4"/>
      <c r="AT899" s="4"/>
      <c r="AU899" s="4"/>
      <c r="AV899" s="4"/>
      <c r="AW899" s="4"/>
      <c r="AX899" s="4"/>
      <c r="AY899" s="4"/>
      <c r="AZ899" s="4"/>
      <c r="BA899" s="4"/>
      <c r="BB899" s="4">
        <v>0</v>
      </c>
      <c r="BC899" s="4" t="s">
        <v>4362</v>
      </c>
      <c r="BD899" s="4">
        <v>1</v>
      </c>
      <c r="BE899" s="4">
        <v>3</v>
      </c>
      <c r="BF899" s="4" t="s">
        <v>3698</v>
      </c>
      <c r="BG899" s="4">
        <v>2880</v>
      </c>
      <c r="BH899" s="4">
        <v>2880</v>
      </c>
      <c r="BI899" s="4">
        <f t="shared" si="138"/>
        <v>960</v>
      </c>
      <c r="BJ899" s="19">
        <v>4</v>
      </c>
      <c r="BK899" s="19">
        <v>8</v>
      </c>
      <c r="BL899" s="16">
        <v>6</v>
      </c>
      <c r="BM899" s="45" t="s">
        <v>3534</v>
      </c>
      <c r="BN899" t="s">
        <v>3534</v>
      </c>
      <c r="BO899" t="str">
        <f t="shared" si="131"/>
        <v>-</v>
      </c>
      <c r="BP899">
        <v>864</v>
      </c>
      <c r="BQ899">
        <v>864</v>
      </c>
      <c r="BR899">
        <f t="shared" si="132"/>
        <v>864</v>
      </c>
      <c r="BS899" t="s">
        <v>3221</v>
      </c>
    </row>
    <row r="900" spans="1:71" x14ac:dyDescent="0.4">
      <c r="A900" s="3">
        <v>897</v>
      </c>
      <c r="B900" s="3">
        <v>897</v>
      </c>
      <c r="C900" s="4" t="s">
        <v>959</v>
      </c>
      <c r="D900" s="4" t="str">
        <f t="shared" si="133"/>
        <v>J7502N</v>
      </c>
      <c r="E900" s="4" t="s">
        <v>959</v>
      </c>
      <c r="F900" s="4" t="s">
        <v>2177</v>
      </c>
      <c r="G900" s="5">
        <v>4521718183169</v>
      </c>
      <c r="H900" s="5"/>
      <c r="I900" s="5"/>
      <c r="J900" s="5">
        <v>1</v>
      </c>
      <c r="K900" s="5">
        <v>1</v>
      </c>
      <c r="L900" s="4">
        <v>640</v>
      </c>
      <c r="M900" s="4">
        <v>415</v>
      </c>
      <c r="N900" s="4">
        <v>284</v>
      </c>
      <c r="O900" s="6">
        <f t="shared" si="134"/>
        <v>0.31566265060240961</v>
      </c>
      <c r="P900" s="4" t="s">
        <v>2500</v>
      </c>
      <c r="Q900" s="4"/>
      <c r="R900" s="4"/>
      <c r="S900" s="4"/>
      <c r="T900" s="4"/>
      <c r="U900" s="4"/>
      <c r="V900" s="4"/>
      <c r="W900" s="4"/>
      <c r="X900" s="4"/>
      <c r="Y900" s="4">
        <v>437</v>
      </c>
      <c r="Z900" s="4">
        <f t="shared" si="135"/>
        <v>437</v>
      </c>
      <c r="AA900" s="4">
        <v>284</v>
      </c>
      <c r="AB900" s="4">
        <f t="shared" si="136"/>
        <v>284</v>
      </c>
      <c r="AC900" s="4"/>
      <c r="AD900" s="21">
        <f>ROUND(M900*AR900,0)</f>
        <v>415</v>
      </c>
      <c r="AE900" s="6">
        <f>1-AB900/AD900</f>
        <v>0.31566265060240961</v>
      </c>
      <c r="AF900" s="33">
        <v>0.5</v>
      </c>
      <c r="AG900" s="4">
        <f t="shared" si="137"/>
        <v>640</v>
      </c>
      <c r="AH900" s="33">
        <f t="shared" ref="AH900:AH963" si="139">AG900*AR900</f>
        <v>640</v>
      </c>
      <c r="AI900" s="6">
        <f>1-AB900/AH900</f>
        <v>0.55625000000000002</v>
      </c>
      <c r="AJ900" s="7">
        <f>ROUND(AB900/0.65,0)</f>
        <v>437</v>
      </c>
      <c r="AK900" s="6">
        <f>1-AB900/AJ900</f>
        <v>0.35011441647597252</v>
      </c>
      <c r="AL900" s="4">
        <f>AJ900-AB900</f>
        <v>153</v>
      </c>
      <c r="AM900" s="28"/>
      <c r="AN900" s="6"/>
      <c r="AO900" s="6"/>
      <c r="AP900" s="6">
        <f>Z900/L900</f>
        <v>0.68281250000000004</v>
      </c>
      <c r="AQ900" s="6">
        <f>AJ900/M900</f>
        <v>1.0530120481927712</v>
      </c>
      <c r="AR900" s="6">
        <f>AB900/N900</f>
        <v>1</v>
      </c>
      <c r="AS900" s="4"/>
      <c r="AT900" s="4"/>
      <c r="AU900" s="4"/>
      <c r="AV900" s="4"/>
      <c r="AW900" s="4"/>
      <c r="AX900" s="4"/>
      <c r="AY900" s="4"/>
      <c r="AZ900" s="4"/>
      <c r="BA900" s="4"/>
      <c r="BB900" s="4">
        <v>0</v>
      </c>
      <c r="BC900" s="4" t="s">
        <v>4363</v>
      </c>
      <c r="BD900" s="4">
        <v>1</v>
      </c>
      <c r="BE900" s="4">
        <v>5</v>
      </c>
      <c r="BF900" s="4" t="s">
        <v>3790</v>
      </c>
      <c r="BG900" s="4">
        <v>3200</v>
      </c>
      <c r="BH900" s="4">
        <v>3200</v>
      </c>
      <c r="BI900" s="4">
        <f t="shared" si="138"/>
        <v>640</v>
      </c>
      <c r="BJ900" s="19">
        <v>4</v>
      </c>
      <c r="BK900" s="19">
        <v>8</v>
      </c>
      <c r="BL900" s="16">
        <v>6</v>
      </c>
      <c r="BM900" s="45" t="s">
        <v>3534</v>
      </c>
      <c r="BN900" t="s">
        <v>3534</v>
      </c>
      <c r="BO900" t="str">
        <f t="shared" si="131"/>
        <v>-</v>
      </c>
      <c r="BP900">
        <v>568</v>
      </c>
      <c r="BQ900">
        <v>568</v>
      </c>
      <c r="BR900">
        <f t="shared" si="132"/>
        <v>568</v>
      </c>
      <c r="BS900" t="s">
        <v>3222</v>
      </c>
    </row>
    <row r="901" spans="1:71" x14ac:dyDescent="0.4">
      <c r="A901" s="3">
        <v>898</v>
      </c>
      <c r="B901" s="3">
        <v>898</v>
      </c>
      <c r="C901" s="4" t="s">
        <v>960</v>
      </c>
      <c r="D901" s="4" t="str">
        <f t="shared" si="133"/>
        <v>J7503N</v>
      </c>
      <c r="E901" s="4" t="s">
        <v>960</v>
      </c>
      <c r="F901" s="4" t="s">
        <v>2178</v>
      </c>
      <c r="G901" s="5">
        <v>4521718183176</v>
      </c>
      <c r="H901" s="5"/>
      <c r="I901" s="5"/>
      <c r="J901" s="5">
        <v>1</v>
      </c>
      <c r="K901" s="5">
        <v>1</v>
      </c>
      <c r="L901" s="4">
        <v>640</v>
      </c>
      <c r="M901" s="4">
        <v>415</v>
      </c>
      <c r="N901" s="4">
        <v>284</v>
      </c>
      <c r="O901" s="6">
        <f t="shared" si="134"/>
        <v>0.31566265060240961</v>
      </c>
      <c r="P901" s="4" t="s">
        <v>2500</v>
      </c>
      <c r="Q901" s="4"/>
      <c r="R901" s="4"/>
      <c r="S901" s="4"/>
      <c r="T901" s="4"/>
      <c r="U901" s="4"/>
      <c r="V901" s="4"/>
      <c r="W901" s="4"/>
      <c r="X901" s="4"/>
      <c r="Y901" s="4">
        <v>437</v>
      </c>
      <c r="Z901" s="4">
        <f t="shared" si="135"/>
        <v>437</v>
      </c>
      <c r="AA901" s="4">
        <v>284</v>
      </c>
      <c r="AB901" s="4">
        <f t="shared" si="136"/>
        <v>284</v>
      </c>
      <c r="AC901" s="4"/>
      <c r="AD901" s="21">
        <f>ROUND(M901*AR901,0)</f>
        <v>415</v>
      </c>
      <c r="AE901" s="6">
        <f>1-AB901/AD901</f>
        <v>0.31566265060240961</v>
      </c>
      <c r="AF901" s="33">
        <v>0</v>
      </c>
      <c r="AG901" s="4">
        <f t="shared" si="137"/>
        <v>640</v>
      </c>
      <c r="AH901" s="33">
        <f t="shared" si="139"/>
        <v>640</v>
      </c>
      <c r="AI901" s="6">
        <f>1-AB901/AH901</f>
        <v>0.55625000000000002</v>
      </c>
      <c r="AJ901" s="7">
        <f>ROUND(AB901/0.65,0)</f>
        <v>437</v>
      </c>
      <c r="AK901" s="6">
        <f>1-AB901/AJ901</f>
        <v>0.35011441647597252</v>
      </c>
      <c r="AL901" s="4">
        <f>AJ901-AB901</f>
        <v>153</v>
      </c>
      <c r="AM901" s="28"/>
      <c r="AN901" s="6"/>
      <c r="AO901" s="6"/>
      <c r="AP901" s="6">
        <f>Z901/L901</f>
        <v>0.68281250000000004</v>
      </c>
      <c r="AQ901" s="6">
        <f>AJ901/M901</f>
        <v>1.0530120481927712</v>
      </c>
      <c r="AR901" s="6">
        <f>AB901/N901</f>
        <v>1</v>
      </c>
      <c r="AS901" s="4"/>
      <c r="AT901" s="4"/>
      <c r="AU901" s="4"/>
      <c r="AV901" s="4"/>
      <c r="AW901" s="4"/>
      <c r="AX901" s="4"/>
      <c r="AY901" s="4"/>
      <c r="AZ901" s="4"/>
      <c r="BA901" s="4"/>
      <c r="BB901" s="4">
        <v>0</v>
      </c>
      <c r="BC901" s="4" t="s">
        <v>4364</v>
      </c>
      <c r="BD901" s="4">
        <v>1</v>
      </c>
      <c r="BE901" s="4">
        <v>5</v>
      </c>
      <c r="BF901" s="4" t="s">
        <v>3790</v>
      </c>
      <c r="BG901" s="4">
        <v>3200</v>
      </c>
      <c r="BH901" s="4">
        <v>3200</v>
      </c>
      <c r="BI901" s="4">
        <f t="shared" si="138"/>
        <v>640</v>
      </c>
      <c r="BJ901" s="19">
        <v>4</v>
      </c>
      <c r="BK901" s="19">
        <v>8</v>
      </c>
      <c r="BL901" s="16">
        <v>6</v>
      </c>
      <c r="BM901" s="45" t="s">
        <v>3534</v>
      </c>
      <c r="BN901" t="s">
        <v>3534</v>
      </c>
      <c r="BO901" t="str">
        <f t="shared" ref="BO901:BO964" si="140">IFERROR(BN901*AR901,"-")</f>
        <v>-</v>
      </c>
      <c r="BP901">
        <v>568</v>
      </c>
      <c r="BQ901">
        <v>568</v>
      </c>
      <c r="BR901">
        <f t="shared" ref="BR901:BR964" si="141">IFERROR(BQ901*AR901,"-")</f>
        <v>568</v>
      </c>
      <c r="BS901" t="s">
        <v>3223</v>
      </c>
    </row>
    <row r="902" spans="1:71" x14ac:dyDescent="0.4">
      <c r="A902" s="3">
        <v>899</v>
      </c>
      <c r="B902" s="3">
        <v>899</v>
      </c>
      <c r="C902" s="4" t="s">
        <v>961</v>
      </c>
      <c r="D902" s="4" t="str">
        <f t="shared" si="133"/>
        <v>J7504N</v>
      </c>
      <c r="E902" s="4" t="s">
        <v>961</v>
      </c>
      <c r="F902" s="4" t="s">
        <v>2179</v>
      </c>
      <c r="G902" s="5">
        <v>4521718183183</v>
      </c>
      <c r="H902" s="5"/>
      <c r="I902" s="5"/>
      <c r="J902" s="5">
        <v>1</v>
      </c>
      <c r="K902" s="5">
        <v>1</v>
      </c>
      <c r="L902" s="4">
        <v>640</v>
      </c>
      <c r="M902" s="4">
        <v>415</v>
      </c>
      <c r="N902" s="4">
        <v>284</v>
      </c>
      <c r="O902" s="6">
        <f t="shared" si="134"/>
        <v>0.31566265060240961</v>
      </c>
      <c r="P902" s="4" t="s">
        <v>2500</v>
      </c>
      <c r="Q902" s="4"/>
      <c r="R902" s="4"/>
      <c r="S902" s="4"/>
      <c r="T902" s="4"/>
      <c r="U902" s="4"/>
      <c r="V902" s="4"/>
      <c r="W902" s="4"/>
      <c r="X902" s="4"/>
      <c r="Y902" s="4">
        <v>437</v>
      </c>
      <c r="Z902" s="4">
        <f t="shared" si="135"/>
        <v>437</v>
      </c>
      <c r="AA902" s="4">
        <v>284</v>
      </c>
      <c r="AB902" s="4">
        <f t="shared" si="136"/>
        <v>284</v>
      </c>
      <c r="AC902" s="4"/>
      <c r="AD902" s="21">
        <f>ROUND(M902*AR902,0)</f>
        <v>415</v>
      </c>
      <c r="AE902" s="6">
        <f>1-AB902/AD902</f>
        <v>0.31566265060240961</v>
      </c>
      <c r="AF902" s="33">
        <v>0</v>
      </c>
      <c r="AG902" s="4">
        <f t="shared" si="137"/>
        <v>640</v>
      </c>
      <c r="AH902" s="33">
        <f t="shared" si="139"/>
        <v>640</v>
      </c>
      <c r="AI902" s="6">
        <f>1-AB902/AH902</f>
        <v>0.55625000000000002</v>
      </c>
      <c r="AJ902" s="7">
        <f>ROUND(AB902/0.65,0)</f>
        <v>437</v>
      </c>
      <c r="AK902" s="6">
        <f>1-AB902/AJ902</f>
        <v>0.35011441647597252</v>
      </c>
      <c r="AL902" s="4">
        <f>AJ902-AB902</f>
        <v>153</v>
      </c>
      <c r="AM902" s="28"/>
      <c r="AN902" s="6"/>
      <c r="AO902" s="6"/>
      <c r="AP902" s="6">
        <f>Z902/L902</f>
        <v>0.68281250000000004</v>
      </c>
      <c r="AQ902" s="6">
        <f>AJ902/M902</f>
        <v>1.0530120481927712</v>
      </c>
      <c r="AR902" s="6">
        <f>AB902/N902</f>
        <v>1</v>
      </c>
      <c r="AS902" s="4"/>
      <c r="AT902" s="4"/>
      <c r="AU902" s="4"/>
      <c r="AV902" s="4"/>
      <c r="AW902" s="4"/>
      <c r="AX902" s="4"/>
      <c r="AY902" s="4"/>
      <c r="AZ902" s="4"/>
      <c r="BA902" s="4"/>
      <c r="BB902" s="4">
        <v>0</v>
      </c>
      <c r="BC902" s="4" t="s">
        <v>4365</v>
      </c>
      <c r="BD902" s="4">
        <v>1</v>
      </c>
      <c r="BE902" s="4">
        <v>5</v>
      </c>
      <c r="BF902" s="4" t="s">
        <v>3790</v>
      </c>
      <c r="BG902" s="4">
        <v>3200</v>
      </c>
      <c r="BH902" s="4">
        <v>3200</v>
      </c>
      <c r="BI902" s="4">
        <f t="shared" si="138"/>
        <v>640</v>
      </c>
      <c r="BJ902" s="19">
        <v>4</v>
      </c>
      <c r="BK902" s="19">
        <v>8</v>
      </c>
      <c r="BL902" s="16">
        <v>6</v>
      </c>
      <c r="BM902" s="45" t="s">
        <v>3534</v>
      </c>
      <c r="BN902" t="s">
        <v>3534</v>
      </c>
      <c r="BO902" t="str">
        <f t="shared" si="140"/>
        <v>-</v>
      </c>
      <c r="BP902">
        <v>568</v>
      </c>
      <c r="BQ902">
        <v>568</v>
      </c>
      <c r="BR902">
        <f t="shared" si="141"/>
        <v>568</v>
      </c>
      <c r="BS902" t="s">
        <v>3224</v>
      </c>
    </row>
    <row r="903" spans="1:71" x14ac:dyDescent="0.4">
      <c r="A903" s="3">
        <v>900</v>
      </c>
      <c r="B903" s="3">
        <v>900</v>
      </c>
      <c r="C903" s="4" t="s">
        <v>962</v>
      </c>
      <c r="D903" s="4" t="str">
        <f t="shared" si="133"/>
        <v>J7505N</v>
      </c>
      <c r="E903" s="4" t="s">
        <v>962</v>
      </c>
      <c r="F903" s="4" t="s">
        <v>2180</v>
      </c>
      <c r="G903" s="5">
        <v>4521718183206</v>
      </c>
      <c r="H903" s="5"/>
      <c r="I903" s="5"/>
      <c r="J903" s="5">
        <v>1</v>
      </c>
      <c r="K903" s="5">
        <v>1</v>
      </c>
      <c r="L903" s="4">
        <v>650</v>
      </c>
      <c r="M903" s="4">
        <v>423</v>
      </c>
      <c r="N903" s="4">
        <v>290</v>
      </c>
      <c r="O903" s="6">
        <f t="shared" si="134"/>
        <v>0.31442080378250592</v>
      </c>
      <c r="P903" s="4" t="s">
        <v>2500</v>
      </c>
      <c r="Q903" s="4"/>
      <c r="R903" s="4"/>
      <c r="S903" s="4"/>
      <c r="T903" s="4"/>
      <c r="U903" s="4"/>
      <c r="V903" s="4"/>
      <c r="W903" s="4"/>
      <c r="X903" s="4"/>
      <c r="Y903" s="4">
        <v>446</v>
      </c>
      <c r="Z903" s="4">
        <f t="shared" si="135"/>
        <v>446</v>
      </c>
      <c r="AA903" s="4">
        <v>290</v>
      </c>
      <c r="AB903" s="4">
        <f t="shared" si="136"/>
        <v>290</v>
      </c>
      <c r="AC903" s="4"/>
      <c r="AD903" s="21">
        <f>ROUND(M903*AR903,0)</f>
        <v>423</v>
      </c>
      <c r="AE903" s="6">
        <f>1-AB903/AD903</f>
        <v>0.31442080378250592</v>
      </c>
      <c r="AF903" s="33">
        <v>0</v>
      </c>
      <c r="AG903" s="4">
        <f t="shared" si="137"/>
        <v>650</v>
      </c>
      <c r="AH903" s="33">
        <f t="shared" si="139"/>
        <v>650</v>
      </c>
      <c r="AI903" s="6">
        <f>1-AB903/AH903</f>
        <v>0.55384615384615388</v>
      </c>
      <c r="AJ903" s="7">
        <v>446</v>
      </c>
      <c r="AK903" s="6">
        <f>1-AB903/AJ903</f>
        <v>0.34977578475336324</v>
      </c>
      <c r="AL903" s="4">
        <f>AJ903-AB903</f>
        <v>156</v>
      </c>
      <c r="AM903" s="28"/>
      <c r="AN903" s="6"/>
      <c r="AO903" s="6"/>
      <c r="AP903" s="6">
        <f>Z903/L903</f>
        <v>0.68615384615384611</v>
      </c>
      <c r="AQ903" s="6">
        <f>AJ903/M903</f>
        <v>1.0543735224586288</v>
      </c>
      <c r="AR903" s="6">
        <f>AB903/N903</f>
        <v>1</v>
      </c>
      <c r="AS903" s="4"/>
      <c r="AT903" s="4"/>
      <c r="AU903" s="4"/>
      <c r="AV903" s="4"/>
      <c r="AW903" s="4"/>
      <c r="AX903" s="4"/>
      <c r="AY903" s="4"/>
      <c r="AZ903" s="4"/>
      <c r="BA903" s="4"/>
      <c r="BB903" s="4">
        <v>0</v>
      </c>
      <c r="BC903" s="4" t="s">
        <v>4366</v>
      </c>
      <c r="BD903" s="4">
        <v>1</v>
      </c>
      <c r="BE903" s="4">
        <v>4</v>
      </c>
      <c r="BF903" s="4" t="s">
        <v>4341</v>
      </c>
      <c r="BG903" s="4">
        <v>2600</v>
      </c>
      <c r="BH903" s="4">
        <v>2600</v>
      </c>
      <c r="BI903" s="4">
        <f t="shared" si="138"/>
        <v>650</v>
      </c>
      <c r="BJ903" s="19">
        <v>4</v>
      </c>
      <c r="BK903" s="19">
        <v>8</v>
      </c>
      <c r="BL903" s="16">
        <v>6</v>
      </c>
      <c r="BM903" s="45" t="s">
        <v>3534</v>
      </c>
      <c r="BN903" t="s">
        <v>3534</v>
      </c>
      <c r="BO903" t="str">
        <f t="shared" si="140"/>
        <v>-</v>
      </c>
      <c r="BP903">
        <v>580</v>
      </c>
      <c r="BQ903">
        <v>580</v>
      </c>
      <c r="BR903">
        <f t="shared" si="141"/>
        <v>580</v>
      </c>
      <c r="BS903" t="s">
        <v>3225</v>
      </c>
    </row>
    <row r="904" spans="1:71" x14ac:dyDescent="0.4">
      <c r="A904" s="3">
        <v>901</v>
      </c>
      <c r="B904" s="3">
        <v>901</v>
      </c>
      <c r="C904" s="4" t="s">
        <v>963</v>
      </c>
      <c r="D904" s="4" t="str">
        <f t="shared" si="133"/>
        <v>J7506N</v>
      </c>
      <c r="E904" s="4" t="s">
        <v>963</v>
      </c>
      <c r="F904" s="4" t="s">
        <v>2181</v>
      </c>
      <c r="G904" s="5">
        <v>4521718183213</v>
      </c>
      <c r="H904" s="5"/>
      <c r="I904" s="5"/>
      <c r="J904" s="5">
        <v>1</v>
      </c>
      <c r="K904" s="5">
        <v>1</v>
      </c>
      <c r="L904" s="4">
        <v>650</v>
      </c>
      <c r="M904" s="4">
        <v>423</v>
      </c>
      <c r="N904" s="4">
        <v>290</v>
      </c>
      <c r="O904" s="6">
        <f t="shared" si="134"/>
        <v>0.31442080378250592</v>
      </c>
      <c r="P904" s="4" t="s">
        <v>2500</v>
      </c>
      <c r="Q904" s="4"/>
      <c r="R904" s="4"/>
      <c r="S904" s="4"/>
      <c r="T904" s="4"/>
      <c r="U904" s="4"/>
      <c r="V904" s="4"/>
      <c r="W904" s="4"/>
      <c r="X904" s="4"/>
      <c r="Y904" s="4">
        <v>446</v>
      </c>
      <c r="Z904" s="4">
        <f t="shared" si="135"/>
        <v>446</v>
      </c>
      <c r="AA904" s="4">
        <v>290</v>
      </c>
      <c r="AB904" s="4">
        <f t="shared" si="136"/>
        <v>290</v>
      </c>
      <c r="AC904" s="4"/>
      <c r="AD904" s="21">
        <f>ROUND(M904*AR904,0)</f>
        <v>423</v>
      </c>
      <c r="AE904" s="6">
        <f>1-AB904/AD904</f>
        <v>0.31442080378250592</v>
      </c>
      <c r="AF904" s="33">
        <v>0</v>
      </c>
      <c r="AG904" s="4">
        <f t="shared" si="137"/>
        <v>650</v>
      </c>
      <c r="AH904" s="33">
        <f t="shared" si="139"/>
        <v>650</v>
      </c>
      <c r="AI904" s="6">
        <f>1-AB904/AH904</f>
        <v>0.55384615384615388</v>
      </c>
      <c r="AJ904" s="7">
        <v>446</v>
      </c>
      <c r="AK904" s="6">
        <f>1-AB904/AJ904</f>
        <v>0.34977578475336324</v>
      </c>
      <c r="AL904" s="4">
        <f>AJ904-AB904</f>
        <v>156</v>
      </c>
      <c r="AM904" s="28"/>
      <c r="AN904" s="6"/>
      <c r="AO904" s="6"/>
      <c r="AP904" s="6">
        <f>Z904/L904</f>
        <v>0.68615384615384611</v>
      </c>
      <c r="AQ904" s="6">
        <f>AJ904/M904</f>
        <v>1.0543735224586288</v>
      </c>
      <c r="AR904" s="6">
        <f>AB904/N904</f>
        <v>1</v>
      </c>
      <c r="AS904" s="4"/>
      <c r="AT904" s="4"/>
      <c r="AU904" s="4"/>
      <c r="AV904" s="4"/>
      <c r="AW904" s="4"/>
      <c r="AX904" s="4"/>
      <c r="AY904" s="4"/>
      <c r="AZ904" s="4"/>
      <c r="BA904" s="4"/>
      <c r="BB904" s="4">
        <v>0</v>
      </c>
      <c r="BC904" s="4" t="s">
        <v>4367</v>
      </c>
      <c r="BD904" s="4">
        <v>1</v>
      </c>
      <c r="BE904" s="4">
        <v>4</v>
      </c>
      <c r="BF904" s="4" t="s">
        <v>4341</v>
      </c>
      <c r="BG904" s="4">
        <v>2600</v>
      </c>
      <c r="BH904" s="4">
        <v>2600</v>
      </c>
      <c r="BI904" s="4">
        <f t="shared" si="138"/>
        <v>650</v>
      </c>
      <c r="BJ904" s="19">
        <v>4</v>
      </c>
      <c r="BK904" s="19">
        <v>8</v>
      </c>
      <c r="BL904" s="16">
        <v>6</v>
      </c>
      <c r="BM904" s="45" t="s">
        <v>3534</v>
      </c>
      <c r="BN904" t="s">
        <v>3534</v>
      </c>
      <c r="BO904" t="str">
        <f t="shared" si="140"/>
        <v>-</v>
      </c>
      <c r="BP904">
        <v>580</v>
      </c>
      <c r="BQ904">
        <v>580</v>
      </c>
      <c r="BR904">
        <f t="shared" si="141"/>
        <v>580</v>
      </c>
      <c r="BS904" t="s">
        <v>3226</v>
      </c>
    </row>
    <row r="905" spans="1:71" x14ac:dyDescent="0.4">
      <c r="A905" s="3">
        <v>902</v>
      </c>
      <c r="B905" s="3">
        <v>902</v>
      </c>
      <c r="C905" s="4" t="s">
        <v>964</v>
      </c>
      <c r="D905" s="4" t="str">
        <f t="shared" si="133"/>
        <v>J7507N</v>
      </c>
      <c r="E905" s="4" t="s">
        <v>964</v>
      </c>
      <c r="F905" s="4" t="s">
        <v>2182</v>
      </c>
      <c r="G905" s="5">
        <v>4521718183220</v>
      </c>
      <c r="H905" s="5"/>
      <c r="I905" s="5"/>
      <c r="J905" s="5">
        <v>1</v>
      </c>
      <c r="K905" s="5">
        <v>1</v>
      </c>
      <c r="L905" s="4">
        <v>650</v>
      </c>
      <c r="M905" s="4">
        <v>423</v>
      </c>
      <c r="N905" s="4">
        <v>290</v>
      </c>
      <c r="O905" s="6">
        <f t="shared" si="134"/>
        <v>0.31442080378250592</v>
      </c>
      <c r="P905" s="4" t="s">
        <v>2500</v>
      </c>
      <c r="Q905" s="4"/>
      <c r="R905" s="4"/>
      <c r="S905" s="4"/>
      <c r="T905" s="4"/>
      <c r="U905" s="4"/>
      <c r="V905" s="4"/>
      <c r="W905" s="4"/>
      <c r="X905" s="4"/>
      <c r="Y905" s="4">
        <v>446</v>
      </c>
      <c r="Z905" s="4">
        <f t="shared" si="135"/>
        <v>446</v>
      </c>
      <c r="AA905" s="4">
        <v>290</v>
      </c>
      <c r="AB905" s="4">
        <f t="shared" si="136"/>
        <v>290</v>
      </c>
      <c r="AC905" s="4"/>
      <c r="AD905" s="21">
        <f>ROUND(M905*AR905,0)</f>
        <v>423</v>
      </c>
      <c r="AE905" s="6">
        <f>1-AB905/AD905</f>
        <v>0.31442080378250592</v>
      </c>
      <c r="AF905" s="33">
        <v>0</v>
      </c>
      <c r="AG905" s="4">
        <f t="shared" si="137"/>
        <v>650</v>
      </c>
      <c r="AH905" s="33">
        <f t="shared" si="139"/>
        <v>650</v>
      </c>
      <c r="AI905" s="6">
        <f>1-AB905/AH905</f>
        <v>0.55384615384615388</v>
      </c>
      <c r="AJ905" s="7">
        <v>446</v>
      </c>
      <c r="AK905" s="6">
        <f>1-AB905/AJ905</f>
        <v>0.34977578475336324</v>
      </c>
      <c r="AL905" s="4">
        <f>AJ905-AB905</f>
        <v>156</v>
      </c>
      <c r="AM905" s="28"/>
      <c r="AN905" s="6"/>
      <c r="AO905" s="6"/>
      <c r="AP905" s="6">
        <f>Z905/L905</f>
        <v>0.68615384615384611</v>
      </c>
      <c r="AQ905" s="6">
        <f>AJ905/M905</f>
        <v>1.0543735224586288</v>
      </c>
      <c r="AR905" s="6">
        <f>AB905/N905</f>
        <v>1</v>
      </c>
      <c r="AS905" s="4"/>
      <c r="AT905" s="4"/>
      <c r="AU905" s="4"/>
      <c r="AV905" s="4"/>
      <c r="AW905" s="4"/>
      <c r="AX905" s="4"/>
      <c r="AY905" s="4"/>
      <c r="AZ905" s="4"/>
      <c r="BA905" s="4"/>
      <c r="BB905" s="4">
        <v>0</v>
      </c>
      <c r="BC905" s="4" t="s">
        <v>4368</v>
      </c>
      <c r="BD905" s="4">
        <v>1</v>
      </c>
      <c r="BE905" s="4">
        <v>4</v>
      </c>
      <c r="BF905" s="4" t="s">
        <v>4341</v>
      </c>
      <c r="BG905" s="4">
        <v>2600</v>
      </c>
      <c r="BH905" s="4">
        <v>2600</v>
      </c>
      <c r="BI905" s="4">
        <f t="shared" si="138"/>
        <v>650</v>
      </c>
      <c r="BJ905" s="19">
        <v>4</v>
      </c>
      <c r="BK905" s="19">
        <v>8</v>
      </c>
      <c r="BL905" s="16">
        <v>6</v>
      </c>
      <c r="BM905" s="45" t="s">
        <v>3534</v>
      </c>
      <c r="BN905" t="s">
        <v>3534</v>
      </c>
      <c r="BO905" t="str">
        <f t="shared" si="140"/>
        <v>-</v>
      </c>
      <c r="BP905">
        <v>580</v>
      </c>
      <c r="BQ905">
        <v>580</v>
      </c>
      <c r="BR905">
        <f t="shared" si="141"/>
        <v>580</v>
      </c>
      <c r="BS905" t="s">
        <v>3227</v>
      </c>
    </row>
    <row r="906" spans="1:71" x14ac:dyDescent="0.4">
      <c r="A906" s="3">
        <v>903</v>
      </c>
      <c r="B906" s="3">
        <v>903</v>
      </c>
      <c r="C906" s="4" t="s">
        <v>965</v>
      </c>
      <c r="D906" s="4" t="str">
        <f t="shared" si="133"/>
        <v>J7508N</v>
      </c>
      <c r="E906" s="4" t="s">
        <v>965</v>
      </c>
      <c r="F906" s="4" t="s">
        <v>2183</v>
      </c>
      <c r="G906" s="5">
        <v>4521718183237</v>
      </c>
      <c r="H906" s="5"/>
      <c r="I906" s="5"/>
      <c r="J906" s="5">
        <v>1</v>
      </c>
      <c r="K906" s="5">
        <v>1</v>
      </c>
      <c r="L906" s="4">
        <v>650</v>
      </c>
      <c r="M906" s="4">
        <v>423</v>
      </c>
      <c r="N906" s="4">
        <v>290</v>
      </c>
      <c r="O906" s="6">
        <f t="shared" si="134"/>
        <v>0.31442080378250592</v>
      </c>
      <c r="P906" s="4" t="s">
        <v>2500</v>
      </c>
      <c r="Q906" s="4"/>
      <c r="R906" s="4"/>
      <c r="S906" s="4"/>
      <c r="T906" s="4"/>
      <c r="U906" s="4"/>
      <c r="V906" s="4"/>
      <c r="W906" s="4"/>
      <c r="X906" s="4"/>
      <c r="Y906" s="4">
        <v>446</v>
      </c>
      <c r="Z906" s="4">
        <f t="shared" si="135"/>
        <v>446</v>
      </c>
      <c r="AA906" s="4">
        <v>290</v>
      </c>
      <c r="AB906" s="4">
        <f t="shared" si="136"/>
        <v>290</v>
      </c>
      <c r="AC906" s="4"/>
      <c r="AD906" s="21">
        <f>ROUND(M906*AR906,0)</f>
        <v>423</v>
      </c>
      <c r="AE906" s="6">
        <f>1-AB906/AD906</f>
        <v>0.31442080378250592</v>
      </c>
      <c r="AF906" s="33">
        <v>0</v>
      </c>
      <c r="AG906" s="4">
        <f t="shared" si="137"/>
        <v>650</v>
      </c>
      <c r="AH906" s="33">
        <f t="shared" si="139"/>
        <v>650</v>
      </c>
      <c r="AI906" s="6">
        <f>1-AB906/AH906</f>
        <v>0.55384615384615388</v>
      </c>
      <c r="AJ906" s="7">
        <v>446</v>
      </c>
      <c r="AK906" s="6">
        <f>1-AB906/AJ906</f>
        <v>0.34977578475336324</v>
      </c>
      <c r="AL906" s="4">
        <f>AJ906-AB906</f>
        <v>156</v>
      </c>
      <c r="AM906" s="28"/>
      <c r="AN906" s="6"/>
      <c r="AO906" s="6"/>
      <c r="AP906" s="6">
        <f>Z906/L906</f>
        <v>0.68615384615384611</v>
      </c>
      <c r="AQ906" s="6">
        <f>AJ906/M906</f>
        <v>1.0543735224586288</v>
      </c>
      <c r="AR906" s="6">
        <f>AB906/N906</f>
        <v>1</v>
      </c>
      <c r="AS906" s="4"/>
      <c r="AT906" s="4"/>
      <c r="AU906" s="4"/>
      <c r="AV906" s="4"/>
      <c r="AW906" s="4"/>
      <c r="AX906" s="4"/>
      <c r="AY906" s="4"/>
      <c r="AZ906" s="4"/>
      <c r="BA906" s="4"/>
      <c r="BB906" s="4">
        <v>0</v>
      </c>
      <c r="BC906" s="4" t="s">
        <v>4369</v>
      </c>
      <c r="BD906" s="4">
        <v>1</v>
      </c>
      <c r="BE906" s="4">
        <v>4</v>
      </c>
      <c r="BF906" s="4" t="s">
        <v>4341</v>
      </c>
      <c r="BG906" s="4">
        <v>2600</v>
      </c>
      <c r="BH906" s="4">
        <v>2600</v>
      </c>
      <c r="BI906" s="4">
        <f t="shared" si="138"/>
        <v>650</v>
      </c>
      <c r="BJ906" s="19">
        <v>4</v>
      </c>
      <c r="BK906" s="19">
        <v>8</v>
      </c>
      <c r="BL906" s="16">
        <v>6</v>
      </c>
      <c r="BM906" s="45" t="s">
        <v>3534</v>
      </c>
      <c r="BN906" t="s">
        <v>3534</v>
      </c>
      <c r="BO906" t="str">
        <f t="shared" si="140"/>
        <v>-</v>
      </c>
      <c r="BP906">
        <v>580</v>
      </c>
      <c r="BQ906">
        <v>580</v>
      </c>
      <c r="BR906">
        <f t="shared" si="141"/>
        <v>580</v>
      </c>
      <c r="BS906" t="s">
        <v>3228</v>
      </c>
    </row>
    <row r="907" spans="1:71" x14ac:dyDescent="0.4">
      <c r="A907" s="3">
        <v>904</v>
      </c>
      <c r="B907" s="3">
        <v>904</v>
      </c>
      <c r="C907" s="4" t="s">
        <v>966</v>
      </c>
      <c r="D907" s="4" t="str">
        <f t="shared" si="133"/>
        <v>J7512N</v>
      </c>
      <c r="E907" s="4" t="s">
        <v>966</v>
      </c>
      <c r="F907" s="4" t="s">
        <v>2184</v>
      </c>
      <c r="G907" s="5">
        <v>4521718183275</v>
      </c>
      <c r="H907" s="5"/>
      <c r="I907" s="5"/>
      <c r="J907" s="5">
        <v>1</v>
      </c>
      <c r="K907" s="5">
        <v>1</v>
      </c>
      <c r="L907" s="4">
        <v>560</v>
      </c>
      <c r="M907" s="4">
        <v>363</v>
      </c>
      <c r="N907" s="4">
        <v>248</v>
      </c>
      <c r="O907" s="6">
        <f t="shared" si="134"/>
        <v>0.3168044077134986</v>
      </c>
      <c r="P907" s="4" t="s">
        <v>2500</v>
      </c>
      <c r="Q907" s="4"/>
      <c r="R907" s="4"/>
      <c r="S907" s="4"/>
      <c r="T907" s="4"/>
      <c r="U907" s="4"/>
      <c r="V907" s="4"/>
      <c r="W907" s="4"/>
      <c r="X907" s="4"/>
      <c r="Y907" s="4">
        <v>382</v>
      </c>
      <c r="Z907" s="4">
        <f t="shared" si="135"/>
        <v>382</v>
      </c>
      <c r="AA907" s="4">
        <v>248</v>
      </c>
      <c r="AB907" s="4">
        <f t="shared" si="136"/>
        <v>248</v>
      </c>
      <c r="AC907" s="4"/>
      <c r="AD907" s="21">
        <f>ROUND(M907*AR907,0)</f>
        <v>363</v>
      </c>
      <c r="AE907" s="6">
        <f>1-AB907/AD907</f>
        <v>0.3168044077134986</v>
      </c>
      <c r="AF907" s="33">
        <v>0</v>
      </c>
      <c r="AG907" s="4">
        <f t="shared" si="137"/>
        <v>560</v>
      </c>
      <c r="AH907" s="33">
        <f t="shared" si="139"/>
        <v>560</v>
      </c>
      <c r="AI907" s="6">
        <f>1-AB907/AH907</f>
        <v>0.55714285714285716</v>
      </c>
      <c r="AJ907" s="7">
        <f>ROUND(AB907/0.65,0)</f>
        <v>382</v>
      </c>
      <c r="AK907" s="6">
        <f>1-AB907/AJ907</f>
        <v>0.35078534031413611</v>
      </c>
      <c r="AL907" s="4">
        <f>AJ907-AB907</f>
        <v>134</v>
      </c>
      <c r="AM907" s="28"/>
      <c r="AN907" s="6"/>
      <c r="AO907" s="6"/>
      <c r="AP907" s="6">
        <f>Z907/L907</f>
        <v>0.68214285714285716</v>
      </c>
      <c r="AQ907" s="6">
        <f>AJ907/M907</f>
        <v>1.0523415977961432</v>
      </c>
      <c r="AR907" s="6">
        <f>AB907/N907</f>
        <v>1</v>
      </c>
      <c r="AS907" s="4"/>
      <c r="AT907" s="4"/>
      <c r="AU907" s="4"/>
      <c r="AV907" s="4"/>
      <c r="AW907" s="4"/>
      <c r="AX907" s="4"/>
      <c r="AY907" s="4"/>
      <c r="AZ907" s="4"/>
      <c r="BA907" s="4"/>
      <c r="BB907" s="4">
        <v>0</v>
      </c>
      <c r="BC907" s="4" t="s">
        <v>4370</v>
      </c>
      <c r="BD907" s="4">
        <v>1</v>
      </c>
      <c r="BE907" s="4">
        <v>5</v>
      </c>
      <c r="BF907" s="4" t="s">
        <v>4371</v>
      </c>
      <c r="BG907" s="4">
        <v>2800</v>
      </c>
      <c r="BH907" s="4">
        <v>2800</v>
      </c>
      <c r="BI907" s="4">
        <f t="shared" si="138"/>
        <v>560</v>
      </c>
      <c r="BJ907" s="19">
        <v>4</v>
      </c>
      <c r="BK907" s="19">
        <v>8</v>
      </c>
      <c r="BL907" s="16">
        <v>6</v>
      </c>
      <c r="BM907" s="45" t="s">
        <v>3534</v>
      </c>
      <c r="BN907" t="s">
        <v>3534</v>
      </c>
      <c r="BO907" t="str">
        <f t="shared" si="140"/>
        <v>-</v>
      </c>
      <c r="BP907">
        <v>496</v>
      </c>
      <c r="BQ907">
        <v>496</v>
      </c>
      <c r="BR907">
        <f t="shared" si="141"/>
        <v>496</v>
      </c>
      <c r="BS907" t="s">
        <v>3229</v>
      </c>
    </row>
    <row r="908" spans="1:71" x14ac:dyDescent="0.4">
      <c r="A908" s="3">
        <v>905</v>
      </c>
      <c r="B908" s="3">
        <v>905</v>
      </c>
      <c r="C908" s="4" t="s">
        <v>967</v>
      </c>
      <c r="D908" s="4" t="str">
        <f t="shared" si="133"/>
        <v>J7513N</v>
      </c>
      <c r="E908" s="4" t="s">
        <v>967</v>
      </c>
      <c r="F908" s="4" t="s">
        <v>2185</v>
      </c>
      <c r="G908" s="5">
        <v>4521718183343</v>
      </c>
      <c r="H908" s="5"/>
      <c r="I908" s="5"/>
      <c r="J908" s="5">
        <v>1</v>
      </c>
      <c r="K908" s="5">
        <v>1</v>
      </c>
      <c r="L908" s="4">
        <v>600</v>
      </c>
      <c r="M908" s="4">
        <v>390</v>
      </c>
      <c r="N908" s="4">
        <v>267</v>
      </c>
      <c r="O908" s="6">
        <f t="shared" si="134"/>
        <v>0.31538461538461537</v>
      </c>
      <c r="P908" s="4" t="s">
        <v>2500</v>
      </c>
      <c r="Q908" s="4"/>
      <c r="R908" s="4"/>
      <c r="S908" s="4"/>
      <c r="T908" s="4"/>
      <c r="U908" s="4"/>
      <c r="V908" s="4"/>
      <c r="W908" s="4"/>
      <c r="X908" s="4"/>
      <c r="Y908" s="4">
        <v>410</v>
      </c>
      <c r="Z908" s="4">
        <f t="shared" si="135"/>
        <v>410</v>
      </c>
      <c r="AA908" s="4">
        <v>267</v>
      </c>
      <c r="AB908" s="4">
        <f t="shared" si="136"/>
        <v>267</v>
      </c>
      <c r="AC908" s="4"/>
      <c r="AD908" s="21">
        <f>ROUND(M908*AR908,0)</f>
        <v>390</v>
      </c>
      <c r="AE908" s="6">
        <f>1-AB908/AD908</f>
        <v>0.31538461538461537</v>
      </c>
      <c r="AF908" s="33">
        <v>0</v>
      </c>
      <c r="AG908" s="4">
        <f t="shared" si="137"/>
        <v>600</v>
      </c>
      <c r="AH908" s="33">
        <f t="shared" si="139"/>
        <v>600</v>
      </c>
      <c r="AI908" s="6">
        <f>1-AB908/AH908</f>
        <v>0.55499999999999994</v>
      </c>
      <c r="AJ908" s="7">
        <v>410</v>
      </c>
      <c r="AK908" s="6">
        <f>1-AB908/AJ908</f>
        <v>0.34878048780487803</v>
      </c>
      <c r="AL908" s="4">
        <f>AJ908-AB908</f>
        <v>143</v>
      </c>
      <c r="AM908" s="28"/>
      <c r="AN908" s="6"/>
      <c r="AO908" s="6"/>
      <c r="AP908" s="6">
        <f>Z908/L908</f>
        <v>0.68333333333333335</v>
      </c>
      <c r="AQ908" s="6">
        <f>AJ908/M908</f>
        <v>1.0512820512820513</v>
      </c>
      <c r="AR908" s="6">
        <f>AB908/N908</f>
        <v>1</v>
      </c>
      <c r="AS908" s="4"/>
      <c r="AT908" s="4"/>
      <c r="AU908" s="4"/>
      <c r="AV908" s="4"/>
      <c r="AW908" s="4"/>
      <c r="AX908" s="4"/>
      <c r="AY908" s="4"/>
      <c r="AZ908" s="4"/>
      <c r="BA908" s="4"/>
      <c r="BB908" s="4">
        <v>0</v>
      </c>
      <c r="BC908" s="4" t="s">
        <v>4372</v>
      </c>
      <c r="BD908" s="4">
        <v>1</v>
      </c>
      <c r="BE908" s="4">
        <v>5</v>
      </c>
      <c r="BF908" s="4" t="s">
        <v>4371</v>
      </c>
      <c r="BG908" s="4">
        <v>3000</v>
      </c>
      <c r="BH908" s="4">
        <v>3000</v>
      </c>
      <c r="BI908" s="4">
        <f t="shared" si="138"/>
        <v>600</v>
      </c>
      <c r="BJ908" s="19">
        <v>4</v>
      </c>
      <c r="BK908" s="19">
        <v>8</v>
      </c>
      <c r="BL908" s="16">
        <v>6</v>
      </c>
      <c r="BM908" s="45" t="s">
        <v>3534</v>
      </c>
      <c r="BN908" t="s">
        <v>3534</v>
      </c>
      <c r="BO908" t="str">
        <f t="shared" si="140"/>
        <v>-</v>
      </c>
      <c r="BP908">
        <v>534</v>
      </c>
      <c r="BQ908">
        <v>534</v>
      </c>
      <c r="BR908">
        <f t="shared" si="141"/>
        <v>534</v>
      </c>
      <c r="BS908" t="s">
        <v>3230</v>
      </c>
    </row>
    <row r="909" spans="1:71" x14ac:dyDescent="0.4">
      <c r="A909" s="3">
        <v>906</v>
      </c>
      <c r="B909" s="3">
        <v>906</v>
      </c>
      <c r="C909" s="4" t="s">
        <v>968</v>
      </c>
      <c r="D909" s="4" t="str">
        <f t="shared" si="133"/>
        <v>J7514N</v>
      </c>
      <c r="E909" s="4" t="s">
        <v>968</v>
      </c>
      <c r="F909" s="4" t="s">
        <v>2186</v>
      </c>
      <c r="G909" s="5">
        <v>4521718183350</v>
      </c>
      <c r="H909" s="5"/>
      <c r="I909" s="5"/>
      <c r="J909" s="5">
        <v>1</v>
      </c>
      <c r="K909" s="5">
        <v>1</v>
      </c>
      <c r="L909" s="4">
        <v>700</v>
      </c>
      <c r="M909" s="4">
        <v>459</v>
      </c>
      <c r="N909" s="4">
        <v>313</v>
      </c>
      <c r="O909" s="6">
        <f t="shared" si="134"/>
        <v>0.31808278867102402</v>
      </c>
      <c r="P909" s="4" t="s">
        <v>2500</v>
      </c>
      <c r="Q909" s="4"/>
      <c r="R909" s="4"/>
      <c r="S909" s="4"/>
      <c r="T909" s="4"/>
      <c r="U909" s="4"/>
      <c r="V909" s="4"/>
      <c r="W909" s="4"/>
      <c r="X909" s="4"/>
      <c r="Y909" s="4">
        <v>482</v>
      </c>
      <c r="Z909" s="4">
        <f t="shared" si="135"/>
        <v>482</v>
      </c>
      <c r="AA909" s="4">
        <v>313</v>
      </c>
      <c r="AB909" s="4">
        <f t="shared" si="136"/>
        <v>313</v>
      </c>
      <c r="AC909" s="4"/>
      <c r="AD909" s="21">
        <f>ROUND(M909*AR909,0)</f>
        <v>459</v>
      </c>
      <c r="AE909" s="6">
        <f>1-AB909/AD909</f>
        <v>0.31808278867102402</v>
      </c>
      <c r="AF909" s="33">
        <v>0</v>
      </c>
      <c r="AG909" s="4">
        <f t="shared" si="137"/>
        <v>700</v>
      </c>
      <c r="AH909" s="33">
        <f t="shared" si="139"/>
        <v>700</v>
      </c>
      <c r="AI909" s="6">
        <f>1-AB909/AH909</f>
        <v>0.55285714285714294</v>
      </c>
      <c r="AJ909" s="7">
        <f>ROUND(AB909/0.65,0)</f>
        <v>482</v>
      </c>
      <c r="AK909" s="6">
        <f>1-AB909/AJ909</f>
        <v>0.35062240663900412</v>
      </c>
      <c r="AL909" s="4">
        <f>AJ909-AB909</f>
        <v>169</v>
      </c>
      <c r="AM909" s="28"/>
      <c r="AN909" s="6"/>
      <c r="AO909" s="6"/>
      <c r="AP909" s="6">
        <f>Z909/L909</f>
        <v>0.68857142857142861</v>
      </c>
      <c r="AQ909" s="6">
        <f>AJ909/M909</f>
        <v>1.0501089324618735</v>
      </c>
      <c r="AR909" s="6">
        <f>AB909/N909</f>
        <v>1</v>
      </c>
      <c r="AS909" s="4"/>
      <c r="AT909" s="4"/>
      <c r="AU909" s="4"/>
      <c r="AV909" s="4"/>
      <c r="AW909" s="4"/>
      <c r="AX909" s="4"/>
      <c r="AY909" s="4"/>
      <c r="AZ909" s="4"/>
      <c r="BA909" s="4"/>
      <c r="BB909" s="4">
        <v>0</v>
      </c>
      <c r="BC909" s="4" t="s">
        <v>4373</v>
      </c>
      <c r="BD909" s="4">
        <v>1</v>
      </c>
      <c r="BE909" s="4">
        <v>4</v>
      </c>
      <c r="BF909" s="4" t="s">
        <v>4341</v>
      </c>
      <c r="BG909" s="4">
        <v>2800</v>
      </c>
      <c r="BH909" s="4">
        <v>2800</v>
      </c>
      <c r="BI909" s="4">
        <f t="shared" si="138"/>
        <v>700</v>
      </c>
      <c r="BJ909" s="19">
        <v>4</v>
      </c>
      <c r="BK909" s="19">
        <v>8</v>
      </c>
      <c r="BL909" s="16">
        <v>6</v>
      </c>
      <c r="BM909" s="45" t="s">
        <v>3534</v>
      </c>
      <c r="BN909" t="s">
        <v>3534</v>
      </c>
      <c r="BO909" t="str">
        <f t="shared" si="140"/>
        <v>-</v>
      </c>
      <c r="BP909">
        <v>626</v>
      </c>
      <c r="BQ909">
        <v>626</v>
      </c>
      <c r="BR909">
        <f t="shared" si="141"/>
        <v>626</v>
      </c>
      <c r="BS909" t="s">
        <v>3231</v>
      </c>
    </row>
    <row r="910" spans="1:71" x14ac:dyDescent="0.4">
      <c r="A910" s="3">
        <v>907</v>
      </c>
      <c r="B910" s="3">
        <v>907</v>
      </c>
      <c r="C910" s="4" t="s">
        <v>969</v>
      </c>
      <c r="D910" s="4" t="str">
        <f t="shared" si="133"/>
        <v>J7515N</v>
      </c>
      <c r="E910" s="4" t="s">
        <v>969</v>
      </c>
      <c r="F910" s="4" t="s">
        <v>2187</v>
      </c>
      <c r="G910" s="5">
        <v>4521718183367</v>
      </c>
      <c r="H910" s="5"/>
      <c r="I910" s="5"/>
      <c r="J910" s="5">
        <v>1</v>
      </c>
      <c r="K910" s="5">
        <v>1</v>
      </c>
      <c r="L910" s="4">
        <v>810</v>
      </c>
      <c r="M910" s="4">
        <v>528</v>
      </c>
      <c r="N910" s="4">
        <v>361</v>
      </c>
      <c r="O910" s="6">
        <f t="shared" si="134"/>
        <v>0.31628787878787878</v>
      </c>
      <c r="P910" s="4" t="s">
        <v>2500</v>
      </c>
      <c r="Q910" s="4"/>
      <c r="R910" s="4"/>
      <c r="S910" s="4"/>
      <c r="T910" s="4"/>
      <c r="U910" s="4"/>
      <c r="V910" s="4"/>
      <c r="W910" s="4"/>
      <c r="X910" s="4"/>
      <c r="Y910" s="4">
        <v>555</v>
      </c>
      <c r="Z910" s="4">
        <f t="shared" si="135"/>
        <v>555</v>
      </c>
      <c r="AA910" s="4">
        <v>361</v>
      </c>
      <c r="AB910" s="4">
        <f t="shared" si="136"/>
        <v>361</v>
      </c>
      <c r="AC910" s="4"/>
      <c r="AD910" s="21">
        <f>ROUND(M910*AR910,0)</f>
        <v>528</v>
      </c>
      <c r="AE910" s="6">
        <f>1-AB910/AD910</f>
        <v>0.31628787878787878</v>
      </c>
      <c r="AF910" s="33">
        <v>0</v>
      </c>
      <c r="AG910" s="4">
        <f t="shared" si="137"/>
        <v>810</v>
      </c>
      <c r="AH910" s="33">
        <f t="shared" si="139"/>
        <v>810</v>
      </c>
      <c r="AI910" s="6">
        <f>1-AB910/AH910</f>
        <v>0.55432098765432092</v>
      </c>
      <c r="AJ910" s="7">
        <v>555</v>
      </c>
      <c r="AK910" s="6">
        <f>1-AB910/AJ910</f>
        <v>0.34954954954954953</v>
      </c>
      <c r="AL910" s="4">
        <f>AJ910-AB910</f>
        <v>194</v>
      </c>
      <c r="AM910" s="28"/>
      <c r="AN910" s="6"/>
      <c r="AO910" s="6"/>
      <c r="AP910" s="6">
        <f>Z910/L910</f>
        <v>0.68518518518518523</v>
      </c>
      <c r="AQ910" s="6">
        <f>AJ910/M910</f>
        <v>1.0511363636363635</v>
      </c>
      <c r="AR910" s="6">
        <f>AB910/N910</f>
        <v>1</v>
      </c>
      <c r="AS910" s="4"/>
      <c r="AT910" s="4"/>
      <c r="AU910" s="4"/>
      <c r="AV910" s="4"/>
      <c r="AW910" s="4"/>
      <c r="AX910" s="4"/>
      <c r="AY910" s="4"/>
      <c r="AZ910" s="4"/>
      <c r="BA910" s="4"/>
      <c r="BB910" s="4">
        <v>0</v>
      </c>
      <c r="BC910" s="4" t="s">
        <v>4374</v>
      </c>
      <c r="BD910" s="4">
        <v>1</v>
      </c>
      <c r="BE910" s="4">
        <v>4</v>
      </c>
      <c r="BF910" s="4" t="s">
        <v>4341</v>
      </c>
      <c r="BG910" s="4">
        <v>3240</v>
      </c>
      <c r="BH910" s="4">
        <v>3240</v>
      </c>
      <c r="BI910" s="4">
        <f t="shared" si="138"/>
        <v>810</v>
      </c>
      <c r="BJ910" s="19">
        <v>4</v>
      </c>
      <c r="BK910" s="19">
        <v>8</v>
      </c>
      <c r="BL910" s="16">
        <v>6</v>
      </c>
      <c r="BM910" s="45" t="s">
        <v>3534</v>
      </c>
      <c r="BN910" t="s">
        <v>3534</v>
      </c>
      <c r="BO910" t="str">
        <f t="shared" si="140"/>
        <v>-</v>
      </c>
      <c r="BP910" t="s">
        <v>3534</v>
      </c>
      <c r="BQ910">
        <v>722</v>
      </c>
      <c r="BR910">
        <f t="shared" si="141"/>
        <v>722</v>
      </c>
      <c r="BS910" t="s">
        <v>3232</v>
      </c>
    </row>
    <row r="911" spans="1:71" x14ac:dyDescent="0.4">
      <c r="A911" s="3">
        <v>908</v>
      </c>
      <c r="B911" s="3">
        <v>908</v>
      </c>
      <c r="C911" s="4" t="s">
        <v>970</v>
      </c>
      <c r="D911" s="4" t="str">
        <f t="shared" si="133"/>
        <v>J7516N</v>
      </c>
      <c r="E911" s="4" t="s">
        <v>970</v>
      </c>
      <c r="F911" s="4" t="s">
        <v>2188</v>
      </c>
      <c r="G911" s="5">
        <v>4521718183374</v>
      </c>
      <c r="H911" s="5"/>
      <c r="I911" s="5"/>
      <c r="J911" s="5">
        <v>1</v>
      </c>
      <c r="K911" s="5">
        <v>1</v>
      </c>
      <c r="L911" s="4">
        <v>810</v>
      </c>
      <c r="M911" s="4">
        <v>528</v>
      </c>
      <c r="N911" s="4">
        <v>361</v>
      </c>
      <c r="O911" s="6">
        <f t="shared" si="134"/>
        <v>0.31628787878787878</v>
      </c>
      <c r="P911" s="4" t="s">
        <v>2500</v>
      </c>
      <c r="Q911" s="4"/>
      <c r="R911" s="4"/>
      <c r="S911" s="4"/>
      <c r="T911" s="4"/>
      <c r="U911" s="4"/>
      <c r="V911" s="4"/>
      <c r="W911" s="4"/>
      <c r="X911" s="4"/>
      <c r="Y911" s="4">
        <v>555</v>
      </c>
      <c r="Z911" s="4">
        <f t="shared" si="135"/>
        <v>555</v>
      </c>
      <c r="AA911" s="4">
        <v>361</v>
      </c>
      <c r="AB911" s="4">
        <f t="shared" si="136"/>
        <v>361</v>
      </c>
      <c r="AC911" s="4"/>
      <c r="AD911" s="21">
        <f>ROUND(M911*AR911,0)</f>
        <v>528</v>
      </c>
      <c r="AE911" s="6">
        <f>1-AB911/AD911</f>
        <v>0.31628787878787878</v>
      </c>
      <c r="AF911" s="33">
        <v>0.25</v>
      </c>
      <c r="AG911" s="4">
        <f t="shared" si="137"/>
        <v>810</v>
      </c>
      <c r="AH911" s="33">
        <f t="shared" si="139"/>
        <v>810</v>
      </c>
      <c r="AI911" s="6">
        <f>1-AB911/AH911</f>
        <v>0.55432098765432092</v>
      </c>
      <c r="AJ911" s="7">
        <v>555</v>
      </c>
      <c r="AK911" s="6">
        <f>1-AB911/AJ911</f>
        <v>0.34954954954954953</v>
      </c>
      <c r="AL911" s="4">
        <f>AJ911-AB911</f>
        <v>194</v>
      </c>
      <c r="AM911" s="28"/>
      <c r="AN911" s="6"/>
      <c r="AO911" s="6"/>
      <c r="AP911" s="6">
        <f>Z911/L911</f>
        <v>0.68518518518518523</v>
      </c>
      <c r="AQ911" s="6">
        <f>AJ911/M911</f>
        <v>1.0511363636363635</v>
      </c>
      <c r="AR911" s="6">
        <f>AB911/N911</f>
        <v>1</v>
      </c>
      <c r="AS911" s="4"/>
      <c r="AT911" s="4"/>
      <c r="AU911" s="4"/>
      <c r="AV911" s="4"/>
      <c r="AW911" s="4"/>
      <c r="AX911" s="4"/>
      <c r="AY911" s="4"/>
      <c r="AZ911" s="4"/>
      <c r="BA911" s="4"/>
      <c r="BB911" s="4">
        <v>0</v>
      </c>
      <c r="BC911" s="4" t="s">
        <v>4375</v>
      </c>
      <c r="BD911" s="4">
        <v>1</v>
      </c>
      <c r="BE911" s="4">
        <v>4</v>
      </c>
      <c r="BF911" s="4" t="s">
        <v>4341</v>
      </c>
      <c r="BG911" s="4">
        <v>3240</v>
      </c>
      <c r="BH911" s="4">
        <v>3240</v>
      </c>
      <c r="BI911" s="4">
        <f t="shared" si="138"/>
        <v>810</v>
      </c>
      <c r="BJ911" s="19">
        <v>4</v>
      </c>
      <c r="BK911" s="19">
        <v>8</v>
      </c>
      <c r="BL911" s="16">
        <v>6</v>
      </c>
      <c r="BM911" s="45" t="s">
        <v>3534</v>
      </c>
      <c r="BN911" t="s">
        <v>3534</v>
      </c>
      <c r="BO911" t="str">
        <f t="shared" si="140"/>
        <v>-</v>
      </c>
      <c r="BP911" t="s">
        <v>3534</v>
      </c>
      <c r="BQ911">
        <v>722</v>
      </c>
      <c r="BR911">
        <f t="shared" si="141"/>
        <v>722</v>
      </c>
      <c r="BS911" t="s">
        <v>3233</v>
      </c>
    </row>
    <row r="912" spans="1:71" x14ac:dyDescent="0.4">
      <c r="A912" s="3">
        <v>909</v>
      </c>
      <c r="B912" s="3">
        <v>909</v>
      </c>
      <c r="C912" s="4" t="s">
        <v>971</v>
      </c>
      <c r="D912" s="4" t="str">
        <f t="shared" si="133"/>
        <v>J7517N</v>
      </c>
      <c r="E912" s="4" t="s">
        <v>971</v>
      </c>
      <c r="F912" s="4" t="s">
        <v>2189</v>
      </c>
      <c r="G912" s="5">
        <v>4521718183381</v>
      </c>
      <c r="H912" s="5"/>
      <c r="I912" s="5"/>
      <c r="J912" s="5">
        <v>1</v>
      </c>
      <c r="K912" s="5">
        <v>1</v>
      </c>
      <c r="L912" s="4">
        <v>810</v>
      </c>
      <c r="M912" s="4">
        <v>528</v>
      </c>
      <c r="N912" s="4">
        <v>361</v>
      </c>
      <c r="O912" s="6">
        <f t="shared" si="134"/>
        <v>0.31628787878787878</v>
      </c>
      <c r="P912" s="4" t="s">
        <v>2500</v>
      </c>
      <c r="Q912" s="4"/>
      <c r="R912" s="4"/>
      <c r="S912" s="4"/>
      <c r="T912" s="4"/>
      <c r="U912" s="4"/>
      <c r="V912" s="4"/>
      <c r="W912" s="4"/>
      <c r="X912" s="4"/>
      <c r="Y912" s="4">
        <v>555</v>
      </c>
      <c r="Z912" s="4">
        <f t="shared" si="135"/>
        <v>555</v>
      </c>
      <c r="AA912" s="4">
        <v>361</v>
      </c>
      <c r="AB912" s="4">
        <f t="shared" si="136"/>
        <v>361</v>
      </c>
      <c r="AC912" s="4"/>
      <c r="AD912" s="21">
        <f>ROUND(M912*AR912,0)</f>
        <v>528</v>
      </c>
      <c r="AE912" s="6">
        <f>1-AB912/AD912</f>
        <v>0.31628787878787878</v>
      </c>
      <c r="AF912" s="33">
        <v>0.25</v>
      </c>
      <c r="AG912" s="4">
        <f t="shared" si="137"/>
        <v>810</v>
      </c>
      <c r="AH912" s="33">
        <f t="shared" si="139"/>
        <v>810</v>
      </c>
      <c r="AI912" s="6">
        <f>1-AB912/AH912</f>
        <v>0.55432098765432092</v>
      </c>
      <c r="AJ912" s="7">
        <v>555</v>
      </c>
      <c r="AK912" s="6">
        <f>1-AB912/AJ912</f>
        <v>0.34954954954954953</v>
      </c>
      <c r="AL912" s="4">
        <f>AJ912-AB912</f>
        <v>194</v>
      </c>
      <c r="AM912" s="28"/>
      <c r="AN912" s="6"/>
      <c r="AO912" s="6"/>
      <c r="AP912" s="6">
        <f>Z912/L912</f>
        <v>0.68518518518518523</v>
      </c>
      <c r="AQ912" s="6">
        <f>AJ912/M912</f>
        <v>1.0511363636363635</v>
      </c>
      <c r="AR912" s="6">
        <f>AB912/N912</f>
        <v>1</v>
      </c>
      <c r="AS912" s="4"/>
      <c r="AT912" s="4"/>
      <c r="AU912" s="4"/>
      <c r="AV912" s="4"/>
      <c r="AW912" s="4"/>
      <c r="AX912" s="4"/>
      <c r="AY912" s="4"/>
      <c r="AZ912" s="4"/>
      <c r="BA912" s="4"/>
      <c r="BB912" s="4">
        <v>0</v>
      </c>
      <c r="BC912" s="4" t="s">
        <v>4376</v>
      </c>
      <c r="BD912" s="4">
        <v>1</v>
      </c>
      <c r="BE912" s="4">
        <v>4</v>
      </c>
      <c r="BF912" s="4" t="s">
        <v>4341</v>
      </c>
      <c r="BG912" s="4">
        <v>3240</v>
      </c>
      <c r="BH912" s="4">
        <v>3240</v>
      </c>
      <c r="BI912" s="4">
        <f t="shared" si="138"/>
        <v>810</v>
      </c>
      <c r="BJ912" s="19">
        <v>4</v>
      </c>
      <c r="BK912" s="19">
        <v>8</v>
      </c>
      <c r="BL912" s="16">
        <v>6</v>
      </c>
      <c r="BM912" s="45" t="s">
        <v>3534</v>
      </c>
      <c r="BN912" t="s">
        <v>3534</v>
      </c>
      <c r="BO912" t="str">
        <f t="shared" si="140"/>
        <v>-</v>
      </c>
      <c r="BP912" t="s">
        <v>3534</v>
      </c>
      <c r="BQ912">
        <v>722</v>
      </c>
      <c r="BR912">
        <f t="shared" si="141"/>
        <v>722</v>
      </c>
      <c r="BS912" t="s">
        <v>3234</v>
      </c>
    </row>
    <row r="913" spans="1:71" x14ac:dyDescent="0.4">
      <c r="A913" s="3">
        <v>910</v>
      </c>
      <c r="B913" s="3">
        <v>910</v>
      </c>
      <c r="C913" s="4" t="s">
        <v>972</v>
      </c>
      <c r="D913" s="4" t="str">
        <f t="shared" si="133"/>
        <v>J7518N</v>
      </c>
      <c r="E913" s="4" t="s">
        <v>972</v>
      </c>
      <c r="F913" s="4" t="s">
        <v>2190</v>
      </c>
      <c r="G913" s="5">
        <v>4521718183398</v>
      </c>
      <c r="H913" s="5"/>
      <c r="I913" s="5"/>
      <c r="J913" s="5">
        <v>1</v>
      </c>
      <c r="K913" s="5">
        <v>1</v>
      </c>
      <c r="L913" s="4">
        <v>500</v>
      </c>
      <c r="M913" s="4">
        <v>329</v>
      </c>
      <c r="N913" s="4">
        <v>225</v>
      </c>
      <c r="O913" s="6">
        <f t="shared" si="134"/>
        <v>0.31610942249240126</v>
      </c>
      <c r="P913" s="4" t="s">
        <v>2500</v>
      </c>
      <c r="Q913" s="4"/>
      <c r="R913" s="4"/>
      <c r="S913" s="4"/>
      <c r="T913" s="4"/>
      <c r="U913" s="4"/>
      <c r="V913" s="4"/>
      <c r="W913" s="4"/>
      <c r="X913" s="4"/>
      <c r="Y913" s="4">
        <v>346</v>
      </c>
      <c r="Z913" s="4">
        <f t="shared" si="135"/>
        <v>346</v>
      </c>
      <c r="AA913" s="4">
        <v>225</v>
      </c>
      <c r="AB913" s="4">
        <f t="shared" si="136"/>
        <v>225</v>
      </c>
      <c r="AC913" s="4"/>
      <c r="AD913" s="21">
        <f>ROUND(M913*AR913,0)</f>
        <v>329</v>
      </c>
      <c r="AE913" s="6">
        <f>1-AB913/AD913</f>
        <v>0.31610942249240126</v>
      </c>
      <c r="AF913" s="33">
        <v>0</v>
      </c>
      <c r="AG913" s="4">
        <f t="shared" si="137"/>
        <v>500</v>
      </c>
      <c r="AH913" s="33">
        <f t="shared" si="139"/>
        <v>500</v>
      </c>
      <c r="AI913" s="6">
        <f>1-AB913/AH913</f>
        <v>0.55000000000000004</v>
      </c>
      <c r="AJ913" s="7">
        <v>346</v>
      </c>
      <c r="AK913" s="6">
        <f>1-AB913/AJ913</f>
        <v>0.3497109826589595</v>
      </c>
      <c r="AL913" s="4">
        <f>AJ913-AB913</f>
        <v>121</v>
      </c>
      <c r="AM913" s="28"/>
      <c r="AN913" s="6"/>
      <c r="AO913" s="6"/>
      <c r="AP913" s="6">
        <f>Z913/L913</f>
        <v>0.69199999999999995</v>
      </c>
      <c r="AQ913" s="6">
        <f>AJ913/M913</f>
        <v>1.0516717325227964</v>
      </c>
      <c r="AR913" s="6">
        <f>AB913/N913</f>
        <v>1</v>
      </c>
      <c r="AS913" s="4"/>
      <c r="AT913" s="4"/>
      <c r="AU913" s="4"/>
      <c r="AV913" s="4"/>
      <c r="AW913" s="4"/>
      <c r="AX913" s="4"/>
      <c r="AY913" s="4"/>
      <c r="AZ913" s="4"/>
      <c r="BA913" s="4"/>
      <c r="BB913" s="4">
        <v>0</v>
      </c>
      <c r="BC913" s="4" t="s">
        <v>4377</v>
      </c>
      <c r="BD913" s="4">
        <v>1</v>
      </c>
      <c r="BE913" s="4">
        <v>6</v>
      </c>
      <c r="BF913" s="4" t="s">
        <v>3935</v>
      </c>
      <c r="BG913" s="4">
        <v>3000</v>
      </c>
      <c r="BH913" s="4">
        <v>3000</v>
      </c>
      <c r="BI913" s="4">
        <f t="shared" si="138"/>
        <v>500</v>
      </c>
      <c r="BJ913" s="19">
        <v>4</v>
      </c>
      <c r="BK913" s="19">
        <v>8</v>
      </c>
      <c r="BL913" s="16">
        <v>6</v>
      </c>
      <c r="BM913" s="45" t="s">
        <v>3534</v>
      </c>
      <c r="BN913" t="s">
        <v>3534</v>
      </c>
      <c r="BO913" t="str">
        <f t="shared" si="140"/>
        <v>-</v>
      </c>
      <c r="BP913" t="s">
        <v>3534</v>
      </c>
      <c r="BQ913">
        <v>450</v>
      </c>
      <c r="BR913">
        <f t="shared" si="141"/>
        <v>450</v>
      </c>
      <c r="BS913" t="s">
        <v>3235</v>
      </c>
    </row>
    <row r="914" spans="1:71" x14ac:dyDescent="0.4">
      <c r="A914" s="3">
        <v>911</v>
      </c>
      <c r="B914" s="3">
        <v>911</v>
      </c>
      <c r="C914" s="4" t="s">
        <v>973</v>
      </c>
      <c r="D914" s="4" t="str">
        <f t="shared" si="133"/>
        <v>J7509N</v>
      </c>
      <c r="E914" s="4" t="s">
        <v>973</v>
      </c>
      <c r="F914" s="4" t="s">
        <v>2191</v>
      </c>
      <c r="G914" s="5">
        <v>4521718183244</v>
      </c>
      <c r="H914" s="5"/>
      <c r="I914" s="5"/>
      <c r="J914" s="5">
        <v>1</v>
      </c>
      <c r="K914" s="5">
        <v>1</v>
      </c>
      <c r="L914" s="4">
        <v>650</v>
      </c>
      <c r="M914" s="4">
        <v>423</v>
      </c>
      <c r="N914" s="4">
        <v>290</v>
      </c>
      <c r="O914" s="6">
        <f t="shared" si="134"/>
        <v>0.31442080378250592</v>
      </c>
      <c r="P914" s="4" t="s">
        <v>2500</v>
      </c>
      <c r="Q914" s="4"/>
      <c r="R914" s="4"/>
      <c r="S914" s="4"/>
      <c r="T914" s="4"/>
      <c r="U914" s="4"/>
      <c r="V914" s="4"/>
      <c r="W914" s="4"/>
      <c r="X914" s="4"/>
      <c r="Y914" s="4">
        <v>446</v>
      </c>
      <c r="Z914" s="4">
        <f t="shared" si="135"/>
        <v>446</v>
      </c>
      <c r="AA914" s="4">
        <v>290</v>
      </c>
      <c r="AB914" s="4">
        <f t="shared" si="136"/>
        <v>290</v>
      </c>
      <c r="AC914" s="4"/>
      <c r="AD914" s="21">
        <f>ROUND(M914*AR914,0)</f>
        <v>423</v>
      </c>
      <c r="AE914" s="6">
        <f>1-AB914/AD914</f>
        <v>0.31442080378250592</v>
      </c>
      <c r="AF914" s="33">
        <v>0</v>
      </c>
      <c r="AG914" s="4">
        <f t="shared" si="137"/>
        <v>650</v>
      </c>
      <c r="AH914" s="33">
        <f t="shared" si="139"/>
        <v>650</v>
      </c>
      <c r="AI914" s="6">
        <f>1-AB914/AH914</f>
        <v>0.55384615384615388</v>
      </c>
      <c r="AJ914" s="7">
        <v>446</v>
      </c>
      <c r="AK914" s="6">
        <f>1-AB914/AJ914</f>
        <v>0.34977578475336324</v>
      </c>
      <c r="AL914" s="4">
        <f>AJ914-AB914</f>
        <v>156</v>
      </c>
      <c r="AM914" s="28"/>
      <c r="AN914" s="6"/>
      <c r="AO914" s="6"/>
      <c r="AP914" s="6">
        <f>Z914/L914</f>
        <v>0.68615384615384611</v>
      </c>
      <c r="AQ914" s="6">
        <f>AJ914/M914</f>
        <v>1.0543735224586288</v>
      </c>
      <c r="AR914" s="6">
        <f>AB914/N914</f>
        <v>1</v>
      </c>
      <c r="AS914" s="4"/>
      <c r="AT914" s="4"/>
      <c r="AU914" s="4"/>
      <c r="AV914" s="4"/>
      <c r="AW914" s="4"/>
      <c r="AX914" s="4"/>
      <c r="AY914" s="4"/>
      <c r="AZ914" s="4"/>
      <c r="BA914" s="4"/>
      <c r="BB914" s="4">
        <v>0</v>
      </c>
      <c r="BC914" s="4" t="s">
        <v>4378</v>
      </c>
      <c r="BD914" s="4">
        <v>1</v>
      </c>
      <c r="BE914" s="4">
        <v>4</v>
      </c>
      <c r="BF914" s="4" t="s">
        <v>4341</v>
      </c>
      <c r="BG914" s="4">
        <v>2600</v>
      </c>
      <c r="BH914" s="4">
        <v>2600</v>
      </c>
      <c r="BI914" s="4">
        <f t="shared" si="138"/>
        <v>650</v>
      </c>
      <c r="BJ914" s="19">
        <v>4</v>
      </c>
      <c r="BK914" s="19">
        <v>8</v>
      </c>
      <c r="BL914" s="16">
        <v>6</v>
      </c>
      <c r="BM914" s="45" t="s">
        <v>3534</v>
      </c>
      <c r="BN914" t="s">
        <v>3534</v>
      </c>
      <c r="BO914" t="str">
        <f t="shared" si="140"/>
        <v>-</v>
      </c>
      <c r="BP914">
        <v>580</v>
      </c>
      <c r="BQ914">
        <v>580</v>
      </c>
      <c r="BR914">
        <f t="shared" si="141"/>
        <v>580</v>
      </c>
      <c r="BS914" t="s">
        <v>3236</v>
      </c>
    </row>
    <row r="915" spans="1:71" x14ac:dyDescent="0.4">
      <c r="A915" s="3">
        <v>912</v>
      </c>
      <c r="B915" s="3">
        <v>912</v>
      </c>
      <c r="C915" s="4" t="s">
        <v>974</v>
      </c>
      <c r="D915" s="4" t="str">
        <f t="shared" si="133"/>
        <v>J7520N</v>
      </c>
      <c r="E915" s="4" t="s">
        <v>974</v>
      </c>
      <c r="F915" s="4" t="s">
        <v>2192</v>
      </c>
      <c r="G915" s="5">
        <v>4521718183411</v>
      </c>
      <c r="H915" s="5"/>
      <c r="I915" s="5"/>
      <c r="J915" s="5">
        <v>1</v>
      </c>
      <c r="K915" s="5">
        <v>1</v>
      </c>
      <c r="L915" s="4">
        <v>500</v>
      </c>
      <c r="M915" s="4">
        <v>329</v>
      </c>
      <c r="N915" s="4">
        <v>225</v>
      </c>
      <c r="O915" s="6">
        <f t="shared" si="134"/>
        <v>0.31610942249240126</v>
      </c>
      <c r="P915" s="4" t="s">
        <v>2500</v>
      </c>
      <c r="Q915" s="4"/>
      <c r="R915" s="4"/>
      <c r="S915" s="4"/>
      <c r="T915" s="4"/>
      <c r="U915" s="4"/>
      <c r="V915" s="4"/>
      <c r="W915" s="4"/>
      <c r="X915" s="4"/>
      <c r="Y915" s="4">
        <v>346</v>
      </c>
      <c r="Z915" s="4">
        <f t="shared" si="135"/>
        <v>346</v>
      </c>
      <c r="AA915" s="4">
        <v>225</v>
      </c>
      <c r="AB915" s="4">
        <f t="shared" si="136"/>
        <v>225</v>
      </c>
      <c r="AC915" s="4"/>
      <c r="AD915" s="21">
        <f>ROUND(M915*AR915,0)</f>
        <v>329</v>
      </c>
      <c r="AE915" s="6">
        <f>1-AB915/AD915</f>
        <v>0.31610942249240126</v>
      </c>
      <c r="AF915" s="33">
        <v>0</v>
      </c>
      <c r="AG915" s="4">
        <f t="shared" si="137"/>
        <v>500</v>
      </c>
      <c r="AH915" s="33">
        <f t="shared" si="139"/>
        <v>500</v>
      </c>
      <c r="AI915" s="6">
        <f>1-AB915/AH915</f>
        <v>0.55000000000000004</v>
      </c>
      <c r="AJ915" s="7">
        <v>346</v>
      </c>
      <c r="AK915" s="6">
        <f>1-AB915/AJ915</f>
        <v>0.3497109826589595</v>
      </c>
      <c r="AL915" s="4">
        <f>AJ915-AB915</f>
        <v>121</v>
      </c>
      <c r="AM915" s="28"/>
      <c r="AN915" s="6"/>
      <c r="AO915" s="6"/>
      <c r="AP915" s="6">
        <f>Z915/L915</f>
        <v>0.69199999999999995</v>
      </c>
      <c r="AQ915" s="6">
        <f>AJ915/M915</f>
        <v>1.0516717325227964</v>
      </c>
      <c r="AR915" s="6">
        <f>AB915/N915</f>
        <v>1</v>
      </c>
      <c r="AS915" s="4"/>
      <c r="AT915" s="4"/>
      <c r="AU915" s="4"/>
      <c r="AV915" s="4"/>
      <c r="AW915" s="4"/>
      <c r="AX915" s="4"/>
      <c r="AY915" s="4"/>
      <c r="AZ915" s="4"/>
      <c r="BA915" s="4"/>
      <c r="BB915" s="4">
        <v>0</v>
      </c>
      <c r="BC915" s="4" t="s">
        <v>4379</v>
      </c>
      <c r="BD915" s="4">
        <v>1</v>
      </c>
      <c r="BE915" s="4">
        <v>6</v>
      </c>
      <c r="BF915" s="4" t="s">
        <v>3935</v>
      </c>
      <c r="BG915" s="4">
        <v>3000</v>
      </c>
      <c r="BH915" s="4">
        <v>3000</v>
      </c>
      <c r="BI915" s="4">
        <f t="shared" si="138"/>
        <v>500</v>
      </c>
      <c r="BJ915" s="19">
        <v>4</v>
      </c>
      <c r="BK915" s="19">
        <v>8</v>
      </c>
      <c r="BL915" s="16">
        <v>6</v>
      </c>
      <c r="BM915" s="45" t="s">
        <v>3534</v>
      </c>
      <c r="BN915" t="s">
        <v>3534</v>
      </c>
      <c r="BO915" t="str">
        <f t="shared" si="140"/>
        <v>-</v>
      </c>
      <c r="BP915" t="s">
        <v>3534</v>
      </c>
      <c r="BQ915">
        <v>450</v>
      </c>
      <c r="BR915">
        <f t="shared" si="141"/>
        <v>450</v>
      </c>
      <c r="BS915" t="s">
        <v>3237</v>
      </c>
    </row>
    <row r="916" spans="1:71" x14ac:dyDescent="0.4">
      <c r="A916" s="3">
        <v>913</v>
      </c>
      <c r="B916" s="3">
        <v>913</v>
      </c>
      <c r="C916" s="4" t="s">
        <v>975</v>
      </c>
      <c r="D916" s="4" t="str">
        <f t="shared" si="133"/>
        <v>J7521N</v>
      </c>
      <c r="E916" s="4" t="s">
        <v>975</v>
      </c>
      <c r="F916" s="4" t="s">
        <v>2193</v>
      </c>
      <c r="G916" s="5">
        <v>4521718183428</v>
      </c>
      <c r="H916" s="5"/>
      <c r="I916" s="5"/>
      <c r="J916" s="5">
        <v>1</v>
      </c>
      <c r="K916" s="5">
        <v>1</v>
      </c>
      <c r="L916" s="4">
        <v>500</v>
      </c>
      <c r="M916" s="4">
        <v>352</v>
      </c>
      <c r="N916" s="4">
        <v>225</v>
      </c>
      <c r="O916" s="6">
        <f t="shared" si="134"/>
        <v>0.36079545454545459</v>
      </c>
      <c r="P916" s="4" t="s">
        <v>2500</v>
      </c>
      <c r="Q916" s="4"/>
      <c r="R916" s="4"/>
      <c r="S916" s="4"/>
      <c r="T916" s="4"/>
      <c r="U916" s="4"/>
      <c r="V916" s="4"/>
      <c r="W916" s="4"/>
      <c r="X916" s="4"/>
      <c r="Y916" s="4">
        <v>346</v>
      </c>
      <c r="Z916" s="4">
        <f t="shared" si="135"/>
        <v>346</v>
      </c>
      <c r="AA916" s="4">
        <v>225</v>
      </c>
      <c r="AB916" s="4">
        <f t="shared" si="136"/>
        <v>225</v>
      </c>
      <c r="AC916" s="4"/>
      <c r="AD916" s="21">
        <f>ROUND(M916*AR916,0)</f>
        <v>352</v>
      </c>
      <c r="AE916" s="6">
        <f>1-AB916/AD916</f>
        <v>0.36079545454545459</v>
      </c>
      <c r="AF916" s="33">
        <v>0</v>
      </c>
      <c r="AG916" s="4">
        <f t="shared" si="137"/>
        <v>500</v>
      </c>
      <c r="AH916" s="33">
        <f t="shared" si="139"/>
        <v>500</v>
      </c>
      <c r="AI916" s="6">
        <f>1-AB916/AH916</f>
        <v>0.55000000000000004</v>
      </c>
      <c r="AJ916" s="7">
        <v>346</v>
      </c>
      <c r="AK916" s="6">
        <f>1-AB916/AJ916</f>
        <v>0.3497109826589595</v>
      </c>
      <c r="AL916" s="4">
        <f>AJ916-AB916</f>
        <v>121</v>
      </c>
      <c r="AM916" s="28"/>
      <c r="AN916" s="6"/>
      <c r="AO916" s="6"/>
      <c r="AP916" s="6">
        <f>Z916/L916</f>
        <v>0.69199999999999995</v>
      </c>
      <c r="AQ916" s="6">
        <f>AJ916/M916</f>
        <v>0.98295454545454541</v>
      </c>
      <c r="AR916" s="6">
        <f>AB916/N916</f>
        <v>1</v>
      </c>
      <c r="AS916" s="4"/>
      <c r="AT916" s="4"/>
      <c r="AU916" s="4"/>
      <c r="AV916" s="4"/>
      <c r="AW916" s="4"/>
      <c r="AX916" s="4"/>
      <c r="AY916" s="4"/>
      <c r="AZ916" s="4"/>
      <c r="BA916" s="4"/>
      <c r="BB916" s="4">
        <v>0</v>
      </c>
      <c r="BC916" s="4" t="s">
        <v>4380</v>
      </c>
      <c r="BD916" s="4">
        <v>1</v>
      </c>
      <c r="BE916" s="4">
        <v>6</v>
      </c>
      <c r="BF916" s="4" t="s">
        <v>3935</v>
      </c>
      <c r="BG916" s="4">
        <v>3000</v>
      </c>
      <c r="BH916" s="4">
        <v>3000</v>
      </c>
      <c r="BI916" s="4">
        <f t="shared" si="138"/>
        <v>500</v>
      </c>
      <c r="BJ916" s="19">
        <v>4</v>
      </c>
      <c r="BK916" s="19">
        <v>8</v>
      </c>
      <c r="BL916" s="16">
        <v>6</v>
      </c>
      <c r="BM916" s="45" t="s">
        <v>3534</v>
      </c>
      <c r="BN916" t="s">
        <v>3534</v>
      </c>
      <c r="BO916" t="str">
        <f t="shared" si="140"/>
        <v>-</v>
      </c>
      <c r="BP916" t="s">
        <v>3534</v>
      </c>
      <c r="BQ916">
        <v>450</v>
      </c>
      <c r="BR916">
        <f t="shared" si="141"/>
        <v>450</v>
      </c>
      <c r="BS916" t="s">
        <v>3238</v>
      </c>
    </row>
    <row r="917" spans="1:71" x14ac:dyDescent="0.4">
      <c r="A917" s="3">
        <v>914</v>
      </c>
      <c r="B917" s="3">
        <v>914</v>
      </c>
      <c r="C917" s="4" t="s">
        <v>976</v>
      </c>
      <c r="D917" s="4" t="str">
        <f t="shared" si="133"/>
        <v>J7522N</v>
      </c>
      <c r="E917" s="4" t="s">
        <v>976</v>
      </c>
      <c r="F917" s="4" t="s">
        <v>2194</v>
      </c>
      <c r="G917" s="5">
        <v>4521718183435</v>
      </c>
      <c r="H917" s="5"/>
      <c r="I917" s="5"/>
      <c r="J917" s="5">
        <v>1</v>
      </c>
      <c r="K917" s="5">
        <v>1</v>
      </c>
      <c r="L917" s="4">
        <v>500</v>
      </c>
      <c r="M917" s="4">
        <v>352</v>
      </c>
      <c r="N917" s="4">
        <v>225</v>
      </c>
      <c r="O917" s="6">
        <f t="shared" si="134"/>
        <v>0.36079545454545459</v>
      </c>
      <c r="P917" s="4" t="s">
        <v>2500</v>
      </c>
      <c r="Q917" s="4"/>
      <c r="R917" s="4"/>
      <c r="S917" s="4"/>
      <c r="T917" s="4"/>
      <c r="U917" s="4"/>
      <c r="V917" s="4"/>
      <c r="W917" s="4"/>
      <c r="X917" s="4"/>
      <c r="Y917" s="4">
        <v>346</v>
      </c>
      <c r="Z917" s="4">
        <f t="shared" si="135"/>
        <v>346</v>
      </c>
      <c r="AA917" s="4">
        <v>225</v>
      </c>
      <c r="AB917" s="4">
        <f t="shared" si="136"/>
        <v>225</v>
      </c>
      <c r="AC917" s="4"/>
      <c r="AD917" s="21">
        <f>ROUND(M917*AR917,0)</f>
        <v>352</v>
      </c>
      <c r="AE917" s="6">
        <f>1-AB917/AD917</f>
        <v>0.36079545454545459</v>
      </c>
      <c r="AF917" s="33">
        <v>0.25</v>
      </c>
      <c r="AG917" s="4">
        <f t="shared" si="137"/>
        <v>500</v>
      </c>
      <c r="AH917" s="33">
        <f t="shared" si="139"/>
        <v>500</v>
      </c>
      <c r="AI917" s="6">
        <f>1-AB917/AH917</f>
        <v>0.55000000000000004</v>
      </c>
      <c r="AJ917" s="7">
        <v>346</v>
      </c>
      <c r="AK917" s="6">
        <f>1-AB917/AJ917</f>
        <v>0.3497109826589595</v>
      </c>
      <c r="AL917" s="4">
        <f>AJ917-AB917</f>
        <v>121</v>
      </c>
      <c r="AM917" s="28"/>
      <c r="AN917" s="6"/>
      <c r="AO917" s="6"/>
      <c r="AP917" s="6">
        <f>Z917/L917</f>
        <v>0.69199999999999995</v>
      </c>
      <c r="AQ917" s="6">
        <f>AJ917/M917</f>
        <v>0.98295454545454541</v>
      </c>
      <c r="AR917" s="6">
        <f>AB917/N917</f>
        <v>1</v>
      </c>
      <c r="AS917" s="4"/>
      <c r="AT917" s="4"/>
      <c r="AU917" s="4"/>
      <c r="AV917" s="4"/>
      <c r="AW917" s="4"/>
      <c r="AX917" s="4"/>
      <c r="AY917" s="4"/>
      <c r="AZ917" s="4"/>
      <c r="BA917" s="4"/>
      <c r="BB917" s="4">
        <v>0</v>
      </c>
      <c r="BC917" s="4" t="s">
        <v>4381</v>
      </c>
      <c r="BD917" s="4">
        <v>1</v>
      </c>
      <c r="BE917" s="4">
        <v>6</v>
      </c>
      <c r="BF917" s="4" t="s">
        <v>3935</v>
      </c>
      <c r="BG917" s="4">
        <v>3000</v>
      </c>
      <c r="BH917" s="4">
        <v>3000</v>
      </c>
      <c r="BI917" s="4">
        <f t="shared" si="138"/>
        <v>500</v>
      </c>
      <c r="BJ917" s="19">
        <v>4</v>
      </c>
      <c r="BK917" s="19">
        <v>8</v>
      </c>
      <c r="BL917" s="16">
        <v>6</v>
      </c>
      <c r="BM917" s="45" t="s">
        <v>3534</v>
      </c>
      <c r="BN917" t="s">
        <v>3534</v>
      </c>
      <c r="BO917" t="str">
        <f t="shared" si="140"/>
        <v>-</v>
      </c>
      <c r="BP917" t="s">
        <v>3534</v>
      </c>
      <c r="BQ917">
        <v>450</v>
      </c>
      <c r="BR917">
        <f t="shared" si="141"/>
        <v>450</v>
      </c>
      <c r="BS917" t="s">
        <v>3239</v>
      </c>
    </row>
    <row r="918" spans="1:71" x14ac:dyDescent="0.4">
      <c r="A918" s="3">
        <v>915</v>
      </c>
      <c r="B918" s="3">
        <v>915</v>
      </c>
      <c r="C918" s="4" t="s">
        <v>977</v>
      </c>
      <c r="D918" s="4" t="str">
        <f t="shared" si="133"/>
        <v>J7523N</v>
      </c>
      <c r="E918" s="4" t="s">
        <v>977</v>
      </c>
      <c r="F918" s="4" t="s">
        <v>2195</v>
      </c>
      <c r="G918" s="5">
        <v>4521718183442</v>
      </c>
      <c r="H918" s="5"/>
      <c r="I918" s="5"/>
      <c r="J918" s="5">
        <v>1</v>
      </c>
      <c r="K918" s="5">
        <v>1</v>
      </c>
      <c r="L918" s="4">
        <v>500</v>
      </c>
      <c r="M918" s="4">
        <v>352</v>
      </c>
      <c r="N918" s="4">
        <v>225</v>
      </c>
      <c r="O918" s="6">
        <f t="shared" si="134"/>
        <v>0.36079545454545459</v>
      </c>
      <c r="P918" s="4" t="s">
        <v>2500</v>
      </c>
      <c r="Q918" s="4"/>
      <c r="R918" s="4"/>
      <c r="S918" s="4"/>
      <c r="T918" s="4"/>
      <c r="U918" s="4"/>
      <c r="V918" s="4"/>
      <c r="W918" s="4"/>
      <c r="X918" s="4"/>
      <c r="Y918" s="4">
        <v>346</v>
      </c>
      <c r="Z918" s="4">
        <f t="shared" si="135"/>
        <v>346</v>
      </c>
      <c r="AA918" s="4">
        <v>225</v>
      </c>
      <c r="AB918" s="4">
        <f t="shared" si="136"/>
        <v>225</v>
      </c>
      <c r="AC918" s="4"/>
      <c r="AD918" s="21">
        <f>ROUND(M918*AR918,0)</f>
        <v>352</v>
      </c>
      <c r="AE918" s="6">
        <f>1-AB918/AD918</f>
        <v>0.36079545454545459</v>
      </c>
      <c r="AF918" s="33">
        <v>0</v>
      </c>
      <c r="AG918" s="4">
        <f t="shared" si="137"/>
        <v>500</v>
      </c>
      <c r="AH918" s="33">
        <f t="shared" si="139"/>
        <v>500</v>
      </c>
      <c r="AI918" s="6">
        <f>1-AB918/AH918</f>
        <v>0.55000000000000004</v>
      </c>
      <c r="AJ918" s="7">
        <v>346</v>
      </c>
      <c r="AK918" s="6">
        <f>1-AB918/AJ918</f>
        <v>0.3497109826589595</v>
      </c>
      <c r="AL918" s="4">
        <f>AJ918-AB918</f>
        <v>121</v>
      </c>
      <c r="AM918" s="28"/>
      <c r="AN918" s="6"/>
      <c r="AO918" s="6"/>
      <c r="AP918" s="6">
        <f>Z918/L918</f>
        <v>0.69199999999999995</v>
      </c>
      <c r="AQ918" s="6">
        <f>AJ918/M918</f>
        <v>0.98295454545454541</v>
      </c>
      <c r="AR918" s="6">
        <f>AB918/N918</f>
        <v>1</v>
      </c>
      <c r="AS918" s="4"/>
      <c r="AT918" s="4"/>
      <c r="AU918" s="4"/>
      <c r="AV918" s="4"/>
      <c r="AW918" s="4"/>
      <c r="AX918" s="4"/>
      <c r="AY918" s="4"/>
      <c r="AZ918" s="4"/>
      <c r="BA918" s="4"/>
      <c r="BB918" s="4">
        <v>0</v>
      </c>
      <c r="BC918" s="4" t="s">
        <v>4382</v>
      </c>
      <c r="BD918" s="4">
        <v>1</v>
      </c>
      <c r="BE918" s="4">
        <v>6</v>
      </c>
      <c r="BF918" s="4" t="s">
        <v>3935</v>
      </c>
      <c r="BG918" s="4">
        <v>3000</v>
      </c>
      <c r="BH918" s="4">
        <v>3000</v>
      </c>
      <c r="BI918" s="4">
        <f t="shared" si="138"/>
        <v>500</v>
      </c>
      <c r="BJ918" s="19">
        <v>4</v>
      </c>
      <c r="BK918" s="19">
        <v>8</v>
      </c>
      <c r="BL918" s="16">
        <v>6</v>
      </c>
      <c r="BM918" s="45" t="s">
        <v>3534</v>
      </c>
      <c r="BN918" t="s">
        <v>3534</v>
      </c>
      <c r="BO918" t="str">
        <f t="shared" si="140"/>
        <v>-</v>
      </c>
      <c r="BP918" t="s">
        <v>3534</v>
      </c>
      <c r="BQ918">
        <v>450</v>
      </c>
      <c r="BR918">
        <f t="shared" si="141"/>
        <v>450</v>
      </c>
      <c r="BS918" t="s">
        <v>3240</v>
      </c>
    </row>
    <row r="919" spans="1:71" x14ac:dyDescent="0.4">
      <c r="A919" s="3">
        <v>916</v>
      </c>
      <c r="B919" s="3">
        <v>916</v>
      </c>
      <c r="C919" s="4" t="s">
        <v>978</v>
      </c>
      <c r="D919" s="4" t="str">
        <f t="shared" ref="D919:D982" si="142">TEXT(C919,"000000")</f>
        <v>J7524N</v>
      </c>
      <c r="E919" s="4" t="s">
        <v>978</v>
      </c>
      <c r="F919" s="4" t="s">
        <v>2196</v>
      </c>
      <c r="G919" s="5">
        <v>4521718183459</v>
      </c>
      <c r="H919" s="5"/>
      <c r="I919" s="5"/>
      <c r="J919" s="5">
        <v>1</v>
      </c>
      <c r="K919" s="5">
        <v>1</v>
      </c>
      <c r="L919" s="4">
        <v>520</v>
      </c>
      <c r="M919" s="4">
        <v>338</v>
      </c>
      <c r="N919" s="4">
        <v>231</v>
      </c>
      <c r="O919" s="6">
        <f t="shared" ref="O919:O982" si="143">1-N919/M919</f>
        <v>0.31656804733727806</v>
      </c>
      <c r="P919" s="4" t="s">
        <v>2500</v>
      </c>
      <c r="Q919" s="4"/>
      <c r="R919" s="4"/>
      <c r="S919" s="4"/>
      <c r="T919" s="4"/>
      <c r="U919" s="4"/>
      <c r="V919" s="4"/>
      <c r="W919" s="4"/>
      <c r="X919" s="4"/>
      <c r="Y919" s="4">
        <v>355</v>
      </c>
      <c r="Z919" s="4">
        <f t="shared" ref="Z919:Z982" si="144">IF(AC919="",Y919,Y919*AC919)</f>
        <v>355</v>
      </c>
      <c r="AA919" s="4">
        <v>231</v>
      </c>
      <c r="AB919" s="4">
        <f t="shared" ref="AB919:AB982" si="145">IF(AC919="",AA919,AA919*AC919)</f>
        <v>231</v>
      </c>
      <c r="AC919" s="4"/>
      <c r="AD919" s="21">
        <f>ROUND(M919*AR919,0)</f>
        <v>338</v>
      </c>
      <c r="AE919" s="6">
        <f>1-AB919/AD919</f>
        <v>0.31656804733727806</v>
      </c>
      <c r="AF919" s="33">
        <v>0</v>
      </c>
      <c r="AG919" s="4">
        <f t="shared" ref="AG919:AG982" si="146">BI919</f>
        <v>520</v>
      </c>
      <c r="AH919" s="33">
        <f t="shared" si="139"/>
        <v>520</v>
      </c>
      <c r="AI919" s="6">
        <f>1-AB919/AH919</f>
        <v>0.55576923076923079</v>
      </c>
      <c r="AJ919" s="7">
        <v>355</v>
      </c>
      <c r="AK919" s="6">
        <f>1-AB919/AJ919</f>
        <v>0.3492957746478873</v>
      </c>
      <c r="AL919" s="4">
        <f>AJ919-AB919</f>
        <v>124</v>
      </c>
      <c r="AM919" s="28"/>
      <c r="AN919" s="6"/>
      <c r="AO919" s="6"/>
      <c r="AP919" s="6">
        <f>Z919/L919</f>
        <v>0.68269230769230771</v>
      </c>
      <c r="AQ919" s="6">
        <f>AJ919/M919</f>
        <v>1.0502958579881656</v>
      </c>
      <c r="AR919" s="6">
        <f>AB919/N919</f>
        <v>1</v>
      </c>
      <c r="AS919" s="4"/>
      <c r="AT919" s="4"/>
      <c r="AU919" s="4"/>
      <c r="AV919" s="4"/>
      <c r="AW919" s="4"/>
      <c r="AX919" s="4"/>
      <c r="AY919" s="4"/>
      <c r="AZ919" s="4"/>
      <c r="BA919" s="4"/>
      <c r="BB919" s="4">
        <v>0</v>
      </c>
      <c r="BC919" s="4" t="s">
        <v>4383</v>
      </c>
      <c r="BD919" s="4">
        <v>1</v>
      </c>
      <c r="BE919" s="4">
        <v>6</v>
      </c>
      <c r="BF919" s="4" t="s">
        <v>3935</v>
      </c>
      <c r="BG919" s="4">
        <v>3120</v>
      </c>
      <c r="BH919" s="4">
        <v>3120</v>
      </c>
      <c r="BI919" s="4">
        <f t="shared" ref="BI919:BI982" si="147">IF(BD919="",BH919,BD919/BE919*BH919)</f>
        <v>520</v>
      </c>
      <c r="BJ919" s="19">
        <v>4</v>
      </c>
      <c r="BK919" s="19">
        <v>8</v>
      </c>
      <c r="BL919" s="16">
        <v>6</v>
      </c>
      <c r="BM919" s="45" t="s">
        <v>3534</v>
      </c>
      <c r="BN919" t="s">
        <v>3534</v>
      </c>
      <c r="BO919" t="str">
        <f t="shared" si="140"/>
        <v>-</v>
      </c>
      <c r="BP919" t="s">
        <v>3534</v>
      </c>
      <c r="BQ919">
        <v>462</v>
      </c>
      <c r="BR919">
        <f t="shared" si="141"/>
        <v>462</v>
      </c>
      <c r="BS919" t="s">
        <v>3241</v>
      </c>
    </row>
    <row r="920" spans="1:71" x14ac:dyDescent="0.4">
      <c r="A920" s="3">
        <v>917</v>
      </c>
      <c r="B920" s="3">
        <v>917</v>
      </c>
      <c r="C920" s="4" t="s">
        <v>979</v>
      </c>
      <c r="D920" s="4" t="str">
        <f t="shared" si="142"/>
        <v>J7525N</v>
      </c>
      <c r="E920" s="4" t="s">
        <v>979</v>
      </c>
      <c r="F920" s="4" t="s">
        <v>2197</v>
      </c>
      <c r="G920" s="5">
        <v>4521718183466</v>
      </c>
      <c r="H920" s="5"/>
      <c r="I920" s="5"/>
      <c r="J920" s="5">
        <v>1</v>
      </c>
      <c r="K920" s="5">
        <v>1</v>
      </c>
      <c r="L920" s="4">
        <v>520</v>
      </c>
      <c r="M920" s="4">
        <v>338</v>
      </c>
      <c r="N920" s="4">
        <v>231</v>
      </c>
      <c r="O920" s="6">
        <f t="shared" si="143"/>
        <v>0.31656804733727806</v>
      </c>
      <c r="P920" s="4" t="s">
        <v>2500</v>
      </c>
      <c r="Q920" s="4"/>
      <c r="R920" s="4"/>
      <c r="S920" s="4"/>
      <c r="T920" s="4"/>
      <c r="U920" s="4"/>
      <c r="V920" s="4"/>
      <c r="W920" s="4"/>
      <c r="X920" s="4"/>
      <c r="Y920" s="4">
        <v>355</v>
      </c>
      <c r="Z920" s="4">
        <f t="shared" si="144"/>
        <v>355</v>
      </c>
      <c r="AA920" s="4">
        <v>231</v>
      </c>
      <c r="AB920" s="4">
        <f t="shared" si="145"/>
        <v>231</v>
      </c>
      <c r="AC920" s="4"/>
      <c r="AD920" s="21">
        <f>ROUND(M920*AR920,0)</f>
        <v>338</v>
      </c>
      <c r="AE920" s="6">
        <f>1-AB920/AD920</f>
        <v>0.31656804733727806</v>
      </c>
      <c r="AF920" s="33">
        <v>0</v>
      </c>
      <c r="AG920" s="4">
        <f t="shared" si="146"/>
        <v>520</v>
      </c>
      <c r="AH920" s="33">
        <f t="shared" si="139"/>
        <v>520</v>
      </c>
      <c r="AI920" s="6">
        <f>1-AB920/AH920</f>
        <v>0.55576923076923079</v>
      </c>
      <c r="AJ920" s="7">
        <v>355</v>
      </c>
      <c r="AK920" s="6">
        <f>1-AB920/AJ920</f>
        <v>0.3492957746478873</v>
      </c>
      <c r="AL920" s="4">
        <f>AJ920-AB920</f>
        <v>124</v>
      </c>
      <c r="AM920" s="28"/>
      <c r="AN920" s="6"/>
      <c r="AO920" s="6"/>
      <c r="AP920" s="6">
        <f>Z920/L920</f>
        <v>0.68269230769230771</v>
      </c>
      <c r="AQ920" s="6">
        <f>AJ920/M920</f>
        <v>1.0502958579881656</v>
      </c>
      <c r="AR920" s="6">
        <f>AB920/N920</f>
        <v>1</v>
      </c>
      <c r="AS920" s="4"/>
      <c r="AT920" s="4"/>
      <c r="AU920" s="4"/>
      <c r="AV920" s="4"/>
      <c r="AW920" s="4"/>
      <c r="AX920" s="4"/>
      <c r="AY920" s="4"/>
      <c r="AZ920" s="4"/>
      <c r="BA920" s="4"/>
      <c r="BB920" s="4">
        <v>0</v>
      </c>
      <c r="BC920" s="4" t="s">
        <v>4384</v>
      </c>
      <c r="BD920" s="4">
        <v>1</v>
      </c>
      <c r="BE920" s="4">
        <v>6</v>
      </c>
      <c r="BF920" s="4" t="s">
        <v>3935</v>
      </c>
      <c r="BG920" s="4">
        <v>3120</v>
      </c>
      <c r="BH920" s="4">
        <v>3120</v>
      </c>
      <c r="BI920" s="4">
        <f t="shared" si="147"/>
        <v>520</v>
      </c>
      <c r="BJ920" s="19">
        <v>4</v>
      </c>
      <c r="BK920" s="19">
        <v>8</v>
      </c>
      <c r="BL920" s="16">
        <v>6</v>
      </c>
      <c r="BM920" s="45" t="s">
        <v>3534</v>
      </c>
      <c r="BN920" t="s">
        <v>3534</v>
      </c>
      <c r="BO920" t="str">
        <f t="shared" si="140"/>
        <v>-</v>
      </c>
      <c r="BP920" t="s">
        <v>3534</v>
      </c>
      <c r="BQ920">
        <v>462</v>
      </c>
      <c r="BR920">
        <f t="shared" si="141"/>
        <v>462</v>
      </c>
      <c r="BS920" t="s">
        <v>3242</v>
      </c>
    </row>
    <row r="921" spans="1:71" x14ac:dyDescent="0.4">
      <c r="A921" s="3">
        <v>918</v>
      </c>
      <c r="B921" s="3">
        <v>918</v>
      </c>
      <c r="C921" s="4" t="s">
        <v>980</v>
      </c>
      <c r="D921" s="4" t="str">
        <f t="shared" si="142"/>
        <v>J7526N</v>
      </c>
      <c r="E921" s="4" t="s">
        <v>980</v>
      </c>
      <c r="F921" s="4" t="s">
        <v>2198</v>
      </c>
      <c r="G921" s="5">
        <v>4521718183473</v>
      </c>
      <c r="H921" s="5"/>
      <c r="I921" s="5"/>
      <c r="J921" s="5">
        <v>1</v>
      </c>
      <c r="K921" s="5">
        <v>1</v>
      </c>
      <c r="L921" s="4">
        <v>520</v>
      </c>
      <c r="M921" s="4">
        <v>338</v>
      </c>
      <c r="N921" s="4">
        <v>231</v>
      </c>
      <c r="O921" s="6">
        <f t="shared" si="143"/>
        <v>0.31656804733727806</v>
      </c>
      <c r="P921" s="4" t="s">
        <v>2500</v>
      </c>
      <c r="Q921" s="4"/>
      <c r="R921" s="4"/>
      <c r="S921" s="4"/>
      <c r="T921" s="4"/>
      <c r="U921" s="4"/>
      <c r="V921" s="4"/>
      <c r="W921" s="4"/>
      <c r="X921" s="4"/>
      <c r="Y921" s="4">
        <v>355</v>
      </c>
      <c r="Z921" s="4">
        <f t="shared" si="144"/>
        <v>355</v>
      </c>
      <c r="AA921" s="4">
        <v>231</v>
      </c>
      <c r="AB921" s="4">
        <f t="shared" si="145"/>
        <v>231</v>
      </c>
      <c r="AC921" s="4"/>
      <c r="AD921" s="21">
        <f>ROUND(M921*AR921,0)</f>
        <v>338</v>
      </c>
      <c r="AE921" s="6">
        <f>1-AB921/AD921</f>
        <v>0.31656804733727806</v>
      </c>
      <c r="AF921" s="33">
        <v>0</v>
      </c>
      <c r="AG921" s="4">
        <f t="shared" si="146"/>
        <v>520</v>
      </c>
      <c r="AH921" s="33">
        <f t="shared" si="139"/>
        <v>520</v>
      </c>
      <c r="AI921" s="6">
        <f>1-AB921/AH921</f>
        <v>0.55576923076923079</v>
      </c>
      <c r="AJ921" s="7">
        <v>355</v>
      </c>
      <c r="AK921" s="6">
        <f>1-AB921/AJ921</f>
        <v>0.3492957746478873</v>
      </c>
      <c r="AL921" s="4">
        <f>AJ921-AB921</f>
        <v>124</v>
      </c>
      <c r="AM921" s="28"/>
      <c r="AN921" s="6"/>
      <c r="AO921" s="6"/>
      <c r="AP921" s="6">
        <f>Z921/L921</f>
        <v>0.68269230769230771</v>
      </c>
      <c r="AQ921" s="6">
        <f>AJ921/M921</f>
        <v>1.0502958579881656</v>
      </c>
      <c r="AR921" s="6">
        <f>AB921/N921</f>
        <v>1</v>
      </c>
      <c r="AS921" s="4"/>
      <c r="AT921" s="4"/>
      <c r="AU921" s="4"/>
      <c r="AV921" s="4"/>
      <c r="AW921" s="4"/>
      <c r="AX921" s="4"/>
      <c r="AY921" s="4"/>
      <c r="AZ921" s="4"/>
      <c r="BA921" s="4"/>
      <c r="BB921" s="4">
        <v>0</v>
      </c>
      <c r="BC921" s="4" t="s">
        <v>4385</v>
      </c>
      <c r="BD921" s="4">
        <v>1</v>
      </c>
      <c r="BE921" s="4">
        <v>6</v>
      </c>
      <c r="BF921" s="4" t="s">
        <v>3935</v>
      </c>
      <c r="BG921" s="4">
        <v>3120</v>
      </c>
      <c r="BH921" s="4">
        <v>3120</v>
      </c>
      <c r="BI921" s="4">
        <f t="shared" si="147"/>
        <v>520</v>
      </c>
      <c r="BJ921" s="19">
        <v>4</v>
      </c>
      <c r="BK921" s="19">
        <v>8</v>
      </c>
      <c r="BL921" s="16">
        <v>6</v>
      </c>
      <c r="BM921" s="45" t="s">
        <v>3534</v>
      </c>
      <c r="BN921" t="s">
        <v>3534</v>
      </c>
      <c r="BO921" t="str">
        <f t="shared" si="140"/>
        <v>-</v>
      </c>
      <c r="BP921" t="s">
        <v>3534</v>
      </c>
      <c r="BQ921">
        <v>462</v>
      </c>
      <c r="BR921">
        <f t="shared" si="141"/>
        <v>462</v>
      </c>
      <c r="BS921" t="s">
        <v>3243</v>
      </c>
    </row>
    <row r="922" spans="1:71" x14ac:dyDescent="0.4">
      <c r="A922" s="3">
        <v>919</v>
      </c>
      <c r="B922" s="3">
        <v>919</v>
      </c>
      <c r="C922" s="4" t="s">
        <v>981</v>
      </c>
      <c r="D922" s="4" t="str">
        <f t="shared" si="142"/>
        <v>J7527N</v>
      </c>
      <c r="E922" s="4" t="s">
        <v>981</v>
      </c>
      <c r="F922" s="4" t="s">
        <v>2199</v>
      </c>
      <c r="G922" s="5">
        <v>4521718183480</v>
      </c>
      <c r="H922" s="5"/>
      <c r="I922" s="5"/>
      <c r="J922" s="5">
        <v>1</v>
      </c>
      <c r="K922" s="5">
        <v>1</v>
      </c>
      <c r="L922" s="4">
        <v>520</v>
      </c>
      <c r="M922" s="4">
        <v>338</v>
      </c>
      <c r="N922" s="4">
        <v>231</v>
      </c>
      <c r="O922" s="6">
        <f t="shared" si="143"/>
        <v>0.31656804733727806</v>
      </c>
      <c r="P922" s="4" t="s">
        <v>2500</v>
      </c>
      <c r="Q922" s="4"/>
      <c r="R922" s="4"/>
      <c r="S922" s="4"/>
      <c r="T922" s="4"/>
      <c r="U922" s="4"/>
      <c r="V922" s="4"/>
      <c r="W922" s="4"/>
      <c r="X922" s="4"/>
      <c r="Y922" s="4">
        <v>355</v>
      </c>
      <c r="Z922" s="4">
        <f t="shared" si="144"/>
        <v>355</v>
      </c>
      <c r="AA922" s="4">
        <v>231</v>
      </c>
      <c r="AB922" s="4">
        <f t="shared" si="145"/>
        <v>231</v>
      </c>
      <c r="AC922" s="4"/>
      <c r="AD922" s="21">
        <f>ROUND(M922*AR922,0)</f>
        <v>338</v>
      </c>
      <c r="AE922" s="6">
        <f>1-AB922/AD922</f>
        <v>0.31656804733727806</v>
      </c>
      <c r="AF922" s="33">
        <v>0</v>
      </c>
      <c r="AG922" s="4">
        <f t="shared" si="146"/>
        <v>520</v>
      </c>
      <c r="AH922" s="33">
        <f t="shared" si="139"/>
        <v>520</v>
      </c>
      <c r="AI922" s="6">
        <f>1-AB922/AH922</f>
        <v>0.55576923076923079</v>
      </c>
      <c r="AJ922" s="7">
        <v>355</v>
      </c>
      <c r="AK922" s="6">
        <f>1-AB922/AJ922</f>
        <v>0.3492957746478873</v>
      </c>
      <c r="AL922" s="4">
        <f>AJ922-AB922</f>
        <v>124</v>
      </c>
      <c r="AM922" s="28"/>
      <c r="AN922" s="6"/>
      <c r="AO922" s="6"/>
      <c r="AP922" s="6">
        <f>Z922/L922</f>
        <v>0.68269230769230771</v>
      </c>
      <c r="AQ922" s="6">
        <f>AJ922/M922</f>
        <v>1.0502958579881656</v>
      </c>
      <c r="AR922" s="6">
        <f>AB922/N922</f>
        <v>1</v>
      </c>
      <c r="AS922" s="4"/>
      <c r="AT922" s="4"/>
      <c r="AU922" s="4"/>
      <c r="AV922" s="4"/>
      <c r="AW922" s="4"/>
      <c r="AX922" s="4"/>
      <c r="AY922" s="4"/>
      <c r="AZ922" s="4"/>
      <c r="BA922" s="4"/>
      <c r="BB922" s="4">
        <v>0</v>
      </c>
      <c r="BC922" s="4" t="s">
        <v>4386</v>
      </c>
      <c r="BD922" s="4">
        <v>1</v>
      </c>
      <c r="BE922" s="4">
        <v>6</v>
      </c>
      <c r="BF922" s="4" t="s">
        <v>3935</v>
      </c>
      <c r="BG922" s="4">
        <v>3120</v>
      </c>
      <c r="BH922" s="4">
        <v>3120</v>
      </c>
      <c r="BI922" s="4">
        <f t="shared" si="147"/>
        <v>520</v>
      </c>
      <c r="BJ922" s="19">
        <v>4</v>
      </c>
      <c r="BK922" s="19">
        <v>8</v>
      </c>
      <c r="BL922" s="16">
        <v>6</v>
      </c>
      <c r="BM922" s="45" t="s">
        <v>3534</v>
      </c>
      <c r="BN922" t="s">
        <v>3534</v>
      </c>
      <c r="BO922" t="str">
        <f t="shared" si="140"/>
        <v>-</v>
      </c>
      <c r="BP922" t="s">
        <v>3534</v>
      </c>
      <c r="BQ922">
        <v>462</v>
      </c>
      <c r="BR922">
        <f t="shared" si="141"/>
        <v>462</v>
      </c>
      <c r="BS922" t="s">
        <v>3244</v>
      </c>
    </row>
    <row r="923" spans="1:71" x14ac:dyDescent="0.4">
      <c r="A923" s="3">
        <v>920</v>
      </c>
      <c r="B923" s="3">
        <v>920</v>
      </c>
      <c r="C923" s="4" t="s">
        <v>982</v>
      </c>
      <c r="D923" s="4" t="str">
        <f t="shared" si="142"/>
        <v>J7528N</v>
      </c>
      <c r="E923" s="4" t="s">
        <v>982</v>
      </c>
      <c r="F923" s="4" t="s">
        <v>2200</v>
      </c>
      <c r="G923" s="5">
        <v>4521718183497</v>
      </c>
      <c r="H923" s="5"/>
      <c r="I923" s="5"/>
      <c r="J923" s="5">
        <v>1</v>
      </c>
      <c r="K923" s="5">
        <v>1</v>
      </c>
      <c r="L923" s="4">
        <v>520</v>
      </c>
      <c r="M923" s="4">
        <v>338</v>
      </c>
      <c r="N923" s="4">
        <v>231</v>
      </c>
      <c r="O923" s="6">
        <f t="shared" si="143"/>
        <v>0.31656804733727806</v>
      </c>
      <c r="P923" s="4" t="s">
        <v>2500</v>
      </c>
      <c r="Q923" s="4"/>
      <c r="R923" s="4"/>
      <c r="S923" s="4"/>
      <c r="T923" s="4"/>
      <c r="U923" s="4"/>
      <c r="V923" s="4"/>
      <c r="W923" s="4"/>
      <c r="X923" s="4"/>
      <c r="Y923" s="4">
        <v>355</v>
      </c>
      <c r="Z923" s="4">
        <f t="shared" si="144"/>
        <v>355</v>
      </c>
      <c r="AA923" s="4">
        <v>231</v>
      </c>
      <c r="AB923" s="4">
        <f t="shared" si="145"/>
        <v>231</v>
      </c>
      <c r="AC923" s="4"/>
      <c r="AD923" s="21">
        <f>ROUND(M923*AR923,0)</f>
        <v>338</v>
      </c>
      <c r="AE923" s="6">
        <f>1-AB923/AD923</f>
        <v>0.31656804733727806</v>
      </c>
      <c r="AF923" s="33">
        <v>0</v>
      </c>
      <c r="AG923" s="4">
        <f t="shared" si="146"/>
        <v>520</v>
      </c>
      <c r="AH923" s="33">
        <f t="shared" si="139"/>
        <v>520</v>
      </c>
      <c r="AI923" s="6">
        <f>1-AB923/AH923</f>
        <v>0.55576923076923079</v>
      </c>
      <c r="AJ923" s="7">
        <v>355</v>
      </c>
      <c r="AK923" s="6">
        <f>1-AB923/AJ923</f>
        <v>0.3492957746478873</v>
      </c>
      <c r="AL923" s="4">
        <f>AJ923-AB923</f>
        <v>124</v>
      </c>
      <c r="AM923" s="28"/>
      <c r="AN923" s="6"/>
      <c r="AO923" s="6"/>
      <c r="AP923" s="6">
        <f>Z923/L923</f>
        <v>0.68269230769230771</v>
      </c>
      <c r="AQ923" s="6">
        <f>AJ923/M923</f>
        <v>1.0502958579881656</v>
      </c>
      <c r="AR923" s="6">
        <f>AB923/N923</f>
        <v>1</v>
      </c>
      <c r="AS923" s="4"/>
      <c r="AT923" s="4"/>
      <c r="AU923" s="4"/>
      <c r="AV923" s="4"/>
      <c r="AW923" s="4"/>
      <c r="AX923" s="4"/>
      <c r="AY923" s="4"/>
      <c r="AZ923" s="4"/>
      <c r="BA923" s="4"/>
      <c r="BB923" s="4">
        <v>0</v>
      </c>
      <c r="BC923" s="4" t="s">
        <v>4387</v>
      </c>
      <c r="BD923" s="4">
        <v>1</v>
      </c>
      <c r="BE923" s="4">
        <v>6</v>
      </c>
      <c r="BF923" s="4" t="s">
        <v>3935</v>
      </c>
      <c r="BG923" s="4">
        <v>3120</v>
      </c>
      <c r="BH923" s="4">
        <v>3120</v>
      </c>
      <c r="BI923" s="4">
        <f t="shared" si="147"/>
        <v>520</v>
      </c>
      <c r="BJ923" s="19">
        <v>4</v>
      </c>
      <c r="BK923" s="19">
        <v>8</v>
      </c>
      <c r="BL923" s="16">
        <v>6</v>
      </c>
      <c r="BM923" s="45" t="s">
        <v>3534</v>
      </c>
      <c r="BN923" t="s">
        <v>3534</v>
      </c>
      <c r="BO923" t="str">
        <f t="shared" si="140"/>
        <v>-</v>
      </c>
      <c r="BP923" t="s">
        <v>3534</v>
      </c>
      <c r="BQ923">
        <v>462</v>
      </c>
      <c r="BR923">
        <f t="shared" si="141"/>
        <v>462</v>
      </c>
      <c r="BS923" t="s">
        <v>3245</v>
      </c>
    </row>
    <row r="924" spans="1:71" x14ac:dyDescent="0.4">
      <c r="A924" s="3">
        <v>921</v>
      </c>
      <c r="B924" s="3">
        <v>921</v>
      </c>
      <c r="C924" s="4" t="s">
        <v>983</v>
      </c>
      <c r="D924" s="4" t="str">
        <f t="shared" si="142"/>
        <v>J7519N</v>
      </c>
      <c r="E924" s="4" t="s">
        <v>983</v>
      </c>
      <c r="F924" s="4" t="s">
        <v>2201</v>
      </c>
      <c r="G924" s="5">
        <v>4521718183404</v>
      </c>
      <c r="H924" s="5"/>
      <c r="I924" s="5"/>
      <c r="J924" s="5">
        <v>1</v>
      </c>
      <c r="K924" s="5">
        <v>1</v>
      </c>
      <c r="L924" s="4">
        <v>500</v>
      </c>
      <c r="M924" s="4">
        <v>352</v>
      </c>
      <c r="N924" s="4">
        <v>225</v>
      </c>
      <c r="O924" s="6">
        <f t="shared" si="143"/>
        <v>0.36079545454545459</v>
      </c>
      <c r="P924" s="4" t="s">
        <v>2500</v>
      </c>
      <c r="Q924" s="4"/>
      <c r="R924" s="4"/>
      <c r="S924" s="4"/>
      <c r="T924" s="4"/>
      <c r="U924" s="4"/>
      <c r="V924" s="4"/>
      <c r="W924" s="4"/>
      <c r="X924" s="4"/>
      <c r="Y924" s="4">
        <v>346</v>
      </c>
      <c r="Z924" s="4">
        <f t="shared" si="144"/>
        <v>346</v>
      </c>
      <c r="AA924" s="4">
        <v>225</v>
      </c>
      <c r="AB924" s="4">
        <f t="shared" si="145"/>
        <v>225</v>
      </c>
      <c r="AC924" s="4"/>
      <c r="AD924" s="21">
        <f>ROUND(M924*AR924,0)</f>
        <v>352</v>
      </c>
      <c r="AE924" s="6">
        <f>1-AB924/AD924</f>
        <v>0.36079545454545459</v>
      </c>
      <c r="AF924" s="33">
        <v>0</v>
      </c>
      <c r="AG924" s="4">
        <f t="shared" si="146"/>
        <v>196</v>
      </c>
      <c r="AH924" s="33">
        <f t="shared" si="139"/>
        <v>196</v>
      </c>
      <c r="AI924" s="6">
        <f>1-AB924/AH924</f>
        <v>-0.1479591836734695</v>
      </c>
      <c r="AJ924" s="7">
        <v>346</v>
      </c>
      <c r="AK924" s="6">
        <f>1-AB924/AJ924</f>
        <v>0.3497109826589595</v>
      </c>
      <c r="AL924" s="4">
        <f>AJ924-AB924</f>
        <v>121</v>
      </c>
      <c r="AM924" s="28"/>
      <c r="AN924" s="6"/>
      <c r="AO924" s="6"/>
      <c r="AP924" s="6">
        <f>Z924/L924</f>
        <v>0.69199999999999995</v>
      </c>
      <c r="AQ924" s="6">
        <f>AJ924/M924</f>
        <v>0.98295454545454541</v>
      </c>
      <c r="AR924" s="6">
        <f>AB924/N924</f>
        <v>1</v>
      </c>
      <c r="AS924" s="4"/>
      <c r="AT924" s="4"/>
      <c r="AU924" s="4"/>
      <c r="AV924" s="4"/>
      <c r="AW924" s="4"/>
      <c r="AX924" s="4"/>
      <c r="AY924" s="4"/>
      <c r="AZ924" s="4"/>
      <c r="BA924" s="4"/>
      <c r="BB924" s="4">
        <v>0</v>
      </c>
      <c r="BC924" s="4" t="s">
        <v>4388</v>
      </c>
      <c r="BD924" s="4"/>
      <c r="BE924" s="4"/>
      <c r="BF924" s="4" t="s">
        <v>3545</v>
      </c>
      <c r="BG924" s="4">
        <v>196</v>
      </c>
      <c r="BH924" s="4">
        <v>196</v>
      </c>
      <c r="BI924" s="4">
        <f t="shared" si="147"/>
        <v>196</v>
      </c>
      <c r="BJ924" s="19">
        <v>4</v>
      </c>
      <c r="BK924" s="19">
        <v>8</v>
      </c>
      <c r="BL924" s="16">
        <v>6</v>
      </c>
      <c r="BM924" s="45" t="s">
        <v>3534</v>
      </c>
      <c r="BN924" t="s">
        <v>3534</v>
      </c>
      <c r="BO924" t="str">
        <f t="shared" si="140"/>
        <v>-</v>
      </c>
      <c r="BP924" t="s">
        <v>3534</v>
      </c>
      <c r="BQ924">
        <v>450</v>
      </c>
      <c r="BR924">
        <f t="shared" si="141"/>
        <v>450</v>
      </c>
      <c r="BS924" t="s">
        <v>3246</v>
      </c>
    </row>
    <row r="925" spans="1:71" x14ac:dyDescent="0.4">
      <c r="A925" s="3">
        <v>922</v>
      </c>
      <c r="B925" s="3">
        <v>922</v>
      </c>
      <c r="C925" s="4" t="s">
        <v>984</v>
      </c>
      <c r="D925" s="4" t="str">
        <f t="shared" si="142"/>
        <v>J7530N</v>
      </c>
      <c r="E925" s="4" t="s">
        <v>984</v>
      </c>
      <c r="F925" s="4" t="s">
        <v>2202</v>
      </c>
      <c r="G925" s="5">
        <v>4521718183510</v>
      </c>
      <c r="H925" s="5"/>
      <c r="I925" s="5"/>
      <c r="J925" s="5">
        <v>1</v>
      </c>
      <c r="K925" s="5">
        <v>1</v>
      </c>
      <c r="L925" s="4">
        <v>490</v>
      </c>
      <c r="M925" s="4">
        <v>321</v>
      </c>
      <c r="N925" s="4">
        <v>219</v>
      </c>
      <c r="O925" s="6">
        <f t="shared" si="143"/>
        <v>0.31775700934579443</v>
      </c>
      <c r="P925" s="4" t="s">
        <v>2500</v>
      </c>
      <c r="Q925" s="4"/>
      <c r="R925" s="4"/>
      <c r="S925" s="4"/>
      <c r="T925" s="4"/>
      <c r="U925" s="4"/>
      <c r="V925" s="4"/>
      <c r="W925" s="4"/>
      <c r="X925" s="4"/>
      <c r="Y925" s="4">
        <v>337</v>
      </c>
      <c r="Z925" s="4">
        <f t="shared" si="144"/>
        <v>337</v>
      </c>
      <c r="AA925" s="4">
        <v>219</v>
      </c>
      <c r="AB925" s="4">
        <f t="shared" si="145"/>
        <v>219</v>
      </c>
      <c r="AC925" s="4"/>
      <c r="AD925" s="21">
        <f>ROUND(M925*AR925,0)</f>
        <v>321</v>
      </c>
      <c r="AE925" s="6">
        <f>1-AB925/AD925</f>
        <v>0.31775700934579443</v>
      </c>
      <c r="AF925" s="33">
        <v>0</v>
      </c>
      <c r="AG925" s="4">
        <f t="shared" si="146"/>
        <v>490</v>
      </c>
      <c r="AH925" s="33">
        <f t="shared" si="139"/>
        <v>490</v>
      </c>
      <c r="AI925" s="6">
        <f>1-AB925/AH925</f>
        <v>0.55306122448979589</v>
      </c>
      <c r="AJ925" s="7">
        <f>ROUND(AB925/0.65,0)</f>
        <v>337</v>
      </c>
      <c r="AK925" s="6">
        <f>1-AB925/AJ925</f>
        <v>0.35014836795252224</v>
      </c>
      <c r="AL925" s="4">
        <f>AJ925-AB925</f>
        <v>118</v>
      </c>
      <c r="AM925" s="28"/>
      <c r="AN925" s="6"/>
      <c r="AO925" s="6"/>
      <c r="AP925" s="6">
        <f>Z925/L925</f>
        <v>0.68775510204081636</v>
      </c>
      <c r="AQ925" s="6">
        <f>AJ925/M925</f>
        <v>1.0498442367601246</v>
      </c>
      <c r="AR925" s="6">
        <f>AB925/N925</f>
        <v>1</v>
      </c>
      <c r="AS925" s="4"/>
      <c r="AT925" s="4"/>
      <c r="AU925" s="4"/>
      <c r="AV925" s="4"/>
      <c r="AW925" s="4"/>
      <c r="AX925" s="4"/>
      <c r="AY925" s="4"/>
      <c r="AZ925" s="4"/>
      <c r="BA925" s="4"/>
      <c r="BB925" s="4">
        <v>0</v>
      </c>
      <c r="BC925" s="4" t="s">
        <v>4389</v>
      </c>
      <c r="BD925" s="4">
        <v>1</v>
      </c>
      <c r="BE925" s="4">
        <v>6</v>
      </c>
      <c r="BF925" s="4" t="s">
        <v>4390</v>
      </c>
      <c r="BG925" s="4">
        <v>2940</v>
      </c>
      <c r="BH925" s="4">
        <v>2940</v>
      </c>
      <c r="BI925" s="4">
        <f t="shared" si="147"/>
        <v>490</v>
      </c>
      <c r="BJ925" s="19">
        <v>4</v>
      </c>
      <c r="BK925" s="19">
        <v>8</v>
      </c>
      <c r="BL925" s="16">
        <v>6</v>
      </c>
      <c r="BM925" s="45" t="s">
        <v>3534</v>
      </c>
      <c r="BN925" t="s">
        <v>3534</v>
      </c>
      <c r="BO925" t="str">
        <f t="shared" si="140"/>
        <v>-</v>
      </c>
      <c r="BP925">
        <v>438</v>
      </c>
      <c r="BQ925">
        <v>438</v>
      </c>
      <c r="BR925">
        <f t="shared" si="141"/>
        <v>438</v>
      </c>
      <c r="BS925" t="s">
        <v>3247</v>
      </c>
    </row>
    <row r="926" spans="1:71" x14ac:dyDescent="0.4">
      <c r="A926" s="3">
        <v>923</v>
      </c>
      <c r="B926" s="3">
        <v>923</v>
      </c>
      <c r="C926" s="4" t="s">
        <v>985</v>
      </c>
      <c r="D926" s="4" t="str">
        <f t="shared" si="142"/>
        <v>J7531N</v>
      </c>
      <c r="E926" s="4" t="s">
        <v>985</v>
      </c>
      <c r="F926" s="4" t="s">
        <v>2203</v>
      </c>
      <c r="G926" s="5">
        <v>4521718183527</v>
      </c>
      <c r="H926" s="5"/>
      <c r="I926" s="5"/>
      <c r="J926" s="5">
        <v>1</v>
      </c>
      <c r="K926" s="5">
        <v>1</v>
      </c>
      <c r="L926" s="4">
        <v>580</v>
      </c>
      <c r="M926" s="4">
        <v>379</v>
      </c>
      <c r="N926" s="4">
        <v>260</v>
      </c>
      <c r="O926" s="6">
        <f t="shared" si="143"/>
        <v>0.31398416886543534</v>
      </c>
      <c r="P926" s="4" t="s">
        <v>2500</v>
      </c>
      <c r="Q926" s="4"/>
      <c r="R926" s="4"/>
      <c r="S926" s="4"/>
      <c r="T926" s="4"/>
      <c r="U926" s="4"/>
      <c r="V926" s="4"/>
      <c r="W926" s="4"/>
      <c r="X926" s="4"/>
      <c r="Y926" s="4">
        <v>400</v>
      </c>
      <c r="Z926" s="4">
        <f t="shared" si="144"/>
        <v>400</v>
      </c>
      <c r="AA926" s="4">
        <v>260</v>
      </c>
      <c r="AB926" s="4">
        <f t="shared" si="145"/>
        <v>260</v>
      </c>
      <c r="AC926" s="4"/>
      <c r="AD926" s="21">
        <f>ROUND(M926*AR926,0)</f>
        <v>379</v>
      </c>
      <c r="AE926" s="6">
        <f>1-AB926/AD926</f>
        <v>0.31398416886543534</v>
      </c>
      <c r="AF926" s="33">
        <v>0</v>
      </c>
      <c r="AG926" s="4">
        <f t="shared" si="146"/>
        <v>580</v>
      </c>
      <c r="AH926" s="33">
        <f t="shared" si="139"/>
        <v>580</v>
      </c>
      <c r="AI926" s="6">
        <f>1-AB926/AH926</f>
        <v>0.55172413793103448</v>
      </c>
      <c r="AJ926" s="7">
        <v>400</v>
      </c>
      <c r="AK926" s="6">
        <f>1-AB926/AJ926</f>
        <v>0.35</v>
      </c>
      <c r="AL926" s="4">
        <f>AJ926-AB926</f>
        <v>140</v>
      </c>
      <c r="AM926" s="28"/>
      <c r="AN926" s="6"/>
      <c r="AO926" s="6"/>
      <c r="AP926" s="6">
        <f>Z926/L926</f>
        <v>0.68965517241379315</v>
      </c>
      <c r="AQ926" s="6">
        <f>AJ926/M926</f>
        <v>1.0554089709762533</v>
      </c>
      <c r="AR926" s="6">
        <f>AB926/N926</f>
        <v>1</v>
      </c>
      <c r="AS926" s="4"/>
      <c r="AT926" s="4"/>
      <c r="AU926" s="4"/>
      <c r="AV926" s="4"/>
      <c r="AW926" s="4"/>
      <c r="AX926" s="4"/>
      <c r="AY926" s="4"/>
      <c r="AZ926" s="4"/>
      <c r="BA926" s="4"/>
      <c r="BB926" s="4">
        <v>0</v>
      </c>
      <c r="BC926" s="4" t="s">
        <v>4391</v>
      </c>
      <c r="BD926" s="4">
        <v>1</v>
      </c>
      <c r="BE926" s="4">
        <v>5</v>
      </c>
      <c r="BF926" s="4" t="s">
        <v>4371</v>
      </c>
      <c r="BG926" s="4">
        <v>2900</v>
      </c>
      <c r="BH926" s="4">
        <v>2900</v>
      </c>
      <c r="BI926" s="4">
        <f t="shared" si="147"/>
        <v>580</v>
      </c>
      <c r="BJ926" s="19">
        <v>4</v>
      </c>
      <c r="BK926" s="19">
        <v>8</v>
      </c>
      <c r="BL926" s="16">
        <v>6</v>
      </c>
      <c r="BM926" s="45" t="s">
        <v>3534</v>
      </c>
      <c r="BN926" t="s">
        <v>3534</v>
      </c>
      <c r="BO926" t="str">
        <f t="shared" si="140"/>
        <v>-</v>
      </c>
      <c r="BP926">
        <v>520</v>
      </c>
      <c r="BQ926">
        <v>520</v>
      </c>
      <c r="BR926">
        <f t="shared" si="141"/>
        <v>520</v>
      </c>
      <c r="BS926" t="s">
        <v>3248</v>
      </c>
    </row>
    <row r="927" spans="1:71" x14ac:dyDescent="0.4">
      <c r="A927" s="3">
        <v>924</v>
      </c>
      <c r="B927" s="3">
        <v>924</v>
      </c>
      <c r="C927" s="4" t="s">
        <v>986</v>
      </c>
      <c r="D927" s="4" t="str">
        <f t="shared" si="142"/>
        <v>J7532N</v>
      </c>
      <c r="E927" s="4" t="s">
        <v>986</v>
      </c>
      <c r="F927" s="4" t="s">
        <v>2204</v>
      </c>
      <c r="G927" s="5">
        <v>4521718183534</v>
      </c>
      <c r="H927" s="5"/>
      <c r="I927" s="5"/>
      <c r="J927" s="5">
        <v>1</v>
      </c>
      <c r="K927" s="5">
        <v>1</v>
      </c>
      <c r="L927" s="4">
        <v>490</v>
      </c>
      <c r="M927" s="4">
        <v>321</v>
      </c>
      <c r="N927" s="4">
        <v>219</v>
      </c>
      <c r="O927" s="6">
        <f t="shared" si="143"/>
        <v>0.31775700934579443</v>
      </c>
      <c r="P927" s="4" t="s">
        <v>2500</v>
      </c>
      <c r="Q927" s="4"/>
      <c r="R927" s="4"/>
      <c r="S927" s="4"/>
      <c r="T927" s="4"/>
      <c r="U927" s="4"/>
      <c r="V927" s="4"/>
      <c r="W927" s="4"/>
      <c r="X927" s="4"/>
      <c r="Y927" s="4">
        <v>337</v>
      </c>
      <c r="Z927" s="4">
        <f t="shared" si="144"/>
        <v>337</v>
      </c>
      <c r="AA927" s="4">
        <v>219</v>
      </c>
      <c r="AB927" s="4">
        <f t="shared" si="145"/>
        <v>219</v>
      </c>
      <c r="AC927" s="4"/>
      <c r="AD927" s="21">
        <f>ROUND(M927*AR927,0)</f>
        <v>321</v>
      </c>
      <c r="AE927" s="6">
        <f>1-AB927/AD927</f>
        <v>0.31775700934579443</v>
      </c>
      <c r="AF927" s="33">
        <v>0.5</v>
      </c>
      <c r="AG927" s="4">
        <f t="shared" si="146"/>
        <v>490</v>
      </c>
      <c r="AH927" s="33">
        <f t="shared" si="139"/>
        <v>490</v>
      </c>
      <c r="AI927" s="6">
        <f>1-AB927/AH927</f>
        <v>0.55306122448979589</v>
      </c>
      <c r="AJ927" s="7">
        <f>ROUND(AB927/0.65,0)</f>
        <v>337</v>
      </c>
      <c r="AK927" s="6">
        <f>1-AB927/AJ927</f>
        <v>0.35014836795252224</v>
      </c>
      <c r="AL927" s="4">
        <f>AJ927-AB927</f>
        <v>118</v>
      </c>
      <c r="AM927" s="28"/>
      <c r="AN927" s="6"/>
      <c r="AO927" s="6"/>
      <c r="AP927" s="6">
        <f>Z927/L927</f>
        <v>0.68775510204081636</v>
      </c>
      <c r="AQ927" s="6">
        <f>AJ927/M927</f>
        <v>1.0498442367601246</v>
      </c>
      <c r="AR927" s="6">
        <f>AB927/N927</f>
        <v>1</v>
      </c>
      <c r="AS927" s="4"/>
      <c r="AT927" s="4"/>
      <c r="AU927" s="4"/>
      <c r="AV927" s="4"/>
      <c r="AW927" s="4"/>
      <c r="AX927" s="4"/>
      <c r="AY927" s="4"/>
      <c r="AZ927" s="4"/>
      <c r="BA927" s="4"/>
      <c r="BB927" s="4">
        <v>0</v>
      </c>
      <c r="BC927" s="4" t="s">
        <v>4392</v>
      </c>
      <c r="BD927" s="4">
        <v>1</v>
      </c>
      <c r="BE927" s="4">
        <v>6</v>
      </c>
      <c r="BF927" s="4" t="s">
        <v>4390</v>
      </c>
      <c r="BG927" s="4">
        <v>2940</v>
      </c>
      <c r="BH927" s="4">
        <v>2940</v>
      </c>
      <c r="BI927" s="4">
        <f t="shared" si="147"/>
        <v>490</v>
      </c>
      <c r="BJ927" s="19">
        <v>4</v>
      </c>
      <c r="BK927" s="19">
        <v>8</v>
      </c>
      <c r="BL927" s="16">
        <v>6</v>
      </c>
      <c r="BM927" s="45" t="s">
        <v>3534</v>
      </c>
      <c r="BN927" t="s">
        <v>3534</v>
      </c>
      <c r="BO927" t="str">
        <f t="shared" si="140"/>
        <v>-</v>
      </c>
      <c r="BP927">
        <v>438</v>
      </c>
      <c r="BQ927">
        <v>438</v>
      </c>
      <c r="BR927">
        <f t="shared" si="141"/>
        <v>438</v>
      </c>
      <c r="BS927" t="s">
        <v>3249</v>
      </c>
    </row>
    <row r="928" spans="1:71" x14ac:dyDescent="0.4">
      <c r="A928" s="3">
        <v>925</v>
      </c>
      <c r="B928" s="3">
        <v>925</v>
      </c>
      <c r="C928" s="4" t="s">
        <v>987</v>
      </c>
      <c r="D928" s="4" t="str">
        <f t="shared" si="142"/>
        <v>J7533N</v>
      </c>
      <c r="E928" s="4" t="s">
        <v>987</v>
      </c>
      <c r="F928" s="4" t="s">
        <v>2205</v>
      </c>
      <c r="G928" s="5">
        <v>4521718183541</v>
      </c>
      <c r="H928" s="5"/>
      <c r="I928" s="5"/>
      <c r="J928" s="5">
        <v>1</v>
      </c>
      <c r="K928" s="5">
        <v>1</v>
      </c>
      <c r="L928" s="4">
        <v>580</v>
      </c>
      <c r="M928" s="4">
        <v>379</v>
      </c>
      <c r="N928" s="4">
        <v>260</v>
      </c>
      <c r="O928" s="6">
        <f t="shared" si="143"/>
        <v>0.31398416886543534</v>
      </c>
      <c r="P928" s="4" t="s">
        <v>2500</v>
      </c>
      <c r="Q928" s="4"/>
      <c r="R928" s="4"/>
      <c r="S928" s="4"/>
      <c r="T928" s="4"/>
      <c r="U928" s="4"/>
      <c r="V928" s="4"/>
      <c r="W928" s="4"/>
      <c r="X928" s="4"/>
      <c r="Y928" s="4">
        <v>400</v>
      </c>
      <c r="Z928" s="4">
        <f t="shared" si="144"/>
        <v>400</v>
      </c>
      <c r="AA928" s="4">
        <v>260</v>
      </c>
      <c r="AB928" s="4">
        <f t="shared" si="145"/>
        <v>260</v>
      </c>
      <c r="AC928" s="4"/>
      <c r="AD928" s="21">
        <f>ROUND(M928*AR928,0)</f>
        <v>379</v>
      </c>
      <c r="AE928" s="6">
        <f>1-AB928/AD928</f>
        <v>0.31398416886543534</v>
      </c>
      <c r="AF928" s="33">
        <v>0.75</v>
      </c>
      <c r="AG928" s="4">
        <f t="shared" si="146"/>
        <v>250</v>
      </c>
      <c r="AH928" s="33">
        <f t="shared" si="139"/>
        <v>250</v>
      </c>
      <c r="AI928" s="6">
        <f>1-AB928/AH928</f>
        <v>-4.0000000000000036E-2</v>
      </c>
      <c r="AJ928" s="7">
        <v>400</v>
      </c>
      <c r="AK928" s="6">
        <f>1-AB928/AJ928</f>
        <v>0.35</v>
      </c>
      <c r="AL928" s="4">
        <f>AJ928-AB928</f>
        <v>140</v>
      </c>
      <c r="AM928" s="28"/>
      <c r="AN928" s="6"/>
      <c r="AO928" s="6"/>
      <c r="AP928" s="6">
        <f>Z928/L928</f>
        <v>0.68965517241379315</v>
      </c>
      <c r="AQ928" s="6">
        <f>AJ928/M928</f>
        <v>1.0554089709762533</v>
      </c>
      <c r="AR928" s="6">
        <f>AB928/N928</f>
        <v>1</v>
      </c>
      <c r="AS928" s="4"/>
      <c r="AT928" s="4"/>
      <c r="AU928" s="4"/>
      <c r="AV928" s="4"/>
      <c r="AW928" s="4"/>
      <c r="AX928" s="4"/>
      <c r="AY928" s="4"/>
      <c r="AZ928" s="4"/>
      <c r="BA928" s="4"/>
      <c r="BB928" s="4">
        <v>0</v>
      </c>
      <c r="BC928" s="4" t="s">
        <v>4393</v>
      </c>
      <c r="BD928" s="4"/>
      <c r="BE928" s="4"/>
      <c r="BF928" s="4" t="s">
        <v>3649</v>
      </c>
      <c r="BG928" s="4">
        <v>250</v>
      </c>
      <c r="BH928" s="4">
        <v>250</v>
      </c>
      <c r="BI928" s="4">
        <f t="shared" si="147"/>
        <v>250</v>
      </c>
      <c r="BJ928" s="19">
        <v>4</v>
      </c>
      <c r="BK928" s="19">
        <v>8</v>
      </c>
      <c r="BL928" s="16">
        <v>6</v>
      </c>
      <c r="BM928" s="45" t="s">
        <v>3534</v>
      </c>
      <c r="BN928" t="s">
        <v>3534</v>
      </c>
      <c r="BO928" t="str">
        <f t="shared" si="140"/>
        <v>-</v>
      </c>
      <c r="BP928">
        <v>520</v>
      </c>
      <c r="BQ928">
        <v>520</v>
      </c>
      <c r="BR928">
        <f t="shared" si="141"/>
        <v>520</v>
      </c>
      <c r="BS928" t="s">
        <v>3250</v>
      </c>
    </row>
    <row r="929" spans="1:71" x14ac:dyDescent="0.4">
      <c r="A929" s="3">
        <v>926</v>
      </c>
      <c r="B929" s="3">
        <v>926</v>
      </c>
      <c r="C929" s="4" t="s">
        <v>988</v>
      </c>
      <c r="D929" s="4" t="str">
        <f t="shared" si="142"/>
        <v>J7537N</v>
      </c>
      <c r="E929" s="4" t="s">
        <v>988</v>
      </c>
      <c r="F929" s="4" t="s">
        <v>2206</v>
      </c>
      <c r="G929" s="5">
        <v>4521718211558</v>
      </c>
      <c r="H929" s="5"/>
      <c r="I929" s="5"/>
      <c r="J929" s="5">
        <v>1</v>
      </c>
      <c r="K929" s="5">
        <v>1</v>
      </c>
      <c r="L929" s="4">
        <v>750</v>
      </c>
      <c r="M929" s="4">
        <v>492</v>
      </c>
      <c r="N929" s="4">
        <v>337</v>
      </c>
      <c r="O929" s="6">
        <f t="shared" si="143"/>
        <v>0.31504065040650409</v>
      </c>
      <c r="P929" s="4" t="s">
        <v>2500</v>
      </c>
      <c r="Q929" s="4"/>
      <c r="R929" s="4"/>
      <c r="S929" s="4"/>
      <c r="T929" s="4"/>
      <c r="U929" s="4"/>
      <c r="V929" s="4"/>
      <c r="W929" s="4"/>
      <c r="X929" s="4"/>
      <c r="Y929" s="4">
        <v>519</v>
      </c>
      <c r="Z929" s="4">
        <f t="shared" si="144"/>
        <v>519</v>
      </c>
      <c r="AA929" s="4">
        <v>337</v>
      </c>
      <c r="AB929" s="4">
        <f t="shared" si="145"/>
        <v>337</v>
      </c>
      <c r="AC929" s="4"/>
      <c r="AD929" s="21">
        <f>ROUND(M929*AR929,0)</f>
        <v>492</v>
      </c>
      <c r="AE929" s="6">
        <f>1-AB929/AD929</f>
        <v>0.31504065040650409</v>
      </c>
      <c r="AF929" s="33">
        <v>0</v>
      </c>
      <c r="AG929" s="4">
        <f t="shared" si="146"/>
        <v>750</v>
      </c>
      <c r="AH929" s="33">
        <f t="shared" si="139"/>
        <v>750</v>
      </c>
      <c r="AI929" s="6">
        <f>1-AB929/AH929</f>
        <v>0.55066666666666664</v>
      </c>
      <c r="AJ929" s="7">
        <f>ROUND(AB929/0.65,0)</f>
        <v>518</v>
      </c>
      <c r="AK929" s="6">
        <f>1-AB929/AJ929</f>
        <v>0.34942084942084939</v>
      </c>
      <c r="AL929" s="4">
        <f>AJ929-AB929</f>
        <v>181</v>
      </c>
      <c r="AM929" s="28"/>
      <c r="AN929" s="6"/>
      <c r="AO929" s="6"/>
      <c r="AP929" s="6">
        <f>Z929/L929</f>
        <v>0.69199999999999995</v>
      </c>
      <c r="AQ929" s="6">
        <f>AJ929/M929</f>
        <v>1.0528455284552845</v>
      </c>
      <c r="AR929" s="6">
        <f>AB929/N929</f>
        <v>1</v>
      </c>
      <c r="AS929" s="4"/>
      <c r="AT929" s="4"/>
      <c r="AU929" s="4"/>
      <c r="AV929" s="4"/>
      <c r="AW929" s="4"/>
      <c r="AX929" s="4"/>
      <c r="AY929" s="4"/>
      <c r="AZ929" s="4"/>
      <c r="BA929" s="4"/>
      <c r="BB929" s="4">
        <v>0</v>
      </c>
      <c r="BC929" s="4" t="s">
        <v>4394</v>
      </c>
      <c r="BD929" s="4">
        <v>1</v>
      </c>
      <c r="BE929" s="4">
        <v>4</v>
      </c>
      <c r="BF929" s="4" t="s">
        <v>3933</v>
      </c>
      <c r="BG929" s="4">
        <v>3000</v>
      </c>
      <c r="BH929" s="4">
        <v>3000</v>
      </c>
      <c r="BI929" s="4">
        <f t="shared" si="147"/>
        <v>750</v>
      </c>
      <c r="BJ929" s="19">
        <v>4</v>
      </c>
      <c r="BK929" s="19">
        <v>8</v>
      </c>
      <c r="BL929" s="16">
        <v>6</v>
      </c>
      <c r="BM929" s="45" t="s">
        <v>3534</v>
      </c>
      <c r="BN929" t="s">
        <v>3534</v>
      </c>
      <c r="BO929" t="str">
        <f t="shared" si="140"/>
        <v>-</v>
      </c>
      <c r="BP929" t="s">
        <v>3534</v>
      </c>
      <c r="BQ929">
        <v>674</v>
      </c>
      <c r="BR929">
        <f t="shared" si="141"/>
        <v>674</v>
      </c>
      <c r="BS929" t="s">
        <v>3251</v>
      </c>
    </row>
    <row r="930" spans="1:71" x14ac:dyDescent="0.4">
      <c r="A930" s="3">
        <v>927</v>
      </c>
      <c r="B930" s="3">
        <v>927</v>
      </c>
      <c r="C930" s="4" t="s">
        <v>989</v>
      </c>
      <c r="D930" s="4" t="str">
        <f t="shared" si="142"/>
        <v>J7529N</v>
      </c>
      <c r="E930" s="4" t="s">
        <v>989</v>
      </c>
      <c r="F930" s="4" t="s">
        <v>2207</v>
      </c>
      <c r="G930" s="5">
        <v>4521718183503</v>
      </c>
      <c r="H930" s="5"/>
      <c r="I930" s="5"/>
      <c r="J930" s="5">
        <v>1</v>
      </c>
      <c r="K930" s="5">
        <v>1</v>
      </c>
      <c r="L930" s="4">
        <v>520</v>
      </c>
      <c r="M930" s="4">
        <v>338</v>
      </c>
      <c r="N930" s="4">
        <v>231</v>
      </c>
      <c r="O930" s="6">
        <f t="shared" si="143"/>
        <v>0.31656804733727806</v>
      </c>
      <c r="P930" s="4" t="s">
        <v>2500</v>
      </c>
      <c r="Q930" s="4"/>
      <c r="R930" s="4"/>
      <c r="S930" s="4"/>
      <c r="T930" s="4"/>
      <c r="U930" s="4"/>
      <c r="V930" s="4"/>
      <c r="W930" s="4"/>
      <c r="X930" s="4"/>
      <c r="Y930" s="4">
        <v>355</v>
      </c>
      <c r="Z930" s="4">
        <f t="shared" si="144"/>
        <v>355</v>
      </c>
      <c r="AA930" s="4">
        <v>231</v>
      </c>
      <c r="AB930" s="4">
        <f t="shared" si="145"/>
        <v>231</v>
      </c>
      <c r="AC930" s="4"/>
      <c r="AD930" s="21">
        <f>ROUND(M930*AR930,0)</f>
        <v>338</v>
      </c>
      <c r="AE930" s="6">
        <f>1-AB930/AD930</f>
        <v>0.31656804733727806</v>
      </c>
      <c r="AF930" s="33">
        <v>0</v>
      </c>
      <c r="AG930" s="4">
        <f t="shared" si="146"/>
        <v>520</v>
      </c>
      <c r="AH930" s="33">
        <f t="shared" si="139"/>
        <v>520</v>
      </c>
      <c r="AI930" s="6">
        <f>1-AB930/AH930</f>
        <v>0.55576923076923079</v>
      </c>
      <c r="AJ930" s="7">
        <v>355</v>
      </c>
      <c r="AK930" s="6">
        <f>1-AB930/AJ930</f>
        <v>0.3492957746478873</v>
      </c>
      <c r="AL930" s="4">
        <f>AJ930-AB930</f>
        <v>124</v>
      </c>
      <c r="AM930" s="28"/>
      <c r="AN930" s="6"/>
      <c r="AO930" s="6"/>
      <c r="AP930" s="6">
        <f>Z930/L930</f>
        <v>0.68269230769230771</v>
      </c>
      <c r="AQ930" s="6">
        <f>AJ930/M930</f>
        <v>1.0502958579881656</v>
      </c>
      <c r="AR930" s="6">
        <f>AB930/N930</f>
        <v>1</v>
      </c>
      <c r="AS930" s="4"/>
      <c r="AT930" s="4"/>
      <c r="AU930" s="4"/>
      <c r="AV930" s="4"/>
      <c r="AW930" s="4"/>
      <c r="AX930" s="4"/>
      <c r="AY930" s="4"/>
      <c r="AZ930" s="4"/>
      <c r="BA930" s="4"/>
      <c r="BB930" s="4">
        <v>0</v>
      </c>
      <c r="BC930" s="4" t="s">
        <v>4395</v>
      </c>
      <c r="BD930" s="4">
        <v>1</v>
      </c>
      <c r="BE930" s="4">
        <v>6</v>
      </c>
      <c r="BF930" s="4" t="s">
        <v>3935</v>
      </c>
      <c r="BG930" s="4">
        <v>3120</v>
      </c>
      <c r="BH930" s="4">
        <v>3120</v>
      </c>
      <c r="BI930" s="4">
        <f t="shared" si="147"/>
        <v>520</v>
      </c>
      <c r="BJ930" s="19">
        <v>4</v>
      </c>
      <c r="BK930" s="19">
        <v>8</v>
      </c>
      <c r="BL930" s="16">
        <v>6</v>
      </c>
      <c r="BM930" s="45" t="s">
        <v>3534</v>
      </c>
      <c r="BN930" t="s">
        <v>3534</v>
      </c>
      <c r="BO930" t="str">
        <f t="shared" si="140"/>
        <v>-</v>
      </c>
      <c r="BP930" t="s">
        <v>3534</v>
      </c>
      <c r="BQ930">
        <v>462</v>
      </c>
      <c r="BR930">
        <f t="shared" si="141"/>
        <v>462</v>
      </c>
      <c r="BS930" t="s">
        <v>3252</v>
      </c>
    </row>
    <row r="931" spans="1:71" x14ac:dyDescent="0.4">
      <c r="A931" s="3">
        <v>928</v>
      </c>
      <c r="B931" s="3">
        <v>928</v>
      </c>
      <c r="C931" s="4" t="s">
        <v>990</v>
      </c>
      <c r="D931" s="4" t="str">
        <f t="shared" si="142"/>
        <v>J7541N</v>
      </c>
      <c r="E931" s="4" t="s">
        <v>990</v>
      </c>
      <c r="F931" s="4" t="s">
        <v>2208</v>
      </c>
      <c r="G931" s="5">
        <v>4521718508634</v>
      </c>
      <c r="H931" s="5"/>
      <c r="I931" s="5"/>
      <c r="J931" s="5">
        <v>1</v>
      </c>
      <c r="K931" s="5">
        <v>1</v>
      </c>
      <c r="L931" s="4">
        <v>390</v>
      </c>
      <c r="M931" s="4">
        <v>295</v>
      </c>
      <c r="N931" s="4">
        <v>202</v>
      </c>
      <c r="O931" s="6">
        <f t="shared" si="143"/>
        <v>0.31525423728813562</v>
      </c>
      <c r="P931" s="4" t="s">
        <v>2500</v>
      </c>
      <c r="Q931" s="4"/>
      <c r="R931" s="4"/>
      <c r="S931" s="4"/>
      <c r="T931" s="4"/>
      <c r="U931" s="4"/>
      <c r="V931" s="4"/>
      <c r="W931" s="4"/>
      <c r="X931" s="4"/>
      <c r="Y931" s="4">
        <v>310</v>
      </c>
      <c r="Z931" s="4">
        <f t="shared" si="144"/>
        <v>310</v>
      </c>
      <c r="AA931" s="4">
        <v>202</v>
      </c>
      <c r="AB931" s="4">
        <f t="shared" si="145"/>
        <v>202</v>
      </c>
      <c r="AC931" s="4"/>
      <c r="AD931" s="21">
        <f>ROUND(M931*AR931,0)</f>
        <v>295</v>
      </c>
      <c r="AE931" s="6">
        <f>1-AB931/AD931</f>
        <v>0.31525423728813562</v>
      </c>
      <c r="AF931" s="33">
        <v>0</v>
      </c>
      <c r="AG931" s="4">
        <f t="shared" si="146"/>
        <v>390</v>
      </c>
      <c r="AH931" s="33">
        <f t="shared" si="139"/>
        <v>390</v>
      </c>
      <c r="AI931" s="6">
        <f>1-AB931/AH931</f>
        <v>0.482051282051282</v>
      </c>
      <c r="AJ931" s="7">
        <v>310</v>
      </c>
      <c r="AK931" s="6">
        <f>1-AB931/AJ931</f>
        <v>0.34838709677419355</v>
      </c>
      <c r="AL931" s="4">
        <f>AJ931-AB931</f>
        <v>108</v>
      </c>
      <c r="AM931" s="28"/>
      <c r="AN931" s="6"/>
      <c r="AO931" s="6"/>
      <c r="AP931" s="6">
        <f>Z931/L931</f>
        <v>0.79487179487179482</v>
      </c>
      <c r="AQ931" s="6">
        <f>AJ931/M931</f>
        <v>1.0508474576271187</v>
      </c>
      <c r="AR931" s="6">
        <f>AB931/N931</f>
        <v>1</v>
      </c>
      <c r="AS931" s="4"/>
      <c r="AT931" s="4"/>
      <c r="AU931" s="4"/>
      <c r="AV931" s="4"/>
      <c r="AW931" s="4"/>
      <c r="AX931" s="4"/>
      <c r="AY931" s="4"/>
      <c r="AZ931" s="4"/>
      <c r="BA931" s="4"/>
      <c r="BB931" s="4">
        <v>0</v>
      </c>
      <c r="BC931" s="4" t="s">
        <v>4396</v>
      </c>
      <c r="BD931" s="4">
        <v>1</v>
      </c>
      <c r="BE931" s="4">
        <v>6</v>
      </c>
      <c r="BF931" s="4" t="s">
        <v>4397</v>
      </c>
      <c r="BG931" s="4">
        <v>2340</v>
      </c>
      <c r="BH931" s="4">
        <v>2340</v>
      </c>
      <c r="BI931" s="4">
        <f t="shared" si="147"/>
        <v>390</v>
      </c>
      <c r="BJ931" s="19">
        <v>4</v>
      </c>
      <c r="BK931" s="19">
        <v>8</v>
      </c>
      <c r="BL931" s="16">
        <v>6</v>
      </c>
      <c r="BM931" s="45" t="s">
        <v>3534</v>
      </c>
      <c r="BN931" t="s">
        <v>3534</v>
      </c>
      <c r="BO931" t="str">
        <f t="shared" si="140"/>
        <v>-</v>
      </c>
      <c r="BP931">
        <v>404</v>
      </c>
      <c r="BQ931">
        <v>404</v>
      </c>
      <c r="BR931">
        <f t="shared" si="141"/>
        <v>404</v>
      </c>
      <c r="BS931" t="s">
        <v>3253</v>
      </c>
    </row>
    <row r="932" spans="1:71" x14ac:dyDescent="0.4">
      <c r="A932" s="3">
        <v>929</v>
      </c>
      <c r="B932" s="3">
        <v>929</v>
      </c>
      <c r="C932" s="4" t="s">
        <v>991</v>
      </c>
      <c r="D932" s="4" t="str">
        <f t="shared" si="142"/>
        <v>J7542N</v>
      </c>
      <c r="E932" s="4" t="s">
        <v>991</v>
      </c>
      <c r="F932" s="4" t="s">
        <v>2209</v>
      </c>
      <c r="G932" s="5">
        <v>4521718508641</v>
      </c>
      <c r="H932" s="5"/>
      <c r="I932" s="5"/>
      <c r="J932" s="5">
        <v>1</v>
      </c>
      <c r="K932" s="5">
        <v>1</v>
      </c>
      <c r="L932" s="4">
        <v>280</v>
      </c>
      <c r="M932" s="4">
        <v>194</v>
      </c>
      <c r="N932" s="4">
        <v>124</v>
      </c>
      <c r="O932" s="6">
        <f t="shared" si="143"/>
        <v>0.36082474226804129</v>
      </c>
      <c r="P932" s="4" t="s">
        <v>2500</v>
      </c>
      <c r="Q932" s="4"/>
      <c r="R932" s="4"/>
      <c r="S932" s="4"/>
      <c r="T932" s="4"/>
      <c r="U932" s="4"/>
      <c r="V932" s="4"/>
      <c r="W932" s="4"/>
      <c r="X932" s="4"/>
      <c r="Y932" s="4">
        <v>191</v>
      </c>
      <c r="Z932" s="4">
        <f t="shared" si="144"/>
        <v>191</v>
      </c>
      <c r="AA932" s="4">
        <v>124</v>
      </c>
      <c r="AB932" s="4">
        <f t="shared" si="145"/>
        <v>124</v>
      </c>
      <c r="AC932" s="4"/>
      <c r="AD932" s="21">
        <f>ROUND(M932*AR932,0)</f>
        <v>194</v>
      </c>
      <c r="AE932" s="6">
        <f>1-AB932/AD932</f>
        <v>0.36082474226804129</v>
      </c>
      <c r="AF932" s="33">
        <v>0</v>
      </c>
      <c r="AG932" s="4">
        <f t="shared" si="146"/>
        <v>195.4</v>
      </c>
      <c r="AH932" s="33">
        <f t="shared" si="139"/>
        <v>195.4</v>
      </c>
      <c r="AI932" s="6">
        <f>1-AB932/AH932</f>
        <v>0.36540429887410442</v>
      </c>
      <c r="AJ932" s="7">
        <f>ROUND(AB932/0.65,0)</f>
        <v>191</v>
      </c>
      <c r="AK932" s="6">
        <f>1-AB932/AJ932</f>
        <v>0.35078534031413611</v>
      </c>
      <c r="AL932" s="4">
        <f>AJ932-AB932</f>
        <v>67</v>
      </c>
      <c r="AM932" s="28"/>
      <c r="AN932" s="6"/>
      <c r="AO932" s="6"/>
      <c r="AP932" s="6">
        <f>Z932/L932</f>
        <v>0.68214285714285716</v>
      </c>
      <c r="AQ932" s="6">
        <f>AJ932/M932</f>
        <v>0.98453608247422686</v>
      </c>
      <c r="AR932" s="6">
        <f>AB932/N932</f>
        <v>1</v>
      </c>
      <c r="AS932" s="4"/>
      <c r="AT932" s="4"/>
      <c r="AU932" s="4"/>
      <c r="AV932" s="4"/>
      <c r="AW932" s="4"/>
      <c r="AX932" s="4"/>
      <c r="AY932" s="4"/>
      <c r="AZ932" s="4"/>
      <c r="BA932" s="4"/>
      <c r="BB932" s="4">
        <v>0</v>
      </c>
      <c r="BC932" s="4" t="s">
        <v>4398</v>
      </c>
      <c r="BD932" s="4">
        <v>1</v>
      </c>
      <c r="BE932" s="4">
        <v>10</v>
      </c>
      <c r="BF932" s="4" t="s">
        <v>4399</v>
      </c>
      <c r="BG932" s="4">
        <v>1954</v>
      </c>
      <c r="BH932" s="4">
        <v>1954</v>
      </c>
      <c r="BI932" s="4">
        <f t="shared" si="147"/>
        <v>195.4</v>
      </c>
      <c r="BJ932" s="19">
        <v>4</v>
      </c>
      <c r="BK932" s="19">
        <v>8</v>
      </c>
      <c r="BL932" s="16">
        <v>6</v>
      </c>
      <c r="BM932" s="45" t="s">
        <v>3534</v>
      </c>
      <c r="BN932" t="s">
        <v>3534</v>
      </c>
      <c r="BO932" t="str">
        <f t="shared" si="140"/>
        <v>-</v>
      </c>
      <c r="BP932">
        <v>248</v>
      </c>
      <c r="BQ932">
        <v>248</v>
      </c>
      <c r="BR932">
        <f t="shared" si="141"/>
        <v>248</v>
      </c>
      <c r="BS932" t="s">
        <v>3254</v>
      </c>
    </row>
    <row r="933" spans="1:71" x14ac:dyDescent="0.4">
      <c r="A933" s="3">
        <v>930</v>
      </c>
      <c r="B933" s="3">
        <v>930</v>
      </c>
      <c r="C933" s="4" t="s">
        <v>992</v>
      </c>
      <c r="D933" s="4" t="str">
        <f t="shared" si="142"/>
        <v>J7543N</v>
      </c>
      <c r="E933" s="4" t="s">
        <v>992</v>
      </c>
      <c r="F933" s="4" t="s">
        <v>2210</v>
      </c>
      <c r="G933" s="5">
        <v>4521718508658</v>
      </c>
      <c r="H933" s="5"/>
      <c r="I933" s="5"/>
      <c r="J933" s="5">
        <v>1</v>
      </c>
      <c r="K933" s="5">
        <v>1</v>
      </c>
      <c r="L933" s="4">
        <v>280</v>
      </c>
      <c r="M933" s="4">
        <v>194</v>
      </c>
      <c r="N933" s="4">
        <v>124</v>
      </c>
      <c r="O933" s="6">
        <f t="shared" si="143"/>
        <v>0.36082474226804129</v>
      </c>
      <c r="P933" s="4" t="s">
        <v>2500</v>
      </c>
      <c r="Q933" s="4"/>
      <c r="R933" s="4"/>
      <c r="S933" s="4"/>
      <c r="T933" s="4"/>
      <c r="U933" s="4"/>
      <c r="V933" s="4"/>
      <c r="W933" s="4"/>
      <c r="X933" s="4"/>
      <c r="Y933" s="4">
        <v>191</v>
      </c>
      <c r="Z933" s="4">
        <f t="shared" si="144"/>
        <v>191</v>
      </c>
      <c r="AA933" s="4">
        <v>124</v>
      </c>
      <c r="AB933" s="4">
        <f t="shared" si="145"/>
        <v>124</v>
      </c>
      <c r="AC933" s="4"/>
      <c r="AD933" s="21">
        <f>ROUND(M933*AR933,0)</f>
        <v>194</v>
      </c>
      <c r="AE933" s="6">
        <f>1-AB933/AD933</f>
        <v>0.36082474226804129</v>
      </c>
      <c r="AF933" s="33">
        <v>0</v>
      </c>
      <c r="AG933" s="4">
        <f t="shared" si="146"/>
        <v>212.20000000000002</v>
      </c>
      <c r="AH933" s="33">
        <f t="shared" si="139"/>
        <v>212.20000000000002</v>
      </c>
      <c r="AI933" s="6">
        <f>1-AB933/AH933</f>
        <v>0.41564561734213012</v>
      </c>
      <c r="AJ933" s="7">
        <f>ROUND(AB933/0.65,0)</f>
        <v>191</v>
      </c>
      <c r="AK933" s="6">
        <f>1-AB933/AJ933</f>
        <v>0.35078534031413611</v>
      </c>
      <c r="AL933" s="4">
        <f>AJ933-AB933</f>
        <v>67</v>
      </c>
      <c r="AM933" s="28"/>
      <c r="AN933" s="6"/>
      <c r="AO933" s="6"/>
      <c r="AP933" s="6">
        <f>Z933/L933</f>
        <v>0.68214285714285716</v>
      </c>
      <c r="AQ933" s="6">
        <f>AJ933/M933</f>
        <v>0.98453608247422686</v>
      </c>
      <c r="AR933" s="6">
        <f>AB933/N933</f>
        <v>1</v>
      </c>
      <c r="AS933" s="4"/>
      <c r="AT933" s="4"/>
      <c r="AU933" s="4"/>
      <c r="AV933" s="4"/>
      <c r="AW933" s="4"/>
      <c r="AX933" s="4"/>
      <c r="AY933" s="4"/>
      <c r="AZ933" s="4"/>
      <c r="BA933" s="4"/>
      <c r="BB933" s="4">
        <v>0</v>
      </c>
      <c r="BC933" s="4" t="s">
        <v>4400</v>
      </c>
      <c r="BD933" s="4">
        <v>1</v>
      </c>
      <c r="BE933" s="4">
        <v>10</v>
      </c>
      <c r="BF933" s="4" t="s">
        <v>4399</v>
      </c>
      <c r="BG933" s="4">
        <v>2122</v>
      </c>
      <c r="BH933" s="4">
        <v>2122</v>
      </c>
      <c r="BI933" s="4">
        <f t="shared" si="147"/>
        <v>212.20000000000002</v>
      </c>
      <c r="BJ933" s="19">
        <v>4</v>
      </c>
      <c r="BK933" s="19">
        <v>8</v>
      </c>
      <c r="BL933" s="16">
        <v>6</v>
      </c>
      <c r="BM933" s="45" t="s">
        <v>3534</v>
      </c>
      <c r="BN933" t="s">
        <v>3534</v>
      </c>
      <c r="BO933" t="str">
        <f t="shared" si="140"/>
        <v>-</v>
      </c>
      <c r="BP933">
        <v>248</v>
      </c>
      <c r="BQ933">
        <v>248</v>
      </c>
      <c r="BR933">
        <f t="shared" si="141"/>
        <v>248</v>
      </c>
      <c r="BS933" t="s">
        <v>3255</v>
      </c>
    </row>
    <row r="934" spans="1:71" x14ac:dyDescent="0.4">
      <c r="A934" s="3">
        <v>931</v>
      </c>
      <c r="B934" s="3">
        <v>931</v>
      </c>
      <c r="C934" s="4" t="s">
        <v>993</v>
      </c>
      <c r="D934" s="4" t="str">
        <f t="shared" si="142"/>
        <v>J7544N</v>
      </c>
      <c r="E934" s="4" t="s">
        <v>993</v>
      </c>
      <c r="F934" s="4" t="s">
        <v>2211</v>
      </c>
      <c r="G934" s="5">
        <v>4521718508665</v>
      </c>
      <c r="H934" s="5"/>
      <c r="I934" s="5"/>
      <c r="J934" s="5">
        <v>1</v>
      </c>
      <c r="K934" s="5">
        <v>1</v>
      </c>
      <c r="L934" s="4">
        <v>280</v>
      </c>
      <c r="M934" s="4">
        <v>194</v>
      </c>
      <c r="N934" s="4">
        <v>124</v>
      </c>
      <c r="O934" s="6">
        <f t="shared" si="143"/>
        <v>0.36082474226804129</v>
      </c>
      <c r="P934" s="4" t="s">
        <v>2500</v>
      </c>
      <c r="Q934" s="4"/>
      <c r="R934" s="4"/>
      <c r="S934" s="4"/>
      <c r="T934" s="4"/>
      <c r="U934" s="4"/>
      <c r="V934" s="4"/>
      <c r="W934" s="4"/>
      <c r="X934" s="4"/>
      <c r="Y934" s="4">
        <v>191</v>
      </c>
      <c r="Z934" s="4">
        <f t="shared" si="144"/>
        <v>191</v>
      </c>
      <c r="AA934" s="4">
        <v>124</v>
      </c>
      <c r="AB934" s="4">
        <f t="shared" si="145"/>
        <v>124</v>
      </c>
      <c r="AC934" s="4"/>
      <c r="AD934" s="21">
        <f>ROUND(M934*AR934,0)</f>
        <v>194</v>
      </c>
      <c r="AE934" s="6">
        <f>1-AB934/AD934</f>
        <v>0.36082474226804129</v>
      </c>
      <c r="AF934" s="33">
        <v>0.25</v>
      </c>
      <c r="AG934" s="4">
        <f t="shared" si="146"/>
        <v>267</v>
      </c>
      <c r="AH934" s="33">
        <f t="shared" si="139"/>
        <v>267</v>
      </c>
      <c r="AI934" s="6">
        <f>1-AB934/AH934</f>
        <v>0.53558052434456926</v>
      </c>
      <c r="AJ934" s="7">
        <f>ROUND(AB934/0.65,0)</f>
        <v>191</v>
      </c>
      <c r="AK934" s="6">
        <f>1-AB934/AJ934</f>
        <v>0.35078534031413611</v>
      </c>
      <c r="AL934" s="4">
        <f>AJ934-AB934</f>
        <v>67</v>
      </c>
      <c r="AM934" s="28"/>
      <c r="AN934" s="6"/>
      <c r="AO934" s="6"/>
      <c r="AP934" s="6">
        <f>Z934/L934</f>
        <v>0.68214285714285716</v>
      </c>
      <c r="AQ934" s="6">
        <f>AJ934/M934</f>
        <v>0.98453608247422686</v>
      </c>
      <c r="AR934" s="6">
        <f>AB934/N934</f>
        <v>1</v>
      </c>
      <c r="AS934" s="4"/>
      <c r="AT934" s="4"/>
      <c r="AU934" s="4"/>
      <c r="AV934" s="4"/>
      <c r="AW934" s="4"/>
      <c r="AX934" s="4"/>
      <c r="AY934" s="4"/>
      <c r="AZ934" s="4"/>
      <c r="BA934" s="4"/>
      <c r="BB934" s="4">
        <v>0</v>
      </c>
      <c r="BC934" s="4" t="s">
        <v>4401</v>
      </c>
      <c r="BD934" s="4"/>
      <c r="BE934" s="4"/>
      <c r="BF934" s="4" t="s">
        <v>4402</v>
      </c>
      <c r="BG934" s="4">
        <v>267</v>
      </c>
      <c r="BH934" s="4">
        <v>267</v>
      </c>
      <c r="BI934" s="4">
        <f t="shared" si="147"/>
        <v>267</v>
      </c>
      <c r="BJ934" s="19">
        <v>4</v>
      </c>
      <c r="BK934" s="19">
        <v>8</v>
      </c>
      <c r="BL934" s="16">
        <v>6</v>
      </c>
      <c r="BM934" s="45" t="s">
        <v>3534</v>
      </c>
      <c r="BN934" t="s">
        <v>3534</v>
      </c>
      <c r="BO934" t="str">
        <f t="shared" si="140"/>
        <v>-</v>
      </c>
      <c r="BP934">
        <v>248</v>
      </c>
      <c r="BQ934">
        <v>248</v>
      </c>
      <c r="BR934">
        <f t="shared" si="141"/>
        <v>248</v>
      </c>
      <c r="BS934" t="s">
        <v>3256</v>
      </c>
    </row>
    <row r="935" spans="1:71" x14ac:dyDescent="0.4">
      <c r="A935" s="3">
        <v>932</v>
      </c>
      <c r="B935" s="3">
        <v>932</v>
      </c>
      <c r="C935" s="4" t="s">
        <v>994</v>
      </c>
      <c r="D935" s="4" t="str">
        <f t="shared" si="142"/>
        <v>J7548N</v>
      </c>
      <c r="E935" s="4" t="s">
        <v>994</v>
      </c>
      <c r="F935" s="4" t="s">
        <v>2212</v>
      </c>
      <c r="G935" s="5">
        <v>4521718583167</v>
      </c>
      <c r="H935" s="5"/>
      <c r="I935" s="5"/>
      <c r="J935" s="5">
        <v>1</v>
      </c>
      <c r="K935" s="5">
        <v>1</v>
      </c>
      <c r="L935" s="4">
        <v>1690</v>
      </c>
      <c r="M935" s="4">
        <v>1287</v>
      </c>
      <c r="N935" s="4">
        <v>881</v>
      </c>
      <c r="O935" s="6">
        <f t="shared" si="143"/>
        <v>0.31546231546231551</v>
      </c>
      <c r="P935" s="4" t="s">
        <v>2500</v>
      </c>
      <c r="Q935" s="4"/>
      <c r="R935" s="4"/>
      <c r="S935" s="4"/>
      <c r="T935" s="4"/>
      <c r="U935" s="4"/>
      <c r="V935" s="4"/>
      <c r="W935" s="4"/>
      <c r="X935" s="4"/>
      <c r="Y935" s="4">
        <v>1355</v>
      </c>
      <c r="Z935" s="4">
        <f t="shared" si="144"/>
        <v>1355</v>
      </c>
      <c r="AA935" s="4">
        <v>881</v>
      </c>
      <c r="AB935" s="4">
        <f t="shared" si="145"/>
        <v>881</v>
      </c>
      <c r="AC935" s="4"/>
      <c r="AD935" s="21">
        <f>ROUND(M935*AR935,0)</f>
        <v>1287</v>
      </c>
      <c r="AE935" s="6">
        <f>1-AB935/AD935</f>
        <v>0.31546231546231551</v>
      </c>
      <c r="AF935" s="33">
        <v>0</v>
      </c>
      <c r="AG935" s="4">
        <f t="shared" si="146"/>
        <v>1690</v>
      </c>
      <c r="AH935" s="33">
        <f t="shared" si="139"/>
        <v>1690</v>
      </c>
      <c r="AI935" s="6">
        <f>1-AB935/AH935</f>
        <v>0.47869822485207103</v>
      </c>
      <c r="AJ935" s="7">
        <v>1355</v>
      </c>
      <c r="AK935" s="6">
        <f>1-AB935/AJ935</f>
        <v>0.34981549815498159</v>
      </c>
      <c r="AL935" s="4">
        <f>AJ935-AB935</f>
        <v>474</v>
      </c>
      <c r="AM935" s="28"/>
      <c r="AN935" s="6"/>
      <c r="AO935" s="6"/>
      <c r="AP935" s="6">
        <f>Z935/L935</f>
        <v>0.80177514792899407</v>
      </c>
      <c r="AQ935" s="6">
        <f>AJ935/M935</f>
        <v>1.0528360528360527</v>
      </c>
      <c r="AR935" s="6">
        <f>AB935/N935</f>
        <v>1</v>
      </c>
      <c r="AS935" s="4"/>
      <c r="AT935" s="4"/>
      <c r="AU935" s="4"/>
      <c r="AV935" s="4"/>
      <c r="AW935" s="4"/>
      <c r="AX935" s="4"/>
      <c r="AY935" s="4"/>
      <c r="AZ935" s="4"/>
      <c r="BA935" s="4"/>
      <c r="BB935" s="4">
        <v>0</v>
      </c>
      <c r="BC935" s="4" t="s">
        <v>4403</v>
      </c>
      <c r="BD935" s="4">
        <v>1</v>
      </c>
      <c r="BE935" s="4">
        <v>2</v>
      </c>
      <c r="BF935" s="4" t="s">
        <v>3536</v>
      </c>
      <c r="BG935" s="4">
        <v>3380</v>
      </c>
      <c r="BH935" s="4">
        <v>3380</v>
      </c>
      <c r="BI935" s="4">
        <f t="shared" si="147"/>
        <v>1690</v>
      </c>
      <c r="BJ935" s="19">
        <v>4</v>
      </c>
      <c r="BK935" s="19">
        <v>8</v>
      </c>
      <c r="BL935" s="16">
        <v>6</v>
      </c>
      <c r="BM935" s="45" t="s">
        <v>3534</v>
      </c>
      <c r="BN935" t="s">
        <v>3534</v>
      </c>
      <c r="BO935" t="str">
        <f t="shared" si="140"/>
        <v>-</v>
      </c>
      <c r="BP935" t="s">
        <v>3534</v>
      </c>
      <c r="BQ935">
        <v>1606</v>
      </c>
      <c r="BR935">
        <f t="shared" si="141"/>
        <v>1606</v>
      </c>
      <c r="BS935" t="s">
        <v>3257</v>
      </c>
    </row>
    <row r="936" spans="1:71" x14ac:dyDescent="0.4">
      <c r="A936" s="3">
        <v>933</v>
      </c>
      <c r="B936" s="3">
        <v>933</v>
      </c>
      <c r="C936" s="4" t="s">
        <v>995</v>
      </c>
      <c r="D936" s="4" t="str">
        <f t="shared" si="142"/>
        <v>J7545N</v>
      </c>
      <c r="E936" s="4" t="s">
        <v>995</v>
      </c>
      <c r="F936" s="4" t="s">
        <v>2213</v>
      </c>
      <c r="G936" s="5">
        <v>4521718508672</v>
      </c>
      <c r="H936" s="5"/>
      <c r="I936" s="5"/>
      <c r="J936" s="5">
        <v>1</v>
      </c>
      <c r="K936" s="5">
        <v>1</v>
      </c>
      <c r="L936" s="4">
        <v>280</v>
      </c>
      <c r="M936" s="4">
        <v>194</v>
      </c>
      <c r="N936" s="4">
        <v>124</v>
      </c>
      <c r="O936" s="6">
        <f t="shared" si="143"/>
        <v>0.36082474226804129</v>
      </c>
      <c r="P936" s="4" t="s">
        <v>2500</v>
      </c>
      <c r="Q936" s="4"/>
      <c r="R936" s="4"/>
      <c r="S936" s="4"/>
      <c r="T936" s="4"/>
      <c r="U936" s="4"/>
      <c r="V936" s="4"/>
      <c r="W936" s="4"/>
      <c r="X936" s="4"/>
      <c r="Y936" s="4">
        <v>191</v>
      </c>
      <c r="Z936" s="4">
        <f t="shared" si="144"/>
        <v>191</v>
      </c>
      <c r="AA936" s="4">
        <v>124</v>
      </c>
      <c r="AB936" s="4">
        <f t="shared" si="145"/>
        <v>124</v>
      </c>
      <c r="AC936" s="4"/>
      <c r="AD936" s="21">
        <f>ROUND(M936*AR936,0)</f>
        <v>194</v>
      </c>
      <c r="AE936" s="6">
        <f>1-AB936/AD936</f>
        <v>0.36082474226804129</v>
      </c>
      <c r="AF936" s="33">
        <v>0</v>
      </c>
      <c r="AG936" s="4">
        <f t="shared" si="146"/>
        <v>280</v>
      </c>
      <c r="AH936" s="33">
        <f t="shared" si="139"/>
        <v>280</v>
      </c>
      <c r="AI936" s="6">
        <f>1-AB936/AH936</f>
        <v>0.55714285714285716</v>
      </c>
      <c r="AJ936" s="7">
        <f>ROUND(AB936/0.65,0)</f>
        <v>191</v>
      </c>
      <c r="AK936" s="6">
        <f>1-AB936/AJ936</f>
        <v>0.35078534031413611</v>
      </c>
      <c r="AL936" s="4">
        <f>AJ936-AB936</f>
        <v>67</v>
      </c>
      <c r="AM936" s="28"/>
      <c r="AN936" s="6"/>
      <c r="AO936" s="6"/>
      <c r="AP936" s="6">
        <f>Z936/L936</f>
        <v>0.68214285714285716</v>
      </c>
      <c r="AQ936" s="6">
        <f>AJ936/M936</f>
        <v>0.98453608247422686</v>
      </c>
      <c r="AR936" s="6">
        <f>AB936/N936</f>
        <v>1</v>
      </c>
      <c r="AS936" s="4"/>
      <c r="AT936" s="4"/>
      <c r="AU936" s="4"/>
      <c r="AV936" s="4"/>
      <c r="AW936" s="4"/>
      <c r="AX936" s="4"/>
      <c r="AY936" s="4"/>
      <c r="AZ936" s="4"/>
      <c r="BA936" s="4"/>
      <c r="BB936" s="4">
        <v>0</v>
      </c>
      <c r="BC936" s="4" t="s">
        <v>4404</v>
      </c>
      <c r="BD936" s="4">
        <v>1</v>
      </c>
      <c r="BE936" s="4">
        <v>10</v>
      </c>
      <c r="BF936" s="4" t="s">
        <v>4405</v>
      </c>
      <c r="BG936" s="4">
        <v>2800</v>
      </c>
      <c r="BH936" s="4">
        <v>2800</v>
      </c>
      <c r="BI936" s="4">
        <f t="shared" si="147"/>
        <v>280</v>
      </c>
      <c r="BJ936" s="19">
        <v>4</v>
      </c>
      <c r="BK936" s="19">
        <v>8</v>
      </c>
      <c r="BL936" s="16">
        <v>6</v>
      </c>
      <c r="BM936" s="45" t="s">
        <v>3534</v>
      </c>
      <c r="BN936" t="s">
        <v>3534</v>
      </c>
      <c r="BO936" t="str">
        <f t="shared" si="140"/>
        <v>-</v>
      </c>
      <c r="BP936">
        <v>248</v>
      </c>
      <c r="BQ936">
        <v>248</v>
      </c>
      <c r="BR936">
        <f t="shared" si="141"/>
        <v>248</v>
      </c>
      <c r="BS936" t="s">
        <v>3258</v>
      </c>
    </row>
    <row r="937" spans="1:71" x14ac:dyDescent="0.4">
      <c r="A937" s="3">
        <v>934</v>
      </c>
      <c r="B937" s="3">
        <v>934</v>
      </c>
      <c r="C937" s="4" t="s">
        <v>996</v>
      </c>
      <c r="D937" s="4" t="str">
        <f t="shared" si="142"/>
        <v>J7549N</v>
      </c>
      <c r="E937" s="4" t="s">
        <v>996</v>
      </c>
      <c r="F937" s="4" t="s">
        <v>2214</v>
      </c>
      <c r="G937" s="5">
        <v>4521718583174</v>
      </c>
      <c r="H937" s="5"/>
      <c r="I937" s="5"/>
      <c r="J937" s="5">
        <v>1</v>
      </c>
      <c r="K937" s="5">
        <v>1</v>
      </c>
      <c r="L937" s="4">
        <v>1470</v>
      </c>
      <c r="M937" s="4">
        <v>1196</v>
      </c>
      <c r="N937" s="4">
        <v>762</v>
      </c>
      <c r="O937" s="6">
        <f t="shared" si="143"/>
        <v>0.36287625418060199</v>
      </c>
      <c r="P937" s="4" t="s">
        <v>2500</v>
      </c>
      <c r="Q937" s="4"/>
      <c r="R937" s="4"/>
      <c r="S937" s="4"/>
      <c r="T937" s="4"/>
      <c r="U937" s="4"/>
      <c r="V937" s="4"/>
      <c r="W937" s="4"/>
      <c r="X937" s="4"/>
      <c r="Y937" s="4">
        <v>1173</v>
      </c>
      <c r="Z937" s="4">
        <f t="shared" si="144"/>
        <v>1173</v>
      </c>
      <c r="AA937" s="4">
        <v>762</v>
      </c>
      <c r="AB937" s="4">
        <f t="shared" si="145"/>
        <v>762</v>
      </c>
      <c r="AC937" s="4"/>
      <c r="AD937" s="21">
        <f>ROUND(M937*AR937,0)</f>
        <v>1196</v>
      </c>
      <c r="AE937" s="6">
        <f>1-AB937/AD937</f>
        <v>0.36287625418060199</v>
      </c>
      <c r="AF937" s="33">
        <v>0</v>
      </c>
      <c r="AG937" s="4">
        <f t="shared" si="146"/>
        <v>1470</v>
      </c>
      <c r="AH937" s="33">
        <f t="shared" si="139"/>
        <v>1470</v>
      </c>
      <c r="AI937" s="6">
        <f>1-AB937/AH937</f>
        <v>0.48163265306122449</v>
      </c>
      <c r="AJ937" s="7">
        <f>ROUND(AB937/0.65,0)</f>
        <v>1172</v>
      </c>
      <c r="AK937" s="6">
        <f>1-AB937/AJ937</f>
        <v>0.34982935153583616</v>
      </c>
      <c r="AL937" s="4">
        <f>AJ937-AB937</f>
        <v>410</v>
      </c>
      <c r="AM937" s="28"/>
      <c r="AN937" s="6"/>
      <c r="AO937" s="6"/>
      <c r="AP937" s="6">
        <f>Z937/L937</f>
        <v>0.79795918367346941</v>
      </c>
      <c r="AQ937" s="6">
        <f>AJ937/M937</f>
        <v>0.97993311036789299</v>
      </c>
      <c r="AR937" s="6">
        <f>AB937/N937</f>
        <v>1</v>
      </c>
      <c r="AS937" s="4"/>
      <c r="AT937" s="4"/>
      <c r="AU937" s="4"/>
      <c r="AV937" s="4"/>
      <c r="AW937" s="4"/>
      <c r="AX937" s="4"/>
      <c r="AY937" s="4"/>
      <c r="AZ937" s="4"/>
      <c r="BA937" s="4"/>
      <c r="BB937" s="4">
        <v>0</v>
      </c>
      <c r="BC937" s="4" t="s">
        <v>4406</v>
      </c>
      <c r="BD937" s="4">
        <v>1</v>
      </c>
      <c r="BE937" s="4">
        <v>2</v>
      </c>
      <c r="BF937" s="4" t="s">
        <v>3536</v>
      </c>
      <c r="BG937" s="4">
        <v>2940</v>
      </c>
      <c r="BH937" s="4">
        <v>2940</v>
      </c>
      <c r="BI937" s="4">
        <f t="shared" si="147"/>
        <v>1470</v>
      </c>
      <c r="BJ937" s="19">
        <v>4</v>
      </c>
      <c r="BK937" s="19">
        <v>8</v>
      </c>
      <c r="BL937" s="16">
        <v>6</v>
      </c>
      <c r="BM937" s="45" t="s">
        <v>3534</v>
      </c>
      <c r="BN937" t="s">
        <v>3534</v>
      </c>
      <c r="BO937" t="str">
        <f t="shared" si="140"/>
        <v>-</v>
      </c>
      <c r="BP937" t="s">
        <v>3534</v>
      </c>
      <c r="BQ937">
        <v>1397</v>
      </c>
      <c r="BR937">
        <f t="shared" si="141"/>
        <v>1397</v>
      </c>
      <c r="BS937" t="s">
        <v>3259</v>
      </c>
    </row>
    <row r="938" spans="1:71" x14ac:dyDescent="0.4">
      <c r="A938" s="3">
        <v>935</v>
      </c>
      <c r="B938" s="3">
        <v>935</v>
      </c>
      <c r="C938" s="4" t="s">
        <v>997</v>
      </c>
      <c r="D938" s="4" t="str">
        <f t="shared" si="142"/>
        <v>J7550N</v>
      </c>
      <c r="E938" s="4" t="s">
        <v>997</v>
      </c>
      <c r="F938" s="4" t="s">
        <v>2215</v>
      </c>
      <c r="G938" s="5">
        <v>4521718583181</v>
      </c>
      <c r="H938" s="5"/>
      <c r="I938" s="5"/>
      <c r="J938" s="5">
        <v>1</v>
      </c>
      <c r="K938" s="5">
        <v>1</v>
      </c>
      <c r="L938" s="4">
        <v>670</v>
      </c>
      <c r="M938" s="4">
        <v>547</v>
      </c>
      <c r="N938" s="4">
        <v>349</v>
      </c>
      <c r="O938" s="6">
        <f t="shared" si="143"/>
        <v>0.36197440585009144</v>
      </c>
      <c r="P938" s="4" t="s">
        <v>2500</v>
      </c>
      <c r="Q938" s="4"/>
      <c r="R938" s="4"/>
      <c r="S938" s="4"/>
      <c r="T938" s="4"/>
      <c r="U938" s="4"/>
      <c r="V938" s="4"/>
      <c r="W938" s="4"/>
      <c r="X938" s="4"/>
      <c r="Y938" s="4">
        <v>537</v>
      </c>
      <c r="Z938" s="4">
        <f t="shared" si="144"/>
        <v>537</v>
      </c>
      <c r="AA938" s="4">
        <v>349</v>
      </c>
      <c r="AB938" s="4">
        <f t="shared" si="145"/>
        <v>349</v>
      </c>
      <c r="AC938" s="4"/>
      <c r="AD938" s="21">
        <f>ROUND(M938*AR938,0)</f>
        <v>547</v>
      </c>
      <c r="AE938" s="6">
        <f>1-AB938/AD938</f>
        <v>0.36197440585009144</v>
      </c>
      <c r="AF938" s="33">
        <v>0</v>
      </c>
      <c r="AG938" s="4">
        <f t="shared" si="146"/>
        <v>670</v>
      </c>
      <c r="AH938" s="33">
        <f t="shared" si="139"/>
        <v>670</v>
      </c>
      <c r="AI938" s="6">
        <f>1-AB938/AH938</f>
        <v>0.4791044776119403</v>
      </c>
      <c r="AJ938" s="7">
        <f>ROUND(AB938/0.65,0)</f>
        <v>537</v>
      </c>
      <c r="AK938" s="6">
        <f>1-AB938/AJ938</f>
        <v>0.35009310986964615</v>
      </c>
      <c r="AL938" s="4">
        <f>AJ938-AB938</f>
        <v>188</v>
      </c>
      <c r="AM938" s="28"/>
      <c r="AN938" s="6"/>
      <c r="AO938" s="6"/>
      <c r="AP938" s="6">
        <f>Z938/L938</f>
        <v>0.80149253731343284</v>
      </c>
      <c r="AQ938" s="6">
        <f>AJ938/M938</f>
        <v>0.98171846435100552</v>
      </c>
      <c r="AR938" s="6">
        <f>AB938/N938</f>
        <v>1</v>
      </c>
      <c r="AS938" s="4"/>
      <c r="AT938" s="4"/>
      <c r="AU938" s="4"/>
      <c r="AV938" s="4"/>
      <c r="AW938" s="4"/>
      <c r="AX938" s="4"/>
      <c r="AY938" s="4"/>
      <c r="AZ938" s="4"/>
      <c r="BA938" s="4"/>
      <c r="BB938" s="4">
        <v>0</v>
      </c>
      <c r="BC938" s="4" t="s">
        <v>4407</v>
      </c>
      <c r="BD938" s="4">
        <v>1</v>
      </c>
      <c r="BE938" s="4">
        <v>4</v>
      </c>
      <c r="BF938" s="4" t="s">
        <v>3541</v>
      </c>
      <c r="BG938" s="4">
        <v>2680</v>
      </c>
      <c r="BH938" s="4">
        <v>2680</v>
      </c>
      <c r="BI938" s="4">
        <f t="shared" si="147"/>
        <v>670</v>
      </c>
      <c r="BJ938" s="19">
        <v>4</v>
      </c>
      <c r="BK938" s="19">
        <v>8</v>
      </c>
      <c r="BL938" s="16">
        <v>6</v>
      </c>
      <c r="BM938" s="45" t="s">
        <v>3534</v>
      </c>
      <c r="BN938" t="s">
        <v>3534</v>
      </c>
      <c r="BO938" t="str">
        <f t="shared" si="140"/>
        <v>-</v>
      </c>
      <c r="BP938" t="s">
        <v>3534</v>
      </c>
      <c r="BQ938">
        <v>698</v>
      </c>
      <c r="BR938">
        <f t="shared" si="141"/>
        <v>698</v>
      </c>
      <c r="BS938" t="s">
        <v>3260</v>
      </c>
    </row>
    <row r="939" spans="1:71" x14ac:dyDescent="0.4">
      <c r="A939" s="3">
        <v>936</v>
      </c>
      <c r="B939" s="3">
        <v>936</v>
      </c>
      <c r="C939" s="4" t="s">
        <v>998</v>
      </c>
      <c r="D939" s="4" t="str">
        <f t="shared" si="142"/>
        <v>J7551N</v>
      </c>
      <c r="E939" s="4" t="s">
        <v>998</v>
      </c>
      <c r="F939" s="4" t="s">
        <v>2216</v>
      </c>
      <c r="G939" s="5">
        <v>4521718583198</v>
      </c>
      <c r="H939" s="5"/>
      <c r="I939" s="5"/>
      <c r="J939" s="5">
        <v>1</v>
      </c>
      <c r="K939" s="5">
        <v>1</v>
      </c>
      <c r="L939" s="4">
        <v>1810</v>
      </c>
      <c r="M939" s="4">
        <v>1374</v>
      </c>
      <c r="N939" s="4">
        <v>940</v>
      </c>
      <c r="O939" s="6">
        <f t="shared" si="143"/>
        <v>0.31586608442503639</v>
      </c>
      <c r="P939" s="4" t="s">
        <v>2500</v>
      </c>
      <c r="Q939" s="4"/>
      <c r="R939" s="4"/>
      <c r="S939" s="4"/>
      <c r="T939" s="4"/>
      <c r="U939" s="4"/>
      <c r="V939" s="4"/>
      <c r="W939" s="4"/>
      <c r="X939" s="4"/>
      <c r="Y939" s="4">
        <v>1446</v>
      </c>
      <c r="Z939" s="4">
        <f t="shared" si="144"/>
        <v>1446</v>
      </c>
      <c r="AA939" s="4">
        <v>940</v>
      </c>
      <c r="AB939" s="4">
        <f t="shared" si="145"/>
        <v>940</v>
      </c>
      <c r="AC939" s="4"/>
      <c r="AD939" s="21">
        <f>ROUND(M939*AR939,0)</f>
        <v>1374</v>
      </c>
      <c r="AE939" s="6">
        <f>1-AB939/AD939</f>
        <v>0.31586608442503639</v>
      </c>
      <c r="AF939" s="33">
        <v>0</v>
      </c>
      <c r="AG939" s="4">
        <f t="shared" si="146"/>
        <v>1810</v>
      </c>
      <c r="AH939" s="33">
        <f t="shared" si="139"/>
        <v>1810</v>
      </c>
      <c r="AI939" s="6">
        <f>1-AB939/AH939</f>
        <v>0.48066298342541436</v>
      </c>
      <c r="AJ939" s="7">
        <v>1446</v>
      </c>
      <c r="AK939" s="6">
        <f>1-AB939/AJ939</f>
        <v>0.34993084370677729</v>
      </c>
      <c r="AL939" s="4">
        <f>AJ939-AB939</f>
        <v>506</v>
      </c>
      <c r="AM939" s="28"/>
      <c r="AN939" s="6"/>
      <c r="AO939" s="6"/>
      <c r="AP939" s="6">
        <f>Z939/L939</f>
        <v>0.79889502762430942</v>
      </c>
      <c r="AQ939" s="6">
        <f>AJ939/M939</f>
        <v>1.0524017467248907</v>
      </c>
      <c r="AR939" s="6">
        <f>AB939/N939</f>
        <v>1</v>
      </c>
      <c r="AS939" s="4"/>
      <c r="AT939" s="4"/>
      <c r="AU939" s="4"/>
      <c r="AV939" s="4"/>
      <c r="AW939" s="4"/>
      <c r="AX939" s="4"/>
      <c r="AY939" s="4"/>
      <c r="AZ939" s="4"/>
      <c r="BA939" s="4"/>
      <c r="BB939" s="4">
        <v>0</v>
      </c>
      <c r="BC939" s="4" t="s">
        <v>4408</v>
      </c>
      <c r="BD939" s="4">
        <v>1</v>
      </c>
      <c r="BE939" s="4">
        <v>2</v>
      </c>
      <c r="BF939" s="4" t="s">
        <v>3536</v>
      </c>
      <c r="BG939" s="4">
        <v>3620</v>
      </c>
      <c r="BH939" s="4">
        <v>3620</v>
      </c>
      <c r="BI939" s="4">
        <f t="shared" si="147"/>
        <v>1810</v>
      </c>
      <c r="BJ939" s="19">
        <v>4</v>
      </c>
      <c r="BK939" s="19">
        <v>8</v>
      </c>
      <c r="BL939" s="16">
        <v>6</v>
      </c>
      <c r="BM939" s="45" t="s">
        <v>3534</v>
      </c>
      <c r="BN939" t="s">
        <v>3534</v>
      </c>
      <c r="BO939" t="str">
        <f t="shared" si="140"/>
        <v>-</v>
      </c>
      <c r="BP939" t="s">
        <v>3534</v>
      </c>
      <c r="BQ939">
        <v>1720</v>
      </c>
      <c r="BR939">
        <f t="shared" si="141"/>
        <v>1720</v>
      </c>
      <c r="BS939" t="s">
        <v>3261</v>
      </c>
    </row>
    <row r="940" spans="1:71" x14ac:dyDescent="0.4">
      <c r="A940" s="42">
        <v>937</v>
      </c>
      <c r="B940" s="3">
        <v>937</v>
      </c>
      <c r="C940" s="4" t="s">
        <v>999</v>
      </c>
      <c r="D940" s="4" t="str">
        <f t="shared" si="142"/>
        <v>J763WL</v>
      </c>
      <c r="E940" s="4" t="s">
        <v>999</v>
      </c>
      <c r="F940" s="4" t="s">
        <v>2217</v>
      </c>
      <c r="G940" s="5">
        <v>4521718586168</v>
      </c>
      <c r="H940" s="5"/>
      <c r="I940" s="5"/>
      <c r="J940" s="5">
        <v>1</v>
      </c>
      <c r="K940" s="5">
        <v>1</v>
      </c>
      <c r="L940" s="4">
        <v>9982</v>
      </c>
      <c r="M940" s="4">
        <v>9705</v>
      </c>
      <c r="N940" s="4">
        <v>6987</v>
      </c>
      <c r="O940" s="6">
        <f t="shared" si="143"/>
        <v>0.28006182380216382</v>
      </c>
      <c r="P940" s="4" t="s">
        <v>2500</v>
      </c>
      <c r="Q940" s="4"/>
      <c r="R940" s="4"/>
      <c r="S940" s="4"/>
      <c r="T940" s="4"/>
      <c r="U940" s="4"/>
      <c r="V940" s="4"/>
      <c r="W940" s="4"/>
      <c r="X940" s="4"/>
      <c r="Y940" s="4">
        <v>9982</v>
      </c>
      <c r="Z940" s="4">
        <f t="shared" si="144"/>
        <v>9982</v>
      </c>
      <c r="AA940" s="4">
        <v>6987</v>
      </c>
      <c r="AB940" s="4">
        <f t="shared" si="145"/>
        <v>6987</v>
      </c>
      <c r="AC940" s="4"/>
      <c r="AD940" s="21">
        <f>ROUND(M940*AR940,0)</f>
        <v>9705</v>
      </c>
      <c r="AE940" s="6">
        <f>1-AB940/AD940</f>
        <v>0.28006182380216382</v>
      </c>
      <c r="AF940" s="33">
        <v>0</v>
      </c>
      <c r="AG940" s="4" t="str">
        <f t="shared" si="146"/>
        <v>-</v>
      </c>
      <c r="AH940" s="33" t="e">
        <f t="shared" si="139"/>
        <v>#VALUE!</v>
      </c>
      <c r="AI940" s="6" t="e">
        <f>1-AB940/AH940</f>
        <v>#VALUE!</v>
      </c>
      <c r="AJ940" s="7">
        <v>9982</v>
      </c>
      <c r="AK940" s="6">
        <f>1-AB940/AJ940</f>
        <v>0.30004007212983375</v>
      </c>
      <c r="AL940" s="4">
        <f>AJ940-AB940</f>
        <v>2995</v>
      </c>
      <c r="AM940" s="28"/>
      <c r="AN940" s="6"/>
      <c r="AO940" s="6"/>
      <c r="AP940" s="6">
        <f>Z940/L940</f>
        <v>1</v>
      </c>
      <c r="AQ940" s="6">
        <f>AJ940/M940</f>
        <v>1.0285419886656362</v>
      </c>
      <c r="AR940" s="6">
        <f>AB940/N940</f>
        <v>1</v>
      </c>
      <c r="AS940" s="4"/>
      <c r="AT940" s="4"/>
      <c r="AU940" s="4"/>
      <c r="AV940" s="4"/>
      <c r="AW940" s="4"/>
      <c r="AX940" s="4"/>
      <c r="AY940" s="4"/>
      <c r="AZ940" s="4"/>
      <c r="BA940" s="4"/>
      <c r="BB940" s="4">
        <v>0</v>
      </c>
      <c r="BC940" s="4" t="s">
        <v>3534</v>
      </c>
      <c r="BD940" s="4"/>
      <c r="BE940" s="4"/>
      <c r="BF940" s="4" t="s">
        <v>3534</v>
      </c>
      <c r="BG940" s="4" t="s">
        <v>3534</v>
      </c>
      <c r="BH940" s="4" t="s">
        <v>3534</v>
      </c>
      <c r="BI940" s="4" t="str">
        <f t="shared" si="147"/>
        <v>-</v>
      </c>
      <c r="BJ940" s="19">
        <v>2</v>
      </c>
      <c r="BK940" s="19">
        <v>8</v>
      </c>
      <c r="BL940" s="16">
        <v>6</v>
      </c>
      <c r="BM940" s="45" t="s">
        <v>3534</v>
      </c>
      <c r="BN940" t="s">
        <v>3534</v>
      </c>
      <c r="BO940" t="str">
        <f t="shared" si="140"/>
        <v>-</v>
      </c>
      <c r="BP940" t="s">
        <v>3534</v>
      </c>
      <c r="BQ940" t="s">
        <v>3534</v>
      </c>
      <c r="BR940" t="str">
        <f t="shared" si="141"/>
        <v>-</v>
      </c>
      <c r="BS940" t="s">
        <v>3534</v>
      </c>
    </row>
    <row r="941" spans="1:71" x14ac:dyDescent="0.4">
      <c r="A941" s="42">
        <v>938</v>
      </c>
      <c r="B941" s="3">
        <v>938</v>
      </c>
      <c r="C941" s="4" t="s">
        <v>1000</v>
      </c>
      <c r="D941" s="4" t="str">
        <f t="shared" si="142"/>
        <v>J764WL</v>
      </c>
      <c r="E941" s="4" t="s">
        <v>1000</v>
      </c>
      <c r="F941" s="4" t="s">
        <v>2218</v>
      </c>
      <c r="G941" s="5">
        <v>4521718586175</v>
      </c>
      <c r="H941" s="5"/>
      <c r="I941" s="5"/>
      <c r="J941" s="5">
        <v>1</v>
      </c>
      <c r="K941" s="5">
        <v>1</v>
      </c>
      <c r="L941" s="4">
        <v>6800</v>
      </c>
      <c r="M941" s="4">
        <v>6612</v>
      </c>
      <c r="N941" s="4">
        <v>4760</v>
      </c>
      <c r="O941" s="6">
        <f t="shared" si="143"/>
        <v>0.28009679370840901</v>
      </c>
      <c r="P941" s="4" t="s">
        <v>2500</v>
      </c>
      <c r="Q941" s="4"/>
      <c r="R941" s="4"/>
      <c r="S941" s="4"/>
      <c r="T941" s="4"/>
      <c r="U941" s="4"/>
      <c r="V941" s="4"/>
      <c r="W941" s="4"/>
      <c r="X941" s="4"/>
      <c r="Y941" s="4">
        <v>6800</v>
      </c>
      <c r="Z941" s="4">
        <f t="shared" si="144"/>
        <v>6800</v>
      </c>
      <c r="AA941" s="4">
        <v>4760</v>
      </c>
      <c r="AB941" s="4">
        <f t="shared" si="145"/>
        <v>4760</v>
      </c>
      <c r="AC941" s="4"/>
      <c r="AD941" s="21">
        <f>ROUND(M941*AR941,0)</f>
        <v>6612</v>
      </c>
      <c r="AE941" s="6">
        <f>1-AB941/AD941</f>
        <v>0.28009679370840901</v>
      </c>
      <c r="AF941" s="33">
        <v>0</v>
      </c>
      <c r="AG941" s="4" t="str">
        <f t="shared" si="146"/>
        <v>-</v>
      </c>
      <c r="AH941" s="33" t="e">
        <f t="shared" si="139"/>
        <v>#VALUE!</v>
      </c>
      <c r="AI941" s="6" t="e">
        <f>1-AB941/AH941</f>
        <v>#VALUE!</v>
      </c>
      <c r="AJ941" s="7">
        <v>6800</v>
      </c>
      <c r="AK941" s="6">
        <f>1-AB941/AJ941</f>
        <v>0.30000000000000004</v>
      </c>
      <c r="AL941" s="4">
        <f>AJ941-AB941</f>
        <v>2040</v>
      </c>
      <c r="AM941" s="28"/>
      <c r="AN941" s="6"/>
      <c r="AO941" s="6"/>
      <c r="AP941" s="6">
        <f>Z941/L941</f>
        <v>1</v>
      </c>
      <c r="AQ941" s="6">
        <f>AJ941/M941</f>
        <v>1.02843315184513</v>
      </c>
      <c r="AR941" s="6">
        <f>AB941/N941</f>
        <v>1</v>
      </c>
      <c r="AS941" s="4"/>
      <c r="AT941" s="4"/>
      <c r="AU941" s="4"/>
      <c r="AV941" s="4"/>
      <c r="AW941" s="4"/>
      <c r="AX941" s="4"/>
      <c r="AY941" s="4"/>
      <c r="AZ941" s="4"/>
      <c r="BA941" s="4"/>
      <c r="BB941" s="4">
        <v>0</v>
      </c>
      <c r="BC941" s="4" t="s">
        <v>3534</v>
      </c>
      <c r="BD941" s="4"/>
      <c r="BE941" s="4"/>
      <c r="BF941" s="4" t="s">
        <v>3534</v>
      </c>
      <c r="BG941" s="4" t="s">
        <v>3534</v>
      </c>
      <c r="BH941" s="4" t="s">
        <v>3534</v>
      </c>
      <c r="BI941" s="4" t="str">
        <f t="shared" si="147"/>
        <v>-</v>
      </c>
      <c r="BJ941" s="19">
        <v>2</v>
      </c>
      <c r="BK941" s="19">
        <v>8</v>
      </c>
      <c r="BL941" s="16">
        <v>6</v>
      </c>
      <c r="BM941" s="45" t="s">
        <v>3534</v>
      </c>
      <c r="BN941" t="s">
        <v>3534</v>
      </c>
      <c r="BO941" t="str">
        <f t="shared" si="140"/>
        <v>-</v>
      </c>
      <c r="BP941" t="s">
        <v>3534</v>
      </c>
      <c r="BQ941" t="s">
        <v>3534</v>
      </c>
      <c r="BR941" t="str">
        <f t="shared" si="141"/>
        <v>-</v>
      </c>
      <c r="BS941" t="s">
        <v>3534</v>
      </c>
    </row>
    <row r="942" spans="1:71" x14ac:dyDescent="0.4">
      <c r="A942" s="3">
        <v>939</v>
      </c>
      <c r="B942" s="3">
        <v>939</v>
      </c>
      <c r="C942" s="4" t="s">
        <v>1001</v>
      </c>
      <c r="D942" s="4" t="str">
        <f t="shared" si="142"/>
        <v>J765WL</v>
      </c>
      <c r="E942" s="4" t="s">
        <v>1001</v>
      </c>
      <c r="F942" s="4" t="s">
        <v>2219</v>
      </c>
      <c r="G942" s="5">
        <v>4521718748245</v>
      </c>
      <c r="H942" s="5"/>
      <c r="I942" s="5"/>
      <c r="J942" s="5">
        <v>1</v>
      </c>
      <c r="K942" s="5">
        <v>1</v>
      </c>
      <c r="L942" s="4">
        <v>1300</v>
      </c>
      <c r="M942" s="4">
        <v>1009</v>
      </c>
      <c r="N942" s="4">
        <v>726</v>
      </c>
      <c r="O942" s="6">
        <f t="shared" si="143"/>
        <v>0.28047571853320119</v>
      </c>
      <c r="P942" s="4" t="s">
        <v>2500</v>
      </c>
      <c r="Q942" s="4"/>
      <c r="R942" s="4"/>
      <c r="S942" s="4"/>
      <c r="T942" s="4"/>
      <c r="U942" s="4"/>
      <c r="V942" s="4"/>
      <c r="W942" s="4"/>
      <c r="X942" s="4"/>
      <c r="Y942" s="4">
        <v>1300</v>
      </c>
      <c r="Z942" s="4">
        <f t="shared" si="144"/>
        <v>1300</v>
      </c>
      <c r="AA942" s="4">
        <v>845</v>
      </c>
      <c r="AB942" s="4">
        <f t="shared" si="145"/>
        <v>845</v>
      </c>
      <c r="AC942" s="4"/>
      <c r="AD942" s="21">
        <f>ROUND(M942*AR942,0)</f>
        <v>1174</v>
      </c>
      <c r="AE942" s="6">
        <f>1-AB942/AD942</f>
        <v>0.28023850085178881</v>
      </c>
      <c r="AF942" s="33">
        <v>0</v>
      </c>
      <c r="AG942" s="4" t="str">
        <f t="shared" si="146"/>
        <v>-</v>
      </c>
      <c r="AH942" s="33" t="e">
        <f t="shared" si="139"/>
        <v>#VALUE!</v>
      </c>
      <c r="AI942" s="6" t="e">
        <f>1-AB942/AH942</f>
        <v>#VALUE!</v>
      </c>
      <c r="AJ942" s="7">
        <v>1300</v>
      </c>
      <c r="AK942" s="6">
        <f>1-AB942/AJ942</f>
        <v>0.35</v>
      </c>
      <c r="AL942" s="4">
        <f>AJ942-AB942</f>
        <v>455</v>
      </c>
      <c r="AM942" s="28"/>
      <c r="AN942" s="6"/>
      <c r="AO942" s="6"/>
      <c r="AP942" s="6">
        <f>Z942/L942</f>
        <v>1</v>
      </c>
      <c r="AQ942" s="6">
        <f>AJ942/M942</f>
        <v>1.288404360753221</v>
      </c>
      <c r="AR942" s="6">
        <f>AB942/N942</f>
        <v>1.1639118457300275</v>
      </c>
      <c r="AS942" s="4"/>
      <c r="AT942" s="4"/>
      <c r="AU942" s="4"/>
      <c r="AV942" s="4"/>
      <c r="AW942" s="4"/>
      <c r="AX942" s="4"/>
      <c r="AY942" s="4"/>
      <c r="AZ942" s="4"/>
      <c r="BA942" s="4"/>
      <c r="BB942" s="4">
        <v>0</v>
      </c>
      <c r="BC942" s="4" t="s">
        <v>3534</v>
      </c>
      <c r="BD942" s="4"/>
      <c r="BE942" s="4"/>
      <c r="BF942" s="4" t="s">
        <v>3534</v>
      </c>
      <c r="BG942" s="4" t="s">
        <v>3534</v>
      </c>
      <c r="BH942" s="4" t="s">
        <v>3534</v>
      </c>
      <c r="BI942" s="4" t="str">
        <f t="shared" si="147"/>
        <v>-</v>
      </c>
      <c r="BJ942" s="19">
        <v>4</v>
      </c>
      <c r="BK942" s="19">
        <v>8</v>
      </c>
      <c r="BL942" s="16">
        <v>6</v>
      </c>
      <c r="BM942" s="45" t="s">
        <v>3534</v>
      </c>
      <c r="BN942" t="s">
        <v>3534</v>
      </c>
      <c r="BO942" t="str">
        <f t="shared" si="140"/>
        <v>-</v>
      </c>
      <c r="BP942" t="s">
        <v>3534</v>
      </c>
      <c r="BQ942" t="s">
        <v>3534</v>
      </c>
      <c r="BR942" t="str">
        <f t="shared" si="141"/>
        <v>-</v>
      </c>
      <c r="BS942" t="s">
        <v>3534</v>
      </c>
    </row>
    <row r="943" spans="1:71" x14ac:dyDescent="0.4">
      <c r="A943" s="3">
        <v>940</v>
      </c>
      <c r="B943" s="3">
        <v>940</v>
      </c>
      <c r="C943" s="4" t="s">
        <v>1002</v>
      </c>
      <c r="D943" s="4" t="str">
        <f t="shared" si="142"/>
        <v>J767LY</v>
      </c>
      <c r="E943" s="4" t="s">
        <v>1002</v>
      </c>
      <c r="F943" s="4" t="s">
        <v>2220</v>
      </c>
      <c r="G943" s="5">
        <v>4521718767840</v>
      </c>
      <c r="H943" s="5"/>
      <c r="I943" s="5"/>
      <c r="J943" s="5">
        <v>1</v>
      </c>
      <c r="K943" s="5">
        <v>1</v>
      </c>
      <c r="L943" s="4">
        <v>2500</v>
      </c>
      <c r="M943" s="4">
        <v>2243</v>
      </c>
      <c r="N943" s="4">
        <v>1750</v>
      </c>
      <c r="O943" s="6">
        <f t="shared" si="143"/>
        <v>0.21979491752117697</v>
      </c>
      <c r="P943" s="4" t="s">
        <v>2500</v>
      </c>
      <c r="Q943" s="4"/>
      <c r="R943" s="4"/>
      <c r="S943" s="4"/>
      <c r="T943" s="4"/>
      <c r="U943" s="4"/>
      <c r="V943" s="4"/>
      <c r="W943" s="4"/>
      <c r="X943" s="4"/>
      <c r="Y943" s="4">
        <v>2700</v>
      </c>
      <c r="Z943" s="4">
        <f t="shared" si="144"/>
        <v>2700</v>
      </c>
      <c r="AA943" s="4">
        <v>1890</v>
      </c>
      <c r="AB943" s="4">
        <f t="shared" si="145"/>
        <v>1890</v>
      </c>
      <c r="AC943" s="4"/>
      <c r="AD943" s="21">
        <f>ROUND(M943*AR943,0)</f>
        <v>2422</v>
      </c>
      <c r="AE943" s="6">
        <f>1-AB943/AD943</f>
        <v>0.21965317919075145</v>
      </c>
      <c r="AF943" s="33">
        <v>0</v>
      </c>
      <c r="AG943" s="4">
        <f t="shared" si="146"/>
        <v>2600</v>
      </c>
      <c r="AH943" s="33">
        <f t="shared" si="139"/>
        <v>2808</v>
      </c>
      <c r="AI943" s="6">
        <f>1-AB943/AH943</f>
        <v>0.32692307692307687</v>
      </c>
      <c r="AJ943" s="7">
        <v>2700</v>
      </c>
      <c r="AK943" s="6">
        <f>1-AB943/AJ943</f>
        <v>0.30000000000000004</v>
      </c>
      <c r="AL943" s="4">
        <f>AJ943-AB943</f>
        <v>810</v>
      </c>
      <c r="AM943" s="28"/>
      <c r="AN943" s="6"/>
      <c r="AO943" s="6"/>
      <c r="AP943" s="6">
        <f>Z943/L943</f>
        <v>1.08</v>
      </c>
      <c r="AQ943" s="6">
        <f>AJ943/M943</f>
        <v>1.2037449843958983</v>
      </c>
      <c r="AR943" s="6">
        <f>AB943/N943</f>
        <v>1.08</v>
      </c>
      <c r="AS943" s="4"/>
      <c r="AT943" s="4"/>
      <c r="AU943" s="4"/>
      <c r="AV943" s="4"/>
      <c r="AW943" s="4"/>
      <c r="AX943" s="4"/>
      <c r="AY943" s="4"/>
      <c r="AZ943" s="4"/>
      <c r="BA943" s="4"/>
      <c r="BB943" s="4">
        <v>0</v>
      </c>
      <c r="BC943" s="4" t="s">
        <v>4409</v>
      </c>
      <c r="BD943" s="4"/>
      <c r="BE943" s="4"/>
      <c r="BF943" s="4" t="s">
        <v>3545</v>
      </c>
      <c r="BG943" s="4">
        <v>2600</v>
      </c>
      <c r="BH943" s="4">
        <v>2600</v>
      </c>
      <c r="BI943" s="4">
        <f t="shared" si="147"/>
        <v>2600</v>
      </c>
      <c r="BJ943" s="19">
        <v>4</v>
      </c>
      <c r="BK943" s="19">
        <v>8</v>
      </c>
      <c r="BL943" s="16">
        <v>6</v>
      </c>
      <c r="BM943" s="45" t="s">
        <v>3534</v>
      </c>
      <c r="BN943">
        <v>2500</v>
      </c>
      <c r="BO943">
        <f t="shared" si="140"/>
        <v>2700</v>
      </c>
      <c r="BP943" t="s">
        <v>3534</v>
      </c>
      <c r="BQ943">
        <v>2385</v>
      </c>
      <c r="BR943">
        <f t="shared" si="141"/>
        <v>2575.8000000000002</v>
      </c>
      <c r="BS943" t="s">
        <v>3262</v>
      </c>
    </row>
    <row r="944" spans="1:71" x14ac:dyDescent="0.4">
      <c r="A944" s="3">
        <v>941</v>
      </c>
      <c r="B944" s="3">
        <v>941</v>
      </c>
      <c r="C944" s="4" t="s">
        <v>1003</v>
      </c>
      <c r="D944" s="4" t="str">
        <f t="shared" si="142"/>
        <v>J767WL</v>
      </c>
      <c r="E944" s="4" t="s">
        <v>1003</v>
      </c>
      <c r="F944" s="4" t="s">
        <v>2221</v>
      </c>
      <c r="G944" s="5">
        <v>4521718748269</v>
      </c>
      <c r="H944" s="5"/>
      <c r="I944" s="5"/>
      <c r="J944" s="5">
        <v>1</v>
      </c>
      <c r="K944" s="5">
        <v>1</v>
      </c>
      <c r="L944" s="4">
        <v>15000</v>
      </c>
      <c r="M944" s="4">
        <v>11667</v>
      </c>
      <c r="N944" s="4">
        <v>8400</v>
      </c>
      <c r="O944" s="6">
        <f t="shared" si="143"/>
        <v>0.28002057084083309</v>
      </c>
      <c r="P944" s="4" t="s">
        <v>2500</v>
      </c>
      <c r="Q944" s="4"/>
      <c r="R944" s="4"/>
      <c r="S944" s="4"/>
      <c r="T944" s="4"/>
      <c r="U944" s="4"/>
      <c r="V944" s="4"/>
      <c r="W944" s="4"/>
      <c r="X944" s="4"/>
      <c r="Y944" s="4">
        <v>15000</v>
      </c>
      <c r="Z944" s="4">
        <f t="shared" si="144"/>
        <v>15000</v>
      </c>
      <c r="AA944" s="4">
        <v>9750</v>
      </c>
      <c r="AB944" s="4">
        <f t="shared" si="145"/>
        <v>9750</v>
      </c>
      <c r="AC944" s="4"/>
      <c r="AD944" s="21">
        <f>ROUND(M944*AR944,0)</f>
        <v>13542</v>
      </c>
      <c r="AE944" s="6">
        <f>1-AB944/AD944</f>
        <v>0.28001772264067348</v>
      </c>
      <c r="AF944" s="33">
        <v>0</v>
      </c>
      <c r="AG944" s="4" t="str">
        <f t="shared" si="146"/>
        <v>-</v>
      </c>
      <c r="AH944" s="33" t="e">
        <f t="shared" si="139"/>
        <v>#VALUE!</v>
      </c>
      <c r="AI944" s="6" t="e">
        <f>1-AB944/AH944</f>
        <v>#VALUE!</v>
      </c>
      <c r="AJ944" s="7">
        <v>15000</v>
      </c>
      <c r="AK944" s="6">
        <f>1-AB944/AJ944</f>
        <v>0.35</v>
      </c>
      <c r="AL944" s="4">
        <f>AJ944-AB944</f>
        <v>5250</v>
      </c>
      <c r="AM944" s="28"/>
      <c r="AN944" s="6"/>
      <c r="AO944" s="6"/>
      <c r="AP944" s="6">
        <f>Z944/L944</f>
        <v>1</v>
      </c>
      <c r="AQ944" s="6">
        <f>AJ944/M944</f>
        <v>1.2856775520699408</v>
      </c>
      <c r="AR944" s="6">
        <f>AB944/N944</f>
        <v>1.1607142857142858</v>
      </c>
      <c r="AS944" s="4"/>
      <c r="AT944" s="4"/>
      <c r="AU944" s="4"/>
      <c r="AV944" s="4"/>
      <c r="AW944" s="4"/>
      <c r="AX944" s="4"/>
      <c r="AY944" s="4"/>
      <c r="AZ944" s="4"/>
      <c r="BA944" s="4"/>
      <c r="BB944" s="4">
        <v>0</v>
      </c>
      <c r="BC944" s="4" t="s">
        <v>3534</v>
      </c>
      <c r="BD944" s="4"/>
      <c r="BE944" s="4"/>
      <c r="BF944" s="4" t="s">
        <v>3534</v>
      </c>
      <c r="BG944" s="4" t="s">
        <v>3534</v>
      </c>
      <c r="BH944" s="4" t="s">
        <v>3534</v>
      </c>
      <c r="BI944" s="4" t="str">
        <f t="shared" si="147"/>
        <v>-</v>
      </c>
      <c r="BJ944" s="19">
        <v>4</v>
      </c>
      <c r="BK944" s="19">
        <v>8</v>
      </c>
      <c r="BL944" s="16">
        <v>6</v>
      </c>
      <c r="BM944" s="45" t="s">
        <v>3534</v>
      </c>
      <c r="BN944" t="s">
        <v>3534</v>
      </c>
      <c r="BO944" t="str">
        <f t="shared" si="140"/>
        <v>-</v>
      </c>
      <c r="BP944" t="s">
        <v>3534</v>
      </c>
      <c r="BQ944" t="s">
        <v>3534</v>
      </c>
      <c r="BR944" t="str">
        <f t="shared" si="141"/>
        <v>-</v>
      </c>
      <c r="BS944" t="s">
        <v>3534</v>
      </c>
    </row>
    <row r="945" spans="1:71" x14ac:dyDescent="0.4">
      <c r="A945" s="3">
        <v>942</v>
      </c>
      <c r="B945" s="3">
        <v>942</v>
      </c>
      <c r="C945" s="4" t="s">
        <v>1004</v>
      </c>
      <c r="D945" s="4" t="str">
        <f t="shared" si="142"/>
        <v>J766WL</v>
      </c>
      <c r="E945" s="4" t="s">
        <v>1004</v>
      </c>
      <c r="F945" s="4" t="s">
        <v>2222</v>
      </c>
      <c r="G945" s="5">
        <v>4521718748252</v>
      </c>
      <c r="H945" s="5"/>
      <c r="I945" s="5"/>
      <c r="J945" s="5">
        <v>1</v>
      </c>
      <c r="K945" s="5">
        <v>1</v>
      </c>
      <c r="L945" s="4">
        <v>6000</v>
      </c>
      <c r="M945" s="4">
        <v>4667</v>
      </c>
      <c r="N945" s="4">
        <v>3360</v>
      </c>
      <c r="O945" s="6">
        <f t="shared" si="143"/>
        <v>0.28005142489822155</v>
      </c>
      <c r="P945" s="4" t="s">
        <v>2500</v>
      </c>
      <c r="Q945" s="4"/>
      <c r="R945" s="4"/>
      <c r="S945" s="4"/>
      <c r="T945" s="4"/>
      <c r="U945" s="4"/>
      <c r="V945" s="4"/>
      <c r="W945" s="4"/>
      <c r="X945" s="4"/>
      <c r="Y945" s="4">
        <v>6000</v>
      </c>
      <c r="Z945" s="4">
        <f t="shared" si="144"/>
        <v>6000</v>
      </c>
      <c r="AA945" s="4">
        <v>3900</v>
      </c>
      <c r="AB945" s="4">
        <f t="shared" si="145"/>
        <v>3900</v>
      </c>
      <c r="AC945" s="4"/>
      <c r="AD945" s="21">
        <f>ROUND(M945*AR945,0)</f>
        <v>5417</v>
      </c>
      <c r="AE945" s="6">
        <f>1-AB945/AD945</f>
        <v>0.2800443049658482</v>
      </c>
      <c r="AF945" s="33">
        <v>0</v>
      </c>
      <c r="AG945" s="4" t="str">
        <f t="shared" si="146"/>
        <v>-</v>
      </c>
      <c r="AH945" s="33" t="e">
        <f t="shared" si="139"/>
        <v>#VALUE!</v>
      </c>
      <c r="AI945" s="6" t="e">
        <f>1-AB945/AH945</f>
        <v>#VALUE!</v>
      </c>
      <c r="AJ945" s="7">
        <v>6000</v>
      </c>
      <c r="AK945" s="6">
        <f>1-AB945/AJ945</f>
        <v>0.35</v>
      </c>
      <c r="AL945" s="4">
        <f>AJ945-AB945</f>
        <v>2100</v>
      </c>
      <c r="AM945" s="28"/>
      <c r="AN945" s="6"/>
      <c r="AO945" s="6"/>
      <c r="AP945" s="6">
        <f>Z945/L945</f>
        <v>1</v>
      </c>
      <c r="AQ945" s="6">
        <f>AJ945/M945</f>
        <v>1.28562245553889</v>
      </c>
      <c r="AR945" s="6">
        <f>AB945/N945</f>
        <v>1.1607142857142858</v>
      </c>
      <c r="AS945" s="4"/>
      <c r="AT945" s="4"/>
      <c r="AU945" s="4"/>
      <c r="AV945" s="4"/>
      <c r="AW945" s="4"/>
      <c r="AX945" s="4"/>
      <c r="AY945" s="4"/>
      <c r="AZ945" s="4"/>
      <c r="BA945" s="4"/>
      <c r="BB945" s="4">
        <v>0</v>
      </c>
      <c r="BC945" s="4" t="s">
        <v>3534</v>
      </c>
      <c r="BD945" s="4"/>
      <c r="BE945" s="4"/>
      <c r="BF945" s="4" t="s">
        <v>3534</v>
      </c>
      <c r="BG945" s="4" t="s">
        <v>3534</v>
      </c>
      <c r="BH945" s="4" t="s">
        <v>3534</v>
      </c>
      <c r="BI945" s="4" t="str">
        <f t="shared" si="147"/>
        <v>-</v>
      </c>
      <c r="BJ945" s="19">
        <v>4</v>
      </c>
      <c r="BK945" s="19">
        <v>8</v>
      </c>
      <c r="BL945" s="16">
        <v>6</v>
      </c>
      <c r="BM945" s="45" t="s">
        <v>3534</v>
      </c>
      <c r="BN945" t="s">
        <v>3534</v>
      </c>
      <c r="BO945" t="str">
        <f t="shared" si="140"/>
        <v>-</v>
      </c>
      <c r="BP945" t="s">
        <v>3534</v>
      </c>
      <c r="BQ945" t="s">
        <v>3534</v>
      </c>
      <c r="BR945" t="str">
        <f t="shared" si="141"/>
        <v>-</v>
      </c>
      <c r="BS945" t="s">
        <v>3534</v>
      </c>
    </row>
    <row r="946" spans="1:71" x14ac:dyDescent="0.4">
      <c r="A946" s="42">
        <v>943</v>
      </c>
      <c r="B946" s="3">
        <v>943</v>
      </c>
      <c r="C946" s="4" t="s">
        <v>1005</v>
      </c>
      <c r="D946" s="4" t="str">
        <f t="shared" si="142"/>
        <v>J769WL</v>
      </c>
      <c r="E946" s="4" t="s">
        <v>1005</v>
      </c>
      <c r="F946" s="4" t="s">
        <v>2223</v>
      </c>
      <c r="G946" s="5">
        <v>4521718758046</v>
      </c>
      <c r="H946" s="5"/>
      <c r="I946" s="5"/>
      <c r="J946" s="5">
        <v>1</v>
      </c>
      <c r="K946" s="5">
        <v>1</v>
      </c>
      <c r="L946" s="4">
        <v>6819</v>
      </c>
      <c r="M946" s="4">
        <v>6630</v>
      </c>
      <c r="N946" s="4">
        <v>4773</v>
      </c>
      <c r="O946" s="6">
        <f t="shared" si="143"/>
        <v>0.28009049773755657</v>
      </c>
      <c r="P946" s="4" t="s">
        <v>2500</v>
      </c>
      <c r="Q946" s="4"/>
      <c r="R946" s="4"/>
      <c r="S946" s="4"/>
      <c r="T946" s="4"/>
      <c r="U946" s="4"/>
      <c r="V946" s="4"/>
      <c r="W946" s="4"/>
      <c r="X946" s="4"/>
      <c r="Y946" s="4">
        <v>6819</v>
      </c>
      <c r="Z946" s="4">
        <f t="shared" si="144"/>
        <v>6819</v>
      </c>
      <c r="AA946" s="4">
        <v>4773</v>
      </c>
      <c r="AB946" s="4">
        <f t="shared" si="145"/>
        <v>4773</v>
      </c>
      <c r="AC946" s="4"/>
      <c r="AD946" s="21">
        <f>ROUND(M946*AR946,0)</f>
        <v>6630</v>
      </c>
      <c r="AE946" s="6">
        <f>1-AB946/AD946</f>
        <v>0.28009049773755657</v>
      </c>
      <c r="AF946" s="33">
        <v>0</v>
      </c>
      <c r="AG946" s="4" t="str">
        <f t="shared" si="146"/>
        <v>-</v>
      </c>
      <c r="AH946" s="33" t="e">
        <f t="shared" si="139"/>
        <v>#VALUE!</v>
      </c>
      <c r="AI946" s="6" t="e">
        <f>1-AB946/AH946</f>
        <v>#VALUE!</v>
      </c>
      <c r="AJ946" s="7">
        <v>6819</v>
      </c>
      <c r="AK946" s="6">
        <f>1-AB946/AJ946</f>
        <v>0.30004399472063348</v>
      </c>
      <c r="AL946" s="4">
        <f>AJ946-AB946</f>
        <v>2046</v>
      </c>
      <c r="AM946" s="28"/>
      <c r="AN946" s="6"/>
      <c r="AO946" s="6"/>
      <c r="AP946" s="6">
        <f>Z946/L946</f>
        <v>1</v>
      </c>
      <c r="AQ946" s="6">
        <f>AJ946/M946</f>
        <v>1.0285067873303166</v>
      </c>
      <c r="AR946" s="6">
        <f>AB946/N946</f>
        <v>1</v>
      </c>
      <c r="AS946" s="4"/>
      <c r="AT946" s="4"/>
      <c r="AU946" s="4"/>
      <c r="AV946" s="4"/>
      <c r="AW946" s="4"/>
      <c r="AX946" s="4"/>
      <c r="AY946" s="4"/>
      <c r="AZ946" s="4"/>
      <c r="BA946" s="4"/>
      <c r="BB946" s="4">
        <v>0</v>
      </c>
      <c r="BC946" s="4" t="s">
        <v>3534</v>
      </c>
      <c r="BD946" s="4"/>
      <c r="BE946" s="4"/>
      <c r="BF946" s="4" t="s">
        <v>3534</v>
      </c>
      <c r="BG946" s="4" t="s">
        <v>3534</v>
      </c>
      <c r="BH946" s="4" t="s">
        <v>3534</v>
      </c>
      <c r="BI946" s="4" t="str">
        <f t="shared" si="147"/>
        <v>-</v>
      </c>
      <c r="BJ946" s="19">
        <v>2</v>
      </c>
      <c r="BK946" s="19">
        <v>8</v>
      </c>
      <c r="BL946" s="16">
        <v>6</v>
      </c>
      <c r="BM946" s="45" t="s">
        <v>3534</v>
      </c>
      <c r="BN946" t="s">
        <v>3534</v>
      </c>
      <c r="BO946" t="str">
        <f t="shared" si="140"/>
        <v>-</v>
      </c>
      <c r="BP946" t="s">
        <v>3534</v>
      </c>
      <c r="BQ946" t="s">
        <v>3534</v>
      </c>
      <c r="BR946" t="str">
        <f t="shared" si="141"/>
        <v>-</v>
      </c>
      <c r="BS946" t="s">
        <v>3534</v>
      </c>
    </row>
    <row r="947" spans="1:71" x14ac:dyDescent="0.4">
      <c r="A947" s="3">
        <v>944</v>
      </c>
      <c r="B947" s="3">
        <v>944</v>
      </c>
      <c r="C947" s="4" t="s">
        <v>1006</v>
      </c>
      <c r="D947" s="4" t="str">
        <f t="shared" si="142"/>
        <v>J778LY</v>
      </c>
      <c r="E947" s="4" t="s">
        <v>1006</v>
      </c>
      <c r="F947" s="4" t="s">
        <v>2224</v>
      </c>
      <c r="G947" s="5">
        <v>4521718777351</v>
      </c>
      <c r="H947" s="5"/>
      <c r="I947" s="5"/>
      <c r="J947" s="5">
        <v>1</v>
      </c>
      <c r="K947" s="5">
        <v>1</v>
      </c>
      <c r="L947" s="4">
        <v>600</v>
      </c>
      <c r="M947" s="4">
        <v>534</v>
      </c>
      <c r="N947" s="4">
        <v>420</v>
      </c>
      <c r="O947" s="6">
        <f t="shared" si="143"/>
        <v>0.2134831460674157</v>
      </c>
      <c r="P947" s="4" t="s">
        <v>2500</v>
      </c>
      <c r="Q947" s="4"/>
      <c r="R947" s="4"/>
      <c r="S947" s="4"/>
      <c r="T947" s="4"/>
      <c r="U947" s="4"/>
      <c r="V947" s="4"/>
      <c r="W947" s="4"/>
      <c r="X947" s="4"/>
      <c r="Y947" s="4">
        <v>600</v>
      </c>
      <c r="Z947" s="4">
        <f t="shared" si="144"/>
        <v>600</v>
      </c>
      <c r="AA947" s="4">
        <v>420</v>
      </c>
      <c r="AB947" s="4">
        <f t="shared" si="145"/>
        <v>420</v>
      </c>
      <c r="AC947" s="4"/>
      <c r="AD947" s="21">
        <f>ROUND(M947*AR947,0)</f>
        <v>534</v>
      </c>
      <c r="AE947" s="6">
        <f>1-AB947/AD947</f>
        <v>0.2134831460674157</v>
      </c>
      <c r="AF947" s="33">
        <v>0</v>
      </c>
      <c r="AG947" s="4">
        <f t="shared" si="146"/>
        <v>600</v>
      </c>
      <c r="AH947" s="33">
        <f t="shared" si="139"/>
        <v>600</v>
      </c>
      <c r="AI947" s="6">
        <f>1-AB947/AH947</f>
        <v>0.30000000000000004</v>
      </c>
      <c r="AJ947" s="7">
        <v>600</v>
      </c>
      <c r="AK947" s="6">
        <f>1-AB947/AJ947</f>
        <v>0.30000000000000004</v>
      </c>
      <c r="AL947" s="4">
        <f>AJ947-AB947</f>
        <v>180</v>
      </c>
      <c r="AM947" s="28"/>
      <c r="AN947" s="6"/>
      <c r="AO947" s="6"/>
      <c r="AP947" s="6">
        <f>Z947/L947</f>
        <v>1</v>
      </c>
      <c r="AQ947" s="6">
        <f>AJ947/M947</f>
        <v>1.1235955056179776</v>
      </c>
      <c r="AR947" s="6">
        <f>AB947/N947</f>
        <v>1</v>
      </c>
      <c r="AS947" s="4"/>
      <c r="AT947" s="4"/>
      <c r="AU947" s="4"/>
      <c r="AV947" s="4"/>
      <c r="AW947" s="4"/>
      <c r="AX947" s="4"/>
      <c r="AY947" s="4"/>
      <c r="AZ947" s="4"/>
      <c r="BA947" s="4"/>
      <c r="BB947" s="4">
        <v>0</v>
      </c>
      <c r="BC947" s="4" t="s">
        <v>4410</v>
      </c>
      <c r="BD947" s="4">
        <v>1</v>
      </c>
      <c r="BE947" s="4">
        <v>2</v>
      </c>
      <c r="BF947" s="4" t="s">
        <v>3640</v>
      </c>
      <c r="BG947" s="4">
        <v>1200</v>
      </c>
      <c r="BH947" s="4">
        <v>1200</v>
      </c>
      <c r="BI947" s="4">
        <f t="shared" si="147"/>
        <v>600</v>
      </c>
      <c r="BJ947" s="19">
        <v>4</v>
      </c>
      <c r="BK947" s="19">
        <v>8</v>
      </c>
      <c r="BL947" s="16">
        <v>6</v>
      </c>
      <c r="BM947" s="45" t="s">
        <v>3534</v>
      </c>
      <c r="BN947" t="s">
        <v>3534</v>
      </c>
      <c r="BO947" t="str">
        <f t="shared" si="140"/>
        <v>-</v>
      </c>
      <c r="BP947" t="s">
        <v>3534</v>
      </c>
      <c r="BQ947">
        <v>587</v>
      </c>
      <c r="BR947">
        <f t="shared" si="141"/>
        <v>587</v>
      </c>
      <c r="BS947" t="s">
        <v>3263</v>
      </c>
    </row>
    <row r="948" spans="1:71" x14ac:dyDescent="0.4">
      <c r="A948" s="3">
        <v>945</v>
      </c>
      <c r="B948" s="3">
        <v>945</v>
      </c>
      <c r="C948" s="4" t="s">
        <v>1007</v>
      </c>
      <c r="D948" s="4" t="str">
        <f t="shared" si="142"/>
        <v>J779LY</v>
      </c>
      <c r="E948" s="4" t="s">
        <v>1007</v>
      </c>
      <c r="F948" s="4" t="s">
        <v>2225</v>
      </c>
      <c r="G948" s="5">
        <v>4521718777368</v>
      </c>
      <c r="H948" s="5"/>
      <c r="I948" s="5"/>
      <c r="J948" s="5">
        <v>1</v>
      </c>
      <c r="K948" s="5">
        <v>1</v>
      </c>
      <c r="L948" s="4">
        <v>600</v>
      </c>
      <c r="M948" s="4">
        <v>534</v>
      </c>
      <c r="N948" s="4">
        <v>420</v>
      </c>
      <c r="O948" s="6">
        <f t="shared" si="143"/>
        <v>0.2134831460674157</v>
      </c>
      <c r="P948" s="4" t="s">
        <v>2500</v>
      </c>
      <c r="Q948" s="4"/>
      <c r="R948" s="4"/>
      <c r="S948" s="4"/>
      <c r="T948" s="4"/>
      <c r="U948" s="4"/>
      <c r="V948" s="4"/>
      <c r="W948" s="4"/>
      <c r="X948" s="4"/>
      <c r="Y948" s="4">
        <v>600</v>
      </c>
      <c r="Z948" s="4">
        <f t="shared" si="144"/>
        <v>600</v>
      </c>
      <c r="AA948" s="4">
        <v>420</v>
      </c>
      <c r="AB948" s="4">
        <f t="shared" si="145"/>
        <v>420</v>
      </c>
      <c r="AC948" s="4"/>
      <c r="AD948" s="21">
        <f>ROUND(M948*AR948,0)</f>
        <v>534</v>
      </c>
      <c r="AE948" s="6">
        <f>1-AB948/AD948</f>
        <v>0.2134831460674157</v>
      </c>
      <c r="AF948" s="33">
        <v>0</v>
      </c>
      <c r="AG948" s="4">
        <f t="shared" si="146"/>
        <v>600</v>
      </c>
      <c r="AH948" s="33">
        <f t="shared" si="139"/>
        <v>600</v>
      </c>
      <c r="AI948" s="6">
        <f>1-AB948/AH948</f>
        <v>0.30000000000000004</v>
      </c>
      <c r="AJ948" s="7">
        <v>600</v>
      </c>
      <c r="AK948" s="6">
        <f>1-AB948/AJ948</f>
        <v>0.30000000000000004</v>
      </c>
      <c r="AL948" s="4">
        <f>AJ948-AB948</f>
        <v>180</v>
      </c>
      <c r="AM948" s="28"/>
      <c r="AN948" s="6"/>
      <c r="AO948" s="6"/>
      <c r="AP948" s="6">
        <f>Z948/L948</f>
        <v>1</v>
      </c>
      <c r="AQ948" s="6">
        <f>AJ948/M948</f>
        <v>1.1235955056179776</v>
      </c>
      <c r="AR948" s="6">
        <f>AB948/N948</f>
        <v>1</v>
      </c>
      <c r="AS948" s="4"/>
      <c r="AT948" s="4"/>
      <c r="AU948" s="4"/>
      <c r="AV948" s="4"/>
      <c r="AW948" s="4"/>
      <c r="AX948" s="4"/>
      <c r="AY948" s="4"/>
      <c r="AZ948" s="4"/>
      <c r="BA948" s="4"/>
      <c r="BB948" s="4">
        <v>0</v>
      </c>
      <c r="BC948" s="4" t="s">
        <v>4411</v>
      </c>
      <c r="BD948" s="4">
        <v>1</v>
      </c>
      <c r="BE948" s="4">
        <v>2</v>
      </c>
      <c r="BF948" s="4" t="s">
        <v>3640</v>
      </c>
      <c r="BG948" s="4">
        <v>1200</v>
      </c>
      <c r="BH948" s="4">
        <v>1200</v>
      </c>
      <c r="BI948" s="4">
        <f t="shared" si="147"/>
        <v>600</v>
      </c>
      <c r="BJ948" s="19">
        <v>4</v>
      </c>
      <c r="BK948" s="19">
        <v>8</v>
      </c>
      <c r="BL948" s="16">
        <v>6</v>
      </c>
      <c r="BM948" s="45" t="s">
        <v>3534</v>
      </c>
      <c r="BN948" t="s">
        <v>3534</v>
      </c>
      <c r="BO948" t="str">
        <f t="shared" si="140"/>
        <v>-</v>
      </c>
      <c r="BP948" t="s">
        <v>3534</v>
      </c>
      <c r="BQ948">
        <v>587</v>
      </c>
      <c r="BR948">
        <f t="shared" si="141"/>
        <v>587</v>
      </c>
      <c r="BS948" t="s">
        <v>3264</v>
      </c>
    </row>
    <row r="949" spans="1:71" x14ac:dyDescent="0.4">
      <c r="A949" s="3">
        <v>946</v>
      </c>
      <c r="B949" s="3">
        <v>946</v>
      </c>
      <c r="C949" s="4" t="s">
        <v>1008</v>
      </c>
      <c r="D949" s="4" t="str">
        <f t="shared" si="142"/>
        <v>J780LY</v>
      </c>
      <c r="E949" s="4" t="s">
        <v>1008</v>
      </c>
      <c r="F949" s="4" t="s">
        <v>2226</v>
      </c>
      <c r="G949" s="5">
        <v>4521718777375</v>
      </c>
      <c r="H949" s="5"/>
      <c r="I949" s="5"/>
      <c r="J949" s="5">
        <v>1</v>
      </c>
      <c r="K949" s="5">
        <v>1</v>
      </c>
      <c r="L949" s="4">
        <v>600</v>
      </c>
      <c r="M949" s="4">
        <v>534</v>
      </c>
      <c r="N949" s="4">
        <v>420</v>
      </c>
      <c r="O949" s="6">
        <f t="shared" si="143"/>
        <v>0.2134831460674157</v>
      </c>
      <c r="P949" s="4" t="s">
        <v>2500</v>
      </c>
      <c r="Q949" s="4"/>
      <c r="R949" s="4"/>
      <c r="S949" s="4"/>
      <c r="T949" s="4"/>
      <c r="U949" s="4"/>
      <c r="V949" s="4"/>
      <c r="W949" s="4"/>
      <c r="X949" s="4"/>
      <c r="Y949" s="4">
        <v>600</v>
      </c>
      <c r="Z949" s="4">
        <f t="shared" si="144"/>
        <v>600</v>
      </c>
      <c r="AA949" s="4">
        <v>390</v>
      </c>
      <c r="AB949" s="4">
        <f t="shared" si="145"/>
        <v>390</v>
      </c>
      <c r="AC949" s="4"/>
      <c r="AD949" s="21">
        <f>ROUND(M949*AR949,0)</f>
        <v>496</v>
      </c>
      <c r="AE949" s="6">
        <f>1-AB949/AD949</f>
        <v>0.21370967741935487</v>
      </c>
      <c r="AF949" s="33">
        <v>0</v>
      </c>
      <c r="AG949" s="4">
        <f t="shared" si="146"/>
        <v>600</v>
      </c>
      <c r="AH949" s="33">
        <f t="shared" si="139"/>
        <v>557.14285714285711</v>
      </c>
      <c r="AI949" s="6">
        <f>1-AB949/AH949</f>
        <v>0.29999999999999993</v>
      </c>
      <c r="AJ949" s="7">
        <v>557</v>
      </c>
      <c r="AK949" s="6">
        <f>1-AB949/AJ949</f>
        <v>0.29982046678635543</v>
      </c>
      <c r="AL949" s="4">
        <f>AJ949-AB949</f>
        <v>167</v>
      </c>
      <c r="AM949" s="28"/>
      <c r="AN949" s="6"/>
      <c r="AO949" s="6"/>
      <c r="AP949" s="6">
        <f>Z949/L949</f>
        <v>1</v>
      </c>
      <c r="AQ949" s="6">
        <f>AJ949/M949</f>
        <v>1.0430711610486891</v>
      </c>
      <c r="AR949" s="6">
        <f>AB949/N949</f>
        <v>0.9285714285714286</v>
      </c>
      <c r="AS949" s="4"/>
      <c r="AT949" s="4"/>
      <c r="AU949" s="4"/>
      <c r="AV949" s="4"/>
      <c r="AW949" s="4"/>
      <c r="AX949" s="4"/>
      <c r="AY949" s="4"/>
      <c r="AZ949" s="4"/>
      <c r="BA949" s="4"/>
      <c r="BB949" s="4">
        <v>0</v>
      </c>
      <c r="BC949" s="4" t="s">
        <v>4412</v>
      </c>
      <c r="BD949" s="4">
        <v>1</v>
      </c>
      <c r="BE949" s="4">
        <v>2</v>
      </c>
      <c r="BF949" s="4" t="s">
        <v>3640</v>
      </c>
      <c r="BG949" s="4">
        <v>1200</v>
      </c>
      <c r="BH949" s="4">
        <v>1200</v>
      </c>
      <c r="BI949" s="4">
        <f t="shared" si="147"/>
        <v>600</v>
      </c>
      <c r="BJ949" s="19">
        <v>4</v>
      </c>
      <c r="BK949" s="19">
        <v>8</v>
      </c>
      <c r="BL949" s="16">
        <v>6</v>
      </c>
      <c r="BM949" s="45" t="s">
        <v>3534</v>
      </c>
      <c r="BN949" t="s">
        <v>3534</v>
      </c>
      <c r="BO949" t="str">
        <f t="shared" si="140"/>
        <v>-</v>
      </c>
      <c r="BP949" t="s">
        <v>3534</v>
      </c>
      <c r="BQ949">
        <v>587</v>
      </c>
      <c r="BR949">
        <f t="shared" si="141"/>
        <v>545.07142857142856</v>
      </c>
      <c r="BS949" t="s">
        <v>3265</v>
      </c>
    </row>
    <row r="950" spans="1:71" x14ac:dyDescent="0.4">
      <c r="A950" s="3">
        <v>947</v>
      </c>
      <c r="B950" s="3">
        <v>947</v>
      </c>
      <c r="C950" s="4" t="s">
        <v>1009</v>
      </c>
      <c r="D950" s="4" t="str">
        <f t="shared" si="142"/>
        <v>J781LY</v>
      </c>
      <c r="E950" s="4" t="s">
        <v>1009</v>
      </c>
      <c r="F950" s="4" t="s">
        <v>2227</v>
      </c>
      <c r="G950" s="5">
        <v>4521718777382</v>
      </c>
      <c r="H950" s="5"/>
      <c r="I950" s="5"/>
      <c r="J950" s="5">
        <v>1</v>
      </c>
      <c r="K950" s="5">
        <v>1</v>
      </c>
      <c r="L950" s="4">
        <v>600</v>
      </c>
      <c r="M950" s="4">
        <v>534</v>
      </c>
      <c r="N950" s="4">
        <v>420</v>
      </c>
      <c r="O950" s="6">
        <f t="shared" si="143"/>
        <v>0.2134831460674157</v>
      </c>
      <c r="P950" s="4" t="s">
        <v>2500</v>
      </c>
      <c r="Q950" s="4"/>
      <c r="R950" s="4"/>
      <c r="S950" s="4"/>
      <c r="T950" s="4"/>
      <c r="U950" s="4"/>
      <c r="V950" s="4"/>
      <c r="W950" s="4"/>
      <c r="X950" s="4"/>
      <c r="Y950" s="4">
        <v>600</v>
      </c>
      <c r="Z950" s="4">
        <f t="shared" si="144"/>
        <v>600</v>
      </c>
      <c r="AA950" s="4">
        <v>420</v>
      </c>
      <c r="AB950" s="4">
        <f t="shared" si="145"/>
        <v>420</v>
      </c>
      <c r="AC950" s="4"/>
      <c r="AD950" s="21">
        <f>ROUND(M950*AR950,0)</f>
        <v>534</v>
      </c>
      <c r="AE950" s="6">
        <f>1-AB950/AD950</f>
        <v>0.2134831460674157</v>
      </c>
      <c r="AF950" s="33">
        <v>0</v>
      </c>
      <c r="AG950" s="4">
        <f t="shared" si="146"/>
        <v>600</v>
      </c>
      <c r="AH950" s="33">
        <f t="shared" si="139"/>
        <v>600</v>
      </c>
      <c r="AI950" s="6">
        <f>1-AB950/AH950</f>
        <v>0.30000000000000004</v>
      </c>
      <c r="AJ950" s="7">
        <v>600</v>
      </c>
      <c r="AK950" s="6">
        <f>1-AB950/AJ950</f>
        <v>0.30000000000000004</v>
      </c>
      <c r="AL950" s="4">
        <f>AJ950-AB950</f>
        <v>180</v>
      </c>
      <c r="AM950" s="28"/>
      <c r="AN950" s="6"/>
      <c r="AO950" s="6"/>
      <c r="AP950" s="6">
        <f>Z950/L950</f>
        <v>1</v>
      </c>
      <c r="AQ950" s="6">
        <f>AJ950/M950</f>
        <v>1.1235955056179776</v>
      </c>
      <c r="AR950" s="6">
        <f>AB950/N950</f>
        <v>1</v>
      </c>
      <c r="AS950" s="4"/>
      <c r="AT950" s="4"/>
      <c r="AU950" s="4"/>
      <c r="AV950" s="4"/>
      <c r="AW950" s="4"/>
      <c r="AX950" s="4"/>
      <c r="AY950" s="4"/>
      <c r="AZ950" s="4"/>
      <c r="BA950" s="4"/>
      <c r="BB950" s="4">
        <v>0</v>
      </c>
      <c r="BC950" s="4" t="s">
        <v>4413</v>
      </c>
      <c r="BD950" s="4">
        <v>1</v>
      </c>
      <c r="BE950" s="4">
        <v>2</v>
      </c>
      <c r="BF950" s="4" t="s">
        <v>3640</v>
      </c>
      <c r="BG950" s="4">
        <v>1200</v>
      </c>
      <c r="BH950" s="4">
        <v>1200</v>
      </c>
      <c r="BI950" s="4">
        <f t="shared" si="147"/>
        <v>600</v>
      </c>
      <c r="BJ950" s="19">
        <v>4</v>
      </c>
      <c r="BK950" s="19">
        <v>8</v>
      </c>
      <c r="BL950" s="16">
        <v>6</v>
      </c>
      <c r="BM950" s="45" t="s">
        <v>3534</v>
      </c>
      <c r="BN950" t="s">
        <v>3534</v>
      </c>
      <c r="BO950" t="str">
        <f t="shared" si="140"/>
        <v>-</v>
      </c>
      <c r="BP950" t="s">
        <v>3534</v>
      </c>
      <c r="BQ950">
        <v>587</v>
      </c>
      <c r="BR950">
        <f t="shared" si="141"/>
        <v>587</v>
      </c>
      <c r="BS950" t="s">
        <v>3266</v>
      </c>
    </row>
    <row r="951" spans="1:71" x14ac:dyDescent="0.4">
      <c r="A951" s="3">
        <v>948</v>
      </c>
      <c r="B951" s="3">
        <v>948</v>
      </c>
      <c r="C951" s="4" t="s">
        <v>1010</v>
      </c>
      <c r="D951" s="4" t="str">
        <f t="shared" si="142"/>
        <v>J783LY</v>
      </c>
      <c r="E951" s="4" t="s">
        <v>1010</v>
      </c>
      <c r="F951" s="4" t="s">
        <v>2228</v>
      </c>
      <c r="G951" s="5">
        <v>4521718777405</v>
      </c>
      <c r="H951" s="5"/>
      <c r="I951" s="5"/>
      <c r="J951" s="5">
        <v>1</v>
      </c>
      <c r="K951" s="5">
        <v>1</v>
      </c>
      <c r="L951" s="4">
        <v>600</v>
      </c>
      <c r="M951" s="4">
        <v>534</v>
      </c>
      <c r="N951" s="4">
        <v>420</v>
      </c>
      <c r="O951" s="6">
        <f t="shared" si="143"/>
        <v>0.2134831460674157</v>
      </c>
      <c r="P951" s="4" t="s">
        <v>2500</v>
      </c>
      <c r="Q951" s="4"/>
      <c r="R951" s="4"/>
      <c r="S951" s="4"/>
      <c r="T951" s="4"/>
      <c r="U951" s="4"/>
      <c r="V951" s="4"/>
      <c r="W951" s="4"/>
      <c r="X951" s="4"/>
      <c r="Y951" s="4">
        <v>600</v>
      </c>
      <c r="Z951" s="4">
        <f t="shared" si="144"/>
        <v>600</v>
      </c>
      <c r="AA951" s="4">
        <v>420</v>
      </c>
      <c r="AB951" s="4">
        <f t="shared" si="145"/>
        <v>420</v>
      </c>
      <c r="AC951" s="4"/>
      <c r="AD951" s="21">
        <f>ROUND(M951*AR951,0)</f>
        <v>534</v>
      </c>
      <c r="AE951" s="6">
        <f>1-AB951/AD951</f>
        <v>0.2134831460674157</v>
      </c>
      <c r="AF951" s="33">
        <v>0</v>
      </c>
      <c r="AG951" s="4">
        <f t="shared" si="146"/>
        <v>600</v>
      </c>
      <c r="AH951" s="33">
        <f t="shared" si="139"/>
        <v>600</v>
      </c>
      <c r="AI951" s="6">
        <f>1-AB951/AH951</f>
        <v>0.30000000000000004</v>
      </c>
      <c r="AJ951" s="7">
        <v>600</v>
      </c>
      <c r="AK951" s="6">
        <f>1-AB951/AJ951</f>
        <v>0.30000000000000004</v>
      </c>
      <c r="AL951" s="4">
        <f>AJ951-AB951</f>
        <v>180</v>
      </c>
      <c r="AM951" s="28"/>
      <c r="AN951" s="6"/>
      <c r="AO951" s="6"/>
      <c r="AP951" s="6">
        <f>Z951/L951</f>
        <v>1</v>
      </c>
      <c r="AQ951" s="6">
        <f>AJ951/M951</f>
        <v>1.1235955056179776</v>
      </c>
      <c r="AR951" s="6">
        <f>AB951/N951</f>
        <v>1</v>
      </c>
      <c r="AS951" s="4"/>
      <c r="AT951" s="4"/>
      <c r="AU951" s="4"/>
      <c r="AV951" s="4"/>
      <c r="AW951" s="4"/>
      <c r="AX951" s="4"/>
      <c r="AY951" s="4"/>
      <c r="AZ951" s="4"/>
      <c r="BA951" s="4"/>
      <c r="BB951" s="4">
        <v>0</v>
      </c>
      <c r="BC951" s="4" t="s">
        <v>4414</v>
      </c>
      <c r="BD951" s="4">
        <v>1</v>
      </c>
      <c r="BE951" s="4">
        <v>2</v>
      </c>
      <c r="BF951" s="4" t="s">
        <v>3640</v>
      </c>
      <c r="BG951" s="4">
        <v>1200</v>
      </c>
      <c r="BH951" s="4">
        <v>1200</v>
      </c>
      <c r="BI951" s="4">
        <f t="shared" si="147"/>
        <v>600</v>
      </c>
      <c r="BJ951" s="19">
        <v>4</v>
      </c>
      <c r="BK951" s="19">
        <v>8</v>
      </c>
      <c r="BL951" s="16">
        <v>6</v>
      </c>
      <c r="BM951" s="45" t="s">
        <v>3534</v>
      </c>
      <c r="BN951" t="s">
        <v>3534</v>
      </c>
      <c r="BO951" t="str">
        <f t="shared" si="140"/>
        <v>-</v>
      </c>
      <c r="BP951" t="s">
        <v>3534</v>
      </c>
      <c r="BQ951">
        <v>587</v>
      </c>
      <c r="BR951">
        <f t="shared" si="141"/>
        <v>587</v>
      </c>
      <c r="BS951" t="s">
        <v>3267</v>
      </c>
    </row>
    <row r="952" spans="1:71" x14ac:dyDescent="0.4">
      <c r="A952" s="3">
        <v>949</v>
      </c>
      <c r="B952" s="3">
        <v>949</v>
      </c>
      <c r="C952" s="4" t="s">
        <v>1011</v>
      </c>
      <c r="D952" s="4" t="str">
        <f t="shared" si="142"/>
        <v>J782LY</v>
      </c>
      <c r="E952" s="4" t="s">
        <v>1011</v>
      </c>
      <c r="F952" s="4" t="s">
        <v>2229</v>
      </c>
      <c r="G952" s="5">
        <v>4521718777399</v>
      </c>
      <c r="H952" s="5"/>
      <c r="I952" s="5"/>
      <c r="J952" s="5">
        <v>1</v>
      </c>
      <c r="K952" s="5">
        <v>1</v>
      </c>
      <c r="L952" s="4">
        <v>600</v>
      </c>
      <c r="M952" s="4">
        <v>534</v>
      </c>
      <c r="N952" s="4">
        <v>420</v>
      </c>
      <c r="O952" s="6">
        <f t="shared" si="143"/>
        <v>0.2134831460674157</v>
      </c>
      <c r="P952" s="4" t="s">
        <v>2500</v>
      </c>
      <c r="Q952" s="4"/>
      <c r="R952" s="4"/>
      <c r="S952" s="4"/>
      <c r="T952" s="4"/>
      <c r="U952" s="4"/>
      <c r="V952" s="4"/>
      <c r="W952" s="4"/>
      <c r="X952" s="4"/>
      <c r="Y952" s="4">
        <v>600</v>
      </c>
      <c r="Z952" s="4">
        <f t="shared" si="144"/>
        <v>600</v>
      </c>
      <c r="AA952" s="4">
        <v>420</v>
      </c>
      <c r="AB952" s="4">
        <f t="shared" si="145"/>
        <v>420</v>
      </c>
      <c r="AC952" s="4"/>
      <c r="AD952" s="21">
        <f>ROUND(M952*AR952,0)</f>
        <v>534</v>
      </c>
      <c r="AE952" s="6">
        <f>1-AB952/AD952</f>
        <v>0.2134831460674157</v>
      </c>
      <c r="AF952" s="33">
        <v>0</v>
      </c>
      <c r="AG952" s="4">
        <f t="shared" si="146"/>
        <v>600</v>
      </c>
      <c r="AH952" s="33">
        <f t="shared" si="139"/>
        <v>600</v>
      </c>
      <c r="AI952" s="6">
        <f>1-AB952/AH952</f>
        <v>0.30000000000000004</v>
      </c>
      <c r="AJ952" s="7">
        <v>600</v>
      </c>
      <c r="AK952" s="6">
        <f>1-AB952/AJ952</f>
        <v>0.30000000000000004</v>
      </c>
      <c r="AL952" s="4">
        <f>AJ952-AB952</f>
        <v>180</v>
      </c>
      <c r="AM952" s="28"/>
      <c r="AN952" s="6"/>
      <c r="AO952" s="6"/>
      <c r="AP952" s="6">
        <f>Z952/L952</f>
        <v>1</v>
      </c>
      <c r="AQ952" s="6">
        <f>AJ952/M952</f>
        <v>1.1235955056179776</v>
      </c>
      <c r="AR952" s="6">
        <f>AB952/N952</f>
        <v>1</v>
      </c>
      <c r="AS952" s="4"/>
      <c r="AT952" s="4"/>
      <c r="AU952" s="4"/>
      <c r="AV952" s="4"/>
      <c r="AW952" s="4"/>
      <c r="AX952" s="4"/>
      <c r="AY952" s="4"/>
      <c r="AZ952" s="4"/>
      <c r="BA952" s="4"/>
      <c r="BB952" s="4">
        <v>0</v>
      </c>
      <c r="BC952" s="4" t="s">
        <v>4415</v>
      </c>
      <c r="BD952" s="4">
        <v>1</v>
      </c>
      <c r="BE952" s="4">
        <v>2</v>
      </c>
      <c r="BF952" s="4" t="s">
        <v>3640</v>
      </c>
      <c r="BG952" s="4">
        <v>1200</v>
      </c>
      <c r="BH952" s="4">
        <v>1200</v>
      </c>
      <c r="BI952" s="4">
        <f t="shared" si="147"/>
        <v>600</v>
      </c>
      <c r="BJ952" s="19">
        <v>4</v>
      </c>
      <c r="BK952" s="19">
        <v>8</v>
      </c>
      <c r="BL952" s="16">
        <v>6</v>
      </c>
      <c r="BM952" s="45" t="s">
        <v>3534</v>
      </c>
      <c r="BN952" t="s">
        <v>3534</v>
      </c>
      <c r="BO952" t="str">
        <f t="shared" si="140"/>
        <v>-</v>
      </c>
      <c r="BP952" t="s">
        <v>3534</v>
      </c>
      <c r="BQ952">
        <v>587</v>
      </c>
      <c r="BR952">
        <f t="shared" si="141"/>
        <v>587</v>
      </c>
      <c r="BS952" t="s">
        <v>3268</v>
      </c>
    </row>
    <row r="953" spans="1:71" x14ac:dyDescent="0.4">
      <c r="A953" s="3">
        <v>950</v>
      </c>
      <c r="B953" s="3">
        <v>950</v>
      </c>
      <c r="C953" s="4" t="s">
        <v>1012</v>
      </c>
      <c r="D953" s="4" t="str">
        <f t="shared" si="142"/>
        <v>J785LY</v>
      </c>
      <c r="E953" s="4" t="s">
        <v>1012</v>
      </c>
      <c r="F953" s="4" t="s">
        <v>2230</v>
      </c>
      <c r="G953" s="5">
        <v>4521718777429</v>
      </c>
      <c r="H953" s="5"/>
      <c r="I953" s="5"/>
      <c r="J953" s="5">
        <v>1</v>
      </c>
      <c r="K953" s="5">
        <v>1</v>
      </c>
      <c r="L953" s="4">
        <v>600</v>
      </c>
      <c r="M953" s="4">
        <v>534</v>
      </c>
      <c r="N953" s="4">
        <v>420</v>
      </c>
      <c r="O953" s="6">
        <f t="shared" si="143"/>
        <v>0.2134831460674157</v>
      </c>
      <c r="P953" s="4" t="s">
        <v>2500</v>
      </c>
      <c r="Q953" s="4"/>
      <c r="R953" s="4"/>
      <c r="S953" s="4"/>
      <c r="T953" s="4"/>
      <c r="U953" s="4"/>
      <c r="V953" s="4"/>
      <c r="W953" s="4"/>
      <c r="X953" s="4"/>
      <c r="Y953" s="4">
        <v>600</v>
      </c>
      <c r="Z953" s="4">
        <f t="shared" si="144"/>
        <v>600</v>
      </c>
      <c r="AA953" s="4">
        <v>420</v>
      </c>
      <c r="AB953" s="4">
        <f t="shared" si="145"/>
        <v>420</v>
      </c>
      <c r="AC953" s="4"/>
      <c r="AD953" s="21">
        <f>ROUND(M953*AR953,0)</f>
        <v>534</v>
      </c>
      <c r="AE953" s="6">
        <f>1-AB953/AD953</f>
        <v>0.2134831460674157</v>
      </c>
      <c r="AF953" s="33">
        <v>0</v>
      </c>
      <c r="AG953" s="4">
        <f t="shared" si="146"/>
        <v>600</v>
      </c>
      <c r="AH953" s="33">
        <f t="shared" si="139"/>
        <v>600</v>
      </c>
      <c r="AI953" s="6">
        <f>1-AB953/AH953</f>
        <v>0.30000000000000004</v>
      </c>
      <c r="AJ953" s="7">
        <v>600</v>
      </c>
      <c r="AK953" s="6">
        <f>1-AB953/AJ953</f>
        <v>0.30000000000000004</v>
      </c>
      <c r="AL953" s="4">
        <f>AJ953-AB953</f>
        <v>180</v>
      </c>
      <c r="AM953" s="28"/>
      <c r="AN953" s="6"/>
      <c r="AO953" s="6"/>
      <c r="AP953" s="6">
        <f>Z953/L953</f>
        <v>1</v>
      </c>
      <c r="AQ953" s="6">
        <f>AJ953/M953</f>
        <v>1.1235955056179776</v>
      </c>
      <c r="AR953" s="6">
        <f>AB953/N953</f>
        <v>1</v>
      </c>
      <c r="AS953" s="4"/>
      <c r="AT953" s="4"/>
      <c r="AU953" s="4"/>
      <c r="AV953" s="4"/>
      <c r="AW953" s="4"/>
      <c r="AX953" s="4"/>
      <c r="AY953" s="4"/>
      <c r="AZ953" s="4"/>
      <c r="BA953" s="4"/>
      <c r="BB953" s="4">
        <v>0</v>
      </c>
      <c r="BC953" s="4" t="s">
        <v>4416</v>
      </c>
      <c r="BD953" s="4">
        <v>1</v>
      </c>
      <c r="BE953" s="4">
        <v>2</v>
      </c>
      <c r="BF953" s="4" t="s">
        <v>3640</v>
      </c>
      <c r="BG953" s="4">
        <v>1200</v>
      </c>
      <c r="BH953" s="4">
        <v>1200</v>
      </c>
      <c r="BI953" s="4">
        <f t="shared" si="147"/>
        <v>600</v>
      </c>
      <c r="BJ953" s="19">
        <v>4</v>
      </c>
      <c r="BK953" s="19">
        <v>8</v>
      </c>
      <c r="BL953" s="16">
        <v>6</v>
      </c>
      <c r="BM953" s="45" t="s">
        <v>3534</v>
      </c>
      <c r="BN953" t="s">
        <v>3534</v>
      </c>
      <c r="BO953" t="str">
        <f t="shared" si="140"/>
        <v>-</v>
      </c>
      <c r="BP953" t="s">
        <v>3534</v>
      </c>
      <c r="BQ953">
        <v>587</v>
      </c>
      <c r="BR953">
        <f t="shared" si="141"/>
        <v>587</v>
      </c>
      <c r="BS953" t="s">
        <v>3269</v>
      </c>
    </row>
    <row r="954" spans="1:71" x14ac:dyDescent="0.4">
      <c r="A954" s="3">
        <v>951</v>
      </c>
      <c r="B954" s="3">
        <v>951</v>
      </c>
      <c r="C954" s="4" t="s">
        <v>1013</v>
      </c>
      <c r="D954" s="4" t="str">
        <f t="shared" si="142"/>
        <v>J784LY</v>
      </c>
      <c r="E954" s="4" t="s">
        <v>1013</v>
      </c>
      <c r="F954" s="4" t="s">
        <v>2231</v>
      </c>
      <c r="G954" s="5">
        <v>4521718777412</v>
      </c>
      <c r="H954" s="5"/>
      <c r="I954" s="5"/>
      <c r="J954" s="5">
        <v>1</v>
      </c>
      <c r="K954" s="5">
        <v>1</v>
      </c>
      <c r="L954" s="4">
        <v>600</v>
      </c>
      <c r="M954" s="4">
        <v>534</v>
      </c>
      <c r="N954" s="4">
        <v>420</v>
      </c>
      <c r="O954" s="6">
        <f t="shared" si="143"/>
        <v>0.2134831460674157</v>
      </c>
      <c r="P954" s="4" t="s">
        <v>2500</v>
      </c>
      <c r="Q954" s="4"/>
      <c r="R954" s="4"/>
      <c r="S954" s="4"/>
      <c r="T954" s="4"/>
      <c r="U954" s="4"/>
      <c r="V954" s="4"/>
      <c r="W954" s="4"/>
      <c r="X954" s="4"/>
      <c r="Y954" s="4">
        <v>600</v>
      </c>
      <c r="Z954" s="4">
        <f t="shared" si="144"/>
        <v>600</v>
      </c>
      <c r="AA954" s="4">
        <v>420</v>
      </c>
      <c r="AB954" s="4">
        <f t="shared" si="145"/>
        <v>420</v>
      </c>
      <c r="AC954" s="4"/>
      <c r="AD954" s="21">
        <f>ROUND(M954*AR954,0)</f>
        <v>534</v>
      </c>
      <c r="AE954" s="6">
        <f>1-AB954/AD954</f>
        <v>0.2134831460674157</v>
      </c>
      <c r="AF954" s="33">
        <v>0</v>
      </c>
      <c r="AG954" s="4">
        <f t="shared" si="146"/>
        <v>600</v>
      </c>
      <c r="AH954" s="33">
        <f t="shared" si="139"/>
        <v>600</v>
      </c>
      <c r="AI954" s="6">
        <f>1-AB954/AH954</f>
        <v>0.30000000000000004</v>
      </c>
      <c r="AJ954" s="7">
        <v>600</v>
      </c>
      <c r="AK954" s="6">
        <f>1-AB954/AJ954</f>
        <v>0.30000000000000004</v>
      </c>
      <c r="AL954" s="4">
        <f>AJ954-AB954</f>
        <v>180</v>
      </c>
      <c r="AM954" s="28"/>
      <c r="AN954" s="6"/>
      <c r="AO954" s="6"/>
      <c r="AP954" s="6">
        <f>Z954/L954</f>
        <v>1</v>
      </c>
      <c r="AQ954" s="6">
        <f>AJ954/M954</f>
        <v>1.1235955056179776</v>
      </c>
      <c r="AR954" s="6">
        <f>AB954/N954</f>
        <v>1</v>
      </c>
      <c r="AS954" s="4"/>
      <c r="AT954" s="4"/>
      <c r="AU954" s="4"/>
      <c r="AV954" s="4"/>
      <c r="AW954" s="4"/>
      <c r="AX954" s="4"/>
      <c r="AY954" s="4"/>
      <c r="AZ954" s="4"/>
      <c r="BA954" s="4"/>
      <c r="BB954" s="4">
        <v>0</v>
      </c>
      <c r="BC954" s="4" t="s">
        <v>4417</v>
      </c>
      <c r="BD954" s="4">
        <v>1</v>
      </c>
      <c r="BE954" s="4">
        <v>2</v>
      </c>
      <c r="BF954" s="4" t="s">
        <v>3640</v>
      </c>
      <c r="BG954" s="4">
        <v>1200</v>
      </c>
      <c r="BH954" s="4">
        <v>1200</v>
      </c>
      <c r="BI954" s="4">
        <f t="shared" si="147"/>
        <v>600</v>
      </c>
      <c r="BJ954" s="19">
        <v>4</v>
      </c>
      <c r="BK954" s="19">
        <v>8</v>
      </c>
      <c r="BL954" s="16">
        <v>6</v>
      </c>
      <c r="BM954" s="45" t="s">
        <v>3534</v>
      </c>
      <c r="BN954" t="s">
        <v>3534</v>
      </c>
      <c r="BO954" t="str">
        <f t="shared" si="140"/>
        <v>-</v>
      </c>
      <c r="BP954" t="s">
        <v>3534</v>
      </c>
      <c r="BQ954">
        <v>587</v>
      </c>
      <c r="BR954">
        <f t="shared" si="141"/>
        <v>587</v>
      </c>
      <c r="BS954" t="s">
        <v>3270</v>
      </c>
    </row>
    <row r="955" spans="1:71" x14ac:dyDescent="0.4">
      <c r="A955" s="3">
        <v>952</v>
      </c>
      <c r="B955" s="3">
        <v>952</v>
      </c>
      <c r="C955" s="4" t="s">
        <v>1014</v>
      </c>
      <c r="D955" s="4" t="str">
        <f t="shared" si="142"/>
        <v>J786LY</v>
      </c>
      <c r="E955" s="4" t="s">
        <v>1014</v>
      </c>
      <c r="F955" s="4" t="s">
        <v>2232</v>
      </c>
      <c r="G955" s="5">
        <v>4521718777436</v>
      </c>
      <c r="H955" s="5"/>
      <c r="I955" s="5"/>
      <c r="J955" s="5">
        <v>1</v>
      </c>
      <c r="K955" s="5">
        <v>1</v>
      </c>
      <c r="L955" s="4">
        <v>600</v>
      </c>
      <c r="M955" s="4">
        <v>534</v>
      </c>
      <c r="N955" s="4">
        <v>420</v>
      </c>
      <c r="O955" s="6">
        <f t="shared" si="143"/>
        <v>0.2134831460674157</v>
      </c>
      <c r="P955" s="4" t="s">
        <v>2500</v>
      </c>
      <c r="Q955" s="4"/>
      <c r="R955" s="4"/>
      <c r="S955" s="4"/>
      <c r="T955" s="4"/>
      <c r="U955" s="4"/>
      <c r="V955" s="4"/>
      <c r="W955" s="4"/>
      <c r="X955" s="4"/>
      <c r="Y955" s="4">
        <v>600</v>
      </c>
      <c r="Z955" s="4">
        <f t="shared" si="144"/>
        <v>600</v>
      </c>
      <c r="AA955" s="4">
        <v>420</v>
      </c>
      <c r="AB955" s="4">
        <f t="shared" si="145"/>
        <v>420</v>
      </c>
      <c r="AC955" s="4"/>
      <c r="AD955" s="21">
        <f>ROUND(M955*AR955,0)</f>
        <v>534</v>
      </c>
      <c r="AE955" s="6">
        <f>1-AB955/AD955</f>
        <v>0.2134831460674157</v>
      </c>
      <c r="AF955" s="33">
        <v>0</v>
      </c>
      <c r="AG955" s="4">
        <f t="shared" si="146"/>
        <v>600</v>
      </c>
      <c r="AH955" s="33">
        <f t="shared" si="139"/>
        <v>600</v>
      </c>
      <c r="AI955" s="6">
        <f>1-AB955/AH955</f>
        <v>0.30000000000000004</v>
      </c>
      <c r="AJ955" s="7">
        <v>600</v>
      </c>
      <c r="AK955" s="6">
        <f>1-AB955/AJ955</f>
        <v>0.30000000000000004</v>
      </c>
      <c r="AL955" s="4">
        <f>AJ955-AB955</f>
        <v>180</v>
      </c>
      <c r="AM955" s="28"/>
      <c r="AN955" s="6"/>
      <c r="AO955" s="6"/>
      <c r="AP955" s="6">
        <f>Z955/L955</f>
        <v>1</v>
      </c>
      <c r="AQ955" s="6">
        <f>AJ955/M955</f>
        <v>1.1235955056179776</v>
      </c>
      <c r="AR955" s="6">
        <f>AB955/N955</f>
        <v>1</v>
      </c>
      <c r="AS955" s="4"/>
      <c r="AT955" s="4"/>
      <c r="AU955" s="4"/>
      <c r="AV955" s="4"/>
      <c r="AW955" s="4"/>
      <c r="AX955" s="4"/>
      <c r="AY955" s="4"/>
      <c r="AZ955" s="4"/>
      <c r="BA955" s="4"/>
      <c r="BB955" s="4">
        <v>0</v>
      </c>
      <c r="BC955" s="4" t="s">
        <v>4418</v>
      </c>
      <c r="BD955" s="4">
        <v>1</v>
      </c>
      <c r="BE955" s="4">
        <v>2</v>
      </c>
      <c r="BF955" s="4" t="s">
        <v>3640</v>
      </c>
      <c r="BG955" s="4">
        <v>1200</v>
      </c>
      <c r="BH955" s="4">
        <v>1200</v>
      </c>
      <c r="BI955" s="4">
        <f t="shared" si="147"/>
        <v>600</v>
      </c>
      <c r="BJ955" s="19">
        <v>4</v>
      </c>
      <c r="BK955" s="19">
        <v>8</v>
      </c>
      <c r="BL955" s="16">
        <v>6</v>
      </c>
      <c r="BM955" s="45" t="s">
        <v>3534</v>
      </c>
      <c r="BN955" t="s">
        <v>3534</v>
      </c>
      <c r="BO955" t="str">
        <f t="shared" si="140"/>
        <v>-</v>
      </c>
      <c r="BP955" t="s">
        <v>3534</v>
      </c>
      <c r="BQ955">
        <v>587</v>
      </c>
      <c r="BR955">
        <f t="shared" si="141"/>
        <v>587</v>
      </c>
      <c r="BS955" t="s">
        <v>3271</v>
      </c>
    </row>
    <row r="956" spans="1:71" x14ac:dyDescent="0.4">
      <c r="A956" s="3">
        <v>953</v>
      </c>
      <c r="B956" s="3">
        <v>953</v>
      </c>
      <c r="C956" s="4" t="s">
        <v>1015</v>
      </c>
      <c r="D956" s="4" t="str">
        <f t="shared" si="142"/>
        <v>J787LY</v>
      </c>
      <c r="E956" s="4" t="s">
        <v>1015</v>
      </c>
      <c r="F956" s="4" t="s">
        <v>2233</v>
      </c>
      <c r="G956" s="5">
        <v>4521718777443</v>
      </c>
      <c r="H956" s="5"/>
      <c r="I956" s="5"/>
      <c r="J956" s="5">
        <v>1</v>
      </c>
      <c r="K956" s="5">
        <v>1</v>
      </c>
      <c r="L956" s="4">
        <v>600</v>
      </c>
      <c r="M956" s="4">
        <v>534</v>
      </c>
      <c r="N956" s="4">
        <v>420</v>
      </c>
      <c r="O956" s="6">
        <f t="shared" si="143"/>
        <v>0.2134831460674157</v>
      </c>
      <c r="P956" s="4" t="s">
        <v>2500</v>
      </c>
      <c r="Q956" s="4"/>
      <c r="R956" s="4"/>
      <c r="S956" s="4"/>
      <c r="T956" s="4"/>
      <c r="U956" s="4"/>
      <c r="V956" s="4"/>
      <c r="W956" s="4"/>
      <c r="X956" s="4"/>
      <c r="Y956" s="4">
        <v>600</v>
      </c>
      <c r="Z956" s="4">
        <f t="shared" si="144"/>
        <v>600</v>
      </c>
      <c r="AA956" s="4">
        <v>420</v>
      </c>
      <c r="AB956" s="4">
        <f t="shared" si="145"/>
        <v>420</v>
      </c>
      <c r="AC956" s="4"/>
      <c r="AD956" s="21">
        <f>ROUND(M956*AR956,0)</f>
        <v>534</v>
      </c>
      <c r="AE956" s="6">
        <f>1-AB956/AD956</f>
        <v>0.2134831460674157</v>
      </c>
      <c r="AF956" s="33">
        <v>0</v>
      </c>
      <c r="AG956" s="4">
        <f t="shared" si="146"/>
        <v>600</v>
      </c>
      <c r="AH956" s="33">
        <f t="shared" si="139"/>
        <v>600</v>
      </c>
      <c r="AI956" s="6">
        <f>1-AB956/AH956</f>
        <v>0.30000000000000004</v>
      </c>
      <c r="AJ956" s="7">
        <v>600</v>
      </c>
      <c r="AK956" s="6">
        <f>1-AB956/AJ956</f>
        <v>0.30000000000000004</v>
      </c>
      <c r="AL956" s="4">
        <f>AJ956-AB956</f>
        <v>180</v>
      </c>
      <c r="AM956" s="28"/>
      <c r="AN956" s="6"/>
      <c r="AO956" s="6"/>
      <c r="AP956" s="6">
        <f>Z956/L956</f>
        <v>1</v>
      </c>
      <c r="AQ956" s="6">
        <f>AJ956/M956</f>
        <v>1.1235955056179776</v>
      </c>
      <c r="AR956" s="6">
        <f>AB956/N956</f>
        <v>1</v>
      </c>
      <c r="AS956" s="4"/>
      <c r="AT956" s="4"/>
      <c r="AU956" s="4"/>
      <c r="AV956" s="4"/>
      <c r="AW956" s="4"/>
      <c r="AX956" s="4"/>
      <c r="AY956" s="4"/>
      <c r="AZ956" s="4"/>
      <c r="BA956" s="4"/>
      <c r="BB956" s="4">
        <v>0</v>
      </c>
      <c r="BC956" s="4" t="s">
        <v>4419</v>
      </c>
      <c r="BD956" s="4">
        <v>1</v>
      </c>
      <c r="BE956" s="4">
        <v>2</v>
      </c>
      <c r="BF956" s="4" t="s">
        <v>3640</v>
      </c>
      <c r="BG956" s="4">
        <v>1200</v>
      </c>
      <c r="BH956" s="4">
        <v>1200</v>
      </c>
      <c r="BI956" s="4">
        <f t="shared" si="147"/>
        <v>600</v>
      </c>
      <c r="BJ956" s="19">
        <v>4</v>
      </c>
      <c r="BK956" s="19">
        <v>8</v>
      </c>
      <c r="BL956" s="16">
        <v>6</v>
      </c>
      <c r="BM956" s="45" t="s">
        <v>3534</v>
      </c>
      <c r="BN956" t="s">
        <v>3534</v>
      </c>
      <c r="BO956" t="str">
        <f t="shared" si="140"/>
        <v>-</v>
      </c>
      <c r="BP956" t="s">
        <v>3534</v>
      </c>
      <c r="BQ956">
        <v>587</v>
      </c>
      <c r="BR956">
        <f t="shared" si="141"/>
        <v>587</v>
      </c>
      <c r="BS956" t="s">
        <v>3272</v>
      </c>
    </row>
    <row r="957" spans="1:71" x14ac:dyDescent="0.4">
      <c r="A957" s="3">
        <v>954</v>
      </c>
      <c r="B957" s="3">
        <v>954</v>
      </c>
      <c r="C957" s="4" t="s">
        <v>1016</v>
      </c>
      <c r="D957" s="4" t="str">
        <f t="shared" si="142"/>
        <v>J789LY</v>
      </c>
      <c r="E957" s="4" t="s">
        <v>1016</v>
      </c>
      <c r="F957" s="4" t="s">
        <v>2234</v>
      </c>
      <c r="G957" s="5">
        <v>4521718777467</v>
      </c>
      <c r="H957" s="5"/>
      <c r="I957" s="5"/>
      <c r="J957" s="5">
        <v>1</v>
      </c>
      <c r="K957" s="5">
        <v>1</v>
      </c>
      <c r="L957" s="4">
        <v>600</v>
      </c>
      <c r="M957" s="4">
        <v>534</v>
      </c>
      <c r="N957" s="4">
        <v>420</v>
      </c>
      <c r="O957" s="6">
        <f t="shared" si="143"/>
        <v>0.2134831460674157</v>
      </c>
      <c r="P957" s="4" t="s">
        <v>2500</v>
      </c>
      <c r="Q957" s="4"/>
      <c r="R957" s="4"/>
      <c r="S957" s="4"/>
      <c r="T957" s="4"/>
      <c r="U957" s="4"/>
      <c r="V957" s="4"/>
      <c r="W957" s="4"/>
      <c r="X957" s="4"/>
      <c r="Y957" s="4">
        <v>600</v>
      </c>
      <c r="Z957" s="4">
        <f t="shared" si="144"/>
        <v>600</v>
      </c>
      <c r="AA957" s="4">
        <v>420</v>
      </c>
      <c r="AB957" s="4">
        <f t="shared" si="145"/>
        <v>420</v>
      </c>
      <c r="AC957" s="4"/>
      <c r="AD957" s="21">
        <f>ROUND(M957*AR957,0)</f>
        <v>534</v>
      </c>
      <c r="AE957" s="6">
        <f>1-AB957/AD957</f>
        <v>0.2134831460674157</v>
      </c>
      <c r="AF957" s="33">
        <v>0</v>
      </c>
      <c r="AG957" s="4">
        <f t="shared" si="146"/>
        <v>600</v>
      </c>
      <c r="AH957" s="33">
        <f t="shared" si="139"/>
        <v>600</v>
      </c>
      <c r="AI957" s="6">
        <f>1-AB957/AH957</f>
        <v>0.30000000000000004</v>
      </c>
      <c r="AJ957" s="7">
        <v>600</v>
      </c>
      <c r="AK957" s="6">
        <f>1-AB957/AJ957</f>
        <v>0.30000000000000004</v>
      </c>
      <c r="AL957" s="4">
        <f>AJ957-AB957</f>
        <v>180</v>
      </c>
      <c r="AM957" s="28"/>
      <c r="AN957" s="6"/>
      <c r="AO957" s="6"/>
      <c r="AP957" s="6">
        <f>Z957/L957</f>
        <v>1</v>
      </c>
      <c r="AQ957" s="6">
        <f>AJ957/M957</f>
        <v>1.1235955056179776</v>
      </c>
      <c r="AR957" s="6">
        <f>AB957/N957</f>
        <v>1</v>
      </c>
      <c r="AS957" s="4"/>
      <c r="AT957" s="4"/>
      <c r="AU957" s="4"/>
      <c r="AV957" s="4"/>
      <c r="AW957" s="4"/>
      <c r="AX957" s="4"/>
      <c r="AY957" s="4"/>
      <c r="AZ957" s="4"/>
      <c r="BA957" s="4"/>
      <c r="BB957" s="4">
        <v>0</v>
      </c>
      <c r="BC957" s="4" t="s">
        <v>4420</v>
      </c>
      <c r="BD957" s="4">
        <v>1</v>
      </c>
      <c r="BE957" s="4">
        <v>2</v>
      </c>
      <c r="BF957" s="4" t="s">
        <v>3640</v>
      </c>
      <c r="BG957" s="4">
        <v>1200</v>
      </c>
      <c r="BH957" s="4">
        <v>1200</v>
      </c>
      <c r="BI957" s="4">
        <f t="shared" si="147"/>
        <v>600</v>
      </c>
      <c r="BJ957" s="19">
        <v>4</v>
      </c>
      <c r="BK957" s="19">
        <v>8</v>
      </c>
      <c r="BL957" s="16">
        <v>6</v>
      </c>
      <c r="BM957" s="45" t="s">
        <v>3534</v>
      </c>
      <c r="BN957" t="s">
        <v>3534</v>
      </c>
      <c r="BO957" t="str">
        <f t="shared" si="140"/>
        <v>-</v>
      </c>
      <c r="BP957" t="s">
        <v>3534</v>
      </c>
      <c r="BQ957">
        <v>587</v>
      </c>
      <c r="BR957">
        <f t="shared" si="141"/>
        <v>587</v>
      </c>
      <c r="BS957" t="s">
        <v>3273</v>
      </c>
    </row>
    <row r="958" spans="1:71" x14ac:dyDescent="0.4">
      <c r="A958" s="3">
        <v>955</v>
      </c>
      <c r="B958" s="3">
        <v>955</v>
      </c>
      <c r="C958" s="4" t="s">
        <v>1017</v>
      </c>
      <c r="D958" s="4" t="str">
        <f t="shared" si="142"/>
        <v>J788LY</v>
      </c>
      <c r="E958" s="4" t="s">
        <v>1017</v>
      </c>
      <c r="F958" s="4" t="s">
        <v>2235</v>
      </c>
      <c r="G958" s="5">
        <v>4521718777450</v>
      </c>
      <c r="H958" s="5"/>
      <c r="I958" s="5"/>
      <c r="J958" s="5">
        <v>1</v>
      </c>
      <c r="K958" s="5">
        <v>1</v>
      </c>
      <c r="L958" s="4">
        <v>600</v>
      </c>
      <c r="M958" s="4">
        <v>534</v>
      </c>
      <c r="N958" s="4">
        <v>420</v>
      </c>
      <c r="O958" s="6">
        <f t="shared" si="143"/>
        <v>0.2134831460674157</v>
      </c>
      <c r="P958" s="4" t="s">
        <v>2500</v>
      </c>
      <c r="Q958" s="4"/>
      <c r="R958" s="4"/>
      <c r="S958" s="4"/>
      <c r="T958" s="4"/>
      <c r="U958" s="4"/>
      <c r="V958" s="4"/>
      <c r="W958" s="4"/>
      <c r="X958" s="4"/>
      <c r="Y958" s="4">
        <v>600</v>
      </c>
      <c r="Z958" s="4">
        <f t="shared" si="144"/>
        <v>600</v>
      </c>
      <c r="AA958" s="4">
        <v>420</v>
      </c>
      <c r="AB958" s="4">
        <f t="shared" si="145"/>
        <v>420</v>
      </c>
      <c r="AC958" s="4"/>
      <c r="AD958" s="21">
        <f>ROUND(M958*AR958,0)</f>
        <v>534</v>
      </c>
      <c r="AE958" s="6">
        <f>1-AB958/AD958</f>
        <v>0.2134831460674157</v>
      </c>
      <c r="AF958" s="33">
        <v>0</v>
      </c>
      <c r="AG958" s="4">
        <f t="shared" si="146"/>
        <v>600</v>
      </c>
      <c r="AH958" s="33">
        <f t="shared" si="139"/>
        <v>600</v>
      </c>
      <c r="AI958" s="6">
        <f>1-AB958/AH958</f>
        <v>0.30000000000000004</v>
      </c>
      <c r="AJ958" s="7">
        <v>600</v>
      </c>
      <c r="AK958" s="6">
        <f>1-AB958/AJ958</f>
        <v>0.30000000000000004</v>
      </c>
      <c r="AL958" s="4">
        <f>AJ958-AB958</f>
        <v>180</v>
      </c>
      <c r="AM958" s="28"/>
      <c r="AN958" s="6"/>
      <c r="AO958" s="6"/>
      <c r="AP958" s="6">
        <f>Z958/L958</f>
        <v>1</v>
      </c>
      <c r="AQ958" s="6">
        <f>AJ958/M958</f>
        <v>1.1235955056179776</v>
      </c>
      <c r="AR958" s="6">
        <f>AB958/N958</f>
        <v>1</v>
      </c>
      <c r="AS958" s="4"/>
      <c r="AT958" s="4"/>
      <c r="AU958" s="4"/>
      <c r="AV958" s="4"/>
      <c r="AW958" s="4"/>
      <c r="AX958" s="4"/>
      <c r="AY958" s="4"/>
      <c r="AZ958" s="4"/>
      <c r="BA958" s="4"/>
      <c r="BB958" s="4">
        <v>0</v>
      </c>
      <c r="BC958" s="4" t="s">
        <v>4421</v>
      </c>
      <c r="BD958" s="4">
        <v>1</v>
      </c>
      <c r="BE958" s="4">
        <v>2</v>
      </c>
      <c r="BF958" s="4" t="s">
        <v>3640</v>
      </c>
      <c r="BG958" s="4">
        <v>1200</v>
      </c>
      <c r="BH958" s="4">
        <v>1200</v>
      </c>
      <c r="BI958" s="4">
        <f t="shared" si="147"/>
        <v>600</v>
      </c>
      <c r="BJ958" s="19">
        <v>4</v>
      </c>
      <c r="BK958" s="19">
        <v>8</v>
      </c>
      <c r="BL958" s="16">
        <v>6</v>
      </c>
      <c r="BM958" s="45" t="s">
        <v>3534</v>
      </c>
      <c r="BN958" t="s">
        <v>3534</v>
      </c>
      <c r="BO958" t="str">
        <f t="shared" si="140"/>
        <v>-</v>
      </c>
      <c r="BP958" t="s">
        <v>3534</v>
      </c>
      <c r="BQ958">
        <v>587</v>
      </c>
      <c r="BR958">
        <f t="shared" si="141"/>
        <v>587</v>
      </c>
      <c r="BS958" t="s">
        <v>3274</v>
      </c>
    </row>
    <row r="959" spans="1:71" x14ac:dyDescent="0.4">
      <c r="A959" s="3">
        <v>956</v>
      </c>
      <c r="B959" s="3">
        <v>956</v>
      </c>
      <c r="C959" s="4" t="s">
        <v>1018</v>
      </c>
      <c r="D959" s="4" t="str">
        <f t="shared" si="142"/>
        <v>J791LY</v>
      </c>
      <c r="E959" s="4" t="s">
        <v>1018</v>
      </c>
      <c r="F959" s="4" t="s">
        <v>2236</v>
      </c>
      <c r="G959" s="5">
        <v>4521718777498</v>
      </c>
      <c r="H959" s="5"/>
      <c r="I959" s="5"/>
      <c r="J959" s="5">
        <v>1</v>
      </c>
      <c r="K959" s="5">
        <v>1</v>
      </c>
      <c r="L959" s="4">
        <v>600</v>
      </c>
      <c r="M959" s="4">
        <v>534</v>
      </c>
      <c r="N959" s="4">
        <v>420</v>
      </c>
      <c r="O959" s="6">
        <f t="shared" si="143"/>
        <v>0.2134831460674157</v>
      </c>
      <c r="P959" s="4" t="s">
        <v>2500</v>
      </c>
      <c r="Q959" s="4"/>
      <c r="R959" s="4"/>
      <c r="S959" s="4"/>
      <c r="T959" s="4"/>
      <c r="U959" s="4"/>
      <c r="V959" s="4"/>
      <c r="W959" s="4"/>
      <c r="X959" s="4"/>
      <c r="Y959" s="4">
        <v>600</v>
      </c>
      <c r="Z959" s="4">
        <f t="shared" si="144"/>
        <v>600</v>
      </c>
      <c r="AA959" s="4">
        <v>420</v>
      </c>
      <c r="AB959" s="4">
        <f t="shared" si="145"/>
        <v>420</v>
      </c>
      <c r="AC959" s="4"/>
      <c r="AD959" s="21">
        <f>ROUND(M959*AR959,0)</f>
        <v>534</v>
      </c>
      <c r="AE959" s="6">
        <f>1-AB959/AD959</f>
        <v>0.2134831460674157</v>
      </c>
      <c r="AF959" s="33">
        <v>0</v>
      </c>
      <c r="AG959" s="4">
        <f t="shared" si="146"/>
        <v>600</v>
      </c>
      <c r="AH959" s="33">
        <f t="shared" si="139"/>
        <v>600</v>
      </c>
      <c r="AI959" s="6">
        <f>1-AB959/AH959</f>
        <v>0.30000000000000004</v>
      </c>
      <c r="AJ959" s="7">
        <v>600</v>
      </c>
      <c r="AK959" s="6">
        <f>1-AB959/AJ959</f>
        <v>0.30000000000000004</v>
      </c>
      <c r="AL959" s="4">
        <f>AJ959-AB959</f>
        <v>180</v>
      </c>
      <c r="AM959" s="28"/>
      <c r="AN959" s="6"/>
      <c r="AO959" s="6"/>
      <c r="AP959" s="6">
        <f>Z959/L959</f>
        <v>1</v>
      </c>
      <c r="AQ959" s="6">
        <f>AJ959/M959</f>
        <v>1.1235955056179776</v>
      </c>
      <c r="AR959" s="6">
        <f>AB959/N959</f>
        <v>1</v>
      </c>
      <c r="AS959" s="4"/>
      <c r="AT959" s="4"/>
      <c r="AU959" s="4"/>
      <c r="AV959" s="4"/>
      <c r="AW959" s="4"/>
      <c r="AX959" s="4"/>
      <c r="AY959" s="4"/>
      <c r="AZ959" s="4"/>
      <c r="BA959" s="4"/>
      <c r="BB959" s="4">
        <v>0</v>
      </c>
      <c r="BC959" s="4" t="s">
        <v>4422</v>
      </c>
      <c r="BD959" s="4">
        <v>1</v>
      </c>
      <c r="BE959" s="4">
        <v>2</v>
      </c>
      <c r="BF959" s="4" t="s">
        <v>3640</v>
      </c>
      <c r="BG959" s="4">
        <v>1200</v>
      </c>
      <c r="BH959" s="4">
        <v>1200</v>
      </c>
      <c r="BI959" s="4">
        <f t="shared" si="147"/>
        <v>600</v>
      </c>
      <c r="BJ959" s="19">
        <v>4</v>
      </c>
      <c r="BK959" s="19">
        <v>8</v>
      </c>
      <c r="BL959" s="16">
        <v>6</v>
      </c>
      <c r="BM959" s="45" t="s">
        <v>3534</v>
      </c>
      <c r="BN959" t="s">
        <v>3534</v>
      </c>
      <c r="BO959" t="str">
        <f t="shared" si="140"/>
        <v>-</v>
      </c>
      <c r="BP959" t="s">
        <v>3534</v>
      </c>
      <c r="BQ959">
        <v>587</v>
      </c>
      <c r="BR959">
        <f t="shared" si="141"/>
        <v>587</v>
      </c>
      <c r="BS959" t="s">
        <v>3275</v>
      </c>
    </row>
    <row r="960" spans="1:71" x14ac:dyDescent="0.4">
      <c r="A960" s="3">
        <v>957</v>
      </c>
      <c r="B960" s="3">
        <v>957</v>
      </c>
      <c r="C960" s="4" t="s">
        <v>1019</v>
      </c>
      <c r="D960" s="4" t="str">
        <f t="shared" si="142"/>
        <v>J790LY</v>
      </c>
      <c r="E960" s="4" t="s">
        <v>1019</v>
      </c>
      <c r="F960" s="4" t="s">
        <v>2237</v>
      </c>
      <c r="G960" s="5">
        <v>4521718777474</v>
      </c>
      <c r="H960" s="5"/>
      <c r="I960" s="5"/>
      <c r="J960" s="5">
        <v>1</v>
      </c>
      <c r="K960" s="5">
        <v>1</v>
      </c>
      <c r="L960" s="4">
        <v>600</v>
      </c>
      <c r="M960" s="4">
        <v>534</v>
      </c>
      <c r="N960" s="4">
        <v>420</v>
      </c>
      <c r="O960" s="6">
        <f t="shared" si="143"/>
        <v>0.2134831460674157</v>
      </c>
      <c r="P960" s="4" t="s">
        <v>2500</v>
      </c>
      <c r="Q960" s="4"/>
      <c r="R960" s="4"/>
      <c r="S960" s="4"/>
      <c r="T960" s="4"/>
      <c r="U960" s="4"/>
      <c r="V960" s="4"/>
      <c r="W960" s="4"/>
      <c r="X960" s="4"/>
      <c r="Y960" s="4">
        <v>600</v>
      </c>
      <c r="Z960" s="4">
        <f t="shared" si="144"/>
        <v>600</v>
      </c>
      <c r="AA960" s="4">
        <v>420</v>
      </c>
      <c r="AB960" s="4">
        <f t="shared" si="145"/>
        <v>420</v>
      </c>
      <c r="AC960" s="4"/>
      <c r="AD960" s="21">
        <f>ROUND(M960*AR960,0)</f>
        <v>534</v>
      </c>
      <c r="AE960" s="6">
        <f>1-AB960/AD960</f>
        <v>0.2134831460674157</v>
      </c>
      <c r="AF960" s="33">
        <v>0</v>
      </c>
      <c r="AG960" s="4">
        <f t="shared" si="146"/>
        <v>600</v>
      </c>
      <c r="AH960" s="33">
        <f t="shared" si="139"/>
        <v>600</v>
      </c>
      <c r="AI960" s="6">
        <f>1-AB960/AH960</f>
        <v>0.30000000000000004</v>
      </c>
      <c r="AJ960" s="7">
        <v>600</v>
      </c>
      <c r="AK960" s="6">
        <f>1-AB960/AJ960</f>
        <v>0.30000000000000004</v>
      </c>
      <c r="AL960" s="4">
        <f>AJ960-AB960</f>
        <v>180</v>
      </c>
      <c r="AM960" s="28"/>
      <c r="AN960" s="6"/>
      <c r="AO960" s="6"/>
      <c r="AP960" s="6">
        <f>Z960/L960</f>
        <v>1</v>
      </c>
      <c r="AQ960" s="6">
        <f>AJ960/M960</f>
        <v>1.1235955056179776</v>
      </c>
      <c r="AR960" s="6">
        <f>AB960/N960</f>
        <v>1</v>
      </c>
      <c r="AS960" s="4"/>
      <c r="AT960" s="4"/>
      <c r="AU960" s="4"/>
      <c r="AV960" s="4"/>
      <c r="AW960" s="4"/>
      <c r="AX960" s="4"/>
      <c r="AY960" s="4"/>
      <c r="AZ960" s="4"/>
      <c r="BA960" s="4"/>
      <c r="BB960" s="4">
        <v>0</v>
      </c>
      <c r="BC960" s="4" t="s">
        <v>4423</v>
      </c>
      <c r="BD960" s="4">
        <v>1</v>
      </c>
      <c r="BE960" s="4">
        <v>2</v>
      </c>
      <c r="BF960" s="4" t="s">
        <v>3640</v>
      </c>
      <c r="BG960" s="4">
        <v>1200</v>
      </c>
      <c r="BH960" s="4">
        <v>1200</v>
      </c>
      <c r="BI960" s="4">
        <f t="shared" si="147"/>
        <v>600</v>
      </c>
      <c r="BJ960" s="19">
        <v>4</v>
      </c>
      <c r="BK960" s="19">
        <v>8</v>
      </c>
      <c r="BL960" s="16">
        <v>6</v>
      </c>
      <c r="BM960" s="45" t="s">
        <v>3534</v>
      </c>
      <c r="BN960" t="s">
        <v>3534</v>
      </c>
      <c r="BO960" t="str">
        <f t="shared" si="140"/>
        <v>-</v>
      </c>
      <c r="BP960" t="s">
        <v>3534</v>
      </c>
      <c r="BQ960">
        <v>587</v>
      </c>
      <c r="BR960">
        <f t="shared" si="141"/>
        <v>587</v>
      </c>
      <c r="BS960" t="s">
        <v>3276</v>
      </c>
    </row>
    <row r="961" spans="1:71" x14ac:dyDescent="0.4">
      <c r="A961" s="3">
        <v>958</v>
      </c>
      <c r="B961" s="3">
        <v>958</v>
      </c>
      <c r="C961" s="4" t="s">
        <v>1020</v>
      </c>
      <c r="D961" s="4" t="str">
        <f t="shared" si="142"/>
        <v>J793LY</v>
      </c>
      <c r="E961" s="4" t="s">
        <v>1020</v>
      </c>
      <c r="F961" s="4" t="s">
        <v>2238</v>
      </c>
      <c r="G961" s="5">
        <v>4521718777511</v>
      </c>
      <c r="H961" s="5"/>
      <c r="I961" s="5"/>
      <c r="J961" s="5">
        <v>1</v>
      </c>
      <c r="K961" s="5">
        <v>1</v>
      </c>
      <c r="L961" s="4">
        <v>600</v>
      </c>
      <c r="M961" s="4">
        <v>534</v>
      </c>
      <c r="N961" s="4">
        <v>420</v>
      </c>
      <c r="O961" s="6">
        <f t="shared" si="143"/>
        <v>0.2134831460674157</v>
      </c>
      <c r="P961" s="4" t="s">
        <v>2500</v>
      </c>
      <c r="Q961" s="4"/>
      <c r="R961" s="4"/>
      <c r="S961" s="4"/>
      <c r="T961" s="4"/>
      <c r="U961" s="4"/>
      <c r="V961" s="4"/>
      <c r="W961" s="4"/>
      <c r="X961" s="4"/>
      <c r="Y961" s="4">
        <v>600</v>
      </c>
      <c r="Z961" s="4">
        <f t="shared" si="144"/>
        <v>600</v>
      </c>
      <c r="AA961" s="4">
        <v>420</v>
      </c>
      <c r="AB961" s="4">
        <f t="shared" si="145"/>
        <v>420</v>
      </c>
      <c r="AC961" s="4"/>
      <c r="AD961" s="21">
        <f>ROUND(M961*AR961,0)</f>
        <v>534</v>
      </c>
      <c r="AE961" s="6">
        <f>1-AB961/AD961</f>
        <v>0.2134831460674157</v>
      </c>
      <c r="AF961" s="33">
        <v>0</v>
      </c>
      <c r="AG961" s="4">
        <f t="shared" si="146"/>
        <v>600</v>
      </c>
      <c r="AH961" s="33">
        <f t="shared" si="139"/>
        <v>600</v>
      </c>
      <c r="AI961" s="6">
        <f>1-AB961/AH961</f>
        <v>0.30000000000000004</v>
      </c>
      <c r="AJ961" s="7">
        <v>600</v>
      </c>
      <c r="AK961" s="6">
        <f>1-AB961/AJ961</f>
        <v>0.30000000000000004</v>
      </c>
      <c r="AL961" s="4">
        <f>AJ961-AB961</f>
        <v>180</v>
      </c>
      <c r="AM961" s="28"/>
      <c r="AN961" s="6"/>
      <c r="AO961" s="6"/>
      <c r="AP961" s="6">
        <f>Z961/L961</f>
        <v>1</v>
      </c>
      <c r="AQ961" s="6">
        <f>AJ961/M961</f>
        <v>1.1235955056179776</v>
      </c>
      <c r="AR961" s="6">
        <f>AB961/N961</f>
        <v>1</v>
      </c>
      <c r="AS961" s="4"/>
      <c r="AT961" s="4"/>
      <c r="AU961" s="4"/>
      <c r="AV961" s="4"/>
      <c r="AW961" s="4"/>
      <c r="AX961" s="4"/>
      <c r="AY961" s="4"/>
      <c r="AZ961" s="4"/>
      <c r="BA961" s="4"/>
      <c r="BB961" s="4">
        <v>0</v>
      </c>
      <c r="BC961" s="4" t="s">
        <v>4424</v>
      </c>
      <c r="BD961" s="4">
        <v>1</v>
      </c>
      <c r="BE961" s="4">
        <v>2</v>
      </c>
      <c r="BF961" s="4" t="s">
        <v>3640</v>
      </c>
      <c r="BG961" s="4">
        <v>1200</v>
      </c>
      <c r="BH961" s="4">
        <v>1200</v>
      </c>
      <c r="BI961" s="4">
        <f t="shared" si="147"/>
        <v>600</v>
      </c>
      <c r="BJ961" s="19">
        <v>4</v>
      </c>
      <c r="BK961" s="19">
        <v>8</v>
      </c>
      <c r="BL961" s="16">
        <v>6</v>
      </c>
      <c r="BM961" s="45" t="s">
        <v>3534</v>
      </c>
      <c r="BN961" t="s">
        <v>3534</v>
      </c>
      <c r="BO961" t="str">
        <f t="shared" si="140"/>
        <v>-</v>
      </c>
      <c r="BP961" t="s">
        <v>3534</v>
      </c>
      <c r="BQ961">
        <v>587</v>
      </c>
      <c r="BR961">
        <f t="shared" si="141"/>
        <v>587</v>
      </c>
      <c r="BS961" t="s">
        <v>3277</v>
      </c>
    </row>
    <row r="962" spans="1:71" x14ac:dyDescent="0.4">
      <c r="A962" s="3">
        <v>959</v>
      </c>
      <c r="B962" s="3">
        <v>959</v>
      </c>
      <c r="C962" s="4" t="s">
        <v>1021</v>
      </c>
      <c r="D962" s="4" t="str">
        <f t="shared" si="142"/>
        <v>J792LY</v>
      </c>
      <c r="E962" s="4" t="s">
        <v>1021</v>
      </c>
      <c r="F962" s="4" t="s">
        <v>2239</v>
      </c>
      <c r="G962" s="5">
        <v>4521718777504</v>
      </c>
      <c r="H962" s="5"/>
      <c r="I962" s="5"/>
      <c r="J962" s="5">
        <v>1</v>
      </c>
      <c r="K962" s="5">
        <v>1</v>
      </c>
      <c r="L962" s="4">
        <v>600</v>
      </c>
      <c r="M962" s="4">
        <v>534</v>
      </c>
      <c r="N962" s="4">
        <v>420</v>
      </c>
      <c r="O962" s="6">
        <f t="shared" si="143"/>
        <v>0.2134831460674157</v>
      </c>
      <c r="P962" s="4" t="s">
        <v>2500</v>
      </c>
      <c r="Q962" s="4"/>
      <c r="R962" s="4"/>
      <c r="S962" s="4"/>
      <c r="T962" s="4"/>
      <c r="U962" s="4"/>
      <c r="V962" s="4"/>
      <c r="W962" s="4"/>
      <c r="X962" s="4"/>
      <c r="Y962" s="4">
        <v>600</v>
      </c>
      <c r="Z962" s="4">
        <f t="shared" si="144"/>
        <v>600</v>
      </c>
      <c r="AA962" s="4">
        <v>420</v>
      </c>
      <c r="AB962" s="4">
        <f t="shared" si="145"/>
        <v>420</v>
      </c>
      <c r="AC962" s="4"/>
      <c r="AD962" s="21">
        <f>ROUND(M962*AR962,0)</f>
        <v>534</v>
      </c>
      <c r="AE962" s="6">
        <f>1-AB962/AD962</f>
        <v>0.2134831460674157</v>
      </c>
      <c r="AF962" s="33">
        <v>0</v>
      </c>
      <c r="AG962" s="4">
        <f t="shared" si="146"/>
        <v>600</v>
      </c>
      <c r="AH962" s="33">
        <f t="shared" si="139"/>
        <v>600</v>
      </c>
      <c r="AI962" s="6">
        <f>1-AB962/AH962</f>
        <v>0.30000000000000004</v>
      </c>
      <c r="AJ962" s="7">
        <v>600</v>
      </c>
      <c r="AK962" s="6">
        <f>1-AB962/AJ962</f>
        <v>0.30000000000000004</v>
      </c>
      <c r="AL962" s="4">
        <f>AJ962-AB962</f>
        <v>180</v>
      </c>
      <c r="AM962" s="28"/>
      <c r="AN962" s="6"/>
      <c r="AO962" s="6"/>
      <c r="AP962" s="6">
        <f>Z962/L962</f>
        <v>1</v>
      </c>
      <c r="AQ962" s="6">
        <f>AJ962/M962</f>
        <v>1.1235955056179776</v>
      </c>
      <c r="AR962" s="6">
        <f>AB962/N962</f>
        <v>1</v>
      </c>
      <c r="AS962" s="4"/>
      <c r="AT962" s="4"/>
      <c r="AU962" s="4"/>
      <c r="AV962" s="4"/>
      <c r="AW962" s="4"/>
      <c r="AX962" s="4"/>
      <c r="AY962" s="4"/>
      <c r="AZ962" s="4"/>
      <c r="BA962" s="4"/>
      <c r="BB962" s="4">
        <v>0</v>
      </c>
      <c r="BC962" s="4" t="s">
        <v>4425</v>
      </c>
      <c r="BD962" s="4">
        <v>1</v>
      </c>
      <c r="BE962" s="4">
        <v>2</v>
      </c>
      <c r="BF962" s="4" t="s">
        <v>3640</v>
      </c>
      <c r="BG962" s="4">
        <v>1200</v>
      </c>
      <c r="BH962" s="4">
        <v>1200</v>
      </c>
      <c r="BI962" s="4">
        <f t="shared" si="147"/>
        <v>600</v>
      </c>
      <c r="BJ962" s="19">
        <v>4</v>
      </c>
      <c r="BK962" s="19">
        <v>8</v>
      </c>
      <c r="BL962" s="16">
        <v>6</v>
      </c>
      <c r="BM962" s="45" t="s">
        <v>3534</v>
      </c>
      <c r="BN962" t="s">
        <v>3534</v>
      </c>
      <c r="BO962" t="str">
        <f t="shared" si="140"/>
        <v>-</v>
      </c>
      <c r="BP962" t="s">
        <v>3534</v>
      </c>
      <c r="BQ962">
        <v>587</v>
      </c>
      <c r="BR962">
        <f t="shared" si="141"/>
        <v>587</v>
      </c>
      <c r="BS962" t="s">
        <v>3278</v>
      </c>
    </row>
    <row r="963" spans="1:71" x14ac:dyDescent="0.4">
      <c r="A963" s="3">
        <v>960</v>
      </c>
      <c r="B963" s="3">
        <v>960</v>
      </c>
      <c r="C963" s="4" t="s">
        <v>1022</v>
      </c>
      <c r="D963" s="4" t="str">
        <f t="shared" si="142"/>
        <v>J795LY</v>
      </c>
      <c r="E963" s="4" t="s">
        <v>1022</v>
      </c>
      <c r="F963" s="4" t="s">
        <v>2240</v>
      </c>
      <c r="G963" s="5">
        <v>4521718777535</v>
      </c>
      <c r="H963" s="5"/>
      <c r="I963" s="5"/>
      <c r="J963" s="5">
        <v>1</v>
      </c>
      <c r="K963" s="5">
        <v>1</v>
      </c>
      <c r="L963" s="4">
        <v>600</v>
      </c>
      <c r="M963" s="4">
        <v>534</v>
      </c>
      <c r="N963" s="4">
        <v>420</v>
      </c>
      <c r="O963" s="6">
        <f t="shared" si="143"/>
        <v>0.2134831460674157</v>
      </c>
      <c r="P963" s="4" t="s">
        <v>2500</v>
      </c>
      <c r="Q963" s="4"/>
      <c r="R963" s="4"/>
      <c r="S963" s="4"/>
      <c r="T963" s="4"/>
      <c r="U963" s="4"/>
      <c r="V963" s="4"/>
      <c r="W963" s="4"/>
      <c r="X963" s="4"/>
      <c r="Y963" s="4">
        <v>600</v>
      </c>
      <c r="Z963" s="4">
        <f t="shared" si="144"/>
        <v>600</v>
      </c>
      <c r="AA963" s="4">
        <v>420</v>
      </c>
      <c r="AB963" s="4">
        <f t="shared" si="145"/>
        <v>420</v>
      </c>
      <c r="AC963" s="4"/>
      <c r="AD963" s="21">
        <f>ROUND(M963*AR963,0)</f>
        <v>534</v>
      </c>
      <c r="AE963" s="6">
        <f>1-AB963/AD963</f>
        <v>0.2134831460674157</v>
      </c>
      <c r="AF963" s="33">
        <v>0</v>
      </c>
      <c r="AG963" s="4">
        <f t="shared" si="146"/>
        <v>600</v>
      </c>
      <c r="AH963" s="33">
        <f t="shared" si="139"/>
        <v>600</v>
      </c>
      <c r="AI963" s="6">
        <f>1-AB963/AH963</f>
        <v>0.30000000000000004</v>
      </c>
      <c r="AJ963" s="7">
        <v>600</v>
      </c>
      <c r="AK963" s="6">
        <f>1-AB963/AJ963</f>
        <v>0.30000000000000004</v>
      </c>
      <c r="AL963" s="4">
        <f>AJ963-AB963</f>
        <v>180</v>
      </c>
      <c r="AM963" s="28"/>
      <c r="AN963" s="6"/>
      <c r="AO963" s="6"/>
      <c r="AP963" s="6">
        <f>Z963/L963</f>
        <v>1</v>
      </c>
      <c r="AQ963" s="6">
        <f>AJ963/M963</f>
        <v>1.1235955056179776</v>
      </c>
      <c r="AR963" s="6">
        <f>AB963/N963</f>
        <v>1</v>
      </c>
      <c r="AS963" s="4"/>
      <c r="AT963" s="4"/>
      <c r="AU963" s="4"/>
      <c r="AV963" s="4"/>
      <c r="AW963" s="4"/>
      <c r="AX963" s="4"/>
      <c r="AY963" s="4"/>
      <c r="AZ963" s="4"/>
      <c r="BA963" s="4"/>
      <c r="BB963" s="4">
        <v>0</v>
      </c>
      <c r="BC963" s="4" t="s">
        <v>4426</v>
      </c>
      <c r="BD963" s="4">
        <v>1</v>
      </c>
      <c r="BE963" s="4">
        <v>2</v>
      </c>
      <c r="BF963" s="4" t="s">
        <v>3640</v>
      </c>
      <c r="BG963" s="4">
        <v>1200</v>
      </c>
      <c r="BH963" s="4">
        <v>1200</v>
      </c>
      <c r="BI963" s="4">
        <f t="shared" si="147"/>
        <v>600</v>
      </c>
      <c r="BJ963" s="19">
        <v>4</v>
      </c>
      <c r="BK963" s="19">
        <v>8</v>
      </c>
      <c r="BL963" s="16">
        <v>6</v>
      </c>
      <c r="BM963" s="45" t="s">
        <v>3534</v>
      </c>
      <c r="BN963" t="s">
        <v>3534</v>
      </c>
      <c r="BO963" t="str">
        <f t="shared" si="140"/>
        <v>-</v>
      </c>
      <c r="BP963" t="s">
        <v>3534</v>
      </c>
      <c r="BQ963">
        <v>587</v>
      </c>
      <c r="BR963">
        <f t="shared" si="141"/>
        <v>587</v>
      </c>
      <c r="BS963" t="s">
        <v>3279</v>
      </c>
    </row>
    <row r="964" spans="1:71" x14ac:dyDescent="0.4">
      <c r="A964" s="3">
        <v>961</v>
      </c>
      <c r="B964" s="3">
        <v>961</v>
      </c>
      <c r="C964" s="4" t="s">
        <v>1023</v>
      </c>
      <c r="D964" s="4" t="str">
        <f t="shared" si="142"/>
        <v>J794LY</v>
      </c>
      <c r="E964" s="4" t="s">
        <v>1023</v>
      </c>
      <c r="F964" s="4" t="s">
        <v>2241</v>
      </c>
      <c r="G964" s="5">
        <v>4521718777528</v>
      </c>
      <c r="H964" s="5"/>
      <c r="I964" s="5"/>
      <c r="J964" s="5">
        <v>1</v>
      </c>
      <c r="K964" s="5">
        <v>1</v>
      </c>
      <c r="L964" s="4">
        <v>600</v>
      </c>
      <c r="M964" s="4">
        <v>534</v>
      </c>
      <c r="N964" s="4">
        <v>420</v>
      </c>
      <c r="O964" s="6">
        <f t="shared" si="143"/>
        <v>0.2134831460674157</v>
      </c>
      <c r="P964" s="4" t="s">
        <v>2500</v>
      </c>
      <c r="Q964" s="4"/>
      <c r="R964" s="4"/>
      <c r="S964" s="4"/>
      <c r="T964" s="4"/>
      <c r="U964" s="4"/>
      <c r="V964" s="4"/>
      <c r="W964" s="4"/>
      <c r="X964" s="4"/>
      <c r="Y964" s="4">
        <v>600</v>
      </c>
      <c r="Z964" s="4">
        <f t="shared" si="144"/>
        <v>600</v>
      </c>
      <c r="AA964" s="4">
        <v>420</v>
      </c>
      <c r="AB964" s="4">
        <f t="shared" si="145"/>
        <v>420</v>
      </c>
      <c r="AC964" s="4"/>
      <c r="AD964" s="21">
        <f>ROUND(M964*AR964,0)</f>
        <v>534</v>
      </c>
      <c r="AE964" s="6">
        <f>1-AB964/AD964</f>
        <v>0.2134831460674157</v>
      </c>
      <c r="AF964" s="33">
        <v>0</v>
      </c>
      <c r="AG964" s="4">
        <f t="shared" si="146"/>
        <v>600</v>
      </c>
      <c r="AH964" s="33">
        <f t="shared" ref="AH964:AH1027" si="148">AG964*AR964</f>
        <v>600</v>
      </c>
      <c r="AI964" s="6">
        <f>1-AB964/AH964</f>
        <v>0.30000000000000004</v>
      </c>
      <c r="AJ964" s="7">
        <v>600</v>
      </c>
      <c r="AK964" s="6">
        <f>1-AB964/AJ964</f>
        <v>0.30000000000000004</v>
      </c>
      <c r="AL964" s="4">
        <f>AJ964-AB964</f>
        <v>180</v>
      </c>
      <c r="AM964" s="28"/>
      <c r="AN964" s="6"/>
      <c r="AO964" s="6"/>
      <c r="AP964" s="6">
        <f>Z964/L964</f>
        <v>1</v>
      </c>
      <c r="AQ964" s="6">
        <f>AJ964/M964</f>
        <v>1.1235955056179776</v>
      </c>
      <c r="AR964" s="6">
        <f>AB964/N964</f>
        <v>1</v>
      </c>
      <c r="AS964" s="4"/>
      <c r="AT964" s="4"/>
      <c r="AU964" s="4"/>
      <c r="AV964" s="4"/>
      <c r="AW964" s="4"/>
      <c r="AX964" s="4"/>
      <c r="AY964" s="4"/>
      <c r="AZ964" s="4"/>
      <c r="BA964" s="4"/>
      <c r="BB964" s="4">
        <v>0</v>
      </c>
      <c r="BC964" s="4" t="s">
        <v>4427</v>
      </c>
      <c r="BD964" s="4">
        <v>1</v>
      </c>
      <c r="BE964" s="4">
        <v>2</v>
      </c>
      <c r="BF964" s="4" t="s">
        <v>3640</v>
      </c>
      <c r="BG964" s="4">
        <v>1200</v>
      </c>
      <c r="BH964" s="4">
        <v>1200</v>
      </c>
      <c r="BI964" s="4">
        <f t="shared" si="147"/>
        <v>600</v>
      </c>
      <c r="BJ964" s="19">
        <v>4</v>
      </c>
      <c r="BK964" s="19">
        <v>8</v>
      </c>
      <c r="BL964" s="16">
        <v>6</v>
      </c>
      <c r="BM964" s="45" t="s">
        <v>3534</v>
      </c>
      <c r="BN964" t="s">
        <v>3534</v>
      </c>
      <c r="BO964" t="str">
        <f t="shared" si="140"/>
        <v>-</v>
      </c>
      <c r="BP964" t="s">
        <v>3534</v>
      </c>
      <c r="BQ964">
        <v>587</v>
      </c>
      <c r="BR964">
        <f t="shared" si="141"/>
        <v>587</v>
      </c>
      <c r="BS964" t="s">
        <v>3280</v>
      </c>
    </row>
    <row r="965" spans="1:71" x14ac:dyDescent="0.4">
      <c r="A965" s="3">
        <v>962</v>
      </c>
      <c r="B965" s="3">
        <v>962</v>
      </c>
      <c r="C965" s="4" t="s">
        <v>1024</v>
      </c>
      <c r="D965" s="4" t="str">
        <f t="shared" si="142"/>
        <v>J797LY</v>
      </c>
      <c r="E965" s="4" t="s">
        <v>1024</v>
      </c>
      <c r="F965" s="4" t="s">
        <v>2242</v>
      </c>
      <c r="G965" s="5">
        <v>4521718777559</v>
      </c>
      <c r="H965" s="5"/>
      <c r="I965" s="5"/>
      <c r="J965" s="5">
        <v>1</v>
      </c>
      <c r="K965" s="5">
        <v>1</v>
      </c>
      <c r="L965" s="4">
        <v>250</v>
      </c>
      <c r="M965" s="4">
        <v>225</v>
      </c>
      <c r="N965" s="4">
        <v>175</v>
      </c>
      <c r="O965" s="6">
        <f t="shared" si="143"/>
        <v>0.22222222222222221</v>
      </c>
      <c r="P965" s="4" t="s">
        <v>2500</v>
      </c>
      <c r="Q965" s="4"/>
      <c r="R965" s="4"/>
      <c r="S965" s="4"/>
      <c r="T965" s="4"/>
      <c r="U965" s="4"/>
      <c r="V965" s="4"/>
      <c r="W965" s="4"/>
      <c r="X965" s="4"/>
      <c r="Y965" s="4">
        <v>250</v>
      </c>
      <c r="Z965" s="4">
        <f t="shared" si="144"/>
        <v>250</v>
      </c>
      <c r="AA965" s="4">
        <v>175</v>
      </c>
      <c r="AB965" s="4">
        <f t="shared" si="145"/>
        <v>175</v>
      </c>
      <c r="AC965" s="4"/>
      <c r="AD965" s="21">
        <f>ROUND(M965*AR965,0)</f>
        <v>225</v>
      </c>
      <c r="AE965" s="6">
        <f>1-AB965/AD965</f>
        <v>0.22222222222222221</v>
      </c>
      <c r="AF965" s="33">
        <v>0</v>
      </c>
      <c r="AG965" s="4">
        <f t="shared" si="146"/>
        <v>250</v>
      </c>
      <c r="AH965" s="33">
        <f t="shared" si="148"/>
        <v>250</v>
      </c>
      <c r="AI965" s="6">
        <f>1-AB965/AH965</f>
        <v>0.30000000000000004</v>
      </c>
      <c r="AJ965" s="7">
        <v>250</v>
      </c>
      <c r="AK965" s="6">
        <f>1-AB965/AJ965</f>
        <v>0.30000000000000004</v>
      </c>
      <c r="AL965" s="4">
        <f>AJ965-AB965</f>
        <v>75</v>
      </c>
      <c r="AM965" s="28"/>
      <c r="AN965" s="6"/>
      <c r="AO965" s="6"/>
      <c r="AP965" s="6">
        <f>Z965/L965</f>
        <v>1</v>
      </c>
      <c r="AQ965" s="6">
        <f>AJ965/M965</f>
        <v>1.1111111111111112</v>
      </c>
      <c r="AR965" s="6">
        <f>AB965/N965</f>
        <v>1</v>
      </c>
      <c r="AS965" s="4"/>
      <c r="AT965" s="4"/>
      <c r="AU965" s="4"/>
      <c r="AV965" s="4"/>
      <c r="AW965" s="4"/>
      <c r="AX965" s="4"/>
      <c r="AY965" s="4"/>
      <c r="AZ965" s="4"/>
      <c r="BA965" s="4"/>
      <c r="BB965" s="4">
        <v>0</v>
      </c>
      <c r="BC965" s="4" t="s">
        <v>4428</v>
      </c>
      <c r="BD965" s="4">
        <v>1</v>
      </c>
      <c r="BE965" s="4">
        <v>5</v>
      </c>
      <c r="BF965" s="4" t="s">
        <v>3746</v>
      </c>
      <c r="BG965" s="4">
        <v>1250</v>
      </c>
      <c r="BH965" s="4">
        <v>1250</v>
      </c>
      <c r="BI965" s="4">
        <f t="shared" si="147"/>
        <v>250</v>
      </c>
      <c r="BJ965" s="19">
        <v>4</v>
      </c>
      <c r="BK965" s="19">
        <v>8</v>
      </c>
      <c r="BL965" s="16">
        <v>6</v>
      </c>
      <c r="BM965" s="45" t="s">
        <v>3534</v>
      </c>
      <c r="BN965" t="s">
        <v>3534</v>
      </c>
      <c r="BO965" t="str">
        <f t="shared" ref="BO965:BO1028" si="149">IFERROR(BN965*AR965,"-")</f>
        <v>-</v>
      </c>
      <c r="BP965" t="s">
        <v>3534</v>
      </c>
      <c r="BQ965">
        <v>248</v>
      </c>
      <c r="BR965">
        <f t="shared" ref="BR965:BR1028" si="150">IFERROR(BQ965*AR965,"-")</f>
        <v>248</v>
      </c>
      <c r="BS965" t="s">
        <v>3281</v>
      </c>
    </row>
    <row r="966" spans="1:71" x14ac:dyDescent="0.4">
      <c r="A966" s="3">
        <v>963</v>
      </c>
      <c r="B966" s="3">
        <v>963</v>
      </c>
      <c r="C966" s="4" t="s">
        <v>1025</v>
      </c>
      <c r="D966" s="4" t="str">
        <f t="shared" si="142"/>
        <v>J796LY</v>
      </c>
      <c r="E966" s="4" t="s">
        <v>1025</v>
      </c>
      <c r="F966" s="4" t="s">
        <v>2243</v>
      </c>
      <c r="G966" s="5">
        <v>4521718777542</v>
      </c>
      <c r="H966" s="5"/>
      <c r="I966" s="5"/>
      <c r="J966" s="5">
        <v>1</v>
      </c>
      <c r="K966" s="5">
        <v>1</v>
      </c>
      <c r="L966" s="4">
        <v>600</v>
      </c>
      <c r="M966" s="4">
        <v>534</v>
      </c>
      <c r="N966" s="4">
        <v>420</v>
      </c>
      <c r="O966" s="6">
        <f t="shared" si="143"/>
        <v>0.2134831460674157</v>
      </c>
      <c r="P966" s="4" t="s">
        <v>2500</v>
      </c>
      <c r="Q966" s="4"/>
      <c r="R966" s="4"/>
      <c r="S966" s="4"/>
      <c r="T966" s="4"/>
      <c r="U966" s="4"/>
      <c r="V966" s="4"/>
      <c r="W966" s="4"/>
      <c r="X966" s="4"/>
      <c r="Y966" s="4">
        <v>600</v>
      </c>
      <c r="Z966" s="4">
        <f t="shared" si="144"/>
        <v>600</v>
      </c>
      <c r="AA966" s="4">
        <v>420</v>
      </c>
      <c r="AB966" s="4">
        <f t="shared" si="145"/>
        <v>420</v>
      </c>
      <c r="AC966" s="4"/>
      <c r="AD966" s="21">
        <f>ROUND(M966*AR966,0)</f>
        <v>534</v>
      </c>
      <c r="AE966" s="6">
        <f>1-AB966/AD966</f>
        <v>0.2134831460674157</v>
      </c>
      <c r="AF966" s="33">
        <v>0</v>
      </c>
      <c r="AG966" s="4">
        <f t="shared" si="146"/>
        <v>600</v>
      </c>
      <c r="AH966" s="33">
        <f t="shared" si="148"/>
        <v>600</v>
      </c>
      <c r="AI966" s="6">
        <f>1-AB966/AH966</f>
        <v>0.30000000000000004</v>
      </c>
      <c r="AJ966" s="7">
        <v>600</v>
      </c>
      <c r="AK966" s="6">
        <f>1-AB966/AJ966</f>
        <v>0.30000000000000004</v>
      </c>
      <c r="AL966" s="4">
        <f>AJ966-AB966</f>
        <v>180</v>
      </c>
      <c r="AM966" s="28"/>
      <c r="AN966" s="6"/>
      <c r="AO966" s="6"/>
      <c r="AP966" s="6">
        <f>Z966/L966</f>
        <v>1</v>
      </c>
      <c r="AQ966" s="6">
        <f>AJ966/M966</f>
        <v>1.1235955056179776</v>
      </c>
      <c r="AR966" s="6">
        <f>AB966/N966</f>
        <v>1</v>
      </c>
      <c r="AS966" s="4"/>
      <c r="AT966" s="4"/>
      <c r="AU966" s="4"/>
      <c r="AV966" s="4"/>
      <c r="AW966" s="4"/>
      <c r="AX966" s="4"/>
      <c r="AY966" s="4"/>
      <c r="AZ966" s="4"/>
      <c r="BA966" s="4"/>
      <c r="BB966" s="4">
        <v>0</v>
      </c>
      <c r="BC966" s="4" t="s">
        <v>4429</v>
      </c>
      <c r="BD966" s="4">
        <v>1</v>
      </c>
      <c r="BE966" s="4">
        <v>2</v>
      </c>
      <c r="BF966" s="4" t="s">
        <v>3640</v>
      </c>
      <c r="BG966" s="4">
        <v>1200</v>
      </c>
      <c r="BH966" s="4">
        <v>1200</v>
      </c>
      <c r="BI966" s="4">
        <f t="shared" si="147"/>
        <v>600</v>
      </c>
      <c r="BJ966" s="19">
        <v>4</v>
      </c>
      <c r="BK966" s="19">
        <v>8</v>
      </c>
      <c r="BL966" s="16">
        <v>6</v>
      </c>
      <c r="BM966" s="45" t="s">
        <v>3534</v>
      </c>
      <c r="BN966" t="s">
        <v>3534</v>
      </c>
      <c r="BO966" t="str">
        <f t="shared" si="149"/>
        <v>-</v>
      </c>
      <c r="BP966" t="s">
        <v>3534</v>
      </c>
      <c r="BQ966">
        <v>587</v>
      </c>
      <c r="BR966">
        <f t="shared" si="150"/>
        <v>587</v>
      </c>
      <c r="BS966" t="s">
        <v>3282</v>
      </c>
    </row>
    <row r="967" spans="1:71" x14ac:dyDescent="0.4">
      <c r="A967" s="3">
        <v>964</v>
      </c>
      <c r="B967" s="3">
        <v>964</v>
      </c>
      <c r="C967" s="4" t="s">
        <v>1026</v>
      </c>
      <c r="D967" s="4" t="str">
        <f t="shared" si="142"/>
        <v>J799LY</v>
      </c>
      <c r="E967" s="4" t="s">
        <v>1026</v>
      </c>
      <c r="F967" s="4" t="s">
        <v>2244</v>
      </c>
      <c r="G967" s="5">
        <v>4521718777573</v>
      </c>
      <c r="H967" s="5"/>
      <c r="I967" s="5"/>
      <c r="J967" s="5">
        <v>1</v>
      </c>
      <c r="K967" s="5">
        <v>1</v>
      </c>
      <c r="L967" s="4">
        <v>250</v>
      </c>
      <c r="M967" s="4">
        <v>225</v>
      </c>
      <c r="N967" s="4">
        <v>175</v>
      </c>
      <c r="O967" s="6">
        <f t="shared" si="143"/>
        <v>0.22222222222222221</v>
      </c>
      <c r="P967" s="4" t="s">
        <v>2500</v>
      </c>
      <c r="Q967" s="4"/>
      <c r="R967" s="4"/>
      <c r="S967" s="4"/>
      <c r="T967" s="4"/>
      <c r="U967" s="4"/>
      <c r="V967" s="4"/>
      <c r="W967" s="4"/>
      <c r="X967" s="4"/>
      <c r="Y967" s="4">
        <v>250</v>
      </c>
      <c r="Z967" s="4">
        <f t="shared" si="144"/>
        <v>250</v>
      </c>
      <c r="AA967" s="4">
        <v>175</v>
      </c>
      <c r="AB967" s="4">
        <f t="shared" si="145"/>
        <v>175</v>
      </c>
      <c r="AC967" s="4"/>
      <c r="AD967" s="21">
        <f>ROUND(M967*AR967,0)</f>
        <v>225</v>
      </c>
      <c r="AE967" s="6">
        <f>1-AB967/AD967</f>
        <v>0.22222222222222221</v>
      </c>
      <c r="AF967" s="33">
        <v>0</v>
      </c>
      <c r="AG967" s="4">
        <f t="shared" si="146"/>
        <v>250</v>
      </c>
      <c r="AH967" s="33">
        <f t="shared" si="148"/>
        <v>250</v>
      </c>
      <c r="AI967" s="6">
        <f>1-AB967/AH967</f>
        <v>0.30000000000000004</v>
      </c>
      <c r="AJ967" s="7">
        <v>250</v>
      </c>
      <c r="AK967" s="6">
        <f>1-AB967/AJ967</f>
        <v>0.30000000000000004</v>
      </c>
      <c r="AL967" s="4">
        <f>AJ967-AB967</f>
        <v>75</v>
      </c>
      <c r="AM967" s="28"/>
      <c r="AN967" s="6"/>
      <c r="AO967" s="6"/>
      <c r="AP967" s="6">
        <f>Z967/L967</f>
        <v>1</v>
      </c>
      <c r="AQ967" s="6">
        <f>AJ967/M967</f>
        <v>1.1111111111111112</v>
      </c>
      <c r="AR967" s="6">
        <f>AB967/N967</f>
        <v>1</v>
      </c>
      <c r="AS967" s="4"/>
      <c r="AT967" s="4"/>
      <c r="AU967" s="4"/>
      <c r="AV967" s="4"/>
      <c r="AW967" s="4"/>
      <c r="AX967" s="4"/>
      <c r="AY967" s="4"/>
      <c r="AZ967" s="4"/>
      <c r="BA967" s="4"/>
      <c r="BB967" s="4">
        <v>0</v>
      </c>
      <c r="BC967" s="4" t="s">
        <v>4430</v>
      </c>
      <c r="BD967" s="4">
        <v>1</v>
      </c>
      <c r="BE967" s="4">
        <v>5</v>
      </c>
      <c r="BF967" s="4" t="s">
        <v>3746</v>
      </c>
      <c r="BG967" s="4">
        <v>1250</v>
      </c>
      <c r="BH967" s="4">
        <v>1250</v>
      </c>
      <c r="BI967" s="4">
        <f t="shared" si="147"/>
        <v>250</v>
      </c>
      <c r="BJ967" s="19">
        <v>4</v>
      </c>
      <c r="BK967" s="19">
        <v>8</v>
      </c>
      <c r="BL967" s="16">
        <v>6</v>
      </c>
      <c r="BM967" s="45" t="s">
        <v>3534</v>
      </c>
      <c r="BN967" t="s">
        <v>3534</v>
      </c>
      <c r="BO967" t="str">
        <f t="shared" si="149"/>
        <v>-</v>
      </c>
      <c r="BP967" t="s">
        <v>3534</v>
      </c>
      <c r="BQ967">
        <v>248</v>
      </c>
      <c r="BR967">
        <f t="shared" si="150"/>
        <v>248</v>
      </c>
      <c r="BS967" t="s">
        <v>3283</v>
      </c>
    </row>
    <row r="968" spans="1:71" x14ac:dyDescent="0.4">
      <c r="A968" s="3">
        <v>965</v>
      </c>
      <c r="B968" s="3">
        <v>965</v>
      </c>
      <c r="C968" s="4" t="s">
        <v>1027</v>
      </c>
      <c r="D968" s="4" t="str">
        <f t="shared" si="142"/>
        <v>J798LY</v>
      </c>
      <c r="E968" s="4" t="s">
        <v>1027</v>
      </c>
      <c r="F968" s="4" t="s">
        <v>2245</v>
      </c>
      <c r="G968" s="5">
        <v>4521718777566</v>
      </c>
      <c r="H968" s="5"/>
      <c r="I968" s="5"/>
      <c r="J968" s="5">
        <v>1</v>
      </c>
      <c r="K968" s="5">
        <v>1</v>
      </c>
      <c r="L968" s="4">
        <v>250</v>
      </c>
      <c r="M968" s="4">
        <v>225</v>
      </c>
      <c r="N968" s="4">
        <v>175</v>
      </c>
      <c r="O968" s="6">
        <f t="shared" si="143"/>
        <v>0.22222222222222221</v>
      </c>
      <c r="P968" s="4" t="s">
        <v>2500</v>
      </c>
      <c r="Q968" s="4"/>
      <c r="R968" s="4"/>
      <c r="S968" s="4"/>
      <c r="T968" s="4"/>
      <c r="U968" s="4"/>
      <c r="V968" s="4"/>
      <c r="W968" s="4"/>
      <c r="X968" s="4"/>
      <c r="Y968" s="4">
        <v>250</v>
      </c>
      <c r="Z968" s="4">
        <f t="shared" si="144"/>
        <v>250</v>
      </c>
      <c r="AA968" s="4">
        <v>175</v>
      </c>
      <c r="AB968" s="4">
        <f t="shared" si="145"/>
        <v>175</v>
      </c>
      <c r="AC968" s="4"/>
      <c r="AD968" s="21">
        <f>ROUND(M968*AR968,0)</f>
        <v>225</v>
      </c>
      <c r="AE968" s="6">
        <f>1-AB968/AD968</f>
        <v>0.22222222222222221</v>
      </c>
      <c r="AF968" s="33">
        <v>0</v>
      </c>
      <c r="AG968" s="4">
        <f t="shared" si="146"/>
        <v>250</v>
      </c>
      <c r="AH968" s="33">
        <f t="shared" si="148"/>
        <v>250</v>
      </c>
      <c r="AI968" s="6">
        <f>1-AB968/AH968</f>
        <v>0.30000000000000004</v>
      </c>
      <c r="AJ968" s="7">
        <v>250</v>
      </c>
      <c r="AK968" s="6">
        <f>1-AB968/AJ968</f>
        <v>0.30000000000000004</v>
      </c>
      <c r="AL968" s="4">
        <f>AJ968-AB968</f>
        <v>75</v>
      </c>
      <c r="AM968" s="28"/>
      <c r="AN968" s="6"/>
      <c r="AO968" s="6"/>
      <c r="AP968" s="6">
        <f>Z968/L968</f>
        <v>1</v>
      </c>
      <c r="AQ968" s="6">
        <f>AJ968/M968</f>
        <v>1.1111111111111112</v>
      </c>
      <c r="AR968" s="6">
        <f>AB968/N968</f>
        <v>1</v>
      </c>
      <c r="AS968" s="4"/>
      <c r="AT968" s="4"/>
      <c r="AU968" s="4"/>
      <c r="AV968" s="4"/>
      <c r="AW968" s="4"/>
      <c r="AX968" s="4"/>
      <c r="AY968" s="4"/>
      <c r="AZ968" s="4"/>
      <c r="BA968" s="4"/>
      <c r="BB968" s="4">
        <v>0</v>
      </c>
      <c r="BC968" s="4" t="s">
        <v>4431</v>
      </c>
      <c r="BD968" s="4">
        <v>1</v>
      </c>
      <c r="BE968" s="4">
        <v>5</v>
      </c>
      <c r="BF968" s="4" t="s">
        <v>3746</v>
      </c>
      <c r="BG968" s="4">
        <v>1250</v>
      </c>
      <c r="BH968" s="4">
        <v>1250</v>
      </c>
      <c r="BI968" s="4">
        <f t="shared" si="147"/>
        <v>250</v>
      </c>
      <c r="BJ968" s="19">
        <v>4</v>
      </c>
      <c r="BK968" s="19">
        <v>8</v>
      </c>
      <c r="BL968" s="16">
        <v>6</v>
      </c>
      <c r="BM968" s="45" t="s">
        <v>3534</v>
      </c>
      <c r="BN968" t="s">
        <v>3534</v>
      </c>
      <c r="BO968" t="str">
        <f t="shared" si="149"/>
        <v>-</v>
      </c>
      <c r="BP968" t="s">
        <v>3534</v>
      </c>
      <c r="BQ968">
        <v>248</v>
      </c>
      <c r="BR968">
        <f t="shared" si="150"/>
        <v>248</v>
      </c>
      <c r="BS968" t="s">
        <v>3284</v>
      </c>
    </row>
    <row r="969" spans="1:71" x14ac:dyDescent="0.4">
      <c r="A969" s="3">
        <v>966</v>
      </c>
      <c r="B969" s="3">
        <v>966</v>
      </c>
      <c r="C969" s="4" t="s">
        <v>1028</v>
      </c>
      <c r="D969" s="4" t="str">
        <f t="shared" si="142"/>
        <v>J800LY</v>
      </c>
      <c r="E969" s="4" t="s">
        <v>1028</v>
      </c>
      <c r="F969" s="4" t="s">
        <v>2246</v>
      </c>
      <c r="G969" s="5">
        <v>4521718777580</v>
      </c>
      <c r="H969" s="5"/>
      <c r="I969" s="5"/>
      <c r="J969" s="5">
        <v>1</v>
      </c>
      <c r="K969" s="5">
        <v>1</v>
      </c>
      <c r="L969" s="4">
        <v>250</v>
      </c>
      <c r="M969" s="4">
        <v>225</v>
      </c>
      <c r="N969" s="4">
        <v>175</v>
      </c>
      <c r="O969" s="6">
        <f t="shared" si="143"/>
        <v>0.22222222222222221</v>
      </c>
      <c r="P969" s="4" t="s">
        <v>2500</v>
      </c>
      <c r="Q969" s="4"/>
      <c r="R969" s="4"/>
      <c r="S969" s="4"/>
      <c r="T969" s="4"/>
      <c r="U969" s="4"/>
      <c r="V969" s="4"/>
      <c r="W969" s="4"/>
      <c r="X969" s="4"/>
      <c r="Y969" s="4">
        <v>250</v>
      </c>
      <c r="Z969" s="4">
        <f t="shared" si="144"/>
        <v>250</v>
      </c>
      <c r="AA969" s="4">
        <v>175</v>
      </c>
      <c r="AB969" s="4">
        <f t="shared" si="145"/>
        <v>175</v>
      </c>
      <c r="AC969" s="4"/>
      <c r="AD969" s="21">
        <f>ROUND(M969*AR969,0)</f>
        <v>225</v>
      </c>
      <c r="AE969" s="6">
        <f>1-AB969/AD969</f>
        <v>0.22222222222222221</v>
      </c>
      <c r="AF969" s="33">
        <v>0</v>
      </c>
      <c r="AG969" s="4">
        <f t="shared" si="146"/>
        <v>250</v>
      </c>
      <c r="AH969" s="33">
        <f t="shared" si="148"/>
        <v>250</v>
      </c>
      <c r="AI969" s="6">
        <f>1-AB969/AH969</f>
        <v>0.30000000000000004</v>
      </c>
      <c r="AJ969" s="7">
        <v>250</v>
      </c>
      <c r="AK969" s="6">
        <f>1-AB969/AJ969</f>
        <v>0.30000000000000004</v>
      </c>
      <c r="AL969" s="4">
        <f>AJ969-AB969</f>
        <v>75</v>
      </c>
      <c r="AM969" s="28"/>
      <c r="AN969" s="6"/>
      <c r="AO969" s="6"/>
      <c r="AP969" s="6">
        <f>Z969/L969</f>
        <v>1</v>
      </c>
      <c r="AQ969" s="6">
        <f>AJ969/M969</f>
        <v>1.1111111111111112</v>
      </c>
      <c r="AR969" s="6">
        <f>AB969/N969</f>
        <v>1</v>
      </c>
      <c r="AS969" s="4"/>
      <c r="AT969" s="4"/>
      <c r="AU969" s="4"/>
      <c r="AV969" s="4"/>
      <c r="AW969" s="4"/>
      <c r="AX969" s="4"/>
      <c r="AY969" s="4"/>
      <c r="AZ969" s="4"/>
      <c r="BA969" s="4"/>
      <c r="BB969" s="4">
        <v>0</v>
      </c>
      <c r="BC969" s="4" t="s">
        <v>4432</v>
      </c>
      <c r="BD969" s="4">
        <v>1</v>
      </c>
      <c r="BE969" s="4">
        <v>5</v>
      </c>
      <c r="BF969" s="4" t="s">
        <v>3746</v>
      </c>
      <c r="BG969" s="4">
        <v>1250</v>
      </c>
      <c r="BH969" s="4">
        <v>1250</v>
      </c>
      <c r="BI969" s="4">
        <f t="shared" si="147"/>
        <v>250</v>
      </c>
      <c r="BJ969" s="19">
        <v>4</v>
      </c>
      <c r="BK969" s="19">
        <v>8</v>
      </c>
      <c r="BL969" s="16">
        <v>6</v>
      </c>
      <c r="BM969" s="45" t="s">
        <v>3534</v>
      </c>
      <c r="BN969" t="s">
        <v>3534</v>
      </c>
      <c r="BO969" t="str">
        <f t="shared" si="149"/>
        <v>-</v>
      </c>
      <c r="BP969" t="s">
        <v>3534</v>
      </c>
      <c r="BQ969">
        <v>248</v>
      </c>
      <c r="BR969">
        <f t="shared" si="150"/>
        <v>248</v>
      </c>
      <c r="BS969" t="s">
        <v>3285</v>
      </c>
    </row>
    <row r="970" spans="1:71" x14ac:dyDescent="0.4">
      <c r="A970" s="3">
        <v>967</v>
      </c>
      <c r="B970" s="3">
        <v>967</v>
      </c>
      <c r="C970" s="4" t="s">
        <v>1029</v>
      </c>
      <c r="D970" s="4" t="str">
        <f t="shared" si="142"/>
        <v>J801LY</v>
      </c>
      <c r="E970" s="4" t="s">
        <v>1029</v>
      </c>
      <c r="F970" s="4" t="s">
        <v>2247</v>
      </c>
      <c r="G970" s="5">
        <v>4521718777597</v>
      </c>
      <c r="H970" s="5"/>
      <c r="I970" s="5"/>
      <c r="J970" s="5">
        <v>1</v>
      </c>
      <c r="K970" s="5">
        <v>1</v>
      </c>
      <c r="L970" s="4">
        <v>250</v>
      </c>
      <c r="M970" s="4">
        <v>225</v>
      </c>
      <c r="N970" s="4">
        <v>175</v>
      </c>
      <c r="O970" s="6">
        <f t="shared" si="143"/>
        <v>0.22222222222222221</v>
      </c>
      <c r="P970" s="4" t="s">
        <v>2500</v>
      </c>
      <c r="Q970" s="4"/>
      <c r="R970" s="4"/>
      <c r="S970" s="4"/>
      <c r="T970" s="4"/>
      <c r="U970" s="4"/>
      <c r="V970" s="4"/>
      <c r="W970" s="4"/>
      <c r="X970" s="4"/>
      <c r="Y970" s="4">
        <v>250</v>
      </c>
      <c r="Z970" s="4">
        <f t="shared" si="144"/>
        <v>250</v>
      </c>
      <c r="AA970" s="4">
        <v>175</v>
      </c>
      <c r="AB970" s="4">
        <f t="shared" si="145"/>
        <v>175</v>
      </c>
      <c r="AC970" s="4"/>
      <c r="AD970" s="21">
        <f>ROUND(M970*AR970,0)</f>
        <v>225</v>
      </c>
      <c r="AE970" s="6">
        <f>1-AB970/AD970</f>
        <v>0.22222222222222221</v>
      </c>
      <c r="AF970" s="33">
        <v>0</v>
      </c>
      <c r="AG970" s="4">
        <f t="shared" si="146"/>
        <v>250</v>
      </c>
      <c r="AH970" s="33">
        <f t="shared" si="148"/>
        <v>250</v>
      </c>
      <c r="AI970" s="6">
        <f>1-AB970/AH970</f>
        <v>0.30000000000000004</v>
      </c>
      <c r="AJ970" s="7">
        <v>250</v>
      </c>
      <c r="AK970" s="6">
        <f>1-AB970/AJ970</f>
        <v>0.30000000000000004</v>
      </c>
      <c r="AL970" s="4">
        <f>AJ970-AB970</f>
        <v>75</v>
      </c>
      <c r="AM970" s="28"/>
      <c r="AN970" s="6"/>
      <c r="AO970" s="6"/>
      <c r="AP970" s="6">
        <f>Z970/L970</f>
        <v>1</v>
      </c>
      <c r="AQ970" s="6">
        <f>AJ970/M970</f>
        <v>1.1111111111111112</v>
      </c>
      <c r="AR970" s="6">
        <f>AB970/N970</f>
        <v>1</v>
      </c>
      <c r="AS970" s="4"/>
      <c r="AT970" s="4"/>
      <c r="AU970" s="4"/>
      <c r="AV970" s="4"/>
      <c r="AW970" s="4"/>
      <c r="AX970" s="4"/>
      <c r="AY970" s="4"/>
      <c r="AZ970" s="4"/>
      <c r="BA970" s="4"/>
      <c r="BB970" s="4">
        <v>0</v>
      </c>
      <c r="BC970" s="4" t="s">
        <v>4433</v>
      </c>
      <c r="BD970" s="4">
        <v>1</v>
      </c>
      <c r="BE970" s="4">
        <v>5</v>
      </c>
      <c r="BF970" s="4" t="s">
        <v>3746</v>
      </c>
      <c r="BG970" s="4">
        <v>1250</v>
      </c>
      <c r="BH970" s="4">
        <v>1250</v>
      </c>
      <c r="BI970" s="4">
        <f t="shared" si="147"/>
        <v>250</v>
      </c>
      <c r="BJ970" s="19">
        <v>4</v>
      </c>
      <c r="BK970" s="19">
        <v>8</v>
      </c>
      <c r="BL970" s="16">
        <v>6</v>
      </c>
      <c r="BM970" s="45" t="s">
        <v>3534</v>
      </c>
      <c r="BN970" t="s">
        <v>3534</v>
      </c>
      <c r="BO970" t="str">
        <f t="shared" si="149"/>
        <v>-</v>
      </c>
      <c r="BP970" t="s">
        <v>3534</v>
      </c>
      <c r="BQ970">
        <v>248</v>
      </c>
      <c r="BR970">
        <f t="shared" si="150"/>
        <v>248</v>
      </c>
      <c r="BS970" t="s">
        <v>3286</v>
      </c>
    </row>
    <row r="971" spans="1:71" x14ac:dyDescent="0.4">
      <c r="A971" s="3">
        <v>968</v>
      </c>
      <c r="B971" s="3">
        <v>968</v>
      </c>
      <c r="C971" s="4" t="s">
        <v>1030</v>
      </c>
      <c r="D971" s="4" t="str">
        <f t="shared" si="142"/>
        <v>J803LY</v>
      </c>
      <c r="E971" s="4" t="s">
        <v>1030</v>
      </c>
      <c r="F971" s="4" t="s">
        <v>2248</v>
      </c>
      <c r="G971" s="5">
        <v>4521718777610</v>
      </c>
      <c r="H971" s="5"/>
      <c r="I971" s="5"/>
      <c r="J971" s="5">
        <v>1</v>
      </c>
      <c r="K971" s="5">
        <v>1</v>
      </c>
      <c r="L971" s="4">
        <v>250</v>
      </c>
      <c r="M971" s="4">
        <v>225</v>
      </c>
      <c r="N971" s="4">
        <v>175</v>
      </c>
      <c r="O971" s="6">
        <f t="shared" si="143"/>
        <v>0.22222222222222221</v>
      </c>
      <c r="P971" s="4" t="s">
        <v>2500</v>
      </c>
      <c r="Q971" s="4"/>
      <c r="R971" s="4"/>
      <c r="S971" s="4"/>
      <c r="T971" s="4"/>
      <c r="U971" s="4"/>
      <c r="V971" s="4"/>
      <c r="W971" s="4"/>
      <c r="X971" s="4"/>
      <c r="Y971" s="4">
        <v>250</v>
      </c>
      <c r="Z971" s="4">
        <f t="shared" si="144"/>
        <v>250</v>
      </c>
      <c r="AA971" s="4">
        <v>175</v>
      </c>
      <c r="AB971" s="4">
        <f t="shared" si="145"/>
        <v>175</v>
      </c>
      <c r="AC971" s="4"/>
      <c r="AD971" s="21">
        <f>ROUND(M971*AR971,0)</f>
        <v>225</v>
      </c>
      <c r="AE971" s="6">
        <f>1-AB971/AD971</f>
        <v>0.22222222222222221</v>
      </c>
      <c r="AF971" s="33">
        <v>0</v>
      </c>
      <c r="AG971" s="4">
        <f t="shared" si="146"/>
        <v>250</v>
      </c>
      <c r="AH971" s="33">
        <f t="shared" si="148"/>
        <v>250</v>
      </c>
      <c r="AI971" s="6">
        <f>1-AB971/AH971</f>
        <v>0.30000000000000004</v>
      </c>
      <c r="AJ971" s="7">
        <v>250</v>
      </c>
      <c r="AK971" s="6">
        <f>1-AB971/AJ971</f>
        <v>0.30000000000000004</v>
      </c>
      <c r="AL971" s="4">
        <f>AJ971-AB971</f>
        <v>75</v>
      </c>
      <c r="AM971" s="28"/>
      <c r="AN971" s="6"/>
      <c r="AO971" s="6"/>
      <c r="AP971" s="6">
        <f>Z971/L971</f>
        <v>1</v>
      </c>
      <c r="AQ971" s="6">
        <f>AJ971/M971</f>
        <v>1.1111111111111112</v>
      </c>
      <c r="AR971" s="6">
        <f>AB971/N971</f>
        <v>1</v>
      </c>
      <c r="AS971" s="4"/>
      <c r="AT971" s="4"/>
      <c r="AU971" s="4"/>
      <c r="AV971" s="4"/>
      <c r="AW971" s="4"/>
      <c r="AX971" s="4"/>
      <c r="AY971" s="4"/>
      <c r="AZ971" s="4"/>
      <c r="BA971" s="4"/>
      <c r="BB971" s="4">
        <v>0</v>
      </c>
      <c r="BC971" s="4" t="s">
        <v>4434</v>
      </c>
      <c r="BD971" s="4">
        <v>1</v>
      </c>
      <c r="BE971" s="4">
        <v>5</v>
      </c>
      <c r="BF971" s="4" t="s">
        <v>3746</v>
      </c>
      <c r="BG971" s="4">
        <v>1250</v>
      </c>
      <c r="BH971" s="4">
        <v>1250</v>
      </c>
      <c r="BI971" s="4">
        <f t="shared" si="147"/>
        <v>250</v>
      </c>
      <c r="BJ971" s="19">
        <v>4</v>
      </c>
      <c r="BK971" s="19">
        <v>8</v>
      </c>
      <c r="BL971" s="16">
        <v>6</v>
      </c>
      <c r="BM971" s="45" t="s">
        <v>3534</v>
      </c>
      <c r="BN971" t="s">
        <v>3534</v>
      </c>
      <c r="BO971" t="str">
        <f t="shared" si="149"/>
        <v>-</v>
      </c>
      <c r="BP971" t="s">
        <v>3534</v>
      </c>
      <c r="BQ971">
        <v>248</v>
      </c>
      <c r="BR971">
        <f t="shared" si="150"/>
        <v>248</v>
      </c>
      <c r="BS971" t="s">
        <v>3287</v>
      </c>
    </row>
    <row r="972" spans="1:71" x14ac:dyDescent="0.4">
      <c r="A972" s="3">
        <v>969</v>
      </c>
      <c r="B972" s="3">
        <v>969</v>
      </c>
      <c r="C972" s="4" t="s">
        <v>1031</v>
      </c>
      <c r="D972" s="4" t="str">
        <f t="shared" si="142"/>
        <v>J802LY</v>
      </c>
      <c r="E972" s="4" t="s">
        <v>1031</v>
      </c>
      <c r="F972" s="4" t="s">
        <v>2249</v>
      </c>
      <c r="G972" s="5">
        <v>4521718777603</v>
      </c>
      <c r="H972" s="5"/>
      <c r="I972" s="5"/>
      <c r="J972" s="5">
        <v>1</v>
      </c>
      <c r="K972" s="5">
        <v>1</v>
      </c>
      <c r="L972" s="4">
        <v>250</v>
      </c>
      <c r="M972" s="4">
        <v>225</v>
      </c>
      <c r="N972" s="4">
        <v>175</v>
      </c>
      <c r="O972" s="6">
        <f t="shared" si="143"/>
        <v>0.22222222222222221</v>
      </c>
      <c r="P972" s="4" t="s">
        <v>2500</v>
      </c>
      <c r="Q972" s="4"/>
      <c r="R972" s="4"/>
      <c r="S972" s="4"/>
      <c r="T972" s="4"/>
      <c r="U972" s="4"/>
      <c r="V972" s="4"/>
      <c r="W972" s="4"/>
      <c r="X972" s="4"/>
      <c r="Y972" s="4">
        <v>250</v>
      </c>
      <c r="Z972" s="4">
        <f t="shared" si="144"/>
        <v>250</v>
      </c>
      <c r="AA972" s="4">
        <v>175</v>
      </c>
      <c r="AB972" s="4">
        <f t="shared" si="145"/>
        <v>175</v>
      </c>
      <c r="AC972" s="4"/>
      <c r="AD972" s="21">
        <f>ROUND(M972*AR972,0)</f>
        <v>225</v>
      </c>
      <c r="AE972" s="6">
        <f>1-AB972/AD972</f>
        <v>0.22222222222222221</v>
      </c>
      <c r="AF972" s="33">
        <v>0</v>
      </c>
      <c r="AG972" s="4">
        <f t="shared" si="146"/>
        <v>250</v>
      </c>
      <c r="AH972" s="33">
        <f t="shared" si="148"/>
        <v>250</v>
      </c>
      <c r="AI972" s="6">
        <f>1-AB972/AH972</f>
        <v>0.30000000000000004</v>
      </c>
      <c r="AJ972" s="7">
        <v>250</v>
      </c>
      <c r="AK972" s="6">
        <f>1-AB972/AJ972</f>
        <v>0.30000000000000004</v>
      </c>
      <c r="AL972" s="4">
        <f>AJ972-AB972</f>
        <v>75</v>
      </c>
      <c r="AM972" s="28"/>
      <c r="AN972" s="6"/>
      <c r="AO972" s="6"/>
      <c r="AP972" s="6">
        <f>Z972/L972</f>
        <v>1</v>
      </c>
      <c r="AQ972" s="6">
        <f>AJ972/M972</f>
        <v>1.1111111111111112</v>
      </c>
      <c r="AR972" s="6">
        <f>AB972/N972</f>
        <v>1</v>
      </c>
      <c r="AS972" s="4"/>
      <c r="AT972" s="4"/>
      <c r="AU972" s="4"/>
      <c r="AV972" s="4"/>
      <c r="AW972" s="4"/>
      <c r="AX972" s="4"/>
      <c r="AY972" s="4"/>
      <c r="AZ972" s="4"/>
      <c r="BA972" s="4"/>
      <c r="BB972" s="4">
        <v>0</v>
      </c>
      <c r="BC972" s="4" t="s">
        <v>4435</v>
      </c>
      <c r="BD972" s="4">
        <v>1</v>
      </c>
      <c r="BE972" s="4">
        <v>5</v>
      </c>
      <c r="BF972" s="4" t="s">
        <v>3746</v>
      </c>
      <c r="BG972" s="4">
        <v>1250</v>
      </c>
      <c r="BH972" s="4">
        <v>1250</v>
      </c>
      <c r="BI972" s="4">
        <f t="shared" si="147"/>
        <v>250</v>
      </c>
      <c r="BJ972" s="19">
        <v>4</v>
      </c>
      <c r="BK972" s="19">
        <v>8</v>
      </c>
      <c r="BL972" s="16">
        <v>6</v>
      </c>
      <c r="BM972" s="45" t="s">
        <v>3534</v>
      </c>
      <c r="BN972" t="s">
        <v>3534</v>
      </c>
      <c r="BO972" t="str">
        <f t="shared" si="149"/>
        <v>-</v>
      </c>
      <c r="BP972" t="s">
        <v>3534</v>
      </c>
      <c r="BQ972">
        <v>248</v>
      </c>
      <c r="BR972">
        <f t="shared" si="150"/>
        <v>248</v>
      </c>
      <c r="BS972" t="s">
        <v>3288</v>
      </c>
    </row>
    <row r="973" spans="1:71" x14ac:dyDescent="0.4">
      <c r="A973" s="3">
        <v>970</v>
      </c>
      <c r="B973" s="3">
        <v>970</v>
      </c>
      <c r="C973" s="4" t="s">
        <v>1032</v>
      </c>
      <c r="D973" s="4" t="str">
        <f t="shared" si="142"/>
        <v>J805LY</v>
      </c>
      <c r="E973" s="4" t="s">
        <v>1032</v>
      </c>
      <c r="F973" s="4" t="s">
        <v>2250</v>
      </c>
      <c r="G973" s="5">
        <v>4521718777634</v>
      </c>
      <c r="H973" s="5"/>
      <c r="I973" s="5"/>
      <c r="J973" s="5">
        <v>1</v>
      </c>
      <c r="K973" s="5">
        <v>1</v>
      </c>
      <c r="L973" s="4">
        <v>250</v>
      </c>
      <c r="M973" s="4">
        <v>225</v>
      </c>
      <c r="N973" s="4">
        <v>175</v>
      </c>
      <c r="O973" s="6">
        <f t="shared" si="143"/>
        <v>0.22222222222222221</v>
      </c>
      <c r="P973" s="4" t="s">
        <v>2500</v>
      </c>
      <c r="Q973" s="4"/>
      <c r="R973" s="4"/>
      <c r="S973" s="4"/>
      <c r="T973" s="4"/>
      <c r="U973" s="4"/>
      <c r="V973" s="4"/>
      <c r="W973" s="4"/>
      <c r="X973" s="4"/>
      <c r="Y973" s="4">
        <v>250</v>
      </c>
      <c r="Z973" s="4">
        <f t="shared" si="144"/>
        <v>250</v>
      </c>
      <c r="AA973" s="4">
        <v>175</v>
      </c>
      <c r="AB973" s="4">
        <f t="shared" si="145"/>
        <v>175</v>
      </c>
      <c r="AC973" s="4"/>
      <c r="AD973" s="21">
        <f>ROUND(M973*AR973,0)</f>
        <v>225</v>
      </c>
      <c r="AE973" s="6">
        <f>1-AB973/AD973</f>
        <v>0.22222222222222221</v>
      </c>
      <c r="AF973" s="33">
        <v>0</v>
      </c>
      <c r="AG973" s="4">
        <f t="shared" si="146"/>
        <v>250</v>
      </c>
      <c r="AH973" s="33">
        <f t="shared" si="148"/>
        <v>250</v>
      </c>
      <c r="AI973" s="6">
        <f>1-AB973/AH973</f>
        <v>0.30000000000000004</v>
      </c>
      <c r="AJ973" s="7">
        <v>250</v>
      </c>
      <c r="AK973" s="6">
        <f>1-AB973/AJ973</f>
        <v>0.30000000000000004</v>
      </c>
      <c r="AL973" s="4">
        <f>AJ973-AB973</f>
        <v>75</v>
      </c>
      <c r="AM973" s="28"/>
      <c r="AN973" s="6"/>
      <c r="AO973" s="6"/>
      <c r="AP973" s="6">
        <f>Z973/L973</f>
        <v>1</v>
      </c>
      <c r="AQ973" s="6">
        <f>AJ973/M973</f>
        <v>1.1111111111111112</v>
      </c>
      <c r="AR973" s="6">
        <f>AB973/N973</f>
        <v>1</v>
      </c>
      <c r="AS973" s="4"/>
      <c r="AT973" s="4"/>
      <c r="AU973" s="4"/>
      <c r="AV973" s="4"/>
      <c r="AW973" s="4"/>
      <c r="AX973" s="4"/>
      <c r="AY973" s="4"/>
      <c r="AZ973" s="4"/>
      <c r="BA973" s="4"/>
      <c r="BB973" s="4">
        <v>0</v>
      </c>
      <c r="BC973" s="4" t="s">
        <v>4436</v>
      </c>
      <c r="BD973" s="4">
        <v>1</v>
      </c>
      <c r="BE973" s="4">
        <v>5</v>
      </c>
      <c r="BF973" s="4" t="s">
        <v>3746</v>
      </c>
      <c r="BG973" s="4">
        <v>1250</v>
      </c>
      <c r="BH973" s="4">
        <v>1250</v>
      </c>
      <c r="BI973" s="4">
        <f t="shared" si="147"/>
        <v>250</v>
      </c>
      <c r="BJ973" s="19">
        <v>4</v>
      </c>
      <c r="BK973" s="19">
        <v>8</v>
      </c>
      <c r="BL973" s="16">
        <v>6</v>
      </c>
      <c r="BM973" s="45" t="s">
        <v>3534</v>
      </c>
      <c r="BN973" t="s">
        <v>3534</v>
      </c>
      <c r="BO973" t="str">
        <f t="shared" si="149"/>
        <v>-</v>
      </c>
      <c r="BP973" t="s">
        <v>3534</v>
      </c>
      <c r="BQ973">
        <v>248</v>
      </c>
      <c r="BR973">
        <f t="shared" si="150"/>
        <v>248</v>
      </c>
      <c r="BS973" t="s">
        <v>3289</v>
      </c>
    </row>
    <row r="974" spans="1:71" x14ac:dyDescent="0.4">
      <c r="A974" s="3">
        <v>971</v>
      </c>
      <c r="B974" s="3">
        <v>971</v>
      </c>
      <c r="C974" s="4" t="s">
        <v>1033</v>
      </c>
      <c r="D974" s="4" t="str">
        <f t="shared" si="142"/>
        <v>J804LY</v>
      </c>
      <c r="E974" s="4" t="s">
        <v>1033</v>
      </c>
      <c r="F974" s="4" t="s">
        <v>2251</v>
      </c>
      <c r="G974" s="5">
        <v>4521718777627</v>
      </c>
      <c r="H974" s="5"/>
      <c r="I974" s="5"/>
      <c r="J974" s="5">
        <v>1</v>
      </c>
      <c r="K974" s="5">
        <v>1</v>
      </c>
      <c r="L974" s="4">
        <v>250</v>
      </c>
      <c r="M974" s="4">
        <v>225</v>
      </c>
      <c r="N974" s="4">
        <v>175</v>
      </c>
      <c r="O974" s="6">
        <f t="shared" si="143"/>
        <v>0.22222222222222221</v>
      </c>
      <c r="P974" s="4" t="s">
        <v>2500</v>
      </c>
      <c r="Q974" s="4"/>
      <c r="R974" s="4"/>
      <c r="S974" s="4"/>
      <c r="T974" s="4"/>
      <c r="U974" s="4"/>
      <c r="V974" s="4"/>
      <c r="W974" s="4"/>
      <c r="X974" s="4"/>
      <c r="Y974" s="4">
        <v>250</v>
      </c>
      <c r="Z974" s="4">
        <f t="shared" si="144"/>
        <v>250</v>
      </c>
      <c r="AA974" s="4">
        <v>175</v>
      </c>
      <c r="AB974" s="4">
        <f t="shared" si="145"/>
        <v>175</v>
      </c>
      <c r="AC974" s="4"/>
      <c r="AD974" s="21">
        <f>ROUND(M974*AR974,0)</f>
        <v>225</v>
      </c>
      <c r="AE974" s="6">
        <f>1-AB974/AD974</f>
        <v>0.22222222222222221</v>
      </c>
      <c r="AF974" s="33">
        <v>0</v>
      </c>
      <c r="AG974" s="4">
        <f t="shared" si="146"/>
        <v>250</v>
      </c>
      <c r="AH974" s="33">
        <f t="shared" si="148"/>
        <v>250</v>
      </c>
      <c r="AI974" s="6">
        <f>1-AB974/AH974</f>
        <v>0.30000000000000004</v>
      </c>
      <c r="AJ974" s="7">
        <v>250</v>
      </c>
      <c r="AK974" s="6">
        <f>1-AB974/AJ974</f>
        <v>0.30000000000000004</v>
      </c>
      <c r="AL974" s="4">
        <f>AJ974-AB974</f>
        <v>75</v>
      </c>
      <c r="AM974" s="28"/>
      <c r="AN974" s="6"/>
      <c r="AO974" s="6"/>
      <c r="AP974" s="6">
        <f>Z974/L974</f>
        <v>1</v>
      </c>
      <c r="AQ974" s="6">
        <f>AJ974/M974</f>
        <v>1.1111111111111112</v>
      </c>
      <c r="AR974" s="6">
        <f>AB974/N974</f>
        <v>1</v>
      </c>
      <c r="AS974" s="4"/>
      <c r="AT974" s="4"/>
      <c r="AU974" s="4"/>
      <c r="AV974" s="4"/>
      <c r="AW974" s="4"/>
      <c r="AX974" s="4"/>
      <c r="AY974" s="4"/>
      <c r="AZ974" s="4"/>
      <c r="BA974" s="4"/>
      <c r="BB974" s="4">
        <v>0</v>
      </c>
      <c r="BC974" s="4" t="s">
        <v>4437</v>
      </c>
      <c r="BD974" s="4">
        <v>1</v>
      </c>
      <c r="BE974" s="4">
        <v>5</v>
      </c>
      <c r="BF974" s="4" t="s">
        <v>3746</v>
      </c>
      <c r="BG974" s="4">
        <v>1250</v>
      </c>
      <c r="BH974" s="4">
        <v>1250</v>
      </c>
      <c r="BI974" s="4">
        <f t="shared" si="147"/>
        <v>250</v>
      </c>
      <c r="BJ974" s="19">
        <v>4</v>
      </c>
      <c r="BK974" s="19">
        <v>8</v>
      </c>
      <c r="BL974" s="16">
        <v>6</v>
      </c>
      <c r="BM974" s="45" t="s">
        <v>3534</v>
      </c>
      <c r="BN974" t="s">
        <v>3534</v>
      </c>
      <c r="BO974" t="str">
        <f t="shared" si="149"/>
        <v>-</v>
      </c>
      <c r="BP974" t="s">
        <v>3534</v>
      </c>
      <c r="BQ974">
        <v>248</v>
      </c>
      <c r="BR974">
        <f t="shared" si="150"/>
        <v>248</v>
      </c>
      <c r="BS974" t="s">
        <v>3290</v>
      </c>
    </row>
    <row r="975" spans="1:71" x14ac:dyDescent="0.4">
      <c r="A975" s="3">
        <v>972</v>
      </c>
      <c r="B975" s="3">
        <v>972</v>
      </c>
      <c r="C975" s="4" t="s">
        <v>1034</v>
      </c>
      <c r="D975" s="4" t="str">
        <f t="shared" si="142"/>
        <v>J806LY</v>
      </c>
      <c r="E975" s="4" t="s">
        <v>1034</v>
      </c>
      <c r="F975" s="4" t="s">
        <v>2252</v>
      </c>
      <c r="G975" s="5">
        <v>4521718777641</v>
      </c>
      <c r="H975" s="5"/>
      <c r="I975" s="5"/>
      <c r="J975" s="5">
        <v>1</v>
      </c>
      <c r="K975" s="5">
        <v>1</v>
      </c>
      <c r="L975" s="4">
        <v>250</v>
      </c>
      <c r="M975" s="4">
        <v>225</v>
      </c>
      <c r="N975" s="4">
        <v>175</v>
      </c>
      <c r="O975" s="6">
        <f t="shared" si="143"/>
        <v>0.22222222222222221</v>
      </c>
      <c r="P975" s="4" t="s">
        <v>2500</v>
      </c>
      <c r="Q975" s="4"/>
      <c r="R975" s="4"/>
      <c r="S975" s="4"/>
      <c r="T975" s="4"/>
      <c r="U975" s="4"/>
      <c r="V975" s="4"/>
      <c r="W975" s="4"/>
      <c r="X975" s="4"/>
      <c r="Y975" s="4">
        <v>250</v>
      </c>
      <c r="Z975" s="4">
        <f t="shared" si="144"/>
        <v>250</v>
      </c>
      <c r="AA975" s="4">
        <v>175</v>
      </c>
      <c r="AB975" s="4">
        <f t="shared" si="145"/>
        <v>175</v>
      </c>
      <c r="AC975" s="4"/>
      <c r="AD975" s="21">
        <f>ROUND(M975*AR975,0)</f>
        <v>225</v>
      </c>
      <c r="AE975" s="6">
        <f>1-AB975/AD975</f>
        <v>0.22222222222222221</v>
      </c>
      <c r="AF975" s="33">
        <v>0</v>
      </c>
      <c r="AG975" s="4">
        <f t="shared" si="146"/>
        <v>250</v>
      </c>
      <c r="AH975" s="33">
        <f t="shared" si="148"/>
        <v>250</v>
      </c>
      <c r="AI975" s="6">
        <f>1-AB975/AH975</f>
        <v>0.30000000000000004</v>
      </c>
      <c r="AJ975" s="7">
        <v>250</v>
      </c>
      <c r="AK975" s="6">
        <f>1-AB975/AJ975</f>
        <v>0.30000000000000004</v>
      </c>
      <c r="AL975" s="4">
        <f>AJ975-AB975</f>
        <v>75</v>
      </c>
      <c r="AM975" s="28"/>
      <c r="AN975" s="6"/>
      <c r="AO975" s="6"/>
      <c r="AP975" s="6">
        <f>Z975/L975</f>
        <v>1</v>
      </c>
      <c r="AQ975" s="6">
        <f>AJ975/M975</f>
        <v>1.1111111111111112</v>
      </c>
      <c r="AR975" s="6">
        <f>AB975/N975</f>
        <v>1</v>
      </c>
      <c r="AS975" s="4"/>
      <c r="AT975" s="4"/>
      <c r="AU975" s="4"/>
      <c r="AV975" s="4"/>
      <c r="AW975" s="4"/>
      <c r="AX975" s="4"/>
      <c r="AY975" s="4"/>
      <c r="AZ975" s="4"/>
      <c r="BA975" s="4"/>
      <c r="BB975" s="4">
        <v>0</v>
      </c>
      <c r="BC975" s="4" t="s">
        <v>4438</v>
      </c>
      <c r="BD975" s="4">
        <v>1</v>
      </c>
      <c r="BE975" s="4">
        <v>5</v>
      </c>
      <c r="BF975" s="4" t="s">
        <v>3746</v>
      </c>
      <c r="BG975" s="4">
        <v>1250</v>
      </c>
      <c r="BH975" s="4">
        <v>1250</v>
      </c>
      <c r="BI975" s="4">
        <f t="shared" si="147"/>
        <v>250</v>
      </c>
      <c r="BJ975" s="19">
        <v>4</v>
      </c>
      <c r="BK975" s="19">
        <v>8</v>
      </c>
      <c r="BL975" s="16">
        <v>6</v>
      </c>
      <c r="BM975" s="45" t="s">
        <v>3534</v>
      </c>
      <c r="BN975" t="s">
        <v>3534</v>
      </c>
      <c r="BO975" t="str">
        <f t="shared" si="149"/>
        <v>-</v>
      </c>
      <c r="BP975" t="s">
        <v>3534</v>
      </c>
      <c r="BQ975">
        <v>248</v>
      </c>
      <c r="BR975">
        <f t="shared" si="150"/>
        <v>248</v>
      </c>
      <c r="BS975" t="s">
        <v>3291</v>
      </c>
    </row>
    <row r="976" spans="1:71" x14ac:dyDescent="0.4">
      <c r="A976" s="3">
        <v>973</v>
      </c>
      <c r="B976" s="3">
        <v>973</v>
      </c>
      <c r="C976" s="4" t="s">
        <v>1035</v>
      </c>
      <c r="D976" s="4" t="str">
        <f t="shared" si="142"/>
        <v>J807LY</v>
      </c>
      <c r="E976" s="4" t="s">
        <v>1035</v>
      </c>
      <c r="F976" s="4" t="s">
        <v>2253</v>
      </c>
      <c r="G976" s="5">
        <v>4521718777658</v>
      </c>
      <c r="H976" s="5"/>
      <c r="I976" s="5"/>
      <c r="J976" s="5">
        <v>1</v>
      </c>
      <c r="K976" s="5">
        <v>1</v>
      </c>
      <c r="L976" s="4">
        <v>250</v>
      </c>
      <c r="M976" s="4">
        <v>225</v>
      </c>
      <c r="N976" s="4">
        <v>175</v>
      </c>
      <c r="O976" s="6">
        <f t="shared" si="143"/>
        <v>0.22222222222222221</v>
      </c>
      <c r="P976" s="4" t="s">
        <v>2500</v>
      </c>
      <c r="Q976" s="4"/>
      <c r="R976" s="4"/>
      <c r="S976" s="4"/>
      <c r="T976" s="4"/>
      <c r="U976" s="4"/>
      <c r="V976" s="4"/>
      <c r="W976" s="4"/>
      <c r="X976" s="4"/>
      <c r="Y976" s="4">
        <v>250</v>
      </c>
      <c r="Z976" s="4">
        <f t="shared" si="144"/>
        <v>250</v>
      </c>
      <c r="AA976" s="4">
        <v>175</v>
      </c>
      <c r="AB976" s="4">
        <f t="shared" si="145"/>
        <v>175</v>
      </c>
      <c r="AC976" s="4"/>
      <c r="AD976" s="21">
        <f>ROUND(M976*AR976,0)</f>
        <v>225</v>
      </c>
      <c r="AE976" s="6">
        <f>1-AB976/AD976</f>
        <v>0.22222222222222221</v>
      </c>
      <c r="AF976" s="33">
        <v>0</v>
      </c>
      <c r="AG976" s="4">
        <f t="shared" si="146"/>
        <v>250</v>
      </c>
      <c r="AH976" s="33">
        <f t="shared" si="148"/>
        <v>250</v>
      </c>
      <c r="AI976" s="6">
        <f>1-AB976/AH976</f>
        <v>0.30000000000000004</v>
      </c>
      <c r="AJ976" s="7">
        <v>250</v>
      </c>
      <c r="AK976" s="6">
        <f>1-AB976/AJ976</f>
        <v>0.30000000000000004</v>
      </c>
      <c r="AL976" s="4">
        <f>AJ976-AB976</f>
        <v>75</v>
      </c>
      <c r="AM976" s="28"/>
      <c r="AN976" s="6"/>
      <c r="AO976" s="6"/>
      <c r="AP976" s="6">
        <f>Z976/L976</f>
        <v>1</v>
      </c>
      <c r="AQ976" s="6">
        <f>AJ976/M976</f>
        <v>1.1111111111111112</v>
      </c>
      <c r="AR976" s="6">
        <f>AB976/N976</f>
        <v>1</v>
      </c>
      <c r="AS976" s="4"/>
      <c r="AT976" s="4"/>
      <c r="AU976" s="4"/>
      <c r="AV976" s="4"/>
      <c r="AW976" s="4"/>
      <c r="AX976" s="4"/>
      <c r="AY976" s="4"/>
      <c r="AZ976" s="4"/>
      <c r="BA976" s="4"/>
      <c r="BB976" s="4">
        <v>0</v>
      </c>
      <c r="BC976" s="4" t="s">
        <v>4439</v>
      </c>
      <c r="BD976" s="4">
        <v>1</v>
      </c>
      <c r="BE976" s="4">
        <v>5</v>
      </c>
      <c r="BF976" s="4" t="s">
        <v>3746</v>
      </c>
      <c r="BG976" s="4">
        <v>1250</v>
      </c>
      <c r="BH976" s="4">
        <v>1250</v>
      </c>
      <c r="BI976" s="4">
        <f t="shared" si="147"/>
        <v>250</v>
      </c>
      <c r="BJ976" s="19">
        <v>4</v>
      </c>
      <c r="BK976" s="19">
        <v>8</v>
      </c>
      <c r="BL976" s="16">
        <v>6</v>
      </c>
      <c r="BM976" s="45" t="s">
        <v>3534</v>
      </c>
      <c r="BN976" t="s">
        <v>3534</v>
      </c>
      <c r="BO976" t="str">
        <f t="shared" si="149"/>
        <v>-</v>
      </c>
      <c r="BP976" t="s">
        <v>3534</v>
      </c>
      <c r="BQ976">
        <v>248</v>
      </c>
      <c r="BR976">
        <f t="shared" si="150"/>
        <v>248</v>
      </c>
      <c r="BS976" t="s">
        <v>3292</v>
      </c>
    </row>
    <row r="977" spans="1:71" x14ac:dyDescent="0.4">
      <c r="A977" s="3">
        <v>974</v>
      </c>
      <c r="B977" s="3">
        <v>974</v>
      </c>
      <c r="C977" s="4" t="s">
        <v>1036</v>
      </c>
      <c r="D977" s="4" t="str">
        <f t="shared" si="142"/>
        <v>J808LY</v>
      </c>
      <c r="E977" s="4" t="s">
        <v>1036</v>
      </c>
      <c r="F977" s="4" t="s">
        <v>2254</v>
      </c>
      <c r="G977" s="5">
        <v>4521718777665</v>
      </c>
      <c r="H977" s="5"/>
      <c r="I977" s="5"/>
      <c r="J977" s="5">
        <v>1</v>
      </c>
      <c r="K977" s="5">
        <v>1</v>
      </c>
      <c r="L977" s="4">
        <v>250</v>
      </c>
      <c r="M977" s="4">
        <v>225</v>
      </c>
      <c r="N977" s="4">
        <v>175</v>
      </c>
      <c r="O977" s="6">
        <f t="shared" si="143"/>
        <v>0.22222222222222221</v>
      </c>
      <c r="P977" s="4" t="s">
        <v>2500</v>
      </c>
      <c r="Q977" s="4"/>
      <c r="R977" s="4"/>
      <c r="S977" s="4"/>
      <c r="T977" s="4"/>
      <c r="U977" s="4"/>
      <c r="V977" s="4"/>
      <c r="W977" s="4"/>
      <c r="X977" s="4"/>
      <c r="Y977" s="4">
        <v>250</v>
      </c>
      <c r="Z977" s="4">
        <f t="shared" si="144"/>
        <v>250</v>
      </c>
      <c r="AA977" s="4">
        <v>175</v>
      </c>
      <c r="AB977" s="4">
        <f t="shared" si="145"/>
        <v>175</v>
      </c>
      <c r="AC977" s="4"/>
      <c r="AD977" s="21">
        <f>ROUND(M977*AR977,0)</f>
        <v>225</v>
      </c>
      <c r="AE977" s="6">
        <f>1-AB977/AD977</f>
        <v>0.22222222222222221</v>
      </c>
      <c r="AF977" s="33">
        <v>0</v>
      </c>
      <c r="AG977" s="4">
        <f t="shared" si="146"/>
        <v>250</v>
      </c>
      <c r="AH977" s="33">
        <f t="shared" si="148"/>
        <v>250</v>
      </c>
      <c r="AI977" s="6">
        <f>1-AB977/AH977</f>
        <v>0.30000000000000004</v>
      </c>
      <c r="AJ977" s="7">
        <v>250</v>
      </c>
      <c r="AK977" s="6">
        <f>1-AB977/AJ977</f>
        <v>0.30000000000000004</v>
      </c>
      <c r="AL977" s="4">
        <f>AJ977-AB977</f>
        <v>75</v>
      </c>
      <c r="AM977" s="28"/>
      <c r="AN977" s="6"/>
      <c r="AO977" s="6"/>
      <c r="AP977" s="6">
        <f>Z977/L977</f>
        <v>1</v>
      </c>
      <c r="AQ977" s="6">
        <f>AJ977/M977</f>
        <v>1.1111111111111112</v>
      </c>
      <c r="AR977" s="6">
        <f>AB977/N977</f>
        <v>1</v>
      </c>
      <c r="AS977" s="4"/>
      <c r="AT977" s="4"/>
      <c r="AU977" s="4"/>
      <c r="AV977" s="4"/>
      <c r="AW977" s="4"/>
      <c r="AX977" s="4"/>
      <c r="AY977" s="4"/>
      <c r="AZ977" s="4"/>
      <c r="BA977" s="4"/>
      <c r="BB977" s="4">
        <v>0</v>
      </c>
      <c r="BC977" s="4" t="s">
        <v>4440</v>
      </c>
      <c r="BD977" s="4">
        <v>1</v>
      </c>
      <c r="BE977" s="4">
        <v>5</v>
      </c>
      <c r="BF977" s="4" t="s">
        <v>3746</v>
      </c>
      <c r="BG977" s="4">
        <v>1250</v>
      </c>
      <c r="BH977" s="4">
        <v>1250</v>
      </c>
      <c r="BI977" s="4">
        <f t="shared" si="147"/>
        <v>250</v>
      </c>
      <c r="BJ977" s="19">
        <v>4</v>
      </c>
      <c r="BK977" s="19">
        <v>8</v>
      </c>
      <c r="BL977" s="16">
        <v>6</v>
      </c>
      <c r="BM977" s="45" t="s">
        <v>3534</v>
      </c>
      <c r="BN977" t="s">
        <v>3534</v>
      </c>
      <c r="BO977" t="str">
        <f t="shared" si="149"/>
        <v>-</v>
      </c>
      <c r="BP977" t="s">
        <v>3534</v>
      </c>
      <c r="BQ977">
        <v>248</v>
      </c>
      <c r="BR977">
        <f t="shared" si="150"/>
        <v>248</v>
      </c>
      <c r="BS977" t="s">
        <v>3293</v>
      </c>
    </row>
    <row r="978" spans="1:71" x14ac:dyDescent="0.4">
      <c r="A978" s="3">
        <v>975</v>
      </c>
      <c r="B978" s="3">
        <v>975</v>
      </c>
      <c r="C978" s="4" t="s">
        <v>1037</v>
      </c>
      <c r="D978" s="4" t="str">
        <f t="shared" si="142"/>
        <v>J809LY</v>
      </c>
      <c r="E978" s="4" t="s">
        <v>1037</v>
      </c>
      <c r="F978" s="4" t="s">
        <v>2255</v>
      </c>
      <c r="G978" s="5">
        <v>4521718777672</v>
      </c>
      <c r="H978" s="5"/>
      <c r="I978" s="5"/>
      <c r="J978" s="5">
        <v>1</v>
      </c>
      <c r="K978" s="5">
        <v>1</v>
      </c>
      <c r="L978" s="4">
        <v>250</v>
      </c>
      <c r="M978" s="4">
        <v>225</v>
      </c>
      <c r="N978" s="4">
        <v>175</v>
      </c>
      <c r="O978" s="6">
        <f t="shared" si="143"/>
        <v>0.22222222222222221</v>
      </c>
      <c r="P978" s="4" t="s">
        <v>2500</v>
      </c>
      <c r="Q978" s="4"/>
      <c r="R978" s="4"/>
      <c r="S978" s="4"/>
      <c r="T978" s="4"/>
      <c r="U978" s="4"/>
      <c r="V978" s="4"/>
      <c r="W978" s="4"/>
      <c r="X978" s="4"/>
      <c r="Y978" s="4">
        <v>250</v>
      </c>
      <c r="Z978" s="4">
        <f t="shared" si="144"/>
        <v>250</v>
      </c>
      <c r="AA978" s="4">
        <v>175</v>
      </c>
      <c r="AB978" s="4">
        <f t="shared" si="145"/>
        <v>175</v>
      </c>
      <c r="AC978" s="4"/>
      <c r="AD978" s="21">
        <f>ROUND(M978*AR978,0)</f>
        <v>225</v>
      </c>
      <c r="AE978" s="6">
        <f>1-AB978/AD978</f>
        <v>0.22222222222222221</v>
      </c>
      <c r="AF978" s="33">
        <v>0</v>
      </c>
      <c r="AG978" s="4">
        <f t="shared" si="146"/>
        <v>250</v>
      </c>
      <c r="AH978" s="33">
        <f t="shared" si="148"/>
        <v>250</v>
      </c>
      <c r="AI978" s="6">
        <f>1-AB978/AH978</f>
        <v>0.30000000000000004</v>
      </c>
      <c r="AJ978" s="7">
        <v>250</v>
      </c>
      <c r="AK978" s="6">
        <f>1-AB978/AJ978</f>
        <v>0.30000000000000004</v>
      </c>
      <c r="AL978" s="4">
        <f>AJ978-AB978</f>
        <v>75</v>
      </c>
      <c r="AM978" s="28"/>
      <c r="AN978" s="6"/>
      <c r="AO978" s="6"/>
      <c r="AP978" s="6">
        <f>Z978/L978</f>
        <v>1</v>
      </c>
      <c r="AQ978" s="6">
        <f>AJ978/M978</f>
        <v>1.1111111111111112</v>
      </c>
      <c r="AR978" s="6">
        <f>AB978/N978</f>
        <v>1</v>
      </c>
      <c r="AS978" s="4"/>
      <c r="AT978" s="4"/>
      <c r="AU978" s="4"/>
      <c r="AV978" s="4"/>
      <c r="AW978" s="4"/>
      <c r="AX978" s="4"/>
      <c r="AY978" s="4"/>
      <c r="AZ978" s="4"/>
      <c r="BA978" s="4"/>
      <c r="BB978" s="4">
        <v>0</v>
      </c>
      <c r="BC978" s="4" t="s">
        <v>4441</v>
      </c>
      <c r="BD978" s="4">
        <v>1</v>
      </c>
      <c r="BE978" s="4">
        <v>5</v>
      </c>
      <c r="BF978" s="4" t="s">
        <v>3746</v>
      </c>
      <c r="BG978" s="4">
        <v>1250</v>
      </c>
      <c r="BH978" s="4">
        <v>1250</v>
      </c>
      <c r="BI978" s="4">
        <f t="shared" si="147"/>
        <v>250</v>
      </c>
      <c r="BJ978" s="19">
        <v>4</v>
      </c>
      <c r="BK978" s="19">
        <v>8</v>
      </c>
      <c r="BL978" s="16">
        <v>6</v>
      </c>
      <c r="BM978" s="45" t="s">
        <v>3534</v>
      </c>
      <c r="BN978" t="s">
        <v>3534</v>
      </c>
      <c r="BO978" t="str">
        <f t="shared" si="149"/>
        <v>-</v>
      </c>
      <c r="BP978" t="s">
        <v>3534</v>
      </c>
      <c r="BQ978">
        <v>248</v>
      </c>
      <c r="BR978">
        <f t="shared" si="150"/>
        <v>248</v>
      </c>
      <c r="BS978" t="s">
        <v>3294</v>
      </c>
    </row>
    <row r="979" spans="1:71" x14ac:dyDescent="0.4">
      <c r="A979" s="3">
        <v>976</v>
      </c>
      <c r="B979" s="3">
        <v>976</v>
      </c>
      <c r="C979" s="4" t="s">
        <v>1038</v>
      </c>
      <c r="D979" s="4" t="str">
        <f t="shared" si="142"/>
        <v>J810LY</v>
      </c>
      <c r="E979" s="4" t="s">
        <v>1038</v>
      </c>
      <c r="F979" s="4" t="s">
        <v>2256</v>
      </c>
      <c r="G979" s="5">
        <v>4521718777689</v>
      </c>
      <c r="H979" s="5"/>
      <c r="I979" s="5"/>
      <c r="J979" s="5">
        <v>1</v>
      </c>
      <c r="K979" s="5">
        <v>1</v>
      </c>
      <c r="L979" s="4">
        <v>250</v>
      </c>
      <c r="M979" s="4">
        <v>225</v>
      </c>
      <c r="N979" s="4">
        <v>175</v>
      </c>
      <c r="O979" s="6">
        <f t="shared" si="143"/>
        <v>0.22222222222222221</v>
      </c>
      <c r="P979" s="4" t="s">
        <v>2500</v>
      </c>
      <c r="Q979" s="4"/>
      <c r="R979" s="4"/>
      <c r="S979" s="4"/>
      <c r="T979" s="4"/>
      <c r="U979" s="4"/>
      <c r="V979" s="4"/>
      <c r="W979" s="4"/>
      <c r="X979" s="4"/>
      <c r="Y979" s="4">
        <v>250</v>
      </c>
      <c r="Z979" s="4">
        <f t="shared" si="144"/>
        <v>250</v>
      </c>
      <c r="AA979" s="4">
        <v>175</v>
      </c>
      <c r="AB979" s="4">
        <f t="shared" si="145"/>
        <v>175</v>
      </c>
      <c r="AC979" s="4"/>
      <c r="AD979" s="21">
        <f>ROUND(M979*AR979,0)</f>
        <v>225</v>
      </c>
      <c r="AE979" s="6">
        <f>1-AB979/AD979</f>
        <v>0.22222222222222221</v>
      </c>
      <c r="AF979" s="33">
        <v>0</v>
      </c>
      <c r="AG979" s="4">
        <f t="shared" si="146"/>
        <v>250</v>
      </c>
      <c r="AH979" s="33">
        <f t="shared" si="148"/>
        <v>250</v>
      </c>
      <c r="AI979" s="6">
        <f>1-AB979/AH979</f>
        <v>0.30000000000000004</v>
      </c>
      <c r="AJ979" s="7">
        <v>250</v>
      </c>
      <c r="AK979" s="6">
        <f>1-AB979/AJ979</f>
        <v>0.30000000000000004</v>
      </c>
      <c r="AL979" s="4">
        <f>AJ979-AB979</f>
        <v>75</v>
      </c>
      <c r="AM979" s="28"/>
      <c r="AN979" s="6"/>
      <c r="AO979" s="6"/>
      <c r="AP979" s="6">
        <f>Z979/L979</f>
        <v>1</v>
      </c>
      <c r="AQ979" s="6">
        <f>AJ979/M979</f>
        <v>1.1111111111111112</v>
      </c>
      <c r="AR979" s="6">
        <f>AB979/N979</f>
        <v>1</v>
      </c>
      <c r="AS979" s="4"/>
      <c r="AT979" s="4"/>
      <c r="AU979" s="4"/>
      <c r="AV979" s="4"/>
      <c r="AW979" s="4"/>
      <c r="AX979" s="4"/>
      <c r="AY979" s="4"/>
      <c r="AZ979" s="4"/>
      <c r="BA979" s="4"/>
      <c r="BB979" s="4">
        <v>0</v>
      </c>
      <c r="BC979" s="4" t="s">
        <v>4442</v>
      </c>
      <c r="BD979" s="4">
        <v>1</v>
      </c>
      <c r="BE979" s="4">
        <v>5</v>
      </c>
      <c r="BF979" s="4" t="s">
        <v>3746</v>
      </c>
      <c r="BG979" s="4">
        <v>1250</v>
      </c>
      <c r="BH979" s="4">
        <v>1250</v>
      </c>
      <c r="BI979" s="4">
        <f t="shared" si="147"/>
        <v>250</v>
      </c>
      <c r="BJ979" s="19">
        <v>4</v>
      </c>
      <c r="BK979" s="19">
        <v>8</v>
      </c>
      <c r="BL979" s="16">
        <v>6</v>
      </c>
      <c r="BM979" s="45" t="s">
        <v>3534</v>
      </c>
      <c r="BN979" t="s">
        <v>3534</v>
      </c>
      <c r="BO979" t="str">
        <f t="shared" si="149"/>
        <v>-</v>
      </c>
      <c r="BP979" t="s">
        <v>3534</v>
      </c>
      <c r="BQ979">
        <v>248</v>
      </c>
      <c r="BR979">
        <f t="shared" si="150"/>
        <v>248</v>
      </c>
      <c r="BS979" t="s">
        <v>3295</v>
      </c>
    </row>
    <row r="980" spans="1:71" x14ac:dyDescent="0.4">
      <c r="A980" s="3">
        <v>977</v>
      </c>
      <c r="B980" s="3">
        <v>977</v>
      </c>
      <c r="C980" s="4" t="s">
        <v>1039</v>
      </c>
      <c r="D980" s="4" t="str">
        <f t="shared" si="142"/>
        <v>J811LY</v>
      </c>
      <c r="E980" s="4" t="s">
        <v>1039</v>
      </c>
      <c r="F980" s="4" t="s">
        <v>2257</v>
      </c>
      <c r="G980" s="5">
        <v>4521718777696</v>
      </c>
      <c r="H980" s="5"/>
      <c r="I980" s="5"/>
      <c r="J980" s="5">
        <v>1</v>
      </c>
      <c r="K980" s="5">
        <v>1</v>
      </c>
      <c r="L980" s="4">
        <v>250</v>
      </c>
      <c r="M980" s="4">
        <v>225</v>
      </c>
      <c r="N980" s="4">
        <v>175</v>
      </c>
      <c r="O980" s="6">
        <f t="shared" si="143"/>
        <v>0.22222222222222221</v>
      </c>
      <c r="P980" s="4" t="s">
        <v>2500</v>
      </c>
      <c r="Q980" s="4"/>
      <c r="R980" s="4"/>
      <c r="S980" s="4"/>
      <c r="T980" s="4"/>
      <c r="U980" s="4"/>
      <c r="V980" s="4"/>
      <c r="W980" s="4"/>
      <c r="X980" s="4"/>
      <c r="Y980" s="4">
        <v>250</v>
      </c>
      <c r="Z980" s="4">
        <f t="shared" si="144"/>
        <v>250</v>
      </c>
      <c r="AA980" s="4">
        <v>175</v>
      </c>
      <c r="AB980" s="4">
        <f t="shared" si="145"/>
        <v>175</v>
      </c>
      <c r="AC980" s="4"/>
      <c r="AD980" s="21">
        <f>ROUND(M980*AR980,0)</f>
        <v>225</v>
      </c>
      <c r="AE980" s="6">
        <f>1-AB980/AD980</f>
        <v>0.22222222222222221</v>
      </c>
      <c r="AF980" s="33">
        <v>0</v>
      </c>
      <c r="AG980" s="4">
        <f t="shared" si="146"/>
        <v>250</v>
      </c>
      <c r="AH980" s="33">
        <f t="shared" si="148"/>
        <v>250</v>
      </c>
      <c r="AI980" s="6">
        <f>1-AB980/AH980</f>
        <v>0.30000000000000004</v>
      </c>
      <c r="AJ980" s="7">
        <v>250</v>
      </c>
      <c r="AK980" s="6">
        <f>1-AB980/AJ980</f>
        <v>0.30000000000000004</v>
      </c>
      <c r="AL980" s="4">
        <f>AJ980-AB980</f>
        <v>75</v>
      </c>
      <c r="AM980" s="28"/>
      <c r="AN980" s="6"/>
      <c r="AO980" s="6"/>
      <c r="AP980" s="6">
        <f>Z980/L980</f>
        <v>1</v>
      </c>
      <c r="AQ980" s="6">
        <f>AJ980/M980</f>
        <v>1.1111111111111112</v>
      </c>
      <c r="AR980" s="6">
        <f>AB980/N980</f>
        <v>1</v>
      </c>
      <c r="AS980" s="4"/>
      <c r="AT980" s="4"/>
      <c r="AU980" s="4"/>
      <c r="AV980" s="4"/>
      <c r="AW980" s="4"/>
      <c r="AX980" s="4"/>
      <c r="AY980" s="4"/>
      <c r="AZ980" s="4"/>
      <c r="BA980" s="4"/>
      <c r="BB980" s="4">
        <v>0</v>
      </c>
      <c r="BC980" s="4" t="s">
        <v>4443</v>
      </c>
      <c r="BD980" s="4">
        <v>1</v>
      </c>
      <c r="BE980" s="4">
        <v>5</v>
      </c>
      <c r="BF980" s="4" t="s">
        <v>3746</v>
      </c>
      <c r="BG980" s="4">
        <v>1250</v>
      </c>
      <c r="BH980" s="4">
        <v>1250</v>
      </c>
      <c r="BI980" s="4">
        <f t="shared" si="147"/>
        <v>250</v>
      </c>
      <c r="BJ980" s="19">
        <v>4</v>
      </c>
      <c r="BK980" s="19">
        <v>8</v>
      </c>
      <c r="BL980" s="16">
        <v>6</v>
      </c>
      <c r="BM980" s="45" t="s">
        <v>3534</v>
      </c>
      <c r="BN980" t="s">
        <v>3534</v>
      </c>
      <c r="BO980" t="str">
        <f t="shared" si="149"/>
        <v>-</v>
      </c>
      <c r="BP980" t="s">
        <v>3534</v>
      </c>
      <c r="BQ980">
        <v>248</v>
      </c>
      <c r="BR980">
        <f t="shared" si="150"/>
        <v>248</v>
      </c>
      <c r="BS980" t="s">
        <v>3296</v>
      </c>
    </row>
    <row r="981" spans="1:71" x14ac:dyDescent="0.4">
      <c r="A981" s="3">
        <v>978</v>
      </c>
      <c r="B981" s="3">
        <v>978</v>
      </c>
      <c r="C981" s="4" t="s">
        <v>1040</v>
      </c>
      <c r="D981" s="4" t="str">
        <f t="shared" si="142"/>
        <v>J812LY</v>
      </c>
      <c r="E981" s="4" t="s">
        <v>1040</v>
      </c>
      <c r="F981" s="4" t="s">
        <v>2258</v>
      </c>
      <c r="G981" s="5">
        <v>4521718777702</v>
      </c>
      <c r="H981" s="5"/>
      <c r="I981" s="5"/>
      <c r="J981" s="5">
        <v>1</v>
      </c>
      <c r="K981" s="5">
        <v>1</v>
      </c>
      <c r="L981" s="4">
        <v>250</v>
      </c>
      <c r="M981" s="4">
        <v>225</v>
      </c>
      <c r="N981" s="4">
        <v>175</v>
      </c>
      <c r="O981" s="6">
        <f t="shared" si="143"/>
        <v>0.22222222222222221</v>
      </c>
      <c r="P981" s="4" t="s">
        <v>2500</v>
      </c>
      <c r="Q981" s="4"/>
      <c r="R981" s="4"/>
      <c r="S981" s="4"/>
      <c r="T981" s="4"/>
      <c r="U981" s="4"/>
      <c r="V981" s="4"/>
      <c r="W981" s="4"/>
      <c r="X981" s="4"/>
      <c r="Y981" s="4">
        <v>250</v>
      </c>
      <c r="Z981" s="4">
        <f t="shared" si="144"/>
        <v>250</v>
      </c>
      <c r="AA981" s="4">
        <v>175</v>
      </c>
      <c r="AB981" s="4">
        <f t="shared" si="145"/>
        <v>175</v>
      </c>
      <c r="AC981" s="4"/>
      <c r="AD981" s="21">
        <f>ROUND(M981*AR981,0)</f>
        <v>225</v>
      </c>
      <c r="AE981" s="6">
        <f>1-AB981/AD981</f>
        <v>0.22222222222222221</v>
      </c>
      <c r="AF981" s="33">
        <v>0</v>
      </c>
      <c r="AG981" s="4">
        <f t="shared" si="146"/>
        <v>250</v>
      </c>
      <c r="AH981" s="33">
        <f t="shared" si="148"/>
        <v>250</v>
      </c>
      <c r="AI981" s="6">
        <f>1-AB981/AH981</f>
        <v>0.30000000000000004</v>
      </c>
      <c r="AJ981" s="7">
        <v>250</v>
      </c>
      <c r="AK981" s="6">
        <f>1-AB981/AJ981</f>
        <v>0.30000000000000004</v>
      </c>
      <c r="AL981" s="4">
        <f>AJ981-AB981</f>
        <v>75</v>
      </c>
      <c r="AM981" s="28"/>
      <c r="AN981" s="6"/>
      <c r="AO981" s="6"/>
      <c r="AP981" s="6">
        <f>Z981/L981</f>
        <v>1</v>
      </c>
      <c r="AQ981" s="6">
        <f>AJ981/M981</f>
        <v>1.1111111111111112</v>
      </c>
      <c r="AR981" s="6">
        <f>AB981/N981</f>
        <v>1</v>
      </c>
      <c r="AS981" s="4"/>
      <c r="AT981" s="4"/>
      <c r="AU981" s="4"/>
      <c r="AV981" s="4"/>
      <c r="AW981" s="4"/>
      <c r="AX981" s="4"/>
      <c r="AY981" s="4"/>
      <c r="AZ981" s="4"/>
      <c r="BA981" s="4"/>
      <c r="BB981" s="4">
        <v>0</v>
      </c>
      <c r="BC981" s="4" t="s">
        <v>4444</v>
      </c>
      <c r="BD981" s="4">
        <v>1</v>
      </c>
      <c r="BE981" s="4">
        <v>5</v>
      </c>
      <c r="BF981" s="4" t="s">
        <v>3746</v>
      </c>
      <c r="BG981" s="4">
        <v>1250</v>
      </c>
      <c r="BH981" s="4">
        <v>1250</v>
      </c>
      <c r="BI981" s="4">
        <f t="shared" si="147"/>
        <v>250</v>
      </c>
      <c r="BJ981" s="19">
        <v>4</v>
      </c>
      <c r="BK981" s="19">
        <v>8</v>
      </c>
      <c r="BL981" s="16">
        <v>6</v>
      </c>
      <c r="BM981" s="45" t="s">
        <v>3534</v>
      </c>
      <c r="BN981" t="s">
        <v>3534</v>
      </c>
      <c r="BO981" t="str">
        <f t="shared" si="149"/>
        <v>-</v>
      </c>
      <c r="BP981" t="s">
        <v>3534</v>
      </c>
      <c r="BQ981">
        <v>248</v>
      </c>
      <c r="BR981">
        <f t="shared" si="150"/>
        <v>248</v>
      </c>
      <c r="BS981" t="s">
        <v>3297</v>
      </c>
    </row>
    <row r="982" spans="1:71" x14ac:dyDescent="0.4">
      <c r="A982" s="3">
        <v>979</v>
      </c>
      <c r="B982" s="3">
        <v>979</v>
      </c>
      <c r="C982" s="4" t="s">
        <v>1041</v>
      </c>
      <c r="D982" s="4" t="str">
        <f t="shared" si="142"/>
        <v>J813LY</v>
      </c>
      <c r="E982" s="4" t="s">
        <v>1041</v>
      </c>
      <c r="F982" s="4" t="s">
        <v>2259</v>
      </c>
      <c r="G982" s="5">
        <v>4521718777719</v>
      </c>
      <c r="H982" s="5"/>
      <c r="I982" s="5"/>
      <c r="J982" s="5">
        <v>1</v>
      </c>
      <c r="K982" s="5">
        <v>1</v>
      </c>
      <c r="L982" s="4">
        <v>250</v>
      </c>
      <c r="M982" s="4">
        <v>225</v>
      </c>
      <c r="N982" s="4">
        <v>175</v>
      </c>
      <c r="O982" s="6">
        <f t="shared" si="143"/>
        <v>0.22222222222222221</v>
      </c>
      <c r="P982" s="4" t="s">
        <v>2500</v>
      </c>
      <c r="Q982" s="4"/>
      <c r="R982" s="4"/>
      <c r="S982" s="4"/>
      <c r="T982" s="4"/>
      <c r="U982" s="4"/>
      <c r="V982" s="4"/>
      <c r="W982" s="4"/>
      <c r="X982" s="4"/>
      <c r="Y982" s="4">
        <v>250</v>
      </c>
      <c r="Z982" s="4">
        <f t="shared" si="144"/>
        <v>250</v>
      </c>
      <c r="AA982" s="4">
        <v>175</v>
      </c>
      <c r="AB982" s="4">
        <f t="shared" si="145"/>
        <v>175</v>
      </c>
      <c r="AC982" s="4"/>
      <c r="AD982" s="21">
        <f>ROUND(M982*AR982,0)</f>
        <v>225</v>
      </c>
      <c r="AE982" s="6">
        <f>1-AB982/AD982</f>
        <v>0.22222222222222221</v>
      </c>
      <c r="AF982" s="33">
        <v>0</v>
      </c>
      <c r="AG982" s="4">
        <f t="shared" si="146"/>
        <v>250</v>
      </c>
      <c r="AH982" s="33">
        <f t="shared" si="148"/>
        <v>250</v>
      </c>
      <c r="AI982" s="6">
        <f>1-AB982/AH982</f>
        <v>0.30000000000000004</v>
      </c>
      <c r="AJ982" s="7">
        <v>250</v>
      </c>
      <c r="AK982" s="6">
        <f>1-AB982/AJ982</f>
        <v>0.30000000000000004</v>
      </c>
      <c r="AL982" s="4">
        <f>AJ982-AB982</f>
        <v>75</v>
      </c>
      <c r="AM982" s="28"/>
      <c r="AN982" s="6"/>
      <c r="AO982" s="6"/>
      <c r="AP982" s="6">
        <f>Z982/L982</f>
        <v>1</v>
      </c>
      <c r="AQ982" s="6">
        <f>AJ982/M982</f>
        <v>1.1111111111111112</v>
      </c>
      <c r="AR982" s="6">
        <f>AB982/N982</f>
        <v>1</v>
      </c>
      <c r="AS982" s="4"/>
      <c r="AT982" s="4"/>
      <c r="AU982" s="4"/>
      <c r="AV982" s="4"/>
      <c r="AW982" s="4"/>
      <c r="AX982" s="4"/>
      <c r="AY982" s="4"/>
      <c r="AZ982" s="4"/>
      <c r="BA982" s="4"/>
      <c r="BB982" s="4">
        <v>0</v>
      </c>
      <c r="BC982" s="4" t="s">
        <v>4445</v>
      </c>
      <c r="BD982" s="4">
        <v>1</v>
      </c>
      <c r="BE982" s="4">
        <v>5</v>
      </c>
      <c r="BF982" s="4" t="s">
        <v>3746</v>
      </c>
      <c r="BG982" s="4">
        <v>1250</v>
      </c>
      <c r="BH982" s="4">
        <v>1250</v>
      </c>
      <c r="BI982" s="4">
        <f t="shared" si="147"/>
        <v>250</v>
      </c>
      <c r="BJ982" s="19">
        <v>4</v>
      </c>
      <c r="BK982" s="19">
        <v>8</v>
      </c>
      <c r="BL982" s="16">
        <v>6</v>
      </c>
      <c r="BM982" s="45" t="s">
        <v>3534</v>
      </c>
      <c r="BN982" t="s">
        <v>3534</v>
      </c>
      <c r="BO982" t="str">
        <f t="shared" si="149"/>
        <v>-</v>
      </c>
      <c r="BP982" t="s">
        <v>3534</v>
      </c>
      <c r="BQ982">
        <v>248</v>
      </c>
      <c r="BR982">
        <f t="shared" si="150"/>
        <v>248</v>
      </c>
      <c r="BS982" t="s">
        <v>3298</v>
      </c>
    </row>
    <row r="983" spans="1:71" x14ac:dyDescent="0.4">
      <c r="A983" s="3">
        <v>980</v>
      </c>
      <c r="B983" s="3">
        <v>980</v>
      </c>
      <c r="C983" s="4" t="s">
        <v>1042</v>
      </c>
      <c r="D983" s="4" t="str">
        <f t="shared" ref="D983:D1046" si="151">TEXT(C983,"000000")</f>
        <v>J815LY</v>
      </c>
      <c r="E983" s="4" t="s">
        <v>1042</v>
      </c>
      <c r="F983" s="4" t="s">
        <v>2260</v>
      </c>
      <c r="G983" s="5">
        <v>4521718777733</v>
      </c>
      <c r="H983" s="5"/>
      <c r="I983" s="5"/>
      <c r="J983" s="5">
        <v>1</v>
      </c>
      <c r="K983" s="5">
        <v>1</v>
      </c>
      <c r="L983" s="4">
        <v>250</v>
      </c>
      <c r="M983" s="4">
        <v>225</v>
      </c>
      <c r="N983" s="4">
        <v>175</v>
      </c>
      <c r="O983" s="6">
        <f t="shared" ref="O983:O1046" si="152">1-N983/M983</f>
        <v>0.22222222222222221</v>
      </c>
      <c r="P983" s="4" t="s">
        <v>2500</v>
      </c>
      <c r="Q983" s="4"/>
      <c r="R983" s="4"/>
      <c r="S983" s="4"/>
      <c r="T983" s="4"/>
      <c r="U983" s="4"/>
      <c r="V983" s="4"/>
      <c r="W983" s="4"/>
      <c r="X983" s="4"/>
      <c r="Y983" s="4">
        <v>250</v>
      </c>
      <c r="Z983" s="4">
        <f t="shared" ref="Z983:Z1046" si="153">IF(AC983="",Y983,Y983*AC983)</f>
        <v>250</v>
      </c>
      <c r="AA983" s="4">
        <v>175</v>
      </c>
      <c r="AB983" s="4">
        <f t="shared" ref="AB983:AB1046" si="154">IF(AC983="",AA983,AA983*AC983)</f>
        <v>175</v>
      </c>
      <c r="AC983" s="4"/>
      <c r="AD983" s="21">
        <f>ROUND(M983*AR983,0)</f>
        <v>225</v>
      </c>
      <c r="AE983" s="6">
        <f>1-AB983/AD983</f>
        <v>0.22222222222222221</v>
      </c>
      <c r="AF983" s="33">
        <v>0</v>
      </c>
      <c r="AG983" s="4">
        <f t="shared" ref="AG983:AG1046" si="155">BI983</f>
        <v>250</v>
      </c>
      <c r="AH983" s="33">
        <f t="shared" si="148"/>
        <v>250</v>
      </c>
      <c r="AI983" s="6">
        <f>1-AB983/AH983</f>
        <v>0.30000000000000004</v>
      </c>
      <c r="AJ983" s="7">
        <v>250</v>
      </c>
      <c r="AK983" s="6">
        <f>1-AB983/AJ983</f>
        <v>0.30000000000000004</v>
      </c>
      <c r="AL983" s="4">
        <f>AJ983-AB983</f>
        <v>75</v>
      </c>
      <c r="AM983" s="28"/>
      <c r="AN983" s="6"/>
      <c r="AO983" s="6"/>
      <c r="AP983" s="6">
        <f>Z983/L983</f>
        <v>1</v>
      </c>
      <c r="AQ983" s="6">
        <f>AJ983/M983</f>
        <v>1.1111111111111112</v>
      </c>
      <c r="AR983" s="6">
        <f>AB983/N983</f>
        <v>1</v>
      </c>
      <c r="AS983" s="4"/>
      <c r="AT983" s="4"/>
      <c r="AU983" s="4"/>
      <c r="AV983" s="4"/>
      <c r="AW983" s="4"/>
      <c r="AX983" s="4"/>
      <c r="AY983" s="4"/>
      <c r="AZ983" s="4"/>
      <c r="BA983" s="4"/>
      <c r="BB983" s="4">
        <v>0</v>
      </c>
      <c r="BC983" s="4" t="s">
        <v>4446</v>
      </c>
      <c r="BD983" s="4">
        <v>1</v>
      </c>
      <c r="BE983" s="4">
        <v>5</v>
      </c>
      <c r="BF983" s="4" t="s">
        <v>3746</v>
      </c>
      <c r="BG983" s="4">
        <v>1250</v>
      </c>
      <c r="BH983" s="4">
        <v>1250</v>
      </c>
      <c r="BI983" s="4">
        <f t="shared" ref="BI983:BI1046" si="156">IF(BD983="",BH983,BD983/BE983*BH983)</f>
        <v>250</v>
      </c>
      <c r="BJ983" s="19">
        <v>4</v>
      </c>
      <c r="BK983" s="19">
        <v>8</v>
      </c>
      <c r="BL983" s="16">
        <v>6</v>
      </c>
      <c r="BM983" s="45" t="s">
        <v>3534</v>
      </c>
      <c r="BN983" t="s">
        <v>3534</v>
      </c>
      <c r="BO983" t="str">
        <f t="shared" si="149"/>
        <v>-</v>
      </c>
      <c r="BP983" t="s">
        <v>3534</v>
      </c>
      <c r="BQ983">
        <v>248</v>
      </c>
      <c r="BR983">
        <f t="shared" si="150"/>
        <v>248</v>
      </c>
      <c r="BS983" t="s">
        <v>3299</v>
      </c>
    </row>
    <row r="984" spans="1:71" x14ac:dyDescent="0.4">
      <c r="A984" s="3">
        <v>981</v>
      </c>
      <c r="B984" s="3">
        <v>981</v>
      </c>
      <c r="C984" s="4" t="s">
        <v>1043</v>
      </c>
      <c r="D984" s="4" t="str">
        <f t="shared" si="151"/>
        <v>J814LY</v>
      </c>
      <c r="E984" s="4" t="s">
        <v>1043</v>
      </c>
      <c r="F984" s="4" t="s">
        <v>2261</v>
      </c>
      <c r="G984" s="5">
        <v>4521718777726</v>
      </c>
      <c r="H984" s="5"/>
      <c r="I984" s="5"/>
      <c r="J984" s="5">
        <v>1</v>
      </c>
      <c r="K984" s="5">
        <v>1</v>
      </c>
      <c r="L984" s="4">
        <v>250</v>
      </c>
      <c r="M984" s="4">
        <v>225</v>
      </c>
      <c r="N984" s="4">
        <v>175</v>
      </c>
      <c r="O984" s="6">
        <f t="shared" si="152"/>
        <v>0.22222222222222221</v>
      </c>
      <c r="P984" s="4" t="s">
        <v>2500</v>
      </c>
      <c r="Q984" s="4"/>
      <c r="R984" s="4"/>
      <c r="S984" s="4"/>
      <c r="T984" s="4"/>
      <c r="U984" s="4"/>
      <c r="V984" s="4"/>
      <c r="W984" s="4"/>
      <c r="X984" s="4"/>
      <c r="Y984" s="4">
        <v>250</v>
      </c>
      <c r="Z984" s="4">
        <f t="shared" si="153"/>
        <v>250</v>
      </c>
      <c r="AA984" s="4">
        <v>175</v>
      </c>
      <c r="AB984" s="4">
        <f t="shared" si="154"/>
        <v>175</v>
      </c>
      <c r="AC984" s="4"/>
      <c r="AD984" s="21">
        <f>ROUND(M984*AR984,0)</f>
        <v>225</v>
      </c>
      <c r="AE984" s="6">
        <f>1-AB984/AD984</f>
        <v>0.22222222222222221</v>
      </c>
      <c r="AF984" s="33">
        <v>0</v>
      </c>
      <c r="AG984" s="4">
        <f t="shared" si="155"/>
        <v>250</v>
      </c>
      <c r="AH984" s="33">
        <f t="shared" si="148"/>
        <v>250</v>
      </c>
      <c r="AI984" s="6">
        <f>1-AB984/AH984</f>
        <v>0.30000000000000004</v>
      </c>
      <c r="AJ984" s="7">
        <v>250</v>
      </c>
      <c r="AK984" s="6">
        <f>1-AB984/AJ984</f>
        <v>0.30000000000000004</v>
      </c>
      <c r="AL984" s="4">
        <f>AJ984-AB984</f>
        <v>75</v>
      </c>
      <c r="AM984" s="28"/>
      <c r="AN984" s="6"/>
      <c r="AO984" s="6"/>
      <c r="AP984" s="6">
        <f>Z984/L984</f>
        <v>1</v>
      </c>
      <c r="AQ984" s="6">
        <f>AJ984/M984</f>
        <v>1.1111111111111112</v>
      </c>
      <c r="AR984" s="6">
        <f>AB984/N984</f>
        <v>1</v>
      </c>
      <c r="AS984" s="4"/>
      <c r="AT984" s="4"/>
      <c r="AU984" s="4"/>
      <c r="AV984" s="4"/>
      <c r="AW984" s="4"/>
      <c r="AX984" s="4"/>
      <c r="AY984" s="4"/>
      <c r="AZ984" s="4"/>
      <c r="BA984" s="4"/>
      <c r="BB984" s="4">
        <v>0</v>
      </c>
      <c r="BC984" s="4" t="s">
        <v>4447</v>
      </c>
      <c r="BD984" s="4">
        <v>1</v>
      </c>
      <c r="BE984" s="4">
        <v>5</v>
      </c>
      <c r="BF984" s="4" t="s">
        <v>3746</v>
      </c>
      <c r="BG984" s="4">
        <v>1250</v>
      </c>
      <c r="BH984" s="4">
        <v>1250</v>
      </c>
      <c r="BI984" s="4">
        <f t="shared" si="156"/>
        <v>250</v>
      </c>
      <c r="BJ984" s="19">
        <v>4</v>
      </c>
      <c r="BK984" s="19">
        <v>8</v>
      </c>
      <c r="BL984" s="16">
        <v>6</v>
      </c>
      <c r="BM984" s="45" t="s">
        <v>3534</v>
      </c>
      <c r="BN984" t="s">
        <v>3534</v>
      </c>
      <c r="BO984" t="str">
        <f t="shared" si="149"/>
        <v>-</v>
      </c>
      <c r="BP984" t="s">
        <v>3534</v>
      </c>
      <c r="BQ984">
        <v>248</v>
      </c>
      <c r="BR984">
        <f t="shared" si="150"/>
        <v>248</v>
      </c>
      <c r="BS984" t="s">
        <v>3300</v>
      </c>
    </row>
    <row r="985" spans="1:71" x14ac:dyDescent="0.4">
      <c r="A985" s="3">
        <v>982</v>
      </c>
      <c r="B985" s="3">
        <v>982</v>
      </c>
      <c r="C985" s="4" t="s">
        <v>1044</v>
      </c>
      <c r="D985" s="4" t="str">
        <f t="shared" si="151"/>
        <v>J816LY</v>
      </c>
      <c r="E985" s="4" t="s">
        <v>1044</v>
      </c>
      <c r="F985" s="4" t="s">
        <v>2262</v>
      </c>
      <c r="G985" s="5">
        <v>4521718777740</v>
      </c>
      <c r="H985" s="5"/>
      <c r="I985" s="5"/>
      <c r="J985" s="5">
        <v>1</v>
      </c>
      <c r="K985" s="5">
        <v>1</v>
      </c>
      <c r="L985" s="4">
        <v>250</v>
      </c>
      <c r="M985" s="4">
        <v>225</v>
      </c>
      <c r="N985" s="4">
        <v>175</v>
      </c>
      <c r="O985" s="6">
        <f t="shared" si="152"/>
        <v>0.22222222222222221</v>
      </c>
      <c r="P985" s="4" t="s">
        <v>2500</v>
      </c>
      <c r="Q985" s="4"/>
      <c r="R985" s="4"/>
      <c r="S985" s="4"/>
      <c r="T985" s="4"/>
      <c r="U985" s="4"/>
      <c r="V985" s="4"/>
      <c r="W985" s="4"/>
      <c r="X985" s="4"/>
      <c r="Y985" s="4">
        <v>250</v>
      </c>
      <c r="Z985" s="4">
        <f t="shared" si="153"/>
        <v>250</v>
      </c>
      <c r="AA985" s="4">
        <v>175</v>
      </c>
      <c r="AB985" s="4">
        <f t="shared" si="154"/>
        <v>175</v>
      </c>
      <c r="AC985" s="4"/>
      <c r="AD985" s="21">
        <f>ROUND(M985*AR985,0)</f>
        <v>225</v>
      </c>
      <c r="AE985" s="6">
        <f>1-AB985/AD985</f>
        <v>0.22222222222222221</v>
      </c>
      <c r="AF985" s="33">
        <v>0</v>
      </c>
      <c r="AG985" s="4">
        <f t="shared" si="155"/>
        <v>250</v>
      </c>
      <c r="AH985" s="33">
        <f t="shared" si="148"/>
        <v>250</v>
      </c>
      <c r="AI985" s="6">
        <f>1-AB985/AH985</f>
        <v>0.30000000000000004</v>
      </c>
      <c r="AJ985" s="7">
        <v>250</v>
      </c>
      <c r="AK985" s="6">
        <f>1-AB985/AJ985</f>
        <v>0.30000000000000004</v>
      </c>
      <c r="AL985" s="4">
        <f>AJ985-AB985</f>
        <v>75</v>
      </c>
      <c r="AM985" s="28"/>
      <c r="AN985" s="6"/>
      <c r="AO985" s="6"/>
      <c r="AP985" s="6">
        <f>Z985/L985</f>
        <v>1</v>
      </c>
      <c r="AQ985" s="6">
        <f>AJ985/M985</f>
        <v>1.1111111111111112</v>
      </c>
      <c r="AR985" s="6">
        <f>AB985/N985</f>
        <v>1</v>
      </c>
      <c r="AS985" s="4"/>
      <c r="AT985" s="4"/>
      <c r="AU985" s="4"/>
      <c r="AV985" s="4"/>
      <c r="AW985" s="4"/>
      <c r="AX985" s="4"/>
      <c r="AY985" s="4"/>
      <c r="AZ985" s="4"/>
      <c r="BA985" s="4"/>
      <c r="BB985" s="4">
        <v>0</v>
      </c>
      <c r="BC985" s="4" t="s">
        <v>4448</v>
      </c>
      <c r="BD985" s="4">
        <v>1</v>
      </c>
      <c r="BE985" s="4">
        <v>5</v>
      </c>
      <c r="BF985" s="4" t="s">
        <v>3746</v>
      </c>
      <c r="BG985" s="4">
        <v>1250</v>
      </c>
      <c r="BH985" s="4">
        <v>1250</v>
      </c>
      <c r="BI985" s="4">
        <f t="shared" si="156"/>
        <v>250</v>
      </c>
      <c r="BJ985" s="19">
        <v>4</v>
      </c>
      <c r="BK985" s="19">
        <v>8</v>
      </c>
      <c r="BL985" s="16">
        <v>6</v>
      </c>
      <c r="BM985" s="45" t="s">
        <v>3534</v>
      </c>
      <c r="BN985" t="s">
        <v>3534</v>
      </c>
      <c r="BO985" t="str">
        <f t="shared" si="149"/>
        <v>-</v>
      </c>
      <c r="BP985" t="s">
        <v>3534</v>
      </c>
      <c r="BQ985">
        <v>248</v>
      </c>
      <c r="BR985">
        <f t="shared" si="150"/>
        <v>248</v>
      </c>
      <c r="BS985" t="s">
        <v>3301</v>
      </c>
    </row>
    <row r="986" spans="1:71" x14ac:dyDescent="0.4">
      <c r="A986" s="3">
        <v>983</v>
      </c>
      <c r="B986" s="3">
        <v>983</v>
      </c>
      <c r="C986" s="4" t="s">
        <v>1045</v>
      </c>
      <c r="D986" s="4" t="str">
        <f t="shared" si="151"/>
        <v>J817LY</v>
      </c>
      <c r="E986" s="4" t="s">
        <v>1045</v>
      </c>
      <c r="F986" s="4" t="s">
        <v>2263</v>
      </c>
      <c r="G986" s="5">
        <v>4521718777757</v>
      </c>
      <c r="H986" s="5"/>
      <c r="I986" s="5"/>
      <c r="J986" s="5">
        <v>1</v>
      </c>
      <c r="K986" s="5">
        <v>1</v>
      </c>
      <c r="L986" s="4">
        <v>250</v>
      </c>
      <c r="M986" s="4">
        <v>225</v>
      </c>
      <c r="N986" s="4">
        <v>175</v>
      </c>
      <c r="O986" s="6">
        <f t="shared" si="152"/>
        <v>0.22222222222222221</v>
      </c>
      <c r="P986" s="4" t="s">
        <v>2500</v>
      </c>
      <c r="Q986" s="4"/>
      <c r="R986" s="4"/>
      <c r="S986" s="4"/>
      <c r="T986" s="4"/>
      <c r="U986" s="4"/>
      <c r="V986" s="4"/>
      <c r="W986" s="4"/>
      <c r="X986" s="4"/>
      <c r="Y986" s="4">
        <v>250</v>
      </c>
      <c r="Z986" s="4">
        <f t="shared" si="153"/>
        <v>250</v>
      </c>
      <c r="AA986" s="4">
        <v>175</v>
      </c>
      <c r="AB986" s="4">
        <f t="shared" si="154"/>
        <v>175</v>
      </c>
      <c r="AC986" s="4"/>
      <c r="AD986" s="21">
        <f>ROUND(M986*AR986,0)</f>
        <v>225</v>
      </c>
      <c r="AE986" s="6">
        <f>1-AB986/AD986</f>
        <v>0.22222222222222221</v>
      </c>
      <c r="AF986" s="33">
        <v>0</v>
      </c>
      <c r="AG986" s="4">
        <f t="shared" si="155"/>
        <v>250</v>
      </c>
      <c r="AH986" s="33">
        <f t="shared" si="148"/>
        <v>250</v>
      </c>
      <c r="AI986" s="6">
        <f>1-AB986/AH986</f>
        <v>0.30000000000000004</v>
      </c>
      <c r="AJ986" s="7">
        <v>250</v>
      </c>
      <c r="AK986" s="6">
        <f>1-AB986/AJ986</f>
        <v>0.30000000000000004</v>
      </c>
      <c r="AL986" s="4">
        <f>AJ986-AB986</f>
        <v>75</v>
      </c>
      <c r="AM986" s="28"/>
      <c r="AN986" s="6"/>
      <c r="AO986" s="6"/>
      <c r="AP986" s="6">
        <f>Z986/L986</f>
        <v>1</v>
      </c>
      <c r="AQ986" s="6">
        <f>AJ986/M986</f>
        <v>1.1111111111111112</v>
      </c>
      <c r="AR986" s="6">
        <f>AB986/N986</f>
        <v>1</v>
      </c>
      <c r="AS986" s="4"/>
      <c r="AT986" s="4"/>
      <c r="AU986" s="4"/>
      <c r="AV986" s="4"/>
      <c r="AW986" s="4"/>
      <c r="AX986" s="4"/>
      <c r="AY986" s="4"/>
      <c r="AZ986" s="4"/>
      <c r="BA986" s="4"/>
      <c r="BB986" s="4">
        <v>0</v>
      </c>
      <c r="BC986" s="4" t="s">
        <v>4449</v>
      </c>
      <c r="BD986" s="4">
        <v>1</v>
      </c>
      <c r="BE986" s="4">
        <v>5</v>
      </c>
      <c r="BF986" s="4" t="s">
        <v>3746</v>
      </c>
      <c r="BG986" s="4">
        <v>1250</v>
      </c>
      <c r="BH986" s="4">
        <v>1250</v>
      </c>
      <c r="BI986" s="4">
        <f t="shared" si="156"/>
        <v>250</v>
      </c>
      <c r="BJ986" s="19">
        <v>4</v>
      </c>
      <c r="BK986" s="19">
        <v>8</v>
      </c>
      <c r="BL986" s="16">
        <v>6</v>
      </c>
      <c r="BM986" s="45" t="s">
        <v>3534</v>
      </c>
      <c r="BN986" t="s">
        <v>3534</v>
      </c>
      <c r="BO986" t="str">
        <f t="shared" si="149"/>
        <v>-</v>
      </c>
      <c r="BP986" t="s">
        <v>3534</v>
      </c>
      <c r="BQ986">
        <v>248</v>
      </c>
      <c r="BR986">
        <f t="shared" si="150"/>
        <v>248</v>
      </c>
      <c r="BS986" t="s">
        <v>3302</v>
      </c>
    </row>
    <row r="987" spans="1:71" x14ac:dyDescent="0.4">
      <c r="A987" s="3">
        <v>984</v>
      </c>
      <c r="B987" s="3">
        <v>984</v>
      </c>
      <c r="C987" s="4" t="s">
        <v>1046</v>
      </c>
      <c r="D987" s="4" t="str">
        <f t="shared" si="151"/>
        <v>J819LY</v>
      </c>
      <c r="E987" s="4" t="s">
        <v>1046</v>
      </c>
      <c r="F987" s="4" t="s">
        <v>2264</v>
      </c>
      <c r="G987" s="5">
        <v>4521718777771</v>
      </c>
      <c r="H987" s="5"/>
      <c r="I987" s="5"/>
      <c r="J987" s="5">
        <v>1</v>
      </c>
      <c r="K987" s="5">
        <v>1</v>
      </c>
      <c r="L987" s="4">
        <v>250</v>
      </c>
      <c r="M987" s="4">
        <v>225</v>
      </c>
      <c r="N987" s="4">
        <v>175</v>
      </c>
      <c r="O987" s="6">
        <f t="shared" si="152"/>
        <v>0.22222222222222221</v>
      </c>
      <c r="P987" s="4" t="s">
        <v>2500</v>
      </c>
      <c r="Q987" s="4"/>
      <c r="R987" s="4"/>
      <c r="S987" s="4"/>
      <c r="T987" s="4"/>
      <c r="U987" s="4"/>
      <c r="V987" s="4"/>
      <c r="W987" s="4"/>
      <c r="X987" s="4"/>
      <c r="Y987" s="4">
        <v>250</v>
      </c>
      <c r="Z987" s="4">
        <f t="shared" si="153"/>
        <v>250</v>
      </c>
      <c r="AA987" s="4">
        <v>175</v>
      </c>
      <c r="AB987" s="4">
        <f t="shared" si="154"/>
        <v>175</v>
      </c>
      <c r="AC987" s="4"/>
      <c r="AD987" s="21">
        <f>ROUND(M987*AR987,0)</f>
        <v>225</v>
      </c>
      <c r="AE987" s="6">
        <f>1-AB987/AD987</f>
        <v>0.22222222222222221</v>
      </c>
      <c r="AF987" s="33">
        <v>0</v>
      </c>
      <c r="AG987" s="4">
        <f t="shared" si="155"/>
        <v>240</v>
      </c>
      <c r="AH987" s="33">
        <f t="shared" si="148"/>
        <v>240</v>
      </c>
      <c r="AI987" s="6">
        <f>1-AB987/AH987</f>
        <v>0.27083333333333337</v>
      </c>
      <c r="AJ987" s="7">
        <v>240</v>
      </c>
      <c r="AK987" s="6">
        <f>1-AB987/AJ987</f>
        <v>0.27083333333333337</v>
      </c>
      <c r="AL987" s="4">
        <f>AJ987-AB987</f>
        <v>65</v>
      </c>
      <c r="AM987" s="28"/>
      <c r="AN987" s="6"/>
      <c r="AO987" s="6"/>
      <c r="AP987" s="6">
        <f>Z987/L987</f>
        <v>1</v>
      </c>
      <c r="AQ987" s="6">
        <f>AJ987/M987</f>
        <v>1.0666666666666667</v>
      </c>
      <c r="AR987" s="6">
        <f>AB987/N987</f>
        <v>1</v>
      </c>
      <c r="AS987" s="4"/>
      <c r="AT987" s="4"/>
      <c r="AU987" s="4"/>
      <c r="AV987" s="4"/>
      <c r="AW987" s="4"/>
      <c r="AX987" s="4"/>
      <c r="AY987" s="4"/>
      <c r="AZ987" s="4"/>
      <c r="BA987" s="4"/>
      <c r="BB987" s="4">
        <v>0</v>
      </c>
      <c r="BC987" s="4" t="s">
        <v>4450</v>
      </c>
      <c r="BD987" s="4">
        <v>1</v>
      </c>
      <c r="BE987" s="4">
        <v>5</v>
      </c>
      <c r="BF987" s="4" t="s">
        <v>3746</v>
      </c>
      <c r="BG987" s="4">
        <v>1200</v>
      </c>
      <c r="BH987" s="4">
        <v>1200</v>
      </c>
      <c r="BI987" s="4">
        <f t="shared" si="156"/>
        <v>240</v>
      </c>
      <c r="BJ987" s="19">
        <v>4</v>
      </c>
      <c r="BK987" s="19">
        <v>8</v>
      </c>
      <c r="BL987" s="16">
        <v>6</v>
      </c>
      <c r="BM987" s="45" t="s">
        <v>3534</v>
      </c>
      <c r="BN987" t="s">
        <v>3534</v>
      </c>
      <c r="BO987" t="str">
        <f t="shared" si="149"/>
        <v>-</v>
      </c>
      <c r="BP987" t="s">
        <v>3534</v>
      </c>
      <c r="BQ987">
        <v>248</v>
      </c>
      <c r="BR987">
        <f t="shared" si="150"/>
        <v>248</v>
      </c>
      <c r="BS987" t="s">
        <v>3303</v>
      </c>
    </row>
    <row r="988" spans="1:71" x14ac:dyDescent="0.4">
      <c r="A988" s="3">
        <v>985</v>
      </c>
      <c r="B988" s="3">
        <v>985</v>
      </c>
      <c r="C988" s="4" t="s">
        <v>1047</v>
      </c>
      <c r="D988" s="4" t="str">
        <f t="shared" si="151"/>
        <v>J818LY</v>
      </c>
      <c r="E988" s="4" t="s">
        <v>1047</v>
      </c>
      <c r="F988" s="4" t="s">
        <v>2265</v>
      </c>
      <c r="G988" s="5">
        <v>4521718777764</v>
      </c>
      <c r="H988" s="5"/>
      <c r="I988" s="5"/>
      <c r="J988" s="5">
        <v>1</v>
      </c>
      <c r="K988" s="5">
        <v>1</v>
      </c>
      <c r="L988" s="4">
        <v>250</v>
      </c>
      <c r="M988" s="4">
        <v>225</v>
      </c>
      <c r="N988" s="4">
        <v>175</v>
      </c>
      <c r="O988" s="6">
        <f t="shared" si="152"/>
        <v>0.22222222222222221</v>
      </c>
      <c r="P988" s="4" t="s">
        <v>2500</v>
      </c>
      <c r="Q988" s="4"/>
      <c r="R988" s="4"/>
      <c r="S988" s="4"/>
      <c r="T988" s="4"/>
      <c r="U988" s="4"/>
      <c r="V988" s="4"/>
      <c r="W988" s="4"/>
      <c r="X988" s="4"/>
      <c r="Y988" s="4">
        <v>250</v>
      </c>
      <c r="Z988" s="4">
        <f t="shared" si="153"/>
        <v>250</v>
      </c>
      <c r="AA988" s="4">
        <v>175</v>
      </c>
      <c r="AB988" s="4">
        <f t="shared" si="154"/>
        <v>175</v>
      </c>
      <c r="AC988" s="4"/>
      <c r="AD988" s="21">
        <f>ROUND(M988*AR988,0)</f>
        <v>225</v>
      </c>
      <c r="AE988" s="6">
        <f>1-AB988/AD988</f>
        <v>0.22222222222222221</v>
      </c>
      <c r="AF988" s="33">
        <v>0</v>
      </c>
      <c r="AG988" s="4">
        <f t="shared" si="155"/>
        <v>250</v>
      </c>
      <c r="AH988" s="33">
        <f t="shared" si="148"/>
        <v>250</v>
      </c>
      <c r="AI988" s="6">
        <f>1-AB988/AH988</f>
        <v>0.30000000000000004</v>
      </c>
      <c r="AJ988" s="7">
        <v>250</v>
      </c>
      <c r="AK988" s="6">
        <f>1-AB988/AJ988</f>
        <v>0.30000000000000004</v>
      </c>
      <c r="AL988" s="4">
        <f>AJ988-AB988</f>
        <v>75</v>
      </c>
      <c r="AM988" s="28"/>
      <c r="AN988" s="6"/>
      <c r="AO988" s="6"/>
      <c r="AP988" s="6">
        <f>Z988/L988</f>
        <v>1</v>
      </c>
      <c r="AQ988" s="6">
        <f>AJ988/M988</f>
        <v>1.1111111111111112</v>
      </c>
      <c r="AR988" s="6">
        <f>AB988/N988</f>
        <v>1</v>
      </c>
      <c r="AS988" s="4"/>
      <c r="AT988" s="4"/>
      <c r="AU988" s="4"/>
      <c r="AV988" s="4"/>
      <c r="AW988" s="4"/>
      <c r="AX988" s="4"/>
      <c r="AY988" s="4"/>
      <c r="AZ988" s="4"/>
      <c r="BA988" s="4"/>
      <c r="BB988" s="4">
        <v>0</v>
      </c>
      <c r="BC988" s="4" t="s">
        <v>4451</v>
      </c>
      <c r="BD988" s="4">
        <v>1</v>
      </c>
      <c r="BE988" s="4">
        <v>5</v>
      </c>
      <c r="BF988" s="4" t="s">
        <v>3746</v>
      </c>
      <c r="BG988" s="4">
        <v>1250</v>
      </c>
      <c r="BH988" s="4">
        <v>1250</v>
      </c>
      <c r="BI988" s="4">
        <f t="shared" si="156"/>
        <v>250</v>
      </c>
      <c r="BJ988" s="19">
        <v>4</v>
      </c>
      <c r="BK988" s="19">
        <v>8</v>
      </c>
      <c r="BL988" s="16">
        <v>6</v>
      </c>
      <c r="BM988" s="45" t="s">
        <v>3534</v>
      </c>
      <c r="BN988" t="s">
        <v>3534</v>
      </c>
      <c r="BO988" t="str">
        <f t="shared" si="149"/>
        <v>-</v>
      </c>
      <c r="BP988" t="s">
        <v>3534</v>
      </c>
      <c r="BQ988">
        <v>248</v>
      </c>
      <c r="BR988">
        <f t="shared" si="150"/>
        <v>248</v>
      </c>
      <c r="BS988" t="s">
        <v>3304</v>
      </c>
    </row>
    <row r="989" spans="1:71" x14ac:dyDescent="0.4">
      <c r="A989" s="3">
        <v>986</v>
      </c>
      <c r="B989" s="3">
        <v>986</v>
      </c>
      <c r="C989" s="4" t="s">
        <v>1048</v>
      </c>
      <c r="D989" s="4" t="str">
        <f t="shared" si="151"/>
        <v>J820LY</v>
      </c>
      <c r="E989" s="4" t="s">
        <v>1048</v>
      </c>
      <c r="F989" s="4" t="s">
        <v>2266</v>
      </c>
      <c r="G989" s="5">
        <v>4521718777788</v>
      </c>
      <c r="H989" s="5"/>
      <c r="I989" s="5"/>
      <c r="J989" s="5">
        <v>1</v>
      </c>
      <c r="K989" s="5">
        <v>1</v>
      </c>
      <c r="L989" s="4">
        <v>250</v>
      </c>
      <c r="M989" s="4">
        <v>225</v>
      </c>
      <c r="N989" s="4">
        <v>175</v>
      </c>
      <c r="O989" s="6">
        <f t="shared" si="152"/>
        <v>0.22222222222222221</v>
      </c>
      <c r="P989" s="4" t="s">
        <v>2500</v>
      </c>
      <c r="Q989" s="4"/>
      <c r="R989" s="4"/>
      <c r="S989" s="4"/>
      <c r="T989" s="4"/>
      <c r="U989" s="4"/>
      <c r="V989" s="4"/>
      <c r="W989" s="4"/>
      <c r="X989" s="4"/>
      <c r="Y989" s="4">
        <v>250</v>
      </c>
      <c r="Z989" s="4">
        <f t="shared" si="153"/>
        <v>250</v>
      </c>
      <c r="AA989" s="4">
        <v>175</v>
      </c>
      <c r="AB989" s="4">
        <f t="shared" si="154"/>
        <v>175</v>
      </c>
      <c r="AC989" s="4"/>
      <c r="AD989" s="21">
        <f>ROUND(M989*AR989,0)</f>
        <v>225</v>
      </c>
      <c r="AE989" s="6">
        <f>1-AB989/AD989</f>
        <v>0.22222222222222221</v>
      </c>
      <c r="AF989" s="33">
        <v>0</v>
      </c>
      <c r="AG989" s="4">
        <f t="shared" si="155"/>
        <v>250</v>
      </c>
      <c r="AH989" s="33">
        <f t="shared" si="148"/>
        <v>250</v>
      </c>
      <c r="AI989" s="6">
        <f>1-AB989/AH989</f>
        <v>0.30000000000000004</v>
      </c>
      <c r="AJ989" s="7">
        <v>250</v>
      </c>
      <c r="AK989" s="6">
        <f>1-AB989/AJ989</f>
        <v>0.30000000000000004</v>
      </c>
      <c r="AL989" s="4">
        <f>AJ989-AB989</f>
        <v>75</v>
      </c>
      <c r="AM989" s="28"/>
      <c r="AN989" s="6"/>
      <c r="AO989" s="6"/>
      <c r="AP989" s="6">
        <f>Z989/L989</f>
        <v>1</v>
      </c>
      <c r="AQ989" s="6">
        <f>AJ989/M989</f>
        <v>1.1111111111111112</v>
      </c>
      <c r="AR989" s="6">
        <f>AB989/N989</f>
        <v>1</v>
      </c>
      <c r="AS989" s="4"/>
      <c r="AT989" s="4"/>
      <c r="AU989" s="4"/>
      <c r="AV989" s="4"/>
      <c r="AW989" s="4"/>
      <c r="AX989" s="4"/>
      <c r="AY989" s="4"/>
      <c r="AZ989" s="4"/>
      <c r="BA989" s="4"/>
      <c r="BB989" s="4">
        <v>0</v>
      </c>
      <c r="BC989" s="4" t="s">
        <v>4452</v>
      </c>
      <c r="BD989" s="4">
        <v>1</v>
      </c>
      <c r="BE989" s="4">
        <v>5</v>
      </c>
      <c r="BF989" s="4" t="s">
        <v>3746</v>
      </c>
      <c r="BG989" s="4">
        <v>1250</v>
      </c>
      <c r="BH989" s="4">
        <v>1250</v>
      </c>
      <c r="BI989" s="4">
        <f t="shared" si="156"/>
        <v>250</v>
      </c>
      <c r="BJ989" s="19">
        <v>4</v>
      </c>
      <c r="BK989" s="19">
        <v>8</v>
      </c>
      <c r="BL989" s="16">
        <v>6</v>
      </c>
      <c r="BM989" s="45" t="s">
        <v>3534</v>
      </c>
      <c r="BN989" t="s">
        <v>3534</v>
      </c>
      <c r="BO989" t="str">
        <f t="shared" si="149"/>
        <v>-</v>
      </c>
      <c r="BP989" t="s">
        <v>3534</v>
      </c>
      <c r="BQ989">
        <v>248</v>
      </c>
      <c r="BR989">
        <f t="shared" si="150"/>
        <v>248</v>
      </c>
      <c r="BS989" t="s">
        <v>3305</v>
      </c>
    </row>
    <row r="990" spans="1:71" x14ac:dyDescent="0.4">
      <c r="A990" s="3">
        <v>987</v>
      </c>
      <c r="B990" s="3">
        <v>987</v>
      </c>
      <c r="C990" s="4" t="s">
        <v>1049</v>
      </c>
      <c r="D990" s="4" t="str">
        <f t="shared" si="151"/>
        <v>J821LY</v>
      </c>
      <c r="E990" s="4" t="s">
        <v>1049</v>
      </c>
      <c r="F990" s="4" t="s">
        <v>2267</v>
      </c>
      <c r="G990" s="5">
        <v>4521718777795</v>
      </c>
      <c r="H990" s="5"/>
      <c r="I990" s="5"/>
      <c r="J990" s="5">
        <v>1</v>
      </c>
      <c r="K990" s="5">
        <v>1</v>
      </c>
      <c r="L990" s="4">
        <v>250</v>
      </c>
      <c r="M990" s="4">
        <v>225</v>
      </c>
      <c r="N990" s="4">
        <v>175</v>
      </c>
      <c r="O990" s="6">
        <f t="shared" si="152"/>
        <v>0.22222222222222221</v>
      </c>
      <c r="P990" s="4" t="s">
        <v>2500</v>
      </c>
      <c r="Q990" s="4"/>
      <c r="R990" s="4"/>
      <c r="S990" s="4"/>
      <c r="T990" s="4"/>
      <c r="U990" s="4"/>
      <c r="V990" s="4"/>
      <c r="W990" s="4"/>
      <c r="X990" s="4"/>
      <c r="Y990" s="4">
        <v>250</v>
      </c>
      <c r="Z990" s="4">
        <f t="shared" si="153"/>
        <v>250</v>
      </c>
      <c r="AA990" s="4">
        <v>175</v>
      </c>
      <c r="AB990" s="4">
        <f t="shared" si="154"/>
        <v>175</v>
      </c>
      <c r="AC990" s="4"/>
      <c r="AD990" s="21">
        <f>ROUND(M990*AR990,0)</f>
        <v>225</v>
      </c>
      <c r="AE990" s="6">
        <f>1-AB990/AD990</f>
        <v>0.22222222222222221</v>
      </c>
      <c r="AF990" s="33">
        <v>0</v>
      </c>
      <c r="AG990" s="4">
        <f t="shared" si="155"/>
        <v>250</v>
      </c>
      <c r="AH990" s="33">
        <f t="shared" si="148"/>
        <v>250</v>
      </c>
      <c r="AI990" s="6">
        <f>1-AB990/AH990</f>
        <v>0.30000000000000004</v>
      </c>
      <c r="AJ990" s="7">
        <v>250</v>
      </c>
      <c r="AK990" s="6">
        <f>1-AB990/AJ990</f>
        <v>0.30000000000000004</v>
      </c>
      <c r="AL990" s="4">
        <f>AJ990-AB990</f>
        <v>75</v>
      </c>
      <c r="AM990" s="28"/>
      <c r="AN990" s="6"/>
      <c r="AO990" s="6"/>
      <c r="AP990" s="6">
        <f>Z990/L990</f>
        <v>1</v>
      </c>
      <c r="AQ990" s="6">
        <f>AJ990/M990</f>
        <v>1.1111111111111112</v>
      </c>
      <c r="AR990" s="6">
        <f>AB990/N990</f>
        <v>1</v>
      </c>
      <c r="AS990" s="4"/>
      <c r="AT990" s="4"/>
      <c r="AU990" s="4"/>
      <c r="AV990" s="4"/>
      <c r="AW990" s="4"/>
      <c r="AX990" s="4"/>
      <c r="AY990" s="4"/>
      <c r="AZ990" s="4"/>
      <c r="BA990" s="4"/>
      <c r="BB990" s="4">
        <v>0</v>
      </c>
      <c r="BC990" s="4" t="s">
        <v>4453</v>
      </c>
      <c r="BD990" s="4">
        <v>1</v>
      </c>
      <c r="BE990" s="4">
        <v>5</v>
      </c>
      <c r="BF990" s="4" t="s">
        <v>3746</v>
      </c>
      <c r="BG990" s="4">
        <v>1250</v>
      </c>
      <c r="BH990" s="4">
        <v>1250</v>
      </c>
      <c r="BI990" s="4">
        <f t="shared" si="156"/>
        <v>250</v>
      </c>
      <c r="BJ990" s="19">
        <v>4</v>
      </c>
      <c r="BK990" s="19">
        <v>8</v>
      </c>
      <c r="BL990" s="16">
        <v>6</v>
      </c>
      <c r="BM990" s="45" t="s">
        <v>3534</v>
      </c>
      <c r="BN990" t="s">
        <v>3534</v>
      </c>
      <c r="BO990" t="str">
        <f t="shared" si="149"/>
        <v>-</v>
      </c>
      <c r="BP990" t="s">
        <v>3534</v>
      </c>
      <c r="BQ990">
        <v>248</v>
      </c>
      <c r="BR990">
        <f t="shared" si="150"/>
        <v>248</v>
      </c>
      <c r="BS990" t="s">
        <v>3306</v>
      </c>
    </row>
    <row r="991" spans="1:71" x14ac:dyDescent="0.4">
      <c r="A991" s="3">
        <v>988</v>
      </c>
      <c r="B991" s="3">
        <v>988</v>
      </c>
      <c r="C991" s="4" t="s">
        <v>1050</v>
      </c>
      <c r="D991" s="4" t="str">
        <f t="shared" si="151"/>
        <v>J823LY</v>
      </c>
      <c r="E991" s="4" t="s">
        <v>1050</v>
      </c>
      <c r="F991" s="4" t="s">
        <v>2268</v>
      </c>
      <c r="G991" s="5">
        <v>4521718777818</v>
      </c>
      <c r="H991" s="5"/>
      <c r="I991" s="5"/>
      <c r="J991" s="5">
        <v>1</v>
      </c>
      <c r="K991" s="5">
        <v>1</v>
      </c>
      <c r="L991" s="4">
        <v>250</v>
      </c>
      <c r="M991" s="4">
        <v>225</v>
      </c>
      <c r="N991" s="4">
        <v>175</v>
      </c>
      <c r="O991" s="6">
        <f t="shared" si="152"/>
        <v>0.22222222222222221</v>
      </c>
      <c r="P991" s="4" t="s">
        <v>2500</v>
      </c>
      <c r="Q991" s="4"/>
      <c r="R991" s="4"/>
      <c r="S991" s="4"/>
      <c r="T991" s="4"/>
      <c r="U991" s="4"/>
      <c r="V991" s="4"/>
      <c r="W991" s="4"/>
      <c r="X991" s="4"/>
      <c r="Y991" s="4">
        <v>250</v>
      </c>
      <c r="Z991" s="4">
        <f t="shared" si="153"/>
        <v>250</v>
      </c>
      <c r="AA991" s="4">
        <v>175</v>
      </c>
      <c r="AB991" s="4">
        <f t="shared" si="154"/>
        <v>175</v>
      </c>
      <c r="AC991" s="4"/>
      <c r="AD991" s="21">
        <f>ROUND(M991*AR991,0)</f>
        <v>225</v>
      </c>
      <c r="AE991" s="6">
        <f>1-AB991/AD991</f>
        <v>0.22222222222222221</v>
      </c>
      <c r="AF991" s="33">
        <v>0</v>
      </c>
      <c r="AG991" s="4">
        <f t="shared" si="155"/>
        <v>250</v>
      </c>
      <c r="AH991" s="33">
        <f t="shared" si="148"/>
        <v>250</v>
      </c>
      <c r="AI991" s="6">
        <f>1-AB991/AH991</f>
        <v>0.30000000000000004</v>
      </c>
      <c r="AJ991" s="7">
        <v>250</v>
      </c>
      <c r="AK991" s="6">
        <f>1-AB991/AJ991</f>
        <v>0.30000000000000004</v>
      </c>
      <c r="AL991" s="4">
        <f>AJ991-AB991</f>
        <v>75</v>
      </c>
      <c r="AM991" s="28"/>
      <c r="AN991" s="6"/>
      <c r="AO991" s="6"/>
      <c r="AP991" s="6">
        <f>Z991/L991</f>
        <v>1</v>
      </c>
      <c r="AQ991" s="6">
        <f>AJ991/M991</f>
        <v>1.1111111111111112</v>
      </c>
      <c r="AR991" s="6">
        <f>AB991/N991</f>
        <v>1</v>
      </c>
      <c r="AS991" s="4"/>
      <c r="AT991" s="4"/>
      <c r="AU991" s="4"/>
      <c r="AV991" s="4"/>
      <c r="AW991" s="4"/>
      <c r="AX991" s="4"/>
      <c r="AY991" s="4"/>
      <c r="AZ991" s="4"/>
      <c r="BA991" s="4"/>
      <c r="BB991" s="4">
        <v>0</v>
      </c>
      <c r="BC991" s="4" t="s">
        <v>4454</v>
      </c>
      <c r="BD991" s="4">
        <v>1</v>
      </c>
      <c r="BE991" s="4">
        <v>5</v>
      </c>
      <c r="BF991" s="4" t="s">
        <v>3746</v>
      </c>
      <c r="BG991" s="4">
        <v>1250</v>
      </c>
      <c r="BH991" s="4">
        <v>1250</v>
      </c>
      <c r="BI991" s="4">
        <f t="shared" si="156"/>
        <v>250</v>
      </c>
      <c r="BJ991" s="19">
        <v>4</v>
      </c>
      <c r="BK991" s="19">
        <v>8</v>
      </c>
      <c r="BL991" s="16">
        <v>6</v>
      </c>
      <c r="BM991" s="45" t="s">
        <v>3534</v>
      </c>
      <c r="BN991" t="s">
        <v>3534</v>
      </c>
      <c r="BO991" t="str">
        <f t="shared" si="149"/>
        <v>-</v>
      </c>
      <c r="BP991" t="s">
        <v>3534</v>
      </c>
      <c r="BQ991">
        <v>248</v>
      </c>
      <c r="BR991">
        <f t="shared" si="150"/>
        <v>248</v>
      </c>
      <c r="BS991" t="s">
        <v>3307</v>
      </c>
    </row>
    <row r="992" spans="1:71" x14ac:dyDescent="0.4">
      <c r="A992" s="3">
        <v>989</v>
      </c>
      <c r="B992" s="3">
        <v>989</v>
      </c>
      <c r="C992" s="4" t="s">
        <v>1051</v>
      </c>
      <c r="D992" s="4" t="str">
        <f t="shared" si="151"/>
        <v>J822LY</v>
      </c>
      <c r="E992" s="4" t="s">
        <v>1051</v>
      </c>
      <c r="F992" s="4" t="s">
        <v>2269</v>
      </c>
      <c r="G992" s="5">
        <v>4521718777801</v>
      </c>
      <c r="H992" s="5"/>
      <c r="I992" s="5"/>
      <c r="J992" s="5">
        <v>1</v>
      </c>
      <c r="K992" s="5">
        <v>1</v>
      </c>
      <c r="L992" s="4">
        <v>250</v>
      </c>
      <c r="M992" s="4">
        <v>225</v>
      </c>
      <c r="N992" s="4">
        <v>175</v>
      </c>
      <c r="O992" s="6">
        <f t="shared" si="152"/>
        <v>0.22222222222222221</v>
      </c>
      <c r="P992" s="4" t="s">
        <v>2500</v>
      </c>
      <c r="Q992" s="4"/>
      <c r="R992" s="4"/>
      <c r="S992" s="4"/>
      <c r="T992" s="4"/>
      <c r="U992" s="4"/>
      <c r="V992" s="4"/>
      <c r="W992" s="4"/>
      <c r="X992" s="4"/>
      <c r="Y992" s="4">
        <v>250</v>
      </c>
      <c r="Z992" s="4">
        <f t="shared" si="153"/>
        <v>250</v>
      </c>
      <c r="AA992" s="4">
        <v>175</v>
      </c>
      <c r="AB992" s="4">
        <f t="shared" si="154"/>
        <v>175</v>
      </c>
      <c r="AC992" s="4"/>
      <c r="AD992" s="21">
        <f>ROUND(M992*AR992,0)</f>
        <v>225</v>
      </c>
      <c r="AE992" s="6">
        <f>1-AB992/AD992</f>
        <v>0.22222222222222221</v>
      </c>
      <c r="AF992" s="33">
        <v>0</v>
      </c>
      <c r="AG992" s="4">
        <f t="shared" si="155"/>
        <v>250</v>
      </c>
      <c r="AH992" s="33">
        <f t="shared" si="148"/>
        <v>250</v>
      </c>
      <c r="AI992" s="6">
        <f>1-AB992/AH992</f>
        <v>0.30000000000000004</v>
      </c>
      <c r="AJ992" s="7">
        <v>250</v>
      </c>
      <c r="AK992" s="6">
        <f>1-AB992/AJ992</f>
        <v>0.30000000000000004</v>
      </c>
      <c r="AL992" s="4">
        <f>AJ992-AB992</f>
        <v>75</v>
      </c>
      <c r="AM992" s="28"/>
      <c r="AN992" s="6"/>
      <c r="AO992" s="6"/>
      <c r="AP992" s="6">
        <f>Z992/L992</f>
        <v>1</v>
      </c>
      <c r="AQ992" s="6">
        <f>AJ992/M992</f>
        <v>1.1111111111111112</v>
      </c>
      <c r="AR992" s="6">
        <f>AB992/N992</f>
        <v>1</v>
      </c>
      <c r="AS992" s="4"/>
      <c r="AT992" s="4"/>
      <c r="AU992" s="4"/>
      <c r="AV992" s="4"/>
      <c r="AW992" s="4"/>
      <c r="AX992" s="4"/>
      <c r="AY992" s="4"/>
      <c r="AZ992" s="4"/>
      <c r="BA992" s="4"/>
      <c r="BB992" s="4">
        <v>0</v>
      </c>
      <c r="BC992" s="4" t="s">
        <v>4455</v>
      </c>
      <c r="BD992" s="4">
        <v>1</v>
      </c>
      <c r="BE992" s="4">
        <v>5</v>
      </c>
      <c r="BF992" s="4" t="s">
        <v>3746</v>
      </c>
      <c r="BG992" s="4">
        <v>1250</v>
      </c>
      <c r="BH992" s="4">
        <v>1250</v>
      </c>
      <c r="BI992" s="4">
        <f t="shared" si="156"/>
        <v>250</v>
      </c>
      <c r="BJ992" s="19">
        <v>4</v>
      </c>
      <c r="BK992" s="19">
        <v>8</v>
      </c>
      <c r="BL992" s="16">
        <v>6</v>
      </c>
      <c r="BM992" s="45" t="s">
        <v>3534</v>
      </c>
      <c r="BN992" t="s">
        <v>3534</v>
      </c>
      <c r="BO992" t="str">
        <f t="shared" si="149"/>
        <v>-</v>
      </c>
      <c r="BP992" t="s">
        <v>3534</v>
      </c>
      <c r="BQ992">
        <v>248</v>
      </c>
      <c r="BR992">
        <f t="shared" si="150"/>
        <v>248</v>
      </c>
      <c r="BS992" t="s">
        <v>3308</v>
      </c>
    </row>
    <row r="993" spans="1:71" x14ac:dyDescent="0.4">
      <c r="A993" s="3">
        <v>990</v>
      </c>
      <c r="B993" s="3">
        <v>990</v>
      </c>
      <c r="C993" s="4" t="s">
        <v>1052</v>
      </c>
      <c r="D993" s="4" t="str">
        <f t="shared" si="151"/>
        <v>J825LY</v>
      </c>
      <c r="E993" s="4" t="s">
        <v>1052</v>
      </c>
      <c r="F993" s="4" t="s">
        <v>2270</v>
      </c>
      <c r="G993" s="5">
        <v>4521718777832</v>
      </c>
      <c r="H993" s="5"/>
      <c r="I993" s="5"/>
      <c r="J993" s="5">
        <v>1</v>
      </c>
      <c r="K993" s="5">
        <v>1</v>
      </c>
      <c r="L993" s="4">
        <v>250</v>
      </c>
      <c r="M993" s="4">
        <v>225</v>
      </c>
      <c r="N993" s="4">
        <v>175</v>
      </c>
      <c r="O993" s="6">
        <f t="shared" si="152"/>
        <v>0.22222222222222221</v>
      </c>
      <c r="P993" s="4" t="s">
        <v>2500</v>
      </c>
      <c r="Q993" s="4"/>
      <c r="R993" s="4"/>
      <c r="S993" s="4"/>
      <c r="T993" s="4"/>
      <c r="U993" s="4"/>
      <c r="V993" s="4"/>
      <c r="W993" s="4"/>
      <c r="X993" s="4"/>
      <c r="Y993" s="4">
        <v>250</v>
      </c>
      <c r="Z993" s="4">
        <f t="shared" si="153"/>
        <v>250</v>
      </c>
      <c r="AA993" s="4">
        <v>175</v>
      </c>
      <c r="AB993" s="4">
        <f t="shared" si="154"/>
        <v>175</v>
      </c>
      <c r="AC993" s="4"/>
      <c r="AD993" s="21">
        <f>ROUND(M993*AR993,0)</f>
        <v>225</v>
      </c>
      <c r="AE993" s="6">
        <f>1-AB993/AD993</f>
        <v>0.22222222222222221</v>
      </c>
      <c r="AF993" s="33">
        <v>0</v>
      </c>
      <c r="AG993" s="4">
        <f t="shared" si="155"/>
        <v>250</v>
      </c>
      <c r="AH993" s="33">
        <f t="shared" si="148"/>
        <v>250</v>
      </c>
      <c r="AI993" s="6">
        <f>1-AB993/AH993</f>
        <v>0.30000000000000004</v>
      </c>
      <c r="AJ993" s="7">
        <v>250</v>
      </c>
      <c r="AK993" s="6">
        <f>1-AB993/AJ993</f>
        <v>0.30000000000000004</v>
      </c>
      <c r="AL993" s="4">
        <f>AJ993-AB993</f>
        <v>75</v>
      </c>
      <c r="AM993" s="28"/>
      <c r="AN993" s="6"/>
      <c r="AO993" s="6"/>
      <c r="AP993" s="6">
        <f>Z993/L993</f>
        <v>1</v>
      </c>
      <c r="AQ993" s="6">
        <f>AJ993/M993</f>
        <v>1.1111111111111112</v>
      </c>
      <c r="AR993" s="6">
        <f>AB993/N993</f>
        <v>1</v>
      </c>
      <c r="AS993" s="4"/>
      <c r="AT993" s="4"/>
      <c r="AU993" s="4"/>
      <c r="AV993" s="4"/>
      <c r="AW993" s="4"/>
      <c r="AX993" s="4"/>
      <c r="AY993" s="4"/>
      <c r="AZ993" s="4"/>
      <c r="BA993" s="4"/>
      <c r="BB993" s="4">
        <v>0</v>
      </c>
      <c r="BC993" s="4" t="s">
        <v>4456</v>
      </c>
      <c r="BD993" s="4">
        <v>1</v>
      </c>
      <c r="BE993" s="4">
        <v>5</v>
      </c>
      <c r="BF993" s="4" t="s">
        <v>3746</v>
      </c>
      <c r="BG993" s="4">
        <v>1250</v>
      </c>
      <c r="BH993" s="4">
        <v>1250</v>
      </c>
      <c r="BI993" s="4">
        <f t="shared" si="156"/>
        <v>250</v>
      </c>
      <c r="BJ993" s="19">
        <v>4</v>
      </c>
      <c r="BK993" s="19">
        <v>8</v>
      </c>
      <c r="BL993" s="16">
        <v>6</v>
      </c>
      <c r="BM993" s="45" t="s">
        <v>3534</v>
      </c>
      <c r="BN993" t="s">
        <v>3534</v>
      </c>
      <c r="BO993" t="str">
        <f t="shared" si="149"/>
        <v>-</v>
      </c>
      <c r="BP993" t="s">
        <v>3534</v>
      </c>
      <c r="BQ993">
        <v>248</v>
      </c>
      <c r="BR993">
        <f t="shared" si="150"/>
        <v>248</v>
      </c>
      <c r="BS993" t="s">
        <v>3309</v>
      </c>
    </row>
    <row r="994" spans="1:71" x14ac:dyDescent="0.4">
      <c r="A994" s="3">
        <v>991</v>
      </c>
      <c r="B994" s="3">
        <v>991</v>
      </c>
      <c r="C994" s="4" t="s">
        <v>1053</v>
      </c>
      <c r="D994" s="4" t="str">
        <f t="shared" si="151"/>
        <v>J824LY</v>
      </c>
      <c r="E994" s="4" t="s">
        <v>1053</v>
      </c>
      <c r="F994" s="4" t="s">
        <v>2271</v>
      </c>
      <c r="G994" s="5">
        <v>4521718777825</v>
      </c>
      <c r="H994" s="5"/>
      <c r="I994" s="5"/>
      <c r="J994" s="5">
        <v>1</v>
      </c>
      <c r="K994" s="5">
        <v>1</v>
      </c>
      <c r="L994" s="4">
        <v>250</v>
      </c>
      <c r="M994" s="4">
        <v>225</v>
      </c>
      <c r="N994" s="4">
        <v>175</v>
      </c>
      <c r="O994" s="6">
        <f t="shared" si="152"/>
        <v>0.22222222222222221</v>
      </c>
      <c r="P994" s="4" t="s">
        <v>2500</v>
      </c>
      <c r="Q994" s="4"/>
      <c r="R994" s="4"/>
      <c r="S994" s="4"/>
      <c r="T994" s="4"/>
      <c r="U994" s="4"/>
      <c r="V994" s="4"/>
      <c r="W994" s="4"/>
      <c r="X994" s="4"/>
      <c r="Y994" s="4">
        <v>250</v>
      </c>
      <c r="Z994" s="4">
        <f t="shared" si="153"/>
        <v>250</v>
      </c>
      <c r="AA994" s="4">
        <v>175</v>
      </c>
      <c r="AB994" s="4">
        <f t="shared" si="154"/>
        <v>175</v>
      </c>
      <c r="AC994" s="4"/>
      <c r="AD994" s="21">
        <f>ROUND(M994*AR994,0)</f>
        <v>225</v>
      </c>
      <c r="AE994" s="6">
        <f>1-AB994/AD994</f>
        <v>0.22222222222222221</v>
      </c>
      <c r="AF994" s="33">
        <v>0</v>
      </c>
      <c r="AG994" s="4">
        <f t="shared" si="155"/>
        <v>250</v>
      </c>
      <c r="AH994" s="33">
        <f t="shared" si="148"/>
        <v>250</v>
      </c>
      <c r="AI994" s="6">
        <f>1-AB994/AH994</f>
        <v>0.30000000000000004</v>
      </c>
      <c r="AJ994" s="7">
        <v>250</v>
      </c>
      <c r="AK994" s="6">
        <f>1-AB994/AJ994</f>
        <v>0.30000000000000004</v>
      </c>
      <c r="AL994" s="4">
        <f>AJ994-AB994</f>
        <v>75</v>
      </c>
      <c r="AM994" s="28"/>
      <c r="AN994" s="6"/>
      <c r="AO994" s="6"/>
      <c r="AP994" s="6">
        <f>Z994/L994</f>
        <v>1</v>
      </c>
      <c r="AQ994" s="6">
        <f>AJ994/M994</f>
        <v>1.1111111111111112</v>
      </c>
      <c r="AR994" s="6">
        <f>AB994/N994</f>
        <v>1</v>
      </c>
      <c r="AS994" s="4"/>
      <c r="AT994" s="4"/>
      <c r="AU994" s="4"/>
      <c r="AV994" s="4"/>
      <c r="AW994" s="4"/>
      <c r="AX994" s="4"/>
      <c r="AY994" s="4"/>
      <c r="AZ994" s="4"/>
      <c r="BA994" s="4"/>
      <c r="BB994" s="4">
        <v>0</v>
      </c>
      <c r="BC994" s="4" t="s">
        <v>4457</v>
      </c>
      <c r="BD994" s="4">
        <v>1</v>
      </c>
      <c r="BE994" s="4">
        <v>5</v>
      </c>
      <c r="BF994" s="4" t="s">
        <v>3746</v>
      </c>
      <c r="BG994" s="4">
        <v>1250</v>
      </c>
      <c r="BH994" s="4">
        <v>1250</v>
      </c>
      <c r="BI994" s="4">
        <f t="shared" si="156"/>
        <v>250</v>
      </c>
      <c r="BJ994" s="19">
        <v>4</v>
      </c>
      <c r="BK994" s="19">
        <v>8</v>
      </c>
      <c r="BL994" s="16">
        <v>6</v>
      </c>
      <c r="BM994" s="45" t="s">
        <v>3534</v>
      </c>
      <c r="BN994" t="s">
        <v>3534</v>
      </c>
      <c r="BO994" t="str">
        <f t="shared" si="149"/>
        <v>-</v>
      </c>
      <c r="BP994" t="s">
        <v>3534</v>
      </c>
      <c r="BQ994">
        <v>248</v>
      </c>
      <c r="BR994">
        <f t="shared" si="150"/>
        <v>248</v>
      </c>
      <c r="BS994" t="s">
        <v>3310</v>
      </c>
    </row>
    <row r="995" spans="1:71" x14ac:dyDescent="0.4">
      <c r="A995" s="3">
        <v>992</v>
      </c>
      <c r="B995" s="3">
        <v>992</v>
      </c>
      <c r="C995" s="4" t="s">
        <v>1054</v>
      </c>
      <c r="D995" s="4" t="str">
        <f t="shared" si="151"/>
        <v>J827LY</v>
      </c>
      <c r="E995" s="4" t="s">
        <v>1054</v>
      </c>
      <c r="F995" s="4" t="s">
        <v>2272</v>
      </c>
      <c r="G995" s="5">
        <v>4521718777856</v>
      </c>
      <c r="H995" s="5"/>
      <c r="I995" s="5"/>
      <c r="J995" s="5">
        <v>1</v>
      </c>
      <c r="K995" s="5">
        <v>1</v>
      </c>
      <c r="L995" s="4">
        <v>250</v>
      </c>
      <c r="M995" s="4">
        <v>225</v>
      </c>
      <c r="N995" s="4">
        <v>175</v>
      </c>
      <c r="O995" s="6">
        <f t="shared" si="152"/>
        <v>0.22222222222222221</v>
      </c>
      <c r="P995" s="4" t="s">
        <v>2500</v>
      </c>
      <c r="Q995" s="4"/>
      <c r="R995" s="4"/>
      <c r="S995" s="4"/>
      <c r="T995" s="4"/>
      <c r="U995" s="4"/>
      <c r="V995" s="4"/>
      <c r="W995" s="4"/>
      <c r="X995" s="4"/>
      <c r="Y995" s="4">
        <v>250</v>
      </c>
      <c r="Z995" s="4">
        <f t="shared" si="153"/>
        <v>250</v>
      </c>
      <c r="AA995" s="4">
        <v>175</v>
      </c>
      <c r="AB995" s="4">
        <f t="shared" si="154"/>
        <v>175</v>
      </c>
      <c r="AC995" s="4"/>
      <c r="AD995" s="21">
        <f>ROUND(M995*AR995,0)</f>
        <v>225</v>
      </c>
      <c r="AE995" s="6">
        <f>1-AB995/AD995</f>
        <v>0.22222222222222221</v>
      </c>
      <c r="AF995" s="33">
        <v>0</v>
      </c>
      <c r="AG995" s="4">
        <f t="shared" si="155"/>
        <v>250</v>
      </c>
      <c r="AH995" s="33">
        <f t="shared" si="148"/>
        <v>250</v>
      </c>
      <c r="AI995" s="6">
        <f>1-AB995/AH995</f>
        <v>0.30000000000000004</v>
      </c>
      <c r="AJ995" s="7">
        <v>250</v>
      </c>
      <c r="AK995" s="6">
        <f>1-AB995/AJ995</f>
        <v>0.30000000000000004</v>
      </c>
      <c r="AL995" s="4">
        <f>AJ995-AB995</f>
        <v>75</v>
      </c>
      <c r="AM995" s="28"/>
      <c r="AN995" s="6"/>
      <c r="AO995" s="6"/>
      <c r="AP995" s="6">
        <f>Z995/L995</f>
        <v>1</v>
      </c>
      <c r="AQ995" s="6">
        <f>AJ995/M995</f>
        <v>1.1111111111111112</v>
      </c>
      <c r="AR995" s="6">
        <f>AB995/N995</f>
        <v>1</v>
      </c>
      <c r="AS995" s="4"/>
      <c r="AT995" s="4"/>
      <c r="AU995" s="4"/>
      <c r="AV995" s="4"/>
      <c r="AW995" s="4"/>
      <c r="AX995" s="4"/>
      <c r="AY995" s="4"/>
      <c r="AZ995" s="4"/>
      <c r="BA995" s="4"/>
      <c r="BB995" s="4">
        <v>0</v>
      </c>
      <c r="BC995" s="4" t="s">
        <v>4458</v>
      </c>
      <c r="BD995" s="4">
        <v>1</v>
      </c>
      <c r="BE995" s="4">
        <v>5</v>
      </c>
      <c r="BF995" s="4" t="s">
        <v>3746</v>
      </c>
      <c r="BG995" s="4">
        <v>1250</v>
      </c>
      <c r="BH995" s="4">
        <v>1250</v>
      </c>
      <c r="BI995" s="4">
        <f t="shared" si="156"/>
        <v>250</v>
      </c>
      <c r="BJ995" s="19">
        <v>4</v>
      </c>
      <c r="BK995" s="19">
        <v>8</v>
      </c>
      <c r="BL995" s="16">
        <v>6</v>
      </c>
      <c r="BM995" s="45" t="s">
        <v>3534</v>
      </c>
      <c r="BN995" t="s">
        <v>3534</v>
      </c>
      <c r="BO995" t="str">
        <f t="shared" si="149"/>
        <v>-</v>
      </c>
      <c r="BP995" t="s">
        <v>3534</v>
      </c>
      <c r="BQ995">
        <v>248</v>
      </c>
      <c r="BR995">
        <f t="shared" si="150"/>
        <v>248</v>
      </c>
      <c r="BS995" t="s">
        <v>3311</v>
      </c>
    </row>
    <row r="996" spans="1:71" x14ac:dyDescent="0.4">
      <c r="A996" s="3">
        <v>993</v>
      </c>
      <c r="B996" s="3">
        <v>993</v>
      </c>
      <c r="C996" s="4" t="s">
        <v>1055</v>
      </c>
      <c r="D996" s="4" t="str">
        <f t="shared" si="151"/>
        <v>J826LY</v>
      </c>
      <c r="E996" s="4" t="s">
        <v>1055</v>
      </c>
      <c r="F996" s="4" t="s">
        <v>2273</v>
      </c>
      <c r="G996" s="5">
        <v>4521718777849</v>
      </c>
      <c r="H996" s="5"/>
      <c r="I996" s="5"/>
      <c r="J996" s="5">
        <v>1</v>
      </c>
      <c r="K996" s="5">
        <v>1</v>
      </c>
      <c r="L996" s="4">
        <v>250</v>
      </c>
      <c r="M996" s="4">
        <v>225</v>
      </c>
      <c r="N996" s="4">
        <v>175</v>
      </c>
      <c r="O996" s="6">
        <f t="shared" si="152"/>
        <v>0.22222222222222221</v>
      </c>
      <c r="P996" s="4" t="s">
        <v>2500</v>
      </c>
      <c r="Q996" s="4"/>
      <c r="R996" s="4"/>
      <c r="S996" s="4"/>
      <c r="T996" s="4"/>
      <c r="U996" s="4"/>
      <c r="V996" s="4"/>
      <c r="W996" s="4"/>
      <c r="X996" s="4"/>
      <c r="Y996" s="4">
        <v>250</v>
      </c>
      <c r="Z996" s="4">
        <f t="shared" si="153"/>
        <v>250</v>
      </c>
      <c r="AA996" s="4">
        <v>175</v>
      </c>
      <c r="AB996" s="4">
        <f t="shared" si="154"/>
        <v>175</v>
      </c>
      <c r="AC996" s="4"/>
      <c r="AD996" s="21">
        <f>ROUND(M996*AR996,0)</f>
        <v>225</v>
      </c>
      <c r="AE996" s="6">
        <f>1-AB996/AD996</f>
        <v>0.22222222222222221</v>
      </c>
      <c r="AF996" s="33">
        <v>0</v>
      </c>
      <c r="AG996" s="4">
        <f t="shared" si="155"/>
        <v>250</v>
      </c>
      <c r="AH996" s="33">
        <f t="shared" si="148"/>
        <v>250</v>
      </c>
      <c r="AI996" s="6">
        <f>1-AB996/AH996</f>
        <v>0.30000000000000004</v>
      </c>
      <c r="AJ996" s="7">
        <v>250</v>
      </c>
      <c r="AK996" s="6">
        <f>1-AB996/AJ996</f>
        <v>0.30000000000000004</v>
      </c>
      <c r="AL996" s="4">
        <f>AJ996-AB996</f>
        <v>75</v>
      </c>
      <c r="AM996" s="28"/>
      <c r="AN996" s="6"/>
      <c r="AO996" s="6"/>
      <c r="AP996" s="6">
        <f>Z996/L996</f>
        <v>1</v>
      </c>
      <c r="AQ996" s="6">
        <f>AJ996/M996</f>
        <v>1.1111111111111112</v>
      </c>
      <c r="AR996" s="6">
        <f>AB996/N996</f>
        <v>1</v>
      </c>
      <c r="AS996" s="4"/>
      <c r="AT996" s="4"/>
      <c r="AU996" s="4"/>
      <c r="AV996" s="4"/>
      <c r="AW996" s="4"/>
      <c r="AX996" s="4"/>
      <c r="AY996" s="4"/>
      <c r="AZ996" s="4"/>
      <c r="BA996" s="4"/>
      <c r="BB996" s="4">
        <v>0</v>
      </c>
      <c r="BC996" s="4" t="s">
        <v>4459</v>
      </c>
      <c r="BD996" s="4">
        <v>1</v>
      </c>
      <c r="BE996" s="4">
        <v>5</v>
      </c>
      <c r="BF996" s="4" t="s">
        <v>3746</v>
      </c>
      <c r="BG996" s="4">
        <v>1250</v>
      </c>
      <c r="BH996" s="4">
        <v>1250</v>
      </c>
      <c r="BI996" s="4">
        <f t="shared" si="156"/>
        <v>250</v>
      </c>
      <c r="BJ996" s="19">
        <v>4</v>
      </c>
      <c r="BK996" s="19">
        <v>8</v>
      </c>
      <c r="BL996" s="16">
        <v>6</v>
      </c>
      <c r="BM996" s="45" t="s">
        <v>3534</v>
      </c>
      <c r="BN996" t="s">
        <v>3534</v>
      </c>
      <c r="BO996" t="str">
        <f t="shared" si="149"/>
        <v>-</v>
      </c>
      <c r="BP996" t="s">
        <v>3534</v>
      </c>
      <c r="BQ996">
        <v>248</v>
      </c>
      <c r="BR996">
        <f t="shared" si="150"/>
        <v>248</v>
      </c>
      <c r="BS996" t="s">
        <v>3312</v>
      </c>
    </row>
    <row r="997" spans="1:71" x14ac:dyDescent="0.4">
      <c r="A997" s="3">
        <v>994</v>
      </c>
      <c r="B997" s="3">
        <v>994</v>
      </c>
      <c r="C997" s="4" t="s">
        <v>1056</v>
      </c>
      <c r="D997" s="4" t="str">
        <f t="shared" si="151"/>
        <v>J828LY</v>
      </c>
      <c r="E997" s="4" t="s">
        <v>1056</v>
      </c>
      <c r="F997" s="4" t="s">
        <v>2274</v>
      </c>
      <c r="G997" s="5">
        <v>4521718777863</v>
      </c>
      <c r="H997" s="5"/>
      <c r="I997" s="5"/>
      <c r="J997" s="5">
        <v>1</v>
      </c>
      <c r="K997" s="5">
        <v>1</v>
      </c>
      <c r="L997" s="4">
        <v>250</v>
      </c>
      <c r="M997" s="4">
        <v>225</v>
      </c>
      <c r="N997" s="4">
        <v>175</v>
      </c>
      <c r="O997" s="6">
        <f t="shared" si="152"/>
        <v>0.22222222222222221</v>
      </c>
      <c r="P997" s="4" t="s">
        <v>2500</v>
      </c>
      <c r="Q997" s="4"/>
      <c r="R997" s="4"/>
      <c r="S997" s="4"/>
      <c r="T997" s="4"/>
      <c r="U997" s="4"/>
      <c r="V997" s="4"/>
      <c r="W997" s="4"/>
      <c r="X997" s="4"/>
      <c r="Y997" s="4">
        <v>250</v>
      </c>
      <c r="Z997" s="4">
        <f t="shared" si="153"/>
        <v>250</v>
      </c>
      <c r="AA997" s="4">
        <v>175</v>
      </c>
      <c r="AB997" s="4">
        <f t="shared" si="154"/>
        <v>175</v>
      </c>
      <c r="AC997" s="4"/>
      <c r="AD997" s="21">
        <f>ROUND(M997*AR997,0)</f>
        <v>225</v>
      </c>
      <c r="AE997" s="6">
        <f>1-AB997/AD997</f>
        <v>0.22222222222222221</v>
      </c>
      <c r="AF997" s="33">
        <v>0</v>
      </c>
      <c r="AG997" s="4">
        <f t="shared" si="155"/>
        <v>250</v>
      </c>
      <c r="AH997" s="33">
        <f t="shared" si="148"/>
        <v>250</v>
      </c>
      <c r="AI997" s="6">
        <f>1-AB997/AH997</f>
        <v>0.30000000000000004</v>
      </c>
      <c r="AJ997" s="7">
        <v>250</v>
      </c>
      <c r="AK997" s="6">
        <f>1-AB997/AJ997</f>
        <v>0.30000000000000004</v>
      </c>
      <c r="AL997" s="4">
        <f>AJ997-AB997</f>
        <v>75</v>
      </c>
      <c r="AM997" s="28"/>
      <c r="AN997" s="6"/>
      <c r="AO997" s="6"/>
      <c r="AP997" s="6">
        <f>Z997/L997</f>
        <v>1</v>
      </c>
      <c r="AQ997" s="6">
        <f>AJ997/M997</f>
        <v>1.1111111111111112</v>
      </c>
      <c r="AR997" s="6">
        <f>AB997/N997</f>
        <v>1</v>
      </c>
      <c r="AS997" s="4"/>
      <c r="AT997" s="4"/>
      <c r="AU997" s="4"/>
      <c r="AV997" s="4"/>
      <c r="AW997" s="4"/>
      <c r="AX997" s="4"/>
      <c r="AY997" s="4"/>
      <c r="AZ997" s="4"/>
      <c r="BA997" s="4"/>
      <c r="BB997" s="4">
        <v>0</v>
      </c>
      <c r="BC997" s="4" t="s">
        <v>4460</v>
      </c>
      <c r="BD997" s="4">
        <v>1</v>
      </c>
      <c r="BE997" s="4">
        <v>5</v>
      </c>
      <c r="BF997" s="4" t="s">
        <v>3746</v>
      </c>
      <c r="BG997" s="4">
        <v>1250</v>
      </c>
      <c r="BH997" s="4">
        <v>1250</v>
      </c>
      <c r="BI997" s="4">
        <f t="shared" si="156"/>
        <v>250</v>
      </c>
      <c r="BJ997" s="19">
        <v>4</v>
      </c>
      <c r="BK997" s="19">
        <v>8</v>
      </c>
      <c r="BL997" s="16">
        <v>6</v>
      </c>
      <c r="BM997" s="45" t="s">
        <v>3534</v>
      </c>
      <c r="BN997" t="s">
        <v>3534</v>
      </c>
      <c r="BO997" t="str">
        <f t="shared" si="149"/>
        <v>-</v>
      </c>
      <c r="BP997" t="s">
        <v>3534</v>
      </c>
      <c r="BQ997">
        <v>248</v>
      </c>
      <c r="BR997">
        <f t="shared" si="150"/>
        <v>248</v>
      </c>
      <c r="BS997" t="s">
        <v>3313</v>
      </c>
    </row>
    <row r="998" spans="1:71" x14ac:dyDescent="0.4">
      <c r="A998" s="3">
        <v>995</v>
      </c>
      <c r="B998" s="3">
        <v>995</v>
      </c>
      <c r="C998" s="4" t="s">
        <v>1057</v>
      </c>
      <c r="D998" s="4" t="str">
        <f t="shared" si="151"/>
        <v>J830LY</v>
      </c>
      <c r="E998" s="4" t="s">
        <v>1057</v>
      </c>
      <c r="F998" s="4" t="s">
        <v>2275</v>
      </c>
      <c r="G998" s="5">
        <v>4521718777887</v>
      </c>
      <c r="H998" s="5"/>
      <c r="I998" s="5"/>
      <c r="J998" s="5">
        <v>1</v>
      </c>
      <c r="K998" s="5">
        <v>1</v>
      </c>
      <c r="L998" s="4">
        <v>250</v>
      </c>
      <c r="M998" s="4">
        <v>225</v>
      </c>
      <c r="N998" s="4">
        <v>175</v>
      </c>
      <c r="O998" s="6">
        <f t="shared" si="152"/>
        <v>0.22222222222222221</v>
      </c>
      <c r="P998" s="4" t="s">
        <v>2500</v>
      </c>
      <c r="Q998" s="4"/>
      <c r="R998" s="4"/>
      <c r="S998" s="4"/>
      <c r="T998" s="4"/>
      <c r="U998" s="4"/>
      <c r="V998" s="4"/>
      <c r="W998" s="4"/>
      <c r="X998" s="4"/>
      <c r="Y998" s="4">
        <v>250</v>
      </c>
      <c r="Z998" s="4">
        <f t="shared" si="153"/>
        <v>250</v>
      </c>
      <c r="AA998" s="4">
        <v>175</v>
      </c>
      <c r="AB998" s="4">
        <f t="shared" si="154"/>
        <v>175</v>
      </c>
      <c r="AC998" s="4"/>
      <c r="AD998" s="21">
        <f>ROUND(M998*AR998,0)</f>
        <v>225</v>
      </c>
      <c r="AE998" s="6">
        <f>1-AB998/AD998</f>
        <v>0.22222222222222221</v>
      </c>
      <c r="AF998" s="33">
        <v>0</v>
      </c>
      <c r="AG998" s="4">
        <f t="shared" si="155"/>
        <v>250</v>
      </c>
      <c r="AH998" s="33">
        <f t="shared" si="148"/>
        <v>250</v>
      </c>
      <c r="AI998" s="6">
        <f>1-AB998/AH998</f>
        <v>0.30000000000000004</v>
      </c>
      <c r="AJ998" s="7">
        <v>250</v>
      </c>
      <c r="AK998" s="6">
        <f>1-AB998/AJ998</f>
        <v>0.30000000000000004</v>
      </c>
      <c r="AL998" s="4">
        <f>AJ998-AB998</f>
        <v>75</v>
      </c>
      <c r="AM998" s="28"/>
      <c r="AN998" s="6"/>
      <c r="AO998" s="6"/>
      <c r="AP998" s="6">
        <f>Z998/L998</f>
        <v>1</v>
      </c>
      <c r="AQ998" s="6">
        <f>AJ998/M998</f>
        <v>1.1111111111111112</v>
      </c>
      <c r="AR998" s="6">
        <f>AB998/N998</f>
        <v>1</v>
      </c>
      <c r="AS998" s="4"/>
      <c r="AT998" s="4"/>
      <c r="AU998" s="4"/>
      <c r="AV998" s="4"/>
      <c r="AW998" s="4"/>
      <c r="AX998" s="4"/>
      <c r="AY998" s="4"/>
      <c r="AZ998" s="4"/>
      <c r="BA998" s="4"/>
      <c r="BB998" s="4">
        <v>0</v>
      </c>
      <c r="BC998" s="4" t="s">
        <v>4461</v>
      </c>
      <c r="BD998" s="4">
        <v>1</v>
      </c>
      <c r="BE998" s="4">
        <v>5</v>
      </c>
      <c r="BF998" s="4" t="s">
        <v>3746</v>
      </c>
      <c r="BG998" s="4">
        <v>1250</v>
      </c>
      <c r="BH998" s="4">
        <v>1250</v>
      </c>
      <c r="BI998" s="4">
        <f t="shared" si="156"/>
        <v>250</v>
      </c>
      <c r="BJ998" s="19">
        <v>4</v>
      </c>
      <c r="BK998" s="19">
        <v>8</v>
      </c>
      <c r="BL998" s="16">
        <v>6</v>
      </c>
      <c r="BM998" s="45" t="s">
        <v>3534</v>
      </c>
      <c r="BN998" t="s">
        <v>3534</v>
      </c>
      <c r="BO998" t="str">
        <f t="shared" si="149"/>
        <v>-</v>
      </c>
      <c r="BP998" t="s">
        <v>3534</v>
      </c>
      <c r="BQ998">
        <v>248</v>
      </c>
      <c r="BR998">
        <f t="shared" si="150"/>
        <v>248</v>
      </c>
      <c r="BS998" t="s">
        <v>3314</v>
      </c>
    </row>
    <row r="999" spans="1:71" x14ac:dyDescent="0.4">
      <c r="A999" s="3">
        <v>996</v>
      </c>
      <c r="B999" s="3">
        <v>996</v>
      </c>
      <c r="C999" s="4" t="s">
        <v>1058</v>
      </c>
      <c r="D999" s="4" t="str">
        <f t="shared" si="151"/>
        <v>J831LY</v>
      </c>
      <c r="E999" s="4" t="s">
        <v>1058</v>
      </c>
      <c r="F999" s="4" t="s">
        <v>2276</v>
      </c>
      <c r="G999" s="5">
        <v>4521718777894</v>
      </c>
      <c r="H999" s="5"/>
      <c r="I999" s="5"/>
      <c r="J999" s="5">
        <v>1</v>
      </c>
      <c r="K999" s="5">
        <v>1</v>
      </c>
      <c r="L999" s="4">
        <v>250</v>
      </c>
      <c r="M999" s="4">
        <v>225</v>
      </c>
      <c r="N999" s="4">
        <v>175</v>
      </c>
      <c r="O999" s="6">
        <f t="shared" si="152"/>
        <v>0.22222222222222221</v>
      </c>
      <c r="P999" s="4" t="s">
        <v>2500</v>
      </c>
      <c r="Q999" s="4"/>
      <c r="R999" s="4"/>
      <c r="S999" s="4"/>
      <c r="T999" s="4"/>
      <c r="U999" s="4"/>
      <c r="V999" s="4"/>
      <c r="W999" s="4"/>
      <c r="X999" s="4"/>
      <c r="Y999" s="4">
        <v>250</v>
      </c>
      <c r="Z999" s="4">
        <f t="shared" si="153"/>
        <v>250</v>
      </c>
      <c r="AA999" s="4">
        <v>175</v>
      </c>
      <c r="AB999" s="4">
        <f t="shared" si="154"/>
        <v>175</v>
      </c>
      <c r="AC999" s="4"/>
      <c r="AD999" s="21">
        <f>ROUND(M999*AR999,0)</f>
        <v>225</v>
      </c>
      <c r="AE999" s="6">
        <f>1-AB999/AD999</f>
        <v>0.22222222222222221</v>
      </c>
      <c r="AF999" s="33">
        <v>0</v>
      </c>
      <c r="AG999" s="4">
        <f t="shared" si="155"/>
        <v>250</v>
      </c>
      <c r="AH999" s="33">
        <f t="shared" si="148"/>
        <v>250</v>
      </c>
      <c r="AI999" s="6">
        <f>1-AB999/AH999</f>
        <v>0.30000000000000004</v>
      </c>
      <c r="AJ999" s="7">
        <v>250</v>
      </c>
      <c r="AK999" s="6">
        <f>1-AB999/AJ999</f>
        <v>0.30000000000000004</v>
      </c>
      <c r="AL999" s="4">
        <f>AJ999-AB999</f>
        <v>75</v>
      </c>
      <c r="AM999" s="28"/>
      <c r="AN999" s="6"/>
      <c r="AO999" s="6"/>
      <c r="AP999" s="6">
        <f>Z999/L999</f>
        <v>1</v>
      </c>
      <c r="AQ999" s="6">
        <f>AJ999/M999</f>
        <v>1.1111111111111112</v>
      </c>
      <c r="AR999" s="6">
        <f>AB999/N999</f>
        <v>1</v>
      </c>
      <c r="AS999" s="4"/>
      <c r="AT999" s="4"/>
      <c r="AU999" s="4"/>
      <c r="AV999" s="4"/>
      <c r="AW999" s="4"/>
      <c r="AX999" s="4"/>
      <c r="AY999" s="4"/>
      <c r="AZ999" s="4"/>
      <c r="BA999" s="4"/>
      <c r="BB999" s="4">
        <v>0</v>
      </c>
      <c r="BC999" s="4" t="s">
        <v>4462</v>
      </c>
      <c r="BD999" s="4">
        <v>1</v>
      </c>
      <c r="BE999" s="4">
        <v>5</v>
      </c>
      <c r="BF999" s="4" t="s">
        <v>3746</v>
      </c>
      <c r="BG999" s="4">
        <v>1250</v>
      </c>
      <c r="BH999" s="4">
        <v>1250</v>
      </c>
      <c r="BI999" s="4">
        <f t="shared" si="156"/>
        <v>250</v>
      </c>
      <c r="BJ999" s="19">
        <v>4</v>
      </c>
      <c r="BK999" s="19">
        <v>8</v>
      </c>
      <c r="BL999" s="16">
        <v>6</v>
      </c>
      <c r="BM999" s="45" t="s">
        <v>3534</v>
      </c>
      <c r="BN999" t="s">
        <v>3534</v>
      </c>
      <c r="BO999" t="str">
        <f t="shared" si="149"/>
        <v>-</v>
      </c>
      <c r="BP999" t="s">
        <v>3534</v>
      </c>
      <c r="BQ999">
        <v>248</v>
      </c>
      <c r="BR999">
        <f t="shared" si="150"/>
        <v>248</v>
      </c>
      <c r="BS999" t="s">
        <v>3315</v>
      </c>
    </row>
    <row r="1000" spans="1:71" x14ac:dyDescent="0.4">
      <c r="A1000" s="3">
        <v>997</v>
      </c>
      <c r="B1000" s="3">
        <v>997</v>
      </c>
      <c r="C1000" s="4" t="s">
        <v>1059</v>
      </c>
      <c r="D1000" s="4" t="str">
        <f t="shared" si="151"/>
        <v>J829LY</v>
      </c>
      <c r="E1000" s="4" t="s">
        <v>1059</v>
      </c>
      <c r="F1000" s="4" t="s">
        <v>2277</v>
      </c>
      <c r="G1000" s="5">
        <v>4521718777870</v>
      </c>
      <c r="H1000" s="5"/>
      <c r="I1000" s="5"/>
      <c r="J1000" s="5">
        <v>1</v>
      </c>
      <c r="K1000" s="5">
        <v>1</v>
      </c>
      <c r="L1000" s="4">
        <v>250</v>
      </c>
      <c r="M1000" s="4">
        <v>225</v>
      </c>
      <c r="N1000" s="4">
        <v>175</v>
      </c>
      <c r="O1000" s="6">
        <f t="shared" si="152"/>
        <v>0.22222222222222221</v>
      </c>
      <c r="P1000" s="4" t="s">
        <v>2500</v>
      </c>
      <c r="Q1000" s="4"/>
      <c r="R1000" s="4"/>
      <c r="S1000" s="4"/>
      <c r="T1000" s="4"/>
      <c r="U1000" s="4"/>
      <c r="V1000" s="4"/>
      <c r="W1000" s="4"/>
      <c r="X1000" s="4"/>
      <c r="Y1000" s="4">
        <v>250</v>
      </c>
      <c r="Z1000" s="4">
        <f t="shared" si="153"/>
        <v>250</v>
      </c>
      <c r="AA1000" s="4">
        <v>175</v>
      </c>
      <c r="AB1000" s="4">
        <f t="shared" si="154"/>
        <v>175</v>
      </c>
      <c r="AC1000" s="4"/>
      <c r="AD1000" s="21">
        <f>ROUND(M1000*AR1000,0)</f>
        <v>225</v>
      </c>
      <c r="AE1000" s="6">
        <f>1-AB1000/AD1000</f>
        <v>0.22222222222222221</v>
      </c>
      <c r="AF1000" s="33">
        <v>0</v>
      </c>
      <c r="AG1000" s="4">
        <f t="shared" si="155"/>
        <v>250</v>
      </c>
      <c r="AH1000" s="33">
        <f t="shared" si="148"/>
        <v>250</v>
      </c>
      <c r="AI1000" s="6">
        <f>1-AB1000/AH1000</f>
        <v>0.30000000000000004</v>
      </c>
      <c r="AJ1000" s="7">
        <v>250</v>
      </c>
      <c r="AK1000" s="6">
        <f>1-AB1000/AJ1000</f>
        <v>0.30000000000000004</v>
      </c>
      <c r="AL1000" s="4">
        <f>AJ1000-AB1000</f>
        <v>75</v>
      </c>
      <c r="AM1000" s="28"/>
      <c r="AN1000" s="6"/>
      <c r="AO1000" s="6"/>
      <c r="AP1000" s="6">
        <f>Z1000/L1000</f>
        <v>1</v>
      </c>
      <c r="AQ1000" s="6">
        <f>AJ1000/M1000</f>
        <v>1.1111111111111112</v>
      </c>
      <c r="AR1000" s="6">
        <f>AB1000/N1000</f>
        <v>1</v>
      </c>
      <c r="AS1000" s="4"/>
      <c r="AT1000" s="4"/>
      <c r="AU1000" s="4"/>
      <c r="AV1000" s="4"/>
      <c r="AW1000" s="4"/>
      <c r="AX1000" s="4"/>
      <c r="AY1000" s="4"/>
      <c r="AZ1000" s="4"/>
      <c r="BA1000" s="4"/>
      <c r="BB1000" s="4">
        <v>0</v>
      </c>
      <c r="BC1000" s="4" t="s">
        <v>4463</v>
      </c>
      <c r="BD1000" s="4">
        <v>1</v>
      </c>
      <c r="BE1000" s="4">
        <v>5</v>
      </c>
      <c r="BF1000" s="4" t="s">
        <v>3746</v>
      </c>
      <c r="BG1000" s="4">
        <v>1250</v>
      </c>
      <c r="BH1000" s="4">
        <v>1250</v>
      </c>
      <c r="BI1000" s="4">
        <f t="shared" si="156"/>
        <v>250</v>
      </c>
      <c r="BJ1000" s="19">
        <v>4</v>
      </c>
      <c r="BK1000" s="19">
        <v>8</v>
      </c>
      <c r="BL1000" s="16">
        <v>6</v>
      </c>
      <c r="BM1000" s="45" t="s">
        <v>3534</v>
      </c>
      <c r="BN1000" t="s">
        <v>3534</v>
      </c>
      <c r="BO1000" t="str">
        <f t="shared" si="149"/>
        <v>-</v>
      </c>
      <c r="BP1000" t="s">
        <v>3534</v>
      </c>
      <c r="BQ1000">
        <v>248</v>
      </c>
      <c r="BR1000">
        <f t="shared" si="150"/>
        <v>248</v>
      </c>
      <c r="BS1000" t="s">
        <v>3316</v>
      </c>
    </row>
    <row r="1001" spans="1:71" x14ac:dyDescent="0.4">
      <c r="A1001" s="3">
        <v>998</v>
      </c>
      <c r="B1001" s="3">
        <v>998</v>
      </c>
      <c r="C1001" s="4" t="s">
        <v>1060</v>
      </c>
      <c r="D1001" s="4" t="str">
        <f t="shared" si="151"/>
        <v>J832LY</v>
      </c>
      <c r="E1001" s="4" t="s">
        <v>1060</v>
      </c>
      <c r="F1001" s="4" t="s">
        <v>2278</v>
      </c>
      <c r="G1001" s="5">
        <v>4521718777900</v>
      </c>
      <c r="H1001" s="5"/>
      <c r="I1001" s="5"/>
      <c r="J1001" s="5">
        <v>1</v>
      </c>
      <c r="K1001" s="5">
        <v>1</v>
      </c>
      <c r="L1001" s="4">
        <v>250</v>
      </c>
      <c r="M1001" s="4">
        <v>225</v>
      </c>
      <c r="N1001" s="4">
        <v>175</v>
      </c>
      <c r="O1001" s="6">
        <f t="shared" si="152"/>
        <v>0.22222222222222221</v>
      </c>
      <c r="P1001" s="4" t="s">
        <v>2500</v>
      </c>
      <c r="Q1001" s="4"/>
      <c r="R1001" s="4"/>
      <c r="S1001" s="4"/>
      <c r="T1001" s="4"/>
      <c r="U1001" s="4"/>
      <c r="V1001" s="4"/>
      <c r="W1001" s="4"/>
      <c r="X1001" s="4"/>
      <c r="Y1001" s="4">
        <v>250</v>
      </c>
      <c r="Z1001" s="4">
        <f t="shared" si="153"/>
        <v>250</v>
      </c>
      <c r="AA1001" s="4">
        <v>175</v>
      </c>
      <c r="AB1001" s="4">
        <f t="shared" si="154"/>
        <v>175</v>
      </c>
      <c r="AC1001" s="4"/>
      <c r="AD1001" s="21">
        <f>ROUND(M1001*AR1001,0)</f>
        <v>225</v>
      </c>
      <c r="AE1001" s="6">
        <f>1-AB1001/AD1001</f>
        <v>0.22222222222222221</v>
      </c>
      <c r="AF1001" s="33">
        <v>0</v>
      </c>
      <c r="AG1001" s="4">
        <f t="shared" si="155"/>
        <v>250</v>
      </c>
      <c r="AH1001" s="33">
        <f t="shared" si="148"/>
        <v>250</v>
      </c>
      <c r="AI1001" s="6">
        <f>1-AB1001/AH1001</f>
        <v>0.30000000000000004</v>
      </c>
      <c r="AJ1001" s="7">
        <v>250</v>
      </c>
      <c r="AK1001" s="6">
        <f>1-AB1001/AJ1001</f>
        <v>0.30000000000000004</v>
      </c>
      <c r="AL1001" s="4">
        <f>AJ1001-AB1001</f>
        <v>75</v>
      </c>
      <c r="AM1001" s="28"/>
      <c r="AN1001" s="6"/>
      <c r="AO1001" s="6"/>
      <c r="AP1001" s="6">
        <f>Z1001/L1001</f>
        <v>1</v>
      </c>
      <c r="AQ1001" s="6">
        <f>AJ1001/M1001</f>
        <v>1.1111111111111112</v>
      </c>
      <c r="AR1001" s="6">
        <f>AB1001/N1001</f>
        <v>1</v>
      </c>
      <c r="AS1001" s="4"/>
      <c r="AT1001" s="4"/>
      <c r="AU1001" s="4"/>
      <c r="AV1001" s="4"/>
      <c r="AW1001" s="4"/>
      <c r="AX1001" s="4"/>
      <c r="AY1001" s="4"/>
      <c r="AZ1001" s="4"/>
      <c r="BA1001" s="4"/>
      <c r="BB1001" s="4">
        <v>0</v>
      </c>
      <c r="BC1001" s="4" t="s">
        <v>4464</v>
      </c>
      <c r="BD1001" s="4">
        <v>1</v>
      </c>
      <c r="BE1001" s="4">
        <v>5</v>
      </c>
      <c r="BF1001" s="4" t="s">
        <v>3746</v>
      </c>
      <c r="BG1001" s="4">
        <v>1250</v>
      </c>
      <c r="BH1001" s="4">
        <v>1250</v>
      </c>
      <c r="BI1001" s="4">
        <f t="shared" si="156"/>
        <v>250</v>
      </c>
      <c r="BJ1001" s="19">
        <v>4</v>
      </c>
      <c r="BK1001" s="19">
        <v>8</v>
      </c>
      <c r="BL1001" s="16">
        <v>6</v>
      </c>
      <c r="BM1001" s="45" t="s">
        <v>3534</v>
      </c>
      <c r="BN1001" t="s">
        <v>3534</v>
      </c>
      <c r="BO1001" t="str">
        <f t="shared" si="149"/>
        <v>-</v>
      </c>
      <c r="BP1001" t="s">
        <v>3534</v>
      </c>
      <c r="BQ1001">
        <v>248</v>
      </c>
      <c r="BR1001">
        <f t="shared" si="150"/>
        <v>248</v>
      </c>
      <c r="BS1001" t="s">
        <v>3317</v>
      </c>
    </row>
    <row r="1002" spans="1:71" x14ac:dyDescent="0.4">
      <c r="A1002" s="3">
        <v>999</v>
      </c>
      <c r="B1002" s="3">
        <v>999</v>
      </c>
      <c r="C1002" s="4" t="s">
        <v>1061</v>
      </c>
      <c r="D1002" s="4" t="str">
        <f t="shared" si="151"/>
        <v>J833LY</v>
      </c>
      <c r="E1002" s="4" t="s">
        <v>1061</v>
      </c>
      <c r="F1002" s="4" t="s">
        <v>2279</v>
      </c>
      <c r="G1002" s="5">
        <v>4521718777917</v>
      </c>
      <c r="H1002" s="5"/>
      <c r="I1002" s="5"/>
      <c r="J1002" s="5">
        <v>1</v>
      </c>
      <c r="K1002" s="5">
        <v>1</v>
      </c>
      <c r="L1002" s="4">
        <v>250</v>
      </c>
      <c r="M1002" s="4">
        <v>225</v>
      </c>
      <c r="N1002" s="4">
        <v>175</v>
      </c>
      <c r="O1002" s="6">
        <f t="shared" si="152"/>
        <v>0.22222222222222221</v>
      </c>
      <c r="P1002" s="4" t="s">
        <v>2500</v>
      </c>
      <c r="Q1002" s="4"/>
      <c r="R1002" s="4"/>
      <c r="S1002" s="4"/>
      <c r="T1002" s="4"/>
      <c r="U1002" s="4"/>
      <c r="V1002" s="4"/>
      <c r="W1002" s="4"/>
      <c r="X1002" s="4"/>
      <c r="Y1002" s="4">
        <v>250</v>
      </c>
      <c r="Z1002" s="4">
        <f t="shared" si="153"/>
        <v>250</v>
      </c>
      <c r="AA1002" s="4">
        <v>175</v>
      </c>
      <c r="AB1002" s="4">
        <f t="shared" si="154"/>
        <v>175</v>
      </c>
      <c r="AC1002" s="4"/>
      <c r="AD1002" s="21">
        <f>ROUND(M1002*AR1002,0)</f>
        <v>225</v>
      </c>
      <c r="AE1002" s="6">
        <f>1-AB1002/AD1002</f>
        <v>0.22222222222222221</v>
      </c>
      <c r="AF1002" s="33">
        <v>0</v>
      </c>
      <c r="AG1002" s="4">
        <f t="shared" si="155"/>
        <v>250</v>
      </c>
      <c r="AH1002" s="33">
        <f t="shared" si="148"/>
        <v>250</v>
      </c>
      <c r="AI1002" s="6">
        <f>1-AB1002/AH1002</f>
        <v>0.30000000000000004</v>
      </c>
      <c r="AJ1002" s="7">
        <v>250</v>
      </c>
      <c r="AK1002" s="6">
        <f>1-AB1002/AJ1002</f>
        <v>0.30000000000000004</v>
      </c>
      <c r="AL1002" s="4">
        <f>AJ1002-AB1002</f>
        <v>75</v>
      </c>
      <c r="AM1002" s="28"/>
      <c r="AN1002" s="6"/>
      <c r="AO1002" s="6"/>
      <c r="AP1002" s="6">
        <f>Z1002/L1002</f>
        <v>1</v>
      </c>
      <c r="AQ1002" s="6">
        <f>AJ1002/M1002</f>
        <v>1.1111111111111112</v>
      </c>
      <c r="AR1002" s="6">
        <f>AB1002/N1002</f>
        <v>1</v>
      </c>
      <c r="AS1002" s="4"/>
      <c r="AT1002" s="4"/>
      <c r="AU1002" s="4"/>
      <c r="AV1002" s="4"/>
      <c r="AW1002" s="4"/>
      <c r="AX1002" s="4"/>
      <c r="AY1002" s="4"/>
      <c r="AZ1002" s="4"/>
      <c r="BA1002" s="4"/>
      <c r="BB1002" s="4">
        <v>0</v>
      </c>
      <c r="BC1002" s="4" t="s">
        <v>4465</v>
      </c>
      <c r="BD1002" s="4">
        <v>1</v>
      </c>
      <c r="BE1002" s="4">
        <v>5</v>
      </c>
      <c r="BF1002" s="4" t="s">
        <v>3746</v>
      </c>
      <c r="BG1002" s="4">
        <v>1250</v>
      </c>
      <c r="BH1002" s="4">
        <v>1250</v>
      </c>
      <c r="BI1002" s="4">
        <f t="shared" si="156"/>
        <v>250</v>
      </c>
      <c r="BJ1002" s="19">
        <v>4</v>
      </c>
      <c r="BK1002" s="19">
        <v>8</v>
      </c>
      <c r="BL1002" s="16">
        <v>6</v>
      </c>
      <c r="BM1002" s="45" t="s">
        <v>3534</v>
      </c>
      <c r="BN1002" t="s">
        <v>3534</v>
      </c>
      <c r="BO1002" t="str">
        <f t="shared" si="149"/>
        <v>-</v>
      </c>
      <c r="BP1002" t="s">
        <v>3534</v>
      </c>
      <c r="BQ1002">
        <v>248</v>
      </c>
      <c r="BR1002">
        <f t="shared" si="150"/>
        <v>248</v>
      </c>
      <c r="BS1002" t="s">
        <v>3318</v>
      </c>
    </row>
    <row r="1003" spans="1:71" x14ac:dyDescent="0.4">
      <c r="A1003" s="3">
        <v>1000</v>
      </c>
      <c r="B1003" s="3">
        <v>1000</v>
      </c>
      <c r="C1003" s="4" t="s">
        <v>1062</v>
      </c>
      <c r="D1003" s="4" t="str">
        <f t="shared" si="151"/>
        <v>J835LY</v>
      </c>
      <c r="E1003" s="4" t="s">
        <v>1062</v>
      </c>
      <c r="F1003" s="4" t="s">
        <v>2280</v>
      </c>
      <c r="G1003" s="5">
        <v>4521718777931</v>
      </c>
      <c r="H1003" s="5"/>
      <c r="I1003" s="5"/>
      <c r="J1003" s="5">
        <v>1</v>
      </c>
      <c r="K1003" s="5">
        <v>1</v>
      </c>
      <c r="L1003" s="4">
        <v>250</v>
      </c>
      <c r="M1003" s="4">
        <v>225</v>
      </c>
      <c r="N1003" s="4">
        <v>175</v>
      </c>
      <c r="O1003" s="6">
        <f t="shared" si="152"/>
        <v>0.22222222222222221</v>
      </c>
      <c r="P1003" s="4" t="s">
        <v>2500</v>
      </c>
      <c r="Q1003" s="4"/>
      <c r="R1003" s="4"/>
      <c r="S1003" s="4"/>
      <c r="T1003" s="4"/>
      <c r="U1003" s="4"/>
      <c r="V1003" s="4"/>
      <c r="W1003" s="4"/>
      <c r="X1003" s="4"/>
      <c r="Y1003" s="4">
        <v>250</v>
      </c>
      <c r="Z1003" s="4">
        <f t="shared" si="153"/>
        <v>250</v>
      </c>
      <c r="AA1003" s="4">
        <v>175</v>
      </c>
      <c r="AB1003" s="4">
        <f t="shared" si="154"/>
        <v>175</v>
      </c>
      <c r="AC1003" s="4"/>
      <c r="AD1003" s="21">
        <f>ROUND(M1003*AR1003,0)</f>
        <v>225</v>
      </c>
      <c r="AE1003" s="6">
        <f>1-AB1003/AD1003</f>
        <v>0.22222222222222221</v>
      </c>
      <c r="AF1003" s="33">
        <v>0</v>
      </c>
      <c r="AG1003" s="4">
        <f t="shared" si="155"/>
        <v>250</v>
      </c>
      <c r="AH1003" s="33">
        <f t="shared" si="148"/>
        <v>250</v>
      </c>
      <c r="AI1003" s="6">
        <f>1-AB1003/AH1003</f>
        <v>0.30000000000000004</v>
      </c>
      <c r="AJ1003" s="7">
        <v>250</v>
      </c>
      <c r="AK1003" s="6">
        <f>1-AB1003/AJ1003</f>
        <v>0.30000000000000004</v>
      </c>
      <c r="AL1003" s="4">
        <f>AJ1003-AB1003</f>
        <v>75</v>
      </c>
      <c r="AM1003" s="28"/>
      <c r="AN1003" s="6"/>
      <c r="AO1003" s="6"/>
      <c r="AP1003" s="6">
        <f>Z1003/L1003</f>
        <v>1</v>
      </c>
      <c r="AQ1003" s="6">
        <f>AJ1003/M1003</f>
        <v>1.1111111111111112</v>
      </c>
      <c r="AR1003" s="6">
        <f>AB1003/N1003</f>
        <v>1</v>
      </c>
      <c r="AS1003" s="4"/>
      <c r="AT1003" s="4"/>
      <c r="AU1003" s="4"/>
      <c r="AV1003" s="4"/>
      <c r="AW1003" s="4"/>
      <c r="AX1003" s="4"/>
      <c r="AY1003" s="4"/>
      <c r="AZ1003" s="4"/>
      <c r="BA1003" s="4"/>
      <c r="BB1003" s="4">
        <v>0</v>
      </c>
      <c r="BC1003" s="4" t="s">
        <v>4466</v>
      </c>
      <c r="BD1003" s="4">
        <v>1</v>
      </c>
      <c r="BE1003" s="4">
        <v>5</v>
      </c>
      <c r="BF1003" s="4" t="s">
        <v>3746</v>
      </c>
      <c r="BG1003" s="4">
        <v>1250</v>
      </c>
      <c r="BH1003" s="4">
        <v>1250</v>
      </c>
      <c r="BI1003" s="4">
        <f t="shared" si="156"/>
        <v>250</v>
      </c>
      <c r="BJ1003" s="19">
        <v>4</v>
      </c>
      <c r="BK1003" s="19">
        <v>8</v>
      </c>
      <c r="BL1003" s="16">
        <v>6</v>
      </c>
      <c r="BM1003" s="45" t="s">
        <v>3534</v>
      </c>
      <c r="BN1003" t="s">
        <v>3534</v>
      </c>
      <c r="BO1003" t="str">
        <f t="shared" si="149"/>
        <v>-</v>
      </c>
      <c r="BP1003" t="s">
        <v>3534</v>
      </c>
      <c r="BQ1003">
        <v>248</v>
      </c>
      <c r="BR1003">
        <f t="shared" si="150"/>
        <v>248</v>
      </c>
      <c r="BS1003" t="s">
        <v>3319</v>
      </c>
    </row>
    <row r="1004" spans="1:71" x14ac:dyDescent="0.4">
      <c r="A1004" s="3">
        <v>1001</v>
      </c>
      <c r="B1004" s="3">
        <v>1001</v>
      </c>
      <c r="C1004" s="4" t="s">
        <v>1063</v>
      </c>
      <c r="D1004" s="4" t="str">
        <f t="shared" si="151"/>
        <v>J834LY</v>
      </c>
      <c r="E1004" s="4" t="s">
        <v>1063</v>
      </c>
      <c r="F1004" s="4" t="s">
        <v>2281</v>
      </c>
      <c r="G1004" s="5">
        <v>4521718777924</v>
      </c>
      <c r="H1004" s="5"/>
      <c r="I1004" s="5"/>
      <c r="J1004" s="5">
        <v>1</v>
      </c>
      <c r="K1004" s="5">
        <v>1</v>
      </c>
      <c r="L1004" s="4">
        <v>250</v>
      </c>
      <c r="M1004" s="4">
        <v>225</v>
      </c>
      <c r="N1004" s="4">
        <v>175</v>
      </c>
      <c r="O1004" s="6">
        <f t="shared" si="152"/>
        <v>0.22222222222222221</v>
      </c>
      <c r="P1004" s="4" t="s">
        <v>2500</v>
      </c>
      <c r="Q1004" s="4"/>
      <c r="R1004" s="4"/>
      <c r="S1004" s="4"/>
      <c r="T1004" s="4"/>
      <c r="U1004" s="4"/>
      <c r="V1004" s="4"/>
      <c r="W1004" s="4"/>
      <c r="X1004" s="4"/>
      <c r="Y1004" s="4">
        <v>250</v>
      </c>
      <c r="Z1004" s="4">
        <f t="shared" si="153"/>
        <v>250</v>
      </c>
      <c r="AA1004" s="4">
        <v>175</v>
      </c>
      <c r="AB1004" s="4">
        <f t="shared" si="154"/>
        <v>175</v>
      </c>
      <c r="AC1004" s="4"/>
      <c r="AD1004" s="21">
        <f>ROUND(M1004*AR1004,0)</f>
        <v>225</v>
      </c>
      <c r="AE1004" s="6">
        <f>1-AB1004/AD1004</f>
        <v>0.22222222222222221</v>
      </c>
      <c r="AF1004" s="33">
        <v>0</v>
      </c>
      <c r="AG1004" s="4">
        <f t="shared" si="155"/>
        <v>250</v>
      </c>
      <c r="AH1004" s="33">
        <f t="shared" si="148"/>
        <v>250</v>
      </c>
      <c r="AI1004" s="6">
        <f>1-AB1004/AH1004</f>
        <v>0.30000000000000004</v>
      </c>
      <c r="AJ1004" s="7">
        <v>250</v>
      </c>
      <c r="AK1004" s="6">
        <f>1-AB1004/AJ1004</f>
        <v>0.30000000000000004</v>
      </c>
      <c r="AL1004" s="4">
        <f>AJ1004-AB1004</f>
        <v>75</v>
      </c>
      <c r="AM1004" s="28"/>
      <c r="AN1004" s="6"/>
      <c r="AO1004" s="6"/>
      <c r="AP1004" s="6">
        <f>Z1004/L1004</f>
        <v>1</v>
      </c>
      <c r="AQ1004" s="6">
        <f>AJ1004/M1004</f>
        <v>1.1111111111111112</v>
      </c>
      <c r="AR1004" s="6">
        <f>AB1004/N1004</f>
        <v>1</v>
      </c>
      <c r="AS1004" s="4"/>
      <c r="AT1004" s="4"/>
      <c r="AU1004" s="4"/>
      <c r="AV1004" s="4"/>
      <c r="AW1004" s="4"/>
      <c r="AX1004" s="4"/>
      <c r="AY1004" s="4"/>
      <c r="AZ1004" s="4"/>
      <c r="BA1004" s="4"/>
      <c r="BB1004" s="4">
        <v>0</v>
      </c>
      <c r="BC1004" s="4" t="s">
        <v>4467</v>
      </c>
      <c r="BD1004" s="4">
        <v>1</v>
      </c>
      <c r="BE1004" s="4">
        <v>5</v>
      </c>
      <c r="BF1004" s="4" t="s">
        <v>3746</v>
      </c>
      <c r="BG1004" s="4">
        <v>1250</v>
      </c>
      <c r="BH1004" s="4">
        <v>1250</v>
      </c>
      <c r="BI1004" s="4">
        <f t="shared" si="156"/>
        <v>250</v>
      </c>
      <c r="BJ1004" s="19">
        <v>4</v>
      </c>
      <c r="BK1004" s="19">
        <v>8</v>
      </c>
      <c r="BL1004" s="16">
        <v>6</v>
      </c>
      <c r="BM1004" s="45" t="s">
        <v>3534</v>
      </c>
      <c r="BN1004" t="s">
        <v>3534</v>
      </c>
      <c r="BO1004" t="str">
        <f t="shared" si="149"/>
        <v>-</v>
      </c>
      <c r="BP1004" t="s">
        <v>3534</v>
      </c>
      <c r="BQ1004">
        <v>248</v>
      </c>
      <c r="BR1004">
        <f t="shared" si="150"/>
        <v>248</v>
      </c>
      <c r="BS1004" t="s">
        <v>3320</v>
      </c>
    </row>
    <row r="1005" spans="1:71" x14ac:dyDescent="0.4">
      <c r="A1005" s="3">
        <v>1002</v>
      </c>
      <c r="B1005" s="3">
        <v>1002</v>
      </c>
      <c r="C1005" s="4" t="s">
        <v>1064</v>
      </c>
      <c r="D1005" s="4" t="str">
        <f t="shared" si="151"/>
        <v>J837LY</v>
      </c>
      <c r="E1005" s="4" t="s">
        <v>1064</v>
      </c>
      <c r="F1005" s="4" t="s">
        <v>2282</v>
      </c>
      <c r="G1005" s="5">
        <v>4521718777955</v>
      </c>
      <c r="H1005" s="5"/>
      <c r="I1005" s="5"/>
      <c r="J1005" s="5">
        <v>1</v>
      </c>
      <c r="K1005" s="5">
        <v>1</v>
      </c>
      <c r="L1005" s="4">
        <v>250</v>
      </c>
      <c r="M1005" s="4">
        <v>225</v>
      </c>
      <c r="N1005" s="4">
        <v>175</v>
      </c>
      <c r="O1005" s="6">
        <f t="shared" si="152"/>
        <v>0.22222222222222221</v>
      </c>
      <c r="P1005" s="4" t="s">
        <v>2500</v>
      </c>
      <c r="Q1005" s="4"/>
      <c r="R1005" s="4"/>
      <c r="S1005" s="4"/>
      <c r="T1005" s="4"/>
      <c r="U1005" s="4"/>
      <c r="V1005" s="4"/>
      <c r="W1005" s="4"/>
      <c r="X1005" s="4"/>
      <c r="Y1005" s="4">
        <v>250</v>
      </c>
      <c r="Z1005" s="4">
        <f t="shared" si="153"/>
        <v>250</v>
      </c>
      <c r="AA1005" s="4">
        <v>175</v>
      </c>
      <c r="AB1005" s="4">
        <f t="shared" si="154"/>
        <v>175</v>
      </c>
      <c r="AC1005" s="4"/>
      <c r="AD1005" s="21">
        <f>ROUND(M1005*AR1005,0)</f>
        <v>225</v>
      </c>
      <c r="AE1005" s="6">
        <f>1-AB1005/AD1005</f>
        <v>0.22222222222222221</v>
      </c>
      <c r="AF1005" s="33">
        <v>0</v>
      </c>
      <c r="AG1005" s="4">
        <f t="shared" si="155"/>
        <v>250</v>
      </c>
      <c r="AH1005" s="33">
        <f t="shared" si="148"/>
        <v>250</v>
      </c>
      <c r="AI1005" s="6">
        <f>1-AB1005/AH1005</f>
        <v>0.30000000000000004</v>
      </c>
      <c r="AJ1005" s="7">
        <v>250</v>
      </c>
      <c r="AK1005" s="6">
        <f>1-AB1005/AJ1005</f>
        <v>0.30000000000000004</v>
      </c>
      <c r="AL1005" s="4">
        <f>AJ1005-AB1005</f>
        <v>75</v>
      </c>
      <c r="AM1005" s="28"/>
      <c r="AN1005" s="6"/>
      <c r="AO1005" s="6"/>
      <c r="AP1005" s="6">
        <f>Z1005/L1005</f>
        <v>1</v>
      </c>
      <c r="AQ1005" s="6">
        <f>AJ1005/M1005</f>
        <v>1.1111111111111112</v>
      </c>
      <c r="AR1005" s="6">
        <f>AB1005/N1005</f>
        <v>1</v>
      </c>
      <c r="AS1005" s="4"/>
      <c r="AT1005" s="4"/>
      <c r="AU1005" s="4"/>
      <c r="AV1005" s="4"/>
      <c r="AW1005" s="4"/>
      <c r="AX1005" s="4"/>
      <c r="AY1005" s="4"/>
      <c r="AZ1005" s="4"/>
      <c r="BA1005" s="4"/>
      <c r="BB1005" s="4">
        <v>0</v>
      </c>
      <c r="BC1005" s="4" t="s">
        <v>4468</v>
      </c>
      <c r="BD1005" s="4">
        <v>1</v>
      </c>
      <c r="BE1005" s="4">
        <v>5</v>
      </c>
      <c r="BF1005" s="4" t="s">
        <v>3746</v>
      </c>
      <c r="BG1005" s="4">
        <v>1250</v>
      </c>
      <c r="BH1005" s="4">
        <v>1250</v>
      </c>
      <c r="BI1005" s="4">
        <f t="shared" si="156"/>
        <v>250</v>
      </c>
      <c r="BJ1005" s="19">
        <v>4</v>
      </c>
      <c r="BK1005" s="19">
        <v>8</v>
      </c>
      <c r="BL1005" s="16">
        <v>6</v>
      </c>
      <c r="BM1005" s="45" t="s">
        <v>3534</v>
      </c>
      <c r="BN1005" t="s">
        <v>3534</v>
      </c>
      <c r="BO1005" t="str">
        <f t="shared" si="149"/>
        <v>-</v>
      </c>
      <c r="BP1005" t="s">
        <v>3534</v>
      </c>
      <c r="BQ1005">
        <v>248</v>
      </c>
      <c r="BR1005">
        <f t="shared" si="150"/>
        <v>248</v>
      </c>
      <c r="BS1005" t="s">
        <v>3321</v>
      </c>
    </row>
    <row r="1006" spans="1:71" x14ac:dyDescent="0.4">
      <c r="A1006" s="3">
        <v>1003</v>
      </c>
      <c r="B1006" s="3">
        <v>1003</v>
      </c>
      <c r="C1006" s="4" t="s">
        <v>1065</v>
      </c>
      <c r="D1006" s="4" t="str">
        <f t="shared" si="151"/>
        <v>J836LY</v>
      </c>
      <c r="E1006" s="4" t="s">
        <v>1065</v>
      </c>
      <c r="F1006" s="4" t="s">
        <v>2283</v>
      </c>
      <c r="G1006" s="5">
        <v>4521718777948</v>
      </c>
      <c r="H1006" s="5"/>
      <c r="I1006" s="5"/>
      <c r="J1006" s="5">
        <v>1</v>
      </c>
      <c r="K1006" s="5">
        <v>1</v>
      </c>
      <c r="L1006" s="4">
        <v>250</v>
      </c>
      <c r="M1006" s="4">
        <v>225</v>
      </c>
      <c r="N1006" s="4">
        <v>175</v>
      </c>
      <c r="O1006" s="6">
        <f t="shared" si="152"/>
        <v>0.22222222222222221</v>
      </c>
      <c r="P1006" s="4" t="s">
        <v>2500</v>
      </c>
      <c r="Q1006" s="4"/>
      <c r="R1006" s="4"/>
      <c r="S1006" s="4"/>
      <c r="T1006" s="4"/>
      <c r="U1006" s="4"/>
      <c r="V1006" s="4"/>
      <c r="W1006" s="4"/>
      <c r="X1006" s="4"/>
      <c r="Y1006" s="4">
        <v>250</v>
      </c>
      <c r="Z1006" s="4">
        <f t="shared" si="153"/>
        <v>250</v>
      </c>
      <c r="AA1006" s="4">
        <v>175</v>
      </c>
      <c r="AB1006" s="4">
        <f t="shared" si="154"/>
        <v>175</v>
      </c>
      <c r="AC1006" s="4"/>
      <c r="AD1006" s="21">
        <f>ROUND(M1006*AR1006,0)</f>
        <v>225</v>
      </c>
      <c r="AE1006" s="6">
        <f>1-AB1006/AD1006</f>
        <v>0.22222222222222221</v>
      </c>
      <c r="AF1006" s="33">
        <v>0</v>
      </c>
      <c r="AG1006" s="4">
        <f t="shared" si="155"/>
        <v>250</v>
      </c>
      <c r="AH1006" s="33">
        <f t="shared" si="148"/>
        <v>250</v>
      </c>
      <c r="AI1006" s="6">
        <f>1-AB1006/AH1006</f>
        <v>0.30000000000000004</v>
      </c>
      <c r="AJ1006" s="7">
        <v>250</v>
      </c>
      <c r="AK1006" s="6">
        <f>1-AB1006/AJ1006</f>
        <v>0.30000000000000004</v>
      </c>
      <c r="AL1006" s="4">
        <f>AJ1006-AB1006</f>
        <v>75</v>
      </c>
      <c r="AM1006" s="28"/>
      <c r="AN1006" s="6"/>
      <c r="AO1006" s="6"/>
      <c r="AP1006" s="6">
        <f>Z1006/L1006</f>
        <v>1</v>
      </c>
      <c r="AQ1006" s="6">
        <f>AJ1006/M1006</f>
        <v>1.1111111111111112</v>
      </c>
      <c r="AR1006" s="6">
        <f>AB1006/N1006</f>
        <v>1</v>
      </c>
      <c r="AS1006" s="4"/>
      <c r="AT1006" s="4"/>
      <c r="AU1006" s="4"/>
      <c r="AV1006" s="4"/>
      <c r="AW1006" s="4"/>
      <c r="AX1006" s="4"/>
      <c r="AY1006" s="4"/>
      <c r="AZ1006" s="4"/>
      <c r="BA1006" s="4"/>
      <c r="BB1006" s="4">
        <v>0</v>
      </c>
      <c r="BC1006" s="4" t="s">
        <v>4469</v>
      </c>
      <c r="BD1006" s="4">
        <v>1</v>
      </c>
      <c r="BE1006" s="4">
        <v>5</v>
      </c>
      <c r="BF1006" s="4" t="s">
        <v>3746</v>
      </c>
      <c r="BG1006" s="4">
        <v>1250</v>
      </c>
      <c r="BH1006" s="4">
        <v>1250</v>
      </c>
      <c r="BI1006" s="4">
        <f t="shared" si="156"/>
        <v>250</v>
      </c>
      <c r="BJ1006" s="19">
        <v>4</v>
      </c>
      <c r="BK1006" s="19">
        <v>8</v>
      </c>
      <c r="BL1006" s="16">
        <v>6</v>
      </c>
      <c r="BM1006" s="45" t="s">
        <v>3534</v>
      </c>
      <c r="BN1006" t="s">
        <v>3534</v>
      </c>
      <c r="BO1006" t="str">
        <f t="shared" si="149"/>
        <v>-</v>
      </c>
      <c r="BP1006" t="s">
        <v>3534</v>
      </c>
      <c r="BQ1006">
        <v>248</v>
      </c>
      <c r="BR1006">
        <f t="shared" si="150"/>
        <v>248</v>
      </c>
      <c r="BS1006" t="s">
        <v>3322</v>
      </c>
    </row>
    <row r="1007" spans="1:71" x14ac:dyDescent="0.4">
      <c r="A1007" s="3">
        <v>1004</v>
      </c>
      <c r="B1007" s="3">
        <v>1004</v>
      </c>
      <c r="C1007" s="4" t="s">
        <v>1066</v>
      </c>
      <c r="D1007" s="4" t="str">
        <f t="shared" si="151"/>
        <v>J838LY</v>
      </c>
      <c r="E1007" s="4" t="s">
        <v>1066</v>
      </c>
      <c r="F1007" s="4" t="s">
        <v>2284</v>
      </c>
      <c r="G1007" s="5">
        <v>4521718777962</v>
      </c>
      <c r="H1007" s="5"/>
      <c r="I1007" s="5"/>
      <c r="J1007" s="5">
        <v>1</v>
      </c>
      <c r="K1007" s="5">
        <v>1</v>
      </c>
      <c r="L1007" s="4">
        <v>250</v>
      </c>
      <c r="M1007" s="4">
        <v>225</v>
      </c>
      <c r="N1007" s="4">
        <v>175</v>
      </c>
      <c r="O1007" s="6">
        <f t="shared" si="152"/>
        <v>0.22222222222222221</v>
      </c>
      <c r="P1007" s="4" t="s">
        <v>2500</v>
      </c>
      <c r="Q1007" s="4"/>
      <c r="R1007" s="4"/>
      <c r="S1007" s="4"/>
      <c r="T1007" s="4"/>
      <c r="U1007" s="4"/>
      <c r="V1007" s="4"/>
      <c r="W1007" s="4"/>
      <c r="X1007" s="4"/>
      <c r="Y1007" s="4">
        <v>250</v>
      </c>
      <c r="Z1007" s="4">
        <f t="shared" si="153"/>
        <v>250</v>
      </c>
      <c r="AA1007" s="4">
        <v>175</v>
      </c>
      <c r="AB1007" s="4">
        <f t="shared" si="154"/>
        <v>175</v>
      </c>
      <c r="AC1007" s="4"/>
      <c r="AD1007" s="21">
        <f>ROUND(M1007*AR1007,0)</f>
        <v>225</v>
      </c>
      <c r="AE1007" s="6">
        <f>1-AB1007/AD1007</f>
        <v>0.22222222222222221</v>
      </c>
      <c r="AF1007" s="33">
        <v>0</v>
      </c>
      <c r="AG1007" s="4">
        <f t="shared" si="155"/>
        <v>250</v>
      </c>
      <c r="AH1007" s="33">
        <f t="shared" si="148"/>
        <v>250</v>
      </c>
      <c r="AI1007" s="6">
        <f>1-AB1007/AH1007</f>
        <v>0.30000000000000004</v>
      </c>
      <c r="AJ1007" s="7">
        <v>250</v>
      </c>
      <c r="AK1007" s="6">
        <f>1-AB1007/AJ1007</f>
        <v>0.30000000000000004</v>
      </c>
      <c r="AL1007" s="4">
        <f>AJ1007-AB1007</f>
        <v>75</v>
      </c>
      <c r="AM1007" s="28"/>
      <c r="AN1007" s="6"/>
      <c r="AO1007" s="6"/>
      <c r="AP1007" s="6">
        <f>Z1007/L1007</f>
        <v>1</v>
      </c>
      <c r="AQ1007" s="6">
        <f>AJ1007/M1007</f>
        <v>1.1111111111111112</v>
      </c>
      <c r="AR1007" s="6">
        <f>AB1007/N1007</f>
        <v>1</v>
      </c>
      <c r="AS1007" s="4"/>
      <c r="AT1007" s="4"/>
      <c r="AU1007" s="4"/>
      <c r="AV1007" s="4"/>
      <c r="AW1007" s="4"/>
      <c r="AX1007" s="4"/>
      <c r="AY1007" s="4"/>
      <c r="AZ1007" s="4"/>
      <c r="BA1007" s="4"/>
      <c r="BB1007" s="4">
        <v>0</v>
      </c>
      <c r="BC1007" s="4" t="s">
        <v>4470</v>
      </c>
      <c r="BD1007" s="4">
        <v>1</v>
      </c>
      <c r="BE1007" s="4">
        <v>5</v>
      </c>
      <c r="BF1007" s="4" t="s">
        <v>3746</v>
      </c>
      <c r="BG1007" s="4">
        <v>1250</v>
      </c>
      <c r="BH1007" s="4">
        <v>1250</v>
      </c>
      <c r="BI1007" s="4">
        <f t="shared" si="156"/>
        <v>250</v>
      </c>
      <c r="BJ1007" s="19">
        <v>4</v>
      </c>
      <c r="BK1007" s="19">
        <v>8</v>
      </c>
      <c r="BL1007" s="16">
        <v>6</v>
      </c>
      <c r="BM1007" s="45" t="s">
        <v>3534</v>
      </c>
      <c r="BN1007" t="s">
        <v>3534</v>
      </c>
      <c r="BO1007" t="str">
        <f t="shared" si="149"/>
        <v>-</v>
      </c>
      <c r="BP1007" t="s">
        <v>3534</v>
      </c>
      <c r="BQ1007">
        <v>248</v>
      </c>
      <c r="BR1007">
        <f t="shared" si="150"/>
        <v>248</v>
      </c>
      <c r="BS1007" t="s">
        <v>3323</v>
      </c>
    </row>
    <row r="1008" spans="1:71" x14ac:dyDescent="0.4">
      <c r="A1008" s="3">
        <v>1005</v>
      </c>
      <c r="B1008" s="3">
        <v>1005</v>
      </c>
      <c r="C1008" s="4" t="s">
        <v>1067</v>
      </c>
      <c r="D1008" s="4" t="str">
        <f t="shared" si="151"/>
        <v>J839LY</v>
      </c>
      <c r="E1008" s="4" t="s">
        <v>1067</v>
      </c>
      <c r="F1008" s="4" t="s">
        <v>2285</v>
      </c>
      <c r="G1008" s="5">
        <v>4521718777979</v>
      </c>
      <c r="H1008" s="5"/>
      <c r="I1008" s="5"/>
      <c r="J1008" s="5">
        <v>1</v>
      </c>
      <c r="K1008" s="5">
        <v>1</v>
      </c>
      <c r="L1008" s="4">
        <v>250</v>
      </c>
      <c r="M1008" s="4">
        <v>225</v>
      </c>
      <c r="N1008" s="4">
        <v>175</v>
      </c>
      <c r="O1008" s="6">
        <f t="shared" si="152"/>
        <v>0.22222222222222221</v>
      </c>
      <c r="P1008" s="4" t="s">
        <v>2500</v>
      </c>
      <c r="Q1008" s="4"/>
      <c r="R1008" s="4"/>
      <c r="S1008" s="4"/>
      <c r="T1008" s="4"/>
      <c r="U1008" s="4"/>
      <c r="V1008" s="4"/>
      <c r="W1008" s="4"/>
      <c r="X1008" s="4"/>
      <c r="Y1008" s="4">
        <v>250</v>
      </c>
      <c r="Z1008" s="4">
        <f t="shared" si="153"/>
        <v>250</v>
      </c>
      <c r="AA1008" s="4">
        <v>175</v>
      </c>
      <c r="AB1008" s="4">
        <f t="shared" si="154"/>
        <v>175</v>
      </c>
      <c r="AC1008" s="4"/>
      <c r="AD1008" s="21">
        <f>ROUND(M1008*AR1008,0)</f>
        <v>225</v>
      </c>
      <c r="AE1008" s="6">
        <f>1-AB1008/AD1008</f>
        <v>0.22222222222222221</v>
      </c>
      <c r="AF1008" s="33">
        <v>0</v>
      </c>
      <c r="AG1008" s="4">
        <f t="shared" si="155"/>
        <v>250</v>
      </c>
      <c r="AH1008" s="33">
        <f t="shared" si="148"/>
        <v>250</v>
      </c>
      <c r="AI1008" s="6">
        <f>1-AB1008/AH1008</f>
        <v>0.30000000000000004</v>
      </c>
      <c r="AJ1008" s="7">
        <v>250</v>
      </c>
      <c r="AK1008" s="6">
        <f>1-AB1008/AJ1008</f>
        <v>0.30000000000000004</v>
      </c>
      <c r="AL1008" s="4">
        <f>AJ1008-AB1008</f>
        <v>75</v>
      </c>
      <c r="AM1008" s="28"/>
      <c r="AN1008" s="6"/>
      <c r="AO1008" s="6"/>
      <c r="AP1008" s="6">
        <f>Z1008/L1008</f>
        <v>1</v>
      </c>
      <c r="AQ1008" s="6">
        <f>AJ1008/M1008</f>
        <v>1.1111111111111112</v>
      </c>
      <c r="AR1008" s="6">
        <f>AB1008/N1008</f>
        <v>1</v>
      </c>
      <c r="AS1008" s="4"/>
      <c r="AT1008" s="4"/>
      <c r="AU1008" s="4"/>
      <c r="AV1008" s="4"/>
      <c r="AW1008" s="4"/>
      <c r="AX1008" s="4"/>
      <c r="AY1008" s="4"/>
      <c r="AZ1008" s="4"/>
      <c r="BA1008" s="4"/>
      <c r="BB1008" s="4">
        <v>0</v>
      </c>
      <c r="BC1008" s="4" t="s">
        <v>4471</v>
      </c>
      <c r="BD1008" s="4">
        <v>1</v>
      </c>
      <c r="BE1008" s="4">
        <v>5</v>
      </c>
      <c r="BF1008" s="4" t="s">
        <v>3746</v>
      </c>
      <c r="BG1008" s="4">
        <v>1250</v>
      </c>
      <c r="BH1008" s="4">
        <v>1250</v>
      </c>
      <c r="BI1008" s="4">
        <f t="shared" si="156"/>
        <v>250</v>
      </c>
      <c r="BJ1008" s="19">
        <v>4</v>
      </c>
      <c r="BK1008" s="19">
        <v>8</v>
      </c>
      <c r="BL1008" s="16">
        <v>6</v>
      </c>
      <c r="BM1008" s="45" t="s">
        <v>3534</v>
      </c>
      <c r="BN1008" t="s">
        <v>3534</v>
      </c>
      <c r="BO1008" t="str">
        <f t="shared" si="149"/>
        <v>-</v>
      </c>
      <c r="BP1008" t="s">
        <v>3534</v>
      </c>
      <c r="BQ1008">
        <v>248</v>
      </c>
      <c r="BR1008">
        <f t="shared" si="150"/>
        <v>248</v>
      </c>
      <c r="BS1008" t="s">
        <v>3324</v>
      </c>
    </row>
    <row r="1009" spans="1:71" x14ac:dyDescent="0.4">
      <c r="A1009" s="3">
        <v>1006</v>
      </c>
      <c r="B1009" s="3">
        <v>1006</v>
      </c>
      <c r="C1009" s="4" t="s">
        <v>1068</v>
      </c>
      <c r="D1009" s="4" t="str">
        <f t="shared" si="151"/>
        <v>J841LY</v>
      </c>
      <c r="E1009" s="4" t="s">
        <v>1068</v>
      </c>
      <c r="F1009" s="4" t="s">
        <v>2286</v>
      </c>
      <c r="G1009" s="5">
        <v>4521718777993</v>
      </c>
      <c r="H1009" s="5"/>
      <c r="I1009" s="5"/>
      <c r="J1009" s="5">
        <v>1</v>
      </c>
      <c r="K1009" s="5">
        <v>1</v>
      </c>
      <c r="L1009" s="4">
        <v>250</v>
      </c>
      <c r="M1009" s="4">
        <v>225</v>
      </c>
      <c r="N1009" s="4">
        <v>175</v>
      </c>
      <c r="O1009" s="6">
        <f t="shared" si="152"/>
        <v>0.22222222222222221</v>
      </c>
      <c r="P1009" s="4" t="s">
        <v>2500</v>
      </c>
      <c r="Q1009" s="4"/>
      <c r="R1009" s="4"/>
      <c r="S1009" s="4"/>
      <c r="T1009" s="4"/>
      <c r="U1009" s="4"/>
      <c r="V1009" s="4"/>
      <c r="W1009" s="4"/>
      <c r="X1009" s="4"/>
      <c r="Y1009" s="4">
        <v>250</v>
      </c>
      <c r="Z1009" s="4">
        <f t="shared" si="153"/>
        <v>250</v>
      </c>
      <c r="AA1009" s="4">
        <v>175</v>
      </c>
      <c r="AB1009" s="4">
        <f t="shared" si="154"/>
        <v>175</v>
      </c>
      <c r="AC1009" s="4"/>
      <c r="AD1009" s="21">
        <f>ROUND(M1009*AR1009,0)</f>
        <v>225</v>
      </c>
      <c r="AE1009" s="6">
        <f>1-AB1009/AD1009</f>
        <v>0.22222222222222221</v>
      </c>
      <c r="AF1009" s="33">
        <v>0</v>
      </c>
      <c r="AG1009" s="4">
        <f t="shared" si="155"/>
        <v>250</v>
      </c>
      <c r="AH1009" s="33">
        <f t="shared" si="148"/>
        <v>250</v>
      </c>
      <c r="AI1009" s="6">
        <f>1-AB1009/AH1009</f>
        <v>0.30000000000000004</v>
      </c>
      <c r="AJ1009" s="7">
        <v>250</v>
      </c>
      <c r="AK1009" s="6">
        <f>1-AB1009/AJ1009</f>
        <v>0.30000000000000004</v>
      </c>
      <c r="AL1009" s="4">
        <f>AJ1009-AB1009</f>
        <v>75</v>
      </c>
      <c r="AM1009" s="28"/>
      <c r="AN1009" s="6"/>
      <c r="AO1009" s="6"/>
      <c r="AP1009" s="6">
        <f>Z1009/L1009</f>
        <v>1</v>
      </c>
      <c r="AQ1009" s="6">
        <f>AJ1009/M1009</f>
        <v>1.1111111111111112</v>
      </c>
      <c r="AR1009" s="6">
        <f>AB1009/N1009</f>
        <v>1</v>
      </c>
      <c r="AS1009" s="4"/>
      <c r="AT1009" s="4"/>
      <c r="AU1009" s="4"/>
      <c r="AV1009" s="4"/>
      <c r="AW1009" s="4"/>
      <c r="AX1009" s="4"/>
      <c r="AY1009" s="4"/>
      <c r="AZ1009" s="4"/>
      <c r="BA1009" s="4"/>
      <c r="BB1009" s="4">
        <v>0</v>
      </c>
      <c r="BC1009" s="4" t="s">
        <v>4472</v>
      </c>
      <c r="BD1009" s="4">
        <v>1</v>
      </c>
      <c r="BE1009" s="4">
        <v>5</v>
      </c>
      <c r="BF1009" s="4" t="s">
        <v>3746</v>
      </c>
      <c r="BG1009" s="4">
        <v>1250</v>
      </c>
      <c r="BH1009" s="4">
        <v>1250</v>
      </c>
      <c r="BI1009" s="4">
        <f t="shared" si="156"/>
        <v>250</v>
      </c>
      <c r="BJ1009" s="19">
        <v>4</v>
      </c>
      <c r="BK1009" s="19">
        <v>8</v>
      </c>
      <c r="BL1009" s="16">
        <v>6</v>
      </c>
      <c r="BM1009" s="45" t="s">
        <v>3534</v>
      </c>
      <c r="BN1009" t="s">
        <v>3534</v>
      </c>
      <c r="BO1009" t="str">
        <f t="shared" si="149"/>
        <v>-</v>
      </c>
      <c r="BP1009" t="s">
        <v>3534</v>
      </c>
      <c r="BQ1009">
        <v>248</v>
      </c>
      <c r="BR1009">
        <f t="shared" si="150"/>
        <v>248</v>
      </c>
      <c r="BS1009" t="s">
        <v>3325</v>
      </c>
    </row>
    <row r="1010" spans="1:71" x14ac:dyDescent="0.4">
      <c r="A1010" s="3">
        <v>1007</v>
      </c>
      <c r="B1010" s="3">
        <v>1007</v>
      </c>
      <c r="C1010" s="4" t="s">
        <v>1069</v>
      </c>
      <c r="D1010" s="4" t="str">
        <f t="shared" si="151"/>
        <v>J840LY</v>
      </c>
      <c r="E1010" s="4" t="s">
        <v>1069</v>
      </c>
      <c r="F1010" s="4" t="s">
        <v>2287</v>
      </c>
      <c r="G1010" s="5">
        <v>4521718777986</v>
      </c>
      <c r="H1010" s="5"/>
      <c r="I1010" s="5"/>
      <c r="J1010" s="5">
        <v>1</v>
      </c>
      <c r="K1010" s="5">
        <v>1</v>
      </c>
      <c r="L1010" s="4">
        <v>250</v>
      </c>
      <c r="M1010" s="4">
        <v>225</v>
      </c>
      <c r="N1010" s="4">
        <v>175</v>
      </c>
      <c r="O1010" s="6">
        <f t="shared" si="152"/>
        <v>0.22222222222222221</v>
      </c>
      <c r="P1010" s="4" t="s">
        <v>2500</v>
      </c>
      <c r="Q1010" s="4"/>
      <c r="R1010" s="4"/>
      <c r="S1010" s="4"/>
      <c r="T1010" s="4"/>
      <c r="U1010" s="4"/>
      <c r="V1010" s="4"/>
      <c r="W1010" s="4"/>
      <c r="X1010" s="4"/>
      <c r="Y1010" s="4">
        <v>250</v>
      </c>
      <c r="Z1010" s="4">
        <f t="shared" si="153"/>
        <v>250</v>
      </c>
      <c r="AA1010" s="4">
        <v>175</v>
      </c>
      <c r="AB1010" s="4">
        <f t="shared" si="154"/>
        <v>175</v>
      </c>
      <c r="AC1010" s="4"/>
      <c r="AD1010" s="21">
        <f>ROUND(M1010*AR1010,0)</f>
        <v>225</v>
      </c>
      <c r="AE1010" s="6">
        <f>1-AB1010/AD1010</f>
        <v>0.22222222222222221</v>
      </c>
      <c r="AF1010" s="33">
        <v>0</v>
      </c>
      <c r="AG1010" s="4">
        <f t="shared" si="155"/>
        <v>250</v>
      </c>
      <c r="AH1010" s="33">
        <f t="shared" si="148"/>
        <v>250</v>
      </c>
      <c r="AI1010" s="6">
        <f>1-AB1010/AH1010</f>
        <v>0.30000000000000004</v>
      </c>
      <c r="AJ1010" s="7">
        <v>250</v>
      </c>
      <c r="AK1010" s="6">
        <f>1-AB1010/AJ1010</f>
        <v>0.30000000000000004</v>
      </c>
      <c r="AL1010" s="4">
        <f>AJ1010-AB1010</f>
        <v>75</v>
      </c>
      <c r="AM1010" s="28"/>
      <c r="AN1010" s="6"/>
      <c r="AO1010" s="6"/>
      <c r="AP1010" s="6">
        <f>Z1010/L1010</f>
        <v>1</v>
      </c>
      <c r="AQ1010" s="6">
        <f>AJ1010/M1010</f>
        <v>1.1111111111111112</v>
      </c>
      <c r="AR1010" s="6">
        <f>AB1010/N1010</f>
        <v>1</v>
      </c>
      <c r="AS1010" s="4"/>
      <c r="AT1010" s="4"/>
      <c r="AU1010" s="4"/>
      <c r="AV1010" s="4"/>
      <c r="AW1010" s="4"/>
      <c r="AX1010" s="4"/>
      <c r="AY1010" s="4"/>
      <c r="AZ1010" s="4"/>
      <c r="BA1010" s="4"/>
      <c r="BB1010" s="4">
        <v>0</v>
      </c>
      <c r="BC1010" s="4" t="s">
        <v>4473</v>
      </c>
      <c r="BD1010" s="4">
        <v>1</v>
      </c>
      <c r="BE1010" s="4">
        <v>5</v>
      </c>
      <c r="BF1010" s="4" t="s">
        <v>3746</v>
      </c>
      <c r="BG1010" s="4">
        <v>1250</v>
      </c>
      <c r="BH1010" s="4">
        <v>1250</v>
      </c>
      <c r="BI1010" s="4">
        <f t="shared" si="156"/>
        <v>250</v>
      </c>
      <c r="BJ1010" s="19">
        <v>4</v>
      </c>
      <c r="BK1010" s="19">
        <v>8</v>
      </c>
      <c r="BL1010" s="16">
        <v>6</v>
      </c>
      <c r="BM1010" s="45" t="s">
        <v>3534</v>
      </c>
      <c r="BN1010" t="s">
        <v>3534</v>
      </c>
      <c r="BO1010" t="str">
        <f t="shared" si="149"/>
        <v>-</v>
      </c>
      <c r="BP1010" t="s">
        <v>3534</v>
      </c>
      <c r="BQ1010">
        <v>248</v>
      </c>
      <c r="BR1010">
        <f t="shared" si="150"/>
        <v>248</v>
      </c>
      <c r="BS1010" t="s">
        <v>3326</v>
      </c>
    </row>
    <row r="1011" spans="1:71" x14ac:dyDescent="0.4">
      <c r="A1011" s="3">
        <v>1008</v>
      </c>
      <c r="B1011" s="3">
        <v>1008</v>
      </c>
      <c r="C1011" s="4" t="s">
        <v>1070</v>
      </c>
      <c r="D1011" s="4" t="str">
        <f t="shared" si="151"/>
        <v>J840WK</v>
      </c>
      <c r="E1011" s="4" t="s">
        <v>1070</v>
      </c>
      <c r="F1011" s="4" t="s">
        <v>2288</v>
      </c>
      <c r="G1011" s="5">
        <v>4521718746005</v>
      </c>
      <c r="H1011" s="5"/>
      <c r="I1011" s="5"/>
      <c r="J1011" s="5">
        <v>1</v>
      </c>
      <c r="K1011" s="5">
        <v>1</v>
      </c>
      <c r="L1011" s="4">
        <v>500</v>
      </c>
      <c r="M1011" s="4">
        <v>450</v>
      </c>
      <c r="N1011" s="4">
        <v>325</v>
      </c>
      <c r="O1011" s="6">
        <f t="shared" si="152"/>
        <v>0.27777777777777779</v>
      </c>
      <c r="P1011" s="4" t="s">
        <v>2500</v>
      </c>
      <c r="Q1011" s="4"/>
      <c r="R1011" s="4"/>
      <c r="S1011" s="4"/>
      <c r="T1011" s="4"/>
      <c r="U1011" s="4"/>
      <c r="V1011" s="4"/>
      <c r="W1011" s="4"/>
      <c r="X1011" s="4"/>
      <c r="Y1011" s="4">
        <v>500</v>
      </c>
      <c r="Z1011" s="4">
        <f t="shared" si="153"/>
        <v>500</v>
      </c>
      <c r="AA1011" s="4">
        <v>325</v>
      </c>
      <c r="AB1011" s="4">
        <f t="shared" si="154"/>
        <v>325</v>
      </c>
      <c r="AC1011" s="4"/>
      <c r="AD1011" s="21">
        <f>ROUND(M1011*AR1011,0)</f>
        <v>450</v>
      </c>
      <c r="AE1011" s="6">
        <f>1-AB1011/AD1011</f>
        <v>0.27777777777777779</v>
      </c>
      <c r="AF1011" s="33">
        <v>0</v>
      </c>
      <c r="AG1011" s="4">
        <f t="shared" si="155"/>
        <v>500</v>
      </c>
      <c r="AH1011" s="33">
        <f t="shared" si="148"/>
        <v>500</v>
      </c>
      <c r="AI1011" s="6">
        <f>1-AB1011/AH1011</f>
        <v>0.35</v>
      </c>
      <c r="AJ1011" s="7">
        <v>500</v>
      </c>
      <c r="AK1011" s="6">
        <f>1-AB1011/AJ1011</f>
        <v>0.35</v>
      </c>
      <c r="AL1011" s="4">
        <f>AJ1011-AB1011</f>
        <v>175</v>
      </c>
      <c r="AM1011" s="28"/>
      <c r="AN1011" s="6"/>
      <c r="AO1011" s="6"/>
      <c r="AP1011" s="6">
        <f>Z1011/L1011</f>
        <v>1</v>
      </c>
      <c r="AQ1011" s="6">
        <f>AJ1011/M1011</f>
        <v>1.1111111111111112</v>
      </c>
      <c r="AR1011" s="6">
        <f>AB1011/N1011</f>
        <v>1</v>
      </c>
      <c r="AS1011" s="4"/>
      <c r="AT1011" s="4"/>
      <c r="AU1011" s="4"/>
      <c r="AV1011" s="4"/>
      <c r="AW1011" s="4"/>
      <c r="AX1011" s="4"/>
      <c r="AY1011" s="4"/>
      <c r="AZ1011" s="4"/>
      <c r="BA1011" s="4"/>
      <c r="BB1011" s="4">
        <v>0</v>
      </c>
      <c r="BC1011" s="4" t="s">
        <v>4474</v>
      </c>
      <c r="BD1011" s="4">
        <v>1</v>
      </c>
      <c r="BE1011" s="4">
        <v>2</v>
      </c>
      <c r="BF1011" s="4" t="s">
        <v>3575</v>
      </c>
      <c r="BG1011" s="4">
        <v>1000</v>
      </c>
      <c r="BH1011" s="4">
        <v>1000</v>
      </c>
      <c r="BI1011" s="4">
        <f t="shared" si="156"/>
        <v>500</v>
      </c>
      <c r="BJ1011" s="19">
        <v>4</v>
      </c>
      <c r="BK1011" s="19">
        <v>8</v>
      </c>
      <c r="BL1011" s="16">
        <v>7</v>
      </c>
      <c r="BM1011" s="45" t="s">
        <v>3534</v>
      </c>
      <c r="BN1011" t="s">
        <v>3534</v>
      </c>
      <c r="BO1011" t="str">
        <f t="shared" si="149"/>
        <v>-</v>
      </c>
      <c r="BP1011" t="s">
        <v>3534</v>
      </c>
      <c r="BQ1011">
        <v>475</v>
      </c>
      <c r="BR1011">
        <f t="shared" si="150"/>
        <v>475</v>
      </c>
      <c r="BS1011" t="s">
        <v>3327</v>
      </c>
    </row>
    <row r="1012" spans="1:71" x14ac:dyDescent="0.4">
      <c r="A1012" s="3">
        <v>1009</v>
      </c>
      <c r="B1012" s="3">
        <v>1009</v>
      </c>
      <c r="C1012" s="4" t="s">
        <v>1071</v>
      </c>
      <c r="D1012" s="4" t="str">
        <f t="shared" si="151"/>
        <v>J842LY</v>
      </c>
      <c r="E1012" s="4" t="s">
        <v>1071</v>
      </c>
      <c r="F1012" s="4" t="s">
        <v>2289</v>
      </c>
      <c r="G1012" s="5">
        <v>4521718778006</v>
      </c>
      <c r="H1012" s="5"/>
      <c r="I1012" s="5"/>
      <c r="J1012" s="5">
        <v>1</v>
      </c>
      <c r="K1012" s="5">
        <v>1</v>
      </c>
      <c r="L1012" s="4">
        <v>250</v>
      </c>
      <c r="M1012" s="4">
        <v>225</v>
      </c>
      <c r="N1012" s="4">
        <v>175</v>
      </c>
      <c r="O1012" s="6">
        <f t="shared" si="152"/>
        <v>0.22222222222222221</v>
      </c>
      <c r="P1012" s="4" t="s">
        <v>2500</v>
      </c>
      <c r="Q1012" s="4"/>
      <c r="R1012" s="4"/>
      <c r="S1012" s="4"/>
      <c r="T1012" s="4"/>
      <c r="U1012" s="4"/>
      <c r="V1012" s="4"/>
      <c r="W1012" s="4"/>
      <c r="X1012" s="4"/>
      <c r="Y1012" s="4">
        <v>250</v>
      </c>
      <c r="Z1012" s="4">
        <f t="shared" si="153"/>
        <v>250</v>
      </c>
      <c r="AA1012" s="4">
        <v>175</v>
      </c>
      <c r="AB1012" s="4">
        <f t="shared" si="154"/>
        <v>175</v>
      </c>
      <c r="AC1012" s="4"/>
      <c r="AD1012" s="21">
        <f>ROUND(M1012*AR1012,0)</f>
        <v>225</v>
      </c>
      <c r="AE1012" s="6">
        <f>1-AB1012/AD1012</f>
        <v>0.22222222222222221</v>
      </c>
      <c r="AF1012" s="33">
        <v>0</v>
      </c>
      <c r="AG1012" s="4">
        <f t="shared" si="155"/>
        <v>250</v>
      </c>
      <c r="AH1012" s="33">
        <f t="shared" si="148"/>
        <v>250</v>
      </c>
      <c r="AI1012" s="6">
        <f>1-AB1012/AH1012</f>
        <v>0.30000000000000004</v>
      </c>
      <c r="AJ1012" s="7">
        <v>250</v>
      </c>
      <c r="AK1012" s="6">
        <f>1-AB1012/AJ1012</f>
        <v>0.30000000000000004</v>
      </c>
      <c r="AL1012" s="4">
        <f>AJ1012-AB1012</f>
        <v>75</v>
      </c>
      <c r="AM1012" s="28"/>
      <c r="AN1012" s="6"/>
      <c r="AO1012" s="6"/>
      <c r="AP1012" s="6">
        <f>Z1012/L1012</f>
        <v>1</v>
      </c>
      <c r="AQ1012" s="6">
        <f>AJ1012/M1012</f>
        <v>1.1111111111111112</v>
      </c>
      <c r="AR1012" s="6">
        <f>AB1012/N1012</f>
        <v>1</v>
      </c>
      <c r="AS1012" s="4"/>
      <c r="AT1012" s="4"/>
      <c r="AU1012" s="4"/>
      <c r="AV1012" s="4"/>
      <c r="AW1012" s="4"/>
      <c r="AX1012" s="4"/>
      <c r="AY1012" s="4"/>
      <c r="AZ1012" s="4"/>
      <c r="BA1012" s="4"/>
      <c r="BB1012" s="4">
        <v>0</v>
      </c>
      <c r="BC1012" s="4" t="s">
        <v>4475</v>
      </c>
      <c r="BD1012" s="4">
        <v>1</v>
      </c>
      <c r="BE1012" s="4">
        <v>5</v>
      </c>
      <c r="BF1012" s="4" t="s">
        <v>3746</v>
      </c>
      <c r="BG1012" s="4">
        <v>1250</v>
      </c>
      <c r="BH1012" s="4">
        <v>1250</v>
      </c>
      <c r="BI1012" s="4">
        <f t="shared" si="156"/>
        <v>250</v>
      </c>
      <c r="BJ1012" s="19">
        <v>4</v>
      </c>
      <c r="BK1012" s="19">
        <v>8</v>
      </c>
      <c r="BL1012" s="16">
        <v>6</v>
      </c>
      <c r="BM1012" s="45" t="s">
        <v>3534</v>
      </c>
      <c r="BN1012" t="s">
        <v>3534</v>
      </c>
      <c r="BO1012" t="str">
        <f t="shared" si="149"/>
        <v>-</v>
      </c>
      <c r="BP1012" t="s">
        <v>3534</v>
      </c>
      <c r="BQ1012">
        <v>248</v>
      </c>
      <c r="BR1012">
        <f t="shared" si="150"/>
        <v>248</v>
      </c>
      <c r="BS1012" t="s">
        <v>3328</v>
      </c>
    </row>
    <row r="1013" spans="1:71" x14ac:dyDescent="0.4">
      <c r="A1013" s="3">
        <v>1010</v>
      </c>
      <c r="B1013" s="3">
        <v>1010</v>
      </c>
      <c r="C1013" s="4" t="s">
        <v>1072</v>
      </c>
      <c r="D1013" s="4" t="str">
        <f t="shared" si="151"/>
        <v>J842WK</v>
      </c>
      <c r="E1013" s="4" t="s">
        <v>1072</v>
      </c>
      <c r="F1013" s="4" t="s">
        <v>2290</v>
      </c>
      <c r="G1013" s="5">
        <v>4521718746029</v>
      </c>
      <c r="H1013" s="5"/>
      <c r="I1013" s="5"/>
      <c r="J1013" s="5">
        <v>1</v>
      </c>
      <c r="K1013" s="5">
        <v>1</v>
      </c>
      <c r="L1013" s="4">
        <v>500</v>
      </c>
      <c r="M1013" s="4">
        <v>450</v>
      </c>
      <c r="N1013" s="4">
        <v>325</v>
      </c>
      <c r="O1013" s="6">
        <f t="shared" si="152"/>
        <v>0.27777777777777779</v>
      </c>
      <c r="P1013" s="4" t="s">
        <v>2500</v>
      </c>
      <c r="Q1013" s="4"/>
      <c r="R1013" s="4"/>
      <c r="S1013" s="4"/>
      <c r="T1013" s="4"/>
      <c r="U1013" s="4"/>
      <c r="V1013" s="4"/>
      <c r="W1013" s="4"/>
      <c r="X1013" s="4"/>
      <c r="Y1013" s="4">
        <v>500</v>
      </c>
      <c r="Z1013" s="4">
        <f t="shared" si="153"/>
        <v>500</v>
      </c>
      <c r="AA1013" s="4">
        <v>350</v>
      </c>
      <c r="AB1013" s="4">
        <f t="shared" si="154"/>
        <v>350</v>
      </c>
      <c r="AC1013" s="4"/>
      <c r="AD1013" s="21">
        <f>ROUND(M1013*AR1013,0)</f>
        <v>485</v>
      </c>
      <c r="AE1013" s="6">
        <f>1-AB1013/AD1013</f>
        <v>0.27835051546391754</v>
      </c>
      <c r="AF1013" s="33">
        <v>0</v>
      </c>
      <c r="AG1013" s="4">
        <f t="shared" si="155"/>
        <v>500</v>
      </c>
      <c r="AH1013" s="33">
        <f t="shared" si="148"/>
        <v>538.46153846153845</v>
      </c>
      <c r="AI1013" s="6">
        <f>1-AB1013/AH1013</f>
        <v>0.35</v>
      </c>
      <c r="AJ1013" s="7">
        <v>500</v>
      </c>
      <c r="AK1013" s="6">
        <f>1-AB1013/AJ1013</f>
        <v>0.30000000000000004</v>
      </c>
      <c r="AL1013" s="4">
        <f>AJ1013-AB1013</f>
        <v>150</v>
      </c>
      <c r="AM1013" s="28"/>
      <c r="AN1013" s="6"/>
      <c r="AO1013" s="6"/>
      <c r="AP1013" s="6">
        <f>Z1013/L1013</f>
        <v>1</v>
      </c>
      <c r="AQ1013" s="6">
        <f>AJ1013/M1013</f>
        <v>1.1111111111111112</v>
      </c>
      <c r="AR1013" s="6">
        <f>AB1013/N1013</f>
        <v>1.0769230769230769</v>
      </c>
      <c r="AS1013" s="4"/>
      <c r="AT1013" s="4"/>
      <c r="AU1013" s="4"/>
      <c r="AV1013" s="4"/>
      <c r="AW1013" s="4"/>
      <c r="AX1013" s="4"/>
      <c r="AY1013" s="4"/>
      <c r="AZ1013" s="4"/>
      <c r="BA1013" s="4"/>
      <c r="BB1013" s="4">
        <v>0</v>
      </c>
      <c r="BC1013" s="4" t="s">
        <v>4476</v>
      </c>
      <c r="BD1013" s="4">
        <v>1</v>
      </c>
      <c r="BE1013" s="4">
        <v>2</v>
      </c>
      <c r="BF1013" s="4" t="s">
        <v>3575</v>
      </c>
      <c r="BG1013" s="4">
        <v>1000</v>
      </c>
      <c r="BH1013" s="4">
        <v>1000</v>
      </c>
      <c r="BI1013" s="4">
        <f t="shared" si="156"/>
        <v>500</v>
      </c>
      <c r="BJ1013" s="19">
        <v>4</v>
      </c>
      <c r="BK1013" s="19">
        <v>8</v>
      </c>
      <c r="BL1013" s="16">
        <v>7</v>
      </c>
      <c r="BM1013" s="45" t="s">
        <v>3534</v>
      </c>
      <c r="BN1013" t="s">
        <v>3534</v>
      </c>
      <c r="BO1013" t="str">
        <f t="shared" si="149"/>
        <v>-</v>
      </c>
      <c r="BP1013" t="s">
        <v>3534</v>
      </c>
      <c r="BQ1013">
        <v>475</v>
      </c>
      <c r="BR1013">
        <f t="shared" si="150"/>
        <v>511.53846153846149</v>
      </c>
      <c r="BS1013" t="s">
        <v>3329</v>
      </c>
    </row>
    <row r="1014" spans="1:71" x14ac:dyDescent="0.4">
      <c r="A1014" s="3">
        <v>1011</v>
      </c>
      <c r="B1014" s="3">
        <v>1011</v>
      </c>
      <c r="C1014" s="4" t="s">
        <v>1073</v>
      </c>
      <c r="D1014" s="4" t="str">
        <f t="shared" si="151"/>
        <v>J841WK</v>
      </c>
      <c r="E1014" s="4" t="s">
        <v>1073</v>
      </c>
      <c r="F1014" s="4" t="s">
        <v>2291</v>
      </c>
      <c r="G1014" s="5">
        <v>4521718746012</v>
      </c>
      <c r="H1014" s="5"/>
      <c r="I1014" s="5"/>
      <c r="J1014" s="5">
        <v>1</v>
      </c>
      <c r="K1014" s="5">
        <v>1</v>
      </c>
      <c r="L1014" s="4">
        <v>500</v>
      </c>
      <c r="M1014" s="4">
        <v>450</v>
      </c>
      <c r="N1014" s="4">
        <v>325</v>
      </c>
      <c r="O1014" s="6">
        <f t="shared" si="152"/>
        <v>0.27777777777777779</v>
      </c>
      <c r="P1014" s="4" t="s">
        <v>2500</v>
      </c>
      <c r="Q1014" s="4"/>
      <c r="R1014" s="4"/>
      <c r="S1014" s="4"/>
      <c r="T1014" s="4"/>
      <c r="U1014" s="4"/>
      <c r="V1014" s="4"/>
      <c r="W1014" s="4"/>
      <c r="X1014" s="4"/>
      <c r="Y1014" s="4">
        <v>500</v>
      </c>
      <c r="Z1014" s="4">
        <f t="shared" si="153"/>
        <v>500</v>
      </c>
      <c r="AA1014" s="4">
        <v>325</v>
      </c>
      <c r="AB1014" s="4">
        <f t="shared" si="154"/>
        <v>325</v>
      </c>
      <c r="AC1014" s="4"/>
      <c r="AD1014" s="21">
        <f>ROUND(M1014*AR1014,0)</f>
        <v>450</v>
      </c>
      <c r="AE1014" s="6">
        <f>1-AB1014/AD1014</f>
        <v>0.27777777777777779</v>
      </c>
      <c r="AF1014" s="33">
        <v>0</v>
      </c>
      <c r="AG1014" s="4">
        <f t="shared" si="155"/>
        <v>500</v>
      </c>
      <c r="AH1014" s="33">
        <f t="shared" si="148"/>
        <v>500</v>
      </c>
      <c r="AI1014" s="6">
        <f>1-AB1014/AH1014</f>
        <v>0.35</v>
      </c>
      <c r="AJ1014" s="7">
        <v>500</v>
      </c>
      <c r="AK1014" s="6">
        <f>1-AB1014/AJ1014</f>
        <v>0.35</v>
      </c>
      <c r="AL1014" s="4">
        <f>AJ1014-AB1014</f>
        <v>175</v>
      </c>
      <c r="AM1014" s="28"/>
      <c r="AN1014" s="6"/>
      <c r="AO1014" s="6"/>
      <c r="AP1014" s="6">
        <f>Z1014/L1014</f>
        <v>1</v>
      </c>
      <c r="AQ1014" s="6">
        <f>AJ1014/M1014</f>
        <v>1.1111111111111112</v>
      </c>
      <c r="AR1014" s="6">
        <f>AB1014/N1014</f>
        <v>1</v>
      </c>
      <c r="AS1014" s="4"/>
      <c r="AT1014" s="4"/>
      <c r="AU1014" s="4"/>
      <c r="AV1014" s="4"/>
      <c r="AW1014" s="4"/>
      <c r="AX1014" s="4"/>
      <c r="AY1014" s="4"/>
      <c r="AZ1014" s="4"/>
      <c r="BA1014" s="4"/>
      <c r="BB1014" s="4">
        <v>0</v>
      </c>
      <c r="BC1014" s="4" t="s">
        <v>4477</v>
      </c>
      <c r="BD1014" s="4">
        <v>1</v>
      </c>
      <c r="BE1014" s="4">
        <v>2</v>
      </c>
      <c r="BF1014" s="4" t="s">
        <v>3575</v>
      </c>
      <c r="BG1014" s="4">
        <v>1000</v>
      </c>
      <c r="BH1014" s="4">
        <v>1000</v>
      </c>
      <c r="BI1014" s="4">
        <f t="shared" si="156"/>
        <v>500</v>
      </c>
      <c r="BJ1014" s="19">
        <v>4</v>
      </c>
      <c r="BK1014" s="19">
        <v>8</v>
      </c>
      <c r="BL1014" s="16">
        <v>7</v>
      </c>
      <c r="BM1014" s="45" t="s">
        <v>3534</v>
      </c>
      <c r="BN1014" t="s">
        <v>3534</v>
      </c>
      <c r="BO1014" t="str">
        <f t="shared" si="149"/>
        <v>-</v>
      </c>
      <c r="BP1014" t="s">
        <v>3534</v>
      </c>
      <c r="BQ1014">
        <v>475</v>
      </c>
      <c r="BR1014">
        <f t="shared" si="150"/>
        <v>475</v>
      </c>
      <c r="BS1014" t="s">
        <v>3330</v>
      </c>
    </row>
    <row r="1015" spans="1:71" x14ac:dyDescent="0.4">
      <c r="A1015" s="3">
        <v>1012</v>
      </c>
      <c r="B1015" s="3">
        <v>1012</v>
      </c>
      <c r="C1015" s="4" t="s">
        <v>1074</v>
      </c>
      <c r="D1015" s="4" t="str">
        <f t="shared" si="151"/>
        <v>J843LY</v>
      </c>
      <c r="E1015" s="4" t="s">
        <v>1074</v>
      </c>
      <c r="F1015" s="4" t="s">
        <v>2292</v>
      </c>
      <c r="G1015" s="5">
        <v>4521718778013</v>
      </c>
      <c r="H1015" s="5"/>
      <c r="I1015" s="5"/>
      <c r="J1015" s="5">
        <v>1</v>
      </c>
      <c r="K1015" s="5">
        <v>1</v>
      </c>
      <c r="L1015" s="4">
        <v>250</v>
      </c>
      <c r="M1015" s="4">
        <v>225</v>
      </c>
      <c r="N1015" s="4">
        <v>175</v>
      </c>
      <c r="O1015" s="6">
        <f t="shared" si="152"/>
        <v>0.22222222222222221</v>
      </c>
      <c r="P1015" s="4" t="s">
        <v>2500</v>
      </c>
      <c r="Q1015" s="4"/>
      <c r="R1015" s="4"/>
      <c r="S1015" s="4"/>
      <c r="T1015" s="4"/>
      <c r="U1015" s="4"/>
      <c r="V1015" s="4"/>
      <c r="W1015" s="4"/>
      <c r="X1015" s="4"/>
      <c r="Y1015" s="4">
        <v>250</v>
      </c>
      <c r="Z1015" s="4">
        <f t="shared" si="153"/>
        <v>250</v>
      </c>
      <c r="AA1015" s="4">
        <v>175</v>
      </c>
      <c r="AB1015" s="4">
        <f t="shared" si="154"/>
        <v>175</v>
      </c>
      <c r="AC1015" s="4"/>
      <c r="AD1015" s="21">
        <f>ROUND(M1015*AR1015,0)</f>
        <v>225</v>
      </c>
      <c r="AE1015" s="6">
        <f>1-AB1015/AD1015</f>
        <v>0.22222222222222221</v>
      </c>
      <c r="AF1015" s="33">
        <v>0</v>
      </c>
      <c r="AG1015" s="4">
        <f t="shared" si="155"/>
        <v>250</v>
      </c>
      <c r="AH1015" s="33">
        <f t="shared" si="148"/>
        <v>250</v>
      </c>
      <c r="AI1015" s="6">
        <f>1-AB1015/AH1015</f>
        <v>0.30000000000000004</v>
      </c>
      <c r="AJ1015" s="7">
        <v>250</v>
      </c>
      <c r="AK1015" s="6">
        <f>1-AB1015/AJ1015</f>
        <v>0.30000000000000004</v>
      </c>
      <c r="AL1015" s="4">
        <f>AJ1015-AB1015</f>
        <v>75</v>
      </c>
      <c r="AM1015" s="28"/>
      <c r="AN1015" s="6"/>
      <c r="AO1015" s="6"/>
      <c r="AP1015" s="6">
        <f>Z1015/L1015</f>
        <v>1</v>
      </c>
      <c r="AQ1015" s="6">
        <f>AJ1015/M1015</f>
        <v>1.1111111111111112</v>
      </c>
      <c r="AR1015" s="6">
        <f>AB1015/N1015</f>
        <v>1</v>
      </c>
      <c r="AS1015" s="4"/>
      <c r="AT1015" s="4"/>
      <c r="AU1015" s="4"/>
      <c r="AV1015" s="4"/>
      <c r="AW1015" s="4"/>
      <c r="AX1015" s="4"/>
      <c r="AY1015" s="4"/>
      <c r="AZ1015" s="4"/>
      <c r="BA1015" s="4"/>
      <c r="BB1015" s="4">
        <v>0</v>
      </c>
      <c r="BC1015" s="4" t="s">
        <v>4478</v>
      </c>
      <c r="BD1015" s="4">
        <v>1</v>
      </c>
      <c r="BE1015" s="4">
        <v>5</v>
      </c>
      <c r="BF1015" s="4" t="s">
        <v>3746</v>
      </c>
      <c r="BG1015" s="4">
        <v>1250</v>
      </c>
      <c r="BH1015" s="4">
        <v>1250</v>
      </c>
      <c r="BI1015" s="4">
        <f t="shared" si="156"/>
        <v>250</v>
      </c>
      <c r="BJ1015" s="19">
        <v>4</v>
      </c>
      <c r="BK1015" s="19">
        <v>8</v>
      </c>
      <c r="BL1015" s="16">
        <v>6</v>
      </c>
      <c r="BM1015" s="45" t="s">
        <v>3534</v>
      </c>
      <c r="BN1015" t="s">
        <v>3534</v>
      </c>
      <c r="BO1015" t="str">
        <f t="shared" si="149"/>
        <v>-</v>
      </c>
      <c r="BP1015" t="s">
        <v>3534</v>
      </c>
      <c r="BQ1015">
        <v>248</v>
      </c>
      <c r="BR1015">
        <f t="shared" si="150"/>
        <v>248</v>
      </c>
      <c r="BS1015" t="s">
        <v>3331</v>
      </c>
    </row>
    <row r="1016" spans="1:71" x14ac:dyDescent="0.4">
      <c r="A1016" s="3">
        <v>1013</v>
      </c>
      <c r="B1016" s="3">
        <v>1013</v>
      </c>
      <c r="C1016" s="4" t="s">
        <v>1075</v>
      </c>
      <c r="D1016" s="4" t="str">
        <f t="shared" si="151"/>
        <v>J843WK</v>
      </c>
      <c r="E1016" s="4" t="s">
        <v>1075</v>
      </c>
      <c r="F1016" s="4" t="s">
        <v>2293</v>
      </c>
      <c r="G1016" s="5">
        <v>4521718746289</v>
      </c>
      <c r="H1016" s="5"/>
      <c r="I1016" s="5"/>
      <c r="J1016" s="5">
        <v>1</v>
      </c>
      <c r="K1016" s="5">
        <v>1</v>
      </c>
      <c r="L1016" s="4">
        <v>400</v>
      </c>
      <c r="M1016" s="4">
        <v>360</v>
      </c>
      <c r="N1016" s="4">
        <v>223</v>
      </c>
      <c r="O1016" s="6">
        <f t="shared" si="152"/>
        <v>0.38055555555555554</v>
      </c>
      <c r="P1016" s="4" t="s">
        <v>2500</v>
      </c>
      <c r="Q1016" s="4"/>
      <c r="R1016" s="4"/>
      <c r="S1016" s="4"/>
      <c r="T1016" s="4"/>
      <c r="U1016" s="4"/>
      <c r="V1016" s="4"/>
      <c r="W1016" s="4"/>
      <c r="X1016" s="4"/>
      <c r="Y1016" s="4">
        <v>319</v>
      </c>
      <c r="Z1016" s="4">
        <f t="shared" si="153"/>
        <v>319</v>
      </c>
      <c r="AA1016" s="4">
        <v>223</v>
      </c>
      <c r="AB1016" s="4">
        <f t="shared" si="154"/>
        <v>223</v>
      </c>
      <c r="AC1016" s="4"/>
      <c r="AD1016" s="21">
        <f>ROUND(M1016*AR1016,0)</f>
        <v>360</v>
      </c>
      <c r="AE1016" s="6">
        <f>1-AB1016/AD1016</f>
        <v>0.38055555555555554</v>
      </c>
      <c r="AF1016" s="33">
        <v>0.25</v>
      </c>
      <c r="AG1016" s="4">
        <f t="shared" si="155"/>
        <v>400</v>
      </c>
      <c r="AH1016" s="33">
        <f t="shared" si="148"/>
        <v>400</v>
      </c>
      <c r="AI1016" s="6">
        <f>1-AB1016/AH1016</f>
        <v>0.4425</v>
      </c>
      <c r="AJ1016" s="7">
        <v>319</v>
      </c>
      <c r="AK1016" s="6">
        <f>1-AB1016/AJ1016</f>
        <v>0.30094043887147337</v>
      </c>
      <c r="AL1016" s="4">
        <f>AJ1016-AB1016</f>
        <v>96</v>
      </c>
      <c r="AM1016" s="28"/>
      <c r="AN1016" s="6"/>
      <c r="AO1016" s="6"/>
      <c r="AP1016" s="6">
        <f>Z1016/L1016</f>
        <v>0.79749999999999999</v>
      </c>
      <c r="AQ1016" s="6">
        <f>AJ1016/M1016</f>
        <v>0.88611111111111107</v>
      </c>
      <c r="AR1016" s="6">
        <f>AB1016/N1016</f>
        <v>1</v>
      </c>
      <c r="AS1016" s="4"/>
      <c r="AT1016" s="4"/>
      <c r="AU1016" s="4"/>
      <c r="AV1016" s="4"/>
      <c r="AW1016" s="4"/>
      <c r="AX1016" s="4"/>
      <c r="AY1016" s="4"/>
      <c r="AZ1016" s="4"/>
      <c r="BA1016" s="4"/>
      <c r="BB1016" s="4">
        <v>0</v>
      </c>
      <c r="BC1016" s="4" t="s">
        <v>4479</v>
      </c>
      <c r="BD1016" s="4">
        <v>1</v>
      </c>
      <c r="BE1016" s="4">
        <v>4</v>
      </c>
      <c r="BF1016" s="4" t="s">
        <v>3579</v>
      </c>
      <c r="BG1016" s="4">
        <v>1600</v>
      </c>
      <c r="BH1016" s="4">
        <v>1600</v>
      </c>
      <c r="BI1016" s="4">
        <f t="shared" si="156"/>
        <v>400</v>
      </c>
      <c r="BJ1016" s="19">
        <v>4</v>
      </c>
      <c r="BK1016" s="19">
        <v>8</v>
      </c>
      <c r="BL1016" s="16">
        <v>7</v>
      </c>
      <c r="BM1016" s="45" t="s">
        <v>3534</v>
      </c>
      <c r="BN1016" t="s">
        <v>3534</v>
      </c>
      <c r="BO1016" t="str">
        <f t="shared" si="149"/>
        <v>-</v>
      </c>
      <c r="BP1016" t="s">
        <v>3534</v>
      </c>
      <c r="BQ1016">
        <v>380</v>
      </c>
      <c r="BR1016">
        <f t="shared" si="150"/>
        <v>380</v>
      </c>
      <c r="BS1016" t="s">
        <v>3332</v>
      </c>
    </row>
    <row r="1017" spans="1:71" x14ac:dyDescent="0.4">
      <c r="A1017" s="3">
        <v>1014</v>
      </c>
      <c r="B1017" s="3">
        <v>1014</v>
      </c>
      <c r="C1017" s="4" t="s">
        <v>1076</v>
      </c>
      <c r="D1017" s="4" t="str">
        <f t="shared" si="151"/>
        <v>J844WK</v>
      </c>
      <c r="E1017" s="4" t="s">
        <v>1076</v>
      </c>
      <c r="F1017" s="4" t="s">
        <v>2294</v>
      </c>
      <c r="G1017" s="5">
        <v>4521718746425</v>
      </c>
      <c r="H1017" s="5"/>
      <c r="I1017" s="5"/>
      <c r="J1017" s="5">
        <v>1</v>
      </c>
      <c r="K1017" s="5">
        <v>1</v>
      </c>
      <c r="L1017" s="4">
        <v>400</v>
      </c>
      <c r="M1017" s="4">
        <v>400</v>
      </c>
      <c r="N1017" s="4">
        <v>280</v>
      </c>
      <c r="O1017" s="6">
        <f t="shared" si="152"/>
        <v>0.30000000000000004</v>
      </c>
      <c r="P1017" s="4" t="s">
        <v>2500</v>
      </c>
      <c r="Q1017" s="4"/>
      <c r="R1017" s="4"/>
      <c r="S1017" s="4"/>
      <c r="T1017" s="4"/>
      <c r="U1017" s="4"/>
      <c r="V1017" s="4"/>
      <c r="W1017" s="4"/>
      <c r="X1017" s="4"/>
      <c r="Y1017" s="4">
        <v>400</v>
      </c>
      <c r="Z1017" s="4">
        <f t="shared" si="153"/>
        <v>400</v>
      </c>
      <c r="AA1017" s="4">
        <v>280</v>
      </c>
      <c r="AB1017" s="4">
        <f t="shared" si="154"/>
        <v>280</v>
      </c>
      <c r="AC1017" s="4"/>
      <c r="AD1017" s="21">
        <f>ROUND(M1017*AR1017,0)</f>
        <v>400</v>
      </c>
      <c r="AE1017" s="6">
        <f>1-AB1017/AD1017</f>
        <v>0.30000000000000004</v>
      </c>
      <c r="AF1017" s="33">
        <v>0.5</v>
      </c>
      <c r="AG1017" s="4">
        <f t="shared" si="155"/>
        <v>400</v>
      </c>
      <c r="AH1017" s="33">
        <f t="shared" si="148"/>
        <v>400</v>
      </c>
      <c r="AI1017" s="6">
        <f>1-AB1017/AH1017</f>
        <v>0.30000000000000004</v>
      </c>
      <c r="AJ1017" s="7">
        <v>400</v>
      </c>
      <c r="AK1017" s="6">
        <f>1-AB1017/AJ1017</f>
        <v>0.30000000000000004</v>
      </c>
      <c r="AL1017" s="4">
        <f>AJ1017-AB1017</f>
        <v>120</v>
      </c>
      <c r="AM1017" s="28"/>
      <c r="AN1017" s="6"/>
      <c r="AO1017" s="6"/>
      <c r="AP1017" s="6">
        <f>Z1017/L1017</f>
        <v>1</v>
      </c>
      <c r="AQ1017" s="6">
        <f>AJ1017/M1017</f>
        <v>1</v>
      </c>
      <c r="AR1017" s="6">
        <f>AB1017/N1017</f>
        <v>1</v>
      </c>
      <c r="AS1017" s="4"/>
      <c r="AT1017" s="4"/>
      <c r="AU1017" s="4"/>
      <c r="AV1017" s="4"/>
      <c r="AW1017" s="4"/>
      <c r="AX1017" s="4"/>
      <c r="AY1017" s="4"/>
      <c r="AZ1017" s="4"/>
      <c r="BA1017" s="4"/>
      <c r="BB1017" s="4">
        <v>0</v>
      </c>
      <c r="BC1017" s="4" t="s">
        <v>4480</v>
      </c>
      <c r="BD1017" s="4">
        <v>1</v>
      </c>
      <c r="BE1017" s="4">
        <v>3</v>
      </c>
      <c r="BF1017" s="4" t="s">
        <v>3623</v>
      </c>
      <c r="BG1017" s="4">
        <v>1200</v>
      </c>
      <c r="BH1017" s="4">
        <v>1200</v>
      </c>
      <c r="BI1017" s="4">
        <f t="shared" si="156"/>
        <v>400</v>
      </c>
      <c r="BJ1017" s="19">
        <v>4</v>
      </c>
      <c r="BK1017" s="19">
        <v>8</v>
      </c>
      <c r="BL1017" s="16">
        <v>6</v>
      </c>
      <c r="BM1017" s="45" t="s">
        <v>3534</v>
      </c>
      <c r="BN1017" t="s">
        <v>3534</v>
      </c>
      <c r="BO1017" t="str">
        <f t="shared" si="149"/>
        <v>-</v>
      </c>
      <c r="BP1017" t="s">
        <v>3534</v>
      </c>
      <c r="BQ1017" t="s">
        <v>3534</v>
      </c>
      <c r="BR1017" t="str">
        <f t="shared" si="150"/>
        <v>-</v>
      </c>
      <c r="BS1017" t="s">
        <v>3333</v>
      </c>
    </row>
    <row r="1018" spans="1:71" x14ac:dyDescent="0.4">
      <c r="A1018" s="3">
        <v>1015</v>
      </c>
      <c r="B1018" s="3">
        <v>1015</v>
      </c>
      <c r="C1018" s="4" t="s">
        <v>1077</v>
      </c>
      <c r="D1018" s="4" t="str">
        <f t="shared" si="151"/>
        <v>J844LY</v>
      </c>
      <c r="E1018" s="4" t="s">
        <v>1077</v>
      </c>
      <c r="F1018" s="4" t="s">
        <v>2295</v>
      </c>
      <c r="G1018" s="5">
        <v>4521718778020</v>
      </c>
      <c r="H1018" s="5"/>
      <c r="I1018" s="5"/>
      <c r="J1018" s="5">
        <v>1</v>
      </c>
      <c r="K1018" s="5">
        <v>1</v>
      </c>
      <c r="L1018" s="4">
        <v>250</v>
      </c>
      <c r="M1018" s="4">
        <v>225</v>
      </c>
      <c r="N1018" s="4">
        <v>175</v>
      </c>
      <c r="O1018" s="6">
        <f t="shared" si="152"/>
        <v>0.22222222222222221</v>
      </c>
      <c r="P1018" s="4" t="s">
        <v>2500</v>
      </c>
      <c r="Q1018" s="4"/>
      <c r="R1018" s="4"/>
      <c r="S1018" s="4"/>
      <c r="T1018" s="4"/>
      <c r="U1018" s="4"/>
      <c r="V1018" s="4"/>
      <c r="W1018" s="4"/>
      <c r="X1018" s="4"/>
      <c r="Y1018" s="4">
        <v>250</v>
      </c>
      <c r="Z1018" s="4">
        <f t="shared" si="153"/>
        <v>250</v>
      </c>
      <c r="AA1018" s="4">
        <v>175</v>
      </c>
      <c r="AB1018" s="4">
        <f t="shared" si="154"/>
        <v>175</v>
      </c>
      <c r="AC1018" s="4"/>
      <c r="AD1018" s="21">
        <f>ROUND(M1018*AR1018,0)</f>
        <v>225</v>
      </c>
      <c r="AE1018" s="6">
        <f>1-AB1018/AD1018</f>
        <v>0.22222222222222221</v>
      </c>
      <c r="AF1018" s="33">
        <v>0</v>
      </c>
      <c r="AG1018" s="4">
        <f t="shared" si="155"/>
        <v>250</v>
      </c>
      <c r="AH1018" s="33">
        <f t="shared" si="148"/>
        <v>250</v>
      </c>
      <c r="AI1018" s="6">
        <f>1-AB1018/AH1018</f>
        <v>0.30000000000000004</v>
      </c>
      <c r="AJ1018" s="7">
        <v>250</v>
      </c>
      <c r="AK1018" s="6">
        <f>1-AB1018/AJ1018</f>
        <v>0.30000000000000004</v>
      </c>
      <c r="AL1018" s="4">
        <f>AJ1018-AB1018</f>
        <v>75</v>
      </c>
      <c r="AM1018" s="28"/>
      <c r="AN1018" s="6"/>
      <c r="AO1018" s="6"/>
      <c r="AP1018" s="6">
        <f>Z1018/L1018</f>
        <v>1</v>
      </c>
      <c r="AQ1018" s="6">
        <f>AJ1018/M1018</f>
        <v>1.1111111111111112</v>
      </c>
      <c r="AR1018" s="6">
        <f>AB1018/N1018</f>
        <v>1</v>
      </c>
      <c r="AS1018" s="4"/>
      <c r="AT1018" s="4"/>
      <c r="AU1018" s="4"/>
      <c r="AV1018" s="4"/>
      <c r="AW1018" s="4"/>
      <c r="AX1018" s="4"/>
      <c r="AY1018" s="4"/>
      <c r="AZ1018" s="4"/>
      <c r="BA1018" s="4"/>
      <c r="BB1018" s="4">
        <v>0</v>
      </c>
      <c r="BC1018" s="4" t="s">
        <v>4481</v>
      </c>
      <c r="BD1018" s="4">
        <v>1</v>
      </c>
      <c r="BE1018" s="4">
        <v>5</v>
      </c>
      <c r="BF1018" s="4" t="s">
        <v>3746</v>
      </c>
      <c r="BG1018" s="4">
        <v>1250</v>
      </c>
      <c r="BH1018" s="4">
        <v>1250</v>
      </c>
      <c r="BI1018" s="4">
        <f t="shared" si="156"/>
        <v>250</v>
      </c>
      <c r="BJ1018" s="19">
        <v>4</v>
      </c>
      <c r="BK1018" s="19">
        <v>8</v>
      </c>
      <c r="BL1018" s="16">
        <v>6</v>
      </c>
      <c r="BM1018" s="45" t="s">
        <v>3534</v>
      </c>
      <c r="BN1018" t="s">
        <v>3534</v>
      </c>
      <c r="BO1018" t="str">
        <f t="shared" si="149"/>
        <v>-</v>
      </c>
      <c r="BP1018" t="s">
        <v>3534</v>
      </c>
      <c r="BQ1018">
        <v>248</v>
      </c>
      <c r="BR1018">
        <f t="shared" si="150"/>
        <v>248</v>
      </c>
      <c r="BS1018" t="s">
        <v>3334</v>
      </c>
    </row>
    <row r="1019" spans="1:71" x14ac:dyDescent="0.4">
      <c r="A1019" s="3">
        <v>1016</v>
      </c>
      <c r="B1019" s="3">
        <v>1016</v>
      </c>
      <c r="C1019" s="4" t="s">
        <v>1078</v>
      </c>
      <c r="D1019" s="4" t="str">
        <f t="shared" si="151"/>
        <v>J845LY</v>
      </c>
      <c r="E1019" s="4" t="s">
        <v>1078</v>
      </c>
      <c r="F1019" s="4" t="s">
        <v>2296</v>
      </c>
      <c r="G1019" s="5">
        <v>4521718778037</v>
      </c>
      <c r="H1019" s="5"/>
      <c r="I1019" s="5"/>
      <c r="J1019" s="5">
        <v>1</v>
      </c>
      <c r="K1019" s="5">
        <v>1</v>
      </c>
      <c r="L1019" s="4">
        <v>250</v>
      </c>
      <c r="M1019" s="4">
        <v>225</v>
      </c>
      <c r="N1019" s="4">
        <v>175</v>
      </c>
      <c r="O1019" s="6">
        <f t="shared" si="152"/>
        <v>0.22222222222222221</v>
      </c>
      <c r="P1019" s="4" t="s">
        <v>2500</v>
      </c>
      <c r="Q1019" s="4"/>
      <c r="R1019" s="4"/>
      <c r="S1019" s="4"/>
      <c r="T1019" s="4"/>
      <c r="U1019" s="4"/>
      <c r="V1019" s="4"/>
      <c r="W1019" s="4"/>
      <c r="X1019" s="4"/>
      <c r="Y1019" s="4">
        <v>250</v>
      </c>
      <c r="Z1019" s="4">
        <f t="shared" si="153"/>
        <v>250</v>
      </c>
      <c r="AA1019" s="4">
        <v>175</v>
      </c>
      <c r="AB1019" s="4">
        <f t="shared" si="154"/>
        <v>175</v>
      </c>
      <c r="AC1019" s="4"/>
      <c r="AD1019" s="21">
        <f>ROUND(M1019*AR1019,0)</f>
        <v>225</v>
      </c>
      <c r="AE1019" s="6">
        <f>1-AB1019/AD1019</f>
        <v>0.22222222222222221</v>
      </c>
      <c r="AF1019" s="33">
        <v>0</v>
      </c>
      <c r="AG1019" s="4">
        <f t="shared" si="155"/>
        <v>250</v>
      </c>
      <c r="AH1019" s="33">
        <f t="shared" si="148"/>
        <v>250</v>
      </c>
      <c r="AI1019" s="6">
        <f>1-AB1019/AH1019</f>
        <v>0.30000000000000004</v>
      </c>
      <c r="AJ1019" s="7">
        <v>250</v>
      </c>
      <c r="AK1019" s="6">
        <f>1-AB1019/AJ1019</f>
        <v>0.30000000000000004</v>
      </c>
      <c r="AL1019" s="4">
        <f>AJ1019-AB1019</f>
        <v>75</v>
      </c>
      <c r="AM1019" s="28"/>
      <c r="AN1019" s="6"/>
      <c r="AO1019" s="6"/>
      <c r="AP1019" s="6">
        <f>Z1019/L1019</f>
        <v>1</v>
      </c>
      <c r="AQ1019" s="6">
        <f>AJ1019/M1019</f>
        <v>1.1111111111111112</v>
      </c>
      <c r="AR1019" s="6">
        <f>AB1019/N1019</f>
        <v>1</v>
      </c>
      <c r="AS1019" s="4"/>
      <c r="AT1019" s="4"/>
      <c r="AU1019" s="4"/>
      <c r="AV1019" s="4"/>
      <c r="AW1019" s="4"/>
      <c r="AX1019" s="4"/>
      <c r="AY1019" s="4"/>
      <c r="AZ1019" s="4"/>
      <c r="BA1019" s="4"/>
      <c r="BB1019" s="4">
        <v>0</v>
      </c>
      <c r="BC1019" s="4" t="s">
        <v>4482</v>
      </c>
      <c r="BD1019" s="4">
        <v>1</v>
      </c>
      <c r="BE1019" s="4">
        <v>5</v>
      </c>
      <c r="BF1019" s="4" t="s">
        <v>3746</v>
      </c>
      <c r="BG1019" s="4">
        <v>1250</v>
      </c>
      <c r="BH1019" s="4">
        <v>1250</v>
      </c>
      <c r="BI1019" s="4">
        <f t="shared" si="156"/>
        <v>250</v>
      </c>
      <c r="BJ1019" s="19">
        <v>4</v>
      </c>
      <c r="BK1019" s="19">
        <v>8</v>
      </c>
      <c r="BL1019" s="16">
        <v>6</v>
      </c>
      <c r="BM1019" s="45" t="s">
        <v>3534</v>
      </c>
      <c r="BN1019" t="s">
        <v>3534</v>
      </c>
      <c r="BO1019" t="str">
        <f t="shared" si="149"/>
        <v>-</v>
      </c>
      <c r="BP1019" t="s">
        <v>3534</v>
      </c>
      <c r="BQ1019">
        <v>248</v>
      </c>
      <c r="BR1019">
        <f t="shared" si="150"/>
        <v>248</v>
      </c>
      <c r="BS1019" t="s">
        <v>3335</v>
      </c>
    </row>
    <row r="1020" spans="1:71" x14ac:dyDescent="0.4">
      <c r="A1020" s="3">
        <v>1017</v>
      </c>
      <c r="B1020" s="3">
        <v>1017</v>
      </c>
      <c r="C1020" s="4" t="s">
        <v>1079</v>
      </c>
      <c r="D1020" s="4" t="str">
        <f t="shared" si="151"/>
        <v>J845WK</v>
      </c>
      <c r="E1020" s="4" t="s">
        <v>1079</v>
      </c>
      <c r="F1020" s="4" t="s">
        <v>2297</v>
      </c>
      <c r="G1020" s="5">
        <v>4521718746432</v>
      </c>
      <c r="H1020" s="5"/>
      <c r="I1020" s="5"/>
      <c r="J1020" s="5">
        <v>1</v>
      </c>
      <c r="K1020" s="5">
        <v>1</v>
      </c>
      <c r="L1020" s="4">
        <v>400</v>
      </c>
      <c r="M1020" s="4">
        <v>400</v>
      </c>
      <c r="N1020" s="4">
        <v>280</v>
      </c>
      <c r="O1020" s="6">
        <f t="shared" si="152"/>
        <v>0.30000000000000004</v>
      </c>
      <c r="P1020" s="4" t="s">
        <v>2500</v>
      </c>
      <c r="Q1020" s="4"/>
      <c r="R1020" s="4"/>
      <c r="S1020" s="4"/>
      <c r="T1020" s="4"/>
      <c r="U1020" s="4"/>
      <c r="V1020" s="4"/>
      <c r="W1020" s="4"/>
      <c r="X1020" s="4"/>
      <c r="Y1020" s="4">
        <v>400</v>
      </c>
      <c r="Z1020" s="4">
        <f t="shared" si="153"/>
        <v>400</v>
      </c>
      <c r="AA1020" s="4">
        <v>280</v>
      </c>
      <c r="AB1020" s="4">
        <f t="shared" si="154"/>
        <v>280</v>
      </c>
      <c r="AC1020" s="4"/>
      <c r="AD1020" s="21">
        <f>ROUND(M1020*AR1020,0)</f>
        <v>400</v>
      </c>
      <c r="AE1020" s="6">
        <f>1-AB1020/AD1020</f>
        <v>0.30000000000000004</v>
      </c>
      <c r="AF1020" s="33">
        <v>0</v>
      </c>
      <c r="AG1020" s="4">
        <f t="shared" si="155"/>
        <v>400</v>
      </c>
      <c r="AH1020" s="33">
        <f t="shared" si="148"/>
        <v>400</v>
      </c>
      <c r="AI1020" s="6">
        <f>1-AB1020/AH1020</f>
        <v>0.30000000000000004</v>
      </c>
      <c r="AJ1020" s="7">
        <v>400</v>
      </c>
      <c r="AK1020" s="6">
        <f>1-AB1020/AJ1020</f>
        <v>0.30000000000000004</v>
      </c>
      <c r="AL1020" s="4">
        <f>AJ1020-AB1020</f>
        <v>120</v>
      </c>
      <c r="AM1020" s="28"/>
      <c r="AN1020" s="6"/>
      <c r="AO1020" s="6"/>
      <c r="AP1020" s="6">
        <f>Z1020/L1020</f>
        <v>1</v>
      </c>
      <c r="AQ1020" s="6">
        <f>AJ1020/M1020</f>
        <v>1</v>
      </c>
      <c r="AR1020" s="6">
        <f>AB1020/N1020</f>
        <v>1</v>
      </c>
      <c r="AS1020" s="4"/>
      <c r="AT1020" s="4"/>
      <c r="AU1020" s="4"/>
      <c r="AV1020" s="4"/>
      <c r="AW1020" s="4"/>
      <c r="AX1020" s="4"/>
      <c r="AY1020" s="4"/>
      <c r="AZ1020" s="4"/>
      <c r="BA1020" s="4"/>
      <c r="BB1020" s="4">
        <v>0</v>
      </c>
      <c r="BC1020" s="4" t="s">
        <v>4483</v>
      </c>
      <c r="BD1020" s="4">
        <v>1</v>
      </c>
      <c r="BE1020" s="4">
        <v>3</v>
      </c>
      <c r="BF1020" s="4" t="s">
        <v>3623</v>
      </c>
      <c r="BG1020" s="4">
        <v>1200</v>
      </c>
      <c r="BH1020" s="4">
        <v>1200</v>
      </c>
      <c r="BI1020" s="4">
        <f t="shared" si="156"/>
        <v>400</v>
      </c>
      <c r="BJ1020" s="19">
        <v>4</v>
      </c>
      <c r="BK1020" s="19">
        <v>8</v>
      </c>
      <c r="BL1020" s="16">
        <v>6</v>
      </c>
      <c r="BM1020" s="45" t="s">
        <v>3534</v>
      </c>
      <c r="BN1020" t="s">
        <v>3534</v>
      </c>
      <c r="BO1020" t="str">
        <f t="shared" si="149"/>
        <v>-</v>
      </c>
      <c r="BP1020" t="s">
        <v>3534</v>
      </c>
      <c r="BQ1020" t="s">
        <v>3534</v>
      </c>
      <c r="BR1020" t="str">
        <f t="shared" si="150"/>
        <v>-</v>
      </c>
      <c r="BS1020" t="s">
        <v>3336</v>
      </c>
    </row>
    <row r="1021" spans="1:71" x14ac:dyDescent="0.4">
      <c r="A1021" s="3">
        <v>1018</v>
      </c>
      <c r="B1021" s="3">
        <v>1018</v>
      </c>
      <c r="C1021" s="4" t="s">
        <v>1080</v>
      </c>
      <c r="D1021" s="4" t="str">
        <f t="shared" si="151"/>
        <v>J847LY</v>
      </c>
      <c r="E1021" s="4" t="s">
        <v>1080</v>
      </c>
      <c r="F1021" s="4" t="s">
        <v>2298</v>
      </c>
      <c r="G1021" s="5">
        <v>4521718778051</v>
      </c>
      <c r="H1021" s="5"/>
      <c r="I1021" s="5"/>
      <c r="J1021" s="5">
        <v>1</v>
      </c>
      <c r="K1021" s="5">
        <v>1</v>
      </c>
      <c r="L1021" s="4">
        <v>250</v>
      </c>
      <c r="M1021" s="4">
        <v>225</v>
      </c>
      <c r="N1021" s="4">
        <v>175</v>
      </c>
      <c r="O1021" s="6">
        <f t="shared" si="152"/>
        <v>0.22222222222222221</v>
      </c>
      <c r="P1021" s="4" t="s">
        <v>2500</v>
      </c>
      <c r="Q1021" s="4"/>
      <c r="R1021" s="4"/>
      <c r="S1021" s="4"/>
      <c r="T1021" s="4"/>
      <c r="U1021" s="4"/>
      <c r="V1021" s="4"/>
      <c r="W1021" s="4"/>
      <c r="X1021" s="4"/>
      <c r="Y1021" s="4">
        <v>250</v>
      </c>
      <c r="Z1021" s="4">
        <f t="shared" si="153"/>
        <v>250</v>
      </c>
      <c r="AA1021" s="4">
        <v>175</v>
      </c>
      <c r="AB1021" s="4">
        <f t="shared" si="154"/>
        <v>175</v>
      </c>
      <c r="AC1021" s="4"/>
      <c r="AD1021" s="21">
        <f>ROUND(M1021*AR1021,0)</f>
        <v>225</v>
      </c>
      <c r="AE1021" s="6">
        <f>1-AB1021/AD1021</f>
        <v>0.22222222222222221</v>
      </c>
      <c r="AF1021" s="33">
        <v>0</v>
      </c>
      <c r="AG1021" s="4">
        <f t="shared" si="155"/>
        <v>250</v>
      </c>
      <c r="AH1021" s="33">
        <f t="shared" si="148"/>
        <v>250</v>
      </c>
      <c r="AI1021" s="6">
        <f>1-AB1021/AH1021</f>
        <v>0.30000000000000004</v>
      </c>
      <c r="AJ1021" s="7">
        <v>250</v>
      </c>
      <c r="AK1021" s="6">
        <f>1-AB1021/AJ1021</f>
        <v>0.30000000000000004</v>
      </c>
      <c r="AL1021" s="4">
        <f>AJ1021-AB1021</f>
        <v>75</v>
      </c>
      <c r="AM1021" s="28"/>
      <c r="AN1021" s="6"/>
      <c r="AO1021" s="6"/>
      <c r="AP1021" s="6">
        <f>Z1021/L1021</f>
        <v>1</v>
      </c>
      <c r="AQ1021" s="6">
        <f>AJ1021/M1021</f>
        <v>1.1111111111111112</v>
      </c>
      <c r="AR1021" s="6">
        <f>AB1021/N1021</f>
        <v>1</v>
      </c>
      <c r="AS1021" s="4"/>
      <c r="AT1021" s="4"/>
      <c r="AU1021" s="4"/>
      <c r="AV1021" s="4"/>
      <c r="AW1021" s="4"/>
      <c r="AX1021" s="4"/>
      <c r="AY1021" s="4"/>
      <c r="AZ1021" s="4"/>
      <c r="BA1021" s="4"/>
      <c r="BB1021" s="4">
        <v>0</v>
      </c>
      <c r="BC1021" s="4" t="s">
        <v>4484</v>
      </c>
      <c r="BD1021" s="4">
        <v>1</v>
      </c>
      <c r="BE1021" s="4">
        <v>5</v>
      </c>
      <c r="BF1021" s="4" t="s">
        <v>3746</v>
      </c>
      <c r="BG1021" s="4">
        <v>1250</v>
      </c>
      <c r="BH1021" s="4">
        <v>1250</v>
      </c>
      <c r="BI1021" s="4">
        <f t="shared" si="156"/>
        <v>250</v>
      </c>
      <c r="BJ1021" s="19">
        <v>4</v>
      </c>
      <c r="BK1021" s="19">
        <v>8</v>
      </c>
      <c r="BL1021" s="16">
        <v>6</v>
      </c>
      <c r="BM1021" s="45" t="s">
        <v>3534</v>
      </c>
      <c r="BN1021" t="s">
        <v>3534</v>
      </c>
      <c r="BO1021" t="str">
        <f t="shared" si="149"/>
        <v>-</v>
      </c>
      <c r="BP1021" t="s">
        <v>3534</v>
      </c>
      <c r="BQ1021">
        <v>248</v>
      </c>
      <c r="BR1021">
        <f t="shared" si="150"/>
        <v>248</v>
      </c>
      <c r="BS1021" t="s">
        <v>3337</v>
      </c>
    </row>
    <row r="1022" spans="1:71" x14ac:dyDescent="0.4">
      <c r="A1022" s="3">
        <v>1019</v>
      </c>
      <c r="B1022" s="3">
        <v>1019</v>
      </c>
      <c r="C1022" s="4" t="s">
        <v>1081</v>
      </c>
      <c r="D1022" s="4" t="str">
        <f t="shared" si="151"/>
        <v>J846LY</v>
      </c>
      <c r="E1022" s="4" t="s">
        <v>1081</v>
      </c>
      <c r="F1022" s="4" t="s">
        <v>2299</v>
      </c>
      <c r="G1022" s="5">
        <v>4521718778044</v>
      </c>
      <c r="H1022" s="5"/>
      <c r="I1022" s="5"/>
      <c r="J1022" s="5">
        <v>1</v>
      </c>
      <c r="K1022" s="5">
        <v>1</v>
      </c>
      <c r="L1022" s="4">
        <v>250</v>
      </c>
      <c r="M1022" s="4">
        <v>225</v>
      </c>
      <c r="N1022" s="4">
        <v>175</v>
      </c>
      <c r="O1022" s="6">
        <f t="shared" si="152"/>
        <v>0.22222222222222221</v>
      </c>
      <c r="P1022" s="4" t="s">
        <v>2500</v>
      </c>
      <c r="Q1022" s="4"/>
      <c r="R1022" s="4"/>
      <c r="S1022" s="4"/>
      <c r="T1022" s="4"/>
      <c r="U1022" s="4"/>
      <c r="V1022" s="4"/>
      <c r="W1022" s="4"/>
      <c r="X1022" s="4"/>
      <c r="Y1022" s="4">
        <v>250</v>
      </c>
      <c r="Z1022" s="4">
        <f t="shared" si="153"/>
        <v>250</v>
      </c>
      <c r="AA1022" s="4">
        <v>175</v>
      </c>
      <c r="AB1022" s="4">
        <f t="shared" si="154"/>
        <v>175</v>
      </c>
      <c r="AC1022" s="4"/>
      <c r="AD1022" s="21">
        <f>ROUND(M1022*AR1022,0)</f>
        <v>225</v>
      </c>
      <c r="AE1022" s="6">
        <f>1-AB1022/AD1022</f>
        <v>0.22222222222222221</v>
      </c>
      <c r="AF1022" s="33">
        <v>0</v>
      </c>
      <c r="AG1022" s="4">
        <f t="shared" si="155"/>
        <v>250</v>
      </c>
      <c r="AH1022" s="33">
        <f t="shared" si="148"/>
        <v>250</v>
      </c>
      <c r="AI1022" s="6">
        <f>1-AB1022/AH1022</f>
        <v>0.30000000000000004</v>
      </c>
      <c r="AJ1022" s="7">
        <v>250</v>
      </c>
      <c r="AK1022" s="6">
        <f>1-AB1022/AJ1022</f>
        <v>0.30000000000000004</v>
      </c>
      <c r="AL1022" s="4">
        <f>AJ1022-AB1022</f>
        <v>75</v>
      </c>
      <c r="AM1022" s="28"/>
      <c r="AN1022" s="6"/>
      <c r="AO1022" s="6"/>
      <c r="AP1022" s="6">
        <f>Z1022/L1022</f>
        <v>1</v>
      </c>
      <c r="AQ1022" s="6">
        <f>AJ1022/M1022</f>
        <v>1.1111111111111112</v>
      </c>
      <c r="AR1022" s="6">
        <f>AB1022/N1022</f>
        <v>1</v>
      </c>
      <c r="AS1022" s="4"/>
      <c r="AT1022" s="4"/>
      <c r="AU1022" s="4"/>
      <c r="AV1022" s="4"/>
      <c r="AW1022" s="4"/>
      <c r="AX1022" s="4"/>
      <c r="AY1022" s="4"/>
      <c r="AZ1022" s="4"/>
      <c r="BA1022" s="4"/>
      <c r="BB1022" s="4">
        <v>0</v>
      </c>
      <c r="BC1022" s="4" t="s">
        <v>4485</v>
      </c>
      <c r="BD1022" s="4">
        <v>1</v>
      </c>
      <c r="BE1022" s="4">
        <v>5</v>
      </c>
      <c r="BF1022" s="4" t="s">
        <v>3746</v>
      </c>
      <c r="BG1022" s="4">
        <v>1250</v>
      </c>
      <c r="BH1022" s="4">
        <v>1250</v>
      </c>
      <c r="BI1022" s="4">
        <f t="shared" si="156"/>
        <v>250</v>
      </c>
      <c r="BJ1022" s="19">
        <v>4</v>
      </c>
      <c r="BK1022" s="19">
        <v>8</v>
      </c>
      <c r="BL1022" s="16">
        <v>6</v>
      </c>
      <c r="BM1022" s="45" t="s">
        <v>3534</v>
      </c>
      <c r="BN1022" t="s">
        <v>3534</v>
      </c>
      <c r="BO1022" t="str">
        <f t="shared" si="149"/>
        <v>-</v>
      </c>
      <c r="BP1022" t="s">
        <v>3534</v>
      </c>
      <c r="BQ1022">
        <v>248</v>
      </c>
      <c r="BR1022">
        <f t="shared" si="150"/>
        <v>248</v>
      </c>
      <c r="BS1022" t="s">
        <v>3338</v>
      </c>
    </row>
    <row r="1023" spans="1:71" x14ac:dyDescent="0.4">
      <c r="A1023" s="3">
        <v>1020</v>
      </c>
      <c r="B1023" s="3">
        <v>1020</v>
      </c>
      <c r="C1023" s="4" t="s">
        <v>1082</v>
      </c>
      <c r="D1023" s="4" t="str">
        <f t="shared" si="151"/>
        <v>J846WK</v>
      </c>
      <c r="E1023" s="4" t="s">
        <v>1082</v>
      </c>
      <c r="F1023" s="4" t="s">
        <v>2300</v>
      </c>
      <c r="G1023" s="5">
        <v>4521718746449</v>
      </c>
      <c r="H1023" s="5"/>
      <c r="I1023" s="5"/>
      <c r="J1023" s="5">
        <v>1</v>
      </c>
      <c r="K1023" s="5">
        <v>1</v>
      </c>
      <c r="L1023" s="4">
        <v>400</v>
      </c>
      <c r="M1023" s="4">
        <v>400</v>
      </c>
      <c r="N1023" s="4">
        <v>280</v>
      </c>
      <c r="O1023" s="6">
        <f t="shared" si="152"/>
        <v>0.30000000000000004</v>
      </c>
      <c r="P1023" s="4" t="s">
        <v>2500</v>
      </c>
      <c r="Q1023" s="4"/>
      <c r="R1023" s="4"/>
      <c r="S1023" s="4"/>
      <c r="T1023" s="4"/>
      <c r="U1023" s="4"/>
      <c r="V1023" s="4"/>
      <c r="W1023" s="4"/>
      <c r="X1023" s="4"/>
      <c r="Y1023" s="4">
        <v>400</v>
      </c>
      <c r="Z1023" s="4">
        <f t="shared" si="153"/>
        <v>400</v>
      </c>
      <c r="AA1023" s="4">
        <v>280</v>
      </c>
      <c r="AB1023" s="4">
        <f t="shared" si="154"/>
        <v>280</v>
      </c>
      <c r="AC1023" s="4"/>
      <c r="AD1023" s="21">
        <f>ROUND(M1023*AR1023,0)</f>
        <v>400</v>
      </c>
      <c r="AE1023" s="6">
        <f>1-AB1023/AD1023</f>
        <v>0.30000000000000004</v>
      </c>
      <c r="AF1023" s="33">
        <v>0</v>
      </c>
      <c r="AG1023" s="4">
        <f t="shared" si="155"/>
        <v>400</v>
      </c>
      <c r="AH1023" s="33">
        <f t="shared" si="148"/>
        <v>400</v>
      </c>
      <c r="AI1023" s="6">
        <f>1-AB1023/AH1023</f>
        <v>0.30000000000000004</v>
      </c>
      <c r="AJ1023" s="7">
        <v>400</v>
      </c>
      <c r="AK1023" s="6">
        <f>1-AB1023/AJ1023</f>
        <v>0.30000000000000004</v>
      </c>
      <c r="AL1023" s="4">
        <f>AJ1023-AB1023</f>
        <v>120</v>
      </c>
      <c r="AM1023" s="28"/>
      <c r="AN1023" s="6"/>
      <c r="AO1023" s="6"/>
      <c r="AP1023" s="6">
        <f>Z1023/L1023</f>
        <v>1</v>
      </c>
      <c r="AQ1023" s="6">
        <f>AJ1023/M1023</f>
        <v>1</v>
      </c>
      <c r="AR1023" s="6">
        <f>AB1023/N1023</f>
        <v>1</v>
      </c>
      <c r="AS1023" s="4"/>
      <c r="AT1023" s="4"/>
      <c r="AU1023" s="4"/>
      <c r="AV1023" s="4"/>
      <c r="AW1023" s="4"/>
      <c r="AX1023" s="4"/>
      <c r="AY1023" s="4"/>
      <c r="AZ1023" s="4"/>
      <c r="BA1023" s="4"/>
      <c r="BB1023" s="4">
        <v>0</v>
      </c>
      <c r="BC1023" s="4" t="s">
        <v>4486</v>
      </c>
      <c r="BD1023" s="4">
        <v>1</v>
      </c>
      <c r="BE1023" s="4">
        <v>3</v>
      </c>
      <c r="BF1023" s="4" t="s">
        <v>3623</v>
      </c>
      <c r="BG1023" s="4">
        <v>1200</v>
      </c>
      <c r="BH1023" s="4">
        <v>1200</v>
      </c>
      <c r="BI1023" s="4">
        <f t="shared" si="156"/>
        <v>400</v>
      </c>
      <c r="BJ1023" s="19">
        <v>4</v>
      </c>
      <c r="BK1023" s="19">
        <v>8</v>
      </c>
      <c r="BL1023" s="16">
        <v>6</v>
      </c>
      <c r="BM1023" s="45" t="s">
        <v>3534</v>
      </c>
      <c r="BN1023" t="s">
        <v>3534</v>
      </c>
      <c r="BO1023" t="str">
        <f t="shared" si="149"/>
        <v>-</v>
      </c>
      <c r="BP1023" t="s">
        <v>3534</v>
      </c>
      <c r="BQ1023" t="s">
        <v>3534</v>
      </c>
      <c r="BR1023" t="str">
        <f t="shared" si="150"/>
        <v>-</v>
      </c>
      <c r="BS1023" t="s">
        <v>3339</v>
      </c>
    </row>
    <row r="1024" spans="1:71" x14ac:dyDescent="0.4">
      <c r="A1024" s="3">
        <v>1021</v>
      </c>
      <c r="B1024" s="3">
        <v>1021</v>
      </c>
      <c r="C1024" s="4" t="s">
        <v>1083</v>
      </c>
      <c r="D1024" s="4" t="str">
        <f t="shared" si="151"/>
        <v>J848LY</v>
      </c>
      <c r="E1024" s="4" t="s">
        <v>1083</v>
      </c>
      <c r="F1024" s="4" t="s">
        <v>2301</v>
      </c>
      <c r="G1024" s="5">
        <v>4521718778068</v>
      </c>
      <c r="H1024" s="5"/>
      <c r="I1024" s="5"/>
      <c r="J1024" s="5">
        <v>1</v>
      </c>
      <c r="K1024" s="5">
        <v>1</v>
      </c>
      <c r="L1024" s="4">
        <v>250</v>
      </c>
      <c r="M1024" s="4">
        <v>225</v>
      </c>
      <c r="N1024" s="4">
        <v>175</v>
      </c>
      <c r="O1024" s="6">
        <f t="shared" si="152"/>
        <v>0.22222222222222221</v>
      </c>
      <c r="P1024" s="4" t="s">
        <v>2500</v>
      </c>
      <c r="Q1024" s="4"/>
      <c r="R1024" s="4"/>
      <c r="S1024" s="4"/>
      <c r="T1024" s="4"/>
      <c r="U1024" s="4"/>
      <c r="V1024" s="4"/>
      <c r="W1024" s="4"/>
      <c r="X1024" s="4"/>
      <c r="Y1024" s="4">
        <v>250</v>
      </c>
      <c r="Z1024" s="4">
        <f t="shared" si="153"/>
        <v>250</v>
      </c>
      <c r="AA1024" s="4">
        <v>175</v>
      </c>
      <c r="AB1024" s="4">
        <f t="shared" si="154"/>
        <v>175</v>
      </c>
      <c r="AC1024" s="4"/>
      <c r="AD1024" s="21">
        <f>ROUND(M1024*AR1024,0)</f>
        <v>225</v>
      </c>
      <c r="AE1024" s="6">
        <f>1-AB1024/AD1024</f>
        <v>0.22222222222222221</v>
      </c>
      <c r="AF1024" s="33">
        <v>0</v>
      </c>
      <c r="AG1024" s="4">
        <f t="shared" si="155"/>
        <v>250</v>
      </c>
      <c r="AH1024" s="33">
        <f t="shared" si="148"/>
        <v>250</v>
      </c>
      <c r="AI1024" s="6">
        <f>1-AB1024/AH1024</f>
        <v>0.30000000000000004</v>
      </c>
      <c r="AJ1024" s="7">
        <v>250</v>
      </c>
      <c r="AK1024" s="6">
        <f>1-AB1024/AJ1024</f>
        <v>0.30000000000000004</v>
      </c>
      <c r="AL1024" s="4">
        <f>AJ1024-AB1024</f>
        <v>75</v>
      </c>
      <c r="AM1024" s="28"/>
      <c r="AN1024" s="6"/>
      <c r="AO1024" s="6"/>
      <c r="AP1024" s="6">
        <f>Z1024/L1024</f>
        <v>1</v>
      </c>
      <c r="AQ1024" s="6">
        <f>AJ1024/M1024</f>
        <v>1.1111111111111112</v>
      </c>
      <c r="AR1024" s="6">
        <f>AB1024/N1024</f>
        <v>1</v>
      </c>
      <c r="AS1024" s="4"/>
      <c r="AT1024" s="4"/>
      <c r="AU1024" s="4"/>
      <c r="AV1024" s="4"/>
      <c r="AW1024" s="4"/>
      <c r="AX1024" s="4"/>
      <c r="AY1024" s="4"/>
      <c r="AZ1024" s="4"/>
      <c r="BA1024" s="4"/>
      <c r="BB1024" s="4">
        <v>0</v>
      </c>
      <c r="BC1024" s="4" t="s">
        <v>4487</v>
      </c>
      <c r="BD1024" s="4">
        <v>1</v>
      </c>
      <c r="BE1024" s="4">
        <v>5</v>
      </c>
      <c r="BF1024" s="4" t="s">
        <v>3746</v>
      </c>
      <c r="BG1024" s="4">
        <v>1250</v>
      </c>
      <c r="BH1024" s="4">
        <v>1250</v>
      </c>
      <c r="BI1024" s="4">
        <f t="shared" si="156"/>
        <v>250</v>
      </c>
      <c r="BJ1024" s="19">
        <v>4</v>
      </c>
      <c r="BK1024" s="19">
        <v>8</v>
      </c>
      <c r="BL1024" s="16">
        <v>6</v>
      </c>
      <c r="BM1024" s="45" t="s">
        <v>3534</v>
      </c>
      <c r="BN1024" t="s">
        <v>3534</v>
      </c>
      <c r="BO1024" t="str">
        <f t="shared" si="149"/>
        <v>-</v>
      </c>
      <c r="BP1024" t="s">
        <v>3534</v>
      </c>
      <c r="BQ1024">
        <v>248</v>
      </c>
      <c r="BR1024">
        <f t="shared" si="150"/>
        <v>248</v>
      </c>
      <c r="BS1024" t="s">
        <v>3340</v>
      </c>
    </row>
    <row r="1025" spans="1:71" x14ac:dyDescent="0.4">
      <c r="A1025" s="3">
        <v>1022</v>
      </c>
      <c r="B1025" s="3">
        <v>1022</v>
      </c>
      <c r="C1025" s="4" t="s">
        <v>1084</v>
      </c>
      <c r="D1025" s="4" t="str">
        <f t="shared" si="151"/>
        <v>J848WK</v>
      </c>
      <c r="E1025" s="4" t="s">
        <v>1084</v>
      </c>
      <c r="F1025" s="4" t="s">
        <v>2302</v>
      </c>
      <c r="G1025" s="5">
        <v>4521718746500</v>
      </c>
      <c r="H1025" s="5"/>
      <c r="I1025" s="5"/>
      <c r="J1025" s="5">
        <v>1</v>
      </c>
      <c r="K1025" s="5">
        <v>1</v>
      </c>
      <c r="L1025" s="4">
        <v>400</v>
      </c>
      <c r="M1025" s="4">
        <v>400</v>
      </c>
      <c r="N1025" s="4">
        <v>280</v>
      </c>
      <c r="O1025" s="6">
        <f t="shared" si="152"/>
        <v>0.30000000000000004</v>
      </c>
      <c r="P1025" s="4" t="s">
        <v>2500</v>
      </c>
      <c r="Q1025" s="4"/>
      <c r="R1025" s="4"/>
      <c r="S1025" s="4"/>
      <c r="T1025" s="4"/>
      <c r="U1025" s="4"/>
      <c r="V1025" s="4"/>
      <c r="W1025" s="4"/>
      <c r="X1025" s="4"/>
      <c r="Y1025" s="4">
        <v>400</v>
      </c>
      <c r="Z1025" s="4">
        <f t="shared" si="153"/>
        <v>400</v>
      </c>
      <c r="AA1025" s="4">
        <v>280</v>
      </c>
      <c r="AB1025" s="4">
        <f t="shared" si="154"/>
        <v>280</v>
      </c>
      <c r="AC1025" s="4"/>
      <c r="AD1025" s="21">
        <f>ROUND(M1025*AR1025,0)</f>
        <v>400</v>
      </c>
      <c r="AE1025" s="6">
        <f>1-AB1025/AD1025</f>
        <v>0.30000000000000004</v>
      </c>
      <c r="AF1025" s="33">
        <v>0</v>
      </c>
      <c r="AG1025" s="4">
        <f t="shared" si="155"/>
        <v>400</v>
      </c>
      <c r="AH1025" s="33">
        <f t="shared" si="148"/>
        <v>400</v>
      </c>
      <c r="AI1025" s="6">
        <f>1-AB1025/AH1025</f>
        <v>0.30000000000000004</v>
      </c>
      <c r="AJ1025" s="7">
        <v>400</v>
      </c>
      <c r="AK1025" s="6">
        <f>1-AB1025/AJ1025</f>
        <v>0.30000000000000004</v>
      </c>
      <c r="AL1025" s="4">
        <f>AJ1025-AB1025</f>
        <v>120</v>
      </c>
      <c r="AM1025" s="28"/>
      <c r="AN1025" s="6"/>
      <c r="AO1025" s="6"/>
      <c r="AP1025" s="6">
        <f>Z1025/L1025</f>
        <v>1</v>
      </c>
      <c r="AQ1025" s="6">
        <f>AJ1025/M1025</f>
        <v>1</v>
      </c>
      <c r="AR1025" s="6">
        <f>AB1025/N1025</f>
        <v>1</v>
      </c>
      <c r="AS1025" s="4"/>
      <c r="AT1025" s="4"/>
      <c r="AU1025" s="4"/>
      <c r="AV1025" s="4"/>
      <c r="AW1025" s="4"/>
      <c r="AX1025" s="4"/>
      <c r="AY1025" s="4"/>
      <c r="AZ1025" s="4"/>
      <c r="BA1025" s="4"/>
      <c r="BB1025" s="4">
        <v>0</v>
      </c>
      <c r="BC1025" s="4" t="s">
        <v>4488</v>
      </c>
      <c r="BD1025" s="4">
        <v>1</v>
      </c>
      <c r="BE1025" s="4">
        <v>3</v>
      </c>
      <c r="BF1025" s="4" t="s">
        <v>3623</v>
      </c>
      <c r="BG1025" s="4">
        <v>1200</v>
      </c>
      <c r="BH1025" s="4">
        <v>1200</v>
      </c>
      <c r="BI1025" s="4">
        <f t="shared" si="156"/>
        <v>400</v>
      </c>
      <c r="BJ1025" s="19">
        <v>4</v>
      </c>
      <c r="BK1025" s="19">
        <v>8</v>
      </c>
      <c r="BL1025" s="16">
        <v>6</v>
      </c>
      <c r="BM1025" s="45" t="s">
        <v>3534</v>
      </c>
      <c r="BN1025" t="s">
        <v>3534</v>
      </c>
      <c r="BO1025" t="str">
        <f t="shared" si="149"/>
        <v>-</v>
      </c>
      <c r="BP1025" t="s">
        <v>3534</v>
      </c>
      <c r="BQ1025" t="s">
        <v>3534</v>
      </c>
      <c r="BR1025" t="str">
        <f t="shared" si="150"/>
        <v>-</v>
      </c>
      <c r="BS1025" t="s">
        <v>3341</v>
      </c>
    </row>
    <row r="1026" spans="1:71" x14ac:dyDescent="0.4">
      <c r="A1026" s="3">
        <v>1023</v>
      </c>
      <c r="B1026" s="3">
        <v>1023</v>
      </c>
      <c r="C1026" s="4" t="s">
        <v>1085</v>
      </c>
      <c r="D1026" s="4" t="str">
        <f t="shared" si="151"/>
        <v>J847WK</v>
      </c>
      <c r="E1026" s="4" t="s">
        <v>1085</v>
      </c>
      <c r="F1026" s="4" t="s">
        <v>2303</v>
      </c>
      <c r="G1026" s="5">
        <v>4521718746456</v>
      </c>
      <c r="H1026" s="5"/>
      <c r="I1026" s="5"/>
      <c r="J1026" s="5">
        <v>1</v>
      </c>
      <c r="K1026" s="5">
        <v>1</v>
      </c>
      <c r="L1026" s="4">
        <v>400</v>
      </c>
      <c r="M1026" s="4">
        <v>400</v>
      </c>
      <c r="N1026" s="4">
        <v>280</v>
      </c>
      <c r="O1026" s="6">
        <f t="shared" si="152"/>
        <v>0.30000000000000004</v>
      </c>
      <c r="P1026" s="4" t="s">
        <v>2500</v>
      </c>
      <c r="Q1026" s="4"/>
      <c r="R1026" s="4"/>
      <c r="S1026" s="4"/>
      <c r="T1026" s="4"/>
      <c r="U1026" s="4"/>
      <c r="V1026" s="4"/>
      <c r="W1026" s="4"/>
      <c r="X1026" s="4"/>
      <c r="Y1026" s="4">
        <v>400</v>
      </c>
      <c r="Z1026" s="4">
        <f t="shared" si="153"/>
        <v>400</v>
      </c>
      <c r="AA1026" s="4">
        <v>280</v>
      </c>
      <c r="AB1026" s="4">
        <f t="shared" si="154"/>
        <v>280</v>
      </c>
      <c r="AC1026" s="4"/>
      <c r="AD1026" s="21">
        <f>ROUND(M1026*AR1026,0)</f>
        <v>400</v>
      </c>
      <c r="AE1026" s="6">
        <f>1-AB1026/AD1026</f>
        <v>0.30000000000000004</v>
      </c>
      <c r="AF1026" s="33">
        <v>0</v>
      </c>
      <c r="AG1026" s="4">
        <f t="shared" si="155"/>
        <v>400</v>
      </c>
      <c r="AH1026" s="33">
        <f t="shared" si="148"/>
        <v>400</v>
      </c>
      <c r="AI1026" s="6">
        <f>1-AB1026/AH1026</f>
        <v>0.30000000000000004</v>
      </c>
      <c r="AJ1026" s="7">
        <v>400</v>
      </c>
      <c r="AK1026" s="6">
        <f>1-AB1026/AJ1026</f>
        <v>0.30000000000000004</v>
      </c>
      <c r="AL1026" s="4">
        <f>AJ1026-AB1026</f>
        <v>120</v>
      </c>
      <c r="AM1026" s="28"/>
      <c r="AN1026" s="6"/>
      <c r="AO1026" s="6"/>
      <c r="AP1026" s="6">
        <f>Z1026/L1026</f>
        <v>1</v>
      </c>
      <c r="AQ1026" s="6">
        <f>AJ1026/M1026</f>
        <v>1</v>
      </c>
      <c r="AR1026" s="6">
        <f>AB1026/N1026</f>
        <v>1</v>
      </c>
      <c r="AS1026" s="4"/>
      <c r="AT1026" s="4"/>
      <c r="AU1026" s="4"/>
      <c r="AV1026" s="4"/>
      <c r="AW1026" s="4"/>
      <c r="AX1026" s="4"/>
      <c r="AY1026" s="4"/>
      <c r="AZ1026" s="4"/>
      <c r="BA1026" s="4"/>
      <c r="BB1026" s="4">
        <v>0</v>
      </c>
      <c r="BC1026" s="4" t="s">
        <v>4489</v>
      </c>
      <c r="BD1026" s="4">
        <v>1</v>
      </c>
      <c r="BE1026" s="4">
        <v>3</v>
      </c>
      <c r="BF1026" s="4" t="s">
        <v>3623</v>
      </c>
      <c r="BG1026" s="4">
        <v>1200</v>
      </c>
      <c r="BH1026" s="4">
        <v>1200</v>
      </c>
      <c r="BI1026" s="4">
        <f t="shared" si="156"/>
        <v>400</v>
      </c>
      <c r="BJ1026" s="19">
        <v>4</v>
      </c>
      <c r="BK1026" s="19">
        <v>8</v>
      </c>
      <c r="BL1026" s="16">
        <v>6</v>
      </c>
      <c r="BM1026" s="45" t="s">
        <v>3534</v>
      </c>
      <c r="BN1026" t="s">
        <v>3534</v>
      </c>
      <c r="BO1026" t="str">
        <f t="shared" si="149"/>
        <v>-</v>
      </c>
      <c r="BP1026" t="s">
        <v>3534</v>
      </c>
      <c r="BQ1026" t="s">
        <v>3534</v>
      </c>
      <c r="BR1026" t="str">
        <f t="shared" si="150"/>
        <v>-</v>
      </c>
      <c r="BS1026" t="s">
        <v>3342</v>
      </c>
    </row>
    <row r="1027" spans="1:71" x14ac:dyDescent="0.4">
      <c r="A1027" s="3">
        <v>1024</v>
      </c>
      <c r="B1027" s="3">
        <v>1024</v>
      </c>
      <c r="C1027" s="4" t="s">
        <v>1086</v>
      </c>
      <c r="D1027" s="4" t="str">
        <f t="shared" si="151"/>
        <v>J849LY</v>
      </c>
      <c r="E1027" s="4" t="s">
        <v>1086</v>
      </c>
      <c r="F1027" s="4" t="s">
        <v>2304</v>
      </c>
      <c r="G1027" s="5">
        <v>4521718778075</v>
      </c>
      <c r="H1027" s="5"/>
      <c r="I1027" s="5"/>
      <c r="J1027" s="5">
        <v>1</v>
      </c>
      <c r="K1027" s="5">
        <v>1</v>
      </c>
      <c r="L1027" s="4">
        <v>250</v>
      </c>
      <c r="M1027" s="4">
        <v>225</v>
      </c>
      <c r="N1027" s="4">
        <v>175</v>
      </c>
      <c r="O1027" s="6">
        <f t="shared" si="152"/>
        <v>0.22222222222222221</v>
      </c>
      <c r="P1027" s="4" t="s">
        <v>2500</v>
      </c>
      <c r="Q1027" s="4"/>
      <c r="R1027" s="4"/>
      <c r="S1027" s="4"/>
      <c r="T1027" s="4"/>
      <c r="U1027" s="4"/>
      <c r="V1027" s="4"/>
      <c r="W1027" s="4"/>
      <c r="X1027" s="4"/>
      <c r="Y1027" s="4">
        <v>250</v>
      </c>
      <c r="Z1027" s="4">
        <f t="shared" si="153"/>
        <v>250</v>
      </c>
      <c r="AA1027" s="4">
        <v>175</v>
      </c>
      <c r="AB1027" s="4">
        <f t="shared" si="154"/>
        <v>175</v>
      </c>
      <c r="AC1027" s="4"/>
      <c r="AD1027" s="21">
        <f>ROUND(M1027*AR1027,0)</f>
        <v>225</v>
      </c>
      <c r="AE1027" s="6">
        <f>1-AB1027/AD1027</f>
        <v>0.22222222222222221</v>
      </c>
      <c r="AF1027" s="33">
        <v>0</v>
      </c>
      <c r="AG1027" s="4">
        <f t="shared" si="155"/>
        <v>250</v>
      </c>
      <c r="AH1027" s="33">
        <f t="shared" si="148"/>
        <v>250</v>
      </c>
      <c r="AI1027" s="6">
        <f>1-AB1027/AH1027</f>
        <v>0.30000000000000004</v>
      </c>
      <c r="AJ1027" s="7">
        <v>250</v>
      </c>
      <c r="AK1027" s="6">
        <f>1-AB1027/AJ1027</f>
        <v>0.30000000000000004</v>
      </c>
      <c r="AL1027" s="4">
        <f>AJ1027-AB1027</f>
        <v>75</v>
      </c>
      <c r="AM1027" s="28"/>
      <c r="AN1027" s="6"/>
      <c r="AO1027" s="6"/>
      <c r="AP1027" s="6">
        <f>Z1027/L1027</f>
        <v>1</v>
      </c>
      <c r="AQ1027" s="6">
        <f>AJ1027/M1027</f>
        <v>1.1111111111111112</v>
      </c>
      <c r="AR1027" s="6">
        <f>AB1027/N1027</f>
        <v>1</v>
      </c>
      <c r="AS1027" s="4"/>
      <c r="AT1027" s="4"/>
      <c r="AU1027" s="4"/>
      <c r="AV1027" s="4"/>
      <c r="AW1027" s="4"/>
      <c r="AX1027" s="4"/>
      <c r="AY1027" s="4"/>
      <c r="AZ1027" s="4"/>
      <c r="BA1027" s="4"/>
      <c r="BB1027" s="4">
        <v>0</v>
      </c>
      <c r="BC1027" s="4" t="s">
        <v>4490</v>
      </c>
      <c r="BD1027" s="4">
        <v>1</v>
      </c>
      <c r="BE1027" s="4">
        <v>5</v>
      </c>
      <c r="BF1027" s="4" t="s">
        <v>3746</v>
      </c>
      <c r="BG1027" s="4">
        <v>1250</v>
      </c>
      <c r="BH1027" s="4">
        <v>1250</v>
      </c>
      <c r="BI1027" s="4">
        <f t="shared" si="156"/>
        <v>250</v>
      </c>
      <c r="BJ1027" s="19">
        <v>4</v>
      </c>
      <c r="BK1027" s="19">
        <v>8</v>
      </c>
      <c r="BL1027" s="16">
        <v>6</v>
      </c>
      <c r="BM1027" s="45" t="s">
        <v>3534</v>
      </c>
      <c r="BN1027" t="s">
        <v>3534</v>
      </c>
      <c r="BO1027" t="str">
        <f t="shared" si="149"/>
        <v>-</v>
      </c>
      <c r="BP1027" t="s">
        <v>3534</v>
      </c>
      <c r="BQ1027">
        <v>248</v>
      </c>
      <c r="BR1027">
        <f t="shared" si="150"/>
        <v>248</v>
      </c>
      <c r="BS1027" t="s">
        <v>3343</v>
      </c>
    </row>
    <row r="1028" spans="1:71" x14ac:dyDescent="0.4">
      <c r="A1028" s="3">
        <v>1025</v>
      </c>
      <c r="B1028" s="3">
        <v>1025</v>
      </c>
      <c r="C1028" s="4" t="s">
        <v>1087</v>
      </c>
      <c r="D1028" s="4" t="str">
        <f t="shared" si="151"/>
        <v>J850LY</v>
      </c>
      <c r="E1028" s="4" t="s">
        <v>1087</v>
      </c>
      <c r="F1028" s="4" t="s">
        <v>2305</v>
      </c>
      <c r="G1028" s="5">
        <v>4521718778082</v>
      </c>
      <c r="H1028" s="5"/>
      <c r="I1028" s="5"/>
      <c r="J1028" s="5">
        <v>1</v>
      </c>
      <c r="K1028" s="5">
        <v>1</v>
      </c>
      <c r="L1028" s="4">
        <v>250</v>
      </c>
      <c r="M1028" s="4">
        <v>225</v>
      </c>
      <c r="N1028" s="4">
        <v>175</v>
      </c>
      <c r="O1028" s="6">
        <f t="shared" si="152"/>
        <v>0.22222222222222221</v>
      </c>
      <c r="P1028" s="4" t="s">
        <v>2500</v>
      </c>
      <c r="Q1028" s="4"/>
      <c r="R1028" s="4"/>
      <c r="S1028" s="4"/>
      <c r="T1028" s="4"/>
      <c r="U1028" s="4"/>
      <c r="V1028" s="4"/>
      <c r="W1028" s="4"/>
      <c r="X1028" s="4"/>
      <c r="Y1028" s="4">
        <v>250</v>
      </c>
      <c r="Z1028" s="4">
        <f t="shared" si="153"/>
        <v>250</v>
      </c>
      <c r="AA1028" s="4">
        <v>175</v>
      </c>
      <c r="AB1028" s="4">
        <f t="shared" si="154"/>
        <v>175</v>
      </c>
      <c r="AC1028" s="4"/>
      <c r="AD1028" s="21">
        <f>ROUND(M1028*AR1028,0)</f>
        <v>225</v>
      </c>
      <c r="AE1028" s="6">
        <f>1-AB1028/AD1028</f>
        <v>0.22222222222222221</v>
      </c>
      <c r="AF1028" s="33">
        <v>0</v>
      </c>
      <c r="AG1028" s="4">
        <f t="shared" si="155"/>
        <v>250</v>
      </c>
      <c r="AH1028" s="33">
        <f t="shared" ref="AH1028:AH1091" si="157">AG1028*AR1028</f>
        <v>250</v>
      </c>
      <c r="AI1028" s="6">
        <f>1-AB1028/AH1028</f>
        <v>0.30000000000000004</v>
      </c>
      <c r="AJ1028" s="7">
        <v>250</v>
      </c>
      <c r="AK1028" s="6">
        <f>1-AB1028/AJ1028</f>
        <v>0.30000000000000004</v>
      </c>
      <c r="AL1028" s="4">
        <f>AJ1028-AB1028</f>
        <v>75</v>
      </c>
      <c r="AM1028" s="28"/>
      <c r="AN1028" s="6"/>
      <c r="AO1028" s="6"/>
      <c r="AP1028" s="6">
        <f>Z1028/L1028</f>
        <v>1</v>
      </c>
      <c r="AQ1028" s="6">
        <f>AJ1028/M1028</f>
        <v>1.1111111111111112</v>
      </c>
      <c r="AR1028" s="6">
        <f>AB1028/N1028</f>
        <v>1</v>
      </c>
      <c r="AS1028" s="4"/>
      <c r="AT1028" s="4"/>
      <c r="AU1028" s="4"/>
      <c r="AV1028" s="4"/>
      <c r="AW1028" s="4"/>
      <c r="AX1028" s="4"/>
      <c r="AY1028" s="4"/>
      <c r="AZ1028" s="4"/>
      <c r="BA1028" s="4"/>
      <c r="BB1028" s="4">
        <v>0</v>
      </c>
      <c r="BC1028" s="4" t="s">
        <v>4491</v>
      </c>
      <c r="BD1028" s="4">
        <v>1</v>
      </c>
      <c r="BE1028" s="4">
        <v>5</v>
      </c>
      <c r="BF1028" s="4" t="s">
        <v>3746</v>
      </c>
      <c r="BG1028" s="4">
        <v>1250</v>
      </c>
      <c r="BH1028" s="4">
        <v>1250</v>
      </c>
      <c r="BI1028" s="4">
        <f t="shared" si="156"/>
        <v>250</v>
      </c>
      <c r="BJ1028" s="19">
        <v>4</v>
      </c>
      <c r="BK1028" s="19">
        <v>8</v>
      </c>
      <c r="BL1028" s="16">
        <v>6</v>
      </c>
      <c r="BM1028" s="45" t="s">
        <v>3534</v>
      </c>
      <c r="BN1028" t="s">
        <v>3534</v>
      </c>
      <c r="BO1028" t="str">
        <f t="shared" si="149"/>
        <v>-</v>
      </c>
      <c r="BP1028" t="s">
        <v>3534</v>
      </c>
      <c r="BQ1028">
        <v>248</v>
      </c>
      <c r="BR1028">
        <f t="shared" si="150"/>
        <v>248</v>
      </c>
      <c r="BS1028" t="s">
        <v>3344</v>
      </c>
    </row>
    <row r="1029" spans="1:71" x14ac:dyDescent="0.4">
      <c r="A1029" s="3">
        <v>1026</v>
      </c>
      <c r="B1029" s="3">
        <v>1026</v>
      </c>
      <c r="C1029" s="4" t="s">
        <v>1088</v>
      </c>
      <c r="D1029" s="4" t="str">
        <f t="shared" si="151"/>
        <v>J850WK</v>
      </c>
      <c r="E1029" s="4" t="s">
        <v>1088</v>
      </c>
      <c r="F1029" s="4" t="s">
        <v>2306</v>
      </c>
      <c r="G1029" s="5">
        <v>4521718746524</v>
      </c>
      <c r="H1029" s="5"/>
      <c r="I1029" s="5"/>
      <c r="J1029" s="5">
        <v>1</v>
      </c>
      <c r="K1029" s="5">
        <v>1</v>
      </c>
      <c r="L1029" s="4">
        <v>400</v>
      </c>
      <c r="M1029" s="4">
        <v>400</v>
      </c>
      <c r="N1029" s="4">
        <v>280</v>
      </c>
      <c r="O1029" s="6">
        <f t="shared" si="152"/>
        <v>0.30000000000000004</v>
      </c>
      <c r="P1029" s="4" t="s">
        <v>2500</v>
      </c>
      <c r="Q1029" s="4"/>
      <c r="R1029" s="4"/>
      <c r="S1029" s="4"/>
      <c r="T1029" s="4"/>
      <c r="U1029" s="4"/>
      <c r="V1029" s="4"/>
      <c r="W1029" s="4"/>
      <c r="X1029" s="4"/>
      <c r="Y1029" s="4">
        <v>400</v>
      </c>
      <c r="Z1029" s="4">
        <f t="shared" si="153"/>
        <v>400</v>
      </c>
      <c r="AA1029" s="4">
        <v>280</v>
      </c>
      <c r="AB1029" s="4">
        <f t="shared" si="154"/>
        <v>280</v>
      </c>
      <c r="AC1029" s="4"/>
      <c r="AD1029" s="21">
        <f>ROUND(M1029*AR1029,0)</f>
        <v>400</v>
      </c>
      <c r="AE1029" s="6">
        <f>1-AB1029/AD1029</f>
        <v>0.30000000000000004</v>
      </c>
      <c r="AF1029" s="33">
        <v>0</v>
      </c>
      <c r="AG1029" s="4">
        <f t="shared" si="155"/>
        <v>400</v>
      </c>
      <c r="AH1029" s="33">
        <f t="shared" si="157"/>
        <v>400</v>
      </c>
      <c r="AI1029" s="6">
        <f>1-AB1029/AH1029</f>
        <v>0.30000000000000004</v>
      </c>
      <c r="AJ1029" s="7">
        <v>400</v>
      </c>
      <c r="AK1029" s="6">
        <f>1-AB1029/AJ1029</f>
        <v>0.30000000000000004</v>
      </c>
      <c r="AL1029" s="4">
        <f>AJ1029-AB1029</f>
        <v>120</v>
      </c>
      <c r="AM1029" s="28"/>
      <c r="AN1029" s="6"/>
      <c r="AO1029" s="6"/>
      <c r="AP1029" s="6">
        <f>Z1029/L1029</f>
        <v>1</v>
      </c>
      <c r="AQ1029" s="6">
        <f>AJ1029/M1029</f>
        <v>1</v>
      </c>
      <c r="AR1029" s="6">
        <f>AB1029/N1029</f>
        <v>1</v>
      </c>
      <c r="AS1029" s="4"/>
      <c r="AT1029" s="4"/>
      <c r="AU1029" s="4"/>
      <c r="AV1029" s="4"/>
      <c r="AW1029" s="4"/>
      <c r="AX1029" s="4"/>
      <c r="AY1029" s="4"/>
      <c r="AZ1029" s="4"/>
      <c r="BA1029" s="4"/>
      <c r="BB1029" s="4">
        <v>0</v>
      </c>
      <c r="BC1029" s="4" t="s">
        <v>4492</v>
      </c>
      <c r="BD1029" s="4">
        <v>1</v>
      </c>
      <c r="BE1029" s="4">
        <v>3</v>
      </c>
      <c r="BF1029" s="4" t="s">
        <v>3623</v>
      </c>
      <c r="BG1029" s="4">
        <v>1200</v>
      </c>
      <c r="BH1029" s="4">
        <v>1200</v>
      </c>
      <c r="BI1029" s="4">
        <f t="shared" si="156"/>
        <v>400</v>
      </c>
      <c r="BJ1029" s="19">
        <v>4</v>
      </c>
      <c r="BK1029" s="19">
        <v>8</v>
      </c>
      <c r="BL1029" s="16">
        <v>6</v>
      </c>
      <c r="BM1029" s="45" t="s">
        <v>3534</v>
      </c>
      <c r="BN1029" t="s">
        <v>3534</v>
      </c>
      <c r="BO1029" t="str">
        <f t="shared" ref="BO1029:BO1092" si="158">IFERROR(BN1029*AR1029,"-")</f>
        <v>-</v>
      </c>
      <c r="BP1029" t="s">
        <v>3534</v>
      </c>
      <c r="BQ1029" t="s">
        <v>3534</v>
      </c>
      <c r="BR1029" t="str">
        <f t="shared" ref="BR1029:BR1092" si="159">IFERROR(BQ1029*AR1029,"-")</f>
        <v>-</v>
      </c>
      <c r="BS1029" t="s">
        <v>3345</v>
      </c>
    </row>
    <row r="1030" spans="1:71" x14ac:dyDescent="0.4">
      <c r="A1030" s="3">
        <v>1027</v>
      </c>
      <c r="B1030" s="3">
        <v>1027</v>
      </c>
      <c r="C1030" s="4" t="s">
        <v>1089</v>
      </c>
      <c r="D1030" s="4" t="str">
        <f t="shared" si="151"/>
        <v>J849WK</v>
      </c>
      <c r="E1030" s="4" t="s">
        <v>1089</v>
      </c>
      <c r="F1030" s="4" t="s">
        <v>2307</v>
      </c>
      <c r="G1030" s="5">
        <v>4521718746517</v>
      </c>
      <c r="H1030" s="5"/>
      <c r="I1030" s="5"/>
      <c r="J1030" s="5">
        <v>1</v>
      </c>
      <c r="K1030" s="5">
        <v>1</v>
      </c>
      <c r="L1030" s="4">
        <v>400</v>
      </c>
      <c r="M1030" s="4">
        <v>400</v>
      </c>
      <c r="N1030" s="4">
        <v>280</v>
      </c>
      <c r="O1030" s="6">
        <f t="shared" si="152"/>
        <v>0.30000000000000004</v>
      </c>
      <c r="P1030" s="4" t="s">
        <v>2500</v>
      </c>
      <c r="Q1030" s="4"/>
      <c r="R1030" s="4"/>
      <c r="S1030" s="4"/>
      <c r="T1030" s="4"/>
      <c r="U1030" s="4"/>
      <c r="V1030" s="4"/>
      <c r="W1030" s="4"/>
      <c r="X1030" s="4"/>
      <c r="Y1030" s="4">
        <v>400</v>
      </c>
      <c r="Z1030" s="4">
        <f t="shared" si="153"/>
        <v>400</v>
      </c>
      <c r="AA1030" s="4">
        <v>280</v>
      </c>
      <c r="AB1030" s="4">
        <f t="shared" si="154"/>
        <v>280</v>
      </c>
      <c r="AC1030" s="4"/>
      <c r="AD1030" s="21">
        <f>ROUND(M1030*AR1030,0)</f>
        <v>400</v>
      </c>
      <c r="AE1030" s="6">
        <f>1-AB1030/AD1030</f>
        <v>0.30000000000000004</v>
      </c>
      <c r="AF1030" s="33">
        <v>0</v>
      </c>
      <c r="AG1030" s="4">
        <f t="shared" si="155"/>
        <v>400</v>
      </c>
      <c r="AH1030" s="33">
        <f t="shared" si="157"/>
        <v>400</v>
      </c>
      <c r="AI1030" s="6">
        <f>1-AB1030/AH1030</f>
        <v>0.30000000000000004</v>
      </c>
      <c r="AJ1030" s="7">
        <v>400</v>
      </c>
      <c r="AK1030" s="6">
        <f>1-AB1030/AJ1030</f>
        <v>0.30000000000000004</v>
      </c>
      <c r="AL1030" s="4">
        <f>AJ1030-AB1030</f>
        <v>120</v>
      </c>
      <c r="AM1030" s="28"/>
      <c r="AN1030" s="6"/>
      <c r="AO1030" s="6"/>
      <c r="AP1030" s="6">
        <f>Z1030/L1030</f>
        <v>1</v>
      </c>
      <c r="AQ1030" s="6">
        <f>AJ1030/M1030</f>
        <v>1</v>
      </c>
      <c r="AR1030" s="6">
        <f>AB1030/N1030</f>
        <v>1</v>
      </c>
      <c r="AS1030" s="4"/>
      <c r="AT1030" s="4"/>
      <c r="AU1030" s="4"/>
      <c r="AV1030" s="4"/>
      <c r="AW1030" s="4"/>
      <c r="AX1030" s="4"/>
      <c r="AY1030" s="4"/>
      <c r="AZ1030" s="4"/>
      <c r="BA1030" s="4"/>
      <c r="BB1030" s="4">
        <v>0</v>
      </c>
      <c r="BC1030" s="4" t="s">
        <v>4493</v>
      </c>
      <c r="BD1030" s="4">
        <v>1</v>
      </c>
      <c r="BE1030" s="4">
        <v>3</v>
      </c>
      <c r="BF1030" s="4" t="s">
        <v>3623</v>
      </c>
      <c r="BG1030" s="4">
        <v>1200</v>
      </c>
      <c r="BH1030" s="4">
        <v>1200</v>
      </c>
      <c r="BI1030" s="4">
        <f t="shared" si="156"/>
        <v>400</v>
      </c>
      <c r="BJ1030" s="19">
        <v>4</v>
      </c>
      <c r="BK1030" s="19">
        <v>8</v>
      </c>
      <c r="BL1030" s="16">
        <v>6</v>
      </c>
      <c r="BM1030" s="45" t="s">
        <v>3534</v>
      </c>
      <c r="BN1030" t="s">
        <v>3534</v>
      </c>
      <c r="BO1030" t="str">
        <f t="shared" si="158"/>
        <v>-</v>
      </c>
      <c r="BP1030" t="s">
        <v>3534</v>
      </c>
      <c r="BQ1030" t="s">
        <v>3534</v>
      </c>
      <c r="BR1030" t="str">
        <f t="shared" si="159"/>
        <v>-</v>
      </c>
      <c r="BS1030" t="s">
        <v>3346</v>
      </c>
    </row>
    <row r="1031" spans="1:71" x14ac:dyDescent="0.4">
      <c r="A1031" s="3">
        <v>1028</v>
      </c>
      <c r="B1031" s="3">
        <v>1028</v>
      </c>
      <c r="C1031" s="4" t="s">
        <v>1090</v>
      </c>
      <c r="D1031" s="4" t="str">
        <f t="shared" si="151"/>
        <v>J851LY</v>
      </c>
      <c r="E1031" s="4" t="s">
        <v>1090</v>
      </c>
      <c r="F1031" s="4" t="s">
        <v>2308</v>
      </c>
      <c r="G1031" s="5">
        <v>4521718778099</v>
      </c>
      <c r="H1031" s="5"/>
      <c r="I1031" s="5"/>
      <c r="J1031" s="5">
        <v>1</v>
      </c>
      <c r="K1031" s="5">
        <v>1</v>
      </c>
      <c r="L1031" s="4">
        <v>250</v>
      </c>
      <c r="M1031" s="4">
        <v>225</v>
      </c>
      <c r="N1031" s="4">
        <v>175</v>
      </c>
      <c r="O1031" s="6">
        <f t="shared" si="152"/>
        <v>0.22222222222222221</v>
      </c>
      <c r="P1031" s="4" t="s">
        <v>2500</v>
      </c>
      <c r="Q1031" s="4"/>
      <c r="R1031" s="4"/>
      <c r="S1031" s="4"/>
      <c r="T1031" s="4"/>
      <c r="U1031" s="4"/>
      <c r="V1031" s="4"/>
      <c r="W1031" s="4"/>
      <c r="X1031" s="4"/>
      <c r="Y1031" s="4">
        <v>250</v>
      </c>
      <c r="Z1031" s="4">
        <f t="shared" si="153"/>
        <v>250</v>
      </c>
      <c r="AA1031" s="4">
        <v>175</v>
      </c>
      <c r="AB1031" s="4">
        <f t="shared" si="154"/>
        <v>175</v>
      </c>
      <c r="AC1031" s="4"/>
      <c r="AD1031" s="21">
        <f>ROUND(M1031*AR1031,0)</f>
        <v>225</v>
      </c>
      <c r="AE1031" s="6">
        <f>1-AB1031/AD1031</f>
        <v>0.22222222222222221</v>
      </c>
      <c r="AF1031" s="33">
        <v>0</v>
      </c>
      <c r="AG1031" s="4">
        <f t="shared" si="155"/>
        <v>250</v>
      </c>
      <c r="AH1031" s="33">
        <f t="shared" si="157"/>
        <v>250</v>
      </c>
      <c r="AI1031" s="6">
        <f>1-AB1031/AH1031</f>
        <v>0.30000000000000004</v>
      </c>
      <c r="AJ1031" s="7">
        <v>250</v>
      </c>
      <c r="AK1031" s="6">
        <f>1-AB1031/AJ1031</f>
        <v>0.30000000000000004</v>
      </c>
      <c r="AL1031" s="4">
        <f>AJ1031-AB1031</f>
        <v>75</v>
      </c>
      <c r="AM1031" s="28"/>
      <c r="AN1031" s="6"/>
      <c r="AO1031" s="6"/>
      <c r="AP1031" s="6">
        <f>Z1031/L1031</f>
        <v>1</v>
      </c>
      <c r="AQ1031" s="6">
        <f>AJ1031/M1031</f>
        <v>1.1111111111111112</v>
      </c>
      <c r="AR1031" s="6">
        <f>AB1031/N1031</f>
        <v>1</v>
      </c>
      <c r="AS1031" s="4"/>
      <c r="AT1031" s="4"/>
      <c r="AU1031" s="4"/>
      <c r="AV1031" s="4"/>
      <c r="AW1031" s="4"/>
      <c r="AX1031" s="4"/>
      <c r="AY1031" s="4"/>
      <c r="AZ1031" s="4"/>
      <c r="BA1031" s="4"/>
      <c r="BB1031" s="4">
        <v>0</v>
      </c>
      <c r="BC1031" s="4" t="s">
        <v>4494</v>
      </c>
      <c r="BD1031" s="4">
        <v>1</v>
      </c>
      <c r="BE1031" s="4">
        <v>5</v>
      </c>
      <c r="BF1031" s="4" t="s">
        <v>3746</v>
      </c>
      <c r="BG1031" s="4">
        <v>1250</v>
      </c>
      <c r="BH1031" s="4">
        <v>1250</v>
      </c>
      <c r="BI1031" s="4">
        <f t="shared" si="156"/>
        <v>250</v>
      </c>
      <c r="BJ1031" s="19">
        <v>4</v>
      </c>
      <c r="BK1031" s="19">
        <v>8</v>
      </c>
      <c r="BL1031" s="16">
        <v>6</v>
      </c>
      <c r="BM1031" s="45" t="s">
        <v>3534</v>
      </c>
      <c r="BN1031" t="s">
        <v>3534</v>
      </c>
      <c r="BO1031" t="str">
        <f t="shared" si="158"/>
        <v>-</v>
      </c>
      <c r="BP1031" t="s">
        <v>3534</v>
      </c>
      <c r="BQ1031">
        <v>248</v>
      </c>
      <c r="BR1031">
        <f t="shared" si="159"/>
        <v>248</v>
      </c>
      <c r="BS1031" t="s">
        <v>3347</v>
      </c>
    </row>
    <row r="1032" spans="1:71" x14ac:dyDescent="0.4">
      <c r="A1032" s="3">
        <v>1029</v>
      </c>
      <c r="B1032" s="3">
        <v>1029</v>
      </c>
      <c r="C1032" s="4" t="s">
        <v>1091</v>
      </c>
      <c r="D1032" s="4" t="str">
        <f t="shared" si="151"/>
        <v>J852LY</v>
      </c>
      <c r="E1032" s="4" t="s">
        <v>1091</v>
      </c>
      <c r="F1032" s="4" t="s">
        <v>2309</v>
      </c>
      <c r="G1032" s="5">
        <v>4521718778105</v>
      </c>
      <c r="H1032" s="5"/>
      <c r="I1032" s="5"/>
      <c r="J1032" s="5">
        <v>1</v>
      </c>
      <c r="K1032" s="5">
        <v>1</v>
      </c>
      <c r="L1032" s="4">
        <v>250</v>
      </c>
      <c r="M1032" s="4">
        <v>225</v>
      </c>
      <c r="N1032" s="4">
        <v>175</v>
      </c>
      <c r="O1032" s="6">
        <f t="shared" si="152"/>
        <v>0.22222222222222221</v>
      </c>
      <c r="P1032" s="4" t="s">
        <v>2500</v>
      </c>
      <c r="Q1032" s="4"/>
      <c r="R1032" s="4"/>
      <c r="S1032" s="4"/>
      <c r="T1032" s="4"/>
      <c r="U1032" s="4"/>
      <c r="V1032" s="4"/>
      <c r="W1032" s="4"/>
      <c r="X1032" s="4"/>
      <c r="Y1032" s="4">
        <v>250</v>
      </c>
      <c r="Z1032" s="4">
        <f t="shared" si="153"/>
        <v>250</v>
      </c>
      <c r="AA1032" s="4">
        <v>175</v>
      </c>
      <c r="AB1032" s="4">
        <f t="shared" si="154"/>
        <v>175</v>
      </c>
      <c r="AC1032" s="4"/>
      <c r="AD1032" s="21">
        <f>ROUND(M1032*AR1032,0)</f>
        <v>225</v>
      </c>
      <c r="AE1032" s="6">
        <f>1-AB1032/AD1032</f>
        <v>0.22222222222222221</v>
      </c>
      <c r="AF1032" s="33">
        <v>0</v>
      </c>
      <c r="AG1032" s="4">
        <f t="shared" si="155"/>
        <v>250</v>
      </c>
      <c r="AH1032" s="33">
        <f t="shared" si="157"/>
        <v>250</v>
      </c>
      <c r="AI1032" s="6">
        <f>1-AB1032/AH1032</f>
        <v>0.30000000000000004</v>
      </c>
      <c r="AJ1032" s="7">
        <v>250</v>
      </c>
      <c r="AK1032" s="6">
        <f>1-AB1032/AJ1032</f>
        <v>0.30000000000000004</v>
      </c>
      <c r="AL1032" s="4">
        <f>AJ1032-AB1032</f>
        <v>75</v>
      </c>
      <c r="AM1032" s="28"/>
      <c r="AN1032" s="6"/>
      <c r="AO1032" s="6"/>
      <c r="AP1032" s="6">
        <f>Z1032/L1032</f>
        <v>1</v>
      </c>
      <c r="AQ1032" s="6">
        <f>AJ1032/M1032</f>
        <v>1.1111111111111112</v>
      </c>
      <c r="AR1032" s="6">
        <f>AB1032/N1032</f>
        <v>1</v>
      </c>
      <c r="AS1032" s="4"/>
      <c r="AT1032" s="4"/>
      <c r="AU1032" s="4"/>
      <c r="AV1032" s="4"/>
      <c r="AW1032" s="4"/>
      <c r="AX1032" s="4"/>
      <c r="AY1032" s="4"/>
      <c r="AZ1032" s="4"/>
      <c r="BA1032" s="4"/>
      <c r="BB1032" s="4">
        <v>0</v>
      </c>
      <c r="BC1032" s="4" t="s">
        <v>4495</v>
      </c>
      <c r="BD1032" s="4">
        <v>1</v>
      </c>
      <c r="BE1032" s="4">
        <v>5</v>
      </c>
      <c r="BF1032" s="4" t="s">
        <v>3746</v>
      </c>
      <c r="BG1032" s="4">
        <v>1250</v>
      </c>
      <c r="BH1032" s="4">
        <v>1250</v>
      </c>
      <c r="BI1032" s="4">
        <f t="shared" si="156"/>
        <v>250</v>
      </c>
      <c r="BJ1032" s="19">
        <v>4</v>
      </c>
      <c r="BK1032" s="19">
        <v>8</v>
      </c>
      <c r="BL1032" s="16">
        <v>6</v>
      </c>
      <c r="BM1032" s="45" t="s">
        <v>3534</v>
      </c>
      <c r="BN1032" t="s">
        <v>3534</v>
      </c>
      <c r="BO1032" t="str">
        <f t="shared" si="158"/>
        <v>-</v>
      </c>
      <c r="BP1032" t="s">
        <v>3534</v>
      </c>
      <c r="BQ1032">
        <v>248</v>
      </c>
      <c r="BR1032">
        <f t="shared" si="159"/>
        <v>248</v>
      </c>
      <c r="BS1032" t="s">
        <v>3348</v>
      </c>
    </row>
    <row r="1033" spans="1:71" x14ac:dyDescent="0.4">
      <c r="A1033" s="3">
        <v>1030</v>
      </c>
      <c r="B1033" s="3">
        <v>1030</v>
      </c>
      <c r="C1033" s="4" t="s">
        <v>1092</v>
      </c>
      <c r="D1033" s="4" t="str">
        <f t="shared" si="151"/>
        <v>J852WK</v>
      </c>
      <c r="E1033" s="4" t="s">
        <v>1092</v>
      </c>
      <c r="F1033" s="4" t="s">
        <v>2310</v>
      </c>
      <c r="G1033" s="5">
        <v>4521718746548</v>
      </c>
      <c r="H1033" s="5"/>
      <c r="I1033" s="5"/>
      <c r="J1033" s="5">
        <v>1</v>
      </c>
      <c r="K1033" s="5">
        <v>1</v>
      </c>
      <c r="L1033" s="4">
        <v>400</v>
      </c>
      <c r="M1033" s="4">
        <v>400</v>
      </c>
      <c r="N1033" s="4">
        <v>280</v>
      </c>
      <c r="O1033" s="6">
        <f t="shared" si="152"/>
        <v>0.30000000000000004</v>
      </c>
      <c r="P1033" s="4" t="s">
        <v>2500</v>
      </c>
      <c r="Q1033" s="4"/>
      <c r="R1033" s="4"/>
      <c r="S1033" s="4"/>
      <c r="T1033" s="4"/>
      <c r="U1033" s="4"/>
      <c r="V1033" s="4"/>
      <c r="W1033" s="4"/>
      <c r="X1033" s="4"/>
      <c r="Y1033" s="4">
        <v>400</v>
      </c>
      <c r="Z1033" s="4">
        <f t="shared" si="153"/>
        <v>400</v>
      </c>
      <c r="AA1033" s="4">
        <v>280</v>
      </c>
      <c r="AB1033" s="4">
        <f t="shared" si="154"/>
        <v>280</v>
      </c>
      <c r="AC1033" s="4"/>
      <c r="AD1033" s="21">
        <f>ROUND(M1033*AR1033,0)</f>
        <v>400</v>
      </c>
      <c r="AE1033" s="6">
        <f>1-AB1033/AD1033</f>
        <v>0.30000000000000004</v>
      </c>
      <c r="AF1033" s="33">
        <v>0</v>
      </c>
      <c r="AG1033" s="4">
        <f t="shared" si="155"/>
        <v>400</v>
      </c>
      <c r="AH1033" s="33">
        <f t="shared" si="157"/>
        <v>400</v>
      </c>
      <c r="AI1033" s="6">
        <f>1-AB1033/AH1033</f>
        <v>0.30000000000000004</v>
      </c>
      <c r="AJ1033" s="7">
        <v>400</v>
      </c>
      <c r="AK1033" s="6">
        <f>1-AB1033/AJ1033</f>
        <v>0.30000000000000004</v>
      </c>
      <c r="AL1033" s="4">
        <f>AJ1033-AB1033</f>
        <v>120</v>
      </c>
      <c r="AM1033" s="28"/>
      <c r="AN1033" s="6"/>
      <c r="AO1033" s="6"/>
      <c r="AP1033" s="6">
        <f>Z1033/L1033</f>
        <v>1</v>
      </c>
      <c r="AQ1033" s="6">
        <f>AJ1033/M1033</f>
        <v>1</v>
      </c>
      <c r="AR1033" s="6">
        <f>AB1033/N1033</f>
        <v>1</v>
      </c>
      <c r="AS1033" s="4"/>
      <c r="AT1033" s="4"/>
      <c r="AU1033" s="4"/>
      <c r="AV1033" s="4"/>
      <c r="AW1033" s="4"/>
      <c r="AX1033" s="4"/>
      <c r="AY1033" s="4"/>
      <c r="AZ1033" s="4"/>
      <c r="BA1033" s="4"/>
      <c r="BB1033" s="4">
        <v>0</v>
      </c>
      <c r="BC1033" s="4" t="s">
        <v>4496</v>
      </c>
      <c r="BD1033" s="4">
        <v>1</v>
      </c>
      <c r="BE1033" s="4">
        <v>3</v>
      </c>
      <c r="BF1033" s="4" t="s">
        <v>3623</v>
      </c>
      <c r="BG1033" s="4">
        <v>1200</v>
      </c>
      <c r="BH1033" s="4">
        <v>1200</v>
      </c>
      <c r="BI1033" s="4">
        <f t="shared" si="156"/>
        <v>400</v>
      </c>
      <c r="BJ1033" s="19">
        <v>4</v>
      </c>
      <c r="BK1033" s="19">
        <v>8</v>
      </c>
      <c r="BL1033" s="16">
        <v>6</v>
      </c>
      <c r="BM1033" s="45" t="s">
        <v>3534</v>
      </c>
      <c r="BN1033" t="s">
        <v>3534</v>
      </c>
      <c r="BO1033" t="str">
        <f t="shared" si="158"/>
        <v>-</v>
      </c>
      <c r="BP1033" t="s">
        <v>3534</v>
      </c>
      <c r="BQ1033" t="s">
        <v>3534</v>
      </c>
      <c r="BR1033" t="str">
        <f t="shared" si="159"/>
        <v>-</v>
      </c>
      <c r="BS1033" t="s">
        <v>3349</v>
      </c>
    </row>
    <row r="1034" spans="1:71" x14ac:dyDescent="0.4">
      <c r="A1034" s="3">
        <v>1031</v>
      </c>
      <c r="B1034" s="3">
        <v>1031</v>
      </c>
      <c r="C1034" s="4" t="s">
        <v>1093</v>
      </c>
      <c r="D1034" s="4" t="str">
        <f t="shared" si="151"/>
        <v>J853LY</v>
      </c>
      <c r="E1034" s="4" t="s">
        <v>1093</v>
      </c>
      <c r="F1034" s="4" t="s">
        <v>2311</v>
      </c>
      <c r="G1034" s="5">
        <v>4521718778112</v>
      </c>
      <c r="H1034" s="5"/>
      <c r="I1034" s="5"/>
      <c r="J1034" s="5">
        <v>1</v>
      </c>
      <c r="K1034" s="5">
        <v>1</v>
      </c>
      <c r="L1034" s="4">
        <v>250</v>
      </c>
      <c r="M1034" s="4">
        <v>225</v>
      </c>
      <c r="N1034" s="4">
        <v>175</v>
      </c>
      <c r="O1034" s="6">
        <f t="shared" si="152"/>
        <v>0.22222222222222221</v>
      </c>
      <c r="P1034" s="4" t="s">
        <v>2500</v>
      </c>
      <c r="Q1034" s="4"/>
      <c r="R1034" s="4"/>
      <c r="S1034" s="4"/>
      <c r="T1034" s="4"/>
      <c r="U1034" s="4"/>
      <c r="V1034" s="4"/>
      <c r="W1034" s="4"/>
      <c r="X1034" s="4"/>
      <c r="Y1034" s="4">
        <v>250</v>
      </c>
      <c r="Z1034" s="4">
        <f t="shared" si="153"/>
        <v>250</v>
      </c>
      <c r="AA1034" s="4">
        <v>175</v>
      </c>
      <c r="AB1034" s="4">
        <f t="shared" si="154"/>
        <v>175</v>
      </c>
      <c r="AC1034" s="4"/>
      <c r="AD1034" s="21">
        <f>ROUND(M1034*AR1034,0)</f>
        <v>225</v>
      </c>
      <c r="AE1034" s="6">
        <f>1-AB1034/AD1034</f>
        <v>0.22222222222222221</v>
      </c>
      <c r="AF1034" s="33">
        <v>0</v>
      </c>
      <c r="AG1034" s="4">
        <f t="shared" si="155"/>
        <v>250</v>
      </c>
      <c r="AH1034" s="33">
        <f t="shared" si="157"/>
        <v>250</v>
      </c>
      <c r="AI1034" s="6">
        <f>1-AB1034/AH1034</f>
        <v>0.30000000000000004</v>
      </c>
      <c r="AJ1034" s="7">
        <v>250</v>
      </c>
      <c r="AK1034" s="6">
        <f>1-AB1034/AJ1034</f>
        <v>0.30000000000000004</v>
      </c>
      <c r="AL1034" s="4">
        <f>AJ1034-AB1034</f>
        <v>75</v>
      </c>
      <c r="AM1034" s="28"/>
      <c r="AN1034" s="6"/>
      <c r="AO1034" s="6"/>
      <c r="AP1034" s="6">
        <f>Z1034/L1034</f>
        <v>1</v>
      </c>
      <c r="AQ1034" s="6">
        <f>AJ1034/M1034</f>
        <v>1.1111111111111112</v>
      </c>
      <c r="AR1034" s="6">
        <f>AB1034/N1034</f>
        <v>1</v>
      </c>
      <c r="AS1034" s="4"/>
      <c r="AT1034" s="4"/>
      <c r="AU1034" s="4"/>
      <c r="AV1034" s="4"/>
      <c r="AW1034" s="4"/>
      <c r="AX1034" s="4"/>
      <c r="AY1034" s="4"/>
      <c r="AZ1034" s="4"/>
      <c r="BA1034" s="4"/>
      <c r="BB1034" s="4">
        <v>0</v>
      </c>
      <c r="BC1034" s="4" t="s">
        <v>4497</v>
      </c>
      <c r="BD1034" s="4">
        <v>1</v>
      </c>
      <c r="BE1034" s="4">
        <v>5</v>
      </c>
      <c r="BF1034" s="4" t="s">
        <v>3746</v>
      </c>
      <c r="BG1034" s="4">
        <v>1250</v>
      </c>
      <c r="BH1034" s="4">
        <v>1250</v>
      </c>
      <c r="BI1034" s="4">
        <f t="shared" si="156"/>
        <v>250</v>
      </c>
      <c r="BJ1034" s="19">
        <v>4</v>
      </c>
      <c r="BK1034" s="19">
        <v>8</v>
      </c>
      <c r="BL1034" s="16">
        <v>6</v>
      </c>
      <c r="BM1034" s="45" t="s">
        <v>3534</v>
      </c>
      <c r="BN1034" t="s">
        <v>3534</v>
      </c>
      <c r="BO1034" t="str">
        <f t="shared" si="158"/>
        <v>-</v>
      </c>
      <c r="BP1034" t="s">
        <v>3534</v>
      </c>
      <c r="BQ1034">
        <v>248</v>
      </c>
      <c r="BR1034">
        <f t="shared" si="159"/>
        <v>248</v>
      </c>
      <c r="BS1034" t="s">
        <v>3350</v>
      </c>
    </row>
    <row r="1035" spans="1:71" x14ac:dyDescent="0.4">
      <c r="A1035" s="3">
        <v>1032</v>
      </c>
      <c r="B1035" s="3">
        <v>1032</v>
      </c>
      <c r="C1035" s="4" t="s">
        <v>1094</v>
      </c>
      <c r="D1035" s="4" t="str">
        <f t="shared" si="151"/>
        <v>J853WK</v>
      </c>
      <c r="E1035" s="4" t="s">
        <v>1094</v>
      </c>
      <c r="F1035" s="4" t="s">
        <v>2312</v>
      </c>
      <c r="G1035" s="5">
        <v>4521718746555</v>
      </c>
      <c r="H1035" s="5"/>
      <c r="I1035" s="5"/>
      <c r="J1035" s="5">
        <v>1</v>
      </c>
      <c r="K1035" s="5">
        <v>1</v>
      </c>
      <c r="L1035" s="4">
        <v>400</v>
      </c>
      <c r="M1035" s="4">
        <v>400</v>
      </c>
      <c r="N1035" s="4">
        <v>280</v>
      </c>
      <c r="O1035" s="6">
        <f t="shared" si="152"/>
        <v>0.30000000000000004</v>
      </c>
      <c r="P1035" s="4" t="s">
        <v>2500</v>
      </c>
      <c r="Q1035" s="4"/>
      <c r="R1035" s="4"/>
      <c r="S1035" s="4"/>
      <c r="T1035" s="4"/>
      <c r="U1035" s="4"/>
      <c r="V1035" s="4"/>
      <c r="W1035" s="4"/>
      <c r="X1035" s="4"/>
      <c r="Y1035" s="4">
        <v>400</v>
      </c>
      <c r="Z1035" s="4">
        <f t="shared" si="153"/>
        <v>400</v>
      </c>
      <c r="AA1035" s="4">
        <v>280</v>
      </c>
      <c r="AB1035" s="4">
        <f t="shared" si="154"/>
        <v>280</v>
      </c>
      <c r="AC1035" s="4"/>
      <c r="AD1035" s="21">
        <f>ROUND(M1035*AR1035,0)</f>
        <v>400</v>
      </c>
      <c r="AE1035" s="6">
        <f>1-AB1035/AD1035</f>
        <v>0.30000000000000004</v>
      </c>
      <c r="AF1035" s="33">
        <v>0</v>
      </c>
      <c r="AG1035" s="4">
        <f t="shared" si="155"/>
        <v>400</v>
      </c>
      <c r="AH1035" s="33">
        <f t="shared" si="157"/>
        <v>400</v>
      </c>
      <c r="AI1035" s="6">
        <f>1-AB1035/AH1035</f>
        <v>0.30000000000000004</v>
      </c>
      <c r="AJ1035" s="7">
        <v>400</v>
      </c>
      <c r="AK1035" s="6">
        <f>1-AB1035/AJ1035</f>
        <v>0.30000000000000004</v>
      </c>
      <c r="AL1035" s="4">
        <f>AJ1035-AB1035</f>
        <v>120</v>
      </c>
      <c r="AM1035" s="28"/>
      <c r="AN1035" s="6"/>
      <c r="AO1035" s="6"/>
      <c r="AP1035" s="6">
        <f>Z1035/L1035</f>
        <v>1</v>
      </c>
      <c r="AQ1035" s="6">
        <f>AJ1035/M1035</f>
        <v>1</v>
      </c>
      <c r="AR1035" s="6">
        <f>AB1035/N1035</f>
        <v>1</v>
      </c>
      <c r="AS1035" s="4"/>
      <c r="AT1035" s="4"/>
      <c r="AU1035" s="4"/>
      <c r="AV1035" s="4"/>
      <c r="AW1035" s="4"/>
      <c r="AX1035" s="4"/>
      <c r="AY1035" s="4"/>
      <c r="AZ1035" s="4"/>
      <c r="BA1035" s="4"/>
      <c r="BB1035" s="4">
        <v>0</v>
      </c>
      <c r="BC1035" s="4" t="s">
        <v>4498</v>
      </c>
      <c r="BD1035" s="4">
        <v>1</v>
      </c>
      <c r="BE1035" s="4">
        <v>3</v>
      </c>
      <c r="BF1035" s="4" t="s">
        <v>3623</v>
      </c>
      <c r="BG1035" s="4">
        <v>1200</v>
      </c>
      <c r="BH1035" s="4">
        <v>1200</v>
      </c>
      <c r="BI1035" s="4">
        <f t="shared" si="156"/>
        <v>400</v>
      </c>
      <c r="BJ1035" s="19">
        <v>4</v>
      </c>
      <c r="BK1035" s="19">
        <v>8</v>
      </c>
      <c r="BL1035" s="16">
        <v>6</v>
      </c>
      <c r="BM1035" s="45" t="s">
        <v>3534</v>
      </c>
      <c r="BN1035" t="s">
        <v>3534</v>
      </c>
      <c r="BO1035" t="str">
        <f t="shared" si="158"/>
        <v>-</v>
      </c>
      <c r="BP1035" t="s">
        <v>3534</v>
      </c>
      <c r="BQ1035" t="s">
        <v>3534</v>
      </c>
      <c r="BR1035" t="str">
        <f t="shared" si="159"/>
        <v>-</v>
      </c>
      <c r="BS1035" t="s">
        <v>3351</v>
      </c>
    </row>
    <row r="1036" spans="1:71" x14ac:dyDescent="0.4">
      <c r="A1036" s="3">
        <v>1033</v>
      </c>
      <c r="B1036" s="3">
        <v>1033</v>
      </c>
      <c r="C1036" s="4" t="s">
        <v>1095</v>
      </c>
      <c r="D1036" s="4" t="str">
        <f t="shared" si="151"/>
        <v>J855LY</v>
      </c>
      <c r="E1036" s="4" t="s">
        <v>1095</v>
      </c>
      <c r="F1036" s="4" t="s">
        <v>2313</v>
      </c>
      <c r="G1036" s="5">
        <v>4521718778136</v>
      </c>
      <c r="H1036" s="5"/>
      <c r="I1036" s="5"/>
      <c r="J1036" s="5">
        <v>1</v>
      </c>
      <c r="K1036" s="5">
        <v>1</v>
      </c>
      <c r="L1036" s="4">
        <v>250</v>
      </c>
      <c r="M1036" s="4">
        <v>225</v>
      </c>
      <c r="N1036" s="4">
        <v>175</v>
      </c>
      <c r="O1036" s="6">
        <f t="shared" si="152"/>
        <v>0.22222222222222221</v>
      </c>
      <c r="P1036" s="4" t="s">
        <v>2500</v>
      </c>
      <c r="Q1036" s="4"/>
      <c r="R1036" s="4"/>
      <c r="S1036" s="4"/>
      <c r="T1036" s="4"/>
      <c r="U1036" s="4"/>
      <c r="V1036" s="4"/>
      <c r="W1036" s="4"/>
      <c r="X1036" s="4"/>
      <c r="Y1036" s="4">
        <v>250</v>
      </c>
      <c r="Z1036" s="4">
        <f t="shared" si="153"/>
        <v>250</v>
      </c>
      <c r="AA1036" s="4">
        <v>175</v>
      </c>
      <c r="AB1036" s="4">
        <f t="shared" si="154"/>
        <v>175</v>
      </c>
      <c r="AC1036" s="4"/>
      <c r="AD1036" s="21">
        <f>ROUND(M1036*AR1036,0)</f>
        <v>225</v>
      </c>
      <c r="AE1036" s="6">
        <f>1-AB1036/AD1036</f>
        <v>0.22222222222222221</v>
      </c>
      <c r="AF1036" s="33">
        <v>0</v>
      </c>
      <c r="AG1036" s="4">
        <f t="shared" si="155"/>
        <v>250</v>
      </c>
      <c r="AH1036" s="33">
        <f t="shared" si="157"/>
        <v>250</v>
      </c>
      <c r="AI1036" s="6">
        <f>1-AB1036/AH1036</f>
        <v>0.30000000000000004</v>
      </c>
      <c r="AJ1036" s="7">
        <v>250</v>
      </c>
      <c r="AK1036" s="6">
        <f>1-AB1036/AJ1036</f>
        <v>0.30000000000000004</v>
      </c>
      <c r="AL1036" s="4">
        <f>AJ1036-AB1036</f>
        <v>75</v>
      </c>
      <c r="AM1036" s="28"/>
      <c r="AN1036" s="6"/>
      <c r="AO1036" s="6"/>
      <c r="AP1036" s="6">
        <f>Z1036/L1036</f>
        <v>1</v>
      </c>
      <c r="AQ1036" s="6">
        <f>AJ1036/M1036</f>
        <v>1.1111111111111112</v>
      </c>
      <c r="AR1036" s="6">
        <f>AB1036/N1036</f>
        <v>1</v>
      </c>
      <c r="AS1036" s="4"/>
      <c r="AT1036" s="4"/>
      <c r="AU1036" s="4"/>
      <c r="AV1036" s="4"/>
      <c r="AW1036" s="4"/>
      <c r="AX1036" s="4"/>
      <c r="AY1036" s="4"/>
      <c r="AZ1036" s="4"/>
      <c r="BA1036" s="4"/>
      <c r="BB1036" s="4">
        <v>0</v>
      </c>
      <c r="BC1036" s="4" t="s">
        <v>4499</v>
      </c>
      <c r="BD1036" s="4">
        <v>1</v>
      </c>
      <c r="BE1036" s="4">
        <v>5</v>
      </c>
      <c r="BF1036" s="4" t="s">
        <v>3746</v>
      </c>
      <c r="BG1036" s="4">
        <v>1250</v>
      </c>
      <c r="BH1036" s="4">
        <v>1250</v>
      </c>
      <c r="BI1036" s="4">
        <f t="shared" si="156"/>
        <v>250</v>
      </c>
      <c r="BJ1036" s="19">
        <v>4</v>
      </c>
      <c r="BK1036" s="19">
        <v>8</v>
      </c>
      <c r="BL1036" s="16">
        <v>6</v>
      </c>
      <c r="BM1036" s="45" t="s">
        <v>3534</v>
      </c>
      <c r="BN1036" t="s">
        <v>3534</v>
      </c>
      <c r="BO1036" t="str">
        <f t="shared" si="158"/>
        <v>-</v>
      </c>
      <c r="BP1036" t="s">
        <v>3534</v>
      </c>
      <c r="BQ1036">
        <v>248</v>
      </c>
      <c r="BR1036">
        <f t="shared" si="159"/>
        <v>248</v>
      </c>
      <c r="BS1036" t="s">
        <v>3352</v>
      </c>
    </row>
    <row r="1037" spans="1:71" x14ac:dyDescent="0.4">
      <c r="A1037" s="3">
        <v>1034</v>
      </c>
      <c r="B1037" s="3">
        <v>1034</v>
      </c>
      <c r="C1037" s="4" t="s">
        <v>1096</v>
      </c>
      <c r="D1037" s="4" t="str">
        <f t="shared" si="151"/>
        <v>J854LY</v>
      </c>
      <c r="E1037" s="4" t="s">
        <v>1096</v>
      </c>
      <c r="F1037" s="4" t="s">
        <v>2314</v>
      </c>
      <c r="G1037" s="5">
        <v>4521718778129</v>
      </c>
      <c r="H1037" s="5"/>
      <c r="I1037" s="5"/>
      <c r="J1037" s="5">
        <v>1</v>
      </c>
      <c r="K1037" s="5">
        <v>1</v>
      </c>
      <c r="L1037" s="4">
        <v>250</v>
      </c>
      <c r="M1037" s="4">
        <v>225</v>
      </c>
      <c r="N1037" s="4">
        <v>175</v>
      </c>
      <c r="O1037" s="6">
        <f t="shared" si="152"/>
        <v>0.22222222222222221</v>
      </c>
      <c r="P1037" s="4" t="s">
        <v>2500</v>
      </c>
      <c r="Q1037" s="4"/>
      <c r="R1037" s="4"/>
      <c r="S1037" s="4"/>
      <c r="T1037" s="4"/>
      <c r="U1037" s="4"/>
      <c r="V1037" s="4"/>
      <c r="W1037" s="4"/>
      <c r="X1037" s="4"/>
      <c r="Y1037" s="4">
        <v>250</v>
      </c>
      <c r="Z1037" s="4">
        <f t="shared" si="153"/>
        <v>250</v>
      </c>
      <c r="AA1037" s="4">
        <v>175</v>
      </c>
      <c r="AB1037" s="4">
        <f t="shared" si="154"/>
        <v>175</v>
      </c>
      <c r="AC1037" s="4"/>
      <c r="AD1037" s="21">
        <f>ROUND(M1037*AR1037,0)</f>
        <v>225</v>
      </c>
      <c r="AE1037" s="6">
        <f>1-AB1037/AD1037</f>
        <v>0.22222222222222221</v>
      </c>
      <c r="AF1037" s="33">
        <v>0</v>
      </c>
      <c r="AG1037" s="4">
        <f t="shared" si="155"/>
        <v>250</v>
      </c>
      <c r="AH1037" s="33">
        <f t="shared" si="157"/>
        <v>250</v>
      </c>
      <c r="AI1037" s="6">
        <f>1-AB1037/AH1037</f>
        <v>0.30000000000000004</v>
      </c>
      <c r="AJ1037" s="7">
        <v>250</v>
      </c>
      <c r="AK1037" s="6">
        <f>1-AB1037/AJ1037</f>
        <v>0.30000000000000004</v>
      </c>
      <c r="AL1037" s="4">
        <f>AJ1037-AB1037</f>
        <v>75</v>
      </c>
      <c r="AM1037" s="28"/>
      <c r="AN1037" s="6"/>
      <c r="AO1037" s="6"/>
      <c r="AP1037" s="6">
        <f>Z1037/L1037</f>
        <v>1</v>
      </c>
      <c r="AQ1037" s="6">
        <f>AJ1037/M1037</f>
        <v>1.1111111111111112</v>
      </c>
      <c r="AR1037" s="6">
        <f>AB1037/N1037</f>
        <v>1</v>
      </c>
      <c r="AS1037" s="4"/>
      <c r="AT1037" s="4"/>
      <c r="AU1037" s="4"/>
      <c r="AV1037" s="4"/>
      <c r="AW1037" s="4"/>
      <c r="AX1037" s="4"/>
      <c r="AY1037" s="4"/>
      <c r="AZ1037" s="4"/>
      <c r="BA1037" s="4"/>
      <c r="BB1037" s="4">
        <v>0</v>
      </c>
      <c r="BC1037" s="4" t="s">
        <v>4500</v>
      </c>
      <c r="BD1037" s="4">
        <v>1</v>
      </c>
      <c r="BE1037" s="4">
        <v>5</v>
      </c>
      <c r="BF1037" s="4" t="s">
        <v>3746</v>
      </c>
      <c r="BG1037" s="4">
        <v>1250</v>
      </c>
      <c r="BH1037" s="4">
        <v>1250</v>
      </c>
      <c r="BI1037" s="4">
        <f t="shared" si="156"/>
        <v>250</v>
      </c>
      <c r="BJ1037" s="19">
        <v>4</v>
      </c>
      <c r="BK1037" s="19">
        <v>8</v>
      </c>
      <c r="BL1037" s="16">
        <v>6</v>
      </c>
      <c r="BM1037" s="45" t="s">
        <v>3534</v>
      </c>
      <c r="BN1037" t="s">
        <v>3534</v>
      </c>
      <c r="BO1037" t="str">
        <f t="shared" si="158"/>
        <v>-</v>
      </c>
      <c r="BP1037" t="s">
        <v>3534</v>
      </c>
      <c r="BQ1037">
        <v>248</v>
      </c>
      <c r="BR1037">
        <f t="shared" si="159"/>
        <v>248</v>
      </c>
      <c r="BS1037" t="s">
        <v>3353</v>
      </c>
    </row>
    <row r="1038" spans="1:71" x14ac:dyDescent="0.4">
      <c r="A1038" s="3">
        <v>1035</v>
      </c>
      <c r="B1038" s="3">
        <v>1035</v>
      </c>
      <c r="C1038" s="4" t="s">
        <v>1097</v>
      </c>
      <c r="D1038" s="4" t="str">
        <f t="shared" si="151"/>
        <v>J854WK</v>
      </c>
      <c r="E1038" s="4" t="s">
        <v>1097</v>
      </c>
      <c r="F1038" s="4" t="s">
        <v>2315</v>
      </c>
      <c r="G1038" s="5">
        <v>4521718746562</v>
      </c>
      <c r="H1038" s="5"/>
      <c r="I1038" s="5"/>
      <c r="J1038" s="5">
        <v>1</v>
      </c>
      <c r="K1038" s="5">
        <v>1</v>
      </c>
      <c r="L1038" s="4">
        <v>400</v>
      </c>
      <c r="M1038" s="4">
        <v>400</v>
      </c>
      <c r="N1038" s="4">
        <v>280</v>
      </c>
      <c r="O1038" s="6">
        <f t="shared" si="152"/>
        <v>0.30000000000000004</v>
      </c>
      <c r="P1038" s="4" t="s">
        <v>2500</v>
      </c>
      <c r="Q1038" s="4"/>
      <c r="R1038" s="4"/>
      <c r="S1038" s="4"/>
      <c r="T1038" s="4"/>
      <c r="U1038" s="4"/>
      <c r="V1038" s="4"/>
      <c r="W1038" s="4"/>
      <c r="X1038" s="4"/>
      <c r="Y1038" s="4">
        <v>400</v>
      </c>
      <c r="Z1038" s="4">
        <f t="shared" si="153"/>
        <v>400</v>
      </c>
      <c r="AA1038" s="4">
        <v>280</v>
      </c>
      <c r="AB1038" s="4">
        <f t="shared" si="154"/>
        <v>280</v>
      </c>
      <c r="AC1038" s="4"/>
      <c r="AD1038" s="21">
        <f>ROUND(M1038*AR1038,0)</f>
        <v>400</v>
      </c>
      <c r="AE1038" s="6">
        <f>1-AB1038/AD1038</f>
        <v>0.30000000000000004</v>
      </c>
      <c r="AF1038" s="33">
        <v>0</v>
      </c>
      <c r="AG1038" s="4">
        <f t="shared" si="155"/>
        <v>400</v>
      </c>
      <c r="AH1038" s="33">
        <f t="shared" si="157"/>
        <v>400</v>
      </c>
      <c r="AI1038" s="6">
        <f>1-AB1038/AH1038</f>
        <v>0.30000000000000004</v>
      </c>
      <c r="AJ1038" s="7">
        <v>400</v>
      </c>
      <c r="AK1038" s="6">
        <f>1-AB1038/AJ1038</f>
        <v>0.30000000000000004</v>
      </c>
      <c r="AL1038" s="4">
        <f>AJ1038-AB1038</f>
        <v>120</v>
      </c>
      <c r="AM1038" s="28"/>
      <c r="AN1038" s="6"/>
      <c r="AO1038" s="6"/>
      <c r="AP1038" s="6">
        <f>Z1038/L1038</f>
        <v>1</v>
      </c>
      <c r="AQ1038" s="6">
        <f>AJ1038/M1038</f>
        <v>1</v>
      </c>
      <c r="AR1038" s="6">
        <f>AB1038/N1038</f>
        <v>1</v>
      </c>
      <c r="AS1038" s="4"/>
      <c r="AT1038" s="4"/>
      <c r="AU1038" s="4"/>
      <c r="AV1038" s="4"/>
      <c r="AW1038" s="4"/>
      <c r="AX1038" s="4"/>
      <c r="AY1038" s="4"/>
      <c r="AZ1038" s="4"/>
      <c r="BA1038" s="4"/>
      <c r="BB1038" s="4">
        <v>0</v>
      </c>
      <c r="BC1038" s="4" t="s">
        <v>4501</v>
      </c>
      <c r="BD1038" s="4">
        <v>1</v>
      </c>
      <c r="BE1038" s="4">
        <v>3</v>
      </c>
      <c r="BF1038" s="4" t="s">
        <v>3623</v>
      </c>
      <c r="BG1038" s="4">
        <v>1200</v>
      </c>
      <c r="BH1038" s="4">
        <v>1200</v>
      </c>
      <c r="BI1038" s="4">
        <f t="shared" si="156"/>
        <v>400</v>
      </c>
      <c r="BJ1038" s="19">
        <v>4</v>
      </c>
      <c r="BK1038" s="19">
        <v>8</v>
      </c>
      <c r="BL1038" s="16">
        <v>6</v>
      </c>
      <c r="BM1038" s="45" t="s">
        <v>3534</v>
      </c>
      <c r="BN1038" t="s">
        <v>3534</v>
      </c>
      <c r="BO1038" t="str">
        <f t="shared" si="158"/>
        <v>-</v>
      </c>
      <c r="BP1038" t="s">
        <v>3534</v>
      </c>
      <c r="BQ1038" t="s">
        <v>3534</v>
      </c>
      <c r="BR1038" t="str">
        <f t="shared" si="159"/>
        <v>-</v>
      </c>
      <c r="BS1038" t="s">
        <v>3354</v>
      </c>
    </row>
    <row r="1039" spans="1:71" x14ac:dyDescent="0.4">
      <c r="A1039" s="3">
        <v>1036</v>
      </c>
      <c r="B1039" s="3">
        <v>1036</v>
      </c>
      <c r="C1039" s="4" t="s">
        <v>1098</v>
      </c>
      <c r="D1039" s="4" t="str">
        <f t="shared" si="151"/>
        <v>J855WK</v>
      </c>
      <c r="E1039" s="4" t="s">
        <v>1098</v>
      </c>
      <c r="F1039" s="4" t="s">
        <v>2316</v>
      </c>
      <c r="G1039" s="5">
        <v>4521718746579</v>
      </c>
      <c r="H1039" s="5"/>
      <c r="I1039" s="5"/>
      <c r="J1039" s="5">
        <v>1</v>
      </c>
      <c r="K1039" s="5">
        <v>1</v>
      </c>
      <c r="L1039" s="4">
        <v>400</v>
      </c>
      <c r="M1039" s="4">
        <v>400</v>
      </c>
      <c r="N1039" s="4">
        <v>280</v>
      </c>
      <c r="O1039" s="6">
        <f t="shared" si="152"/>
        <v>0.30000000000000004</v>
      </c>
      <c r="P1039" s="4" t="s">
        <v>2500</v>
      </c>
      <c r="Q1039" s="4"/>
      <c r="R1039" s="4"/>
      <c r="S1039" s="4"/>
      <c r="T1039" s="4"/>
      <c r="U1039" s="4"/>
      <c r="V1039" s="4"/>
      <c r="W1039" s="4"/>
      <c r="X1039" s="4"/>
      <c r="Y1039" s="4">
        <v>400</v>
      </c>
      <c r="Z1039" s="4">
        <f t="shared" si="153"/>
        <v>400</v>
      </c>
      <c r="AA1039" s="4">
        <v>280</v>
      </c>
      <c r="AB1039" s="4">
        <f t="shared" si="154"/>
        <v>280</v>
      </c>
      <c r="AC1039" s="4"/>
      <c r="AD1039" s="21">
        <f>ROUND(M1039*AR1039,0)</f>
        <v>400</v>
      </c>
      <c r="AE1039" s="6">
        <f>1-AB1039/AD1039</f>
        <v>0.30000000000000004</v>
      </c>
      <c r="AF1039" s="33">
        <v>0</v>
      </c>
      <c r="AG1039" s="4">
        <f t="shared" si="155"/>
        <v>400</v>
      </c>
      <c r="AH1039" s="33">
        <f t="shared" si="157"/>
        <v>400</v>
      </c>
      <c r="AI1039" s="6">
        <f>1-AB1039/AH1039</f>
        <v>0.30000000000000004</v>
      </c>
      <c r="AJ1039" s="7">
        <v>400</v>
      </c>
      <c r="AK1039" s="6">
        <f>1-AB1039/AJ1039</f>
        <v>0.30000000000000004</v>
      </c>
      <c r="AL1039" s="4">
        <f>AJ1039-AB1039</f>
        <v>120</v>
      </c>
      <c r="AM1039" s="28"/>
      <c r="AN1039" s="6"/>
      <c r="AO1039" s="6"/>
      <c r="AP1039" s="6">
        <f>Z1039/L1039</f>
        <v>1</v>
      </c>
      <c r="AQ1039" s="6">
        <f>AJ1039/M1039</f>
        <v>1</v>
      </c>
      <c r="AR1039" s="6">
        <f>AB1039/N1039</f>
        <v>1</v>
      </c>
      <c r="AS1039" s="4"/>
      <c r="AT1039" s="4"/>
      <c r="AU1039" s="4"/>
      <c r="AV1039" s="4"/>
      <c r="AW1039" s="4"/>
      <c r="AX1039" s="4"/>
      <c r="AY1039" s="4"/>
      <c r="AZ1039" s="4"/>
      <c r="BA1039" s="4"/>
      <c r="BB1039" s="4">
        <v>0</v>
      </c>
      <c r="BC1039" s="4" t="s">
        <v>4502</v>
      </c>
      <c r="BD1039" s="4">
        <v>1</v>
      </c>
      <c r="BE1039" s="4">
        <v>3</v>
      </c>
      <c r="BF1039" s="4" t="s">
        <v>3623</v>
      </c>
      <c r="BG1039" s="4">
        <v>1200</v>
      </c>
      <c r="BH1039" s="4">
        <v>1200</v>
      </c>
      <c r="BI1039" s="4">
        <f t="shared" si="156"/>
        <v>400</v>
      </c>
      <c r="BJ1039" s="19">
        <v>4</v>
      </c>
      <c r="BK1039" s="19">
        <v>8</v>
      </c>
      <c r="BL1039" s="16">
        <v>6</v>
      </c>
      <c r="BM1039" s="45" t="s">
        <v>3534</v>
      </c>
      <c r="BN1039" t="s">
        <v>3534</v>
      </c>
      <c r="BO1039" t="str">
        <f t="shared" si="158"/>
        <v>-</v>
      </c>
      <c r="BP1039" t="s">
        <v>3534</v>
      </c>
      <c r="BQ1039" t="s">
        <v>3534</v>
      </c>
      <c r="BR1039" t="str">
        <f t="shared" si="159"/>
        <v>-</v>
      </c>
      <c r="BS1039" t="s">
        <v>3355</v>
      </c>
    </row>
    <row r="1040" spans="1:71" x14ac:dyDescent="0.4">
      <c r="A1040" s="3">
        <v>1037</v>
      </c>
      <c r="B1040" s="3">
        <v>1037</v>
      </c>
      <c r="C1040" s="4" t="s">
        <v>1099</v>
      </c>
      <c r="D1040" s="4" t="str">
        <f t="shared" si="151"/>
        <v>J856WK</v>
      </c>
      <c r="E1040" s="4" t="s">
        <v>1099</v>
      </c>
      <c r="F1040" s="4" t="s">
        <v>2317</v>
      </c>
      <c r="G1040" s="5">
        <v>4521718746586</v>
      </c>
      <c r="H1040" s="5"/>
      <c r="I1040" s="5"/>
      <c r="J1040" s="5">
        <v>1</v>
      </c>
      <c r="K1040" s="5">
        <v>1</v>
      </c>
      <c r="L1040" s="4">
        <v>400</v>
      </c>
      <c r="M1040" s="4">
        <v>400</v>
      </c>
      <c r="N1040" s="4">
        <v>280</v>
      </c>
      <c r="O1040" s="6">
        <f t="shared" si="152"/>
        <v>0.30000000000000004</v>
      </c>
      <c r="P1040" s="4" t="s">
        <v>2500</v>
      </c>
      <c r="Q1040" s="4"/>
      <c r="R1040" s="4"/>
      <c r="S1040" s="4"/>
      <c r="T1040" s="4"/>
      <c r="U1040" s="4"/>
      <c r="V1040" s="4"/>
      <c r="W1040" s="4"/>
      <c r="X1040" s="4"/>
      <c r="Y1040" s="4">
        <v>400</v>
      </c>
      <c r="Z1040" s="4">
        <f t="shared" si="153"/>
        <v>400</v>
      </c>
      <c r="AA1040" s="4">
        <v>280</v>
      </c>
      <c r="AB1040" s="4">
        <f t="shared" si="154"/>
        <v>280</v>
      </c>
      <c r="AC1040" s="4"/>
      <c r="AD1040" s="21">
        <f>ROUND(M1040*AR1040,0)</f>
        <v>400</v>
      </c>
      <c r="AE1040" s="6">
        <f>1-AB1040/AD1040</f>
        <v>0.30000000000000004</v>
      </c>
      <c r="AF1040" s="33">
        <v>0</v>
      </c>
      <c r="AG1040" s="4">
        <f t="shared" si="155"/>
        <v>400</v>
      </c>
      <c r="AH1040" s="33">
        <f t="shared" si="157"/>
        <v>400</v>
      </c>
      <c r="AI1040" s="6">
        <f>1-AB1040/AH1040</f>
        <v>0.30000000000000004</v>
      </c>
      <c r="AJ1040" s="7">
        <v>400</v>
      </c>
      <c r="AK1040" s="6">
        <f>1-AB1040/AJ1040</f>
        <v>0.30000000000000004</v>
      </c>
      <c r="AL1040" s="4">
        <f>AJ1040-AB1040</f>
        <v>120</v>
      </c>
      <c r="AM1040" s="28"/>
      <c r="AN1040" s="6"/>
      <c r="AO1040" s="6"/>
      <c r="AP1040" s="6">
        <f>Z1040/L1040</f>
        <v>1</v>
      </c>
      <c r="AQ1040" s="6">
        <f>AJ1040/M1040</f>
        <v>1</v>
      </c>
      <c r="AR1040" s="6">
        <f>AB1040/N1040</f>
        <v>1</v>
      </c>
      <c r="AS1040" s="4"/>
      <c r="AT1040" s="4"/>
      <c r="AU1040" s="4"/>
      <c r="AV1040" s="4"/>
      <c r="AW1040" s="4"/>
      <c r="AX1040" s="4"/>
      <c r="AY1040" s="4"/>
      <c r="AZ1040" s="4"/>
      <c r="BA1040" s="4"/>
      <c r="BB1040" s="4">
        <v>0</v>
      </c>
      <c r="BC1040" s="4" t="s">
        <v>4503</v>
      </c>
      <c r="BD1040" s="4">
        <v>1</v>
      </c>
      <c r="BE1040" s="4">
        <v>3</v>
      </c>
      <c r="BF1040" s="4" t="s">
        <v>3623</v>
      </c>
      <c r="BG1040" s="4">
        <v>1200</v>
      </c>
      <c r="BH1040" s="4">
        <v>1200</v>
      </c>
      <c r="BI1040" s="4">
        <f t="shared" si="156"/>
        <v>400</v>
      </c>
      <c r="BJ1040" s="19">
        <v>4</v>
      </c>
      <c r="BK1040" s="19">
        <v>8</v>
      </c>
      <c r="BL1040" s="16">
        <v>6</v>
      </c>
      <c r="BM1040" s="45" t="s">
        <v>3534</v>
      </c>
      <c r="BN1040" t="s">
        <v>3534</v>
      </c>
      <c r="BO1040" t="str">
        <f t="shared" si="158"/>
        <v>-</v>
      </c>
      <c r="BP1040" t="s">
        <v>3534</v>
      </c>
      <c r="BQ1040" t="s">
        <v>3534</v>
      </c>
      <c r="BR1040" t="str">
        <f t="shared" si="159"/>
        <v>-</v>
      </c>
      <c r="BS1040" t="s">
        <v>3356</v>
      </c>
    </row>
    <row r="1041" spans="1:71" x14ac:dyDescent="0.4">
      <c r="A1041" s="3">
        <v>1038</v>
      </c>
      <c r="B1041" s="3">
        <v>1038</v>
      </c>
      <c r="C1041" s="4" t="s">
        <v>1100</v>
      </c>
      <c r="D1041" s="4" t="str">
        <f t="shared" si="151"/>
        <v>J856LY</v>
      </c>
      <c r="E1041" s="4" t="s">
        <v>1100</v>
      </c>
      <c r="F1041" s="4" t="s">
        <v>2318</v>
      </c>
      <c r="G1041" s="5">
        <v>4521718778143</v>
      </c>
      <c r="H1041" s="5"/>
      <c r="I1041" s="5"/>
      <c r="J1041" s="5">
        <v>1</v>
      </c>
      <c r="K1041" s="5">
        <v>1</v>
      </c>
      <c r="L1041" s="4">
        <v>250</v>
      </c>
      <c r="M1041" s="4">
        <v>225</v>
      </c>
      <c r="N1041" s="4">
        <v>175</v>
      </c>
      <c r="O1041" s="6">
        <f t="shared" si="152"/>
        <v>0.22222222222222221</v>
      </c>
      <c r="P1041" s="4" t="s">
        <v>2500</v>
      </c>
      <c r="Q1041" s="4"/>
      <c r="R1041" s="4"/>
      <c r="S1041" s="4"/>
      <c r="T1041" s="4"/>
      <c r="U1041" s="4"/>
      <c r="V1041" s="4"/>
      <c r="W1041" s="4"/>
      <c r="X1041" s="4"/>
      <c r="Y1041" s="4">
        <v>250</v>
      </c>
      <c r="Z1041" s="4">
        <f t="shared" si="153"/>
        <v>250</v>
      </c>
      <c r="AA1041" s="4">
        <v>175</v>
      </c>
      <c r="AB1041" s="4">
        <f t="shared" si="154"/>
        <v>175</v>
      </c>
      <c r="AC1041" s="4"/>
      <c r="AD1041" s="21">
        <f>ROUND(M1041*AR1041,0)</f>
        <v>225</v>
      </c>
      <c r="AE1041" s="6">
        <f>1-AB1041/AD1041</f>
        <v>0.22222222222222221</v>
      </c>
      <c r="AF1041" s="33">
        <v>0</v>
      </c>
      <c r="AG1041" s="4">
        <f t="shared" si="155"/>
        <v>250</v>
      </c>
      <c r="AH1041" s="33">
        <f t="shared" si="157"/>
        <v>250</v>
      </c>
      <c r="AI1041" s="6">
        <f>1-AB1041/AH1041</f>
        <v>0.30000000000000004</v>
      </c>
      <c r="AJ1041" s="7">
        <v>250</v>
      </c>
      <c r="AK1041" s="6">
        <f>1-AB1041/AJ1041</f>
        <v>0.30000000000000004</v>
      </c>
      <c r="AL1041" s="4">
        <f>AJ1041-AB1041</f>
        <v>75</v>
      </c>
      <c r="AM1041" s="28"/>
      <c r="AN1041" s="6"/>
      <c r="AO1041" s="6"/>
      <c r="AP1041" s="6">
        <f>Z1041/L1041</f>
        <v>1</v>
      </c>
      <c r="AQ1041" s="6">
        <f>AJ1041/M1041</f>
        <v>1.1111111111111112</v>
      </c>
      <c r="AR1041" s="6">
        <f>AB1041/N1041</f>
        <v>1</v>
      </c>
      <c r="AS1041" s="4"/>
      <c r="AT1041" s="4"/>
      <c r="AU1041" s="4"/>
      <c r="AV1041" s="4"/>
      <c r="AW1041" s="4"/>
      <c r="AX1041" s="4"/>
      <c r="AY1041" s="4"/>
      <c r="AZ1041" s="4"/>
      <c r="BA1041" s="4"/>
      <c r="BB1041" s="4">
        <v>0</v>
      </c>
      <c r="BC1041" s="4" t="s">
        <v>4504</v>
      </c>
      <c r="BD1041" s="4">
        <v>1</v>
      </c>
      <c r="BE1041" s="4">
        <v>5</v>
      </c>
      <c r="BF1041" s="4" t="s">
        <v>3746</v>
      </c>
      <c r="BG1041" s="4">
        <v>1250</v>
      </c>
      <c r="BH1041" s="4">
        <v>1250</v>
      </c>
      <c r="BI1041" s="4">
        <f t="shared" si="156"/>
        <v>250</v>
      </c>
      <c r="BJ1041" s="19">
        <v>4</v>
      </c>
      <c r="BK1041" s="19">
        <v>8</v>
      </c>
      <c r="BL1041" s="16">
        <v>6</v>
      </c>
      <c r="BM1041" s="45" t="s">
        <v>3534</v>
      </c>
      <c r="BN1041" t="s">
        <v>3534</v>
      </c>
      <c r="BO1041" t="str">
        <f t="shared" si="158"/>
        <v>-</v>
      </c>
      <c r="BP1041" t="s">
        <v>3534</v>
      </c>
      <c r="BQ1041">
        <v>248</v>
      </c>
      <c r="BR1041">
        <f t="shared" si="159"/>
        <v>248</v>
      </c>
      <c r="BS1041" t="s">
        <v>3357</v>
      </c>
    </row>
    <row r="1042" spans="1:71" x14ac:dyDescent="0.4">
      <c r="A1042" s="3">
        <v>1039</v>
      </c>
      <c r="B1042" s="3">
        <v>1039</v>
      </c>
      <c r="C1042" s="4" t="s">
        <v>1101</v>
      </c>
      <c r="D1042" s="4" t="str">
        <f t="shared" si="151"/>
        <v>J857LY</v>
      </c>
      <c r="E1042" s="4" t="s">
        <v>1101</v>
      </c>
      <c r="F1042" s="4" t="s">
        <v>2319</v>
      </c>
      <c r="G1042" s="5">
        <v>4521718778150</v>
      </c>
      <c r="H1042" s="5"/>
      <c r="I1042" s="5"/>
      <c r="J1042" s="5">
        <v>1</v>
      </c>
      <c r="K1042" s="5">
        <v>1</v>
      </c>
      <c r="L1042" s="4">
        <v>340</v>
      </c>
      <c r="M1042" s="4">
        <v>307</v>
      </c>
      <c r="N1042" s="4">
        <v>238</v>
      </c>
      <c r="O1042" s="6">
        <f t="shared" si="152"/>
        <v>0.22475570032573289</v>
      </c>
      <c r="P1042" s="4" t="s">
        <v>2500</v>
      </c>
      <c r="Q1042" s="4"/>
      <c r="R1042" s="4"/>
      <c r="S1042" s="4"/>
      <c r="T1042" s="4"/>
      <c r="U1042" s="4"/>
      <c r="V1042" s="4"/>
      <c r="W1042" s="4"/>
      <c r="X1042" s="4"/>
      <c r="Y1042" s="4">
        <v>337</v>
      </c>
      <c r="Z1042" s="4">
        <f t="shared" si="153"/>
        <v>337</v>
      </c>
      <c r="AA1042" s="4">
        <v>236</v>
      </c>
      <c r="AB1042" s="4">
        <f t="shared" si="154"/>
        <v>236</v>
      </c>
      <c r="AC1042" s="4"/>
      <c r="AD1042" s="21">
        <f>ROUND(M1042*AR1042,0)</f>
        <v>304</v>
      </c>
      <c r="AE1042" s="6">
        <f>1-AB1042/AD1042</f>
        <v>0.22368421052631582</v>
      </c>
      <c r="AF1042" s="33">
        <v>0</v>
      </c>
      <c r="AG1042" s="4">
        <f t="shared" si="155"/>
        <v>340</v>
      </c>
      <c r="AH1042" s="33">
        <f t="shared" si="157"/>
        <v>337.14285714285717</v>
      </c>
      <c r="AI1042" s="6">
        <f>1-AB1042/AH1042</f>
        <v>0.30000000000000004</v>
      </c>
      <c r="AJ1042" s="7">
        <v>337</v>
      </c>
      <c r="AK1042" s="6">
        <f>1-AB1042/AJ1042</f>
        <v>0.29970326409495551</v>
      </c>
      <c r="AL1042" s="4">
        <f>AJ1042-AB1042</f>
        <v>101</v>
      </c>
      <c r="AM1042" s="28"/>
      <c r="AN1042" s="6"/>
      <c r="AO1042" s="6"/>
      <c r="AP1042" s="6">
        <f>Z1042/L1042</f>
        <v>0.99117647058823533</v>
      </c>
      <c r="AQ1042" s="6">
        <f>AJ1042/M1042</f>
        <v>1.0977198697068404</v>
      </c>
      <c r="AR1042" s="6">
        <f>AB1042/N1042</f>
        <v>0.99159663865546221</v>
      </c>
      <c r="AS1042" s="4"/>
      <c r="AT1042" s="4"/>
      <c r="AU1042" s="4"/>
      <c r="AV1042" s="4"/>
      <c r="AW1042" s="4"/>
      <c r="AX1042" s="4"/>
      <c r="AY1042" s="4"/>
      <c r="AZ1042" s="4"/>
      <c r="BA1042" s="4"/>
      <c r="BB1042" s="4">
        <v>0</v>
      </c>
      <c r="BC1042" s="4" t="s">
        <v>4505</v>
      </c>
      <c r="BD1042" s="4">
        <v>1</v>
      </c>
      <c r="BE1042" s="4">
        <v>5</v>
      </c>
      <c r="BF1042" s="4" t="s">
        <v>3746</v>
      </c>
      <c r="BG1042" s="4">
        <v>1700</v>
      </c>
      <c r="BH1042" s="4">
        <v>1700</v>
      </c>
      <c r="BI1042" s="4">
        <f t="shared" si="156"/>
        <v>340</v>
      </c>
      <c r="BJ1042" s="19">
        <v>4</v>
      </c>
      <c r="BK1042" s="19">
        <v>8</v>
      </c>
      <c r="BL1042" s="16">
        <v>6</v>
      </c>
      <c r="BM1042" s="45" t="s">
        <v>3534</v>
      </c>
      <c r="BN1042" t="s">
        <v>3534</v>
      </c>
      <c r="BO1042" t="str">
        <f t="shared" si="158"/>
        <v>-</v>
      </c>
      <c r="BP1042" t="s">
        <v>3534</v>
      </c>
      <c r="BQ1042">
        <v>338</v>
      </c>
      <c r="BR1042">
        <f t="shared" si="159"/>
        <v>335.15966386554624</v>
      </c>
      <c r="BS1042" t="s">
        <v>3358</v>
      </c>
    </row>
    <row r="1043" spans="1:71" x14ac:dyDescent="0.4">
      <c r="A1043" s="3">
        <v>1040</v>
      </c>
      <c r="B1043" s="3">
        <v>1040</v>
      </c>
      <c r="C1043" s="4" t="s">
        <v>1102</v>
      </c>
      <c r="D1043" s="4" t="str">
        <f t="shared" si="151"/>
        <v>J857WK</v>
      </c>
      <c r="E1043" s="4" t="s">
        <v>1102</v>
      </c>
      <c r="F1043" s="4" t="s">
        <v>2320</v>
      </c>
      <c r="G1043" s="5">
        <v>4521718746593</v>
      </c>
      <c r="H1043" s="5"/>
      <c r="I1043" s="5"/>
      <c r="J1043" s="5">
        <v>1</v>
      </c>
      <c r="K1043" s="5">
        <v>1</v>
      </c>
      <c r="L1043" s="4">
        <v>400</v>
      </c>
      <c r="M1043" s="4">
        <v>400</v>
      </c>
      <c r="N1043" s="4">
        <v>280</v>
      </c>
      <c r="O1043" s="6">
        <f t="shared" si="152"/>
        <v>0.30000000000000004</v>
      </c>
      <c r="P1043" s="4" t="s">
        <v>2500</v>
      </c>
      <c r="Q1043" s="4"/>
      <c r="R1043" s="4"/>
      <c r="S1043" s="4"/>
      <c r="T1043" s="4"/>
      <c r="U1043" s="4"/>
      <c r="V1043" s="4"/>
      <c r="W1043" s="4"/>
      <c r="X1043" s="4"/>
      <c r="Y1043" s="4">
        <v>400</v>
      </c>
      <c r="Z1043" s="4">
        <f t="shared" si="153"/>
        <v>400</v>
      </c>
      <c r="AA1043" s="4">
        <v>280</v>
      </c>
      <c r="AB1043" s="4">
        <f t="shared" si="154"/>
        <v>280</v>
      </c>
      <c r="AC1043" s="4"/>
      <c r="AD1043" s="21">
        <f>ROUND(M1043*AR1043,0)</f>
        <v>400</v>
      </c>
      <c r="AE1043" s="6">
        <f>1-AB1043/AD1043</f>
        <v>0.30000000000000004</v>
      </c>
      <c r="AF1043" s="33">
        <v>0</v>
      </c>
      <c r="AG1043" s="4">
        <f t="shared" si="155"/>
        <v>400</v>
      </c>
      <c r="AH1043" s="33">
        <f t="shared" si="157"/>
        <v>400</v>
      </c>
      <c r="AI1043" s="6">
        <f>1-AB1043/AH1043</f>
        <v>0.30000000000000004</v>
      </c>
      <c r="AJ1043" s="7">
        <v>400</v>
      </c>
      <c r="AK1043" s="6">
        <f>1-AB1043/AJ1043</f>
        <v>0.30000000000000004</v>
      </c>
      <c r="AL1043" s="4">
        <f>AJ1043-AB1043</f>
        <v>120</v>
      </c>
      <c r="AM1043" s="28"/>
      <c r="AN1043" s="6"/>
      <c r="AO1043" s="6"/>
      <c r="AP1043" s="6">
        <f>Z1043/L1043</f>
        <v>1</v>
      </c>
      <c r="AQ1043" s="6">
        <f>AJ1043/M1043</f>
        <v>1</v>
      </c>
      <c r="AR1043" s="6">
        <f>AB1043/N1043</f>
        <v>1</v>
      </c>
      <c r="AS1043" s="4"/>
      <c r="AT1043" s="4"/>
      <c r="AU1043" s="4"/>
      <c r="AV1043" s="4"/>
      <c r="AW1043" s="4"/>
      <c r="AX1043" s="4"/>
      <c r="AY1043" s="4"/>
      <c r="AZ1043" s="4"/>
      <c r="BA1043" s="4"/>
      <c r="BB1043" s="4">
        <v>0</v>
      </c>
      <c r="BC1043" s="4" t="s">
        <v>4506</v>
      </c>
      <c r="BD1043" s="4">
        <v>1</v>
      </c>
      <c r="BE1043" s="4">
        <v>3</v>
      </c>
      <c r="BF1043" s="4" t="s">
        <v>3623</v>
      </c>
      <c r="BG1043" s="4">
        <v>1200</v>
      </c>
      <c r="BH1043" s="4">
        <v>1200</v>
      </c>
      <c r="BI1043" s="4">
        <f t="shared" si="156"/>
        <v>400</v>
      </c>
      <c r="BJ1043" s="19">
        <v>4</v>
      </c>
      <c r="BK1043" s="19">
        <v>8</v>
      </c>
      <c r="BL1043" s="16">
        <v>6</v>
      </c>
      <c r="BM1043" s="45" t="s">
        <v>3534</v>
      </c>
      <c r="BN1043" t="s">
        <v>3534</v>
      </c>
      <c r="BO1043" t="str">
        <f t="shared" si="158"/>
        <v>-</v>
      </c>
      <c r="BP1043" t="s">
        <v>3534</v>
      </c>
      <c r="BQ1043" t="s">
        <v>3534</v>
      </c>
      <c r="BR1043" t="str">
        <f t="shared" si="159"/>
        <v>-</v>
      </c>
      <c r="BS1043" t="s">
        <v>3359</v>
      </c>
    </row>
    <row r="1044" spans="1:71" x14ac:dyDescent="0.4">
      <c r="A1044" s="3">
        <v>1041</v>
      </c>
      <c r="B1044" s="3">
        <v>1041</v>
      </c>
      <c r="C1044" s="4" t="s">
        <v>1103</v>
      </c>
      <c r="D1044" s="4" t="str">
        <f t="shared" si="151"/>
        <v>J858WK</v>
      </c>
      <c r="E1044" s="4" t="s">
        <v>1103</v>
      </c>
      <c r="F1044" s="4" t="s">
        <v>2321</v>
      </c>
      <c r="G1044" s="5">
        <v>4521718746609</v>
      </c>
      <c r="H1044" s="5"/>
      <c r="I1044" s="5"/>
      <c r="J1044" s="5">
        <v>1</v>
      </c>
      <c r="K1044" s="5">
        <v>1</v>
      </c>
      <c r="L1044" s="4">
        <v>400</v>
      </c>
      <c r="M1044" s="4">
        <v>400</v>
      </c>
      <c r="N1044" s="4">
        <v>280</v>
      </c>
      <c r="O1044" s="6">
        <f t="shared" si="152"/>
        <v>0.30000000000000004</v>
      </c>
      <c r="P1044" s="4" t="s">
        <v>2500</v>
      </c>
      <c r="Q1044" s="4"/>
      <c r="R1044" s="4"/>
      <c r="S1044" s="4"/>
      <c r="T1044" s="4"/>
      <c r="U1044" s="4"/>
      <c r="V1044" s="4"/>
      <c r="W1044" s="4"/>
      <c r="X1044" s="4"/>
      <c r="Y1044" s="4">
        <v>400</v>
      </c>
      <c r="Z1044" s="4">
        <f t="shared" si="153"/>
        <v>400</v>
      </c>
      <c r="AA1044" s="4">
        <v>280</v>
      </c>
      <c r="AB1044" s="4">
        <f t="shared" si="154"/>
        <v>280</v>
      </c>
      <c r="AC1044" s="4"/>
      <c r="AD1044" s="21">
        <f>ROUND(M1044*AR1044,0)</f>
        <v>400</v>
      </c>
      <c r="AE1044" s="6">
        <f>1-AB1044/AD1044</f>
        <v>0.30000000000000004</v>
      </c>
      <c r="AF1044" s="33">
        <v>0</v>
      </c>
      <c r="AG1044" s="4">
        <f t="shared" si="155"/>
        <v>400</v>
      </c>
      <c r="AH1044" s="33">
        <f t="shared" si="157"/>
        <v>400</v>
      </c>
      <c r="AI1044" s="6">
        <f>1-AB1044/AH1044</f>
        <v>0.30000000000000004</v>
      </c>
      <c r="AJ1044" s="7">
        <v>400</v>
      </c>
      <c r="AK1044" s="6">
        <f>1-AB1044/AJ1044</f>
        <v>0.30000000000000004</v>
      </c>
      <c r="AL1044" s="4">
        <f>AJ1044-AB1044</f>
        <v>120</v>
      </c>
      <c r="AM1044" s="28"/>
      <c r="AN1044" s="6"/>
      <c r="AO1044" s="6"/>
      <c r="AP1044" s="6">
        <f>Z1044/L1044</f>
        <v>1</v>
      </c>
      <c r="AQ1044" s="6">
        <f>AJ1044/M1044</f>
        <v>1</v>
      </c>
      <c r="AR1044" s="6">
        <f>AB1044/N1044</f>
        <v>1</v>
      </c>
      <c r="AS1044" s="4"/>
      <c r="AT1044" s="4"/>
      <c r="AU1044" s="4"/>
      <c r="AV1044" s="4"/>
      <c r="AW1044" s="4"/>
      <c r="AX1044" s="4"/>
      <c r="AY1044" s="4"/>
      <c r="AZ1044" s="4"/>
      <c r="BA1044" s="4"/>
      <c r="BB1044" s="4">
        <v>0</v>
      </c>
      <c r="BC1044" s="4" t="s">
        <v>4507</v>
      </c>
      <c r="BD1044" s="4">
        <v>1</v>
      </c>
      <c r="BE1044" s="4">
        <v>3</v>
      </c>
      <c r="BF1044" s="4" t="s">
        <v>3623</v>
      </c>
      <c r="BG1044" s="4">
        <v>1200</v>
      </c>
      <c r="BH1044" s="4">
        <v>1200</v>
      </c>
      <c r="BI1044" s="4">
        <f t="shared" si="156"/>
        <v>400</v>
      </c>
      <c r="BJ1044" s="19">
        <v>4</v>
      </c>
      <c r="BK1044" s="19">
        <v>8</v>
      </c>
      <c r="BL1044" s="16">
        <v>6</v>
      </c>
      <c r="BM1044" s="45" t="s">
        <v>3534</v>
      </c>
      <c r="BN1044" t="s">
        <v>3534</v>
      </c>
      <c r="BO1044" t="str">
        <f t="shared" si="158"/>
        <v>-</v>
      </c>
      <c r="BP1044" t="s">
        <v>3534</v>
      </c>
      <c r="BQ1044" t="s">
        <v>3534</v>
      </c>
      <c r="BR1044" t="str">
        <f t="shared" si="159"/>
        <v>-</v>
      </c>
      <c r="BS1044" t="s">
        <v>3360</v>
      </c>
    </row>
    <row r="1045" spans="1:71" x14ac:dyDescent="0.4">
      <c r="A1045" s="3">
        <v>1042</v>
      </c>
      <c r="B1045" s="3">
        <v>1042</v>
      </c>
      <c r="C1045" s="4" t="s">
        <v>1104</v>
      </c>
      <c r="D1045" s="4" t="str">
        <f t="shared" si="151"/>
        <v>J858LY</v>
      </c>
      <c r="E1045" s="4" t="s">
        <v>1104</v>
      </c>
      <c r="F1045" s="4" t="s">
        <v>2322</v>
      </c>
      <c r="G1045" s="5">
        <v>4521718778167</v>
      </c>
      <c r="H1045" s="5"/>
      <c r="I1045" s="5"/>
      <c r="J1045" s="5">
        <v>1</v>
      </c>
      <c r="K1045" s="5">
        <v>1</v>
      </c>
      <c r="L1045" s="4">
        <v>350</v>
      </c>
      <c r="M1045" s="4">
        <v>312</v>
      </c>
      <c r="N1045" s="4">
        <v>245</v>
      </c>
      <c r="O1045" s="6">
        <f t="shared" si="152"/>
        <v>0.21474358974358976</v>
      </c>
      <c r="P1045" s="4" t="s">
        <v>2500</v>
      </c>
      <c r="Q1045" s="4"/>
      <c r="R1045" s="4"/>
      <c r="S1045" s="4"/>
      <c r="T1045" s="4"/>
      <c r="U1045" s="4"/>
      <c r="V1045" s="4"/>
      <c r="W1045" s="4"/>
      <c r="X1045" s="4"/>
      <c r="Y1045" s="4">
        <v>346</v>
      </c>
      <c r="Z1045" s="4">
        <f t="shared" si="153"/>
        <v>346</v>
      </c>
      <c r="AA1045" s="4">
        <v>242</v>
      </c>
      <c r="AB1045" s="4">
        <f t="shared" si="154"/>
        <v>242</v>
      </c>
      <c r="AC1045" s="4"/>
      <c r="AD1045" s="21">
        <f>ROUND(M1045*AR1045,0)</f>
        <v>308</v>
      </c>
      <c r="AE1045" s="6">
        <f>1-AB1045/AD1045</f>
        <v>0.2142857142857143</v>
      </c>
      <c r="AF1045" s="33">
        <v>0</v>
      </c>
      <c r="AG1045" s="4">
        <f t="shared" si="155"/>
        <v>350</v>
      </c>
      <c r="AH1045" s="33">
        <f t="shared" si="157"/>
        <v>345.71428571428572</v>
      </c>
      <c r="AI1045" s="6">
        <f>1-AB1045/AH1045</f>
        <v>0.30000000000000004</v>
      </c>
      <c r="AJ1045" s="7">
        <v>345</v>
      </c>
      <c r="AK1045" s="6">
        <f>1-AB1045/AJ1045</f>
        <v>0.29855072463768118</v>
      </c>
      <c r="AL1045" s="4">
        <f>AJ1045-AB1045</f>
        <v>103</v>
      </c>
      <c r="AM1045" s="28"/>
      <c r="AN1045" s="6"/>
      <c r="AO1045" s="6"/>
      <c r="AP1045" s="6">
        <f>Z1045/L1045</f>
        <v>0.98857142857142855</v>
      </c>
      <c r="AQ1045" s="6">
        <f>AJ1045/M1045</f>
        <v>1.1057692307692308</v>
      </c>
      <c r="AR1045" s="6">
        <f>AB1045/N1045</f>
        <v>0.98775510204081629</v>
      </c>
      <c r="AS1045" s="4"/>
      <c r="AT1045" s="4"/>
      <c r="AU1045" s="4"/>
      <c r="AV1045" s="4"/>
      <c r="AW1045" s="4"/>
      <c r="AX1045" s="4"/>
      <c r="AY1045" s="4"/>
      <c r="AZ1045" s="4"/>
      <c r="BA1045" s="4"/>
      <c r="BB1045" s="4">
        <v>0</v>
      </c>
      <c r="BC1045" s="4" t="s">
        <v>4508</v>
      </c>
      <c r="BD1045" s="4">
        <v>1</v>
      </c>
      <c r="BE1045" s="4">
        <v>5</v>
      </c>
      <c r="BF1045" s="4" t="s">
        <v>3746</v>
      </c>
      <c r="BG1045" s="4">
        <v>1750</v>
      </c>
      <c r="BH1045" s="4">
        <v>1750</v>
      </c>
      <c r="BI1045" s="4">
        <f t="shared" si="156"/>
        <v>350</v>
      </c>
      <c r="BJ1045" s="19">
        <v>4</v>
      </c>
      <c r="BK1045" s="19">
        <v>8</v>
      </c>
      <c r="BL1045" s="16">
        <v>6</v>
      </c>
      <c r="BM1045" s="45" t="s">
        <v>3534</v>
      </c>
      <c r="BN1045" t="s">
        <v>3534</v>
      </c>
      <c r="BO1045" t="str">
        <f t="shared" si="158"/>
        <v>-</v>
      </c>
      <c r="BP1045" t="s">
        <v>3534</v>
      </c>
      <c r="BQ1045">
        <v>349</v>
      </c>
      <c r="BR1045">
        <f t="shared" si="159"/>
        <v>344.72653061224486</v>
      </c>
      <c r="BS1045" t="s">
        <v>3361</v>
      </c>
    </row>
    <row r="1046" spans="1:71" x14ac:dyDescent="0.4">
      <c r="A1046" s="3">
        <v>1043</v>
      </c>
      <c r="B1046" s="3">
        <v>1043</v>
      </c>
      <c r="C1046" s="4" t="s">
        <v>1105</v>
      </c>
      <c r="D1046" s="4" t="str">
        <f t="shared" si="151"/>
        <v>J859LY</v>
      </c>
      <c r="E1046" s="4" t="s">
        <v>1105</v>
      </c>
      <c r="F1046" s="4" t="s">
        <v>2323</v>
      </c>
      <c r="G1046" s="5">
        <v>4521718778174</v>
      </c>
      <c r="H1046" s="5"/>
      <c r="I1046" s="5"/>
      <c r="J1046" s="5">
        <v>1</v>
      </c>
      <c r="K1046" s="5">
        <v>1</v>
      </c>
      <c r="L1046" s="4">
        <v>340</v>
      </c>
      <c r="M1046" s="4">
        <v>307</v>
      </c>
      <c r="N1046" s="4">
        <v>238</v>
      </c>
      <c r="O1046" s="6">
        <f t="shared" si="152"/>
        <v>0.22475570032573289</v>
      </c>
      <c r="P1046" s="4" t="s">
        <v>2500</v>
      </c>
      <c r="Q1046" s="4"/>
      <c r="R1046" s="4"/>
      <c r="S1046" s="4"/>
      <c r="T1046" s="4"/>
      <c r="U1046" s="4"/>
      <c r="V1046" s="4"/>
      <c r="W1046" s="4"/>
      <c r="X1046" s="4"/>
      <c r="Y1046" s="4">
        <v>337</v>
      </c>
      <c r="Z1046" s="4">
        <f t="shared" si="153"/>
        <v>337</v>
      </c>
      <c r="AA1046" s="4">
        <v>236</v>
      </c>
      <c r="AB1046" s="4">
        <f t="shared" si="154"/>
        <v>236</v>
      </c>
      <c r="AC1046" s="4"/>
      <c r="AD1046" s="21">
        <f>ROUND(M1046*AR1046,0)</f>
        <v>304</v>
      </c>
      <c r="AE1046" s="6">
        <f>1-AB1046/AD1046</f>
        <v>0.22368421052631582</v>
      </c>
      <c r="AF1046" s="33">
        <v>0</v>
      </c>
      <c r="AG1046" s="4">
        <f t="shared" si="155"/>
        <v>340</v>
      </c>
      <c r="AH1046" s="33">
        <f t="shared" si="157"/>
        <v>337.14285714285717</v>
      </c>
      <c r="AI1046" s="6">
        <f>1-AB1046/AH1046</f>
        <v>0.30000000000000004</v>
      </c>
      <c r="AJ1046" s="7">
        <v>337</v>
      </c>
      <c r="AK1046" s="6">
        <f>1-AB1046/AJ1046</f>
        <v>0.29970326409495551</v>
      </c>
      <c r="AL1046" s="4">
        <f>AJ1046-AB1046</f>
        <v>101</v>
      </c>
      <c r="AM1046" s="28"/>
      <c r="AN1046" s="6"/>
      <c r="AO1046" s="6"/>
      <c r="AP1046" s="6">
        <f>Z1046/L1046</f>
        <v>0.99117647058823533</v>
      </c>
      <c r="AQ1046" s="6">
        <f>AJ1046/M1046</f>
        <v>1.0977198697068404</v>
      </c>
      <c r="AR1046" s="6">
        <f>AB1046/N1046</f>
        <v>0.99159663865546221</v>
      </c>
      <c r="AS1046" s="4"/>
      <c r="AT1046" s="4"/>
      <c r="AU1046" s="4"/>
      <c r="AV1046" s="4"/>
      <c r="AW1046" s="4"/>
      <c r="AX1046" s="4"/>
      <c r="AY1046" s="4"/>
      <c r="AZ1046" s="4"/>
      <c r="BA1046" s="4"/>
      <c r="BB1046" s="4">
        <v>0</v>
      </c>
      <c r="BC1046" s="4" t="s">
        <v>4509</v>
      </c>
      <c r="BD1046" s="4">
        <v>1</v>
      </c>
      <c r="BE1046" s="4">
        <v>5</v>
      </c>
      <c r="BF1046" s="4" t="s">
        <v>3746</v>
      </c>
      <c r="BG1046" s="4">
        <v>1700</v>
      </c>
      <c r="BH1046" s="4">
        <v>1700</v>
      </c>
      <c r="BI1046" s="4">
        <f t="shared" si="156"/>
        <v>340</v>
      </c>
      <c r="BJ1046" s="19">
        <v>4</v>
      </c>
      <c r="BK1046" s="19">
        <v>8</v>
      </c>
      <c r="BL1046" s="16">
        <v>6</v>
      </c>
      <c r="BM1046" s="45" t="s">
        <v>3534</v>
      </c>
      <c r="BN1046" t="s">
        <v>3534</v>
      </c>
      <c r="BO1046" t="str">
        <f t="shared" si="158"/>
        <v>-</v>
      </c>
      <c r="BP1046" t="s">
        <v>3534</v>
      </c>
      <c r="BQ1046">
        <v>340</v>
      </c>
      <c r="BR1046">
        <f t="shared" si="159"/>
        <v>337.14285714285717</v>
      </c>
      <c r="BS1046" t="s">
        <v>3362</v>
      </c>
    </row>
    <row r="1047" spans="1:71" x14ac:dyDescent="0.4">
      <c r="A1047" s="3">
        <v>1044</v>
      </c>
      <c r="B1047" s="3">
        <v>1044</v>
      </c>
      <c r="C1047" s="4" t="s">
        <v>1106</v>
      </c>
      <c r="D1047" s="4" t="str">
        <f t="shared" ref="D1047:D1110" si="160">TEXT(C1047,"000000")</f>
        <v>J860LY</v>
      </c>
      <c r="E1047" s="4" t="s">
        <v>1106</v>
      </c>
      <c r="F1047" s="4" t="s">
        <v>2324</v>
      </c>
      <c r="G1047" s="5">
        <v>4521718778181</v>
      </c>
      <c r="H1047" s="5"/>
      <c r="I1047" s="5"/>
      <c r="J1047" s="5">
        <v>1</v>
      </c>
      <c r="K1047" s="5">
        <v>1</v>
      </c>
      <c r="L1047" s="4">
        <v>300</v>
      </c>
      <c r="M1047" s="4">
        <v>270</v>
      </c>
      <c r="N1047" s="4">
        <v>210</v>
      </c>
      <c r="O1047" s="6">
        <f t="shared" ref="O1047:O1110" si="161">1-N1047/M1047</f>
        <v>0.22222222222222221</v>
      </c>
      <c r="P1047" s="4" t="s">
        <v>2500</v>
      </c>
      <c r="Q1047" s="4"/>
      <c r="R1047" s="4"/>
      <c r="S1047" s="4"/>
      <c r="T1047" s="4"/>
      <c r="U1047" s="4"/>
      <c r="V1047" s="4"/>
      <c r="W1047" s="4"/>
      <c r="X1047" s="4"/>
      <c r="Y1047" s="4">
        <v>300</v>
      </c>
      <c r="Z1047" s="4">
        <f t="shared" ref="Z1047:Z1110" si="162">IF(AC1047="",Y1047,Y1047*AC1047)</f>
        <v>300</v>
      </c>
      <c r="AA1047" s="4">
        <v>210</v>
      </c>
      <c r="AB1047" s="4">
        <f t="shared" ref="AB1047:AB1110" si="163">IF(AC1047="",AA1047,AA1047*AC1047)</f>
        <v>210</v>
      </c>
      <c r="AC1047" s="4"/>
      <c r="AD1047" s="21">
        <f>ROUND(M1047*AR1047,0)</f>
        <v>270</v>
      </c>
      <c r="AE1047" s="6">
        <f>1-AB1047/AD1047</f>
        <v>0.22222222222222221</v>
      </c>
      <c r="AF1047" s="33">
        <v>0</v>
      </c>
      <c r="AG1047" s="4">
        <f t="shared" ref="AG1047:AG1110" si="164">BI1047</f>
        <v>200</v>
      </c>
      <c r="AH1047" s="33">
        <f t="shared" si="157"/>
        <v>200</v>
      </c>
      <c r="AI1047" s="6">
        <f>1-AB1047/AH1047</f>
        <v>-5.0000000000000044E-2</v>
      </c>
      <c r="AJ1047" s="7">
        <v>300</v>
      </c>
      <c r="AK1047" s="6">
        <f>1-AB1047/AJ1047</f>
        <v>0.30000000000000004</v>
      </c>
      <c r="AL1047" s="4">
        <f>AJ1047-AB1047</f>
        <v>90</v>
      </c>
      <c r="AM1047" s="28"/>
      <c r="AN1047" s="6"/>
      <c r="AO1047" s="6"/>
      <c r="AP1047" s="6">
        <f>Z1047/L1047</f>
        <v>1</v>
      </c>
      <c r="AQ1047" s="6">
        <f>AJ1047/M1047</f>
        <v>1.1111111111111112</v>
      </c>
      <c r="AR1047" s="6">
        <f>AB1047/N1047</f>
        <v>1</v>
      </c>
      <c r="AS1047" s="4"/>
      <c r="AT1047" s="4"/>
      <c r="AU1047" s="4"/>
      <c r="AV1047" s="4"/>
      <c r="AW1047" s="4"/>
      <c r="AX1047" s="4"/>
      <c r="AY1047" s="4"/>
      <c r="AZ1047" s="4"/>
      <c r="BA1047" s="4"/>
      <c r="BB1047" s="4">
        <v>0</v>
      </c>
      <c r="BC1047" s="4" t="s">
        <v>4510</v>
      </c>
      <c r="BD1047" s="4">
        <v>1</v>
      </c>
      <c r="BE1047" s="4">
        <v>5</v>
      </c>
      <c r="BF1047" s="4" t="s">
        <v>3746</v>
      </c>
      <c r="BG1047" s="4">
        <v>1000</v>
      </c>
      <c r="BH1047" s="4">
        <v>1000</v>
      </c>
      <c r="BI1047" s="4">
        <f t="shared" ref="BI1047:BI1110" si="165">IF(BD1047="",BH1047,BD1047/BE1047*BH1047)</f>
        <v>200</v>
      </c>
      <c r="BJ1047" s="19">
        <v>4</v>
      </c>
      <c r="BK1047" s="19">
        <v>8</v>
      </c>
      <c r="BL1047" s="16">
        <v>6</v>
      </c>
      <c r="BM1047" s="45" t="s">
        <v>3534</v>
      </c>
      <c r="BN1047" t="s">
        <v>3534</v>
      </c>
      <c r="BO1047" t="str">
        <f t="shared" si="158"/>
        <v>-</v>
      </c>
      <c r="BP1047" t="s">
        <v>3534</v>
      </c>
      <c r="BQ1047">
        <v>298</v>
      </c>
      <c r="BR1047">
        <f t="shared" si="159"/>
        <v>298</v>
      </c>
      <c r="BS1047" t="s">
        <v>3363</v>
      </c>
    </row>
    <row r="1048" spans="1:71" x14ac:dyDescent="0.4">
      <c r="A1048" s="3">
        <v>1045</v>
      </c>
      <c r="B1048" s="3">
        <v>1045</v>
      </c>
      <c r="C1048" s="4" t="s">
        <v>1107</v>
      </c>
      <c r="D1048" s="4" t="str">
        <f t="shared" si="160"/>
        <v>J860WK</v>
      </c>
      <c r="E1048" s="4" t="s">
        <v>1107</v>
      </c>
      <c r="F1048" s="4" t="s">
        <v>2325</v>
      </c>
      <c r="G1048" s="5">
        <v>4521718746623</v>
      </c>
      <c r="H1048" s="5"/>
      <c r="I1048" s="5"/>
      <c r="J1048" s="5">
        <v>1</v>
      </c>
      <c r="K1048" s="5">
        <v>1</v>
      </c>
      <c r="L1048" s="4">
        <v>400</v>
      </c>
      <c r="M1048" s="4">
        <v>400</v>
      </c>
      <c r="N1048" s="4">
        <v>280</v>
      </c>
      <c r="O1048" s="6">
        <f t="shared" si="161"/>
        <v>0.30000000000000004</v>
      </c>
      <c r="P1048" s="4" t="s">
        <v>2500</v>
      </c>
      <c r="Q1048" s="4"/>
      <c r="R1048" s="4"/>
      <c r="S1048" s="4"/>
      <c r="T1048" s="4"/>
      <c r="U1048" s="4"/>
      <c r="V1048" s="4"/>
      <c r="W1048" s="4"/>
      <c r="X1048" s="4"/>
      <c r="Y1048" s="4">
        <v>400</v>
      </c>
      <c r="Z1048" s="4">
        <f t="shared" si="162"/>
        <v>400</v>
      </c>
      <c r="AA1048" s="4">
        <v>280</v>
      </c>
      <c r="AB1048" s="4">
        <f t="shared" si="163"/>
        <v>280</v>
      </c>
      <c r="AC1048" s="4"/>
      <c r="AD1048" s="21">
        <f>ROUND(M1048*AR1048,0)</f>
        <v>400</v>
      </c>
      <c r="AE1048" s="6">
        <f>1-AB1048/AD1048</f>
        <v>0.30000000000000004</v>
      </c>
      <c r="AF1048" s="33">
        <v>0</v>
      </c>
      <c r="AG1048" s="4">
        <f t="shared" si="164"/>
        <v>400</v>
      </c>
      <c r="AH1048" s="33">
        <f t="shared" si="157"/>
        <v>400</v>
      </c>
      <c r="AI1048" s="6">
        <f>1-AB1048/AH1048</f>
        <v>0.30000000000000004</v>
      </c>
      <c r="AJ1048" s="7">
        <v>400</v>
      </c>
      <c r="AK1048" s="6">
        <f>1-AB1048/AJ1048</f>
        <v>0.30000000000000004</v>
      </c>
      <c r="AL1048" s="4">
        <f>AJ1048-AB1048</f>
        <v>120</v>
      </c>
      <c r="AM1048" s="28"/>
      <c r="AN1048" s="6"/>
      <c r="AO1048" s="6"/>
      <c r="AP1048" s="6">
        <f>Z1048/L1048</f>
        <v>1</v>
      </c>
      <c r="AQ1048" s="6">
        <f>AJ1048/M1048</f>
        <v>1</v>
      </c>
      <c r="AR1048" s="6">
        <f>AB1048/N1048</f>
        <v>1</v>
      </c>
      <c r="AS1048" s="4"/>
      <c r="AT1048" s="4"/>
      <c r="AU1048" s="4"/>
      <c r="AV1048" s="4"/>
      <c r="AW1048" s="4"/>
      <c r="AX1048" s="4"/>
      <c r="AY1048" s="4"/>
      <c r="AZ1048" s="4"/>
      <c r="BA1048" s="4"/>
      <c r="BB1048" s="4">
        <v>0</v>
      </c>
      <c r="BC1048" s="4" t="s">
        <v>4511</v>
      </c>
      <c r="BD1048" s="4">
        <v>1</v>
      </c>
      <c r="BE1048" s="4">
        <v>3</v>
      </c>
      <c r="BF1048" s="4" t="s">
        <v>3623</v>
      </c>
      <c r="BG1048" s="4">
        <v>1200</v>
      </c>
      <c r="BH1048" s="4">
        <v>1200</v>
      </c>
      <c r="BI1048" s="4">
        <f t="shared" si="165"/>
        <v>400</v>
      </c>
      <c r="BJ1048" s="19">
        <v>4</v>
      </c>
      <c r="BK1048" s="19">
        <v>8</v>
      </c>
      <c r="BL1048" s="16">
        <v>6</v>
      </c>
      <c r="BM1048" s="45" t="s">
        <v>3534</v>
      </c>
      <c r="BN1048" t="s">
        <v>3534</v>
      </c>
      <c r="BO1048" t="str">
        <f t="shared" si="158"/>
        <v>-</v>
      </c>
      <c r="BP1048" t="s">
        <v>3534</v>
      </c>
      <c r="BQ1048" t="s">
        <v>3534</v>
      </c>
      <c r="BR1048" t="str">
        <f t="shared" si="159"/>
        <v>-</v>
      </c>
      <c r="BS1048" t="s">
        <v>3364</v>
      </c>
    </row>
    <row r="1049" spans="1:71" x14ac:dyDescent="0.4">
      <c r="A1049" s="3">
        <v>1046</v>
      </c>
      <c r="B1049" s="3">
        <v>1046</v>
      </c>
      <c r="C1049" s="4" t="s">
        <v>1108</v>
      </c>
      <c r="D1049" s="4" t="str">
        <f t="shared" si="160"/>
        <v>J861LY</v>
      </c>
      <c r="E1049" s="4" t="s">
        <v>1108</v>
      </c>
      <c r="F1049" s="4" t="s">
        <v>2326</v>
      </c>
      <c r="G1049" s="5">
        <v>4521718778198</v>
      </c>
      <c r="H1049" s="5"/>
      <c r="I1049" s="5"/>
      <c r="J1049" s="5">
        <v>1</v>
      </c>
      <c r="K1049" s="5">
        <v>1</v>
      </c>
      <c r="L1049" s="4">
        <v>230</v>
      </c>
      <c r="M1049" s="4">
        <v>210</v>
      </c>
      <c r="N1049" s="4">
        <v>161</v>
      </c>
      <c r="O1049" s="6">
        <f t="shared" si="161"/>
        <v>0.23333333333333328</v>
      </c>
      <c r="P1049" s="4" t="s">
        <v>2500</v>
      </c>
      <c r="Q1049" s="4"/>
      <c r="R1049" s="4"/>
      <c r="S1049" s="4"/>
      <c r="T1049" s="4"/>
      <c r="U1049" s="4"/>
      <c r="V1049" s="4"/>
      <c r="W1049" s="4"/>
      <c r="X1049" s="4"/>
      <c r="Y1049" s="4">
        <v>230</v>
      </c>
      <c r="Z1049" s="4">
        <f t="shared" si="162"/>
        <v>230</v>
      </c>
      <c r="AA1049" s="4">
        <v>161</v>
      </c>
      <c r="AB1049" s="4">
        <f t="shared" si="163"/>
        <v>161</v>
      </c>
      <c r="AC1049" s="4"/>
      <c r="AD1049" s="21">
        <f>ROUND(M1049*AR1049,0)</f>
        <v>210</v>
      </c>
      <c r="AE1049" s="6">
        <f>1-AB1049/AD1049</f>
        <v>0.23333333333333328</v>
      </c>
      <c r="AF1049" s="33">
        <v>0</v>
      </c>
      <c r="AG1049" s="4">
        <f t="shared" si="164"/>
        <v>230</v>
      </c>
      <c r="AH1049" s="33">
        <f t="shared" si="157"/>
        <v>230</v>
      </c>
      <c r="AI1049" s="6">
        <f>1-AB1049/AH1049</f>
        <v>0.30000000000000004</v>
      </c>
      <c r="AJ1049" s="7">
        <v>230</v>
      </c>
      <c r="AK1049" s="6">
        <f>1-AB1049/AJ1049</f>
        <v>0.30000000000000004</v>
      </c>
      <c r="AL1049" s="4">
        <f>AJ1049-AB1049</f>
        <v>69</v>
      </c>
      <c r="AM1049" s="28"/>
      <c r="AN1049" s="6"/>
      <c r="AO1049" s="6"/>
      <c r="AP1049" s="6">
        <f>Z1049/L1049</f>
        <v>1</v>
      </c>
      <c r="AQ1049" s="6">
        <f>AJ1049/M1049</f>
        <v>1.0952380952380953</v>
      </c>
      <c r="AR1049" s="6">
        <f>AB1049/N1049</f>
        <v>1</v>
      </c>
      <c r="AS1049" s="4"/>
      <c r="AT1049" s="4"/>
      <c r="AU1049" s="4"/>
      <c r="AV1049" s="4"/>
      <c r="AW1049" s="4"/>
      <c r="AX1049" s="4"/>
      <c r="AY1049" s="4"/>
      <c r="AZ1049" s="4"/>
      <c r="BA1049" s="4"/>
      <c r="BB1049" s="4">
        <v>0</v>
      </c>
      <c r="BC1049" s="4" t="s">
        <v>4512</v>
      </c>
      <c r="BD1049" s="4">
        <v>1</v>
      </c>
      <c r="BE1049" s="4">
        <v>5</v>
      </c>
      <c r="BF1049" s="4" t="s">
        <v>3746</v>
      </c>
      <c r="BG1049" s="4">
        <v>1150</v>
      </c>
      <c r="BH1049" s="4">
        <v>1150</v>
      </c>
      <c r="BI1049" s="4">
        <f t="shared" si="165"/>
        <v>230</v>
      </c>
      <c r="BJ1049" s="19">
        <v>4</v>
      </c>
      <c r="BK1049" s="19">
        <v>8</v>
      </c>
      <c r="BL1049" s="16">
        <v>6</v>
      </c>
      <c r="BM1049" s="45" t="s">
        <v>3534</v>
      </c>
      <c r="BN1049" t="s">
        <v>3534</v>
      </c>
      <c r="BO1049" t="str">
        <f t="shared" si="158"/>
        <v>-</v>
      </c>
      <c r="BP1049" t="s">
        <v>3534</v>
      </c>
      <c r="BQ1049">
        <v>228</v>
      </c>
      <c r="BR1049">
        <f t="shared" si="159"/>
        <v>228</v>
      </c>
      <c r="BS1049" t="s">
        <v>3365</v>
      </c>
    </row>
    <row r="1050" spans="1:71" x14ac:dyDescent="0.4">
      <c r="A1050" s="3">
        <v>1047</v>
      </c>
      <c r="B1050" s="3">
        <v>1047</v>
      </c>
      <c r="C1050" s="4" t="s">
        <v>1109</v>
      </c>
      <c r="D1050" s="4" t="str">
        <f t="shared" si="160"/>
        <v>J861WK</v>
      </c>
      <c r="E1050" s="4" t="s">
        <v>1109</v>
      </c>
      <c r="F1050" s="4" t="s">
        <v>2327</v>
      </c>
      <c r="G1050" s="5">
        <v>4521718747514</v>
      </c>
      <c r="H1050" s="5"/>
      <c r="I1050" s="5"/>
      <c r="J1050" s="5">
        <v>1</v>
      </c>
      <c r="K1050" s="5">
        <v>1</v>
      </c>
      <c r="L1050" s="4">
        <v>500</v>
      </c>
      <c r="M1050" s="4">
        <v>480</v>
      </c>
      <c r="N1050" s="4">
        <v>325</v>
      </c>
      <c r="O1050" s="6">
        <f t="shared" si="161"/>
        <v>0.32291666666666663</v>
      </c>
      <c r="P1050" s="4" t="s">
        <v>2500</v>
      </c>
      <c r="Q1050" s="4"/>
      <c r="R1050" s="4"/>
      <c r="S1050" s="4"/>
      <c r="T1050" s="4"/>
      <c r="U1050" s="4"/>
      <c r="V1050" s="4"/>
      <c r="W1050" s="4"/>
      <c r="X1050" s="4"/>
      <c r="Y1050" s="4">
        <v>500</v>
      </c>
      <c r="Z1050" s="4">
        <f t="shared" si="162"/>
        <v>500</v>
      </c>
      <c r="AA1050" s="4">
        <v>325</v>
      </c>
      <c r="AB1050" s="4">
        <f t="shared" si="163"/>
        <v>325</v>
      </c>
      <c r="AC1050" s="4"/>
      <c r="AD1050" s="21">
        <f>ROUND(M1050*AR1050,0)</f>
        <v>480</v>
      </c>
      <c r="AE1050" s="6">
        <f>1-AB1050/AD1050</f>
        <v>0.32291666666666663</v>
      </c>
      <c r="AF1050" s="33">
        <v>0</v>
      </c>
      <c r="AG1050" s="4">
        <f t="shared" si="164"/>
        <v>500</v>
      </c>
      <c r="AH1050" s="33">
        <f t="shared" si="157"/>
        <v>500</v>
      </c>
      <c r="AI1050" s="6">
        <f>1-AB1050/AH1050</f>
        <v>0.35</v>
      </c>
      <c r="AJ1050" s="7">
        <v>500</v>
      </c>
      <c r="AK1050" s="6">
        <f>1-AB1050/AJ1050</f>
        <v>0.35</v>
      </c>
      <c r="AL1050" s="4">
        <f>AJ1050-AB1050</f>
        <v>175</v>
      </c>
      <c r="AM1050" s="28"/>
      <c r="AN1050" s="6"/>
      <c r="AO1050" s="6"/>
      <c r="AP1050" s="6">
        <f>Z1050/L1050</f>
        <v>1</v>
      </c>
      <c r="AQ1050" s="6">
        <f>AJ1050/M1050</f>
        <v>1.0416666666666667</v>
      </c>
      <c r="AR1050" s="6">
        <f>AB1050/N1050</f>
        <v>1</v>
      </c>
      <c r="AS1050" s="4"/>
      <c r="AT1050" s="4"/>
      <c r="AU1050" s="4"/>
      <c r="AV1050" s="4"/>
      <c r="AW1050" s="4"/>
      <c r="AX1050" s="4"/>
      <c r="AY1050" s="4"/>
      <c r="AZ1050" s="4"/>
      <c r="BA1050" s="4"/>
      <c r="BB1050" s="4">
        <v>0</v>
      </c>
      <c r="BC1050" s="4" t="s">
        <v>4513</v>
      </c>
      <c r="BD1050" s="4">
        <v>1</v>
      </c>
      <c r="BE1050" s="4">
        <v>2</v>
      </c>
      <c r="BF1050" s="4" t="s">
        <v>3575</v>
      </c>
      <c r="BG1050" s="4">
        <v>1000</v>
      </c>
      <c r="BH1050" s="4">
        <v>1000</v>
      </c>
      <c r="BI1050" s="4">
        <f t="shared" si="165"/>
        <v>500</v>
      </c>
      <c r="BJ1050" s="19">
        <v>4</v>
      </c>
      <c r="BK1050" s="19">
        <v>8</v>
      </c>
      <c r="BL1050" s="16">
        <v>7</v>
      </c>
      <c r="BM1050" s="45" t="s">
        <v>3534</v>
      </c>
      <c r="BN1050" t="s">
        <v>3534</v>
      </c>
      <c r="BO1050" t="str">
        <f t="shared" si="158"/>
        <v>-</v>
      </c>
      <c r="BP1050" t="s">
        <v>3534</v>
      </c>
      <c r="BQ1050">
        <v>475</v>
      </c>
      <c r="BR1050">
        <f t="shared" si="159"/>
        <v>475</v>
      </c>
      <c r="BS1050" t="s">
        <v>3366</v>
      </c>
    </row>
    <row r="1051" spans="1:71" x14ac:dyDescent="0.4">
      <c r="A1051" s="3">
        <v>1048</v>
      </c>
      <c r="B1051" s="3">
        <v>1048</v>
      </c>
      <c r="C1051" s="4" t="s">
        <v>1110</v>
      </c>
      <c r="D1051" s="4" t="str">
        <f t="shared" si="160"/>
        <v>J859WK</v>
      </c>
      <c r="E1051" s="4" t="s">
        <v>1110</v>
      </c>
      <c r="F1051" s="4" t="s">
        <v>2328</v>
      </c>
      <c r="G1051" s="5">
        <v>4521718746616</v>
      </c>
      <c r="H1051" s="5"/>
      <c r="I1051" s="5"/>
      <c r="J1051" s="5">
        <v>1</v>
      </c>
      <c r="K1051" s="5">
        <v>1</v>
      </c>
      <c r="L1051" s="4">
        <v>400</v>
      </c>
      <c r="M1051" s="4">
        <v>400</v>
      </c>
      <c r="N1051" s="4">
        <v>280</v>
      </c>
      <c r="O1051" s="6">
        <f t="shared" si="161"/>
        <v>0.30000000000000004</v>
      </c>
      <c r="P1051" s="4" t="s">
        <v>2500</v>
      </c>
      <c r="Q1051" s="4"/>
      <c r="R1051" s="4"/>
      <c r="S1051" s="4"/>
      <c r="T1051" s="4"/>
      <c r="U1051" s="4"/>
      <c r="V1051" s="4"/>
      <c r="W1051" s="4"/>
      <c r="X1051" s="4"/>
      <c r="Y1051" s="4">
        <v>400</v>
      </c>
      <c r="Z1051" s="4">
        <f t="shared" si="162"/>
        <v>400</v>
      </c>
      <c r="AA1051" s="4">
        <v>280</v>
      </c>
      <c r="AB1051" s="4">
        <f t="shared" si="163"/>
        <v>280</v>
      </c>
      <c r="AC1051" s="4"/>
      <c r="AD1051" s="21">
        <f>ROUND(M1051*AR1051,0)</f>
        <v>400</v>
      </c>
      <c r="AE1051" s="6">
        <f>1-AB1051/AD1051</f>
        <v>0.30000000000000004</v>
      </c>
      <c r="AF1051" s="33">
        <v>0</v>
      </c>
      <c r="AG1051" s="4">
        <f t="shared" si="164"/>
        <v>400</v>
      </c>
      <c r="AH1051" s="33">
        <f t="shared" si="157"/>
        <v>400</v>
      </c>
      <c r="AI1051" s="6">
        <f>1-AB1051/AH1051</f>
        <v>0.30000000000000004</v>
      </c>
      <c r="AJ1051" s="7">
        <v>400</v>
      </c>
      <c r="AK1051" s="6">
        <f>1-AB1051/AJ1051</f>
        <v>0.30000000000000004</v>
      </c>
      <c r="AL1051" s="4">
        <f>AJ1051-AB1051</f>
        <v>120</v>
      </c>
      <c r="AM1051" s="28"/>
      <c r="AN1051" s="6"/>
      <c r="AO1051" s="6"/>
      <c r="AP1051" s="6">
        <f>Z1051/L1051</f>
        <v>1</v>
      </c>
      <c r="AQ1051" s="6">
        <f>AJ1051/M1051</f>
        <v>1</v>
      </c>
      <c r="AR1051" s="6">
        <f>AB1051/N1051</f>
        <v>1</v>
      </c>
      <c r="AS1051" s="4"/>
      <c r="AT1051" s="4"/>
      <c r="AU1051" s="4"/>
      <c r="AV1051" s="4"/>
      <c r="AW1051" s="4"/>
      <c r="AX1051" s="4"/>
      <c r="AY1051" s="4"/>
      <c r="AZ1051" s="4"/>
      <c r="BA1051" s="4"/>
      <c r="BB1051" s="4">
        <v>0</v>
      </c>
      <c r="BC1051" s="4" t="s">
        <v>4514</v>
      </c>
      <c r="BD1051" s="4">
        <v>1</v>
      </c>
      <c r="BE1051" s="4">
        <v>3</v>
      </c>
      <c r="BF1051" s="4" t="s">
        <v>3623</v>
      </c>
      <c r="BG1051" s="4">
        <v>1200</v>
      </c>
      <c r="BH1051" s="4">
        <v>1200</v>
      </c>
      <c r="BI1051" s="4">
        <f t="shared" si="165"/>
        <v>400</v>
      </c>
      <c r="BJ1051" s="19">
        <v>4</v>
      </c>
      <c r="BK1051" s="19">
        <v>8</v>
      </c>
      <c r="BL1051" s="16">
        <v>6</v>
      </c>
      <c r="BM1051" s="45" t="s">
        <v>3534</v>
      </c>
      <c r="BN1051" t="s">
        <v>3534</v>
      </c>
      <c r="BO1051" t="str">
        <f t="shared" si="158"/>
        <v>-</v>
      </c>
      <c r="BP1051" t="s">
        <v>3534</v>
      </c>
      <c r="BQ1051" t="s">
        <v>3534</v>
      </c>
      <c r="BR1051" t="str">
        <f t="shared" si="159"/>
        <v>-</v>
      </c>
      <c r="BS1051" t="s">
        <v>3367</v>
      </c>
    </row>
    <row r="1052" spans="1:71" x14ac:dyDescent="0.4">
      <c r="A1052" s="3">
        <v>1049</v>
      </c>
      <c r="B1052" s="3">
        <v>1049</v>
      </c>
      <c r="C1052" s="4" t="s">
        <v>1111</v>
      </c>
      <c r="D1052" s="4" t="str">
        <f t="shared" si="160"/>
        <v>J862LY</v>
      </c>
      <c r="E1052" s="4" t="s">
        <v>1111</v>
      </c>
      <c r="F1052" s="4" t="s">
        <v>2329</v>
      </c>
      <c r="G1052" s="5">
        <v>4521718778204</v>
      </c>
      <c r="H1052" s="5"/>
      <c r="I1052" s="5"/>
      <c r="J1052" s="5">
        <v>1</v>
      </c>
      <c r="K1052" s="5">
        <v>1</v>
      </c>
      <c r="L1052" s="4">
        <v>230</v>
      </c>
      <c r="M1052" s="4">
        <v>210</v>
      </c>
      <c r="N1052" s="4">
        <v>161</v>
      </c>
      <c r="O1052" s="6">
        <f t="shared" si="161"/>
        <v>0.23333333333333328</v>
      </c>
      <c r="P1052" s="4" t="s">
        <v>2500</v>
      </c>
      <c r="Q1052" s="4"/>
      <c r="R1052" s="4"/>
      <c r="S1052" s="4"/>
      <c r="T1052" s="4"/>
      <c r="U1052" s="4"/>
      <c r="V1052" s="4"/>
      <c r="W1052" s="4"/>
      <c r="X1052" s="4"/>
      <c r="Y1052" s="4">
        <v>230</v>
      </c>
      <c r="Z1052" s="4">
        <f t="shared" si="162"/>
        <v>230</v>
      </c>
      <c r="AA1052" s="4">
        <v>161</v>
      </c>
      <c r="AB1052" s="4">
        <f t="shared" si="163"/>
        <v>161</v>
      </c>
      <c r="AC1052" s="4"/>
      <c r="AD1052" s="21">
        <f>ROUND(M1052*AR1052,0)</f>
        <v>210</v>
      </c>
      <c r="AE1052" s="6">
        <f>1-AB1052/AD1052</f>
        <v>0.23333333333333328</v>
      </c>
      <c r="AF1052" s="33">
        <v>0</v>
      </c>
      <c r="AG1052" s="4">
        <f t="shared" si="164"/>
        <v>230</v>
      </c>
      <c r="AH1052" s="33">
        <f t="shared" si="157"/>
        <v>230</v>
      </c>
      <c r="AI1052" s="6">
        <f>1-AB1052/AH1052</f>
        <v>0.30000000000000004</v>
      </c>
      <c r="AJ1052" s="7">
        <v>230</v>
      </c>
      <c r="AK1052" s="6">
        <f>1-AB1052/AJ1052</f>
        <v>0.30000000000000004</v>
      </c>
      <c r="AL1052" s="4">
        <f>AJ1052-AB1052</f>
        <v>69</v>
      </c>
      <c r="AM1052" s="28"/>
      <c r="AN1052" s="6"/>
      <c r="AO1052" s="6"/>
      <c r="AP1052" s="6">
        <f>Z1052/L1052</f>
        <v>1</v>
      </c>
      <c r="AQ1052" s="6">
        <f>AJ1052/M1052</f>
        <v>1.0952380952380953</v>
      </c>
      <c r="AR1052" s="6">
        <f>AB1052/N1052</f>
        <v>1</v>
      </c>
      <c r="AS1052" s="4"/>
      <c r="AT1052" s="4"/>
      <c r="AU1052" s="4"/>
      <c r="AV1052" s="4"/>
      <c r="AW1052" s="4"/>
      <c r="AX1052" s="4"/>
      <c r="AY1052" s="4"/>
      <c r="AZ1052" s="4"/>
      <c r="BA1052" s="4"/>
      <c r="BB1052" s="4">
        <v>0</v>
      </c>
      <c r="BC1052" s="4" t="s">
        <v>4515</v>
      </c>
      <c r="BD1052" s="4">
        <v>1</v>
      </c>
      <c r="BE1052" s="4">
        <v>5</v>
      </c>
      <c r="BF1052" s="4" t="s">
        <v>3746</v>
      </c>
      <c r="BG1052" s="4">
        <v>1150</v>
      </c>
      <c r="BH1052" s="4">
        <v>1150</v>
      </c>
      <c r="BI1052" s="4">
        <f t="shared" si="165"/>
        <v>230</v>
      </c>
      <c r="BJ1052" s="19">
        <v>4</v>
      </c>
      <c r="BK1052" s="19">
        <v>8</v>
      </c>
      <c r="BL1052" s="16">
        <v>6</v>
      </c>
      <c r="BM1052" s="45" t="s">
        <v>3534</v>
      </c>
      <c r="BN1052" t="s">
        <v>3534</v>
      </c>
      <c r="BO1052" t="str">
        <f t="shared" si="158"/>
        <v>-</v>
      </c>
      <c r="BP1052" t="s">
        <v>3534</v>
      </c>
      <c r="BQ1052">
        <v>228</v>
      </c>
      <c r="BR1052">
        <f t="shared" si="159"/>
        <v>228</v>
      </c>
      <c r="BS1052" t="s">
        <v>3368</v>
      </c>
    </row>
    <row r="1053" spans="1:71" x14ac:dyDescent="0.4">
      <c r="A1053" s="3">
        <v>1050</v>
      </c>
      <c r="B1053" s="3">
        <v>1050</v>
      </c>
      <c r="C1053" s="4" t="s">
        <v>1112</v>
      </c>
      <c r="D1053" s="4" t="str">
        <f t="shared" si="160"/>
        <v>J862WK</v>
      </c>
      <c r="E1053" s="4" t="s">
        <v>1112</v>
      </c>
      <c r="F1053" s="4" t="s">
        <v>2330</v>
      </c>
      <c r="G1053" s="5">
        <v>4521718747521</v>
      </c>
      <c r="H1053" s="5"/>
      <c r="I1053" s="5"/>
      <c r="J1053" s="5">
        <v>1</v>
      </c>
      <c r="K1053" s="5">
        <v>1</v>
      </c>
      <c r="L1053" s="4">
        <v>300</v>
      </c>
      <c r="M1053" s="4">
        <v>280</v>
      </c>
      <c r="N1053" s="4">
        <v>195</v>
      </c>
      <c r="O1053" s="6">
        <f t="shared" si="161"/>
        <v>0.3035714285714286</v>
      </c>
      <c r="P1053" s="4" t="s">
        <v>2500</v>
      </c>
      <c r="Q1053" s="4"/>
      <c r="R1053" s="4"/>
      <c r="S1053" s="4"/>
      <c r="T1053" s="4"/>
      <c r="U1053" s="4"/>
      <c r="V1053" s="4"/>
      <c r="W1053" s="4"/>
      <c r="X1053" s="4"/>
      <c r="Y1053" s="4">
        <v>300</v>
      </c>
      <c r="Z1053" s="4">
        <f t="shared" si="162"/>
        <v>300</v>
      </c>
      <c r="AA1053" s="4">
        <v>195</v>
      </c>
      <c r="AB1053" s="4">
        <f t="shared" si="163"/>
        <v>195</v>
      </c>
      <c r="AC1053" s="4"/>
      <c r="AD1053" s="21">
        <f>ROUND(M1053*AR1053,0)</f>
        <v>280</v>
      </c>
      <c r="AE1053" s="6">
        <f>1-AB1053/AD1053</f>
        <v>0.3035714285714286</v>
      </c>
      <c r="AF1053" s="33">
        <v>0</v>
      </c>
      <c r="AG1053" s="4">
        <f t="shared" si="164"/>
        <v>300</v>
      </c>
      <c r="AH1053" s="33">
        <f t="shared" si="157"/>
        <v>300</v>
      </c>
      <c r="AI1053" s="6">
        <f>1-AB1053/AH1053</f>
        <v>0.35</v>
      </c>
      <c r="AJ1053" s="7">
        <v>300</v>
      </c>
      <c r="AK1053" s="6">
        <f>1-AB1053/AJ1053</f>
        <v>0.35</v>
      </c>
      <c r="AL1053" s="4">
        <f>AJ1053-AB1053</f>
        <v>105</v>
      </c>
      <c r="AM1053" s="28"/>
      <c r="AN1053" s="6"/>
      <c r="AO1053" s="6"/>
      <c r="AP1053" s="6">
        <f>Z1053/L1053</f>
        <v>1</v>
      </c>
      <c r="AQ1053" s="6">
        <f>AJ1053/M1053</f>
        <v>1.0714285714285714</v>
      </c>
      <c r="AR1053" s="6">
        <f>AB1053/N1053</f>
        <v>1</v>
      </c>
      <c r="AS1053" s="4"/>
      <c r="AT1053" s="4"/>
      <c r="AU1053" s="4"/>
      <c r="AV1053" s="4"/>
      <c r="AW1053" s="4"/>
      <c r="AX1053" s="4"/>
      <c r="AY1053" s="4"/>
      <c r="AZ1053" s="4"/>
      <c r="BA1053" s="4"/>
      <c r="BB1053" s="4">
        <v>0</v>
      </c>
      <c r="BC1053" s="4" t="s">
        <v>4516</v>
      </c>
      <c r="BD1053" s="4">
        <v>1</v>
      </c>
      <c r="BE1053" s="4">
        <v>4</v>
      </c>
      <c r="BF1053" s="4" t="s">
        <v>3579</v>
      </c>
      <c r="BG1053" s="4">
        <v>1200</v>
      </c>
      <c r="BH1053" s="4">
        <v>1200</v>
      </c>
      <c r="BI1053" s="4">
        <f t="shared" si="165"/>
        <v>300</v>
      </c>
      <c r="BJ1053" s="19">
        <v>4</v>
      </c>
      <c r="BK1053" s="19">
        <v>8</v>
      </c>
      <c r="BL1053" s="16">
        <v>7</v>
      </c>
      <c r="BM1053" s="45" t="s">
        <v>3534</v>
      </c>
      <c r="BN1053" t="s">
        <v>3534</v>
      </c>
      <c r="BO1053" t="str">
        <f t="shared" si="158"/>
        <v>-</v>
      </c>
      <c r="BP1053" t="s">
        <v>3534</v>
      </c>
      <c r="BQ1053">
        <v>285</v>
      </c>
      <c r="BR1053">
        <f t="shared" si="159"/>
        <v>285</v>
      </c>
      <c r="BS1053" t="s">
        <v>3369</v>
      </c>
    </row>
    <row r="1054" spans="1:71" x14ac:dyDescent="0.4">
      <c r="A1054" s="3">
        <v>1051</v>
      </c>
      <c r="B1054" s="3">
        <v>1051</v>
      </c>
      <c r="C1054" s="4" t="s">
        <v>1113</v>
      </c>
      <c r="D1054" s="4" t="str">
        <f t="shared" si="160"/>
        <v>J863LY</v>
      </c>
      <c r="E1054" s="4" t="s">
        <v>1113</v>
      </c>
      <c r="F1054" s="4" t="s">
        <v>2331</v>
      </c>
      <c r="G1054" s="5">
        <v>4521718778211</v>
      </c>
      <c r="H1054" s="5"/>
      <c r="I1054" s="5"/>
      <c r="J1054" s="5">
        <v>1</v>
      </c>
      <c r="K1054" s="5">
        <v>1</v>
      </c>
      <c r="L1054" s="4">
        <v>230</v>
      </c>
      <c r="M1054" s="4">
        <v>210</v>
      </c>
      <c r="N1054" s="4">
        <v>161</v>
      </c>
      <c r="O1054" s="6">
        <f t="shared" si="161"/>
        <v>0.23333333333333328</v>
      </c>
      <c r="P1054" s="4" t="s">
        <v>2500</v>
      </c>
      <c r="Q1054" s="4"/>
      <c r="R1054" s="4"/>
      <c r="S1054" s="4"/>
      <c r="T1054" s="4"/>
      <c r="U1054" s="4"/>
      <c r="V1054" s="4"/>
      <c r="W1054" s="4"/>
      <c r="X1054" s="4"/>
      <c r="Y1054" s="4">
        <v>230</v>
      </c>
      <c r="Z1054" s="4">
        <f t="shared" si="162"/>
        <v>230</v>
      </c>
      <c r="AA1054" s="4">
        <v>161</v>
      </c>
      <c r="AB1054" s="4">
        <f t="shared" si="163"/>
        <v>161</v>
      </c>
      <c r="AC1054" s="4"/>
      <c r="AD1054" s="21">
        <f>ROUND(M1054*AR1054,0)</f>
        <v>210</v>
      </c>
      <c r="AE1054" s="6">
        <f>1-AB1054/AD1054</f>
        <v>0.23333333333333328</v>
      </c>
      <c r="AF1054" s="33">
        <v>0</v>
      </c>
      <c r="AG1054" s="4">
        <f t="shared" si="164"/>
        <v>230</v>
      </c>
      <c r="AH1054" s="33">
        <f t="shared" si="157"/>
        <v>230</v>
      </c>
      <c r="AI1054" s="6">
        <f>1-AB1054/AH1054</f>
        <v>0.30000000000000004</v>
      </c>
      <c r="AJ1054" s="7">
        <v>230</v>
      </c>
      <c r="AK1054" s="6">
        <f>1-AB1054/AJ1054</f>
        <v>0.30000000000000004</v>
      </c>
      <c r="AL1054" s="4">
        <f>AJ1054-AB1054</f>
        <v>69</v>
      </c>
      <c r="AM1054" s="28"/>
      <c r="AN1054" s="6"/>
      <c r="AO1054" s="6"/>
      <c r="AP1054" s="6">
        <f>Z1054/L1054</f>
        <v>1</v>
      </c>
      <c r="AQ1054" s="6">
        <f>AJ1054/M1054</f>
        <v>1.0952380952380953</v>
      </c>
      <c r="AR1054" s="6">
        <f>AB1054/N1054</f>
        <v>1</v>
      </c>
      <c r="AS1054" s="4"/>
      <c r="AT1054" s="4"/>
      <c r="AU1054" s="4"/>
      <c r="AV1054" s="4"/>
      <c r="AW1054" s="4"/>
      <c r="AX1054" s="4"/>
      <c r="AY1054" s="4"/>
      <c r="AZ1054" s="4"/>
      <c r="BA1054" s="4"/>
      <c r="BB1054" s="4">
        <v>0</v>
      </c>
      <c r="BC1054" s="4" t="s">
        <v>4517</v>
      </c>
      <c r="BD1054" s="4">
        <v>1</v>
      </c>
      <c r="BE1054" s="4">
        <v>5</v>
      </c>
      <c r="BF1054" s="4" t="s">
        <v>3746</v>
      </c>
      <c r="BG1054" s="4">
        <v>1150</v>
      </c>
      <c r="BH1054" s="4">
        <v>1150</v>
      </c>
      <c r="BI1054" s="4">
        <f t="shared" si="165"/>
        <v>230</v>
      </c>
      <c r="BJ1054" s="19">
        <v>4</v>
      </c>
      <c r="BK1054" s="19">
        <v>8</v>
      </c>
      <c r="BL1054" s="16">
        <v>6</v>
      </c>
      <c r="BM1054" s="45" t="s">
        <v>3534</v>
      </c>
      <c r="BN1054" t="s">
        <v>3534</v>
      </c>
      <c r="BO1054" t="str">
        <f t="shared" si="158"/>
        <v>-</v>
      </c>
      <c r="BP1054" t="s">
        <v>3534</v>
      </c>
      <c r="BQ1054">
        <v>228</v>
      </c>
      <c r="BR1054">
        <f t="shared" si="159"/>
        <v>228</v>
      </c>
      <c r="BS1054" t="s">
        <v>3370</v>
      </c>
    </row>
    <row r="1055" spans="1:71" x14ac:dyDescent="0.4">
      <c r="A1055" s="3">
        <v>1052</v>
      </c>
      <c r="B1055" s="3">
        <v>1052</v>
      </c>
      <c r="C1055" s="4" t="s">
        <v>1114</v>
      </c>
      <c r="D1055" s="4" t="str">
        <f t="shared" si="160"/>
        <v>J864LY</v>
      </c>
      <c r="E1055" s="4" t="s">
        <v>1114</v>
      </c>
      <c r="F1055" s="4" t="s">
        <v>2332</v>
      </c>
      <c r="G1055" s="5">
        <v>4521718778228</v>
      </c>
      <c r="H1055" s="5"/>
      <c r="I1055" s="5"/>
      <c r="J1055" s="5">
        <v>1</v>
      </c>
      <c r="K1055" s="5">
        <v>1</v>
      </c>
      <c r="L1055" s="4">
        <v>230</v>
      </c>
      <c r="M1055" s="4">
        <v>210</v>
      </c>
      <c r="N1055" s="4">
        <v>161</v>
      </c>
      <c r="O1055" s="6">
        <f t="shared" si="161"/>
        <v>0.23333333333333328</v>
      </c>
      <c r="P1055" s="4" t="s">
        <v>2500</v>
      </c>
      <c r="Q1055" s="4"/>
      <c r="R1055" s="4"/>
      <c r="S1055" s="4"/>
      <c r="T1055" s="4"/>
      <c r="U1055" s="4"/>
      <c r="V1055" s="4"/>
      <c r="W1055" s="4"/>
      <c r="X1055" s="4"/>
      <c r="Y1055" s="4">
        <v>230</v>
      </c>
      <c r="Z1055" s="4">
        <f t="shared" si="162"/>
        <v>230</v>
      </c>
      <c r="AA1055" s="4">
        <v>161</v>
      </c>
      <c r="AB1055" s="4">
        <f t="shared" si="163"/>
        <v>161</v>
      </c>
      <c r="AC1055" s="4"/>
      <c r="AD1055" s="21">
        <f>ROUND(M1055*AR1055,0)</f>
        <v>210</v>
      </c>
      <c r="AE1055" s="6">
        <f>1-AB1055/AD1055</f>
        <v>0.23333333333333328</v>
      </c>
      <c r="AF1055" s="33">
        <v>0</v>
      </c>
      <c r="AG1055" s="4">
        <f t="shared" si="164"/>
        <v>230</v>
      </c>
      <c r="AH1055" s="33">
        <f t="shared" si="157"/>
        <v>230</v>
      </c>
      <c r="AI1055" s="6">
        <f>1-AB1055/AH1055</f>
        <v>0.30000000000000004</v>
      </c>
      <c r="AJ1055" s="7">
        <v>230</v>
      </c>
      <c r="AK1055" s="6">
        <f>1-AB1055/AJ1055</f>
        <v>0.30000000000000004</v>
      </c>
      <c r="AL1055" s="4">
        <f>AJ1055-AB1055</f>
        <v>69</v>
      </c>
      <c r="AM1055" s="28"/>
      <c r="AN1055" s="6"/>
      <c r="AO1055" s="6"/>
      <c r="AP1055" s="6">
        <f>Z1055/L1055</f>
        <v>1</v>
      </c>
      <c r="AQ1055" s="6">
        <f>AJ1055/M1055</f>
        <v>1.0952380952380953</v>
      </c>
      <c r="AR1055" s="6">
        <f>AB1055/N1055</f>
        <v>1</v>
      </c>
      <c r="AS1055" s="4"/>
      <c r="AT1055" s="4"/>
      <c r="AU1055" s="4"/>
      <c r="AV1055" s="4"/>
      <c r="AW1055" s="4"/>
      <c r="AX1055" s="4"/>
      <c r="AY1055" s="4"/>
      <c r="AZ1055" s="4"/>
      <c r="BA1055" s="4"/>
      <c r="BB1055" s="4">
        <v>0</v>
      </c>
      <c r="BC1055" s="4" t="s">
        <v>4518</v>
      </c>
      <c r="BD1055" s="4">
        <v>1</v>
      </c>
      <c r="BE1055" s="4">
        <v>5</v>
      </c>
      <c r="BF1055" s="4" t="s">
        <v>3746</v>
      </c>
      <c r="BG1055" s="4">
        <v>1150</v>
      </c>
      <c r="BH1055" s="4">
        <v>1150</v>
      </c>
      <c r="BI1055" s="4">
        <f t="shared" si="165"/>
        <v>230</v>
      </c>
      <c r="BJ1055" s="19">
        <v>4</v>
      </c>
      <c r="BK1055" s="19">
        <v>8</v>
      </c>
      <c r="BL1055" s="16">
        <v>6</v>
      </c>
      <c r="BM1055" s="45" t="s">
        <v>3534</v>
      </c>
      <c r="BN1055" t="s">
        <v>3534</v>
      </c>
      <c r="BO1055" t="str">
        <f t="shared" si="158"/>
        <v>-</v>
      </c>
      <c r="BP1055" t="s">
        <v>3534</v>
      </c>
      <c r="BQ1055">
        <v>228</v>
      </c>
      <c r="BR1055">
        <f t="shared" si="159"/>
        <v>228</v>
      </c>
      <c r="BS1055" t="s">
        <v>3371</v>
      </c>
    </row>
    <row r="1056" spans="1:71" x14ac:dyDescent="0.4">
      <c r="A1056" s="3">
        <v>1053</v>
      </c>
      <c r="B1056" s="3">
        <v>1053</v>
      </c>
      <c r="C1056" s="4" t="s">
        <v>1115</v>
      </c>
      <c r="D1056" s="4" t="str">
        <f t="shared" si="160"/>
        <v>J864WK</v>
      </c>
      <c r="E1056" s="4" t="s">
        <v>1115</v>
      </c>
      <c r="F1056" s="4" t="s">
        <v>2333</v>
      </c>
      <c r="G1056" s="5">
        <v>4521718747545</v>
      </c>
      <c r="H1056" s="5"/>
      <c r="I1056" s="5"/>
      <c r="J1056" s="5">
        <v>1</v>
      </c>
      <c r="K1056" s="5">
        <v>1</v>
      </c>
      <c r="L1056" s="4">
        <v>500</v>
      </c>
      <c r="M1056" s="4">
        <v>480</v>
      </c>
      <c r="N1056" s="4">
        <v>325</v>
      </c>
      <c r="O1056" s="6">
        <f t="shared" si="161"/>
        <v>0.32291666666666663</v>
      </c>
      <c r="P1056" s="4" t="s">
        <v>2500</v>
      </c>
      <c r="Q1056" s="4"/>
      <c r="R1056" s="4"/>
      <c r="S1056" s="4"/>
      <c r="T1056" s="4"/>
      <c r="U1056" s="4"/>
      <c r="V1056" s="4"/>
      <c r="W1056" s="4"/>
      <c r="X1056" s="4"/>
      <c r="Y1056" s="4">
        <v>500</v>
      </c>
      <c r="Z1056" s="4">
        <f t="shared" si="162"/>
        <v>500</v>
      </c>
      <c r="AA1056" s="4">
        <v>325</v>
      </c>
      <c r="AB1056" s="4">
        <f t="shared" si="163"/>
        <v>325</v>
      </c>
      <c r="AC1056" s="4"/>
      <c r="AD1056" s="21">
        <f>ROUND(M1056*AR1056,0)</f>
        <v>480</v>
      </c>
      <c r="AE1056" s="6">
        <f>1-AB1056/AD1056</f>
        <v>0.32291666666666663</v>
      </c>
      <c r="AF1056" s="33">
        <v>0</v>
      </c>
      <c r="AG1056" s="4">
        <f t="shared" si="164"/>
        <v>500</v>
      </c>
      <c r="AH1056" s="33">
        <f t="shared" si="157"/>
        <v>500</v>
      </c>
      <c r="AI1056" s="6">
        <f>1-AB1056/AH1056</f>
        <v>0.35</v>
      </c>
      <c r="AJ1056" s="7">
        <v>500</v>
      </c>
      <c r="AK1056" s="6">
        <f>1-AB1056/AJ1056</f>
        <v>0.35</v>
      </c>
      <c r="AL1056" s="4">
        <f>AJ1056-AB1056</f>
        <v>175</v>
      </c>
      <c r="AM1056" s="28"/>
      <c r="AN1056" s="6"/>
      <c r="AO1056" s="6"/>
      <c r="AP1056" s="6">
        <f>Z1056/L1056</f>
        <v>1</v>
      </c>
      <c r="AQ1056" s="6">
        <f>AJ1056/M1056</f>
        <v>1.0416666666666667</v>
      </c>
      <c r="AR1056" s="6">
        <f>AB1056/N1056</f>
        <v>1</v>
      </c>
      <c r="AS1056" s="4"/>
      <c r="AT1056" s="4"/>
      <c r="AU1056" s="4"/>
      <c r="AV1056" s="4"/>
      <c r="AW1056" s="4"/>
      <c r="AX1056" s="4"/>
      <c r="AY1056" s="4"/>
      <c r="AZ1056" s="4"/>
      <c r="BA1056" s="4"/>
      <c r="BB1056" s="4">
        <v>0</v>
      </c>
      <c r="BC1056" s="4" t="s">
        <v>4519</v>
      </c>
      <c r="BD1056" s="4">
        <v>1</v>
      </c>
      <c r="BE1056" s="4">
        <v>2</v>
      </c>
      <c r="BF1056" s="4" t="s">
        <v>3575</v>
      </c>
      <c r="BG1056" s="4">
        <v>1000</v>
      </c>
      <c r="BH1056" s="4">
        <v>1000</v>
      </c>
      <c r="BI1056" s="4">
        <f t="shared" si="165"/>
        <v>500</v>
      </c>
      <c r="BJ1056" s="19">
        <v>4</v>
      </c>
      <c r="BK1056" s="19">
        <v>8</v>
      </c>
      <c r="BL1056" s="16">
        <v>7</v>
      </c>
      <c r="BM1056" s="45" t="s">
        <v>3534</v>
      </c>
      <c r="BN1056" t="s">
        <v>3534</v>
      </c>
      <c r="BO1056" t="str">
        <f t="shared" si="158"/>
        <v>-</v>
      </c>
      <c r="BP1056" t="s">
        <v>3534</v>
      </c>
      <c r="BQ1056">
        <v>475</v>
      </c>
      <c r="BR1056">
        <f t="shared" si="159"/>
        <v>475</v>
      </c>
      <c r="BS1056" t="s">
        <v>3372</v>
      </c>
    </row>
    <row r="1057" spans="1:71" x14ac:dyDescent="0.4">
      <c r="A1057" s="3">
        <v>1054</v>
      </c>
      <c r="B1057" s="3">
        <v>1054</v>
      </c>
      <c r="C1057" s="4" t="s">
        <v>1116</v>
      </c>
      <c r="D1057" s="4" t="str">
        <f t="shared" si="160"/>
        <v>J865LY</v>
      </c>
      <c r="E1057" s="4" t="s">
        <v>1116</v>
      </c>
      <c r="F1057" s="4" t="s">
        <v>2334</v>
      </c>
      <c r="G1057" s="5">
        <v>4521718778235</v>
      </c>
      <c r="H1057" s="5"/>
      <c r="I1057" s="5"/>
      <c r="J1057" s="5">
        <v>1</v>
      </c>
      <c r="K1057" s="5">
        <v>1</v>
      </c>
      <c r="L1057" s="4">
        <v>230</v>
      </c>
      <c r="M1057" s="4">
        <v>210</v>
      </c>
      <c r="N1057" s="4">
        <v>161</v>
      </c>
      <c r="O1057" s="6">
        <f t="shared" si="161"/>
        <v>0.23333333333333328</v>
      </c>
      <c r="P1057" s="4" t="s">
        <v>2500</v>
      </c>
      <c r="Q1057" s="4"/>
      <c r="R1057" s="4"/>
      <c r="S1057" s="4"/>
      <c r="T1057" s="4"/>
      <c r="U1057" s="4"/>
      <c r="V1057" s="4"/>
      <c r="W1057" s="4"/>
      <c r="X1057" s="4"/>
      <c r="Y1057" s="4">
        <v>230</v>
      </c>
      <c r="Z1057" s="4">
        <f t="shared" si="162"/>
        <v>230</v>
      </c>
      <c r="AA1057" s="4">
        <v>161</v>
      </c>
      <c r="AB1057" s="4">
        <f t="shared" si="163"/>
        <v>161</v>
      </c>
      <c r="AC1057" s="4"/>
      <c r="AD1057" s="21">
        <f>ROUND(M1057*AR1057,0)</f>
        <v>210</v>
      </c>
      <c r="AE1057" s="6">
        <f>1-AB1057/AD1057</f>
        <v>0.23333333333333328</v>
      </c>
      <c r="AF1057" s="33">
        <v>0</v>
      </c>
      <c r="AG1057" s="4">
        <f t="shared" si="164"/>
        <v>230</v>
      </c>
      <c r="AH1057" s="33">
        <f t="shared" si="157"/>
        <v>230</v>
      </c>
      <c r="AI1057" s="6">
        <f>1-AB1057/AH1057</f>
        <v>0.30000000000000004</v>
      </c>
      <c r="AJ1057" s="7">
        <v>230</v>
      </c>
      <c r="AK1057" s="6">
        <f>1-AB1057/AJ1057</f>
        <v>0.30000000000000004</v>
      </c>
      <c r="AL1057" s="4">
        <f>AJ1057-AB1057</f>
        <v>69</v>
      </c>
      <c r="AM1057" s="28"/>
      <c r="AN1057" s="6"/>
      <c r="AO1057" s="6"/>
      <c r="AP1057" s="6">
        <f>Z1057/L1057</f>
        <v>1</v>
      </c>
      <c r="AQ1057" s="6">
        <f>AJ1057/M1057</f>
        <v>1.0952380952380953</v>
      </c>
      <c r="AR1057" s="6">
        <f>AB1057/N1057</f>
        <v>1</v>
      </c>
      <c r="AS1057" s="4"/>
      <c r="AT1057" s="4"/>
      <c r="AU1057" s="4"/>
      <c r="AV1057" s="4"/>
      <c r="AW1057" s="4"/>
      <c r="AX1057" s="4"/>
      <c r="AY1057" s="4"/>
      <c r="AZ1057" s="4"/>
      <c r="BA1057" s="4"/>
      <c r="BB1057" s="4">
        <v>0</v>
      </c>
      <c r="BC1057" s="4" t="s">
        <v>4520</v>
      </c>
      <c r="BD1057" s="4">
        <v>1</v>
      </c>
      <c r="BE1057" s="4">
        <v>5</v>
      </c>
      <c r="BF1057" s="4" t="s">
        <v>3746</v>
      </c>
      <c r="BG1057" s="4">
        <v>1150</v>
      </c>
      <c r="BH1057" s="4">
        <v>1150</v>
      </c>
      <c r="BI1057" s="4">
        <f t="shared" si="165"/>
        <v>230</v>
      </c>
      <c r="BJ1057" s="19">
        <v>4</v>
      </c>
      <c r="BK1057" s="19">
        <v>8</v>
      </c>
      <c r="BL1057" s="16">
        <v>6</v>
      </c>
      <c r="BM1057" s="45" t="s">
        <v>3534</v>
      </c>
      <c r="BN1057" t="s">
        <v>3534</v>
      </c>
      <c r="BO1057" t="str">
        <f t="shared" si="158"/>
        <v>-</v>
      </c>
      <c r="BP1057" t="s">
        <v>3534</v>
      </c>
      <c r="BQ1057">
        <v>228</v>
      </c>
      <c r="BR1057">
        <f t="shared" si="159"/>
        <v>228</v>
      </c>
      <c r="BS1057" t="s">
        <v>3373</v>
      </c>
    </row>
    <row r="1058" spans="1:71" x14ac:dyDescent="0.4">
      <c r="A1058" s="3">
        <v>1055</v>
      </c>
      <c r="B1058" s="3">
        <v>1055</v>
      </c>
      <c r="C1058" s="4" t="s">
        <v>1117</v>
      </c>
      <c r="D1058" s="4" t="str">
        <f t="shared" si="160"/>
        <v>J863WK</v>
      </c>
      <c r="E1058" s="4" t="s">
        <v>1117</v>
      </c>
      <c r="F1058" s="4" t="s">
        <v>2335</v>
      </c>
      <c r="G1058" s="5">
        <v>4521718747538</v>
      </c>
      <c r="H1058" s="5"/>
      <c r="I1058" s="5"/>
      <c r="J1058" s="5">
        <v>1</v>
      </c>
      <c r="K1058" s="5">
        <v>1</v>
      </c>
      <c r="L1058" s="4">
        <v>660</v>
      </c>
      <c r="M1058" s="4">
        <v>594</v>
      </c>
      <c r="N1058" s="4">
        <v>296</v>
      </c>
      <c r="O1058" s="6">
        <f t="shared" si="161"/>
        <v>0.50168350168350173</v>
      </c>
      <c r="P1058" s="4" t="s">
        <v>2500</v>
      </c>
      <c r="Q1058" s="4"/>
      <c r="R1058" s="4"/>
      <c r="S1058" s="4"/>
      <c r="T1058" s="4"/>
      <c r="U1058" s="4"/>
      <c r="V1058" s="4"/>
      <c r="W1058" s="4"/>
      <c r="X1058" s="4"/>
      <c r="Y1058" s="4">
        <v>500</v>
      </c>
      <c r="Z1058" s="4">
        <f t="shared" si="162"/>
        <v>500</v>
      </c>
      <c r="AA1058" s="4">
        <v>325</v>
      </c>
      <c r="AB1058" s="4">
        <f t="shared" si="163"/>
        <v>325</v>
      </c>
      <c r="AC1058" s="4"/>
      <c r="AD1058" s="21">
        <f>ROUND(M1058*AR1058,0)</f>
        <v>652</v>
      </c>
      <c r="AE1058" s="6">
        <f>1-AB1058/AD1058</f>
        <v>0.50153374233128833</v>
      </c>
      <c r="AF1058" s="33">
        <v>0</v>
      </c>
      <c r="AG1058" s="4">
        <f t="shared" si="164"/>
        <v>660</v>
      </c>
      <c r="AH1058" s="33">
        <f t="shared" si="157"/>
        <v>724.66216216216219</v>
      </c>
      <c r="AI1058" s="6">
        <f>1-AB1058/AH1058</f>
        <v>0.55151515151515151</v>
      </c>
      <c r="AJ1058" s="7">
        <v>500</v>
      </c>
      <c r="AK1058" s="6">
        <f>1-AB1058/AJ1058</f>
        <v>0.35</v>
      </c>
      <c r="AL1058" s="4">
        <f>AJ1058-AB1058</f>
        <v>175</v>
      </c>
      <c r="AM1058" s="28"/>
      <c r="AN1058" s="6"/>
      <c r="AO1058" s="6"/>
      <c r="AP1058" s="6">
        <f>Z1058/L1058</f>
        <v>0.75757575757575757</v>
      </c>
      <c r="AQ1058" s="6">
        <f>AJ1058/M1058</f>
        <v>0.84175084175084181</v>
      </c>
      <c r="AR1058" s="6">
        <f>AB1058/N1058</f>
        <v>1.097972972972973</v>
      </c>
      <c r="AS1058" s="4"/>
      <c r="AT1058" s="4"/>
      <c r="AU1058" s="4"/>
      <c r="AV1058" s="4"/>
      <c r="AW1058" s="4"/>
      <c r="AX1058" s="4"/>
      <c r="AY1058" s="4"/>
      <c r="AZ1058" s="4"/>
      <c r="BA1058" s="4"/>
      <c r="BB1058" s="4">
        <v>0</v>
      </c>
      <c r="BC1058" s="4" t="s">
        <v>4521</v>
      </c>
      <c r="BD1058" s="4">
        <v>1</v>
      </c>
      <c r="BE1058" s="4">
        <v>3</v>
      </c>
      <c r="BF1058" s="4" t="s">
        <v>3623</v>
      </c>
      <c r="BG1058" s="4">
        <v>1980</v>
      </c>
      <c r="BH1058" s="4">
        <v>1980</v>
      </c>
      <c r="BI1058" s="4">
        <f t="shared" si="165"/>
        <v>660</v>
      </c>
      <c r="BJ1058" s="19">
        <v>4</v>
      </c>
      <c r="BK1058" s="19">
        <v>8</v>
      </c>
      <c r="BL1058" s="16">
        <v>7</v>
      </c>
      <c r="BM1058" s="45" t="s">
        <v>3534</v>
      </c>
      <c r="BN1058" t="s">
        <v>3534</v>
      </c>
      <c r="BO1058" t="str">
        <f t="shared" si="158"/>
        <v>-</v>
      </c>
      <c r="BP1058" t="s">
        <v>3534</v>
      </c>
      <c r="BQ1058">
        <v>627</v>
      </c>
      <c r="BR1058">
        <f t="shared" si="159"/>
        <v>688.42905405405406</v>
      </c>
      <c r="BS1058" t="s">
        <v>3374</v>
      </c>
    </row>
    <row r="1059" spans="1:71" x14ac:dyDescent="0.4">
      <c r="A1059" s="3">
        <v>1056</v>
      </c>
      <c r="B1059" s="3">
        <v>1056</v>
      </c>
      <c r="C1059" s="4" t="s">
        <v>1118</v>
      </c>
      <c r="D1059" s="4" t="str">
        <f t="shared" si="160"/>
        <v>J866LY</v>
      </c>
      <c r="E1059" s="4" t="s">
        <v>1118</v>
      </c>
      <c r="F1059" s="4" t="s">
        <v>2336</v>
      </c>
      <c r="G1059" s="5">
        <v>4521718778242</v>
      </c>
      <c r="H1059" s="5"/>
      <c r="I1059" s="5"/>
      <c r="J1059" s="5">
        <v>1</v>
      </c>
      <c r="K1059" s="5">
        <v>1</v>
      </c>
      <c r="L1059" s="4">
        <v>230</v>
      </c>
      <c r="M1059" s="4">
        <v>210</v>
      </c>
      <c r="N1059" s="4">
        <v>161</v>
      </c>
      <c r="O1059" s="6">
        <f t="shared" si="161"/>
        <v>0.23333333333333328</v>
      </c>
      <c r="P1059" s="4" t="s">
        <v>2500</v>
      </c>
      <c r="Q1059" s="4"/>
      <c r="R1059" s="4"/>
      <c r="S1059" s="4"/>
      <c r="T1059" s="4"/>
      <c r="U1059" s="4"/>
      <c r="V1059" s="4"/>
      <c r="W1059" s="4"/>
      <c r="X1059" s="4"/>
      <c r="Y1059" s="4">
        <v>230</v>
      </c>
      <c r="Z1059" s="4">
        <f t="shared" si="162"/>
        <v>230</v>
      </c>
      <c r="AA1059" s="4">
        <v>161</v>
      </c>
      <c r="AB1059" s="4">
        <f t="shared" si="163"/>
        <v>161</v>
      </c>
      <c r="AC1059" s="4"/>
      <c r="AD1059" s="21">
        <f>ROUND(M1059*AR1059,0)</f>
        <v>210</v>
      </c>
      <c r="AE1059" s="6">
        <f>1-AB1059/AD1059</f>
        <v>0.23333333333333328</v>
      </c>
      <c r="AF1059" s="33">
        <v>0</v>
      </c>
      <c r="AG1059" s="4">
        <f t="shared" si="164"/>
        <v>230</v>
      </c>
      <c r="AH1059" s="33">
        <f t="shared" si="157"/>
        <v>230</v>
      </c>
      <c r="AI1059" s="6">
        <f>1-AB1059/AH1059</f>
        <v>0.30000000000000004</v>
      </c>
      <c r="AJ1059" s="7">
        <v>230</v>
      </c>
      <c r="AK1059" s="6">
        <f>1-AB1059/AJ1059</f>
        <v>0.30000000000000004</v>
      </c>
      <c r="AL1059" s="4">
        <f>AJ1059-AB1059</f>
        <v>69</v>
      </c>
      <c r="AM1059" s="28"/>
      <c r="AN1059" s="6"/>
      <c r="AO1059" s="6"/>
      <c r="AP1059" s="6">
        <f>Z1059/L1059</f>
        <v>1</v>
      </c>
      <c r="AQ1059" s="6">
        <f>AJ1059/M1059</f>
        <v>1.0952380952380953</v>
      </c>
      <c r="AR1059" s="6">
        <f>AB1059/N1059</f>
        <v>1</v>
      </c>
      <c r="AS1059" s="4"/>
      <c r="AT1059" s="4"/>
      <c r="AU1059" s="4"/>
      <c r="AV1059" s="4"/>
      <c r="AW1059" s="4"/>
      <c r="AX1059" s="4"/>
      <c r="AY1059" s="4"/>
      <c r="AZ1059" s="4"/>
      <c r="BA1059" s="4"/>
      <c r="BB1059" s="4">
        <v>0</v>
      </c>
      <c r="BC1059" s="4" t="s">
        <v>4522</v>
      </c>
      <c r="BD1059" s="4">
        <v>1</v>
      </c>
      <c r="BE1059" s="4">
        <v>5</v>
      </c>
      <c r="BF1059" s="4" t="s">
        <v>3746</v>
      </c>
      <c r="BG1059" s="4">
        <v>1150</v>
      </c>
      <c r="BH1059" s="4">
        <v>1150</v>
      </c>
      <c r="BI1059" s="4">
        <f t="shared" si="165"/>
        <v>230</v>
      </c>
      <c r="BJ1059" s="19">
        <v>4</v>
      </c>
      <c r="BK1059" s="19">
        <v>8</v>
      </c>
      <c r="BL1059" s="16">
        <v>6</v>
      </c>
      <c r="BM1059" s="45" t="s">
        <v>3534</v>
      </c>
      <c r="BN1059" t="s">
        <v>3534</v>
      </c>
      <c r="BO1059" t="str">
        <f t="shared" si="158"/>
        <v>-</v>
      </c>
      <c r="BP1059" t="s">
        <v>3534</v>
      </c>
      <c r="BQ1059">
        <v>228</v>
      </c>
      <c r="BR1059">
        <f t="shared" si="159"/>
        <v>228</v>
      </c>
      <c r="BS1059" t="s">
        <v>3375</v>
      </c>
    </row>
    <row r="1060" spans="1:71" x14ac:dyDescent="0.4">
      <c r="A1060" s="3">
        <v>1057</v>
      </c>
      <c r="B1060" s="3">
        <v>1057</v>
      </c>
      <c r="C1060" s="4" t="s">
        <v>1119</v>
      </c>
      <c r="D1060" s="4" t="str">
        <f t="shared" si="160"/>
        <v>J867LY</v>
      </c>
      <c r="E1060" s="4" t="s">
        <v>1119</v>
      </c>
      <c r="F1060" s="4" t="s">
        <v>2337</v>
      </c>
      <c r="G1060" s="5">
        <v>4521718778259</v>
      </c>
      <c r="H1060" s="5"/>
      <c r="I1060" s="5"/>
      <c r="J1060" s="5">
        <v>1</v>
      </c>
      <c r="K1060" s="5">
        <v>1</v>
      </c>
      <c r="L1060" s="4">
        <v>230</v>
      </c>
      <c r="M1060" s="4">
        <v>210</v>
      </c>
      <c r="N1060" s="4">
        <v>161</v>
      </c>
      <c r="O1060" s="6">
        <f t="shared" si="161"/>
        <v>0.23333333333333328</v>
      </c>
      <c r="P1060" s="4" t="s">
        <v>2500</v>
      </c>
      <c r="Q1060" s="4"/>
      <c r="R1060" s="4"/>
      <c r="S1060" s="4"/>
      <c r="T1060" s="4"/>
      <c r="U1060" s="4"/>
      <c r="V1060" s="4"/>
      <c r="W1060" s="4"/>
      <c r="X1060" s="4"/>
      <c r="Y1060" s="4">
        <v>230</v>
      </c>
      <c r="Z1060" s="4">
        <f t="shared" si="162"/>
        <v>230</v>
      </c>
      <c r="AA1060" s="4">
        <v>161</v>
      </c>
      <c r="AB1060" s="4">
        <f t="shared" si="163"/>
        <v>161</v>
      </c>
      <c r="AC1060" s="4"/>
      <c r="AD1060" s="21">
        <f>ROUND(M1060*AR1060,0)</f>
        <v>210</v>
      </c>
      <c r="AE1060" s="6">
        <f>1-AB1060/AD1060</f>
        <v>0.23333333333333328</v>
      </c>
      <c r="AF1060" s="33">
        <v>0</v>
      </c>
      <c r="AG1060" s="4">
        <f t="shared" si="164"/>
        <v>230</v>
      </c>
      <c r="AH1060" s="33">
        <f t="shared" si="157"/>
        <v>230</v>
      </c>
      <c r="AI1060" s="6">
        <f>1-AB1060/AH1060</f>
        <v>0.30000000000000004</v>
      </c>
      <c r="AJ1060" s="7">
        <v>230</v>
      </c>
      <c r="AK1060" s="6">
        <f>1-AB1060/AJ1060</f>
        <v>0.30000000000000004</v>
      </c>
      <c r="AL1060" s="4">
        <f>AJ1060-AB1060</f>
        <v>69</v>
      </c>
      <c r="AM1060" s="28"/>
      <c r="AN1060" s="6"/>
      <c r="AO1060" s="6"/>
      <c r="AP1060" s="6">
        <f>Z1060/L1060</f>
        <v>1</v>
      </c>
      <c r="AQ1060" s="6">
        <f>AJ1060/M1060</f>
        <v>1.0952380952380953</v>
      </c>
      <c r="AR1060" s="6">
        <f>AB1060/N1060</f>
        <v>1</v>
      </c>
      <c r="AS1060" s="4"/>
      <c r="AT1060" s="4"/>
      <c r="AU1060" s="4"/>
      <c r="AV1060" s="4"/>
      <c r="AW1060" s="4"/>
      <c r="AX1060" s="4"/>
      <c r="AY1060" s="4"/>
      <c r="AZ1060" s="4"/>
      <c r="BA1060" s="4"/>
      <c r="BB1060" s="4">
        <v>0</v>
      </c>
      <c r="BC1060" s="4" t="s">
        <v>4523</v>
      </c>
      <c r="BD1060" s="4">
        <v>1</v>
      </c>
      <c r="BE1060" s="4">
        <v>5</v>
      </c>
      <c r="BF1060" s="4" t="s">
        <v>3746</v>
      </c>
      <c r="BG1060" s="4">
        <v>1150</v>
      </c>
      <c r="BH1060" s="4">
        <v>1150</v>
      </c>
      <c r="BI1060" s="4">
        <f t="shared" si="165"/>
        <v>230</v>
      </c>
      <c r="BJ1060" s="19">
        <v>4</v>
      </c>
      <c r="BK1060" s="19">
        <v>8</v>
      </c>
      <c r="BL1060" s="16">
        <v>6</v>
      </c>
      <c r="BM1060" s="45" t="s">
        <v>3534</v>
      </c>
      <c r="BN1060" t="s">
        <v>3534</v>
      </c>
      <c r="BO1060" t="str">
        <f t="shared" si="158"/>
        <v>-</v>
      </c>
      <c r="BP1060" t="s">
        <v>3534</v>
      </c>
      <c r="BQ1060">
        <v>228</v>
      </c>
      <c r="BR1060">
        <f t="shared" si="159"/>
        <v>228</v>
      </c>
      <c r="BS1060" t="s">
        <v>3376</v>
      </c>
    </row>
    <row r="1061" spans="1:71" x14ac:dyDescent="0.4">
      <c r="A1061" s="3">
        <v>1058</v>
      </c>
      <c r="B1061" s="3">
        <v>1058</v>
      </c>
      <c r="C1061" s="4" t="s">
        <v>1120</v>
      </c>
      <c r="D1061" s="4" t="str">
        <f t="shared" si="160"/>
        <v>J868LY</v>
      </c>
      <c r="E1061" s="4" t="s">
        <v>1120</v>
      </c>
      <c r="F1061" s="4" t="s">
        <v>2338</v>
      </c>
      <c r="G1061" s="5">
        <v>4521718778266</v>
      </c>
      <c r="H1061" s="5"/>
      <c r="I1061" s="5"/>
      <c r="J1061" s="5">
        <v>1</v>
      </c>
      <c r="K1061" s="5">
        <v>1</v>
      </c>
      <c r="L1061" s="4">
        <v>230</v>
      </c>
      <c r="M1061" s="4">
        <v>210</v>
      </c>
      <c r="N1061" s="4">
        <v>161</v>
      </c>
      <c r="O1061" s="6">
        <f t="shared" si="161"/>
        <v>0.23333333333333328</v>
      </c>
      <c r="P1061" s="4" t="s">
        <v>2500</v>
      </c>
      <c r="Q1061" s="4"/>
      <c r="R1061" s="4"/>
      <c r="S1061" s="4"/>
      <c r="T1061" s="4"/>
      <c r="U1061" s="4"/>
      <c r="V1061" s="4"/>
      <c r="W1061" s="4"/>
      <c r="X1061" s="4"/>
      <c r="Y1061" s="4">
        <v>230</v>
      </c>
      <c r="Z1061" s="4">
        <f t="shared" si="162"/>
        <v>230</v>
      </c>
      <c r="AA1061" s="4">
        <v>161</v>
      </c>
      <c r="AB1061" s="4">
        <f t="shared" si="163"/>
        <v>161</v>
      </c>
      <c r="AC1061" s="4"/>
      <c r="AD1061" s="21">
        <f>ROUND(M1061*AR1061,0)</f>
        <v>210</v>
      </c>
      <c r="AE1061" s="6">
        <f>1-AB1061/AD1061</f>
        <v>0.23333333333333328</v>
      </c>
      <c r="AF1061" s="33">
        <v>0</v>
      </c>
      <c r="AG1061" s="4">
        <f t="shared" si="164"/>
        <v>230</v>
      </c>
      <c r="AH1061" s="33">
        <f t="shared" si="157"/>
        <v>230</v>
      </c>
      <c r="AI1061" s="6">
        <f>1-AB1061/AH1061</f>
        <v>0.30000000000000004</v>
      </c>
      <c r="AJ1061" s="7">
        <v>230</v>
      </c>
      <c r="AK1061" s="6">
        <f>1-AB1061/AJ1061</f>
        <v>0.30000000000000004</v>
      </c>
      <c r="AL1061" s="4">
        <f>AJ1061-AB1061</f>
        <v>69</v>
      </c>
      <c r="AM1061" s="28"/>
      <c r="AN1061" s="6"/>
      <c r="AO1061" s="6"/>
      <c r="AP1061" s="6">
        <f>Z1061/L1061</f>
        <v>1</v>
      </c>
      <c r="AQ1061" s="6">
        <f>AJ1061/M1061</f>
        <v>1.0952380952380953</v>
      </c>
      <c r="AR1061" s="6">
        <f>AB1061/N1061</f>
        <v>1</v>
      </c>
      <c r="AS1061" s="4"/>
      <c r="AT1061" s="4"/>
      <c r="AU1061" s="4"/>
      <c r="AV1061" s="4"/>
      <c r="AW1061" s="4"/>
      <c r="AX1061" s="4"/>
      <c r="AY1061" s="4"/>
      <c r="AZ1061" s="4"/>
      <c r="BA1061" s="4"/>
      <c r="BB1061" s="4">
        <v>0</v>
      </c>
      <c r="BC1061" s="4" t="s">
        <v>4524</v>
      </c>
      <c r="BD1061" s="4">
        <v>1</v>
      </c>
      <c r="BE1061" s="4">
        <v>5</v>
      </c>
      <c r="BF1061" s="4" t="s">
        <v>3746</v>
      </c>
      <c r="BG1061" s="4">
        <v>1150</v>
      </c>
      <c r="BH1061" s="4">
        <v>1150</v>
      </c>
      <c r="BI1061" s="4">
        <f t="shared" si="165"/>
        <v>230</v>
      </c>
      <c r="BJ1061" s="19">
        <v>4</v>
      </c>
      <c r="BK1061" s="19">
        <v>8</v>
      </c>
      <c r="BL1061" s="16">
        <v>6</v>
      </c>
      <c r="BM1061" s="45" t="s">
        <v>3534</v>
      </c>
      <c r="BN1061" t="s">
        <v>3534</v>
      </c>
      <c r="BO1061" t="str">
        <f t="shared" si="158"/>
        <v>-</v>
      </c>
      <c r="BP1061" t="s">
        <v>3534</v>
      </c>
      <c r="BQ1061">
        <v>228</v>
      </c>
      <c r="BR1061">
        <f t="shared" si="159"/>
        <v>228</v>
      </c>
      <c r="BS1061" t="s">
        <v>3377</v>
      </c>
    </row>
    <row r="1062" spans="1:71" x14ac:dyDescent="0.4">
      <c r="A1062" s="3">
        <v>1059</v>
      </c>
      <c r="B1062" s="3">
        <v>1059</v>
      </c>
      <c r="C1062" s="4" t="s">
        <v>1121</v>
      </c>
      <c r="D1062" s="4" t="str">
        <f t="shared" si="160"/>
        <v>J869LY</v>
      </c>
      <c r="E1062" s="4" t="s">
        <v>1121</v>
      </c>
      <c r="F1062" s="4" t="s">
        <v>2339</v>
      </c>
      <c r="G1062" s="5">
        <v>4521718778273</v>
      </c>
      <c r="H1062" s="5"/>
      <c r="I1062" s="5"/>
      <c r="J1062" s="5">
        <v>1</v>
      </c>
      <c r="K1062" s="5">
        <v>1</v>
      </c>
      <c r="L1062" s="4">
        <v>230</v>
      </c>
      <c r="M1062" s="4">
        <v>210</v>
      </c>
      <c r="N1062" s="4">
        <v>161</v>
      </c>
      <c r="O1062" s="6">
        <f t="shared" si="161"/>
        <v>0.23333333333333328</v>
      </c>
      <c r="P1062" s="4" t="s">
        <v>2500</v>
      </c>
      <c r="Q1062" s="4"/>
      <c r="R1062" s="4"/>
      <c r="S1062" s="4"/>
      <c r="T1062" s="4"/>
      <c r="U1062" s="4"/>
      <c r="V1062" s="4"/>
      <c r="W1062" s="4"/>
      <c r="X1062" s="4"/>
      <c r="Y1062" s="4">
        <v>230</v>
      </c>
      <c r="Z1062" s="4">
        <f t="shared" si="162"/>
        <v>230</v>
      </c>
      <c r="AA1062" s="4">
        <v>161</v>
      </c>
      <c r="AB1062" s="4">
        <f t="shared" si="163"/>
        <v>161</v>
      </c>
      <c r="AC1062" s="4"/>
      <c r="AD1062" s="21">
        <f>ROUND(M1062*AR1062,0)</f>
        <v>210</v>
      </c>
      <c r="AE1062" s="6">
        <f>1-AB1062/AD1062</f>
        <v>0.23333333333333328</v>
      </c>
      <c r="AF1062" s="33">
        <v>0</v>
      </c>
      <c r="AG1062" s="4">
        <f t="shared" si="164"/>
        <v>230</v>
      </c>
      <c r="AH1062" s="33">
        <f t="shared" si="157"/>
        <v>230</v>
      </c>
      <c r="AI1062" s="6">
        <f>1-AB1062/AH1062</f>
        <v>0.30000000000000004</v>
      </c>
      <c r="AJ1062" s="7">
        <v>230</v>
      </c>
      <c r="AK1062" s="6">
        <f>1-AB1062/AJ1062</f>
        <v>0.30000000000000004</v>
      </c>
      <c r="AL1062" s="4">
        <f>AJ1062-AB1062</f>
        <v>69</v>
      </c>
      <c r="AM1062" s="28"/>
      <c r="AN1062" s="6"/>
      <c r="AO1062" s="6"/>
      <c r="AP1062" s="6">
        <f>Z1062/L1062</f>
        <v>1</v>
      </c>
      <c r="AQ1062" s="6">
        <f>AJ1062/M1062</f>
        <v>1.0952380952380953</v>
      </c>
      <c r="AR1062" s="6">
        <f>AB1062/N1062</f>
        <v>1</v>
      </c>
      <c r="AS1062" s="4"/>
      <c r="AT1062" s="4"/>
      <c r="AU1062" s="4"/>
      <c r="AV1062" s="4"/>
      <c r="AW1062" s="4"/>
      <c r="AX1062" s="4"/>
      <c r="AY1062" s="4"/>
      <c r="AZ1062" s="4"/>
      <c r="BA1062" s="4"/>
      <c r="BB1062" s="4">
        <v>0</v>
      </c>
      <c r="BC1062" s="4" t="s">
        <v>4525</v>
      </c>
      <c r="BD1062" s="4">
        <v>1</v>
      </c>
      <c r="BE1062" s="4">
        <v>5</v>
      </c>
      <c r="BF1062" s="4" t="s">
        <v>3746</v>
      </c>
      <c r="BG1062" s="4">
        <v>1150</v>
      </c>
      <c r="BH1062" s="4">
        <v>1150</v>
      </c>
      <c r="BI1062" s="4">
        <f t="shared" si="165"/>
        <v>230</v>
      </c>
      <c r="BJ1062" s="19">
        <v>4</v>
      </c>
      <c r="BK1062" s="19">
        <v>8</v>
      </c>
      <c r="BL1062" s="16">
        <v>6</v>
      </c>
      <c r="BM1062" s="45" t="s">
        <v>3534</v>
      </c>
      <c r="BN1062" t="s">
        <v>3534</v>
      </c>
      <c r="BO1062" t="str">
        <f t="shared" si="158"/>
        <v>-</v>
      </c>
      <c r="BP1062" t="s">
        <v>3534</v>
      </c>
      <c r="BQ1062">
        <v>228</v>
      </c>
      <c r="BR1062">
        <f t="shared" si="159"/>
        <v>228</v>
      </c>
      <c r="BS1062" t="s">
        <v>3378</v>
      </c>
    </row>
    <row r="1063" spans="1:71" x14ac:dyDescent="0.4">
      <c r="A1063" s="3">
        <v>1060</v>
      </c>
      <c r="B1063" s="3">
        <v>1060</v>
      </c>
      <c r="C1063" s="4" t="s">
        <v>1122</v>
      </c>
      <c r="D1063" s="4" t="str">
        <f t="shared" si="160"/>
        <v>J870LY</v>
      </c>
      <c r="E1063" s="4" t="s">
        <v>1122</v>
      </c>
      <c r="F1063" s="4" t="s">
        <v>2340</v>
      </c>
      <c r="G1063" s="5">
        <v>4521718778280</v>
      </c>
      <c r="H1063" s="5"/>
      <c r="I1063" s="5"/>
      <c r="J1063" s="5">
        <v>1</v>
      </c>
      <c r="K1063" s="5">
        <v>1</v>
      </c>
      <c r="L1063" s="4">
        <v>230</v>
      </c>
      <c r="M1063" s="4">
        <v>210</v>
      </c>
      <c r="N1063" s="4">
        <v>161</v>
      </c>
      <c r="O1063" s="6">
        <f t="shared" si="161"/>
        <v>0.23333333333333328</v>
      </c>
      <c r="P1063" s="4" t="s">
        <v>2500</v>
      </c>
      <c r="Q1063" s="4"/>
      <c r="R1063" s="4"/>
      <c r="S1063" s="4"/>
      <c r="T1063" s="4"/>
      <c r="U1063" s="4"/>
      <c r="V1063" s="4"/>
      <c r="W1063" s="4"/>
      <c r="X1063" s="4"/>
      <c r="Y1063" s="4">
        <v>230</v>
      </c>
      <c r="Z1063" s="4">
        <f t="shared" si="162"/>
        <v>230</v>
      </c>
      <c r="AA1063" s="4">
        <v>161</v>
      </c>
      <c r="AB1063" s="4">
        <f t="shared" si="163"/>
        <v>161</v>
      </c>
      <c r="AC1063" s="4"/>
      <c r="AD1063" s="21">
        <f>ROUND(M1063*AR1063,0)</f>
        <v>210</v>
      </c>
      <c r="AE1063" s="6">
        <f>1-AB1063/AD1063</f>
        <v>0.23333333333333328</v>
      </c>
      <c r="AF1063" s="33">
        <v>0</v>
      </c>
      <c r="AG1063" s="4">
        <f t="shared" si="164"/>
        <v>230</v>
      </c>
      <c r="AH1063" s="33">
        <f t="shared" si="157"/>
        <v>230</v>
      </c>
      <c r="AI1063" s="6">
        <f>1-AB1063/AH1063</f>
        <v>0.30000000000000004</v>
      </c>
      <c r="AJ1063" s="7">
        <v>230</v>
      </c>
      <c r="AK1063" s="6">
        <f>1-AB1063/AJ1063</f>
        <v>0.30000000000000004</v>
      </c>
      <c r="AL1063" s="4">
        <f>AJ1063-AB1063</f>
        <v>69</v>
      </c>
      <c r="AM1063" s="28"/>
      <c r="AN1063" s="6"/>
      <c r="AO1063" s="6"/>
      <c r="AP1063" s="6">
        <f>Z1063/L1063</f>
        <v>1</v>
      </c>
      <c r="AQ1063" s="6">
        <f>AJ1063/M1063</f>
        <v>1.0952380952380953</v>
      </c>
      <c r="AR1063" s="6">
        <f>AB1063/N1063</f>
        <v>1</v>
      </c>
      <c r="AS1063" s="4"/>
      <c r="AT1063" s="4"/>
      <c r="AU1063" s="4"/>
      <c r="AV1063" s="4"/>
      <c r="AW1063" s="4"/>
      <c r="AX1063" s="4"/>
      <c r="AY1063" s="4"/>
      <c r="AZ1063" s="4"/>
      <c r="BA1063" s="4"/>
      <c r="BB1063" s="4">
        <v>0</v>
      </c>
      <c r="BC1063" s="4" t="s">
        <v>4526</v>
      </c>
      <c r="BD1063" s="4">
        <v>1</v>
      </c>
      <c r="BE1063" s="4">
        <v>5</v>
      </c>
      <c r="BF1063" s="4" t="s">
        <v>3746</v>
      </c>
      <c r="BG1063" s="4">
        <v>1150</v>
      </c>
      <c r="BH1063" s="4">
        <v>1150</v>
      </c>
      <c r="BI1063" s="4">
        <f t="shared" si="165"/>
        <v>230</v>
      </c>
      <c r="BJ1063" s="19">
        <v>4</v>
      </c>
      <c r="BK1063" s="19">
        <v>8</v>
      </c>
      <c r="BL1063" s="16">
        <v>6</v>
      </c>
      <c r="BM1063" s="45" t="s">
        <v>3534</v>
      </c>
      <c r="BN1063" t="s">
        <v>3534</v>
      </c>
      <c r="BO1063" t="str">
        <f t="shared" si="158"/>
        <v>-</v>
      </c>
      <c r="BP1063" t="s">
        <v>3534</v>
      </c>
      <c r="BQ1063">
        <v>228</v>
      </c>
      <c r="BR1063">
        <f t="shared" si="159"/>
        <v>228</v>
      </c>
      <c r="BS1063" t="s">
        <v>3379</v>
      </c>
    </row>
    <row r="1064" spans="1:71" x14ac:dyDescent="0.4">
      <c r="A1064" s="3">
        <v>1061</v>
      </c>
      <c r="B1064" s="3">
        <v>1061</v>
      </c>
      <c r="C1064" s="4" t="s">
        <v>1123</v>
      </c>
      <c r="D1064" s="4" t="str">
        <f t="shared" si="160"/>
        <v>J871LY</v>
      </c>
      <c r="E1064" s="4" t="s">
        <v>1123</v>
      </c>
      <c r="F1064" s="4" t="s">
        <v>2341</v>
      </c>
      <c r="G1064" s="5">
        <v>4521718778297</v>
      </c>
      <c r="H1064" s="5"/>
      <c r="I1064" s="5"/>
      <c r="J1064" s="5">
        <v>1</v>
      </c>
      <c r="K1064" s="5">
        <v>1</v>
      </c>
      <c r="L1064" s="4">
        <v>230</v>
      </c>
      <c r="M1064" s="4">
        <v>210</v>
      </c>
      <c r="N1064" s="4">
        <v>161</v>
      </c>
      <c r="O1064" s="6">
        <f t="shared" si="161"/>
        <v>0.23333333333333328</v>
      </c>
      <c r="P1064" s="4" t="s">
        <v>2500</v>
      </c>
      <c r="Q1064" s="4"/>
      <c r="R1064" s="4"/>
      <c r="S1064" s="4"/>
      <c r="T1064" s="4"/>
      <c r="U1064" s="4"/>
      <c r="V1064" s="4"/>
      <c r="W1064" s="4"/>
      <c r="X1064" s="4"/>
      <c r="Y1064" s="4">
        <v>230</v>
      </c>
      <c r="Z1064" s="4">
        <f t="shared" si="162"/>
        <v>230</v>
      </c>
      <c r="AA1064" s="4">
        <v>161</v>
      </c>
      <c r="AB1064" s="4">
        <f t="shared" si="163"/>
        <v>161</v>
      </c>
      <c r="AC1064" s="4"/>
      <c r="AD1064" s="21">
        <f>ROUND(M1064*AR1064,0)</f>
        <v>210</v>
      </c>
      <c r="AE1064" s="6">
        <f>1-AB1064/AD1064</f>
        <v>0.23333333333333328</v>
      </c>
      <c r="AF1064" s="33">
        <v>0</v>
      </c>
      <c r="AG1064" s="4">
        <f t="shared" si="164"/>
        <v>230</v>
      </c>
      <c r="AH1064" s="33">
        <f t="shared" si="157"/>
        <v>230</v>
      </c>
      <c r="AI1064" s="6">
        <f>1-AB1064/AH1064</f>
        <v>0.30000000000000004</v>
      </c>
      <c r="AJ1064" s="7">
        <v>230</v>
      </c>
      <c r="AK1064" s="6">
        <f>1-AB1064/AJ1064</f>
        <v>0.30000000000000004</v>
      </c>
      <c r="AL1064" s="4">
        <f>AJ1064-AB1064</f>
        <v>69</v>
      </c>
      <c r="AM1064" s="28"/>
      <c r="AN1064" s="6"/>
      <c r="AO1064" s="6"/>
      <c r="AP1064" s="6">
        <f>Z1064/L1064</f>
        <v>1</v>
      </c>
      <c r="AQ1064" s="6">
        <f>AJ1064/M1064</f>
        <v>1.0952380952380953</v>
      </c>
      <c r="AR1064" s="6">
        <f>AB1064/N1064</f>
        <v>1</v>
      </c>
      <c r="AS1064" s="4"/>
      <c r="AT1064" s="4"/>
      <c r="AU1064" s="4"/>
      <c r="AV1064" s="4"/>
      <c r="AW1064" s="4"/>
      <c r="AX1064" s="4"/>
      <c r="AY1064" s="4"/>
      <c r="AZ1064" s="4"/>
      <c r="BA1064" s="4"/>
      <c r="BB1064" s="4">
        <v>0</v>
      </c>
      <c r="BC1064" s="4" t="s">
        <v>4527</v>
      </c>
      <c r="BD1064" s="4">
        <v>1</v>
      </c>
      <c r="BE1064" s="4">
        <v>5</v>
      </c>
      <c r="BF1064" s="4" t="s">
        <v>3746</v>
      </c>
      <c r="BG1064" s="4">
        <v>1150</v>
      </c>
      <c r="BH1064" s="4">
        <v>1150</v>
      </c>
      <c r="BI1064" s="4">
        <f t="shared" si="165"/>
        <v>230</v>
      </c>
      <c r="BJ1064" s="19">
        <v>4</v>
      </c>
      <c r="BK1064" s="19">
        <v>8</v>
      </c>
      <c r="BL1064" s="16">
        <v>6</v>
      </c>
      <c r="BM1064" s="45" t="s">
        <v>3534</v>
      </c>
      <c r="BN1064" t="s">
        <v>3534</v>
      </c>
      <c r="BO1064" t="str">
        <f t="shared" si="158"/>
        <v>-</v>
      </c>
      <c r="BP1064" t="s">
        <v>3534</v>
      </c>
      <c r="BQ1064">
        <v>228</v>
      </c>
      <c r="BR1064">
        <f t="shared" si="159"/>
        <v>228</v>
      </c>
      <c r="BS1064" t="s">
        <v>3380</v>
      </c>
    </row>
    <row r="1065" spans="1:71" x14ac:dyDescent="0.4">
      <c r="A1065" s="3">
        <v>1062</v>
      </c>
      <c r="B1065" s="3">
        <v>1062</v>
      </c>
      <c r="C1065" s="4" t="s">
        <v>1124</v>
      </c>
      <c r="D1065" s="4" t="str">
        <f t="shared" si="160"/>
        <v>J871WK</v>
      </c>
      <c r="E1065" s="4" t="s">
        <v>1124</v>
      </c>
      <c r="F1065" s="4" t="s">
        <v>2342</v>
      </c>
      <c r="G1065" s="5">
        <v>4521718747613</v>
      </c>
      <c r="H1065" s="5"/>
      <c r="I1065" s="5"/>
      <c r="J1065" s="5">
        <v>1</v>
      </c>
      <c r="K1065" s="5">
        <v>1</v>
      </c>
      <c r="L1065" s="4">
        <v>300</v>
      </c>
      <c r="M1065" s="4">
        <v>280</v>
      </c>
      <c r="N1065" s="4">
        <v>195</v>
      </c>
      <c r="O1065" s="6">
        <f t="shared" si="161"/>
        <v>0.3035714285714286</v>
      </c>
      <c r="P1065" s="4" t="s">
        <v>2500</v>
      </c>
      <c r="Q1065" s="4"/>
      <c r="R1065" s="4"/>
      <c r="S1065" s="4"/>
      <c r="T1065" s="4"/>
      <c r="U1065" s="4"/>
      <c r="V1065" s="4"/>
      <c r="W1065" s="4"/>
      <c r="X1065" s="4"/>
      <c r="Y1065" s="4">
        <v>300</v>
      </c>
      <c r="Z1065" s="4">
        <f t="shared" si="162"/>
        <v>300</v>
      </c>
      <c r="AA1065" s="4">
        <v>195</v>
      </c>
      <c r="AB1065" s="4">
        <f t="shared" si="163"/>
        <v>195</v>
      </c>
      <c r="AC1065" s="4"/>
      <c r="AD1065" s="21">
        <f>ROUND(M1065*AR1065,0)</f>
        <v>280</v>
      </c>
      <c r="AE1065" s="6">
        <f>1-AB1065/AD1065</f>
        <v>0.3035714285714286</v>
      </c>
      <c r="AF1065" s="33">
        <v>0</v>
      </c>
      <c r="AG1065" s="4">
        <f t="shared" si="164"/>
        <v>300</v>
      </c>
      <c r="AH1065" s="33">
        <f t="shared" si="157"/>
        <v>300</v>
      </c>
      <c r="AI1065" s="6">
        <f>1-AB1065/AH1065</f>
        <v>0.35</v>
      </c>
      <c r="AJ1065" s="7">
        <v>300</v>
      </c>
      <c r="AK1065" s="6">
        <f>1-AB1065/AJ1065</f>
        <v>0.35</v>
      </c>
      <c r="AL1065" s="4">
        <f>AJ1065-AB1065</f>
        <v>105</v>
      </c>
      <c r="AM1065" s="28"/>
      <c r="AN1065" s="6"/>
      <c r="AO1065" s="6"/>
      <c r="AP1065" s="6">
        <f>Z1065/L1065</f>
        <v>1</v>
      </c>
      <c r="AQ1065" s="6">
        <f>AJ1065/M1065</f>
        <v>1.0714285714285714</v>
      </c>
      <c r="AR1065" s="6">
        <f>AB1065/N1065</f>
        <v>1</v>
      </c>
      <c r="AS1065" s="4"/>
      <c r="AT1065" s="4"/>
      <c r="AU1065" s="4"/>
      <c r="AV1065" s="4"/>
      <c r="AW1065" s="4"/>
      <c r="AX1065" s="4"/>
      <c r="AY1065" s="4"/>
      <c r="AZ1065" s="4"/>
      <c r="BA1065" s="4"/>
      <c r="BB1065" s="4">
        <v>0</v>
      </c>
      <c r="BC1065" s="4" t="s">
        <v>4528</v>
      </c>
      <c r="BD1065" s="4">
        <v>1</v>
      </c>
      <c r="BE1065" s="4">
        <v>4</v>
      </c>
      <c r="BF1065" s="4" t="s">
        <v>3579</v>
      </c>
      <c r="BG1065" s="4">
        <v>1200</v>
      </c>
      <c r="BH1065" s="4">
        <v>1200</v>
      </c>
      <c r="BI1065" s="4">
        <f t="shared" si="165"/>
        <v>300</v>
      </c>
      <c r="BJ1065" s="19">
        <v>4</v>
      </c>
      <c r="BK1065" s="19">
        <v>8</v>
      </c>
      <c r="BL1065" s="16">
        <v>7</v>
      </c>
      <c r="BM1065" s="45" t="s">
        <v>3534</v>
      </c>
      <c r="BN1065" t="s">
        <v>3534</v>
      </c>
      <c r="BO1065" t="str">
        <f t="shared" si="158"/>
        <v>-</v>
      </c>
      <c r="BP1065" t="s">
        <v>3534</v>
      </c>
      <c r="BQ1065">
        <v>285</v>
      </c>
      <c r="BR1065">
        <f t="shared" si="159"/>
        <v>285</v>
      </c>
      <c r="BS1065" t="s">
        <v>3381</v>
      </c>
    </row>
    <row r="1066" spans="1:71" x14ac:dyDescent="0.4">
      <c r="A1066" s="3">
        <v>1063</v>
      </c>
      <c r="B1066" s="3">
        <v>1063</v>
      </c>
      <c r="C1066" s="4" t="s">
        <v>1125</v>
      </c>
      <c r="D1066" s="4" t="str">
        <f t="shared" si="160"/>
        <v>J872LY</v>
      </c>
      <c r="E1066" s="4" t="s">
        <v>1125</v>
      </c>
      <c r="F1066" s="4" t="s">
        <v>2343</v>
      </c>
      <c r="G1066" s="5">
        <v>4521718778303</v>
      </c>
      <c r="H1066" s="5"/>
      <c r="I1066" s="5"/>
      <c r="J1066" s="5">
        <v>1</v>
      </c>
      <c r="K1066" s="5">
        <v>1</v>
      </c>
      <c r="L1066" s="4">
        <v>230</v>
      </c>
      <c r="M1066" s="4">
        <v>210</v>
      </c>
      <c r="N1066" s="4">
        <v>161</v>
      </c>
      <c r="O1066" s="6">
        <f t="shared" si="161"/>
        <v>0.23333333333333328</v>
      </c>
      <c r="P1066" s="4" t="s">
        <v>2500</v>
      </c>
      <c r="Q1066" s="4"/>
      <c r="R1066" s="4"/>
      <c r="S1066" s="4"/>
      <c r="T1066" s="4"/>
      <c r="U1066" s="4"/>
      <c r="V1066" s="4"/>
      <c r="W1066" s="4"/>
      <c r="X1066" s="4"/>
      <c r="Y1066" s="4">
        <v>230</v>
      </c>
      <c r="Z1066" s="4">
        <f t="shared" si="162"/>
        <v>230</v>
      </c>
      <c r="AA1066" s="4">
        <v>161</v>
      </c>
      <c r="AB1066" s="4">
        <f t="shared" si="163"/>
        <v>161</v>
      </c>
      <c r="AC1066" s="4"/>
      <c r="AD1066" s="21">
        <f>ROUND(M1066*AR1066,0)</f>
        <v>210</v>
      </c>
      <c r="AE1066" s="6">
        <f>1-AB1066/AD1066</f>
        <v>0.23333333333333328</v>
      </c>
      <c r="AF1066" s="33">
        <v>0</v>
      </c>
      <c r="AG1066" s="4">
        <f t="shared" si="164"/>
        <v>230</v>
      </c>
      <c r="AH1066" s="33">
        <f t="shared" si="157"/>
        <v>230</v>
      </c>
      <c r="AI1066" s="6">
        <f>1-AB1066/AH1066</f>
        <v>0.30000000000000004</v>
      </c>
      <c r="AJ1066" s="7">
        <v>230</v>
      </c>
      <c r="AK1066" s="6">
        <f>1-AB1066/AJ1066</f>
        <v>0.30000000000000004</v>
      </c>
      <c r="AL1066" s="4">
        <f>AJ1066-AB1066</f>
        <v>69</v>
      </c>
      <c r="AM1066" s="28"/>
      <c r="AN1066" s="6"/>
      <c r="AO1066" s="6"/>
      <c r="AP1066" s="6">
        <f>Z1066/L1066</f>
        <v>1</v>
      </c>
      <c r="AQ1066" s="6">
        <f>AJ1066/M1066</f>
        <v>1.0952380952380953</v>
      </c>
      <c r="AR1066" s="6">
        <f>AB1066/N1066</f>
        <v>1</v>
      </c>
      <c r="AS1066" s="4"/>
      <c r="AT1066" s="4"/>
      <c r="AU1066" s="4"/>
      <c r="AV1066" s="4"/>
      <c r="AW1066" s="4"/>
      <c r="AX1066" s="4"/>
      <c r="AY1066" s="4"/>
      <c r="AZ1066" s="4"/>
      <c r="BA1066" s="4"/>
      <c r="BB1066" s="4">
        <v>0</v>
      </c>
      <c r="BC1066" s="4" t="s">
        <v>4529</v>
      </c>
      <c r="BD1066" s="4">
        <v>1</v>
      </c>
      <c r="BE1066" s="4">
        <v>5</v>
      </c>
      <c r="BF1066" s="4" t="s">
        <v>3746</v>
      </c>
      <c r="BG1066" s="4">
        <v>1150</v>
      </c>
      <c r="BH1066" s="4">
        <v>1150</v>
      </c>
      <c r="BI1066" s="4">
        <f t="shared" si="165"/>
        <v>230</v>
      </c>
      <c r="BJ1066" s="19">
        <v>4</v>
      </c>
      <c r="BK1066" s="19">
        <v>8</v>
      </c>
      <c r="BL1066" s="16">
        <v>6</v>
      </c>
      <c r="BM1066" s="45" t="s">
        <v>3534</v>
      </c>
      <c r="BN1066" t="s">
        <v>3534</v>
      </c>
      <c r="BO1066" t="str">
        <f t="shared" si="158"/>
        <v>-</v>
      </c>
      <c r="BP1066" t="s">
        <v>3534</v>
      </c>
      <c r="BQ1066">
        <v>228</v>
      </c>
      <c r="BR1066">
        <f t="shared" si="159"/>
        <v>228</v>
      </c>
      <c r="BS1066" t="s">
        <v>3382</v>
      </c>
    </row>
    <row r="1067" spans="1:71" x14ac:dyDescent="0.4">
      <c r="A1067" s="3">
        <v>1064</v>
      </c>
      <c r="B1067" s="3">
        <v>1064</v>
      </c>
      <c r="C1067" s="4" t="s">
        <v>1126</v>
      </c>
      <c r="D1067" s="4" t="str">
        <f t="shared" si="160"/>
        <v>J872WK</v>
      </c>
      <c r="E1067" s="4" t="s">
        <v>1126</v>
      </c>
      <c r="F1067" s="4" t="s">
        <v>2344</v>
      </c>
      <c r="G1067" s="5">
        <v>4521718747620</v>
      </c>
      <c r="H1067" s="5"/>
      <c r="I1067" s="5"/>
      <c r="J1067" s="5">
        <v>1</v>
      </c>
      <c r="K1067" s="5">
        <v>1</v>
      </c>
      <c r="L1067" s="4">
        <v>500</v>
      </c>
      <c r="M1067" s="4">
        <v>480</v>
      </c>
      <c r="N1067" s="4">
        <v>325</v>
      </c>
      <c r="O1067" s="6">
        <f t="shared" si="161"/>
        <v>0.32291666666666663</v>
      </c>
      <c r="P1067" s="4" t="s">
        <v>2500</v>
      </c>
      <c r="Q1067" s="4"/>
      <c r="R1067" s="4"/>
      <c r="S1067" s="4"/>
      <c r="T1067" s="4"/>
      <c r="U1067" s="4"/>
      <c r="V1067" s="4"/>
      <c r="W1067" s="4"/>
      <c r="X1067" s="4"/>
      <c r="Y1067" s="4">
        <v>500</v>
      </c>
      <c r="Z1067" s="4">
        <f t="shared" si="162"/>
        <v>500</v>
      </c>
      <c r="AA1067" s="4">
        <v>325</v>
      </c>
      <c r="AB1067" s="4">
        <f t="shared" si="163"/>
        <v>325</v>
      </c>
      <c r="AC1067" s="4"/>
      <c r="AD1067" s="21">
        <f>ROUND(M1067*AR1067,0)</f>
        <v>480</v>
      </c>
      <c r="AE1067" s="6">
        <f>1-AB1067/AD1067</f>
        <v>0.32291666666666663</v>
      </c>
      <c r="AF1067" s="33">
        <v>0</v>
      </c>
      <c r="AG1067" s="4">
        <f t="shared" si="164"/>
        <v>500</v>
      </c>
      <c r="AH1067" s="33">
        <f t="shared" si="157"/>
        <v>500</v>
      </c>
      <c r="AI1067" s="6">
        <f>1-AB1067/AH1067</f>
        <v>0.35</v>
      </c>
      <c r="AJ1067" s="7">
        <v>500</v>
      </c>
      <c r="AK1067" s="6">
        <f>1-AB1067/AJ1067</f>
        <v>0.35</v>
      </c>
      <c r="AL1067" s="4">
        <f>AJ1067-AB1067</f>
        <v>175</v>
      </c>
      <c r="AM1067" s="28"/>
      <c r="AN1067" s="6"/>
      <c r="AO1067" s="6"/>
      <c r="AP1067" s="6">
        <f>Z1067/L1067</f>
        <v>1</v>
      </c>
      <c r="AQ1067" s="6">
        <f>AJ1067/M1067</f>
        <v>1.0416666666666667</v>
      </c>
      <c r="AR1067" s="6">
        <f>AB1067/N1067</f>
        <v>1</v>
      </c>
      <c r="AS1067" s="4"/>
      <c r="AT1067" s="4"/>
      <c r="AU1067" s="4"/>
      <c r="AV1067" s="4"/>
      <c r="AW1067" s="4"/>
      <c r="AX1067" s="4"/>
      <c r="AY1067" s="4"/>
      <c r="AZ1067" s="4"/>
      <c r="BA1067" s="4"/>
      <c r="BB1067" s="4">
        <v>0</v>
      </c>
      <c r="BC1067" s="4" t="s">
        <v>4530</v>
      </c>
      <c r="BD1067" s="4">
        <v>1</v>
      </c>
      <c r="BE1067" s="4">
        <v>2</v>
      </c>
      <c r="BF1067" s="4" t="s">
        <v>3575</v>
      </c>
      <c r="BG1067" s="4">
        <v>1000</v>
      </c>
      <c r="BH1067" s="4">
        <v>1000</v>
      </c>
      <c r="BI1067" s="4">
        <f t="shared" si="165"/>
        <v>500</v>
      </c>
      <c r="BJ1067" s="19">
        <v>4</v>
      </c>
      <c r="BK1067" s="19">
        <v>8</v>
      </c>
      <c r="BL1067" s="16">
        <v>7</v>
      </c>
      <c r="BM1067" s="45" t="s">
        <v>3534</v>
      </c>
      <c r="BN1067" t="s">
        <v>3534</v>
      </c>
      <c r="BO1067" t="str">
        <f t="shared" si="158"/>
        <v>-</v>
      </c>
      <c r="BP1067" t="s">
        <v>3534</v>
      </c>
      <c r="BQ1067">
        <v>475</v>
      </c>
      <c r="BR1067">
        <f t="shared" si="159"/>
        <v>475</v>
      </c>
      <c r="BS1067" t="s">
        <v>3383</v>
      </c>
    </row>
    <row r="1068" spans="1:71" x14ac:dyDescent="0.4">
      <c r="A1068" s="3">
        <v>1065</v>
      </c>
      <c r="B1068" s="3">
        <v>1065</v>
      </c>
      <c r="C1068" s="4" t="s">
        <v>1127</v>
      </c>
      <c r="D1068" s="4" t="str">
        <f t="shared" si="160"/>
        <v>J873WK</v>
      </c>
      <c r="E1068" s="4" t="s">
        <v>1127</v>
      </c>
      <c r="F1068" s="4" t="s">
        <v>2345</v>
      </c>
      <c r="G1068" s="5">
        <v>4521718747637</v>
      </c>
      <c r="H1068" s="5"/>
      <c r="I1068" s="5"/>
      <c r="J1068" s="5">
        <v>1</v>
      </c>
      <c r="K1068" s="5">
        <v>1</v>
      </c>
      <c r="L1068" s="4">
        <v>300</v>
      </c>
      <c r="M1068" s="4">
        <v>280</v>
      </c>
      <c r="N1068" s="4">
        <v>195</v>
      </c>
      <c r="O1068" s="6">
        <f t="shared" si="161"/>
        <v>0.3035714285714286</v>
      </c>
      <c r="P1068" s="4" t="s">
        <v>2500</v>
      </c>
      <c r="Q1068" s="4"/>
      <c r="R1068" s="4"/>
      <c r="S1068" s="4"/>
      <c r="T1068" s="4"/>
      <c r="U1068" s="4"/>
      <c r="V1068" s="4"/>
      <c r="W1068" s="4"/>
      <c r="X1068" s="4"/>
      <c r="Y1068" s="4">
        <v>300</v>
      </c>
      <c r="Z1068" s="4">
        <f t="shared" si="162"/>
        <v>300</v>
      </c>
      <c r="AA1068" s="4">
        <v>195</v>
      </c>
      <c r="AB1068" s="4">
        <f t="shared" si="163"/>
        <v>195</v>
      </c>
      <c r="AC1068" s="4"/>
      <c r="AD1068" s="21">
        <f>ROUND(M1068*AR1068,0)</f>
        <v>280</v>
      </c>
      <c r="AE1068" s="6">
        <f>1-AB1068/AD1068</f>
        <v>0.3035714285714286</v>
      </c>
      <c r="AF1068" s="33">
        <v>0</v>
      </c>
      <c r="AG1068" s="4">
        <f t="shared" si="164"/>
        <v>300</v>
      </c>
      <c r="AH1068" s="33">
        <f t="shared" si="157"/>
        <v>300</v>
      </c>
      <c r="AI1068" s="6">
        <f>1-AB1068/AH1068</f>
        <v>0.35</v>
      </c>
      <c r="AJ1068" s="7">
        <v>300</v>
      </c>
      <c r="AK1068" s="6">
        <f>1-AB1068/AJ1068</f>
        <v>0.35</v>
      </c>
      <c r="AL1068" s="4">
        <f>AJ1068-AB1068</f>
        <v>105</v>
      </c>
      <c r="AM1068" s="28"/>
      <c r="AN1068" s="6"/>
      <c r="AO1068" s="6"/>
      <c r="AP1068" s="6">
        <f>Z1068/L1068</f>
        <v>1</v>
      </c>
      <c r="AQ1068" s="6">
        <f>AJ1068/M1068</f>
        <v>1.0714285714285714</v>
      </c>
      <c r="AR1068" s="6">
        <f>AB1068/N1068</f>
        <v>1</v>
      </c>
      <c r="AS1068" s="4"/>
      <c r="AT1068" s="4"/>
      <c r="AU1068" s="4"/>
      <c r="AV1068" s="4"/>
      <c r="AW1068" s="4"/>
      <c r="AX1068" s="4"/>
      <c r="AY1068" s="4"/>
      <c r="AZ1068" s="4"/>
      <c r="BA1068" s="4"/>
      <c r="BB1068" s="4">
        <v>0</v>
      </c>
      <c r="BC1068" s="4" t="s">
        <v>4531</v>
      </c>
      <c r="BD1068" s="4">
        <v>1</v>
      </c>
      <c r="BE1068" s="4">
        <v>4</v>
      </c>
      <c r="BF1068" s="4" t="s">
        <v>3579</v>
      </c>
      <c r="BG1068" s="4">
        <v>1200</v>
      </c>
      <c r="BH1068" s="4">
        <v>1200</v>
      </c>
      <c r="BI1068" s="4">
        <f t="shared" si="165"/>
        <v>300</v>
      </c>
      <c r="BJ1068" s="19">
        <v>4</v>
      </c>
      <c r="BK1068" s="19">
        <v>8</v>
      </c>
      <c r="BL1068" s="16">
        <v>7</v>
      </c>
      <c r="BM1068" s="45" t="s">
        <v>3534</v>
      </c>
      <c r="BN1068" t="s">
        <v>3534</v>
      </c>
      <c r="BO1068" t="str">
        <f t="shared" si="158"/>
        <v>-</v>
      </c>
      <c r="BP1068" t="s">
        <v>3534</v>
      </c>
      <c r="BQ1068">
        <v>285</v>
      </c>
      <c r="BR1068">
        <f t="shared" si="159"/>
        <v>285</v>
      </c>
      <c r="BS1068" t="s">
        <v>3384</v>
      </c>
    </row>
    <row r="1069" spans="1:71" x14ac:dyDescent="0.4">
      <c r="A1069" s="3">
        <v>1066</v>
      </c>
      <c r="B1069" s="3">
        <v>1066</v>
      </c>
      <c r="C1069" s="4" t="s">
        <v>1128</v>
      </c>
      <c r="D1069" s="4" t="str">
        <f t="shared" si="160"/>
        <v>J873LY</v>
      </c>
      <c r="E1069" s="4" t="s">
        <v>1128</v>
      </c>
      <c r="F1069" s="4" t="s">
        <v>2346</v>
      </c>
      <c r="G1069" s="5">
        <v>4521718778310</v>
      </c>
      <c r="H1069" s="5"/>
      <c r="I1069" s="5"/>
      <c r="J1069" s="5">
        <v>1</v>
      </c>
      <c r="K1069" s="5">
        <v>1</v>
      </c>
      <c r="L1069" s="4">
        <v>230</v>
      </c>
      <c r="M1069" s="4">
        <v>210</v>
      </c>
      <c r="N1069" s="4">
        <v>161</v>
      </c>
      <c r="O1069" s="6">
        <f t="shared" si="161"/>
        <v>0.23333333333333328</v>
      </c>
      <c r="P1069" s="4" t="s">
        <v>2500</v>
      </c>
      <c r="Q1069" s="4"/>
      <c r="R1069" s="4"/>
      <c r="S1069" s="4"/>
      <c r="T1069" s="4"/>
      <c r="U1069" s="4"/>
      <c r="V1069" s="4"/>
      <c r="W1069" s="4"/>
      <c r="X1069" s="4"/>
      <c r="Y1069" s="4">
        <v>230</v>
      </c>
      <c r="Z1069" s="4">
        <f t="shared" si="162"/>
        <v>230</v>
      </c>
      <c r="AA1069" s="4">
        <v>161</v>
      </c>
      <c r="AB1069" s="4">
        <f t="shared" si="163"/>
        <v>161</v>
      </c>
      <c r="AC1069" s="4"/>
      <c r="AD1069" s="21">
        <f>ROUND(M1069*AR1069,0)</f>
        <v>210</v>
      </c>
      <c r="AE1069" s="6">
        <f>1-AB1069/AD1069</f>
        <v>0.23333333333333328</v>
      </c>
      <c r="AF1069" s="33">
        <v>0</v>
      </c>
      <c r="AG1069" s="4">
        <f t="shared" si="164"/>
        <v>230</v>
      </c>
      <c r="AH1069" s="33">
        <f t="shared" si="157"/>
        <v>230</v>
      </c>
      <c r="AI1069" s="6">
        <f>1-AB1069/AH1069</f>
        <v>0.30000000000000004</v>
      </c>
      <c r="AJ1069" s="7">
        <v>230</v>
      </c>
      <c r="AK1069" s="6">
        <f>1-AB1069/AJ1069</f>
        <v>0.30000000000000004</v>
      </c>
      <c r="AL1069" s="4">
        <f>AJ1069-AB1069</f>
        <v>69</v>
      </c>
      <c r="AM1069" s="28"/>
      <c r="AN1069" s="6"/>
      <c r="AO1069" s="6"/>
      <c r="AP1069" s="6">
        <f>Z1069/L1069</f>
        <v>1</v>
      </c>
      <c r="AQ1069" s="6">
        <f>AJ1069/M1069</f>
        <v>1.0952380952380953</v>
      </c>
      <c r="AR1069" s="6">
        <f>AB1069/N1069</f>
        <v>1</v>
      </c>
      <c r="AS1069" s="4"/>
      <c r="AT1069" s="4"/>
      <c r="AU1069" s="4"/>
      <c r="AV1069" s="4"/>
      <c r="AW1069" s="4"/>
      <c r="AX1069" s="4"/>
      <c r="AY1069" s="4"/>
      <c r="AZ1069" s="4"/>
      <c r="BA1069" s="4"/>
      <c r="BB1069" s="4">
        <v>0</v>
      </c>
      <c r="BC1069" s="4" t="s">
        <v>4532</v>
      </c>
      <c r="BD1069" s="4">
        <v>1</v>
      </c>
      <c r="BE1069" s="4">
        <v>5</v>
      </c>
      <c r="BF1069" s="4" t="s">
        <v>3746</v>
      </c>
      <c r="BG1069" s="4">
        <v>1150</v>
      </c>
      <c r="BH1069" s="4">
        <v>1150</v>
      </c>
      <c r="BI1069" s="4">
        <f t="shared" si="165"/>
        <v>230</v>
      </c>
      <c r="BJ1069" s="19">
        <v>4</v>
      </c>
      <c r="BK1069" s="19">
        <v>8</v>
      </c>
      <c r="BL1069" s="16">
        <v>6</v>
      </c>
      <c r="BM1069" s="45" t="s">
        <v>3534</v>
      </c>
      <c r="BN1069" t="s">
        <v>3534</v>
      </c>
      <c r="BO1069" t="str">
        <f t="shared" si="158"/>
        <v>-</v>
      </c>
      <c r="BP1069" t="s">
        <v>3534</v>
      </c>
      <c r="BQ1069">
        <v>228</v>
      </c>
      <c r="BR1069">
        <f t="shared" si="159"/>
        <v>228</v>
      </c>
      <c r="BS1069" t="s">
        <v>3385</v>
      </c>
    </row>
    <row r="1070" spans="1:71" x14ac:dyDescent="0.4">
      <c r="A1070" s="3">
        <v>1067</v>
      </c>
      <c r="B1070" s="3">
        <v>1067</v>
      </c>
      <c r="C1070" s="4" t="s">
        <v>1129</v>
      </c>
      <c r="D1070" s="4" t="str">
        <f t="shared" si="160"/>
        <v>J874LY</v>
      </c>
      <c r="E1070" s="4" t="s">
        <v>1129</v>
      </c>
      <c r="F1070" s="4" t="s">
        <v>2347</v>
      </c>
      <c r="G1070" s="5">
        <v>4521718778327</v>
      </c>
      <c r="H1070" s="5"/>
      <c r="I1070" s="5"/>
      <c r="J1070" s="5">
        <v>1</v>
      </c>
      <c r="K1070" s="5">
        <v>1</v>
      </c>
      <c r="L1070" s="4">
        <v>230</v>
      </c>
      <c r="M1070" s="4">
        <v>210</v>
      </c>
      <c r="N1070" s="4">
        <v>161</v>
      </c>
      <c r="O1070" s="6">
        <f t="shared" si="161"/>
        <v>0.23333333333333328</v>
      </c>
      <c r="P1070" s="4" t="s">
        <v>2500</v>
      </c>
      <c r="Q1070" s="4"/>
      <c r="R1070" s="4"/>
      <c r="S1070" s="4"/>
      <c r="T1070" s="4"/>
      <c r="U1070" s="4"/>
      <c r="V1070" s="4"/>
      <c r="W1070" s="4"/>
      <c r="X1070" s="4"/>
      <c r="Y1070" s="4">
        <v>230</v>
      </c>
      <c r="Z1070" s="4">
        <f t="shared" si="162"/>
        <v>230</v>
      </c>
      <c r="AA1070" s="4">
        <v>161</v>
      </c>
      <c r="AB1070" s="4">
        <f t="shared" si="163"/>
        <v>161</v>
      </c>
      <c r="AC1070" s="4"/>
      <c r="AD1070" s="21">
        <f>ROUND(M1070*AR1070,0)</f>
        <v>210</v>
      </c>
      <c r="AE1070" s="6">
        <f>1-AB1070/AD1070</f>
        <v>0.23333333333333328</v>
      </c>
      <c r="AF1070" s="33">
        <v>0</v>
      </c>
      <c r="AG1070" s="4">
        <f t="shared" si="164"/>
        <v>230</v>
      </c>
      <c r="AH1070" s="33">
        <f t="shared" si="157"/>
        <v>230</v>
      </c>
      <c r="AI1070" s="6">
        <f>1-AB1070/AH1070</f>
        <v>0.30000000000000004</v>
      </c>
      <c r="AJ1070" s="7">
        <v>230</v>
      </c>
      <c r="AK1070" s="6">
        <f>1-AB1070/AJ1070</f>
        <v>0.30000000000000004</v>
      </c>
      <c r="AL1070" s="4">
        <f>AJ1070-AB1070</f>
        <v>69</v>
      </c>
      <c r="AM1070" s="28"/>
      <c r="AN1070" s="6"/>
      <c r="AO1070" s="6"/>
      <c r="AP1070" s="6">
        <f>Z1070/L1070</f>
        <v>1</v>
      </c>
      <c r="AQ1070" s="6">
        <f>AJ1070/M1070</f>
        <v>1.0952380952380953</v>
      </c>
      <c r="AR1070" s="6">
        <f>AB1070/N1070</f>
        <v>1</v>
      </c>
      <c r="AS1070" s="4"/>
      <c r="AT1070" s="4"/>
      <c r="AU1070" s="4"/>
      <c r="AV1070" s="4"/>
      <c r="AW1070" s="4"/>
      <c r="AX1070" s="4"/>
      <c r="AY1070" s="4"/>
      <c r="AZ1070" s="4"/>
      <c r="BA1070" s="4"/>
      <c r="BB1070" s="4">
        <v>0</v>
      </c>
      <c r="BC1070" s="4" t="s">
        <v>4533</v>
      </c>
      <c r="BD1070" s="4">
        <v>1</v>
      </c>
      <c r="BE1070" s="4">
        <v>5</v>
      </c>
      <c r="BF1070" s="4" t="s">
        <v>3746</v>
      </c>
      <c r="BG1070" s="4">
        <v>1150</v>
      </c>
      <c r="BH1070" s="4">
        <v>1150</v>
      </c>
      <c r="BI1070" s="4">
        <f t="shared" si="165"/>
        <v>230</v>
      </c>
      <c r="BJ1070" s="19">
        <v>4</v>
      </c>
      <c r="BK1070" s="19">
        <v>8</v>
      </c>
      <c r="BL1070" s="16">
        <v>6</v>
      </c>
      <c r="BM1070" s="45" t="s">
        <v>3534</v>
      </c>
      <c r="BN1070" t="s">
        <v>3534</v>
      </c>
      <c r="BO1070" t="str">
        <f t="shared" si="158"/>
        <v>-</v>
      </c>
      <c r="BP1070" t="s">
        <v>3534</v>
      </c>
      <c r="BQ1070">
        <v>228</v>
      </c>
      <c r="BR1070">
        <f t="shared" si="159"/>
        <v>228</v>
      </c>
      <c r="BS1070" t="s">
        <v>3386</v>
      </c>
    </row>
    <row r="1071" spans="1:71" x14ac:dyDescent="0.4">
      <c r="A1071" s="3">
        <v>1068</v>
      </c>
      <c r="B1071" s="3">
        <v>1068</v>
      </c>
      <c r="C1071" s="4" t="s">
        <v>1130</v>
      </c>
      <c r="D1071" s="4" t="str">
        <f t="shared" si="160"/>
        <v>J875LY</v>
      </c>
      <c r="E1071" s="4" t="s">
        <v>1130</v>
      </c>
      <c r="F1071" s="4" t="s">
        <v>2348</v>
      </c>
      <c r="G1071" s="5">
        <v>4521718778334</v>
      </c>
      <c r="H1071" s="5"/>
      <c r="I1071" s="5"/>
      <c r="J1071" s="5">
        <v>1</v>
      </c>
      <c r="K1071" s="5">
        <v>1</v>
      </c>
      <c r="L1071" s="4">
        <v>230</v>
      </c>
      <c r="M1071" s="4">
        <v>210</v>
      </c>
      <c r="N1071" s="4">
        <v>161</v>
      </c>
      <c r="O1071" s="6">
        <f t="shared" si="161"/>
        <v>0.23333333333333328</v>
      </c>
      <c r="P1071" s="4" t="s">
        <v>2500</v>
      </c>
      <c r="Q1071" s="4"/>
      <c r="R1071" s="4"/>
      <c r="S1071" s="4"/>
      <c r="T1071" s="4"/>
      <c r="U1071" s="4"/>
      <c r="V1071" s="4"/>
      <c r="W1071" s="4"/>
      <c r="X1071" s="4"/>
      <c r="Y1071" s="4">
        <v>230</v>
      </c>
      <c r="Z1071" s="4">
        <f t="shared" si="162"/>
        <v>230</v>
      </c>
      <c r="AA1071" s="4">
        <v>161</v>
      </c>
      <c r="AB1071" s="4">
        <f t="shared" si="163"/>
        <v>161</v>
      </c>
      <c r="AC1071" s="4"/>
      <c r="AD1071" s="21">
        <f>ROUND(M1071*AR1071,0)</f>
        <v>210</v>
      </c>
      <c r="AE1071" s="6">
        <f>1-AB1071/AD1071</f>
        <v>0.23333333333333328</v>
      </c>
      <c r="AF1071" s="33">
        <v>0</v>
      </c>
      <c r="AG1071" s="4">
        <f t="shared" si="164"/>
        <v>230</v>
      </c>
      <c r="AH1071" s="33">
        <f t="shared" si="157"/>
        <v>230</v>
      </c>
      <c r="AI1071" s="6">
        <f>1-AB1071/AH1071</f>
        <v>0.30000000000000004</v>
      </c>
      <c r="AJ1071" s="7">
        <v>230</v>
      </c>
      <c r="AK1071" s="6">
        <f>1-AB1071/AJ1071</f>
        <v>0.30000000000000004</v>
      </c>
      <c r="AL1071" s="4">
        <f>AJ1071-AB1071</f>
        <v>69</v>
      </c>
      <c r="AM1071" s="28"/>
      <c r="AN1071" s="6"/>
      <c r="AO1071" s="6"/>
      <c r="AP1071" s="6">
        <f>Z1071/L1071</f>
        <v>1</v>
      </c>
      <c r="AQ1071" s="6">
        <f>AJ1071/M1071</f>
        <v>1.0952380952380953</v>
      </c>
      <c r="AR1071" s="6">
        <f>AB1071/N1071</f>
        <v>1</v>
      </c>
      <c r="AS1071" s="4"/>
      <c r="AT1071" s="4"/>
      <c r="AU1071" s="4"/>
      <c r="AV1071" s="4"/>
      <c r="AW1071" s="4"/>
      <c r="AX1071" s="4"/>
      <c r="AY1071" s="4"/>
      <c r="AZ1071" s="4"/>
      <c r="BA1071" s="4"/>
      <c r="BB1071" s="4">
        <v>0</v>
      </c>
      <c r="BC1071" s="4" t="s">
        <v>4534</v>
      </c>
      <c r="BD1071" s="4">
        <v>1</v>
      </c>
      <c r="BE1071" s="4">
        <v>5</v>
      </c>
      <c r="BF1071" s="4" t="s">
        <v>3746</v>
      </c>
      <c r="BG1071" s="4">
        <v>1150</v>
      </c>
      <c r="BH1071" s="4">
        <v>1150</v>
      </c>
      <c r="BI1071" s="4">
        <f t="shared" si="165"/>
        <v>230</v>
      </c>
      <c r="BJ1071" s="19">
        <v>4</v>
      </c>
      <c r="BK1071" s="19">
        <v>8</v>
      </c>
      <c r="BL1071" s="16">
        <v>6</v>
      </c>
      <c r="BM1071" s="45" t="s">
        <v>3534</v>
      </c>
      <c r="BN1071" t="s">
        <v>3534</v>
      </c>
      <c r="BO1071" t="str">
        <f t="shared" si="158"/>
        <v>-</v>
      </c>
      <c r="BP1071" t="s">
        <v>3534</v>
      </c>
      <c r="BQ1071">
        <v>228</v>
      </c>
      <c r="BR1071">
        <f t="shared" si="159"/>
        <v>228</v>
      </c>
      <c r="BS1071" t="s">
        <v>3387</v>
      </c>
    </row>
    <row r="1072" spans="1:71" x14ac:dyDescent="0.4">
      <c r="A1072" s="3">
        <v>1069</v>
      </c>
      <c r="B1072" s="3">
        <v>1069</v>
      </c>
      <c r="C1072" s="4" t="s">
        <v>1131</v>
      </c>
      <c r="D1072" s="4" t="str">
        <f t="shared" si="160"/>
        <v>J875WK</v>
      </c>
      <c r="E1072" s="4" t="s">
        <v>1131</v>
      </c>
      <c r="F1072" s="4" t="s">
        <v>2349</v>
      </c>
      <c r="G1072" s="5">
        <v>4521718747651</v>
      </c>
      <c r="H1072" s="5"/>
      <c r="I1072" s="5"/>
      <c r="J1072" s="5">
        <v>1</v>
      </c>
      <c r="K1072" s="5">
        <v>1</v>
      </c>
      <c r="L1072" s="4">
        <v>500</v>
      </c>
      <c r="M1072" s="4">
        <v>480</v>
      </c>
      <c r="N1072" s="4">
        <v>325</v>
      </c>
      <c r="O1072" s="6">
        <f t="shared" si="161"/>
        <v>0.32291666666666663</v>
      </c>
      <c r="P1072" s="4" t="s">
        <v>2500</v>
      </c>
      <c r="Q1072" s="4"/>
      <c r="R1072" s="4"/>
      <c r="S1072" s="4"/>
      <c r="T1072" s="4"/>
      <c r="U1072" s="4"/>
      <c r="V1072" s="4"/>
      <c r="W1072" s="4"/>
      <c r="X1072" s="4"/>
      <c r="Y1072" s="4">
        <v>500</v>
      </c>
      <c r="Z1072" s="4">
        <f t="shared" si="162"/>
        <v>500</v>
      </c>
      <c r="AA1072" s="4">
        <v>325</v>
      </c>
      <c r="AB1072" s="4">
        <f t="shared" si="163"/>
        <v>325</v>
      </c>
      <c r="AC1072" s="4"/>
      <c r="AD1072" s="21">
        <f>ROUND(M1072*AR1072,0)</f>
        <v>480</v>
      </c>
      <c r="AE1072" s="6">
        <f>1-AB1072/AD1072</f>
        <v>0.32291666666666663</v>
      </c>
      <c r="AF1072" s="33">
        <v>0</v>
      </c>
      <c r="AG1072" s="4">
        <f t="shared" si="164"/>
        <v>500</v>
      </c>
      <c r="AH1072" s="33">
        <f t="shared" si="157"/>
        <v>500</v>
      </c>
      <c r="AI1072" s="6">
        <f>1-AB1072/AH1072</f>
        <v>0.35</v>
      </c>
      <c r="AJ1072" s="7">
        <v>500</v>
      </c>
      <c r="AK1072" s="6">
        <f>1-AB1072/AJ1072</f>
        <v>0.35</v>
      </c>
      <c r="AL1072" s="4">
        <f>AJ1072-AB1072</f>
        <v>175</v>
      </c>
      <c r="AM1072" s="28"/>
      <c r="AN1072" s="6"/>
      <c r="AO1072" s="6"/>
      <c r="AP1072" s="6">
        <f>Z1072/L1072</f>
        <v>1</v>
      </c>
      <c r="AQ1072" s="6">
        <f>AJ1072/M1072</f>
        <v>1.0416666666666667</v>
      </c>
      <c r="AR1072" s="6">
        <f>AB1072/N1072</f>
        <v>1</v>
      </c>
      <c r="AS1072" s="4"/>
      <c r="AT1072" s="4"/>
      <c r="AU1072" s="4"/>
      <c r="AV1072" s="4"/>
      <c r="AW1072" s="4"/>
      <c r="AX1072" s="4"/>
      <c r="AY1072" s="4"/>
      <c r="AZ1072" s="4"/>
      <c r="BA1072" s="4"/>
      <c r="BB1072" s="4">
        <v>0</v>
      </c>
      <c r="BC1072" s="4" t="s">
        <v>4535</v>
      </c>
      <c r="BD1072" s="4">
        <v>1</v>
      </c>
      <c r="BE1072" s="4">
        <v>2</v>
      </c>
      <c r="BF1072" s="4" t="s">
        <v>3575</v>
      </c>
      <c r="BG1072" s="4">
        <v>1000</v>
      </c>
      <c r="BH1072" s="4">
        <v>1000</v>
      </c>
      <c r="BI1072" s="4">
        <f t="shared" si="165"/>
        <v>500</v>
      </c>
      <c r="BJ1072" s="19">
        <v>4</v>
      </c>
      <c r="BK1072" s="19">
        <v>8</v>
      </c>
      <c r="BL1072" s="16">
        <v>7</v>
      </c>
      <c r="BM1072" s="45" t="s">
        <v>3534</v>
      </c>
      <c r="BN1072" t="s">
        <v>3534</v>
      </c>
      <c r="BO1072" t="str">
        <f t="shared" si="158"/>
        <v>-</v>
      </c>
      <c r="BP1072" t="s">
        <v>3534</v>
      </c>
      <c r="BQ1072">
        <v>475</v>
      </c>
      <c r="BR1072">
        <f t="shared" si="159"/>
        <v>475</v>
      </c>
      <c r="BS1072" t="s">
        <v>3388</v>
      </c>
    </row>
    <row r="1073" spans="1:71" x14ac:dyDescent="0.4">
      <c r="A1073" s="3">
        <v>1070</v>
      </c>
      <c r="B1073" s="3">
        <v>1070</v>
      </c>
      <c r="C1073" s="4" t="s">
        <v>1132</v>
      </c>
      <c r="D1073" s="4" t="str">
        <f t="shared" si="160"/>
        <v>J874WK</v>
      </c>
      <c r="E1073" s="4" t="s">
        <v>1132</v>
      </c>
      <c r="F1073" s="4" t="s">
        <v>2350</v>
      </c>
      <c r="G1073" s="5">
        <v>4521718747644</v>
      </c>
      <c r="H1073" s="5"/>
      <c r="I1073" s="5"/>
      <c r="J1073" s="5">
        <v>1</v>
      </c>
      <c r="K1073" s="5">
        <v>1</v>
      </c>
      <c r="L1073" s="4">
        <v>300</v>
      </c>
      <c r="M1073" s="4">
        <v>280</v>
      </c>
      <c r="N1073" s="4">
        <v>195</v>
      </c>
      <c r="O1073" s="6">
        <f t="shared" si="161"/>
        <v>0.3035714285714286</v>
      </c>
      <c r="P1073" s="4" t="s">
        <v>2500</v>
      </c>
      <c r="Q1073" s="4"/>
      <c r="R1073" s="4"/>
      <c r="S1073" s="4"/>
      <c r="T1073" s="4"/>
      <c r="U1073" s="4"/>
      <c r="V1073" s="4"/>
      <c r="W1073" s="4"/>
      <c r="X1073" s="4"/>
      <c r="Y1073" s="4">
        <v>300</v>
      </c>
      <c r="Z1073" s="4">
        <f t="shared" si="162"/>
        <v>300</v>
      </c>
      <c r="AA1073" s="4">
        <v>195</v>
      </c>
      <c r="AB1073" s="4">
        <f t="shared" si="163"/>
        <v>195</v>
      </c>
      <c r="AC1073" s="4"/>
      <c r="AD1073" s="21">
        <f>ROUND(M1073*AR1073,0)</f>
        <v>280</v>
      </c>
      <c r="AE1073" s="6">
        <f>1-AB1073/AD1073</f>
        <v>0.3035714285714286</v>
      </c>
      <c r="AF1073" s="33">
        <v>0</v>
      </c>
      <c r="AG1073" s="4">
        <f t="shared" si="164"/>
        <v>300</v>
      </c>
      <c r="AH1073" s="33">
        <f t="shared" si="157"/>
        <v>300</v>
      </c>
      <c r="AI1073" s="6">
        <f>1-AB1073/AH1073</f>
        <v>0.35</v>
      </c>
      <c r="AJ1073" s="7">
        <v>300</v>
      </c>
      <c r="AK1073" s="6">
        <f>1-AB1073/AJ1073</f>
        <v>0.35</v>
      </c>
      <c r="AL1073" s="4">
        <f>AJ1073-AB1073</f>
        <v>105</v>
      </c>
      <c r="AM1073" s="28"/>
      <c r="AN1073" s="6"/>
      <c r="AO1073" s="6"/>
      <c r="AP1073" s="6">
        <f>Z1073/L1073</f>
        <v>1</v>
      </c>
      <c r="AQ1073" s="6">
        <f>AJ1073/M1073</f>
        <v>1.0714285714285714</v>
      </c>
      <c r="AR1073" s="6">
        <f>AB1073/N1073</f>
        <v>1</v>
      </c>
      <c r="AS1073" s="4"/>
      <c r="AT1073" s="4"/>
      <c r="AU1073" s="4"/>
      <c r="AV1073" s="4"/>
      <c r="AW1073" s="4"/>
      <c r="AX1073" s="4"/>
      <c r="AY1073" s="4"/>
      <c r="AZ1073" s="4"/>
      <c r="BA1073" s="4"/>
      <c r="BB1073" s="4">
        <v>0</v>
      </c>
      <c r="BC1073" s="4" t="s">
        <v>4536</v>
      </c>
      <c r="BD1073" s="4">
        <v>1</v>
      </c>
      <c r="BE1073" s="4">
        <v>4</v>
      </c>
      <c r="BF1073" s="4" t="s">
        <v>3579</v>
      </c>
      <c r="BG1073" s="4">
        <v>1200</v>
      </c>
      <c r="BH1073" s="4">
        <v>1200</v>
      </c>
      <c r="BI1073" s="4">
        <f t="shared" si="165"/>
        <v>300</v>
      </c>
      <c r="BJ1073" s="19">
        <v>4</v>
      </c>
      <c r="BK1073" s="19">
        <v>8</v>
      </c>
      <c r="BL1073" s="16">
        <v>7</v>
      </c>
      <c r="BM1073" s="45" t="s">
        <v>3534</v>
      </c>
      <c r="BN1073" t="s">
        <v>3534</v>
      </c>
      <c r="BO1073" t="str">
        <f t="shared" si="158"/>
        <v>-</v>
      </c>
      <c r="BP1073" t="s">
        <v>3534</v>
      </c>
      <c r="BQ1073">
        <v>285</v>
      </c>
      <c r="BR1073">
        <f t="shared" si="159"/>
        <v>285</v>
      </c>
      <c r="BS1073" t="s">
        <v>3389</v>
      </c>
    </row>
    <row r="1074" spans="1:71" x14ac:dyDescent="0.4">
      <c r="A1074" s="3">
        <v>1071</v>
      </c>
      <c r="B1074" s="3">
        <v>1071</v>
      </c>
      <c r="C1074" s="4" t="s">
        <v>1133</v>
      </c>
      <c r="D1074" s="4" t="str">
        <f t="shared" si="160"/>
        <v>J876LY</v>
      </c>
      <c r="E1074" s="4" t="s">
        <v>1133</v>
      </c>
      <c r="F1074" s="4" t="s">
        <v>2351</v>
      </c>
      <c r="G1074" s="5">
        <v>4521718778341</v>
      </c>
      <c r="H1074" s="5"/>
      <c r="I1074" s="5"/>
      <c r="J1074" s="5">
        <v>1</v>
      </c>
      <c r="K1074" s="5">
        <v>1</v>
      </c>
      <c r="L1074" s="4">
        <v>230</v>
      </c>
      <c r="M1074" s="4">
        <v>210</v>
      </c>
      <c r="N1074" s="4">
        <v>161</v>
      </c>
      <c r="O1074" s="6">
        <f t="shared" si="161"/>
        <v>0.23333333333333328</v>
      </c>
      <c r="P1074" s="4" t="s">
        <v>2500</v>
      </c>
      <c r="Q1074" s="4"/>
      <c r="R1074" s="4"/>
      <c r="S1074" s="4"/>
      <c r="T1074" s="4"/>
      <c r="U1074" s="4"/>
      <c r="V1074" s="4"/>
      <c r="W1074" s="4"/>
      <c r="X1074" s="4"/>
      <c r="Y1074" s="4">
        <v>230</v>
      </c>
      <c r="Z1074" s="4">
        <f t="shared" si="162"/>
        <v>230</v>
      </c>
      <c r="AA1074" s="4">
        <v>161</v>
      </c>
      <c r="AB1074" s="4">
        <f t="shared" si="163"/>
        <v>161</v>
      </c>
      <c r="AC1074" s="4"/>
      <c r="AD1074" s="21">
        <f>ROUND(M1074*AR1074,0)</f>
        <v>210</v>
      </c>
      <c r="AE1074" s="6">
        <f>1-AB1074/AD1074</f>
        <v>0.23333333333333328</v>
      </c>
      <c r="AF1074" s="33">
        <v>0</v>
      </c>
      <c r="AG1074" s="4">
        <f t="shared" si="164"/>
        <v>230</v>
      </c>
      <c r="AH1074" s="33">
        <f t="shared" si="157"/>
        <v>230</v>
      </c>
      <c r="AI1074" s="6">
        <f>1-AB1074/AH1074</f>
        <v>0.30000000000000004</v>
      </c>
      <c r="AJ1074" s="7">
        <v>230</v>
      </c>
      <c r="AK1074" s="6">
        <f>1-AB1074/AJ1074</f>
        <v>0.30000000000000004</v>
      </c>
      <c r="AL1074" s="4">
        <f>AJ1074-AB1074</f>
        <v>69</v>
      </c>
      <c r="AM1074" s="28"/>
      <c r="AN1074" s="6"/>
      <c r="AO1074" s="6"/>
      <c r="AP1074" s="6">
        <f>Z1074/L1074</f>
        <v>1</v>
      </c>
      <c r="AQ1074" s="6">
        <f>AJ1074/M1074</f>
        <v>1.0952380952380953</v>
      </c>
      <c r="AR1074" s="6">
        <f>AB1074/N1074</f>
        <v>1</v>
      </c>
      <c r="AS1074" s="4"/>
      <c r="AT1074" s="4"/>
      <c r="AU1074" s="4"/>
      <c r="AV1074" s="4"/>
      <c r="AW1074" s="4"/>
      <c r="AX1074" s="4"/>
      <c r="AY1074" s="4"/>
      <c r="AZ1074" s="4"/>
      <c r="BA1074" s="4"/>
      <c r="BB1074" s="4">
        <v>0</v>
      </c>
      <c r="BC1074" s="4" t="s">
        <v>4537</v>
      </c>
      <c r="BD1074" s="4">
        <v>1</v>
      </c>
      <c r="BE1074" s="4">
        <v>5</v>
      </c>
      <c r="BF1074" s="4" t="s">
        <v>3746</v>
      </c>
      <c r="BG1074" s="4">
        <v>1150</v>
      </c>
      <c r="BH1074" s="4">
        <v>1150</v>
      </c>
      <c r="BI1074" s="4">
        <f t="shared" si="165"/>
        <v>230</v>
      </c>
      <c r="BJ1074" s="19">
        <v>4</v>
      </c>
      <c r="BK1074" s="19">
        <v>8</v>
      </c>
      <c r="BL1074" s="16">
        <v>6</v>
      </c>
      <c r="BM1074" s="45" t="s">
        <v>3534</v>
      </c>
      <c r="BN1074" t="s">
        <v>3534</v>
      </c>
      <c r="BO1074" t="str">
        <f t="shared" si="158"/>
        <v>-</v>
      </c>
      <c r="BP1074" t="s">
        <v>3534</v>
      </c>
      <c r="BQ1074">
        <v>228</v>
      </c>
      <c r="BR1074">
        <f t="shared" si="159"/>
        <v>228</v>
      </c>
      <c r="BS1074" t="s">
        <v>3390</v>
      </c>
    </row>
    <row r="1075" spans="1:71" x14ac:dyDescent="0.4">
      <c r="A1075" s="3">
        <v>1072</v>
      </c>
      <c r="B1075" s="3">
        <v>1072</v>
      </c>
      <c r="C1075" s="4" t="s">
        <v>1134</v>
      </c>
      <c r="D1075" s="4" t="str">
        <f t="shared" si="160"/>
        <v>J876WK</v>
      </c>
      <c r="E1075" s="4" t="s">
        <v>1134</v>
      </c>
      <c r="F1075" s="4" t="s">
        <v>2352</v>
      </c>
      <c r="G1075" s="5">
        <v>4521718747668</v>
      </c>
      <c r="H1075" s="5"/>
      <c r="I1075" s="5"/>
      <c r="J1075" s="5">
        <v>1</v>
      </c>
      <c r="K1075" s="5">
        <v>1</v>
      </c>
      <c r="L1075" s="4">
        <v>500</v>
      </c>
      <c r="M1075" s="4">
        <v>480</v>
      </c>
      <c r="N1075" s="4">
        <v>325</v>
      </c>
      <c r="O1075" s="6">
        <f t="shared" si="161"/>
        <v>0.32291666666666663</v>
      </c>
      <c r="P1075" s="4" t="s">
        <v>2500</v>
      </c>
      <c r="Q1075" s="4"/>
      <c r="R1075" s="4"/>
      <c r="S1075" s="4"/>
      <c r="T1075" s="4"/>
      <c r="U1075" s="4"/>
      <c r="V1075" s="4"/>
      <c r="W1075" s="4"/>
      <c r="X1075" s="4"/>
      <c r="Y1075" s="4">
        <v>500</v>
      </c>
      <c r="Z1075" s="4">
        <f t="shared" si="162"/>
        <v>500</v>
      </c>
      <c r="AA1075" s="4">
        <v>325</v>
      </c>
      <c r="AB1075" s="4">
        <f t="shared" si="163"/>
        <v>325</v>
      </c>
      <c r="AC1075" s="4"/>
      <c r="AD1075" s="21">
        <f>ROUND(M1075*AR1075,0)</f>
        <v>480</v>
      </c>
      <c r="AE1075" s="6">
        <f>1-AB1075/AD1075</f>
        <v>0.32291666666666663</v>
      </c>
      <c r="AF1075" s="33">
        <v>0</v>
      </c>
      <c r="AG1075" s="4">
        <f t="shared" si="164"/>
        <v>500</v>
      </c>
      <c r="AH1075" s="33">
        <f t="shared" si="157"/>
        <v>500</v>
      </c>
      <c r="AI1075" s="6">
        <f>1-AB1075/AH1075</f>
        <v>0.35</v>
      </c>
      <c r="AJ1075" s="7">
        <v>500</v>
      </c>
      <c r="AK1075" s="6">
        <f>1-AB1075/AJ1075</f>
        <v>0.35</v>
      </c>
      <c r="AL1075" s="4">
        <f>AJ1075-AB1075</f>
        <v>175</v>
      </c>
      <c r="AM1075" s="28"/>
      <c r="AN1075" s="6"/>
      <c r="AO1075" s="6"/>
      <c r="AP1075" s="6">
        <f>Z1075/L1075</f>
        <v>1</v>
      </c>
      <c r="AQ1075" s="6">
        <f>AJ1075/M1075</f>
        <v>1.0416666666666667</v>
      </c>
      <c r="AR1075" s="6">
        <f>AB1075/N1075</f>
        <v>1</v>
      </c>
      <c r="AS1075" s="4"/>
      <c r="AT1075" s="4"/>
      <c r="AU1075" s="4"/>
      <c r="AV1075" s="4"/>
      <c r="AW1075" s="4"/>
      <c r="AX1075" s="4"/>
      <c r="AY1075" s="4"/>
      <c r="AZ1075" s="4"/>
      <c r="BA1075" s="4"/>
      <c r="BB1075" s="4">
        <v>0</v>
      </c>
      <c r="BC1075" s="4" t="s">
        <v>4538</v>
      </c>
      <c r="BD1075" s="4">
        <v>1</v>
      </c>
      <c r="BE1075" s="4">
        <v>2</v>
      </c>
      <c r="BF1075" s="4" t="s">
        <v>3575</v>
      </c>
      <c r="BG1075" s="4">
        <v>1000</v>
      </c>
      <c r="BH1075" s="4">
        <v>1000</v>
      </c>
      <c r="BI1075" s="4">
        <f t="shared" si="165"/>
        <v>500</v>
      </c>
      <c r="BJ1075" s="19">
        <v>4</v>
      </c>
      <c r="BK1075" s="19">
        <v>8</v>
      </c>
      <c r="BL1075" s="16">
        <v>7</v>
      </c>
      <c r="BM1075" s="45" t="s">
        <v>3534</v>
      </c>
      <c r="BN1075" t="s">
        <v>3534</v>
      </c>
      <c r="BO1075" t="str">
        <f t="shared" si="158"/>
        <v>-</v>
      </c>
      <c r="BP1075" t="s">
        <v>3534</v>
      </c>
      <c r="BQ1075">
        <v>475</v>
      </c>
      <c r="BR1075">
        <f t="shared" si="159"/>
        <v>475</v>
      </c>
      <c r="BS1075" t="s">
        <v>3391</v>
      </c>
    </row>
    <row r="1076" spans="1:71" x14ac:dyDescent="0.4">
      <c r="A1076" s="3">
        <v>1073</v>
      </c>
      <c r="B1076" s="3">
        <v>1073</v>
      </c>
      <c r="C1076" s="4" t="s">
        <v>1135</v>
      </c>
      <c r="D1076" s="4" t="str">
        <f t="shared" si="160"/>
        <v>J877LY</v>
      </c>
      <c r="E1076" s="4" t="s">
        <v>1135</v>
      </c>
      <c r="F1076" s="4" t="s">
        <v>2353</v>
      </c>
      <c r="G1076" s="5">
        <v>4521718778358</v>
      </c>
      <c r="H1076" s="5"/>
      <c r="I1076" s="5"/>
      <c r="J1076" s="5">
        <v>1</v>
      </c>
      <c r="K1076" s="5">
        <v>1</v>
      </c>
      <c r="L1076" s="4">
        <v>230</v>
      </c>
      <c r="M1076" s="4">
        <v>210</v>
      </c>
      <c r="N1076" s="4">
        <v>161</v>
      </c>
      <c r="O1076" s="6">
        <f t="shared" si="161"/>
        <v>0.23333333333333328</v>
      </c>
      <c r="P1076" s="4" t="s">
        <v>2500</v>
      </c>
      <c r="Q1076" s="4"/>
      <c r="R1076" s="4"/>
      <c r="S1076" s="4"/>
      <c r="T1076" s="4"/>
      <c r="U1076" s="4"/>
      <c r="V1076" s="4"/>
      <c r="W1076" s="4"/>
      <c r="X1076" s="4"/>
      <c r="Y1076" s="4">
        <v>230</v>
      </c>
      <c r="Z1076" s="4">
        <f t="shared" si="162"/>
        <v>230</v>
      </c>
      <c r="AA1076" s="4">
        <v>161</v>
      </c>
      <c r="AB1076" s="4">
        <f t="shared" si="163"/>
        <v>161</v>
      </c>
      <c r="AC1076" s="4"/>
      <c r="AD1076" s="21">
        <f>ROUND(M1076*AR1076,0)</f>
        <v>210</v>
      </c>
      <c r="AE1076" s="6">
        <f>1-AB1076/AD1076</f>
        <v>0.23333333333333328</v>
      </c>
      <c r="AF1076" s="33">
        <v>0</v>
      </c>
      <c r="AG1076" s="4">
        <f t="shared" si="164"/>
        <v>230</v>
      </c>
      <c r="AH1076" s="33">
        <f t="shared" si="157"/>
        <v>230</v>
      </c>
      <c r="AI1076" s="6">
        <f>1-AB1076/AH1076</f>
        <v>0.30000000000000004</v>
      </c>
      <c r="AJ1076" s="7">
        <v>230</v>
      </c>
      <c r="AK1076" s="6">
        <f>1-AB1076/AJ1076</f>
        <v>0.30000000000000004</v>
      </c>
      <c r="AL1076" s="4">
        <f>AJ1076-AB1076</f>
        <v>69</v>
      </c>
      <c r="AM1076" s="28"/>
      <c r="AN1076" s="6"/>
      <c r="AO1076" s="6"/>
      <c r="AP1076" s="6">
        <f>Z1076/L1076</f>
        <v>1</v>
      </c>
      <c r="AQ1076" s="6">
        <f>AJ1076/M1076</f>
        <v>1.0952380952380953</v>
      </c>
      <c r="AR1076" s="6">
        <f>AB1076/N1076</f>
        <v>1</v>
      </c>
      <c r="AS1076" s="4"/>
      <c r="AT1076" s="4"/>
      <c r="AU1076" s="4"/>
      <c r="AV1076" s="4"/>
      <c r="AW1076" s="4"/>
      <c r="AX1076" s="4"/>
      <c r="AY1076" s="4"/>
      <c r="AZ1076" s="4"/>
      <c r="BA1076" s="4"/>
      <c r="BB1076" s="4">
        <v>0</v>
      </c>
      <c r="BC1076" s="4" t="s">
        <v>4539</v>
      </c>
      <c r="BD1076" s="4">
        <v>1</v>
      </c>
      <c r="BE1076" s="4">
        <v>5</v>
      </c>
      <c r="BF1076" s="4" t="s">
        <v>3746</v>
      </c>
      <c r="BG1076" s="4">
        <v>1150</v>
      </c>
      <c r="BH1076" s="4">
        <v>1150</v>
      </c>
      <c r="BI1076" s="4">
        <f t="shared" si="165"/>
        <v>230</v>
      </c>
      <c r="BJ1076" s="19">
        <v>4</v>
      </c>
      <c r="BK1076" s="19">
        <v>8</v>
      </c>
      <c r="BL1076" s="16">
        <v>6</v>
      </c>
      <c r="BM1076" s="45" t="s">
        <v>3534</v>
      </c>
      <c r="BN1076" t="s">
        <v>3534</v>
      </c>
      <c r="BO1076" t="str">
        <f t="shared" si="158"/>
        <v>-</v>
      </c>
      <c r="BP1076" t="s">
        <v>3534</v>
      </c>
      <c r="BQ1076">
        <v>228</v>
      </c>
      <c r="BR1076">
        <f t="shared" si="159"/>
        <v>228</v>
      </c>
      <c r="BS1076" t="s">
        <v>3392</v>
      </c>
    </row>
    <row r="1077" spans="1:71" x14ac:dyDescent="0.4">
      <c r="A1077" s="3">
        <v>1074</v>
      </c>
      <c r="B1077" s="3">
        <v>1074</v>
      </c>
      <c r="C1077" s="4" t="s">
        <v>1136</v>
      </c>
      <c r="D1077" s="4" t="str">
        <f t="shared" si="160"/>
        <v>J878LY</v>
      </c>
      <c r="E1077" s="4" t="s">
        <v>1136</v>
      </c>
      <c r="F1077" s="4" t="s">
        <v>2354</v>
      </c>
      <c r="G1077" s="5">
        <v>4521718778365</v>
      </c>
      <c r="H1077" s="5"/>
      <c r="I1077" s="5"/>
      <c r="J1077" s="5">
        <v>1</v>
      </c>
      <c r="K1077" s="5">
        <v>1</v>
      </c>
      <c r="L1077" s="4">
        <v>230</v>
      </c>
      <c r="M1077" s="4">
        <v>210</v>
      </c>
      <c r="N1077" s="4">
        <v>161</v>
      </c>
      <c r="O1077" s="6">
        <f t="shared" si="161"/>
        <v>0.23333333333333328</v>
      </c>
      <c r="P1077" s="4" t="s">
        <v>2500</v>
      </c>
      <c r="Q1077" s="4"/>
      <c r="R1077" s="4"/>
      <c r="S1077" s="4"/>
      <c r="T1077" s="4"/>
      <c r="U1077" s="4"/>
      <c r="V1077" s="4"/>
      <c r="W1077" s="4"/>
      <c r="X1077" s="4"/>
      <c r="Y1077" s="4">
        <v>230</v>
      </c>
      <c r="Z1077" s="4">
        <f t="shared" si="162"/>
        <v>230</v>
      </c>
      <c r="AA1077" s="4">
        <v>161</v>
      </c>
      <c r="AB1077" s="4">
        <f t="shared" si="163"/>
        <v>161</v>
      </c>
      <c r="AC1077" s="4"/>
      <c r="AD1077" s="21">
        <f>ROUND(M1077*AR1077,0)</f>
        <v>210</v>
      </c>
      <c r="AE1077" s="6">
        <f>1-AB1077/AD1077</f>
        <v>0.23333333333333328</v>
      </c>
      <c r="AF1077" s="33">
        <v>0</v>
      </c>
      <c r="AG1077" s="4">
        <f t="shared" si="164"/>
        <v>230</v>
      </c>
      <c r="AH1077" s="33">
        <f t="shared" si="157"/>
        <v>230</v>
      </c>
      <c r="AI1077" s="6">
        <f>1-AB1077/AH1077</f>
        <v>0.30000000000000004</v>
      </c>
      <c r="AJ1077" s="7">
        <v>230</v>
      </c>
      <c r="AK1077" s="6">
        <f>1-AB1077/AJ1077</f>
        <v>0.30000000000000004</v>
      </c>
      <c r="AL1077" s="4">
        <f>AJ1077-AB1077</f>
        <v>69</v>
      </c>
      <c r="AM1077" s="28"/>
      <c r="AN1077" s="6"/>
      <c r="AO1077" s="6"/>
      <c r="AP1077" s="6">
        <f>Z1077/L1077</f>
        <v>1</v>
      </c>
      <c r="AQ1077" s="6">
        <f>AJ1077/M1077</f>
        <v>1.0952380952380953</v>
      </c>
      <c r="AR1077" s="6">
        <f>AB1077/N1077</f>
        <v>1</v>
      </c>
      <c r="AS1077" s="4"/>
      <c r="AT1077" s="4"/>
      <c r="AU1077" s="4"/>
      <c r="AV1077" s="4"/>
      <c r="AW1077" s="4"/>
      <c r="AX1077" s="4"/>
      <c r="AY1077" s="4"/>
      <c r="AZ1077" s="4"/>
      <c r="BA1077" s="4"/>
      <c r="BB1077" s="4">
        <v>0</v>
      </c>
      <c r="BC1077" s="4" t="s">
        <v>4540</v>
      </c>
      <c r="BD1077" s="4">
        <v>1</v>
      </c>
      <c r="BE1077" s="4">
        <v>5</v>
      </c>
      <c r="BF1077" s="4" t="s">
        <v>3746</v>
      </c>
      <c r="BG1077" s="4">
        <v>1150</v>
      </c>
      <c r="BH1077" s="4">
        <v>1150</v>
      </c>
      <c r="BI1077" s="4">
        <f t="shared" si="165"/>
        <v>230</v>
      </c>
      <c r="BJ1077" s="19">
        <v>4</v>
      </c>
      <c r="BK1077" s="19">
        <v>8</v>
      </c>
      <c r="BL1077" s="16">
        <v>6</v>
      </c>
      <c r="BM1077" s="45" t="s">
        <v>3534</v>
      </c>
      <c r="BN1077" t="s">
        <v>3534</v>
      </c>
      <c r="BO1077" t="str">
        <f t="shared" si="158"/>
        <v>-</v>
      </c>
      <c r="BP1077" t="s">
        <v>3534</v>
      </c>
      <c r="BQ1077">
        <v>228</v>
      </c>
      <c r="BR1077">
        <f t="shared" si="159"/>
        <v>228</v>
      </c>
      <c r="BS1077" t="s">
        <v>3393</v>
      </c>
    </row>
    <row r="1078" spans="1:71" x14ac:dyDescent="0.4">
      <c r="A1078" s="3">
        <v>1075</v>
      </c>
      <c r="B1078" s="3">
        <v>1075</v>
      </c>
      <c r="C1078" s="4" t="s">
        <v>1137</v>
      </c>
      <c r="D1078" s="4" t="str">
        <f t="shared" si="160"/>
        <v>J878WK</v>
      </c>
      <c r="E1078" s="4" t="s">
        <v>1137</v>
      </c>
      <c r="F1078" s="4" t="s">
        <v>2355</v>
      </c>
      <c r="G1078" s="5">
        <v>4521718747682</v>
      </c>
      <c r="H1078" s="5"/>
      <c r="I1078" s="5"/>
      <c r="J1078" s="5">
        <v>1</v>
      </c>
      <c r="K1078" s="5">
        <v>1</v>
      </c>
      <c r="L1078" s="4">
        <v>300</v>
      </c>
      <c r="M1078" s="4">
        <v>280</v>
      </c>
      <c r="N1078" s="4">
        <v>195</v>
      </c>
      <c r="O1078" s="6">
        <f t="shared" si="161"/>
        <v>0.3035714285714286</v>
      </c>
      <c r="P1078" s="4" t="s">
        <v>2500</v>
      </c>
      <c r="Q1078" s="4"/>
      <c r="R1078" s="4"/>
      <c r="S1078" s="4"/>
      <c r="T1078" s="4"/>
      <c r="U1078" s="4"/>
      <c r="V1078" s="4"/>
      <c r="W1078" s="4"/>
      <c r="X1078" s="4"/>
      <c r="Y1078" s="4">
        <v>300</v>
      </c>
      <c r="Z1078" s="4">
        <f t="shared" si="162"/>
        <v>300</v>
      </c>
      <c r="AA1078" s="4">
        <v>195</v>
      </c>
      <c r="AB1078" s="4">
        <f t="shared" si="163"/>
        <v>195</v>
      </c>
      <c r="AC1078" s="4"/>
      <c r="AD1078" s="21">
        <f>ROUND(M1078*AR1078,0)</f>
        <v>280</v>
      </c>
      <c r="AE1078" s="6">
        <f>1-AB1078/AD1078</f>
        <v>0.3035714285714286</v>
      </c>
      <c r="AF1078" s="33">
        <v>0</v>
      </c>
      <c r="AG1078" s="4">
        <f t="shared" si="164"/>
        <v>300</v>
      </c>
      <c r="AH1078" s="33">
        <f t="shared" si="157"/>
        <v>300</v>
      </c>
      <c r="AI1078" s="6">
        <f>1-AB1078/AH1078</f>
        <v>0.35</v>
      </c>
      <c r="AJ1078" s="7">
        <v>300</v>
      </c>
      <c r="AK1078" s="6">
        <f>1-AB1078/AJ1078</f>
        <v>0.35</v>
      </c>
      <c r="AL1078" s="4">
        <f>AJ1078-AB1078</f>
        <v>105</v>
      </c>
      <c r="AM1078" s="28"/>
      <c r="AN1078" s="6"/>
      <c r="AO1078" s="6"/>
      <c r="AP1078" s="6">
        <f>Z1078/L1078</f>
        <v>1</v>
      </c>
      <c r="AQ1078" s="6">
        <f>AJ1078/M1078</f>
        <v>1.0714285714285714</v>
      </c>
      <c r="AR1078" s="6">
        <f>AB1078/N1078</f>
        <v>1</v>
      </c>
      <c r="AS1078" s="4"/>
      <c r="AT1078" s="4"/>
      <c r="AU1078" s="4"/>
      <c r="AV1078" s="4"/>
      <c r="AW1078" s="4"/>
      <c r="AX1078" s="4"/>
      <c r="AY1078" s="4"/>
      <c r="AZ1078" s="4"/>
      <c r="BA1078" s="4"/>
      <c r="BB1078" s="4">
        <v>0</v>
      </c>
      <c r="BC1078" s="4" t="s">
        <v>4541</v>
      </c>
      <c r="BD1078" s="4">
        <v>1</v>
      </c>
      <c r="BE1078" s="4">
        <v>4</v>
      </c>
      <c r="BF1078" s="4" t="s">
        <v>3579</v>
      </c>
      <c r="BG1078" s="4">
        <v>1200</v>
      </c>
      <c r="BH1078" s="4">
        <v>1200</v>
      </c>
      <c r="BI1078" s="4">
        <f t="shared" si="165"/>
        <v>300</v>
      </c>
      <c r="BJ1078" s="19">
        <v>4</v>
      </c>
      <c r="BK1078" s="19">
        <v>8</v>
      </c>
      <c r="BL1078" s="16">
        <v>7</v>
      </c>
      <c r="BM1078" s="45" t="s">
        <v>3534</v>
      </c>
      <c r="BN1078" t="s">
        <v>3534</v>
      </c>
      <c r="BO1078" t="str">
        <f t="shared" si="158"/>
        <v>-</v>
      </c>
      <c r="BP1078" t="s">
        <v>3534</v>
      </c>
      <c r="BQ1078">
        <v>285</v>
      </c>
      <c r="BR1078">
        <f t="shared" si="159"/>
        <v>285</v>
      </c>
      <c r="BS1078" t="s">
        <v>3394</v>
      </c>
    </row>
    <row r="1079" spans="1:71" x14ac:dyDescent="0.4">
      <c r="A1079" s="3">
        <v>1076</v>
      </c>
      <c r="B1079" s="3">
        <v>1076</v>
      </c>
      <c r="C1079" s="4" t="s">
        <v>1138</v>
      </c>
      <c r="D1079" s="4" t="str">
        <f t="shared" si="160"/>
        <v>J877WK</v>
      </c>
      <c r="E1079" s="4" t="s">
        <v>1138</v>
      </c>
      <c r="F1079" s="4" t="s">
        <v>2356</v>
      </c>
      <c r="G1079" s="5">
        <v>4521718747675</v>
      </c>
      <c r="H1079" s="5"/>
      <c r="I1079" s="5"/>
      <c r="J1079" s="5">
        <v>1</v>
      </c>
      <c r="K1079" s="5">
        <v>1</v>
      </c>
      <c r="L1079" s="4">
        <v>300</v>
      </c>
      <c r="M1079" s="4">
        <v>280</v>
      </c>
      <c r="N1079" s="4">
        <v>195</v>
      </c>
      <c r="O1079" s="6">
        <f t="shared" si="161"/>
        <v>0.3035714285714286</v>
      </c>
      <c r="P1079" s="4" t="s">
        <v>2500</v>
      </c>
      <c r="Q1079" s="4"/>
      <c r="R1079" s="4"/>
      <c r="S1079" s="4"/>
      <c r="T1079" s="4"/>
      <c r="U1079" s="4"/>
      <c r="V1079" s="4"/>
      <c r="W1079" s="4"/>
      <c r="X1079" s="4"/>
      <c r="Y1079" s="4">
        <v>300</v>
      </c>
      <c r="Z1079" s="4">
        <f t="shared" si="162"/>
        <v>300</v>
      </c>
      <c r="AA1079" s="4">
        <v>195</v>
      </c>
      <c r="AB1079" s="4">
        <f t="shared" si="163"/>
        <v>195</v>
      </c>
      <c r="AC1079" s="4"/>
      <c r="AD1079" s="21">
        <f>ROUND(M1079*AR1079,0)</f>
        <v>280</v>
      </c>
      <c r="AE1079" s="6">
        <f>1-AB1079/AD1079</f>
        <v>0.3035714285714286</v>
      </c>
      <c r="AF1079" s="33">
        <v>0.25</v>
      </c>
      <c r="AG1079" s="4">
        <f t="shared" si="164"/>
        <v>300</v>
      </c>
      <c r="AH1079" s="33">
        <f t="shared" si="157"/>
        <v>300</v>
      </c>
      <c r="AI1079" s="6">
        <f>1-AB1079/AH1079</f>
        <v>0.35</v>
      </c>
      <c r="AJ1079" s="7">
        <v>300</v>
      </c>
      <c r="AK1079" s="6">
        <f>1-AB1079/AJ1079</f>
        <v>0.35</v>
      </c>
      <c r="AL1079" s="4">
        <f>AJ1079-AB1079</f>
        <v>105</v>
      </c>
      <c r="AM1079" s="28"/>
      <c r="AN1079" s="6"/>
      <c r="AO1079" s="6"/>
      <c r="AP1079" s="6">
        <f>Z1079/L1079</f>
        <v>1</v>
      </c>
      <c r="AQ1079" s="6">
        <f>AJ1079/M1079</f>
        <v>1.0714285714285714</v>
      </c>
      <c r="AR1079" s="6">
        <f>AB1079/N1079</f>
        <v>1</v>
      </c>
      <c r="AS1079" s="4"/>
      <c r="AT1079" s="4"/>
      <c r="AU1079" s="4"/>
      <c r="AV1079" s="4"/>
      <c r="AW1079" s="4"/>
      <c r="AX1079" s="4"/>
      <c r="AY1079" s="4"/>
      <c r="AZ1079" s="4"/>
      <c r="BA1079" s="4"/>
      <c r="BB1079" s="4">
        <v>0</v>
      </c>
      <c r="BC1079" s="4" t="s">
        <v>4542</v>
      </c>
      <c r="BD1079" s="4">
        <v>1</v>
      </c>
      <c r="BE1079" s="4">
        <v>4</v>
      </c>
      <c r="BF1079" s="4" t="s">
        <v>3579</v>
      </c>
      <c r="BG1079" s="4">
        <v>1200</v>
      </c>
      <c r="BH1079" s="4">
        <v>1200</v>
      </c>
      <c r="BI1079" s="4">
        <f t="shared" si="165"/>
        <v>300</v>
      </c>
      <c r="BJ1079" s="19">
        <v>4</v>
      </c>
      <c r="BK1079" s="19">
        <v>8</v>
      </c>
      <c r="BL1079" s="16">
        <v>7</v>
      </c>
      <c r="BM1079" s="45" t="s">
        <v>3534</v>
      </c>
      <c r="BN1079" t="s">
        <v>3534</v>
      </c>
      <c r="BO1079" t="str">
        <f t="shared" si="158"/>
        <v>-</v>
      </c>
      <c r="BP1079" t="s">
        <v>3534</v>
      </c>
      <c r="BQ1079">
        <v>285</v>
      </c>
      <c r="BR1079">
        <f t="shared" si="159"/>
        <v>285</v>
      </c>
      <c r="BS1079" t="s">
        <v>3395</v>
      </c>
    </row>
    <row r="1080" spans="1:71" x14ac:dyDescent="0.4">
      <c r="A1080" s="3">
        <v>1077</v>
      </c>
      <c r="B1080" s="3">
        <v>1077</v>
      </c>
      <c r="C1080" s="4" t="s">
        <v>1139</v>
      </c>
      <c r="D1080" s="4" t="str">
        <f t="shared" si="160"/>
        <v>J879LY</v>
      </c>
      <c r="E1080" s="4" t="s">
        <v>1139</v>
      </c>
      <c r="F1080" s="4" t="s">
        <v>2357</v>
      </c>
      <c r="G1080" s="5">
        <v>4521718778389</v>
      </c>
      <c r="H1080" s="5"/>
      <c r="I1080" s="5"/>
      <c r="J1080" s="5">
        <v>1</v>
      </c>
      <c r="K1080" s="5">
        <v>1</v>
      </c>
      <c r="L1080" s="4">
        <v>230</v>
      </c>
      <c r="M1080" s="4">
        <v>210</v>
      </c>
      <c r="N1080" s="4">
        <v>161</v>
      </c>
      <c r="O1080" s="6">
        <f t="shared" si="161"/>
        <v>0.23333333333333328</v>
      </c>
      <c r="P1080" s="4" t="s">
        <v>2500</v>
      </c>
      <c r="Q1080" s="4"/>
      <c r="R1080" s="4"/>
      <c r="S1080" s="4"/>
      <c r="T1080" s="4"/>
      <c r="U1080" s="4"/>
      <c r="V1080" s="4"/>
      <c r="W1080" s="4"/>
      <c r="X1080" s="4"/>
      <c r="Y1080" s="4">
        <v>230</v>
      </c>
      <c r="Z1080" s="4">
        <f t="shared" si="162"/>
        <v>230</v>
      </c>
      <c r="AA1080" s="4">
        <v>161</v>
      </c>
      <c r="AB1080" s="4">
        <f t="shared" si="163"/>
        <v>161</v>
      </c>
      <c r="AC1080" s="4"/>
      <c r="AD1080" s="21">
        <f>ROUND(M1080*AR1080,0)</f>
        <v>210</v>
      </c>
      <c r="AE1080" s="6">
        <f>1-AB1080/AD1080</f>
        <v>0.23333333333333328</v>
      </c>
      <c r="AF1080" s="33">
        <v>0</v>
      </c>
      <c r="AG1080" s="4">
        <f t="shared" si="164"/>
        <v>230</v>
      </c>
      <c r="AH1080" s="33">
        <f t="shared" si="157"/>
        <v>230</v>
      </c>
      <c r="AI1080" s="6">
        <f>1-AB1080/AH1080</f>
        <v>0.30000000000000004</v>
      </c>
      <c r="AJ1080" s="7">
        <v>230</v>
      </c>
      <c r="AK1080" s="6">
        <f>1-AB1080/AJ1080</f>
        <v>0.30000000000000004</v>
      </c>
      <c r="AL1080" s="4">
        <f>AJ1080-AB1080</f>
        <v>69</v>
      </c>
      <c r="AM1080" s="28"/>
      <c r="AN1080" s="6"/>
      <c r="AO1080" s="6"/>
      <c r="AP1080" s="6">
        <f>Z1080/L1080</f>
        <v>1</v>
      </c>
      <c r="AQ1080" s="6">
        <f>AJ1080/M1080</f>
        <v>1.0952380952380953</v>
      </c>
      <c r="AR1080" s="6">
        <f>AB1080/N1080</f>
        <v>1</v>
      </c>
      <c r="AS1080" s="4"/>
      <c r="AT1080" s="4"/>
      <c r="AU1080" s="4"/>
      <c r="AV1080" s="4"/>
      <c r="AW1080" s="4"/>
      <c r="AX1080" s="4"/>
      <c r="AY1080" s="4"/>
      <c r="AZ1080" s="4"/>
      <c r="BA1080" s="4"/>
      <c r="BB1080" s="4">
        <v>0</v>
      </c>
      <c r="BC1080" s="4" t="s">
        <v>4543</v>
      </c>
      <c r="BD1080" s="4">
        <v>1</v>
      </c>
      <c r="BE1080" s="4">
        <v>5</v>
      </c>
      <c r="BF1080" s="4" t="s">
        <v>3746</v>
      </c>
      <c r="BG1080" s="4">
        <v>1150</v>
      </c>
      <c r="BH1080" s="4">
        <v>1150</v>
      </c>
      <c r="BI1080" s="4">
        <f t="shared" si="165"/>
        <v>230</v>
      </c>
      <c r="BJ1080" s="19">
        <v>4</v>
      </c>
      <c r="BK1080" s="19">
        <v>8</v>
      </c>
      <c r="BL1080" s="16">
        <v>6</v>
      </c>
      <c r="BM1080" s="45" t="s">
        <v>3534</v>
      </c>
      <c r="BN1080" t="s">
        <v>3534</v>
      </c>
      <c r="BO1080" t="str">
        <f t="shared" si="158"/>
        <v>-</v>
      </c>
      <c r="BP1080" t="s">
        <v>3534</v>
      </c>
      <c r="BQ1080">
        <v>228</v>
      </c>
      <c r="BR1080">
        <f t="shared" si="159"/>
        <v>228</v>
      </c>
      <c r="BS1080" t="s">
        <v>3396</v>
      </c>
    </row>
    <row r="1081" spans="1:71" x14ac:dyDescent="0.4">
      <c r="A1081" s="3">
        <v>1078</v>
      </c>
      <c r="B1081" s="3">
        <v>1078</v>
      </c>
      <c r="C1081" s="4" t="s">
        <v>1140</v>
      </c>
      <c r="D1081" s="4" t="str">
        <f t="shared" si="160"/>
        <v>J880LY</v>
      </c>
      <c r="E1081" s="4" t="s">
        <v>1140</v>
      </c>
      <c r="F1081" s="4" t="s">
        <v>2358</v>
      </c>
      <c r="G1081" s="5">
        <v>4521718778402</v>
      </c>
      <c r="H1081" s="5"/>
      <c r="I1081" s="5"/>
      <c r="J1081" s="5">
        <v>1</v>
      </c>
      <c r="K1081" s="5">
        <v>1</v>
      </c>
      <c r="L1081" s="4">
        <v>2320</v>
      </c>
      <c r="M1081" s="4">
        <v>2055</v>
      </c>
      <c r="N1081" s="4">
        <v>1624</v>
      </c>
      <c r="O1081" s="6">
        <f t="shared" si="161"/>
        <v>0.20973236009732366</v>
      </c>
      <c r="P1081" s="4" t="s">
        <v>2500</v>
      </c>
      <c r="Q1081" s="4"/>
      <c r="R1081" s="4"/>
      <c r="S1081" s="4"/>
      <c r="T1081" s="4"/>
      <c r="U1081" s="4"/>
      <c r="V1081" s="4"/>
      <c r="W1081" s="4"/>
      <c r="X1081" s="4"/>
      <c r="Y1081" s="4">
        <v>2319</v>
      </c>
      <c r="Z1081" s="4">
        <f t="shared" si="162"/>
        <v>2319</v>
      </c>
      <c r="AA1081" s="4">
        <v>1623</v>
      </c>
      <c r="AB1081" s="4">
        <f t="shared" si="163"/>
        <v>1623</v>
      </c>
      <c r="AC1081" s="4"/>
      <c r="AD1081" s="21">
        <f>ROUND(M1081*AR1081,0)</f>
        <v>2054</v>
      </c>
      <c r="AE1081" s="6">
        <f>1-AB1081/AD1081</f>
        <v>0.20983446932814021</v>
      </c>
      <c r="AF1081" s="33">
        <v>0</v>
      </c>
      <c r="AG1081" s="4">
        <f t="shared" si="164"/>
        <v>2500</v>
      </c>
      <c r="AH1081" s="33">
        <f t="shared" si="157"/>
        <v>2498.460591133005</v>
      </c>
      <c r="AI1081" s="6">
        <f>1-AB1081/AH1081</f>
        <v>0.35040000000000004</v>
      </c>
      <c r="AJ1081" s="7">
        <v>2319</v>
      </c>
      <c r="AK1081" s="6">
        <f>1-AB1081/AJ1081</f>
        <v>0.30012936610608021</v>
      </c>
      <c r="AL1081" s="4">
        <f>AJ1081-AB1081</f>
        <v>696</v>
      </c>
      <c r="AM1081" s="28"/>
      <c r="AN1081" s="6"/>
      <c r="AO1081" s="6"/>
      <c r="AP1081" s="6">
        <f>Z1081/L1081</f>
        <v>0.99956896551724139</v>
      </c>
      <c r="AQ1081" s="6">
        <f>AJ1081/M1081</f>
        <v>1.1284671532846715</v>
      </c>
      <c r="AR1081" s="6">
        <f>AB1081/N1081</f>
        <v>0.99938423645320196</v>
      </c>
      <c r="AS1081" s="4"/>
      <c r="AT1081" s="4"/>
      <c r="AU1081" s="4"/>
      <c r="AV1081" s="4"/>
      <c r="AW1081" s="4"/>
      <c r="AX1081" s="4"/>
      <c r="AY1081" s="4"/>
      <c r="AZ1081" s="4"/>
      <c r="BA1081" s="4"/>
      <c r="BB1081" s="4">
        <v>0</v>
      </c>
      <c r="BC1081" s="4" t="s">
        <v>4544</v>
      </c>
      <c r="BD1081" s="4"/>
      <c r="BE1081" s="4"/>
      <c r="BF1081" s="4" t="s">
        <v>3545</v>
      </c>
      <c r="BG1081" s="4">
        <v>2500</v>
      </c>
      <c r="BH1081" s="4">
        <v>2500</v>
      </c>
      <c r="BI1081" s="4">
        <f t="shared" si="165"/>
        <v>2500</v>
      </c>
      <c r="BJ1081" s="19">
        <v>4</v>
      </c>
      <c r="BK1081" s="19">
        <v>8</v>
      </c>
      <c r="BL1081" s="16">
        <v>6</v>
      </c>
      <c r="BM1081" s="45" t="s">
        <v>3534</v>
      </c>
      <c r="BN1081" t="s">
        <v>3534</v>
      </c>
      <c r="BO1081" t="str">
        <f t="shared" si="158"/>
        <v>-</v>
      </c>
      <c r="BP1081" t="s">
        <v>3534</v>
      </c>
      <c r="BQ1081">
        <v>2300</v>
      </c>
      <c r="BR1081">
        <f t="shared" si="159"/>
        <v>2298.5837438423646</v>
      </c>
      <c r="BS1081" t="s">
        <v>3397</v>
      </c>
    </row>
    <row r="1082" spans="1:71" x14ac:dyDescent="0.4">
      <c r="A1082" s="3">
        <v>1079</v>
      </c>
      <c r="B1082" s="3">
        <v>1079</v>
      </c>
      <c r="C1082" s="4" t="s">
        <v>1141</v>
      </c>
      <c r="D1082" s="4" t="str">
        <f t="shared" si="160"/>
        <v>J880WK</v>
      </c>
      <c r="E1082" s="4" t="s">
        <v>1141</v>
      </c>
      <c r="F1082" s="4" t="s">
        <v>2359</v>
      </c>
      <c r="G1082" s="5">
        <v>4521718747705</v>
      </c>
      <c r="H1082" s="5"/>
      <c r="I1082" s="5"/>
      <c r="J1082" s="5">
        <v>1</v>
      </c>
      <c r="K1082" s="5">
        <v>1</v>
      </c>
      <c r="L1082" s="4">
        <v>300</v>
      </c>
      <c r="M1082" s="4">
        <v>280</v>
      </c>
      <c r="N1082" s="4">
        <v>195</v>
      </c>
      <c r="O1082" s="6">
        <f t="shared" si="161"/>
        <v>0.3035714285714286</v>
      </c>
      <c r="P1082" s="4" t="s">
        <v>2500</v>
      </c>
      <c r="Q1082" s="4"/>
      <c r="R1082" s="4"/>
      <c r="S1082" s="4"/>
      <c r="T1082" s="4"/>
      <c r="U1082" s="4"/>
      <c r="V1082" s="4"/>
      <c r="W1082" s="4"/>
      <c r="X1082" s="4"/>
      <c r="Y1082" s="4">
        <v>300</v>
      </c>
      <c r="Z1082" s="4">
        <f t="shared" si="162"/>
        <v>300</v>
      </c>
      <c r="AA1082" s="4">
        <v>195</v>
      </c>
      <c r="AB1082" s="4">
        <f t="shared" si="163"/>
        <v>195</v>
      </c>
      <c r="AC1082" s="4"/>
      <c r="AD1082" s="21">
        <f>ROUND(M1082*AR1082,0)</f>
        <v>280</v>
      </c>
      <c r="AE1082" s="6">
        <f>1-AB1082/AD1082</f>
        <v>0.3035714285714286</v>
      </c>
      <c r="AF1082" s="33">
        <v>0.25</v>
      </c>
      <c r="AG1082" s="4">
        <f t="shared" si="164"/>
        <v>300</v>
      </c>
      <c r="AH1082" s="33">
        <f t="shared" si="157"/>
        <v>300</v>
      </c>
      <c r="AI1082" s="6">
        <f>1-AB1082/AH1082</f>
        <v>0.35</v>
      </c>
      <c r="AJ1082" s="7">
        <v>300</v>
      </c>
      <c r="AK1082" s="6">
        <f>1-AB1082/AJ1082</f>
        <v>0.35</v>
      </c>
      <c r="AL1082" s="4">
        <f>AJ1082-AB1082</f>
        <v>105</v>
      </c>
      <c r="AM1082" s="28"/>
      <c r="AN1082" s="6"/>
      <c r="AO1082" s="6"/>
      <c r="AP1082" s="6">
        <f>Z1082/L1082</f>
        <v>1</v>
      </c>
      <c r="AQ1082" s="6">
        <f>AJ1082/M1082</f>
        <v>1.0714285714285714</v>
      </c>
      <c r="AR1082" s="6">
        <f>AB1082/N1082</f>
        <v>1</v>
      </c>
      <c r="AS1082" s="4"/>
      <c r="AT1082" s="4"/>
      <c r="AU1082" s="4"/>
      <c r="AV1082" s="4"/>
      <c r="AW1082" s="4"/>
      <c r="AX1082" s="4"/>
      <c r="AY1082" s="4"/>
      <c r="AZ1082" s="4"/>
      <c r="BA1082" s="4"/>
      <c r="BB1082" s="4">
        <v>0</v>
      </c>
      <c r="BC1082" s="4" t="s">
        <v>4545</v>
      </c>
      <c r="BD1082" s="4">
        <v>1</v>
      </c>
      <c r="BE1082" s="4">
        <v>4</v>
      </c>
      <c r="BF1082" s="4" t="s">
        <v>3579</v>
      </c>
      <c r="BG1082" s="4">
        <v>1200</v>
      </c>
      <c r="BH1082" s="4">
        <v>1200</v>
      </c>
      <c r="BI1082" s="4">
        <f t="shared" si="165"/>
        <v>300</v>
      </c>
      <c r="BJ1082" s="19">
        <v>4</v>
      </c>
      <c r="BK1082" s="19">
        <v>8</v>
      </c>
      <c r="BL1082" s="16">
        <v>7</v>
      </c>
      <c r="BM1082" s="45" t="s">
        <v>3534</v>
      </c>
      <c r="BN1082" t="s">
        <v>3534</v>
      </c>
      <c r="BO1082" t="str">
        <f t="shared" si="158"/>
        <v>-</v>
      </c>
      <c r="BP1082" t="s">
        <v>3534</v>
      </c>
      <c r="BQ1082">
        <v>285</v>
      </c>
      <c r="BR1082">
        <f t="shared" si="159"/>
        <v>285</v>
      </c>
      <c r="BS1082" t="s">
        <v>3398</v>
      </c>
    </row>
    <row r="1083" spans="1:71" x14ac:dyDescent="0.4">
      <c r="A1083" s="3">
        <v>1080</v>
      </c>
      <c r="B1083" s="3">
        <v>1080</v>
      </c>
      <c r="C1083" s="4" t="s">
        <v>1142</v>
      </c>
      <c r="D1083" s="4" t="str">
        <f t="shared" si="160"/>
        <v>J879WK</v>
      </c>
      <c r="E1083" s="4" t="s">
        <v>1142</v>
      </c>
      <c r="F1083" s="4" t="s">
        <v>2360</v>
      </c>
      <c r="G1083" s="5">
        <v>4521718747699</v>
      </c>
      <c r="H1083" s="5"/>
      <c r="I1083" s="5"/>
      <c r="J1083" s="5">
        <v>1</v>
      </c>
      <c r="K1083" s="5">
        <v>1</v>
      </c>
      <c r="L1083" s="4">
        <v>300</v>
      </c>
      <c r="M1083" s="4">
        <v>280</v>
      </c>
      <c r="N1083" s="4">
        <v>195</v>
      </c>
      <c r="O1083" s="6">
        <f t="shared" si="161"/>
        <v>0.3035714285714286</v>
      </c>
      <c r="P1083" s="4" t="s">
        <v>2500</v>
      </c>
      <c r="Q1083" s="4"/>
      <c r="R1083" s="4"/>
      <c r="S1083" s="4"/>
      <c r="T1083" s="4"/>
      <c r="U1083" s="4"/>
      <c r="V1083" s="4"/>
      <c r="W1083" s="4"/>
      <c r="X1083" s="4"/>
      <c r="Y1083" s="4">
        <v>300</v>
      </c>
      <c r="Z1083" s="4">
        <f t="shared" si="162"/>
        <v>300</v>
      </c>
      <c r="AA1083" s="4">
        <v>195</v>
      </c>
      <c r="AB1083" s="4">
        <f t="shared" si="163"/>
        <v>195</v>
      </c>
      <c r="AC1083" s="4"/>
      <c r="AD1083" s="21">
        <f>ROUND(M1083*AR1083,0)</f>
        <v>280</v>
      </c>
      <c r="AE1083" s="6">
        <f>1-AB1083/AD1083</f>
        <v>0.3035714285714286</v>
      </c>
      <c r="AF1083" s="33">
        <v>0</v>
      </c>
      <c r="AG1083" s="4">
        <f t="shared" si="164"/>
        <v>300</v>
      </c>
      <c r="AH1083" s="33">
        <f t="shared" si="157"/>
        <v>300</v>
      </c>
      <c r="AI1083" s="6">
        <f>1-AB1083/AH1083</f>
        <v>0.35</v>
      </c>
      <c r="AJ1083" s="7">
        <v>300</v>
      </c>
      <c r="AK1083" s="6">
        <f>1-AB1083/AJ1083</f>
        <v>0.35</v>
      </c>
      <c r="AL1083" s="4">
        <f>AJ1083-AB1083</f>
        <v>105</v>
      </c>
      <c r="AM1083" s="28"/>
      <c r="AN1083" s="6"/>
      <c r="AO1083" s="6"/>
      <c r="AP1083" s="6">
        <f>Z1083/L1083</f>
        <v>1</v>
      </c>
      <c r="AQ1083" s="6">
        <f>AJ1083/M1083</f>
        <v>1.0714285714285714</v>
      </c>
      <c r="AR1083" s="6">
        <f>AB1083/N1083</f>
        <v>1</v>
      </c>
      <c r="AS1083" s="4"/>
      <c r="AT1083" s="4"/>
      <c r="AU1083" s="4"/>
      <c r="AV1083" s="4"/>
      <c r="AW1083" s="4"/>
      <c r="AX1083" s="4"/>
      <c r="AY1083" s="4"/>
      <c r="AZ1083" s="4"/>
      <c r="BA1083" s="4"/>
      <c r="BB1083" s="4">
        <v>0</v>
      </c>
      <c r="BC1083" s="4" t="s">
        <v>4546</v>
      </c>
      <c r="BD1083" s="4">
        <v>1</v>
      </c>
      <c r="BE1083" s="4">
        <v>4</v>
      </c>
      <c r="BF1083" s="4" t="s">
        <v>3579</v>
      </c>
      <c r="BG1083" s="4">
        <v>1200</v>
      </c>
      <c r="BH1083" s="4">
        <v>1200</v>
      </c>
      <c r="BI1083" s="4">
        <f t="shared" si="165"/>
        <v>300</v>
      </c>
      <c r="BJ1083" s="19">
        <v>4</v>
      </c>
      <c r="BK1083" s="19">
        <v>8</v>
      </c>
      <c r="BL1083" s="16">
        <v>7</v>
      </c>
      <c r="BM1083" s="45" t="s">
        <v>3534</v>
      </c>
      <c r="BN1083" t="s">
        <v>3534</v>
      </c>
      <c r="BO1083" t="str">
        <f t="shared" si="158"/>
        <v>-</v>
      </c>
      <c r="BP1083" t="s">
        <v>3534</v>
      </c>
      <c r="BQ1083">
        <v>285</v>
      </c>
      <c r="BR1083">
        <f t="shared" si="159"/>
        <v>285</v>
      </c>
      <c r="BS1083" t="s">
        <v>3399</v>
      </c>
    </row>
    <row r="1084" spans="1:71" x14ac:dyDescent="0.4">
      <c r="A1084" s="3">
        <v>1081</v>
      </c>
      <c r="B1084" s="3">
        <v>1081</v>
      </c>
      <c r="C1084" s="4" t="s">
        <v>1143</v>
      </c>
      <c r="D1084" s="4" t="str">
        <f t="shared" si="160"/>
        <v>J881LY</v>
      </c>
      <c r="E1084" s="4" t="s">
        <v>1143</v>
      </c>
      <c r="F1084" s="4" t="s">
        <v>2361</v>
      </c>
      <c r="G1084" s="5">
        <v>4521718778419</v>
      </c>
      <c r="H1084" s="5"/>
      <c r="I1084" s="5"/>
      <c r="J1084" s="5">
        <v>1</v>
      </c>
      <c r="K1084" s="5">
        <v>1</v>
      </c>
      <c r="L1084" s="4">
        <v>2320</v>
      </c>
      <c r="M1084" s="4">
        <v>2055</v>
      </c>
      <c r="N1084" s="4">
        <v>1624</v>
      </c>
      <c r="O1084" s="6">
        <f t="shared" si="161"/>
        <v>0.20973236009732366</v>
      </c>
      <c r="P1084" s="4" t="s">
        <v>2500</v>
      </c>
      <c r="Q1084" s="4"/>
      <c r="R1084" s="4"/>
      <c r="S1084" s="4"/>
      <c r="T1084" s="4"/>
      <c r="U1084" s="4"/>
      <c r="V1084" s="4"/>
      <c r="W1084" s="4"/>
      <c r="X1084" s="4"/>
      <c r="Y1084" s="4">
        <v>2319</v>
      </c>
      <c r="Z1084" s="4">
        <f t="shared" si="162"/>
        <v>2319</v>
      </c>
      <c r="AA1084" s="4">
        <v>1623</v>
      </c>
      <c r="AB1084" s="4">
        <f t="shared" si="163"/>
        <v>1623</v>
      </c>
      <c r="AC1084" s="4"/>
      <c r="AD1084" s="21">
        <f>ROUND(M1084*AR1084,0)</f>
        <v>2054</v>
      </c>
      <c r="AE1084" s="6">
        <f>1-AB1084/AD1084</f>
        <v>0.20983446932814021</v>
      </c>
      <c r="AF1084" s="33">
        <v>0</v>
      </c>
      <c r="AG1084" s="4">
        <f t="shared" si="164"/>
        <v>2500</v>
      </c>
      <c r="AH1084" s="33">
        <f t="shared" si="157"/>
        <v>2498.460591133005</v>
      </c>
      <c r="AI1084" s="6">
        <f>1-AB1084/AH1084</f>
        <v>0.35040000000000004</v>
      </c>
      <c r="AJ1084" s="7">
        <v>2319</v>
      </c>
      <c r="AK1084" s="6">
        <f>1-AB1084/AJ1084</f>
        <v>0.30012936610608021</v>
      </c>
      <c r="AL1084" s="4">
        <f>AJ1084-AB1084</f>
        <v>696</v>
      </c>
      <c r="AM1084" s="28"/>
      <c r="AN1084" s="6"/>
      <c r="AO1084" s="6"/>
      <c r="AP1084" s="6">
        <f>Z1084/L1084</f>
        <v>0.99956896551724139</v>
      </c>
      <c r="AQ1084" s="6">
        <f>AJ1084/M1084</f>
        <v>1.1284671532846715</v>
      </c>
      <c r="AR1084" s="6">
        <f>AB1084/N1084</f>
        <v>0.99938423645320196</v>
      </c>
      <c r="AS1084" s="4"/>
      <c r="AT1084" s="4"/>
      <c r="AU1084" s="4"/>
      <c r="AV1084" s="4"/>
      <c r="AW1084" s="4"/>
      <c r="AX1084" s="4"/>
      <c r="AY1084" s="4"/>
      <c r="AZ1084" s="4"/>
      <c r="BA1084" s="4"/>
      <c r="BB1084" s="4">
        <v>0</v>
      </c>
      <c r="BC1084" s="4" t="s">
        <v>4547</v>
      </c>
      <c r="BD1084" s="4"/>
      <c r="BE1084" s="4"/>
      <c r="BF1084" s="4" t="s">
        <v>3545</v>
      </c>
      <c r="BG1084" s="4">
        <v>2500</v>
      </c>
      <c r="BH1084" s="4">
        <v>2500</v>
      </c>
      <c r="BI1084" s="4">
        <f t="shared" si="165"/>
        <v>2500</v>
      </c>
      <c r="BJ1084" s="19">
        <v>4</v>
      </c>
      <c r="BK1084" s="19">
        <v>8</v>
      </c>
      <c r="BL1084" s="16">
        <v>6</v>
      </c>
      <c r="BM1084" s="45" t="s">
        <v>3534</v>
      </c>
      <c r="BN1084" t="s">
        <v>3534</v>
      </c>
      <c r="BO1084" t="str">
        <f t="shared" si="158"/>
        <v>-</v>
      </c>
      <c r="BP1084" t="s">
        <v>3534</v>
      </c>
      <c r="BQ1084">
        <v>2300</v>
      </c>
      <c r="BR1084">
        <f t="shared" si="159"/>
        <v>2298.5837438423646</v>
      </c>
      <c r="BS1084" t="s">
        <v>3400</v>
      </c>
    </row>
    <row r="1085" spans="1:71" x14ac:dyDescent="0.4">
      <c r="A1085" s="3">
        <v>1082</v>
      </c>
      <c r="B1085" s="3">
        <v>1082</v>
      </c>
      <c r="C1085" s="4" t="s">
        <v>1144</v>
      </c>
      <c r="D1085" s="4" t="str">
        <f t="shared" si="160"/>
        <v>J882LY</v>
      </c>
      <c r="E1085" s="4" t="s">
        <v>1144</v>
      </c>
      <c r="F1085" s="4" t="s">
        <v>2362</v>
      </c>
      <c r="G1085" s="5">
        <v>4521718778426</v>
      </c>
      <c r="H1085" s="5"/>
      <c r="I1085" s="5"/>
      <c r="J1085" s="5">
        <v>1</v>
      </c>
      <c r="K1085" s="5">
        <v>1</v>
      </c>
      <c r="L1085" s="4">
        <v>2320</v>
      </c>
      <c r="M1085" s="4">
        <v>2055</v>
      </c>
      <c r="N1085" s="4">
        <v>1624</v>
      </c>
      <c r="O1085" s="6">
        <f t="shared" si="161"/>
        <v>0.20973236009732366</v>
      </c>
      <c r="P1085" s="4" t="s">
        <v>2500</v>
      </c>
      <c r="Q1085" s="4"/>
      <c r="R1085" s="4"/>
      <c r="S1085" s="4"/>
      <c r="T1085" s="4"/>
      <c r="U1085" s="4"/>
      <c r="V1085" s="4"/>
      <c r="W1085" s="4"/>
      <c r="X1085" s="4"/>
      <c r="Y1085" s="4">
        <v>2319</v>
      </c>
      <c r="Z1085" s="4">
        <f t="shared" si="162"/>
        <v>2319</v>
      </c>
      <c r="AA1085" s="4">
        <v>1623</v>
      </c>
      <c r="AB1085" s="4">
        <f t="shared" si="163"/>
        <v>1623</v>
      </c>
      <c r="AC1085" s="4"/>
      <c r="AD1085" s="21">
        <f>ROUND(M1085*AR1085,0)</f>
        <v>2054</v>
      </c>
      <c r="AE1085" s="6">
        <f>1-AB1085/AD1085</f>
        <v>0.20983446932814021</v>
      </c>
      <c r="AF1085" s="33">
        <v>0</v>
      </c>
      <c r="AG1085" s="4">
        <f t="shared" si="164"/>
        <v>2500</v>
      </c>
      <c r="AH1085" s="33">
        <f t="shared" si="157"/>
        <v>2498.460591133005</v>
      </c>
      <c r="AI1085" s="6">
        <f>1-AB1085/AH1085</f>
        <v>0.35040000000000004</v>
      </c>
      <c r="AJ1085" s="7">
        <v>2319</v>
      </c>
      <c r="AK1085" s="6">
        <f>1-AB1085/AJ1085</f>
        <v>0.30012936610608021</v>
      </c>
      <c r="AL1085" s="4">
        <f>AJ1085-AB1085</f>
        <v>696</v>
      </c>
      <c r="AM1085" s="28"/>
      <c r="AN1085" s="6"/>
      <c r="AO1085" s="6"/>
      <c r="AP1085" s="6">
        <f>Z1085/L1085</f>
        <v>0.99956896551724139</v>
      </c>
      <c r="AQ1085" s="6">
        <f>AJ1085/M1085</f>
        <v>1.1284671532846715</v>
      </c>
      <c r="AR1085" s="6">
        <f>AB1085/N1085</f>
        <v>0.99938423645320196</v>
      </c>
      <c r="AS1085" s="4"/>
      <c r="AT1085" s="4"/>
      <c r="AU1085" s="4"/>
      <c r="AV1085" s="4"/>
      <c r="AW1085" s="4"/>
      <c r="AX1085" s="4"/>
      <c r="AY1085" s="4"/>
      <c r="AZ1085" s="4"/>
      <c r="BA1085" s="4"/>
      <c r="BB1085" s="4">
        <v>0</v>
      </c>
      <c r="BC1085" s="4" t="s">
        <v>4548</v>
      </c>
      <c r="BD1085" s="4"/>
      <c r="BE1085" s="4"/>
      <c r="BF1085" s="4" t="s">
        <v>3545</v>
      </c>
      <c r="BG1085" s="4">
        <v>2500</v>
      </c>
      <c r="BH1085" s="4">
        <v>2500</v>
      </c>
      <c r="BI1085" s="4">
        <f t="shared" si="165"/>
        <v>2500</v>
      </c>
      <c r="BJ1085" s="19">
        <v>4</v>
      </c>
      <c r="BK1085" s="19">
        <v>8</v>
      </c>
      <c r="BL1085" s="16">
        <v>6</v>
      </c>
      <c r="BM1085" s="45" t="s">
        <v>3534</v>
      </c>
      <c r="BN1085" t="s">
        <v>3534</v>
      </c>
      <c r="BO1085" t="str">
        <f t="shared" si="158"/>
        <v>-</v>
      </c>
      <c r="BP1085" t="s">
        <v>3534</v>
      </c>
      <c r="BQ1085">
        <v>2300</v>
      </c>
      <c r="BR1085">
        <f t="shared" si="159"/>
        <v>2298.5837438423646</v>
      </c>
      <c r="BS1085" t="s">
        <v>3401</v>
      </c>
    </row>
    <row r="1086" spans="1:71" x14ac:dyDescent="0.4">
      <c r="A1086" s="3">
        <v>1083</v>
      </c>
      <c r="B1086" s="3">
        <v>1083</v>
      </c>
      <c r="C1086" s="4" t="s">
        <v>1145</v>
      </c>
      <c r="D1086" s="4" t="str">
        <f t="shared" si="160"/>
        <v>J882WK</v>
      </c>
      <c r="E1086" s="4" t="s">
        <v>1145</v>
      </c>
      <c r="F1086" s="4" t="s">
        <v>2363</v>
      </c>
      <c r="G1086" s="5">
        <v>4521718747729</v>
      </c>
      <c r="H1086" s="5"/>
      <c r="I1086" s="5"/>
      <c r="J1086" s="5">
        <v>1</v>
      </c>
      <c r="K1086" s="5">
        <v>1</v>
      </c>
      <c r="L1086" s="4">
        <v>500</v>
      </c>
      <c r="M1086" s="4">
        <v>480</v>
      </c>
      <c r="N1086" s="4">
        <v>325</v>
      </c>
      <c r="O1086" s="6">
        <f t="shared" si="161"/>
        <v>0.32291666666666663</v>
      </c>
      <c r="P1086" s="4" t="s">
        <v>2500</v>
      </c>
      <c r="Q1086" s="4"/>
      <c r="R1086" s="4"/>
      <c r="S1086" s="4"/>
      <c r="T1086" s="4"/>
      <c r="U1086" s="4"/>
      <c r="V1086" s="4"/>
      <c r="W1086" s="4"/>
      <c r="X1086" s="4"/>
      <c r="Y1086" s="4">
        <v>500</v>
      </c>
      <c r="Z1086" s="4">
        <f t="shared" si="162"/>
        <v>500</v>
      </c>
      <c r="AA1086" s="4">
        <v>325</v>
      </c>
      <c r="AB1086" s="4">
        <f t="shared" si="163"/>
        <v>325</v>
      </c>
      <c r="AC1086" s="4"/>
      <c r="AD1086" s="21">
        <f>ROUND(M1086*AR1086,0)</f>
        <v>480</v>
      </c>
      <c r="AE1086" s="6">
        <f>1-AB1086/AD1086</f>
        <v>0.32291666666666663</v>
      </c>
      <c r="AF1086" s="33">
        <v>0.25</v>
      </c>
      <c r="AG1086" s="4">
        <f t="shared" si="164"/>
        <v>500</v>
      </c>
      <c r="AH1086" s="33">
        <f t="shared" si="157"/>
        <v>500</v>
      </c>
      <c r="AI1086" s="6">
        <f>1-AB1086/AH1086</f>
        <v>0.35</v>
      </c>
      <c r="AJ1086" s="7">
        <v>500</v>
      </c>
      <c r="AK1086" s="6">
        <f>1-AB1086/AJ1086</f>
        <v>0.35</v>
      </c>
      <c r="AL1086" s="4">
        <f>AJ1086-AB1086</f>
        <v>175</v>
      </c>
      <c r="AM1086" s="28"/>
      <c r="AN1086" s="6"/>
      <c r="AO1086" s="6"/>
      <c r="AP1086" s="6">
        <f>Z1086/L1086</f>
        <v>1</v>
      </c>
      <c r="AQ1086" s="6">
        <f>AJ1086/M1086</f>
        <v>1.0416666666666667</v>
      </c>
      <c r="AR1086" s="6">
        <f>AB1086/N1086</f>
        <v>1</v>
      </c>
      <c r="AS1086" s="4"/>
      <c r="AT1086" s="4"/>
      <c r="AU1086" s="4"/>
      <c r="AV1086" s="4"/>
      <c r="AW1086" s="4"/>
      <c r="AX1086" s="4"/>
      <c r="AY1086" s="4"/>
      <c r="AZ1086" s="4"/>
      <c r="BA1086" s="4"/>
      <c r="BB1086" s="4">
        <v>0</v>
      </c>
      <c r="BC1086" s="4" t="s">
        <v>4549</v>
      </c>
      <c r="BD1086" s="4">
        <v>1</v>
      </c>
      <c r="BE1086" s="4">
        <v>2</v>
      </c>
      <c r="BF1086" s="4" t="s">
        <v>3575</v>
      </c>
      <c r="BG1086" s="4">
        <v>1000</v>
      </c>
      <c r="BH1086" s="4">
        <v>1000</v>
      </c>
      <c r="BI1086" s="4">
        <f t="shared" si="165"/>
        <v>500</v>
      </c>
      <c r="BJ1086" s="19">
        <v>4</v>
      </c>
      <c r="BK1086" s="19">
        <v>8</v>
      </c>
      <c r="BL1086" s="16">
        <v>7</v>
      </c>
      <c r="BM1086" s="45" t="s">
        <v>3534</v>
      </c>
      <c r="BN1086" t="s">
        <v>3534</v>
      </c>
      <c r="BO1086" t="str">
        <f t="shared" si="158"/>
        <v>-</v>
      </c>
      <c r="BP1086" t="s">
        <v>3534</v>
      </c>
      <c r="BQ1086">
        <v>475</v>
      </c>
      <c r="BR1086">
        <f t="shared" si="159"/>
        <v>475</v>
      </c>
      <c r="BS1086" t="s">
        <v>3402</v>
      </c>
    </row>
    <row r="1087" spans="1:71" x14ac:dyDescent="0.4">
      <c r="A1087" s="3">
        <v>1084</v>
      </c>
      <c r="B1087" s="3">
        <v>1084</v>
      </c>
      <c r="C1087" s="4" t="s">
        <v>1146</v>
      </c>
      <c r="D1087" s="4" t="str">
        <f t="shared" si="160"/>
        <v>J881WK</v>
      </c>
      <c r="E1087" s="4" t="s">
        <v>1146</v>
      </c>
      <c r="F1087" s="4" t="s">
        <v>2364</v>
      </c>
      <c r="G1087" s="5">
        <v>4521718747712</v>
      </c>
      <c r="H1087" s="5"/>
      <c r="I1087" s="5"/>
      <c r="J1087" s="5">
        <v>1</v>
      </c>
      <c r="K1087" s="5">
        <v>1</v>
      </c>
      <c r="L1087" s="4">
        <v>500</v>
      </c>
      <c r="M1087" s="4">
        <v>480</v>
      </c>
      <c r="N1087" s="4">
        <v>325</v>
      </c>
      <c r="O1087" s="6">
        <f t="shared" si="161"/>
        <v>0.32291666666666663</v>
      </c>
      <c r="P1087" s="4" t="s">
        <v>2500</v>
      </c>
      <c r="Q1087" s="4"/>
      <c r="R1087" s="4"/>
      <c r="S1087" s="4"/>
      <c r="T1087" s="4"/>
      <c r="U1087" s="4"/>
      <c r="V1087" s="4"/>
      <c r="W1087" s="4"/>
      <c r="X1087" s="4"/>
      <c r="Y1087" s="4">
        <v>500</v>
      </c>
      <c r="Z1087" s="4">
        <f t="shared" si="162"/>
        <v>500</v>
      </c>
      <c r="AA1087" s="4">
        <v>325</v>
      </c>
      <c r="AB1087" s="4">
        <f t="shared" si="163"/>
        <v>325</v>
      </c>
      <c r="AC1087" s="4"/>
      <c r="AD1087" s="21">
        <f>ROUND(M1087*AR1087,0)</f>
        <v>480</v>
      </c>
      <c r="AE1087" s="6">
        <f>1-AB1087/AD1087</f>
        <v>0.32291666666666663</v>
      </c>
      <c r="AF1087" s="33">
        <v>0.25</v>
      </c>
      <c r="AG1087" s="4">
        <f t="shared" si="164"/>
        <v>500</v>
      </c>
      <c r="AH1087" s="33">
        <f t="shared" si="157"/>
        <v>500</v>
      </c>
      <c r="AI1087" s="6">
        <f>1-AB1087/AH1087</f>
        <v>0.35</v>
      </c>
      <c r="AJ1087" s="7">
        <v>500</v>
      </c>
      <c r="AK1087" s="6">
        <f>1-AB1087/AJ1087</f>
        <v>0.35</v>
      </c>
      <c r="AL1087" s="4">
        <f>AJ1087-AB1087</f>
        <v>175</v>
      </c>
      <c r="AM1087" s="28"/>
      <c r="AN1087" s="6"/>
      <c r="AO1087" s="6"/>
      <c r="AP1087" s="6">
        <f>Z1087/L1087</f>
        <v>1</v>
      </c>
      <c r="AQ1087" s="6">
        <f>AJ1087/M1087</f>
        <v>1.0416666666666667</v>
      </c>
      <c r="AR1087" s="6">
        <f>AB1087/N1087</f>
        <v>1</v>
      </c>
      <c r="AS1087" s="4"/>
      <c r="AT1087" s="4"/>
      <c r="AU1087" s="4"/>
      <c r="AV1087" s="4"/>
      <c r="AW1087" s="4"/>
      <c r="AX1087" s="4"/>
      <c r="AY1087" s="4"/>
      <c r="AZ1087" s="4"/>
      <c r="BA1087" s="4"/>
      <c r="BB1087" s="4">
        <v>0</v>
      </c>
      <c r="BC1087" s="4" t="s">
        <v>4550</v>
      </c>
      <c r="BD1087" s="4">
        <v>1</v>
      </c>
      <c r="BE1087" s="4">
        <v>2</v>
      </c>
      <c r="BF1087" s="4" t="s">
        <v>3575</v>
      </c>
      <c r="BG1087" s="4">
        <v>1000</v>
      </c>
      <c r="BH1087" s="4">
        <v>1000</v>
      </c>
      <c r="BI1087" s="4">
        <f t="shared" si="165"/>
        <v>500</v>
      </c>
      <c r="BJ1087" s="19">
        <v>4</v>
      </c>
      <c r="BK1087" s="19">
        <v>8</v>
      </c>
      <c r="BL1087" s="16">
        <v>7</v>
      </c>
      <c r="BM1087" s="45" t="s">
        <v>3534</v>
      </c>
      <c r="BN1087" t="s">
        <v>3534</v>
      </c>
      <c r="BO1087" t="str">
        <f t="shared" si="158"/>
        <v>-</v>
      </c>
      <c r="BP1087" t="s">
        <v>3534</v>
      </c>
      <c r="BQ1087">
        <v>475</v>
      </c>
      <c r="BR1087">
        <f t="shared" si="159"/>
        <v>475</v>
      </c>
      <c r="BS1087" t="s">
        <v>3403</v>
      </c>
    </row>
    <row r="1088" spans="1:71" x14ac:dyDescent="0.4">
      <c r="A1088" s="3">
        <v>1085</v>
      </c>
      <c r="B1088" s="3">
        <v>1085</v>
      </c>
      <c r="C1088" s="4" t="s">
        <v>1147</v>
      </c>
      <c r="D1088" s="4" t="str">
        <f t="shared" si="160"/>
        <v>J883LY</v>
      </c>
      <c r="E1088" s="4" t="s">
        <v>1147</v>
      </c>
      <c r="F1088" s="4" t="s">
        <v>2365</v>
      </c>
      <c r="G1088" s="5">
        <v>4521718778433</v>
      </c>
      <c r="H1088" s="5"/>
      <c r="I1088" s="5"/>
      <c r="J1088" s="5">
        <v>1</v>
      </c>
      <c r="K1088" s="5">
        <v>1</v>
      </c>
      <c r="L1088" s="4">
        <v>2320</v>
      </c>
      <c r="M1088" s="4">
        <v>2055</v>
      </c>
      <c r="N1088" s="4">
        <v>1624</v>
      </c>
      <c r="O1088" s="6">
        <f t="shared" si="161"/>
        <v>0.20973236009732366</v>
      </c>
      <c r="P1088" s="4" t="s">
        <v>2500</v>
      </c>
      <c r="Q1088" s="4"/>
      <c r="R1088" s="4"/>
      <c r="S1088" s="4"/>
      <c r="T1088" s="4"/>
      <c r="U1088" s="4"/>
      <c r="V1088" s="4"/>
      <c r="W1088" s="4"/>
      <c r="X1088" s="4"/>
      <c r="Y1088" s="4">
        <v>2319</v>
      </c>
      <c r="Z1088" s="4">
        <f t="shared" si="162"/>
        <v>2319</v>
      </c>
      <c r="AA1088" s="4">
        <v>1623</v>
      </c>
      <c r="AB1088" s="4">
        <f t="shared" si="163"/>
        <v>1623</v>
      </c>
      <c r="AC1088" s="4"/>
      <c r="AD1088" s="21">
        <f>ROUND(M1088*AR1088,0)</f>
        <v>2054</v>
      </c>
      <c r="AE1088" s="6">
        <f>1-AB1088/AD1088</f>
        <v>0.20983446932814021</v>
      </c>
      <c r="AF1088" s="33">
        <v>0</v>
      </c>
      <c r="AG1088" s="4">
        <f t="shared" si="164"/>
        <v>2500</v>
      </c>
      <c r="AH1088" s="33">
        <f t="shared" si="157"/>
        <v>2498.460591133005</v>
      </c>
      <c r="AI1088" s="6">
        <f>1-AB1088/AH1088</f>
        <v>0.35040000000000004</v>
      </c>
      <c r="AJ1088" s="7">
        <v>2319</v>
      </c>
      <c r="AK1088" s="6">
        <f>1-AB1088/AJ1088</f>
        <v>0.30012936610608021</v>
      </c>
      <c r="AL1088" s="4">
        <f>AJ1088-AB1088</f>
        <v>696</v>
      </c>
      <c r="AM1088" s="28"/>
      <c r="AN1088" s="6"/>
      <c r="AO1088" s="6"/>
      <c r="AP1088" s="6">
        <f>Z1088/L1088</f>
        <v>0.99956896551724139</v>
      </c>
      <c r="AQ1088" s="6">
        <f>AJ1088/M1088</f>
        <v>1.1284671532846715</v>
      </c>
      <c r="AR1088" s="6">
        <f>AB1088/N1088</f>
        <v>0.99938423645320196</v>
      </c>
      <c r="AS1088" s="4"/>
      <c r="AT1088" s="4"/>
      <c r="AU1088" s="4"/>
      <c r="AV1088" s="4"/>
      <c r="AW1088" s="4"/>
      <c r="AX1088" s="4"/>
      <c r="AY1088" s="4"/>
      <c r="AZ1088" s="4"/>
      <c r="BA1088" s="4"/>
      <c r="BB1088" s="4">
        <v>0</v>
      </c>
      <c r="BC1088" s="4" t="s">
        <v>4551</v>
      </c>
      <c r="BD1088" s="4"/>
      <c r="BE1088" s="4"/>
      <c r="BF1088" s="4" t="s">
        <v>3545</v>
      </c>
      <c r="BG1088" s="4">
        <v>2500</v>
      </c>
      <c r="BH1088" s="4">
        <v>2500</v>
      </c>
      <c r="BI1088" s="4">
        <f t="shared" si="165"/>
        <v>2500</v>
      </c>
      <c r="BJ1088" s="19">
        <v>4</v>
      </c>
      <c r="BK1088" s="19">
        <v>8</v>
      </c>
      <c r="BL1088" s="16">
        <v>6</v>
      </c>
      <c r="BM1088" s="45" t="s">
        <v>3534</v>
      </c>
      <c r="BN1088" t="s">
        <v>3534</v>
      </c>
      <c r="BO1088" t="str">
        <f t="shared" si="158"/>
        <v>-</v>
      </c>
      <c r="BP1088" t="s">
        <v>3534</v>
      </c>
      <c r="BQ1088">
        <v>2300</v>
      </c>
      <c r="BR1088">
        <f t="shared" si="159"/>
        <v>2298.5837438423646</v>
      </c>
      <c r="BS1088" t="s">
        <v>3404</v>
      </c>
    </row>
    <row r="1089" spans="1:71" x14ac:dyDescent="0.4">
      <c r="A1089" s="3">
        <v>1086</v>
      </c>
      <c r="B1089" s="3">
        <v>1086</v>
      </c>
      <c r="C1089" s="4" t="s">
        <v>1148</v>
      </c>
      <c r="D1089" s="4" t="str">
        <f t="shared" si="160"/>
        <v>J884LY</v>
      </c>
      <c r="E1089" s="4" t="s">
        <v>1148</v>
      </c>
      <c r="F1089" s="4" t="s">
        <v>2366</v>
      </c>
      <c r="G1089" s="5">
        <v>4521718778440</v>
      </c>
      <c r="H1089" s="5"/>
      <c r="I1089" s="5"/>
      <c r="J1089" s="5">
        <v>1</v>
      </c>
      <c r="K1089" s="5">
        <v>1</v>
      </c>
      <c r="L1089" s="4">
        <v>2320</v>
      </c>
      <c r="M1089" s="4">
        <v>2055</v>
      </c>
      <c r="N1089" s="4">
        <v>1624</v>
      </c>
      <c r="O1089" s="6">
        <f t="shared" si="161"/>
        <v>0.20973236009732366</v>
      </c>
      <c r="P1089" s="4" t="s">
        <v>2500</v>
      </c>
      <c r="Q1089" s="4"/>
      <c r="R1089" s="4"/>
      <c r="S1089" s="4"/>
      <c r="T1089" s="4"/>
      <c r="U1089" s="4"/>
      <c r="V1089" s="4"/>
      <c r="W1089" s="4"/>
      <c r="X1089" s="4"/>
      <c r="Y1089" s="4">
        <v>2319</v>
      </c>
      <c r="Z1089" s="4">
        <f t="shared" si="162"/>
        <v>2319</v>
      </c>
      <c r="AA1089" s="4">
        <v>1623</v>
      </c>
      <c r="AB1089" s="4">
        <f t="shared" si="163"/>
        <v>1623</v>
      </c>
      <c r="AC1089" s="4"/>
      <c r="AD1089" s="21">
        <f>ROUND(M1089*AR1089,0)</f>
        <v>2054</v>
      </c>
      <c r="AE1089" s="6">
        <f>1-AB1089/AD1089</f>
        <v>0.20983446932814021</v>
      </c>
      <c r="AF1089" s="33">
        <v>0</v>
      </c>
      <c r="AG1089" s="4">
        <f t="shared" si="164"/>
        <v>2500</v>
      </c>
      <c r="AH1089" s="33">
        <f t="shared" si="157"/>
        <v>2498.460591133005</v>
      </c>
      <c r="AI1089" s="6">
        <f>1-AB1089/AH1089</f>
        <v>0.35040000000000004</v>
      </c>
      <c r="AJ1089" s="7">
        <v>2319</v>
      </c>
      <c r="AK1089" s="6">
        <f>1-AB1089/AJ1089</f>
        <v>0.30012936610608021</v>
      </c>
      <c r="AL1089" s="4">
        <f>AJ1089-AB1089</f>
        <v>696</v>
      </c>
      <c r="AM1089" s="28"/>
      <c r="AN1089" s="6"/>
      <c r="AO1089" s="6"/>
      <c r="AP1089" s="6">
        <f>Z1089/L1089</f>
        <v>0.99956896551724139</v>
      </c>
      <c r="AQ1089" s="6">
        <f>AJ1089/M1089</f>
        <v>1.1284671532846715</v>
      </c>
      <c r="AR1089" s="6">
        <f>AB1089/N1089</f>
        <v>0.99938423645320196</v>
      </c>
      <c r="AS1089" s="4"/>
      <c r="AT1089" s="4"/>
      <c r="AU1089" s="4"/>
      <c r="AV1089" s="4"/>
      <c r="AW1089" s="4"/>
      <c r="AX1089" s="4"/>
      <c r="AY1089" s="4"/>
      <c r="AZ1089" s="4"/>
      <c r="BA1089" s="4"/>
      <c r="BB1089" s="4">
        <v>0</v>
      </c>
      <c r="BC1089" s="4" t="s">
        <v>4552</v>
      </c>
      <c r="BD1089" s="4"/>
      <c r="BE1089" s="4"/>
      <c r="BF1089" s="4" t="s">
        <v>3545</v>
      </c>
      <c r="BG1089" s="4">
        <v>2500</v>
      </c>
      <c r="BH1089" s="4">
        <v>2500</v>
      </c>
      <c r="BI1089" s="4">
        <f t="shared" si="165"/>
        <v>2500</v>
      </c>
      <c r="BJ1089" s="19">
        <v>4</v>
      </c>
      <c r="BK1089" s="19">
        <v>8</v>
      </c>
      <c r="BL1089" s="16">
        <v>6</v>
      </c>
      <c r="BM1089" s="45" t="s">
        <v>3534</v>
      </c>
      <c r="BN1089" t="s">
        <v>3534</v>
      </c>
      <c r="BO1089" t="str">
        <f t="shared" si="158"/>
        <v>-</v>
      </c>
      <c r="BP1089" t="s">
        <v>3534</v>
      </c>
      <c r="BQ1089">
        <v>2300</v>
      </c>
      <c r="BR1089">
        <f t="shared" si="159"/>
        <v>2298.5837438423646</v>
      </c>
      <c r="BS1089" t="s">
        <v>3405</v>
      </c>
    </row>
    <row r="1090" spans="1:71" x14ac:dyDescent="0.4">
      <c r="A1090" s="3">
        <v>1087</v>
      </c>
      <c r="B1090" s="3">
        <v>1087</v>
      </c>
      <c r="C1090" s="4" t="s">
        <v>1149</v>
      </c>
      <c r="D1090" s="4" t="str">
        <f t="shared" si="160"/>
        <v>J884WK</v>
      </c>
      <c r="E1090" s="4" t="s">
        <v>1149</v>
      </c>
      <c r="F1090" s="4" t="s">
        <v>2367</v>
      </c>
      <c r="G1090" s="5">
        <v>4521718747743</v>
      </c>
      <c r="H1090" s="5"/>
      <c r="I1090" s="5"/>
      <c r="J1090" s="5">
        <v>1</v>
      </c>
      <c r="K1090" s="5">
        <v>1</v>
      </c>
      <c r="L1090" s="4">
        <v>300</v>
      </c>
      <c r="M1090" s="4">
        <v>280</v>
      </c>
      <c r="N1090" s="4">
        <v>195</v>
      </c>
      <c r="O1090" s="6">
        <f t="shared" si="161"/>
        <v>0.3035714285714286</v>
      </c>
      <c r="P1090" s="4" t="s">
        <v>2500</v>
      </c>
      <c r="Q1090" s="4"/>
      <c r="R1090" s="4"/>
      <c r="S1090" s="4"/>
      <c r="T1090" s="4"/>
      <c r="U1090" s="4"/>
      <c r="V1090" s="4"/>
      <c r="W1090" s="4"/>
      <c r="X1090" s="4"/>
      <c r="Y1090" s="4">
        <v>300</v>
      </c>
      <c r="Z1090" s="4">
        <f t="shared" si="162"/>
        <v>300</v>
      </c>
      <c r="AA1090" s="4">
        <v>195</v>
      </c>
      <c r="AB1090" s="4">
        <f t="shared" si="163"/>
        <v>195</v>
      </c>
      <c r="AC1090" s="4"/>
      <c r="AD1090" s="21">
        <f>ROUND(M1090*AR1090,0)</f>
        <v>280</v>
      </c>
      <c r="AE1090" s="6">
        <f>1-AB1090/AD1090</f>
        <v>0.3035714285714286</v>
      </c>
      <c r="AF1090" s="33">
        <v>0.25</v>
      </c>
      <c r="AG1090" s="4">
        <f t="shared" si="164"/>
        <v>300</v>
      </c>
      <c r="AH1090" s="33">
        <f t="shared" si="157"/>
        <v>300</v>
      </c>
      <c r="AI1090" s="6">
        <f>1-AB1090/AH1090</f>
        <v>0.35</v>
      </c>
      <c r="AJ1090" s="7">
        <v>300</v>
      </c>
      <c r="AK1090" s="6">
        <f>1-AB1090/AJ1090</f>
        <v>0.35</v>
      </c>
      <c r="AL1090" s="4">
        <f>AJ1090-AB1090</f>
        <v>105</v>
      </c>
      <c r="AM1090" s="28"/>
      <c r="AN1090" s="6"/>
      <c r="AO1090" s="6"/>
      <c r="AP1090" s="6">
        <f>Z1090/L1090</f>
        <v>1</v>
      </c>
      <c r="AQ1090" s="6">
        <f>AJ1090/M1090</f>
        <v>1.0714285714285714</v>
      </c>
      <c r="AR1090" s="6">
        <f>AB1090/N1090</f>
        <v>1</v>
      </c>
      <c r="AS1090" s="4"/>
      <c r="AT1090" s="4"/>
      <c r="AU1090" s="4"/>
      <c r="AV1090" s="4"/>
      <c r="AW1090" s="4"/>
      <c r="AX1090" s="4"/>
      <c r="AY1090" s="4"/>
      <c r="AZ1090" s="4"/>
      <c r="BA1090" s="4"/>
      <c r="BB1090" s="4">
        <v>0</v>
      </c>
      <c r="BC1090" s="4" t="s">
        <v>4553</v>
      </c>
      <c r="BD1090" s="4">
        <v>1</v>
      </c>
      <c r="BE1090" s="4">
        <v>4</v>
      </c>
      <c r="BF1090" s="4" t="s">
        <v>3579</v>
      </c>
      <c r="BG1090" s="4">
        <v>1200</v>
      </c>
      <c r="BH1090" s="4">
        <v>1200</v>
      </c>
      <c r="BI1090" s="4">
        <f t="shared" si="165"/>
        <v>300</v>
      </c>
      <c r="BJ1090" s="19">
        <v>4</v>
      </c>
      <c r="BK1090" s="19">
        <v>8</v>
      </c>
      <c r="BL1090" s="16">
        <v>7</v>
      </c>
      <c r="BM1090" s="45" t="s">
        <v>3534</v>
      </c>
      <c r="BN1090" t="s">
        <v>3534</v>
      </c>
      <c r="BO1090" t="str">
        <f t="shared" si="158"/>
        <v>-</v>
      </c>
      <c r="BP1090" t="s">
        <v>3534</v>
      </c>
      <c r="BQ1090">
        <v>285</v>
      </c>
      <c r="BR1090">
        <f t="shared" si="159"/>
        <v>285</v>
      </c>
      <c r="BS1090" t="s">
        <v>3406</v>
      </c>
    </row>
    <row r="1091" spans="1:71" x14ac:dyDescent="0.4">
      <c r="A1091" s="3">
        <v>1088</v>
      </c>
      <c r="B1091" s="3">
        <v>1088</v>
      </c>
      <c r="C1091" s="4" t="s">
        <v>1150</v>
      </c>
      <c r="D1091" s="4" t="str">
        <f t="shared" si="160"/>
        <v>J883WK</v>
      </c>
      <c r="E1091" s="4" t="s">
        <v>1150</v>
      </c>
      <c r="F1091" s="4" t="s">
        <v>2368</v>
      </c>
      <c r="G1091" s="5">
        <v>4521718747736</v>
      </c>
      <c r="H1091" s="5"/>
      <c r="I1091" s="5"/>
      <c r="J1091" s="5">
        <v>1</v>
      </c>
      <c r="K1091" s="5">
        <v>1</v>
      </c>
      <c r="L1091" s="4">
        <v>500</v>
      </c>
      <c r="M1091" s="4">
        <v>480</v>
      </c>
      <c r="N1091" s="4">
        <v>325</v>
      </c>
      <c r="O1091" s="6">
        <f t="shared" si="161"/>
        <v>0.32291666666666663</v>
      </c>
      <c r="P1091" s="4" t="s">
        <v>2500</v>
      </c>
      <c r="Q1091" s="4"/>
      <c r="R1091" s="4"/>
      <c r="S1091" s="4"/>
      <c r="T1091" s="4"/>
      <c r="U1091" s="4"/>
      <c r="V1091" s="4"/>
      <c r="W1091" s="4"/>
      <c r="X1091" s="4"/>
      <c r="Y1091" s="4">
        <v>500</v>
      </c>
      <c r="Z1091" s="4">
        <f t="shared" si="162"/>
        <v>500</v>
      </c>
      <c r="AA1091" s="4">
        <v>325</v>
      </c>
      <c r="AB1091" s="4">
        <f t="shared" si="163"/>
        <v>325</v>
      </c>
      <c r="AC1091" s="4"/>
      <c r="AD1091" s="21">
        <f>ROUND(M1091*AR1091,0)</f>
        <v>480</v>
      </c>
      <c r="AE1091" s="6">
        <f>1-AB1091/AD1091</f>
        <v>0.32291666666666663</v>
      </c>
      <c r="AF1091" s="33">
        <v>0</v>
      </c>
      <c r="AG1091" s="4">
        <f t="shared" si="164"/>
        <v>500</v>
      </c>
      <c r="AH1091" s="33">
        <f t="shared" si="157"/>
        <v>500</v>
      </c>
      <c r="AI1091" s="6">
        <f>1-AB1091/AH1091</f>
        <v>0.35</v>
      </c>
      <c r="AJ1091" s="7">
        <v>500</v>
      </c>
      <c r="AK1091" s="6">
        <f>1-AB1091/AJ1091</f>
        <v>0.35</v>
      </c>
      <c r="AL1091" s="4">
        <f>AJ1091-AB1091</f>
        <v>175</v>
      </c>
      <c r="AM1091" s="28"/>
      <c r="AN1091" s="6"/>
      <c r="AO1091" s="6"/>
      <c r="AP1091" s="6">
        <f>Z1091/L1091</f>
        <v>1</v>
      </c>
      <c r="AQ1091" s="6">
        <f>AJ1091/M1091</f>
        <v>1.0416666666666667</v>
      </c>
      <c r="AR1091" s="6">
        <f>AB1091/N1091</f>
        <v>1</v>
      </c>
      <c r="AS1091" s="4"/>
      <c r="AT1091" s="4"/>
      <c r="AU1091" s="4"/>
      <c r="AV1091" s="4"/>
      <c r="AW1091" s="4"/>
      <c r="AX1091" s="4"/>
      <c r="AY1091" s="4"/>
      <c r="AZ1091" s="4"/>
      <c r="BA1091" s="4"/>
      <c r="BB1091" s="4">
        <v>0</v>
      </c>
      <c r="BC1091" s="4" t="s">
        <v>4554</v>
      </c>
      <c r="BD1091" s="4">
        <v>1</v>
      </c>
      <c r="BE1091" s="4">
        <v>2</v>
      </c>
      <c r="BF1091" s="4" t="s">
        <v>3575</v>
      </c>
      <c r="BG1091" s="4">
        <v>1000</v>
      </c>
      <c r="BH1091" s="4">
        <v>1000</v>
      </c>
      <c r="BI1091" s="4">
        <f t="shared" si="165"/>
        <v>500</v>
      </c>
      <c r="BJ1091" s="19">
        <v>4</v>
      </c>
      <c r="BK1091" s="19">
        <v>8</v>
      </c>
      <c r="BL1091" s="16">
        <v>7</v>
      </c>
      <c r="BM1091" s="45" t="s">
        <v>3534</v>
      </c>
      <c r="BN1091" t="s">
        <v>3534</v>
      </c>
      <c r="BO1091" t="str">
        <f t="shared" si="158"/>
        <v>-</v>
      </c>
      <c r="BP1091" t="s">
        <v>3534</v>
      </c>
      <c r="BQ1091">
        <v>475</v>
      </c>
      <c r="BR1091">
        <f t="shared" si="159"/>
        <v>475</v>
      </c>
      <c r="BS1091" t="s">
        <v>3407</v>
      </c>
    </row>
    <row r="1092" spans="1:71" x14ac:dyDescent="0.4">
      <c r="A1092" s="3">
        <v>1089</v>
      </c>
      <c r="B1092" s="3">
        <v>1089</v>
      </c>
      <c r="C1092" s="4" t="s">
        <v>1151</v>
      </c>
      <c r="D1092" s="4" t="str">
        <f t="shared" si="160"/>
        <v>J885LY</v>
      </c>
      <c r="E1092" s="4" t="s">
        <v>1151</v>
      </c>
      <c r="F1092" s="4" t="s">
        <v>2369</v>
      </c>
      <c r="G1092" s="5">
        <v>4521718778457</v>
      </c>
      <c r="H1092" s="5"/>
      <c r="I1092" s="5"/>
      <c r="J1092" s="5">
        <v>1</v>
      </c>
      <c r="K1092" s="5">
        <v>1</v>
      </c>
      <c r="L1092" s="4">
        <v>2320</v>
      </c>
      <c r="M1092" s="4">
        <v>2055</v>
      </c>
      <c r="N1092" s="4">
        <v>1624</v>
      </c>
      <c r="O1092" s="6">
        <f t="shared" si="161"/>
        <v>0.20973236009732366</v>
      </c>
      <c r="P1092" s="4" t="s">
        <v>2500</v>
      </c>
      <c r="Q1092" s="4"/>
      <c r="R1092" s="4"/>
      <c r="S1092" s="4"/>
      <c r="T1092" s="4"/>
      <c r="U1092" s="4"/>
      <c r="V1092" s="4"/>
      <c r="W1092" s="4"/>
      <c r="X1092" s="4"/>
      <c r="Y1092" s="4">
        <v>2319</v>
      </c>
      <c r="Z1092" s="4">
        <f t="shared" si="162"/>
        <v>2319</v>
      </c>
      <c r="AA1092" s="4">
        <v>1623</v>
      </c>
      <c r="AB1092" s="4">
        <f t="shared" si="163"/>
        <v>1623</v>
      </c>
      <c r="AC1092" s="4"/>
      <c r="AD1092" s="21">
        <f>ROUND(M1092*AR1092,0)</f>
        <v>2054</v>
      </c>
      <c r="AE1092" s="6">
        <f>1-AB1092/AD1092</f>
        <v>0.20983446932814021</v>
      </c>
      <c r="AF1092" s="33">
        <v>0</v>
      </c>
      <c r="AG1092" s="4">
        <f t="shared" si="164"/>
        <v>2500</v>
      </c>
      <c r="AH1092" s="33">
        <f t="shared" ref="AH1092:AH1155" si="166">AG1092*AR1092</f>
        <v>2498.460591133005</v>
      </c>
      <c r="AI1092" s="6">
        <f>1-AB1092/AH1092</f>
        <v>0.35040000000000004</v>
      </c>
      <c r="AJ1092" s="7">
        <v>2319</v>
      </c>
      <c r="AK1092" s="6">
        <f>1-AB1092/AJ1092</f>
        <v>0.30012936610608021</v>
      </c>
      <c r="AL1092" s="4">
        <f>AJ1092-AB1092</f>
        <v>696</v>
      </c>
      <c r="AM1092" s="28"/>
      <c r="AN1092" s="6"/>
      <c r="AO1092" s="6"/>
      <c r="AP1092" s="6">
        <f>Z1092/L1092</f>
        <v>0.99956896551724139</v>
      </c>
      <c r="AQ1092" s="6">
        <f>AJ1092/M1092</f>
        <v>1.1284671532846715</v>
      </c>
      <c r="AR1092" s="6">
        <f>AB1092/N1092</f>
        <v>0.99938423645320196</v>
      </c>
      <c r="AS1092" s="4"/>
      <c r="AT1092" s="4"/>
      <c r="AU1092" s="4"/>
      <c r="AV1092" s="4"/>
      <c r="AW1092" s="4"/>
      <c r="AX1092" s="4"/>
      <c r="AY1092" s="4"/>
      <c r="AZ1092" s="4"/>
      <c r="BA1092" s="4"/>
      <c r="BB1092" s="4">
        <v>0</v>
      </c>
      <c r="BC1092" s="4" t="s">
        <v>4555</v>
      </c>
      <c r="BD1092" s="4"/>
      <c r="BE1092" s="4"/>
      <c r="BF1092" s="4" t="s">
        <v>3545</v>
      </c>
      <c r="BG1092" s="4">
        <v>2500</v>
      </c>
      <c r="BH1092" s="4">
        <v>2500</v>
      </c>
      <c r="BI1092" s="4">
        <f t="shared" si="165"/>
        <v>2500</v>
      </c>
      <c r="BJ1092" s="19">
        <v>4</v>
      </c>
      <c r="BK1092" s="19">
        <v>8</v>
      </c>
      <c r="BL1092" s="16">
        <v>6</v>
      </c>
      <c r="BM1092" s="45" t="s">
        <v>3534</v>
      </c>
      <c r="BN1092" t="s">
        <v>3534</v>
      </c>
      <c r="BO1092" t="str">
        <f t="shared" si="158"/>
        <v>-</v>
      </c>
      <c r="BP1092" t="s">
        <v>3534</v>
      </c>
      <c r="BQ1092">
        <v>2300</v>
      </c>
      <c r="BR1092">
        <f t="shared" si="159"/>
        <v>2298.5837438423646</v>
      </c>
      <c r="BS1092" t="s">
        <v>3408</v>
      </c>
    </row>
    <row r="1093" spans="1:71" x14ac:dyDescent="0.4">
      <c r="A1093" s="3">
        <v>1090</v>
      </c>
      <c r="B1093" s="3">
        <v>1090</v>
      </c>
      <c r="C1093" s="4" t="s">
        <v>1152</v>
      </c>
      <c r="D1093" s="4" t="str">
        <f t="shared" si="160"/>
        <v>J885WK</v>
      </c>
      <c r="E1093" s="4" t="s">
        <v>1152</v>
      </c>
      <c r="F1093" s="4" t="s">
        <v>2370</v>
      </c>
      <c r="G1093" s="5">
        <v>4521718747750</v>
      </c>
      <c r="H1093" s="5"/>
      <c r="I1093" s="5"/>
      <c r="J1093" s="5">
        <v>1</v>
      </c>
      <c r="K1093" s="5">
        <v>1</v>
      </c>
      <c r="L1093" s="4">
        <v>300</v>
      </c>
      <c r="M1093" s="4">
        <v>280</v>
      </c>
      <c r="N1093" s="4">
        <v>195</v>
      </c>
      <c r="O1093" s="6">
        <f t="shared" si="161"/>
        <v>0.3035714285714286</v>
      </c>
      <c r="P1093" s="4" t="s">
        <v>2500</v>
      </c>
      <c r="Q1093" s="4"/>
      <c r="R1093" s="4"/>
      <c r="S1093" s="4"/>
      <c r="T1093" s="4"/>
      <c r="U1093" s="4"/>
      <c r="V1093" s="4"/>
      <c r="W1093" s="4"/>
      <c r="X1093" s="4"/>
      <c r="Y1093" s="4">
        <v>300</v>
      </c>
      <c r="Z1093" s="4">
        <f t="shared" si="162"/>
        <v>300</v>
      </c>
      <c r="AA1093" s="4">
        <v>195</v>
      </c>
      <c r="AB1093" s="4">
        <f t="shared" si="163"/>
        <v>195</v>
      </c>
      <c r="AC1093" s="4"/>
      <c r="AD1093" s="21">
        <f>ROUND(M1093*AR1093,0)</f>
        <v>280</v>
      </c>
      <c r="AE1093" s="6">
        <f>1-AB1093/AD1093</f>
        <v>0.3035714285714286</v>
      </c>
      <c r="AF1093" s="33">
        <v>0</v>
      </c>
      <c r="AG1093" s="4">
        <f t="shared" si="164"/>
        <v>300</v>
      </c>
      <c r="AH1093" s="33">
        <f t="shared" si="166"/>
        <v>300</v>
      </c>
      <c r="AI1093" s="6">
        <f>1-AB1093/AH1093</f>
        <v>0.35</v>
      </c>
      <c r="AJ1093" s="7">
        <v>300</v>
      </c>
      <c r="AK1093" s="6">
        <f>1-AB1093/AJ1093</f>
        <v>0.35</v>
      </c>
      <c r="AL1093" s="4">
        <f>AJ1093-AB1093</f>
        <v>105</v>
      </c>
      <c r="AM1093" s="28"/>
      <c r="AN1093" s="6"/>
      <c r="AO1093" s="6"/>
      <c r="AP1093" s="6">
        <f>Z1093/L1093</f>
        <v>1</v>
      </c>
      <c r="AQ1093" s="6">
        <f>AJ1093/M1093</f>
        <v>1.0714285714285714</v>
      </c>
      <c r="AR1093" s="6">
        <f>AB1093/N1093</f>
        <v>1</v>
      </c>
      <c r="AS1093" s="4"/>
      <c r="AT1093" s="4"/>
      <c r="AU1093" s="4"/>
      <c r="AV1093" s="4"/>
      <c r="AW1093" s="4"/>
      <c r="AX1093" s="4"/>
      <c r="AY1093" s="4"/>
      <c r="AZ1093" s="4"/>
      <c r="BA1093" s="4"/>
      <c r="BB1093" s="4">
        <v>0</v>
      </c>
      <c r="BC1093" s="4" t="s">
        <v>4556</v>
      </c>
      <c r="BD1093" s="4">
        <v>1</v>
      </c>
      <c r="BE1093" s="4">
        <v>4</v>
      </c>
      <c r="BF1093" s="4" t="s">
        <v>3579</v>
      </c>
      <c r="BG1093" s="4">
        <v>1200</v>
      </c>
      <c r="BH1093" s="4">
        <v>1200</v>
      </c>
      <c r="BI1093" s="4">
        <f t="shared" si="165"/>
        <v>300</v>
      </c>
      <c r="BJ1093" s="19">
        <v>4</v>
      </c>
      <c r="BK1093" s="19">
        <v>8</v>
      </c>
      <c r="BL1093" s="16">
        <v>7</v>
      </c>
      <c r="BM1093" s="45" t="s">
        <v>3534</v>
      </c>
      <c r="BN1093" t="s">
        <v>3534</v>
      </c>
      <c r="BO1093" t="str">
        <f t="shared" ref="BO1093:BO1156" si="167">IFERROR(BN1093*AR1093,"-")</f>
        <v>-</v>
      </c>
      <c r="BP1093" t="s">
        <v>3534</v>
      </c>
      <c r="BQ1093">
        <v>285</v>
      </c>
      <c r="BR1093">
        <f t="shared" ref="BR1093:BR1156" si="168">IFERROR(BQ1093*AR1093,"-")</f>
        <v>285</v>
      </c>
      <c r="BS1093" t="s">
        <v>3409</v>
      </c>
    </row>
    <row r="1094" spans="1:71" x14ac:dyDescent="0.4">
      <c r="A1094" s="3">
        <v>1091</v>
      </c>
      <c r="B1094" s="3">
        <v>1091</v>
      </c>
      <c r="C1094" s="4" t="s">
        <v>1153</v>
      </c>
      <c r="D1094" s="4" t="str">
        <f t="shared" si="160"/>
        <v>J886LY</v>
      </c>
      <c r="E1094" s="4" t="s">
        <v>1153</v>
      </c>
      <c r="F1094" s="4" t="s">
        <v>2371</v>
      </c>
      <c r="G1094" s="5">
        <v>4521718778464</v>
      </c>
      <c r="H1094" s="5"/>
      <c r="I1094" s="5"/>
      <c r="J1094" s="5">
        <v>1</v>
      </c>
      <c r="K1094" s="5">
        <v>1</v>
      </c>
      <c r="L1094" s="4">
        <v>2320</v>
      </c>
      <c r="M1094" s="4">
        <v>2055</v>
      </c>
      <c r="N1094" s="4">
        <v>1624</v>
      </c>
      <c r="O1094" s="6">
        <f t="shared" si="161"/>
        <v>0.20973236009732366</v>
      </c>
      <c r="P1094" s="4" t="s">
        <v>2500</v>
      </c>
      <c r="Q1094" s="4"/>
      <c r="R1094" s="4"/>
      <c r="S1094" s="4"/>
      <c r="T1094" s="4"/>
      <c r="U1094" s="4"/>
      <c r="V1094" s="4"/>
      <c r="W1094" s="4"/>
      <c r="X1094" s="4"/>
      <c r="Y1094" s="4">
        <v>2319</v>
      </c>
      <c r="Z1094" s="4">
        <f t="shared" si="162"/>
        <v>2319</v>
      </c>
      <c r="AA1094" s="4">
        <v>1623</v>
      </c>
      <c r="AB1094" s="4">
        <f t="shared" si="163"/>
        <v>1623</v>
      </c>
      <c r="AC1094" s="4"/>
      <c r="AD1094" s="21">
        <f>ROUND(M1094*AR1094,0)</f>
        <v>2054</v>
      </c>
      <c r="AE1094" s="6">
        <f>1-AB1094/AD1094</f>
        <v>0.20983446932814021</v>
      </c>
      <c r="AF1094" s="33">
        <v>0</v>
      </c>
      <c r="AG1094" s="4">
        <f t="shared" si="164"/>
        <v>2500</v>
      </c>
      <c r="AH1094" s="33">
        <f t="shared" si="166"/>
        <v>2498.460591133005</v>
      </c>
      <c r="AI1094" s="6">
        <f>1-AB1094/AH1094</f>
        <v>0.35040000000000004</v>
      </c>
      <c r="AJ1094" s="7">
        <v>2319</v>
      </c>
      <c r="AK1094" s="6">
        <f>1-AB1094/AJ1094</f>
        <v>0.30012936610608021</v>
      </c>
      <c r="AL1094" s="4">
        <f>AJ1094-AB1094</f>
        <v>696</v>
      </c>
      <c r="AM1094" s="28"/>
      <c r="AN1094" s="6"/>
      <c r="AO1094" s="6"/>
      <c r="AP1094" s="6">
        <f>Z1094/L1094</f>
        <v>0.99956896551724139</v>
      </c>
      <c r="AQ1094" s="6">
        <f>AJ1094/M1094</f>
        <v>1.1284671532846715</v>
      </c>
      <c r="AR1094" s="6">
        <f>AB1094/N1094</f>
        <v>0.99938423645320196</v>
      </c>
      <c r="AS1094" s="4"/>
      <c r="AT1094" s="4"/>
      <c r="AU1094" s="4"/>
      <c r="AV1094" s="4"/>
      <c r="AW1094" s="4"/>
      <c r="AX1094" s="4"/>
      <c r="AY1094" s="4"/>
      <c r="AZ1094" s="4"/>
      <c r="BA1094" s="4"/>
      <c r="BB1094" s="4">
        <v>0</v>
      </c>
      <c r="BC1094" s="4" t="s">
        <v>4557</v>
      </c>
      <c r="BD1094" s="4"/>
      <c r="BE1094" s="4"/>
      <c r="BF1094" s="4" t="s">
        <v>3545</v>
      </c>
      <c r="BG1094" s="4">
        <v>2500</v>
      </c>
      <c r="BH1094" s="4">
        <v>2500</v>
      </c>
      <c r="BI1094" s="4">
        <f t="shared" si="165"/>
        <v>2500</v>
      </c>
      <c r="BJ1094" s="19">
        <v>4</v>
      </c>
      <c r="BK1094" s="19">
        <v>8</v>
      </c>
      <c r="BL1094" s="16">
        <v>6</v>
      </c>
      <c r="BM1094" s="45" t="s">
        <v>3534</v>
      </c>
      <c r="BN1094" t="s">
        <v>3534</v>
      </c>
      <c r="BO1094" t="str">
        <f t="shared" si="167"/>
        <v>-</v>
      </c>
      <c r="BP1094" t="s">
        <v>3534</v>
      </c>
      <c r="BQ1094">
        <v>2300</v>
      </c>
      <c r="BR1094">
        <f t="shared" si="168"/>
        <v>2298.5837438423646</v>
      </c>
      <c r="BS1094" t="s">
        <v>3410</v>
      </c>
    </row>
    <row r="1095" spans="1:71" x14ac:dyDescent="0.4">
      <c r="A1095" s="3">
        <v>1092</v>
      </c>
      <c r="B1095" s="3">
        <v>1092</v>
      </c>
      <c r="C1095" s="4" t="s">
        <v>1154</v>
      </c>
      <c r="D1095" s="4" t="str">
        <f t="shared" si="160"/>
        <v>J887LY</v>
      </c>
      <c r="E1095" s="4" t="s">
        <v>1154</v>
      </c>
      <c r="F1095" s="4" t="s">
        <v>2372</v>
      </c>
      <c r="G1095" s="5">
        <v>4521718778471</v>
      </c>
      <c r="H1095" s="5"/>
      <c r="I1095" s="5"/>
      <c r="J1095" s="5">
        <v>1</v>
      </c>
      <c r="K1095" s="5">
        <v>1</v>
      </c>
      <c r="L1095" s="4">
        <v>2320</v>
      </c>
      <c r="M1095" s="4">
        <v>2055</v>
      </c>
      <c r="N1095" s="4">
        <v>1624</v>
      </c>
      <c r="O1095" s="6">
        <f t="shared" si="161"/>
        <v>0.20973236009732366</v>
      </c>
      <c r="P1095" s="4" t="s">
        <v>2500</v>
      </c>
      <c r="Q1095" s="4"/>
      <c r="R1095" s="4"/>
      <c r="S1095" s="4"/>
      <c r="T1095" s="4"/>
      <c r="U1095" s="4"/>
      <c r="V1095" s="4"/>
      <c r="W1095" s="4"/>
      <c r="X1095" s="4"/>
      <c r="Y1095" s="4">
        <v>2319</v>
      </c>
      <c r="Z1095" s="4">
        <f t="shared" si="162"/>
        <v>2319</v>
      </c>
      <c r="AA1095" s="4">
        <v>1623</v>
      </c>
      <c r="AB1095" s="4">
        <f t="shared" si="163"/>
        <v>1623</v>
      </c>
      <c r="AC1095" s="4"/>
      <c r="AD1095" s="21">
        <f>ROUND(M1095*AR1095,0)</f>
        <v>2054</v>
      </c>
      <c r="AE1095" s="6">
        <f>1-AB1095/AD1095</f>
        <v>0.20983446932814021</v>
      </c>
      <c r="AF1095" s="33">
        <v>0</v>
      </c>
      <c r="AG1095" s="4">
        <f t="shared" si="164"/>
        <v>2500</v>
      </c>
      <c r="AH1095" s="33">
        <f t="shared" si="166"/>
        <v>2498.460591133005</v>
      </c>
      <c r="AI1095" s="6">
        <f>1-AB1095/AH1095</f>
        <v>0.35040000000000004</v>
      </c>
      <c r="AJ1095" s="7">
        <v>2319</v>
      </c>
      <c r="AK1095" s="6">
        <f>1-AB1095/AJ1095</f>
        <v>0.30012936610608021</v>
      </c>
      <c r="AL1095" s="4">
        <f>AJ1095-AB1095</f>
        <v>696</v>
      </c>
      <c r="AM1095" s="28"/>
      <c r="AN1095" s="6"/>
      <c r="AO1095" s="6"/>
      <c r="AP1095" s="6">
        <f>Z1095/L1095</f>
        <v>0.99956896551724139</v>
      </c>
      <c r="AQ1095" s="6">
        <f>AJ1095/M1095</f>
        <v>1.1284671532846715</v>
      </c>
      <c r="AR1095" s="6">
        <f>AB1095/N1095</f>
        <v>0.99938423645320196</v>
      </c>
      <c r="AS1095" s="4"/>
      <c r="AT1095" s="4"/>
      <c r="AU1095" s="4"/>
      <c r="AV1095" s="4"/>
      <c r="AW1095" s="4"/>
      <c r="AX1095" s="4"/>
      <c r="AY1095" s="4"/>
      <c r="AZ1095" s="4"/>
      <c r="BA1095" s="4"/>
      <c r="BB1095" s="4">
        <v>0</v>
      </c>
      <c r="BC1095" s="4" t="s">
        <v>4558</v>
      </c>
      <c r="BD1095" s="4"/>
      <c r="BE1095" s="4"/>
      <c r="BF1095" s="4" t="s">
        <v>3545</v>
      </c>
      <c r="BG1095" s="4">
        <v>2500</v>
      </c>
      <c r="BH1095" s="4">
        <v>2500</v>
      </c>
      <c r="BI1095" s="4">
        <f t="shared" si="165"/>
        <v>2500</v>
      </c>
      <c r="BJ1095" s="19">
        <v>4</v>
      </c>
      <c r="BK1095" s="19">
        <v>8</v>
      </c>
      <c r="BL1095" s="16">
        <v>6</v>
      </c>
      <c r="BM1095" s="45" t="s">
        <v>3534</v>
      </c>
      <c r="BN1095" t="s">
        <v>3534</v>
      </c>
      <c r="BO1095" t="str">
        <f t="shared" si="167"/>
        <v>-</v>
      </c>
      <c r="BP1095" t="s">
        <v>3534</v>
      </c>
      <c r="BQ1095">
        <v>2300</v>
      </c>
      <c r="BR1095">
        <f t="shared" si="168"/>
        <v>2298.5837438423646</v>
      </c>
      <c r="BS1095" t="s">
        <v>3411</v>
      </c>
    </row>
    <row r="1096" spans="1:71" x14ac:dyDescent="0.4">
      <c r="A1096" s="3">
        <v>1093</v>
      </c>
      <c r="B1096" s="3">
        <v>1093</v>
      </c>
      <c r="C1096" s="4" t="s">
        <v>1155</v>
      </c>
      <c r="D1096" s="4" t="str">
        <f t="shared" si="160"/>
        <v>J887WK</v>
      </c>
      <c r="E1096" s="4" t="s">
        <v>1155</v>
      </c>
      <c r="F1096" s="4" t="s">
        <v>2373</v>
      </c>
      <c r="G1096" s="5">
        <v>4521718747774</v>
      </c>
      <c r="H1096" s="5"/>
      <c r="I1096" s="5"/>
      <c r="J1096" s="5">
        <v>1</v>
      </c>
      <c r="K1096" s="5">
        <v>1</v>
      </c>
      <c r="L1096" s="4">
        <v>500</v>
      </c>
      <c r="M1096" s="4">
        <v>480</v>
      </c>
      <c r="N1096" s="4">
        <v>325</v>
      </c>
      <c r="O1096" s="6">
        <f t="shared" si="161"/>
        <v>0.32291666666666663</v>
      </c>
      <c r="P1096" s="4" t="s">
        <v>2500</v>
      </c>
      <c r="Q1096" s="4"/>
      <c r="R1096" s="4"/>
      <c r="S1096" s="4"/>
      <c r="T1096" s="4"/>
      <c r="U1096" s="4"/>
      <c r="V1096" s="4"/>
      <c r="W1096" s="4"/>
      <c r="X1096" s="4"/>
      <c r="Y1096" s="4">
        <v>500</v>
      </c>
      <c r="Z1096" s="4">
        <f t="shared" si="162"/>
        <v>500</v>
      </c>
      <c r="AA1096" s="4">
        <v>325</v>
      </c>
      <c r="AB1096" s="4">
        <f t="shared" si="163"/>
        <v>325</v>
      </c>
      <c r="AC1096" s="4"/>
      <c r="AD1096" s="21">
        <f>ROUND(M1096*AR1096,0)</f>
        <v>480</v>
      </c>
      <c r="AE1096" s="6">
        <f>1-AB1096/AD1096</f>
        <v>0.32291666666666663</v>
      </c>
      <c r="AF1096" s="33">
        <v>0</v>
      </c>
      <c r="AG1096" s="4">
        <f t="shared" si="164"/>
        <v>500</v>
      </c>
      <c r="AH1096" s="33">
        <f t="shared" si="166"/>
        <v>500</v>
      </c>
      <c r="AI1096" s="6">
        <f>1-AB1096/AH1096</f>
        <v>0.35</v>
      </c>
      <c r="AJ1096" s="7">
        <v>500</v>
      </c>
      <c r="AK1096" s="6">
        <f>1-AB1096/AJ1096</f>
        <v>0.35</v>
      </c>
      <c r="AL1096" s="4">
        <f>AJ1096-AB1096</f>
        <v>175</v>
      </c>
      <c r="AM1096" s="28"/>
      <c r="AN1096" s="6"/>
      <c r="AO1096" s="6"/>
      <c r="AP1096" s="6">
        <f>Z1096/L1096</f>
        <v>1</v>
      </c>
      <c r="AQ1096" s="6">
        <f>AJ1096/M1096</f>
        <v>1.0416666666666667</v>
      </c>
      <c r="AR1096" s="6">
        <f>AB1096/N1096</f>
        <v>1</v>
      </c>
      <c r="AS1096" s="4"/>
      <c r="AT1096" s="4"/>
      <c r="AU1096" s="4"/>
      <c r="AV1096" s="4"/>
      <c r="AW1096" s="4"/>
      <c r="AX1096" s="4"/>
      <c r="AY1096" s="4"/>
      <c r="AZ1096" s="4"/>
      <c r="BA1096" s="4"/>
      <c r="BB1096" s="4">
        <v>0</v>
      </c>
      <c r="BC1096" s="4" t="s">
        <v>4559</v>
      </c>
      <c r="BD1096" s="4">
        <v>1</v>
      </c>
      <c r="BE1096" s="4">
        <v>2</v>
      </c>
      <c r="BF1096" s="4" t="s">
        <v>3575</v>
      </c>
      <c r="BG1096" s="4">
        <v>1000</v>
      </c>
      <c r="BH1096" s="4">
        <v>1000</v>
      </c>
      <c r="BI1096" s="4">
        <f t="shared" si="165"/>
        <v>500</v>
      </c>
      <c r="BJ1096" s="19">
        <v>4</v>
      </c>
      <c r="BK1096" s="19">
        <v>8</v>
      </c>
      <c r="BL1096" s="16">
        <v>7</v>
      </c>
      <c r="BM1096" s="45" t="s">
        <v>3534</v>
      </c>
      <c r="BN1096" t="s">
        <v>3534</v>
      </c>
      <c r="BO1096" t="str">
        <f t="shared" si="167"/>
        <v>-</v>
      </c>
      <c r="BP1096" t="s">
        <v>3534</v>
      </c>
      <c r="BQ1096">
        <v>475</v>
      </c>
      <c r="BR1096">
        <f t="shared" si="168"/>
        <v>475</v>
      </c>
      <c r="BS1096" t="s">
        <v>3412</v>
      </c>
    </row>
    <row r="1097" spans="1:71" x14ac:dyDescent="0.4">
      <c r="A1097" s="3">
        <v>1094</v>
      </c>
      <c r="B1097" s="3">
        <v>1094</v>
      </c>
      <c r="C1097" s="4" t="s">
        <v>1156</v>
      </c>
      <c r="D1097" s="4" t="str">
        <f t="shared" si="160"/>
        <v>J886WK</v>
      </c>
      <c r="E1097" s="4" t="s">
        <v>1156</v>
      </c>
      <c r="F1097" s="4" t="s">
        <v>2374</v>
      </c>
      <c r="G1097" s="5">
        <v>4521718747767</v>
      </c>
      <c r="H1097" s="5"/>
      <c r="I1097" s="5"/>
      <c r="J1097" s="5">
        <v>1</v>
      </c>
      <c r="K1097" s="5">
        <v>1</v>
      </c>
      <c r="L1097" s="4">
        <v>500</v>
      </c>
      <c r="M1097" s="4">
        <v>480</v>
      </c>
      <c r="N1097" s="4">
        <v>325</v>
      </c>
      <c r="O1097" s="6">
        <f t="shared" si="161"/>
        <v>0.32291666666666663</v>
      </c>
      <c r="P1097" s="4" t="s">
        <v>2500</v>
      </c>
      <c r="Q1097" s="4"/>
      <c r="R1097" s="4"/>
      <c r="S1097" s="4"/>
      <c r="T1097" s="4"/>
      <c r="U1097" s="4"/>
      <c r="V1097" s="4"/>
      <c r="W1097" s="4"/>
      <c r="X1097" s="4"/>
      <c r="Y1097" s="4">
        <v>500</v>
      </c>
      <c r="Z1097" s="4">
        <f t="shared" si="162"/>
        <v>500</v>
      </c>
      <c r="AA1097" s="4">
        <v>325</v>
      </c>
      <c r="AB1097" s="4">
        <f t="shared" si="163"/>
        <v>325</v>
      </c>
      <c r="AC1097" s="4"/>
      <c r="AD1097" s="21">
        <f>ROUND(M1097*AR1097,0)</f>
        <v>480</v>
      </c>
      <c r="AE1097" s="6">
        <f>1-AB1097/AD1097</f>
        <v>0.32291666666666663</v>
      </c>
      <c r="AF1097" s="33">
        <v>0</v>
      </c>
      <c r="AG1097" s="4">
        <f t="shared" si="164"/>
        <v>500</v>
      </c>
      <c r="AH1097" s="33">
        <f t="shared" si="166"/>
        <v>500</v>
      </c>
      <c r="AI1097" s="6">
        <f>1-AB1097/AH1097</f>
        <v>0.35</v>
      </c>
      <c r="AJ1097" s="7">
        <v>500</v>
      </c>
      <c r="AK1097" s="6">
        <f>1-AB1097/AJ1097</f>
        <v>0.35</v>
      </c>
      <c r="AL1097" s="4">
        <f>AJ1097-AB1097</f>
        <v>175</v>
      </c>
      <c r="AM1097" s="28"/>
      <c r="AN1097" s="6"/>
      <c r="AO1097" s="6"/>
      <c r="AP1097" s="6">
        <f>Z1097/L1097</f>
        <v>1</v>
      </c>
      <c r="AQ1097" s="6">
        <f>AJ1097/M1097</f>
        <v>1.0416666666666667</v>
      </c>
      <c r="AR1097" s="6">
        <f>AB1097/N1097</f>
        <v>1</v>
      </c>
      <c r="AS1097" s="4"/>
      <c r="AT1097" s="4"/>
      <c r="AU1097" s="4"/>
      <c r="AV1097" s="4"/>
      <c r="AW1097" s="4"/>
      <c r="AX1097" s="4"/>
      <c r="AY1097" s="4"/>
      <c r="AZ1097" s="4"/>
      <c r="BA1097" s="4"/>
      <c r="BB1097" s="4">
        <v>0</v>
      </c>
      <c r="BC1097" s="4" t="s">
        <v>4560</v>
      </c>
      <c r="BD1097" s="4">
        <v>1</v>
      </c>
      <c r="BE1097" s="4">
        <v>2</v>
      </c>
      <c r="BF1097" s="4" t="s">
        <v>3575</v>
      </c>
      <c r="BG1097" s="4">
        <v>1000</v>
      </c>
      <c r="BH1097" s="4">
        <v>1000</v>
      </c>
      <c r="BI1097" s="4">
        <f t="shared" si="165"/>
        <v>500</v>
      </c>
      <c r="BJ1097" s="19">
        <v>4</v>
      </c>
      <c r="BK1097" s="19">
        <v>8</v>
      </c>
      <c r="BL1097" s="16">
        <v>7</v>
      </c>
      <c r="BM1097" s="45" t="s">
        <v>3534</v>
      </c>
      <c r="BN1097" t="s">
        <v>3534</v>
      </c>
      <c r="BO1097" t="str">
        <f t="shared" si="167"/>
        <v>-</v>
      </c>
      <c r="BP1097" t="s">
        <v>3534</v>
      </c>
      <c r="BQ1097">
        <v>475</v>
      </c>
      <c r="BR1097">
        <f t="shared" si="168"/>
        <v>475</v>
      </c>
      <c r="BS1097" t="s">
        <v>3413</v>
      </c>
    </row>
    <row r="1098" spans="1:71" x14ac:dyDescent="0.4">
      <c r="A1098" s="3">
        <v>1095</v>
      </c>
      <c r="B1098" s="3">
        <v>1095</v>
      </c>
      <c r="C1098" s="4" t="s">
        <v>1157</v>
      </c>
      <c r="D1098" s="4" t="str">
        <f t="shared" si="160"/>
        <v>J889LY</v>
      </c>
      <c r="E1098" s="4" t="s">
        <v>1157</v>
      </c>
      <c r="F1098" s="4" t="s">
        <v>2375</v>
      </c>
      <c r="G1098" s="5">
        <v>4521718778495</v>
      </c>
      <c r="H1098" s="5"/>
      <c r="I1098" s="5"/>
      <c r="J1098" s="5">
        <v>1</v>
      </c>
      <c r="K1098" s="5">
        <v>1</v>
      </c>
      <c r="L1098" s="4">
        <v>2320</v>
      </c>
      <c r="M1098" s="4">
        <v>2055</v>
      </c>
      <c r="N1098" s="4">
        <v>1624</v>
      </c>
      <c r="O1098" s="6">
        <f t="shared" si="161"/>
        <v>0.20973236009732366</v>
      </c>
      <c r="P1098" s="4" t="s">
        <v>2500</v>
      </c>
      <c r="Q1098" s="4"/>
      <c r="R1098" s="4"/>
      <c r="S1098" s="4"/>
      <c r="T1098" s="4"/>
      <c r="U1098" s="4"/>
      <c r="V1098" s="4"/>
      <c r="W1098" s="4"/>
      <c r="X1098" s="4"/>
      <c r="Y1098" s="4">
        <v>2319</v>
      </c>
      <c r="Z1098" s="4">
        <f t="shared" si="162"/>
        <v>2319</v>
      </c>
      <c r="AA1098" s="4">
        <v>1623</v>
      </c>
      <c r="AB1098" s="4">
        <f t="shared" si="163"/>
        <v>1623</v>
      </c>
      <c r="AC1098" s="4"/>
      <c r="AD1098" s="21">
        <f>ROUND(M1098*AR1098,0)</f>
        <v>2054</v>
      </c>
      <c r="AE1098" s="6">
        <f>1-AB1098/AD1098</f>
        <v>0.20983446932814021</v>
      </c>
      <c r="AF1098" s="33">
        <v>0</v>
      </c>
      <c r="AG1098" s="4">
        <f t="shared" si="164"/>
        <v>2500</v>
      </c>
      <c r="AH1098" s="33">
        <f t="shared" si="166"/>
        <v>2498.460591133005</v>
      </c>
      <c r="AI1098" s="6">
        <f>1-AB1098/AH1098</f>
        <v>0.35040000000000004</v>
      </c>
      <c r="AJ1098" s="7">
        <v>2319</v>
      </c>
      <c r="AK1098" s="6">
        <f>1-AB1098/AJ1098</f>
        <v>0.30012936610608021</v>
      </c>
      <c r="AL1098" s="4">
        <f>AJ1098-AB1098</f>
        <v>696</v>
      </c>
      <c r="AM1098" s="28"/>
      <c r="AN1098" s="6"/>
      <c r="AO1098" s="6"/>
      <c r="AP1098" s="6">
        <f>Z1098/L1098</f>
        <v>0.99956896551724139</v>
      </c>
      <c r="AQ1098" s="6">
        <f>AJ1098/M1098</f>
        <v>1.1284671532846715</v>
      </c>
      <c r="AR1098" s="6">
        <f>AB1098/N1098</f>
        <v>0.99938423645320196</v>
      </c>
      <c r="AS1098" s="4"/>
      <c r="AT1098" s="4"/>
      <c r="AU1098" s="4"/>
      <c r="AV1098" s="4"/>
      <c r="AW1098" s="4"/>
      <c r="AX1098" s="4"/>
      <c r="AY1098" s="4"/>
      <c r="AZ1098" s="4"/>
      <c r="BA1098" s="4"/>
      <c r="BB1098" s="4">
        <v>0</v>
      </c>
      <c r="BC1098" s="4" t="s">
        <v>4561</v>
      </c>
      <c r="BD1098" s="4"/>
      <c r="BE1098" s="4"/>
      <c r="BF1098" s="4" t="s">
        <v>3545</v>
      </c>
      <c r="BG1098" s="4">
        <v>2500</v>
      </c>
      <c r="BH1098" s="4">
        <v>2500</v>
      </c>
      <c r="BI1098" s="4">
        <f t="shared" si="165"/>
        <v>2500</v>
      </c>
      <c r="BJ1098" s="19">
        <v>4</v>
      </c>
      <c r="BK1098" s="19">
        <v>8</v>
      </c>
      <c r="BL1098" s="16">
        <v>6</v>
      </c>
      <c r="BM1098" s="45" t="s">
        <v>3534</v>
      </c>
      <c r="BN1098" t="s">
        <v>3534</v>
      </c>
      <c r="BO1098" t="str">
        <f t="shared" si="167"/>
        <v>-</v>
      </c>
      <c r="BP1098" t="s">
        <v>3534</v>
      </c>
      <c r="BQ1098">
        <v>2300</v>
      </c>
      <c r="BR1098">
        <f t="shared" si="168"/>
        <v>2298.5837438423646</v>
      </c>
      <c r="BS1098" t="s">
        <v>3414</v>
      </c>
    </row>
    <row r="1099" spans="1:71" x14ac:dyDescent="0.4">
      <c r="A1099" s="3">
        <v>1096</v>
      </c>
      <c r="B1099" s="3">
        <v>1096</v>
      </c>
      <c r="C1099" s="4" t="s">
        <v>1158</v>
      </c>
      <c r="D1099" s="4" t="str">
        <f t="shared" si="160"/>
        <v>J888LY</v>
      </c>
      <c r="E1099" s="4" t="s">
        <v>1158</v>
      </c>
      <c r="F1099" s="4" t="s">
        <v>2376</v>
      </c>
      <c r="G1099" s="5">
        <v>4521718778488</v>
      </c>
      <c r="H1099" s="5"/>
      <c r="I1099" s="5"/>
      <c r="J1099" s="5">
        <v>1</v>
      </c>
      <c r="K1099" s="5">
        <v>1</v>
      </c>
      <c r="L1099" s="4">
        <v>2320</v>
      </c>
      <c r="M1099" s="4">
        <v>2055</v>
      </c>
      <c r="N1099" s="4">
        <v>1624</v>
      </c>
      <c r="O1099" s="6">
        <f t="shared" si="161"/>
        <v>0.20973236009732366</v>
      </c>
      <c r="P1099" s="4" t="s">
        <v>2500</v>
      </c>
      <c r="Q1099" s="4"/>
      <c r="R1099" s="4"/>
      <c r="S1099" s="4"/>
      <c r="T1099" s="4"/>
      <c r="U1099" s="4"/>
      <c r="V1099" s="4"/>
      <c r="W1099" s="4"/>
      <c r="X1099" s="4"/>
      <c r="Y1099" s="4">
        <v>2319</v>
      </c>
      <c r="Z1099" s="4">
        <f t="shared" si="162"/>
        <v>2319</v>
      </c>
      <c r="AA1099" s="4">
        <v>1623</v>
      </c>
      <c r="AB1099" s="4">
        <f t="shared" si="163"/>
        <v>1623</v>
      </c>
      <c r="AC1099" s="4"/>
      <c r="AD1099" s="21">
        <f>ROUND(M1099*AR1099,0)</f>
        <v>2054</v>
      </c>
      <c r="AE1099" s="6">
        <f>1-AB1099/AD1099</f>
        <v>0.20983446932814021</v>
      </c>
      <c r="AF1099" s="33">
        <v>0</v>
      </c>
      <c r="AG1099" s="4">
        <f t="shared" si="164"/>
        <v>2500</v>
      </c>
      <c r="AH1099" s="33">
        <f t="shared" si="166"/>
        <v>2498.460591133005</v>
      </c>
      <c r="AI1099" s="6">
        <f>1-AB1099/AH1099</f>
        <v>0.35040000000000004</v>
      </c>
      <c r="AJ1099" s="7">
        <v>2319</v>
      </c>
      <c r="AK1099" s="6">
        <f>1-AB1099/AJ1099</f>
        <v>0.30012936610608021</v>
      </c>
      <c r="AL1099" s="4">
        <f>AJ1099-AB1099</f>
        <v>696</v>
      </c>
      <c r="AM1099" s="28"/>
      <c r="AN1099" s="6"/>
      <c r="AO1099" s="6"/>
      <c r="AP1099" s="6">
        <f>Z1099/L1099</f>
        <v>0.99956896551724139</v>
      </c>
      <c r="AQ1099" s="6">
        <f>AJ1099/M1099</f>
        <v>1.1284671532846715</v>
      </c>
      <c r="AR1099" s="6">
        <f>AB1099/N1099</f>
        <v>0.99938423645320196</v>
      </c>
      <c r="AS1099" s="4"/>
      <c r="AT1099" s="4"/>
      <c r="AU1099" s="4"/>
      <c r="AV1099" s="4"/>
      <c r="AW1099" s="4"/>
      <c r="AX1099" s="4"/>
      <c r="AY1099" s="4"/>
      <c r="AZ1099" s="4"/>
      <c r="BA1099" s="4"/>
      <c r="BB1099" s="4">
        <v>0</v>
      </c>
      <c r="BC1099" s="4" t="s">
        <v>4562</v>
      </c>
      <c r="BD1099" s="4"/>
      <c r="BE1099" s="4"/>
      <c r="BF1099" s="4" t="s">
        <v>3545</v>
      </c>
      <c r="BG1099" s="4">
        <v>2500</v>
      </c>
      <c r="BH1099" s="4">
        <v>2500</v>
      </c>
      <c r="BI1099" s="4">
        <f t="shared" si="165"/>
        <v>2500</v>
      </c>
      <c r="BJ1099" s="19">
        <v>4</v>
      </c>
      <c r="BK1099" s="19">
        <v>8</v>
      </c>
      <c r="BL1099" s="16">
        <v>6</v>
      </c>
      <c r="BM1099" s="45" t="s">
        <v>3534</v>
      </c>
      <c r="BN1099" t="s">
        <v>3534</v>
      </c>
      <c r="BO1099" t="str">
        <f t="shared" si="167"/>
        <v>-</v>
      </c>
      <c r="BP1099" t="s">
        <v>3534</v>
      </c>
      <c r="BQ1099">
        <v>2300</v>
      </c>
      <c r="BR1099">
        <f t="shared" si="168"/>
        <v>2298.5837438423646</v>
      </c>
      <c r="BS1099" t="s">
        <v>3415</v>
      </c>
    </row>
    <row r="1100" spans="1:71" x14ac:dyDescent="0.4">
      <c r="A1100" s="3">
        <v>1097</v>
      </c>
      <c r="B1100" s="3">
        <v>1097</v>
      </c>
      <c r="C1100" s="4" t="s">
        <v>1159</v>
      </c>
      <c r="D1100" s="4" t="str">
        <f t="shared" si="160"/>
        <v>J890LY</v>
      </c>
      <c r="E1100" s="4" t="s">
        <v>1159</v>
      </c>
      <c r="F1100" s="4" t="s">
        <v>2377</v>
      </c>
      <c r="G1100" s="5">
        <v>4521718778501</v>
      </c>
      <c r="H1100" s="5"/>
      <c r="I1100" s="5"/>
      <c r="J1100" s="5">
        <v>1</v>
      </c>
      <c r="K1100" s="5">
        <v>1</v>
      </c>
      <c r="L1100" s="4">
        <v>2320</v>
      </c>
      <c r="M1100" s="4">
        <v>2055</v>
      </c>
      <c r="N1100" s="4">
        <v>1624</v>
      </c>
      <c r="O1100" s="6">
        <f t="shared" si="161"/>
        <v>0.20973236009732366</v>
      </c>
      <c r="P1100" s="4" t="s">
        <v>2500</v>
      </c>
      <c r="Q1100" s="4"/>
      <c r="R1100" s="4"/>
      <c r="S1100" s="4"/>
      <c r="T1100" s="4"/>
      <c r="U1100" s="4"/>
      <c r="V1100" s="4"/>
      <c r="W1100" s="4"/>
      <c r="X1100" s="4"/>
      <c r="Y1100" s="4">
        <v>2319</v>
      </c>
      <c r="Z1100" s="4">
        <f t="shared" si="162"/>
        <v>2319</v>
      </c>
      <c r="AA1100" s="4">
        <v>1623</v>
      </c>
      <c r="AB1100" s="4">
        <f t="shared" si="163"/>
        <v>1623</v>
      </c>
      <c r="AC1100" s="4"/>
      <c r="AD1100" s="21">
        <f>ROUND(M1100*AR1100,0)</f>
        <v>2054</v>
      </c>
      <c r="AE1100" s="6">
        <f>1-AB1100/AD1100</f>
        <v>0.20983446932814021</v>
      </c>
      <c r="AF1100" s="33">
        <v>0</v>
      </c>
      <c r="AG1100" s="4">
        <f t="shared" si="164"/>
        <v>2500</v>
      </c>
      <c r="AH1100" s="33">
        <f t="shared" si="166"/>
        <v>2498.460591133005</v>
      </c>
      <c r="AI1100" s="6">
        <f>1-AB1100/AH1100</f>
        <v>0.35040000000000004</v>
      </c>
      <c r="AJ1100" s="7">
        <v>2319</v>
      </c>
      <c r="AK1100" s="6">
        <f>1-AB1100/AJ1100</f>
        <v>0.30012936610608021</v>
      </c>
      <c r="AL1100" s="4">
        <f>AJ1100-AB1100</f>
        <v>696</v>
      </c>
      <c r="AM1100" s="28"/>
      <c r="AN1100" s="6"/>
      <c r="AO1100" s="6"/>
      <c r="AP1100" s="6">
        <f>Z1100/L1100</f>
        <v>0.99956896551724139</v>
      </c>
      <c r="AQ1100" s="6">
        <f>AJ1100/M1100</f>
        <v>1.1284671532846715</v>
      </c>
      <c r="AR1100" s="6">
        <f>AB1100/N1100</f>
        <v>0.99938423645320196</v>
      </c>
      <c r="AS1100" s="4"/>
      <c r="AT1100" s="4"/>
      <c r="AU1100" s="4"/>
      <c r="AV1100" s="4"/>
      <c r="AW1100" s="4"/>
      <c r="AX1100" s="4"/>
      <c r="AY1100" s="4"/>
      <c r="AZ1100" s="4"/>
      <c r="BA1100" s="4"/>
      <c r="BB1100" s="4">
        <v>0</v>
      </c>
      <c r="BC1100" s="4" t="s">
        <v>4563</v>
      </c>
      <c r="BD1100" s="4"/>
      <c r="BE1100" s="4"/>
      <c r="BF1100" s="4" t="s">
        <v>3545</v>
      </c>
      <c r="BG1100" s="4">
        <v>2500</v>
      </c>
      <c r="BH1100" s="4">
        <v>2500</v>
      </c>
      <c r="BI1100" s="4">
        <f t="shared" si="165"/>
        <v>2500</v>
      </c>
      <c r="BJ1100" s="19">
        <v>4</v>
      </c>
      <c r="BK1100" s="19">
        <v>8</v>
      </c>
      <c r="BL1100" s="16">
        <v>6</v>
      </c>
      <c r="BM1100" s="45" t="s">
        <v>3534</v>
      </c>
      <c r="BN1100" t="s">
        <v>3534</v>
      </c>
      <c r="BO1100" t="str">
        <f t="shared" si="167"/>
        <v>-</v>
      </c>
      <c r="BP1100" t="s">
        <v>3534</v>
      </c>
      <c r="BQ1100">
        <v>2300</v>
      </c>
      <c r="BR1100">
        <f t="shared" si="168"/>
        <v>2298.5837438423646</v>
      </c>
      <c r="BS1100" t="s">
        <v>3416</v>
      </c>
    </row>
    <row r="1101" spans="1:71" x14ac:dyDescent="0.4">
      <c r="A1101" s="3">
        <v>1098</v>
      </c>
      <c r="B1101" s="3">
        <v>1098</v>
      </c>
      <c r="C1101" s="4" t="s">
        <v>1160</v>
      </c>
      <c r="D1101" s="4" t="str">
        <f t="shared" si="160"/>
        <v>J892LY</v>
      </c>
      <c r="E1101" s="4" t="s">
        <v>1160</v>
      </c>
      <c r="F1101" s="4" t="s">
        <v>2378</v>
      </c>
      <c r="G1101" s="5">
        <v>4521718778525</v>
      </c>
      <c r="H1101" s="5"/>
      <c r="I1101" s="5"/>
      <c r="J1101" s="5">
        <v>1</v>
      </c>
      <c r="K1101" s="5">
        <v>1</v>
      </c>
      <c r="L1101" s="4">
        <v>2320</v>
      </c>
      <c r="M1101" s="4">
        <v>2055</v>
      </c>
      <c r="N1101" s="4">
        <v>1624</v>
      </c>
      <c r="O1101" s="6">
        <f t="shared" si="161"/>
        <v>0.20973236009732366</v>
      </c>
      <c r="P1101" s="4" t="s">
        <v>2500</v>
      </c>
      <c r="Q1101" s="4"/>
      <c r="R1101" s="4"/>
      <c r="S1101" s="4"/>
      <c r="T1101" s="4"/>
      <c r="U1101" s="4"/>
      <c r="V1101" s="4"/>
      <c r="W1101" s="4"/>
      <c r="X1101" s="4"/>
      <c r="Y1101" s="4">
        <v>2319</v>
      </c>
      <c r="Z1101" s="4">
        <f t="shared" si="162"/>
        <v>2319</v>
      </c>
      <c r="AA1101" s="4">
        <v>1623</v>
      </c>
      <c r="AB1101" s="4">
        <f t="shared" si="163"/>
        <v>1623</v>
      </c>
      <c r="AC1101" s="4"/>
      <c r="AD1101" s="21">
        <f>ROUND(M1101*AR1101,0)</f>
        <v>2054</v>
      </c>
      <c r="AE1101" s="6">
        <f>1-AB1101/AD1101</f>
        <v>0.20983446932814021</v>
      </c>
      <c r="AF1101" s="33">
        <v>0</v>
      </c>
      <c r="AG1101" s="4">
        <f t="shared" si="164"/>
        <v>2500</v>
      </c>
      <c r="AH1101" s="33">
        <f t="shared" si="166"/>
        <v>2498.460591133005</v>
      </c>
      <c r="AI1101" s="6">
        <f>1-AB1101/AH1101</f>
        <v>0.35040000000000004</v>
      </c>
      <c r="AJ1101" s="7">
        <v>2319</v>
      </c>
      <c r="AK1101" s="6">
        <f>1-AB1101/AJ1101</f>
        <v>0.30012936610608021</v>
      </c>
      <c r="AL1101" s="4">
        <f>AJ1101-AB1101</f>
        <v>696</v>
      </c>
      <c r="AM1101" s="28"/>
      <c r="AN1101" s="6"/>
      <c r="AO1101" s="6"/>
      <c r="AP1101" s="6">
        <f>Z1101/L1101</f>
        <v>0.99956896551724139</v>
      </c>
      <c r="AQ1101" s="6">
        <f>AJ1101/M1101</f>
        <v>1.1284671532846715</v>
      </c>
      <c r="AR1101" s="6">
        <f>AB1101/N1101</f>
        <v>0.99938423645320196</v>
      </c>
      <c r="AS1101" s="4"/>
      <c r="AT1101" s="4"/>
      <c r="AU1101" s="4"/>
      <c r="AV1101" s="4"/>
      <c r="AW1101" s="4"/>
      <c r="AX1101" s="4"/>
      <c r="AY1101" s="4"/>
      <c r="AZ1101" s="4"/>
      <c r="BA1101" s="4"/>
      <c r="BB1101" s="4">
        <v>0</v>
      </c>
      <c r="BC1101" s="4" t="s">
        <v>4564</v>
      </c>
      <c r="BD1101" s="4"/>
      <c r="BE1101" s="4"/>
      <c r="BF1101" s="4" t="s">
        <v>3545</v>
      </c>
      <c r="BG1101" s="4">
        <v>2500</v>
      </c>
      <c r="BH1101" s="4">
        <v>2500</v>
      </c>
      <c r="BI1101" s="4">
        <f t="shared" si="165"/>
        <v>2500</v>
      </c>
      <c r="BJ1101" s="19">
        <v>4</v>
      </c>
      <c r="BK1101" s="19">
        <v>8</v>
      </c>
      <c r="BL1101" s="16">
        <v>6</v>
      </c>
      <c r="BM1101" s="45" t="s">
        <v>3534</v>
      </c>
      <c r="BN1101" t="s">
        <v>3534</v>
      </c>
      <c r="BO1101" t="str">
        <f t="shared" si="167"/>
        <v>-</v>
      </c>
      <c r="BP1101" t="s">
        <v>3534</v>
      </c>
      <c r="BQ1101">
        <v>2300</v>
      </c>
      <c r="BR1101">
        <f t="shared" si="168"/>
        <v>2298.5837438423646</v>
      </c>
      <c r="BS1101" t="s">
        <v>3417</v>
      </c>
    </row>
    <row r="1102" spans="1:71" x14ac:dyDescent="0.4">
      <c r="A1102" s="3">
        <v>1099</v>
      </c>
      <c r="B1102" s="3">
        <v>1099</v>
      </c>
      <c r="C1102" s="4" t="s">
        <v>1161</v>
      </c>
      <c r="D1102" s="4" t="str">
        <f t="shared" si="160"/>
        <v>J893LY</v>
      </c>
      <c r="E1102" s="4" t="s">
        <v>1161</v>
      </c>
      <c r="F1102" s="4" t="s">
        <v>2379</v>
      </c>
      <c r="G1102" s="5">
        <v>4521718778549</v>
      </c>
      <c r="H1102" s="5"/>
      <c r="I1102" s="5"/>
      <c r="J1102" s="5">
        <v>1</v>
      </c>
      <c r="K1102" s="5">
        <v>1</v>
      </c>
      <c r="L1102" s="4">
        <v>2320</v>
      </c>
      <c r="M1102" s="4">
        <v>2055</v>
      </c>
      <c r="N1102" s="4">
        <v>1624</v>
      </c>
      <c r="O1102" s="6">
        <f t="shared" si="161"/>
        <v>0.20973236009732366</v>
      </c>
      <c r="P1102" s="4" t="s">
        <v>2500</v>
      </c>
      <c r="Q1102" s="4"/>
      <c r="R1102" s="4"/>
      <c r="S1102" s="4"/>
      <c r="T1102" s="4"/>
      <c r="U1102" s="4"/>
      <c r="V1102" s="4"/>
      <c r="W1102" s="4"/>
      <c r="X1102" s="4"/>
      <c r="Y1102" s="4">
        <v>2319</v>
      </c>
      <c r="Z1102" s="4">
        <f t="shared" si="162"/>
        <v>2319</v>
      </c>
      <c r="AA1102" s="4">
        <v>1623</v>
      </c>
      <c r="AB1102" s="4">
        <f t="shared" si="163"/>
        <v>1623</v>
      </c>
      <c r="AC1102" s="4"/>
      <c r="AD1102" s="21">
        <f>ROUND(M1102*AR1102,0)</f>
        <v>2054</v>
      </c>
      <c r="AE1102" s="6">
        <f>1-AB1102/AD1102</f>
        <v>0.20983446932814021</v>
      </c>
      <c r="AF1102" s="33">
        <v>0</v>
      </c>
      <c r="AG1102" s="4">
        <f t="shared" si="164"/>
        <v>2500</v>
      </c>
      <c r="AH1102" s="33">
        <f t="shared" si="166"/>
        <v>2498.460591133005</v>
      </c>
      <c r="AI1102" s="6">
        <f>1-AB1102/AH1102</f>
        <v>0.35040000000000004</v>
      </c>
      <c r="AJ1102" s="7">
        <v>2319</v>
      </c>
      <c r="AK1102" s="6">
        <f>1-AB1102/AJ1102</f>
        <v>0.30012936610608021</v>
      </c>
      <c r="AL1102" s="4">
        <f>AJ1102-AB1102</f>
        <v>696</v>
      </c>
      <c r="AM1102" s="28"/>
      <c r="AN1102" s="6"/>
      <c r="AO1102" s="6"/>
      <c r="AP1102" s="6">
        <f>Z1102/L1102</f>
        <v>0.99956896551724139</v>
      </c>
      <c r="AQ1102" s="6">
        <f>AJ1102/M1102</f>
        <v>1.1284671532846715</v>
      </c>
      <c r="AR1102" s="6">
        <f>AB1102/N1102</f>
        <v>0.99938423645320196</v>
      </c>
      <c r="AS1102" s="4"/>
      <c r="AT1102" s="4"/>
      <c r="AU1102" s="4"/>
      <c r="AV1102" s="4"/>
      <c r="AW1102" s="4"/>
      <c r="AX1102" s="4"/>
      <c r="AY1102" s="4"/>
      <c r="AZ1102" s="4"/>
      <c r="BA1102" s="4"/>
      <c r="BB1102" s="4">
        <v>0</v>
      </c>
      <c r="BC1102" s="4" t="s">
        <v>4565</v>
      </c>
      <c r="BD1102" s="4"/>
      <c r="BE1102" s="4"/>
      <c r="BF1102" s="4" t="s">
        <v>3545</v>
      </c>
      <c r="BG1102" s="4">
        <v>2500</v>
      </c>
      <c r="BH1102" s="4">
        <v>2500</v>
      </c>
      <c r="BI1102" s="4">
        <f t="shared" si="165"/>
        <v>2500</v>
      </c>
      <c r="BJ1102" s="19">
        <v>4</v>
      </c>
      <c r="BK1102" s="19">
        <v>8</v>
      </c>
      <c r="BL1102" s="16">
        <v>6</v>
      </c>
      <c r="BM1102" s="45" t="s">
        <v>3534</v>
      </c>
      <c r="BN1102" t="s">
        <v>3534</v>
      </c>
      <c r="BO1102" t="str">
        <f t="shared" si="167"/>
        <v>-</v>
      </c>
      <c r="BP1102" t="s">
        <v>3534</v>
      </c>
      <c r="BQ1102">
        <v>2300</v>
      </c>
      <c r="BR1102">
        <f t="shared" si="168"/>
        <v>2298.5837438423646</v>
      </c>
      <c r="BS1102" t="s">
        <v>3418</v>
      </c>
    </row>
    <row r="1103" spans="1:71" x14ac:dyDescent="0.4">
      <c r="A1103" s="3">
        <v>1100</v>
      </c>
      <c r="B1103" s="3">
        <v>1100</v>
      </c>
      <c r="C1103" s="4" t="s">
        <v>1162</v>
      </c>
      <c r="D1103" s="4" t="str">
        <f t="shared" si="160"/>
        <v>J891LY</v>
      </c>
      <c r="E1103" s="4" t="s">
        <v>1162</v>
      </c>
      <c r="F1103" s="4" t="s">
        <v>2380</v>
      </c>
      <c r="G1103" s="5">
        <v>4521718778518</v>
      </c>
      <c r="H1103" s="5"/>
      <c r="I1103" s="5"/>
      <c r="J1103" s="5">
        <v>1</v>
      </c>
      <c r="K1103" s="5">
        <v>1</v>
      </c>
      <c r="L1103" s="4">
        <v>2320</v>
      </c>
      <c r="M1103" s="4">
        <v>2055</v>
      </c>
      <c r="N1103" s="4">
        <v>1624</v>
      </c>
      <c r="O1103" s="6">
        <f t="shared" si="161"/>
        <v>0.20973236009732366</v>
      </c>
      <c r="P1103" s="4" t="s">
        <v>2500</v>
      </c>
      <c r="Q1103" s="4"/>
      <c r="R1103" s="4"/>
      <c r="S1103" s="4"/>
      <c r="T1103" s="4"/>
      <c r="U1103" s="4"/>
      <c r="V1103" s="4"/>
      <c r="W1103" s="4"/>
      <c r="X1103" s="4"/>
      <c r="Y1103" s="4">
        <v>2319</v>
      </c>
      <c r="Z1103" s="4">
        <f t="shared" si="162"/>
        <v>2319</v>
      </c>
      <c r="AA1103" s="4">
        <v>1623</v>
      </c>
      <c r="AB1103" s="4">
        <f t="shared" si="163"/>
        <v>1623</v>
      </c>
      <c r="AC1103" s="4"/>
      <c r="AD1103" s="21">
        <f>ROUND(M1103*AR1103,0)</f>
        <v>2054</v>
      </c>
      <c r="AE1103" s="6">
        <f>1-AB1103/AD1103</f>
        <v>0.20983446932814021</v>
      </c>
      <c r="AF1103" s="33">
        <v>0</v>
      </c>
      <c r="AG1103" s="4">
        <f t="shared" si="164"/>
        <v>2500</v>
      </c>
      <c r="AH1103" s="33">
        <f t="shared" si="166"/>
        <v>2498.460591133005</v>
      </c>
      <c r="AI1103" s="6">
        <f>1-AB1103/AH1103</f>
        <v>0.35040000000000004</v>
      </c>
      <c r="AJ1103" s="7">
        <v>2319</v>
      </c>
      <c r="AK1103" s="6">
        <f>1-AB1103/AJ1103</f>
        <v>0.30012936610608021</v>
      </c>
      <c r="AL1103" s="4">
        <f>AJ1103-AB1103</f>
        <v>696</v>
      </c>
      <c r="AM1103" s="28"/>
      <c r="AN1103" s="6"/>
      <c r="AO1103" s="6"/>
      <c r="AP1103" s="6">
        <f>Z1103/L1103</f>
        <v>0.99956896551724139</v>
      </c>
      <c r="AQ1103" s="6">
        <f>AJ1103/M1103</f>
        <v>1.1284671532846715</v>
      </c>
      <c r="AR1103" s="6">
        <f>AB1103/N1103</f>
        <v>0.99938423645320196</v>
      </c>
      <c r="AS1103" s="4"/>
      <c r="AT1103" s="4"/>
      <c r="AU1103" s="4"/>
      <c r="AV1103" s="4"/>
      <c r="AW1103" s="4"/>
      <c r="AX1103" s="4"/>
      <c r="AY1103" s="4"/>
      <c r="AZ1103" s="4"/>
      <c r="BA1103" s="4"/>
      <c r="BB1103" s="4">
        <v>0</v>
      </c>
      <c r="BC1103" s="4" t="s">
        <v>4566</v>
      </c>
      <c r="BD1103" s="4"/>
      <c r="BE1103" s="4"/>
      <c r="BF1103" s="4" t="s">
        <v>3545</v>
      </c>
      <c r="BG1103" s="4">
        <v>2500</v>
      </c>
      <c r="BH1103" s="4">
        <v>2500</v>
      </c>
      <c r="BI1103" s="4">
        <f t="shared" si="165"/>
        <v>2500</v>
      </c>
      <c r="BJ1103" s="19">
        <v>4</v>
      </c>
      <c r="BK1103" s="19">
        <v>8</v>
      </c>
      <c r="BL1103" s="16">
        <v>6</v>
      </c>
      <c r="BM1103" s="45" t="s">
        <v>3534</v>
      </c>
      <c r="BN1103" t="s">
        <v>3534</v>
      </c>
      <c r="BO1103" t="str">
        <f t="shared" si="167"/>
        <v>-</v>
      </c>
      <c r="BP1103" t="s">
        <v>3534</v>
      </c>
      <c r="BQ1103">
        <v>2300</v>
      </c>
      <c r="BR1103">
        <f t="shared" si="168"/>
        <v>2298.5837438423646</v>
      </c>
      <c r="BS1103" t="s">
        <v>3419</v>
      </c>
    </row>
    <row r="1104" spans="1:71" x14ac:dyDescent="0.4">
      <c r="A1104" s="3">
        <v>1101</v>
      </c>
      <c r="B1104" s="3">
        <v>1101</v>
      </c>
      <c r="C1104" s="4" t="s">
        <v>1163</v>
      </c>
      <c r="D1104" s="4" t="str">
        <f t="shared" si="160"/>
        <v>J894LY</v>
      </c>
      <c r="E1104" s="4" t="s">
        <v>1163</v>
      </c>
      <c r="F1104" s="4" t="s">
        <v>2381</v>
      </c>
      <c r="G1104" s="5">
        <v>4521718778556</v>
      </c>
      <c r="H1104" s="5"/>
      <c r="I1104" s="5"/>
      <c r="J1104" s="5">
        <v>1</v>
      </c>
      <c r="K1104" s="5">
        <v>1</v>
      </c>
      <c r="L1104" s="4">
        <v>2320</v>
      </c>
      <c r="M1104" s="4">
        <v>2055</v>
      </c>
      <c r="N1104" s="4">
        <v>1624</v>
      </c>
      <c r="O1104" s="6">
        <f t="shared" si="161"/>
        <v>0.20973236009732366</v>
      </c>
      <c r="P1104" s="4" t="s">
        <v>2500</v>
      </c>
      <c r="Q1104" s="4"/>
      <c r="R1104" s="4"/>
      <c r="S1104" s="4"/>
      <c r="T1104" s="4"/>
      <c r="U1104" s="4"/>
      <c r="V1104" s="4"/>
      <c r="W1104" s="4"/>
      <c r="X1104" s="4"/>
      <c r="Y1104" s="4">
        <v>2319</v>
      </c>
      <c r="Z1104" s="4">
        <f t="shared" si="162"/>
        <v>2319</v>
      </c>
      <c r="AA1104" s="4">
        <v>1623</v>
      </c>
      <c r="AB1104" s="4">
        <f t="shared" si="163"/>
        <v>1623</v>
      </c>
      <c r="AC1104" s="4"/>
      <c r="AD1104" s="21">
        <f>ROUND(M1104*AR1104,0)</f>
        <v>2054</v>
      </c>
      <c r="AE1104" s="6">
        <f>1-AB1104/AD1104</f>
        <v>0.20983446932814021</v>
      </c>
      <c r="AF1104" s="33">
        <v>0</v>
      </c>
      <c r="AG1104" s="4">
        <f t="shared" si="164"/>
        <v>2500</v>
      </c>
      <c r="AH1104" s="33">
        <f t="shared" si="166"/>
        <v>2498.460591133005</v>
      </c>
      <c r="AI1104" s="6">
        <f>1-AB1104/AH1104</f>
        <v>0.35040000000000004</v>
      </c>
      <c r="AJ1104" s="7">
        <v>2319</v>
      </c>
      <c r="AK1104" s="6">
        <f>1-AB1104/AJ1104</f>
        <v>0.30012936610608021</v>
      </c>
      <c r="AL1104" s="4">
        <f>AJ1104-AB1104</f>
        <v>696</v>
      </c>
      <c r="AM1104" s="28"/>
      <c r="AN1104" s="6"/>
      <c r="AO1104" s="6"/>
      <c r="AP1104" s="6">
        <f>Z1104/L1104</f>
        <v>0.99956896551724139</v>
      </c>
      <c r="AQ1104" s="6">
        <f>AJ1104/M1104</f>
        <v>1.1284671532846715</v>
      </c>
      <c r="AR1104" s="6">
        <f>AB1104/N1104</f>
        <v>0.99938423645320196</v>
      </c>
      <c r="AS1104" s="4"/>
      <c r="AT1104" s="4"/>
      <c r="AU1104" s="4"/>
      <c r="AV1104" s="4"/>
      <c r="AW1104" s="4"/>
      <c r="AX1104" s="4"/>
      <c r="AY1104" s="4"/>
      <c r="AZ1104" s="4"/>
      <c r="BA1104" s="4"/>
      <c r="BB1104" s="4">
        <v>0</v>
      </c>
      <c r="BC1104" s="4" t="s">
        <v>4567</v>
      </c>
      <c r="BD1104" s="4"/>
      <c r="BE1104" s="4"/>
      <c r="BF1104" s="4" t="s">
        <v>3545</v>
      </c>
      <c r="BG1104" s="4">
        <v>2500</v>
      </c>
      <c r="BH1104" s="4">
        <v>2500</v>
      </c>
      <c r="BI1104" s="4">
        <f t="shared" si="165"/>
        <v>2500</v>
      </c>
      <c r="BJ1104" s="19">
        <v>4</v>
      </c>
      <c r="BK1104" s="19">
        <v>8</v>
      </c>
      <c r="BL1104" s="16">
        <v>6</v>
      </c>
      <c r="BM1104" s="45" t="s">
        <v>3534</v>
      </c>
      <c r="BN1104" t="s">
        <v>3534</v>
      </c>
      <c r="BO1104" t="str">
        <f t="shared" si="167"/>
        <v>-</v>
      </c>
      <c r="BP1104" t="s">
        <v>3534</v>
      </c>
      <c r="BQ1104">
        <v>2300</v>
      </c>
      <c r="BR1104">
        <f t="shared" si="168"/>
        <v>2298.5837438423646</v>
      </c>
      <c r="BS1104" t="s">
        <v>3420</v>
      </c>
    </row>
    <row r="1105" spans="1:71" x14ac:dyDescent="0.4">
      <c r="A1105" s="3">
        <v>1102</v>
      </c>
      <c r="B1105" s="3">
        <v>1102</v>
      </c>
      <c r="C1105" s="4" t="s">
        <v>1164</v>
      </c>
      <c r="D1105" s="4" t="str">
        <f t="shared" si="160"/>
        <v>J895LY</v>
      </c>
      <c r="E1105" s="4" t="s">
        <v>1164</v>
      </c>
      <c r="F1105" s="4" t="s">
        <v>2382</v>
      </c>
      <c r="G1105" s="5">
        <v>4521718778563</v>
      </c>
      <c r="H1105" s="5"/>
      <c r="I1105" s="5"/>
      <c r="J1105" s="5">
        <v>1</v>
      </c>
      <c r="K1105" s="5">
        <v>1</v>
      </c>
      <c r="L1105" s="4">
        <v>2320</v>
      </c>
      <c r="M1105" s="4">
        <v>2055</v>
      </c>
      <c r="N1105" s="4">
        <v>1624</v>
      </c>
      <c r="O1105" s="6">
        <f t="shared" si="161"/>
        <v>0.20973236009732366</v>
      </c>
      <c r="P1105" s="4" t="s">
        <v>2500</v>
      </c>
      <c r="Q1105" s="4"/>
      <c r="R1105" s="4"/>
      <c r="S1105" s="4"/>
      <c r="T1105" s="4"/>
      <c r="U1105" s="4"/>
      <c r="V1105" s="4"/>
      <c r="W1105" s="4"/>
      <c r="X1105" s="4"/>
      <c r="Y1105" s="4">
        <v>2319</v>
      </c>
      <c r="Z1105" s="4">
        <f t="shared" si="162"/>
        <v>2319</v>
      </c>
      <c r="AA1105" s="4">
        <v>1623</v>
      </c>
      <c r="AB1105" s="4">
        <f t="shared" si="163"/>
        <v>1623</v>
      </c>
      <c r="AC1105" s="4"/>
      <c r="AD1105" s="21">
        <f>ROUND(M1105*AR1105,0)</f>
        <v>2054</v>
      </c>
      <c r="AE1105" s="6">
        <f>1-AB1105/AD1105</f>
        <v>0.20983446932814021</v>
      </c>
      <c r="AF1105" s="33">
        <v>0</v>
      </c>
      <c r="AG1105" s="4">
        <f t="shared" si="164"/>
        <v>2500</v>
      </c>
      <c r="AH1105" s="33">
        <f t="shared" si="166"/>
        <v>2498.460591133005</v>
      </c>
      <c r="AI1105" s="6">
        <f>1-AB1105/AH1105</f>
        <v>0.35040000000000004</v>
      </c>
      <c r="AJ1105" s="7">
        <v>2319</v>
      </c>
      <c r="AK1105" s="6">
        <f>1-AB1105/AJ1105</f>
        <v>0.30012936610608021</v>
      </c>
      <c r="AL1105" s="4">
        <f>AJ1105-AB1105</f>
        <v>696</v>
      </c>
      <c r="AM1105" s="28"/>
      <c r="AN1105" s="6"/>
      <c r="AO1105" s="6"/>
      <c r="AP1105" s="6">
        <f>Z1105/L1105</f>
        <v>0.99956896551724139</v>
      </c>
      <c r="AQ1105" s="6">
        <f>AJ1105/M1105</f>
        <v>1.1284671532846715</v>
      </c>
      <c r="AR1105" s="6">
        <f>AB1105/N1105</f>
        <v>0.99938423645320196</v>
      </c>
      <c r="AS1105" s="4"/>
      <c r="AT1105" s="4"/>
      <c r="AU1105" s="4"/>
      <c r="AV1105" s="4"/>
      <c r="AW1105" s="4"/>
      <c r="AX1105" s="4"/>
      <c r="AY1105" s="4"/>
      <c r="AZ1105" s="4"/>
      <c r="BA1105" s="4"/>
      <c r="BB1105" s="4">
        <v>0</v>
      </c>
      <c r="BC1105" s="4" t="s">
        <v>4568</v>
      </c>
      <c r="BD1105" s="4"/>
      <c r="BE1105" s="4"/>
      <c r="BF1105" s="4" t="s">
        <v>3545</v>
      </c>
      <c r="BG1105" s="4">
        <v>2500</v>
      </c>
      <c r="BH1105" s="4">
        <v>2500</v>
      </c>
      <c r="BI1105" s="4">
        <f t="shared" si="165"/>
        <v>2500</v>
      </c>
      <c r="BJ1105" s="19">
        <v>4</v>
      </c>
      <c r="BK1105" s="19">
        <v>8</v>
      </c>
      <c r="BL1105" s="16">
        <v>6</v>
      </c>
      <c r="BM1105" s="45" t="s">
        <v>3534</v>
      </c>
      <c r="BN1105" t="s">
        <v>3534</v>
      </c>
      <c r="BO1105" t="str">
        <f t="shared" si="167"/>
        <v>-</v>
      </c>
      <c r="BP1105" t="s">
        <v>3534</v>
      </c>
      <c r="BQ1105">
        <v>2300</v>
      </c>
      <c r="BR1105">
        <f t="shared" si="168"/>
        <v>2298.5837438423646</v>
      </c>
      <c r="BS1105" t="s">
        <v>3421</v>
      </c>
    </row>
    <row r="1106" spans="1:71" x14ac:dyDescent="0.4">
      <c r="A1106" s="3">
        <v>1103</v>
      </c>
      <c r="B1106" s="3">
        <v>1103</v>
      </c>
      <c r="C1106" s="4" t="s">
        <v>1165</v>
      </c>
      <c r="D1106" s="4" t="str">
        <f t="shared" si="160"/>
        <v>J896LY</v>
      </c>
      <c r="E1106" s="4" t="s">
        <v>1165</v>
      </c>
      <c r="F1106" s="4" t="s">
        <v>2383</v>
      </c>
      <c r="G1106" s="5">
        <v>4521718778570</v>
      </c>
      <c r="H1106" s="5"/>
      <c r="I1106" s="5"/>
      <c r="J1106" s="5">
        <v>1</v>
      </c>
      <c r="K1106" s="5">
        <v>1</v>
      </c>
      <c r="L1106" s="4">
        <v>2320</v>
      </c>
      <c r="M1106" s="4">
        <v>2055</v>
      </c>
      <c r="N1106" s="4">
        <v>1624</v>
      </c>
      <c r="O1106" s="6">
        <f t="shared" si="161"/>
        <v>0.20973236009732366</v>
      </c>
      <c r="P1106" s="4" t="s">
        <v>2500</v>
      </c>
      <c r="Q1106" s="4"/>
      <c r="R1106" s="4"/>
      <c r="S1106" s="4"/>
      <c r="T1106" s="4"/>
      <c r="U1106" s="4"/>
      <c r="V1106" s="4"/>
      <c r="W1106" s="4"/>
      <c r="X1106" s="4"/>
      <c r="Y1106" s="4">
        <v>2319</v>
      </c>
      <c r="Z1106" s="4">
        <f t="shared" si="162"/>
        <v>2319</v>
      </c>
      <c r="AA1106" s="4">
        <v>1623</v>
      </c>
      <c r="AB1106" s="4">
        <f t="shared" si="163"/>
        <v>1623</v>
      </c>
      <c r="AC1106" s="4"/>
      <c r="AD1106" s="21">
        <f>ROUND(M1106*AR1106,0)</f>
        <v>2054</v>
      </c>
      <c r="AE1106" s="6">
        <f>1-AB1106/AD1106</f>
        <v>0.20983446932814021</v>
      </c>
      <c r="AF1106" s="33">
        <v>0</v>
      </c>
      <c r="AG1106" s="4">
        <f t="shared" si="164"/>
        <v>2500</v>
      </c>
      <c r="AH1106" s="33">
        <f t="shared" si="166"/>
        <v>2498.460591133005</v>
      </c>
      <c r="AI1106" s="6">
        <f>1-AB1106/AH1106</f>
        <v>0.35040000000000004</v>
      </c>
      <c r="AJ1106" s="7">
        <v>2319</v>
      </c>
      <c r="AK1106" s="6">
        <f>1-AB1106/AJ1106</f>
        <v>0.30012936610608021</v>
      </c>
      <c r="AL1106" s="4">
        <f>AJ1106-AB1106</f>
        <v>696</v>
      </c>
      <c r="AM1106" s="28"/>
      <c r="AN1106" s="6"/>
      <c r="AO1106" s="6"/>
      <c r="AP1106" s="6">
        <f>Z1106/L1106</f>
        <v>0.99956896551724139</v>
      </c>
      <c r="AQ1106" s="6">
        <f>AJ1106/M1106</f>
        <v>1.1284671532846715</v>
      </c>
      <c r="AR1106" s="6">
        <f>AB1106/N1106</f>
        <v>0.99938423645320196</v>
      </c>
      <c r="AS1106" s="4"/>
      <c r="AT1106" s="4"/>
      <c r="AU1106" s="4"/>
      <c r="AV1106" s="4"/>
      <c r="AW1106" s="4"/>
      <c r="AX1106" s="4"/>
      <c r="AY1106" s="4"/>
      <c r="AZ1106" s="4"/>
      <c r="BA1106" s="4"/>
      <c r="BB1106" s="4">
        <v>0</v>
      </c>
      <c r="BC1106" s="4" t="s">
        <v>4569</v>
      </c>
      <c r="BD1106" s="4"/>
      <c r="BE1106" s="4"/>
      <c r="BF1106" s="4" t="s">
        <v>3545</v>
      </c>
      <c r="BG1106" s="4">
        <v>2500</v>
      </c>
      <c r="BH1106" s="4">
        <v>2500</v>
      </c>
      <c r="BI1106" s="4">
        <f t="shared" si="165"/>
        <v>2500</v>
      </c>
      <c r="BJ1106" s="19">
        <v>4</v>
      </c>
      <c r="BK1106" s="19">
        <v>8</v>
      </c>
      <c r="BL1106" s="16">
        <v>6</v>
      </c>
      <c r="BM1106" s="45" t="s">
        <v>3534</v>
      </c>
      <c r="BN1106" t="s">
        <v>3534</v>
      </c>
      <c r="BO1106" t="str">
        <f t="shared" si="167"/>
        <v>-</v>
      </c>
      <c r="BP1106" t="s">
        <v>3534</v>
      </c>
      <c r="BQ1106">
        <v>2300</v>
      </c>
      <c r="BR1106">
        <f t="shared" si="168"/>
        <v>2298.5837438423646</v>
      </c>
      <c r="BS1106" t="s">
        <v>3422</v>
      </c>
    </row>
    <row r="1107" spans="1:71" x14ac:dyDescent="0.4">
      <c r="A1107" s="3">
        <v>1104</v>
      </c>
      <c r="B1107" s="3">
        <v>1104</v>
      </c>
      <c r="C1107" s="4" t="s">
        <v>1166</v>
      </c>
      <c r="D1107" s="4" t="str">
        <f t="shared" si="160"/>
        <v>J897LY</v>
      </c>
      <c r="E1107" s="4" t="s">
        <v>1166</v>
      </c>
      <c r="F1107" s="4" t="s">
        <v>2384</v>
      </c>
      <c r="G1107" s="5">
        <v>4521718778587</v>
      </c>
      <c r="H1107" s="5"/>
      <c r="I1107" s="5"/>
      <c r="J1107" s="5">
        <v>1</v>
      </c>
      <c r="K1107" s="5">
        <v>1</v>
      </c>
      <c r="L1107" s="4">
        <v>2320</v>
      </c>
      <c r="M1107" s="4">
        <v>2055</v>
      </c>
      <c r="N1107" s="4">
        <v>1624</v>
      </c>
      <c r="O1107" s="6">
        <f t="shared" si="161"/>
        <v>0.20973236009732366</v>
      </c>
      <c r="P1107" s="4" t="s">
        <v>2500</v>
      </c>
      <c r="Q1107" s="4"/>
      <c r="R1107" s="4"/>
      <c r="S1107" s="4"/>
      <c r="T1107" s="4"/>
      <c r="U1107" s="4"/>
      <c r="V1107" s="4"/>
      <c r="W1107" s="4"/>
      <c r="X1107" s="4"/>
      <c r="Y1107" s="4">
        <v>2319</v>
      </c>
      <c r="Z1107" s="4">
        <f t="shared" si="162"/>
        <v>2319</v>
      </c>
      <c r="AA1107" s="4">
        <v>1623</v>
      </c>
      <c r="AB1107" s="4">
        <f t="shared" si="163"/>
        <v>1623</v>
      </c>
      <c r="AC1107" s="4"/>
      <c r="AD1107" s="21">
        <f>ROUND(M1107*AR1107,0)</f>
        <v>2054</v>
      </c>
      <c r="AE1107" s="6">
        <f>1-AB1107/AD1107</f>
        <v>0.20983446932814021</v>
      </c>
      <c r="AF1107" s="33">
        <v>0</v>
      </c>
      <c r="AG1107" s="4">
        <f t="shared" si="164"/>
        <v>2500</v>
      </c>
      <c r="AH1107" s="33">
        <f t="shared" si="166"/>
        <v>2498.460591133005</v>
      </c>
      <c r="AI1107" s="6">
        <f>1-AB1107/AH1107</f>
        <v>0.35040000000000004</v>
      </c>
      <c r="AJ1107" s="7">
        <v>2319</v>
      </c>
      <c r="AK1107" s="6">
        <f>1-AB1107/AJ1107</f>
        <v>0.30012936610608021</v>
      </c>
      <c r="AL1107" s="4">
        <f>AJ1107-AB1107</f>
        <v>696</v>
      </c>
      <c r="AM1107" s="28"/>
      <c r="AN1107" s="6"/>
      <c r="AO1107" s="6"/>
      <c r="AP1107" s="6">
        <f>Z1107/L1107</f>
        <v>0.99956896551724139</v>
      </c>
      <c r="AQ1107" s="6">
        <f>AJ1107/M1107</f>
        <v>1.1284671532846715</v>
      </c>
      <c r="AR1107" s="6">
        <f>AB1107/N1107</f>
        <v>0.99938423645320196</v>
      </c>
      <c r="AS1107" s="4"/>
      <c r="AT1107" s="4"/>
      <c r="AU1107" s="4"/>
      <c r="AV1107" s="4"/>
      <c r="AW1107" s="4"/>
      <c r="AX1107" s="4"/>
      <c r="AY1107" s="4"/>
      <c r="AZ1107" s="4"/>
      <c r="BA1107" s="4"/>
      <c r="BB1107" s="4">
        <v>0</v>
      </c>
      <c r="BC1107" s="4" t="s">
        <v>4570</v>
      </c>
      <c r="BD1107" s="4"/>
      <c r="BE1107" s="4"/>
      <c r="BF1107" s="4" t="s">
        <v>3545</v>
      </c>
      <c r="BG1107" s="4">
        <v>2500</v>
      </c>
      <c r="BH1107" s="4">
        <v>2500</v>
      </c>
      <c r="BI1107" s="4">
        <f t="shared" si="165"/>
        <v>2500</v>
      </c>
      <c r="BJ1107" s="19">
        <v>4</v>
      </c>
      <c r="BK1107" s="19">
        <v>8</v>
      </c>
      <c r="BL1107" s="16">
        <v>6</v>
      </c>
      <c r="BM1107" s="45" t="s">
        <v>3534</v>
      </c>
      <c r="BN1107" t="s">
        <v>3534</v>
      </c>
      <c r="BO1107" t="str">
        <f t="shared" si="167"/>
        <v>-</v>
      </c>
      <c r="BP1107" t="s">
        <v>3534</v>
      </c>
      <c r="BQ1107">
        <v>2300</v>
      </c>
      <c r="BR1107">
        <f t="shared" si="168"/>
        <v>2298.5837438423646</v>
      </c>
      <c r="BS1107" t="s">
        <v>3423</v>
      </c>
    </row>
    <row r="1108" spans="1:71" x14ac:dyDescent="0.4">
      <c r="A1108" s="3">
        <v>1105</v>
      </c>
      <c r="B1108" s="3">
        <v>1105</v>
      </c>
      <c r="C1108" s="4" t="s">
        <v>1167</v>
      </c>
      <c r="D1108" s="4" t="str">
        <f t="shared" si="160"/>
        <v>J898LY</v>
      </c>
      <c r="E1108" s="4" t="s">
        <v>1167</v>
      </c>
      <c r="F1108" s="4" t="s">
        <v>2385</v>
      </c>
      <c r="G1108" s="5">
        <v>4521718778594</v>
      </c>
      <c r="H1108" s="5"/>
      <c r="I1108" s="5"/>
      <c r="J1108" s="5">
        <v>1</v>
      </c>
      <c r="K1108" s="5">
        <v>1</v>
      </c>
      <c r="L1108" s="4">
        <v>2320</v>
      </c>
      <c r="M1108" s="4">
        <v>2055</v>
      </c>
      <c r="N1108" s="4">
        <v>1624</v>
      </c>
      <c r="O1108" s="6">
        <f t="shared" si="161"/>
        <v>0.20973236009732366</v>
      </c>
      <c r="P1108" s="4" t="s">
        <v>2500</v>
      </c>
      <c r="Q1108" s="4"/>
      <c r="R1108" s="4"/>
      <c r="S1108" s="4"/>
      <c r="T1108" s="4"/>
      <c r="U1108" s="4"/>
      <c r="V1108" s="4"/>
      <c r="W1108" s="4"/>
      <c r="X1108" s="4"/>
      <c r="Y1108" s="4">
        <v>2319</v>
      </c>
      <c r="Z1108" s="4">
        <f t="shared" si="162"/>
        <v>2319</v>
      </c>
      <c r="AA1108" s="4">
        <v>1623</v>
      </c>
      <c r="AB1108" s="4">
        <f t="shared" si="163"/>
        <v>1623</v>
      </c>
      <c r="AC1108" s="4"/>
      <c r="AD1108" s="21">
        <f>ROUND(M1108*AR1108,0)</f>
        <v>2054</v>
      </c>
      <c r="AE1108" s="6">
        <f>1-AB1108/AD1108</f>
        <v>0.20983446932814021</v>
      </c>
      <c r="AF1108" s="33">
        <v>0</v>
      </c>
      <c r="AG1108" s="4">
        <f t="shared" si="164"/>
        <v>2500</v>
      </c>
      <c r="AH1108" s="33">
        <f t="shared" si="166"/>
        <v>2498.460591133005</v>
      </c>
      <c r="AI1108" s="6">
        <f>1-AB1108/AH1108</f>
        <v>0.35040000000000004</v>
      </c>
      <c r="AJ1108" s="7">
        <v>2319</v>
      </c>
      <c r="AK1108" s="6">
        <f>1-AB1108/AJ1108</f>
        <v>0.30012936610608021</v>
      </c>
      <c r="AL1108" s="4">
        <f>AJ1108-AB1108</f>
        <v>696</v>
      </c>
      <c r="AM1108" s="28"/>
      <c r="AN1108" s="6"/>
      <c r="AO1108" s="6"/>
      <c r="AP1108" s="6">
        <f>Z1108/L1108</f>
        <v>0.99956896551724139</v>
      </c>
      <c r="AQ1108" s="6">
        <f>AJ1108/M1108</f>
        <v>1.1284671532846715</v>
      </c>
      <c r="AR1108" s="6">
        <f>AB1108/N1108</f>
        <v>0.99938423645320196</v>
      </c>
      <c r="AS1108" s="4"/>
      <c r="AT1108" s="4"/>
      <c r="AU1108" s="4"/>
      <c r="AV1108" s="4"/>
      <c r="AW1108" s="4"/>
      <c r="AX1108" s="4"/>
      <c r="AY1108" s="4"/>
      <c r="AZ1108" s="4"/>
      <c r="BA1108" s="4"/>
      <c r="BB1108" s="4">
        <v>0</v>
      </c>
      <c r="BC1108" s="4" t="s">
        <v>4571</v>
      </c>
      <c r="BD1108" s="4"/>
      <c r="BE1108" s="4"/>
      <c r="BF1108" s="4" t="s">
        <v>3545</v>
      </c>
      <c r="BG1108" s="4">
        <v>2500</v>
      </c>
      <c r="BH1108" s="4">
        <v>2500</v>
      </c>
      <c r="BI1108" s="4">
        <f t="shared" si="165"/>
        <v>2500</v>
      </c>
      <c r="BJ1108" s="19">
        <v>4</v>
      </c>
      <c r="BK1108" s="19">
        <v>8</v>
      </c>
      <c r="BL1108" s="16">
        <v>6</v>
      </c>
      <c r="BM1108" s="45" t="s">
        <v>3534</v>
      </c>
      <c r="BN1108" t="s">
        <v>3534</v>
      </c>
      <c r="BO1108" t="str">
        <f t="shared" si="167"/>
        <v>-</v>
      </c>
      <c r="BP1108" t="s">
        <v>3534</v>
      </c>
      <c r="BQ1108">
        <v>2300</v>
      </c>
      <c r="BR1108">
        <f t="shared" si="168"/>
        <v>2298.5837438423646</v>
      </c>
      <c r="BS1108" t="s">
        <v>3424</v>
      </c>
    </row>
    <row r="1109" spans="1:71" x14ac:dyDescent="0.4">
      <c r="A1109" s="3">
        <v>1106</v>
      </c>
      <c r="B1109" s="3">
        <v>1106</v>
      </c>
      <c r="C1109" s="4" t="s">
        <v>1168</v>
      </c>
      <c r="D1109" s="4" t="str">
        <f t="shared" si="160"/>
        <v>J899LY</v>
      </c>
      <c r="E1109" s="4" t="s">
        <v>1168</v>
      </c>
      <c r="F1109" s="4" t="s">
        <v>2386</v>
      </c>
      <c r="G1109" s="5">
        <v>4521718778600</v>
      </c>
      <c r="H1109" s="5"/>
      <c r="I1109" s="5"/>
      <c r="J1109" s="5">
        <v>1</v>
      </c>
      <c r="K1109" s="5">
        <v>1</v>
      </c>
      <c r="L1109" s="4">
        <v>8000</v>
      </c>
      <c r="M1109" s="4">
        <v>6666</v>
      </c>
      <c r="N1109" s="4">
        <v>5600</v>
      </c>
      <c r="O1109" s="6">
        <f t="shared" si="161"/>
        <v>0.15991599159915992</v>
      </c>
      <c r="P1109" s="4" t="s">
        <v>2500</v>
      </c>
      <c r="Q1109" s="4"/>
      <c r="R1109" s="4"/>
      <c r="S1109" s="4"/>
      <c r="T1109" s="4"/>
      <c r="U1109" s="4"/>
      <c r="V1109" s="4"/>
      <c r="W1109" s="4"/>
      <c r="X1109" s="4"/>
      <c r="Y1109" s="4">
        <v>8000</v>
      </c>
      <c r="Z1109" s="4">
        <f t="shared" si="162"/>
        <v>8000</v>
      </c>
      <c r="AA1109" s="4">
        <v>5200</v>
      </c>
      <c r="AB1109" s="4">
        <f t="shared" si="163"/>
        <v>5200</v>
      </c>
      <c r="AC1109" s="4"/>
      <c r="AD1109" s="21">
        <f>ROUND(M1109*AR1109,0)</f>
        <v>6190</v>
      </c>
      <c r="AE1109" s="6">
        <f>1-AB1109/AD1109</f>
        <v>0.15993537964458804</v>
      </c>
      <c r="AF1109" s="33">
        <v>0</v>
      </c>
      <c r="AG1109" s="4">
        <f t="shared" si="164"/>
        <v>6700</v>
      </c>
      <c r="AH1109" s="33">
        <f t="shared" si="166"/>
        <v>6221.4285714285716</v>
      </c>
      <c r="AI1109" s="6">
        <f>1-AB1109/AH1109</f>
        <v>0.16417910447761197</v>
      </c>
      <c r="AJ1109" s="7">
        <v>8000</v>
      </c>
      <c r="AK1109" s="6">
        <f>1-AB1109/AJ1109</f>
        <v>0.35</v>
      </c>
      <c r="AL1109" s="4">
        <f>AJ1109-AB1109</f>
        <v>2800</v>
      </c>
      <c r="AM1109" s="28"/>
      <c r="AN1109" s="6"/>
      <c r="AO1109" s="6"/>
      <c r="AP1109" s="6">
        <f>Z1109/L1109</f>
        <v>1</v>
      </c>
      <c r="AQ1109" s="6">
        <f>AJ1109/M1109</f>
        <v>1.2001200120012001</v>
      </c>
      <c r="AR1109" s="6">
        <f>AB1109/N1109</f>
        <v>0.9285714285714286</v>
      </c>
      <c r="AS1109" s="4"/>
      <c r="AT1109" s="4"/>
      <c r="AU1109" s="4"/>
      <c r="AV1109" s="4"/>
      <c r="AW1109" s="4"/>
      <c r="AX1109" s="4"/>
      <c r="AY1109" s="4"/>
      <c r="AZ1109" s="4"/>
      <c r="BA1109" s="4"/>
      <c r="BB1109" s="4">
        <v>0</v>
      </c>
      <c r="BC1109" s="4" t="s">
        <v>4572</v>
      </c>
      <c r="BD1109" s="4"/>
      <c r="BE1109" s="4"/>
      <c r="BF1109" s="4" t="s">
        <v>3545</v>
      </c>
      <c r="BG1109" s="4">
        <v>6700</v>
      </c>
      <c r="BH1109" s="4">
        <v>6700</v>
      </c>
      <c r="BI1109" s="4">
        <f t="shared" si="165"/>
        <v>6700</v>
      </c>
      <c r="BJ1109" s="19">
        <v>4</v>
      </c>
      <c r="BK1109" s="19">
        <v>8</v>
      </c>
      <c r="BL1109" s="16">
        <v>6</v>
      </c>
      <c r="BM1109" s="45" t="s">
        <v>3534</v>
      </c>
      <c r="BN1109" t="s">
        <v>3534</v>
      </c>
      <c r="BO1109" t="str">
        <f t="shared" si="167"/>
        <v>-</v>
      </c>
      <c r="BP1109" t="s">
        <v>3534</v>
      </c>
      <c r="BQ1109">
        <v>7800</v>
      </c>
      <c r="BR1109">
        <f t="shared" si="168"/>
        <v>7242.8571428571431</v>
      </c>
      <c r="BS1109" t="s">
        <v>3425</v>
      </c>
    </row>
    <row r="1110" spans="1:71" x14ac:dyDescent="0.4">
      <c r="A1110" s="3">
        <v>1107</v>
      </c>
      <c r="B1110" s="3">
        <v>1107</v>
      </c>
      <c r="C1110" s="4" t="s">
        <v>1169</v>
      </c>
      <c r="D1110" s="4" t="str">
        <f t="shared" si="160"/>
        <v>J900LY</v>
      </c>
      <c r="E1110" s="4" t="s">
        <v>1169</v>
      </c>
      <c r="F1110" s="4" t="s">
        <v>2387</v>
      </c>
      <c r="G1110" s="5">
        <v>4521718778686</v>
      </c>
      <c r="H1110" s="5"/>
      <c r="I1110" s="5"/>
      <c r="J1110" s="5">
        <v>1</v>
      </c>
      <c r="K1110" s="5">
        <v>1</v>
      </c>
      <c r="L1110" s="4">
        <v>2200</v>
      </c>
      <c r="M1110" s="4">
        <v>1949</v>
      </c>
      <c r="N1110" s="4">
        <v>1540</v>
      </c>
      <c r="O1110" s="6">
        <f t="shared" si="161"/>
        <v>0.20985120574653671</v>
      </c>
      <c r="P1110" s="4" t="s">
        <v>2500</v>
      </c>
      <c r="Q1110" s="4"/>
      <c r="R1110" s="4"/>
      <c r="S1110" s="4"/>
      <c r="T1110" s="4"/>
      <c r="U1110" s="4"/>
      <c r="V1110" s="4"/>
      <c r="W1110" s="4"/>
      <c r="X1110" s="4"/>
      <c r="Y1110" s="4">
        <v>2200</v>
      </c>
      <c r="Z1110" s="4">
        <f t="shared" si="162"/>
        <v>2200</v>
      </c>
      <c r="AA1110" s="4">
        <v>1540</v>
      </c>
      <c r="AB1110" s="4">
        <f t="shared" si="163"/>
        <v>1540</v>
      </c>
      <c r="AC1110" s="4"/>
      <c r="AD1110" s="21">
        <f>ROUND(M1110*AR1110,0)</f>
        <v>1949</v>
      </c>
      <c r="AE1110" s="6">
        <f>1-AB1110/AD1110</f>
        <v>0.20985120574653671</v>
      </c>
      <c r="AF1110" s="33">
        <v>0</v>
      </c>
      <c r="AG1110" s="4">
        <f t="shared" si="164"/>
        <v>2500</v>
      </c>
      <c r="AH1110" s="33">
        <f t="shared" si="166"/>
        <v>2500</v>
      </c>
      <c r="AI1110" s="6">
        <f>1-AB1110/AH1110</f>
        <v>0.38400000000000001</v>
      </c>
      <c r="AJ1110" s="7">
        <v>2200</v>
      </c>
      <c r="AK1110" s="6">
        <f>1-AB1110/AJ1110</f>
        <v>0.30000000000000004</v>
      </c>
      <c r="AL1110" s="4">
        <f>AJ1110-AB1110</f>
        <v>660</v>
      </c>
      <c r="AM1110" s="28"/>
      <c r="AN1110" s="6"/>
      <c r="AO1110" s="6"/>
      <c r="AP1110" s="6">
        <f>Z1110/L1110</f>
        <v>1</v>
      </c>
      <c r="AQ1110" s="6">
        <f>AJ1110/M1110</f>
        <v>1.1287839917906619</v>
      </c>
      <c r="AR1110" s="6">
        <f>AB1110/N1110</f>
        <v>1</v>
      </c>
      <c r="AS1110" s="4"/>
      <c r="AT1110" s="4"/>
      <c r="AU1110" s="4"/>
      <c r="AV1110" s="4"/>
      <c r="AW1110" s="4"/>
      <c r="AX1110" s="4"/>
      <c r="AY1110" s="4"/>
      <c r="AZ1110" s="4"/>
      <c r="BA1110" s="4"/>
      <c r="BB1110" s="4">
        <v>0</v>
      </c>
      <c r="BC1110" s="4" t="s">
        <v>4573</v>
      </c>
      <c r="BD1110" s="4"/>
      <c r="BE1110" s="4"/>
      <c r="BF1110" s="4" t="s">
        <v>3545</v>
      </c>
      <c r="BG1110" s="4">
        <v>2500</v>
      </c>
      <c r="BH1110" s="4">
        <v>2500</v>
      </c>
      <c r="BI1110" s="4">
        <f t="shared" si="165"/>
        <v>2500</v>
      </c>
      <c r="BJ1110" s="19">
        <v>4</v>
      </c>
      <c r="BK1110" s="19">
        <v>8</v>
      </c>
      <c r="BL1110" s="16">
        <v>6</v>
      </c>
      <c r="BM1110" s="45" t="s">
        <v>3534</v>
      </c>
      <c r="BN1110" t="s">
        <v>3534</v>
      </c>
      <c r="BO1110" t="str">
        <f t="shared" si="167"/>
        <v>-</v>
      </c>
      <c r="BP1110" t="s">
        <v>3534</v>
      </c>
      <c r="BQ1110">
        <v>2090</v>
      </c>
      <c r="BR1110">
        <f t="shared" si="168"/>
        <v>2090</v>
      </c>
      <c r="BS1110" t="s">
        <v>3426</v>
      </c>
    </row>
    <row r="1111" spans="1:71" x14ac:dyDescent="0.4">
      <c r="A1111" s="3">
        <v>1108</v>
      </c>
      <c r="B1111" s="3">
        <v>1108</v>
      </c>
      <c r="C1111" s="4" t="s">
        <v>1170</v>
      </c>
      <c r="D1111" s="4" t="str">
        <f t="shared" ref="D1111:D1174" si="169">TEXT(C1111,"000000")</f>
        <v>J901LY</v>
      </c>
      <c r="E1111" s="4" t="s">
        <v>1170</v>
      </c>
      <c r="F1111" s="4" t="s">
        <v>2388</v>
      </c>
      <c r="G1111" s="5">
        <v>4521718778822</v>
      </c>
      <c r="H1111" s="5"/>
      <c r="I1111" s="5"/>
      <c r="J1111" s="5">
        <v>1</v>
      </c>
      <c r="K1111" s="5">
        <v>1</v>
      </c>
      <c r="L1111" s="4">
        <v>2728</v>
      </c>
      <c r="M1111" s="4">
        <v>2417</v>
      </c>
      <c r="N1111" s="4">
        <v>1910</v>
      </c>
      <c r="O1111" s="6">
        <f t="shared" ref="O1111:O1174" si="170">1-N1111/M1111</f>
        <v>0.209764170459247</v>
      </c>
      <c r="P1111" s="4" t="s">
        <v>2500</v>
      </c>
      <c r="Q1111" s="4"/>
      <c r="R1111" s="4"/>
      <c r="S1111" s="4"/>
      <c r="T1111" s="4"/>
      <c r="U1111" s="4"/>
      <c r="V1111" s="4"/>
      <c r="W1111" s="4"/>
      <c r="X1111" s="4"/>
      <c r="Y1111" s="4">
        <v>2728</v>
      </c>
      <c r="Z1111" s="4">
        <f t="shared" ref="Z1111:Z1174" si="171">IF(AC1111="",Y1111,Y1111*AC1111)</f>
        <v>2728</v>
      </c>
      <c r="AA1111" s="4">
        <v>1910</v>
      </c>
      <c r="AB1111" s="4">
        <f t="shared" ref="AB1111:AB1174" si="172">IF(AC1111="",AA1111,AA1111*AC1111)</f>
        <v>1910</v>
      </c>
      <c r="AC1111" s="4"/>
      <c r="AD1111" s="21">
        <f>ROUND(M1111*AR1111,0)</f>
        <v>2417</v>
      </c>
      <c r="AE1111" s="6">
        <f>1-AB1111/AD1111</f>
        <v>0.209764170459247</v>
      </c>
      <c r="AF1111" s="33">
        <v>0</v>
      </c>
      <c r="AG1111" s="4">
        <f t="shared" ref="AG1111:AG1174" si="173">BI1111</f>
        <v>2550</v>
      </c>
      <c r="AH1111" s="33">
        <f t="shared" si="166"/>
        <v>2550</v>
      </c>
      <c r="AI1111" s="6">
        <f>1-AB1111/AH1111</f>
        <v>0.25098039215686274</v>
      </c>
      <c r="AJ1111" s="7">
        <v>2550</v>
      </c>
      <c r="AK1111" s="6">
        <f>1-AB1111/AJ1111</f>
        <v>0.25098039215686274</v>
      </c>
      <c r="AL1111" s="4">
        <f>AJ1111-AB1111</f>
        <v>640</v>
      </c>
      <c r="AM1111" s="28"/>
      <c r="AN1111" s="6"/>
      <c r="AO1111" s="6"/>
      <c r="AP1111" s="6">
        <f>Z1111/L1111</f>
        <v>1</v>
      </c>
      <c r="AQ1111" s="6">
        <f>AJ1111/M1111</f>
        <v>1.0550268928423665</v>
      </c>
      <c r="AR1111" s="6">
        <f>AB1111/N1111</f>
        <v>1</v>
      </c>
      <c r="AS1111" s="4"/>
      <c r="AT1111" s="4"/>
      <c r="AU1111" s="4"/>
      <c r="AV1111" s="4"/>
      <c r="AW1111" s="4"/>
      <c r="AX1111" s="4"/>
      <c r="AY1111" s="4"/>
      <c r="AZ1111" s="4"/>
      <c r="BA1111" s="4"/>
      <c r="BB1111" s="4">
        <v>0</v>
      </c>
      <c r="BC1111" s="4" t="s">
        <v>4574</v>
      </c>
      <c r="BD1111" s="4"/>
      <c r="BE1111" s="4"/>
      <c r="BF1111" s="4" t="s">
        <v>3545</v>
      </c>
      <c r="BG1111" s="4">
        <v>2550</v>
      </c>
      <c r="BH1111" s="4">
        <v>2550</v>
      </c>
      <c r="BI1111" s="4">
        <f t="shared" ref="BI1111:BI1174" si="174">IF(BD1111="",BH1111,BD1111/BE1111*BH1111)</f>
        <v>2550</v>
      </c>
      <c r="BJ1111" s="19">
        <v>4</v>
      </c>
      <c r="BK1111" s="19">
        <v>8</v>
      </c>
      <c r="BL1111" s="16">
        <v>6</v>
      </c>
      <c r="BM1111" s="45" t="s">
        <v>3534</v>
      </c>
      <c r="BN1111" t="s">
        <v>3534</v>
      </c>
      <c r="BO1111" t="str">
        <f t="shared" si="167"/>
        <v>-</v>
      </c>
      <c r="BP1111" t="s">
        <v>3534</v>
      </c>
      <c r="BQ1111">
        <v>2713</v>
      </c>
      <c r="BR1111">
        <f t="shared" si="168"/>
        <v>2713</v>
      </c>
      <c r="BS1111" t="s">
        <v>3427</v>
      </c>
    </row>
    <row r="1112" spans="1:71" x14ac:dyDescent="0.4">
      <c r="A1112" s="3">
        <v>1109</v>
      </c>
      <c r="B1112" s="3">
        <v>1109</v>
      </c>
      <c r="C1112" s="4" t="s">
        <v>1171</v>
      </c>
      <c r="D1112" s="4" t="str">
        <f t="shared" si="169"/>
        <v>J900WM</v>
      </c>
      <c r="E1112" s="4" t="s">
        <v>1171</v>
      </c>
      <c r="F1112" s="4" t="s">
        <v>2389</v>
      </c>
      <c r="G1112" s="5">
        <v>4548030187606</v>
      </c>
      <c r="H1112" s="5"/>
      <c r="I1112" s="5"/>
      <c r="J1112" s="5">
        <v>1</v>
      </c>
      <c r="K1112" s="5">
        <v>1</v>
      </c>
      <c r="L1112" s="4">
        <v>1600</v>
      </c>
      <c r="M1112" s="4">
        <v>1082</v>
      </c>
      <c r="N1112" s="4">
        <v>757</v>
      </c>
      <c r="O1112" s="6">
        <f t="shared" si="170"/>
        <v>0.30036968576709799</v>
      </c>
      <c r="P1112" s="4" t="s">
        <v>2500</v>
      </c>
      <c r="Q1112" s="4"/>
      <c r="R1112" s="4"/>
      <c r="S1112" s="4"/>
      <c r="T1112" s="4"/>
      <c r="U1112" s="4"/>
      <c r="V1112" s="4"/>
      <c r="W1112" s="4"/>
      <c r="X1112" s="4"/>
      <c r="Y1112" s="4">
        <v>1600</v>
      </c>
      <c r="Z1112" s="4">
        <f t="shared" si="171"/>
        <v>1600</v>
      </c>
      <c r="AA1112" s="4">
        <v>1040</v>
      </c>
      <c r="AB1112" s="4">
        <f t="shared" si="172"/>
        <v>1040</v>
      </c>
      <c r="AC1112" s="4"/>
      <c r="AD1112" s="21">
        <f>ROUND(M1112*AR1112,0)</f>
        <v>1486</v>
      </c>
      <c r="AE1112" s="6">
        <f>1-AB1112/AD1112</f>
        <v>0.30013458950201888</v>
      </c>
      <c r="AF1112" s="33">
        <v>0</v>
      </c>
      <c r="AG1112" s="4">
        <f t="shared" si="173"/>
        <v>1600</v>
      </c>
      <c r="AH1112" s="33">
        <f t="shared" si="166"/>
        <v>2198.1505944517835</v>
      </c>
      <c r="AI1112" s="6">
        <f>1-AB1112/AH1112</f>
        <v>0.52687499999999998</v>
      </c>
      <c r="AJ1112" s="7">
        <v>1600</v>
      </c>
      <c r="AK1112" s="6">
        <f>1-AB1112/AJ1112</f>
        <v>0.35</v>
      </c>
      <c r="AL1112" s="4">
        <f>AJ1112-AB1112</f>
        <v>560</v>
      </c>
      <c r="AM1112" s="28"/>
      <c r="AN1112" s="6"/>
      <c r="AO1112" s="6"/>
      <c r="AP1112" s="6">
        <f>Z1112/L1112</f>
        <v>1</v>
      </c>
      <c r="AQ1112" s="6">
        <f>AJ1112/M1112</f>
        <v>1.478743068391867</v>
      </c>
      <c r="AR1112" s="6">
        <f>AB1112/N1112</f>
        <v>1.3738441215323647</v>
      </c>
      <c r="AS1112" s="4"/>
      <c r="AT1112" s="4"/>
      <c r="AU1112" s="4"/>
      <c r="AV1112" s="4"/>
      <c r="AW1112" s="4"/>
      <c r="AX1112" s="4"/>
      <c r="AY1112" s="4"/>
      <c r="AZ1112" s="4"/>
      <c r="BA1112" s="4"/>
      <c r="BB1112" s="4">
        <v>0</v>
      </c>
      <c r="BC1112" s="4" t="s">
        <v>4575</v>
      </c>
      <c r="BD1112" s="4"/>
      <c r="BE1112" s="4"/>
      <c r="BF1112" s="4" t="s">
        <v>3545</v>
      </c>
      <c r="BG1112" s="4">
        <v>1600</v>
      </c>
      <c r="BH1112" s="4">
        <v>1600</v>
      </c>
      <c r="BI1112" s="4">
        <f t="shared" si="174"/>
        <v>1600</v>
      </c>
      <c r="BJ1112" s="19">
        <v>4</v>
      </c>
      <c r="BK1112" s="19">
        <v>8</v>
      </c>
      <c r="BL1112" s="16">
        <v>5</v>
      </c>
      <c r="BM1112" s="45" t="s">
        <v>3534</v>
      </c>
      <c r="BN1112" t="s">
        <v>3534</v>
      </c>
      <c r="BO1112" t="str">
        <f t="shared" si="167"/>
        <v>-</v>
      </c>
      <c r="BP1112" t="s">
        <v>3534</v>
      </c>
      <c r="BQ1112" t="s">
        <v>3534</v>
      </c>
      <c r="BR1112" t="str">
        <f t="shared" si="168"/>
        <v>-</v>
      </c>
      <c r="BS1112" t="s">
        <v>3428</v>
      </c>
    </row>
    <row r="1113" spans="1:71" x14ac:dyDescent="0.4">
      <c r="A1113" s="3">
        <v>1110</v>
      </c>
      <c r="B1113" s="3">
        <v>1110</v>
      </c>
      <c r="C1113" s="4" t="s">
        <v>1172</v>
      </c>
      <c r="D1113" s="4" t="str">
        <f t="shared" si="169"/>
        <v>J902LY</v>
      </c>
      <c r="E1113" s="4" t="s">
        <v>1172</v>
      </c>
      <c r="F1113" s="4" t="s">
        <v>2390</v>
      </c>
      <c r="G1113" s="5">
        <v>4521718778846</v>
      </c>
      <c r="H1113" s="5"/>
      <c r="I1113" s="5"/>
      <c r="J1113" s="5">
        <v>1</v>
      </c>
      <c r="K1113" s="5">
        <v>1</v>
      </c>
      <c r="L1113" s="4">
        <v>1720</v>
      </c>
      <c r="M1113" s="4">
        <v>1524</v>
      </c>
      <c r="N1113" s="4">
        <v>1204</v>
      </c>
      <c r="O1113" s="6">
        <f t="shared" si="170"/>
        <v>0.20997375328083989</v>
      </c>
      <c r="P1113" s="4" t="s">
        <v>2500</v>
      </c>
      <c r="Q1113" s="4"/>
      <c r="R1113" s="4"/>
      <c r="S1113" s="4"/>
      <c r="T1113" s="4"/>
      <c r="U1113" s="4"/>
      <c r="V1113" s="4"/>
      <c r="W1113" s="4"/>
      <c r="X1113" s="4"/>
      <c r="Y1113" s="4">
        <v>1719</v>
      </c>
      <c r="Z1113" s="4">
        <f t="shared" si="171"/>
        <v>1719</v>
      </c>
      <c r="AA1113" s="4">
        <v>1203</v>
      </c>
      <c r="AB1113" s="4">
        <f t="shared" si="172"/>
        <v>1203</v>
      </c>
      <c r="AC1113" s="4"/>
      <c r="AD1113" s="21">
        <f>ROUND(M1113*AR1113,0)</f>
        <v>1523</v>
      </c>
      <c r="AE1113" s="6">
        <f>1-AB1113/AD1113</f>
        <v>0.21011162179908072</v>
      </c>
      <c r="AF1113" s="33">
        <v>0</v>
      </c>
      <c r="AG1113" s="4">
        <f t="shared" si="173"/>
        <v>1740</v>
      </c>
      <c r="AH1113" s="33">
        <f t="shared" si="166"/>
        <v>1738.5548172757474</v>
      </c>
      <c r="AI1113" s="6">
        <f>1-AB1113/AH1113</f>
        <v>0.30804597701149417</v>
      </c>
      <c r="AJ1113" s="7">
        <v>1719</v>
      </c>
      <c r="AK1113" s="6">
        <f>1-AB1113/AJ1113</f>
        <v>0.30017452006980805</v>
      </c>
      <c r="AL1113" s="4">
        <f>AJ1113-AB1113</f>
        <v>516</v>
      </c>
      <c r="AM1113" s="28"/>
      <c r="AN1113" s="6"/>
      <c r="AO1113" s="6"/>
      <c r="AP1113" s="6">
        <f>Z1113/L1113</f>
        <v>0.99941860465116283</v>
      </c>
      <c r="AQ1113" s="6">
        <f>AJ1113/M1113</f>
        <v>1.1279527559055118</v>
      </c>
      <c r="AR1113" s="6">
        <f>AB1113/N1113</f>
        <v>0.99916943521594681</v>
      </c>
      <c r="AS1113" s="4"/>
      <c r="AT1113" s="4"/>
      <c r="AU1113" s="4"/>
      <c r="AV1113" s="4"/>
      <c r="AW1113" s="4"/>
      <c r="AX1113" s="4"/>
      <c r="AY1113" s="4"/>
      <c r="AZ1113" s="4"/>
      <c r="BA1113" s="4"/>
      <c r="BB1113" s="4">
        <v>0</v>
      </c>
      <c r="BC1113" s="4" t="s">
        <v>4576</v>
      </c>
      <c r="BD1113" s="4"/>
      <c r="BE1113" s="4"/>
      <c r="BF1113" s="4" t="s">
        <v>3545</v>
      </c>
      <c r="BG1113" s="4">
        <v>1740</v>
      </c>
      <c r="BH1113" s="4">
        <v>1740</v>
      </c>
      <c r="BI1113" s="4">
        <f t="shared" si="174"/>
        <v>1740</v>
      </c>
      <c r="BJ1113" s="19">
        <v>4</v>
      </c>
      <c r="BK1113" s="19">
        <v>8</v>
      </c>
      <c r="BL1113" s="16">
        <v>6</v>
      </c>
      <c r="BM1113" s="45" t="s">
        <v>3534</v>
      </c>
      <c r="BN1113" t="s">
        <v>3534</v>
      </c>
      <c r="BO1113" t="str">
        <f t="shared" si="167"/>
        <v>-</v>
      </c>
      <c r="BP1113" t="s">
        <v>3534</v>
      </c>
      <c r="BQ1113">
        <v>1721</v>
      </c>
      <c r="BR1113">
        <f t="shared" si="168"/>
        <v>1719.5705980066446</v>
      </c>
      <c r="BS1113" t="s">
        <v>3429</v>
      </c>
    </row>
    <row r="1114" spans="1:71" x14ac:dyDescent="0.4">
      <c r="A1114" s="3">
        <v>1111</v>
      </c>
      <c r="B1114" s="3">
        <v>1111</v>
      </c>
      <c r="C1114" s="4" t="s">
        <v>1173</v>
      </c>
      <c r="D1114" s="4" t="str">
        <f t="shared" si="169"/>
        <v>J903LY</v>
      </c>
      <c r="E1114" s="4" t="s">
        <v>1173</v>
      </c>
      <c r="F1114" s="4" t="s">
        <v>2391</v>
      </c>
      <c r="G1114" s="5">
        <v>4521718825441</v>
      </c>
      <c r="H1114" s="5"/>
      <c r="I1114" s="5"/>
      <c r="J1114" s="5">
        <v>1</v>
      </c>
      <c r="K1114" s="5">
        <v>1</v>
      </c>
      <c r="L1114" s="4">
        <v>4000</v>
      </c>
      <c r="M1114" s="4">
        <v>4000</v>
      </c>
      <c r="N1114" s="4">
        <v>3200</v>
      </c>
      <c r="O1114" s="6">
        <f t="shared" si="170"/>
        <v>0.19999999999999996</v>
      </c>
      <c r="P1114" s="4" t="s">
        <v>2500</v>
      </c>
      <c r="Q1114" s="4"/>
      <c r="R1114" s="4"/>
      <c r="S1114" s="4"/>
      <c r="T1114" s="4"/>
      <c r="U1114" s="4"/>
      <c r="V1114" s="4"/>
      <c r="W1114" s="4"/>
      <c r="X1114" s="4"/>
      <c r="Y1114" s="4">
        <v>4000</v>
      </c>
      <c r="Z1114" s="4">
        <f t="shared" si="171"/>
        <v>4000</v>
      </c>
      <c r="AA1114" s="4">
        <v>3200</v>
      </c>
      <c r="AB1114" s="4">
        <f t="shared" si="172"/>
        <v>3200</v>
      </c>
      <c r="AC1114" s="4"/>
      <c r="AD1114" s="21">
        <f>ROUND(M1114*AR1114,0)</f>
        <v>4000</v>
      </c>
      <c r="AE1114" s="6">
        <f>1-AB1114/AD1114</f>
        <v>0.19999999999999996</v>
      </c>
      <c r="AF1114" s="33">
        <v>0</v>
      </c>
      <c r="AG1114" s="4">
        <f t="shared" si="173"/>
        <v>5700</v>
      </c>
      <c r="AH1114" s="33">
        <f t="shared" si="166"/>
        <v>5700</v>
      </c>
      <c r="AI1114" s="6">
        <f>1-AB1114/AH1114</f>
        <v>0.43859649122807021</v>
      </c>
      <c r="AJ1114" s="7">
        <v>4000</v>
      </c>
      <c r="AK1114" s="6">
        <f>1-AB1114/AJ1114</f>
        <v>0.19999999999999996</v>
      </c>
      <c r="AL1114" s="4">
        <f>AJ1114-AB1114</f>
        <v>800</v>
      </c>
      <c r="AM1114" s="28"/>
      <c r="AN1114" s="6"/>
      <c r="AO1114" s="6"/>
      <c r="AP1114" s="6">
        <f>Z1114/L1114</f>
        <v>1</v>
      </c>
      <c r="AQ1114" s="6">
        <f>AJ1114/M1114</f>
        <v>1</v>
      </c>
      <c r="AR1114" s="6">
        <f>AB1114/N1114</f>
        <v>1</v>
      </c>
      <c r="AS1114" s="4"/>
      <c r="AT1114" s="4"/>
      <c r="AU1114" s="4"/>
      <c r="AV1114" s="4"/>
      <c r="AW1114" s="4"/>
      <c r="AX1114" s="4"/>
      <c r="AY1114" s="4"/>
      <c r="AZ1114" s="4"/>
      <c r="BA1114" s="4"/>
      <c r="BB1114" s="4">
        <v>0</v>
      </c>
      <c r="BC1114" s="4" t="s">
        <v>4577</v>
      </c>
      <c r="BD1114" s="4"/>
      <c r="BE1114" s="4"/>
      <c r="BF1114" s="4" t="s">
        <v>3545</v>
      </c>
      <c r="BG1114" s="4">
        <v>5700</v>
      </c>
      <c r="BH1114" s="4">
        <v>5700</v>
      </c>
      <c r="BI1114" s="4">
        <f t="shared" si="174"/>
        <v>5700</v>
      </c>
      <c r="BJ1114" s="19">
        <v>4</v>
      </c>
      <c r="BK1114" s="19">
        <v>8</v>
      </c>
      <c r="BL1114" s="16">
        <v>6</v>
      </c>
      <c r="BM1114" s="45" t="s">
        <v>3534</v>
      </c>
      <c r="BN1114" t="s">
        <v>3534</v>
      </c>
      <c r="BO1114" t="str">
        <f t="shared" si="167"/>
        <v>-</v>
      </c>
      <c r="BP1114" t="s">
        <v>3534</v>
      </c>
      <c r="BQ1114">
        <v>4000</v>
      </c>
      <c r="BR1114">
        <f t="shared" si="168"/>
        <v>4000</v>
      </c>
      <c r="BS1114" t="s">
        <v>3430</v>
      </c>
    </row>
    <row r="1115" spans="1:71" x14ac:dyDescent="0.4">
      <c r="A1115" s="3">
        <v>1112</v>
      </c>
      <c r="B1115" s="3">
        <v>1112</v>
      </c>
      <c r="C1115" s="4" t="s">
        <v>1174</v>
      </c>
      <c r="D1115" s="4" t="str">
        <f t="shared" si="169"/>
        <v>J903WM</v>
      </c>
      <c r="E1115" s="4" t="s">
        <v>1174</v>
      </c>
      <c r="F1115" s="4" t="s">
        <v>2392</v>
      </c>
      <c r="G1115" s="5">
        <v>4548030188375</v>
      </c>
      <c r="H1115" s="5"/>
      <c r="I1115" s="5"/>
      <c r="J1115" s="5">
        <v>1</v>
      </c>
      <c r="K1115" s="5">
        <v>1</v>
      </c>
      <c r="L1115" s="4">
        <v>1110</v>
      </c>
      <c r="M1115" s="4">
        <v>891</v>
      </c>
      <c r="N1115" s="4">
        <v>624</v>
      </c>
      <c r="O1115" s="6">
        <f t="shared" si="170"/>
        <v>0.29966329966329963</v>
      </c>
      <c r="P1115" s="4" t="s">
        <v>2500</v>
      </c>
      <c r="Q1115" s="4"/>
      <c r="R1115" s="4"/>
      <c r="S1115" s="4"/>
      <c r="T1115" s="4"/>
      <c r="U1115" s="4"/>
      <c r="V1115" s="4"/>
      <c r="W1115" s="4"/>
      <c r="X1115" s="4"/>
      <c r="Y1115" s="4">
        <v>928</v>
      </c>
      <c r="Z1115" s="4">
        <f t="shared" si="171"/>
        <v>928</v>
      </c>
      <c r="AA1115" s="4">
        <v>650</v>
      </c>
      <c r="AB1115" s="4">
        <f t="shared" si="172"/>
        <v>650</v>
      </c>
      <c r="AC1115" s="4"/>
      <c r="AD1115" s="21">
        <f>ROUND(M1115*AR1115,0)</f>
        <v>928</v>
      </c>
      <c r="AE1115" s="6">
        <f>1-AB1115/AD1115</f>
        <v>0.29956896551724133</v>
      </c>
      <c r="AF1115" s="33">
        <v>0</v>
      </c>
      <c r="AG1115" s="4">
        <f t="shared" si="173"/>
        <v>1110</v>
      </c>
      <c r="AH1115" s="33">
        <f t="shared" si="166"/>
        <v>1156.25</v>
      </c>
      <c r="AI1115" s="6">
        <f>1-AB1115/AH1115</f>
        <v>0.43783783783783781</v>
      </c>
      <c r="AJ1115" s="7">
        <v>928</v>
      </c>
      <c r="AK1115" s="6">
        <f>1-AB1115/AJ1115</f>
        <v>0.29956896551724133</v>
      </c>
      <c r="AL1115" s="4">
        <f>AJ1115-AB1115</f>
        <v>278</v>
      </c>
      <c r="AM1115" s="28"/>
      <c r="AN1115" s="6"/>
      <c r="AO1115" s="6"/>
      <c r="AP1115" s="6">
        <f>Z1115/L1115</f>
        <v>0.83603603603603605</v>
      </c>
      <c r="AQ1115" s="6">
        <f>AJ1115/M1115</f>
        <v>1.0415263748597081</v>
      </c>
      <c r="AR1115" s="6">
        <f>AB1115/N1115</f>
        <v>1.0416666666666667</v>
      </c>
      <c r="AS1115" s="4"/>
      <c r="AT1115" s="4"/>
      <c r="AU1115" s="4"/>
      <c r="AV1115" s="4"/>
      <c r="AW1115" s="4"/>
      <c r="AX1115" s="4"/>
      <c r="AY1115" s="4"/>
      <c r="AZ1115" s="4"/>
      <c r="BA1115" s="4"/>
      <c r="BB1115" s="4">
        <v>0</v>
      </c>
      <c r="BC1115" s="4" t="s">
        <v>4578</v>
      </c>
      <c r="BD1115" s="4">
        <v>1</v>
      </c>
      <c r="BE1115" s="4">
        <v>2</v>
      </c>
      <c r="BF1115" s="4" t="s">
        <v>4579</v>
      </c>
      <c r="BG1115" s="4">
        <v>2220</v>
      </c>
      <c r="BH1115" s="4">
        <v>2220</v>
      </c>
      <c r="BI1115" s="4">
        <f t="shared" si="174"/>
        <v>1110</v>
      </c>
      <c r="BJ1115" s="19">
        <v>4</v>
      </c>
      <c r="BK1115" s="19">
        <v>8</v>
      </c>
      <c r="BL1115" s="16">
        <v>6</v>
      </c>
      <c r="BM1115" s="45" t="s">
        <v>3534</v>
      </c>
      <c r="BN1115" t="s">
        <v>3534</v>
      </c>
      <c r="BO1115" t="str">
        <f t="shared" si="167"/>
        <v>-</v>
      </c>
      <c r="BP1115" t="s">
        <v>3534</v>
      </c>
      <c r="BQ1115" t="s">
        <v>3534</v>
      </c>
      <c r="BR1115" t="str">
        <f t="shared" si="168"/>
        <v>-</v>
      </c>
      <c r="BS1115" t="s">
        <v>3431</v>
      </c>
    </row>
    <row r="1116" spans="1:71" x14ac:dyDescent="0.4">
      <c r="A1116" s="3">
        <v>1113</v>
      </c>
      <c r="B1116" s="3">
        <v>1113</v>
      </c>
      <c r="C1116" s="4" t="s">
        <v>1175</v>
      </c>
      <c r="D1116" s="4" t="str">
        <f t="shared" si="169"/>
        <v>J904WM</v>
      </c>
      <c r="E1116" s="4" t="s">
        <v>1175</v>
      </c>
      <c r="F1116" s="4" t="s">
        <v>2393</v>
      </c>
      <c r="G1116" s="5">
        <v>4548030188382</v>
      </c>
      <c r="H1116" s="5"/>
      <c r="I1116" s="5"/>
      <c r="J1116" s="5">
        <v>1</v>
      </c>
      <c r="K1116" s="5">
        <v>1</v>
      </c>
      <c r="L1116" s="4">
        <v>1110</v>
      </c>
      <c r="M1116" s="4">
        <v>891</v>
      </c>
      <c r="N1116" s="4">
        <v>624</v>
      </c>
      <c r="O1116" s="6">
        <f t="shared" si="170"/>
        <v>0.29966329966329963</v>
      </c>
      <c r="P1116" s="4" t="s">
        <v>2500</v>
      </c>
      <c r="Q1116" s="4"/>
      <c r="R1116" s="4"/>
      <c r="S1116" s="4"/>
      <c r="T1116" s="4"/>
      <c r="U1116" s="4"/>
      <c r="V1116" s="4"/>
      <c r="W1116" s="4"/>
      <c r="X1116" s="4"/>
      <c r="Y1116" s="4">
        <v>928</v>
      </c>
      <c r="Z1116" s="4">
        <f t="shared" si="171"/>
        <v>928</v>
      </c>
      <c r="AA1116" s="4">
        <v>650</v>
      </c>
      <c r="AB1116" s="4">
        <f t="shared" si="172"/>
        <v>650</v>
      </c>
      <c r="AC1116" s="4"/>
      <c r="AD1116" s="21">
        <f>ROUND(M1116*AR1116,0)</f>
        <v>928</v>
      </c>
      <c r="AE1116" s="6">
        <f>1-AB1116/AD1116</f>
        <v>0.29956896551724133</v>
      </c>
      <c r="AF1116" s="33">
        <v>0</v>
      </c>
      <c r="AG1116" s="4">
        <f t="shared" si="173"/>
        <v>1110</v>
      </c>
      <c r="AH1116" s="33">
        <f t="shared" si="166"/>
        <v>1156.25</v>
      </c>
      <c r="AI1116" s="6">
        <f>1-AB1116/AH1116</f>
        <v>0.43783783783783781</v>
      </c>
      <c r="AJ1116" s="7">
        <v>928</v>
      </c>
      <c r="AK1116" s="6">
        <f>1-AB1116/AJ1116</f>
        <v>0.29956896551724133</v>
      </c>
      <c r="AL1116" s="4">
        <f>AJ1116-AB1116</f>
        <v>278</v>
      </c>
      <c r="AM1116" s="28"/>
      <c r="AN1116" s="6"/>
      <c r="AO1116" s="6"/>
      <c r="AP1116" s="6">
        <f>Z1116/L1116</f>
        <v>0.83603603603603605</v>
      </c>
      <c r="AQ1116" s="6">
        <f>AJ1116/M1116</f>
        <v>1.0415263748597081</v>
      </c>
      <c r="AR1116" s="6">
        <f>AB1116/N1116</f>
        <v>1.0416666666666667</v>
      </c>
      <c r="AS1116" s="4"/>
      <c r="AT1116" s="4"/>
      <c r="AU1116" s="4"/>
      <c r="AV1116" s="4"/>
      <c r="AW1116" s="4"/>
      <c r="AX1116" s="4"/>
      <c r="AY1116" s="4"/>
      <c r="AZ1116" s="4"/>
      <c r="BA1116" s="4"/>
      <c r="BB1116" s="4">
        <v>0</v>
      </c>
      <c r="BC1116" s="4" t="s">
        <v>4580</v>
      </c>
      <c r="BD1116" s="4">
        <v>1</v>
      </c>
      <c r="BE1116" s="4">
        <v>2</v>
      </c>
      <c r="BF1116" s="4" t="s">
        <v>4579</v>
      </c>
      <c r="BG1116" s="4">
        <v>2220</v>
      </c>
      <c r="BH1116" s="4">
        <v>2220</v>
      </c>
      <c r="BI1116" s="4">
        <f t="shared" si="174"/>
        <v>1110</v>
      </c>
      <c r="BJ1116" s="19">
        <v>4</v>
      </c>
      <c r="BK1116" s="19">
        <v>8</v>
      </c>
      <c r="BL1116" s="16">
        <v>6</v>
      </c>
      <c r="BM1116" s="45" t="s">
        <v>3534</v>
      </c>
      <c r="BN1116" t="s">
        <v>3534</v>
      </c>
      <c r="BO1116" t="str">
        <f t="shared" si="167"/>
        <v>-</v>
      </c>
      <c r="BP1116" t="s">
        <v>3534</v>
      </c>
      <c r="BQ1116" t="s">
        <v>3534</v>
      </c>
      <c r="BR1116" t="str">
        <f t="shared" si="168"/>
        <v>-</v>
      </c>
      <c r="BS1116" t="s">
        <v>3432</v>
      </c>
    </row>
    <row r="1117" spans="1:71" x14ac:dyDescent="0.4">
      <c r="A1117" s="3">
        <v>1114</v>
      </c>
      <c r="B1117" s="3">
        <v>1114</v>
      </c>
      <c r="C1117" s="4" t="s">
        <v>1176</v>
      </c>
      <c r="D1117" s="4" t="str">
        <f t="shared" si="169"/>
        <v>J904LY</v>
      </c>
      <c r="E1117" s="4" t="s">
        <v>1176</v>
      </c>
      <c r="F1117" s="4" t="s">
        <v>2394</v>
      </c>
      <c r="G1117" s="5">
        <v>4521718825472</v>
      </c>
      <c r="H1117" s="5"/>
      <c r="I1117" s="5"/>
      <c r="J1117" s="5">
        <v>1</v>
      </c>
      <c r="K1117" s="5">
        <v>1</v>
      </c>
      <c r="L1117" s="4">
        <v>3546</v>
      </c>
      <c r="M1117" s="4">
        <v>3546</v>
      </c>
      <c r="N1117" s="4">
        <v>2837</v>
      </c>
      <c r="O1117" s="6">
        <f t="shared" si="170"/>
        <v>0.19994359842075582</v>
      </c>
      <c r="P1117" s="4" t="s">
        <v>2500</v>
      </c>
      <c r="Q1117" s="4"/>
      <c r="R1117" s="4"/>
      <c r="S1117" s="4"/>
      <c r="T1117" s="4"/>
      <c r="U1117" s="4"/>
      <c r="V1117" s="4"/>
      <c r="W1117" s="4"/>
      <c r="X1117" s="4"/>
      <c r="Y1117" s="4">
        <v>3546</v>
      </c>
      <c r="Z1117" s="4">
        <f t="shared" si="171"/>
        <v>3546</v>
      </c>
      <c r="AA1117" s="4">
        <v>2837</v>
      </c>
      <c r="AB1117" s="4">
        <f t="shared" si="172"/>
        <v>2837</v>
      </c>
      <c r="AC1117" s="4"/>
      <c r="AD1117" s="21">
        <f>ROUND(M1117*AR1117,0)</f>
        <v>3546</v>
      </c>
      <c r="AE1117" s="6">
        <f>1-AB1117/AD1117</f>
        <v>0.19994359842075582</v>
      </c>
      <c r="AF1117" s="33">
        <v>0</v>
      </c>
      <c r="AG1117" s="4">
        <f t="shared" si="173"/>
        <v>5500</v>
      </c>
      <c r="AH1117" s="33">
        <f t="shared" si="166"/>
        <v>5500</v>
      </c>
      <c r="AI1117" s="6">
        <f>1-AB1117/AH1117</f>
        <v>0.48418181818181816</v>
      </c>
      <c r="AJ1117" s="7">
        <v>3546</v>
      </c>
      <c r="AK1117" s="6">
        <f>1-AB1117/AJ1117</f>
        <v>0.19994359842075582</v>
      </c>
      <c r="AL1117" s="4">
        <f>AJ1117-AB1117</f>
        <v>709</v>
      </c>
      <c r="AM1117" s="28"/>
      <c r="AN1117" s="6"/>
      <c r="AO1117" s="6"/>
      <c r="AP1117" s="6">
        <f>Z1117/L1117</f>
        <v>1</v>
      </c>
      <c r="AQ1117" s="6">
        <f>AJ1117/M1117</f>
        <v>1</v>
      </c>
      <c r="AR1117" s="6">
        <f>AB1117/N1117</f>
        <v>1</v>
      </c>
      <c r="AS1117" s="4"/>
      <c r="AT1117" s="4"/>
      <c r="AU1117" s="4"/>
      <c r="AV1117" s="4"/>
      <c r="AW1117" s="4"/>
      <c r="AX1117" s="4"/>
      <c r="AY1117" s="4"/>
      <c r="AZ1117" s="4"/>
      <c r="BA1117" s="4"/>
      <c r="BB1117" s="4">
        <v>0</v>
      </c>
      <c r="BC1117" s="4" t="s">
        <v>4581</v>
      </c>
      <c r="BD1117" s="4"/>
      <c r="BE1117" s="4"/>
      <c r="BF1117" s="4" t="s">
        <v>3545</v>
      </c>
      <c r="BG1117" s="4">
        <v>5500</v>
      </c>
      <c r="BH1117" s="4">
        <v>5500</v>
      </c>
      <c r="BI1117" s="4">
        <f t="shared" si="174"/>
        <v>5500</v>
      </c>
      <c r="BJ1117" s="19">
        <v>4</v>
      </c>
      <c r="BK1117" s="19">
        <v>8</v>
      </c>
      <c r="BL1117" s="16">
        <v>6</v>
      </c>
      <c r="BM1117" s="45" t="s">
        <v>3534</v>
      </c>
      <c r="BN1117" t="s">
        <v>3534</v>
      </c>
      <c r="BO1117" t="str">
        <f t="shared" si="167"/>
        <v>-</v>
      </c>
      <c r="BP1117" t="s">
        <v>3534</v>
      </c>
      <c r="BQ1117">
        <v>3546</v>
      </c>
      <c r="BR1117">
        <f t="shared" si="168"/>
        <v>3546</v>
      </c>
      <c r="BS1117" t="s">
        <v>3433</v>
      </c>
    </row>
    <row r="1118" spans="1:71" x14ac:dyDescent="0.4">
      <c r="A1118" s="3">
        <v>1115</v>
      </c>
      <c r="B1118" s="3">
        <v>1115</v>
      </c>
      <c r="C1118" s="4" t="s">
        <v>1177</v>
      </c>
      <c r="D1118" s="4" t="str">
        <f t="shared" si="169"/>
        <v>J905LY</v>
      </c>
      <c r="E1118" s="4" t="s">
        <v>1177</v>
      </c>
      <c r="F1118" s="4" t="s">
        <v>2395</v>
      </c>
      <c r="G1118" s="5">
        <v>4521718868462</v>
      </c>
      <c r="H1118" s="5"/>
      <c r="I1118" s="5"/>
      <c r="J1118" s="5">
        <v>1</v>
      </c>
      <c r="K1118" s="5">
        <v>1</v>
      </c>
      <c r="L1118" s="4">
        <v>3428</v>
      </c>
      <c r="M1118" s="4">
        <v>3428</v>
      </c>
      <c r="N1118" s="4">
        <v>2742</v>
      </c>
      <c r="O1118" s="6">
        <f t="shared" si="170"/>
        <v>0.2001166861143524</v>
      </c>
      <c r="P1118" s="4" t="s">
        <v>2500</v>
      </c>
      <c r="Q1118" s="4"/>
      <c r="R1118" s="4"/>
      <c r="S1118" s="4"/>
      <c r="T1118" s="4"/>
      <c r="U1118" s="4"/>
      <c r="V1118" s="4"/>
      <c r="W1118" s="4"/>
      <c r="X1118" s="4"/>
      <c r="Y1118" s="4">
        <v>3455</v>
      </c>
      <c r="Z1118" s="4">
        <f t="shared" si="171"/>
        <v>3455</v>
      </c>
      <c r="AA1118" s="4">
        <v>2764</v>
      </c>
      <c r="AB1118" s="4">
        <f t="shared" si="172"/>
        <v>2764</v>
      </c>
      <c r="AC1118" s="4"/>
      <c r="AD1118" s="21">
        <f>ROUND(M1118*AR1118,0)</f>
        <v>3456</v>
      </c>
      <c r="AE1118" s="6">
        <f>1-AB1118/AD1118</f>
        <v>0.20023148148148151</v>
      </c>
      <c r="AF1118" s="33">
        <v>0</v>
      </c>
      <c r="AG1118" s="4">
        <f t="shared" si="173"/>
        <v>3669</v>
      </c>
      <c r="AH1118" s="33">
        <f t="shared" si="166"/>
        <v>3698.4376367614882</v>
      </c>
      <c r="AI1118" s="6">
        <f>1-AB1118/AH1118</f>
        <v>0.25265739983646773</v>
      </c>
      <c r="AJ1118" s="7">
        <v>3455</v>
      </c>
      <c r="AK1118" s="6">
        <f>1-AB1118/AJ1118</f>
        <v>0.19999999999999996</v>
      </c>
      <c r="AL1118" s="4">
        <f>AJ1118-AB1118</f>
        <v>691</v>
      </c>
      <c r="AM1118" s="28"/>
      <c r="AN1118" s="6"/>
      <c r="AO1118" s="6"/>
      <c r="AP1118" s="6">
        <f>Z1118/L1118</f>
        <v>1.0078763127187864</v>
      </c>
      <c r="AQ1118" s="6">
        <f>AJ1118/M1118</f>
        <v>1.0078763127187864</v>
      </c>
      <c r="AR1118" s="6">
        <f>AB1118/N1118</f>
        <v>1.0080233406272794</v>
      </c>
      <c r="AS1118" s="4"/>
      <c r="AT1118" s="4"/>
      <c r="AU1118" s="4"/>
      <c r="AV1118" s="4"/>
      <c r="AW1118" s="4"/>
      <c r="AX1118" s="4"/>
      <c r="AY1118" s="4"/>
      <c r="AZ1118" s="4"/>
      <c r="BA1118" s="4"/>
      <c r="BB1118" s="4">
        <v>0</v>
      </c>
      <c r="BC1118" s="4" t="s">
        <v>4582</v>
      </c>
      <c r="BD1118" s="4"/>
      <c r="BE1118" s="4"/>
      <c r="BF1118" s="4" t="s">
        <v>3545</v>
      </c>
      <c r="BG1118" s="4">
        <v>3669</v>
      </c>
      <c r="BH1118" s="4">
        <v>3669</v>
      </c>
      <c r="BI1118" s="4">
        <f t="shared" si="174"/>
        <v>3669</v>
      </c>
      <c r="BJ1118" s="19">
        <v>4</v>
      </c>
      <c r="BK1118" s="19">
        <v>8</v>
      </c>
      <c r="BL1118" s="16">
        <v>6</v>
      </c>
      <c r="BM1118" s="45" t="s">
        <v>3534</v>
      </c>
      <c r="BN1118" t="s">
        <v>3534</v>
      </c>
      <c r="BO1118" t="str">
        <f t="shared" si="167"/>
        <v>-</v>
      </c>
      <c r="BP1118" t="s">
        <v>3534</v>
      </c>
      <c r="BQ1118">
        <v>3428</v>
      </c>
      <c r="BR1118">
        <f t="shared" si="168"/>
        <v>3455.504011670314</v>
      </c>
      <c r="BS1118" t="s">
        <v>3434</v>
      </c>
    </row>
    <row r="1119" spans="1:71" x14ac:dyDescent="0.4">
      <c r="A1119" s="3">
        <v>1116</v>
      </c>
      <c r="B1119" s="3">
        <v>1116</v>
      </c>
      <c r="C1119" s="4" t="s">
        <v>1178</v>
      </c>
      <c r="D1119" s="4" t="str">
        <f t="shared" si="169"/>
        <v>J906LY</v>
      </c>
      <c r="E1119" s="4" t="s">
        <v>1178</v>
      </c>
      <c r="F1119" s="4" t="s">
        <v>2396</v>
      </c>
      <c r="G1119" s="5">
        <v>4521718868486</v>
      </c>
      <c r="H1119" s="5"/>
      <c r="I1119" s="5"/>
      <c r="J1119" s="5">
        <v>1</v>
      </c>
      <c r="K1119" s="5">
        <v>1</v>
      </c>
      <c r="L1119" s="4">
        <v>2546</v>
      </c>
      <c r="M1119" s="4">
        <v>2545</v>
      </c>
      <c r="N1119" s="4">
        <v>2037</v>
      </c>
      <c r="O1119" s="6">
        <f t="shared" si="170"/>
        <v>0.19960707269155209</v>
      </c>
      <c r="P1119" s="4" t="s">
        <v>2500</v>
      </c>
      <c r="Q1119" s="4"/>
      <c r="R1119" s="4"/>
      <c r="S1119" s="4"/>
      <c r="T1119" s="4"/>
      <c r="U1119" s="4"/>
      <c r="V1119" s="4"/>
      <c r="W1119" s="4"/>
      <c r="X1119" s="4"/>
      <c r="Y1119" s="4">
        <v>2546</v>
      </c>
      <c r="Z1119" s="4">
        <f t="shared" si="171"/>
        <v>2546</v>
      </c>
      <c r="AA1119" s="4">
        <v>2037</v>
      </c>
      <c r="AB1119" s="4">
        <f t="shared" si="172"/>
        <v>2037</v>
      </c>
      <c r="AC1119" s="4"/>
      <c r="AD1119" s="21">
        <f>ROUND(M1119*AR1119,0)</f>
        <v>2545</v>
      </c>
      <c r="AE1119" s="6">
        <f>1-AB1119/AD1119</f>
        <v>0.19960707269155209</v>
      </c>
      <c r="AF1119" s="33">
        <v>0</v>
      </c>
      <c r="AG1119" s="4">
        <f t="shared" si="173"/>
        <v>2738</v>
      </c>
      <c r="AH1119" s="33">
        <f t="shared" si="166"/>
        <v>2738</v>
      </c>
      <c r="AI1119" s="6">
        <f>1-AB1119/AH1119</f>
        <v>0.25602629656683706</v>
      </c>
      <c r="AJ1119" s="7">
        <v>2546</v>
      </c>
      <c r="AK1119" s="6">
        <f>1-AB1119/AJ1119</f>
        <v>0.19992144540455614</v>
      </c>
      <c r="AL1119" s="4">
        <f>AJ1119-AB1119</f>
        <v>509</v>
      </c>
      <c r="AM1119" s="28"/>
      <c r="AN1119" s="6"/>
      <c r="AO1119" s="6"/>
      <c r="AP1119" s="6">
        <f>Z1119/L1119</f>
        <v>1</v>
      </c>
      <c r="AQ1119" s="6">
        <f>AJ1119/M1119</f>
        <v>1.000392927308448</v>
      </c>
      <c r="AR1119" s="6">
        <f>AB1119/N1119</f>
        <v>1</v>
      </c>
      <c r="AS1119" s="4"/>
      <c r="AT1119" s="4"/>
      <c r="AU1119" s="4"/>
      <c r="AV1119" s="4"/>
      <c r="AW1119" s="4"/>
      <c r="AX1119" s="4"/>
      <c r="AY1119" s="4"/>
      <c r="AZ1119" s="4"/>
      <c r="BA1119" s="4"/>
      <c r="BB1119" s="4">
        <v>0</v>
      </c>
      <c r="BC1119" s="4" t="s">
        <v>4583</v>
      </c>
      <c r="BD1119" s="4"/>
      <c r="BE1119" s="4"/>
      <c r="BF1119" s="4" t="s">
        <v>3545</v>
      </c>
      <c r="BG1119" s="4">
        <v>2738</v>
      </c>
      <c r="BH1119" s="4">
        <v>2738</v>
      </c>
      <c r="BI1119" s="4">
        <f t="shared" si="174"/>
        <v>2738</v>
      </c>
      <c r="BJ1119" s="19">
        <v>4</v>
      </c>
      <c r="BK1119" s="19">
        <v>8</v>
      </c>
      <c r="BL1119" s="16">
        <v>6</v>
      </c>
      <c r="BM1119" s="45" t="s">
        <v>3534</v>
      </c>
      <c r="BN1119" t="s">
        <v>3534</v>
      </c>
      <c r="BO1119" t="str">
        <f t="shared" si="167"/>
        <v>-</v>
      </c>
      <c r="BP1119" t="s">
        <v>3534</v>
      </c>
      <c r="BQ1119">
        <v>2546</v>
      </c>
      <c r="BR1119">
        <f t="shared" si="168"/>
        <v>2546</v>
      </c>
      <c r="BS1119" t="s">
        <v>3435</v>
      </c>
    </row>
    <row r="1120" spans="1:71" x14ac:dyDescent="0.4">
      <c r="A1120" s="3">
        <v>1117</v>
      </c>
      <c r="B1120" s="3">
        <v>1117</v>
      </c>
      <c r="C1120" s="4" t="s">
        <v>1179</v>
      </c>
      <c r="D1120" s="4" t="str">
        <f t="shared" si="169"/>
        <v>J906WM</v>
      </c>
      <c r="E1120" s="4" t="s">
        <v>1179</v>
      </c>
      <c r="F1120" s="4" t="s">
        <v>2397</v>
      </c>
      <c r="G1120" s="5">
        <v>4548030188405</v>
      </c>
      <c r="H1120" s="5"/>
      <c r="I1120" s="5"/>
      <c r="J1120" s="5">
        <v>1</v>
      </c>
      <c r="K1120" s="5">
        <v>1</v>
      </c>
      <c r="L1120" s="4">
        <v>840</v>
      </c>
      <c r="M1120" s="4">
        <v>673</v>
      </c>
      <c r="N1120" s="4">
        <v>471</v>
      </c>
      <c r="O1120" s="6">
        <f t="shared" si="170"/>
        <v>0.30014858841010406</v>
      </c>
      <c r="P1120" s="4" t="s">
        <v>2500</v>
      </c>
      <c r="Q1120" s="4"/>
      <c r="R1120" s="4"/>
      <c r="S1120" s="4"/>
      <c r="T1120" s="4"/>
      <c r="U1120" s="4"/>
      <c r="V1120" s="4"/>
      <c r="W1120" s="4"/>
      <c r="X1120" s="4"/>
      <c r="Y1120" s="4">
        <v>700</v>
      </c>
      <c r="Z1120" s="4">
        <f t="shared" si="171"/>
        <v>700</v>
      </c>
      <c r="AA1120" s="4">
        <v>490</v>
      </c>
      <c r="AB1120" s="4">
        <f t="shared" si="172"/>
        <v>490</v>
      </c>
      <c r="AC1120" s="4"/>
      <c r="AD1120" s="21">
        <f>ROUND(M1120*AR1120,0)</f>
        <v>700</v>
      </c>
      <c r="AE1120" s="6">
        <f>1-AB1120/AD1120</f>
        <v>0.30000000000000004</v>
      </c>
      <c r="AF1120" s="33">
        <v>0</v>
      </c>
      <c r="AG1120" s="4">
        <f t="shared" si="173"/>
        <v>840</v>
      </c>
      <c r="AH1120" s="33">
        <f t="shared" si="166"/>
        <v>873.8853503184713</v>
      </c>
      <c r="AI1120" s="6">
        <f>1-AB1120/AH1120</f>
        <v>0.43928571428571428</v>
      </c>
      <c r="AJ1120" s="7">
        <v>700</v>
      </c>
      <c r="AK1120" s="6">
        <f>1-AB1120/AJ1120</f>
        <v>0.30000000000000004</v>
      </c>
      <c r="AL1120" s="4">
        <f>AJ1120-AB1120</f>
        <v>210</v>
      </c>
      <c r="AM1120" s="28"/>
      <c r="AN1120" s="6"/>
      <c r="AO1120" s="6"/>
      <c r="AP1120" s="6">
        <f>Z1120/L1120</f>
        <v>0.83333333333333337</v>
      </c>
      <c r="AQ1120" s="6">
        <f>AJ1120/M1120</f>
        <v>1.0401188707280833</v>
      </c>
      <c r="AR1120" s="6">
        <f>AB1120/N1120</f>
        <v>1.0403397027600849</v>
      </c>
      <c r="AS1120" s="4"/>
      <c r="AT1120" s="4"/>
      <c r="AU1120" s="4"/>
      <c r="AV1120" s="4"/>
      <c r="AW1120" s="4"/>
      <c r="AX1120" s="4"/>
      <c r="AY1120" s="4"/>
      <c r="AZ1120" s="4"/>
      <c r="BA1120" s="4"/>
      <c r="BB1120" s="4">
        <v>0</v>
      </c>
      <c r="BC1120" s="4" t="s">
        <v>4584</v>
      </c>
      <c r="BD1120" s="4">
        <v>1</v>
      </c>
      <c r="BE1120" s="4">
        <v>2</v>
      </c>
      <c r="BF1120" s="4" t="s">
        <v>4579</v>
      </c>
      <c r="BG1120" s="4">
        <v>1680</v>
      </c>
      <c r="BH1120" s="4">
        <v>1680</v>
      </c>
      <c r="BI1120" s="4">
        <f t="shared" si="174"/>
        <v>840</v>
      </c>
      <c r="BJ1120" s="19">
        <v>4</v>
      </c>
      <c r="BK1120" s="19">
        <v>8</v>
      </c>
      <c r="BL1120" s="16">
        <v>6</v>
      </c>
      <c r="BM1120" s="45" t="s">
        <v>3534</v>
      </c>
      <c r="BN1120" t="s">
        <v>3534</v>
      </c>
      <c r="BO1120" t="str">
        <f t="shared" si="167"/>
        <v>-</v>
      </c>
      <c r="BP1120" t="s">
        <v>3534</v>
      </c>
      <c r="BQ1120" t="s">
        <v>3534</v>
      </c>
      <c r="BR1120" t="str">
        <f t="shared" si="168"/>
        <v>-</v>
      </c>
      <c r="BS1120" t="s">
        <v>3436</v>
      </c>
    </row>
    <row r="1121" spans="1:71" x14ac:dyDescent="0.4">
      <c r="A1121" s="3">
        <v>1118</v>
      </c>
      <c r="B1121" s="3">
        <v>1118</v>
      </c>
      <c r="C1121" s="4" t="s">
        <v>1180</v>
      </c>
      <c r="D1121" s="4" t="str">
        <f t="shared" si="169"/>
        <v>J905WM</v>
      </c>
      <c r="E1121" s="4" t="s">
        <v>1180</v>
      </c>
      <c r="F1121" s="4" t="s">
        <v>2398</v>
      </c>
      <c r="G1121" s="5">
        <v>4548030188399</v>
      </c>
      <c r="H1121" s="5"/>
      <c r="I1121" s="5"/>
      <c r="J1121" s="5">
        <v>1</v>
      </c>
      <c r="K1121" s="5">
        <v>1</v>
      </c>
      <c r="L1121" s="4">
        <v>840</v>
      </c>
      <c r="M1121" s="4">
        <v>673</v>
      </c>
      <c r="N1121" s="4">
        <v>471</v>
      </c>
      <c r="O1121" s="6">
        <f t="shared" si="170"/>
        <v>0.30014858841010406</v>
      </c>
      <c r="P1121" s="4" t="s">
        <v>2500</v>
      </c>
      <c r="Q1121" s="4"/>
      <c r="R1121" s="4"/>
      <c r="S1121" s="4"/>
      <c r="T1121" s="4"/>
      <c r="U1121" s="4"/>
      <c r="V1121" s="4"/>
      <c r="W1121" s="4"/>
      <c r="X1121" s="4"/>
      <c r="Y1121" s="4">
        <v>700</v>
      </c>
      <c r="Z1121" s="4">
        <f t="shared" si="171"/>
        <v>700</v>
      </c>
      <c r="AA1121" s="4">
        <v>490</v>
      </c>
      <c r="AB1121" s="4">
        <f t="shared" si="172"/>
        <v>490</v>
      </c>
      <c r="AC1121" s="4"/>
      <c r="AD1121" s="21">
        <f>ROUND(M1121*AR1121,0)</f>
        <v>700</v>
      </c>
      <c r="AE1121" s="6">
        <f>1-AB1121/AD1121</f>
        <v>0.30000000000000004</v>
      </c>
      <c r="AF1121" s="33">
        <v>0.25</v>
      </c>
      <c r="AG1121" s="4">
        <f t="shared" si="173"/>
        <v>840</v>
      </c>
      <c r="AH1121" s="33">
        <f t="shared" si="166"/>
        <v>873.8853503184713</v>
      </c>
      <c r="AI1121" s="6">
        <f>1-AB1121/AH1121</f>
        <v>0.43928571428571428</v>
      </c>
      <c r="AJ1121" s="7">
        <v>700</v>
      </c>
      <c r="AK1121" s="6">
        <f>1-AB1121/AJ1121</f>
        <v>0.30000000000000004</v>
      </c>
      <c r="AL1121" s="4">
        <f>AJ1121-AB1121</f>
        <v>210</v>
      </c>
      <c r="AM1121" s="28"/>
      <c r="AN1121" s="6"/>
      <c r="AO1121" s="6"/>
      <c r="AP1121" s="6">
        <f>Z1121/L1121</f>
        <v>0.83333333333333337</v>
      </c>
      <c r="AQ1121" s="6">
        <f>AJ1121/M1121</f>
        <v>1.0401188707280833</v>
      </c>
      <c r="AR1121" s="6">
        <f>AB1121/N1121</f>
        <v>1.0403397027600849</v>
      </c>
      <c r="AS1121" s="4"/>
      <c r="AT1121" s="4"/>
      <c r="AU1121" s="4"/>
      <c r="AV1121" s="4"/>
      <c r="AW1121" s="4"/>
      <c r="AX1121" s="4"/>
      <c r="AY1121" s="4"/>
      <c r="AZ1121" s="4"/>
      <c r="BA1121" s="4"/>
      <c r="BB1121" s="4">
        <v>0</v>
      </c>
      <c r="BC1121" s="4" t="s">
        <v>4585</v>
      </c>
      <c r="BD1121" s="4">
        <v>1</v>
      </c>
      <c r="BE1121" s="4">
        <v>2</v>
      </c>
      <c r="BF1121" s="4" t="s">
        <v>4579</v>
      </c>
      <c r="BG1121" s="4">
        <v>1680</v>
      </c>
      <c r="BH1121" s="4">
        <v>1680</v>
      </c>
      <c r="BI1121" s="4">
        <f t="shared" si="174"/>
        <v>840</v>
      </c>
      <c r="BJ1121" s="19">
        <v>4</v>
      </c>
      <c r="BK1121" s="19">
        <v>8</v>
      </c>
      <c r="BL1121" s="16">
        <v>6</v>
      </c>
      <c r="BM1121" s="45" t="s">
        <v>3534</v>
      </c>
      <c r="BN1121" t="s">
        <v>3534</v>
      </c>
      <c r="BO1121" t="str">
        <f t="shared" si="167"/>
        <v>-</v>
      </c>
      <c r="BP1121" t="s">
        <v>3534</v>
      </c>
      <c r="BQ1121" t="s">
        <v>3534</v>
      </c>
      <c r="BR1121" t="str">
        <f t="shared" si="168"/>
        <v>-</v>
      </c>
      <c r="BS1121" t="s">
        <v>3437</v>
      </c>
    </row>
    <row r="1122" spans="1:71" x14ac:dyDescent="0.4">
      <c r="A1122" s="3">
        <v>1119</v>
      </c>
      <c r="B1122" s="3">
        <v>1119</v>
      </c>
      <c r="C1122" s="4" t="s">
        <v>1181</v>
      </c>
      <c r="D1122" s="4" t="str">
        <f t="shared" si="169"/>
        <v>J907LY</v>
      </c>
      <c r="E1122" s="4" t="s">
        <v>1181</v>
      </c>
      <c r="F1122" s="4" t="s">
        <v>2399</v>
      </c>
      <c r="G1122" s="5">
        <v>4521718868493</v>
      </c>
      <c r="H1122" s="5"/>
      <c r="I1122" s="5"/>
      <c r="J1122" s="5">
        <v>1</v>
      </c>
      <c r="K1122" s="5">
        <v>1</v>
      </c>
      <c r="L1122" s="4">
        <v>5910</v>
      </c>
      <c r="M1122" s="4">
        <v>5910</v>
      </c>
      <c r="N1122" s="4">
        <v>4728</v>
      </c>
      <c r="O1122" s="6">
        <f t="shared" si="170"/>
        <v>0.19999999999999996</v>
      </c>
      <c r="P1122" s="4" t="s">
        <v>2500</v>
      </c>
      <c r="Q1122" s="4"/>
      <c r="R1122" s="4"/>
      <c r="S1122" s="4"/>
      <c r="T1122" s="4"/>
      <c r="U1122" s="4"/>
      <c r="V1122" s="4"/>
      <c r="W1122" s="4"/>
      <c r="X1122" s="4"/>
      <c r="Y1122" s="4">
        <v>5910</v>
      </c>
      <c r="Z1122" s="4">
        <f t="shared" si="171"/>
        <v>5910</v>
      </c>
      <c r="AA1122" s="4">
        <v>4728</v>
      </c>
      <c r="AB1122" s="4">
        <f t="shared" si="172"/>
        <v>4728</v>
      </c>
      <c r="AC1122" s="4"/>
      <c r="AD1122" s="21">
        <f>ROUND(M1122*AR1122,0)</f>
        <v>5910</v>
      </c>
      <c r="AE1122" s="6">
        <f>1-AB1122/AD1122</f>
        <v>0.19999999999999996</v>
      </c>
      <c r="AF1122" s="33">
        <v>0</v>
      </c>
      <c r="AG1122" s="4">
        <f t="shared" si="173"/>
        <v>6370</v>
      </c>
      <c r="AH1122" s="33">
        <f t="shared" si="166"/>
        <v>6370</v>
      </c>
      <c r="AI1122" s="6">
        <f>1-AB1122/AH1122</f>
        <v>0.25777080062794344</v>
      </c>
      <c r="AJ1122" s="7">
        <v>5910</v>
      </c>
      <c r="AK1122" s="6">
        <f>1-AB1122/AJ1122</f>
        <v>0.19999999999999996</v>
      </c>
      <c r="AL1122" s="4">
        <f>AJ1122-AB1122</f>
        <v>1182</v>
      </c>
      <c r="AM1122" s="28"/>
      <c r="AN1122" s="6"/>
      <c r="AO1122" s="6"/>
      <c r="AP1122" s="6">
        <f>Z1122/L1122</f>
        <v>1</v>
      </c>
      <c r="AQ1122" s="6">
        <f>AJ1122/M1122</f>
        <v>1</v>
      </c>
      <c r="AR1122" s="6">
        <f>AB1122/N1122</f>
        <v>1</v>
      </c>
      <c r="AS1122" s="4"/>
      <c r="AT1122" s="4"/>
      <c r="AU1122" s="4"/>
      <c r="AV1122" s="4"/>
      <c r="AW1122" s="4"/>
      <c r="AX1122" s="4"/>
      <c r="AY1122" s="4"/>
      <c r="AZ1122" s="4"/>
      <c r="BA1122" s="4"/>
      <c r="BB1122" s="4">
        <v>0</v>
      </c>
      <c r="BC1122" s="4" t="s">
        <v>4586</v>
      </c>
      <c r="BD1122" s="4"/>
      <c r="BE1122" s="4"/>
      <c r="BF1122" s="4" t="s">
        <v>3545</v>
      </c>
      <c r="BG1122" s="4">
        <v>6370</v>
      </c>
      <c r="BH1122" s="4">
        <v>6370</v>
      </c>
      <c r="BI1122" s="4">
        <f t="shared" si="174"/>
        <v>6370</v>
      </c>
      <c r="BJ1122" s="19">
        <v>4</v>
      </c>
      <c r="BK1122" s="19">
        <v>8</v>
      </c>
      <c r="BL1122" s="16">
        <v>6</v>
      </c>
      <c r="BM1122" s="45" t="s">
        <v>3534</v>
      </c>
      <c r="BN1122" t="s">
        <v>3534</v>
      </c>
      <c r="BO1122" t="str">
        <f t="shared" si="167"/>
        <v>-</v>
      </c>
      <c r="BP1122" t="s">
        <v>3534</v>
      </c>
      <c r="BQ1122">
        <v>5910</v>
      </c>
      <c r="BR1122">
        <f t="shared" si="168"/>
        <v>5910</v>
      </c>
      <c r="BS1122" t="s">
        <v>3438</v>
      </c>
    </row>
    <row r="1123" spans="1:71" x14ac:dyDescent="0.4">
      <c r="A1123" s="3">
        <v>1120</v>
      </c>
      <c r="B1123" s="3">
        <v>1120</v>
      </c>
      <c r="C1123" s="4" t="s">
        <v>1182</v>
      </c>
      <c r="D1123" s="4" t="str">
        <f t="shared" si="169"/>
        <v>J907WM</v>
      </c>
      <c r="E1123" s="4" t="s">
        <v>1182</v>
      </c>
      <c r="F1123" s="4" t="s">
        <v>2400</v>
      </c>
      <c r="G1123" s="5">
        <v>4548030188412</v>
      </c>
      <c r="H1123" s="5"/>
      <c r="I1123" s="5"/>
      <c r="J1123" s="5">
        <v>1</v>
      </c>
      <c r="K1123" s="5">
        <v>1</v>
      </c>
      <c r="L1123" s="4">
        <v>790</v>
      </c>
      <c r="M1123" s="4">
        <v>628</v>
      </c>
      <c r="N1123" s="4">
        <v>440</v>
      </c>
      <c r="O1123" s="6">
        <f t="shared" si="170"/>
        <v>0.29936305732484081</v>
      </c>
      <c r="P1123" s="4" t="s">
        <v>2500</v>
      </c>
      <c r="Q1123" s="4"/>
      <c r="R1123" s="4"/>
      <c r="S1123" s="4"/>
      <c r="T1123" s="4"/>
      <c r="U1123" s="4"/>
      <c r="V1123" s="4"/>
      <c r="W1123" s="4"/>
      <c r="X1123" s="4"/>
      <c r="Y1123" s="4">
        <v>655</v>
      </c>
      <c r="Z1123" s="4">
        <f t="shared" si="171"/>
        <v>655</v>
      </c>
      <c r="AA1123" s="4">
        <v>459</v>
      </c>
      <c r="AB1123" s="4">
        <f t="shared" si="172"/>
        <v>459</v>
      </c>
      <c r="AC1123" s="4"/>
      <c r="AD1123" s="21">
        <f>ROUND(M1123*AR1123,0)</f>
        <v>655</v>
      </c>
      <c r="AE1123" s="6">
        <f>1-AB1123/AD1123</f>
        <v>0.29923664122137406</v>
      </c>
      <c r="AF1123" s="33">
        <v>0</v>
      </c>
      <c r="AG1123" s="4">
        <f t="shared" si="173"/>
        <v>790</v>
      </c>
      <c r="AH1123" s="33">
        <f t="shared" si="166"/>
        <v>824.11363636363637</v>
      </c>
      <c r="AI1123" s="6">
        <f>1-AB1123/AH1123</f>
        <v>0.44303797468354433</v>
      </c>
      <c r="AJ1123" s="7">
        <v>655</v>
      </c>
      <c r="AK1123" s="6">
        <f>1-AB1123/AJ1123</f>
        <v>0.29923664122137406</v>
      </c>
      <c r="AL1123" s="4">
        <f>AJ1123-AB1123</f>
        <v>196</v>
      </c>
      <c r="AM1123" s="28"/>
      <c r="AN1123" s="6"/>
      <c r="AO1123" s="6"/>
      <c r="AP1123" s="6">
        <f>Z1123/L1123</f>
        <v>0.82911392405063289</v>
      </c>
      <c r="AQ1123" s="6">
        <f>AJ1123/M1123</f>
        <v>1.0429936305732483</v>
      </c>
      <c r="AR1123" s="6">
        <f>AB1123/N1123</f>
        <v>1.0431818181818182</v>
      </c>
      <c r="AS1123" s="4"/>
      <c r="AT1123" s="4"/>
      <c r="AU1123" s="4"/>
      <c r="AV1123" s="4"/>
      <c r="AW1123" s="4"/>
      <c r="AX1123" s="4"/>
      <c r="AY1123" s="4"/>
      <c r="AZ1123" s="4"/>
      <c r="BA1123" s="4"/>
      <c r="BB1123" s="4">
        <v>0</v>
      </c>
      <c r="BC1123" s="4" t="s">
        <v>4587</v>
      </c>
      <c r="BD1123" s="4">
        <v>1</v>
      </c>
      <c r="BE1123" s="4">
        <v>2</v>
      </c>
      <c r="BF1123" s="4" t="s">
        <v>4579</v>
      </c>
      <c r="BG1123" s="4">
        <v>1580</v>
      </c>
      <c r="BH1123" s="4">
        <v>1580</v>
      </c>
      <c r="BI1123" s="4">
        <f t="shared" si="174"/>
        <v>790</v>
      </c>
      <c r="BJ1123" s="19">
        <v>4</v>
      </c>
      <c r="BK1123" s="19">
        <v>8</v>
      </c>
      <c r="BL1123" s="16">
        <v>6</v>
      </c>
      <c r="BM1123" s="45" t="s">
        <v>3534</v>
      </c>
      <c r="BN1123" t="s">
        <v>3534</v>
      </c>
      <c r="BO1123" t="str">
        <f t="shared" si="167"/>
        <v>-</v>
      </c>
      <c r="BP1123" t="s">
        <v>3534</v>
      </c>
      <c r="BQ1123" t="s">
        <v>3534</v>
      </c>
      <c r="BR1123" t="str">
        <f t="shared" si="168"/>
        <v>-</v>
      </c>
      <c r="BS1123" t="s">
        <v>3439</v>
      </c>
    </row>
    <row r="1124" spans="1:71" x14ac:dyDescent="0.4">
      <c r="A1124" s="3">
        <v>1121</v>
      </c>
      <c r="B1124" s="3">
        <v>1121</v>
      </c>
      <c r="C1124" s="4" t="s">
        <v>1183</v>
      </c>
      <c r="D1124" s="4" t="str">
        <f t="shared" si="169"/>
        <v>J908LY</v>
      </c>
      <c r="E1124" s="4" t="s">
        <v>1183</v>
      </c>
      <c r="F1124" s="4" t="s">
        <v>2401</v>
      </c>
      <c r="G1124" s="5">
        <v>4521718868509</v>
      </c>
      <c r="H1124" s="5"/>
      <c r="I1124" s="5"/>
      <c r="J1124" s="5">
        <v>1</v>
      </c>
      <c r="K1124" s="5">
        <v>1</v>
      </c>
      <c r="L1124" s="4">
        <v>2910</v>
      </c>
      <c r="M1124" s="4">
        <v>2909</v>
      </c>
      <c r="N1124" s="4">
        <v>2328</v>
      </c>
      <c r="O1124" s="6">
        <f t="shared" si="170"/>
        <v>0.19972499140598143</v>
      </c>
      <c r="P1124" s="4" t="s">
        <v>2500</v>
      </c>
      <c r="Q1124" s="4"/>
      <c r="R1124" s="4"/>
      <c r="S1124" s="4"/>
      <c r="T1124" s="4"/>
      <c r="U1124" s="4"/>
      <c r="V1124" s="4"/>
      <c r="W1124" s="4"/>
      <c r="X1124" s="4"/>
      <c r="Y1124" s="4">
        <v>2910</v>
      </c>
      <c r="Z1124" s="4">
        <f t="shared" si="171"/>
        <v>2910</v>
      </c>
      <c r="AA1124" s="4">
        <v>2328</v>
      </c>
      <c r="AB1124" s="4">
        <f t="shared" si="172"/>
        <v>2328</v>
      </c>
      <c r="AC1124" s="4"/>
      <c r="AD1124" s="21">
        <f>ROUND(M1124*AR1124,0)</f>
        <v>2909</v>
      </c>
      <c r="AE1124" s="6">
        <f>1-AB1124/AD1124</f>
        <v>0.19972499140598143</v>
      </c>
      <c r="AF1124" s="33">
        <v>0</v>
      </c>
      <c r="AG1124" s="4">
        <f t="shared" si="173"/>
        <v>3119</v>
      </c>
      <c r="AH1124" s="33">
        <f t="shared" si="166"/>
        <v>3119</v>
      </c>
      <c r="AI1124" s="6">
        <f>1-AB1124/AH1124</f>
        <v>0.25360692529656936</v>
      </c>
      <c r="AJ1124" s="7">
        <v>2910</v>
      </c>
      <c r="AK1124" s="6">
        <f>1-AB1124/AJ1124</f>
        <v>0.19999999999999996</v>
      </c>
      <c r="AL1124" s="4">
        <f>AJ1124-AB1124</f>
        <v>582</v>
      </c>
      <c r="AM1124" s="28"/>
      <c r="AN1124" s="6"/>
      <c r="AO1124" s="6"/>
      <c r="AP1124" s="6">
        <f>Z1124/L1124</f>
        <v>1</v>
      </c>
      <c r="AQ1124" s="6">
        <f>AJ1124/M1124</f>
        <v>1.0003437607425232</v>
      </c>
      <c r="AR1124" s="6">
        <f>AB1124/N1124</f>
        <v>1</v>
      </c>
      <c r="AS1124" s="4"/>
      <c r="AT1124" s="4"/>
      <c r="AU1124" s="4"/>
      <c r="AV1124" s="4"/>
      <c r="AW1124" s="4"/>
      <c r="AX1124" s="4"/>
      <c r="AY1124" s="4"/>
      <c r="AZ1124" s="4"/>
      <c r="BA1124" s="4"/>
      <c r="BB1124" s="4">
        <v>0</v>
      </c>
      <c r="BC1124" s="4" t="s">
        <v>4588</v>
      </c>
      <c r="BD1124" s="4"/>
      <c r="BE1124" s="4"/>
      <c r="BF1124" s="4" t="s">
        <v>3545</v>
      </c>
      <c r="BG1124" s="4">
        <v>3119</v>
      </c>
      <c r="BH1124" s="4">
        <v>3119</v>
      </c>
      <c r="BI1124" s="4">
        <f t="shared" si="174"/>
        <v>3119</v>
      </c>
      <c r="BJ1124" s="19">
        <v>4</v>
      </c>
      <c r="BK1124" s="19">
        <v>8</v>
      </c>
      <c r="BL1124" s="16">
        <v>6</v>
      </c>
      <c r="BM1124" s="45" t="s">
        <v>3534</v>
      </c>
      <c r="BN1124" t="s">
        <v>3534</v>
      </c>
      <c r="BO1124" t="str">
        <f t="shared" si="167"/>
        <v>-</v>
      </c>
      <c r="BP1124" t="s">
        <v>3534</v>
      </c>
      <c r="BQ1124">
        <v>2910</v>
      </c>
      <c r="BR1124">
        <f t="shared" si="168"/>
        <v>2910</v>
      </c>
      <c r="BS1124" t="s">
        <v>3440</v>
      </c>
    </row>
    <row r="1125" spans="1:71" x14ac:dyDescent="0.4">
      <c r="A1125" s="3">
        <v>1122</v>
      </c>
      <c r="B1125" s="3">
        <v>1122</v>
      </c>
      <c r="C1125" s="4" t="s">
        <v>1184</v>
      </c>
      <c r="D1125" s="4" t="str">
        <f t="shared" si="169"/>
        <v>J908WM</v>
      </c>
      <c r="E1125" s="4" t="s">
        <v>1184</v>
      </c>
      <c r="F1125" s="4" t="s">
        <v>2402</v>
      </c>
      <c r="G1125" s="5">
        <v>4548030188429</v>
      </c>
      <c r="H1125" s="5"/>
      <c r="I1125" s="5"/>
      <c r="J1125" s="5">
        <v>1</v>
      </c>
      <c r="K1125" s="5">
        <v>1</v>
      </c>
      <c r="L1125" s="4">
        <v>790</v>
      </c>
      <c r="M1125" s="4">
        <v>628</v>
      </c>
      <c r="N1125" s="4">
        <v>440</v>
      </c>
      <c r="O1125" s="6">
        <f t="shared" si="170"/>
        <v>0.29936305732484081</v>
      </c>
      <c r="P1125" s="4" t="s">
        <v>2500</v>
      </c>
      <c r="Q1125" s="4"/>
      <c r="R1125" s="4"/>
      <c r="S1125" s="4"/>
      <c r="T1125" s="4"/>
      <c r="U1125" s="4"/>
      <c r="V1125" s="4"/>
      <c r="W1125" s="4"/>
      <c r="X1125" s="4"/>
      <c r="Y1125" s="4">
        <v>655</v>
      </c>
      <c r="Z1125" s="4">
        <f t="shared" si="171"/>
        <v>655</v>
      </c>
      <c r="AA1125" s="4">
        <v>459</v>
      </c>
      <c r="AB1125" s="4">
        <f t="shared" si="172"/>
        <v>459</v>
      </c>
      <c r="AC1125" s="4"/>
      <c r="AD1125" s="21">
        <f>ROUND(M1125*AR1125,0)</f>
        <v>655</v>
      </c>
      <c r="AE1125" s="6">
        <f>1-AB1125/AD1125</f>
        <v>0.29923664122137406</v>
      </c>
      <c r="AF1125" s="33">
        <v>0</v>
      </c>
      <c r="AG1125" s="4">
        <f t="shared" si="173"/>
        <v>790</v>
      </c>
      <c r="AH1125" s="33">
        <f t="shared" si="166"/>
        <v>824.11363636363637</v>
      </c>
      <c r="AI1125" s="6">
        <f>1-AB1125/AH1125</f>
        <v>0.44303797468354433</v>
      </c>
      <c r="AJ1125" s="7">
        <v>655</v>
      </c>
      <c r="AK1125" s="6">
        <f>1-AB1125/AJ1125</f>
        <v>0.29923664122137406</v>
      </c>
      <c r="AL1125" s="4">
        <f>AJ1125-AB1125</f>
        <v>196</v>
      </c>
      <c r="AM1125" s="28"/>
      <c r="AN1125" s="6"/>
      <c r="AO1125" s="6"/>
      <c r="AP1125" s="6">
        <f>Z1125/L1125</f>
        <v>0.82911392405063289</v>
      </c>
      <c r="AQ1125" s="6">
        <f>AJ1125/M1125</f>
        <v>1.0429936305732483</v>
      </c>
      <c r="AR1125" s="6">
        <f>AB1125/N1125</f>
        <v>1.0431818181818182</v>
      </c>
      <c r="AS1125" s="4"/>
      <c r="AT1125" s="4"/>
      <c r="AU1125" s="4"/>
      <c r="AV1125" s="4"/>
      <c r="AW1125" s="4"/>
      <c r="AX1125" s="4"/>
      <c r="AY1125" s="4"/>
      <c r="AZ1125" s="4"/>
      <c r="BA1125" s="4"/>
      <c r="BB1125" s="4">
        <v>0</v>
      </c>
      <c r="BC1125" s="4" t="s">
        <v>4589</v>
      </c>
      <c r="BD1125" s="4">
        <v>1</v>
      </c>
      <c r="BE1125" s="4">
        <v>2</v>
      </c>
      <c r="BF1125" s="4" t="s">
        <v>4579</v>
      </c>
      <c r="BG1125" s="4">
        <v>1580</v>
      </c>
      <c r="BH1125" s="4">
        <v>1580</v>
      </c>
      <c r="BI1125" s="4">
        <f t="shared" si="174"/>
        <v>790</v>
      </c>
      <c r="BJ1125" s="19">
        <v>4</v>
      </c>
      <c r="BK1125" s="19">
        <v>8</v>
      </c>
      <c r="BL1125" s="16">
        <v>6</v>
      </c>
      <c r="BM1125" s="45" t="s">
        <v>3534</v>
      </c>
      <c r="BN1125" t="s">
        <v>3534</v>
      </c>
      <c r="BO1125" t="str">
        <f t="shared" si="167"/>
        <v>-</v>
      </c>
      <c r="BP1125" t="s">
        <v>3534</v>
      </c>
      <c r="BQ1125" t="s">
        <v>3534</v>
      </c>
      <c r="BR1125" t="str">
        <f t="shared" si="168"/>
        <v>-</v>
      </c>
      <c r="BS1125" t="s">
        <v>3441</v>
      </c>
    </row>
    <row r="1126" spans="1:71" x14ac:dyDescent="0.4">
      <c r="A1126" s="3">
        <v>1123</v>
      </c>
      <c r="B1126" s="3">
        <v>1123</v>
      </c>
      <c r="C1126" s="4" t="s">
        <v>1185</v>
      </c>
      <c r="D1126" s="4" t="str">
        <f t="shared" si="169"/>
        <v>J909WM</v>
      </c>
      <c r="E1126" s="4" t="s">
        <v>1185</v>
      </c>
      <c r="F1126" s="4" t="s">
        <v>2403</v>
      </c>
      <c r="G1126" s="5">
        <v>4548030188436</v>
      </c>
      <c r="H1126" s="5"/>
      <c r="I1126" s="5"/>
      <c r="J1126" s="5">
        <v>1</v>
      </c>
      <c r="K1126" s="5">
        <v>1</v>
      </c>
      <c r="L1126" s="4">
        <v>1090</v>
      </c>
      <c r="M1126" s="4">
        <v>873</v>
      </c>
      <c r="N1126" s="4">
        <v>611</v>
      </c>
      <c r="O1126" s="6">
        <f t="shared" si="170"/>
        <v>0.30011454753722799</v>
      </c>
      <c r="P1126" s="4" t="s">
        <v>2500</v>
      </c>
      <c r="Q1126" s="4"/>
      <c r="R1126" s="4"/>
      <c r="S1126" s="4"/>
      <c r="T1126" s="4"/>
      <c r="U1126" s="4"/>
      <c r="V1126" s="4"/>
      <c r="W1126" s="4"/>
      <c r="X1126" s="4"/>
      <c r="Y1126" s="4">
        <v>910</v>
      </c>
      <c r="Z1126" s="4">
        <f t="shared" si="171"/>
        <v>910</v>
      </c>
      <c r="AA1126" s="4">
        <v>637</v>
      </c>
      <c r="AB1126" s="4">
        <f t="shared" si="172"/>
        <v>637</v>
      </c>
      <c r="AC1126" s="4"/>
      <c r="AD1126" s="21">
        <f>ROUND(M1126*AR1126,0)</f>
        <v>910</v>
      </c>
      <c r="AE1126" s="6">
        <f>1-AB1126/AD1126</f>
        <v>0.30000000000000004</v>
      </c>
      <c r="AF1126" s="33">
        <v>0</v>
      </c>
      <c r="AG1126" s="4">
        <f t="shared" si="173"/>
        <v>1090</v>
      </c>
      <c r="AH1126" s="33">
        <f t="shared" si="166"/>
        <v>1136.3829787234042</v>
      </c>
      <c r="AI1126" s="6">
        <f>1-AB1126/AH1126</f>
        <v>0.43944954128440361</v>
      </c>
      <c r="AJ1126" s="7">
        <v>910</v>
      </c>
      <c r="AK1126" s="6">
        <f>1-AB1126/AJ1126</f>
        <v>0.30000000000000004</v>
      </c>
      <c r="AL1126" s="4">
        <f>AJ1126-AB1126</f>
        <v>273</v>
      </c>
      <c r="AM1126" s="28"/>
      <c r="AN1126" s="6"/>
      <c r="AO1126" s="6"/>
      <c r="AP1126" s="6">
        <f>Z1126/L1126</f>
        <v>0.83486238532110091</v>
      </c>
      <c r="AQ1126" s="6">
        <f>AJ1126/M1126</f>
        <v>1.0423825887743414</v>
      </c>
      <c r="AR1126" s="6">
        <f>AB1126/N1126</f>
        <v>1.0425531914893618</v>
      </c>
      <c r="AS1126" s="4"/>
      <c r="AT1126" s="4"/>
      <c r="AU1126" s="4"/>
      <c r="AV1126" s="4"/>
      <c r="AW1126" s="4"/>
      <c r="AX1126" s="4"/>
      <c r="AY1126" s="4"/>
      <c r="AZ1126" s="4"/>
      <c r="BA1126" s="4"/>
      <c r="BB1126" s="4">
        <v>0</v>
      </c>
      <c r="BC1126" s="4" t="s">
        <v>4590</v>
      </c>
      <c r="BD1126" s="4">
        <v>1</v>
      </c>
      <c r="BE1126" s="4">
        <v>2</v>
      </c>
      <c r="BF1126" s="4" t="s">
        <v>4579</v>
      </c>
      <c r="BG1126" s="4">
        <v>2180</v>
      </c>
      <c r="BH1126" s="4">
        <v>2180</v>
      </c>
      <c r="BI1126" s="4">
        <f t="shared" si="174"/>
        <v>1090</v>
      </c>
      <c r="BJ1126" s="19">
        <v>4</v>
      </c>
      <c r="BK1126" s="19">
        <v>8</v>
      </c>
      <c r="BL1126" s="16">
        <v>6</v>
      </c>
      <c r="BM1126" s="45" t="s">
        <v>3534</v>
      </c>
      <c r="BN1126" t="s">
        <v>3534</v>
      </c>
      <c r="BO1126" t="str">
        <f t="shared" si="167"/>
        <v>-</v>
      </c>
      <c r="BP1126" t="s">
        <v>3534</v>
      </c>
      <c r="BQ1126" t="s">
        <v>3534</v>
      </c>
      <c r="BR1126" t="str">
        <f t="shared" si="168"/>
        <v>-</v>
      </c>
      <c r="BS1126" t="s">
        <v>3442</v>
      </c>
    </row>
    <row r="1127" spans="1:71" x14ac:dyDescent="0.4">
      <c r="A1127" s="3">
        <v>1124</v>
      </c>
      <c r="B1127" s="3">
        <v>1124</v>
      </c>
      <c r="C1127" s="4" t="s">
        <v>1186</v>
      </c>
      <c r="D1127" s="4" t="str">
        <f t="shared" si="169"/>
        <v>J909LY</v>
      </c>
      <c r="E1127" s="4" t="s">
        <v>1186</v>
      </c>
      <c r="F1127" s="4" t="s">
        <v>2404</v>
      </c>
      <c r="G1127" s="5">
        <v>4521718868769</v>
      </c>
      <c r="H1127" s="5"/>
      <c r="I1127" s="5"/>
      <c r="J1127" s="5">
        <v>1</v>
      </c>
      <c r="K1127" s="5">
        <v>1</v>
      </c>
      <c r="L1127" s="4">
        <v>3300</v>
      </c>
      <c r="M1127" s="4">
        <v>3300</v>
      </c>
      <c r="N1127" s="4">
        <v>2640</v>
      </c>
      <c r="O1127" s="6">
        <f t="shared" si="170"/>
        <v>0.19999999999999996</v>
      </c>
      <c r="P1127" s="4" t="s">
        <v>2500</v>
      </c>
      <c r="Q1127" s="4"/>
      <c r="R1127" s="4"/>
      <c r="S1127" s="4"/>
      <c r="T1127" s="4"/>
      <c r="U1127" s="4"/>
      <c r="V1127" s="4"/>
      <c r="W1127" s="4"/>
      <c r="X1127" s="4"/>
      <c r="Y1127" s="4">
        <v>3300</v>
      </c>
      <c r="Z1127" s="4">
        <f t="shared" si="171"/>
        <v>3300</v>
      </c>
      <c r="AA1127" s="4">
        <v>2640</v>
      </c>
      <c r="AB1127" s="4">
        <f t="shared" si="172"/>
        <v>2640</v>
      </c>
      <c r="AC1127" s="4"/>
      <c r="AD1127" s="21">
        <f>ROUND(M1127*AR1127,0)</f>
        <v>3300</v>
      </c>
      <c r="AE1127" s="6">
        <f>1-AB1127/AD1127</f>
        <v>0.19999999999999996</v>
      </c>
      <c r="AF1127" s="33">
        <v>0</v>
      </c>
      <c r="AG1127" s="4">
        <f t="shared" si="173"/>
        <v>3300</v>
      </c>
      <c r="AH1127" s="33">
        <f t="shared" si="166"/>
        <v>3300</v>
      </c>
      <c r="AI1127" s="6">
        <f>1-AB1127/AH1127</f>
        <v>0.19999999999999996</v>
      </c>
      <c r="AJ1127" s="7">
        <v>3300</v>
      </c>
      <c r="AK1127" s="6">
        <f>1-AB1127/AJ1127</f>
        <v>0.19999999999999996</v>
      </c>
      <c r="AL1127" s="4">
        <f>AJ1127-AB1127</f>
        <v>660</v>
      </c>
      <c r="AM1127" s="28"/>
      <c r="AN1127" s="6"/>
      <c r="AO1127" s="6"/>
      <c r="AP1127" s="6">
        <f>Z1127/L1127</f>
        <v>1</v>
      </c>
      <c r="AQ1127" s="6">
        <f>AJ1127/M1127</f>
        <v>1</v>
      </c>
      <c r="AR1127" s="6">
        <f>AB1127/N1127</f>
        <v>1</v>
      </c>
      <c r="AS1127" s="4"/>
      <c r="AT1127" s="4"/>
      <c r="AU1127" s="4"/>
      <c r="AV1127" s="4"/>
      <c r="AW1127" s="4"/>
      <c r="AX1127" s="4"/>
      <c r="AY1127" s="4"/>
      <c r="AZ1127" s="4"/>
      <c r="BA1127" s="4"/>
      <c r="BB1127" s="4">
        <v>0</v>
      </c>
      <c r="BC1127" s="4" t="s">
        <v>4591</v>
      </c>
      <c r="BD1127" s="4"/>
      <c r="BE1127" s="4"/>
      <c r="BF1127" s="4" t="s">
        <v>3545</v>
      </c>
      <c r="BG1127" s="4">
        <v>3300</v>
      </c>
      <c r="BH1127" s="4">
        <v>3300</v>
      </c>
      <c r="BI1127" s="4">
        <f t="shared" si="174"/>
        <v>3300</v>
      </c>
      <c r="BJ1127" s="19">
        <v>4</v>
      </c>
      <c r="BK1127" s="19">
        <v>8</v>
      </c>
      <c r="BL1127" s="16">
        <v>6</v>
      </c>
      <c r="BM1127" s="45" t="s">
        <v>3534</v>
      </c>
      <c r="BN1127" t="s">
        <v>3534</v>
      </c>
      <c r="BO1127" t="str">
        <f t="shared" si="167"/>
        <v>-</v>
      </c>
      <c r="BP1127" t="s">
        <v>3534</v>
      </c>
      <c r="BQ1127">
        <v>3800</v>
      </c>
      <c r="BR1127">
        <f t="shared" si="168"/>
        <v>3800</v>
      </c>
      <c r="BS1127" t="s">
        <v>3443</v>
      </c>
    </row>
    <row r="1128" spans="1:71" x14ac:dyDescent="0.4">
      <c r="A1128" s="3">
        <v>1125</v>
      </c>
      <c r="B1128" s="3">
        <v>1125</v>
      </c>
      <c r="C1128" s="4" t="s">
        <v>1187</v>
      </c>
      <c r="D1128" s="4" t="str">
        <f t="shared" si="169"/>
        <v>J910LY</v>
      </c>
      <c r="E1128" s="4" t="s">
        <v>1187</v>
      </c>
      <c r="F1128" s="4" t="s">
        <v>2405</v>
      </c>
      <c r="G1128" s="5">
        <v>4521718868776</v>
      </c>
      <c r="H1128" s="5"/>
      <c r="I1128" s="5"/>
      <c r="J1128" s="5">
        <v>1</v>
      </c>
      <c r="K1128" s="5">
        <v>1</v>
      </c>
      <c r="L1128" s="4">
        <v>428</v>
      </c>
      <c r="M1128" s="4">
        <v>428</v>
      </c>
      <c r="N1128" s="4">
        <v>342</v>
      </c>
      <c r="O1128" s="6">
        <f t="shared" si="170"/>
        <v>0.2009345794392523</v>
      </c>
      <c r="P1128" s="4" t="s">
        <v>2500</v>
      </c>
      <c r="Q1128" s="4"/>
      <c r="R1128" s="4"/>
      <c r="S1128" s="4"/>
      <c r="T1128" s="4"/>
      <c r="U1128" s="4"/>
      <c r="V1128" s="4"/>
      <c r="W1128" s="4"/>
      <c r="X1128" s="4"/>
      <c r="Y1128" s="4">
        <v>428</v>
      </c>
      <c r="Z1128" s="4">
        <f t="shared" si="171"/>
        <v>428</v>
      </c>
      <c r="AA1128" s="4">
        <v>342</v>
      </c>
      <c r="AB1128" s="4">
        <f t="shared" si="172"/>
        <v>342</v>
      </c>
      <c r="AC1128" s="4"/>
      <c r="AD1128" s="21">
        <f>ROUND(M1128*AR1128,0)</f>
        <v>428</v>
      </c>
      <c r="AE1128" s="6">
        <f>1-AB1128/AD1128</f>
        <v>0.2009345794392523</v>
      </c>
      <c r="AF1128" s="33">
        <v>0</v>
      </c>
      <c r="AG1128" s="4">
        <f t="shared" si="173"/>
        <v>800</v>
      </c>
      <c r="AH1128" s="33">
        <f t="shared" si="166"/>
        <v>800</v>
      </c>
      <c r="AI1128" s="6">
        <f>1-AB1128/AH1128</f>
        <v>0.57250000000000001</v>
      </c>
      <c r="AJ1128" s="7">
        <v>428</v>
      </c>
      <c r="AK1128" s="6">
        <f>1-AB1128/AJ1128</f>
        <v>0.2009345794392523</v>
      </c>
      <c r="AL1128" s="4">
        <f>AJ1128-AB1128</f>
        <v>86</v>
      </c>
      <c r="AM1128" s="28"/>
      <c r="AN1128" s="6"/>
      <c r="AO1128" s="6"/>
      <c r="AP1128" s="6">
        <f>Z1128/L1128</f>
        <v>1</v>
      </c>
      <c r="AQ1128" s="6">
        <f>AJ1128/M1128</f>
        <v>1</v>
      </c>
      <c r="AR1128" s="6">
        <f>AB1128/N1128</f>
        <v>1</v>
      </c>
      <c r="AS1128" s="4"/>
      <c r="AT1128" s="4"/>
      <c r="AU1128" s="4"/>
      <c r="AV1128" s="4"/>
      <c r="AW1128" s="4"/>
      <c r="AX1128" s="4"/>
      <c r="AY1128" s="4"/>
      <c r="AZ1128" s="4"/>
      <c r="BA1128" s="4"/>
      <c r="BB1128" s="4">
        <v>0</v>
      </c>
      <c r="BC1128" s="4" t="s">
        <v>4592</v>
      </c>
      <c r="BD1128" s="4"/>
      <c r="BE1128" s="4"/>
      <c r="BF1128" s="4" t="s">
        <v>4593</v>
      </c>
      <c r="BG1128" s="4">
        <v>800</v>
      </c>
      <c r="BH1128" s="4">
        <v>800</v>
      </c>
      <c r="BI1128" s="4">
        <f t="shared" si="174"/>
        <v>800</v>
      </c>
      <c r="BJ1128" s="19">
        <v>4</v>
      </c>
      <c r="BK1128" s="19">
        <v>8</v>
      </c>
      <c r="BL1128" s="16">
        <v>6</v>
      </c>
      <c r="BM1128" s="45" t="s">
        <v>3534</v>
      </c>
      <c r="BN1128" t="s">
        <v>3534</v>
      </c>
      <c r="BO1128" t="str">
        <f t="shared" si="167"/>
        <v>-</v>
      </c>
      <c r="BP1128" t="s">
        <v>3534</v>
      </c>
      <c r="BQ1128">
        <v>481</v>
      </c>
      <c r="BR1128">
        <f t="shared" si="168"/>
        <v>481</v>
      </c>
      <c r="BS1128" t="s">
        <v>3444</v>
      </c>
    </row>
    <row r="1129" spans="1:71" x14ac:dyDescent="0.4">
      <c r="A1129" s="3">
        <v>1126</v>
      </c>
      <c r="B1129" s="3">
        <v>1126</v>
      </c>
      <c r="C1129" s="4" t="s">
        <v>1188</v>
      </c>
      <c r="D1129" s="4" t="str">
        <f t="shared" si="169"/>
        <v>J910WE</v>
      </c>
      <c r="E1129" s="4" t="s">
        <v>1188</v>
      </c>
      <c r="F1129" s="4" t="s">
        <v>2406</v>
      </c>
      <c r="G1129" s="5">
        <v>4521718745725</v>
      </c>
      <c r="H1129" s="5"/>
      <c r="I1129" s="5"/>
      <c r="J1129" s="5">
        <v>1</v>
      </c>
      <c r="K1129" s="5">
        <v>1</v>
      </c>
      <c r="L1129" s="4">
        <v>220</v>
      </c>
      <c r="M1129" s="4">
        <v>150</v>
      </c>
      <c r="N1129" s="4">
        <v>96</v>
      </c>
      <c r="O1129" s="6">
        <f t="shared" si="170"/>
        <v>0.36</v>
      </c>
      <c r="P1129" s="4" t="s">
        <v>2500</v>
      </c>
      <c r="Q1129" s="4"/>
      <c r="R1129" s="4"/>
      <c r="S1129" s="4"/>
      <c r="T1129" s="4"/>
      <c r="U1129" s="4"/>
      <c r="V1129" s="4"/>
      <c r="W1129" s="4"/>
      <c r="X1129" s="4"/>
      <c r="Y1129" s="4">
        <v>119</v>
      </c>
      <c r="Z1129" s="4">
        <f t="shared" si="171"/>
        <v>119</v>
      </c>
      <c r="AA1129" s="4">
        <v>83</v>
      </c>
      <c r="AB1129" s="4">
        <f t="shared" si="172"/>
        <v>83</v>
      </c>
      <c r="AC1129" s="4"/>
      <c r="AD1129" s="21">
        <f>ROUND(M1129*AR1129,0)</f>
        <v>130</v>
      </c>
      <c r="AE1129" s="6">
        <f>1-AB1129/AD1129</f>
        <v>0.36153846153846159</v>
      </c>
      <c r="AF1129" s="33">
        <v>1</v>
      </c>
      <c r="AG1129" s="4">
        <f t="shared" si="173"/>
        <v>220</v>
      </c>
      <c r="AH1129" s="33">
        <f t="shared" si="166"/>
        <v>190.20833333333334</v>
      </c>
      <c r="AI1129" s="6">
        <f>1-AB1129/AH1129</f>
        <v>0.56363636363636371</v>
      </c>
      <c r="AJ1129" s="7">
        <v>119</v>
      </c>
      <c r="AK1129" s="6">
        <f>1-AB1129/AJ1129</f>
        <v>0.30252100840336138</v>
      </c>
      <c r="AL1129" s="4">
        <f>AJ1129-AB1129</f>
        <v>36</v>
      </c>
      <c r="AM1129" s="28"/>
      <c r="AN1129" s="6"/>
      <c r="AO1129" s="6"/>
      <c r="AP1129" s="6">
        <f>Z1129/L1129</f>
        <v>0.54090909090909089</v>
      </c>
      <c r="AQ1129" s="6">
        <f>AJ1129/M1129</f>
        <v>0.79333333333333333</v>
      </c>
      <c r="AR1129" s="6">
        <f>AB1129/N1129</f>
        <v>0.86458333333333337</v>
      </c>
      <c r="AS1129" s="4"/>
      <c r="AT1129" s="4"/>
      <c r="AU1129" s="4"/>
      <c r="AV1129" s="4"/>
      <c r="AW1129" s="4"/>
      <c r="AX1129" s="4"/>
      <c r="AY1129" s="4"/>
      <c r="AZ1129" s="4"/>
      <c r="BA1129" s="4"/>
      <c r="BB1129" s="4">
        <v>0</v>
      </c>
      <c r="BC1129" s="4" t="s">
        <v>4594</v>
      </c>
      <c r="BD1129" s="4">
        <v>1</v>
      </c>
      <c r="BE1129" s="4">
        <v>8</v>
      </c>
      <c r="BF1129" s="4" t="s">
        <v>3549</v>
      </c>
      <c r="BG1129" s="4">
        <v>1760</v>
      </c>
      <c r="BH1129" s="4">
        <v>1760</v>
      </c>
      <c r="BI1129" s="4">
        <f t="shared" si="174"/>
        <v>220</v>
      </c>
      <c r="BJ1129" s="19">
        <v>4</v>
      </c>
      <c r="BK1129" s="19">
        <v>8</v>
      </c>
      <c r="BL1129" s="16">
        <v>6</v>
      </c>
      <c r="BM1129" s="45" t="s">
        <v>3534</v>
      </c>
      <c r="BN1129" t="s">
        <v>3534</v>
      </c>
      <c r="BO1129" t="str">
        <f t="shared" si="167"/>
        <v>-</v>
      </c>
      <c r="BP1129" t="s">
        <v>3534</v>
      </c>
      <c r="BQ1129">
        <v>137</v>
      </c>
      <c r="BR1129">
        <f t="shared" si="168"/>
        <v>118.44791666666667</v>
      </c>
      <c r="BS1129" t="s">
        <v>3445</v>
      </c>
    </row>
    <row r="1130" spans="1:71" x14ac:dyDescent="0.4">
      <c r="A1130" s="3">
        <v>1127</v>
      </c>
      <c r="B1130" s="3">
        <v>1127</v>
      </c>
      <c r="C1130" s="4" t="s">
        <v>1189</v>
      </c>
      <c r="D1130" s="4" t="str">
        <f t="shared" si="169"/>
        <v>J910WM</v>
      </c>
      <c r="E1130" s="4" t="s">
        <v>1189</v>
      </c>
      <c r="F1130" s="4" t="s">
        <v>2407</v>
      </c>
      <c r="G1130" s="5">
        <v>4548030188443</v>
      </c>
      <c r="H1130" s="5"/>
      <c r="I1130" s="5"/>
      <c r="J1130" s="5">
        <v>1</v>
      </c>
      <c r="K1130" s="5">
        <v>1</v>
      </c>
      <c r="L1130" s="4">
        <v>1090</v>
      </c>
      <c r="M1130" s="4">
        <v>873</v>
      </c>
      <c r="N1130" s="4">
        <v>611</v>
      </c>
      <c r="O1130" s="6">
        <f t="shared" si="170"/>
        <v>0.30011454753722799</v>
      </c>
      <c r="P1130" s="4" t="s">
        <v>2500</v>
      </c>
      <c r="Q1130" s="4"/>
      <c r="R1130" s="4"/>
      <c r="S1130" s="4"/>
      <c r="T1130" s="4"/>
      <c r="U1130" s="4"/>
      <c r="V1130" s="4"/>
      <c r="W1130" s="4"/>
      <c r="X1130" s="4"/>
      <c r="Y1130" s="4">
        <v>910</v>
      </c>
      <c r="Z1130" s="4">
        <f t="shared" si="171"/>
        <v>910</v>
      </c>
      <c r="AA1130" s="4">
        <v>637</v>
      </c>
      <c r="AB1130" s="4">
        <f t="shared" si="172"/>
        <v>637</v>
      </c>
      <c r="AC1130" s="4"/>
      <c r="AD1130" s="21">
        <f>ROUND(M1130*AR1130,0)</f>
        <v>910</v>
      </c>
      <c r="AE1130" s="6">
        <f>1-AB1130/AD1130</f>
        <v>0.30000000000000004</v>
      </c>
      <c r="AF1130" s="33">
        <v>0</v>
      </c>
      <c r="AG1130" s="4">
        <f t="shared" si="173"/>
        <v>1090</v>
      </c>
      <c r="AH1130" s="33">
        <f t="shared" si="166"/>
        <v>1136.3829787234042</v>
      </c>
      <c r="AI1130" s="6">
        <f>1-AB1130/AH1130</f>
        <v>0.43944954128440361</v>
      </c>
      <c r="AJ1130" s="7">
        <v>910</v>
      </c>
      <c r="AK1130" s="6">
        <f>1-AB1130/AJ1130</f>
        <v>0.30000000000000004</v>
      </c>
      <c r="AL1130" s="4">
        <f>AJ1130-AB1130</f>
        <v>273</v>
      </c>
      <c r="AM1130" s="28"/>
      <c r="AN1130" s="6"/>
      <c r="AO1130" s="6"/>
      <c r="AP1130" s="6">
        <f>Z1130/L1130</f>
        <v>0.83486238532110091</v>
      </c>
      <c r="AQ1130" s="6">
        <f>AJ1130/M1130</f>
        <v>1.0423825887743414</v>
      </c>
      <c r="AR1130" s="6">
        <f>AB1130/N1130</f>
        <v>1.0425531914893618</v>
      </c>
      <c r="AS1130" s="4"/>
      <c r="AT1130" s="4"/>
      <c r="AU1130" s="4"/>
      <c r="AV1130" s="4"/>
      <c r="AW1130" s="4"/>
      <c r="AX1130" s="4"/>
      <c r="AY1130" s="4"/>
      <c r="AZ1130" s="4"/>
      <c r="BA1130" s="4"/>
      <c r="BB1130" s="4">
        <v>0</v>
      </c>
      <c r="BC1130" s="4" t="s">
        <v>4595</v>
      </c>
      <c r="BD1130" s="4">
        <v>1</v>
      </c>
      <c r="BE1130" s="4">
        <v>2</v>
      </c>
      <c r="BF1130" s="4" t="s">
        <v>4579</v>
      </c>
      <c r="BG1130" s="4">
        <v>2180</v>
      </c>
      <c r="BH1130" s="4">
        <v>2180</v>
      </c>
      <c r="BI1130" s="4">
        <f t="shared" si="174"/>
        <v>1090</v>
      </c>
      <c r="BJ1130" s="19">
        <v>4</v>
      </c>
      <c r="BK1130" s="19">
        <v>8</v>
      </c>
      <c r="BL1130" s="16">
        <v>6</v>
      </c>
      <c r="BM1130" s="45" t="s">
        <v>3534</v>
      </c>
      <c r="BN1130" t="s">
        <v>3534</v>
      </c>
      <c r="BO1130" t="str">
        <f t="shared" si="167"/>
        <v>-</v>
      </c>
      <c r="BP1130" t="s">
        <v>3534</v>
      </c>
      <c r="BQ1130" t="s">
        <v>3534</v>
      </c>
      <c r="BR1130" t="str">
        <f t="shared" si="168"/>
        <v>-</v>
      </c>
      <c r="BS1130" t="s">
        <v>3446</v>
      </c>
    </row>
    <row r="1131" spans="1:71" x14ac:dyDescent="0.4">
      <c r="A1131" s="3">
        <v>1128</v>
      </c>
      <c r="B1131" s="3">
        <v>1128</v>
      </c>
      <c r="C1131" s="4" t="s">
        <v>1190</v>
      </c>
      <c r="D1131" s="4" t="str">
        <f t="shared" si="169"/>
        <v>J911LY</v>
      </c>
      <c r="E1131" s="4" t="s">
        <v>1190</v>
      </c>
      <c r="F1131" s="4" t="s">
        <v>2408</v>
      </c>
      <c r="G1131" s="5">
        <v>4521718868813</v>
      </c>
      <c r="H1131" s="5"/>
      <c r="I1131" s="5"/>
      <c r="J1131" s="5">
        <v>1</v>
      </c>
      <c r="K1131" s="5">
        <v>1</v>
      </c>
      <c r="L1131" s="4">
        <v>710</v>
      </c>
      <c r="M1131" s="4">
        <v>710</v>
      </c>
      <c r="N1131" s="4">
        <v>568</v>
      </c>
      <c r="O1131" s="6">
        <f t="shared" si="170"/>
        <v>0.19999999999999996</v>
      </c>
      <c r="P1131" s="4" t="s">
        <v>2500</v>
      </c>
      <c r="Q1131" s="4"/>
      <c r="R1131" s="4"/>
      <c r="S1131" s="4"/>
      <c r="T1131" s="4"/>
      <c r="U1131" s="4"/>
      <c r="V1131" s="4"/>
      <c r="W1131" s="4"/>
      <c r="X1131" s="4"/>
      <c r="Y1131" s="4">
        <v>710</v>
      </c>
      <c r="Z1131" s="4">
        <f t="shared" si="171"/>
        <v>710</v>
      </c>
      <c r="AA1131" s="4">
        <v>568</v>
      </c>
      <c r="AB1131" s="4">
        <f t="shared" si="172"/>
        <v>568</v>
      </c>
      <c r="AC1131" s="4"/>
      <c r="AD1131" s="21">
        <f>ROUND(M1131*AR1131,0)</f>
        <v>710</v>
      </c>
      <c r="AE1131" s="6">
        <f>1-AB1131/AD1131</f>
        <v>0.19999999999999996</v>
      </c>
      <c r="AF1131" s="33">
        <v>0</v>
      </c>
      <c r="AG1131" s="4">
        <f t="shared" si="173"/>
        <v>773.5</v>
      </c>
      <c r="AH1131" s="33">
        <f t="shared" si="166"/>
        <v>773.5</v>
      </c>
      <c r="AI1131" s="6">
        <f>1-AB1131/AH1131</f>
        <v>0.26567550096961867</v>
      </c>
      <c r="AJ1131" s="7">
        <v>710</v>
      </c>
      <c r="AK1131" s="6">
        <f>1-AB1131/AJ1131</f>
        <v>0.19999999999999996</v>
      </c>
      <c r="AL1131" s="4">
        <f>AJ1131-AB1131</f>
        <v>142</v>
      </c>
      <c r="AM1131" s="28"/>
      <c r="AN1131" s="6"/>
      <c r="AO1131" s="6"/>
      <c r="AP1131" s="6">
        <f>Z1131/L1131</f>
        <v>1</v>
      </c>
      <c r="AQ1131" s="6">
        <f>AJ1131/M1131</f>
        <v>1</v>
      </c>
      <c r="AR1131" s="6">
        <f>AB1131/N1131</f>
        <v>1</v>
      </c>
      <c r="AS1131" s="4"/>
      <c r="AT1131" s="4"/>
      <c r="AU1131" s="4"/>
      <c r="AV1131" s="4"/>
      <c r="AW1131" s="4"/>
      <c r="AX1131" s="4"/>
      <c r="AY1131" s="4"/>
      <c r="AZ1131" s="4"/>
      <c r="BA1131" s="4"/>
      <c r="BB1131" s="4">
        <v>0</v>
      </c>
      <c r="BC1131" s="4" t="s">
        <v>4596</v>
      </c>
      <c r="BD1131" s="4">
        <v>1</v>
      </c>
      <c r="BE1131" s="4">
        <v>2</v>
      </c>
      <c r="BF1131" s="4" t="s">
        <v>3640</v>
      </c>
      <c r="BG1131" s="4">
        <v>1547</v>
      </c>
      <c r="BH1131" s="4">
        <v>1547</v>
      </c>
      <c r="BI1131" s="4">
        <f t="shared" si="174"/>
        <v>773.5</v>
      </c>
      <c r="BJ1131" s="19">
        <v>4</v>
      </c>
      <c r="BK1131" s="19">
        <v>8</v>
      </c>
      <c r="BL1131" s="16">
        <v>6</v>
      </c>
      <c r="BM1131" s="45" t="s">
        <v>3534</v>
      </c>
      <c r="BN1131" t="s">
        <v>3534</v>
      </c>
      <c r="BO1131" t="str">
        <f t="shared" si="167"/>
        <v>-</v>
      </c>
      <c r="BP1131" t="s">
        <v>3534</v>
      </c>
      <c r="BQ1131">
        <v>710</v>
      </c>
      <c r="BR1131">
        <f t="shared" si="168"/>
        <v>710</v>
      </c>
      <c r="BS1131" t="s">
        <v>3447</v>
      </c>
    </row>
    <row r="1132" spans="1:71" x14ac:dyDescent="0.4">
      <c r="A1132" s="3">
        <v>1129</v>
      </c>
      <c r="B1132" s="3">
        <v>1129</v>
      </c>
      <c r="C1132" s="4" t="s">
        <v>1191</v>
      </c>
      <c r="D1132" s="4" t="str">
        <f t="shared" si="169"/>
        <v>J911WE</v>
      </c>
      <c r="E1132" s="4" t="s">
        <v>1191</v>
      </c>
      <c r="F1132" s="4" t="s">
        <v>2409</v>
      </c>
      <c r="G1132" s="5">
        <v>4521718745923</v>
      </c>
      <c r="H1132" s="5"/>
      <c r="I1132" s="5"/>
      <c r="J1132" s="5">
        <v>1</v>
      </c>
      <c r="K1132" s="5">
        <v>1</v>
      </c>
      <c r="L1132" s="4">
        <v>390</v>
      </c>
      <c r="M1132" s="4">
        <v>270</v>
      </c>
      <c r="N1132" s="4">
        <v>172</v>
      </c>
      <c r="O1132" s="6">
        <f t="shared" si="170"/>
        <v>0.36296296296296293</v>
      </c>
      <c r="P1132" s="4" t="s">
        <v>2500</v>
      </c>
      <c r="Q1132" s="4"/>
      <c r="R1132" s="4"/>
      <c r="S1132" s="4"/>
      <c r="T1132" s="4"/>
      <c r="U1132" s="4"/>
      <c r="V1132" s="4"/>
      <c r="W1132" s="4"/>
      <c r="X1132" s="4"/>
      <c r="Y1132" s="4">
        <v>246</v>
      </c>
      <c r="Z1132" s="4">
        <f t="shared" si="171"/>
        <v>246</v>
      </c>
      <c r="AA1132" s="4">
        <v>172</v>
      </c>
      <c r="AB1132" s="4">
        <f t="shared" si="172"/>
        <v>172</v>
      </c>
      <c r="AC1132" s="4"/>
      <c r="AD1132" s="21">
        <f>ROUND(M1132*AR1132,0)</f>
        <v>270</v>
      </c>
      <c r="AE1132" s="6">
        <f>1-AB1132/AD1132</f>
        <v>0.36296296296296293</v>
      </c>
      <c r="AF1132" s="33">
        <v>0.5</v>
      </c>
      <c r="AG1132" s="4">
        <f t="shared" si="173"/>
        <v>390</v>
      </c>
      <c r="AH1132" s="33">
        <f t="shared" si="166"/>
        <v>390</v>
      </c>
      <c r="AI1132" s="6">
        <f>1-AB1132/AH1132</f>
        <v>0.55897435897435899</v>
      </c>
      <c r="AJ1132" s="7">
        <v>246</v>
      </c>
      <c r="AK1132" s="6">
        <f>1-AB1132/AJ1132</f>
        <v>0.30081300813008127</v>
      </c>
      <c r="AL1132" s="4">
        <f>AJ1132-AB1132</f>
        <v>74</v>
      </c>
      <c r="AM1132" s="28"/>
      <c r="AN1132" s="6"/>
      <c r="AO1132" s="6"/>
      <c r="AP1132" s="6">
        <f>Z1132/L1132</f>
        <v>0.63076923076923075</v>
      </c>
      <c r="AQ1132" s="6">
        <f>AJ1132/M1132</f>
        <v>0.91111111111111109</v>
      </c>
      <c r="AR1132" s="6">
        <f>AB1132/N1132</f>
        <v>1</v>
      </c>
      <c r="AS1132" s="4"/>
      <c r="AT1132" s="4"/>
      <c r="AU1132" s="4"/>
      <c r="AV1132" s="4"/>
      <c r="AW1132" s="4"/>
      <c r="AX1132" s="4"/>
      <c r="AY1132" s="4"/>
      <c r="AZ1132" s="4"/>
      <c r="BA1132" s="4"/>
      <c r="BB1132" s="4">
        <v>0</v>
      </c>
      <c r="BC1132" s="4" t="s">
        <v>4597</v>
      </c>
      <c r="BD1132" s="4">
        <v>1</v>
      </c>
      <c r="BE1132" s="4">
        <v>5</v>
      </c>
      <c r="BF1132" s="4" t="s">
        <v>3606</v>
      </c>
      <c r="BG1132" s="4">
        <v>1950</v>
      </c>
      <c r="BH1132" s="4">
        <v>1950</v>
      </c>
      <c r="BI1132" s="4">
        <f t="shared" si="174"/>
        <v>390</v>
      </c>
      <c r="BJ1132" s="19">
        <v>4</v>
      </c>
      <c r="BK1132" s="19">
        <v>8</v>
      </c>
      <c r="BL1132" s="16">
        <v>3</v>
      </c>
      <c r="BM1132" s="45" t="s">
        <v>3534</v>
      </c>
      <c r="BN1132" t="s">
        <v>3534</v>
      </c>
      <c r="BO1132" t="str">
        <f t="shared" si="167"/>
        <v>-</v>
      </c>
      <c r="BP1132" t="s">
        <v>3534</v>
      </c>
      <c r="BQ1132">
        <v>246</v>
      </c>
      <c r="BR1132">
        <f t="shared" si="168"/>
        <v>246</v>
      </c>
      <c r="BS1132" t="s">
        <v>3448</v>
      </c>
    </row>
    <row r="1133" spans="1:71" x14ac:dyDescent="0.4">
      <c r="A1133" s="3">
        <v>1130</v>
      </c>
      <c r="B1133" s="3">
        <v>1130</v>
      </c>
      <c r="C1133" s="4" t="s">
        <v>1192</v>
      </c>
      <c r="D1133" s="4" t="str">
        <f t="shared" si="169"/>
        <v>J911WM</v>
      </c>
      <c r="E1133" s="4" t="s">
        <v>1192</v>
      </c>
      <c r="F1133" s="4" t="s">
        <v>2410</v>
      </c>
      <c r="G1133" s="5">
        <v>4548030188450</v>
      </c>
      <c r="H1133" s="5"/>
      <c r="I1133" s="5"/>
      <c r="J1133" s="5">
        <v>1</v>
      </c>
      <c r="K1133" s="5">
        <v>1</v>
      </c>
      <c r="L1133" s="4">
        <v>790</v>
      </c>
      <c r="M1133" s="4">
        <v>628</v>
      </c>
      <c r="N1133" s="4">
        <v>440</v>
      </c>
      <c r="O1133" s="6">
        <f t="shared" si="170"/>
        <v>0.29936305732484081</v>
      </c>
      <c r="P1133" s="4" t="s">
        <v>2500</v>
      </c>
      <c r="Q1133" s="4"/>
      <c r="R1133" s="4"/>
      <c r="S1133" s="4"/>
      <c r="T1133" s="4"/>
      <c r="U1133" s="4"/>
      <c r="V1133" s="4"/>
      <c r="W1133" s="4"/>
      <c r="X1133" s="4"/>
      <c r="Y1133" s="4">
        <v>673</v>
      </c>
      <c r="Z1133" s="4">
        <f t="shared" si="171"/>
        <v>673</v>
      </c>
      <c r="AA1133" s="4">
        <v>471</v>
      </c>
      <c r="AB1133" s="4">
        <f t="shared" si="172"/>
        <v>471</v>
      </c>
      <c r="AC1133" s="4"/>
      <c r="AD1133" s="21">
        <f>ROUND(M1133*AR1133,0)</f>
        <v>672</v>
      </c>
      <c r="AE1133" s="6">
        <f>1-AB1133/AD1133</f>
        <v>0.2991071428571429</v>
      </c>
      <c r="AF1133" s="33">
        <v>0</v>
      </c>
      <c r="AG1133" s="4">
        <f t="shared" si="173"/>
        <v>790</v>
      </c>
      <c r="AH1133" s="33">
        <f t="shared" si="166"/>
        <v>845.65909090909099</v>
      </c>
      <c r="AI1133" s="6">
        <f>1-AB1133/AH1133</f>
        <v>0.44303797468354433</v>
      </c>
      <c r="AJ1133" s="7">
        <v>673</v>
      </c>
      <c r="AK1133" s="6">
        <f>1-AB1133/AJ1133</f>
        <v>0.30014858841010406</v>
      </c>
      <c r="AL1133" s="4">
        <f>AJ1133-AB1133</f>
        <v>202</v>
      </c>
      <c r="AM1133" s="28"/>
      <c r="AN1133" s="6"/>
      <c r="AO1133" s="6"/>
      <c r="AP1133" s="6">
        <f>Z1133/L1133</f>
        <v>0.85189873417721518</v>
      </c>
      <c r="AQ1133" s="6">
        <f>AJ1133/M1133</f>
        <v>1.0716560509554141</v>
      </c>
      <c r="AR1133" s="6">
        <f>AB1133/N1133</f>
        <v>1.0704545454545455</v>
      </c>
      <c r="AS1133" s="4"/>
      <c r="AT1133" s="4"/>
      <c r="AU1133" s="4"/>
      <c r="AV1133" s="4"/>
      <c r="AW1133" s="4"/>
      <c r="AX1133" s="4"/>
      <c r="AY1133" s="4"/>
      <c r="AZ1133" s="4"/>
      <c r="BA1133" s="4"/>
      <c r="BB1133" s="4">
        <v>0</v>
      </c>
      <c r="BC1133" s="4" t="s">
        <v>4598</v>
      </c>
      <c r="BD1133" s="4">
        <v>1</v>
      </c>
      <c r="BE1133" s="4">
        <v>2</v>
      </c>
      <c r="BF1133" s="4" t="s">
        <v>4579</v>
      </c>
      <c r="BG1133" s="4">
        <v>1580</v>
      </c>
      <c r="BH1133" s="4">
        <v>1580</v>
      </c>
      <c r="BI1133" s="4">
        <f t="shared" si="174"/>
        <v>790</v>
      </c>
      <c r="BJ1133" s="19">
        <v>4</v>
      </c>
      <c r="BK1133" s="19">
        <v>8</v>
      </c>
      <c r="BL1133" s="16">
        <v>6</v>
      </c>
      <c r="BM1133" s="45" t="s">
        <v>3534</v>
      </c>
      <c r="BN1133" t="s">
        <v>3534</v>
      </c>
      <c r="BO1133" t="str">
        <f t="shared" si="167"/>
        <v>-</v>
      </c>
      <c r="BP1133" t="s">
        <v>3534</v>
      </c>
      <c r="BQ1133" t="s">
        <v>3534</v>
      </c>
      <c r="BR1133" t="str">
        <f t="shared" si="168"/>
        <v>-</v>
      </c>
      <c r="BS1133" t="s">
        <v>3449</v>
      </c>
    </row>
    <row r="1134" spans="1:71" x14ac:dyDescent="0.4">
      <c r="A1134" s="3">
        <v>1131</v>
      </c>
      <c r="B1134" s="3">
        <v>1131</v>
      </c>
      <c r="C1134" s="4" t="s">
        <v>1193</v>
      </c>
      <c r="D1134" s="4" t="str">
        <f t="shared" si="169"/>
        <v>J912WE</v>
      </c>
      <c r="E1134" s="4" t="s">
        <v>1193</v>
      </c>
      <c r="F1134" s="4" t="s">
        <v>2411</v>
      </c>
      <c r="G1134" s="5">
        <v>4521718745930</v>
      </c>
      <c r="H1134" s="5"/>
      <c r="I1134" s="5"/>
      <c r="J1134" s="5">
        <v>1</v>
      </c>
      <c r="K1134" s="5">
        <v>1</v>
      </c>
      <c r="L1134" s="4">
        <v>390</v>
      </c>
      <c r="M1134" s="4">
        <v>270</v>
      </c>
      <c r="N1134" s="4">
        <v>172</v>
      </c>
      <c r="O1134" s="6">
        <f t="shared" si="170"/>
        <v>0.36296296296296293</v>
      </c>
      <c r="P1134" s="4" t="s">
        <v>2500</v>
      </c>
      <c r="Q1134" s="4"/>
      <c r="R1134" s="4"/>
      <c r="S1134" s="4"/>
      <c r="T1134" s="4"/>
      <c r="U1134" s="4"/>
      <c r="V1134" s="4"/>
      <c r="W1134" s="4"/>
      <c r="X1134" s="4"/>
      <c r="Y1134" s="4">
        <v>246</v>
      </c>
      <c r="Z1134" s="4">
        <f t="shared" si="171"/>
        <v>246</v>
      </c>
      <c r="AA1134" s="4">
        <v>172</v>
      </c>
      <c r="AB1134" s="4">
        <f t="shared" si="172"/>
        <v>172</v>
      </c>
      <c r="AC1134" s="4"/>
      <c r="AD1134" s="21">
        <f>ROUND(M1134*AR1134,0)</f>
        <v>270</v>
      </c>
      <c r="AE1134" s="6">
        <f>1-AB1134/AD1134</f>
        <v>0.36296296296296293</v>
      </c>
      <c r="AF1134" s="33">
        <v>3</v>
      </c>
      <c r="AG1134" s="4">
        <f t="shared" si="173"/>
        <v>390</v>
      </c>
      <c r="AH1134" s="33">
        <f t="shared" si="166"/>
        <v>390</v>
      </c>
      <c r="AI1134" s="6">
        <f>1-AB1134/AH1134</f>
        <v>0.55897435897435899</v>
      </c>
      <c r="AJ1134" s="7">
        <v>246</v>
      </c>
      <c r="AK1134" s="6">
        <f>1-AB1134/AJ1134</f>
        <v>0.30081300813008127</v>
      </c>
      <c r="AL1134" s="4">
        <f>AJ1134-AB1134</f>
        <v>74</v>
      </c>
      <c r="AM1134" s="28"/>
      <c r="AN1134" s="6"/>
      <c r="AO1134" s="6"/>
      <c r="AP1134" s="6">
        <f>Z1134/L1134</f>
        <v>0.63076923076923075</v>
      </c>
      <c r="AQ1134" s="6">
        <f>AJ1134/M1134</f>
        <v>0.91111111111111109</v>
      </c>
      <c r="AR1134" s="6">
        <f>AB1134/N1134</f>
        <v>1</v>
      </c>
      <c r="AS1134" s="4"/>
      <c r="AT1134" s="4"/>
      <c r="AU1134" s="4"/>
      <c r="AV1134" s="4"/>
      <c r="AW1134" s="4"/>
      <c r="AX1134" s="4"/>
      <c r="AY1134" s="4"/>
      <c r="AZ1134" s="4"/>
      <c r="BA1134" s="4"/>
      <c r="BB1134" s="4">
        <v>0</v>
      </c>
      <c r="BC1134" s="4" t="s">
        <v>4599</v>
      </c>
      <c r="BD1134" s="4">
        <v>1</v>
      </c>
      <c r="BE1134" s="4">
        <v>5</v>
      </c>
      <c r="BF1134" s="4" t="s">
        <v>3606</v>
      </c>
      <c r="BG1134" s="4">
        <v>1950</v>
      </c>
      <c r="BH1134" s="4">
        <v>1950</v>
      </c>
      <c r="BI1134" s="4">
        <f t="shared" si="174"/>
        <v>390</v>
      </c>
      <c r="BJ1134" s="19">
        <v>4</v>
      </c>
      <c r="BK1134" s="19">
        <v>8</v>
      </c>
      <c r="BL1134" s="16">
        <v>3</v>
      </c>
      <c r="BM1134" s="45" t="s">
        <v>3534</v>
      </c>
      <c r="BN1134" t="s">
        <v>3534</v>
      </c>
      <c r="BO1134" t="str">
        <f t="shared" si="167"/>
        <v>-</v>
      </c>
      <c r="BP1134" t="s">
        <v>3534</v>
      </c>
      <c r="BQ1134">
        <v>246</v>
      </c>
      <c r="BR1134">
        <f t="shared" si="168"/>
        <v>246</v>
      </c>
      <c r="BS1134" t="s">
        <v>3450</v>
      </c>
    </row>
    <row r="1135" spans="1:71" x14ac:dyDescent="0.4">
      <c r="A1135" s="3">
        <v>1132</v>
      </c>
      <c r="B1135" s="3">
        <v>1132</v>
      </c>
      <c r="C1135" s="4" t="s">
        <v>1194</v>
      </c>
      <c r="D1135" s="4" t="str">
        <f t="shared" si="169"/>
        <v>J912WM</v>
      </c>
      <c r="E1135" s="4" t="s">
        <v>1194</v>
      </c>
      <c r="F1135" s="4" t="s">
        <v>2412</v>
      </c>
      <c r="G1135" s="5">
        <v>4548030188467</v>
      </c>
      <c r="H1135" s="5"/>
      <c r="I1135" s="5"/>
      <c r="J1135" s="5">
        <v>1</v>
      </c>
      <c r="K1135" s="5">
        <v>1</v>
      </c>
      <c r="L1135" s="4">
        <v>790</v>
      </c>
      <c r="M1135" s="4">
        <v>628</v>
      </c>
      <c r="N1135" s="4">
        <v>440</v>
      </c>
      <c r="O1135" s="6">
        <f t="shared" si="170"/>
        <v>0.29936305732484081</v>
      </c>
      <c r="P1135" s="4" t="s">
        <v>2500</v>
      </c>
      <c r="Q1135" s="4"/>
      <c r="R1135" s="4"/>
      <c r="S1135" s="4"/>
      <c r="T1135" s="4"/>
      <c r="U1135" s="4"/>
      <c r="V1135" s="4"/>
      <c r="W1135" s="4"/>
      <c r="X1135" s="4"/>
      <c r="Y1135" s="4">
        <v>673</v>
      </c>
      <c r="Z1135" s="4">
        <f t="shared" si="171"/>
        <v>673</v>
      </c>
      <c r="AA1135" s="4">
        <v>471</v>
      </c>
      <c r="AB1135" s="4">
        <f t="shared" si="172"/>
        <v>471</v>
      </c>
      <c r="AC1135" s="4"/>
      <c r="AD1135" s="21">
        <f>ROUND(M1135*AR1135,0)</f>
        <v>672</v>
      </c>
      <c r="AE1135" s="6">
        <f>1-AB1135/AD1135</f>
        <v>0.2991071428571429</v>
      </c>
      <c r="AF1135" s="33">
        <v>0</v>
      </c>
      <c r="AG1135" s="4">
        <f t="shared" si="173"/>
        <v>790</v>
      </c>
      <c r="AH1135" s="33">
        <f t="shared" si="166"/>
        <v>845.65909090909099</v>
      </c>
      <c r="AI1135" s="6">
        <f>1-AB1135/AH1135</f>
        <v>0.44303797468354433</v>
      </c>
      <c r="AJ1135" s="7">
        <v>673</v>
      </c>
      <c r="AK1135" s="6">
        <f>1-AB1135/AJ1135</f>
        <v>0.30014858841010406</v>
      </c>
      <c r="AL1135" s="4">
        <f>AJ1135-AB1135</f>
        <v>202</v>
      </c>
      <c r="AM1135" s="28"/>
      <c r="AN1135" s="6"/>
      <c r="AO1135" s="6"/>
      <c r="AP1135" s="6">
        <f>Z1135/L1135</f>
        <v>0.85189873417721518</v>
      </c>
      <c r="AQ1135" s="6">
        <f>AJ1135/M1135</f>
        <v>1.0716560509554141</v>
      </c>
      <c r="AR1135" s="6">
        <f>AB1135/N1135</f>
        <v>1.0704545454545455</v>
      </c>
      <c r="AS1135" s="4"/>
      <c r="AT1135" s="4"/>
      <c r="AU1135" s="4"/>
      <c r="AV1135" s="4"/>
      <c r="AW1135" s="4"/>
      <c r="AX1135" s="4"/>
      <c r="AY1135" s="4"/>
      <c r="AZ1135" s="4"/>
      <c r="BA1135" s="4"/>
      <c r="BB1135" s="4">
        <v>0</v>
      </c>
      <c r="BC1135" s="4" t="s">
        <v>4600</v>
      </c>
      <c r="BD1135" s="4">
        <v>1</v>
      </c>
      <c r="BE1135" s="4">
        <v>2</v>
      </c>
      <c r="BF1135" s="4" t="s">
        <v>4579</v>
      </c>
      <c r="BG1135" s="4">
        <v>1580</v>
      </c>
      <c r="BH1135" s="4">
        <v>1580</v>
      </c>
      <c r="BI1135" s="4">
        <f t="shared" si="174"/>
        <v>790</v>
      </c>
      <c r="BJ1135" s="19">
        <v>4</v>
      </c>
      <c r="BK1135" s="19">
        <v>8</v>
      </c>
      <c r="BL1135" s="16">
        <v>6</v>
      </c>
      <c r="BM1135" s="45" t="s">
        <v>3534</v>
      </c>
      <c r="BN1135" t="s">
        <v>3534</v>
      </c>
      <c r="BO1135" t="str">
        <f t="shared" si="167"/>
        <v>-</v>
      </c>
      <c r="BP1135" t="s">
        <v>3534</v>
      </c>
      <c r="BQ1135" t="s">
        <v>3534</v>
      </c>
      <c r="BR1135" t="str">
        <f t="shared" si="168"/>
        <v>-</v>
      </c>
      <c r="BS1135" t="s">
        <v>3451</v>
      </c>
    </row>
    <row r="1136" spans="1:71" x14ac:dyDescent="0.4">
      <c r="A1136" s="3">
        <v>1133</v>
      </c>
      <c r="B1136" s="3">
        <v>1133</v>
      </c>
      <c r="C1136" s="4" t="s">
        <v>1195</v>
      </c>
      <c r="D1136" s="4" t="str">
        <f t="shared" si="169"/>
        <v>J913WE</v>
      </c>
      <c r="E1136" s="4" t="s">
        <v>1195</v>
      </c>
      <c r="F1136" s="4" t="s">
        <v>2413</v>
      </c>
      <c r="G1136" s="5">
        <v>4521718745947</v>
      </c>
      <c r="H1136" s="5"/>
      <c r="I1136" s="5"/>
      <c r="J1136" s="5">
        <v>1</v>
      </c>
      <c r="K1136" s="5">
        <v>1</v>
      </c>
      <c r="L1136" s="4">
        <v>390</v>
      </c>
      <c r="M1136" s="4">
        <v>270</v>
      </c>
      <c r="N1136" s="4">
        <v>172</v>
      </c>
      <c r="O1136" s="6">
        <f t="shared" si="170"/>
        <v>0.36296296296296293</v>
      </c>
      <c r="P1136" s="4" t="s">
        <v>2500</v>
      </c>
      <c r="Q1136" s="4"/>
      <c r="R1136" s="4"/>
      <c r="S1136" s="4"/>
      <c r="T1136" s="4"/>
      <c r="U1136" s="4"/>
      <c r="V1136" s="4"/>
      <c r="W1136" s="4"/>
      <c r="X1136" s="4"/>
      <c r="Y1136" s="4">
        <v>246</v>
      </c>
      <c r="Z1136" s="4">
        <f t="shared" si="171"/>
        <v>246</v>
      </c>
      <c r="AA1136" s="4">
        <v>172</v>
      </c>
      <c r="AB1136" s="4">
        <f t="shared" si="172"/>
        <v>172</v>
      </c>
      <c r="AC1136" s="4"/>
      <c r="AD1136" s="21">
        <f>ROUND(M1136*AR1136,0)</f>
        <v>270</v>
      </c>
      <c r="AE1136" s="6">
        <f>1-AB1136/AD1136</f>
        <v>0.36296296296296293</v>
      </c>
      <c r="AF1136" s="33">
        <v>3</v>
      </c>
      <c r="AG1136" s="4">
        <f t="shared" si="173"/>
        <v>390</v>
      </c>
      <c r="AH1136" s="33">
        <f t="shared" si="166"/>
        <v>390</v>
      </c>
      <c r="AI1136" s="6">
        <f>1-AB1136/AH1136</f>
        <v>0.55897435897435899</v>
      </c>
      <c r="AJ1136" s="7">
        <v>246</v>
      </c>
      <c r="AK1136" s="6">
        <f>1-AB1136/AJ1136</f>
        <v>0.30081300813008127</v>
      </c>
      <c r="AL1136" s="4">
        <f>AJ1136-AB1136</f>
        <v>74</v>
      </c>
      <c r="AM1136" s="28"/>
      <c r="AN1136" s="6"/>
      <c r="AO1136" s="6"/>
      <c r="AP1136" s="6">
        <f>Z1136/L1136</f>
        <v>0.63076923076923075</v>
      </c>
      <c r="AQ1136" s="6">
        <f>AJ1136/M1136</f>
        <v>0.91111111111111109</v>
      </c>
      <c r="AR1136" s="6">
        <f>AB1136/N1136</f>
        <v>1</v>
      </c>
      <c r="AS1136" s="4"/>
      <c r="AT1136" s="4"/>
      <c r="AU1136" s="4"/>
      <c r="AV1136" s="4"/>
      <c r="AW1136" s="4"/>
      <c r="AX1136" s="4"/>
      <c r="AY1136" s="4"/>
      <c r="AZ1136" s="4"/>
      <c r="BA1136" s="4"/>
      <c r="BB1136" s="4">
        <v>0</v>
      </c>
      <c r="BC1136" s="4" t="s">
        <v>4601</v>
      </c>
      <c r="BD1136" s="4">
        <v>1</v>
      </c>
      <c r="BE1136" s="4">
        <v>5</v>
      </c>
      <c r="BF1136" s="4" t="s">
        <v>3606</v>
      </c>
      <c r="BG1136" s="4">
        <v>1950</v>
      </c>
      <c r="BH1136" s="4">
        <v>1950</v>
      </c>
      <c r="BI1136" s="4">
        <f t="shared" si="174"/>
        <v>390</v>
      </c>
      <c r="BJ1136" s="19">
        <v>4</v>
      </c>
      <c r="BK1136" s="19">
        <v>8</v>
      </c>
      <c r="BL1136" s="16">
        <v>3</v>
      </c>
      <c r="BM1136" s="45" t="s">
        <v>3534</v>
      </c>
      <c r="BN1136" t="s">
        <v>3534</v>
      </c>
      <c r="BO1136" t="str">
        <f t="shared" si="167"/>
        <v>-</v>
      </c>
      <c r="BP1136" t="s">
        <v>3534</v>
      </c>
      <c r="BQ1136">
        <v>246</v>
      </c>
      <c r="BR1136">
        <f t="shared" si="168"/>
        <v>246</v>
      </c>
      <c r="BS1136" t="s">
        <v>3452</v>
      </c>
    </row>
    <row r="1137" spans="1:71" x14ac:dyDescent="0.4">
      <c r="A1137" s="3">
        <v>1134</v>
      </c>
      <c r="B1137" s="3">
        <v>1134</v>
      </c>
      <c r="C1137" s="4" t="s">
        <v>1196</v>
      </c>
      <c r="D1137" s="4" t="str">
        <f t="shared" si="169"/>
        <v>J912LY</v>
      </c>
      <c r="E1137" s="4" t="s">
        <v>1196</v>
      </c>
      <c r="F1137" s="4" t="s">
        <v>2414</v>
      </c>
      <c r="G1137" s="5">
        <v>4521718868820</v>
      </c>
      <c r="H1137" s="5"/>
      <c r="I1137" s="5"/>
      <c r="J1137" s="5">
        <v>1</v>
      </c>
      <c r="K1137" s="5">
        <v>1</v>
      </c>
      <c r="L1137" s="4">
        <v>500</v>
      </c>
      <c r="M1137" s="4">
        <v>499</v>
      </c>
      <c r="N1137" s="4">
        <v>400</v>
      </c>
      <c r="O1137" s="6">
        <f t="shared" si="170"/>
        <v>0.19839679358717432</v>
      </c>
      <c r="P1137" s="4" t="s">
        <v>2500</v>
      </c>
      <c r="Q1137" s="4"/>
      <c r="R1137" s="4"/>
      <c r="S1137" s="4"/>
      <c r="T1137" s="4"/>
      <c r="U1137" s="4"/>
      <c r="V1137" s="4"/>
      <c r="W1137" s="4"/>
      <c r="X1137" s="4"/>
      <c r="Y1137" s="4">
        <v>500</v>
      </c>
      <c r="Z1137" s="4">
        <f t="shared" si="171"/>
        <v>500</v>
      </c>
      <c r="AA1137" s="4">
        <v>400</v>
      </c>
      <c r="AB1137" s="4">
        <f t="shared" si="172"/>
        <v>400</v>
      </c>
      <c r="AC1137" s="4"/>
      <c r="AD1137" s="21">
        <f>ROUND(M1137*AR1137,0)</f>
        <v>499</v>
      </c>
      <c r="AE1137" s="6">
        <f>1-AB1137/AD1137</f>
        <v>0.19839679358717432</v>
      </c>
      <c r="AF1137" s="33">
        <v>0</v>
      </c>
      <c r="AG1137" s="4">
        <f t="shared" si="173"/>
        <v>960</v>
      </c>
      <c r="AH1137" s="33">
        <f t="shared" si="166"/>
        <v>960</v>
      </c>
      <c r="AI1137" s="6">
        <f>1-AB1137/AH1137</f>
        <v>0.58333333333333326</v>
      </c>
      <c r="AJ1137" s="7">
        <v>500</v>
      </c>
      <c r="AK1137" s="6">
        <f>1-AB1137/AJ1137</f>
        <v>0.19999999999999996</v>
      </c>
      <c r="AL1137" s="4">
        <f>AJ1137-AB1137</f>
        <v>100</v>
      </c>
      <c r="AM1137" s="28"/>
      <c r="AN1137" s="6"/>
      <c r="AO1137" s="6"/>
      <c r="AP1137" s="6">
        <f>Z1137/L1137</f>
        <v>1</v>
      </c>
      <c r="AQ1137" s="6">
        <f>AJ1137/M1137</f>
        <v>1.002004008016032</v>
      </c>
      <c r="AR1137" s="6">
        <f>AB1137/N1137</f>
        <v>1</v>
      </c>
      <c r="AS1137" s="4"/>
      <c r="AT1137" s="4"/>
      <c r="AU1137" s="4"/>
      <c r="AV1137" s="4"/>
      <c r="AW1137" s="4"/>
      <c r="AX1137" s="4"/>
      <c r="AY1137" s="4"/>
      <c r="AZ1137" s="4"/>
      <c r="BA1137" s="4"/>
      <c r="BB1137" s="4">
        <v>0</v>
      </c>
      <c r="BC1137" s="4" t="s">
        <v>4602</v>
      </c>
      <c r="BD1137" s="4"/>
      <c r="BE1137" s="4"/>
      <c r="BF1137" s="4" t="s">
        <v>3640</v>
      </c>
      <c r="BG1137" s="4">
        <v>960</v>
      </c>
      <c r="BH1137" s="4">
        <v>960</v>
      </c>
      <c r="BI1137" s="4">
        <f t="shared" si="174"/>
        <v>960</v>
      </c>
      <c r="BJ1137" s="19">
        <v>4</v>
      </c>
      <c r="BK1137" s="19">
        <v>8</v>
      </c>
      <c r="BL1137" s="16">
        <v>6</v>
      </c>
      <c r="BM1137" s="45" t="s">
        <v>3534</v>
      </c>
      <c r="BN1137" t="s">
        <v>3534</v>
      </c>
      <c r="BO1137" t="str">
        <f t="shared" si="167"/>
        <v>-</v>
      </c>
      <c r="BP1137" t="s">
        <v>3534</v>
      </c>
      <c r="BQ1137">
        <v>500</v>
      </c>
      <c r="BR1137">
        <f t="shared" si="168"/>
        <v>500</v>
      </c>
      <c r="BS1137" t="s">
        <v>3453</v>
      </c>
    </row>
    <row r="1138" spans="1:71" x14ac:dyDescent="0.4">
      <c r="A1138" s="3">
        <v>1135</v>
      </c>
      <c r="B1138" s="3">
        <v>1135</v>
      </c>
      <c r="C1138" s="4" t="s">
        <v>1197</v>
      </c>
      <c r="D1138" s="4" t="str">
        <f t="shared" si="169"/>
        <v>J914LY</v>
      </c>
      <c r="E1138" s="4" t="s">
        <v>1197</v>
      </c>
      <c r="F1138" s="4" t="s">
        <v>2415</v>
      </c>
      <c r="G1138" s="5">
        <v>4521718936420</v>
      </c>
      <c r="H1138" s="5"/>
      <c r="I1138" s="5"/>
      <c r="J1138" s="5">
        <v>1</v>
      </c>
      <c r="K1138" s="5">
        <v>1</v>
      </c>
      <c r="L1138" s="4">
        <v>137</v>
      </c>
      <c r="M1138" s="4">
        <v>137</v>
      </c>
      <c r="N1138" s="4">
        <v>110</v>
      </c>
      <c r="O1138" s="6">
        <f t="shared" si="170"/>
        <v>0.1970802919708029</v>
      </c>
      <c r="P1138" s="4" t="s">
        <v>2500</v>
      </c>
      <c r="Q1138" s="4"/>
      <c r="R1138" s="4"/>
      <c r="S1138" s="4"/>
      <c r="T1138" s="4"/>
      <c r="U1138" s="4"/>
      <c r="V1138" s="4"/>
      <c r="W1138" s="4"/>
      <c r="X1138" s="4"/>
      <c r="Y1138" s="4">
        <v>137</v>
      </c>
      <c r="Z1138" s="4">
        <f t="shared" si="171"/>
        <v>137</v>
      </c>
      <c r="AA1138" s="4">
        <v>110</v>
      </c>
      <c r="AB1138" s="4">
        <f t="shared" si="172"/>
        <v>110</v>
      </c>
      <c r="AC1138" s="4"/>
      <c r="AD1138" s="21">
        <f>ROUND(M1138*AR1138,0)</f>
        <v>137</v>
      </c>
      <c r="AE1138" s="6">
        <f>1-AB1138/AD1138</f>
        <v>0.1970802919708029</v>
      </c>
      <c r="AF1138" s="33">
        <v>0</v>
      </c>
      <c r="AG1138" s="4">
        <f t="shared" si="173"/>
        <v>160</v>
      </c>
      <c r="AH1138" s="33">
        <f t="shared" si="166"/>
        <v>160</v>
      </c>
      <c r="AI1138" s="6">
        <f>1-AB1138/AH1138</f>
        <v>0.3125</v>
      </c>
      <c r="AJ1138" s="7">
        <v>137</v>
      </c>
      <c r="AK1138" s="6">
        <f>1-AB1138/AJ1138</f>
        <v>0.1970802919708029</v>
      </c>
      <c r="AL1138" s="4">
        <f>AJ1138-AB1138</f>
        <v>27</v>
      </c>
      <c r="AM1138" s="28"/>
      <c r="AN1138" s="6"/>
      <c r="AO1138" s="6"/>
      <c r="AP1138" s="6">
        <f>Z1138/L1138</f>
        <v>1</v>
      </c>
      <c r="AQ1138" s="6">
        <f>AJ1138/M1138</f>
        <v>1</v>
      </c>
      <c r="AR1138" s="6">
        <f>AB1138/N1138</f>
        <v>1</v>
      </c>
      <c r="AS1138" s="4"/>
      <c r="AT1138" s="4"/>
      <c r="AU1138" s="4"/>
      <c r="AV1138" s="4"/>
      <c r="AW1138" s="4"/>
      <c r="AX1138" s="4"/>
      <c r="AY1138" s="4"/>
      <c r="AZ1138" s="4"/>
      <c r="BA1138" s="4"/>
      <c r="BB1138" s="4">
        <v>0</v>
      </c>
      <c r="BC1138" s="4" t="s">
        <v>4603</v>
      </c>
      <c r="BD1138" s="4">
        <v>1</v>
      </c>
      <c r="BE1138" s="4">
        <v>13</v>
      </c>
      <c r="BF1138" s="4" t="s">
        <v>4604</v>
      </c>
      <c r="BG1138" s="4">
        <v>2080</v>
      </c>
      <c r="BH1138" s="4">
        <v>2080</v>
      </c>
      <c r="BI1138" s="4">
        <f t="shared" si="174"/>
        <v>160</v>
      </c>
      <c r="BJ1138" s="19">
        <v>4</v>
      </c>
      <c r="BK1138" s="19">
        <v>8</v>
      </c>
      <c r="BL1138" s="16">
        <v>6</v>
      </c>
      <c r="BM1138" s="45" t="s">
        <v>3534</v>
      </c>
      <c r="BN1138" t="s">
        <v>3534</v>
      </c>
      <c r="BO1138" t="str">
        <f t="shared" si="167"/>
        <v>-</v>
      </c>
      <c r="BP1138" t="s">
        <v>3534</v>
      </c>
      <c r="BQ1138">
        <v>137</v>
      </c>
      <c r="BR1138">
        <f t="shared" si="168"/>
        <v>137</v>
      </c>
      <c r="BS1138" t="s">
        <v>3454</v>
      </c>
    </row>
    <row r="1139" spans="1:71" x14ac:dyDescent="0.4">
      <c r="A1139" s="3">
        <v>1136</v>
      </c>
      <c r="B1139" s="3">
        <v>1136</v>
      </c>
      <c r="C1139" s="4" t="s">
        <v>1198</v>
      </c>
      <c r="D1139" s="4" t="str">
        <f t="shared" si="169"/>
        <v>J913WM</v>
      </c>
      <c r="E1139" s="4" t="s">
        <v>1198</v>
      </c>
      <c r="F1139" s="4" t="s">
        <v>2416</v>
      </c>
      <c r="G1139" s="5">
        <v>4548030188474</v>
      </c>
      <c r="H1139" s="5"/>
      <c r="I1139" s="5"/>
      <c r="J1139" s="5">
        <v>1</v>
      </c>
      <c r="K1139" s="5">
        <v>1</v>
      </c>
      <c r="L1139" s="4">
        <v>750</v>
      </c>
      <c r="M1139" s="4">
        <v>600</v>
      </c>
      <c r="N1139" s="4">
        <v>420</v>
      </c>
      <c r="O1139" s="6">
        <f t="shared" si="170"/>
        <v>0.30000000000000004</v>
      </c>
      <c r="P1139" s="4" t="s">
        <v>2500</v>
      </c>
      <c r="Q1139" s="4"/>
      <c r="R1139" s="4"/>
      <c r="S1139" s="4"/>
      <c r="T1139" s="4"/>
      <c r="U1139" s="4"/>
      <c r="V1139" s="4"/>
      <c r="W1139" s="4"/>
      <c r="X1139" s="4"/>
      <c r="Y1139" s="4">
        <v>610</v>
      </c>
      <c r="Z1139" s="4">
        <f t="shared" si="171"/>
        <v>610</v>
      </c>
      <c r="AA1139" s="4">
        <v>427</v>
      </c>
      <c r="AB1139" s="4">
        <f t="shared" si="172"/>
        <v>427</v>
      </c>
      <c r="AC1139" s="4"/>
      <c r="AD1139" s="21">
        <f>ROUND(M1139*AR1139,0)</f>
        <v>610</v>
      </c>
      <c r="AE1139" s="6">
        <f>1-AB1139/AD1139</f>
        <v>0.30000000000000004</v>
      </c>
      <c r="AF1139" s="33">
        <v>0</v>
      </c>
      <c r="AG1139" s="4">
        <f t="shared" si="173"/>
        <v>750</v>
      </c>
      <c r="AH1139" s="33">
        <f t="shared" si="166"/>
        <v>762.5</v>
      </c>
      <c r="AI1139" s="6">
        <f>1-AB1139/AH1139</f>
        <v>0.43999999999999995</v>
      </c>
      <c r="AJ1139" s="7">
        <v>610</v>
      </c>
      <c r="AK1139" s="6">
        <f>1-AB1139/AJ1139</f>
        <v>0.30000000000000004</v>
      </c>
      <c r="AL1139" s="4">
        <f>AJ1139-AB1139</f>
        <v>183</v>
      </c>
      <c r="AM1139" s="28"/>
      <c r="AN1139" s="6"/>
      <c r="AO1139" s="6"/>
      <c r="AP1139" s="6">
        <f>Z1139/L1139</f>
        <v>0.81333333333333335</v>
      </c>
      <c r="AQ1139" s="6">
        <f>AJ1139/M1139</f>
        <v>1.0166666666666666</v>
      </c>
      <c r="AR1139" s="6">
        <f>AB1139/N1139</f>
        <v>1.0166666666666666</v>
      </c>
      <c r="AS1139" s="4"/>
      <c r="AT1139" s="4"/>
      <c r="AU1139" s="4"/>
      <c r="AV1139" s="4"/>
      <c r="AW1139" s="4"/>
      <c r="AX1139" s="4"/>
      <c r="AY1139" s="4"/>
      <c r="AZ1139" s="4"/>
      <c r="BA1139" s="4"/>
      <c r="BB1139" s="4">
        <v>0</v>
      </c>
      <c r="BC1139" s="4" t="s">
        <v>4605</v>
      </c>
      <c r="BD1139" s="4">
        <v>1</v>
      </c>
      <c r="BE1139" s="4">
        <v>2</v>
      </c>
      <c r="BF1139" s="4" t="s">
        <v>4579</v>
      </c>
      <c r="BG1139" s="4">
        <v>1500</v>
      </c>
      <c r="BH1139" s="4">
        <v>1500</v>
      </c>
      <c r="BI1139" s="4">
        <f t="shared" si="174"/>
        <v>750</v>
      </c>
      <c r="BJ1139" s="19">
        <v>4</v>
      </c>
      <c r="BK1139" s="19">
        <v>8</v>
      </c>
      <c r="BL1139" s="16">
        <v>6</v>
      </c>
      <c r="BM1139" s="45" t="s">
        <v>3534</v>
      </c>
      <c r="BN1139" t="s">
        <v>3534</v>
      </c>
      <c r="BO1139" t="str">
        <f t="shared" si="167"/>
        <v>-</v>
      </c>
      <c r="BP1139" t="s">
        <v>3534</v>
      </c>
      <c r="BQ1139" t="s">
        <v>3534</v>
      </c>
      <c r="BR1139" t="str">
        <f t="shared" si="168"/>
        <v>-</v>
      </c>
      <c r="BS1139" t="s">
        <v>3455</v>
      </c>
    </row>
    <row r="1140" spans="1:71" x14ac:dyDescent="0.4">
      <c r="A1140" s="3">
        <v>1137</v>
      </c>
      <c r="B1140" s="3">
        <v>1137</v>
      </c>
      <c r="C1140" s="4" t="s">
        <v>1199</v>
      </c>
      <c r="D1140" s="4" t="str">
        <f t="shared" si="169"/>
        <v>J914WE</v>
      </c>
      <c r="E1140" s="4" t="s">
        <v>1199</v>
      </c>
      <c r="F1140" s="4" t="s">
        <v>2417</v>
      </c>
      <c r="G1140" s="5">
        <v>4521718745954</v>
      </c>
      <c r="H1140" s="5"/>
      <c r="I1140" s="5"/>
      <c r="J1140" s="5">
        <v>1</v>
      </c>
      <c r="K1140" s="5">
        <v>1</v>
      </c>
      <c r="L1140" s="4">
        <v>390</v>
      </c>
      <c r="M1140" s="4">
        <v>270</v>
      </c>
      <c r="N1140" s="4">
        <v>172</v>
      </c>
      <c r="O1140" s="6">
        <f t="shared" si="170"/>
        <v>0.36296296296296293</v>
      </c>
      <c r="P1140" s="4" t="s">
        <v>2500</v>
      </c>
      <c r="Q1140" s="4"/>
      <c r="R1140" s="4"/>
      <c r="S1140" s="4"/>
      <c r="T1140" s="4"/>
      <c r="U1140" s="4"/>
      <c r="V1140" s="4"/>
      <c r="W1140" s="4"/>
      <c r="X1140" s="4"/>
      <c r="Y1140" s="4">
        <v>246</v>
      </c>
      <c r="Z1140" s="4">
        <f t="shared" si="171"/>
        <v>246</v>
      </c>
      <c r="AA1140" s="4">
        <v>172</v>
      </c>
      <c r="AB1140" s="4">
        <f t="shared" si="172"/>
        <v>172</v>
      </c>
      <c r="AC1140" s="4"/>
      <c r="AD1140" s="21">
        <f>ROUND(M1140*AR1140,0)</f>
        <v>270</v>
      </c>
      <c r="AE1140" s="6">
        <f>1-AB1140/AD1140</f>
        <v>0.36296296296296293</v>
      </c>
      <c r="AF1140" s="33">
        <v>12.25</v>
      </c>
      <c r="AG1140" s="4">
        <f t="shared" si="173"/>
        <v>390</v>
      </c>
      <c r="AH1140" s="33">
        <f t="shared" si="166"/>
        <v>390</v>
      </c>
      <c r="AI1140" s="6">
        <f>1-AB1140/AH1140</f>
        <v>0.55897435897435899</v>
      </c>
      <c r="AJ1140" s="7">
        <v>246</v>
      </c>
      <c r="AK1140" s="6">
        <f>1-AB1140/AJ1140</f>
        <v>0.30081300813008127</v>
      </c>
      <c r="AL1140" s="4">
        <f>AJ1140-AB1140</f>
        <v>74</v>
      </c>
      <c r="AM1140" s="28"/>
      <c r="AN1140" s="6"/>
      <c r="AO1140" s="6"/>
      <c r="AP1140" s="6">
        <f>Z1140/L1140</f>
        <v>0.63076923076923075</v>
      </c>
      <c r="AQ1140" s="6">
        <f>AJ1140/M1140</f>
        <v>0.91111111111111109</v>
      </c>
      <c r="AR1140" s="6">
        <f>AB1140/N1140</f>
        <v>1</v>
      </c>
      <c r="AS1140" s="4"/>
      <c r="AT1140" s="4"/>
      <c r="AU1140" s="4"/>
      <c r="AV1140" s="4"/>
      <c r="AW1140" s="4"/>
      <c r="AX1140" s="4"/>
      <c r="AY1140" s="4"/>
      <c r="AZ1140" s="4"/>
      <c r="BA1140" s="4"/>
      <c r="BB1140" s="4">
        <v>0</v>
      </c>
      <c r="BC1140" s="4" t="s">
        <v>4606</v>
      </c>
      <c r="BD1140" s="4">
        <v>1</v>
      </c>
      <c r="BE1140" s="4">
        <v>5</v>
      </c>
      <c r="BF1140" s="4" t="s">
        <v>3606</v>
      </c>
      <c r="BG1140" s="4">
        <v>1950</v>
      </c>
      <c r="BH1140" s="4">
        <v>1950</v>
      </c>
      <c r="BI1140" s="4">
        <f t="shared" si="174"/>
        <v>390</v>
      </c>
      <c r="BJ1140" s="19">
        <v>4</v>
      </c>
      <c r="BK1140" s="19">
        <v>1</v>
      </c>
      <c r="BL1140" s="16">
        <v>3</v>
      </c>
      <c r="BM1140" s="45" t="s">
        <v>3534</v>
      </c>
      <c r="BN1140" t="s">
        <v>3534</v>
      </c>
      <c r="BO1140" t="str">
        <f t="shared" si="167"/>
        <v>-</v>
      </c>
      <c r="BP1140" t="s">
        <v>3534</v>
      </c>
      <c r="BQ1140">
        <v>246</v>
      </c>
      <c r="BR1140">
        <f t="shared" si="168"/>
        <v>246</v>
      </c>
      <c r="BS1140" t="s">
        <v>3456</v>
      </c>
    </row>
    <row r="1141" spans="1:71" x14ac:dyDescent="0.4">
      <c r="A1141" s="3">
        <v>1138</v>
      </c>
      <c r="B1141" s="3">
        <v>1138</v>
      </c>
      <c r="C1141" s="4" t="s">
        <v>1200</v>
      </c>
      <c r="D1141" s="4" t="str">
        <f t="shared" si="169"/>
        <v>J915WE</v>
      </c>
      <c r="E1141" s="4" t="s">
        <v>1200</v>
      </c>
      <c r="F1141" s="4" t="s">
        <v>2418</v>
      </c>
      <c r="G1141" s="5">
        <v>4521718745961</v>
      </c>
      <c r="H1141" s="5"/>
      <c r="I1141" s="5"/>
      <c r="J1141" s="5">
        <v>1</v>
      </c>
      <c r="K1141" s="5">
        <v>1</v>
      </c>
      <c r="L1141" s="4">
        <v>390</v>
      </c>
      <c r="M1141" s="4">
        <v>270</v>
      </c>
      <c r="N1141" s="4">
        <v>172</v>
      </c>
      <c r="O1141" s="6">
        <f t="shared" si="170"/>
        <v>0.36296296296296293</v>
      </c>
      <c r="P1141" s="4" t="s">
        <v>2500</v>
      </c>
      <c r="Q1141" s="4"/>
      <c r="R1141" s="4"/>
      <c r="S1141" s="4"/>
      <c r="T1141" s="4"/>
      <c r="U1141" s="4"/>
      <c r="V1141" s="4"/>
      <c r="W1141" s="4"/>
      <c r="X1141" s="4"/>
      <c r="Y1141" s="4">
        <v>246</v>
      </c>
      <c r="Z1141" s="4">
        <f t="shared" si="171"/>
        <v>246</v>
      </c>
      <c r="AA1141" s="4">
        <v>172</v>
      </c>
      <c r="AB1141" s="4">
        <f t="shared" si="172"/>
        <v>172</v>
      </c>
      <c r="AC1141" s="4"/>
      <c r="AD1141" s="21">
        <f>ROUND(M1141*AR1141,0)</f>
        <v>270</v>
      </c>
      <c r="AE1141" s="6">
        <f>1-AB1141/AD1141</f>
        <v>0.36296296296296293</v>
      </c>
      <c r="AF1141" s="33">
        <v>11</v>
      </c>
      <c r="AG1141" s="4">
        <f t="shared" si="173"/>
        <v>390</v>
      </c>
      <c r="AH1141" s="33">
        <f t="shared" si="166"/>
        <v>390</v>
      </c>
      <c r="AI1141" s="6">
        <f>1-AB1141/AH1141</f>
        <v>0.55897435897435899</v>
      </c>
      <c r="AJ1141" s="7">
        <v>246</v>
      </c>
      <c r="AK1141" s="6">
        <f>1-AB1141/AJ1141</f>
        <v>0.30081300813008127</v>
      </c>
      <c r="AL1141" s="4">
        <f>AJ1141-AB1141</f>
        <v>74</v>
      </c>
      <c r="AM1141" s="28"/>
      <c r="AN1141" s="6"/>
      <c r="AO1141" s="6"/>
      <c r="AP1141" s="6">
        <f>Z1141/L1141</f>
        <v>0.63076923076923075</v>
      </c>
      <c r="AQ1141" s="6">
        <f>AJ1141/M1141</f>
        <v>0.91111111111111109</v>
      </c>
      <c r="AR1141" s="6">
        <f>AB1141/N1141</f>
        <v>1</v>
      </c>
      <c r="AS1141" s="4"/>
      <c r="AT1141" s="4"/>
      <c r="AU1141" s="4"/>
      <c r="AV1141" s="4"/>
      <c r="AW1141" s="4"/>
      <c r="AX1141" s="4"/>
      <c r="AY1141" s="4"/>
      <c r="AZ1141" s="4"/>
      <c r="BA1141" s="4"/>
      <c r="BB1141" s="4">
        <v>0</v>
      </c>
      <c r="BC1141" s="4" t="s">
        <v>4607</v>
      </c>
      <c r="BD1141" s="4">
        <v>1</v>
      </c>
      <c r="BE1141" s="4">
        <v>5</v>
      </c>
      <c r="BF1141" s="4" t="s">
        <v>3606</v>
      </c>
      <c r="BG1141" s="4">
        <v>1950</v>
      </c>
      <c r="BH1141" s="4">
        <v>1950</v>
      </c>
      <c r="BI1141" s="4">
        <f t="shared" si="174"/>
        <v>390</v>
      </c>
      <c r="BJ1141" s="19">
        <v>4</v>
      </c>
      <c r="BK1141" s="19">
        <v>1</v>
      </c>
      <c r="BL1141" s="16">
        <v>3</v>
      </c>
      <c r="BM1141" s="45" t="s">
        <v>3534</v>
      </c>
      <c r="BN1141" t="s">
        <v>3534</v>
      </c>
      <c r="BO1141" t="str">
        <f t="shared" si="167"/>
        <v>-</v>
      </c>
      <c r="BP1141" t="s">
        <v>3534</v>
      </c>
      <c r="BQ1141">
        <v>246</v>
      </c>
      <c r="BR1141">
        <f t="shared" si="168"/>
        <v>246</v>
      </c>
      <c r="BS1141" t="s">
        <v>3457</v>
      </c>
    </row>
    <row r="1142" spans="1:71" x14ac:dyDescent="0.4">
      <c r="A1142" s="3">
        <v>1139</v>
      </c>
      <c r="B1142" s="3">
        <v>1139</v>
      </c>
      <c r="C1142" s="4" t="s">
        <v>1201</v>
      </c>
      <c r="D1142" s="4" t="str">
        <f t="shared" si="169"/>
        <v>J914WM</v>
      </c>
      <c r="E1142" s="4" t="s">
        <v>1201</v>
      </c>
      <c r="F1142" s="4" t="s">
        <v>2419</v>
      </c>
      <c r="G1142" s="5">
        <v>4548030188481</v>
      </c>
      <c r="H1142" s="5"/>
      <c r="I1142" s="5"/>
      <c r="J1142" s="5">
        <v>1</v>
      </c>
      <c r="K1142" s="5">
        <v>1</v>
      </c>
      <c r="L1142" s="4">
        <v>750</v>
      </c>
      <c r="M1142" s="4">
        <v>600</v>
      </c>
      <c r="N1142" s="4">
        <v>420</v>
      </c>
      <c r="O1142" s="6">
        <f t="shared" si="170"/>
        <v>0.30000000000000004</v>
      </c>
      <c r="P1142" s="4" t="s">
        <v>2500</v>
      </c>
      <c r="Q1142" s="4"/>
      <c r="R1142" s="4"/>
      <c r="S1142" s="4"/>
      <c r="T1142" s="4"/>
      <c r="U1142" s="4"/>
      <c r="V1142" s="4"/>
      <c r="W1142" s="4"/>
      <c r="X1142" s="4"/>
      <c r="Y1142" s="4">
        <v>610</v>
      </c>
      <c r="Z1142" s="4">
        <f t="shared" si="171"/>
        <v>610</v>
      </c>
      <c r="AA1142" s="4">
        <v>427</v>
      </c>
      <c r="AB1142" s="4">
        <f t="shared" si="172"/>
        <v>427</v>
      </c>
      <c r="AC1142" s="4"/>
      <c r="AD1142" s="21">
        <f>ROUND(M1142*AR1142,0)</f>
        <v>610</v>
      </c>
      <c r="AE1142" s="6">
        <f>1-AB1142/AD1142</f>
        <v>0.30000000000000004</v>
      </c>
      <c r="AF1142" s="33">
        <v>0</v>
      </c>
      <c r="AG1142" s="4">
        <f t="shared" si="173"/>
        <v>750</v>
      </c>
      <c r="AH1142" s="33">
        <f t="shared" si="166"/>
        <v>762.5</v>
      </c>
      <c r="AI1142" s="6">
        <f>1-AB1142/AH1142</f>
        <v>0.43999999999999995</v>
      </c>
      <c r="AJ1142" s="7">
        <v>610</v>
      </c>
      <c r="AK1142" s="6">
        <f>1-AB1142/AJ1142</f>
        <v>0.30000000000000004</v>
      </c>
      <c r="AL1142" s="4">
        <f>AJ1142-AB1142</f>
        <v>183</v>
      </c>
      <c r="AM1142" s="28"/>
      <c r="AN1142" s="6"/>
      <c r="AO1142" s="6"/>
      <c r="AP1142" s="6">
        <f>Z1142/L1142</f>
        <v>0.81333333333333335</v>
      </c>
      <c r="AQ1142" s="6">
        <f>AJ1142/M1142</f>
        <v>1.0166666666666666</v>
      </c>
      <c r="AR1142" s="6">
        <f>AB1142/N1142</f>
        <v>1.0166666666666666</v>
      </c>
      <c r="AS1142" s="4"/>
      <c r="AT1142" s="4"/>
      <c r="AU1142" s="4"/>
      <c r="AV1142" s="4"/>
      <c r="AW1142" s="4"/>
      <c r="AX1142" s="4"/>
      <c r="AY1142" s="4"/>
      <c r="AZ1142" s="4"/>
      <c r="BA1142" s="4"/>
      <c r="BB1142" s="4">
        <v>0</v>
      </c>
      <c r="BC1142" s="4" t="s">
        <v>4608</v>
      </c>
      <c r="BD1142" s="4">
        <v>1</v>
      </c>
      <c r="BE1142" s="4">
        <v>2</v>
      </c>
      <c r="BF1142" s="4" t="s">
        <v>4579</v>
      </c>
      <c r="BG1142" s="4">
        <v>1500</v>
      </c>
      <c r="BH1142" s="4">
        <v>1500</v>
      </c>
      <c r="BI1142" s="4">
        <f t="shared" si="174"/>
        <v>750</v>
      </c>
      <c r="BJ1142" s="19">
        <v>4</v>
      </c>
      <c r="BK1142" s="19">
        <v>8</v>
      </c>
      <c r="BL1142" s="16">
        <v>6</v>
      </c>
      <c r="BM1142" s="45" t="s">
        <v>3534</v>
      </c>
      <c r="BN1142" t="s">
        <v>3534</v>
      </c>
      <c r="BO1142" t="str">
        <f t="shared" si="167"/>
        <v>-</v>
      </c>
      <c r="BP1142" t="s">
        <v>3534</v>
      </c>
      <c r="BQ1142" t="s">
        <v>3534</v>
      </c>
      <c r="BR1142" t="str">
        <f t="shared" si="168"/>
        <v>-</v>
      </c>
      <c r="BS1142" t="s">
        <v>3458</v>
      </c>
    </row>
    <row r="1143" spans="1:71" x14ac:dyDescent="0.4">
      <c r="A1143" s="3">
        <v>1140</v>
      </c>
      <c r="B1143" s="3">
        <v>1140</v>
      </c>
      <c r="C1143" s="4" t="s">
        <v>1202</v>
      </c>
      <c r="D1143" s="4" t="str">
        <f t="shared" si="169"/>
        <v>J916LY</v>
      </c>
      <c r="E1143" s="4" t="s">
        <v>1202</v>
      </c>
      <c r="F1143" s="4" t="s">
        <v>2420</v>
      </c>
      <c r="G1143" s="5">
        <v>4521718939971</v>
      </c>
      <c r="H1143" s="5"/>
      <c r="I1143" s="5"/>
      <c r="J1143" s="5">
        <v>1</v>
      </c>
      <c r="K1143" s="5">
        <v>1</v>
      </c>
      <c r="L1143" s="4">
        <v>9380</v>
      </c>
      <c r="M1143" s="4">
        <v>6425</v>
      </c>
      <c r="N1143" s="4">
        <v>5250</v>
      </c>
      <c r="O1143" s="6">
        <f t="shared" si="170"/>
        <v>0.18287937743190663</v>
      </c>
      <c r="P1143" s="4" t="s">
        <v>2500</v>
      </c>
      <c r="Q1143" s="4"/>
      <c r="R1143" s="4"/>
      <c r="S1143" s="4"/>
      <c r="T1143" s="4"/>
      <c r="U1143" s="4"/>
      <c r="V1143" s="4"/>
      <c r="W1143" s="4"/>
      <c r="X1143" s="4"/>
      <c r="Y1143" s="4">
        <v>7500</v>
      </c>
      <c r="Z1143" s="4">
        <f t="shared" si="171"/>
        <v>7500</v>
      </c>
      <c r="AA1143" s="4">
        <v>5250</v>
      </c>
      <c r="AB1143" s="4">
        <f t="shared" si="172"/>
        <v>5250</v>
      </c>
      <c r="AC1143" s="4"/>
      <c r="AD1143" s="21">
        <f>ROUND(M1143*AR1143,0)</f>
        <v>6425</v>
      </c>
      <c r="AE1143" s="6">
        <f>1-AB1143/AD1143</f>
        <v>0.18287937743190663</v>
      </c>
      <c r="AF1143" s="33">
        <v>0</v>
      </c>
      <c r="AG1143" s="4">
        <f t="shared" si="173"/>
        <v>6000</v>
      </c>
      <c r="AH1143" s="33">
        <f t="shared" si="166"/>
        <v>6000</v>
      </c>
      <c r="AI1143" s="6">
        <f>1-AB1143/AH1143</f>
        <v>0.125</v>
      </c>
      <c r="AJ1143" s="7">
        <v>7500</v>
      </c>
      <c r="AK1143" s="6">
        <f>1-AB1143/AJ1143</f>
        <v>0.30000000000000004</v>
      </c>
      <c r="AL1143" s="4">
        <f>AJ1143-AB1143</f>
        <v>2250</v>
      </c>
      <c r="AM1143" s="28"/>
      <c r="AN1143" s="6"/>
      <c r="AO1143" s="6"/>
      <c r="AP1143" s="6">
        <f>Z1143/L1143</f>
        <v>0.79957356076759056</v>
      </c>
      <c r="AQ1143" s="6">
        <f>AJ1143/M1143</f>
        <v>1.1673151750972763</v>
      </c>
      <c r="AR1143" s="6">
        <f>AB1143/N1143</f>
        <v>1</v>
      </c>
      <c r="AS1143" s="4"/>
      <c r="AT1143" s="4"/>
      <c r="AU1143" s="4"/>
      <c r="AV1143" s="4"/>
      <c r="AW1143" s="4"/>
      <c r="AX1143" s="4"/>
      <c r="AY1143" s="4"/>
      <c r="AZ1143" s="4"/>
      <c r="BA1143" s="4"/>
      <c r="BB1143" s="4">
        <v>0</v>
      </c>
      <c r="BC1143" s="4" t="s">
        <v>4609</v>
      </c>
      <c r="BD1143" s="4"/>
      <c r="BE1143" s="4"/>
      <c r="BF1143" s="4" t="s">
        <v>3874</v>
      </c>
      <c r="BG1143" s="4">
        <v>6000</v>
      </c>
      <c r="BH1143" s="4">
        <v>6000</v>
      </c>
      <c r="BI1143" s="4">
        <f t="shared" si="174"/>
        <v>6000</v>
      </c>
      <c r="BJ1143" s="19">
        <v>4</v>
      </c>
      <c r="BK1143" s="19">
        <v>8</v>
      </c>
      <c r="BL1143" s="16">
        <v>6</v>
      </c>
      <c r="BM1143" s="45" t="s">
        <v>3534</v>
      </c>
      <c r="BN1143" t="s">
        <v>3534</v>
      </c>
      <c r="BO1143" t="str">
        <f t="shared" si="167"/>
        <v>-</v>
      </c>
      <c r="BP1143" t="s">
        <v>3534</v>
      </c>
      <c r="BQ1143">
        <v>7500</v>
      </c>
      <c r="BR1143">
        <f t="shared" si="168"/>
        <v>7500</v>
      </c>
      <c r="BS1143" t="s">
        <v>3459</v>
      </c>
    </row>
    <row r="1144" spans="1:71" x14ac:dyDescent="0.4">
      <c r="A1144" s="3">
        <v>1141</v>
      </c>
      <c r="B1144" s="3">
        <v>1141</v>
      </c>
      <c r="C1144" s="4" t="s">
        <v>1203</v>
      </c>
      <c r="D1144" s="4" t="str">
        <f t="shared" si="169"/>
        <v>J916WE</v>
      </c>
      <c r="E1144" s="4" t="s">
        <v>1203</v>
      </c>
      <c r="F1144" s="4" t="s">
        <v>2421</v>
      </c>
      <c r="G1144" s="5">
        <v>4521718745978</v>
      </c>
      <c r="H1144" s="5"/>
      <c r="I1144" s="5"/>
      <c r="J1144" s="5">
        <v>1</v>
      </c>
      <c r="K1144" s="5">
        <v>1</v>
      </c>
      <c r="L1144" s="4">
        <v>390</v>
      </c>
      <c r="M1144" s="4">
        <v>270</v>
      </c>
      <c r="N1144" s="4">
        <v>172</v>
      </c>
      <c r="O1144" s="6">
        <f t="shared" si="170"/>
        <v>0.36296296296296293</v>
      </c>
      <c r="P1144" s="4" t="s">
        <v>2500</v>
      </c>
      <c r="Q1144" s="4"/>
      <c r="R1144" s="4"/>
      <c r="S1144" s="4"/>
      <c r="T1144" s="4"/>
      <c r="U1144" s="4"/>
      <c r="V1144" s="4"/>
      <c r="W1144" s="4"/>
      <c r="X1144" s="4"/>
      <c r="Y1144" s="4">
        <v>246</v>
      </c>
      <c r="Z1144" s="4">
        <f t="shared" si="171"/>
        <v>246</v>
      </c>
      <c r="AA1144" s="4">
        <v>172</v>
      </c>
      <c r="AB1144" s="4">
        <f t="shared" si="172"/>
        <v>172</v>
      </c>
      <c r="AC1144" s="4"/>
      <c r="AD1144" s="21">
        <f>ROUND(M1144*AR1144,0)</f>
        <v>270</v>
      </c>
      <c r="AE1144" s="6">
        <f>1-AB1144/AD1144</f>
        <v>0.36296296296296293</v>
      </c>
      <c r="AF1144" s="33">
        <v>2.75</v>
      </c>
      <c r="AG1144" s="4">
        <f t="shared" si="173"/>
        <v>390</v>
      </c>
      <c r="AH1144" s="33">
        <f t="shared" si="166"/>
        <v>390</v>
      </c>
      <c r="AI1144" s="6">
        <f>1-AB1144/AH1144</f>
        <v>0.55897435897435899</v>
      </c>
      <c r="AJ1144" s="7">
        <v>246</v>
      </c>
      <c r="AK1144" s="6">
        <f>1-AB1144/AJ1144</f>
        <v>0.30081300813008127</v>
      </c>
      <c r="AL1144" s="4">
        <f>AJ1144-AB1144</f>
        <v>74</v>
      </c>
      <c r="AM1144" s="28"/>
      <c r="AN1144" s="6"/>
      <c r="AO1144" s="6"/>
      <c r="AP1144" s="6">
        <f>Z1144/L1144</f>
        <v>0.63076923076923075</v>
      </c>
      <c r="AQ1144" s="6">
        <f>AJ1144/M1144</f>
        <v>0.91111111111111109</v>
      </c>
      <c r="AR1144" s="6">
        <f>AB1144/N1144</f>
        <v>1</v>
      </c>
      <c r="AS1144" s="4"/>
      <c r="AT1144" s="4"/>
      <c r="AU1144" s="4"/>
      <c r="AV1144" s="4"/>
      <c r="AW1144" s="4"/>
      <c r="AX1144" s="4"/>
      <c r="AY1144" s="4"/>
      <c r="AZ1144" s="4"/>
      <c r="BA1144" s="4"/>
      <c r="BB1144" s="4">
        <v>0</v>
      </c>
      <c r="BC1144" s="4" t="s">
        <v>4610</v>
      </c>
      <c r="BD1144" s="4">
        <v>1</v>
      </c>
      <c r="BE1144" s="4">
        <v>5</v>
      </c>
      <c r="BF1144" s="4" t="s">
        <v>3606</v>
      </c>
      <c r="BG1144" s="4">
        <v>1950</v>
      </c>
      <c r="BH1144" s="4">
        <v>1950</v>
      </c>
      <c r="BI1144" s="4">
        <f t="shared" si="174"/>
        <v>390</v>
      </c>
      <c r="BJ1144" s="19">
        <v>4</v>
      </c>
      <c r="BK1144" s="19">
        <v>8</v>
      </c>
      <c r="BL1144" s="16">
        <v>3</v>
      </c>
      <c r="BM1144" s="45" t="s">
        <v>3534</v>
      </c>
      <c r="BN1144" t="s">
        <v>3534</v>
      </c>
      <c r="BO1144" t="str">
        <f t="shared" si="167"/>
        <v>-</v>
      </c>
      <c r="BP1144" t="s">
        <v>3534</v>
      </c>
      <c r="BQ1144">
        <v>246</v>
      </c>
      <c r="BR1144">
        <f t="shared" si="168"/>
        <v>246</v>
      </c>
      <c r="BS1144" t="s">
        <v>3460</v>
      </c>
    </row>
    <row r="1145" spans="1:71" x14ac:dyDescent="0.4">
      <c r="A1145" s="3">
        <v>1142</v>
      </c>
      <c r="B1145" s="3">
        <v>1142</v>
      </c>
      <c r="C1145" s="4" t="s">
        <v>1204</v>
      </c>
      <c r="D1145" s="4" t="str">
        <f t="shared" si="169"/>
        <v>J916WM</v>
      </c>
      <c r="E1145" s="4" t="s">
        <v>1204</v>
      </c>
      <c r="F1145" s="4" t="s">
        <v>2422</v>
      </c>
      <c r="G1145" s="5">
        <v>4548030188504</v>
      </c>
      <c r="H1145" s="5"/>
      <c r="I1145" s="5"/>
      <c r="J1145" s="5">
        <v>1</v>
      </c>
      <c r="K1145" s="5">
        <v>1</v>
      </c>
      <c r="L1145" s="4">
        <v>1080</v>
      </c>
      <c r="M1145" s="4">
        <v>864</v>
      </c>
      <c r="N1145" s="4">
        <v>605</v>
      </c>
      <c r="O1145" s="6">
        <f t="shared" si="170"/>
        <v>0.29976851851851849</v>
      </c>
      <c r="P1145" s="4" t="s">
        <v>2500</v>
      </c>
      <c r="Q1145" s="4"/>
      <c r="R1145" s="4"/>
      <c r="S1145" s="4"/>
      <c r="T1145" s="4"/>
      <c r="U1145" s="4"/>
      <c r="V1145" s="4"/>
      <c r="W1145" s="4"/>
      <c r="X1145" s="4"/>
      <c r="Y1145" s="4">
        <v>864</v>
      </c>
      <c r="Z1145" s="4">
        <f t="shared" si="171"/>
        <v>864</v>
      </c>
      <c r="AA1145" s="4">
        <v>605</v>
      </c>
      <c r="AB1145" s="4">
        <f t="shared" si="172"/>
        <v>605</v>
      </c>
      <c r="AC1145" s="4"/>
      <c r="AD1145" s="21">
        <f>ROUND(M1145*AR1145,0)</f>
        <v>864</v>
      </c>
      <c r="AE1145" s="6">
        <f>1-AB1145/AD1145</f>
        <v>0.29976851851851849</v>
      </c>
      <c r="AF1145" s="33">
        <v>0</v>
      </c>
      <c r="AG1145" s="4">
        <f t="shared" si="173"/>
        <v>1080</v>
      </c>
      <c r="AH1145" s="33">
        <f t="shared" si="166"/>
        <v>1080</v>
      </c>
      <c r="AI1145" s="6">
        <f>1-AB1145/AH1145</f>
        <v>0.43981481481481477</v>
      </c>
      <c r="AJ1145" s="7">
        <v>864</v>
      </c>
      <c r="AK1145" s="6">
        <f>1-AB1145/AJ1145</f>
        <v>0.29976851851851849</v>
      </c>
      <c r="AL1145" s="4">
        <f>AJ1145-AB1145</f>
        <v>259</v>
      </c>
      <c r="AM1145" s="28"/>
      <c r="AN1145" s="6"/>
      <c r="AO1145" s="6"/>
      <c r="AP1145" s="6">
        <f>Z1145/L1145</f>
        <v>0.8</v>
      </c>
      <c r="AQ1145" s="6">
        <f>AJ1145/M1145</f>
        <v>1</v>
      </c>
      <c r="AR1145" s="6">
        <f>AB1145/N1145</f>
        <v>1</v>
      </c>
      <c r="AS1145" s="4"/>
      <c r="AT1145" s="4"/>
      <c r="AU1145" s="4"/>
      <c r="AV1145" s="4"/>
      <c r="AW1145" s="4"/>
      <c r="AX1145" s="4"/>
      <c r="AY1145" s="4"/>
      <c r="AZ1145" s="4"/>
      <c r="BA1145" s="4"/>
      <c r="BB1145" s="4">
        <v>0</v>
      </c>
      <c r="BC1145" s="4" t="s">
        <v>4611</v>
      </c>
      <c r="BD1145" s="4">
        <v>1</v>
      </c>
      <c r="BE1145" s="4">
        <v>2</v>
      </c>
      <c r="BF1145" s="4" t="s">
        <v>4579</v>
      </c>
      <c r="BG1145" s="4">
        <v>2160</v>
      </c>
      <c r="BH1145" s="4">
        <v>2160</v>
      </c>
      <c r="BI1145" s="4">
        <f t="shared" si="174"/>
        <v>1080</v>
      </c>
      <c r="BJ1145" s="19">
        <v>4</v>
      </c>
      <c r="BK1145" s="19">
        <v>8</v>
      </c>
      <c r="BL1145" s="16">
        <v>6</v>
      </c>
      <c r="BM1145" s="45" t="s">
        <v>3534</v>
      </c>
      <c r="BN1145" t="s">
        <v>3534</v>
      </c>
      <c r="BO1145" t="str">
        <f t="shared" si="167"/>
        <v>-</v>
      </c>
      <c r="BP1145" t="s">
        <v>3534</v>
      </c>
      <c r="BQ1145" t="s">
        <v>3534</v>
      </c>
      <c r="BR1145" t="str">
        <f t="shared" si="168"/>
        <v>-</v>
      </c>
      <c r="BS1145" t="s">
        <v>3461</v>
      </c>
    </row>
    <row r="1146" spans="1:71" x14ac:dyDescent="0.4">
      <c r="A1146" s="3">
        <v>1143</v>
      </c>
      <c r="B1146" s="3">
        <v>1143</v>
      </c>
      <c r="C1146" s="4" t="s">
        <v>1205</v>
      </c>
      <c r="D1146" s="4" t="str">
        <f t="shared" si="169"/>
        <v>J915WM</v>
      </c>
      <c r="E1146" s="4" t="s">
        <v>1205</v>
      </c>
      <c r="F1146" s="4" t="s">
        <v>2423</v>
      </c>
      <c r="G1146" s="5">
        <v>4548030188498</v>
      </c>
      <c r="H1146" s="5"/>
      <c r="I1146" s="5"/>
      <c r="J1146" s="5">
        <v>1</v>
      </c>
      <c r="K1146" s="5">
        <v>1</v>
      </c>
      <c r="L1146" s="4">
        <v>1080</v>
      </c>
      <c r="M1146" s="4">
        <v>864</v>
      </c>
      <c r="N1146" s="4">
        <v>605</v>
      </c>
      <c r="O1146" s="6">
        <f t="shared" si="170"/>
        <v>0.29976851851851849</v>
      </c>
      <c r="P1146" s="4" t="s">
        <v>2500</v>
      </c>
      <c r="Q1146" s="4"/>
      <c r="R1146" s="4"/>
      <c r="S1146" s="4"/>
      <c r="T1146" s="4"/>
      <c r="U1146" s="4"/>
      <c r="V1146" s="4"/>
      <c r="W1146" s="4"/>
      <c r="X1146" s="4"/>
      <c r="Y1146" s="4">
        <v>864</v>
      </c>
      <c r="Z1146" s="4">
        <f t="shared" si="171"/>
        <v>864</v>
      </c>
      <c r="AA1146" s="4">
        <v>605</v>
      </c>
      <c r="AB1146" s="4">
        <f t="shared" si="172"/>
        <v>605</v>
      </c>
      <c r="AC1146" s="4"/>
      <c r="AD1146" s="21">
        <f>ROUND(M1146*AR1146,0)</f>
        <v>864</v>
      </c>
      <c r="AE1146" s="6">
        <f>1-AB1146/AD1146</f>
        <v>0.29976851851851849</v>
      </c>
      <c r="AF1146" s="33">
        <v>0</v>
      </c>
      <c r="AG1146" s="4">
        <f t="shared" si="173"/>
        <v>1080</v>
      </c>
      <c r="AH1146" s="33">
        <f t="shared" si="166"/>
        <v>1080</v>
      </c>
      <c r="AI1146" s="6">
        <f>1-AB1146/AH1146</f>
        <v>0.43981481481481477</v>
      </c>
      <c r="AJ1146" s="7">
        <v>864</v>
      </c>
      <c r="AK1146" s="6">
        <f>1-AB1146/AJ1146</f>
        <v>0.29976851851851849</v>
      </c>
      <c r="AL1146" s="4">
        <f>AJ1146-AB1146</f>
        <v>259</v>
      </c>
      <c r="AM1146" s="28"/>
      <c r="AN1146" s="6"/>
      <c r="AO1146" s="6"/>
      <c r="AP1146" s="6">
        <f>Z1146/L1146</f>
        <v>0.8</v>
      </c>
      <c r="AQ1146" s="6">
        <f>AJ1146/M1146</f>
        <v>1</v>
      </c>
      <c r="AR1146" s="6">
        <f>AB1146/N1146</f>
        <v>1</v>
      </c>
      <c r="AS1146" s="4"/>
      <c r="AT1146" s="4"/>
      <c r="AU1146" s="4"/>
      <c r="AV1146" s="4"/>
      <c r="AW1146" s="4"/>
      <c r="AX1146" s="4"/>
      <c r="AY1146" s="4"/>
      <c r="AZ1146" s="4"/>
      <c r="BA1146" s="4"/>
      <c r="BB1146" s="4">
        <v>0</v>
      </c>
      <c r="BC1146" s="4" t="s">
        <v>4612</v>
      </c>
      <c r="BD1146" s="4">
        <v>1</v>
      </c>
      <c r="BE1146" s="4">
        <v>2</v>
      </c>
      <c r="BF1146" s="4" t="s">
        <v>4579</v>
      </c>
      <c r="BG1146" s="4">
        <v>2160</v>
      </c>
      <c r="BH1146" s="4">
        <v>2160</v>
      </c>
      <c r="BI1146" s="4">
        <f t="shared" si="174"/>
        <v>1080</v>
      </c>
      <c r="BJ1146" s="19">
        <v>4</v>
      </c>
      <c r="BK1146" s="19">
        <v>8</v>
      </c>
      <c r="BL1146" s="16">
        <v>6</v>
      </c>
      <c r="BM1146" s="45" t="s">
        <v>3534</v>
      </c>
      <c r="BN1146" t="s">
        <v>3534</v>
      </c>
      <c r="BO1146" t="str">
        <f t="shared" si="167"/>
        <v>-</v>
      </c>
      <c r="BP1146" t="s">
        <v>3534</v>
      </c>
      <c r="BQ1146" t="s">
        <v>3534</v>
      </c>
      <c r="BR1146" t="str">
        <f t="shared" si="168"/>
        <v>-</v>
      </c>
      <c r="BS1146" t="s">
        <v>3462</v>
      </c>
    </row>
    <row r="1147" spans="1:71" x14ac:dyDescent="0.4">
      <c r="A1147" s="3">
        <v>1144</v>
      </c>
      <c r="B1147" s="3">
        <v>1144</v>
      </c>
      <c r="C1147" s="4" t="s">
        <v>1206</v>
      </c>
      <c r="D1147" s="4" t="str">
        <f t="shared" si="169"/>
        <v>J917LY</v>
      </c>
      <c r="E1147" s="4" t="s">
        <v>1206</v>
      </c>
      <c r="F1147" s="4" t="s">
        <v>2424</v>
      </c>
      <c r="G1147" s="5">
        <v>4521718949895</v>
      </c>
      <c r="H1147" s="5"/>
      <c r="I1147" s="5"/>
      <c r="J1147" s="5">
        <v>1</v>
      </c>
      <c r="K1147" s="5">
        <v>1</v>
      </c>
      <c r="L1147" s="4">
        <v>48500</v>
      </c>
      <c r="M1147" s="4">
        <v>44090</v>
      </c>
      <c r="N1147" s="4">
        <v>38800</v>
      </c>
      <c r="O1147" s="6">
        <f t="shared" si="170"/>
        <v>0.11998185529598548</v>
      </c>
      <c r="P1147" s="4" t="s">
        <v>2500</v>
      </c>
      <c r="Q1147" s="4"/>
      <c r="R1147" s="4"/>
      <c r="S1147" s="4"/>
      <c r="T1147" s="4"/>
      <c r="U1147" s="4"/>
      <c r="V1147" s="4"/>
      <c r="W1147" s="4"/>
      <c r="X1147" s="4"/>
      <c r="Y1147" s="4">
        <v>48500</v>
      </c>
      <c r="Z1147" s="4">
        <f t="shared" si="171"/>
        <v>48500</v>
      </c>
      <c r="AA1147" s="4">
        <v>38800</v>
      </c>
      <c r="AB1147" s="4">
        <f t="shared" si="172"/>
        <v>38800</v>
      </c>
      <c r="AC1147" s="4"/>
      <c r="AD1147" s="21">
        <f>ROUND(M1147*AR1147,0)</f>
        <v>44090</v>
      </c>
      <c r="AE1147" s="6">
        <f>1-AB1147/AD1147</f>
        <v>0.11998185529598548</v>
      </c>
      <c r="AF1147" s="33">
        <v>0</v>
      </c>
      <c r="AG1147" s="4">
        <f t="shared" si="173"/>
        <v>44000</v>
      </c>
      <c r="AH1147" s="33">
        <f t="shared" si="166"/>
        <v>44000</v>
      </c>
      <c r="AI1147" s="6">
        <f>1-AB1147/AH1147</f>
        <v>0.11818181818181817</v>
      </c>
      <c r="AJ1147" s="7">
        <v>48500</v>
      </c>
      <c r="AK1147" s="6">
        <f>1-AB1147/AJ1147</f>
        <v>0.19999999999999996</v>
      </c>
      <c r="AL1147" s="4">
        <f>AJ1147-AB1147</f>
        <v>9700</v>
      </c>
      <c r="AM1147" s="28"/>
      <c r="AN1147" s="6"/>
      <c r="AO1147" s="6"/>
      <c r="AP1147" s="6">
        <f>Z1147/L1147</f>
        <v>1</v>
      </c>
      <c r="AQ1147" s="6">
        <f>AJ1147/M1147</f>
        <v>1.1000226808800182</v>
      </c>
      <c r="AR1147" s="6">
        <f>AB1147/N1147</f>
        <v>1</v>
      </c>
      <c r="AS1147" s="4"/>
      <c r="AT1147" s="4"/>
      <c r="AU1147" s="4"/>
      <c r="AV1147" s="4"/>
      <c r="AW1147" s="4"/>
      <c r="AX1147" s="4"/>
      <c r="AY1147" s="4"/>
      <c r="AZ1147" s="4"/>
      <c r="BA1147" s="4"/>
      <c r="BB1147" s="4">
        <v>0</v>
      </c>
      <c r="BC1147" s="4" t="s">
        <v>4613</v>
      </c>
      <c r="BD1147" s="4"/>
      <c r="BE1147" s="4"/>
      <c r="BF1147" s="4" t="s">
        <v>3874</v>
      </c>
      <c r="BG1147" s="4">
        <v>44000</v>
      </c>
      <c r="BH1147" s="4">
        <v>44000</v>
      </c>
      <c r="BI1147" s="4">
        <f t="shared" si="174"/>
        <v>44000</v>
      </c>
      <c r="BJ1147" s="19">
        <v>4</v>
      </c>
      <c r="BK1147" s="19">
        <v>8</v>
      </c>
      <c r="BL1147" s="16">
        <v>6</v>
      </c>
      <c r="BM1147" s="45" t="s">
        <v>3534</v>
      </c>
      <c r="BN1147" t="s">
        <v>3534</v>
      </c>
      <c r="BO1147" t="str">
        <f t="shared" si="167"/>
        <v>-</v>
      </c>
      <c r="BP1147">
        <v>68000</v>
      </c>
      <c r="BQ1147">
        <v>68000</v>
      </c>
      <c r="BR1147">
        <f t="shared" si="168"/>
        <v>68000</v>
      </c>
      <c r="BS1147" t="s">
        <v>3463</v>
      </c>
    </row>
    <row r="1148" spans="1:71" x14ac:dyDescent="0.4">
      <c r="A1148" s="3">
        <v>1145</v>
      </c>
      <c r="B1148" s="3">
        <v>1145</v>
      </c>
      <c r="C1148" s="4" t="s">
        <v>1207</v>
      </c>
      <c r="D1148" s="4" t="str">
        <f t="shared" si="169"/>
        <v>J917WE</v>
      </c>
      <c r="E1148" s="4" t="s">
        <v>1207</v>
      </c>
      <c r="F1148" s="4" t="s">
        <v>2425</v>
      </c>
      <c r="G1148" s="5">
        <v>4965534135429</v>
      </c>
      <c r="H1148" s="5"/>
      <c r="I1148" s="5"/>
      <c r="J1148" s="5">
        <v>1</v>
      </c>
      <c r="K1148" s="5">
        <v>1</v>
      </c>
      <c r="L1148" s="4">
        <v>290</v>
      </c>
      <c r="M1148" s="4">
        <v>200</v>
      </c>
      <c r="N1148" s="4">
        <v>127</v>
      </c>
      <c r="O1148" s="6">
        <f t="shared" si="170"/>
        <v>0.36499999999999999</v>
      </c>
      <c r="P1148" s="4" t="s">
        <v>2500</v>
      </c>
      <c r="Q1148" s="4"/>
      <c r="R1148" s="4"/>
      <c r="S1148" s="4"/>
      <c r="T1148" s="4"/>
      <c r="U1148" s="4"/>
      <c r="V1148" s="4"/>
      <c r="W1148" s="4"/>
      <c r="X1148" s="4"/>
      <c r="Y1148" s="4">
        <v>191</v>
      </c>
      <c r="Z1148" s="4">
        <f t="shared" si="171"/>
        <v>191</v>
      </c>
      <c r="AA1148" s="4">
        <v>134</v>
      </c>
      <c r="AB1148" s="4">
        <f t="shared" si="172"/>
        <v>134</v>
      </c>
      <c r="AC1148" s="4"/>
      <c r="AD1148" s="21">
        <f>ROUND(M1148*AR1148,0)</f>
        <v>211</v>
      </c>
      <c r="AE1148" s="6">
        <f>1-AB1148/AD1148</f>
        <v>0.36492890995260663</v>
      </c>
      <c r="AF1148" s="33">
        <v>0.75</v>
      </c>
      <c r="AG1148" s="4">
        <f t="shared" si="173"/>
        <v>290</v>
      </c>
      <c r="AH1148" s="33">
        <f t="shared" si="166"/>
        <v>305.98425196850388</v>
      </c>
      <c r="AI1148" s="6">
        <f>1-AB1148/AH1148</f>
        <v>0.56206896551724128</v>
      </c>
      <c r="AJ1148" s="7">
        <v>191</v>
      </c>
      <c r="AK1148" s="6">
        <f>1-AB1148/AJ1148</f>
        <v>0.29842931937172779</v>
      </c>
      <c r="AL1148" s="4">
        <f>AJ1148-AB1148</f>
        <v>57</v>
      </c>
      <c r="AM1148" s="28"/>
      <c r="AN1148" s="6"/>
      <c r="AO1148" s="6"/>
      <c r="AP1148" s="6">
        <f>Z1148/L1148</f>
        <v>0.6586206896551724</v>
      </c>
      <c r="AQ1148" s="6">
        <f>AJ1148/M1148</f>
        <v>0.95499999999999996</v>
      </c>
      <c r="AR1148" s="6">
        <f>AB1148/N1148</f>
        <v>1.0551181102362204</v>
      </c>
      <c r="AS1148" s="4"/>
      <c r="AT1148" s="4"/>
      <c r="AU1148" s="4"/>
      <c r="AV1148" s="4"/>
      <c r="AW1148" s="4"/>
      <c r="AX1148" s="4"/>
      <c r="AY1148" s="4"/>
      <c r="AZ1148" s="4"/>
      <c r="BA1148" s="4"/>
      <c r="BB1148" s="4">
        <v>0</v>
      </c>
      <c r="BC1148" s="4" t="s">
        <v>4614</v>
      </c>
      <c r="BD1148" s="4">
        <v>1</v>
      </c>
      <c r="BE1148" s="4">
        <v>6</v>
      </c>
      <c r="BF1148" s="4" t="s">
        <v>4020</v>
      </c>
      <c r="BG1148" s="4">
        <v>1740</v>
      </c>
      <c r="BH1148" s="4">
        <v>1740</v>
      </c>
      <c r="BI1148" s="4">
        <f t="shared" si="174"/>
        <v>290</v>
      </c>
      <c r="BJ1148" s="19">
        <v>4</v>
      </c>
      <c r="BK1148" s="19">
        <v>8</v>
      </c>
      <c r="BL1148" s="16">
        <v>6</v>
      </c>
      <c r="BM1148" s="45" t="s">
        <v>3534</v>
      </c>
      <c r="BN1148" t="s">
        <v>3534</v>
      </c>
      <c r="BO1148" t="str">
        <f t="shared" si="167"/>
        <v>-</v>
      </c>
      <c r="BP1148" t="s">
        <v>3534</v>
      </c>
      <c r="BQ1148">
        <v>195</v>
      </c>
      <c r="BR1148">
        <f t="shared" si="168"/>
        <v>205.74803149606296</v>
      </c>
      <c r="BS1148" t="s">
        <v>3464</v>
      </c>
    </row>
    <row r="1149" spans="1:71" x14ac:dyDescent="0.4">
      <c r="A1149" s="3">
        <v>1146</v>
      </c>
      <c r="B1149" s="3">
        <v>1146</v>
      </c>
      <c r="C1149" s="4" t="s">
        <v>1208</v>
      </c>
      <c r="D1149" s="4" t="str">
        <f t="shared" si="169"/>
        <v>J917WM</v>
      </c>
      <c r="E1149" s="4" t="s">
        <v>1208</v>
      </c>
      <c r="F1149" s="4" t="s">
        <v>2426</v>
      </c>
      <c r="G1149" s="5">
        <v>4548030188634</v>
      </c>
      <c r="H1149" s="5"/>
      <c r="I1149" s="5"/>
      <c r="J1149" s="5">
        <v>1</v>
      </c>
      <c r="K1149" s="5">
        <v>1</v>
      </c>
      <c r="L1149" s="4">
        <v>270</v>
      </c>
      <c r="M1149" s="4">
        <v>182</v>
      </c>
      <c r="N1149" s="4">
        <v>118</v>
      </c>
      <c r="O1149" s="6">
        <f t="shared" si="170"/>
        <v>0.35164835164835162</v>
      </c>
      <c r="P1149" s="4" t="s">
        <v>2500</v>
      </c>
      <c r="Q1149" s="4"/>
      <c r="R1149" s="4"/>
      <c r="S1149" s="4"/>
      <c r="T1149" s="4"/>
      <c r="U1149" s="4"/>
      <c r="V1149" s="4"/>
      <c r="W1149" s="4"/>
      <c r="X1149" s="4"/>
      <c r="Y1149" s="4">
        <v>182</v>
      </c>
      <c r="Z1149" s="4">
        <f t="shared" si="171"/>
        <v>182</v>
      </c>
      <c r="AA1149" s="4">
        <v>118</v>
      </c>
      <c r="AB1149" s="4">
        <f t="shared" si="172"/>
        <v>118</v>
      </c>
      <c r="AC1149" s="4"/>
      <c r="AD1149" s="21">
        <f>ROUND(M1149*AR1149,0)</f>
        <v>182</v>
      </c>
      <c r="AE1149" s="6">
        <f>1-AB1149/AD1149</f>
        <v>0.35164835164835162</v>
      </c>
      <c r="AF1149" s="33">
        <v>0</v>
      </c>
      <c r="AG1149" s="4">
        <f t="shared" si="173"/>
        <v>270</v>
      </c>
      <c r="AH1149" s="33">
        <f t="shared" si="166"/>
        <v>270</v>
      </c>
      <c r="AI1149" s="6">
        <f>1-AB1149/AH1149</f>
        <v>0.56296296296296289</v>
      </c>
      <c r="AJ1149" s="7">
        <f>ROUND(AB1149/0.65,0)</f>
        <v>182</v>
      </c>
      <c r="AK1149" s="6">
        <f>1-AB1149/AJ1149</f>
        <v>0.35164835164835162</v>
      </c>
      <c r="AL1149" s="4">
        <f>AJ1149-AB1149</f>
        <v>64</v>
      </c>
      <c r="AM1149" s="28"/>
      <c r="AN1149" s="6"/>
      <c r="AO1149" s="6"/>
      <c r="AP1149" s="6">
        <f>Z1149/L1149</f>
        <v>0.67407407407407405</v>
      </c>
      <c r="AQ1149" s="6">
        <f>AJ1149/M1149</f>
        <v>1</v>
      </c>
      <c r="AR1149" s="6">
        <f>AB1149/N1149</f>
        <v>1</v>
      </c>
      <c r="AS1149" s="4"/>
      <c r="AT1149" s="4"/>
      <c r="AU1149" s="4"/>
      <c r="AV1149" s="4"/>
      <c r="AW1149" s="4"/>
      <c r="AX1149" s="4"/>
      <c r="AY1149" s="4"/>
      <c r="AZ1149" s="4"/>
      <c r="BA1149" s="4"/>
      <c r="BB1149" s="4">
        <v>0</v>
      </c>
      <c r="BC1149" s="4" t="s">
        <v>4615</v>
      </c>
      <c r="BD1149" s="4">
        <v>1</v>
      </c>
      <c r="BE1149" s="4">
        <v>6</v>
      </c>
      <c r="BF1149" s="4" t="s">
        <v>4020</v>
      </c>
      <c r="BG1149" s="4">
        <v>1620</v>
      </c>
      <c r="BH1149" s="4">
        <v>1620</v>
      </c>
      <c r="BI1149" s="4">
        <f t="shared" si="174"/>
        <v>270</v>
      </c>
      <c r="BJ1149" s="19">
        <v>4</v>
      </c>
      <c r="BK1149" s="19">
        <v>8</v>
      </c>
      <c r="BL1149" s="16">
        <v>6</v>
      </c>
      <c r="BM1149" s="45" t="s">
        <v>3534</v>
      </c>
      <c r="BN1149" t="s">
        <v>3534</v>
      </c>
      <c r="BO1149" t="str">
        <f t="shared" si="167"/>
        <v>-</v>
      </c>
      <c r="BP1149" t="s">
        <v>3534</v>
      </c>
      <c r="BQ1149" t="s">
        <v>3534</v>
      </c>
      <c r="BR1149" t="str">
        <f t="shared" si="168"/>
        <v>-</v>
      </c>
      <c r="BS1149" t="s">
        <v>3465</v>
      </c>
    </row>
    <row r="1150" spans="1:71" x14ac:dyDescent="0.4">
      <c r="A1150" s="3">
        <v>1147</v>
      </c>
      <c r="B1150" s="3">
        <v>1147</v>
      </c>
      <c r="C1150" s="4" t="s">
        <v>1209</v>
      </c>
      <c r="D1150" s="4" t="str">
        <f t="shared" si="169"/>
        <v>J918LY</v>
      </c>
      <c r="E1150" s="4" t="s">
        <v>1209</v>
      </c>
      <c r="F1150" s="4" t="s">
        <v>2427</v>
      </c>
      <c r="G1150" s="5">
        <v>4521718950006</v>
      </c>
      <c r="H1150" s="5"/>
      <c r="I1150" s="5"/>
      <c r="J1150" s="5">
        <v>1</v>
      </c>
      <c r="K1150" s="5">
        <v>1</v>
      </c>
      <c r="L1150" s="4">
        <v>4000</v>
      </c>
      <c r="M1150" s="4">
        <v>2871</v>
      </c>
      <c r="N1150" s="4">
        <v>2240</v>
      </c>
      <c r="O1150" s="6">
        <f t="shared" si="170"/>
        <v>0.21978404737025425</v>
      </c>
      <c r="P1150" s="4" t="s">
        <v>2500</v>
      </c>
      <c r="Q1150" s="4"/>
      <c r="R1150" s="4"/>
      <c r="S1150" s="4"/>
      <c r="T1150" s="4"/>
      <c r="U1150" s="4"/>
      <c r="V1150" s="4"/>
      <c r="W1150" s="4"/>
      <c r="X1150" s="4"/>
      <c r="Y1150" s="4">
        <v>3200</v>
      </c>
      <c r="Z1150" s="4">
        <f t="shared" si="171"/>
        <v>3200</v>
      </c>
      <c r="AA1150" s="4">
        <v>2240</v>
      </c>
      <c r="AB1150" s="4">
        <f t="shared" si="172"/>
        <v>2240</v>
      </c>
      <c r="AC1150" s="4"/>
      <c r="AD1150" s="21">
        <f>ROUND(M1150*AR1150,0)</f>
        <v>2871</v>
      </c>
      <c r="AE1150" s="6">
        <f>1-AB1150/AD1150</f>
        <v>0.21978404737025425</v>
      </c>
      <c r="AF1150" s="33">
        <v>0</v>
      </c>
      <c r="AG1150" s="4">
        <f t="shared" si="173"/>
        <v>3056</v>
      </c>
      <c r="AH1150" s="33">
        <f t="shared" si="166"/>
        <v>3056</v>
      </c>
      <c r="AI1150" s="6">
        <f>1-AB1150/AH1150</f>
        <v>0.26701570680628273</v>
      </c>
      <c r="AJ1150" s="7">
        <v>3200</v>
      </c>
      <c r="AK1150" s="6">
        <f>1-AB1150/AJ1150</f>
        <v>0.30000000000000004</v>
      </c>
      <c r="AL1150" s="4">
        <f>AJ1150-AB1150</f>
        <v>960</v>
      </c>
      <c r="AM1150" s="28"/>
      <c r="AN1150" s="6"/>
      <c r="AO1150" s="6"/>
      <c r="AP1150" s="6">
        <f>Z1150/L1150</f>
        <v>0.8</v>
      </c>
      <c r="AQ1150" s="6">
        <f>AJ1150/M1150</f>
        <v>1.1145942180424939</v>
      </c>
      <c r="AR1150" s="6">
        <f>AB1150/N1150</f>
        <v>1</v>
      </c>
      <c r="AS1150" s="4"/>
      <c r="AT1150" s="4"/>
      <c r="AU1150" s="4"/>
      <c r="AV1150" s="4"/>
      <c r="AW1150" s="4"/>
      <c r="AX1150" s="4"/>
      <c r="AY1150" s="4"/>
      <c r="AZ1150" s="4"/>
      <c r="BA1150" s="4"/>
      <c r="BB1150" s="4">
        <v>0</v>
      </c>
      <c r="BC1150" s="4" t="s">
        <v>4616</v>
      </c>
      <c r="BD1150" s="4"/>
      <c r="BE1150" s="4"/>
      <c r="BF1150" s="4" t="s">
        <v>3545</v>
      </c>
      <c r="BG1150" s="4">
        <v>3056</v>
      </c>
      <c r="BH1150" s="4">
        <v>3056</v>
      </c>
      <c r="BI1150" s="4">
        <f t="shared" si="174"/>
        <v>3056</v>
      </c>
      <c r="BJ1150" s="19">
        <v>4</v>
      </c>
      <c r="BK1150" s="19">
        <v>8</v>
      </c>
      <c r="BL1150" s="16">
        <v>6</v>
      </c>
      <c r="BM1150" s="45" t="s">
        <v>3534</v>
      </c>
      <c r="BN1150" t="s">
        <v>3534</v>
      </c>
      <c r="BO1150" t="str">
        <f t="shared" si="167"/>
        <v>-</v>
      </c>
      <c r="BP1150" t="s">
        <v>3534</v>
      </c>
      <c r="BQ1150">
        <v>4470</v>
      </c>
      <c r="BR1150">
        <f t="shared" si="168"/>
        <v>4470</v>
      </c>
      <c r="BS1150" t="s">
        <v>3466</v>
      </c>
    </row>
    <row r="1151" spans="1:71" x14ac:dyDescent="0.4">
      <c r="A1151" s="3">
        <v>1148</v>
      </c>
      <c r="B1151" s="3">
        <v>1148</v>
      </c>
      <c r="C1151" s="4" t="s">
        <v>1210</v>
      </c>
      <c r="D1151" s="4" t="str">
        <f t="shared" si="169"/>
        <v>J918WE</v>
      </c>
      <c r="E1151" s="4" t="s">
        <v>1210</v>
      </c>
      <c r="F1151" s="4" t="s">
        <v>2428</v>
      </c>
      <c r="G1151" s="5">
        <v>4521718920795</v>
      </c>
      <c r="H1151" s="5"/>
      <c r="I1151" s="5"/>
      <c r="J1151" s="5">
        <v>1</v>
      </c>
      <c r="K1151" s="5">
        <v>1</v>
      </c>
      <c r="L1151" s="4">
        <v>400</v>
      </c>
      <c r="M1151" s="4">
        <v>380</v>
      </c>
      <c r="N1151" s="4">
        <v>280</v>
      </c>
      <c r="O1151" s="6">
        <f t="shared" si="170"/>
        <v>0.26315789473684215</v>
      </c>
      <c r="P1151" s="4" t="s">
        <v>2500</v>
      </c>
      <c r="Q1151" s="4"/>
      <c r="R1151" s="4"/>
      <c r="S1151" s="4"/>
      <c r="T1151" s="4"/>
      <c r="U1151" s="4"/>
      <c r="V1151" s="4"/>
      <c r="W1151" s="4"/>
      <c r="X1151" s="4"/>
      <c r="Y1151" s="4">
        <v>400</v>
      </c>
      <c r="Z1151" s="4">
        <f t="shared" si="171"/>
        <v>400</v>
      </c>
      <c r="AA1151" s="4">
        <v>280</v>
      </c>
      <c r="AB1151" s="4">
        <f t="shared" si="172"/>
        <v>280</v>
      </c>
      <c r="AC1151" s="4"/>
      <c r="AD1151" s="21">
        <f>ROUND(M1151*AR1151,0)</f>
        <v>380</v>
      </c>
      <c r="AE1151" s="6">
        <f>1-AB1151/AD1151</f>
        <v>0.26315789473684215</v>
      </c>
      <c r="AF1151" s="33">
        <v>1</v>
      </c>
      <c r="AG1151" s="4">
        <f t="shared" si="173"/>
        <v>400</v>
      </c>
      <c r="AH1151" s="33">
        <f t="shared" si="166"/>
        <v>400</v>
      </c>
      <c r="AI1151" s="6">
        <f>1-AB1151/AH1151</f>
        <v>0.30000000000000004</v>
      </c>
      <c r="AJ1151" s="7">
        <v>400</v>
      </c>
      <c r="AK1151" s="6">
        <f>1-AB1151/AJ1151</f>
        <v>0.30000000000000004</v>
      </c>
      <c r="AL1151" s="4">
        <f>AJ1151-AB1151</f>
        <v>120</v>
      </c>
      <c r="AM1151" s="28"/>
      <c r="AN1151" s="6"/>
      <c r="AO1151" s="6"/>
      <c r="AP1151" s="6">
        <f>Z1151/L1151</f>
        <v>1</v>
      </c>
      <c r="AQ1151" s="6">
        <f>AJ1151/M1151</f>
        <v>1.0526315789473684</v>
      </c>
      <c r="AR1151" s="6">
        <f>AB1151/N1151</f>
        <v>1</v>
      </c>
      <c r="AS1151" s="4"/>
      <c r="AT1151" s="4"/>
      <c r="AU1151" s="4"/>
      <c r="AV1151" s="4"/>
      <c r="AW1151" s="4"/>
      <c r="AX1151" s="4"/>
      <c r="AY1151" s="4"/>
      <c r="AZ1151" s="4"/>
      <c r="BA1151" s="4"/>
      <c r="BB1151" s="4">
        <v>0</v>
      </c>
      <c r="BC1151" s="4" t="s">
        <v>4617</v>
      </c>
      <c r="BD1151" s="4">
        <v>1</v>
      </c>
      <c r="BE1151" s="4">
        <v>3</v>
      </c>
      <c r="BF1151" s="4" t="s">
        <v>3608</v>
      </c>
      <c r="BG1151" s="4">
        <v>1200</v>
      </c>
      <c r="BH1151" s="4">
        <v>1200</v>
      </c>
      <c r="BI1151" s="4">
        <f t="shared" si="174"/>
        <v>400</v>
      </c>
      <c r="BJ1151" s="19">
        <v>4</v>
      </c>
      <c r="BK1151" s="19">
        <v>8</v>
      </c>
      <c r="BL1151" s="16">
        <v>3</v>
      </c>
      <c r="BM1151" s="45" t="s">
        <v>3534</v>
      </c>
      <c r="BN1151" t="s">
        <v>3534</v>
      </c>
      <c r="BO1151" t="str">
        <f t="shared" si="167"/>
        <v>-</v>
      </c>
      <c r="BP1151" t="s">
        <v>3534</v>
      </c>
      <c r="BQ1151">
        <v>430</v>
      </c>
      <c r="BR1151">
        <f t="shared" si="168"/>
        <v>430</v>
      </c>
      <c r="BS1151" t="s">
        <v>3467</v>
      </c>
    </row>
    <row r="1152" spans="1:71" x14ac:dyDescent="0.4">
      <c r="A1152" s="3">
        <v>1149</v>
      </c>
      <c r="B1152" s="3">
        <v>1149</v>
      </c>
      <c r="C1152" s="4" t="s">
        <v>1211</v>
      </c>
      <c r="D1152" s="4" t="str">
        <f t="shared" si="169"/>
        <v>J918WM</v>
      </c>
      <c r="E1152" s="4" t="s">
        <v>1211</v>
      </c>
      <c r="F1152" s="4" t="s">
        <v>2429</v>
      </c>
      <c r="G1152" s="5">
        <v>4548030188641</v>
      </c>
      <c r="H1152" s="5"/>
      <c r="I1152" s="5"/>
      <c r="J1152" s="5">
        <v>1</v>
      </c>
      <c r="K1152" s="5">
        <v>1</v>
      </c>
      <c r="L1152" s="4">
        <v>270</v>
      </c>
      <c r="M1152" s="4">
        <v>182</v>
      </c>
      <c r="N1152" s="4">
        <v>118</v>
      </c>
      <c r="O1152" s="6">
        <f t="shared" si="170"/>
        <v>0.35164835164835162</v>
      </c>
      <c r="P1152" s="4" t="s">
        <v>2500</v>
      </c>
      <c r="Q1152" s="4"/>
      <c r="R1152" s="4"/>
      <c r="S1152" s="4"/>
      <c r="T1152" s="4"/>
      <c r="U1152" s="4"/>
      <c r="V1152" s="4"/>
      <c r="W1152" s="4"/>
      <c r="X1152" s="4"/>
      <c r="Y1152" s="4">
        <v>182</v>
      </c>
      <c r="Z1152" s="4">
        <f t="shared" si="171"/>
        <v>182</v>
      </c>
      <c r="AA1152" s="4">
        <v>118</v>
      </c>
      <c r="AB1152" s="4">
        <f t="shared" si="172"/>
        <v>118</v>
      </c>
      <c r="AC1152" s="4"/>
      <c r="AD1152" s="21">
        <f>ROUND(M1152*AR1152,0)</f>
        <v>182</v>
      </c>
      <c r="AE1152" s="6">
        <f>1-AB1152/AD1152</f>
        <v>0.35164835164835162</v>
      </c>
      <c r="AF1152" s="33">
        <v>0</v>
      </c>
      <c r="AG1152" s="4">
        <f t="shared" si="173"/>
        <v>270</v>
      </c>
      <c r="AH1152" s="33">
        <f t="shared" si="166"/>
        <v>270</v>
      </c>
      <c r="AI1152" s="6">
        <f>1-AB1152/AH1152</f>
        <v>0.56296296296296289</v>
      </c>
      <c r="AJ1152" s="7">
        <f>ROUND(AB1152/0.65,0)</f>
        <v>182</v>
      </c>
      <c r="AK1152" s="6">
        <f>1-AB1152/AJ1152</f>
        <v>0.35164835164835162</v>
      </c>
      <c r="AL1152" s="4">
        <f>AJ1152-AB1152</f>
        <v>64</v>
      </c>
      <c r="AM1152" s="28"/>
      <c r="AN1152" s="6"/>
      <c r="AO1152" s="6"/>
      <c r="AP1152" s="6">
        <f>Z1152/L1152</f>
        <v>0.67407407407407405</v>
      </c>
      <c r="AQ1152" s="6">
        <f>AJ1152/M1152</f>
        <v>1</v>
      </c>
      <c r="AR1152" s="6">
        <f>AB1152/N1152</f>
        <v>1</v>
      </c>
      <c r="AS1152" s="4"/>
      <c r="AT1152" s="4"/>
      <c r="AU1152" s="4"/>
      <c r="AV1152" s="4"/>
      <c r="AW1152" s="4"/>
      <c r="AX1152" s="4"/>
      <c r="AY1152" s="4"/>
      <c r="AZ1152" s="4"/>
      <c r="BA1152" s="4"/>
      <c r="BB1152" s="4">
        <v>0</v>
      </c>
      <c r="BC1152" s="4" t="s">
        <v>4618</v>
      </c>
      <c r="BD1152" s="4">
        <v>1</v>
      </c>
      <c r="BE1152" s="4">
        <v>6</v>
      </c>
      <c r="BF1152" s="4" t="s">
        <v>4020</v>
      </c>
      <c r="BG1152" s="4">
        <v>1620</v>
      </c>
      <c r="BH1152" s="4">
        <v>1620</v>
      </c>
      <c r="BI1152" s="4">
        <f t="shared" si="174"/>
        <v>270</v>
      </c>
      <c r="BJ1152" s="19">
        <v>4</v>
      </c>
      <c r="BK1152" s="19">
        <v>8</v>
      </c>
      <c r="BL1152" s="16">
        <v>6</v>
      </c>
      <c r="BM1152" s="45" t="s">
        <v>3534</v>
      </c>
      <c r="BN1152" t="s">
        <v>3534</v>
      </c>
      <c r="BO1152" t="str">
        <f t="shared" si="167"/>
        <v>-</v>
      </c>
      <c r="BP1152" t="s">
        <v>3534</v>
      </c>
      <c r="BQ1152" t="s">
        <v>3534</v>
      </c>
      <c r="BR1152" t="str">
        <f t="shared" si="168"/>
        <v>-</v>
      </c>
      <c r="BS1152" t="s">
        <v>3468</v>
      </c>
    </row>
    <row r="1153" spans="1:71" x14ac:dyDescent="0.4">
      <c r="A1153" s="3">
        <v>1150</v>
      </c>
      <c r="B1153" s="3">
        <v>1150</v>
      </c>
      <c r="C1153" s="4" t="s">
        <v>1212</v>
      </c>
      <c r="D1153" s="4" t="str">
        <f t="shared" si="169"/>
        <v>J919WM</v>
      </c>
      <c r="E1153" s="4" t="s">
        <v>1212</v>
      </c>
      <c r="F1153" s="4" t="s">
        <v>2430</v>
      </c>
      <c r="G1153" s="5">
        <v>4548030188658</v>
      </c>
      <c r="H1153" s="5"/>
      <c r="I1153" s="5"/>
      <c r="J1153" s="5">
        <v>1</v>
      </c>
      <c r="K1153" s="5">
        <v>1</v>
      </c>
      <c r="L1153" s="4">
        <v>270</v>
      </c>
      <c r="M1153" s="4">
        <v>182</v>
      </c>
      <c r="N1153" s="4">
        <v>118</v>
      </c>
      <c r="O1153" s="6">
        <f t="shared" si="170"/>
        <v>0.35164835164835162</v>
      </c>
      <c r="P1153" s="4" t="s">
        <v>2500</v>
      </c>
      <c r="Q1153" s="4"/>
      <c r="R1153" s="4"/>
      <c r="S1153" s="4"/>
      <c r="T1153" s="4"/>
      <c r="U1153" s="4"/>
      <c r="V1153" s="4"/>
      <c r="W1153" s="4"/>
      <c r="X1153" s="4"/>
      <c r="Y1153" s="4">
        <v>182</v>
      </c>
      <c r="Z1153" s="4">
        <f t="shared" si="171"/>
        <v>182</v>
      </c>
      <c r="AA1153" s="4">
        <v>118</v>
      </c>
      <c r="AB1153" s="4">
        <f t="shared" si="172"/>
        <v>118</v>
      </c>
      <c r="AC1153" s="4"/>
      <c r="AD1153" s="21">
        <f>ROUND(M1153*AR1153,0)</f>
        <v>182</v>
      </c>
      <c r="AE1153" s="6">
        <f>1-AB1153/AD1153</f>
        <v>0.35164835164835162</v>
      </c>
      <c r="AF1153" s="33">
        <v>0</v>
      </c>
      <c r="AG1153" s="4">
        <f t="shared" si="173"/>
        <v>270</v>
      </c>
      <c r="AH1153" s="33">
        <f t="shared" si="166"/>
        <v>270</v>
      </c>
      <c r="AI1153" s="6">
        <f>1-AB1153/AH1153</f>
        <v>0.56296296296296289</v>
      </c>
      <c r="AJ1153" s="7">
        <f>ROUND(AB1153/0.65,0)</f>
        <v>182</v>
      </c>
      <c r="AK1153" s="6">
        <f>1-AB1153/AJ1153</f>
        <v>0.35164835164835162</v>
      </c>
      <c r="AL1153" s="4">
        <f>AJ1153-AB1153</f>
        <v>64</v>
      </c>
      <c r="AM1153" s="28"/>
      <c r="AN1153" s="6"/>
      <c r="AO1153" s="6"/>
      <c r="AP1153" s="6">
        <f>Z1153/L1153</f>
        <v>0.67407407407407405</v>
      </c>
      <c r="AQ1153" s="6">
        <f>AJ1153/M1153</f>
        <v>1</v>
      </c>
      <c r="AR1153" s="6">
        <f>AB1153/N1153</f>
        <v>1</v>
      </c>
      <c r="AS1153" s="4"/>
      <c r="AT1153" s="4"/>
      <c r="AU1153" s="4"/>
      <c r="AV1153" s="4"/>
      <c r="AW1153" s="4"/>
      <c r="AX1153" s="4"/>
      <c r="AY1153" s="4"/>
      <c r="AZ1153" s="4"/>
      <c r="BA1153" s="4"/>
      <c r="BB1153" s="4">
        <v>0</v>
      </c>
      <c r="BC1153" s="4" t="s">
        <v>4619</v>
      </c>
      <c r="BD1153" s="4">
        <v>1</v>
      </c>
      <c r="BE1153" s="4">
        <v>6</v>
      </c>
      <c r="BF1153" s="4" t="s">
        <v>4020</v>
      </c>
      <c r="BG1153" s="4">
        <v>1620</v>
      </c>
      <c r="BH1153" s="4">
        <v>1620</v>
      </c>
      <c r="BI1153" s="4">
        <f t="shared" si="174"/>
        <v>270</v>
      </c>
      <c r="BJ1153" s="19">
        <v>4</v>
      </c>
      <c r="BK1153" s="19">
        <v>8</v>
      </c>
      <c r="BL1153" s="16">
        <v>6</v>
      </c>
      <c r="BM1153" s="45" t="s">
        <v>3534</v>
      </c>
      <c r="BN1153" t="s">
        <v>3534</v>
      </c>
      <c r="BO1153" t="str">
        <f t="shared" si="167"/>
        <v>-</v>
      </c>
      <c r="BP1153" t="s">
        <v>3534</v>
      </c>
      <c r="BQ1153" t="s">
        <v>3534</v>
      </c>
      <c r="BR1153" t="str">
        <f t="shared" si="168"/>
        <v>-</v>
      </c>
      <c r="BS1153" t="s">
        <v>3469</v>
      </c>
    </row>
    <row r="1154" spans="1:71" x14ac:dyDescent="0.4">
      <c r="A1154" s="3">
        <v>1151</v>
      </c>
      <c r="B1154" s="3">
        <v>1151</v>
      </c>
      <c r="C1154" s="4" t="s">
        <v>1213</v>
      </c>
      <c r="D1154" s="4" t="str">
        <f t="shared" si="169"/>
        <v>J920LY</v>
      </c>
      <c r="E1154" s="4" t="s">
        <v>1213</v>
      </c>
      <c r="F1154" s="4" t="s">
        <v>2431</v>
      </c>
      <c r="G1154" s="5">
        <v>4521718950433</v>
      </c>
      <c r="H1154" s="5"/>
      <c r="I1154" s="5"/>
      <c r="J1154" s="5">
        <v>1</v>
      </c>
      <c r="K1154" s="5">
        <v>1</v>
      </c>
      <c r="L1154" s="4">
        <v>6230</v>
      </c>
      <c r="M1154" s="4">
        <v>3745</v>
      </c>
      <c r="N1154" s="4">
        <v>2800</v>
      </c>
      <c r="O1154" s="6">
        <f t="shared" si="170"/>
        <v>0.25233644859813087</v>
      </c>
      <c r="P1154" s="4" t="s">
        <v>2500</v>
      </c>
      <c r="Q1154" s="4"/>
      <c r="R1154" s="4"/>
      <c r="S1154" s="4"/>
      <c r="T1154" s="4"/>
      <c r="U1154" s="4"/>
      <c r="V1154" s="4"/>
      <c r="W1154" s="4"/>
      <c r="X1154" s="4"/>
      <c r="Y1154" s="4">
        <v>4546</v>
      </c>
      <c r="Z1154" s="4">
        <f t="shared" si="171"/>
        <v>4546</v>
      </c>
      <c r="AA1154" s="4">
        <v>3182</v>
      </c>
      <c r="AB1154" s="4">
        <f t="shared" si="172"/>
        <v>3182</v>
      </c>
      <c r="AC1154" s="4"/>
      <c r="AD1154" s="21">
        <f>ROUND(M1154*AR1154,0)</f>
        <v>4256</v>
      </c>
      <c r="AE1154" s="6">
        <f>1-AB1154/AD1154</f>
        <v>0.25234962406015038</v>
      </c>
      <c r="AF1154" s="33">
        <v>0.25</v>
      </c>
      <c r="AG1154" s="4">
        <f t="shared" si="173"/>
        <v>5600</v>
      </c>
      <c r="AH1154" s="33">
        <f t="shared" si="166"/>
        <v>6363.9999999999991</v>
      </c>
      <c r="AI1154" s="6">
        <f>1-AB1154/AH1154</f>
        <v>0.49999999999999989</v>
      </c>
      <c r="AJ1154" s="7">
        <v>4546</v>
      </c>
      <c r="AK1154" s="6">
        <f>1-AB1154/AJ1154</f>
        <v>0.30004399472063348</v>
      </c>
      <c r="AL1154" s="4">
        <f>AJ1154-AB1154</f>
        <v>1364</v>
      </c>
      <c r="AM1154" s="28"/>
      <c r="AN1154" s="6"/>
      <c r="AO1154" s="6"/>
      <c r="AP1154" s="6">
        <f>Z1154/L1154</f>
        <v>0.72969502407704656</v>
      </c>
      <c r="AQ1154" s="6">
        <f>AJ1154/M1154</f>
        <v>1.2138851802403203</v>
      </c>
      <c r="AR1154" s="6">
        <f>AB1154/N1154</f>
        <v>1.1364285714285713</v>
      </c>
      <c r="AS1154" s="4"/>
      <c r="AT1154" s="4"/>
      <c r="AU1154" s="4"/>
      <c r="AV1154" s="4"/>
      <c r="AW1154" s="4"/>
      <c r="AX1154" s="4"/>
      <c r="AY1154" s="4"/>
      <c r="AZ1154" s="4"/>
      <c r="BA1154" s="4"/>
      <c r="BB1154" s="4">
        <v>0</v>
      </c>
      <c r="BC1154" s="4" t="s">
        <v>4620</v>
      </c>
      <c r="BD1154" s="4"/>
      <c r="BE1154" s="4"/>
      <c r="BF1154" s="4" t="s">
        <v>3874</v>
      </c>
      <c r="BG1154" s="4">
        <v>5600</v>
      </c>
      <c r="BH1154" s="4">
        <v>5600</v>
      </c>
      <c r="BI1154" s="4">
        <f t="shared" si="174"/>
        <v>5600</v>
      </c>
      <c r="BJ1154" s="19">
        <v>4</v>
      </c>
      <c r="BK1154" s="19">
        <v>8</v>
      </c>
      <c r="BL1154" s="16">
        <v>6</v>
      </c>
      <c r="BM1154" s="45" t="s">
        <v>3534</v>
      </c>
      <c r="BN1154" t="s">
        <v>3534</v>
      </c>
      <c r="BO1154" t="str">
        <f t="shared" si="167"/>
        <v>-</v>
      </c>
      <c r="BP1154">
        <v>5000</v>
      </c>
      <c r="BQ1154">
        <v>5000</v>
      </c>
      <c r="BR1154">
        <f t="shared" si="168"/>
        <v>5682.1428571428569</v>
      </c>
      <c r="BS1154" t="s">
        <v>3470</v>
      </c>
    </row>
    <row r="1155" spans="1:71" x14ac:dyDescent="0.4">
      <c r="A1155" s="3">
        <v>1152</v>
      </c>
      <c r="B1155" s="3">
        <v>1152</v>
      </c>
      <c r="C1155" s="4" t="s">
        <v>1214</v>
      </c>
      <c r="D1155" s="4" t="str">
        <f t="shared" si="169"/>
        <v>J920WM</v>
      </c>
      <c r="E1155" s="4" t="s">
        <v>1214</v>
      </c>
      <c r="F1155" s="4" t="s">
        <v>2432</v>
      </c>
      <c r="G1155" s="5">
        <v>4548030188665</v>
      </c>
      <c r="H1155" s="5"/>
      <c r="I1155" s="5"/>
      <c r="J1155" s="5">
        <v>1</v>
      </c>
      <c r="K1155" s="5">
        <v>1</v>
      </c>
      <c r="L1155" s="4">
        <v>270</v>
      </c>
      <c r="M1155" s="4">
        <v>182</v>
      </c>
      <c r="N1155" s="4">
        <v>118</v>
      </c>
      <c r="O1155" s="6">
        <f t="shared" si="170"/>
        <v>0.35164835164835162</v>
      </c>
      <c r="P1155" s="4" t="s">
        <v>2500</v>
      </c>
      <c r="Q1155" s="4"/>
      <c r="R1155" s="4"/>
      <c r="S1155" s="4"/>
      <c r="T1155" s="4"/>
      <c r="U1155" s="4"/>
      <c r="V1155" s="4"/>
      <c r="W1155" s="4"/>
      <c r="X1155" s="4"/>
      <c r="Y1155" s="4">
        <v>182</v>
      </c>
      <c r="Z1155" s="4">
        <f t="shared" si="171"/>
        <v>182</v>
      </c>
      <c r="AA1155" s="4">
        <v>118</v>
      </c>
      <c r="AB1155" s="4">
        <f t="shared" si="172"/>
        <v>118</v>
      </c>
      <c r="AC1155" s="4"/>
      <c r="AD1155" s="21">
        <f>ROUND(M1155*AR1155,0)</f>
        <v>182</v>
      </c>
      <c r="AE1155" s="6">
        <f>1-AB1155/AD1155</f>
        <v>0.35164835164835162</v>
      </c>
      <c r="AF1155" s="33">
        <v>4.5</v>
      </c>
      <c r="AG1155" s="4">
        <f t="shared" si="173"/>
        <v>270</v>
      </c>
      <c r="AH1155" s="33">
        <f t="shared" si="166"/>
        <v>270</v>
      </c>
      <c r="AI1155" s="6">
        <f>1-AB1155/AH1155</f>
        <v>0.56296296296296289</v>
      </c>
      <c r="AJ1155" s="7">
        <f>ROUND(AB1155/0.65,0)</f>
        <v>182</v>
      </c>
      <c r="AK1155" s="6">
        <f>1-AB1155/AJ1155</f>
        <v>0.35164835164835162</v>
      </c>
      <c r="AL1155" s="4">
        <f>AJ1155-AB1155</f>
        <v>64</v>
      </c>
      <c r="AM1155" s="28"/>
      <c r="AN1155" s="6"/>
      <c r="AO1155" s="6"/>
      <c r="AP1155" s="6">
        <f>Z1155/L1155</f>
        <v>0.67407407407407405</v>
      </c>
      <c r="AQ1155" s="6">
        <f>AJ1155/M1155</f>
        <v>1</v>
      </c>
      <c r="AR1155" s="6">
        <f>AB1155/N1155</f>
        <v>1</v>
      </c>
      <c r="AS1155" s="4"/>
      <c r="AT1155" s="4"/>
      <c r="AU1155" s="4"/>
      <c r="AV1155" s="4"/>
      <c r="AW1155" s="4"/>
      <c r="AX1155" s="4"/>
      <c r="AY1155" s="4"/>
      <c r="AZ1155" s="4"/>
      <c r="BA1155" s="4"/>
      <c r="BB1155" s="4">
        <v>0</v>
      </c>
      <c r="BC1155" s="4" t="s">
        <v>4621</v>
      </c>
      <c r="BD1155" s="4">
        <v>1</v>
      </c>
      <c r="BE1155" s="4">
        <v>6</v>
      </c>
      <c r="BF1155" s="4" t="s">
        <v>4020</v>
      </c>
      <c r="BG1155" s="4">
        <v>1620</v>
      </c>
      <c r="BH1155" s="4">
        <v>1620</v>
      </c>
      <c r="BI1155" s="4">
        <f t="shared" si="174"/>
        <v>270</v>
      </c>
      <c r="BJ1155" s="19">
        <v>4</v>
      </c>
      <c r="BK1155" s="19">
        <v>8</v>
      </c>
      <c r="BL1155" s="16">
        <v>6</v>
      </c>
      <c r="BM1155" s="45" t="s">
        <v>3534</v>
      </c>
      <c r="BN1155" t="s">
        <v>3534</v>
      </c>
      <c r="BO1155" t="str">
        <f t="shared" si="167"/>
        <v>-</v>
      </c>
      <c r="BP1155" t="s">
        <v>3534</v>
      </c>
      <c r="BQ1155" t="s">
        <v>3534</v>
      </c>
      <c r="BR1155" t="str">
        <f t="shared" si="168"/>
        <v>-</v>
      </c>
      <c r="BS1155" t="s">
        <v>3471</v>
      </c>
    </row>
    <row r="1156" spans="1:71" x14ac:dyDescent="0.4">
      <c r="A1156" s="3">
        <v>1153</v>
      </c>
      <c r="B1156" s="3">
        <v>1153</v>
      </c>
      <c r="C1156" s="4" t="s">
        <v>1215</v>
      </c>
      <c r="D1156" s="4" t="str">
        <f t="shared" si="169"/>
        <v>J919LY</v>
      </c>
      <c r="E1156" s="4" t="s">
        <v>1215</v>
      </c>
      <c r="F1156" s="4" t="s">
        <v>2433</v>
      </c>
      <c r="G1156" s="5">
        <v>4521718950204</v>
      </c>
      <c r="H1156" s="5"/>
      <c r="I1156" s="5"/>
      <c r="J1156" s="5">
        <v>1</v>
      </c>
      <c r="K1156" s="5">
        <v>1</v>
      </c>
      <c r="L1156" s="4">
        <v>4540</v>
      </c>
      <c r="M1156" s="4">
        <v>3298</v>
      </c>
      <c r="N1156" s="4">
        <v>2540</v>
      </c>
      <c r="O1156" s="6">
        <f t="shared" si="170"/>
        <v>0.22983626440266824</v>
      </c>
      <c r="P1156" s="4" t="s">
        <v>2500</v>
      </c>
      <c r="Q1156" s="4"/>
      <c r="R1156" s="4"/>
      <c r="S1156" s="4"/>
      <c r="T1156" s="4"/>
      <c r="U1156" s="4"/>
      <c r="V1156" s="4"/>
      <c r="W1156" s="4"/>
      <c r="X1156" s="4"/>
      <c r="Y1156" s="4">
        <v>3628</v>
      </c>
      <c r="Z1156" s="4">
        <f t="shared" si="171"/>
        <v>3628</v>
      </c>
      <c r="AA1156" s="4">
        <v>2540</v>
      </c>
      <c r="AB1156" s="4">
        <f t="shared" si="172"/>
        <v>2540</v>
      </c>
      <c r="AC1156" s="4"/>
      <c r="AD1156" s="21">
        <f>ROUND(M1156*AR1156,0)</f>
        <v>3298</v>
      </c>
      <c r="AE1156" s="6">
        <f>1-AB1156/AD1156</f>
        <v>0.22983626440266824</v>
      </c>
      <c r="AF1156" s="33">
        <v>0</v>
      </c>
      <c r="AG1156" s="4">
        <f t="shared" si="173"/>
        <v>4540</v>
      </c>
      <c r="AH1156" s="33">
        <f t="shared" ref="AH1156:AH1219" si="175">AG1156*AR1156</f>
        <v>4540</v>
      </c>
      <c r="AI1156" s="6">
        <f>1-AB1156/AH1156</f>
        <v>0.44052863436123346</v>
      </c>
      <c r="AJ1156" s="7">
        <v>3628</v>
      </c>
      <c r="AK1156" s="6">
        <f>1-AB1156/AJ1156</f>
        <v>0.29988974641675858</v>
      </c>
      <c r="AL1156" s="4">
        <f>AJ1156-AB1156</f>
        <v>1088</v>
      </c>
      <c r="AM1156" s="28"/>
      <c r="AN1156" s="6"/>
      <c r="AO1156" s="6"/>
      <c r="AP1156" s="6">
        <f>Z1156/L1156</f>
        <v>0.79911894273127748</v>
      </c>
      <c r="AQ1156" s="6">
        <f>AJ1156/M1156</f>
        <v>1.1000606428138267</v>
      </c>
      <c r="AR1156" s="6">
        <f>AB1156/N1156</f>
        <v>1</v>
      </c>
      <c r="AS1156" s="4"/>
      <c r="AT1156" s="4"/>
      <c r="AU1156" s="4"/>
      <c r="AV1156" s="4"/>
      <c r="AW1156" s="4"/>
      <c r="AX1156" s="4"/>
      <c r="AY1156" s="4"/>
      <c r="AZ1156" s="4"/>
      <c r="BA1156" s="4"/>
      <c r="BB1156" s="4">
        <v>0</v>
      </c>
      <c r="BC1156" s="4" t="s">
        <v>4622</v>
      </c>
      <c r="BD1156" s="4"/>
      <c r="BE1156" s="4"/>
      <c r="BF1156" s="4" t="s">
        <v>3538</v>
      </c>
      <c r="BG1156" s="4">
        <v>4540</v>
      </c>
      <c r="BH1156" s="4">
        <v>4540</v>
      </c>
      <c r="BI1156" s="4">
        <f t="shared" si="174"/>
        <v>4540</v>
      </c>
      <c r="BJ1156" s="19">
        <v>4</v>
      </c>
      <c r="BK1156" s="19">
        <v>8</v>
      </c>
      <c r="BL1156" s="16">
        <v>6</v>
      </c>
      <c r="BM1156" s="45" t="s">
        <v>3534</v>
      </c>
      <c r="BN1156" t="s">
        <v>3534</v>
      </c>
      <c r="BO1156" t="str">
        <f t="shared" si="167"/>
        <v>-</v>
      </c>
      <c r="BP1156" t="s">
        <v>3534</v>
      </c>
      <c r="BQ1156">
        <v>3629</v>
      </c>
      <c r="BR1156">
        <f t="shared" si="168"/>
        <v>3629</v>
      </c>
      <c r="BS1156" t="s">
        <v>3472</v>
      </c>
    </row>
    <row r="1157" spans="1:71" x14ac:dyDescent="0.4">
      <c r="A1157" s="3">
        <v>1154</v>
      </c>
      <c r="B1157" s="3">
        <v>1154</v>
      </c>
      <c r="C1157" s="4" t="s">
        <v>1216</v>
      </c>
      <c r="D1157" s="4" t="str">
        <f t="shared" si="169"/>
        <v>J922LY</v>
      </c>
      <c r="E1157" s="4" t="s">
        <v>1216</v>
      </c>
      <c r="F1157" s="4" t="s">
        <v>2434</v>
      </c>
      <c r="G1157" s="5">
        <v>4548030510916</v>
      </c>
      <c r="H1157" s="5"/>
      <c r="I1157" s="5"/>
      <c r="J1157" s="5">
        <v>1</v>
      </c>
      <c r="K1157" s="5">
        <v>1</v>
      </c>
      <c r="L1157" s="4">
        <v>1046</v>
      </c>
      <c r="M1157" s="4">
        <v>1046</v>
      </c>
      <c r="N1157" s="4">
        <v>837</v>
      </c>
      <c r="O1157" s="6">
        <f t="shared" si="170"/>
        <v>0.19980879541108987</v>
      </c>
      <c r="P1157" s="4" t="s">
        <v>2500</v>
      </c>
      <c r="Q1157" s="4"/>
      <c r="R1157" s="4"/>
      <c r="S1157" s="4"/>
      <c r="T1157" s="4"/>
      <c r="U1157" s="4"/>
      <c r="V1157" s="4"/>
      <c r="W1157" s="4"/>
      <c r="X1157" s="4"/>
      <c r="Y1157" s="4">
        <v>1046</v>
      </c>
      <c r="Z1157" s="4">
        <f t="shared" si="171"/>
        <v>1046</v>
      </c>
      <c r="AA1157" s="4">
        <v>837</v>
      </c>
      <c r="AB1157" s="4">
        <f t="shared" si="172"/>
        <v>837</v>
      </c>
      <c r="AC1157" s="4"/>
      <c r="AD1157" s="21">
        <f>ROUND(M1157*AR1157,0)</f>
        <v>1046</v>
      </c>
      <c r="AE1157" s="6">
        <f>1-AB1157/AD1157</f>
        <v>0.19980879541108987</v>
      </c>
      <c r="AF1157" s="33">
        <v>0</v>
      </c>
      <c r="AG1157" s="4">
        <f t="shared" si="173"/>
        <v>1130</v>
      </c>
      <c r="AH1157" s="33">
        <f t="shared" si="175"/>
        <v>1130</v>
      </c>
      <c r="AI1157" s="6">
        <f>1-AB1157/AH1157</f>
        <v>0.25929203539823009</v>
      </c>
      <c r="AJ1157" s="7">
        <v>1046</v>
      </c>
      <c r="AK1157" s="6">
        <f>1-AB1157/AJ1157</f>
        <v>0.19980879541108987</v>
      </c>
      <c r="AL1157" s="4">
        <f>AJ1157-AB1157</f>
        <v>209</v>
      </c>
      <c r="AM1157" s="28"/>
      <c r="AN1157" s="6"/>
      <c r="AO1157" s="6"/>
      <c r="AP1157" s="6">
        <f>Z1157/L1157</f>
        <v>1</v>
      </c>
      <c r="AQ1157" s="6">
        <f>AJ1157/M1157</f>
        <v>1</v>
      </c>
      <c r="AR1157" s="6">
        <f>AB1157/N1157</f>
        <v>1</v>
      </c>
      <c r="AS1157" s="4"/>
      <c r="AT1157" s="4"/>
      <c r="AU1157" s="4"/>
      <c r="AV1157" s="4"/>
      <c r="AW1157" s="4"/>
      <c r="AX1157" s="4"/>
      <c r="AY1157" s="4"/>
      <c r="AZ1157" s="4"/>
      <c r="BA1157" s="4"/>
      <c r="BB1157" s="4">
        <v>0</v>
      </c>
      <c r="BC1157" s="4" t="s">
        <v>4623</v>
      </c>
      <c r="BD1157" s="4">
        <v>1</v>
      </c>
      <c r="BE1157" s="4">
        <v>2</v>
      </c>
      <c r="BF1157" s="4" t="s">
        <v>3834</v>
      </c>
      <c r="BG1157" s="4">
        <v>2260</v>
      </c>
      <c r="BH1157" s="4">
        <v>2260</v>
      </c>
      <c r="BI1157" s="4">
        <f t="shared" si="174"/>
        <v>1130</v>
      </c>
      <c r="BJ1157" s="19">
        <v>4</v>
      </c>
      <c r="BK1157" s="19">
        <v>8</v>
      </c>
      <c r="BL1157" s="16">
        <v>6</v>
      </c>
      <c r="BM1157" s="45" t="s">
        <v>3534</v>
      </c>
      <c r="BN1157" t="s">
        <v>3534</v>
      </c>
      <c r="BO1157" t="str">
        <f t="shared" ref="BO1157:BO1220" si="176">IFERROR(BN1157*AR1157,"-")</f>
        <v>-</v>
      </c>
      <c r="BP1157" t="s">
        <v>3534</v>
      </c>
      <c r="BQ1157">
        <v>1046</v>
      </c>
      <c r="BR1157">
        <f t="shared" ref="BR1157:BR1220" si="177">IFERROR(BQ1157*AR1157,"-")</f>
        <v>1046</v>
      </c>
      <c r="BS1157" t="s">
        <v>3473</v>
      </c>
    </row>
    <row r="1158" spans="1:71" x14ac:dyDescent="0.4">
      <c r="A1158" s="3">
        <v>1155</v>
      </c>
      <c r="B1158" s="3">
        <v>1155</v>
      </c>
      <c r="C1158" s="4" t="s">
        <v>1217</v>
      </c>
      <c r="D1158" s="4" t="str">
        <f t="shared" si="169"/>
        <v>J922WM</v>
      </c>
      <c r="E1158" s="4" t="s">
        <v>1217</v>
      </c>
      <c r="F1158" s="4" t="s">
        <v>2435</v>
      </c>
      <c r="G1158" s="5">
        <v>4548030188689</v>
      </c>
      <c r="H1158" s="5"/>
      <c r="I1158" s="5"/>
      <c r="J1158" s="5">
        <v>1</v>
      </c>
      <c r="K1158" s="5">
        <v>1</v>
      </c>
      <c r="L1158" s="4">
        <v>190</v>
      </c>
      <c r="M1158" s="4">
        <v>128</v>
      </c>
      <c r="N1158" s="4">
        <v>83</v>
      </c>
      <c r="O1158" s="6">
        <f t="shared" si="170"/>
        <v>0.3515625</v>
      </c>
      <c r="P1158" s="4" t="s">
        <v>2500</v>
      </c>
      <c r="Q1158" s="4"/>
      <c r="R1158" s="4"/>
      <c r="S1158" s="4"/>
      <c r="T1158" s="4"/>
      <c r="U1158" s="4"/>
      <c r="V1158" s="4"/>
      <c r="W1158" s="4"/>
      <c r="X1158" s="4"/>
      <c r="Y1158" s="4">
        <v>128</v>
      </c>
      <c r="Z1158" s="4">
        <f t="shared" si="171"/>
        <v>128</v>
      </c>
      <c r="AA1158" s="4">
        <v>83</v>
      </c>
      <c r="AB1158" s="4">
        <f t="shared" si="172"/>
        <v>83</v>
      </c>
      <c r="AC1158" s="4"/>
      <c r="AD1158" s="21">
        <f>ROUND(M1158*AR1158,0)</f>
        <v>128</v>
      </c>
      <c r="AE1158" s="6">
        <f>1-AB1158/AD1158</f>
        <v>0.3515625</v>
      </c>
      <c r="AF1158" s="33">
        <v>2.75</v>
      </c>
      <c r="AG1158" s="4">
        <f t="shared" si="173"/>
        <v>190</v>
      </c>
      <c r="AH1158" s="33">
        <f t="shared" si="175"/>
        <v>190</v>
      </c>
      <c r="AI1158" s="6">
        <f>1-AB1158/AH1158</f>
        <v>0.56315789473684208</v>
      </c>
      <c r="AJ1158" s="7">
        <f>ROUND(AB1158/0.65,0)</f>
        <v>128</v>
      </c>
      <c r="AK1158" s="6">
        <f>1-AB1158/AJ1158</f>
        <v>0.3515625</v>
      </c>
      <c r="AL1158" s="4">
        <f>AJ1158-AB1158</f>
        <v>45</v>
      </c>
      <c r="AM1158" s="28"/>
      <c r="AN1158" s="6"/>
      <c r="AO1158" s="6"/>
      <c r="AP1158" s="6">
        <f>Z1158/L1158</f>
        <v>0.67368421052631577</v>
      </c>
      <c r="AQ1158" s="6">
        <f>AJ1158/M1158</f>
        <v>1</v>
      </c>
      <c r="AR1158" s="6">
        <f>AB1158/N1158</f>
        <v>1</v>
      </c>
      <c r="AS1158" s="4"/>
      <c r="AT1158" s="4"/>
      <c r="AU1158" s="4"/>
      <c r="AV1158" s="4"/>
      <c r="AW1158" s="4"/>
      <c r="AX1158" s="4"/>
      <c r="AY1158" s="4"/>
      <c r="AZ1158" s="4"/>
      <c r="BA1158" s="4"/>
      <c r="BB1158" s="4">
        <v>0</v>
      </c>
      <c r="BC1158" s="4" t="s">
        <v>4624</v>
      </c>
      <c r="BD1158" s="4">
        <v>1</v>
      </c>
      <c r="BE1158" s="4">
        <v>8</v>
      </c>
      <c r="BF1158" s="4" t="s">
        <v>3549</v>
      </c>
      <c r="BG1158" s="4">
        <v>1520</v>
      </c>
      <c r="BH1158" s="4">
        <v>1520</v>
      </c>
      <c r="BI1158" s="4">
        <f t="shared" si="174"/>
        <v>190</v>
      </c>
      <c r="BJ1158" s="19">
        <v>4</v>
      </c>
      <c r="BK1158" s="19">
        <v>8</v>
      </c>
      <c r="BL1158" s="16">
        <v>6</v>
      </c>
      <c r="BM1158" s="45" t="s">
        <v>3534</v>
      </c>
      <c r="BN1158" t="s">
        <v>3534</v>
      </c>
      <c r="BO1158" t="str">
        <f t="shared" si="176"/>
        <v>-</v>
      </c>
      <c r="BP1158" t="s">
        <v>3534</v>
      </c>
      <c r="BQ1158" t="s">
        <v>3534</v>
      </c>
      <c r="BR1158" t="str">
        <f t="shared" si="177"/>
        <v>-</v>
      </c>
      <c r="BS1158" t="s">
        <v>3474</v>
      </c>
    </row>
    <row r="1159" spans="1:71" x14ac:dyDescent="0.4">
      <c r="A1159" s="3">
        <v>1156</v>
      </c>
      <c r="B1159" s="3">
        <v>1156</v>
      </c>
      <c r="C1159" s="4" t="s">
        <v>1218</v>
      </c>
      <c r="D1159" s="4" t="str">
        <f t="shared" si="169"/>
        <v>J923LY</v>
      </c>
      <c r="E1159" s="4" t="s">
        <v>1218</v>
      </c>
      <c r="F1159" s="4" t="s">
        <v>2436</v>
      </c>
      <c r="G1159" s="5">
        <v>4548030510930</v>
      </c>
      <c r="H1159" s="5"/>
      <c r="I1159" s="5"/>
      <c r="J1159" s="5">
        <v>1</v>
      </c>
      <c r="K1159" s="5">
        <v>1</v>
      </c>
      <c r="L1159" s="4">
        <v>340</v>
      </c>
      <c r="M1159" s="4">
        <v>245</v>
      </c>
      <c r="N1159" s="4">
        <v>191</v>
      </c>
      <c r="O1159" s="6">
        <f t="shared" si="170"/>
        <v>0.2204081632653061</v>
      </c>
      <c r="P1159" s="4" t="s">
        <v>2500</v>
      </c>
      <c r="Q1159" s="4"/>
      <c r="R1159" s="4"/>
      <c r="S1159" s="4"/>
      <c r="T1159" s="4"/>
      <c r="U1159" s="4"/>
      <c r="V1159" s="4"/>
      <c r="W1159" s="4"/>
      <c r="X1159" s="4"/>
      <c r="Y1159" s="4">
        <v>273</v>
      </c>
      <c r="Z1159" s="4">
        <f t="shared" si="171"/>
        <v>273</v>
      </c>
      <c r="AA1159" s="4">
        <v>191</v>
      </c>
      <c r="AB1159" s="4">
        <f t="shared" si="172"/>
        <v>191</v>
      </c>
      <c r="AC1159" s="4"/>
      <c r="AD1159" s="21">
        <f>ROUND(M1159*AR1159,0)</f>
        <v>245</v>
      </c>
      <c r="AE1159" s="6">
        <f>1-AB1159/AD1159</f>
        <v>0.2204081632653061</v>
      </c>
      <c r="AF1159" s="33">
        <v>0</v>
      </c>
      <c r="AG1159" s="4">
        <f t="shared" si="173"/>
        <v>1480</v>
      </c>
      <c r="AH1159" s="33">
        <f t="shared" si="175"/>
        <v>1480</v>
      </c>
      <c r="AI1159" s="6">
        <f>1-AB1159/AH1159</f>
        <v>0.87094594594594599</v>
      </c>
      <c r="AJ1159" s="7">
        <v>273</v>
      </c>
      <c r="AK1159" s="6">
        <f>1-AB1159/AJ1159</f>
        <v>0.30036630036630041</v>
      </c>
      <c r="AL1159" s="4">
        <f>AJ1159-AB1159</f>
        <v>82</v>
      </c>
      <c r="AM1159" s="28"/>
      <c r="AN1159" s="6"/>
      <c r="AO1159" s="6"/>
      <c r="AP1159" s="6">
        <f>Z1159/L1159</f>
        <v>0.80294117647058827</v>
      </c>
      <c r="AQ1159" s="6">
        <f>AJ1159/M1159</f>
        <v>1.1142857142857143</v>
      </c>
      <c r="AR1159" s="6">
        <f>AB1159/N1159</f>
        <v>1</v>
      </c>
      <c r="AS1159" s="4"/>
      <c r="AT1159" s="4"/>
      <c r="AU1159" s="4"/>
      <c r="AV1159" s="4"/>
      <c r="AW1159" s="4"/>
      <c r="AX1159" s="4"/>
      <c r="AY1159" s="4"/>
      <c r="AZ1159" s="4"/>
      <c r="BA1159" s="4"/>
      <c r="BB1159" s="4">
        <v>0</v>
      </c>
      <c r="BC1159" s="4" t="s">
        <v>4625</v>
      </c>
      <c r="BD1159" s="4">
        <v>1</v>
      </c>
      <c r="BE1159" s="4">
        <v>2</v>
      </c>
      <c r="BF1159" s="4" t="s">
        <v>3834</v>
      </c>
      <c r="BG1159" s="4">
        <v>2960</v>
      </c>
      <c r="BH1159" s="4">
        <v>2960</v>
      </c>
      <c r="BI1159" s="4">
        <f t="shared" si="174"/>
        <v>1480</v>
      </c>
      <c r="BJ1159" s="19">
        <v>4</v>
      </c>
      <c r="BK1159" s="19">
        <v>8</v>
      </c>
      <c r="BL1159" s="16">
        <v>6</v>
      </c>
      <c r="BM1159" s="45" t="s">
        <v>3534</v>
      </c>
      <c r="BN1159" t="s">
        <v>3534</v>
      </c>
      <c r="BO1159" t="str">
        <f t="shared" si="176"/>
        <v>-</v>
      </c>
      <c r="BP1159" t="s">
        <v>3534</v>
      </c>
      <c r="BQ1159">
        <v>340</v>
      </c>
      <c r="BR1159">
        <f t="shared" si="177"/>
        <v>340</v>
      </c>
      <c r="BS1159" t="s">
        <v>3475</v>
      </c>
    </row>
    <row r="1160" spans="1:71" x14ac:dyDescent="0.4">
      <c r="A1160" s="3">
        <v>1157</v>
      </c>
      <c r="B1160" s="3">
        <v>1157</v>
      </c>
      <c r="C1160" s="4" t="s">
        <v>1219</v>
      </c>
      <c r="D1160" s="4" t="str">
        <f t="shared" si="169"/>
        <v>J921WM</v>
      </c>
      <c r="E1160" s="4" t="s">
        <v>1219</v>
      </c>
      <c r="F1160" s="4" t="s">
        <v>2437</v>
      </c>
      <c r="G1160" s="5">
        <v>4548030188672</v>
      </c>
      <c r="H1160" s="5"/>
      <c r="I1160" s="5"/>
      <c r="J1160" s="5">
        <v>1</v>
      </c>
      <c r="K1160" s="5">
        <v>1</v>
      </c>
      <c r="L1160" s="4">
        <v>270</v>
      </c>
      <c r="M1160" s="4">
        <v>182</v>
      </c>
      <c r="N1160" s="4">
        <v>118</v>
      </c>
      <c r="O1160" s="6">
        <f t="shared" si="170"/>
        <v>0.35164835164835162</v>
      </c>
      <c r="P1160" s="4" t="s">
        <v>2500</v>
      </c>
      <c r="Q1160" s="4"/>
      <c r="R1160" s="4"/>
      <c r="S1160" s="4"/>
      <c r="T1160" s="4"/>
      <c r="U1160" s="4"/>
      <c r="V1160" s="4"/>
      <c r="W1160" s="4"/>
      <c r="X1160" s="4"/>
      <c r="Y1160" s="4">
        <v>182</v>
      </c>
      <c r="Z1160" s="4">
        <f t="shared" si="171"/>
        <v>182</v>
      </c>
      <c r="AA1160" s="4">
        <v>118</v>
      </c>
      <c r="AB1160" s="4">
        <f t="shared" si="172"/>
        <v>118</v>
      </c>
      <c r="AC1160" s="4"/>
      <c r="AD1160" s="21">
        <f>ROUND(M1160*AR1160,0)</f>
        <v>182</v>
      </c>
      <c r="AE1160" s="6">
        <f>1-AB1160/AD1160</f>
        <v>0.35164835164835162</v>
      </c>
      <c r="AF1160" s="33">
        <v>0</v>
      </c>
      <c r="AG1160" s="4">
        <f t="shared" si="173"/>
        <v>270</v>
      </c>
      <c r="AH1160" s="33">
        <f t="shared" si="175"/>
        <v>270</v>
      </c>
      <c r="AI1160" s="6">
        <f>1-AB1160/AH1160</f>
        <v>0.56296296296296289</v>
      </c>
      <c r="AJ1160" s="7">
        <f>ROUND(AB1160/0.65,0)</f>
        <v>182</v>
      </c>
      <c r="AK1160" s="6">
        <f>1-AB1160/AJ1160</f>
        <v>0.35164835164835162</v>
      </c>
      <c r="AL1160" s="4">
        <f>AJ1160-AB1160</f>
        <v>64</v>
      </c>
      <c r="AM1160" s="28"/>
      <c r="AN1160" s="6"/>
      <c r="AO1160" s="6"/>
      <c r="AP1160" s="6">
        <f>Z1160/L1160</f>
        <v>0.67407407407407405</v>
      </c>
      <c r="AQ1160" s="6">
        <f>AJ1160/M1160</f>
        <v>1</v>
      </c>
      <c r="AR1160" s="6">
        <f>AB1160/N1160</f>
        <v>1</v>
      </c>
      <c r="AS1160" s="4"/>
      <c r="AT1160" s="4"/>
      <c r="AU1160" s="4"/>
      <c r="AV1160" s="4"/>
      <c r="AW1160" s="4"/>
      <c r="AX1160" s="4"/>
      <c r="AY1160" s="4"/>
      <c r="AZ1160" s="4"/>
      <c r="BA1160" s="4"/>
      <c r="BB1160" s="4">
        <v>0</v>
      </c>
      <c r="BC1160" s="4" t="s">
        <v>4626</v>
      </c>
      <c r="BD1160" s="4">
        <v>1</v>
      </c>
      <c r="BE1160" s="4">
        <v>6</v>
      </c>
      <c r="BF1160" s="4" t="s">
        <v>4020</v>
      </c>
      <c r="BG1160" s="4">
        <v>1620</v>
      </c>
      <c r="BH1160" s="4">
        <v>1620</v>
      </c>
      <c r="BI1160" s="4">
        <f t="shared" si="174"/>
        <v>270</v>
      </c>
      <c r="BJ1160" s="19">
        <v>4</v>
      </c>
      <c r="BK1160" s="19">
        <v>8</v>
      </c>
      <c r="BL1160" s="16">
        <v>6</v>
      </c>
      <c r="BM1160" s="45" t="s">
        <v>3534</v>
      </c>
      <c r="BN1160" t="s">
        <v>3534</v>
      </c>
      <c r="BO1160" t="str">
        <f t="shared" si="176"/>
        <v>-</v>
      </c>
      <c r="BP1160" t="s">
        <v>3534</v>
      </c>
      <c r="BQ1160" t="s">
        <v>3534</v>
      </c>
      <c r="BR1160" t="str">
        <f t="shared" si="177"/>
        <v>-</v>
      </c>
      <c r="BS1160" t="s">
        <v>3476</v>
      </c>
    </row>
    <row r="1161" spans="1:71" x14ac:dyDescent="0.4">
      <c r="A1161" s="3">
        <v>1158</v>
      </c>
      <c r="B1161" s="3">
        <v>1158</v>
      </c>
      <c r="C1161" s="4" t="s">
        <v>1220</v>
      </c>
      <c r="D1161" s="4" t="str">
        <f t="shared" si="169"/>
        <v>J924LY</v>
      </c>
      <c r="E1161" s="4" t="s">
        <v>1220</v>
      </c>
      <c r="F1161" s="4" t="s">
        <v>2438</v>
      </c>
      <c r="G1161" s="5">
        <v>4548030514563</v>
      </c>
      <c r="H1161" s="5"/>
      <c r="I1161" s="5"/>
      <c r="J1161" s="5">
        <v>1</v>
      </c>
      <c r="K1161" s="5">
        <v>1</v>
      </c>
      <c r="L1161" s="4">
        <v>1155</v>
      </c>
      <c r="M1161" s="4">
        <v>1023</v>
      </c>
      <c r="N1161" s="4">
        <v>809</v>
      </c>
      <c r="O1161" s="6">
        <f t="shared" si="170"/>
        <v>0.20918866080156406</v>
      </c>
      <c r="P1161" s="4" t="s">
        <v>2500</v>
      </c>
      <c r="Q1161" s="4"/>
      <c r="R1161" s="4"/>
      <c r="S1161" s="4"/>
      <c r="T1161" s="4"/>
      <c r="U1161" s="4"/>
      <c r="V1161" s="4"/>
      <c r="W1161" s="4"/>
      <c r="X1161" s="4"/>
      <c r="Y1161" s="4">
        <v>1155</v>
      </c>
      <c r="Z1161" s="4">
        <f t="shared" si="171"/>
        <v>1155</v>
      </c>
      <c r="AA1161" s="4">
        <v>809</v>
      </c>
      <c r="AB1161" s="4">
        <f t="shared" si="172"/>
        <v>809</v>
      </c>
      <c r="AC1161" s="4"/>
      <c r="AD1161" s="21">
        <f>ROUND(M1161*AR1161,0)</f>
        <v>1023</v>
      </c>
      <c r="AE1161" s="6">
        <f>1-AB1161/AD1161</f>
        <v>0.20918866080156406</v>
      </c>
      <c r="AF1161" s="33">
        <v>0</v>
      </c>
      <c r="AG1161" s="4">
        <f t="shared" si="173"/>
        <v>1156</v>
      </c>
      <c r="AH1161" s="33">
        <f t="shared" si="175"/>
        <v>1156</v>
      </c>
      <c r="AI1161" s="6">
        <f>1-AB1161/AH1161</f>
        <v>0.30017301038062283</v>
      </c>
      <c r="AJ1161" s="7">
        <v>1155</v>
      </c>
      <c r="AK1161" s="6">
        <f>1-AB1161/AJ1161</f>
        <v>0.29956709956709959</v>
      </c>
      <c r="AL1161" s="4">
        <f>AJ1161-AB1161</f>
        <v>346</v>
      </c>
      <c r="AM1161" s="28"/>
      <c r="AN1161" s="6"/>
      <c r="AO1161" s="6"/>
      <c r="AP1161" s="6">
        <f>Z1161/L1161</f>
        <v>1</v>
      </c>
      <c r="AQ1161" s="6">
        <f>AJ1161/M1161</f>
        <v>1.1290322580645162</v>
      </c>
      <c r="AR1161" s="6">
        <f>AB1161/N1161</f>
        <v>1</v>
      </c>
      <c r="AS1161" s="4"/>
      <c r="AT1161" s="4"/>
      <c r="AU1161" s="4"/>
      <c r="AV1161" s="4"/>
      <c r="AW1161" s="4"/>
      <c r="AX1161" s="4"/>
      <c r="AY1161" s="4"/>
      <c r="AZ1161" s="4"/>
      <c r="BA1161" s="4"/>
      <c r="BB1161" s="4">
        <v>0</v>
      </c>
      <c r="BC1161" s="4" t="s">
        <v>4627</v>
      </c>
      <c r="BD1161" s="4"/>
      <c r="BE1161" s="4"/>
      <c r="BF1161" s="4" t="s">
        <v>3545</v>
      </c>
      <c r="BG1161" s="4">
        <v>1156</v>
      </c>
      <c r="BH1161" s="4">
        <v>1156</v>
      </c>
      <c r="BI1161" s="4">
        <f t="shared" si="174"/>
        <v>1156</v>
      </c>
      <c r="BJ1161" s="19">
        <v>4</v>
      </c>
      <c r="BK1161" s="19">
        <v>8</v>
      </c>
      <c r="BL1161" s="16">
        <v>6</v>
      </c>
      <c r="BM1161" s="45" t="s">
        <v>3534</v>
      </c>
      <c r="BN1161" t="s">
        <v>3534</v>
      </c>
      <c r="BO1161" t="str">
        <f t="shared" si="176"/>
        <v>-</v>
      </c>
      <c r="BP1161" t="s">
        <v>3534</v>
      </c>
      <c r="BQ1161">
        <v>1135</v>
      </c>
      <c r="BR1161">
        <f t="shared" si="177"/>
        <v>1135</v>
      </c>
      <c r="BS1161" t="s">
        <v>3477</v>
      </c>
    </row>
    <row r="1162" spans="1:71" x14ac:dyDescent="0.4">
      <c r="A1162" s="3">
        <v>1159</v>
      </c>
      <c r="B1162" s="3">
        <v>1159</v>
      </c>
      <c r="C1162" s="4" t="s">
        <v>1221</v>
      </c>
      <c r="D1162" s="4" t="str">
        <f t="shared" si="169"/>
        <v>J923WM</v>
      </c>
      <c r="E1162" s="4" t="s">
        <v>1221</v>
      </c>
      <c r="F1162" s="4" t="s">
        <v>2439</v>
      </c>
      <c r="G1162" s="5">
        <v>4548030188696</v>
      </c>
      <c r="H1162" s="5"/>
      <c r="I1162" s="5"/>
      <c r="J1162" s="5">
        <v>1</v>
      </c>
      <c r="K1162" s="5">
        <v>1</v>
      </c>
      <c r="L1162" s="4">
        <v>190</v>
      </c>
      <c r="M1162" s="4">
        <v>128</v>
      </c>
      <c r="N1162" s="4">
        <v>83</v>
      </c>
      <c r="O1162" s="6">
        <f t="shared" si="170"/>
        <v>0.3515625</v>
      </c>
      <c r="P1162" s="4" t="s">
        <v>2500</v>
      </c>
      <c r="Q1162" s="4"/>
      <c r="R1162" s="4"/>
      <c r="S1162" s="4"/>
      <c r="T1162" s="4"/>
      <c r="U1162" s="4"/>
      <c r="V1162" s="4"/>
      <c r="W1162" s="4"/>
      <c r="X1162" s="4"/>
      <c r="Y1162" s="4">
        <v>128</v>
      </c>
      <c r="Z1162" s="4">
        <f t="shared" si="171"/>
        <v>128</v>
      </c>
      <c r="AA1162" s="4">
        <v>83</v>
      </c>
      <c r="AB1162" s="4">
        <f t="shared" si="172"/>
        <v>83</v>
      </c>
      <c r="AC1162" s="4"/>
      <c r="AD1162" s="21">
        <f>ROUND(M1162*AR1162,0)</f>
        <v>128</v>
      </c>
      <c r="AE1162" s="6">
        <f>1-AB1162/AD1162</f>
        <v>0.3515625</v>
      </c>
      <c r="AF1162" s="33">
        <v>5</v>
      </c>
      <c r="AG1162" s="4">
        <f t="shared" si="173"/>
        <v>190</v>
      </c>
      <c r="AH1162" s="33">
        <f t="shared" si="175"/>
        <v>190</v>
      </c>
      <c r="AI1162" s="6">
        <f>1-AB1162/AH1162</f>
        <v>0.56315789473684208</v>
      </c>
      <c r="AJ1162" s="7">
        <f>ROUND(AB1162/0.65,0)</f>
        <v>128</v>
      </c>
      <c r="AK1162" s="6">
        <f>1-AB1162/AJ1162</f>
        <v>0.3515625</v>
      </c>
      <c r="AL1162" s="4">
        <f>AJ1162-AB1162</f>
        <v>45</v>
      </c>
      <c r="AM1162" s="28"/>
      <c r="AN1162" s="6"/>
      <c r="AO1162" s="6"/>
      <c r="AP1162" s="6">
        <f>Z1162/L1162</f>
        <v>0.67368421052631577</v>
      </c>
      <c r="AQ1162" s="6">
        <f>AJ1162/M1162</f>
        <v>1</v>
      </c>
      <c r="AR1162" s="6">
        <f>AB1162/N1162</f>
        <v>1</v>
      </c>
      <c r="AS1162" s="4"/>
      <c r="AT1162" s="4"/>
      <c r="AU1162" s="4"/>
      <c r="AV1162" s="4"/>
      <c r="AW1162" s="4"/>
      <c r="AX1162" s="4"/>
      <c r="AY1162" s="4"/>
      <c r="AZ1162" s="4"/>
      <c r="BA1162" s="4"/>
      <c r="BB1162" s="4">
        <v>0</v>
      </c>
      <c r="BC1162" s="4" t="s">
        <v>4628</v>
      </c>
      <c r="BD1162" s="4">
        <v>1</v>
      </c>
      <c r="BE1162" s="4">
        <v>8</v>
      </c>
      <c r="BF1162" s="4" t="s">
        <v>3549</v>
      </c>
      <c r="BG1162" s="4">
        <v>1520</v>
      </c>
      <c r="BH1162" s="4">
        <v>1520</v>
      </c>
      <c r="BI1162" s="4">
        <f t="shared" si="174"/>
        <v>190</v>
      </c>
      <c r="BJ1162" s="19">
        <v>4</v>
      </c>
      <c r="BK1162" s="19">
        <v>8</v>
      </c>
      <c r="BL1162" s="16">
        <v>6</v>
      </c>
      <c r="BM1162" s="45" t="s">
        <v>3534</v>
      </c>
      <c r="BN1162" t="s">
        <v>3534</v>
      </c>
      <c r="BO1162" t="str">
        <f t="shared" si="176"/>
        <v>-</v>
      </c>
      <c r="BP1162" t="s">
        <v>3534</v>
      </c>
      <c r="BQ1162" t="s">
        <v>3534</v>
      </c>
      <c r="BR1162" t="str">
        <f t="shared" si="177"/>
        <v>-</v>
      </c>
      <c r="BS1162" t="s">
        <v>3478</v>
      </c>
    </row>
    <row r="1163" spans="1:71" x14ac:dyDescent="0.4">
      <c r="A1163" s="3">
        <v>1160</v>
      </c>
      <c r="B1163" s="3">
        <v>1160</v>
      </c>
      <c r="C1163" s="4" t="s">
        <v>1222</v>
      </c>
      <c r="D1163" s="4" t="str">
        <f t="shared" si="169"/>
        <v>J925WM</v>
      </c>
      <c r="E1163" s="4" t="s">
        <v>1222</v>
      </c>
      <c r="F1163" s="4" t="s">
        <v>2440</v>
      </c>
      <c r="G1163" s="5">
        <v>4548030188733</v>
      </c>
      <c r="H1163" s="5"/>
      <c r="I1163" s="5"/>
      <c r="J1163" s="5">
        <v>1</v>
      </c>
      <c r="K1163" s="5">
        <v>1</v>
      </c>
      <c r="L1163" s="4">
        <v>464</v>
      </c>
      <c r="M1163" s="4">
        <v>464</v>
      </c>
      <c r="N1163" s="4">
        <v>302</v>
      </c>
      <c r="O1163" s="6">
        <f t="shared" si="170"/>
        <v>0.34913793103448276</v>
      </c>
      <c r="P1163" s="4" t="s">
        <v>2500</v>
      </c>
      <c r="Q1163" s="4"/>
      <c r="R1163" s="4"/>
      <c r="S1163" s="4"/>
      <c r="T1163" s="4"/>
      <c r="U1163" s="4"/>
      <c r="V1163" s="4"/>
      <c r="W1163" s="4"/>
      <c r="X1163" s="4"/>
      <c r="Y1163" s="4">
        <v>464</v>
      </c>
      <c r="Z1163" s="4">
        <f t="shared" si="171"/>
        <v>464</v>
      </c>
      <c r="AA1163" s="4">
        <v>302</v>
      </c>
      <c r="AB1163" s="4">
        <f t="shared" si="172"/>
        <v>302</v>
      </c>
      <c r="AC1163" s="4"/>
      <c r="AD1163" s="21">
        <f>ROUND(M1163*AR1163,0)</f>
        <v>464</v>
      </c>
      <c r="AE1163" s="6">
        <f>1-AB1163/AD1163</f>
        <v>0.34913793103448276</v>
      </c>
      <c r="AF1163" s="33">
        <v>0</v>
      </c>
      <c r="AG1163" s="4">
        <f t="shared" si="173"/>
        <v>463.66666666666663</v>
      </c>
      <c r="AH1163" s="33">
        <f t="shared" si="175"/>
        <v>463.66666666666663</v>
      </c>
      <c r="AI1163" s="6">
        <f>1-AB1163/AH1163</f>
        <v>0.34867002156721782</v>
      </c>
      <c r="AJ1163" s="7">
        <v>463</v>
      </c>
      <c r="AK1163" s="6">
        <f>1-AB1163/AJ1163</f>
        <v>0.34773218142548601</v>
      </c>
      <c r="AL1163" s="4">
        <f>AJ1163-AB1163</f>
        <v>161</v>
      </c>
      <c r="AM1163" s="28"/>
      <c r="AN1163" s="6"/>
      <c r="AO1163" s="6"/>
      <c r="AP1163" s="6">
        <f>Z1163/L1163</f>
        <v>1</v>
      </c>
      <c r="AQ1163" s="6">
        <f>AJ1163/M1163</f>
        <v>0.99784482758620685</v>
      </c>
      <c r="AR1163" s="6">
        <f>AB1163/N1163</f>
        <v>1</v>
      </c>
      <c r="AS1163" s="4"/>
      <c r="AT1163" s="4"/>
      <c r="AU1163" s="4"/>
      <c r="AV1163" s="4"/>
      <c r="AW1163" s="4"/>
      <c r="AX1163" s="4"/>
      <c r="AY1163" s="4"/>
      <c r="AZ1163" s="4"/>
      <c r="BA1163" s="4"/>
      <c r="BB1163" s="4">
        <v>0</v>
      </c>
      <c r="BC1163" s="4" t="s">
        <v>4629</v>
      </c>
      <c r="BD1163" s="4">
        <v>1</v>
      </c>
      <c r="BE1163" s="4">
        <v>3</v>
      </c>
      <c r="BF1163" s="4" t="s">
        <v>3623</v>
      </c>
      <c r="BG1163" s="4">
        <v>1391</v>
      </c>
      <c r="BH1163" s="4">
        <v>1391</v>
      </c>
      <c r="BI1163" s="4">
        <f t="shared" si="174"/>
        <v>463.66666666666663</v>
      </c>
      <c r="BJ1163" s="19">
        <v>4</v>
      </c>
      <c r="BK1163" s="19">
        <v>8</v>
      </c>
      <c r="BL1163" s="16">
        <v>6</v>
      </c>
      <c r="BM1163" s="45" t="s">
        <v>3534</v>
      </c>
      <c r="BN1163" t="s">
        <v>3534</v>
      </c>
      <c r="BO1163" t="str">
        <f t="shared" si="176"/>
        <v>-</v>
      </c>
      <c r="BP1163" t="s">
        <v>3534</v>
      </c>
      <c r="BQ1163" t="s">
        <v>3534</v>
      </c>
      <c r="BR1163" t="str">
        <f t="shared" si="177"/>
        <v>-</v>
      </c>
      <c r="BS1163" t="s">
        <v>3479</v>
      </c>
    </row>
    <row r="1164" spans="1:71" x14ac:dyDescent="0.4">
      <c r="A1164" s="3">
        <v>1161</v>
      </c>
      <c r="B1164" s="3">
        <v>1161</v>
      </c>
      <c r="C1164" s="4" t="s">
        <v>1223</v>
      </c>
      <c r="D1164" s="4" t="str">
        <f t="shared" si="169"/>
        <v>J926WM</v>
      </c>
      <c r="E1164" s="4" t="s">
        <v>1223</v>
      </c>
      <c r="F1164" s="4" t="s">
        <v>2441</v>
      </c>
      <c r="G1164" s="5">
        <v>4548030188795</v>
      </c>
      <c r="H1164" s="5"/>
      <c r="I1164" s="5"/>
      <c r="J1164" s="5">
        <v>1</v>
      </c>
      <c r="K1164" s="5">
        <v>1</v>
      </c>
      <c r="L1164" s="4">
        <v>450</v>
      </c>
      <c r="M1164" s="4">
        <v>310</v>
      </c>
      <c r="N1164" s="4">
        <v>202</v>
      </c>
      <c r="O1164" s="6">
        <f t="shared" si="170"/>
        <v>0.34838709677419355</v>
      </c>
      <c r="P1164" s="4" t="s">
        <v>2500</v>
      </c>
      <c r="Q1164" s="4"/>
      <c r="R1164" s="4"/>
      <c r="S1164" s="4"/>
      <c r="T1164" s="4"/>
      <c r="U1164" s="4"/>
      <c r="V1164" s="4"/>
      <c r="W1164" s="4"/>
      <c r="X1164" s="4"/>
      <c r="Y1164" s="4">
        <v>310</v>
      </c>
      <c r="Z1164" s="4">
        <f t="shared" si="171"/>
        <v>310</v>
      </c>
      <c r="AA1164" s="4">
        <v>202</v>
      </c>
      <c r="AB1164" s="4">
        <f t="shared" si="172"/>
        <v>202</v>
      </c>
      <c r="AC1164" s="4"/>
      <c r="AD1164" s="21">
        <f>ROUND(M1164*AR1164,0)</f>
        <v>310</v>
      </c>
      <c r="AE1164" s="6">
        <f>1-AB1164/AD1164</f>
        <v>0.34838709677419355</v>
      </c>
      <c r="AF1164" s="33">
        <v>0.75</v>
      </c>
      <c r="AG1164" s="4">
        <f t="shared" si="173"/>
        <v>450</v>
      </c>
      <c r="AH1164" s="33">
        <f t="shared" si="175"/>
        <v>450</v>
      </c>
      <c r="AI1164" s="6">
        <f>1-AB1164/AH1164</f>
        <v>0.55111111111111111</v>
      </c>
      <c r="AJ1164" s="7">
        <v>310</v>
      </c>
      <c r="AK1164" s="6">
        <f>1-AB1164/AJ1164</f>
        <v>0.34838709677419355</v>
      </c>
      <c r="AL1164" s="4">
        <f>AJ1164-AB1164</f>
        <v>108</v>
      </c>
      <c r="AM1164" s="28"/>
      <c r="AN1164" s="6"/>
      <c r="AO1164" s="6"/>
      <c r="AP1164" s="6">
        <f>Z1164/L1164</f>
        <v>0.68888888888888888</v>
      </c>
      <c r="AQ1164" s="6">
        <f>AJ1164/M1164</f>
        <v>1</v>
      </c>
      <c r="AR1164" s="6">
        <f>AB1164/N1164</f>
        <v>1</v>
      </c>
      <c r="AS1164" s="4"/>
      <c r="AT1164" s="4"/>
      <c r="AU1164" s="4"/>
      <c r="AV1164" s="4"/>
      <c r="AW1164" s="4"/>
      <c r="AX1164" s="4"/>
      <c r="AY1164" s="4"/>
      <c r="AZ1164" s="4"/>
      <c r="BA1164" s="4"/>
      <c r="BB1164" s="4">
        <v>0</v>
      </c>
      <c r="BC1164" s="4" t="s">
        <v>4630</v>
      </c>
      <c r="BD1164" s="4">
        <v>1</v>
      </c>
      <c r="BE1164" s="4">
        <v>4</v>
      </c>
      <c r="BF1164" s="4" t="s">
        <v>4631</v>
      </c>
      <c r="BG1164" s="4">
        <v>1800</v>
      </c>
      <c r="BH1164" s="4">
        <v>1800</v>
      </c>
      <c r="BI1164" s="4">
        <f t="shared" si="174"/>
        <v>450</v>
      </c>
      <c r="BJ1164" s="19">
        <v>4</v>
      </c>
      <c r="BK1164" s="19">
        <v>8</v>
      </c>
      <c r="BL1164" s="16">
        <v>5</v>
      </c>
      <c r="BM1164" s="45" t="s">
        <v>3534</v>
      </c>
      <c r="BN1164" t="s">
        <v>3534</v>
      </c>
      <c r="BO1164" t="str">
        <f t="shared" si="176"/>
        <v>-</v>
      </c>
      <c r="BP1164" t="s">
        <v>3534</v>
      </c>
      <c r="BQ1164" t="s">
        <v>3534</v>
      </c>
      <c r="BR1164" t="str">
        <f t="shared" si="177"/>
        <v>-</v>
      </c>
      <c r="BS1164" t="s">
        <v>3480</v>
      </c>
    </row>
    <row r="1165" spans="1:71" x14ac:dyDescent="0.4">
      <c r="A1165" s="3">
        <v>1162</v>
      </c>
      <c r="B1165" s="3">
        <v>1162</v>
      </c>
      <c r="C1165" s="4" t="s">
        <v>1224</v>
      </c>
      <c r="D1165" s="4" t="str">
        <f t="shared" si="169"/>
        <v>J927WM</v>
      </c>
      <c r="E1165" s="4" t="s">
        <v>1224</v>
      </c>
      <c r="F1165" s="4" t="s">
        <v>2442</v>
      </c>
      <c r="G1165" s="5">
        <v>4548030188825</v>
      </c>
      <c r="H1165" s="5"/>
      <c r="I1165" s="5"/>
      <c r="J1165" s="5">
        <v>1</v>
      </c>
      <c r="K1165" s="5">
        <v>1</v>
      </c>
      <c r="L1165" s="4">
        <v>450</v>
      </c>
      <c r="M1165" s="4">
        <v>310</v>
      </c>
      <c r="N1165" s="4">
        <v>202</v>
      </c>
      <c r="O1165" s="6">
        <f t="shared" si="170"/>
        <v>0.34838709677419355</v>
      </c>
      <c r="P1165" s="4" t="s">
        <v>2500</v>
      </c>
      <c r="Q1165" s="4"/>
      <c r="R1165" s="4"/>
      <c r="S1165" s="4"/>
      <c r="T1165" s="4"/>
      <c r="U1165" s="4"/>
      <c r="V1165" s="4"/>
      <c r="W1165" s="4"/>
      <c r="X1165" s="4"/>
      <c r="Y1165" s="4">
        <v>310</v>
      </c>
      <c r="Z1165" s="4">
        <f t="shared" si="171"/>
        <v>310</v>
      </c>
      <c r="AA1165" s="4">
        <v>202</v>
      </c>
      <c r="AB1165" s="4">
        <f t="shared" si="172"/>
        <v>202</v>
      </c>
      <c r="AC1165" s="4"/>
      <c r="AD1165" s="21">
        <f>ROUND(M1165*AR1165,0)</f>
        <v>310</v>
      </c>
      <c r="AE1165" s="6">
        <f>1-AB1165/AD1165</f>
        <v>0.34838709677419355</v>
      </c>
      <c r="AF1165" s="33">
        <v>0.5</v>
      </c>
      <c r="AG1165" s="4">
        <f t="shared" si="173"/>
        <v>450</v>
      </c>
      <c r="AH1165" s="33">
        <f t="shared" si="175"/>
        <v>450</v>
      </c>
      <c r="AI1165" s="6">
        <f>1-AB1165/AH1165</f>
        <v>0.55111111111111111</v>
      </c>
      <c r="AJ1165" s="7">
        <v>310</v>
      </c>
      <c r="AK1165" s="6">
        <f>1-AB1165/AJ1165</f>
        <v>0.34838709677419355</v>
      </c>
      <c r="AL1165" s="4">
        <f>AJ1165-AB1165</f>
        <v>108</v>
      </c>
      <c r="AM1165" s="28"/>
      <c r="AN1165" s="6"/>
      <c r="AO1165" s="6"/>
      <c r="AP1165" s="6">
        <f>Z1165/L1165</f>
        <v>0.68888888888888888</v>
      </c>
      <c r="AQ1165" s="6">
        <f>AJ1165/M1165</f>
        <v>1</v>
      </c>
      <c r="AR1165" s="6">
        <f>AB1165/N1165</f>
        <v>1</v>
      </c>
      <c r="AS1165" s="4"/>
      <c r="AT1165" s="4"/>
      <c r="AU1165" s="4"/>
      <c r="AV1165" s="4"/>
      <c r="AW1165" s="4"/>
      <c r="AX1165" s="4"/>
      <c r="AY1165" s="4"/>
      <c r="AZ1165" s="4"/>
      <c r="BA1165" s="4"/>
      <c r="BB1165" s="4">
        <v>0</v>
      </c>
      <c r="BC1165" s="4" t="s">
        <v>4632</v>
      </c>
      <c r="BD1165" s="4">
        <v>1</v>
      </c>
      <c r="BE1165" s="4">
        <v>4</v>
      </c>
      <c r="BF1165" s="4" t="s">
        <v>4631</v>
      </c>
      <c r="BG1165" s="4">
        <v>1800</v>
      </c>
      <c r="BH1165" s="4">
        <v>1800</v>
      </c>
      <c r="BI1165" s="4">
        <f t="shared" si="174"/>
        <v>450</v>
      </c>
      <c r="BJ1165" s="19">
        <v>4</v>
      </c>
      <c r="BK1165" s="19">
        <v>8</v>
      </c>
      <c r="BL1165" s="16">
        <v>5</v>
      </c>
      <c r="BM1165" s="45" t="s">
        <v>3534</v>
      </c>
      <c r="BN1165" t="s">
        <v>3534</v>
      </c>
      <c r="BO1165" t="str">
        <f t="shared" si="176"/>
        <v>-</v>
      </c>
      <c r="BP1165" t="s">
        <v>3534</v>
      </c>
      <c r="BQ1165" t="s">
        <v>3534</v>
      </c>
      <c r="BR1165" t="str">
        <f t="shared" si="177"/>
        <v>-</v>
      </c>
      <c r="BS1165" t="s">
        <v>3481</v>
      </c>
    </row>
    <row r="1166" spans="1:71" x14ac:dyDescent="0.4">
      <c r="A1166" s="3">
        <v>1163</v>
      </c>
      <c r="B1166" s="3">
        <v>1163</v>
      </c>
      <c r="C1166" s="4" t="s">
        <v>1225</v>
      </c>
      <c r="D1166" s="4" t="str">
        <f t="shared" si="169"/>
        <v>J924WM</v>
      </c>
      <c r="E1166" s="4" t="s">
        <v>1225</v>
      </c>
      <c r="F1166" s="4" t="s">
        <v>2443</v>
      </c>
      <c r="G1166" s="5">
        <v>4548030188702</v>
      </c>
      <c r="H1166" s="5"/>
      <c r="I1166" s="5"/>
      <c r="J1166" s="5">
        <v>1</v>
      </c>
      <c r="K1166" s="5">
        <v>1</v>
      </c>
      <c r="L1166" s="4">
        <v>190</v>
      </c>
      <c r="M1166" s="4">
        <v>128</v>
      </c>
      <c r="N1166" s="4">
        <v>83</v>
      </c>
      <c r="O1166" s="6">
        <f t="shared" si="170"/>
        <v>0.3515625</v>
      </c>
      <c r="P1166" s="4" t="s">
        <v>2500</v>
      </c>
      <c r="Q1166" s="4"/>
      <c r="R1166" s="4"/>
      <c r="S1166" s="4"/>
      <c r="T1166" s="4"/>
      <c r="U1166" s="4"/>
      <c r="V1166" s="4"/>
      <c r="W1166" s="4"/>
      <c r="X1166" s="4"/>
      <c r="Y1166" s="4">
        <v>128</v>
      </c>
      <c r="Z1166" s="4">
        <f t="shared" si="171"/>
        <v>128</v>
      </c>
      <c r="AA1166" s="4">
        <v>83</v>
      </c>
      <c r="AB1166" s="4">
        <f t="shared" si="172"/>
        <v>83</v>
      </c>
      <c r="AC1166" s="4"/>
      <c r="AD1166" s="21">
        <f>ROUND(M1166*AR1166,0)</f>
        <v>128</v>
      </c>
      <c r="AE1166" s="6">
        <f>1-AB1166/AD1166</f>
        <v>0.3515625</v>
      </c>
      <c r="AF1166" s="33">
        <v>0</v>
      </c>
      <c r="AG1166" s="4">
        <f t="shared" si="173"/>
        <v>190</v>
      </c>
      <c r="AH1166" s="33">
        <f t="shared" si="175"/>
        <v>190</v>
      </c>
      <c r="AI1166" s="6">
        <f>1-AB1166/AH1166</f>
        <v>0.56315789473684208</v>
      </c>
      <c r="AJ1166" s="7">
        <f>ROUND(AB1166/0.65,0)</f>
        <v>128</v>
      </c>
      <c r="AK1166" s="6">
        <f>1-AB1166/AJ1166</f>
        <v>0.3515625</v>
      </c>
      <c r="AL1166" s="4">
        <f>AJ1166-AB1166</f>
        <v>45</v>
      </c>
      <c r="AM1166" s="28"/>
      <c r="AN1166" s="6"/>
      <c r="AO1166" s="6"/>
      <c r="AP1166" s="6">
        <f>Z1166/L1166</f>
        <v>0.67368421052631577</v>
      </c>
      <c r="AQ1166" s="6">
        <f>AJ1166/M1166</f>
        <v>1</v>
      </c>
      <c r="AR1166" s="6">
        <f>AB1166/N1166</f>
        <v>1</v>
      </c>
      <c r="AS1166" s="4"/>
      <c r="AT1166" s="4"/>
      <c r="AU1166" s="4"/>
      <c r="AV1166" s="4"/>
      <c r="AW1166" s="4"/>
      <c r="AX1166" s="4"/>
      <c r="AY1166" s="4"/>
      <c r="AZ1166" s="4"/>
      <c r="BA1166" s="4"/>
      <c r="BB1166" s="4">
        <v>0</v>
      </c>
      <c r="BC1166" s="4" t="s">
        <v>4633</v>
      </c>
      <c r="BD1166" s="4">
        <v>1</v>
      </c>
      <c r="BE1166" s="4">
        <v>8</v>
      </c>
      <c r="BF1166" s="4" t="s">
        <v>3549</v>
      </c>
      <c r="BG1166" s="4">
        <v>1520</v>
      </c>
      <c r="BH1166" s="4">
        <v>1520</v>
      </c>
      <c r="BI1166" s="4">
        <f t="shared" si="174"/>
        <v>190</v>
      </c>
      <c r="BJ1166" s="19">
        <v>4</v>
      </c>
      <c r="BK1166" s="19">
        <v>8</v>
      </c>
      <c r="BL1166" s="16">
        <v>6</v>
      </c>
      <c r="BM1166" s="45" t="s">
        <v>3534</v>
      </c>
      <c r="BN1166" t="s">
        <v>3534</v>
      </c>
      <c r="BO1166" t="str">
        <f t="shared" si="176"/>
        <v>-</v>
      </c>
      <c r="BP1166" t="s">
        <v>3534</v>
      </c>
      <c r="BQ1166" t="s">
        <v>3534</v>
      </c>
      <c r="BR1166" t="str">
        <f t="shared" si="177"/>
        <v>-</v>
      </c>
      <c r="BS1166" t="s">
        <v>3482</v>
      </c>
    </row>
    <row r="1167" spans="1:71" x14ac:dyDescent="0.4">
      <c r="A1167" s="3">
        <v>1164</v>
      </c>
      <c r="B1167" s="3">
        <v>1164</v>
      </c>
      <c r="C1167" s="4" t="s">
        <v>1226</v>
      </c>
      <c r="D1167" s="4" t="str">
        <f t="shared" si="169"/>
        <v>J927LY</v>
      </c>
      <c r="E1167" s="4" t="s">
        <v>1226</v>
      </c>
      <c r="F1167" s="4" t="s">
        <v>2444</v>
      </c>
      <c r="G1167" s="5">
        <v>4548030514594</v>
      </c>
      <c r="H1167" s="5"/>
      <c r="I1167" s="5"/>
      <c r="J1167" s="5">
        <v>1</v>
      </c>
      <c r="K1167" s="5">
        <v>1</v>
      </c>
      <c r="L1167" s="4">
        <v>1155</v>
      </c>
      <c r="M1167" s="4">
        <v>1023</v>
      </c>
      <c r="N1167" s="4">
        <v>809</v>
      </c>
      <c r="O1167" s="6">
        <f t="shared" si="170"/>
        <v>0.20918866080156406</v>
      </c>
      <c r="P1167" s="4" t="s">
        <v>2500</v>
      </c>
      <c r="Q1167" s="4"/>
      <c r="R1167" s="4"/>
      <c r="S1167" s="4"/>
      <c r="T1167" s="4"/>
      <c r="U1167" s="4"/>
      <c r="V1167" s="4"/>
      <c r="W1167" s="4"/>
      <c r="X1167" s="4"/>
      <c r="Y1167" s="4">
        <v>1155</v>
      </c>
      <c r="Z1167" s="4">
        <f t="shared" si="171"/>
        <v>1155</v>
      </c>
      <c r="AA1167" s="4">
        <v>809</v>
      </c>
      <c r="AB1167" s="4">
        <f t="shared" si="172"/>
        <v>809</v>
      </c>
      <c r="AC1167" s="4"/>
      <c r="AD1167" s="21">
        <f>ROUND(M1167*AR1167,0)</f>
        <v>1023</v>
      </c>
      <c r="AE1167" s="6">
        <f>1-AB1167/AD1167</f>
        <v>0.20918866080156406</v>
      </c>
      <c r="AF1167" s="33">
        <v>0</v>
      </c>
      <c r="AG1167" s="4">
        <f t="shared" si="173"/>
        <v>1156</v>
      </c>
      <c r="AH1167" s="33">
        <f t="shared" si="175"/>
        <v>1156</v>
      </c>
      <c r="AI1167" s="6">
        <f>1-AB1167/AH1167</f>
        <v>0.30017301038062283</v>
      </c>
      <c r="AJ1167" s="7">
        <v>1155</v>
      </c>
      <c r="AK1167" s="6">
        <f>1-AB1167/AJ1167</f>
        <v>0.29956709956709959</v>
      </c>
      <c r="AL1167" s="4">
        <f>AJ1167-AB1167</f>
        <v>346</v>
      </c>
      <c r="AM1167" s="28"/>
      <c r="AN1167" s="6"/>
      <c r="AO1167" s="6"/>
      <c r="AP1167" s="6">
        <f>Z1167/L1167</f>
        <v>1</v>
      </c>
      <c r="AQ1167" s="6">
        <f>AJ1167/M1167</f>
        <v>1.1290322580645162</v>
      </c>
      <c r="AR1167" s="6">
        <f>AB1167/N1167</f>
        <v>1</v>
      </c>
      <c r="AS1167" s="4"/>
      <c r="AT1167" s="4"/>
      <c r="AU1167" s="4"/>
      <c r="AV1167" s="4"/>
      <c r="AW1167" s="4"/>
      <c r="AX1167" s="4"/>
      <c r="AY1167" s="4"/>
      <c r="AZ1167" s="4"/>
      <c r="BA1167" s="4"/>
      <c r="BB1167" s="4">
        <v>0</v>
      </c>
      <c r="BC1167" s="4" t="s">
        <v>4634</v>
      </c>
      <c r="BD1167" s="4"/>
      <c r="BE1167" s="4"/>
      <c r="BF1167" s="4" t="s">
        <v>3545</v>
      </c>
      <c r="BG1167" s="4">
        <v>1156</v>
      </c>
      <c r="BH1167" s="4">
        <v>1156</v>
      </c>
      <c r="BI1167" s="4">
        <f t="shared" si="174"/>
        <v>1156</v>
      </c>
      <c r="BJ1167" s="19">
        <v>4</v>
      </c>
      <c r="BK1167" s="19">
        <v>8</v>
      </c>
      <c r="BL1167" s="16">
        <v>6</v>
      </c>
      <c r="BM1167" s="45" t="s">
        <v>3534</v>
      </c>
      <c r="BN1167" t="s">
        <v>3534</v>
      </c>
      <c r="BO1167" t="str">
        <f t="shared" si="176"/>
        <v>-</v>
      </c>
      <c r="BP1167" t="s">
        <v>3534</v>
      </c>
      <c r="BQ1167">
        <v>1135</v>
      </c>
      <c r="BR1167">
        <f t="shared" si="177"/>
        <v>1135</v>
      </c>
      <c r="BS1167" t="s">
        <v>3483</v>
      </c>
    </row>
    <row r="1168" spans="1:71" x14ac:dyDescent="0.4">
      <c r="A1168" s="3">
        <v>1165</v>
      </c>
      <c r="B1168" s="3">
        <v>1165</v>
      </c>
      <c r="C1168" s="4" t="s">
        <v>1227</v>
      </c>
      <c r="D1168" s="4" t="str">
        <f t="shared" si="169"/>
        <v>J928LY</v>
      </c>
      <c r="E1168" s="4" t="s">
        <v>1227</v>
      </c>
      <c r="F1168" s="4" t="s">
        <v>2445</v>
      </c>
      <c r="G1168" s="5">
        <v>4548030514648</v>
      </c>
      <c r="H1168" s="5"/>
      <c r="I1168" s="5"/>
      <c r="J1168" s="5">
        <v>1</v>
      </c>
      <c r="K1168" s="5">
        <v>1</v>
      </c>
      <c r="L1168" s="4">
        <v>7000</v>
      </c>
      <c r="M1168" s="4">
        <v>6130</v>
      </c>
      <c r="N1168" s="4">
        <v>4900</v>
      </c>
      <c r="O1168" s="6">
        <f t="shared" si="170"/>
        <v>0.20065252854812399</v>
      </c>
      <c r="P1168" s="4" t="s">
        <v>2500</v>
      </c>
      <c r="Q1168" s="4"/>
      <c r="R1168" s="4"/>
      <c r="S1168" s="4"/>
      <c r="T1168" s="4"/>
      <c r="U1168" s="4"/>
      <c r="V1168" s="4"/>
      <c r="W1168" s="4"/>
      <c r="X1168" s="4"/>
      <c r="Y1168" s="4">
        <v>7000</v>
      </c>
      <c r="Z1168" s="4">
        <f t="shared" si="171"/>
        <v>7000</v>
      </c>
      <c r="AA1168" s="4">
        <v>4900</v>
      </c>
      <c r="AB1168" s="4">
        <f t="shared" si="172"/>
        <v>4900</v>
      </c>
      <c r="AC1168" s="4"/>
      <c r="AD1168" s="21">
        <f>ROUND(M1168*AR1168,0)</f>
        <v>6130</v>
      </c>
      <c r="AE1168" s="6">
        <f>1-AB1168/AD1168</f>
        <v>0.20065252854812399</v>
      </c>
      <c r="AF1168" s="33">
        <v>0</v>
      </c>
      <c r="AG1168" s="4">
        <f t="shared" si="173"/>
        <v>7000</v>
      </c>
      <c r="AH1168" s="33">
        <f t="shared" si="175"/>
        <v>7000</v>
      </c>
      <c r="AI1168" s="6">
        <f>1-AB1168/AH1168</f>
        <v>0.30000000000000004</v>
      </c>
      <c r="AJ1168" s="7">
        <v>7000</v>
      </c>
      <c r="AK1168" s="6">
        <f>1-AB1168/AJ1168</f>
        <v>0.30000000000000004</v>
      </c>
      <c r="AL1168" s="4">
        <f>AJ1168-AB1168</f>
        <v>2100</v>
      </c>
      <c r="AM1168" s="28"/>
      <c r="AN1168" s="6"/>
      <c r="AO1168" s="6"/>
      <c r="AP1168" s="6">
        <f>Z1168/L1168</f>
        <v>1</v>
      </c>
      <c r="AQ1168" s="6">
        <f>AJ1168/M1168</f>
        <v>1.1419249592169658</v>
      </c>
      <c r="AR1168" s="6">
        <f>AB1168/N1168</f>
        <v>1</v>
      </c>
      <c r="AS1168" s="4"/>
      <c r="AT1168" s="4"/>
      <c r="AU1168" s="4"/>
      <c r="AV1168" s="4"/>
      <c r="AW1168" s="4"/>
      <c r="AX1168" s="4"/>
      <c r="AY1168" s="4"/>
      <c r="AZ1168" s="4"/>
      <c r="BA1168" s="4"/>
      <c r="BB1168" s="4">
        <v>0</v>
      </c>
      <c r="BC1168" s="4" t="s">
        <v>4635</v>
      </c>
      <c r="BD1168" s="4"/>
      <c r="BE1168" s="4"/>
      <c r="BF1168" s="4" t="s">
        <v>3545</v>
      </c>
      <c r="BG1168" s="4">
        <v>7000</v>
      </c>
      <c r="BH1168" s="4">
        <v>7000</v>
      </c>
      <c r="BI1168" s="4">
        <f t="shared" si="174"/>
        <v>7000</v>
      </c>
      <c r="BJ1168" s="19">
        <v>4</v>
      </c>
      <c r="BK1168" s="19">
        <v>8</v>
      </c>
      <c r="BL1168" s="16">
        <v>6</v>
      </c>
      <c r="BM1168" s="45">
        <v>6500</v>
      </c>
      <c r="BN1168">
        <v>6500</v>
      </c>
      <c r="BO1168">
        <f t="shared" si="176"/>
        <v>6500</v>
      </c>
      <c r="BP1168" t="s">
        <v>3534</v>
      </c>
      <c r="BQ1168">
        <v>6893</v>
      </c>
      <c r="BR1168">
        <f t="shared" si="177"/>
        <v>6893</v>
      </c>
      <c r="BS1168" t="s">
        <v>3484</v>
      </c>
    </row>
    <row r="1169" spans="1:71" x14ac:dyDescent="0.4">
      <c r="A1169" s="3">
        <v>1166</v>
      </c>
      <c r="B1169" s="3">
        <v>1166</v>
      </c>
      <c r="C1169" s="4" t="s">
        <v>1228</v>
      </c>
      <c r="D1169" s="4" t="str">
        <f t="shared" si="169"/>
        <v>J930LY</v>
      </c>
      <c r="E1169" s="4" t="s">
        <v>1228</v>
      </c>
      <c r="F1169" s="4" t="s">
        <v>2446</v>
      </c>
      <c r="G1169" s="5">
        <v>4548030514679</v>
      </c>
      <c r="H1169" s="5"/>
      <c r="I1169" s="5"/>
      <c r="J1169" s="5">
        <v>1</v>
      </c>
      <c r="K1169" s="5">
        <v>1</v>
      </c>
      <c r="L1169" s="4">
        <v>17000</v>
      </c>
      <c r="M1169" s="4">
        <v>14900</v>
      </c>
      <c r="N1169" s="4">
        <v>11900</v>
      </c>
      <c r="O1169" s="6">
        <f t="shared" si="170"/>
        <v>0.20134228187919467</v>
      </c>
      <c r="P1169" s="4" t="s">
        <v>2500</v>
      </c>
      <c r="Q1169" s="4"/>
      <c r="R1169" s="4"/>
      <c r="S1169" s="4"/>
      <c r="T1169" s="4"/>
      <c r="U1169" s="4"/>
      <c r="V1169" s="4"/>
      <c r="W1169" s="4"/>
      <c r="X1169" s="4"/>
      <c r="Y1169" s="4">
        <v>17000</v>
      </c>
      <c r="Z1169" s="4">
        <f t="shared" si="171"/>
        <v>17000</v>
      </c>
      <c r="AA1169" s="4">
        <v>11050</v>
      </c>
      <c r="AB1169" s="4">
        <f t="shared" si="172"/>
        <v>11050</v>
      </c>
      <c r="AC1169" s="4"/>
      <c r="AD1169" s="21">
        <f>ROUND(M1169*AR1169,0)</f>
        <v>13836</v>
      </c>
      <c r="AE1169" s="6">
        <f>1-AB1169/AD1169</f>
        <v>0.20135877421220005</v>
      </c>
      <c r="AF1169" s="33">
        <v>0</v>
      </c>
      <c r="AG1169" s="4">
        <f t="shared" si="173"/>
        <v>17000</v>
      </c>
      <c r="AH1169" s="33">
        <f t="shared" si="175"/>
        <v>15785.714285714286</v>
      </c>
      <c r="AI1169" s="6">
        <f>1-AB1169/AH1169</f>
        <v>0.30000000000000004</v>
      </c>
      <c r="AJ1169" s="7">
        <v>15785</v>
      </c>
      <c r="AK1169" s="6">
        <f>1-AB1169/AJ1169</f>
        <v>0.29996832435856824</v>
      </c>
      <c r="AL1169" s="4">
        <f>AJ1169-AB1169</f>
        <v>4735</v>
      </c>
      <c r="AM1169" s="28"/>
      <c r="AN1169" s="6"/>
      <c r="AO1169" s="6"/>
      <c r="AP1169" s="6">
        <f>Z1169/L1169</f>
        <v>1</v>
      </c>
      <c r="AQ1169" s="6">
        <f>AJ1169/M1169</f>
        <v>1.0593959731543625</v>
      </c>
      <c r="AR1169" s="6">
        <f>AB1169/N1169</f>
        <v>0.9285714285714286</v>
      </c>
      <c r="AS1169" s="4"/>
      <c r="AT1169" s="4"/>
      <c r="AU1169" s="4"/>
      <c r="AV1169" s="4"/>
      <c r="AW1169" s="4"/>
      <c r="AX1169" s="4"/>
      <c r="AY1169" s="4"/>
      <c r="AZ1169" s="4"/>
      <c r="BA1169" s="4"/>
      <c r="BB1169" s="4">
        <v>0</v>
      </c>
      <c r="BC1169" s="4" t="s">
        <v>4636</v>
      </c>
      <c r="BD1169" s="4"/>
      <c r="BE1169" s="4"/>
      <c r="BF1169" s="4" t="s">
        <v>3545</v>
      </c>
      <c r="BG1169" s="4">
        <v>17000</v>
      </c>
      <c r="BH1169" s="4">
        <v>17000</v>
      </c>
      <c r="BI1169" s="4">
        <f t="shared" si="174"/>
        <v>17000</v>
      </c>
      <c r="BJ1169" s="19">
        <v>4</v>
      </c>
      <c r="BK1169" s="19">
        <v>8</v>
      </c>
      <c r="BL1169" s="16">
        <v>6</v>
      </c>
      <c r="BM1169" s="45" t="s">
        <v>3534</v>
      </c>
      <c r="BN1169" t="s">
        <v>3534</v>
      </c>
      <c r="BO1169" t="str">
        <f t="shared" si="176"/>
        <v>-</v>
      </c>
      <c r="BP1169" t="s">
        <v>3534</v>
      </c>
      <c r="BQ1169">
        <v>16671</v>
      </c>
      <c r="BR1169">
        <f t="shared" si="177"/>
        <v>15480.214285714286</v>
      </c>
      <c r="BS1169" t="s">
        <v>3485</v>
      </c>
    </row>
    <row r="1170" spans="1:71" x14ac:dyDescent="0.4">
      <c r="A1170" s="3">
        <v>1167</v>
      </c>
      <c r="B1170" s="3">
        <v>1167</v>
      </c>
      <c r="C1170" s="4" t="s">
        <v>1229</v>
      </c>
      <c r="D1170" s="4" t="str">
        <f t="shared" si="169"/>
        <v>J931LY</v>
      </c>
      <c r="E1170" s="4" t="s">
        <v>1229</v>
      </c>
      <c r="F1170" s="4" t="s">
        <v>2447</v>
      </c>
      <c r="G1170" s="5">
        <v>4548030530150</v>
      </c>
      <c r="H1170" s="5"/>
      <c r="I1170" s="5"/>
      <c r="J1170" s="5">
        <v>1</v>
      </c>
      <c r="K1170" s="5">
        <v>1</v>
      </c>
      <c r="L1170" s="4">
        <v>2910</v>
      </c>
      <c r="M1170" s="4">
        <v>2909</v>
      </c>
      <c r="N1170" s="4">
        <v>2328</v>
      </c>
      <c r="O1170" s="6">
        <f t="shared" si="170"/>
        <v>0.19972499140598143</v>
      </c>
      <c r="P1170" s="4" t="s">
        <v>2500</v>
      </c>
      <c r="Q1170" s="4"/>
      <c r="R1170" s="4"/>
      <c r="S1170" s="4"/>
      <c r="T1170" s="4"/>
      <c r="U1170" s="4"/>
      <c r="V1170" s="4"/>
      <c r="W1170" s="4"/>
      <c r="X1170" s="4"/>
      <c r="Y1170" s="4">
        <v>2910</v>
      </c>
      <c r="Z1170" s="4">
        <f t="shared" si="171"/>
        <v>2910</v>
      </c>
      <c r="AA1170" s="4">
        <v>2328</v>
      </c>
      <c r="AB1170" s="4">
        <f t="shared" si="172"/>
        <v>2328</v>
      </c>
      <c r="AC1170" s="4"/>
      <c r="AD1170" s="21">
        <f>ROUND(M1170*AR1170,0)</f>
        <v>2909</v>
      </c>
      <c r="AE1170" s="6">
        <f>1-AB1170/AD1170</f>
        <v>0.19972499140598143</v>
      </c>
      <c r="AF1170" s="33">
        <v>0</v>
      </c>
      <c r="AG1170" s="4">
        <f t="shared" si="173"/>
        <v>3057</v>
      </c>
      <c r="AH1170" s="33">
        <f t="shared" si="175"/>
        <v>3057</v>
      </c>
      <c r="AI1170" s="6">
        <f>1-AB1170/AH1170</f>
        <v>0.23846908734052996</v>
      </c>
      <c r="AJ1170" s="7">
        <v>2910</v>
      </c>
      <c r="AK1170" s="6">
        <f>1-AB1170/AJ1170</f>
        <v>0.19999999999999996</v>
      </c>
      <c r="AL1170" s="4">
        <f>AJ1170-AB1170</f>
        <v>582</v>
      </c>
      <c r="AM1170" s="28"/>
      <c r="AN1170" s="6"/>
      <c r="AO1170" s="6"/>
      <c r="AP1170" s="6">
        <f>Z1170/L1170</f>
        <v>1</v>
      </c>
      <c r="AQ1170" s="6">
        <f>AJ1170/M1170</f>
        <v>1.0003437607425232</v>
      </c>
      <c r="AR1170" s="6">
        <f>AB1170/N1170</f>
        <v>1</v>
      </c>
      <c r="AS1170" s="4"/>
      <c r="AT1170" s="4"/>
      <c r="AU1170" s="4"/>
      <c r="AV1170" s="4"/>
      <c r="AW1170" s="4"/>
      <c r="AX1170" s="4"/>
      <c r="AY1170" s="4"/>
      <c r="AZ1170" s="4"/>
      <c r="BA1170" s="4"/>
      <c r="BB1170" s="4">
        <v>0</v>
      </c>
      <c r="BC1170" s="4" t="s">
        <v>4637</v>
      </c>
      <c r="BD1170" s="4"/>
      <c r="BE1170" s="4"/>
      <c r="BF1170" s="4" t="s">
        <v>3545</v>
      </c>
      <c r="BG1170" s="4">
        <v>3057</v>
      </c>
      <c r="BH1170" s="4">
        <v>3057</v>
      </c>
      <c r="BI1170" s="4">
        <f t="shared" si="174"/>
        <v>3057</v>
      </c>
      <c r="BJ1170" s="19">
        <v>4</v>
      </c>
      <c r="BK1170" s="19">
        <v>8</v>
      </c>
      <c r="BL1170" s="16">
        <v>6</v>
      </c>
      <c r="BM1170" s="45" t="s">
        <v>3534</v>
      </c>
      <c r="BN1170" t="s">
        <v>3534</v>
      </c>
      <c r="BO1170" t="str">
        <f t="shared" si="176"/>
        <v>-</v>
      </c>
      <c r="BP1170" t="s">
        <v>3534</v>
      </c>
      <c r="BQ1170">
        <v>2765</v>
      </c>
      <c r="BR1170">
        <f t="shared" si="177"/>
        <v>2765</v>
      </c>
      <c r="BS1170" t="s">
        <v>3486</v>
      </c>
    </row>
    <row r="1171" spans="1:71" x14ac:dyDescent="0.4">
      <c r="A1171" s="3">
        <v>1168</v>
      </c>
      <c r="B1171" s="3">
        <v>1168</v>
      </c>
      <c r="C1171" s="4" t="s">
        <v>1230</v>
      </c>
      <c r="D1171" s="4" t="str">
        <f t="shared" si="169"/>
        <v>J929LY</v>
      </c>
      <c r="E1171" s="4" t="s">
        <v>1230</v>
      </c>
      <c r="F1171" s="4" t="s">
        <v>2448</v>
      </c>
      <c r="G1171" s="5">
        <v>4548030514655</v>
      </c>
      <c r="H1171" s="5"/>
      <c r="I1171" s="5"/>
      <c r="J1171" s="5">
        <v>1</v>
      </c>
      <c r="K1171" s="5">
        <v>1</v>
      </c>
      <c r="L1171" s="4">
        <v>16500</v>
      </c>
      <c r="M1171" s="4">
        <v>14500</v>
      </c>
      <c r="N1171" s="4">
        <v>11550</v>
      </c>
      <c r="O1171" s="6">
        <f t="shared" si="170"/>
        <v>0.20344827586206893</v>
      </c>
      <c r="P1171" s="4" t="s">
        <v>2500</v>
      </c>
      <c r="Q1171" s="4"/>
      <c r="R1171" s="4"/>
      <c r="S1171" s="4"/>
      <c r="T1171" s="4"/>
      <c r="U1171" s="4"/>
      <c r="V1171" s="4"/>
      <c r="W1171" s="4"/>
      <c r="X1171" s="4"/>
      <c r="Y1171" s="4">
        <v>16500</v>
      </c>
      <c r="Z1171" s="4">
        <f t="shared" si="171"/>
        <v>16500</v>
      </c>
      <c r="AA1171" s="4">
        <v>11550</v>
      </c>
      <c r="AB1171" s="4">
        <f t="shared" si="172"/>
        <v>11550</v>
      </c>
      <c r="AC1171" s="4"/>
      <c r="AD1171" s="21">
        <f>ROUND(M1171*AR1171,0)</f>
        <v>14500</v>
      </c>
      <c r="AE1171" s="6">
        <f>1-AB1171/AD1171</f>
        <v>0.20344827586206893</v>
      </c>
      <c r="AF1171" s="33">
        <v>0</v>
      </c>
      <c r="AG1171" s="4">
        <f t="shared" si="173"/>
        <v>17000</v>
      </c>
      <c r="AH1171" s="33">
        <f t="shared" si="175"/>
        <v>17000</v>
      </c>
      <c r="AI1171" s="6">
        <f>1-AB1171/AH1171</f>
        <v>0.32058823529411762</v>
      </c>
      <c r="AJ1171" s="7">
        <v>16500</v>
      </c>
      <c r="AK1171" s="6">
        <f>1-AB1171/AJ1171</f>
        <v>0.30000000000000004</v>
      </c>
      <c r="AL1171" s="4">
        <f>AJ1171-AB1171</f>
        <v>4950</v>
      </c>
      <c r="AM1171" s="28"/>
      <c r="AN1171" s="6"/>
      <c r="AO1171" s="6"/>
      <c r="AP1171" s="6">
        <f>Z1171/L1171</f>
        <v>1</v>
      </c>
      <c r="AQ1171" s="6">
        <f>AJ1171/M1171</f>
        <v>1.1379310344827587</v>
      </c>
      <c r="AR1171" s="6">
        <f>AB1171/N1171</f>
        <v>1</v>
      </c>
      <c r="AS1171" s="4"/>
      <c r="AT1171" s="4"/>
      <c r="AU1171" s="4"/>
      <c r="AV1171" s="4"/>
      <c r="AW1171" s="4"/>
      <c r="AX1171" s="4"/>
      <c r="AY1171" s="4"/>
      <c r="AZ1171" s="4"/>
      <c r="BA1171" s="4"/>
      <c r="BB1171" s="4">
        <v>0</v>
      </c>
      <c r="BC1171" s="4" t="s">
        <v>4638</v>
      </c>
      <c r="BD1171" s="4"/>
      <c r="BE1171" s="4"/>
      <c r="BF1171" s="4" t="s">
        <v>3545</v>
      </c>
      <c r="BG1171" s="4">
        <v>17000</v>
      </c>
      <c r="BH1171" s="4">
        <v>17000</v>
      </c>
      <c r="BI1171" s="4">
        <f t="shared" si="174"/>
        <v>17000</v>
      </c>
      <c r="BJ1171" s="19">
        <v>4</v>
      </c>
      <c r="BK1171" s="19">
        <v>8</v>
      </c>
      <c r="BL1171" s="16">
        <v>6</v>
      </c>
      <c r="BM1171" s="45" t="s">
        <v>3534</v>
      </c>
      <c r="BN1171" t="s">
        <v>3534</v>
      </c>
      <c r="BO1171" t="str">
        <f t="shared" si="176"/>
        <v>-</v>
      </c>
      <c r="BP1171" t="s">
        <v>3534</v>
      </c>
      <c r="BQ1171">
        <v>16500</v>
      </c>
      <c r="BR1171">
        <f t="shared" si="177"/>
        <v>16500</v>
      </c>
      <c r="BS1171" t="s">
        <v>3487</v>
      </c>
    </row>
    <row r="1172" spans="1:71" x14ac:dyDescent="0.4">
      <c r="A1172" s="3">
        <v>1169</v>
      </c>
      <c r="B1172" s="3">
        <v>1169</v>
      </c>
      <c r="C1172" s="4" t="s">
        <v>1231</v>
      </c>
      <c r="D1172" s="4" t="str">
        <f t="shared" si="169"/>
        <v>J932LY</v>
      </c>
      <c r="E1172" s="4" t="s">
        <v>1231</v>
      </c>
      <c r="F1172" s="4" t="s">
        <v>2449</v>
      </c>
      <c r="G1172" s="5">
        <v>4548030530280</v>
      </c>
      <c r="H1172" s="5"/>
      <c r="I1172" s="5"/>
      <c r="J1172" s="5">
        <v>1</v>
      </c>
      <c r="K1172" s="5">
        <v>1</v>
      </c>
      <c r="L1172" s="4">
        <v>310</v>
      </c>
      <c r="M1172" s="4">
        <v>310</v>
      </c>
      <c r="N1172" s="4">
        <v>248</v>
      </c>
      <c r="O1172" s="6">
        <f t="shared" si="170"/>
        <v>0.19999999999999996</v>
      </c>
      <c r="P1172" s="4" t="s">
        <v>2500</v>
      </c>
      <c r="Q1172" s="4"/>
      <c r="R1172" s="4"/>
      <c r="S1172" s="4"/>
      <c r="T1172" s="4"/>
      <c r="U1172" s="4"/>
      <c r="V1172" s="4"/>
      <c r="W1172" s="4"/>
      <c r="X1172" s="4"/>
      <c r="Y1172" s="4">
        <v>310</v>
      </c>
      <c r="Z1172" s="4">
        <f t="shared" si="171"/>
        <v>310</v>
      </c>
      <c r="AA1172" s="4">
        <v>248</v>
      </c>
      <c r="AB1172" s="4">
        <f t="shared" si="172"/>
        <v>248</v>
      </c>
      <c r="AC1172" s="4"/>
      <c r="AD1172" s="21">
        <f>ROUND(M1172*AR1172,0)</f>
        <v>310</v>
      </c>
      <c r="AE1172" s="6">
        <f>1-AB1172/AD1172</f>
        <v>0.19999999999999996</v>
      </c>
      <c r="AF1172" s="33">
        <v>0.25</v>
      </c>
      <c r="AG1172" s="4">
        <f t="shared" si="173"/>
        <v>332</v>
      </c>
      <c r="AH1172" s="33">
        <f t="shared" si="175"/>
        <v>332</v>
      </c>
      <c r="AI1172" s="6">
        <f>1-AB1172/AH1172</f>
        <v>0.25301204819277112</v>
      </c>
      <c r="AJ1172" s="7">
        <v>310</v>
      </c>
      <c r="AK1172" s="6">
        <f>1-AB1172/AJ1172</f>
        <v>0.19999999999999996</v>
      </c>
      <c r="AL1172" s="4">
        <f>AJ1172-AB1172</f>
        <v>62</v>
      </c>
      <c r="AM1172" s="28"/>
      <c r="AN1172" s="6"/>
      <c r="AO1172" s="6"/>
      <c r="AP1172" s="6">
        <f>Z1172/L1172</f>
        <v>1</v>
      </c>
      <c r="AQ1172" s="6">
        <f>AJ1172/M1172</f>
        <v>1</v>
      </c>
      <c r="AR1172" s="6">
        <f>AB1172/N1172</f>
        <v>1</v>
      </c>
      <c r="AS1172" s="4"/>
      <c r="AT1172" s="4"/>
      <c r="AU1172" s="4"/>
      <c r="AV1172" s="4"/>
      <c r="AW1172" s="4"/>
      <c r="AX1172" s="4"/>
      <c r="AY1172" s="4"/>
      <c r="AZ1172" s="4"/>
      <c r="BA1172" s="4"/>
      <c r="BB1172" s="4">
        <v>0</v>
      </c>
      <c r="BC1172" s="4" t="s">
        <v>4639</v>
      </c>
      <c r="BD1172" s="4">
        <v>1</v>
      </c>
      <c r="BE1172" s="4">
        <v>6</v>
      </c>
      <c r="BF1172" s="4" t="s">
        <v>4640</v>
      </c>
      <c r="BG1172" s="4">
        <v>1992</v>
      </c>
      <c r="BH1172" s="4">
        <v>1992</v>
      </c>
      <c r="BI1172" s="4">
        <f t="shared" si="174"/>
        <v>332</v>
      </c>
      <c r="BJ1172" s="19">
        <v>4</v>
      </c>
      <c r="BK1172" s="19">
        <v>8</v>
      </c>
      <c r="BL1172" s="16">
        <v>6</v>
      </c>
      <c r="BM1172" s="45" t="s">
        <v>3534</v>
      </c>
      <c r="BN1172" t="s">
        <v>3534</v>
      </c>
      <c r="BO1172" t="str">
        <f t="shared" si="176"/>
        <v>-</v>
      </c>
      <c r="BP1172" t="s">
        <v>3534</v>
      </c>
      <c r="BQ1172">
        <v>310</v>
      </c>
      <c r="BR1172">
        <f t="shared" si="177"/>
        <v>310</v>
      </c>
      <c r="BS1172" t="s">
        <v>3488</v>
      </c>
    </row>
    <row r="1173" spans="1:71" x14ac:dyDescent="0.4">
      <c r="A1173" s="3">
        <v>1170</v>
      </c>
      <c r="B1173" s="3">
        <v>1170</v>
      </c>
      <c r="C1173" s="4" t="s">
        <v>1232</v>
      </c>
      <c r="D1173" s="4" t="str">
        <f t="shared" si="169"/>
        <v>J934LY</v>
      </c>
      <c r="E1173" s="4" t="s">
        <v>1232</v>
      </c>
      <c r="F1173" s="4" t="s">
        <v>2450</v>
      </c>
      <c r="G1173" s="5">
        <v>4548030531010</v>
      </c>
      <c r="H1173" s="5"/>
      <c r="I1173" s="5"/>
      <c r="J1173" s="5">
        <v>1</v>
      </c>
      <c r="K1173" s="5">
        <v>1</v>
      </c>
      <c r="L1173" s="4">
        <v>828</v>
      </c>
      <c r="M1173" s="4">
        <v>828</v>
      </c>
      <c r="N1173" s="4">
        <v>662</v>
      </c>
      <c r="O1173" s="6">
        <f t="shared" si="170"/>
        <v>0.20048309178743962</v>
      </c>
      <c r="P1173" s="4" t="s">
        <v>2500</v>
      </c>
      <c r="Q1173" s="4"/>
      <c r="R1173" s="4"/>
      <c r="S1173" s="4"/>
      <c r="T1173" s="4"/>
      <c r="U1173" s="4"/>
      <c r="V1173" s="4"/>
      <c r="W1173" s="4"/>
      <c r="X1173" s="4"/>
      <c r="Y1173" s="4">
        <v>828</v>
      </c>
      <c r="Z1173" s="4">
        <f t="shared" si="171"/>
        <v>828</v>
      </c>
      <c r="AA1173" s="4">
        <v>662</v>
      </c>
      <c r="AB1173" s="4">
        <f t="shared" si="172"/>
        <v>662</v>
      </c>
      <c r="AC1173" s="4"/>
      <c r="AD1173" s="21">
        <f>ROUND(M1173*AR1173,0)</f>
        <v>828</v>
      </c>
      <c r="AE1173" s="6">
        <f>1-AB1173/AD1173</f>
        <v>0.20048309178743962</v>
      </c>
      <c r="AF1173" s="33">
        <v>0</v>
      </c>
      <c r="AG1173" s="4">
        <f t="shared" si="173"/>
        <v>1091</v>
      </c>
      <c r="AH1173" s="33">
        <f t="shared" si="175"/>
        <v>1091</v>
      </c>
      <c r="AI1173" s="6">
        <f>1-AB1173/AH1173</f>
        <v>0.39321723189734192</v>
      </c>
      <c r="AJ1173" s="7">
        <v>828</v>
      </c>
      <c r="AK1173" s="6">
        <f>1-AB1173/AJ1173</f>
        <v>0.20048309178743962</v>
      </c>
      <c r="AL1173" s="4">
        <f>AJ1173-AB1173</f>
        <v>166</v>
      </c>
      <c r="AM1173" s="28"/>
      <c r="AN1173" s="6"/>
      <c r="AO1173" s="6"/>
      <c r="AP1173" s="6">
        <f>Z1173/L1173</f>
        <v>1</v>
      </c>
      <c r="AQ1173" s="6">
        <f>AJ1173/M1173</f>
        <v>1</v>
      </c>
      <c r="AR1173" s="6">
        <f>AB1173/N1173</f>
        <v>1</v>
      </c>
      <c r="AS1173" s="4"/>
      <c r="AT1173" s="4"/>
      <c r="AU1173" s="4"/>
      <c r="AV1173" s="4"/>
      <c r="AW1173" s="4"/>
      <c r="AX1173" s="4"/>
      <c r="AY1173" s="4"/>
      <c r="AZ1173" s="4"/>
      <c r="BA1173" s="4"/>
      <c r="BB1173" s="4">
        <v>0</v>
      </c>
      <c r="BC1173" s="4" t="s">
        <v>4641</v>
      </c>
      <c r="BD1173" s="4"/>
      <c r="BE1173" s="4"/>
      <c r="BF1173" s="4" t="s">
        <v>4402</v>
      </c>
      <c r="BG1173" s="4">
        <v>1091</v>
      </c>
      <c r="BH1173" s="4">
        <v>1091</v>
      </c>
      <c r="BI1173" s="4">
        <f t="shared" si="174"/>
        <v>1091</v>
      </c>
      <c r="BJ1173" s="19">
        <v>4</v>
      </c>
      <c r="BK1173" s="19">
        <v>8</v>
      </c>
      <c r="BL1173" s="16">
        <v>6</v>
      </c>
      <c r="BM1173" s="45" t="s">
        <v>3534</v>
      </c>
      <c r="BN1173" t="s">
        <v>3534</v>
      </c>
      <c r="BO1173" t="str">
        <f t="shared" si="176"/>
        <v>-</v>
      </c>
      <c r="BP1173" t="s">
        <v>3534</v>
      </c>
      <c r="BQ1173">
        <v>828</v>
      </c>
      <c r="BR1173">
        <f t="shared" si="177"/>
        <v>828</v>
      </c>
      <c r="BS1173" t="s">
        <v>3489</v>
      </c>
    </row>
    <row r="1174" spans="1:71" x14ac:dyDescent="0.4">
      <c r="A1174" s="3">
        <v>1171</v>
      </c>
      <c r="B1174" s="3">
        <v>1171</v>
      </c>
      <c r="C1174" s="4" t="s">
        <v>1233</v>
      </c>
      <c r="D1174" s="4" t="str">
        <f t="shared" si="169"/>
        <v>J935LY</v>
      </c>
      <c r="E1174" s="4" t="s">
        <v>1233</v>
      </c>
      <c r="F1174" s="4" t="s">
        <v>2451</v>
      </c>
      <c r="G1174" s="5">
        <v>4548030531027</v>
      </c>
      <c r="H1174" s="5"/>
      <c r="I1174" s="5"/>
      <c r="J1174" s="5">
        <v>1</v>
      </c>
      <c r="K1174" s="5">
        <v>1</v>
      </c>
      <c r="L1174" s="4">
        <v>473</v>
      </c>
      <c r="M1174" s="4">
        <v>472</v>
      </c>
      <c r="N1174" s="4">
        <v>378</v>
      </c>
      <c r="O1174" s="6">
        <f t="shared" si="170"/>
        <v>0.19915254237288138</v>
      </c>
      <c r="P1174" s="4" t="s">
        <v>2500</v>
      </c>
      <c r="Q1174" s="4"/>
      <c r="R1174" s="4"/>
      <c r="S1174" s="4"/>
      <c r="T1174" s="4"/>
      <c r="U1174" s="4"/>
      <c r="V1174" s="4"/>
      <c r="W1174" s="4"/>
      <c r="X1174" s="4"/>
      <c r="Y1174" s="4">
        <v>473</v>
      </c>
      <c r="Z1174" s="4">
        <f t="shared" si="171"/>
        <v>473</v>
      </c>
      <c r="AA1174" s="4">
        <v>378</v>
      </c>
      <c r="AB1174" s="4">
        <f t="shared" si="172"/>
        <v>378</v>
      </c>
      <c r="AC1174" s="4"/>
      <c r="AD1174" s="21">
        <f>ROUND(M1174*AR1174,0)</f>
        <v>472</v>
      </c>
      <c r="AE1174" s="6">
        <f>1-AB1174/AD1174</f>
        <v>0.19915254237288138</v>
      </c>
      <c r="AF1174" s="33">
        <v>0</v>
      </c>
      <c r="AG1174" s="4">
        <f t="shared" si="173"/>
        <v>517</v>
      </c>
      <c r="AH1174" s="33">
        <f t="shared" si="175"/>
        <v>517</v>
      </c>
      <c r="AI1174" s="6">
        <f>1-AB1174/AH1174</f>
        <v>0.2688588007736944</v>
      </c>
      <c r="AJ1174" s="7">
        <v>473</v>
      </c>
      <c r="AK1174" s="6">
        <f>1-AB1174/AJ1174</f>
        <v>0.20084566596194509</v>
      </c>
      <c r="AL1174" s="4">
        <f>AJ1174-AB1174</f>
        <v>95</v>
      </c>
      <c r="AM1174" s="28"/>
      <c r="AN1174" s="6"/>
      <c r="AO1174" s="6"/>
      <c r="AP1174" s="6">
        <f>Z1174/L1174</f>
        <v>1</v>
      </c>
      <c r="AQ1174" s="6">
        <f>AJ1174/M1174</f>
        <v>1.0021186440677967</v>
      </c>
      <c r="AR1174" s="6">
        <f>AB1174/N1174</f>
        <v>1</v>
      </c>
      <c r="AS1174" s="4"/>
      <c r="AT1174" s="4"/>
      <c r="AU1174" s="4"/>
      <c r="AV1174" s="4"/>
      <c r="AW1174" s="4"/>
      <c r="AX1174" s="4"/>
      <c r="AY1174" s="4"/>
      <c r="AZ1174" s="4"/>
      <c r="BA1174" s="4"/>
      <c r="BB1174" s="4">
        <v>0</v>
      </c>
      <c r="BC1174" s="4" t="s">
        <v>4642</v>
      </c>
      <c r="BD1174" s="4">
        <v>1</v>
      </c>
      <c r="BE1174" s="4">
        <v>3</v>
      </c>
      <c r="BF1174" s="4" t="s">
        <v>3638</v>
      </c>
      <c r="BG1174" s="4">
        <v>1551</v>
      </c>
      <c r="BH1174" s="4">
        <v>1551</v>
      </c>
      <c r="BI1174" s="4">
        <f t="shared" si="174"/>
        <v>517</v>
      </c>
      <c r="BJ1174" s="19">
        <v>4</v>
      </c>
      <c r="BK1174" s="19">
        <v>8</v>
      </c>
      <c r="BL1174" s="16">
        <v>6</v>
      </c>
      <c r="BM1174" s="45" t="s">
        <v>3534</v>
      </c>
      <c r="BN1174" t="s">
        <v>3534</v>
      </c>
      <c r="BO1174" t="str">
        <f t="shared" si="176"/>
        <v>-</v>
      </c>
      <c r="BP1174" t="s">
        <v>3534</v>
      </c>
      <c r="BQ1174">
        <v>473</v>
      </c>
      <c r="BR1174">
        <f t="shared" si="177"/>
        <v>473</v>
      </c>
      <c r="BS1174" t="s">
        <v>3490</v>
      </c>
    </row>
    <row r="1175" spans="1:71" x14ac:dyDescent="0.4">
      <c r="A1175" s="3">
        <v>1172</v>
      </c>
      <c r="B1175" s="3">
        <v>1172</v>
      </c>
      <c r="C1175" s="4" t="s">
        <v>1234</v>
      </c>
      <c r="D1175" s="4" t="str">
        <f t="shared" ref="D1175:D1222" si="178">TEXT(C1175,"000000")</f>
        <v>J933LY</v>
      </c>
      <c r="E1175" s="4" t="s">
        <v>1234</v>
      </c>
      <c r="F1175" s="4" t="s">
        <v>2452</v>
      </c>
      <c r="G1175" s="5">
        <v>4548030531003</v>
      </c>
      <c r="H1175" s="5"/>
      <c r="I1175" s="5"/>
      <c r="J1175" s="5">
        <v>1</v>
      </c>
      <c r="K1175" s="5">
        <v>1</v>
      </c>
      <c r="L1175" s="4">
        <v>5350</v>
      </c>
      <c r="M1175" s="4">
        <v>5350</v>
      </c>
      <c r="N1175" s="4">
        <v>4280</v>
      </c>
      <c r="O1175" s="6">
        <f t="shared" ref="O1175:O1222" si="179">1-N1175/M1175</f>
        <v>0.19999999999999996</v>
      </c>
      <c r="P1175" s="4" t="s">
        <v>2500</v>
      </c>
      <c r="Q1175" s="4"/>
      <c r="R1175" s="4"/>
      <c r="S1175" s="4"/>
      <c r="T1175" s="4"/>
      <c r="U1175" s="4"/>
      <c r="V1175" s="4"/>
      <c r="W1175" s="4"/>
      <c r="X1175" s="4"/>
      <c r="Y1175" s="4">
        <v>5350</v>
      </c>
      <c r="Z1175" s="4">
        <f t="shared" ref="Z1175:Z1222" si="180">IF(AC1175="",Y1175,Y1175*AC1175)</f>
        <v>5350</v>
      </c>
      <c r="AA1175" s="4">
        <v>4280</v>
      </c>
      <c r="AB1175" s="4">
        <f t="shared" ref="AB1175:AB1222" si="181">IF(AC1175="",AA1175,AA1175*AC1175)</f>
        <v>4280</v>
      </c>
      <c r="AC1175" s="4"/>
      <c r="AD1175" s="21">
        <f>ROUND(M1175*AR1175,0)</f>
        <v>5350</v>
      </c>
      <c r="AE1175" s="6">
        <f>1-AB1175/AD1175</f>
        <v>0.19999999999999996</v>
      </c>
      <c r="AF1175" s="33">
        <v>0</v>
      </c>
      <c r="AG1175" s="4">
        <f t="shared" ref="AG1175:AG1222" si="182">BI1175</f>
        <v>5200</v>
      </c>
      <c r="AH1175" s="33">
        <f t="shared" si="175"/>
        <v>5200</v>
      </c>
      <c r="AI1175" s="6">
        <f>1-AB1175/AH1175</f>
        <v>0.17692307692307696</v>
      </c>
      <c r="AJ1175" s="7">
        <v>5350</v>
      </c>
      <c r="AK1175" s="6">
        <f>1-AB1175/AJ1175</f>
        <v>0.19999999999999996</v>
      </c>
      <c r="AL1175" s="4">
        <f>AJ1175-AB1175</f>
        <v>1070</v>
      </c>
      <c r="AM1175" s="28"/>
      <c r="AN1175" s="6"/>
      <c r="AO1175" s="6"/>
      <c r="AP1175" s="6">
        <f>Z1175/L1175</f>
        <v>1</v>
      </c>
      <c r="AQ1175" s="6">
        <f>AJ1175/M1175</f>
        <v>1</v>
      </c>
      <c r="AR1175" s="6">
        <f>AB1175/N1175</f>
        <v>1</v>
      </c>
      <c r="AS1175" s="4"/>
      <c r="AT1175" s="4"/>
      <c r="AU1175" s="4"/>
      <c r="AV1175" s="4"/>
      <c r="AW1175" s="4"/>
      <c r="AX1175" s="4"/>
      <c r="AY1175" s="4"/>
      <c r="AZ1175" s="4"/>
      <c r="BA1175" s="4"/>
      <c r="BB1175" s="4">
        <v>0</v>
      </c>
      <c r="BC1175" s="4" t="s">
        <v>4643</v>
      </c>
      <c r="BD1175" s="4"/>
      <c r="BE1175" s="4"/>
      <c r="BF1175" s="4" t="s">
        <v>3545</v>
      </c>
      <c r="BG1175" s="4">
        <v>5200</v>
      </c>
      <c r="BH1175" s="4">
        <v>5200</v>
      </c>
      <c r="BI1175" s="4">
        <f t="shared" ref="BI1175:BI1222" si="183">IF(BD1175="",BH1175,BD1175/BE1175*BH1175)</f>
        <v>5200</v>
      </c>
      <c r="BJ1175" s="19">
        <v>4</v>
      </c>
      <c r="BK1175" s="19">
        <v>8</v>
      </c>
      <c r="BL1175" s="16">
        <v>6</v>
      </c>
      <c r="BM1175" s="45" t="s">
        <v>3534</v>
      </c>
      <c r="BN1175" t="s">
        <v>3534</v>
      </c>
      <c r="BO1175" t="str">
        <f t="shared" si="176"/>
        <v>-</v>
      </c>
      <c r="BP1175" t="s">
        <v>3534</v>
      </c>
      <c r="BQ1175">
        <v>5083</v>
      </c>
      <c r="BR1175">
        <f t="shared" si="177"/>
        <v>5083</v>
      </c>
      <c r="BS1175" t="s">
        <v>3491</v>
      </c>
    </row>
    <row r="1176" spans="1:71" x14ac:dyDescent="0.4">
      <c r="A1176" s="3">
        <v>1173</v>
      </c>
      <c r="B1176" s="3">
        <v>1173</v>
      </c>
      <c r="C1176" s="4" t="s">
        <v>1235</v>
      </c>
      <c r="D1176" s="4" t="str">
        <f t="shared" si="178"/>
        <v>J937LY</v>
      </c>
      <c r="E1176" s="4" t="s">
        <v>1235</v>
      </c>
      <c r="F1176" s="4" t="s">
        <v>2453</v>
      </c>
      <c r="G1176" s="5">
        <v>4548030531157</v>
      </c>
      <c r="H1176" s="5"/>
      <c r="I1176" s="5"/>
      <c r="J1176" s="5">
        <v>1</v>
      </c>
      <c r="K1176" s="5">
        <v>1</v>
      </c>
      <c r="L1176" s="4">
        <v>1382</v>
      </c>
      <c r="M1176" s="4">
        <v>1382</v>
      </c>
      <c r="N1176" s="4">
        <v>1106</v>
      </c>
      <c r="O1176" s="6">
        <f t="shared" si="179"/>
        <v>0.19971056439942114</v>
      </c>
      <c r="P1176" s="4" t="s">
        <v>2500</v>
      </c>
      <c r="Q1176" s="4"/>
      <c r="R1176" s="4"/>
      <c r="S1176" s="4"/>
      <c r="T1176" s="4"/>
      <c r="U1176" s="4"/>
      <c r="V1176" s="4"/>
      <c r="W1176" s="4"/>
      <c r="X1176" s="4"/>
      <c r="Y1176" s="4">
        <v>1382</v>
      </c>
      <c r="Z1176" s="4">
        <f t="shared" si="180"/>
        <v>1382</v>
      </c>
      <c r="AA1176" s="4">
        <v>1106</v>
      </c>
      <c r="AB1176" s="4">
        <f t="shared" si="181"/>
        <v>1106</v>
      </c>
      <c r="AC1176" s="4"/>
      <c r="AD1176" s="21">
        <f>ROUND(M1176*AR1176,0)</f>
        <v>1382</v>
      </c>
      <c r="AE1176" s="6">
        <f>1-AB1176/AD1176</f>
        <v>0.19971056439942114</v>
      </c>
      <c r="AF1176" s="33">
        <v>0</v>
      </c>
      <c r="AG1176" s="4">
        <f t="shared" si="182"/>
        <v>1499</v>
      </c>
      <c r="AH1176" s="33">
        <f t="shared" si="175"/>
        <v>1499</v>
      </c>
      <c r="AI1176" s="6">
        <f>1-AB1176/AH1176</f>
        <v>0.2621747831887925</v>
      </c>
      <c r="AJ1176" s="7">
        <v>1382</v>
      </c>
      <c r="AK1176" s="6">
        <f>1-AB1176/AJ1176</f>
        <v>0.19971056439942114</v>
      </c>
      <c r="AL1176" s="4">
        <f>AJ1176-AB1176</f>
        <v>276</v>
      </c>
      <c r="AM1176" s="28"/>
      <c r="AN1176" s="6"/>
      <c r="AO1176" s="6"/>
      <c r="AP1176" s="6">
        <f>Z1176/L1176</f>
        <v>1</v>
      </c>
      <c r="AQ1176" s="6">
        <f>AJ1176/M1176</f>
        <v>1</v>
      </c>
      <c r="AR1176" s="6">
        <f>AB1176/N1176</f>
        <v>1</v>
      </c>
      <c r="AS1176" s="4"/>
      <c r="AT1176" s="4"/>
      <c r="AU1176" s="4"/>
      <c r="AV1176" s="4"/>
      <c r="AW1176" s="4"/>
      <c r="AX1176" s="4"/>
      <c r="AY1176" s="4"/>
      <c r="AZ1176" s="4"/>
      <c r="BA1176" s="4"/>
      <c r="BB1176" s="4">
        <v>0</v>
      </c>
      <c r="BC1176" s="4" t="s">
        <v>4644</v>
      </c>
      <c r="BD1176" s="4"/>
      <c r="BE1176" s="4"/>
      <c r="BF1176" s="4" t="s">
        <v>3545</v>
      </c>
      <c r="BG1176" s="4">
        <v>1499</v>
      </c>
      <c r="BH1176" s="4">
        <v>1499</v>
      </c>
      <c r="BI1176" s="4">
        <f t="shared" si="183"/>
        <v>1499</v>
      </c>
      <c r="BJ1176" s="19">
        <v>4</v>
      </c>
      <c r="BK1176" s="19">
        <v>8</v>
      </c>
      <c r="BL1176" s="16">
        <v>6</v>
      </c>
      <c r="BM1176" s="45" t="s">
        <v>3534</v>
      </c>
      <c r="BN1176" t="s">
        <v>3534</v>
      </c>
      <c r="BO1176" t="str">
        <f t="shared" si="176"/>
        <v>-</v>
      </c>
      <c r="BP1176" t="s">
        <v>3534</v>
      </c>
      <c r="BQ1176">
        <v>1382</v>
      </c>
      <c r="BR1176">
        <f t="shared" si="177"/>
        <v>1382</v>
      </c>
      <c r="BS1176" t="s">
        <v>3492</v>
      </c>
    </row>
    <row r="1177" spans="1:71" x14ac:dyDescent="0.4">
      <c r="A1177" s="3">
        <v>1174</v>
      </c>
      <c r="B1177" s="3">
        <v>1174</v>
      </c>
      <c r="C1177" s="4" t="s">
        <v>1236</v>
      </c>
      <c r="D1177" s="4" t="str">
        <f t="shared" si="178"/>
        <v>J936LY</v>
      </c>
      <c r="E1177" s="4" t="s">
        <v>1236</v>
      </c>
      <c r="F1177" s="4" t="s">
        <v>2454</v>
      </c>
      <c r="G1177" s="5">
        <v>4548030531140</v>
      </c>
      <c r="H1177" s="5"/>
      <c r="I1177" s="5"/>
      <c r="J1177" s="5">
        <v>1</v>
      </c>
      <c r="K1177" s="5">
        <v>1</v>
      </c>
      <c r="L1177" s="4">
        <v>1391</v>
      </c>
      <c r="M1177" s="4">
        <v>1391</v>
      </c>
      <c r="N1177" s="4">
        <v>1113</v>
      </c>
      <c r="O1177" s="6">
        <f t="shared" si="179"/>
        <v>0.19985621854780733</v>
      </c>
      <c r="P1177" s="4" t="s">
        <v>2500</v>
      </c>
      <c r="Q1177" s="4"/>
      <c r="R1177" s="4"/>
      <c r="S1177" s="4"/>
      <c r="T1177" s="4"/>
      <c r="U1177" s="4"/>
      <c r="V1177" s="4"/>
      <c r="W1177" s="4"/>
      <c r="X1177" s="4"/>
      <c r="Y1177" s="4">
        <v>1391</v>
      </c>
      <c r="Z1177" s="4">
        <f t="shared" si="180"/>
        <v>1391</v>
      </c>
      <c r="AA1177" s="4">
        <v>1113</v>
      </c>
      <c r="AB1177" s="4">
        <f t="shared" si="181"/>
        <v>1113</v>
      </c>
      <c r="AC1177" s="4"/>
      <c r="AD1177" s="21">
        <f>ROUND(M1177*AR1177,0)</f>
        <v>1391</v>
      </c>
      <c r="AE1177" s="6">
        <f>1-AB1177/AD1177</f>
        <v>0.19985621854780733</v>
      </c>
      <c r="AF1177" s="33">
        <v>0</v>
      </c>
      <c r="AG1177" s="4">
        <f t="shared" si="182"/>
        <v>1509</v>
      </c>
      <c r="AH1177" s="33">
        <f t="shared" si="175"/>
        <v>1509</v>
      </c>
      <c r="AI1177" s="6">
        <f>1-AB1177/AH1177</f>
        <v>0.2624254473161034</v>
      </c>
      <c r="AJ1177" s="7">
        <v>1391</v>
      </c>
      <c r="AK1177" s="6">
        <f>1-AB1177/AJ1177</f>
        <v>0.19985621854780733</v>
      </c>
      <c r="AL1177" s="4">
        <f>AJ1177-AB1177</f>
        <v>278</v>
      </c>
      <c r="AM1177" s="28"/>
      <c r="AN1177" s="6"/>
      <c r="AO1177" s="6"/>
      <c r="AP1177" s="6">
        <f>Z1177/L1177</f>
        <v>1</v>
      </c>
      <c r="AQ1177" s="6">
        <f>AJ1177/M1177</f>
        <v>1</v>
      </c>
      <c r="AR1177" s="6">
        <f>AB1177/N1177</f>
        <v>1</v>
      </c>
      <c r="AS1177" s="4"/>
      <c r="AT1177" s="4"/>
      <c r="AU1177" s="4"/>
      <c r="AV1177" s="4"/>
      <c r="AW1177" s="4"/>
      <c r="AX1177" s="4"/>
      <c r="AY1177" s="4"/>
      <c r="AZ1177" s="4"/>
      <c r="BA1177" s="4"/>
      <c r="BB1177" s="4">
        <v>0</v>
      </c>
      <c r="BC1177" s="4" t="s">
        <v>4645</v>
      </c>
      <c r="BD1177" s="4"/>
      <c r="BE1177" s="4"/>
      <c r="BF1177" s="4" t="s">
        <v>3545</v>
      </c>
      <c r="BG1177" s="4">
        <v>1509</v>
      </c>
      <c r="BH1177" s="4">
        <v>1509</v>
      </c>
      <c r="BI1177" s="4">
        <f t="shared" si="183"/>
        <v>1509</v>
      </c>
      <c r="BJ1177" s="19">
        <v>4</v>
      </c>
      <c r="BK1177" s="19">
        <v>8</v>
      </c>
      <c r="BL1177" s="16">
        <v>6</v>
      </c>
      <c r="BM1177" s="45" t="s">
        <v>3534</v>
      </c>
      <c r="BN1177" t="s">
        <v>3534</v>
      </c>
      <c r="BO1177" t="str">
        <f t="shared" si="176"/>
        <v>-</v>
      </c>
      <c r="BP1177" t="s">
        <v>3534</v>
      </c>
      <c r="BQ1177">
        <v>1391</v>
      </c>
      <c r="BR1177">
        <f t="shared" si="177"/>
        <v>1391</v>
      </c>
      <c r="BS1177" t="s">
        <v>3493</v>
      </c>
    </row>
    <row r="1178" spans="1:71" x14ac:dyDescent="0.4">
      <c r="A1178" s="3">
        <v>1175</v>
      </c>
      <c r="B1178" s="3">
        <v>1175</v>
      </c>
      <c r="C1178" s="4" t="s">
        <v>1237</v>
      </c>
      <c r="D1178" s="4" t="str">
        <f t="shared" si="178"/>
        <v>J938LY</v>
      </c>
      <c r="E1178" s="4" t="s">
        <v>1237</v>
      </c>
      <c r="F1178" s="4" t="s">
        <v>2455</v>
      </c>
      <c r="G1178" s="5">
        <v>4548030531164</v>
      </c>
      <c r="H1178" s="5"/>
      <c r="I1178" s="5"/>
      <c r="J1178" s="5">
        <v>1</v>
      </c>
      <c r="K1178" s="5">
        <v>1</v>
      </c>
      <c r="L1178" s="4">
        <v>1937</v>
      </c>
      <c r="M1178" s="4">
        <v>1937</v>
      </c>
      <c r="N1178" s="4">
        <v>1550</v>
      </c>
      <c r="O1178" s="6">
        <f t="shared" si="179"/>
        <v>0.19979349509550848</v>
      </c>
      <c r="P1178" s="4" t="s">
        <v>2500</v>
      </c>
      <c r="Q1178" s="4"/>
      <c r="R1178" s="4"/>
      <c r="S1178" s="4"/>
      <c r="T1178" s="4"/>
      <c r="U1178" s="4"/>
      <c r="V1178" s="4"/>
      <c r="W1178" s="4"/>
      <c r="X1178" s="4"/>
      <c r="Y1178" s="4">
        <v>1937</v>
      </c>
      <c r="Z1178" s="4">
        <f t="shared" si="180"/>
        <v>1937</v>
      </c>
      <c r="AA1178" s="4">
        <v>1550</v>
      </c>
      <c r="AB1178" s="4">
        <f t="shared" si="181"/>
        <v>1550</v>
      </c>
      <c r="AC1178" s="4"/>
      <c r="AD1178" s="21">
        <f>ROUND(M1178*AR1178,0)</f>
        <v>1937</v>
      </c>
      <c r="AE1178" s="6">
        <f>1-AB1178/AD1178</f>
        <v>0.19979349509550848</v>
      </c>
      <c r="AF1178" s="33">
        <v>0</v>
      </c>
      <c r="AG1178" s="4">
        <f t="shared" si="182"/>
        <v>2074</v>
      </c>
      <c r="AH1178" s="33">
        <f t="shared" si="175"/>
        <v>2074</v>
      </c>
      <c r="AI1178" s="6">
        <f>1-AB1178/AH1178</f>
        <v>0.25265188042430087</v>
      </c>
      <c r="AJ1178" s="7">
        <v>1937</v>
      </c>
      <c r="AK1178" s="6">
        <f>1-AB1178/AJ1178</f>
        <v>0.19979349509550848</v>
      </c>
      <c r="AL1178" s="4">
        <f>AJ1178-AB1178</f>
        <v>387</v>
      </c>
      <c r="AM1178" s="28"/>
      <c r="AN1178" s="6"/>
      <c r="AO1178" s="6"/>
      <c r="AP1178" s="6">
        <f>Z1178/L1178</f>
        <v>1</v>
      </c>
      <c r="AQ1178" s="6">
        <f>AJ1178/M1178</f>
        <v>1</v>
      </c>
      <c r="AR1178" s="6">
        <f>AB1178/N1178</f>
        <v>1</v>
      </c>
      <c r="AS1178" s="4"/>
      <c r="AT1178" s="4"/>
      <c r="AU1178" s="4"/>
      <c r="AV1178" s="4"/>
      <c r="AW1178" s="4"/>
      <c r="AX1178" s="4"/>
      <c r="AY1178" s="4"/>
      <c r="AZ1178" s="4"/>
      <c r="BA1178" s="4"/>
      <c r="BB1178" s="4">
        <v>0</v>
      </c>
      <c r="BC1178" s="4" t="s">
        <v>4646</v>
      </c>
      <c r="BD1178" s="4"/>
      <c r="BE1178" s="4"/>
      <c r="BF1178" s="4" t="s">
        <v>3545</v>
      </c>
      <c r="BG1178" s="4">
        <v>2074</v>
      </c>
      <c r="BH1178" s="4">
        <v>2074</v>
      </c>
      <c r="BI1178" s="4">
        <f t="shared" si="183"/>
        <v>2074</v>
      </c>
      <c r="BJ1178" s="19">
        <v>4</v>
      </c>
      <c r="BK1178" s="19">
        <v>8</v>
      </c>
      <c r="BL1178" s="16">
        <v>6</v>
      </c>
      <c r="BM1178" s="45" t="s">
        <v>3534</v>
      </c>
      <c r="BN1178" t="s">
        <v>3534</v>
      </c>
      <c r="BO1178" t="str">
        <f t="shared" si="176"/>
        <v>-</v>
      </c>
      <c r="BP1178" t="s">
        <v>3534</v>
      </c>
      <c r="BQ1178">
        <v>1937</v>
      </c>
      <c r="BR1178">
        <f t="shared" si="177"/>
        <v>1937</v>
      </c>
      <c r="BS1178" t="s">
        <v>3494</v>
      </c>
    </row>
    <row r="1179" spans="1:71" x14ac:dyDescent="0.4">
      <c r="A1179" s="3">
        <v>1176</v>
      </c>
      <c r="B1179" s="3">
        <v>1176</v>
      </c>
      <c r="C1179" s="4" t="s">
        <v>1238</v>
      </c>
      <c r="D1179" s="4" t="str">
        <f t="shared" si="178"/>
        <v>J939LY</v>
      </c>
      <c r="E1179" s="4" t="s">
        <v>1238</v>
      </c>
      <c r="F1179" s="4" t="s">
        <v>2456</v>
      </c>
      <c r="G1179" s="5">
        <v>4548030531171</v>
      </c>
      <c r="H1179" s="5"/>
      <c r="I1179" s="5"/>
      <c r="J1179" s="5">
        <v>1</v>
      </c>
      <c r="K1179" s="5">
        <v>1</v>
      </c>
      <c r="L1179" s="4">
        <v>1382</v>
      </c>
      <c r="M1179" s="4">
        <v>1382</v>
      </c>
      <c r="N1179" s="4">
        <v>1106</v>
      </c>
      <c r="O1179" s="6">
        <f t="shared" si="179"/>
        <v>0.19971056439942114</v>
      </c>
      <c r="P1179" s="4" t="s">
        <v>2500</v>
      </c>
      <c r="Q1179" s="4"/>
      <c r="R1179" s="4"/>
      <c r="S1179" s="4"/>
      <c r="T1179" s="4"/>
      <c r="U1179" s="4"/>
      <c r="V1179" s="4"/>
      <c r="W1179" s="4"/>
      <c r="X1179" s="4"/>
      <c r="Y1179" s="4">
        <v>1382</v>
      </c>
      <c r="Z1179" s="4">
        <f t="shared" si="180"/>
        <v>1382</v>
      </c>
      <c r="AA1179" s="4">
        <v>1106</v>
      </c>
      <c r="AB1179" s="4">
        <f t="shared" si="181"/>
        <v>1106</v>
      </c>
      <c r="AC1179" s="4"/>
      <c r="AD1179" s="21">
        <f>ROUND(M1179*AR1179,0)</f>
        <v>1382</v>
      </c>
      <c r="AE1179" s="6">
        <f>1-AB1179/AD1179</f>
        <v>0.19971056439942114</v>
      </c>
      <c r="AF1179" s="33">
        <v>0</v>
      </c>
      <c r="AG1179" s="4">
        <f t="shared" si="182"/>
        <v>1499</v>
      </c>
      <c r="AH1179" s="33">
        <f t="shared" si="175"/>
        <v>1499</v>
      </c>
      <c r="AI1179" s="6">
        <f>1-AB1179/AH1179</f>
        <v>0.2621747831887925</v>
      </c>
      <c r="AJ1179" s="7">
        <v>1382</v>
      </c>
      <c r="AK1179" s="6">
        <f>1-AB1179/AJ1179</f>
        <v>0.19971056439942114</v>
      </c>
      <c r="AL1179" s="4">
        <f>AJ1179-AB1179</f>
        <v>276</v>
      </c>
      <c r="AM1179" s="28"/>
      <c r="AN1179" s="6"/>
      <c r="AO1179" s="6"/>
      <c r="AP1179" s="6">
        <f>Z1179/L1179</f>
        <v>1</v>
      </c>
      <c r="AQ1179" s="6">
        <f>AJ1179/M1179</f>
        <v>1</v>
      </c>
      <c r="AR1179" s="6">
        <f>AB1179/N1179</f>
        <v>1</v>
      </c>
      <c r="AS1179" s="4"/>
      <c r="AT1179" s="4"/>
      <c r="AU1179" s="4"/>
      <c r="AV1179" s="4"/>
      <c r="AW1179" s="4"/>
      <c r="AX1179" s="4"/>
      <c r="AY1179" s="4"/>
      <c r="AZ1179" s="4"/>
      <c r="BA1179" s="4"/>
      <c r="BB1179" s="4">
        <v>0</v>
      </c>
      <c r="BC1179" s="4" t="s">
        <v>4647</v>
      </c>
      <c r="BD1179" s="4"/>
      <c r="BE1179" s="4"/>
      <c r="BF1179" s="4" t="s">
        <v>3545</v>
      </c>
      <c r="BG1179" s="4">
        <v>1499</v>
      </c>
      <c r="BH1179" s="4">
        <v>1499</v>
      </c>
      <c r="BI1179" s="4">
        <f t="shared" si="183"/>
        <v>1499</v>
      </c>
      <c r="BJ1179" s="19">
        <v>4</v>
      </c>
      <c r="BK1179" s="19">
        <v>8</v>
      </c>
      <c r="BL1179" s="16">
        <v>6</v>
      </c>
      <c r="BM1179" s="45" t="s">
        <v>3534</v>
      </c>
      <c r="BN1179" t="s">
        <v>3534</v>
      </c>
      <c r="BO1179" t="str">
        <f t="shared" si="176"/>
        <v>-</v>
      </c>
      <c r="BP1179" t="s">
        <v>3534</v>
      </c>
      <c r="BQ1179">
        <v>1382</v>
      </c>
      <c r="BR1179">
        <f t="shared" si="177"/>
        <v>1382</v>
      </c>
      <c r="BS1179" t="s">
        <v>3495</v>
      </c>
    </row>
    <row r="1180" spans="1:71" x14ac:dyDescent="0.4">
      <c r="A1180" s="3">
        <v>1177</v>
      </c>
      <c r="B1180" s="3">
        <v>1177</v>
      </c>
      <c r="C1180" s="4" t="s">
        <v>1239</v>
      </c>
      <c r="D1180" s="4" t="str">
        <f t="shared" si="178"/>
        <v>J941LY</v>
      </c>
      <c r="E1180" s="4" t="s">
        <v>1239</v>
      </c>
      <c r="F1180" s="4" t="s">
        <v>2457</v>
      </c>
      <c r="G1180" s="5">
        <v>4548030531195</v>
      </c>
      <c r="H1180" s="5"/>
      <c r="I1180" s="5"/>
      <c r="J1180" s="5">
        <v>1</v>
      </c>
      <c r="K1180" s="5">
        <v>1</v>
      </c>
      <c r="L1180" s="4">
        <v>1382</v>
      </c>
      <c r="M1180" s="4">
        <v>1382</v>
      </c>
      <c r="N1180" s="4">
        <v>1106</v>
      </c>
      <c r="O1180" s="6">
        <f t="shared" si="179"/>
        <v>0.19971056439942114</v>
      </c>
      <c r="P1180" s="4" t="s">
        <v>2500</v>
      </c>
      <c r="Q1180" s="4"/>
      <c r="R1180" s="4"/>
      <c r="S1180" s="4"/>
      <c r="T1180" s="4"/>
      <c r="U1180" s="4"/>
      <c r="V1180" s="4"/>
      <c r="W1180" s="4"/>
      <c r="X1180" s="4"/>
      <c r="Y1180" s="4">
        <v>1382</v>
      </c>
      <c r="Z1180" s="4">
        <f t="shared" si="180"/>
        <v>1382</v>
      </c>
      <c r="AA1180" s="4">
        <v>1106</v>
      </c>
      <c r="AB1180" s="4">
        <f t="shared" si="181"/>
        <v>1106</v>
      </c>
      <c r="AC1180" s="4"/>
      <c r="AD1180" s="21">
        <f>ROUND(M1180*AR1180,0)</f>
        <v>1382</v>
      </c>
      <c r="AE1180" s="6">
        <f>1-AB1180/AD1180</f>
        <v>0.19971056439942114</v>
      </c>
      <c r="AF1180" s="33">
        <v>0</v>
      </c>
      <c r="AG1180" s="4">
        <f t="shared" si="182"/>
        <v>1499</v>
      </c>
      <c r="AH1180" s="33">
        <f t="shared" si="175"/>
        <v>1499</v>
      </c>
      <c r="AI1180" s="6">
        <f>1-AB1180/AH1180</f>
        <v>0.2621747831887925</v>
      </c>
      <c r="AJ1180" s="7">
        <v>1382</v>
      </c>
      <c r="AK1180" s="6">
        <f>1-AB1180/AJ1180</f>
        <v>0.19971056439942114</v>
      </c>
      <c r="AL1180" s="4">
        <f>AJ1180-AB1180</f>
        <v>276</v>
      </c>
      <c r="AM1180" s="28"/>
      <c r="AN1180" s="6"/>
      <c r="AO1180" s="6"/>
      <c r="AP1180" s="6">
        <f>Z1180/L1180</f>
        <v>1</v>
      </c>
      <c r="AQ1180" s="6">
        <f>AJ1180/M1180</f>
        <v>1</v>
      </c>
      <c r="AR1180" s="6">
        <f>AB1180/N1180</f>
        <v>1</v>
      </c>
      <c r="AS1180" s="4"/>
      <c r="AT1180" s="4"/>
      <c r="AU1180" s="4"/>
      <c r="AV1180" s="4"/>
      <c r="AW1180" s="4"/>
      <c r="AX1180" s="4"/>
      <c r="AY1180" s="4"/>
      <c r="AZ1180" s="4"/>
      <c r="BA1180" s="4"/>
      <c r="BB1180" s="4">
        <v>0</v>
      </c>
      <c r="BC1180" s="4" t="s">
        <v>4648</v>
      </c>
      <c r="BD1180" s="4"/>
      <c r="BE1180" s="4"/>
      <c r="BF1180" s="4" t="s">
        <v>3545</v>
      </c>
      <c r="BG1180" s="4">
        <v>1499</v>
      </c>
      <c r="BH1180" s="4">
        <v>1499</v>
      </c>
      <c r="BI1180" s="4">
        <f t="shared" si="183"/>
        <v>1499</v>
      </c>
      <c r="BJ1180" s="19">
        <v>4</v>
      </c>
      <c r="BK1180" s="19">
        <v>8</v>
      </c>
      <c r="BL1180" s="16">
        <v>6</v>
      </c>
      <c r="BM1180" s="45" t="s">
        <v>3534</v>
      </c>
      <c r="BN1180" t="s">
        <v>3534</v>
      </c>
      <c r="BO1180" t="str">
        <f t="shared" si="176"/>
        <v>-</v>
      </c>
      <c r="BP1180" t="s">
        <v>3534</v>
      </c>
      <c r="BQ1180">
        <v>1382</v>
      </c>
      <c r="BR1180">
        <f t="shared" si="177"/>
        <v>1382</v>
      </c>
      <c r="BS1180" t="s">
        <v>3496</v>
      </c>
    </row>
    <row r="1181" spans="1:71" x14ac:dyDescent="0.4">
      <c r="A1181" s="3">
        <v>1178</v>
      </c>
      <c r="B1181" s="3">
        <v>1178</v>
      </c>
      <c r="C1181" s="4" t="s">
        <v>1240</v>
      </c>
      <c r="D1181" s="4" t="str">
        <f t="shared" si="178"/>
        <v>J940LY</v>
      </c>
      <c r="E1181" s="4" t="s">
        <v>1240</v>
      </c>
      <c r="F1181" s="4" t="s">
        <v>2458</v>
      </c>
      <c r="G1181" s="5">
        <v>4548030531188</v>
      </c>
      <c r="H1181" s="5"/>
      <c r="I1181" s="5"/>
      <c r="J1181" s="5">
        <v>1</v>
      </c>
      <c r="K1181" s="5">
        <v>1</v>
      </c>
      <c r="L1181" s="4">
        <v>2891</v>
      </c>
      <c r="M1181" s="4">
        <v>2891</v>
      </c>
      <c r="N1181" s="4">
        <v>2313</v>
      </c>
      <c r="O1181" s="6">
        <f t="shared" si="179"/>
        <v>0.19993081978554128</v>
      </c>
      <c r="P1181" s="4" t="s">
        <v>2500</v>
      </c>
      <c r="Q1181" s="4"/>
      <c r="R1181" s="4"/>
      <c r="S1181" s="4"/>
      <c r="T1181" s="4"/>
      <c r="U1181" s="4"/>
      <c r="V1181" s="4"/>
      <c r="W1181" s="4"/>
      <c r="X1181" s="4"/>
      <c r="Y1181" s="4">
        <v>2891</v>
      </c>
      <c r="Z1181" s="4">
        <f t="shared" si="180"/>
        <v>2891</v>
      </c>
      <c r="AA1181" s="4">
        <v>2313</v>
      </c>
      <c r="AB1181" s="4">
        <f t="shared" si="181"/>
        <v>2313</v>
      </c>
      <c r="AC1181" s="4"/>
      <c r="AD1181" s="21">
        <f>ROUND(M1181*AR1181,0)</f>
        <v>2891</v>
      </c>
      <c r="AE1181" s="6">
        <f>1-AB1181/AD1181</f>
        <v>0.19993081978554128</v>
      </c>
      <c r="AF1181" s="33">
        <v>0</v>
      </c>
      <c r="AG1181" s="4">
        <f t="shared" si="182"/>
        <v>3123</v>
      </c>
      <c r="AH1181" s="33">
        <f t="shared" si="175"/>
        <v>3123</v>
      </c>
      <c r="AI1181" s="6">
        <f>1-AB1181/AH1181</f>
        <v>0.25936599423631124</v>
      </c>
      <c r="AJ1181" s="7">
        <v>2891</v>
      </c>
      <c r="AK1181" s="6">
        <f>1-AB1181/AJ1181</f>
        <v>0.19993081978554128</v>
      </c>
      <c r="AL1181" s="4">
        <f>AJ1181-AB1181</f>
        <v>578</v>
      </c>
      <c r="AM1181" s="28"/>
      <c r="AN1181" s="6"/>
      <c r="AO1181" s="6"/>
      <c r="AP1181" s="6">
        <f>Z1181/L1181</f>
        <v>1</v>
      </c>
      <c r="AQ1181" s="6">
        <f>AJ1181/M1181</f>
        <v>1</v>
      </c>
      <c r="AR1181" s="6">
        <f>AB1181/N1181</f>
        <v>1</v>
      </c>
      <c r="AS1181" s="4"/>
      <c r="AT1181" s="4"/>
      <c r="AU1181" s="4"/>
      <c r="AV1181" s="4"/>
      <c r="AW1181" s="4"/>
      <c r="AX1181" s="4"/>
      <c r="AY1181" s="4"/>
      <c r="AZ1181" s="4"/>
      <c r="BA1181" s="4"/>
      <c r="BB1181" s="4">
        <v>0</v>
      </c>
      <c r="BC1181" s="4" t="s">
        <v>4649</v>
      </c>
      <c r="BD1181" s="4"/>
      <c r="BE1181" s="4"/>
      <c r="BF1181" s="4" t="s">
        <v>3545</v>
      </c>
      <c r="BG1181" s="4">
        <v>3123</v>
      </c>
      <c r="BH1181" s="4">
        <v>3123</v>
      </c>
      <c r="BI1181" s="4">
        <f t="shared" si="183"/>
        <v>3123</v>
      </c>
      <c r="BJ1181" s="19">
        <v>4</v>
      </c>
      <c r="BK1181" s="19">
        <v>8</v>
      </c>
      <c r="BL1181" s="16">
        <v>6</v>
      </c>
      <c r="BM1181" s="45" t="s">
        <v>3534</v>
      </c>
      <c r="BN1181" t="s">
        <v>3534</v>
      </c>
      <c r="BO1181" t="str">
        <f t="shared" si="176"/>
        <v>-</v>
      </c>
      <c r="BP1181" t="s">
        <v>3534</v>
      </c>
      <c r="BQ1181">
        <v>2891</v>
      </c>
      <c r="BR1181">
        <f t="shared" si="177"/>
        <v>2891</v>
      </c>
      <c r="BS1181" t="s">
        <v>3497</v>
      </c>
    </row>
    <row r="1182" spans="1:71" x14ac:dyDescent="0.4">
      <c r="A1182" s="3">
        <v>1179</v>
      </c>
      <c r="B1182" s="3">
        <v>1179</v>
      </c>
      <c r="C1182" s="4" t="s">
        <v>1241</v>
      </c>
      <c r="D1182" s="4" t="str">
        <f t="shared" si="178"/>
        <v>J942LY</v>
      </c>
      <c r="E1182" s="4" t="s">
        <v>1241</v>
      </c>
      <c r="F1182" s="4" t="s">
        <v>2459</v>
      </c>
      <c r="G1182" s="5">
        <v>4548030531201</v>
      </c>
      <c r="H1182" s="5"/>
      <c r="I1182" s="5"/>
      <c r="J1182" s="5">
        <v>1</v>
      </c>
      <c r="K1182" s="5">
        <v>1</v>
      </c>
      <c r="L1182" s="4">
        <v>755</v>
      </c>
      <c r="M1182" s="4">
        <v>755</v>
      </c>
      <c r="N1182" s="4">
        <v>604</v>
      </c>
      <c r="O1182" s="6">
        <f t="shared" si="179"/>
        <v>0.19999999999999996</v>
      </c>
      <c r="P1182" s="4" t="s">
        <v>2500</v>
      </c>
      <c r="Q1182" s="4"/>
      <c r="R1182" s="4"/>
      <c r="S1182" s="4"/>
      <c r="T1182" s="4"/>
      <c r="U1182" s="4"/>
      <c r="V1182" s="4"/>
      <c r="W1182" s="4"/>
      <c r="X1182" s="4"/>
      <c r="Y1182" s="4">
        <v>755</v>
      </c>
      <c r="Z1182" s="4">
        <f t="shared" si="180"/>
        <v>755</v>
      </c>
      <c r="AA1182" s="4">
        <v>604</v>
      </c>
      <c r="AB1182" s="4">
        <f t="shared" si="181"/>
        <v>604</v>
      </c>
      <c r="AC1182" s="4"/>
      <c r="AD1182" s="21">
        <f>ROUND(M1182*AR1182,0)</f>
        <v>755</v>
      </c>
      <c r="AE1182" s="6">
        <f>1-AB1182/AD1182</f>
        <v>0.19999999999999996</v>
      </c>
      <c r="AF1182" s="33">
        <v>0</v>
      </c>
      <c r="AG1182" s="4">
        <f t="shared" si="182"/>
        <v>819.5</v>
      </c>
      <c r="AH1182" s="33">
        <f t="shared" si="175"/>
        <v>819.5</v>
      </c>
      <c r="AI1182" s="6">
        <f>1-AB1182/AH1182</f>
        <v>0.26296522269676637</v>
      </c>
      <c r="AJ1182" s="7">
        <v>755</v>
      </c>
      <c r="AK1182" s="6">
        <f>1-AB1182/AJ1182</f>
        <v>0.19999999999999996</v>
      </c>
      <c r="AL1182" s="4">
        <f>AJ1182-AB1182</f>
        <v>151</v>
      </c>
      <c r="AM1182" s="28"/>
      <c r="AN1182" s="6"/>
      <c r="AO1182" s="6"/>
      <c r="AP1182" s="6">
        <f>Z1182/L1182</f>
        <v>1</v>
      </c>
      <c r="AQ1182" s="6">
        <f>AJ1182/M1182</f>
        <v>1</v>
      </c>
      <c r="AR1182" s="6">
        <f>AB1182/N1182</f>
        <v>1</v>
      </c>
      <c r="AS1182" s="4"/>
      <c r="AT1182" s="4"/>
      <c r="AU1182" s="4"/>
      <c r="AV1182" s="4"/>
      <c r="AW1182" s="4"/>
      <c r="AX1182" s="4"/>
      <c r="AY1182" s="4"/>
      <c r="AZ1182" s="4"/>
      <c r="BA1182" s="4"/>
      <c r="BB1182" s="4">
        <v>0</v>
      </c>
      <c r="BC1182" s="4" t="s">
        <v>4650</v>
      </c>
      <c r="BD1182" s="4">
        <v>1</v>
      </c>
      <c r="BE1182" s="4">
        <v>2</v>
      </c>
      <c r="BF1182" s="4" t="s">
        <v>3640</v>
      </c>
      <c r="BG1182" s="4">
        <v>1639</v>
      </c>
      <c r="BH1182" s="4">
        <v>1639</v>
      </c>
      <c r="BI1182" s="4">
        <f t="shared" si="183"/>
        <v>819.5</v>
      </c>
      <c r="BJ1182" s="19">
        <v>4</v>
      </c>
      <c r="BK1182" s="19">
        <v>8</v>
      </c>
      <c r="BL1182" s="16">
        <v>6</v>
      </c>
      <c r="BM1182" s="45" t="s">
        <v>3534</v>
      </c>
      <c r="BN1182" t="s">
        <v>3534</v>
      </c>
      <c r="BO1182" t="str">
        <f t="shared" si="176"/>
        <v>-</v>
      </c>
      <c r="BP1182" t="s">
        <v>3534</v>
      </c>
      <c r="BQ1182">
        <v>755</v>
      </c>
      <c r="BR1182">
        <f t="shared" si="177"/>
        <v>755</v>
      </c>
      <c r="BS1182" t="s">
        <v>3498</v>
      </c>
    </row>
    <row r="1183" spans="1:71" x14ac:dyDescent="0.4">
      <c r="A1183" s="3">
        <v>1180</v>
      </c>
      <c r="B1183" s="3">
        <v>1180</v>
      </c>
      <c r="C1183" s="4" t="s">
        <v>1242</v>
      </c>
      <c r="D1183" s="4" t="str">
        <f t="shared" si="178"/>
        <v>J943LY</v>
      </c>
      <c r="E1183" s="4" t="s">
        <v>1242</v>
      </c>
      <c r="F1183" s="4" t="s">
        <v>2460</v>
      </c>
      <c r="G1183" s="5">
        <v>4548030531218</v>
      </c>
      <c r="H1183" s="5"/>
      <c r="I1183" s="5"/>
      <c r="J1183" s="5">
        <v>1</v>
      </c>
      <c r="K1183" s="5">
        <v>1</v>
      </c>
      <c r="L1183" s="4">
        <v>755</v>
      </c>
      <c r="M1183" s="4">
        <v>755</v>
      </c>
      <c r="N1183" s="4">
        <v>604</v>
      </c>
      <c r="O1183" s="6">
        <f t="shared" si="179"/>
        <v>0.19999999999999996</v>
      </c>
      <c r="P1183" s="4" t="s">
        <v>2500</v>
      </c>
      <c r="Q1183" s="4"/>
      <c r="R1183" s="4"/>
      <c r="S1183" s="4"/>
      <c r="T1183" s="4"/>
      <c r="U1183" s="4"/>
      <c r="V1183" s="4"/>
      <c r="W1183" s="4"/>
      <c r="X1183" s="4"/>
      <c r="Y1183" s="4">
        <v>755</v>
      </c>
      <c r="Z1183" s="4">
        <f t="shared" si="180"/>
        <v>755</v>
      </c>
      <c r="AA1183" s="4">
        <v>604</v>
      </c>
      <c r="AB1183" s="4">
        <f t="shared" si="181"/>
        <v>604</v>
      </c>
      <c r="AC1183" s="4"/>
      <c r="AD1183" s="21">
        <f>ROUND(M1183*AR1183,0)</f>
        <v>755</v>
      </c>
      <c r="AE1183" s="6">
        <f>1-AB1183/AD1183</f>
        <v>0.19999999999999996</v>
      </c>
      <c r="AF1183" s="33">
        <v>0</v>
      </c>
      <c r="AG1183" s="4">
        <f t="shared" si="182"/>
        <v>819.5</v>
      </c>
      <c r="AH1183" s="33">
        <f t="shared" si="175"/>
        <v>819.5</v>
      </c>
      <c r="AI1183" s="6">
        <f>1-AB1183/AH1183</f>
        <v>0.26296522269676637</v>
      </c>
      <c r="AJ1183" s="7">
        <v>755</v>
      </c>
      <c r="AK1183" s="6">
        <f>1-AB1183/AJ1183</f>
        <v>0.19999999999999996</v>
      </c>
      <c r="AL1183" s="4">
        <f>AJ1183-AB1183</f>
        <v>151</v>
      </c>
      <c r="AM1183" s="28"/>
      <c r="AN1183" s="6"/>
      <c r="AO1183" s="6"/>
      <c r="AP1183" s="6">
        <f>Z1183/L1183</f>
        <v>1</v>
      </c>
      <c r="AQ1183" s="6">
        <f>AJ1183/M1183</f>
        <v>1</v>
      </c>
      <c r="AR1183" s="6">
        <f>AB1183/N1183</f>
        <v>1</v>
      </c>
      <c r="AS1183" s="4"/>
      <c r="AT1183" s="4"/>
      <c r="AU1183" s="4"/>
      <c r="AV1183" s="4"/>
      <c r="AW1183" s="4"/>
      <c r="AX1183" s="4"/>
      <c r="AY1183" s="4"/>
      <c r="AZ1183" s="4"/>
      <c r="BA1183" s="4"/>
      <c r="BB1183" s="4">
        <v>0</v>
      </c>
      <c r="BC1183" s="4" t="s">
        <v>4651</v>
      </c>
      <c r="BD1183" s="4">
        <v>1</v>
      </c>
      <c r="BE1183" s="4">
        <v>2</v>
      </c>
      <c r="BF1183" s="4" t="s">
        <v>3640</v>
      </c>
      <c r="BG1183" s="4">
        <v>1639</v>
      </c>
      <c r="BH1183" s="4">
        <v>1639</v>
      </c>
      <c r="BI1183" s="4">
        <f t="shared" si="183"/>
        <v>819.5</v>
      </c>
      <c r="BJ1183" s="19">
        <v>4</v>
      </c>
      <c r="BK1183" s="19">
        <v>8</v>
      </c>
      <c r="BL1183" s="16">
        <v>6</v>
      </c>
      <c r="BM1183" s="45" t="s">
        <v>3534</v>
      </c>
      <c r="BN1183" t="s">
        <v>3534</v>
      </c>
      <c r="BO1183" t="str">
        <f t="shared" si="176"/>
        <v>-</v>
      </c>
      <c r="BP1183" t="s">
        <v>3534</v>
      </c>
      <c r="BQ1183">
        <v>755</v>
      </c>
      <c r="BR1183">
        <f t="shared" si="177"/>
        <v>755</v>
      </c>
      <c r="BS1183" t="s">
        <v>3499</v>
      </c>
    </row>
    <row r="1184" spans="1:71" x14ac:dyDescent="0.4">
      <c r="A1184" s="3">
        <v>1181</v>
      </c>
      <c r="B1184" s="3">
        <v>1181</v>
      </c>
      <c r="C1184" s="4" t="s">
        <v>1243</v>
      </c>
      <c r="D1184" s="4" t="str">
        <f t="shared" si="178"/>
        <v>J945LY</v>
      </c>
      <c r="E1184" s="4" t="s">
        <v>1243</v>
      </c>
      <c r="F1184" s="4" t="s">
        <v>2461</v>
      </c>
      <c r="G1184" s="5">
        <v>4548030531232</v>
      </c>
      <c r="H1184" s="5"/>
      <c r="I1184" s="5"/>
      <c r="J1184" s="5">
        <v>1</v>
      </c>
      <c r="K1184" s="5">
        <v>1</v>
      </c>
      <c r="L1184" s="4">
        <v>755</v>
      </c>
      <c r="M1184" s="4">
        <v>755</v>
      </c>
      <c r="N1184" s="4">
        <v>604</v>
      </c>
      <c r="O1184" s="6">
        <f t="shared" si="179"/>
        <v>0.19999999999999996</v>
      </c>
      <c r="P1184" s="4" t="s">
        <v>2500</v>
      </c>
      <c r="Q1184" s="4"/>
      <c r="R1184" s="4"/>
      <c r="S1184" s="4"/>
      <c r="T1184" s="4"/>
      <c r="U1184" s="4"/>
      <c r="V1184" s="4"/>
      <c r="W1184" s="4"/>
      <c r="X1184" s="4"/>
      <c r="Y1184" s="4">
        <v>755</v>
      </c>
      <c r="Z1184" s="4">
        <f t="shared" si="180"/>
        <v>755</v>
      </c>
      <c r="AA1184" s="4">
        <v>604</v>
      </c>
      <c r="AB1184" s="4">
        <f t="shared" si="181"/>
        <v>604</v>
      </c>
      <c r="AC1184" s="4"/>
      <c r="AD1184" s="21">
        <f>ROUND(M1184*AR1184,0)</f>
        <v>755</v>
      </c>
      <c r="AE1184" s="6">
        <f>1-AB1184/AD1184</f>
        <v>0.19999999999999996</v>
      </c>
      <c r="AF1184" s="33">
        <v>0</v>
      </c>
      <c r="AG1184" s="4">
        <f t="shared" si="182"/>
        <v>819.5</v>
      </c>
      <c r="AH1184" s="33">
        <f t="shared" si="175"/>
        <v>819.5</v>
      </c>
      <c r="AI1184" s="6">
        <f>1-AB1184/AH1184</f>
        <v>0.26296522269676637</v>
      </c>
      <c r="AJ1184" s="7">
        <v>755</v>
      </c>
      <c r="AK1184" s="6">
        <f>1-AB1184/AJ1184</f>
        <v>0.19999999999999996</v>
      </c>
      <c r="AL1184" s="4">
        <f>AJ1184-AB1184</f>
        <v>151</v>
      </c>
      <c r="AM1184" s="28"/>
      <c r="AN1184" s="6"/>
      <c r="AO1184" s="6"/>
      <c r="AP1184" s="6">
        <f>Z1184/L1184</f>
        <v>1</v>
      </c>
      <c r="AQ1184" s="6">
        <f>AJ1184/M1184</f>
        <v>1</v>
      </c>
      <c r="AR1184" s="6">
        <f>AB1184/N1184</f>
        <v>1</v>
      </c>
      <c r="AS1184" s="4"/>
      <c r="AT1184" s="4"/>
      <c r="AU1184" s="4"/>
      <c r="AV1184" s="4"/>
      <c r="AW1184" s="4"/>
      <c r="AX1184" s="4"/>
      <c r="AY1184" s="4"/>
      <c r="AZ1184" s="4"/>
      <c r="BA1184" s="4"/>
      <c r="BB1184" s="4">
        <v>0</v>
      </c>
      <c r="BC1184" s="4" t="s">
        <v>4652</v>
      </c>
      <c r="BD1184" s="4">
        <v>1</v>
      </c>
      <c r="BE1184" s="4">
        <v>2</v>
      </c>
      <c r="BF1184" s="4" t="s">
        <v>3640</v>
      </c>
      <c r="BG1184" s="4">
        <v>1639</v>
      </c>
      <c r="BH1184" s="4">
        <v>1639</v>
      </c>
      <c r="BI1184" s="4">
        <f t="shared" si="183"/>
        <v>819.5</v>
      </c>
      <c r="BJ1184" s="19">
        <v>4</v>
      </c>
      <c r="BK1184" s="19">
        <v>8</v>
      </c>
      <c r="BL1184" s="16">
        <v>6</v>
      </c>
      <c r="BM1184" s="45" t="s">
        <v>3534</v>
      </c>
      <c r="BN1184" t="s">
        <v>3534</v>
      </c>
      <c r="BO1184" t="str">
        <f t="shared" si="176"/>
        <v>-</v>
      </c>
      <c r="BP1184" t="s">
        <v>3534</v>
      </c>
      <c r="BQ1184">
        <v>755</v>
      </c>
      <c r="BR1184">
        <f t="shared" si="177"/>
        <v>755</v>
      </c>
      <c r="BS1184" t="s">
        <v>3500</v>
      </c>
    </row>
    <row r="1185" spans="1:71" x14ac:dyDescent="0.4">
      <c r="A1185" s="3">
        <v>1182</v>
      </c>
      <c r="B1185" s="3">
        <v>1182</v>
      </c>
      <c r="C1185" s="4" t="s">
        <v>1244</v>
      </c>
      <c r="D1185" s="4" t="str">
        <f t="shared" si="178"/>
        <v>J944LY</v>
      </c>
      <c r="E1185" s="4" t="s">
        <v>1244</v>
      </c>
      <c r="F1185" s="4" t="s">
        <v>2462</v>
      </c>
      <c r="G1185" s="5">
        <v>4548030531225</v>
      </c>
      <c r="H1185" s="5"/>
      <c r="I1185" s="5"/>
      <c r="J1185" s="5">
        <v>1</v>
      </c>
      <c r="K1185" s="5">
        <v>1</v>
      </c>
      <c r="L1185" s="4">
        <v>755</v>
      </c>
      <c r="M1185" s="4">
        <v>755</v>
      </c>
      <c r="N1185" s="4">
        <v>604</v>
      </c>
      <c r="O1185" s="6">
        <f t="shared" si="179"/>
        <v>0.19999999999999996</v>
      </c>
      <c r="P1185" s="4" t="s">
        <v>2500</v>
      </c>
      <c r="Q1185" s="4"/>
      <c r="R1185" s="4"/>
      <c r="S1185" s="4"/>
      <c r="T1185" s="4"/>
      <c r="U1185" s="4"/>
      <c r="V1185" s="4"/>
      <c r="W1185" s="4"/>
      <c r="X1185" s="4"/>
      <c r="Y1185" s="4">
        <v>755</v>
      </c>
      <c r="Z1185" s="4">
        <f t="shared" si="180"/>
        <v>755</v>
      </c>
      <c r="AA1185" s="4">
        <v>604</v>
      </c>
      <c r="AB1185" s="4">
        <f t="shared" si="181"/>
        <v>604</v>
      </c>
      <c r="AC1185" s="4"/>
      <c r="AD1185" s="21">
        <f>ROUND(M1185*AR1185,0)</f>
        <v>755</v>
      </c>
      <c r="AE1185" s="6">
        <f>1-AB1185/AD1185</f>
        <v>0.19999999999999996</v>
      </c>
      <c r="AF1185" s="33">
        <v>0</v>
      </c>
      <c r="AG1185" s="4">
        <f t="shared" si="182"/>
        <v>819.5</v>
      </c>
      <c r="AH1185" s="33">
        <f t="shared" si="175"/>
        <v>819.5</v>
      </c>
      <c r="AI1185" s="6">
        <f>1-AB1185/AH1185</f>
        <v>0.26296522269676637</v>
      </c>
      <c r="AJ1185" s="7">
        <v>755</v>
      </c>
      <c r="AK1185" s="6">
        <f>1-AB1185/AJ1185</f>
        <v>0.19999999999999996</v>
      </c>
      <c r="AL1185" s="4">
        <f>AJ1185-AB1185</f>
        <v>151</v>
      </c>
      <c r="AM1185" s="28"/>
      <c r="AN1185" s="6"/>
      <c r="AO1185" s="6"/>
      <c r="AP1185" s="6">
        <f>Z1185/L1185</f>
        <v>1</v>
      </c>
      <c r="AQ1185" s="6">
        <f>AJ1185/M1185</f>
        <v>1</v>
      </c>
      <c r="AR1185" s="6">
        <f>AB1185/N1185</f>
        <v>1</v>
      </c>
      <c r="AS1185" s="4"/>
      <c r="AT1185" s="4"/>
      <c r="AU1185" s="4"/>
      <c r="AV1185" s="4"/>
      <c r="AW1185" s="4"/>
      <c r="AX1185" s="4"/>
      <c r="AY1185" s="4"/>
      <c r="AZ1185" s="4"/>
      <c r="BA1185" s="4"/>
      <c r="BB1185" s="4">
        <v>0</v>
      </c>
      <c r="BC1185" s="4" t="s">
        <v>4653</v>
      </c>
      <c r="BD1185" s="4">
        <v>1</v>
      </c>
      <c r="BE1185" s="4">
        <v>2</v>
      </c>
      <c r="BF1185" s="4" t="s">
        <v>3640</v>
      </c>
      <c r="BG1185" s="4">
        <v>1639</v>
      </c>
      <c r="BH1185" s="4">
        <v>1639</v>
      </c>
      <c r="BI1185" s="4">
        <f t="shared" si="183"/>
        <v>819.5</v>
      </c>
      <c r="BJ1185" s="19">
        <v>4</v>
      </c>
      <c r="BK1185" s="19">
        <v>8</v>
      </c>
      <c r="BL1185" s="16">
        <v>6</v>
      </c>
      <c r="BM1185" s="45" t="s">
        <v>3534</v>
      </c>
      <c r="BN1185" t="s">
        <v>3534</v>
      </c>
      <c r="BO1185" t="str">
        <f t="shared" si="176"/>
        <v>-</v>
      </c>
      <c r="BP1185" t="s">
        <v>3534</v>
      </c>
      <c r="BQ1185">
        <v>755</v>
      </c>
      <c r="BR1185">
        <f t="shared" si="177"/>
        <v>755</v>
      </c>
      <c r="BS1185" t="s">
        <v>3501</v>
      </c>
    </row>
    <row r="1186" spans="1:71" x14ac:dyDescent="0.4">
      <c r="A1186" s="3">
        <v>1183</v>
      </c>
      <c r="B1186" s="3">
        <v>1183</v>
      </c>
      <c r="C1186" s="4" t="s">
        <v>1245</v>
      </c>
      <c r="D1186" s="4" t="str">
        <f t="shared" si="178"/>
        <v>J946LY</v>
      </c>
      <c r="E1186" s="4" t="s">
        <v>1245</v>
      </c>
      <c r="F1186" s="4" t="s">
        <v>2463</v>
      </c>
      <c r="G1186" s="5">
        <v>4548030531256</v>
      </c>
      <c r="H1186" s="5"/>
      <c r="I1186" s="5"/>
      <c r="J1186" s="5">
        <v>1</v>
      </c>
      <c r="K1186" s="5">
        <v>1</v>
      </c>
      <c r="L1186" s="4">
        <v>255</v>
      </c>
      <c r="M1186" s="4">
        <v>254</v>
      </c>
      <c r="N1186" s="4">
        <v>204</v>
      </c>
      <c r="O1186" s="6">
        <f t="shared" si="179"/>
        <v>0.19685039370078738</v>
      </c>
      <c r="P1186" s="4" t="s">
        <v>2500</v>
      </c>
      <c r="Q1186" s="4"/>
      <c r="R1186" s="4"/>
      <c r="S1186" s="4"/>
      <c r="T1186" s="4"/>
      <c r="U1186" s="4"/>
      <c r="V1186" s="4"/>
      <c r="W1186" s="4"/>
      <c r="X1186" s="4"/>
      <c r="Y1186" s="4">
        <v>255</v>
      </c>
      <c r="Z1186" s="4">
        <f t="shared" si="180"/>
        <v>255</v>
      </c>
      <c r="AA1186" s="4">
        <v>204</v>
      </c>
      <c r="AB1186" s="4">
        <f t="shared" si="181"/>
        <v>204</v>
      </c>
      <c r="AC1186" s="4"/>
      <c r="AD1186" s="21">
        <f>ROUND(M1186*AR1186,0)</f>
        <v>254</v>
      </c>
      <c r="AE1186" s="6">
        <f>1-AB1186/AD1186</f>
        <v>0.19685039370078738</v>
      </c>
      <c r="AF1186" s="33">
        <v>0</v>
      </c>
      <c r="AG1186" s="4">
        <f t="shared" si="182"/>
        <v>277.2</v>
      </c>
      <c r="AH1186" s="33">
        <f t="shared" si="175"/>
        <v>277.2</v>
      </c>
      <c r="AI1186" s="6">
        <f>1-AB1186/AH1186</f>
        <v>0.26406926406926401</v>
      </c>
      <c r="AJ1186" s="7">
        <v>255</v>
      </c>
      <c r="AK1186" s="6">
        <f>1-AB1186/AJ1186</f>
        <v>0.19999999999999996</v>
      </c>
      <c r="AL1186" s="4">
        <f>AJ1186-AB1186</f>
        <v>51</v>
      </c>
      <c r="AM1186" s="28"/>
      <c r="AN1186" s="6"/>
      <c r="AO1186" s="6"/>
      <c r="AP1186" s="6">
        <f>Z1186/L1186</f>
        <v>1</v>
      </c>
      <c r="AQ1186" s="6">
        <f>AJ1186/M1186</f>
        <v>1.0039370078740157</v>
      </c>
      <c r="AR1186" s="6">
        <f>AB1186/N1186</f>
        <v>1</v>
      </c>
      <c r="AS1186" s="4"/>
      <c r="AT1186" s="4"/>
      <c r="AU1186" s="4"/>
      <c r="AV1186" s="4"/>
      <c r="AW1186" s="4"/>
      <c r="AX1186" s="4"/>
      <c r="AY1186" s="4"/>
      <c r="AZ1186" s="4"/>
      <c r="BA1186" s="4"/>
      <c r="BB1186" s="4">
        <v>0</v>
      </c>
      <c r="BC1186" s="4" t="s">
        <v>4654</v>
      </c>
      <c r="BD1186" s="4">
        <v>1</v>
      </c>
      <c r="BE1186" s="4">
        <v>5</v>
      </c>
      <c r="BF1186" s="4" t="s">
        <v>4184</v>
      </c>
      <c r="BG1186" s="4">
        <v>1386</v>
      </c>
      <c r="BH1186" s="4">
        <v>1386</v>
      </c>
      <c r="BI1186" s="4">
        <f t="shared" si="183"/>
        <v>277.2</v>
      </c>
      <c r="BJ1186" s="19">
        <v>4</v>
      </c>
      <c r="BK1186" s="19">
        <v>8</v>
      </c>
      <c r="BL1186" s="16">
        <v>6</v>
      </c>
      <c r="BM1186" s="45" t="s">
        <v>3534</v>
      </c>
      <c r="BN1186" t="s">
        <v>3534</v>
      </c>
      <c r="BO1186" t="str">
        <f t="shared" si="176"/>
        <v>-</v>
      </c>
      <c r="BP1186" t="s">
        <v>3534</v>
      </c>
      <c r="BQ1186">
        <v>255</v>
      </c>
      <c r="BR1186">
        <f t="shared" si="177"/>
        <v>255</v>
      </c>
      <c r="BS1186" t="s">
        <v>3502</v>
      </c>
    </row>
    <row r="1187" spans="1:71" x14ac:dyDescent="0.4">
      <c r="A1187" s="3">
        <v>1184</v>
      </c>
      <c r="B1187" s="3">
        <v>1184</v>
      </c>
      <c r="C1187" s="4" t="s">
        <v>1246</v>
      </c>
      <c r="D1187" s="4" t="str">
        <f t="shared" si="178"/>
        <v>J947LY</v>
      </c>
      <c r="E1187" s="4" t="s">
        <v>1246</v>
      </c>
      <c r="F1187" s="4" t="s">
        <v>2464</v>
      </c>
      <c r="G1187" s="5">
        <v>4548030531263</v>
      </c>
      <c r="H1187" s="5"/>
      <c r="I1187" s="5"/>
      <c r="J1187" s="5">
        <v>1</v>
      </c>
      <c r="K1187" s="5">
        <v>1</v>
      </c>
      <c r="L1187" s="4">
        <v>319</v>
      </c>
      <c r="M1187" s="4">
        <v>319</v>
      </c>
      <c r="N1187" s="4">
        <v>255</v>
      </c>
      <c r="O1187" s="6">
        <f t="shared" si="179"/>
        <v>0.20062695924764895</v>
      </c>
      <c r="P1187" s="4" t="s">
        <v>2500</v>
      </c>
      <c r="Q1187" s="4"/>
      <c r="R1187" s="4"/>
      <c r="S1187" s="4"/>
      <c r="T1187" s="4"/>
      <c r="U1187" s="4"/>
      <c r="V1187" s="4"/>
      <c r="W1187" s="4"/>
      <c r="X1187" s="4"/>
      <c r="Y1187" s="4">
        <v>319</v>
      </c>
      <c r="Z1187" s="4">
        <f t="shared" si="180"/>
        <v>319</v>
      </c>
      <c r="AA1187" s="4">
        <v>255</v>
      </c>
      <c r="AB1187" s="4">
        <f t="shared" si="181"/>
        <v>255</v>
      </c>
      <c r="AC1187" s="4"/>
      <c r="AD1187" s="21">
        <f>ROUND(M1187*AR1187,0)</f>
        <v>319</v>
      </c>
      <c r="AE1187" s="6">
        <f>1-AB1187/AD1187</f>
        <v>0.20062695924764895</v>
      </c>
      <c r="AF1187" s="33">
        <v>0</v>
      </c>
      <c r="AG1187" s="4">
        <f t="shared" si="182"/>
        <v>270</v>
      </c>
      <c r="AH1187" s="33">
        <f t="shared" si="175"/>
        <v>270</v>
      </c>
      <c r="AI1187" s="6">
        <f>1-AB1187/AH1187</f>
        <v>5.555555555555558E-2</v>
      </c>
      <c r="AJ1187" s="7">
        <v>319</v>
      </c>
      <c r="AK1187" s="6">
        <f>1-AB1187/AJ1187</f>
        <v>0.20062695924764895</v>
      </c>
      <c r="AL1187" s="4">
        <f>AJ1187-AB1187</f>
        <v>64</v>
      </c>
      <c r="AM1187" s="28"/>
      <c r="AN1187" s="6"/>
      <c r="AO1187" s="6"/>
      <c r="AP1187" s="6">
        <f>Z1187/L1187</f>
        <v>1</v>
      </c>
      <c r="AQ1187" s="6">
        <f>AJ1187/M1187</f>
        <v>1</v>
      </c>
      <c r="AR1187" s="6">
        <f>AB1187/N1187</f>
        <v>1</v>
      </c>
      <c r="AS1187" s="4"/>
      <c r="AT1187" s="4"/>
      <c r="AU1187" s="4"/>
      <c r="AV1187" s="4"/>
      <c r="AW1187" s="4"/>
      <c r="AX1187" s="4"/>
      <c r="AY1187" s="4"/>
      <c r="AZ1187" s="4"/>
      <c r="BA1187" s="4"/>
      <c r="BB1187" s="4">
        <v>0</v>
      </c>
      <c r="BC1187" s="4" t="s">
        <v>4655</v>
      </c>
      <c r="BD1187" s="4">
        <v>1</v>
      </c>
      <c r="BE1187" s="4">
        <v>3</v>
      </c>
      <c r="BF1187" s="4" t="s">
        <v>4656</v>
      </c>
      <c r="BG1187" s="4">
        <v>810</v>
      </c>
      <c r="BH1187" s="4">
        <v>810</v>
      </c>
      <c r="BI1187" s="4">
        <f t="shared" si="183"/>
        <v>270</v>
      </c>
      <c r="BJ1187" s="19">
        <v>4</v>
      </c>
      <c r="BK1187" s="19">
        <v>8</v>
      </c>
      <c r="BL1187" s="16">
        <v>6</v>
      </c>
      <c r="BM1187" s="45" t="s">
        <v>3534</v>
      </c>
      <c r="BN1187" t="s">
        <v>3534</v>
      </c>
      <c r="BO1187" t="str">
        <f t="shared" si="176"/>
        <v>-</v>
      </c>
      <c r="BP1187" t="s">
        <v>3534</v>
      </c>
      <c r="BQ1187">
        <v>319</v>
      </c>
      <c r="BR1187">
        <f t="shared" si="177"/>
        <v>319</v>
      </c>
      <c r="BS1187" t="s">
        <v>3503</v>
      </c>
    </row>
    <row r="1188" spans="1:71" x14ac:dyDescent="0.4">
      <c r="A1188" s="3">
        <v>1185</v>
      </c>
      <c r="B1188" s="3">
        <v>1185</v>
      </c>
      <c r="C1188" s="4" t="s">
        <v>1247</v>
      </c>
      <c r="D1188" s="4" t="str">
        <f t="shared" si="178"/>
        <v>J948LY</v>
      </c>
      <c r="E1188" s="4" t="s">
        <v>1247</v>
      </c>
      <c r="F1188" s="4" t="s">
        <v>2465</v>
      </c>
      <c r="G1188" s="5">
        <v>4548030531270</v>
      </c>
      <c r="H1188" s="5"/>
      <c r="I1188" s="5"/>
      <c r="J1188" s="5">
        <v>1</v>
      </c>
      <c r="K1188" s="5">
        <v>1</v>
      </c>
      <c r="L1188" s="4">
        <v>455</v>
      </c>
      <c r="M1188" s="4">
        <v>455</v>
      </c>
      <c r="N1188" s="4">
        <v>364</v>
      </c>
      <c r="O1188" s="6">
        <f t="shared" si="179"/>
        <v>0.19999999999999996</v>
      </c>
      <c r="P1188" s="4" t="s">
        <v>2500</v>
      </c>
      <c r="Q1188" s="4"/>
      <c r="R1188" s="4"/>
      <c r="S1188" s="4"/>
      <c r="T1188" s="4"/>
      <c r="U1188" s="4"/>
      <c r="V1188" s="4"/>
      <c r="W1188" s="4"/>
      <c r="X1188" s="4"/>
      <c r="Y1188" s="4">
        <v>455</v>
      </c>
      <c r="Z1188" s="4">
        <f t="shared" si="180"/>
        <v>455</v>
      </c>
      <c r="AA1188" s="4">
        <v>364</v>
      </c>
      <c r="AB1188" s="4">
        <f t="shared" si="181"/>
        <v>364</v>
      </c>
      <c r="AC1188" s="4"/>
      <c r="AD1188" s="21">
        <f>ROUND(M1188*AR1188,0)</f>
        <v>455</v>
      </c>
      <c r="AE1188" s="6">
        <f>1-AB1188/AD1188</f>
        <v>0.19999999999999996</v>
      </c>
      <c r="AF1188" s="33">
        <v>0</v>
      </c>
      <c r="AG1188" s="4">
        <f t="shared" si="182"/>
        <v>487</v>
      </c>
      <c r="AH1188" s="33">
        <f t="shared" si="175"/>
        <v>487</v>
      </c>
      <c r="AI1188" s="6">
        <f>1-AB1188/AH1188</f>
        <v>0.25256673511293637</v>
      </c>
      <c r="AJ1188" s="7">
        <v>455</v>
      </c>
      <c r="AK1188" s="6">
        <f>1-AB1188/AJ1188</f>
        <v>0.19999999999999996</v>
      </c>
      <c r="AL1188" s="4">
        <f>AJ1188-AB1188</f>
        <v>91</v>
      </c>
      <c r="AM1188" s="28"/>
      <c r="AN1188" s="6"/>
      <c r="AO1188" s="6"/>
      <c r="AP1188" s="6">
        <f>Z1188/L1188</f>
        <v>1</v>
      </c>
      <c r="AQ1188" s="6">
        <f>AJ1188/M1188</f>
        <v>1</v>
      </c>
      <c r="AR1188" s="6">
        <f>AB1188/N1188</f>
        <v>1</v>
      </c>
      <c r="AS1188" s="4"/>
      <c r="AT1188" s="4"/>
      <c r="AU1188" s="4"/>
      <c r="AV1188" s="4"/>
      <c r="AW1188" s="4"/>
      <c r="AX1188" s="4"/>
      <c r="AY1188" s="4"/>
      <c r="AZ1188" s="4"/>
      <c r="BA1188" s="4"/>
      <c r="BB1188" s="4">
        <v>0</v>
      </c>
      <c r="BC1188" s="4" t="s">
        <v>4657</v>
      </c>
      <c r="BD1188" s="4">
        <v>1</v>
      </c>
      <c r="BE1188" s="4">
        <v>3</v>
      </c>
      <c r="BF1188" s="4" t="s">
        <v>4656</v>
      </c>
      <c r="BG1188" s="4">
        <v>1461</v>
      </c>
      <c r="BH1188" s="4">
        <v>1461</v>
      </c>
      <c r="BI1188" s="4">
        <f t="shared" si="183"/>
        <v>487</v>
      </c>
      <c r="BJ1188" s="19">
        <v>4</v>
      </c>
      <c r="BK1188" s="19">
        <v>8</v>
      </c>
      <c r="BL1188" s="16">
        <v>6</v>
      </c>
      <c r="BM1188" s="45" t="s">
        <v>3534</v>
      </c>
      <c r="BN1188" t="s">
        <v>3534</v>
      </c>
      <c r="BO1188" t="str">
        <f t="shared" si="176"/>
        <v>-</v>
      </c>
      <c r="BP1188" t="s">
        <v>3534</v>
      </c>
      <c r="BQ1188">
        <v>455</v>
      </c>
      <c r="BR1188">
        <f t="shared" si="177"/>
        <v>455</v>
      </c>
      <c r="BS1188" t="s">
        <v>3504</v>
      </c>
    </row>
    <row r="1189" spans="1:71" x14ac:dyDescent="0.4">
      <c r="A1189" s="3">
        <v>1186</v>
      </c>
      <c r="B1189" s="3">
        <v>1186</v>
      </c>
      <c r="C1189" s="4" t="s">
        <v>1248</v>
      </c>
      <c r="D1189" s="4" t="str">
        <f t="shared" si="178"/>
        <v>J951LY</v>
      </c>
      <c r="E1189" s="4" t="s">
        <v>1248</v>
      </c>
      <c r="F1189" s="4" t="s">
        <v>2466</v>
      </c>
      <c r="G1189" s="5">
        <v>4548030531423</v>
      </c>
      <c r="H1189" s="5"/>
      <c r="I1189" s="5"/>
      <c r="J1189" s="5">
        <v>1</v>
      </c>
      <c r="K1189" s="5">
        <v>1</v>
      </c>
      <c r="L1189" s="4">
        <v>30000</v>
      </c>
      <c r="M1189" s="4">
        <v>26300</v>
      </c>
      <c r="N1189" s="4">
        <v>21000</v>
      </c>
      <c r="O1189" s="6">
        <f t="shared" si="179"/>
        <v>0.20152091254752846</v>
      </c>
      <c r="P1189" s="4" t="s">
        <v>2500</v>
      </c>
      <c r="Q1189" s="4"/>
      <c r="R1189" s="4"/>
      <c r="S1189" s="4"/>
      <c r="T1189" s="4"/>
      <c r="U1189" s="4"/>
      <c r="V1189" s="4"/>
      <c r="W1189" s="4"/>
      <c r="X1189" s="4"/>
      <c r="Y1189" s="4">
        <v>30000</v>
      </c>
      <c r="Z1189" s="4">
        <f t="shared" si="180"/>
        <v>30000</v>
      </c>
      <c r="AA1189" s="4">
        <v>21000</v>
      </c>
      <c r="AB1189" s="4">
        <f t="shared" si="181"/>
        <v>21000</v>
      </c>
      <c r="AC1189" s="4"/>
      <c r="AD1189" s="21">
        <f>ROUND(M1189*AR1189,0)</f>
        <v>26300</v>
      </c>
      <c r="AE1189" s="6">
        <f>1-AB1189/AD1189</f>
        <v>0.20152091254752846</v>
      </c>
      <c r="AF1189" s="33">
        <v>0</v>
      </c>
      <c r="AG1189" s="4">
        <f t="shared" si="182"/>
        <v>35000</v>
      </c>
      <c r="AH1189" s="33">
        <f t="shared" si="175"/>
        <v>35000</v>
      </c>
      <c r="AI1189" s="6">
        <f>1-AB1189/AH1189</f>
        <v>0.4</v>
      </c>
      <c r="AJ1189" s="7">
        <v>30000</v>
      </c>
      <c r="AK1189" s="6">
        <f>1-AB1189/AJ1189</f>
        <v>0.30000000000000004</v>
      </c>
      <c r="AL1189" s="4">
        <f>AJ1189-AB1189</f>
        <v>9000</v>
      </c>
      <c r="AM1189" s="28"/>
      <c r="AN1189" s="6"/>
      <c r="AO1189" s="6"/>
      <c r="AP1189" s="6">
        <f>Z1189/L1189</f>
        <v>1</v>
      </c>
      <c r="AQ1189" s="6">
        <f>AJ1189/M1189</f>
        <v>1.1406844106463878</v>
      </c>
      <c r="AR1189" s="6">
        <f>AB1189/N1189</f>
        <v>1</v>
      </c>
      <c r="AS1189" s="4"/>
      <c r="AT1189" s="4"/>
      <c r="AU1189" s="4"/>
      <c r="AV1189" s="4"/>
      <c r="AW1189" s="4"/>
      <c r="AX1189" s="4"/>
      <c r="AY1189" s="4"/>
      <c r="AZ1189" s="4"/>
      <c r="BA1189" s="4"/>
      <c r="BB1189" s="4">
        <v>0</v>
      </c>
      <c r="BC1189" s="4" t="s">
        <v>4658</v>
      </c>
      <c r="BD1189" s="4"/>
      <c r="BE1189" s="4"/>
      <c r="BF1189" s="4" t="s">
        <v>3874</v>
      </c>
      <c r="BG1189" s="4">
        <v>35000</v>
      </c>
      <c r="BH1189" s="4">
        <v>35000</v>
      </c>
      <c r="BI1189" s="4">
        <f t="shared" si="183"/>
        <v>35000</v>
      </c>
      <c r="BJ1189" s="19">
        <v>4</v>
      </c>
      <c r="BK1189" s="19">
        <v>8</v>
      </c>
      <c r="BL1189" s="16">
        <v>6</v>
      </c>
      <c r="BM1189" s="45" t="s">
        <v>3534</v>
      </c>
      <c r="BN1189" t="s">
        <v>3534</v>
      </c>
      <c r="BO1189" t="str">
        <f t="shared" si="176"/>
        <v>-</v>
      </c>
      <c r="BP1189">
        <v>30000</v>
      </c>
      <c r="BQ1189">
        <v>30000</v>
      </c>
      <c r="BR1189">
        <f t="shared" si="177"/>
        <v>30000</v>
      </c>
      <c r="BS1189" t="s">
        <v>3505</v>
      </c>
    </row>
    <row r="1190" spans="1:71" x14ac:dyDescent="0.4">
      <c r="A1190" s="3">
        <v>1187</v>
      </c>
      <c r="B1190" s="3">
        <v>1187</v>
      </c>
      <c r="C1190" s="4" t="s">
        <v>1249</v>
      </c>
      <c r="D1190" s="4" t="str">
        <f t="shared" si="178"/>
        <v>J950LY</v>
      </c>
      <c r="E1190" s="4" t="s">
        <v>1249</v>
      </c>
      <c r="F1190" s="4" t="s">
        <v>2467</v>
      </c>
      <c r="G1190" s="5">
        <v>4548030531393</v>
      </c>
      <c r="H1190" s="5"/>
      <c r="I1190" s="5"/>
      <c r="J1190" s="5">
        <v>1</v>
      </c>
      <c r="K1190" s="5">
        <v>1</v>
      </c>
      <c r="L1190" s="4">
        <v>655</v>
      </c>
      <c r="M1190" s="4">
        <v>584</v>
      </c>
      <c r="N1190" s="4">
        <v>459</v>
      </c>
      <c r="O1190" s="6">
        <f t="shared" si="179"/>
        <v>0.21404109589041098</v>
      </c>
      <c r="P1190" s="4" t="s">
        <v>2500</v>
      </c>
      <c r="Q1190" s="4"/>
      <c r="R1190" s="4"/>
      <c r="S1190" s="4"/>
      <c r="T1190" s="4"/>
      <c r="U1190" s="4"/>
      <c r="V1190" s="4"/>
      <c r="W1190" s="4"/>
      <c r="X1190" s="4"/>
      <c r="Y1190" s="4">
        <v>655</v>
      </c>
      <c r="Z1190" s="4">
        <f t="shared" si="180"/>
        <v>655</v>
      </c>
      <c r="AA1190" s="4">
        <v>459</v>
      </c>
      <c r="AB1190" s="4">
        <f t="shared" si="181"/>
        <v>459</v>
      </c>
      <c r="AC1190" s="4"/>
      <c r="AD1190" s="21">
        <f>ROUND(M1190*AR1190,0)</f>
        <v>584</v>
      </c>
      <c r="AE1190" s="6">
        <f>1-AB1190/AD1190</f>
        <v>0.21404109589041098</v>
      </c>
      <c r="AF1190" s="33">
        <v>0</v>
      </c>
      <c r="AG1190" s="4">
        <f t="shared" si="182"/>
        <v>745</v>
      </c>
      <c r="AH1190" s="33">
        <f t="shared" si="175"/>
        <v>745</v>
      </c>
      <c r="AI1190" s="6">
        <f>1-AB1190/AH1190</f>
        <v>0.38389261744966441</v>
      </c>
      <c r="AJ1190" s="7">
        <v>655</v>
      </c>
      <c r="AK1190" s="6">
        <f>1-AB1190/AJ1190</f>
        <v>0.29923664122137406</v>
      </c>
      <c r="AL1190" s="4">
        <f>AJ1190-AB1190</f>
        <v>196</v>
      </c>
      <c r="AM1190" s="28"/>
      <c r="AN1190" s="6"/>
      <c r="AO1190" s="6"/>
      <c r="AP1190" s="6">
        <f>Z1190/L1190</f>
        <v>1</v>
      </c>
      <c r="AQ1190" s="6">
        <f>AJ1190/M1190</f>
        <v>1.1215753424657535</v>
      </c>
      <c r="AR1190" s="6">
        <f>AB1190/N1190</f>
        <v>1</v>
      </c>
      <c r="AS1190" s="4"/>
      <c r="AT1190" s="4"/>
      <c r="AU1190" s="4"/>
      <c r="AV1190" s="4"/>
      <c r="AW1190" s="4"/>
      <c r="AX1190" s="4"/>
      <c r="AY1190" s="4"/>
      <c r="AZ1190" s="4"/>
      <c r="BA1190" s="4"/>
      <c r="BB1190" s="4">
        <v>0</v>
      </c>
      <c r="BC1190" s="4" t="s">
        <v>4659</v>
      </c>
      <c r="BD1190" s="4">
        <v>1</v>
      </c>
      <c r="BE1190" s="4">
        <v>2</v>
      </c>
      <c r="BF1190" s="4" t="s">
        <v>3640</v>
      </c>
      <c r="BG1190" s="4">
        <v>1490</v>
      </c>
      <c r="BH1190" s="4">
        <v>1490</v>
      </c>
      <c r="BI1190" s="4">
        <f t="shared" si="183"/>
        <v>745</v>
      </c>
      <c r="BJ1190" s="19">
        <v>4</v>
      </c>
      <c r="BK1190" s="19">
        <v>8</v>
      </c>
      <c r="BL1190" s="16">
        <v>6</v>
      </c>
      <c r="BM1190" s="45" t="s">
        <v>3534</v>
      </c>
      <c r="BN1190" t="s">
        <v>3534</v>
      </c>
      <c r="BO1190" t="str">
        <f t="shared" si="176"/>
        <v>-</v>
      </c>
      <c r="BP1190" t="s">
        <v>3534</v>
      </c>
      <c r="BQ1190">
        <v>655</v>
      </c>
      <c r="BR1190">
        <f t="shared" si="177"/>
        <v>655</v>
      </c>
      <c r="BS1190" t="s">
        <v>3506</v>
      </c>
    </row>
    <row r="1191" spans="1:71" x14ac:dyDescent="0.4">
      <c r="A1191" s="3">
        <v>1188</v>
      </c>
      <c r="B1191" s="3">
        <v>1188</v>
      </c>
      <c r="C1191" s="4" t="s">
        <v>1250</v>
      </c>
      <c r="D1191" s="4" t="str">
        <f t="shared" si="178"/>
        <v>J953LY</v>
      </c>
      <c r="E1191" s="4" t="s">
        <v>1250</v>
      </c>
      <c r="F1191" s="4" t="s">
        <v>2468</v>
      </c>
      <c r="G1191" s="5">
        <v>4548030531447</v>
      </c>
      <c r="H1191" s="5"/>
      <c r="I1191" s="5"/>
      <c r="J1191" s="5">
        <v>1</v>
      </c>
      <c r="K1191" s="5">
        <v>1</v>
      </c>
      <c r="L1191" s="4">
        <v>3091</v>
      </c>
      <c r="M1191" s="4">
        <v>2705</v>
      </c>
      <c r="N1191" s="4">
        <v>2164</v>
      </c>
      <c r="O1191" s="6">
        <f t="shared" si="179"/>
        <v>0.19999999999999996</v>
      </c>
      <c r="P1191" s="4" t="s">
        <v>2500</v>
      </c>
      <c r="Q1191" s="4"/>
      <c r="R1191" s="4"/>
      <c r="S1191" s="4"/>
      <c r="T1191" s="4"/>
      <c r="U1191" s="4"/>
      <c r="V1191" s="4"/>
      <c r="W1191" s="4"/>
      <c r="X1191" s="4"/>
      <c r="Y1191" s="4">
        <v>3091</v>
      </c>
      <c r="Z1191" s="4">
        <f t="shared" si="180"/>
        <v>3091</v>
      </c>
      <c r="AA1191" s="4">
        <v>2164</v>
      </c>
      <c r="AB1191" s="4">
        <f t="shared" si="181"/>
        <v>2164</v>
      </c>
      <c r="AC1191" s="4"/>
      <c r="AD1191" s="21">
        <f>ROUND(M1191*AR1191,0)</f>
        <v>2705</v>
      </c>
      <c r="AE1191" s="6">
        <f>1-AB1191/AD1191</f>
        <v>0.19999999999999996</v>
      </c>
      <c r="AF1191" s="33">
        <v>0</v>
      </c>
      <c r="AG1191" s="4">
        <f t="shared" si="182"/>
        <v>2800</v>
      </c>
      <c r="AH1191" s="33">
        <f t="shared" si="175"/>
        <v>2800</v>
      </c>
      <c r="AI1191" s="6">
        <f>1-AB1191/AH1191</f>
        <v>0.22714285714285709</v>
      </c>
      <c r="AJ1191" s="7">
        <v>3091</v>
      </c>
      <c r="AK1191" s="6">
        <f>1-AB1191/AJ1191</f>
        <v>0.29990294403105788</v>
      </c>
      <c r="AL1191" s="4">
        <f>AJ1191-AB1191</f>
        <v>927</v>
      </c>
      <c r="AM1191" s="28"/>
      <c r="AN1191" s="6"/>
      <c r="AO1191" s="6"/>
      <c r="AP1191" s="6">
        <f>Z1191/L1191</f>
        <v>1</v>
      </c>
      <c r="AQ1191" s="6">
        <f>AJ1191/M1191</f>
        <v>1.1426987060998151</v>
      </c>
      <c r="AR1191" s="6">
        <f>AB1191/N1191</f>
        <v>1</v>
      </c>
      <c r="AS1191" s="4"/>
      <c r="AT1191" s="4"/>
      <c r="AU1191" s="4"/>
      <c r="AV1191" s="4"/>
      <c r="AW1191" s="4"/>
      <c r="AX1191" s="4"/>
      <c r="AY1191" s="4"/>
      <c r="AZ1191" s="4"/>
      <c r="BA1191" s="4"/>
      <c r="BB1191" s="4">
        <v>0</v>
      </c>
      <c r="BC1191" s="4" t="s">
        <v>4660</v>
      </c>
      <c r="BD1191" s="4"/>
      <c r="BE1191" s="4"/>
      <c r="BF1191" s="4" t="s">
        <v>3545</v>
      </c>
      <c r="BG1191" s="4">
        <v>2800</v>
      </c>
      <c r="BH1191" s="4">
        <v>2800</v>
      </c>
      <c r="BI1191" s="4">
        <f t="shared" si="183"/>
        <v>2800</v>
      </c>
      <c r="BJ1191" s="19">
        <v>4</v>
      </c>
      <c r="BK1191" s="19">
        <v>8</v>
      </c>
      <c r="BL1191" s="16">
        <v>6</v>
      </c>
      <c r="BM1191" s="45" t="s">
        <v>3534</v>
      </c>
      <c r="BN1191" t="s">
        <v>3534</v>
      </c>
      <c r="BO1191" t="str">
        <f t="shared" si="176"/>
        <v>-</v>
      </c>
      <c r="BP1191" t="s">
        <v>3534</v>
      </c>
      <c r="BQ1191">
        <v>2945</v>
      </c>
      <c r="BR1191">
        <f t="shared" si="177"/>
        <v>2945</v>
      </c>
      <c r="BS1191" t="s">
        <v>3507</v>
      </c>
    </row>
    <row r="1192" spans="1:71" x14ac:dyDescent="0.4">
      <c r="A1192" s="3">
        <v>1189</v>
      </c>
      <c r="B1192" s="3">
        <v>1189</v>
      </c>
      <c r="C1192" s="4" t="s">
        <v>1251</v>
      </c>
      <c r="D1192" s="4" t="str">
        <f t="shared" si="178"/>
        <v>J954LY</v>
      </c>
      <c r="E1192" s="4" t="s">
        <v>1251</v>
      </c>
      <c r="F1192" s="4" t="s">
        <v>2469</v>
      </c>
      <c r="G1192" s="5">
        <v>4548030531485</v>
      </c>
      <c r="H1192" s="5"/>
      <c r="I1192" s="5"/>
      <c r="J1192" s="5">
        <v>1</v>
      </c>
      <c r="K1192" s="5">
        <v>1</v>
      </c>
      <c r="L1192" s="4">
        <v>2882</v>
      </c>
      <c r="M1192" s="4">
        <v>2882</v>
      </c>
      <c r="N1192" s="4">
        <v>2306</v>
      </c>
      <c r="O1192" s="6">
        <f t="shared" si="179"/>
        <v>0.1998612074947953</v>
      </c>
      <c r="P1192" s="4" t="s">
        <v>2500</v>
      </c>
      <c r="Q1192" s="4"/>
      <c r="R1192" s="4"/>
      <c r="S1192" s="4"/>
      <c r="T1192" s="4"/>
      <c r="U1192" s="4"/>
      <c r="V1192" s="4"/>
      <c r="W1192" s="4"/>
      <c r="X1192" s="4"/>
      <c r="Y1192" s="4">
        <v>2882</v>
      </c>
      <c r="Z1192" s="4">
        <f t="shared" si="180"/>
        <v>2882</v>
      </c>
      <c r="AA1192" s="4">
        <v>2306</v>
      </c>
      <c r="AB1192" s="4">
        <f t="shared" si="181"/>
        <v>2306</v>
      </c>
      <c r="AC1192" s="4"/>
      <c r="AD1192" s="21">
        <f>ROUND(M1192*AR1192,0)</f>
        <v>2882</v>
      </c>
      <c r="AE1192" s="6">
        <f>1-AB1192/AD1192</f>
        <v>0.1998612074947953</v>
      </c>
      <c r="AF1192" s="33">
        <v>0</v>
      </c>
      <c r="AG1192" s="4">
        <f t="shared" si="182"/>
        <v>3114</v>
      </c>
      <c r="AH1192" s="33">
        <f t="shared" si="175"/>
        <v>3114</v>
      </c>
      <c r="AI1192" s="6">
        <f>1-AB1192/AH1192</f>
        <v>0.25947334617854845</v>
      </c>
      <c r="AJ1192" s="7">
        <v>2882</v>
      </c>
      <c r="AK1192" s="6">
        <f>1-AB1192/AJ1192</f>
        <v>0.1998612074947953</v>
      </c>
      <c r="AL1192" s="4">
        <f>AJ1192-AB1192</f>
        <v>576</v>
      </c>
      <c r="AM1192" s="28"/>
      <c r="AN1192" s="6"/>
      <c r="AO1192" s="6"/>
      <c r="AP1192" s="6">
        <f>Z1192/L1192</f>
        <v>1</v>
      </c>
      <c r="AQ1192" s="6">
        <f>AJ1192/M1192</f>
        <v>1</v>
      </c>
      <c r="AR1192" s="6">
        <f>AB1192/N1192</f>
        <v>1</v>
      </c>
      <c r="AS1192" s="4"/>
      <c r="AT1192" s="4"/>
      <c r="AU1192" s="4"/>
      <c r="AV1192" s="4"/>
      <c r="AW1192" s="4"/>
      <c r="AX1192" s="4"/>
      <c r="AY1192" s="4"/>
      <c r="AZ1192" s="4"/>
      <c r="BA1192" s="4"/>
      <c r="BB1192" s="4">
        <v>0</v>
      </c>
      <c r="BC1192" s="4" t="s">
        <v>4661</v>
      </c>
      <c r="BD1192" s="4"/>
      <c r="BE1192" s="4"/>
      <c r="BF1192" s="4" t="s">
        <v>3545</v>
      </c>
      <c r="BG1192" s="4">
        <v>3114</v>
      </c>
      <c r="BH1192" s="4">
        <v>3114</v>
      </c>
      <c r="BI1192" s="4">
        <f t="shared" si="183"/>
        <v>3114</v>
      </c>
      <c r="BJ1192" s="19">
        <v>4</v>
      </c>
      <c r="BK1192" s="19">
        <v>8</v>
      </c>
      <c r="BL1192" s="16">
        <v>6</v>
      </c>
      <c r="BM1192" s="45" t="s">
        <v>3534</v>
      </c>
      <c r="BN1192" t="s">
        <v>3534</v>
      </c>
      <c r="BO1192" t="str">
        <f t="shared" si="176"/>
        <v>-</v>
      </c>
      <c r="BP1192" t="s">
        <v>3534</v>
      </c>
      <c r="BQ1192">
        <v>2882</v>
      </c>
      <c r="BR1192">
        <f t="shared" si="177"/>
        <v>2882</v>
      </c>
      <c r="BS1192" t="s">
        <v>3508</v>
      </c>
    </row>
    <row r="1193" spans="1:71" x14ac:dyDescent="0.4">
      <c r="A1193" s="3">
        <v>1190</v>
      </c>
      <c r="B1193" s="3">
        <v>1190</v>
      </c>
      <c r="C1193" s="4" t="s">
        <v>1252</v>
      </c>
      <c r="D1193" s="4" t="str">
        <f t="shared" si="178"/>
        <v>J955LY</v>
      </c>
      <c r="E1193" s="4" t="s">
        <v>1252</v>
      </c>
      <c r="F1193" s="4" t="s">
        <v>2470</v>
      </c>
      <c r="G1193" s="5">
        <v>4548030531492</v>
      </c>
      <c r="H1193" s="5"/>
      <c r="I1193" s="5"/>
      <c r="J1193" s="5">
        <v>1</v>
      </c>
      <c r="K1193" s="5">
        <v>1</v>
      </c>
      <c r="L1193" s="4">
        <v>1182</v>
      </c>
      <c r="M1193" s="4">
        <v>1182</v>
      </c>
      <c r="N1193" s="4">
        <v>946</v>
      </c>
      <c r="O1193" s="6">
        <f t="shared" si="179"/>
        <v>0.19966159052453469</v>
      </c>
      <c r="P1193" s="4" t="s">
        <v>2500</v>
      </c>
      <c r="Q1193" s="4"/>
      <c r="R1193" s="4"/>
      <c r="S1193" s="4"/>
      <c r="T1193" s="4"/>
      <c r="U1193" s="4"/>
      <c r="V1193" s="4"/>
      <c r="W1193" s="4"/>
      <c r="X1193" s="4"/>
      <c r="Y1193" s="4">
        <v>1182</v>
      </c>
      <c r="Z1193" s="4">
        <f t="shared" si="180"/>
        <v>1182</v>
      </c>
      <c r="AA1193" s="4">
        <v>946</v>
      </c>
      <c r="AB1193" s="4">
        <f t="shared" si="181"/>
        <v>946</v>
      </c>
      <c r="AC1193" s="4"/>
      <c r="AD1193" s="21">
        <f>ROUND(M1193*AR1193,0)</f>
        <v>1182</v>
      </c>
      <c r="AE1193" s="6">
        <f>1-AB1193/AD1193</f>
        <v>0.19966159052453469</v>
      </c>
      <c r="AF1193" s="33">
        <v>0</v>
      </c>
      <c r="AG1193" s="4">
        <f t="shared" si="182"/>
        <v>1301</v>
      </c>
      <c r="AH1193" s="33">
        <f t="shared" si="175"/>
        <v>1301</v>
      </c>
      <c r="AI1193" s="6">
        <f>1-AB1193/AH1193</f>
        <v>0.27286702536510377</v>
      </c>
      <c r="AJ1193" s="7">
        <v>1182</v>
      </c>
      <c r="AK1193" s="6">
        <f>1-AB1193/AJ1193</f>
        <v>0.19966159052453469</v>
      </c>
      <c r="AL1193" s="4">
        <f>AJ1193-AB1193</f>
        <v>236</v>
      </c>
      <c r="AM1193" s="28"/>
      <c r="AN1193" s="6"/>
      <c r="AO1193" s="6"/>
      <c r="AP1193" s="6">
        <f>Z1193/L1193</f>
        <v>1</v>
      </c>
      <c r="AQ1193" s="6">
        <f>AJ1193/M1193</f>
        <v>1</v>
      </c>
      <c r="AR1193" s="6">
        <f>AB1193/N1193</f>
        <v>1</v>
      </c>
      <c r="AS1193" s="4"/>
      <c r="AT1193" s="4"/>
      <c r="AU1193" s="4"/>
      <c r="AV1193" s="4"/>
      <c r="AW1193" s="4"/>
      <c r="AX1193" s="4"/>
      <c r="AY1193" s="4"/>
      <c r="AZ1193" s="4"/>
      <c r="BA1193" s="4"/>
      <c r="BB1193" s="4">
        <v>0</v>
      </c>
      <c r="BC1193" s="4" t="s">
        <v>4662</v>
      </c>
      <c r="BD1193" s="4"/>
      <c r="BE1193" s="4"/>
      <c r="BF1193" s="4" t="s">
        <v>3545</v>
      </c>
      <c r="BG1193" s="4">
        <v>1301</v>
      </c>
      <c r="BH1193" s="4">
        <v>1301</v>
      </c>
      <c r="BI1193" s="4">
        <f t="shared" si="183"/>
        <v>1301</v>
      </c>
      <c r="BJ1193" s="19">
        <v>4</v>
      </c>
      <c r="BK1193" s="19">
        <v>8</v>
      </c>
      <c r="BL1193" s="16">
        <v>6</v>
      </c>
      <c r="BM1193" s="45" t="s">
        <v>3534</v>
      </c>
      <c r="BN1193" t="s">
        <v>3534</v>
      </c>
      <c r="BO1193" t="str">
        <f t="shared" si="176"/>
        <v>-</v>
      </c>
      <c r="BP1193" t="s">
        <v>3534</v>
      </c>
      <c r="BQ1193">
        <v>1182</v>
      </c>
      <c r="BR1193">
        <f t="shared" si="177"/>
        <v>1182</v>
      </c>
      <c r="BS1193" t="s">
        <v>3509</v>
      </c>
    </row>
    <row r="1194" spans="1:71" x14ac:dyDescent="0.4">
      <c r="A1194" s="3">
        <v>1191</v>
      </c>
      <c r="B1194" s="3">
        <v>1191</v>
      </c>
      <c r="C1194" s="4" t="s">
        <v>1253</v>
      </c>
      <c r="D1194" s="4" t="str">
        <f t="shared" si="178"/>
        <v>J952LY</v>
      </c>
      <c r="E1194" s="4" t="s">
        <v>1253</v>
      </c>
      <c r="F1194" s="4" t="s">
        <v>2471</v>
      </c>
      <c r="G1194" s="5">
        <v>4548030531430</v>
      </c>
      <c r="H1194" s="5"/>
      <c r="I1194" s="5"/>
      <c r="J1194" s="5">
        <v>1</v>
      </c>
      <c r="K1194" s="5">
        <v>1</v>
      </c>
      <c r="L1194" s="4">
        <v>45000</v>
      </c>
      <c r="M1194" s="4">
        <v>39400</v>
      </c>
      <c r="N1194" s="4">
        <v>31500</v>
      </c>
      <c r="O1194" s="6">
        <f t="shared" si="179"/>
        <v>0.20050761421319796</v>
      </c>
      <c r="P1194" s="4" t="s">
        <v>2500</v>
      </c>
      <c r="Q1194" s="4"/>
      <c r="R1194" s="4"/>
      <c r="S1194" s="4"/>
      <c r="T1194" s="4"/>
      <c r="U1194" s="4"/>
      <c r="V1194" s="4"/>
      <c r="W1194" s="4"/>
      <c r="X1194" s="4"/>
      <c r="Y1194" s="4">
        <v>45000</v>
      </c>
      <c r="Z1194" s="4">
        <f t="shared" si="180"/>
        <v>45000</v>
      </c>
      <c r="AA1194" s="4">
        <v>31500</v>
      </c>
      <c r="AB1194" s="4">
        <f t="shared" si="181"/>
        <v>31500</v>
      </c>
      <c r="AC1194" s="4"/>
      <c r="AD1194" s="21">
        <f>ROUND(M1194*AR1194,0)</f>
        <v>39400</v>
      </c>
      <c r="AE1194" s="6">
        <f>1-AB1194/AD1194</f>
        <v>0.20050761421319796</v>
      </c>
      <c r="AF1194" s="33">
        <v>0</v>
      </c>
      <c r="AG1194" s="4">
        <f t="shared" si="182"/>
        <v>46000</v>
      </c>
      <c r="AH1194" s="33">
        <f t="shared" si="175"/>
        <v>46000</v>
      </c>
      <c r="AI1194" s="6">
        <f>1-AB1194/AH1194</f>
        <v>0.31521739130434778</v>
      </c>
      <c r="AJ1194" s="7">
        <v>45000</v>
      </c>
      <c r="AK1194" s="6">
        <f>1-AB1194/AJ1194</f>
        <v>0.30000000000000004</v>
      </c>
      <c r="AL1194" s="4">
        <f>AJ1194-AB1194</f>
        <v>13500</v>
      </c>
      <c r="AM1194" s="28"/>
      <c r="AN1194" s="6"/>
      <c r="AO1194" s="6"/>
      <c r="AP1194" s="6">
        <f>Z1194/L1194</f>
        <v>1</v>
      </c>
      <c r="AQ1194" s="6">
        <f>AJ1194/M1194</f>
        <v>1.1421319796954315</v>
      </c>
      <c r="AR1194" s="6">
        <f>AB1194/N1194</f>
        <v>1</v>
      </c>
      <c r="AS1194" s="4"/>
      <c r="AT1194" s="4"/>
      <c r="AU1194" s="4"/>
      <c r="AV1194" s="4"/>
      <c r="AW1194" s="4"/>
      <c r="AX1194" s="4"/>
      <c r="AY1194" s="4"/>
      <c r="AZ1194" s="4"/>
      <c r="BA1194" s="4"/>
      <c r="BB1194" s="4">
        <v>0</v>
      </c>
      <c r="BC1194" s="4" t="s">
        <v>4663</v>
      </c>
      <c r="BD1194" s="4"/>
      <c r="BE1194" s="4"/>
      <c r="BF1194" s="4" t="s">
        <v>3874</v>
      </c>
      <c r="BG1194" s="4">
        <v>46000</v>
      </c>
      <c r="BH1194" s="4">
        <v>46000</v>
      </c>
      <c r="BI1194" s="4">
        <f t="shared" si="183"/>
        <v>46000</v>
      </c>
      <c r="BJ1194" s="19">
        <v>4</v>
      </c>
      <c r="BK1194" s="19">
        <v>8</v>
      </c>
      <c r="BL1194" s="16">
        <v>6</v>
      </c>
      <c r="BM1194" s="45" t="s">
        <v>3534</v>
      </c>
      <c r="BN1194" t="s">
        <v>3534</v>
      </c>
      <c r="BO1194" t="str">
        <f t="shared" si="176"/>
        <v>-</v>
      </c>
      <c r="BP1194">
        <v>45000</v>
      </c>
      <c r="BQ1194">
        <v>45000</v>
      </c>
      <c r="BR1194">
        <f t="shared" si="177"/>
        <v>45000</v>
      </c>
      <c r="BS1194" t="s">
        <v>3510</v>
      </c>
    </row>
    <row r="1195" spans="1:71" x14ac:dyDescent="0.4">
      <c r="A1195" s="3">
        <v>1192</v>
      </c>
      <c r="B1195" s="3">
        <v>1192</v>
      </c>
      <c r="C1195" s="4" t="s">
        <v>1254</v>
      </c>
      <c r="D1195" s="4" t="str">
        <f t="shared" si="178"/>
        <v>J959LY</v>
      </c>
      <c r="E1195" s="4" t="s">
        <v>1254</v>
      </c>
      <c r="F1195" s="4" t="s">
        <v>2472</v>
      </c>
      <c r="G1195" s="5">
        <v>4548030540135</v>
      </c>
      <c r="H1195" s="5"/>
      <c r="I1195" s="5"/>
      <c r="J1195" s="5">
        <v>1</v>
      </c>
      <c r="K1195" s="5">
        <v>1</v>
      </c>
      <c r="L1195" s="4">
        <v>546</v>
      </c>
      <c r="M1195" s="4">
        <v>546</v>
      </c>
      <c r="N1195" s="4">
        <v>437</v>
      </c>
      <c r="O1195" s="6">
        <f t="shared" si="179"/>
        <v>0.19963369963369959</v>
      </c>
      <c r="P1195" s="4" t="s">
        <v>2500</v>
      </c>
      <c r="Q1195" s="4"/>
      <c r="R1195" s="4"/>
      <c r="S1195" s="4"/>
      <c r="T1195" s="4"/>
      <c r="U1195" s="4"/>
      <c r="V1195" s="4"/>
      <c r="W1195" s="4"/>
      <c r="X1195" s="4"/>
      <c r="Y1195" s="4">
        <v>546</v>
      </c>
      <c r="Z1195" s="4">
        <f t="shared" si="180"/>
        <v>546</v>
      </c>
      <c r="AA1195" s="4">
        <v>437</v>
      </c>
      <c r="AB1195" s="4">
        <f t="shared" si="181"/>
        <v>437</v>
      </c>
      <c r="AC1195" s="4"/>
      <c r="AD1195" s="21">
        <f>ROUND(M1195*AR1195,0)</f>
        <v>546</v>
      </c>
      <c r="AE1195" s="6">
        <f>1-AB1195/AD1195</f>
        <v>0.19963369963369959</v>
      </c>
      <c r="AF1195" s="33">
        <v>0</v>
      </c>
      <c r="AG1195" s="4">
        <f t="shared" si="182"/>
        <v>590</v>
      </c>
      <c r="AH1195" s="33">
        <f t="shared" si="175"/>
        <v>590</v>
      </c>
      <c r="AI1195" s="6">
        <f>1-AB1195/AH1195</f>
        <v>0.2593220338983051</v>
      </c>
      <c r="AJ1195" s="7">
        <v>546</v>
      </c>
      <c r="AK1195" s="6">
        <f>1-AB1195/AJ1195</f>
        <v>0.19963369963369959</v>
      </c>
      <c r="AL1195" s="4">
        <f>AJ1195-AB1195</f>
        <v>109</v>
      </c>
      <c r="AM1195" s="28"/>
      <c r="AN1195" s="6"/>
      <c r="AO1195" s="6"/>
      <c r="AP1195" s="6">
        <f>Z1195/L1195</f>
        <v>1</v>
      </c>
      <c r="AQ1195" s="6">
        <f>AJ1195/M1195</f>
        <v>1</v>
      </c>
      <c r="AR1195" s="6">
        <f>AB1195/N1195</f>
        <v>1</v>
      </c>
      <c r="AS1195" s="4"/>
      <c r="AT1195" s="4"/>
      <c r="AU1195" s="4"/>
      <c r="AV1195" s="4"/>
      <c r="AW1195" s="4"/>
      <c r="AX1195" s="4"/>
      <c r="AY1195" s="4"/>
      <c r="AZ1195" s="4"/>
      <c r="BA1195" s="4"/>
      <c r="BB1195" s="4">
        <v>0</v>
      </c>
      <c r="BC1195" s="4" t="s">
        <v>4664</v>
      </c>
      <c r="BD1195" s="4">
        <v>1</v>
      </c>
      <c r="BE1195" s="4">
        <v>4</v>
      </c>
      <c r="BF1195" s="4" t="s">
        <v>3933</v>
      </c>
      <c r="BG1195" s="4">
        <v>2360</v>
      </c>
      <c r="BH1195" s="4">
        <v>2360</v>
      </c>
      <c r="BI1195" s="4">
        <f t="shared" si="183"/>
        <v>590</v>
      </c>
      <c r="BJ1195" s="19">
        <v>4</v>
      </c>
      <c r="BK1195" s="19">
        <v>8</v>
      </c>
      <c r="BL1195" s="16">
        <v>6</v>
      </c>
      <c r="BM1195" s="45" t="s">
        <v>3534</v>
      </c>
      <c r="BN1195" t="s">
        <v>3534</v>
      </c>
      <c r="BO1195" t="str">
        <f t="shared" si="176"/>
        <v>-</v>
      </c>
      <c r="BP1195" t="s">
        <v>3534</v>
      </c>
      <c r="BQ1195">
        <v>546</v>
      </c>
      <c r="BR1195">
        <f t="shared" si="177"/>
        <v>546</v>
      </c>
      <c r="BS1195" t="s">
        <v>3511</v>
      </c>
    </row>
    <row r="1196" spans="1:71" x14ac:dyDescent="0.4">
      <c r="A1196" s="3">
        <v>1193</v>
      </c>
      <c r="B1196" s="3">
        <v>1193</v>
      </c>
      <c r="C1196" s="4" t="s">
        <v>1255</v>
      </c>
      <c r="D1196" s="4" t="str">
        <f t="shared" si="178"/>
        <v>J958LY</v>
      </c>
      <c r="E1196" s="4" t="s">
        <v>1255</v>
      </c>
      <c r="F1196" s="4" t="s">
        <v>2473</v>
      </c>
      <c r="G1196" s="5">
        <v>4548030532116</v>
      </c>
      <c r="H1196" s="5"/>
      <c r="I1196" s="5"/>
      <c r="J1196" s="5">
        <v>1</v>
      </c>
      <c r="K1196" s="5">
        <v>1</v>
      </c>
      <c r="L1196" s="4">
        <v>391</v>
      </c>
      <c r="M1196" s="4">
        <v>391</v>
      </c>
      <c r="N1196" s="4">
        <v>313</v>
      </c>
      <c r="O1196" s="6">
        <f t="shared" si="179"/>
        <v>0.19948849104859334</v>
      </c>
      <c r="P1196" s="4" t="s">
        <v>2500</v>
      </c>
      <c r="Q1196" s="4"/>
      <c r="R1196" s="4"/>
      <c r="S1196" s="4"/>
      <c r="T1196" s="4"/>
      <c r="U1196" s="4"/>
      <c r="V1196" s="4"/>
      <c r="W1196" s="4"/>
      <c r="X1196" s="4"/>
      <c r="Y1196" s="4">
        <v>391</v>
      </c>
      <c r="Z1196" s="4">
        <f t="shared" si="180"/>
        <v>391</v>
      </c>
      <c r="AA1196" s="4">
        <v>313</v>
      </c>
      <c r="AB1196" s="4">
        <f t="shared" si="181"/>
        <v>313</v>
      </c>
      <c r="AC1196" s="4"/>
      <c r="AD1196" s="21">
        <f>ROUND(M1196*AR1196,0)</f>
        <v>391</v>
      </c>
      <c r="AE1196" s="6">
        <f>1-AB1196/AD1196</f>
        <v>0.19948849104859334</v>
      </c>
      <c r="AF1196" s="33">
        <v>0</v>
      </c>
      <c r="AG1196" s="4">
        <f t="shared" si="182"/>
        <v>422.33333333333331</v>
      </c>
      <c r="AH1196" s="33">
        <f t="shared" si="175"/>
        <v>422.33333333333331</v>
      </c>
      <c r="AI1196" s="6">
        <f>1-AB1196/AH1196</f>
        <v>0.25887924230465664</v>
      </c>
      <c r="AJ1196" s="7">
        <v>391</v>
      </c>
      <c r="AK1196" s="6">
        <f>1-AB1196/AJ1196</f>
        <v>0.19948849104859334</v>
      </c>
      <c r="AL1196" s="4">
        <f>AJ1196-AB1196</f>
        <v>78</v>
      </c>
      <c r="AM1196" s="28"/>
      <c r="AN1196" s="6"/>
      <c r="AO1196" s="6"/>
      <c r="AP1196" s="6">
        <f>Z1196/L1196</f>
        <v>1</v>
      </c>
      <c r="AQ1196" s="6">
        <f>AJ1196/M1196</f>
        <v>1</v>
      </c>
      <c r="AR1196" s="6">
        <f>AB1196/N1196</f>
        <v>1</v>
      </c>
      <c r="AS1196" s="4"/>
      <c r="AT1196" s="4"/>
      <c r="AU1196" s="4"/>
      <c r="AV1196" s="4"/>
      <c r="AW1196" s="4"/>
      <c r="AX1196" s="4"/>
      <c r="AY1196" s="4"/>
      <c r="AZ1196" s="4"/>
      <c r="BA1196" s="4"/>
      <c r="BB1196" s="4">
        <v>0</v>
      </c>
      <c r="BC1196" s="4" t="s">
        <v>4665</v>
      </c>
      <c r="BD1196" s="4">
        <v>1</v>
      </c>
      <c r="BE1196" s="4">
        <v>3</v>
      </c>
      <c r="BF1196" s="4" t="s">
        <v>3638</v>
      </c>
      <c r="BG1196" s="4">
        <v>1267</v>
      </c>
      <c r="BH1196" s="4">
        <v>1267</v>
      </c>
      <c r="BI1196" s="4">
        <f t="shared" si="183"/>
        <v>422.33333333333331</v>
      </c>
      <c r="BJ1196" s="19">
        <v>4</v>
      </c>
      <c r="BK1196" s="19">
        <v>8</v>
      </c>
      <c r="BL1196" s="16">
        <v>6</v>
      </c>
      <c r="BM1196" s="45" t="s">
        <v>3534</v>
      </c>
      <c r="BN1196" t="s">
        <v>3534</v>
      </c>
      <c r="BO1196" t="str">
        <f t="shared" si="176"/>
        <v>-</v>
      </c>
      <c r="BP1196" t="s">
        <v>3534</v>
      </c>
      <c r="BQ1196">
        <v>391</v>
      </c>
      <c r="BR1196">
        <f t="shared" si="177"/>
        <v>391</v>
      </c>
      <c r="BS1196" t="s">
        <v>3512</v>
      </c>
    </row>
    <row r="1197" spans="1:71" x14ac:dyDescent="0.4">
      <c r="A1197" s="3">
        <v>1194</v>
      </c>
      <c r="B1197" s="3">
        <v>1194</v>
      </c>
      <c r="C1197" s="4" t="s">
        <v>1256</v>
      </c>
      <c r="D1197" s="4" t="str">
        <f t="shared" si="178"/>
        <v>J965RR</v>
      </c>
      <c r="E1197" s="4" t="s">
        <v>1256</v>
      </c>
      <c r="F1197" s="4" t="s">
        <v>2474</v>
      </c>
      <c r="G1197" s="5">
        <v>4521718946955</v>
      </c>
      <c r="H1197" s="5"/>
      <c r="I1197" s="5"/>
      <c r="J1197" s="5">
        <v>1</v>
      </c>
      <c r="K1197" s="5">
        <v>1</v>
      </c>
      <c r="L1197" s="4">
        <v>520</v>
      </c>
      <c r="M1197" s="4">
        <v>324</v>
      </c>
      <c r="N1197" s="4">
        <v>231</v>
      </c>
      <c r="O1197" s="6">
        <f t="shared" si="179"/>
        <v>0.28703703703703709</v>
      </c>
      <c r="P1197" s="4" t="s">
        <v>2500</v>
      </c>
      <c r="Q1197" s="4"/>
      <c r="R1197" s="4"/>
      <c r="S1197" s="4"/>
      <c r="T1197" s="4"/>
      <c r="U1197" s="4"/>
      <c r="V1197" s="4"/>
      <c r="W1197" s="4"/>
      <c r="X1197" s="4"/>
      <c r="Y1197" s="4">
        <v>528</v>
      </c>
      <c r="Z1197" s="4">
        <f t="shared" si="180"/>
        <v>528</v>
      </c>
      <c r="AA1197" s="4">
        <v>238</v>
      </c>
      <c r="AB1197" s="4">
        <f t="shared" si="181"/>
        <v>238</v>
      </c>
      <c r="AC1197" s="4"/>
      <c r="AD1197" s="21">
        <f>ROUND(M1197*AR1197,0)</f>
        <v>334</v>
      </c>
      <c r="AE1197" s="6">
        <f>1-AB1197/AD1197</f>
        <v>0.28742514970059885</v>
      </c>
      <c r="AF1197" s="33">
        <v>27.500000000000004</v>
      </c>
      <c r="AG1197" s="4">
        <f t="shared" si="182"/>
        <v>403</v>
      </c>
      <c r="AH1197" s="33">
        <f t="shared" si="175"/>
        <v>415.21212121212119</v>
      </c>
      <c r="AI1197" s="6">
        <f>1-AB1197/AH1197</f>
        <v>0.42679900744416865</v>
      </c>
      <c r="AJ1197" s="7">
        <f>ROUND(AB1197/0.65,0)</f>
        <v>366</v>
      </c>
      <c r="AK1197" s="6">
        <f>1-AB1197/AJ1197</f>
        <v>0.34972677595628421</v>
      </c>
      <c r="AL1197" s="4">
        <f>AJ1197-AB1197</f>
        <v>128</v>
      </c>
      <c r="AM1197" s="28"/>
      <c r="AN1197" s="6"/>
      <c r="AO1197" s="6"/>
      <c r="AP1197" s="6">
        <f>Z1197/L1197</f>
        <v>1.0153846153846153</v>
      </c>
      <c r="AQ1197" s="6">
        <f>AJ1197/M1197</f>
        <v>1.1296296296296295</v>
      </c>
      <c r="AR1197" s="6">
        <f>AB1197/N1197</f>
        <v>1.0303030303030303</v>
      </c>
      <c r="AS1197" s="4"/>
      <c r="AT1197" s="4"/>
      <c r="AU1197" s="4"/>
      <c r="AV1197" s="4"/>
      <c r="AW1197" s="4"/>
      <c r="AX1197" s="4"/>
      <c r="AY1197" s="4"/>
      <c r="AZ1197" s="4"/>
      <c r="BA1197" s="4"/>
      <c r="BB1197" s="4">
        <v>0</v>
      </c>
      <c r="BC1197" s="4" t="s">
        <v>4666</v>
      </c>
      <c r="BD1197" s="4">
        <v>1</v>
      </c>
      <c r="BE1197" s="4">
        <v>2</v>
      </c>
      <c r="BF1197" s="4" t="s">
        <v>3834</v>
      </c>
      <c r="BG1197" s="4">
        <v>806</v>
      </c>
      <c r="BH1197" s="4">
        <v>806</v>
      </c>
      <c r="BI1197" s="4">
        <f t="shared" si="183"/>
        <v>403</v>
      </c>
      <c r="BJ1197" s="19">
        <v>4</v>
      </c>
      <c r="BK1197" s="19">
        <v>1</v>
      </c>
      <c r="BL1197" s="16">
        <v>6</v>
      </c>
      <c r="BM1197" s="45" t="s">
        <v>3534</v>
      </c>
      <c r="BN1197" t="s">
        <v>3534</v>
      </c>
      <c r="BO1197" t="str">
        <f t="shared" si="176"/>
        <v>-</v>
      </c>
      <c r="BP1197" t="s">
        <v>3534</v>
      </c>
      <c r="BQ1197">
        <v>357</v>
      </c>
      <c r="BR1197">
        <f t="shared" si="177"/>
        <v>367.81818181818181</v>
      </c>
      <c r="BS1197" t="s">
        <v>3513</v>
      </c>
    </row>
    <row r="1198" spans="1:71" x14ac:dyDescent="0.4">
      <c r="A1198" s="3">
        <v>1195</v>
      </c>
      <c r="B1198" s="3">
        <v>1195</v>
      </c>
      <c r="C1198" s="4" t="s">
        <v>1257</v>
      </c>
      <c r="D1198" s="4" t="str">
        <f t="shared" si="178"/>
        <v>JB7824</v>
      </c>
      <c r="E1198" s="4" t="s">
        <v>1257</v>
      </c>
      <c r="F1198" s="4" t="s">
        <v>2475</v>
      </c>
      <c r="G1198" s="5">
        <v>4521718510576</v>
      </c>
      <c r="H1198" s="5"/>
      <c r="I1198" s="5"/>
      <c r="J1198" s="5">
        <v>1</v>
      </c>
      <c r="K1198" s="5">
        <v>1</v>
      </c>
      <c r="L1198" s="4">
        <v>46</v>
      </c>
      <c r="M1198" s="4">
        <v>38</v>
      </c>
      <c r="N1198" s="4">
        <v>30</v>
      </c>
      <c r="O1198" s="6">
        <f t="shared" si="179"/>
        <v>0.21052631578947367</v>
      </c>
      <c r="P1198" s="4" t="s">
        <v>2500</v>
      </c>
      <c r="Q1198" s="4"/>
      <c r="R1198" s="4"/>
      <c r="S1198" s="4"/>
      <c r="T1198" s="4"/>
      <c r="U1198" s="4"/>
      <c r="V1198" s="4"/>
      <c r="W1198" s="4"/>
      <c r="X1198" s="4"/>
      <c r="Y1198" s="4">
        <v>46</v>
      </c>
      <c r="Z1198" s="4">
        <f t="shared" si="180"/>
        <v>46</v>
      </c>
      <c r="AA1198" s="4">
        <v>30</v>
      </c>
      <c r="AB1198" s="4">
        <f t="shared" si="181"/>
        <v>30</v>
      </c>
      <c r="AC1198" s="4"/>
      <c r="AD1198" s="21">
        <f>ROUND(M1198*AR1198,0)</f>
        <v>38</v>
      </c>
      <c r="AE1198" s="6">
        <f>1-AB1198/AD1198</f>
        <v>0.21052631578947367</v>
      </c>
      <c r="AF1198" s="33">
        <v>0</v>
      </c>
      <c r="AG1198" s="4">
        <f t="shared" si="182"/>
        <v>120</v>
      </c>
      <c r="AH1198" s="33">
        <f t="shared" si="175"/>
        <v>120</v>
      </c>
      <c r="AI1198" s="6">
        <f>1-AB1198/AH1198</f>
        <v>0.75</v>
      </c>
      <c r="AJ1198" s="7">
        <v>46</v>
      </c>
      <c r="AK1198" s="6">
        <f>1-AB1198/AJ1198</f>
        <v>0.34782608695652173</v>
      </c>
      <c r="AL1198" s="4">
        <f>AJ1198-AB1198</f>
        <v>16</v>
      </c>
      <c r="AM1198" s="28"/>
      <c r="AN1198" s="6"/>
      <c r="AO1198" s="6"/>
      <c r="AP1198" s="6">
        <f>Z1198/L1198</f>
        <v>1</v>
      </c>
      <c r="AQ1198" s="6">
        <f>AJ1198/M1198</f>
        <v>1.2105263157894737</v>
      </c>
      <c r="AR1198" s="6">
        <f>AB1198/N1198</f>
        <v>1</v>
      </c>
      <c r="AS1198" s="4"/>
      <c r="AT1198" s="4"/>
      <c r="AU1198" s="4"/>
      <c r="AV1198" s="4"/>
      <c r="AW1198" s="4"/>
      <c r="AX1198" s="4"/>
      <c r="AY1198" s="4"/>
      <c r="AZ1198" s="4"/>
      <c r="BA1198" s="4"/>
      <c r="BB1198" s="4">
        <v>0</v>
      </c>
      <c r="BC1198" s="4" t="s">
        <v>4667</v>
      </c>
      <c r="BD1198" s="4">
        <v>1</v>
      </c>
      <c r="BE1198" s="4">
        <v>10</v>
      </c>
      <c r="BF1198" s="4" t="s">
        <v>4405</v>
      </c>
      <c r="BG1198" s="4">
        <v>1200</v>
      </c>
      <c r="BH1198" s="4">
        <v>1200</v>
      </c>
      <c r="BI1198" s="4">
        <f t="shared" si="183"/>
        <v>120</v>
      </c>
      <c r="BJ1198" s="19">
        <v>4</v>
      </c>
      <c r="BK1198" s="19">
        <v>8</v>
      </c>
      <c r="BL1198" s="16">
        <v>19</v>
      </c>
      <c r="BM1198" s="45" t="s">
        <v>3534</v>
      </c>
      <c r="BN1198" t="s">
        <v>3534</v>
      </c>
      <c r="BO1198" t="str">
        <f t="shared" si="176"/>
        <v>-</v>
      </c>
      <c r="BP1198" t="s">
        <v>3534</v>
      </c>
      <c r="BQ1198">
        <v>46</v>
      </c>
      <c r="BR1198">
        <f t="shared" si="177"/>
        <v>46</v>
      </c>
      <c r="BS1198" t="s">
        <v>3514</v>
      </c>
    </row>
    <row r="1199" spans="1:71" x14ac:dyDescent="0.4">
      <c r="A1199" s="42">
        <v>1196</v>
      </c>
      <c r="B1199" s="3">
        <v>1196</v>
      </c>
      <c r="C1199" s="4" t="s">
        <v>1258</v>
      </c>
      <c r="D1199" s="4" t="str">
        <f t="shared" si="178"/>
        <v>JB7829</v>
      </c>
      <c r="E1199" s="4" t="s">
        <v>1258</v>
      </c>
      <c r="F1199" s="4" t="s">
        <v>2476</v>
      </c>
      <c r="G1199" s="5">
        <v>4521718510798</v>
      </c>
      <c r="H1199" s="5"/>
      <c r="I1199" s="5"/>
      <c r="J1199" s="5">
        <v>1</v>
      </c>
      <c r="K1199" s="5">
        <v>1</v>
      </c>
      <c r="L1199" s="4">
        <v>637</v>
      </c>
      <c r="M1199" s="4">
        <v>1026</v>
      </c>
      <c r="N1199" s="4">
        <v>414</v>
      </c>
      <c r="O1199" s="6">
        <f t="shared" si="179"/>
        <v>0.59649122807017552</v>
      </c>
      <c r="P1199" s="4" t="s">
        <v>2500</v>
      </c>
      <c r="Q1199" s="4"/>
      <c r="R1199" s="4"/>
      <c r="S1199" s="4"/>
      <c r="T1199" s="4"/>
      <c r="U1199" s="4"/>
      <c r="V1199" s="4"/>
      <c r="W1199" s="4"/>
      <c r="X1199" s="4"/>
      <c r="Y1199" s="4">
        <v>637</v>
      </c>
      <c r="Z1199" s="4">
        <f t="shared" si="180"/>
        <v>637</v>
      </c>
      <c r="AA1199" s="4">
        <v>414</v>
      </c>
      <c r="AB1199" s="4">
        <f t="shared" si="181"/>
        <v>414</v>
      </c>
      <c r="AC1199" s="4"/>
      <c r="AD1199" s="21">
        <f>ROUND(M1199*AR1199,0)</f>
        <v>1026</v>
      </c>
      <c r="AE1199" s="6">
        <f>1-AB1199/AD1199</f>
        <v>0.59649122807017552</v>
      </c>
      <c r="AF1199" s="33">
        <v>0</v>
      </c>
      <c r="AG1199" s="4" t="str">
        <f t="shared" si="182"/>
        <v>-</v>
      </c>
      <c r="AH1199" s="33" t="e">
        <f t="shared" si="175"/>
        <v>#VALUE!</v>
      </c>
      <c r="AI1199" s="6" t="e">
        <f>1-AB1199/AH1199</f>
        <v>#VALUE!</v>
      </c>
      <c r="AJ1199" s="7">
        <v>1200</v>
      </c>
      <c r="AK1199" s="6">
        <f>1-AB1199/AJ1199</f>
        <v>0.65500000000000003</v>
      </c>
      <c r="AL1199" s="4">
        <f>AJ1199-AB1199</f>
        <v>786</v>
      </c>
      <c r="AM1199" s="28"/>
      <c r="AN1199" s="6"/>
      <c r="AO1199" s="6"/>
      <c r="AP1199" s="6">
        <f>Z1199/L1199</f>
        <v>1</v>
      </c>
      <c r="AQ1199" s="6">
        <f>AJ1199/M1199</f>
        <v>1.1695906432748537</v>
      </c>
      <c r="AR1199" s="6">
        <f>AB1199/N1199</f>
        <v>1</v>
      </c>
      <c r="AS1199" s="4"/>
      <c r="AT1199" s="4"/>
      <c r="AU1199" s="4"/>
      <c r="AV1199" s="4"/>
      <c r="AW1199" s="4"/>
      <c r="AX1199" s="4"/>
      <c r="AY1199" s="4"/>
      <c r="AZ1199" s="4"/>
      <c r="BA1199" s="4"/>
      <c r="BB1199" s="4">
        <v>0</v>
      </c>
      <c r="BC1199" s="4" t="s">
        <v>3534</v>
      </c>
      <c r="BD1199" s="4"/>
      <c r="BE1199" s="4"/>
      <c r="BF1199" s="4" t="s">
        <v>3534</v>
      </c>
      <c r="BG1199" s="4" t="s">
        <v>3534</v>
      </c>
      <c r="BH1199" s="4" t="s">
        <v>3534</v>
      </c>
      <c r="BI1199" s="4" t="str">
        <f t="shared" si="183"/>
        <v>-</v>
      </c>
      <c r="BJ1199" s="19">
        <v>2</v>
      </c>
      <c r="BK1199" s="19">
        <v>8</v>
      </c>
      <c r="BL1199" s="16">
        <v>19</v>
      </c>
      <c r="BM1199" s="45">
        <v>14900</v>
      </c>
      <c r="BN1199">
        <v>14900</v>
      </c>
      <c r="BO1199">
        <f t="shared" si="176"/>
        <v>14900</v>
      </c>
      <c r="BP1199" t="s">
        <v>3534</v>
      </c>
      <c r="BQ1199" t="s">
        <v>3534</v>
      </c>
      <c r="BR1199" t="str">
        <f t="shared" si="177"/>
        <v>-</v>
      </c>
      <c r="BS1199" t="s">
        <v>3534</v>
      </c>
    </row>
    <row r="1200" spans="1:71" x14ac:dyDescent="0.4">
      <c r="A1200" s="42">
        <v>1197</v>
      </c>
      <c r="B1200" s="3">
        <v>1197</v>
      </c>
      <c r="C1200" s="4" t="s">
        <v>1259</v>
      </c>
      <c r="D1200" s="4" t="str">
        <f t="shared" si="178"/>
        <v>JB7830</v>
      </c>
      <c r="E1200" s="4" t="s">
        <v>1259</v>
      </c>
      <c r="F1200" s="4" t="s">
        <v>2477</v>
      </c>
      <c r="G1200" s="5">
        <v>4521718510804</v>
      </c>
      <c r="H1200" s="5"/>
      <c r="I1200" s="5"/>
      <c r="J1200" s="5">
        <v>1</v>
      </c>
      <c r="K1200" s="5">
        <v>1</v>
      </c>
      <c r="L1200" s="4">
        <v>819</v>
      </c>
      <c r="M1200" s="4">
        <v>1197</v>
      </c>
      <c r="N1200" s="4">
        <v>532</v>
      </c>
      <c r="O1200" s="6">
        <f t="shared" si="179"/>
        <v>0.55555555555555558</v>
      </c>
      <c r="P1200" s="4" t="s">
        <v>2500</v>
      </c>
      <c r="Q1200" s="4"/>
      <c r="R1200" s="4"/>
      <c r="S1200" s="4"/>
      <c r="T1200" s="4"/>
      <c r="U1200" s="4"/>
      <c r="V1200" s="4"/>
      <c r="W1200" s="4"/>
      <c r="X1200" s="4"/>
      <c r="Y1200" s="4">
        <v>819</v>
      </c>
      <c r="Z1200" s="4">
        <f t="shared" si="180"/>
        <v>819</v>
      </c>
      <c r="AA1200" s="4">
        <v>532</v>
      </c>
      <c r="AB1200" s="4">
        <f t="shared" si="181"/>
        <v>532</v>
      </c>
      <c r="AC1200" s="4"/>
      <c r="AD1200" s="21">
        <f>ROUND(M1200*AR1200,0)</f>
        <v>1197</v>
      </c>
      <c r="AE1200" s="6">
        <f>1-AB1200/AD1200</f>
        <v>0.55555555555555558</v>
      </c>
      <c r="AF1200" s="33">
        <v>0</v>
      </c>
      <c r="AG1200" s="4">
        <f t="shared" si="182"/>
        <v>1300</v>
      </c>
      <c r="AH1200" s="33">
        <f t="shared" si="175"/>
        <v>1300</v>
      </c>
      <c r="AI1200" s="6">
        <f>1-AB1200/AH1200</f>
        <v>0.59076923076923071</v>
      </c>
      <c r="AJ1200" s="7">
        <v>1300</v>
      </c>
      <c r="AK1200" s="6">
        <f>1-AB1200/AJ1200</f>
        <v>0.59076923076923071</v>
      </c>
      <c r="AL1200" s="4">
        <f>AJ1200-AB1200</f>
        <v>768</v>
      </c>
      <c r="AM1200" s="28"/>
      <c r="AN1200" s="6"/>
      <c r="AO1200" s="6"/>
      <c r="AP1200" s="6">
        <f>Z1200/L1200</f>
        <v>1</v>
      </c>
      <c r="AQ1200" s="6">
        <f>AJ1200/M1200</f>
        <v>1.086048454469507</v>
      </c>
      <c r="AR1200" s="6">
        <f>AB1200/N1200</f>
        <v>1</v>
      </c>
      <c r="AS1200" s="4"/>
      <c r="AT1200" s="4"/>
      <c r="AU1200" s="4"/>
      <c r="AV1200" s="4"/>
      <c r="AW1200" s="4"/>
      <c r="AX1200" s="4"/>
      <c r="AY1200" s="4"/>
      <c r="AZ1200" s="4"/>
      <c r="BA1200" s="4"/>
      <c r="BB1200" s="4">
        <v>0</v>
      </c>
      <c r="BC1200" s="4" t="s">
        <v>4668</v>
      </c>
      <c r="BD1200" s="4"/>
      <c r="BE1200" s="4"/>
      <c r="BF1200" s="4" t="s">
        <v>4669</v>
      </c>
      <c r="BG1200" s="4">
        <v>1300</v>
      </c>
      <c r="BH1200" s="4">
        <v>1300</v>
      </c>
      <c r="BI1200" s="4">
        <f t="shared" si="183"/>
        <v>1300</v>
      </c>
      <c r="BJ1200" s="19">
        <v>2</v>
      </c>
      <c r="BK1200" s="19">
        <v>8</v>
      </c>
      <c r="BL1200" s="16">
        <v>19</v>
      </c>
      <c r="BM1200" s="45" t="s">
        <v>3534</v>
      </c>
      <c r="BN1200" t="s">
        <v>3534</v>
      </c>
      <c r="BO1200" t="str">
        <f t="shared" si="176"/>
        <v>-</v>
      </c>
      <c r="BP1200" t="s">
        <v>3534</v>
      </c>
      <c r="BQ1200" t="s">
        <v>3534</v>
      </c>
      <c r="BR1200" t="str">
        <f t="shared" si="177"/>
        <v>-</v>
      </c>
      <c r="BS1200" t="s">
        <v>3515</v>
      </c>
    </row>
    <row r="1201" spans="1:71" x14ac:dyDescent="0.4">
      <c r="A1201" s="3">
        <v>1198</v>
      </c>
      <c r="B1201" s="3">
        <v>1198</v>
      </c>
      <c r="C1201" s="4" t="s">
        <v>1260</v>
      </c>
      <c r="D1201" s="4" t="str">
        <f t="shared" si="178"/>
        <v>JB7840</v>
      </c>
      <c r="E1201" s="4" t="s">
        <v>1260</v>
      </c>
      <c r="F1201" s="4" t="s">
        <v>2478</v>
      </c>
      <c r="G1201" s="5">
        <v>4521718511139</v>
      </c>
      <c r="H1201" s="5"/>
      <c r="I1201" s="5"/>
      <c r="J1201" s="5">
        <v>1</v>
      </c>
      <c r="K1201" s="5">
        <v>1</v>
      </c>
      <c r="L1201" s="4">
        <v>273</v>
      </c>
      <c r="M1201" s="4">
        <v>255</v>
      </c>
      <c r="N1201" s="4">
        <v>177</v>
      </c>
      <c r="O1201" s="6">
        <f t="shared" si="179"/>
        <v>0.30588235294117649</v>
      </c>
      <c r="P1201" s="4" t="s">
        <v>2500</v>
      </c>
      <c r="Q1201" s="4"/>
      <c r="R1201" s="4"/>
      <c r="S1201" s="4"/>
      <c r="T1201" s="4"/>
      <c r="U1201" s="4"/>
      <c r="V1201" s="4"/>
      <c r="W1201" s="4"/>
      <c r="X1201" s="4"/>
      <c r="Y1201" s="4">
        <v>273</v>
      </c>
      <c r="Z1201" s="4">
        <f t="shared" si="180"/>
        <v>273</v>
      </c>
      <c r="AA1201" s="4">
        <v>177</v>
      </c>
      <c r="AB1201" s="4">
        <f t="shared" si="181"/>
        <v>177</v>
      </c>
      <c r="AC1201" s="4"/>
      <c r="AD1201" s="21">
        <f>ROUND(M1201*AR1201,0)</f>
        <v>255</v>
      </c>
      <c r="AE1201" s="6">
        <f>1-AB1201/AD1201</f>
        <v>0.30588235294117649</v>
      </c>
      <c r="AF1201" s="33">
        <v>0</v>
      </c>
      <c r="AG1201" s="4">
        <f t="shared" si="182"/>
        <v>349.33333333333331</v>
      </c>
      <c r="AH1201" s="33">
        <f t="shared" si="175"/>
        <v>349.33333333333331</v>
      </c>
      <c r="AI1201" s="6">
        <f>1-AB1201/AH1201</f>
        <v>0.49332061068702282</v>
      </c>
      <c r="AJ1201" s="7">
        <f>ROUND(AB1201/0.65,0)</f>
        <v>272</v>
      </c>
      <c r="AK1201" s="6">
        <f>1-AB1201/AJ1201</f>
        <v>0.34926470588235292</v>
      </c>
      <c r="AL1201" s="4">
        <f>AJ1201-AB1201</f>
        <v>95</v>
      </c>
      <c r="AM1201" s="28"/>
      <c r="AN1201" s="6"/>
      <c r="AO1201" s="6"/>
      <c r="AP1201" s="6">
        <f>Z1201/L1201</f>
        <v>1</v>
      </c>
      <c r="AQ1201" s="6">
        <f>AJ1201/M1201</f>
        <v>1.0666666666666667</v>
      </c>
      <c r="AR1201" s="6">
        <f>AB1201/N1201</f>
        <v>1</v>
      </c>
      <c r="AS1201" s="4"/>
      <c r="AT1201" s="4"/>
      <c r="AU1201" s="4"/>
      <c r="AV1201" s="4"/>
      <c r="AW1201" s="4"/>
      <c r="AX1201" s="4"/>
      <c r="AY1201" s="4"/>
      <c r="AZ1201" s="4"/>
      <c r="BA1201" s="4"/>
      <c r="BB1201" s="4">
        <v>0</v>
      </c>
      <c r="BC1201" s="4" t="s">
        <v>4670</v>
      </c>
      <c r="BD1201" s="4">
        <v>1</v>
      </c>
      <c r="BE1201" s="4">
        <v>3</v>
      </c>
      <c r="BF1201" s="4" t="s">
        <v>4346</v>
      </c>
      <c r="BG1201" s="4">
        <v>1048</v>
      </c>
      <c r="BH1201" s="4">
        <v>1048</v>
      </c>
      <c r="BI1201" s="4">
        <f t="shared" si="183"/>
        <v>349.33333333333331</v>
      </c>
      <c r="BJ1201" s="19">
        <v>4</v>
      </c>
      <c r="BK1201" s="19">
        <v>8</v>
      </c>
      <c r="BL1201" s="16">
        <v>19</v>
      </c>
      <c r="BM1201" s="45" t="s">
        <v>3534</v>
      </c>
      <c r="BN1201" t="s">
        <v>3534</v>
      </c>
      <c r="BO1201" t="str">
        <f t="shared" si="176"/>
        <v>-</v>
      </c>
      <c r="BP1201" t="s">
        <v>3534</v>
      </c>
      <c r="BQ1201">
        <v>272</v>
      </c>
      <c r="BR1201">
        <f t="shared" si="177"/>
        <v>272</v>
      </c>
      <c r="BS1201" t="s">
        <v>3516</v>
      </c>
    </row>
    <row r="1202" spans="1:71" x14ac:dyDescent="0.4">
      <c r="A1202" s="3">
        <v>1199</v>
      </c>
      <c r="B1202" s="3">
        <v>1199</v>
      </c>
      <c r="C1202" s="4" t="s">
        <v>1261</v>
      </c>
      <c r="D1202" s="4" t="str">
        <f t="shared" si="178"/>
        <v>JB7842</v>
      </c>
      <c r="E1202" s="4" t="s">
        <v>1261</v>
      </c>
      <c r="F1202" s="4" t="s">
        <v>2479</v>
      </c>
      <c r="G1202" s="5">
        <v>4521718511580</v>
      </c>
      <c r="H1202" s="5"/>
      <c r="I1202" s="5"/>
      <c r="J1202" s="5">
        <v>1</v>
      </c>
      <c r="K1202" s="5">
        <v>1</v>
      </c>
      <c r="L1202" s="4">
        <v>1500</v>
      </c>
      <c r="M1202" s="4">
        <v>1401</v>
      </c>
      <c r="N1202" s="4">
        <v>975</v>
      </c>
      <c r="O1202" s="6">
        <f t="shared" si="179"/>
        <v>0.30406852248394001</v>
      </c>
      <c r="P1202" s="4" t="s">
        <v>2500</v>
      </c>
      <c r="Q1202" s="4"/>
      <c r="R1202" s="4"/>
      <c r="S1202" s="4"/>
      <c r="T1202" s="4"/>
      <c r="U1202" s="4"/>
      <c r="V1202" s="4"/>
      <c r="W1202" s="4"/>
      <c r="X1202" s="4"/>
      <c r="Y1202" s="4">
        <v>1200</v>
      </c>
      <c r="Z1202" s="4">
        <f t="shared" si="180"/>
        <v>1200</v>
      </c>
      <c r="AA1202" s="4">
        <v>780</v>
      </c>
      <c r="AB1202" s="4">
        <f t="shared" si="181"/>
        <v>780</v>
      </c>
      <c r="AC1202" s="4"/>
      <c r="AD1202" s="21">
        <f>ROUND(M1202*AR1202,0)</f>
        <v>1121</v>
      </c>
      <c r="AE1202" s="6">
        <f>1-AB1202/AD1202</f>
        <v>0.30419268510258701</v>
      </c>
      <c r="AF1202" s="33">
        <v>0.5</v>
      </c>
      <c r="AG1202" s="4">
        <f t="shared" si="182"/>
        <v>3608</v>
      </c>
      <c r="AH1202" s="33">
        <f t="shared" si="175"/>
        <v>2886.4</v>
      </c>
      <c r="AI1202" s="6">
        <f>1-AB1202/AH1202</f>
        <v>0.72976718403547669</v>
      </c>
      <c r="AJ1202" s="7">
        <v>1200</v>
      </c>
      <c r="AK1202" s="6">
        <f>1-AB1202/AJ1202</f>
        <v>0.35</v>
      </c>
      <c r="AL1202" s="4">
        <f>AJ1202-AB1202</f>
        <v>420</v>
      </c>
      <c r="AM1202" s="28"/>
      <c r="AN1202" s="6"/>
      <c r="AO1202" s="6"/>
      <c r="AP1202" s="6">
        <f>Z1202/L1202</f>
        <v>0.8</v>
      </c>
      <c r="AQ1202" s="6">
        <f>AJ1202/M1202</f>
        <v>0.85653104925053536</v>
      </c>
      <c r="AR1202" s="6">
        <f>AB1202/N1202</f>
        <v>0.8</v>
      </c>
      <c r="AS1202" s="4"/>
      <c r="AT1202" s="4"/>
      <c r="AU1202" s="4"/>
      <c r="AV1202" s="4"/>
      <c r="AW1202" s="4"/>
      <c r="AX1202" s="4"/>
      <c r="AY1202" s="4"/>
      <c r="AZ1202" s="4"/>
      <c r="BA1202" s="4"/>
      <c r="BB1202" s="4">
        <v>0</v>
      </c>
      <c r="BC1202" s="4" t="s">
        <v>4671</v>
      </c>
      <c r="BD1202" s="4"/>
      <c r="BE1202" s="4"/>
      <c r="BF1202" s="4" t="s">
        <v>3545</v>
      </c>
      <c r="BG1202" s="4">
        <v>3608</v>
      </c>
      <c r="BH1202" s="4">
        <v>3608</v>
      </c>
      <c r="BI1202" s="4">
        <f t="shared" si="183"/>
        <v>3608</v>
      </c>
      <c r="BJ1202" s="19">
        <v>4</v>
      </c>
      <c r="BK1202" s="19">
        <v>8</v>
      </c>
      <c r="BL1202" s="16">
        <v>19</v>
      </c>
      <c r="BM1202" s="45" t="s">
        <v>3534</v>
      </c>
      <c r="BN1202" t="s">
        <v>3534</v>
      </c>
      <c r="BO1202" t="str">
        <f t="shared" si="176"/>
        <v>-</v>
      </c>
      <c r="BP1202" t="s">
        <v>3534</v>
      </c>
      <c r="BQ1202">
        <v>1393</v>
      </c>
      <c r="BR1202">
        <f t="shared" si="177"/>
        <v>1114.4000000000001</v>
      </c>
      <c r="BS1202" t="s">
        <v>3517</v>
      </c>
    </row>
    <row r="1203" spans="1:71" x14ac:dyDescent="0.4">
      <c r="A1203" s="3">
        <v>1200</v>
      </c>
      <c r="B1203" s="3">
        <v>1200</v>
      </c>
      <c r="C1203" s="4" t="s">
        <v>1262</v>
      </c>
      <c r="D1203" s="4" t="str">
        <f t="shared" si="178"/>
        <v>JB7854</v>
      </c>
      <c r="E1203" s="4" t="s">
        <v>1262</v>
      </c>
      <c r="F1203" s="4" t="s">
        <v>2480</v>
      </c>
      <c r="G1203" s="5">
        <v>4521718512310</v>
      </c>
      <c r="H1203" s="5"/>
      <c r="I1203" s="5"/>
      <c r="J1203" s="5">
        <v>1</v>
      </c>
      <c r="K1203" s="5">
        <v>1</v>
      </c>
      <c r="L1203" s="4">
        <v>500</v>
      </c>
      <c r="M1203" s="4">
        <v>414</v>
      </c>
      <c r="N1203" s="4">
        <v>325</v>
      </c>
      <c r="O1203" s="6">
        <f t="shared" si="179"/>
        <v>0.21497584541062797</v>
      </c>
      <c r="P1203" s="4" t="s">
        <v>2500</v>
      </c>
      <c r="Q1203" s="4"/>
      <c r="R1203" s="4"/>
      <c r="S1203" s="4"/>
      <c r="T1203" s="4"/>
      <c r="U1203" s="4"/>
      <c r="V1203" s="4"/>
      <c r="W1203" s="4"/>
      <c r="X1203" s="4"/>
      <c r="Y1203" s="4">
        <v>500</v>
      </c>
      <c r="Z1203" s="4">
        <f t="shared" si="180"/>
        <v>500</v>
      </c>
      <c r="AA1203" s="4">
        <v>325</v>
      </c>
      <c r="AB1203" s="4">
        <f t="shared" si="181"/>
        <v>325</v>
      </c>
      <c r="AC1203" s="4"/>
      <c r="AD1203" s="21">
        <f>ROUND(M1203*AR1203,0)</f>
        <v>414</v>
      </c>
      <c r="AE1203" s="6">
        <f>1-AB1203/AD1203</f>
        <v>0.21497584541062797</v>
      </c>
      <c r="AF1203" s="33">
        <v>0</v>
      </c>
      <c r="AG1203" s="4">
        <f t="shared" si="182"/>
        <v>740</v>
      </c>
      <c r="AH1203" s="33">
        <f t="shared" si="175"/>
        <v>740</v>
      </c>
      <c r="AI1203" s="6">
        <f>1-AB1203/AH1203</f>
        <v>0.56081081081081074</v>
      </c>
      <c r="AJ1203" s="7">
        <v>500</v>
      </c>
      <c r="AK1203" s="6">
        <f>1-AB1203/AJ1203</f>
        <v>0.35</v>
      </c>
      <c r="AL1203" s="4">
        <f>AJ1203-AB1203</f>
        <v>175</v>
      </c>
      <c r="AM1203" s="28"/>
      <c r="AN1203" s="6"/>
      <c r="AO1203" s="6"/>
      <c r="AP1203" s="6">
        <f>Z1203/L1203</f>
        <v>1</v>
      </c>
      <c r="AQ1203" s="6">
        <f>AJ1203/M1203</f>
        <v>1.2077294685990339</v>
      </c>
      <c r="AR1203" s="6">
        <f>AB1203/N1203</f>
        <v>1</v>
      </c>
      <c r="AS1203" s="4"/>
      <c r="AT1203" s="4"/>
      <c r="AU1203" s="4"/>
      <c r="AV1203" s="4"/>
      <c r="AW1203" s="4"/>
      <c r="AX1203" s="4"/>
      <c r="AY1203" s="4"/>
      <c r="AZ1203" s="4"/>
      <c r="BA1203" s="4"/>
      <c r="BB1203" s="4">
        <v>0</v>
      </c>
      <c r="BC1203" s="4" t="s">
        <v>4672</v>
      </c>
      <c r="BD1203" s="4"/>
      <c r="BE1203" s="4"/>
      <c r="BF1203" s="4" t="s">
        <v>3649</v>
      </c>
      <c r="BG1203" s="4">
        <v>740</v>
      </c>
      <c r="BH1203" s="4">
        <v>740</v>
      </c>
      <c r="BI1203" s="4">
        <f t="shared" si="183"/>
        <v>740</v>
      </c>
      <c r="BJ1203" s="19">
        <v>4</v>
      </c>
      <c r="BK1203" s="19">
        <v>8</v>
      </c>
      <c r="BL1203" s="16">
        <v>19</v>
      </c>
      <c r="BM1203" s="45" t="s">
        <v>3534</v>
      </c>
      <c r="BN1203" t="s">
        <v>3534</v>
      </c>
      <c r="BO1203" t="str">
        <f t="shared" si="176"/>
        <v>-</v>
      </c>
      <c r="BP1203">
        <v>500</v>
      </c>
      <c r="BQ1203">
        <v>500</v>
      </c>
      <c r="BR1203">
        <f t="shared" si="177"/>
        <v>500</v>
      </c>
      <c r="BS1203" t="s">
        <v>3518</v>
      </c>
    </row>
    <row r="1204" spans="1:71" x14ac:dyDescent="0.4">
      <c r="A1204" s="3">
        <v>1201</v>
      </c>
      <c r="B1204" s="3">
        <v>1201</v>
      </c>
      <c r="C1204" s="4" t="s">
        <v>1263</v>
      </c>
      <c r="D1204" s="4" t="str">
        <f t="shared" si="178"/>
        <v>JB7855</v>
      </c>
      <c r="E1204" s="4" t="s">
        <v>1263</v>
      </c>
      <c r="F1204" s="4" t="s">
        <v>2481</v>
      </c>
      <c r="G1204" s="5">
        <v>4521718512327</v>
      </c>
      <c r="H1204" s="5"/>
      <c r="I1204" s="5"/>
      <c r="J1204" s="5">
        <v>1</v>
      </c>
      <c r="K1204" s="5">
        <v>1</v>
      </c>
      <c r="L1204" s="4">
        <v>137</v>
      </c>
      <c r="M1204" s="4">
        <v>124</v>
      </c>
      <c r="N1204" s="4">
        <v>96</v>
      </c>
      <c r="O1204" s="6">
        <f t="shared" si="179"/>
        <v>0.22580645161290325</v>
      </c>
      <c r="P1204" s="4" t="s">
        <v>2500</v>
      </c>
      <c r="Q1204" s="4"/>
      <c r="R1204" s="4"/>
      <c r="S1204" s="4"/>
      <c r="T1204" s="4"/>
      <c r="U1204" s="4"/>
      <c r="V1204" s="4"/>
      <c r="W1204" s="4"/>
      <c r="X1204" s="4"/>
      <c r="Y1204" s="4">
        <v>137</v>
      </c>
      <c r="Z1204" s="4">
        <f t="shared" si="180"/>
        <v>137</v>
      </c>
      <c r="AA1204" s="4">
        <v>89</v>
      </c>
      <c r="AB1204" s="4">
        <f t="shared" si="181"/>
        <v>89</v>
      </c>
      <c r="AC1204" s="4"/>
      <c r="AD1204" s="21">
        <f>ROUND(M1204*AR1204,0)</f>
        <v>115</v>
      </c>
      <c r="AE1204" s="6">
        <f>1-AB1204/AD1204</f>
        <v>0.22608695652173916</v>
      </c>
      <c r="AF1204" s="33">
        <v>0</v>
      </c>
      <c r="AG1204" s="4">
        <f t="shared" si="182"/>
        <v>320</v>
      </c>
      <c r="AH1204" s="33">
        <f t="shared" si="175"/>
        <v>296.66666666666669</v>
      </c>
      <c r="AI1204" s="6">
        <f>1-AB1204/AH1204</f>
        <v>0.7</v>
      </c>
      <c r="AJ1204" s="7">
        <f>ROUND(AB1204/0.65,0)</f>
        <v>137</v>
      </c>
      <c r="AK1204" s="6">
        <f>1-AB1204/AJ1204</f>
        <v>0.35036496350364965</v>
      </c>
      <c r="AL1204" s="4">
        <f>AJ1204-AB1204</f>
        <v>48</v>
      </c>
      <c r="AM1204" s="28"/>
      <c r="AN1204" s="6"/>
      <c r="AO1204" s="6"/>
      <c r="AP1204" s="6">
        <f>Z1204/L1204</f>
        <v>1</v>
      </c>
      <c r="AQ1204" s="6">
        <f>AJ1204/M1204</f>
        <v>1.1048387096774193</v>
      </c>
      <c r="AR1204" s="6">
        <f>AB1204/N1204</f>
        <v>0.92708333333333337</v>
      </c>
      <c r="AS1204" s="4"/>
      <c r="AT1204" s="4"/>
      <c r="AU1204" s="4"/>
      <c r="AV1204" s="4"/>
      <c r="AW1204" s="4"/>
      <c r="AX1204" s="4"/>
      <c r="AY1204" s="4"/>
      <c r="AZ1204" s="4"/>
      <c r="BA1204" s="4"/>
      <c r="BB1204" s="4">
        <v>0</v>
      </c>
      <c r="BC1204" s="4" t="s">
        <v>4673</v>
      </c>
      <c r="BD1204" s="4">
        <v>3</v>
      </c>
      <c r="BE1204" s="4">
        <v>12</v>
      </c>
      <c r="BF1204" s="4" t="s">
        <v>4674</v>
      </c>
      <c r="BG1204" s="4">
        <v>1280</v>
      </c>
      <c r="BH1204" s="4">
        <v>1280</v>
      </c>
      <c r="BI1204" s="4">
        <f t="shared" si="183"/>
        <v>320</v>
      </c>
      <c r="BJ1204" s="19">
        <v>4</v>
      </c>
      <c r="BK1204" s="19">
        <v>8</v>
      </c>
      <c r="BL1204" s="16">
        <v>19</v>
      </c>
      <c r="BM1204" s="45" t="s">
        <v>3534</v>
      </c>
      <c r="BN1204" t="s">
        <v>3534</v>
      </c>
      <c r="BO1204" t="str">
        <f t="shared" si="176"/>
        <v>-</v>
      </c>
      <c r="BP1204">
        <v>138</v>
      </c>
      <c r="BQ1204">
        <v>138</v>
      </c>
      <c r="BR1204">
        <f t="shared" si="177"/>
        <v>127.9375</v>
      </c>
      <c r="BS1204" t="s">
        <v>3519</v>
      </c>
    </row>
    <row r="1205" spans="1:71" x14ac:dyDescent="0.4">
      <c r="A1205" s="42">
        <v>1202</v>
      </c>
      <c r="B1205" s="3">
        <v>1202</v>
      </c>
      <c r="C1205" s="4" t="s">
        <v>1264</v>
      </c>
      <c r="D1205" s="4" t="str">
        <f t="shared" si="178"/>
        <v>JB7858</v>
      </c>
      <c r="E1205" s="4" t="s">
        <v>1264</v>
      </c>
      <c r="F1205" s="4" t="s">
        <v>2482</v>
      </c>
      <c r="G1205" s="5">
        <v>4521718512389</v>
      </c>
      <c r="H1205" s="5"/>
      <c r="I1205" s="5"/>
      <c r="J1205" s="5">
        <v>1</v>
      </c>
      <c r="K1205" s="5">
        <v>1</v>
      </c>
      <c r="L1205" s="4">
        <v>819</v>
      </c>
      <c r="M1205" s="4">
        <v>1260</v>
      </c>
      <c r="N1205" s="4">
        <v>532</v>
      </c>
      <c r="O1205" s="6">
        <f t="shared" si="179"/>
        <v>0.57777777777777772</v>
      </c>
      <c r="P1205" s="4" t="s">
        <v>2500</v>
      </c>
      <c r="Q1205" s="4"/>
      <c r="R1205" s="4"/>
      <c r="S1205" s="4"/>
      <c r="T1205" s="4"/>
      <c r="U1205" s="4"/>
      <c r="V1205" s="4"/>
      <c r="W1205" s="4"/>
      <c r="X1205" s="4"/>
      <c r="Y1205" s="4">
        <v>819</v>
      </c>
      <c r="Z1205" s="4">
        <f t="shared" si="180"/>
        <v>819</v>
      </c>
      <c r="AA1205" s="4">
        <v>532</v>
      </c>
      <c r="AB1205" s="4">
        <f t="shared" si="181"/>
        <v>532</v>
      </c>
      <c r="AC1205" s="4"/>
      <c r="AD1205" s="21">
        <f>ROUND(M1205*AR1205,0)</f>
        <v>1260</v>
      </c>
      <c r="AE1205" s="6">
        <f>1-AB1205/AD1205</f>
        <v>0.57777777777777772</v>
      </c>
      <c r="AF1205" s="33">
        <v>0.25</v>
      </c>
      <c r="AG1205" s="4">
        <f t="shared" si="182"/>
        <v>1340</v>
      </c>
      <c r="AH1205" s="33">
        <f t="shared" si="175"/>
        <v>1340</v>
      </c>
      <c r="AI1205" s="6">
        <f>1-AB1205/AH1205</f>
        <v>0.60298507462686568</v>
      </c>
      <c r="AJ1205" s="7">
        <v>1340</v>
      </c>
      <c r="AK1205" s="6">
        <f>1-AB1205/AJ1205</f>
        <v>0.60298507462686568</v>
      </c>
      <c r="AL1205" s="4">
        <f>AJ1205-AB1205</f>
        <v>808</v>
      </c>
      <c r="AM1205" s="28"/>
      <c r="AN1205" s="6"/>
      <c r="AO1205" s="6"/>
      <c r="AP1205" s="6">
        <f>Z1205/L1205</f>
        <v>1</v>
      </c>
      <c r="AQ1205" s="6">
        <f>AJ1205/M1205</f>
        <v>1.0634920634920635</v>
      </c>
      <c r="AR1205" s="6">
        <f>AB1205/N1205</f>
        <v>1</v>
      </c>
      <c r="AS1205" s="4"/>
      <c r="AT1205" s="4"/>
      <c r="AU1205" s="4"/>
      <c r="AV1205" s="4"/>
      <c r="AW1205" s="4"/>
      <c r="AX1205" s="4"/>
      <c r="AY1205" s="4"/>
      <c r="AZ1205" s="4"/>
      <c r="BA1205" s="4"/>
      <c r="BB1205" s="4">
        <v>0</v>
      </c>
      <c r="BC1205" s="4" t="s">
        <v>4675</v>
      </c>
      <c r="BD1205" s="4"/>
      <c r="BE1205" s="4"/>
      <c r="BF1205" s="4" t="s">
        <v>4669</v>
      </c>
      <c r="BG1205" s="4">
        <v>1340</v>
      </c>
      <c r="BH1205" s="4">
        <v>1340</v>
      </c>
      <c r="BI1205" s="4">
        <f t="shared" si="183"/>
        <v>1340</v>
      </c>
      <c r="BJ1205" s="19">
        <v>2</v>
      </c>
      <c r="BK1205" s="19">
        <v>8</v>
      </c>
      <c r="BL1205" s="16">
        <v>19</v>
      </c>
      <c r="BM1205" s="45" t="s">
        <v>3534</v>
      </c>
      <c r="BN1205" t="s">
        <v>3534</v>
      </c>
      <c r="BO1205" t="str">
        <f t="shared" si="176"/>
        <v>-</v>
      </c>
      <c r="BP1205">
        <v>819</v>
      </c>
      <c r="BQ1205">
        <v>819</v>
      </c>
      <c r="BR1205">
        <f t="shared" si="177"/>
        <v>819</v>
      </c>
      <c r="BS1205" t="s">
        <v>3520</v>
      </c>
    </row>
    <row r="1206" spans="1:71" x14ac:dyDescent="0.4">
      <c r="A1206" s="3">
        <v>1203</v>
      </c>
      <c r="B1206" s="3">
        <v>1203</v>
      </c>
      <c r="C1206" s="4" t="s">
        <v>1265</v>
      </c>
      <c r="D1206" s="4" t="str">
        <f t="shared" si="178"/>
        <v>JB7859</v>
      </c>
      <c r="E1206" s="4" t="s">
        <v>1265</v>
      </c>
      <c r="F1206" s="4" t="s">
        <v>2483</v>
      </c>
      <c r="G1206" s="5">
        <v>4521718512396</v>
      </c>
      <c r="H1206" s="5"/>
      <c r="I1206" s="5"/>
      <c r="J1206" s="5">
        <v>1</v>
      </c>
      <c r="K1206" s="5">
        <v>1</v>
      </c>
      <c r="L1206" s="4">
        <v>137</v>
      </c>
      <c r="M1206" s="4">
        <v>122</v>
      </c>
      <c r="N1206" s="4">
        <v>96</v>
      </c>
      <c r="O1206" s="6">
        <f t="shared" si="179"/>
        <v>0.21311475409836067</v>
      </c>
      <c r="P1206" s="4" t="s">
        <v>2500</v>
      </c>
      <c r="Q1206" s="4"/>
      <c r="R1206" s="4"/>
      <c r="S1206" s="4"/>
      <c r="T1206" s="4"/>
      <c r="U1206" s="4"/>
      <c r="V1206" s="4"/>
      <c r="W1206" s="4"/>
      <c r="X1206" s="4"/>
      <c r="Y1206" s="4">
        <v>137</v>
      </c>
      <c r="Z1206" s="4">
        <f t="shared" si="180"/>
        <v>137</v>
      </c>
      <c r="AA1206" s="4">
        <v>89</v>
      </c>
      <c r="AB1206" s="4">
        <f t="shared" si="181"/>
        <v>89</v>
      </c>
      <c r="AC1206" s="4"/>
      <c r="AD1206" s="21">
        <f>ROUND(M1206*AR1206,0)</f>
        <v>113</v>
      </c>
      <c r="AE1206" s="6">
        <f>1-AB1206/AD1206</f>
        <v>0.21238938053097345</v>
      </c>
      <c r="AF1206" s="33">
        <v>0</v>
      </c>
      <c r="AG1206" s="4">
        <f t="shared" si="182"/>
        <v>320</v>
      </c>
      <c r="AH1206" s="33">
        <f t="shared" si="175"/>
        <v>296.66666666666669</v>
      </c>
      <c r="AI1206" s="6">
        <f>1-AB1206/AH1206</f>
        <v>0.7</v>
      </c>
      <c r="AJ1206" s="7">
        <f>ROUND(AB1206/0.65,0)</f>
        <v>137</v>
      </c>
      <c r="AK1206" s="6">
        <f>1-AB1206/AJ1206</f>
        <v>0.35036496350364965</v>
      </c>
      <c r="AL1206" s="4">
        <f>AJ1206-AB1206</f>
        <v>48</v>
      </c>
      <c r="AM1206" s="28"/>
      <c r="AN1206" s="6"/>
      <c r="AO1206" s="6"/>
      <c r="AP1206" s="6">
        <f>Z1206/L1206</f>
        <v>1</v>
      </c>
      <c r="AQ1206" s="6">
        <f>AJ1206/M1206</f>
        <v>1.1229508196721312</v>
      </c>
      <c r="AR1206" s="6">
        <f>AB1206/N1206</f>
        <v>0.92708333333333337</v>
      </c>
      <c r="AS1206" s="4"/>
      <c r="AT1206" s="4"/>
      <c r="AU1206" s="4"/>
      <c r="AV1206" s="4"/>
      <c r="AW1206" s="4"/>
      <c r="AX1206" s="4"/>
      <c r="AY1206" s="4"/>
      <c r="AZ1206" s="4"/>
      <c r="BA1206" s="4"/>
      <c r="BB1206" s="4">
        <v>0</v>
      </c>
      <c r="BC1206" s="4" t="s">
        <v>4676</v>
      </c>
      <c r="BD1206" s="4">
        <v>1</v>
      </c>
      <c r="BE1206" s="4">
        <v>4</v>
      </c>
      <c r="BF1206" s="4" t="s">
        <v>4677</v>
      </c>
      <c r="BG1206" s="4">
        <v>1280</v>
      </c>
      <c r="BH1206" s="4">
        <v>1280</v>
      </c>
      <c r="BI1206" s="4">
        <f t="shared" si="183"/>
        <v>320</v>
      </c>
      <c r="BJ1206" s="19">
        <v>4</v>
      </c>
      <c r="BK1206" s="19">
        <v>8</v>
      </c>
      <c r="BL1206" s="16">
        <v>19</v>
      </c>
      <c r="BM1206" s="45" t="s">
        <v>3534</v>
      </c>
      <c r="BN1206" t="s">
        <v>3534</v>
      </c>
      <c r="BO1206" t="str">
        <f t="shared" si="176"/>
        <v>-</v>
      </c>
      <c r="BP1206">
        <v>138</v>
      </c>
      <c r="BQ1206">
        <v>138</v>
      </c>
      <c r="BR1206">
        <f t="shared" si="177"/>
        <v>127.9375</v>
      </c>
      <c r="BS1206" t="s">
        <v>3521</v>
      </c>
    </row>
    <row r="1207" spans="1:71" x14ac:dyDescent="0.4">
      <c r="A1207" s="3">
        <v>1204</v>
      </c>
      <c r="B1207" s="3">
        <v>1204</v>
      </c>
      <c r="C1207" s="4" t="s">
        <v>1266</v>
      </c>
      <c r="D1207" s="4" t="str">
        <f t="shared" si="178"/>
        <v>JB7860</v>
      </c>
      <c r="E1207" s="4" t="s">
        <v>1266</v>
      </c>
      <c r="F1207" s="4" t="s">
        <v>2484</v>
      </c>
      <c r="G1207" s="5">
        <v>4521718512402</v>
      </c>
      <c r="H1207" s="5"/>
      <c r="I1207" s="5"/>
      <c r="J1207" s="5">
        <v>1</v>
      </c>
      <c r="K1207" s="5">
        <v>1</v>
      </c>
      <c r="L1207" s="4">
        <v>137</v>
      </c>
      <c r="M1207" s="4">
        <v>126</v>
      </c>
      <c r="N1207" s="4">
        <v>96</v>
      </c>
      <c r="O1207" s="6">
        <f t="shared" si="179"/>
        <v>0.23809523809523814</v>
      </c>
      <c r="P1207" s="4" t="s">
        <v>2500</v>
      </c>
      <c r="Q1207" s="4"/>
      <c r="R1207" s="4"/>
      <c r="S1207" s="4"/>
      <c r="T1207" s="4"/>
      <c r="U1207" s="4"/>
      <c r="V1207" s="4"/>
      <c r="W1207" s="4"/>
      <c r="X1207" s="4"/>
      <c r="Y1207" s="4">
        <v>137</v>
      </c>
      <c r="Z1207" s="4">
        <f t="shared" si="180"/>
        <v>137</v>
      </c>
      <c r="AA1207" s="4">
        <v>89</v>
      </c>
      <c r="AB1207" s="4">
        <f t="shared" si="181"/>
        <v>89</v>
      </c>
      <c r="AC1207" s="4"/>
      <c r="AD1207" s="21">
        <f>ROUND(M1207*AR1207,0)</f>
        <v>117</v>
      </c>
      <c r="AE1207" s="6">
        <f>1-AB1207/AD1207</f>
        <v>0.23931623931623935</v>
      </c>
      <c r="AF1207" s="33">
        <v>0</v>
      </c>
      <c r="AG1207" s="4">
        <f t="shared" si="182"/>
        <v>320</v>
      </c>
      <c r="AH1207" s="33">
        <f t="shared" si="175"/>
        <v>296.66666666666669</v>
      </c>
      <c r="AI1207" s="6">
        <f>1-AB1207/AH1207</f>
        <v>0.7</v>
      </c>
      <c r="AJ1207" s="7">
        <f>ROUND(AB1207/0.65,0)</f>
        <v>137</v>
      </c>
      <c r="AK1207" s="6">
        <f>1-AB1207/AJ1207</f>
        <v>0.35036496350364965</v>
      </c>
      <c r="AL1207" s="4">
        <f>AJ1207-AB1207</f>
        <v>48</v>
      </c>
      <c r="AM1207" s="28"/>
      <c r="AN1207" s="6"/>
      <c r="AO1207" s="6"/>
      <c r="AP1207" s="6">
        <f>Z1207/L1207</f>
        <v>1</v>
      </c>
      <c r="AQ1207" s="6">
        <f>AJ1207/M1207</f>
        <v>1.0873015873015872</v>
      </c>
      <c r="AR1207" s="6">
        <f>AB1207/N1207</f>
        <v>0.92708333333333337</v>
      </c>
      <c r="AS1207" s="4"/>
      <c r="AT1207" s="4"/>
      <c r="AU1207" s="4"/>
      <c r="AV1207" s="4"/>
      <c r="AW1207" s="4"/>
      <c r="AX1207" s="4"/>
      <c r="AY1207" s="4"/>
      <c r="AZ1207" s="4"/>
      <c r="BA1207" s="4"/>
      <c r="BB1207" s="4">
        <v>0</v>
      </c>
      <c r="BC1207" s="4" t="s">
        <v>4678</v>
      </c>
      <c r="BD1207" s="4">
        <v>1</v>
      </c>
      <c r="BE1207" s="4">
        <v>4</v>
      </c>
      <c r="BF1207" s="4" t="s">
        <v>4677</v>
      </c>
      <c r="BG1207" s="4">
        <v>1280</v>
      </c>
      <c r="BH1207" s="4">
        <v>1280</v>
      </c>
      <c r="BI1207" s="4">
        <f t="shared" si="183"/>
        <v>320</v>
      </c>
      <c r="BJ1207" s="19">
        <v>4</v>
      </c>
      <c r="BK1207" s="19">
        <v>8</v>
      </c>
      <c r="BL1207" s="16">
        <v>19</v>
      </c>
      <c r="BM1207" s="45" t="s">
        <v>3534</v>
      </c>
      <c r="BN1207" t="s">
        <v>3534</v>
      </c>
      <c r="BO1207" t="str">
        <f t="shared" si="176"/>
        <v>-</v>
      </c>
      <c r="BP1207">
        <v>138</v>
      </c>
      <c r="BQ1207">
        <v>138</v>
      </c>
      <c r="BR1207">
        <f t="shared" si="177"/>
        <v>127.9375</v>
      </c>
      <c r="BS1207" t="s">
        <v>3522</v>
      </c>
    </row>
    <row r="1208" spans="1:71" x14ac:dyDescent="0.4">
      <c r="A1208" s="3">
        <v>1205</v>
      </c>
      <c r="B1208" s="3">
        <v>1205</v>
      </c>
      <c r="C1208" s="4" t="s">
        <v>1267</v>
      </c>
      <c r="D1208" s="4" t="str">
        <f t="shared" si="178"/>
        <v>JB7868</v>
      </c>
      <c r="E1208" s="4" t="s">
        <v>1267</v>
      </c>
      <c r="F1208" s="4" t="s">
        <v>2485</v>
      </c>
      <c r="G1208" s="5">
        <v>4521718513218</v>
      </c>
      <c r="H1208" s="5"/>
      <c r="I1208" s="5"/>
      <c r="J1208" s="5">
        <v>1</v>
      </c>
      <c r="K1208" s="5">
        <v>1</v>
      </c>
      <c r="L1208" s="4">
        <v>800</v>
      </c>
      <c r="M1208" s="4">
        <v>717</v>
      </c>
      <c r="N1208" s="4">
        <v>560</v>
      </c>
      <c r="O1208" s="6">
        <f t="shared" si="179"/>
        <v>0.21896792189679215</v>
      </c>
      <c r="P1208" s="4" t="s">
        <v>2500</v>
      </c>
      <c r="Q1208" s="4"/>
      <c r="R1208" s="4"/>
      <c r="S1208" s="4"/>
      <c r="T1208" s="4"/>
      <c r="U1208" s="4"/>
      <c r="V1208" s="4"/>
      <c r="W1208" s="4"/>
      <c r="X1208" s="4"/>
      <c r="Y1208" s="4">
        <v>619</v>
      </c>
      <c r="Z1208" s="4">
        <f t="shared" si="180"/>
        <v>619</v>
      </c>
      <c r="AA1208" s="4">
        <v>279</v>
      </c>
      <c r="AB1208" s="4">
        <f t="shared" si="181"/>
        <v>279</v>
      </c>
      <c r="AC1208" s="4"/>
      <c r="AD1208" s="21">
        <f>ROUND(M1208*AR1208,0)</f>
        <v>357</v>
      </c>
      <c r="AE1208" s="6">
        <f>1-AB1208/AD1208</f>
        <v>0.21848739495798319</v>
      </c>
      <c r="AF1208" s="33">
        <v>0</v>
      </c>
      <c r="AG1208" s="4">
        <f t="shared" si="182"/>
        <v>1300</v>
      </c>
      <c r="AH1208" s="33">
        <f t="shared" si="175"/>
        <v>647.67857142857144</v>
      </c>
      <c r="AI1208" s="6">
        <f>1-AB1208/AH1208</f>
        <v>0.56923076923076921</v>
      </c>
      <c r="AJ1208" s="7">
        <f>ROUND(AB1208/0.65,0)</f>
        <v>429</v>
      </c>
      <c r="AK1208" s="6">
        <f>1-AB1208/AJ1208</f>
        <v>0.34965034965034969</v>
      </c>
      <c r="AL1208" s="4">
        <f>AJ1208-AB1208</f>
        <v>150</v>
      </c>
      <c r="AM1208" s="28"/>
      <c r="AN1208" s="6"/>
      <c r="AO1208" s="6"/>
      <c r="AP1208" s="6">
        <f>Z1208/L1208</f>
        <v>0.77375000000000005</v>
      </c>
      <c r="AQ1208" s="6">
        <f>AJ1208/M1208</f>
        <v>0.59832635983263593</v>
      </c>
      <c r="AR1208" s="6">
        <f>AB1208/N1208</f>
        <v>0.49821428571428572</v>
      </c>
      <c r="AS1208" s="4"/>
      <c r="AT1208" s="4"/>
      <c r="AU1208" s="4"/>
      <c r="AV1208" s="4"/>
      <c r="AW1208" s="4"/>
      <c r="AX1208" s="4"/>
      <c r="AY1208" s="4"/>
      <c r="AZ1208" s="4"/>
      <c r="BA1208" s="4"/>
      <c r="BB1208" s="4">
        <v>0</v>
      </c>
      <c r="BC1208" s="4" t="s">
        <v>4679</v>
      </c>
      <c r="BD1208" s="4">
        <v>10</v>
      </c>
      <c r="BE1208" s="4">
        <v>20</v>
      </c>
      <c r="BF1208" s="4" t="s">
        <v>4680</v>
      </c>
      <c r="BG1208" s="4">
        <v>2600</v>
      </c>
      <c r="BH1208" s="4">
        <v>2600</v>
      </c>
      <c r="BI1208" s="4">
        <f t="shared" si="183"/>
        <v>1300</v>
      </c>
      <c r="BJ1208" s="19">
        <v>4</v>
      </c>
      <c r="BK1208" s="19">
        <v>8</v>
      </c>
      <c r="BL1208" s="16">
        <v>19</v>
      </c>
      <c r="BM1208" s="45" t="s">
        <v>3534</v>
      </c>
      <c r="BN1208" t="s">
        <v>3534</v>
      </c>
      <c r="BO1208" t="str">
        <f t="shared" si="176"/>
        <v>-</v>
      </c>
      <c r="BP1208" t="s">
        <v>3534</v>
      </c>
      <c r="BQ1208">
        <v>865</v>
      </c>
      <c r="BR1208">
        <f t="shared" si="177"/>
        <v>430.95535714285717</v>
      </c>
      <c r="BS1208" t="s">
        <v>3523</v>
      </c>
    </row>
    <row r="1209" spans="1:71" x14ac:dyDescent="0.4">
      <c r="A1209" s="3">
        <v>1206</v>
      </c>
      <c r="B1209" s="3">
        <v>1206</v>
      </c>
      <c r="C1209" s="4" t="s">
        <v>1268</v>
      </c>
      <c r="D1209" s="4" t="str">
        <f t="shared" si="178"/>
        <v>JB7871</v>
      </c>
      <c r="E1209" s="4" t="s">
        <v>1268</v>
      </c>
      <c r="F1209" s="4" t="s">
        <v>2486</v>
      </c>
      <c r="G1209" s="5">
        <v>4521718513317</v>
      </c>
      <c r="H1209" s="5"/>
      <c r="I1209" s="5"/>
      <c r="J1209" s="5">
        <v>1</v>
      </c>
      <c r="K1209" s="5">
        <v>1</v>
      </c>
      <c r="L1209" s="4">
        <v>500</v>
      </c>
      <c r="M1209" s="4">
        <v>477</v>
      </c>
      <c r="N1209" s="4">
        <v>375</v>
      </c>
      <c r="O1209" s="6">
        <f t="shared" si="179"/>
        <v>0.21383647798742134</v>
      </c>
      <c r="P1209" s="4" t="s">
        <v>2500</v>
      </c>
      <c r="Q1209" s="4"/>
      <c r="R1209" s="4"/>
      <c r="S1209" s="4"/>
      <c r="T1209" s="4"/>
      <c r="U1209" s="4"/>
      <c r="V1209" s="4"/>
      <c r="W1209" s="4"/>
      <c r="X1209" s="4"/>
      <c r="Y1209" s="4">
        <v>100</v>
      </c>
      <c r="Z1209" s="4">
        <f t="shared" si="180"/>
        <v>500</v>
      </c>
      <c r="AA1209" s="4">
        <v>75</v>
      </c>
      <c r="AB1209" s="4">
        <f t="shared" si="181"/>
        <v>375</v>
      </c>
      <c r="AC1209" s="4">
        <v>5</v>
      </c>
      <c r="AD1209" s="21">
        <f>ROUND(M1209*AR1209,0)</f>
        <v>477</v>
      </c>
      <c r="AE1209" s="6">
        <f>1-AB1209/AD1209</f>
        <v>0.21383647798742134</v>
      </c>
      <c r="AF1209" s="33">
        <v>0</v>
      </c>
      <c r="AG1209" s="4">
        <f t="shared" si="182"/>
        <v>1500</v>
      </c>
      <c r="AH1209" s="33">
        <f t="shared" si="175"/>
        <v>1500</v>
      </c>
      <c r="AI1209" s="6">
        <f>1-AB1209/AH1209</f>
        <v>0.75</v>
      </c>
      <c r="AJ1209" s="7">
        <v>500</v>
      </c>
      <c r="AK1209" s="6">
        <f>1-AB1209/AJ1209</f>
        <v>0.25</v>
      </c>
      <c r="AL1209" s="4">
        <f>AJ1209-AB1209</f>
        <v>125</v>
      </c>
      <c r="AM1209" s="28"/>
      <c r="AN1209" s="6"/>
      <c r="AO1209" s="6"/>
      <c r="AP1209" s="6">
        <f>Z1209/L1209</f>
        <v>1</v>
      </c>
      <c r="AQ1209" s="6">
        <f>AJ1209/M1209</f>
        <v>1.0482180293501049</v>
      </c>
      <c r="AR1209" s="6">
        <f>AB1209/N1209</f>
        <v>1</v>
      </c>
      <c r="AS1209" s="4"/>
      <c r="AT1209" s="4"/>
      <c r="AU1209" s="4"/>
      <c r="AV1209" s="4"/>
      <c r="AW1209" s="4"/>
      <c r="AX1209" s="4"/>
      <c r="AY1209" s="4"/>
      <c r="AZ1209" s="4"/>
      <c r="BA1209" s="4"/>
      <c r="BB1209" s="4">
        <v>0</v>
      </c>
      <c r="BC1209" s="4" t="s">
        <v>4681</v>
      </c>
      <c r="BD1209" s="4"/>
      <c r="BE1209" s="4"/>
      <c r="BF1209" s="4" t="s">
        <v>3896</v>
      </c>
      <c r="BG1209" s="4">
        <v>1500</v>
      </c>
      <c r="BH1209" s="4">
        <v>1500</v>
      </c>
      <c r="BI1209" s="4">
        <f t="shared" si="183"/>
        <v>1500</v>
      </c>
      <c r="BJ1209" s="19">
        <v>4</v>
      </c>
      <c r="BK1209" s="19">
        <v>8</v>
      </c>
      <c r="BL1209" s="16">
        <v>19</v>
      </c>
      <c r="BM1209" s="45" t="s">
        <v>3534</v>
      </c>
      <c r="BN1209" t="s">
        <v>3534</v>
      </c>
      <c r="BO1209" t="str">
        <f t="shared" si="176"/>
        <v>-</v>
      </c>
      <c r="BP1209" t="s">
        <v>3534</v>
      </c>
      <c r="BQ1209">
        <v>500</v>
      </c>
      <c r="BR1209">
        <f t="shared" si="177"/>
        <v>500</v>
      </c>
      <c r="BS1209" t="s">
        <v>3524</v>
      </c>
    </row>
    <row r="1210" spans="1:71" x14ac:dyDescent="0.4">
      <c r="A1210" s="3">
        <v>1207</v>
      </c>
      <c r="B1210" s="3">
        <v>1207</v>
      </c>
      <c r="C1210" s="4" t="s">
        <v>1269</v>
      </c>
      <c r="D1210" s="4" t="str">
        <f t="shared" si="178"/>
        <v>JB7872</v>
      </c>
      <c r="E1210" s="4" t="s">
        <v>1269</v>
      </c>
      <c r="F1210" s="4" t="s">
        <v>2487</v>
      </c>
      <c r="G1210" s="5">
        <v>4521718513324</v>
      </c>
      <c r="H1210" s="5"/>
      <c r="I1210" s="5"/>
      <c r="J1210" s="5">
        <v>1</v>
      </c>
      <c r="K1210" s="5">
        <v>1</v>
      </c>
      <c r="L1210" s="4">
        <v>137</v>
      </c>
      <c r="M1210" s="4">
        <v>132</v>
      </c>
      <c r="N1210" s="4">
        <v>103</v>
      </c>
      <c r="O1210" s="6">
        <f t="shared" si="179"/>
        <v>0.21969696969696972</v>
      </c>
      <c r="P1210" s="4" t="s">
        <v>2500</v>
      </c>
      <c r="Q1210" s="4"/>
      <c r="R1210" s="4"/>
      <c r="S1210" s="4"/>
      <c r="T1210" s="4"/>
      <c r="U1210" s="4"/>
      <c r="V1210" s="4"/>
      <c r="W1210" s="4"/>
      <c r="X1210" s="4"/>
      <c r="Y1210" s="4">
        <v>100</v>
      </c>
      <c r="Z1210" s="4">
        <f t="shared" si="180"/>
        <v>100</v>
      </c>
      <c r="AA1210" s="4">
        <v>75</v>
      </c>
      <c r="AB1210" s="4">
        <f t="shared" si="181"/>
        <v>75</v>
      </c>
      <c r="AC1210" s="4"/>
      <c r="AD1210" s="21">
        <f>ROUND(M1210*AR1210,0)</f>
        <v>96</v>
      </c>
      <c r="AE1210" s="6">
        <f>1-AB1210/AD1210</f>
        <v>0.21875</v>
      </c>
      <c r="AF1210" s="33">
        <v>0.5</v>
      </c>
      <c r="AG1210" s="4">
        <f t="shared" si="182"/>
        <v>500</v>
      </c>
      <c r="AH1210" s="33">
        <f t="shared" si="175"/>
        <v>364.07766990291265</v>
      </c>
      <c r="AI1210" s="6">
        <f>1-AB1210/AH1210</f>
        <v>0.79400000000000004</v>
      </c>
      <c r="AJ1210" s="7">
        <v>100</v>
      </c>
      <c r="AK1210" s="6">
        <f>1-AB1210/AJ1210</f>
        <v>0.25</v>
      </c>
      <c r="AL1210" s="4">
        <f>AJ1210-AB1210</f>
        <v>25</v>
      </c>
      <c r="AM1210" s="28"/>
      <c r="AN1210" s="6"/>
      <c r="AO1210" s="6"/>
      <c r="AP1210" s="6">
        <f>Z1210/L1210</f>
        <v>0.72992700729927007</v>
      </c>
      <c r="AQ1210" s="6">
        <f>AJ1210/M1210</f>
        <v>0.75757575757575757</v>
      </c>
      <c r="AR1210" s="6">
        <f>AB1210/N1210</f>
        <v>0.72815533980582525</v>
      </c>
      <c r="AS1210" s="4"/>
      <c r="AT1210" s="4"/>
      <c r="AU1210" s="4"/>
      <c r="AV1210" s="4"/>
      <c r="AW1210" s="4"/>
      <c r="AX1210" s="4"/>
      <c r="AY1210" s="4"/>
      <c r="AZ1210" s="4"/>
      <c r="BA1210" s="4"/>
      <c r="BB1210" s="4">
        <v>0</v>
      </c>
      <c r="BC1210" s="4" t="s">
        <v>4682</v>
      </c>
      <c r="BD1210" s="4">
        <v>50</v>
      </c>
      <c r="BE1210" s="4">
        <v>200</v>
      </c>
      <c r="BF1210" s="4" t="s">
        <v>4683</v>
      </c>
      <c r="BG1210" s="4">
        <v>2000</v>
      </c>
      <c r="BH1210" s="4">
        <v>2000</v>
      </c>
      <c r="BI1210" s="4">
        <f t="shared" si="183"/>
        <v>500</v>
      </c>
      <c r="BJ1210" s="19">
        <v>4</v>
      </c>
      <c r="BK1210" s="19">
        <v>8</v>
      </c>
      <c r="BL1210" s="16">
        <v>19</v>
      </c>
      <c r="BM1210" s="45" t="s">
        <v>3534</v>
      </c>
      <c r="BN1210" t="s">
        <v>3534</v>
      </c>
      <c r="BO1210" t="str">
        <f t="shared" si="176"/>
        <v>-</v>
      </c>
      <c r="BP1210" t="s">
        <v>3534</v>
      </c>
      <c r="BQ1210">
        <v>206</v>
      </c>
      <c r="BR1210">
        <f t="shared" si="177"/>
        <v>150</v>
      </c>
      <c r="BS1210" t="s">
        <v>3525</v>
      </c>
    </row>
    <row r="1211" spans="1:71" x14ac:dyDescent="0.4">
      <c r="A1211" s="3">
        <v>1208</v>
      </c>
      <c r="B1211" s="3">
        <v>1208</v>
      </c>
      <c r="C1211" s="4" t="s">
        <v>1270</v>
      </c>
      <c r="D1211" s="4" t="str">
        <f t="shared" si="178"/>
        <v>JB7874</v>
      </c>
      <c r="E1211" s="4" t="s">
        <v>1270</v>
      </c>
      <c r="F1211" s="4" t="s">
        <v>2488</v>
      </c>
      <c r="G1211" s="5">
        <v>4521718513461</v>
      </c>
      <c r="H1211" s="5"/>
      <c r="I1211" s="5"/>
      <c r="J1211" s="40">
        <v>2</v>
      </c>
      <c r="K1211" s="5">
        <v>1</v>
      </c>
      <c r="L1211" s="4">
        <v>710</v>
      </c>
      <c r="M1211" s="4">
        <v>724</v>
      </c>
      <c r="N1211" s="4">
        <v>497</v>
      </c>
      <c r="O1211" s="6">
        <f t="shared" si="179"/>
        <v>0.31353591160220995</v>
      </c>
      <c r="P1211" s="4" t="s">
        <v>2500</v>
      </c>
      <c r="Q1211" s="4"/>
      <c r="R1211" s="4"/>
      <c r="S1211" s="4"/>
      <c r="T1211" s="4"/>
      <c r="U1211" s="4"/>
      <c r="V1211" s="4"/>
      <c r="W1211" s="4"/>
      <c r="X1211" s="4"/>
      <c r="Y1211" s="4">
        <v>719</v>
      </c>
      <c r="Z1211" s="4">
        <f t="shared" si="180"/>
        <v>719</v>
      </c>
      <c r="AA1211" s="4">
        <v>503</v>
      </c>
      <c r="AB1211" s="4">
        <f t="shared" si="181"/>
        <v>503</v>
      </c>
      <c r="AC1211" s="4"/>
      <c r="AD1211" s="21">
        <f>ROUND(M1211*AR1211,0)</f>
        <v>733</v>
      </c>
      <c r="AE1211" s="6">
        <f>1-AB1211/AD1211</f>
        <v>0.31377899045020463</v>
      </c>
      <c r="AF1211" s="33">
        <v>8.5</v>
      </c>
      <c r="AG1211" s="4">
        <f t="shared" si="182"/>
        <v>800</v>
      </c>
      <c r="AH1211" s="33">
        <f t="shared" si="175"/>
        <v>809.65794768611681</v>
      </c>
      <c r="AI1211" s="6">
        <f>1-AB1211/AH1211</f>
        <v>0.37875000000000014</v>
      </c>
      <c r="AJ1211" s="7">
        <v>719</v>
      </c>
      <c r="AK1211" s="6">
        <f>1-AB1211/AJ1211</f>
        <v>0.30041724617524335</v>
      </c>
      <c r="AL1211" s="4">
        <f>AJ1211-AB1211</f>
        <v>216</v>
      </c>
      <c r="AM1211" s="28"/>
      <c r="AN1211" s="6"/>
      <c r="AO1211" s="6"/>
      <c r="AP1211" s="6">
        <f>Z1211/L1211</f>
        <v>1.0126760563380282</v>
      </c>
      <c r="AQ1211" s="6">
        <f>AJ1211/M1211</f>
        <v>0.99309392265193375</v>
      </c>
      <c r="AR1211" s="6">
        <f>AB1211/N1211</f>
        <v>1.012072434607646</v>
      </c>
      <c r="AS1211" s="4"/>
      <c r="AT1211" s="4"/>
      <c r="AU1211" s="4"/>
      <c r="AV1211" s="4"/>
      <c r="AW1211" s="4"/>
      <c r="AX1211" s="4"/>
      <c r="AY1211" s="4"/>
      <c r="AZ1211" s="4"/>
      <c r="BA1211" s="4"/>
      <c r="BB1211" s="4">
        <v>0</v>
      </c>
      <c r="BC1211" s="4" t="s">
        <v>4684</v>
      </c>
      <c r="BD1211" s="4">
        <v>1</v>
      </c>
      <c r="BE1211" s="4">
        <v>2</v>
      </c>
      <c r="BF1211" s="4" t="s">
        <v>4685</v>
      </c>
      <c r="BG1211" s="4">
        <v>1600</v>
      </c>
      <c r="BH1211" s="4">
        <v>1600</v>
      </c>
      <c r="BI1211" s="4">
        <f t="shared" si="183"/>
        <v>800</v>
      </c>
      <c r="BJ1211" s="19">
        <v>4</v>
      </c>
      <c r="BK1211" s="19">
        <v>1</v>
      </c>
      <c r="BL1211" s="16">
        <v>19</v>
      </c>
      <c r="BM1211" s="45" t="s">
        <v>3534</v>
      </c>
      <c r="BN1211" t="s">
        <v>3534</v>
      </c>
      <c r="BO1211" t="str">
        <f t="shared" si="176"/>
        <v>-</v>
      </c>
      <c r="BP1211" t="s">
        <v>3534</v>
      </c>
      <c r="BQ1211">
        <v>710</v>
      </c>
      <c r="BR1211">
        <f t="shared" si="177"/>
        <v>718.57142857142867</v>
      </c>
      <c r="BS1211" t="s">
        <v>3526</v>
      </c>
    </row>
    <row r="1212" spans="1:71" x14ac:dyDescent="0.4">
      <c r="A1212" s="42">
        <v>1209</v>
      </c>
      <c r="B1212" s="3">
        <v>1209</v>
      </c>
      <c r="C1212" s="4" t="s">
        <v>1271</v>
      </c>
      <c r="D1212" s="4" t="str">
        <f t="shared" si="178"/>
        <v>JB7875</v>
      </c>
      <c r="E1212" s="4" t="s">
        <v>1271</v>
      </c>
      <c r="F1212" s="4" t="s">
        <v>2489</v>
      </c>
      <c r="G1212" s="5">
        <v>4521718513584</v>
      </c>
      <c r="H1212" s="5"/>
      <c r="I1212" s="5"/>
      <c r="J1212" s="5">
        <v>1</v>
      </c>
      <c r="K1212" s="5">
        <v>1</v>
      </c>
      <c r="L1212" s="4">
        <v>2000</v>
      </c>
      <c r="M1212" s="4">
        <v>2325</v>
      </c>
      <c r="N1212" s="4">
        <v>1300</v>
      </c>
      <c r="O1212" s="6">
        <f t="shared" si="179"/>
        <v>0.44086021505376349</v>
      </c>
      <c r="P1212" s="4" t="s">
        <v>2500</v>
      </c>
      <c r="Q1212" s="4"/>
      <c r="R1212" s="4"/>
      <c r="S1212" s="4"/>
      <c r="T1212" s="4"/>
      <c r="U1212" s="4"/>
      <c r="V1212" s="4"/>
      <c r="W1212" s="4"/>
      <c r="X1212" s="4"/>
      <c r="Y1212" s="4">
        <v>2000</v>
      </c>
      <c r="Z1212" s="4">
        <f t="shared" si="180"/>
        <v>2000</v>
      </c>
      <c r="AA1212" s="4">
        <v>1300</v>
      </c>
      <c r="AB1212" s="4">
        <f t="shared" si="181"/>
        <v>1300</v>
      </c>
      <c r="AC1212" s="4"/>
      <c r="AD1212" s="21">
        <f>ROUND(M1212*AR1212,0)</f>
        <v>2325</v>
      </c>
      <c r="AE1212" s="6">
        <f>1-AB1212/AD1212</f>
        <v>0.44086021505376349</v>
      </c>
      <c r="AF1212" s="33">
        <v>1</v>
      </c>
      <c r="AG1212" s="4">
        <f t="shared" si="182"/>
        <v>2770</v>
      </c>
      <c r="AH1212" s="33">
        <f t="shared" si="175"/>
        <v>2770</v>
      </c>
      <c r="AI1212" s="6">
        <f>1-AB1212/AH1212</f>
        <v>0.53068592057761732</v>
      </c>
      <c r="AJ1212" s="7">
        <v>2100</v>
      </c>
      <c r="AK1212" s="6">
        <f>1-AB1212/AJ1212</f>
        <v>0.38095238095238093</v>
      </c>
      <c r="AL1212" s="4">
        <f>AJ1212-AB1212</f>
        <v>800</v>
      </c>
      <c r="AM1212" s="28"/>
      <c r="AN1212" s="6"/>
      <c r="AO1212" s="6"/>
      <c r="AP1212" s="6">
        <f>Z1212/L1212</f>
        <v>1</v>
      </c>
      <c r="AQ1212" s="6">
        <f>AJ1212/M1212</f>
        <v>0.90322580645161288</v>
      </c>
      <c r="AR1212" s="6">
        <f>AB1212/N1212</f>
        <v>1</v>
      </c>
      <c r="AS1212" s="4"/>
      <c r="AT1212" s="4"/>
      <c r="AU1212" s="4"/>
      <c r="AV1212" s="4"/>
      <c r="AW1212" s="4"/>
      <c r="AX1212" s="4"/>
      <c r="AY1212" s="4"/>
      <c r="AZ1212" s="4"/>
      <c r="BA1212" s="4"/>
      <c r="BB1212" s="4">
        <v>0</v>
      </c>
      <c r="BC1212" s="4" t="s">
        <v>4686</v>
      </c>
      <c r="BD1212" s="4"/>
      <c r="BE1212" s="4"/>
      <c r="BF1212" s="4" t="s">
        <v>3874</v>
      </c>
      <c r="BG1212" s="4">
        <v>2770</v>
      </c>
      <c r="BH1212" s="4">
        <v>2770</v>
      </c>
      <c r="BI1212" s="4">
        <f t="shared" si="183"/>
        <v>2770</v>
      </c>
      <c r="BJ1212" s="19">
        <v>2</v>
      </c>
      <c r="BK1212" s="19">
        <v>8</v>
      </c>
      <c r="BL1212" s="16">
        <v>19</v>
      </c>
      <c r="BM1212" s="45" t="s">
        <v>3534</v>
      </c>
      <c r="BN1212" t="s">
        <v>3534</v>
      </c>
      <c r="BO1212" t="str">
        <f t="shared" si="176"/>
        <v>-</v>
      </c>
      <c r="BP1212" t="s">
        <v>3534</v>
      </c>
      <c r="BQ1212">
        <v>2000</v>
      </c>
      <c r="BR1212">
        <f t="shared" si="177"/>
        <v>2000</v>
      </c>
      <c r="BS1212" t="s">
        <v>3527</v>
      </c>
    </row>
    <row r="1213" spans="1:71" x14ac:dyDescent="0.4">
      <c r="A1213" s="42">
        <v>1210</v>
      </c>
      <c r="B1213" s="3">
        <v>1210</v>
      </c>
      <c r="C1213" s="4" t="s">
        <v>1272</v>
      </c>
      <c r="D1213" s="4" t="str">
        <f t="shared" si="178"/>
        <v>JB7877</v>
      </c>
      <c r="E1213" s="4" t="s">
        <v>1272</v>
      </c>
      <c r="F1213" s="4" t="s">
        <v>2490</v>
      </c>
      <c r="G1213" s="5">
        <v>4521718513669</v>
      </c>
      <c r="H1213" s="5"/>
      <c r="I1213" s="5"/>
      <c r="J1213" s="5">
        <v>1</v>
      </c>
      <c r="K1213" s="5">
        <v>1</v>
      </c>
      <c r="L1213" s="4">
        <v>1819</v>
      </c>
      <c r="M1213" s="4">
        <v>1862</v>
      </c>
      <c r="N1213" s="4">
        <v>1182</v>
      </c>
      <c r="O1213" s="6">
        <f t="shared" si="179"/>
        <v>0.36519871106337276</v>
      </c>
      <c r="P1213" s="4" t="s">
        <v>2500</v>
      </c>
      <c r="Q1213" s="4"/>
      <c r="R1213" s="4"/>
      <c r="S1213" s="4"/>
      <c r="T1213" s="4"/>
      <c r="U1213" s="4"/>
      <c r="V1213" s="4"/>
      <c r="W1213" s="4"/>
      <c r="X1213" s="4"/>
      <c r="Y1213" s="4">
        <v>1819</v>
      </c>
      <c r="Z1213" s="4">
        <f t="shared" si="180"/>
        <v>1819</v>
      </c>
      <c r="AA1213" s="4">
        <v>1182</v>
      </c>
      <c r="AB1213" s="4">
        <f t="shared" si="181"/>
        <v>1182</v>
      </c>
      <c r="AC1213" s="4"/>
      <c r="AD1213" s="21">
        <f>ROUND(M1213*AR1213,0)</f>
        <v>1862</v>
      </c>
      <c r="AE1213" s="6">
        <f>1-AB1213/AD1213</f>
        <v>0.36519871106337276</v>
      </c>
      <c r="AF1213" s="33">
        <v>0.25</v>
      </c>
      <c r="AG1213" s="4" t="str">
        <f t="shared" si="182"/>
        <v>-</v>
      </c>
      <c r="AH1213" s="33" t="e">
        <f t="shared" si="175"/>
        <v>#VALUE!</v>
      </c>
      <c r="AI1213" s="6" t="e">
        <f>1-AB1213/AH1213</f>
        <v>#VALUE!</v>
      </c>
      <c r="AJ1213" s="7">
        <v>2000</v>
      </c>
      <c r="AK1213" s="6">
        <f>1-AB1213/AJ1213</f>
        <v>0.40900000000000003</v>
      </c>
      <c r="AL1213" s="4">
        <f>AJ1213-AB1213</f>
        <v>818</v>
      </c>
      <c r="AM1213" s="28"/>
      <c r="AN1213" s="6"/>
      <c r="AO1213" s="6"/>
      <c r="AP1213" s="6">
        <f>Z1213/L1213</f>
        <v>1</v>
      </c>
      <c r="AQ1213" s="6">
        <f>AJ1213/M1213</f>
        <v>1.0741138560687433</v>
      </c>
      <c r="AR1213" s="6">
        <f>AB1213/N1213</f>
        <v>1</v>
      </c>
      <c r="AS1213" s="4"/>
      <c r="AT1213" s="4"/>
      <c r="AU1213" s="4"/>
      <c r="AV1213" s="4"/>
      <c r="AW1213" s="4"/>
      <c r="AX1213" s="4"/>
      <c r="AY1213" s="4"/>
      <c r="AZ1213" s="4"/>
      <c r="BA1213" s="4"/>
      <c r="BB1213" s="4">
        <v>0</v>
      </c>
      <c r="BC1213" s="4" t="s">
        <v>4687</v>
      </c>
      <c r="BD1213" s="4"/>
      <c r="BE1213" s="4"/>
      <c r="BF1213" s="4" t="s">
        <v>3874</v>
      </c>
      <c r="BG1213" s="4">
        <v>3300</v>
      </c>
      <c r="BH1213" s="4" t="s">
        <v>3534</v>
      </c>
      <c r="BI1213" s="4" t="str">
        <f t="shared" si="183"/>
        <v>-</v>
      </c>
      <c r="BJ1213" s="19">
        <v>2</v>
      </c>
      <c r="BK1213" s="19">
        <v>8</v>
      </c>
      <c r="BL1213" s="16">
        <v>19</v>
      </c>
      <c r="BM1213" s="45" t="s">
        <v>3534</v>
      </c>
      <c r="BN1213" t="s">
        <v>3534</v>
      </c>
      <c r="BO1213" t="str">
        <f t="shared" si="176"/>
        <v>-</v>
      </c>
      <c r="BP1213" t="s">
        <v>3534</v>
      </c>
      <c r="BQ1213">
        <v>1819</v>
      </c>
      <c r="BR1213">
        <f t="shared" si="177"/>
        <v>1819</v>
      </c>
      <c r="BS1213" t="s">
        <v>3528</v>
      </c>
    </row>
    <row r="1214" spans="1:71" x14ac:dyDescent="0.4">
      <c r="A1214" s="3">
        <v>1211</v>
      </c>
      <c r="B1214" s="3">
        <v>1211</v>
      </c>
      <c r="C1214" s="4" t="s">
        <v>1273</v>
      </c>
      <c r="D1214" s="4" t="str">
        <f t="shared" si="178"/>
        <v>JB7879</v>
      </c>
      <c r="E1214" s="4" t="s">
        <v>1273</v>
      </c>
      <c r="F1214" s="4" t="s">
        <v>2491</v>
      </c>
      <c r="G1214" s="5">
        <v>4521718513720</v>
      </c>
      <c r="H1214" s="5"/>
      <c r="I1214" s="5"/>
      <c r="J1214" s="5">
        <v>1</v>
      </c>
      <c r="K1214" s="5">
        <v>1</v>
      </c>
      <c r="L1214" s="4">
        <v>10910</v>
      </c>
      <c r="M1214" s="4">
        <v>9972</v>
      </c>
      <c r="N1214" s="4">
        <v>8183</v>
      </c>
      <c r="O1214" s="6">
        <f t="shared" si="179"/>
        <v>0.17940232651423982</v>
      </c>
      <c r="P1214" s="4" t="s">
        <v>2500</v>
      </c>
      <c r="Q1214" s="4"/>
      <c r="R1214" s="4"/>
      <c r="S1214" s="4"/>
      <c r="T1214" s="4"/>
      <c r="U1214" s="4"/>
      <c r="V1214" s="4"/>
      <c r="W1214" s="4"/>
      <c r="X1214" s="4"/>
      <c r="Y1214" s="4">
        <v>10910</v>
      </c>
      <c r="Z1214" s="4">
        <f t="shared" si="180"/>
        <v>10910</v>
      </c>
      <c r="AA1214" s="4">
        <v>8183</v>
      </c>
      <c r="AB1214" s="4">
        <f t="shared" si="181"/>
        <v>8183</v>
      </c>
      <c r="AC1214" s="4"/>
      <c r="AD1214" s="21">
        <f>ROUND(M1214*AR1214,0)</f>
        <v>9972</v>
      </c>
      <c r="AE1214" s="6">
        <f>1-AB1214/AD1214</f>
        <v>0.17940232651423982</v>
      </c>
      <c r="AF1214" s="33">
        <v>0.25</v>
      </c>
      <c r="AG1214" s="4" t="str">
        <f t="shared" si="182"/>
        <v>-</v>
      </c>
      <c r="AH1214" s="33" t="e">
        <f t="shared" si="175"/>
        <v>#VALUE!</v>
      </c>
      <c r="AI1214" s="6" t="e">
        <f>1-AB1214/AH1214</f>
        <v>#VALUE!</v>
      </c>
      <c r="AJ1214" s="7">
        <v>10910</v>
      </c>
      <c r="AK1214" s="6">
        <f>1-AB1214/AJ1214</f>
        <v>0.24995417048579283</v>
      </c>
      <c r="AL1214" s="4">
        <f>AJ1214-AB1214</f>
        <v>2727</v>
      </c>
      <c r="AM1214" s="28"/>
      <c r="AN1214" s="6"/>
      <c r="AO1214" s="6"/>
      <c r="AP1214" s="6">
        <f>Z1214/L1214</f>
        <v>1</v>
      </c>
      <c r="AQ1214" s="6">
        <f>AJ1214/M1214</f>
        <v>1.0940633774568793</v>
      </c>
      <c r="AR1214" s="6">
        <f>AB1214/N1214</f>
        <v>1</v>
      </c>
      <c r="AS1214" s="4"/>
      <c r="AT1214" s="4"/>
      <c r="AU1214" s="4"/>
      <c r="AV1214" s="4"/>
      <c r="AW1214" s="4"/>
      <c r="AX1214" s="4"/>
      <c r="AY1214" s="4"/>
      <c r="AZ1214" s="4"/>
      <c r="BA1214" s="4"/>
      <c r="BB1214" s="4">
        <v>0</v>
      </c>
      <c r="BC1214" s="4" t="s">
        <v>3534</v>
      </c>
      <c r="BD1214" s="4"/>
      <c r="BE1214" s="4"/>
      <c r="BF1214" s="4" t="s">
        <v>3534</v>
      </c>
      <c r="BG1214" s="4" t="s">
        <v>3534</v>
      </c>
      <c r="BH1214" s="4" t="s">
        <v>3534</v>
      </c>
      <c r="BI1214" s="4" t="str">
        <f t="shared" si="183"/>
        <v>-</v>
      </c>
      <c r="BJ1214" s="19">
        <v>4</v>
      </c>
      <c r="BK1214" s="19">
        <v>8</v>
      </c>
      <c r="BL1214" s="16">
        <v>19</v>
      </c>
      <c r="BM1214" s="45" t="s">
        <v>3534</v>
      </c>
      <c r="BN1214" t="s">
        <v>3534</v>
      </c>
      <c r="BO1214" t="str">
        <f t="shared" si="176"/>
        <v>-</v>
      </c>
      <c r="BP1214" t="s">
        <v>3534</v>
      </c>
      <c r="BQ1214">
        <v>16366</v>
      </c>
      <c r="BR1214">
        <f t="shared" si="177"/>
        <v>16366</v>
      </c>
      <c r="BS1214" t="s">
        <v>3534</v>
      </c>
    </row>
    <row r="1215" spans="1:71" x14ac:dyDescent="0.4">
      <c r="A1215" s="3">
        <v>1212</v>
      </c>
      <c r="B1215" s="3">
        <v>1212</v>
      </c>
      <c r="C1215" s="4" t="s">
        <v>1274</v>
      </c>
      <c r="D1215" s="4" t="str">
        <f t="shared" si="178"/>
        <v>JB7880</v>
      </c>
      <c r="E1215" s="4" t="s">
        <v>1274</v>
      </c>
      <c r="F1215" s="4" t="s">
        <v>2492</v>
      </c>
      <c r="G1215" s="5">
        <v>4521718513881</v>
      </c>
      <c r="H1215" s="5"/>
      <c r="I1215" s="5"/>
      <c r="J1215" s="5">
        <v>1</v>
      </c>
      <c r="K1215" s="5">
        <v>1</v>
      </c>
      <c r="L1215" s="4">
        <v>3000</v>
      </c>
      <c r="M1215" s="4">
        <v>2993</v>
      </c>
      <c r="N1215" s="4">
        <v>2550</v>
      </c>
      <c r="O1215" s="6">
        <f t="shared" si="179"/>
        <v>0.14801202806548619</v>
      </c>
      <c r="P1215" s="4" t="s">
        <v>2500</v>
      </c>
      <c r="Q1215" s="4"/>
      <c r="R1215" s="4"/>
      <c r="S1215" s="4"/>
      <c r="T1215" s="4"/>
      <c r="U1215" s="4"/>
      <c r="V1215" s="4"/>
      <c r="W1215" s="4"/>
      <c r="X1215" s="4"/>
      <c r="Y1215" s="4">
        <v>3000</v>
      </c>
      <c r="Z1215" s="4">
        <f t="shared" si="180"/>
        <v>3000</v>
      </c>
      <c r="AA1215" s="4">
        <v>2550</v>
      </c>
      <c r="AB1215" s="4">
        <f t="shared" si="181"/>
        <v>2550</v>
      </c>
      <c r="AC1215" s="4"/>
      <c r="AD1215" s="21">
        <f>ROUND(M1215*AR1215,0)</f>
        <v>2993</v>
      </c>
      <c r="AE1215" s="6">
        <f>1-AB1215/AD1215</f>
        <v>0.14801202806548619</v>
      </c>
      <c r="AF1215" s="33">
        <v>0</v>
      </c>
      <c r="AG1215" s="4" t="str">
        <f t="shared" si="182"/>
        <v>-</v>
      </c>
      <c r="AH1215" s="33" t="e">
        <f t="shared" si="175"/>
        <v>#VALUE!</v>
      </c>
      <c r="AI1215" s="6" t="e">
        <f>1-AB1215/AH1215</f>
        <v>#VALUE!</v>
      </c>
      <c r="AJ1215" s="7">
        <v>3000</v>
      </c>
      <c r="AK1215" s="6">
        <f>1-AB1215/AJ1215</f>
        <v>0.15000000000000002</v>
      </c>
      <c r="AL1215" s="4">
        <f>AJ1215-AB1215</f>
        <v>450</v>
      </c>
      <c r="AM1215" s="28"/>
      <c r="AN1215" s="6"/>
      <c r="AO1215" s="6"/>
      <c r="AP1215" s="6">
        <f>Z1215/L1215</f>
        <v>1</v>
      </c>
      <c r="AQ1215" s="6">
        <f>AJ1215/M1215</f>
        <v>1.0023387905111927</v>
      </c>
      <c r="AR1215" s="6">
        <f>AB1215/N1215</f>
        <v>1</v>
      </c>
      <c r="AS1215" s="4"/>
      <c r="AT1215" s="4"/>
      <c r="AU1215" s="4"/>
      <c r="AV1215" s="4"/>
      <c r="AW1215" s="4"/>
      <c r="AX1215" s="4"/>
      <c r="AY1215" s="4"/>
      <c r="AZ1215" s="4"/>
      <c r="BA1215" s="4"/>
      <c r="BB1215" s="4">
        <v>0</v>
      </c>
      <c r="BC1215" s="4" t="s">
        <v>3534</v>
      </c>
      <c r="BD1215" s="4"/>
      <c r="BE1215" s="4"/>
      <c r="BF1215" s="4" t="s">
        <v>3534</v>
      </c>
      <c r="BG1215" s="4" t="s">
        <v>3534</v>
      </c>
      <c r="BH1215" s="4" t="s">
        <v>3534</v>
      </c>
      <c r="BI1215" s="4" t="str">
        <f t="shared" si="183"/>
        <v>-</v>
      </c>
      <c r="BJ1215" s="19">
        <v>4</v>
      </c>
      <c r="BK1215" s="19">
        <v>8</v>
      </c>
      <c r="BL1215" s="16">
        <v>19</v>
      </c>
      <c r="BM1215" s="45" t="s">
        <v>3534</v>
      </c>
      <c r="BN1215" t="s">
        <v>3534</v>
      </c>
      <c r="BO1215" t="str">
        <f t="shared" si="176"/>
        <v>-</v>
      </c>
      <c r="BP1215" t="s">
        <v>3534</v>
      </c>
      <c r="BQ1215">
        <v>3933</v>
      </c>
      <c r="BR1215">
        <f t="shared" si="177"/>
        <v>3933</v>
      </c>
      <c r="BS1215" t="s">
        <v>3534</v>
      </c>
    </row>
    <row r="1216" spans="1:71" x14ac:dyDescent="0.4">
      <c r="A1216" s="3">
        <v>1213</v>
      </c>
      <c r="B1216" s="3">
        <v>1213</v>
      </c>
      <c r="C1216" s="4" t="s">
        <v>1275</v>
      </c>
      <c r="D1216" s="4" t="str">
        <f t="shared" si="178"/>
        <v>JB7881</v>
      </c>
      <c r="E1216" s="4" t="s">
        <v>1275</v>
      </c>
      <c r="F1216" s="4" t="s">
        <v>2493</v>
      </c>
      <c r="G1216" s="5">
        <v>4521718513928</v>
      </c>
      <c r="H1216" s="5"/>
      <c r="I1216" s="5"/>
      <c r="J1216" s="5">
        <v>1</v>
      </c>
      <c r="K1216" s="5">
        <v>1</v>
      </c>
      <c r="L1216" s="4">
        <v>273</v>
      </c>
      <c r="M1216" s="4">
        <v>228</v>
      </c>
      <c r="N1216" s="4">
        <v>177</v>
      </c>
      <c r="O1216" s="6">
        <f t="shared" si="179"/>
        <v>0.22368421052631582</v>
      </c>
      <c r="P1216" s="4" t="s">
        <v>2500</v>
      </c>
      <c r="Q1216" s="4"/>
      <c r="R1216" s="4"/>
      <c r="S1216" s="4"/>
      <c r="T1216" s="4"/>
      <c r="U1216" s="4"/>
      <c r="V1216" s="4"/>
      <c r="W1216" s="4"/>
      <c r="X1216" s="4"/>
      <c r="Y1216" s="4">
        <v>182</v>
      </c>
      <c r="Z1216" s="4">
        <f t="shared" si="180"/>
        <v>182</v>
      </c>
      <c r="AA1216" s="4">
        <v>118</v>
      </c>
      <c r="AB1216" s="4">
        <f t="shared" si="181"/>
        <v>118</v>
      </c>
      <c r="AC1216" s="4"/>
      <c r="AD1216" s="21">
        <f>ROUND(M1216*AR1216,0)</f>
        <v>152</v>
      </c>
      <c r="AE1216" s="6">
        <f>1-AB1216/AD1216</f>
        <v>0.22368421052631582</v>
      </c>
      <c r="AF1216" s="33">
        <v>0</v>
      </c>
      <c r="AG1216" s="4">
        <f t="shared" si="182"/>
        <v>420</v>
      </c>
      <c r="AH1216" s="33">
        <f t="shared" si="175"/>
        <v>280</v>
      </c>
      <c r="AI1216" s="6">
        <f>1-AB1216/AH1216</f>
        <v>0.57857142857142851</v>
      </c>
      <c r="AJ1216" s="7">
        <f>ROUND(AB1216/0.65,0)</f>
        <v>182</v>
      </c>
      <c r="AK1216" s="6">
        <f>1-AB1216/AJ1216</f>
        <v>0.35164835164835162</v>
      </c>
      <c r="AL1216" s="4">
        <f>AJ1216-AB1216</f>
        <v>64</v>
      </c>
      <c r="AM1216" s="28"/>
      <c r="AN1216" s="6"/>
      <c r="AO1216" s="6"/>
      <c r="AP1216" s="6">
        <f>Z1216/L1216</f>
        <v>0.66666666666666663</v>
      </c>
      <c r="AQ1216" s="6">
        <f>AJ1216/M1216</f>
        <v>0.79824561403508776</v>
      </c>
      <c r="AR1216" s="6">
        <f>AB1216/N1216</f>
        <v>0.66666666666666663</v>
      </c>
      <c r="AS1216" s="4"/>
      <c r="AT1216" s="4"/>
      <c r="AU1216" s="4"/>
      <c r="AV1216" s="4"/>
      <c r="AW1216" s="4"/>
      <c r="AX1216" s="4"/>
      <c r="AY1216" s="4"/>
      <c r="AZ1216" s="4"/>
      <c r="BA1216" s="4"/>
      <c r="BB1216" s="4">
        <v>0</v>
      </c>
      <c r="BC1216" s="4" t="s">
        <v>4688</v>
      </c>
      <c r="BD1216" s="4"/>
      <c r="BE1216" s="4"/>
      <c r="BF1216" s="4" t="s">
        <v>4689</v>
      </c>
      <c r="BG1216" s="4">
        <v>420</v>
      </c>
      <c r="BH1216" s="4">
        <v>420</v>
      </c>
      <c r="BI1216" s="4">
        <f t="shared" si="183"/>
        <v>420</v>
      </c>
      <c r="BJ1216" s="19">
        <v>4</v>
      </c>
      <c r="BK1216" s="19">
        <v>8</v>
      </c>
      <c r="BL1216" s="16">
        <v>19</v>
      </c>
      <c r="BM1216" s="45" t="s">
        <v>3534</v>
      </c>
      <c r="BN1216" t="s">
        <v>3534</v>
      </c>
      <c r="BO1216" t="str">
        <f t="shared" si="176"/>
        <v>-</v>
      </c>
      <c r="BP1216" t="s">
        <v>3534</v>
      </c>
      <c r="BQ1216" t="s">
        <v>3534</v>
      </c>
      <c r="BR1216" t="str">
        <f t="shared" si="177"/>
        <v>-</v>
      </c>
      <c r="BS1216" t="s">
        <v>3529</v>
      </c>
    </row>
    <row r="1217" spans="1:71" x14ac:dyDescent="0.4">
      <c r="A1217" s="3">
        <v>1214</v>
      </c>
      <c r="B1217" s="3">
        <v>1214</v>
      </c>
      <c r="C1217" s="4" t="s">
        <v>1276</v>
      </c>
      <c r="D1217" s="4" t="str">
        <f t="shared" si="178"/>
        <v>JB7883</v>
      </c>
      <c r="E1217" s="4" t="s">
        <v>1276</v>
      </c>
      <c r="F1217" s="4" t="s">
        <v>2494</v>
      </c>
      <c r="G1217" s="5">
        <v>4521718514031</v>
      </c>
      <c r="H1217" s="5"/>
      <c r="I1217" s="5"/>
      <c r="J1217" s="5">
        <v>1</v>
      </c>
      <c r="K1217" s="5">
        <v>1</v>
      </c>
      <c r="L1217" s="4">
        <v>3637</v>
      </c>
      <c r="M1217" s="4">
        <v>3306</v>
      </c>
      <c r="N1217" s="4">
        <v>2546</v>
      </c>
      <c r="O1217" s="6">
        <f t="shared" si="179"/>
        <v>0.22988505747126442</v>
      </c>
      <c r="P1217" s="4" t="s">
        <v>2500</v>
      </c>
      <c r="Q1217" s="4"/>
      <c r="R1217" s="4"/>
      <c r="S1217" s="4"/>
      <c r="T1217" s="4"/>
      <c r="U1217" s="4"/>
      <c r="V1217" s="4"/>
      <c r="W1217" s="4"/>
      <c r="X1217" s="4"/>
      <c r="Y1217" s="4">
        <v>3637</v>
      </c>
      <c r="Z1217" s="4">
        <f t="shared" si="180"/>
        <v>3637</v>
      </c>
      <c r="AA1217" s="4">
        <v>2546</v>
      </c>
      <c r="AB1217" s="4">
        <f t="shared" si="181"/>
        <v>2546</v>
      </c>
      <c r="AC1217" s="4"/>
      <c r="AD1217" s="21">
        <f>ROUND(M1217*AR1217,0)</f>
        <v>3306</v>
      </c>
      <c r="AE1217" s="6">
        <f>1-AB1217/AD1217</f>
        <v>0.22988505747126442</v>
      </c>
      <c r="AF1217" s="33">
        <v>0</v>
      </c>
      <c r="AG1217" s="4">
        <f t="shared" si="182"/>
        <v>4850</v>
      </c>
      <c r="AH1217" s="33">
        <f t="shared" si="175"/>
        <v>4850</v>
      </c>
      <c r="AI1217" s="6">
        <f>1-AB1217/AH1217</f>
        <v>0.47505154639175262</v>
      </c>
      <c r="AJ1217" s="7">
        <v>3637</v>
      </c>
      <c r="AK1217" s="6">
        <f>1-AB1217/AJ1217</f>
        <v>0.29997250481165794</v>
      </c>
      <c r="AL1217" s="4">
        <f>AJ1217-AB1217</f>
        <v>1091</v>
      </c>
      <c r="AM1217" s="28"/>
      <c r="AN1217" s="6"/>
      <c r="AO1217" s="6"/>
      <c r="AP1217" s="6">
        <f>Z1217/L1217</f>
        <v>1</v>
      </c>
      <c r="AQ1217" s="6">
        <f>AJ1217/M1217</f>
        <v>1.1001209921355113</v>
      </c>
      <c r="AR1217" s="6">
        <f>AB1217/N1217</f>
        <v>1</v>
      </c>
      <c r="AS1217" s="4"/>
      <c r="AT1217" s="4"/>
      <c r="AU1217" s="4"/>
      <c r="AV1217" s="4"/>
      <c r="AW1217" s="4"/>
      <c r="AX1217" s="4"/>
      <c r="AY1217" s="4"/>
      <c r="AZ1217" s="4"/>
      <c r="BA1217" s="4"/>
      <c r="BB1217" s="4">
        <v>0</v>
      </c>
      <c r="BC1217" s="4" t="s">
        <v>4690</v>
      </c>
      <c r="BD1217" s="4"/>
      <c r="BE1217" s="4"/>
      <c r="BF1217" s="4" t="s">
        <v>3545</v>
      </c>
      <c r="BG1217" s="4">
        <v>4850</v>
      </c>
      <c r="BH1217" s="4">
        <v>4850</v>
      </c>
      <c r="BI1217" s="4">
        <f t="shared" si="183"/>
        <v>4850</v>
      </c>
      <c r="BJ1217" s="19">
        <v>4</v>
      </c>
      <c r="BK1217" s="19">
        <v>8</v>
      </c>
      <c r="BL1217" s="16">
        <v>19</v>
      </c>
      <c r="BM1217" s="45" t="s">
        <v>3534</v>
      </c>
      <c r="BN1217" t="s">
        <v>3534</v>
      </c>
      <c r="BO1217" t="str">
        <f t="shared" si="176"/>
        <v>-</v>
      </c>
      <c r="BP1217" t="s">
        <v>3534</v>
      </c>
      <c r="BQ1217">
        <v>3637</v>
      </c>
      <c r="BR1217">
        <f t="shared" si="177"/>
        <v>3637</v>
      </c>
      <c r="BS1217" t="s">
        <v>3530</v>
      </c>
    </row>
    <row r="1218" spans="1:71" x14ac:dyDescent="0.4">
      <c r="A1218" s="3">
        <v>1215</v>
      </c>
      <c r="B1218" s="3">
        <v>1215</v>
      </c>
      <c r="C1218" s="4" t="s">
        <v>1277</v>
      </c>
      <c r="D1218" s="4" t="str">
        <f t="shared" si="178"/>
        <v>JB7892</v>
      </c>
      <c r="E1218" s="4" t="s">
        <v>1277</v>
      </c>
      <c r="F1218" s="4" t="s">
        <v>2495</v>
      </c>
      <c r="G1218" s="5">
        <v>4521718514161</v>
      </c>
      <c r="H1218" s="5"/>
      <c r="I1218" s="5"/>
      <c r="J1218" s="5">
        <v>1</v>
      </c>
      <c r="K1218" s="5">
        <v>1</v>
      </c>
      <c r="L1218" s="4">
        <v>2600</v>
      </c>
      <c r="M1218" s="4">
        <v>2333</v>
      </c>
      <c r="N1218" s="4">
        <v>1820</v>
      </c>
      <c r="O1218" s="6">
        <f t="shared" si="179"/>
        <v>0.21988855550792974</v>
      </c>
      <c r="P1218" s="4" t="s">
        <v>2500</v>
      </c>
      <c r="Q1218" s="4"/>
      <c r="R1218" s="4"/>
      <c r="S1218" s="4"/>
      <c r="T1218" s="4"/>
      <c r="U1218" s="4"/>
      <c r="V1218" s="4"/>
      <c r="W1218" s="4"/>
      <c r="X1218" s="4"/>
      <c r="Y1218" s="4">
        <v>2600</v>
      </c>
      <c r="Z1218" s="4">
        <f t="shared" si="180"/>
        <v>2600</v>
      </c>
      <c r="AA1218" s="4">
        <v>1820</v>
      </c>
      <c r="AB1218" s="4">
        <f t="shared" si="181"/>
        <v>1820</v>
      </c>
      <c r="AC1218" s="4"/>
      <c r="AD1218" s="21">
        <f>ROUND(M1218*AR1218,0)</f>
        <v>2333</v>
      </c>
      <c r="AE1218" s="6">
        <f>1-AB1218/AD1218</f>
        <v>0.21988855550792974</v>
      </c>
      <c r="AF1218" s="33">
        <v>0</v>
      </c>
      <c r="AG1218" s="4">
        <f t="shared" si="182"/>
        <v>2980</v>
      </c>
      <c r="AH1218" s="33">
        <f t="shared" si="175"/>
        <v>2980</v>
      </c>
      <c r="AI1218" s="6">
        <f>1-AB1218/AH1218</f>
        <v>0.38926174496644295</v>
      </c>
      <c r="AJ1218" s="7">
        <v>2600</v>
      </c>
      <c r="AK1218" s="6">
        <f>1-AB1218/AJ1218</f>
        <v>0.30000000000000004</v>
      </c>
      <c r="AL1218" s="4">
        <f>AJ1218-AB1218</f>
        <v>780</v>
      </c>
      <c r="AM1218" s="28"/>
      <c r="AN1218" s="6"/>
      <c r="AO1218" s="6"/>
      <c r="AP1218" s="6">
        <f>Z1218/L1218</f>
        <v>1</v>
      </c>
      <c r="AQ1218" s="6">
        <f>AJ1218/M1218</f>
        <v>1.1144449207029576</v>
      </c>
      <c r="AR1218" s="6">
        <f>AB1218/N1218</f>
        <v>1</v>
      </c>
      <c r="AS1218" s="4"/>
      <c r="AT1218" s="4"/>
      <c r="AU1218" s="4"/>
      <c r="AV1218" s="4"/>
      <c r="AW1218" s="4"/>
      <c r="AX1218" s="4"/>
      <c r="AY1218" s="4"/>
      <c r="AZ1218" s="4"/>
      <c r="BA1218" s="4"/>
      <c r="BB1218" s="4">
        <v>0</v>
      </c>
      <c r="BC1218" s="4" t="s">
        <v>4691</v>
      </c>
      <c r="BD1218" s="4"/>
      <c r="BE1218" s="4"/>
      <c r="BF1218" s="4" t="s">
        <v>3555</v>
      </c>
      <c r="BG1218" s="4">
        <v>2980</v>
      </c>
      <c r="BH1218" s="4">
        <v>2980</v>
      </c>
      <c r="BI1218" s="4">
        <f t="shared" si="183"/>
        <v>2980</v>
      </c>
      <c r="BJ1218" s="19">
        <v>4</v>
      </c>
      <c r="BK1218" s="19">
        <v>8</v>
      </c>
      <c r="BL1218" s="16">
        <v>19</v>
      </c>
      <c r="BM1218" s="45" t="s">
        <v>3534</v>
      </c>
      <c r="BN1218" t="s">
        <v>3534</v>
      </c>
      <c r="BO1218" t="str">
        <f t="shared" si="176"/>
        <v>-</v>
      </c>
      <c r="BP1218" t="s">
        <v>3534</v>
      </c>
      <c r="BQ1218">
        <v>2600</v>
      </c>
      <c r="BR1218">
        <f t="shared" si="177"/>
        <v>2600</v>
      </c>
      <c r="BS1218" t="s">
        <v>3531</v>
      </c>
    </row>
    <row r="1219" spans="1:71" x14ac:dyDescent="0.4">
      <c r="A1219" s="3">
        <v>1216</v>
      </c>
      <c r="B1219" s="3">
        <v>1216</v>
      </c>
      <c r="C1219" s="4" t="s">
        <v>1278</v>
      </c>
      <c r="D1219" s="4" t="str">
        <f t="shared" si="178"/>
        <v>JB7895</v>
      </c>
      <c r="E1219" s="4" t="s">
        <v>1278</v>
      </c>
      <c r="F1219" s="4" t="s">
        <v>2496</v>
      </c>
      <c r="G1219" s="5">
        <v>4521718514284</v>
      </c>
      <c r="H1219" s="5"/>
      <c r="I1219" s="5"/>
      <c r="J1219" s="5">
        <v>1</v>
      </c>
      <c r="K1219" s="5">
        <v>1</v>
      </c>
      <c r="L1219" s="4">
        <v>855</v>
      </c>
      <c r="M1219" s="4">
        <v>825</v>
      </c>
      <c r="N1219" s="4">
        <v>599</v>
      </c>
      <c r="O1219" s="6">
        <f t="shared" si="179"/>
        <v>0.27393939393939393</v>
      </c>
      <c r="P1219" s="4" t="s">
        <v>2500</v>
      </c>
      <c r="Q1219" s="4"/>
      <c r="R1219" s="4"/>
      <c r="S1219" s="4"/>
      <c r="T1219" s="4"/>
      <c r="U1219" s="4"/>
      <c r="V1219" s="4"/>
      <c r="W1219" s="4"/>
      <c r="X1219" s="4"/>
      <c r="Y1219" s="4">
        <v>855</v>
      </c>
      <c r="Z1219" s="4">
        <f t="shared" si="180"/>
        <v>855</v>
      </c>
      <c r="AA1219" s="4">
        <v>599</v>
      </c>
      <c r="AB1219" s="4">
        <f t="shared" si="181"/>
        <v>599</v>
      </c>
      <c r="AC1219" s="4"/>
      <c r="AD1219" s="21">
        <f>ROUND(M1219*AR1219,0)</f>
        <v>825</v>
      </c>
      <c r="AE1219" s="6">
        <f>1-AB1219/AD1219</f>
        <v>0.27393939393939393</v>
      </c>
      <c r="AF1219" s="33">
        <v>0.5</v>
      </c>
      <c r="AG1219" s="4">
        <f t="shared" si="182"/>
        <v>1240</v>
      </c>
      <c r="AH1219" s="33">
        <f t="shared" si="175"/>
        <v>1240</v>
      </c>
      <c r="AI1219" s="6">
        <f>1-AB1219/AH1219</f>
        <v>0.51693548387096766</v>
      </c>
      <c r="AJ1219" s="7">
        <v>855</v>
      </c>
      <c r="AK1219" s="6">
        <f>1-AB1219/AJ1219</f>
        <v>0.29941520467836258</v>
      </c>
      <c r="AL1219" s="4">
        <f>AJ1219-AB1219</f>
        <v>256</v>
      </c>
      <c r="AM1219" s="28"/>
      <c r="AN1219" s="6"/>
      <c r="AO1219" s="6"/>
      <c r="AP1219" s="6">
        <f>Z1219/L1219</f>
        <v>1</v>
      </c>
      <c r="AQ1219" s="6">
        <f>AJ1219/M1219</f>
        <v>1.0363636363636364</v>
      </c>
      <c r="AR1219" s="6">
        <f>AB1219/N1219</f>
        <v>1</v>
      </c>
      <c r="AS1219" s="4"/>
      <c r="AT1219" s="4"/>
      <c r="AU1219" s="4"/>
      <c r="AV1219" s="4"/>
      <c r="AW1219" s="4"/>
      <c r="AX1219" s="4"/>
      <c r="AY1219" s="4"/>
      <c r="AZ1219" s="4"/>
      <c r="BA1219" s="4"/>
      <c r="BB1219" s="4">
        <v>0</v>
      </c>
      <c r="BC1219" s="4" t="s">
        <v>4692</v>
      </c>
      <c r="BD1219" s="4"/>
      <c r="BE1219" s="4"/>
      <c r="BF1219" s="4" t="s">
        <v>3874</v>
      </c>
      <c r="BG1219" s="4">
        <v>1240</v>
      </c>
      <c r="BH1219" s="4">
        <v>1240</v>
      </c>
      <c r="BI1219" s="4">
        <f t="shared" si="183"/>
        <v>1240</v>
      </c>
      <c r="BJ1219" s="19">
        <v>4</v>
      </c>
      <c r="BK1219" s="19">
        <v>8</v>
      </c>
      <c r="BL1219" s="16">
        <v>19</v>
      </c>
      <c r="BM1219" s="45" t="s">
        <v>3534</v>
      </c>
      <c r="BN1219" t="s">
        <v>3534</v>
      </c>
      <c r="BO1219" t="str">
        <f t="shared" si="176"/>
        <v>-</v>
      </c>
      <c r="BP1219" t="s">
        <v>3534</v>
      </c>
      <c r="BQ1219">
        <v>855</v>
      </c>
      <c r="BR1219">
        <f t="shared" si="177"/>
        <v>855</v>
      </c>
      <c r="BS1219" t="s">
        <v>3532</v>
      </c>
    </row>
    <row r="1220" spans="1:71" x14ac:dyDescent="0.4">
      <c r="A1220" s="42">
        <v>1217</v>
      </c>
      <c r="B1220" s="3">
        <v>1217</v>
      </c>
      <c r="C1220" s="4" t="s">
        <v>1279</v>
      </c>
      <c r="D1220" s="4" t="str">
        <f t="shared" si="178"/>
        <v>JW3650</v>
      </c>
      <c r="E1220" s="4" t="s">
        <v>1279</v>
      </c>
      <c r="F1220" s="4" t="s">
        <v>2497</v>
      </c>
      <c r="G1220" s="5">
        <v>4521718512280</v>
      </c>
      <c r="H1220" s="5"/>
      <c r="I1220" s="5"/>
      <c r="J1220" s="40">
        <v>2</v>
      </c>
      <c r="K1220" s="5">
        <v>1</v>
      </c>
      <c r="L1220" s="4">
        <v>14184</v>
      </c>
      <c r="M1220" s="4">
        <v>13000</v>
      </c>
      <c r="N1220" s="4">
        <v>9220</v>
      </c>
      <c r="O1220" s="6">
        <f t="shared" si="179"/>
        <v>0.29076923076923078</v>
      </c>
      <c r="P1220" s="4" t="s">
        <v>2500</v>
      </c>
      <c r="Q1220" s="4"/>
      <c r="R1220" s="4"/>
      <c r="S1220" s="4"/>
      <c r="T1220" s="4"/>
      <c r="U1220" s="4"/>
      <c r="V1220" s="4"/>
      <c r="W1220" s="4"/>
      <c r="X1220" s="4"/>
      <c r="Y1220" s="4">
        <v>3546</v>
      </c>
      <c r="Z1220" s="4">
        <f t="shared" si="180"/>
        <v>14184</v>
      </c>
      <c r="AA1220" s="4">
        <v>2305</v>
      </c>
      <c r="AB1220" s="4">
        <f t="shared" si="181"/>
        <v>9220</v>
      </c>
      <c r="AC1220" s="4">
        <v>4</v>
      </c>
      <c r="AD1220" s="21">
        <f>ROUND(M1220*AR1220,0)</f>
        <v>13000</v>
      </c>
      <c r="AE1220" s="6">
        <f>1-AB1220/AD1220</f>
        <v>0.29076923076923078</v>
      </c>
      <c r="AF1220" s="33">
        <v>0</v>
      </c>
      <c r="AG1220" s="4" t="str">
        <f t="shared" si="182"/>
        <v>-</v>
      </c>
      <c r="AH1220" s="33" t="e">
        <f t="shared" ref="AH1220:AH1222" si="184">AG1220*AR1220</f>
        <v>#VALUE!</v>
      </c>
      <c r="AI1220" s="6" t="e">
        <f>1-AB1220/AH1220</f>
        <v>#VALUE!</v>
      </c>
      <c r="AJ1220" s="7">
        <v>14184</v>
      </c>
      <c r="AK1220" s="6">
        <f>1-AB1220/AJ1220</f>
        <v>0.34997179921037791</v>
      </c>
      <c r="AL1220" s="4">
        <f>AJ1220-AB1220</f>
        <v>4964</v>
      </c>
      <c r="AM1220" s="28"/>
      <c r="AN1220" s="6"/>
      <c r="AO1220" s="6"/>
      <c r="AP1220" s="6">
        <f>Z1220/L1220</f>
        <v>1</v>
      </c>
      <c r="AQ1220" s="6">
        <f>AJ1220/M1220</f>
        <v>1.0910769230769231</v>
      </c>
      <c r="AR1220" s="6">
        <f>AB1220/N1220</f>
        <v>1</v>
      </c>
      <c r="AS1220" s="4"/>
      <c r="AT1220" s="4"/>
      <c r="AU1220" s="4"/>
      <c r="AV1220" s="4"/>
      <c r="AW1220" s="4"/>
      <c r="AX1220" s="4"/>
      <c r="AY1220" s="4"/>
      <c r="AZ1220" s="4"/>
      <c r="BA1220" s="4"/>
      <c r="BB1220" s="4">
        <v>0</v>
      </c>
      <c r="BC1220" s="4" t="s">
        <v>3534</v>
      </c>
      <c r="BD1220" s="4"/>
      <c r="BE1220" s="4"/>
      <c r="BF1220" s="4" t="s">
        <v>3534</v>
      </c>
      <c r="BG1220" s="4" t="s">
        <v>3534</v>
      </c>
      <c r="BH1220" s="4" t="s">
        <v>3534</v>
      </c>
      <c r="BI1220" s="4" t="str">
        <f t="shared" si="183"/>
        <v>-</v>
      </c>
      <c r="BJ1220" s="19">
        <v>2</v>
      </c>
      <c r="BK1220" s="19">
        <v>8</v>
      </c>
      <c r="BL1220" s="16">
        <v>19</v>
      </c>
      <c r="BM1220" s="45" t="s">
        <v>3534</v>
      </c>
      <c r="BN1220" t="s">
        <v>3534</v>
      </c>
      <c r="BO1220" t="str">
        <f t="shared" si="176"/>
        <v>-</v>
      </c>
      <c r="BP1220" t="s">
        <v>3534</v>
      </c>
      <c r="BQ1220" t="s">
        <v>3534</v>
      </c>
      <c r="BR1220" t="str">
        <f t="shared" si="177"/>
        <v>-</v>
      </c>
      <c r="BS1220" t="s">
        <v>3534</v>
      </c>
    </row>
    <row r="1221" spans="1:71" x14ac:dyDescent="0.4">
      <c r="A1221" s="42">
        <v>1218</v>
      </c>
      <c r="B1221" s="3">
        <v>1218</v>
      </c>
      <c r="C1221" s="4" t="s">
        <v>1280</v>
      </c>
      <c r="D1221" s="4" t="str">
        <f t="shared" si="178"/>
        <v>JW3651</v>
      </c>
      <c r="E1221" s="4" t="s">
        <v>1280</v>
      </c>
      <c r="F1221" s="4" t="s">
        <v>2498</v>
      </c>
      <c r="G1221" s="5">
        <v>4521718512297</v>
      </c>
      <c r="H1221" s="5"/>
      <c r="I1221" s="5"/>
      <c r="J1221" s="5">
        <v>1</v>
      </c>
      <c r="K1221" s="5">
        <v>1</v>
      </c>
      <c r="L1221" s="4">
        <v>14550</v>
      </c>
      <c r="M1221" s="4">
        <v>5000</v>
      </c>
      <c r="N1221" s="4">
        <v>9460</v>
      </c>
      <c r="O1221" s="6">
        <f t="shared" si="179"/>
        <v>-0.8919999999999999</v>
      </c>
      <c r="P1221" s="4" t="s">
        <v>2500</v>
      </c>
      <c r="Q1221" s="4"/>
      <c r="R1221" s="4"/>
      <c r="S1221" s="4"/>
      <c r="T1221" s="4"/>
      <c r="U1221" s="4"/>
      <c r="V1221" s="4"/>
      <c r="W1221" s="4"/>
      <c r="X1221" s="4"/>
      <c r="Y1221" s="4">
        <v>2910</v>
      </c>
      <c r="Z1221" s="4">
        <f t="shared" si="180"/>
        <v>14550</v>
      </c>
      <c r="AA1221" s="4">
        <v>1892</v>
      </c>
      <c r="AB1221" s="4">
        <f t="shared" si="181"/>
        <v>9460</v>
      </c>
      <c r="AC1221" s="4">
        <v>5</v>
      </c>
      <c r="AD1221" s="21">
        <f>ROUND(M1221*AR1221,0)</f>
        <v>5000</v>
      </c>
      <c r="AE1221" s="6">
        <f>1-AB1221/AD1221</f>
        <v>-0.8919999999999999</v>
      </c>
      <c r="AF1221" s="33">
        <v>0</v>
      </c>
      <c r="AG1221" s="4" t="str">
        <f t="shared" si="182"/>
        <v>-</v>
      </c>
      <c r="AH1221" s="33" t="e">
        <f t="shared" si="184"/>
        <v>#VALUE!</v>
      </c>
      <c r="AI1221" s="6" t="e">
        <f>1-AB1221/AH1221</f>
        <v>#VALUE!</v>
      </c>
      <c r="AJ1221" s="7">
        <v>14550</v>
      </c>
      <c r="AK1221" s="6">
        <f>1-AB1221/AJ1221</f>
        <v>0.34982817869415805</v>
      </c>
      <c r="AL1221" s="4">
        <f>AJ1221-AB1221</f>
        <v>5090</v>
      </c>
      <c r="AM1221" s="28"/>
      <c r="AN1221" s="6"/>
      <c r="AO1221" s="6"/>
      <c r="AP1221" s="6">
        <f>Z1221/L1221</f>
        <v>1</v>
      </c>
      <c r="AQ1221" s="6">
        <f>AJ1221/M1221</f>
        <v>2.91</v>
      </c>
      <c r="AR1221" s="6">
        <f>AB1221/N1221</f>
        <v>1</v>
      </c>
      <c r="AS1221" s="4"/>
      <c r="AT1221" s="4"/>
      <c r="AU1221" s="4"/>
      <c r="AV1221" s="4"/>
      <c r="AW1221" s="4"/>
      <c r="AX1221" s="4"/>
      <c r="AY1221" s="4"/>
      <c r="AZ1221" s="4"/>
      <c r="BA1221" s="4"/>
      <c r="BB1221" s="4">
        <v>0</v>
      </c>
      <c r="BC1221" s="4" t="s">
        <v>3534</v>
      </c>
      <c r="BD1221" s="4"/>
      <c r="BE1221" s="4"/>
      <c r="BF1221" s="4" t="s">
        <v>3534</v>
      </c>
      <c r="BG1221" s="4" t="s">
        <v>3534</v>
      </c>
      <c r="BH1221" s="4" t="s">
        <v>3534</v>
      </c>
      <c r="BI1221" s="4" t="str">
        <f t="shared" si="183"/>
        <v>-</v>
      </c>
      <c r="BJ1221" s="19">
        <v>2</v>
      </c>
      <c r="BK1221" s="19">
        <v>8</v>
      </c>
      <c r="BL1221" s="16">
        <v>19</v>
      </c>
      <c r="BM1221" s="45" t="s">
        <v>3534</v>
      </c>
      <c r="BN1221" t="s">
        <v>3534</v>
      </c>
      <c r="BO1221" t="str">
        <f t="shared" ref="BO1221:BO1222" si="185">IFERROR(BN1221*AR1221,"-")</f>
        <v>-</v>
      </c>
      <c r="BP1221" t="s">
        <v>3534</v>
      </c>
      <c r="BQ1221" t="s">
        <v>3534</v>
      </c>
      <c r="BR1221" t="str">
        <f t="shared" ref="BR1221:BR1222" si="186">IFERROR(BQ1221*AR1221,"-")</f>
        <v>-</v>
      </c>
      <c r="BS1221" t="s">
        <v>3534</v>
      </c>
    </row>
    <row r="1222" spans="1:71" x14ac:dyDescent="0.4">
      <c r="A1222" s="3">
        <v>1219</v>
      </c>
      <c r="B1222" s="3">
        <v>1219</v>
      </c>
      <c r="C1222" s="4" t="s">
        <v>1281</v>
      </c>
      <c r="D1222" s="4" t="str">
        <f t="shared" si="178"/>
        <v>JB7903</v>
      </c>
      <c r="E1222" s="4" t="s">
        <v>1281</v>
      </c>
      <c r="F1222" s="4" t="s">
        <v>2499</v>
      </c>
      <c r="G1222" s="5">
        <v>4521718515472</v>
      </c>
      <c r="H1222" s="5"/>
      <c r="I1222" s="5"/>
      <c r="J1222" s="5">
        <v>1</v>
      </c>
      <c r="K1222" s="5">
        <v>1</v>
      </c>
      <c r="L1222" s="4">
        <v>137</v>
      </c>
      <c r="M1222" s="4">
        <v>125</v>
      </c>
      <c r="N1222" s="4">
        <v>96</v>
      </c>
      <c r="O1222" s="6">
        <f t="shared" si="179"/>
        <v>0.23199999999999998</v>
      </c>
      <c r="P1222" s="4" t="s">
        <v>2500</v>
      </c>
      <c r="Q1222" s="4"/>
      <c r="R1222" s="4"/>
      <c r="S1222" s="4"/>
      <c r="T1222" s="4"/>
      <c r="U1222" s="4"/>
      <c r="V1222" s="4"/>
      <c r="W1222" s="4"/>
      <c r="X1222" s="4"/>
      <c r="Y1222" s="4">
        <v>137</v>
      </c>
      <c r="Z1222" s="4">
        <f t="shared" si="180"/>
        <v>137</v>
      </c>
      <c r="AA1222" s="4">
        <v>89</v>
      </c>
      <c r="AB1222" s="4">
        <f t="shared" si="181"/>
        <v>89</v>
      </c>
      <c r="AC1222" s="4"/>
      <c r="AD1222" s="21">
        <f>ROUND(M1222*AR1222,0)</f>
        <v>116</v>
      </c>
      <c r="AE1222" s="6">
        <f>1-AB1222/AD1222</f>
        <v>0.23275862068965514</v>
      </c>
      <c r="AF1222" s="33">
        <v>0.75</v>
      </c>
      <c r="AG1222" s="4">
        <f t="shared" si="182"/>
        <v>340</v>
      </c>
      <c r="AH1222" s="33">
        <f t="shared" si="184"/>
        <v>315.20833333333337</v>
      </c>
      <c r="AI1222" s="6">
        <f>1-AB1222/AH1222</f>
        <v>0.71764705882352953</v>
      </c>
      <c r="AJ1222" s="7">
        <f>ROUND(AB1222/0.65,0)</f>
        <v>137</v>
      </c>
      <c r="AK1222" s="6">
        <f>1-AB1222/AJ1222</f>
        <v>0.35036496350364965</v>
      </c>
      <c r="AL1222" s="4">
        <f>AJ1222-AB1222</f>
        <v>48</v>
      </c>
      <c r="AM1222" s="28"/>
      <c r="AN1222" s="6"/>
      <c r="AO1222" s="6"/>
      <c r="AP1222" s="6">
        <f>Z1222/L1222</f>
        <v>1</v>
      </c>
      <c r="AQ1222" s="6">
        <f>AJ1222/M1222</f>
        <v>1.0960000000000001</v>
      </c>
      <c r="AR1222" s="6">
        <f>AB1222/N1222</f>
        <v>0.92708333333333337</v>
      </c>
      <c r="AS1222" s="4"/>
      <c r="AT1222" s="4"/>
      <c r="AU1222" s="4"/>
      <c r="AV1222" s="4"/>
      <c r="AW1222" s="4"/>
      <c r="AX1222" s="4"/>
      <c r="AY1222" s="4"/>
      <c r="AZ1222" s="4"/>
      <c r="BA1222" s="4"/>
      <c r="BB1222" s="4">
        <v>0</v>
      </c>
      <c r="BC1222" s="4" t="s">
        <v>4693</v>
      </c>
      <c r="BD1222" s="4">
        <v>1</v>
      </c>
      <c r="BE1222" s="4">
        <v>5</v>
      </c>
      <c r="BF1222" s="4" t="s">
        <v>4182</v>
      </c>
      <c r="BG1222" s="4">
        <v>1700</v>
      </c>
      <c r="BH1222" s="4">
        <v>1700</v>
      </c>
      <c r="BI1222" s="4">
        <f t="shared" si="183"/>
        <v>340</v>
      </c>
      <c r="BJ1222" s="19">
        <v>4</v>
      </c>
      <c r="BK1222" s="19">
        <v>8</v>
      </c>
      <c r="BL1222" s="16">
        <v>19</v>
      </c>
      <c r="BM1222" s="45" t="s">
        <v>3534</v>
      </c>
      <c r="BN1222" t="s">
        <v>3534</v>
      </c>
      <c r="BO1222" t="str">
        <f t="shared" si="185"/>
        <v>-</v>
      </c>
      <c r="BP1222">
        <v>138</v>
      </c>
      <c r="BQ1222">
        <v>138</v>
      </c>
      <c r="BR1222">
        <f t="shared" si="186"/>
        <v>127.9375</v>
      </c>
      <c r="BS1222" t="s">
        <v>3533</v>
      </c>
    </row>
  </sheetData>
  <autoFilter ref="A3:BS1222" xr:uid="{7A1660CF-9003-4B2D-B659-7F339ED5B476}"/>
  <mergeCells count="3">
    <mergeCell ref="L2:O2"/>
    <mergeCell ref="J2:K2"/>
    <mergeCell ref="Y1:AB1"/>
  </mergeCells>
  <phoneticPr fontId="2"/>
  <conditionalFormatting sqref="AJ4:AJ1222">
    <cfRule type="cellIs" dxfId="6" priority="8" operator="greaterThan">
      <formula>$Z4</formula>
    </cfRule>
  </conditionalFormatting>
  <conditionalFormatting sqref="AH4:AH1222">
    <cfRule type="cellIs" dxfId="5" priority="6" operator="lessThan">
      <formula>$AJ4</formula>
    </cfRule>
  </conditionalFormatting>
  <conditionalFormatting sqref="AK4:AK1222">
    <cfRule type="cellIs" dxfId="4" priority="5" operator="lessThan">
      <formula>0.2</formula>
    </cfRule>
  </conditionalFormatting>
  <conditionalFormatting sqref="AP4:AR1223">
    <cfRule type="cellIs" dxfId="3" priority="4" operator="equal">
      <formula>1</formula>
    </cfRule>
  </conditionalFormatting>
  <conditionalFormatting sqref="BH4:BH1222">
    <cfRule type="cellIs" dxfId="2" priority="3" operator="notEqual">
      <formula>$BG4</formula>
    </cfRule>
  </conditionalFormatting>
  <conditionalFormatting sqref="BN4:BN1222">
    <cfRule type="cellIs" dxfId="1" priority="2" operator="notEqual">
      <formula>$BM4</formula>
    </cfRule>
  </conditionalFormatting>
  <conditionalFormatting sqref="BQ4:BQ1222">
    <cfRule type="cellIs" dxfId="0" priority="1" operator="notEqual">
      <formula>$BP4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2026-06-01T09:23:30Z</dcterms:modified>
</cp:coreProperties>
</file>