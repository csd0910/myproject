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7月1日改定\"/>
    </mc:Choice>
  </mc:AlternateContent>
  <xr:revisionPtr revIDLastSave="0" documentId="13_ncr:1_{92E3BC05-1BD0-4255-8423-B17A11960E49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6" i="1" l="1"/>
  <c r="AR4" i="1" l="1"/>
  <c r="BI9" i="1"/>
  <c r="AG9" i="1" s="1"/>
  <c r="AR9" i="1"/>
  <c r="AB9" i="1"/>
  <c r="Z9" i="1"/>
  <c r="AQ9" i="1" s="1"/>
  <c r="O9" i="1"/>
  <c r="D9" i="1"/>
  <c r="O8" i="1"/>
  <c r="AR8" i="1"/>
  <c r="AT5" i="1"/>
  <c r="BI8" i="1"/>
  <c r="AG8" i="1" s="1"/>
  <c r="AB8" i="1"/>
  <c r="Z8" i="1"/>
  <c r="D8" i="1"/>
  <c r="BI5" i="1"/>
  <c r="AG5" i="1" s="1"/>
  <c r="AV5" i="1"/>
  <c r="AU5" i="1"/>
  <c r="AB5" i="1"/>
  <c r="Z5" i="1"/>
  <c r="D5" i="1"/>
  <c r="AR6" i="1"/>
  <c r="Z6" i="1"/>
  <c r="AQ6" i="1" s="1"/>
  <c r="O7" i="1"/>
  <c r="AR7" i="1"/>
  <c r="BI6" i="1"/>
  <c r="AG6" i="1" s="1"/>
  <c r="D6" i="1"/>
  <c r="AV4" i="1"/>
  <c r="AU4" i="1"/>
  <c r="AL6" i="1" l="1"/>
  <c r="AO6" i="1"/>
  <c r="AP6" i="1"/>
  <c r="AO5" i="1"/>
  <c r="AP5" i="1"/>
  <c r="AO8" i="1"/>
  <c r="AP8" i="1"/>
  <c r="AS9" i="1"/>
  <c r="AD9" i="1" s="1"/>
  <c r="AE9" i="1" s="1"/>
  <c r="AP9" i="1"/>
  <c r="AO9" i="1"/>
  <c r="AL9" i="1"/>
  <c r="AM9" i="1"/>
  <c r="AQ8" i="1"/>
  <c r="AS8" i="1"/>
  <c r="O5" i="1"/>
  <c r="AR5" i="1"/>
  <c r="AQ5" i="1"/>
  <c r="AL8" i="1"/>
  <c r="AM8" i="1"/>
  <c r="AS5" i="1"/>
  <c r="AL5" i="1"/>
  <c r="AM5" i="1"/>
  <c r="O6" i="1"/>
  <c r="AS6" i="1"/>
  <c r="O4" i="1"/>
  <c r="AT4" i="1"/>
  <c r="AM6" i="1"/>
  <c r="AH9" i="1" l="1"/>
  <c r="AI9" i="1" s="1"/>
  <c r="BR9" i="1"/>
  <c r="BO9" i="1"/>
  <c r="AD8" i="1"/>
  <c r="AE8" i="1" s="1"/>
  <c r="BO8" i="1"/>
  <c r="BR8" i="1"/>
  <c r="AH6" i="1"/>
  <c r="AI6" i="1" s="1"/>
  <c r="BO6" i="1"/>
  <c r="BR6" i="1"/>
  <c r="BO5" i="1"/>
  <c r="BR5" i="1"/>
  <c r="AH8" i="1"/>
  <c r="AI8" i="1" s="1"/>
  <c r="AD5" i="1"/>
  <c r="AE5" i="1" s="1"/>
  <c r="AH5" i="1"/>
  <c r="AI5" i="1" s="1"/>
  <c r="AD6" i="1"/>
  <c r="AE6" i="1" s="1"/>
  <c r="BI7" i="1"/>
  <c r="AG7" i="1" s="1"/>
  <c r="BI4" i="1"/>
  <c r="AG4" i="1" s="1"/>
  <c r="AH4" i="1" s="1"/>
  <c r="AB7" i="1"/>
  <c r="Z7" i="1"/>
  <c r="AQ7" i="1" s="1"/>
  <c r="D7" i="1"/>
  <c r="D4" i="1"/>
  <c r="AB4" i="1"/>
  <c r="AS4" i="1" s="1"/>
  <c r="Z4" i="1"/>
  <c r="AQ4" i="1" s="1"/>
  <c r="AS7" i="1" l="1"/>
  <c r="BO7" i="1" s="1"/>
  <c r="AO7" i="1"/>
  <c r="AP7" i="1"/>
  <c r="AI4" i="1"/>
  <c r="BR4" i="1"/>
  <c r="BO4" i="1"/>
  <c r="AL7" i="1"/>
  <c r="AL4" i="1"/>
  <c r="AM7" i="1"/>
  <c r="AO4" i="1"/>
  <c r="AP4" i="1"/>
  <c r="AM4" i="1"/>
  <c r="AD4" i="1"/>
  <c r="AE4" i="1" s="1"/>
  <c r="BR7" i="1" l="1"/>
  <c r="AD7" i="1"/>
  <c r="AE7" i="1" s="1"/>
  <c r="AH7" i="1"/>
  <c r="AI7" i="1" s="1"/>
</calcChain>
</file>

<file path=xl/sharedStrings.xml><?xml version="1.0" encoding="utf-8"?>
<sst xmlns="http://schemas.openxmlformats.org/spreadsheetml/2006/main" count="125" uniqueCount="93">
  <si>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</si>
  <si>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</si>
  <si>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</si>
  <si>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</si>
  <si>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</si>
  <si>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</si>
  <si>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</si>
  <si>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</si>
  <si>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</si>
  <si>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</si>
  <si>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</si>
  <si>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</si>
  <si>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</si>
  <si>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</si>
  <si>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</si>
  <si>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</si>
  <si>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</si>
  <si>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</si>
  <si>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</si>
  <si>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</si>
  <si>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</si>
  <si>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</si>
  <si>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</si>
  <si>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</si>
  <si>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</si>
  <si>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</si>
  <si>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</si>
  <si>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</si>
  <si>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</si>
  <si>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</si>
  <si>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</si>
  <si>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</si>
  <si>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</si>
  <si>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</si>
  <si>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</si>
  <si>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</si>
  <si>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</si>
  <si>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</si>
  <si>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</si>
  <si>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</si>
  <si>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</si>
  <si>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</si>
  <si>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</si>
  <si>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</si>
  <si>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</si>
  <si>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</si>
  <si>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</si>
  <si>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</si>
  <si>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</si>
  <si>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</si>
  <si>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</si>
  <si>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</si>
  <si>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</si>
  <si>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</si>
  <si>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</si>
  <si>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</si>
  <si>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</si>
  <si>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</si>
  <si>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</si>
  <si>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</si>
  <si>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</si>
  <si>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</si>
  <si>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</si>
  <si>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</si>
  <si>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</si>
  <si>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Goono/ｾﾛﾊﾝﾃｰﾌﾟ 15mm×35m 200巻</t>
  </si>
  <si>
    <t>Goono/ｾﾛﾊﾝﾃｰﾌﾟ 18mm×35m 200巻</t>
  </si>
  <si>
    <t>0424AK</t>
  </si>
  <si>
    <t>34/155</t>
  </si>
  <si>
    <t>-</t>
    <phoneticPr fontId="2"/>
  </si>
  <si>
    <t>Goono/ｾﾛﾊﾝﾃｰﾌﾟ 15mm×35m 10巻</t>
  </si>
  <si>
    <t>Goono/ｾﾛﾊﾝﾃｰﾌﾟ 18mm×35m 10巻</t>
  </si>
  <si>
    <t>5855AM</t>
  </si>
  <si>
    <t>アスクル セロハンテープ 幅15mm×35m 1箱（200巻：10巻入×20） オリジナル</t>
  </si>
  <si>
    <t>1箱（200巻：10巻入×20パック）</t>
  </si>
  <si>
    <t>アスクル セロハンテープ 幅15mm×35m 1パック（10巻入） オリジナル</t>
  </si>
  <si>
    <t>1パック（10巻入）</t>
  </si>
  <si>
    <t>アスクル セロハンテープ 幅18mm×35m 1箱（200巻：10巻入×20） オリジナル</t>
  </si>
  <si>
    <t>アスクル セロハンテープ 幅18mm×35m 1パック（10巻入） オリジナル</t>
  </si>
  <si>
    <t>6月
たの</t>
    <rPh sb="1" eb="2">
      <t>ガツ</t>
    </rPh>
    <phoneticPr fontId="2"/>
  </si>
  <si>
    <t>6月
カウ</t>
    <rPh sb="1" eb="2">
      <t>ガツ</t>
    </rPh>
    <phoneticPr fontId="2"/>
  </si>
  <si>
    <t>216-0535</t>
  </si>
  <si>
    <t>918-9188</t>
  </si>
  <si>
    <t>918-9195</t>
  </si>
  <si>
    <t>216-0542</t>
  </si>
  <si>
    <t>たの注番</t>
    <rPh sb="2" eb="4">
      <t>チュウバン</t>
    </rPh>
    <phoneticPr fontId="2"/>
  </si>
  <si>
    <t>カウ注番</t>
    <rPh sb="2" eb="4">
      <t>チュウバン</t>
    </rPh>
    <phoneticPr fontId="2"/>
  </si>
  <si>
    <t>5208-5857</t>
  </si>
  <si>
    <t>5021-9070</t>
  </si>
  <si>
    <t>4148-6054</t>
  </si>
  <si>
    <t>5208-5864</t>
  </si>
  <si>
    <t>FWのみ</t>
    <phoneticPr fontId="2"/>
  </si>
  <si>
    <t>FW以外のサイト</t>
    <rPh sb="2" eb="4">
      <t>イガイ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</si>
</sst>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19" xfId="0" applyBorder="1">
      <alignment vertical="center"/>
    </xf>
    <xf numFmtId="0" fontId="3" fillId="5" borderId="4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S9"/>
  <sheetViews>
    <sheetView tabSelected="1" zoomScale="90" zoomScaleNormal="90" workbookViewId="0">
      <pane xSplit="7" ySplit="6" topLeftCell="AI7" activePane="bottomRight" state="frozen"/>
      <selection pane="topRight" activeCell="G1" sqref="G1"/>
      <selection pane="bottomLeft" activeCell="A5" sqref="A5"/>
      <selection pane="bottomRight" activeCell="F3" sqref="F3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customWidth="1"/>
    <col min="33" max="39" width="7.625" customWidth="1"/>
    <col min="40" max="42" width="7.625" customWidth="1" outlineLevel="1"/>
    <col min="43" max="45" width="7.625" customWidth="1"/>
    <col min="46" max="54" width="7.625" hidden="1" customWidth="1" outlineLevel="1"/>
    <col min="55" max="55" width="7.625" customWidth="1" collapsed="1"/>
    <col min="56" max="64" width="7.625" hidden="1" customWidth="1"/>
    <col min="65" max="70" width="7.625" customWidth="1"/>
  </cols>
  <sheetData>
    <row r="1" spans="1:71" x14ac:dyDescent="0.4">
      <c r="C1" s="27" t="s">
        <v>42</v>
      </c>
      <c r="Y1" s="41" t="s">
        <v>40</v>
      </c>
      <c r="Z1" s="42"/>
      <c r="AA1" s="42"/>
      <c r="AB1" s="43"/>
    </row>
    <row r="2" spans="1:71" x14ac:dyDescent="0.4">
      <c r="C2" s="8" t="s">
        <v>28</v>
      </c>
      <c r="D2" s="9" t="s">
        <v>29</v>
      </c>
      <c r="E2" s="9" t="s">
        <v>30</v>
      </c>
      <c r="F2" s="10"/>
      <c r="G2" s="10"/>
      <c r="H2" s="29"/>
      <c r="I2" s="29"/>
      <c r="J2" s="38" t="s">
        <v>31</v>
      </c>
      <c r="K2" s="40"/>
      <c r="L2" s="38" t="s">
        <v>1</v>
      </c>
      <c r="M2" s="39"/>
      <c r="N2" s="39"/>
      <c r="O2" s="40"/>
      <c r="P2" s="11"/>
      <c r="Q2" s="28"/>
      <c r="R2" s="28"/>
      <c r="S2" s="28"/>
      <c r="T2" s="28"/>
      <c r="U2" s="28"/>
      <c r="V2" s="28"/>
      <c r="W2" s="28"/>
      <c r="X2" s="28"/>
      <c r="Y2" s="22"/>
      <c r="Z2" s="23" t="s">
        <v>34</v>
      </c>
      <c r="AA2" s="23"/>
      <c r="AB2" s="24" t="s">
        <v>34</v>
      </c>
      <c r="AC2" s="10"/>
      <c r="AD2" s="9" t="s">
        <v>39</v>
      </c>
      <c r="AE2" s="11"/>
      <c r="AF2" s="11"/>
      <c r="AG2" s="11"/>
      <c r="AH2" s="11"/>
      <c r="AI2" s="11"/>
      <c r="AJ2" s="11"/>
      <c r="AK2" s="21" t="s">
        <v>91</v>
      </c>
      <c r="AL2" s="11"/>
      <c r="AM2" s="11"/>
      <c r="AN2" s="26" t="s">
        <v>92</v>
      </c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71" ht="75" x14ac:dyDescent="0.4">
      <c r="A3" s="1" t="s">
        <v>50</v>
      </c>
      <c r="B3" s="1" t="s">
        <v>55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52</v>
      </c>
      <c r="I3" s="12" t="s">
        <v>53</v>
      </c>
      <c r="J3" s="12" t="s">
        <v>25</v>
      </c>
      <c r="K3" s="12" t="s">
        <v>26</v>
      </c>
      <c r="L3" s="12" t="s">
        <v>63</v>
      </c>
      <c r="M3" s="2" t="s">
        <v>5</v>
      </c>
      <c r="N3" s="2" t="s">
        <v>61</v>
      </c>
      <c r="O3" s="2" t="s">
        <v>13</v>
      </c>
      <c r="P3" s="12" t="s">
        <v>46</v>
      </c>
      <c r="Q3" s="12" t="s">
        <v>17</v>
      </c>
      <c r="R3" s="12" t="s">
        <v>18</v>
      </c>
      <c r="S3" s="12" t="s">
        <v>47</v>
      </c>
      <c r="T3" s="12" t="s">
        <v>20</v>
      </c>
      <c r="U3" s="12" t="s">
        <v>21</v>
      </c>
      <c r="V3" s="12" t="s">
        <v>48</v>
      </c>
      <c r="W3" s="12" t="s">
        <v>23</v>
      </c>
      <c r="X3" s="12" t="s">
        <v>24</v>
      </c>
      <c r="Y3" s="12" t="s">
        <v>59</v>
      </c>
      <c r="Z3" s="12" t="s">
        <v>60</v>
      </c>
      <c r="AA3" s="2" t="s">
        <v>61</v>
      </c>
      <c r="AB3" s="12" t="s">
        <v>62</v>
      </c>
      <c r="AC3" s="14" t="s">
        <v>3</v>
      </c>
      <c r="AD3" s="19" t="s">
        <v>14</v>
      </c>
      <c r="AE3" s="2" t="s">
        <v>13</v>
      </c>
      <c r="AF3" s="2" t="s">
        <v>43</v>
      </c>
      <c r="AG3" s="12" t="s">
        <v>64</v>
      </c>
      <c r="AH3" s="12" t="s">
        <v>54</v>
      </c>
      <c r="AI3" s="2" t="s">
        <v>13</v>
      </c>
      <c r="AJ3" s="2"/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41</v>
      </c>
      <c r="BH3" s="2" t="s">
        <v>56</v>
      </c>
      <c r="BI3" s="2" t="s">
        <v>12</v>
      </c>
      <c r="BJ3" s="17" t="s">
        <v>44</v>
      </c>
      <c r="BK3" s="17" t="s">
        <v>45</v>
      </c>
      <c r="BL3" s="15" t="s">
        <v>51</v>
      </c>
      <c r="BM3" s="36" t="s">
        <v>85</v>
      </c>
      <c r="BN3" s="30" t="s">
        <v>79</v>
      </c>
      <c r="BO3" s="31" t="s">
        <v>57</v>
      </c>
      <c r="BP3" s="31" t="s">
        <v>86</v>
      </c>
      <c r="BQ3" s="31" t="s">
        <v>80</v>
      </c>
      <c r="BR3" s="31" t="s">
        <v>58</v>
      </c>
      <c r="BS3" t="s">
        <v>49</v>
      </c>
    </row>
    <row r="4" spans="1:71" x14ac:dyDescent="0.4">
      <c r="A4" s="34">
        <v>1</v>
      </c>
      <c r="B4" s="3">
        <v>1</v>
      </c>
      <c r="C4" s="32">
        <v>657872</v>
      </c>
      <c r="D4" s="4" t="str">
        <f t="shared" ref="D4:D9" si="0">TEXT(C4,"000000")</f>
        <v>657872</v>
      </c>
      <c r="E4" s="4">
        <v>657872</v>
      </c>
      <c r="F4" s="4" t="s">
        <v>65</v>
      </c>
      <c r="G4" s="5">
        <v>4560250305554</v>
      </c>
      <c r="H4" s="5"/>
      <c r="I4" s="5"/>
      <c r="J4" s="5">
        <v>3</v>
      </c>
      <c r="K4" s="5">
        <v>2</v>
      </c>
      <c r="L4" s="4">
        <v>0</v>
      </c>
      <c r="M4" s="4">
        <v>13317</v>
      </c>
      <c r="N4" s="4">
        <v>11360</v>
      </c>
      <c r="O4" s="6">
        <f t="shared" ref="O4:O9" si="1">IFERROR(1-N4/M4,"-")</f>
        <v>0.14695501989937676</v>
      </c>
      <c r="P4" s="4" t="s">
        <v>69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 t="shared" ref="Z4:Z9" si="2">IF(AC4="",Y4,Y4*AC4)</f>
        <v>0</v>
      </c>
      <c r="AA4" s="4">
        <v>13240</v>
      </c>
      <c r="AB4" s="4">
        <f t="shared" ref="AB4:AB9" si="3">IF(AC4="",AA4,AA4*AC4)</f>
        <v>13240</v>
      </c>
      <c r="AC4" s="4"/>
      <c r="AD4" s="20">
        <f t="shared" ref="AD4:AD9" si="4">ROUND(M4*AS4,0)</f>
        <v>15521</v>
      </c>
      <c r="AE4" s="6">
        <f t="shared" ref="AE4:AE9" si="5">IFERROR(1-AB4/AD4,"-")</f>
        <v>0.14696218027188968</v>
      </c>
      <c r="AF4" s="4">
        <v>85.75</v>
      </c>
      <c r="AG4" s="4">
        <f t="shared" ref="AG4:AG9" si="6">BI4</f>
        <v>13317</v>
      </c>
      <c r="AH4" s="4">
        <f>IFERROR(AG4*AS4,"-")</f>
        <v>15520.869718309857</v>
      </c>
      <c r="AI4" s="6">
        <f t="shared" ref="AI4:AI9" si="7">IFERROR(1-AB4/AH4,"-")</f>
        <v>0.14695501989937665</v>
      </c>
      <c r="AJ4" s="4">
        <v>16080.905660377357</v>
      </c>
      <c r="AK4" s="7">
        <v>15800</v>
      </c>
      <c r="AL4" s="6">
        <f t="shared" ref="AL4:AL9" si="8">1-AB4/AK4</f>
        <v>0.16202531645569618</v>
      </c>
      <c r="AM4" s="35">
        <f t="shared" ref="AM4:AM9" si="9">AK4-AB4</f>
        <v>2560</v>
      </c>
      <c r="AN4" s="37">
        <v>18900</v>
      </c>
      <c r="AO4" s="6">
        <f>1-AB4/AN4</f>
        <v>0.29947089947089944</v>
      </c>
      <c r="AP4" s="4">
        <f>AN4-AB4</f>
        <v>5660</v>
      </c>
      <c r="AQ4" s="6" t="str">
        <f t="shared" ref="AQ4:AQ9" si="10">IFERROR(Z4/L4,"-")</f>
        <v>-</v>
      </c>
      <c r="AR4" s="6">
        <f t="shared" ref="AR4:AR9" si="11">IFERROR(AK4/M4,"-")</f>
        <v>1.1864534054216416</v>
      </c>
      <c r="AS4" s="6">
        <f t="shared" ref="AS4:AS9" si="12">IFERROR(AB4/N4,"-")</f>
        <v>1.1654929577464788</v>
      </c>
      <c r="AT4" s="4" t="str">
        <f>IFERROR(ROUND($AK4*P4/$M4,0),"-")</f>
        <v>-</v>
      </c>
      <c r="AU4" s="4" t="str">
        <f>IF(Q4="","-",Q4)</f>
        <v>-</v>
      </c>
      <c r="AV4" s="4" t="str">
        <f>IF(R4="","-",R4)</f>
        <v>-</v>
      </c>
      <c r="AW4" s="4"/>
      <c r="AX4" s="4"/>
      <c r="AY4" s="4"/>
      <c r="AZ4" s="4"/>
      <c r="BA4" s="4"/>
      <c r="BB4" s="4"/>
      <c r="BC4" s="4" t="s">
        <v>68</v>
      </c>
      <c r="BD4" s="4">
        <v>696819</v>
      </c>
      <c r="BE4" s="4"/>
      <c r="BF4" s="4"/>
      <c r="BG4" s="4" t="s">
        <v>74</v>
      </c>
      <c r="BH4" s="4">
        <v>13317</v>
      </c>
      <c r="BI4" s="4">
        <f t="shared" ref="BI4:BI9" si="13">IF(BE4="",BH4,BE4/BF4*BH4)</f>
        <v>13317</v>
      </c>
      <c r="BJ4" s="18">
        <v>2</v>
      </c>
      <c r="BK4" s="18">
        <v>1</v>
      </c>
      <c r="BL4" s="16">
        <v>6</v>
      </c>
      <c r="BM4" t="s">
        <v>82</v>
      </c>
      <c r="BN4">
        <v>12800</v>
      </c>
      <c r="BO4">
        <f>IFERROR(BN4*AS4,"-")</f>
        <v>14918.309859154928</v>
      </c>
      <c r="BP4" t="s">
        <v>88</v>
      </c>
      <c r="BQ4">
        <v>13317</v>
      </c>
      <c r="BR4">
        <f>IFERROR(BQ4*AS4,"-")</f>
        <v>15520.869718309857</v>
      </c>
      <c r="BS4" t="s">
        <v>73</v>
      </c>
    </row>
    <row r="5" spans="1:71" x14ac:dyDescent="0.4">
      <c r="A5" s="3">
        <v>2</v>
      </c>
      <c r="B5" s="3">
        <v>1</v>
      </c>
      <c r="C5" s="32">
        <v>657851</v>
      </c>
      <c r="D5" s="4" t="str">
        <f t="shared" si="0"/>
        <v>657851</v>
      </c>
      <c r="E5" s="4">
        <v>657851</v>
      </c>
      <c r="F5" s="4" t="s">
        <v>70</v>
      </c>
      <c r="G5" s="5">
        <v>4560250305516</v>
      </c>
      <c r="H5" s="5"/>
      <c r="I5" s="5"/>
      <c r="J5" s="5">
        <v>1</v>
      </c>
      <c r="K5" s="5">
        <v>1</v>
      </c>
      <c r="L5" s="4">
        <v>0</v>
      </c>
      <c r="M5" s="4">
        <v>718</v>
      </c>
      <c r="N5" s="4">
        <v>568</v>
      </c>
      <c r="O5" s="6">
        <f t="shared" si="1"/>
        <v>0.20891364902506959</v>
      </c>
      <c r="P5" s="4" t="s">
        <v>69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si="2"/>
        <v>0</v>
      </c>
      <c r="AA5" s="4">
        <v>13240</v>
      </c>
      <c r="AB5" s="4">
        <f t="shared" si="3"/>
        <v>662</v>
      </c>
      <c r="AC5" s="4">
        <v>0.05</v>
      </c>
      <c r="AD5" s="20">
        <f t="shared" si="4"/>
        <v>837</v>
      </c>
      <c r="AE5" s="6">
        <f t="shared" si="5"/>
        <v>0.20908004778972522</v>
      </c>
      <c r="AF5" s="4">
        <v>1422</v>
      </c>
      <c r="AG5" s="4">
        <f t="shared" si="6"/>
        <v>718</v>
      </c>
      <c r="AH5" s="4">
        <f t="shared" ref="AH5:AH9" si="14">IFERROR(AG5*AS5,"-")</f>
        <v>836.82394366197173</v>
      </c>
      <c r="AI5" s="6">
        <f t="shared" si="7"/>
        <v>0.20891364902506959</v>
      </c>
      <c r="AJ5" s="4" t="e">
        <v>#N/A</v>
      </c>
      <c r="AK5" s="7">
        <v>840</v>
      </c>
      <c r="AL5" s="6">
        <f t="shared" si="8"/>
        <v>0.21190476190476193</v>
      </c>
      <c r="AM5" s="4">
        <f t="shared" si="9"/>
        <v>178</v>
      </c>
      <c r="AN5" s="37">
        <v>998</v>
      </c>
      <c r="AO5" s="6">
        <f t="shared" ref="AO5:AO9" si="15">1-AB5/AN5</f>
        <v>0.33667334669338678</v>
      </c>
      <c r="AP5" s="4">
        <f t="shared" ref="AP5:AP9" si="16">AN5-AB5</f>
        <v>336</v>
      </c>
      <c r="AQ5" s="6" t="str">
        <f t="shared" si="10"/>
        <v>-</v>
      </c>
      <c r="AR5" s="6">
        <f t="shared" si="11"/>
        <v>1.1699164345403901</v>
      </c>
      <c r="AS5" s="6">
        <f t="shared" si="12"/>
        <v>1.1654929577464788</v>
      </c>
      <c r="AT5" s="4" t="str">
        <f>IFERROR(ROUND($AK5*P5/$M5,0),"-")</f>
        <v>-</v>
      </c>
      <c r="AU5" s="4" t="str">
        <f>IF(Q5="","-",Q5)</f>
        <v>-</v>
      </c>
      <c r="AV5" s="4" t="str">
        <f>IF(R5="","-",R5)</f>
        <v>-</v>
      </c>
      <c r="AW5" s="4"/>
      <c r="AX5" s="4"/>
      <c r="AY5" s="4"/>
      <c r="AZ5" s="4"/>
      <c r="BA5" s="4"/>
      <c r="BB5" s="4"/>
      <c r="BC5" s="4" t="s">
        <v>68</v>
      </c>
      <c r="BD5" s="4">
        <v>596911</v>
      </c>
      <c r="BE5" s="4"/>
      <c r="BF5" s="4"/>
      <c r="BG5" s="4" t="s">
        <v>76</v>
      </c>
      <c r="BH5" s="4">
        <v>718</v>
      </c>
      <c r="BI5" s="4">
        <f t="shared" si="13"/>
        <v>718</v>
      </c>
      <c r="BJ5" s="18">
        <v>4</v>
      </c>
      <c r="BK5" s="18">
        <v>1</v>
      </c>
      <c r="BL5" s="16">
        <v>6</v>
      </c>
      <c r="BM5" t="s">
        <v>81</v>
      </c>
      <c r="BN5">
        <v>716</v>
      </c>
      <c r="BO5">
        <f t="shared" ref="BO5:BO9" si="17">IFERROR(BN5*AS5,"-")</f>
        <v>834.49295774647885</v>
      </c>
      <c r="BP5" t="s">
        <v>87</v>
      </c>
      <c r="BQ5">
        <v>718</v>
      </c>
      <c r="BR5">
        <f t="shared" ref="BR5:BR9" si="18">IFERROR(BQ5*AS5,"-")</f>
        <v>836.82394366197173</v>
      </c>
      <c r="BS5" t="s">
        <v>75</v>
      </c>
    </row>
    <row r="6" spans="1:71" x14ac:dyDescent="0.4">
      <c r="A6" s="34">
        <v>3</v>
      </c>
      <c r="B6" s="3">
        <v>1</v>
      </c>
      <c r="C6" s="32">
        <v>657872</v>
      </c>
      <c r="D6" s="4" t="str">
        <f t="shared" si="0"/>
        <v>657872</v>
      </c>
      <c r="E6" s="4" t="s">
        <v>67</v>
      </c>
      <c r="F6" s="4" t="s">
        <v>65</v>
      </c>
      <c r="G6" s="5">
        <v>4560250305554</v>
      </c>
      <c r="H6" s="5"/>
      <c r="I6" s="5"/>
      <c r="J6" s="5"/>
      <c r="K6" s="5"/>
      <c r="L6" s="4">
        <v>0</v>
      </c>
      <c r="M6" s="4">
        <v>12800</v>
      </c>
      <c r="N6" s="4">
        <v>11360</v>
      </c>
      <c r="O6" s="6">
        <f t="shared" si="1"/>
        <v>0.11250000000000004</v>
      </c>
      <c r="P6" s="4" t="s">
        <v>69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2"/>
        <v>0</v>
      </c>
      <c r="AA6" s="4">
        <v>13240</v>
      </c>
      <c r="AB6" s="4">
        <f t="shared" si="3"/>
        <v>13240</v>
      </c>
      <c r="AC6" s="4"/>
      <c r="AD6" s="20">
        <f t="shared" si="4"/>
        <v>14918</v>
      </c>
      <c r="AE6" s="6">
        <f t="shared" si="5"/>
        <v>0.11248156589355141</v>
      </c>
      <c r="AF6" s="4">
        <v>85.75</v>
      </c>
      <c r="AG6" s="4">
        <f t="shared" si="6"/>
        <v>13317</v>
      </c>
      <c r="AH6" s="4">
        <f t="shared" si="14"/>
        <v>15520.869718309857</v>
      </c>
      <c r="AI6" s="6">
        <f t="shared" si="7"/>
        <v>0.14695501989937665</v>
      </c>
      <c r="AJ6" s="4" t="e">
        <v>#N/A</v>
      </c>
      <c r="AK6" s="7">
        <v>15800</v>
      </c>
      <c r="AL6" s="6">
        <f t="shared" si="8"/>
        <v>0.16202531645569618</v>
      </c>
      <c r="AM6" s="35">
        <f t="shared" si="9"/>
        <v>2560</v>
      </c>
      <c r="AN6" s="37">
        <v>18900</v>
      </c>
      <c r="AO6" s="6">
        <f t="shared" si="15"/>
        <v>0.29947089947089944</v>
      </c>
      <c r="AP6" s="4">
        <f t="shared" si="16"/>
        <v>5660</v>
      </c>
      <c r="AQ6" s="6" t="str">
        <f t="shared" si="10"/>
        <v>-</v>
      </c>
      <c r="AR6" s="6">
        <f t="shared" si="11"/>
        <v>1.234375</v>
      </c>
      <c r="AS6" s="6">
        <f t="shared" si="12"/>
        <v>1.1654929577464788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>
        <v>696819</v>
      </c>
      <c r="BE6" s="4"/>
      <c r="BF6" s="4"/>
      <c r="BG6" s="4" t="s">
        <v>74</v>
      </c>
      <c r="BH6" s="4">
        <v>13317</v>
      </c>
      <c r="BI6" s="4">
        <f t="shared" si="13"/>
        <v>13317</v>
      </c>
      <c r="BJ6" s="18">
        <v>2</v>
      </c>
      <c r="BK6" s="18">
        <v>1</v>
      </c>
      <c r="BL6" s="16">
        <v>6</v>
      </c>
      <c r="BM6" t="s">
        <v>83</v>
      </c>
      <c r="BN6">
        <v>15760</v>
      </c>
      <c r="BO6">
        <f t="shared" si="17"/>
        <v>18368.169014084506</v>
      </c>
      <c r="BP6" t="s">
        <v>88</v>
      </c>
      <c r="BQ6">
        <v>13317</v>
      </c>
      <c r="BR6">
        <f t="shared" si="18"/>
        <v>15520.869718309857</v>
      </c>
      <c r="BS6" t="s">
        <v>73</v>
      </c>
    </row>
    <row r="7" spans="1:71" x14ac:dyDescent="0.4">
      <c r="A7" s="34">
        <v>4</v>
      </c>
      <c r="B7" s="3">
        <v>2</v>
      </c>
      <c r="C7" s="33">
        <v>657874</v>
      </c>
      <c r="D7" s="4" t="str">
        <f t="shared" si="0"/>
        <v>657874</v>
      </c>
      <c r="E7" s="4">
        <v>657874</v>
      </c>
      <c r="F7" s="4" t="s">
        <v>66</v>
      </c>
      <c r="G7" s="5">
        <v>4560250305561</v>
      </c>
      <c r="H7" s="5"/>
      <c r="I7" s="5"/>
      <c r="J7" s="5">
        <v>1</v>
      </c>
      <c r="K7" s="5">
        <v>1</v>
      </c>
      <c r="L7" s="4">
        <v>0</v>
      </c>
      <c r="M7" s="4">
        <v>15871</v>
      </c>
      <c r="N7" s="4">
        <v>13920</v>
      </c>
      <c r="O7" s="6">
        <f t="shared" si="1"/>
        <v>0.12292861193371563</v>
      </c>
      <c r="P7" s="4" t="s">
        <v>69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2"/>
        <v>0</v>
      </c>
      <c r="AA7" s="4">
        <v>15900</v>
      </c>
      <c r="AB7" s="4">
        <f t="shared" si="3"/>
        <v>15900</v>
      </c>
      <c r="AC7" s="4"/>
      <c r="AD7" s="20">
        <f t="shared" si="4"/>
        <v>18129</v>
      </c>
      <c r="AE7" s="6">
        <f t="shared" si="5"/>
        <v>0.12295217607148767</v>
      </c>
      <c r="AF7" s="4">
        <v>23.25</v>
      </c>
      <c r="AG7" s="4">
        <f t="shared" si="6"/>
        <v>15760</v>
      </c>
      <c r="AH7" s="4">
        <f t="shared" si="14"/>
        <v>18001.724137931033</v>
      </c>
      <c r="AI7" s="6">
        <f t="shared" si="7"/>
        <v>0.1167512690355329</v>
      </c>
      <c r="AJ7" s="4">
        <v>19164.981132075471</v>
      </c>
      <c r="AK7" s="7">
        <v>19000</v>
      </c>
      <c r="AL7" s="6">
        <f t="shared" si="8"/>
        <v>0.16315789473684206</v>
      </c>
      <c r="AM7" s="35">
        <f t="shared" si="9"/>
        <v>3100</v>
      </c>
      <c r="AN7" s="37">
        <v>22000</v>
      </c>
      <c r="AO7" s="6">
        <f t="shared" si="15"/>
        <v>0.27727272727272723</v>
      </c>
      <c r="AP7" s="4">
        <f t="shared" si="16"/>
        <v>6100</v>
      </c>
      <c r="AQ7" s="6" t="str">
        <f t="shared" si="10"/>
        <v>-</v>
      </c>
      <c r="AR7" s="6">
        <f t="shared" si="11"/>
        <v>1.1971520383088652</v>
      </c>
      <c r="AS7" s="6">
        <f t="shared" si="12"/>
        <v>1.1422413793103448</v>
      </c>
      <c r="AT7" s="4"/>
      <c r="AU7" s="4"/>
      <c r="AV7" s="4"/>
      <c r="AW7" s="4"/>
      <c r="AX7" s="4"/>
      <c r="AY7" s="4"/>
      <c r="AZ7" s="4"/>
      <c r="BA7" s="4"/>
      <c r="BB7" s="4"/>
      <c r="BC7" s="4" t="s">
        <v>68</v>
      </c>
      <c r="BD7" s="4">
        <v>697084</v>
      </c>
      <c r="BE7" s="4"/>
      <c r="BF7" s="4"/>
      <c r="BG7" s="4" t="s">
        <v>74</v>
      </c>
      <c r="BH7" s="4">
        <v>15760</v>
      </c>
      <c r="BI7" s="4">
        <f t="shared" si="13"/>
        <v>15760</v>
      </c>
      <c r="BJ7" s="18">
        <v>2</v>
      </c>
      <c r="BK7" s="18">
        <v>1</v>
      </c>
      <c r="BL7" s="16">
        <v>6</v>
      </c>
      <c r="BM7" t="s">
        <v>83</v>
      </c>
      <c r="BN7">
        <v>15760</v>
      </c>
      <c r="BO7">
        <f t="shared" si="17"/>
        <v>18001.724137931033</v>
      </c>
      <c r="BP7" t="s">
        <v>89</v>
      </c>
      <c r="BQ7">
        <v>15871</v>
      </c>
      <c r="BR7">
        <f t="shared" si="18"/>
        <v>18128.512931034482</v>
      </c>
      <c r="BS7" t="s">
        <v>77</v>
      </c>
    </row>
    <row r="8" spans="1:71" x14ac:dyDescent="0.4">
      <c r="A8" s="3">
        <v>5</v>
      </c>
      <c r="B8" s="3">
        <v>2</v>
      </c>
      <c r="C8" s="33">
        <v>657852</v>
      </c>
      <c r="D8" s="4" t="str">
        <f t="shared" si="0"/>
        <v>657852</v>
      </c>
      <c r="E8" s="4">
        <v>657852</v>
      </c>
      <c r="F8" s="4" t="s">
        <v>71</v>
      </c>
      <c r="G8" s="5">
        <v>4560250305523</v>
      </c>
      <c r="H8" s="5"/>
      <c r="I8" s="5"/>
      <c r="J8" s="5">
        <v>2</v>
      </c>
      <c r="K8" s="5">
        <v>1</v>
      </c>
      <c r="L8" s="4">
        <v>0</v>
      </c>
      <c r="M8" s="4">
        <v>914</v>
      </c>
      <c r="N8" s="4">
        <v>696</v>
      </c>
      <c r="O8" s="6">
        <f t="shared" si="1"/>
        <v>0.23851203501094087</v>
      </c>
      <c r="P8" s="4" t="s">
        <v>69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2"/>
        <v>0</v>
      </c>
      <c r="AA8" s="4">
        <v>15900</v>
      </c>
      <c r="AB8" s="4">
        <f t="shared" si="3"/>
        <v>795</v>
      </c>
      <c r="AC8" s="4">
        <v>0.05</v>
      </c>
      <c r="AD8" s="20">
        <f t="shared" si="4"/>
        <v>1044</v>
      </c>
      <c r="AE8" s="6">
        <f t="shared" si="5"/>
        <v>0.2385057471264368</v>
      </c>
      <c r="AF8" s="4">
        <v>338.25</v>
      </c>
      <c r="AG8" s="4">
        <f t="shared" si="6"/>
        <v>914</v>
      </c>
      <c r="AH8" s="4">
        <f t="shared" si="14"/>
        <v>1044.0086206896551</v>
      </c>
      <c r="AI8" s="6">
        <f t="shared" si="7"/>
        <v>0.23851203501094087</v>
      </c>
      <c r="AJ8" s="4" t="e">
        <v>#N/A</v>
      </c>
      <c r="AK8" s="7">
        <v>1045</v>
      </c>
      <c r="AL8" s="6">
        <f t="shared" si="8"/>
        <v>0.23923444976076558</v>
      </c>
      <c r="AM8" s="4">
        <f t="shared" si="9"/>
        <v>250</v>
      </c>
      <c r="AN8" s="37">
        <v>1200</v>
      </c>
      <c r="AO8" s="6">
        <f t="shared" si="15"/>
        <v>0.33750000000000002</v>
      </c>
      <c r="AP8" s="4">
        <f t="shared" si="16"/>
        <v>405</v>
      </c>
      <c r="AQ8" s="6" t="str">
        <f t="shared" si="10"/>
        <v>-</v>
      </c>
      <c r="AR8" s="6">
        <f t="shared" si="11"/>
        <v>1.1433260393873086</v>
      </c>
      <c r="AS8" s="6">
        <f t="shared" si="12"/>
        <v>1.1422413793103448</v>
      </c>
      <c r="AT8" s="4"/>
      <c r="AU8" s="4"/>
      <c r="AV8" s="4"/>
      <c r="AW8" s="4"/>
      <c r="AX8" s="4"/>
      <c r="AY8" s="4"/>
      <c r="AZ8" s="4"/>
      <c r="BA8" s="4"/>
      <c r="BB8" s="4"/>
      <c r="BC8" s="4" t="s">
        <v>68</v>
      </c>
      <c r="BD8" s="4">
        <v>596921</v>
      </c>
      <c r="BE8" s="4"/>
      <c r="BF8" s="4"/>
      <c r="BG8" s="4" t="s">
        <v>76</v>
      </c>
      <c r="BH8" s="4">
        <v>914</v>
      </c>
      <c r="BI8" s="4">
        <f t="shared" si="13"/>
        <v>914</v>
      </c>
      <c r="BJ8" s="18">
        <v>4</v>
      </c>
      <c r="BK8" s="18">
        <v>1</v>
      </c>
      <c r="BL8" s="16">
        <v>6</v>
      </c>
      <c r="BM8" t="s">
        <v>84</v>
      </c>
      <c r="BN8">
        <v>868</v>
      </c>
      <c r="BO8">
        <f t="shared" si="17"/>
        <v>991.46551724137919</v>
      </c>
      <c r="BP8" t="s">
        <v>90</v>
      </c>
      <c r="BQ8">
        <v>914</v>
      </c>
      <c r="BR8">
        <f t="shared" si="18"/>
        <v>1044.0086206896551</v>
      </c>
      <c r="BS8" t="s">
        <v>78</v>
      </c>
    </row>
    <row r="9" spans="1:71" x14ac:dyDescent="0.4">
      <c r="A9" s="3">
        <v>6</v>
      </c>
      <c r="B9" s="3">
        <v>2</v>
      </c>
      <c r="C9" s="33" t="s">
        <v>72</v>
      </c>
      <c r="D9" s="4" t="str">
        <f t="shared" si="0"/>
        <v>5855AM</v>
      </c>
      <c r="E9" s="4" t="s">
        <v>72</v>
      </c>
      <c r="F9" s="4" t="s">
        <v>71</v>
      </c>
      <c r="G9" s="5">
        <v>4560250305523</v>
      </c>
      <c r="H9" s="5"/>
      <c r="I9" s="5"/>
      <c r="J9" s="5">
        <v>2</v>
      </c>
      <c r="K9" s="5">
        <v>1</v>
      </c>
      <c r="L9" s="4">
        <v>0</v>
      </c>
      <c r="M9" s="4">
        <v>798</v>
      </c>
      <c r="N9" s="4">
        <v>696</v>
      </c>
      <c r="O9" s="6">
        <f t="shared" si="1"/>
        <v>0.1278195488721805</v>
      </c>
      <c r="P9" s="4" t="s">
        <v>69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2"/>
        <v>0</v>
      </c>
      <c r="AA9" s="4">
        <v>15900</v>
      </c>
      <c r="AB9" s="4">
        <f t="shared" si="3"/>
        <v>795</v>
      </c>
      <c r="AC9" s="4">
        <v>0.05</v>
      </c>
      <c r="AD9" s="20">
        <f t="shared" si="4"/>
        <v>912</v>
      </c>
      <c r="AE9" s="6">
        <f t="shared" si="5"/>
        <v>0.12828947368421051</v>
      </c>
      <c r="AF9" s="4">
        <v>338.25</v>
      </c>
      <c r="AG9" s="4">
        <f t="shared" si="6"/>
        <v>914</v>
      </c>
      <c r="AH9" s="4">
        <f t="shared" si="14"/>
        <v>1044.0086206896551</v>
      </c>
      <c r="AI9" s="6">
        <f t="shared" si="7"/>
        <v>0.23851203501094087</v>
      </c>
      <c r="AJ9" s="4" t="e">
        <v>#N/A</v>
      </c>
      <c r="AK9" s="7">
        <v>1045</v>
      </c>
      <c r="AL9" s="6">
        <f t="shared" si="8"/>
        <v>0.23923444976076558</v>
      </c>
      <c r="AM9" s="4">
        <f t="shared" si="9"/>
        <v>250</v>
      </c>
      <c r="AN9" s="37">
        <v>1200</v>
      </c>
      <c r="AO9" s="6">
        <f t="shared" si="15"/>
        <v>0.33750000000000002</v>
      </c>
      <c r="AP9" s="4">
        <f t="shared" si="16"/>
        <v>405</v>
      </c>
      <c r="AQ9" s="6" t="str">
        <f t="shared" si="10"/>
        <v>-</v>
      </c>
      <c r="AR9" s="6">
        <f t="shared" si="11"/>
        <v>1.3095238095238095</v>
      </c>
      <c r="AS9" s="6">
        <f t="shared" si="12"/>
        <v>1.1422413793103448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>
        <v>596921</v>
      </c>
      <c r="BE9" s="4"/>
      <c r="BF9" s="4"/>
      <c r="BG9" s="4" t="s">
        <v>76</v>
      </c>
      <c r="BH9" s="4">
        <v>914</v>
      </c>
      <c r="BI9" s="4">
        <f t="shared" si="13"/>
        <v>914</v>
      </c>
      <c r="BJ9" s="18">
        <v>4</v>
      </c>
      <c r="BK9" s="18">
        <v>1</v>
      </c>
      <c r="BL9" s="16">
        <v>6</v>
      </c>
      <c r="BM9" t="s">
        <v>84</v>
      </c>
      <c r="BN9">
        <v>868</v>
      </c>
      <c r="BO9">
        <f t="shared" si="17"/>
        <v>991.46551724137919</v>
      </c>
      <c r="BP9" t="s">
        <v>90</v>
      </c>
      <c r="BQ9">
        <v>914</v>
      </c>
      <c r="BR9">
        <f t="shared" si="18"/>
        <v>1044.0086206896551</v>
      </c>
      <c r="BS9" t="s">
        <v>78</v>
      </c>
    </row>
  </sheetData>
  <mergeCells count="3">
    <mergeCell ref="L2:O2"/>
    <mergeCell ref="J2:K2"/>
    <mergeCell ref="Y1:AB1"/>
  </mergeCells>
  <phoneticPr fontId="2"/>
  <conditionalFormatting sqref="AH4:AH9">
    <cfRule type="cellIs" dxfId="2" priority="2" operator="lessThan">
      <formula>$AK4</formula>
    </cfRule>
  </conditionalFormatting>
  <conditionalFormatting sqref="AK4:AK9">
    <cfRule type="cellIs" dxfId="1" priority="4" operator="greaterThan">
      <formula>$Z4</formula>
    </cfRule>
  </conditionalFormatting>
  <conditionalFormatting sqref="AL4:AL9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2026-06-15T09:13:52Z</dcterms:modified>
</cp:coreProperties>
</file>