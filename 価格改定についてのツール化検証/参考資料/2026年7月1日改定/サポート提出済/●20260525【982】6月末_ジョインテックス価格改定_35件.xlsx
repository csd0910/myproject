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7月1日改定\"/>
    </mc:Choice>
  </mc:AlternateContent>
  <xr:revisionPtr revIDLastSave="0" documentId="13_ncr:1_{772F118D-95AD-4F26-AB79-8AB8FF5F0A7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Sheet1!$A$1:$BQ$38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27" i="1" l="1"/>
  <c r="BI20" i="1"/>
  <c r="AG20" i="1" s="1"/>
  <c r="BI28" i="1"/>
  <c r="AG28" i="1" s="1"/>
  <c r="BI32" i="1"/>
  <c r="AG32" i="1" s="1"/>
  <c r="BI36" i="1"/>
  <c r="AG36" i="1" s="1"/>
  <c r="BI37" i="1"/>
  <c r="AG37" i="1" s="1"/>
  <c r="BI38" i="1"/>
  <c r="AG38" i="1" s="1"/>
  <c r="BP22" i="1"/>
  <c r="BP26" i="1"/>
  <c r="BI26" i="1"/>
  <c r="AG26" i="1" s="1"/>
  <c r="BI27" i="1"/>
  <c r="AG27" i="1" s="1"/>
  <c r="BI35" i="1"/>
  <c r="AG35" i="1" s="1"/>
  <c r="AS4" i="1"/>
  <c r="AQ29" i="1"/>
  <c r="O29" i="1"/>
  <c r="AQ30" i="1"/>
  <c r="O31" i="1"/>
  <c r="O32" i="1"/>
  <c r="O33" i="1"/>
  <c r="O36" i="1"/>
  <c r="O37" i="1"/>
  <c r="AQ38" i="1"/>
  <c r="O38" i="1"/>
  <c r="AB38" i="1"/>
  <c r="AL38" i="1" s="1"/>
  <c r="Z38" i="1"/>
  <c r="D38" i="1"/>
  <c r="AR37" i="1"/>
  <c r="AD37" i="1" s="1"/>
  <c r="AE37" i="1" s="1"/>
  <c r="AQ37" i="1"/>
  <c r="AB37" i="1"/>
  <c r="AK37" i="1" s="1"/>
  <c r="Z37" i="1"/>
  <c r="AP37" i="1" s="1"/>
  <c r="D37" i="1"/>
  <c r="AQ36" i="1"/>
  <c r="AB36" i="1"/>
  <c r="AL36" i="1" s="1"/>
  <c r="Z36" i="1"/>
  <c r="AP36" i="1" s="1"/>
  <c r="D36" i="1"/>
  <c r="AQ35" i="1"/>
  <c r="AB35" i="1"/>
  <c r="AL35" i="1" s="1"/>
  <c r="Z35" i="1"/>
  <c r="AP35" i="1" s="1"/>
  <c r="O35" i="1"/>
  <c r="D35" i="1"/>
  <c r="BI34" i="1"/>
  <c r="AG34" i="1" s="1"/>
  <c r="AQ34" i="1"/>
  <c r="AB34" i="1"/>
  <c r="AR34" i="1" s="1"/>
  <c r="AD34" i="1" s="1"/>
  <c r="AE34" i="1" s="1"/>
  <c r="Z34" i="1"/>
  <c r="AP34" i="1" s="1"/>
  <c r="O34" i="1"/>
  <c r="D34" i="1"/>
  <c r="BI33" i="1"/>
  <c r="AG33" i="1" s="1"/>
  <c r="AQ33" i="1"/>
  <c r="AB33" i="1"/>
  <c r="AR33" i="1" s="1"/>
  <c r="AD33" i="1" s="1"/>
  <c r="AE33" i="1" s="1"/>
  <c r="Z33" i="1"/>
  <c r="AP33" i="1" s="1"/>
  <c r="D33" i="1"/>
  <c r="AQ32" i="1"/>
  <c r="AB32" i="1"/>
  <c r="AK32" i="1" s="1"/>
  <c r="Z32" i="1"/>
  <c r="AP32" i="1" s="1"/>
  <c r="D32" i="1"/>
  <c r="BI31" i="1"/>
  <c r="AG31" i="1" s="1"/>
  <c r="AQ31" i="1"/>
  <c r="AB31" i="1"/>
  <c r="AR31" i="1" s="1"/>
  <c r="AD31" i="1" s="1"/>
  <c r="AE31" i="1" s="1"/>
  <c r="Z31" i="1"/>
  <c r="AP31" i="1" s="1"/>
  <c r="D31" i="1"/>
  <c r="BI30" i="1"/>
  <c r="AG30" i="1" s="1"/>
  <c r="AB30" i="1"/>
  <c r="AR30" i="1" s="1"/>
  <c r="BP30" i="1" s="1"/>
  <c r="Z30" i="1"/>
  <c r="O30" i="1"/>
  <c r="D30" i="1"/>
  <c r="BI29" i="1"/>
  <c r="AG29" i="1" s="1"/>
  <c r="AB29" i="1"/>
  <c r="AK29" i="1" s="1"/>
  <c r="Z29" i="1"/>
  <c r="AP29" i="1" s="1"/>
  <c r="D29" i="1"/>
  <c r="AQ28" i="1"/>
  <c r="AB28" i="1"/>
  <c r="AR28" i="1" s="1"/>
  <c r="AD28" i="1" s="1"/>
  <c r="AE28" i="1" s="1"/>
  <c r="Z28" i="1"/>
  <c r="AP28" i="1" s="1"/>
  <c r="O28" i="1"/>
  <c r="D28" i="1"/>
  <c r="AQ27" i="1"/>
  <c r="AB27" i="1"/>
  <c r="AR27" i="1" s="1"/>
  <c r="AD27" i="1" s="1"/>
  <c r="AE27" i="1" s="1"/>
  <c r="Z27" i="1"/>
  <c r="AP27" i="1" s="1"/>
  <c r="O27" i="1"/>
  <c r="D27" i="1"/>
  <c r="AQ26" i="1"/>
  <c r="AB26" i="1"/>
  <c r="AR26" i="1" s="1"/>
  <c r="AD26" i="1" s="1"/>
  <c r="AE26" i="1" s="1"/>
  <c r="Z26" i="1"/>
  <c r="AP26" i="1" s="1"/>
  <c r="O26" i="1"/>
  <c r="D26" i="1"/>
  <c r="BI25" i="1"/>
  <c r="AG25" i="1" s="1"/>
  <c r="AQ25" i="1"/>
  <c r="AB25" i="1"/>
  <c r="AL25" i="1" s="1"/>
  <c r="Z25" i="1"/>
  <c r="AP25" i="1" s="1"/>
  <c r="O25" i="1"/>
  <c r="D25" i="1"/>
  <c r="BI24" i="1"/>
  <c r="AG24" i="1" s="1"/>
  <c r="AQ24" i="1"/>
  <c r="AB24" i="1"/>
  <c r="AR24" i="1" s="1"/>
  <c r="AD24" i="1" s="1"/>
  <c r="AE24" i="1" s="1"/>
  <c r="Z24" i="1"/>
  <c r="AP24" i="1" s="1"/>
  <c r="O24" i="1"/>
  <c r="D24" i="1"/>
  <c r="BI23" i="1"/>
  <c r="AG23" i="1" s="1"/>
  <c r="AQ23" i="1"/>
  <c r="AB23" i="1"/>
  <c r="AR23" i="1" s="1"/>
  <c r="AD23" i="1" s="1"/>
  <c r="AE23" i="1" s="1"/>
  <c r="Z23" i="1"/>
  <c r="AP23" i="1" s="1"/>
  <c r="O23" i="1"/>
  <c r="D23" i="1"/>
  <c r="BI22" i="1"/>
  <c r="AG22" i="1" s="1"/>
  <c r="AQ22" i="1"/>
  <c r="AB22" i="1"/>
  <c r="AR22" i="1" s="1"/>
  <c r="AD22" i="1" s="1"/>
  <c r="AE22" i="1" s="1"/>
  <c r="Z22" i="1"/>
  <c r="AP22" i="1" s="1"/>
  <c r="O22" i="1"/>
  <c r="D22" i="1"/>
  <c r="BI21" i="1"/>
  <c r="AG21" i="1" s="1"/>
  <c r="AQ21" i="1"/>
  <c r="AB21" i="1"/>
  <c r="AL21" i="1" s="1"/>
  <c r="Z21" i="1"/>
  <c r="AP21" i="1" s="1"/>
  <c r="O21" i="1"/>
  <c r="D21" i="1"/>
  <c r="AQ20" i="1"/>
  <c r="AB20" i="1"/>
  <c r="Z20" i="1"/>
  <c r="AP20" i="1" s="1"/>
  <c r="O20" i="1"/>
  <c r="D20" i="1"/>
  <c r="BI19" i="1"/>
  <c r="AG19" i="1" s="1"/>
  <c r="AQ19" i="1"/>
  <c r="AB19" i="1"/>
  <c r="AL19" i="1" s="1"/>
  <c r="Z19" i="1"/>
  <c r="AP19" i="1" s="1"/>
  <c r="O19" i="1"/>
  <c r="D19" i="1"/>
  <c r="BI18" i="1"/>
  <c r="AG18" i="1" s="1"/>
  <c r="AQ18" i="1"/>
  <c r="AB18" i="1"/>
  <c r="AK18" i="1" s="1"/>
  <c r="Z18" i="1"/>
  <c r="AP18" i="1" s="1"/>
  <c r="O18" i="1"/>
  <c r="D18" i="1"/>
  <c r="BI17" i="1"/>
  <c r="AG17" i="1" s="1"/>
  <c r="AQ17" i="1"/>
  <c r="AB17" i="1"/>
  <c r="AK17" i="1" s="1"/>
  <c r="Z17" i="1"/>
  <c r="AP17" i="1" s="1"/>
  <c r="O17" i="1"/>
  <c r="D17" i="1"/>
  <c r="BI16" i="1"/>
  <c r="AG16" i="1" s="1"/>
  <c r="AQ16" i="1"/>
  <c r="AB16" i="1"/>
  <c r="AL16" i="1" s="1"/>
  <c r="Z16" i="1"/>
  <c r="AP16" i="1" s="1"/>
  <c r="O16" i="1"/>
  <c r="D16" i="1"/>
  <c r="BI15" i="1"/>
  <c r="AG15" i="1" s="1"/>
  <c r="AQ15" i="1"/>
  <c r="AB15" i="1"/>
  <c r="AL15" i="1" s="1"/>
  <c r="Z15" i="1"/>
  <c r="AP15" i="1" s="1"/>
  <c r="O15" i="1"/>
  <c r="D15" i="1"/>
  <c r="BI14" i="1"/>
  <c r="AG14" i="1" s="1"/>
  <c r="AQ14" i="1"/>
  <c r="AB14" i="1"/>
  <c r="AR14" i="1" s="1"/>
  <c r="AD14" i="1" s="1"/>
  <c r="AE14" i="1" s="1"/>
  <c r="Z14" i="1"/>
  <c r="AP14" i="1" s="1"/>
  <c r="O14" i="1"/>
  <c r="D14" i="1"/>
  <c r="AU4" i="1"/>
  <c r="AT4" i="1"/>
  <c r="BP28" i="1" l="1"/>
  <c r="BP33" i="1"/>
  <c r="BP24" i="1"/>
  <c r="BP34" i="1"/>
  <c r="BP31" i="1"/>
  <c r="BP23" i="1"/>
  <c r="BP14" i="1"/>
  <c r="BP37" i="1"/>
  <c r="AL31" i="1"/>
  <c r="AL33" i="1"/>
  <c r="AK23" i="1"/>
  <c r="AL29" i="1"/>
  <c r="AK30" i="1"/>
  <c r="AL30" i="1"/>
  <c r="AL24" i="1"/>
  <c r="AL28" i="1"/>
  <c r="AK31" i="1"/>
  <c r="AL23" i="1"/>
  <c r="AK24" i="1"/>
  <c r="AL26" i="1"/>
  <c r="AK33" i="1"/>
  <c r="AK35" i="1"/>
  <c r="AK38" i="1"/>
  <c r="AR36" i="1"/>
  <c r="BP36" i="1" s="1"/>
  <c r="AR25" i="1"/>
  <c r="BP25" i="1" s="1"/>
  <c r="AK26" i="1"/>
  <c r="AL32" i="1"/>
  <c r="AR35" i="1"/>
  <c r="BP35" i="1" s="1"/>
  <c r="AL37" i="1"/>
  <c r="AK27" i="1"/>
  <c r="AR32" i="1"/>
  <c r="BP32" i="1" s="1"/>
  <c r="AK34" i="1"/>
  <c r="AL27" i="1"/>
  <c r="AL34" i="1"/>
  <c r="AK28" i="1"/>
  <c r="AK25" i="1"/>
  <c r="AK36" i="1"/>
  <c r="AH24" i="1"/>
  <c r="AI24" i="1" s="1"/>
  <c r="AH27" i="1"/>
  <c r="AI27" i="1" s="1"/>
  <c r="AH33" i="1"/>
  <c r="AI33" i="1" s="1"/>
  <c r="AR38" i="1"/>
  <c r="BP38" i="1" s="1"/>
  <c r="AP30" i="1"/>
  <c r="AH30" i="1"/>
  <c r="AI30" i="1" s="1"/>
  <c r="AP38" i="1"/>
  <c r="AH28" i="1"/>
  <c r="AI28" i="1" s="1"/>
  <c r="AD30" i="1"/>
  <c r="AE30" i="1" s="1"/>
  <c r="AH23" i="1"/>
  <c r="AI23" i="1" s="1"/>
  <c r="AR29" i="1"/>
  <c r="BP29" i="1" s="1"/>
  <c r="AH31" i="1"/>
  <c r="AI31" i="1" s="1"/>
  <c r="AH26" i="1"/>
  <c r="AI26" i="1" s="1"/>
  <c r="AH34" i="1"/>
  <c r="AI34" i="1" s="1"/>
  <c r="AH37" i="1"/>
  <c r="AI37" i="1" s="1"/>
  <c r="AH14" i="1"/>
  <c r="AI14" i="1" s="1"/>
  <c r="AR19" i="1"/>
  <c r="BP19" i="1" s="1"/>
  <c r="AH22" i="1"/>
  <c r="AI22" i="1" s="1"/>
  <c r="AR21" i="1"/>
  <c r="BP21" i="1" s="1"/>
  <c r="AK21" i="1"/>
  <c r="AK14" i="1"/>
  <c r="AK15" i="1"/>
  <c r="AL14" i="1"/>
  <c r="AK22" i="1"/>
  <c r="AL22" i="1"/>
  <c r="AL18" i="1"/>
  <c r="AK16" i="1"/>
  <c r="AL17" i="1"/>
  <c r="AR20" i="1"/>
  <c r="BP20" i="1" s="1"/>
  <c r="AR18" i="1"/>
  <c r="BP18" i="1" s="1"/>
  <c r="AR16" i="1"/>
  <c r="BP16" i="1" s="1"/>
  <c r="AK20" i="1"/>
  <c r="AR17" i="1"/>
  <c r="BP17" i="1" s="1"/>
  <c r="AR15" i="1"/>
  <c r="BP15" i="1" s="1"/>
  <c r="AK19" i="1"/>
  <c r="AL20" i="1"/>
  <c r="AD36" i="1" l="1"/>
  <c r="AE36" i="1" s="1"/>
  <c r="AD16" i="1"/>
  <c r="AE16" i="1" s="1"/>
  <c r="AD35" i="1"/>
  <c r="AE35" i="1" s="1"/>
  <c r="AD21" i="1"/>
  <c r="AE21" i="1" s="1"/>
  <c r="AD15" i="1"/>
  <c r="AE15" i="1" s="1"/>
  <c r="AD32" i="1"/>
  <c r="AE32" i="1" s="1"/>
  <c r="AD17" i="1"/>
  <c r="AE17" i="1" s="1"/>
  <c r="AD19" i="1"/>
  <c r="AE19" i="1" s="1"/>
  <c r="AD29" i="1"/>
  <c r="AE29" i="1" s="1"/>
  <c r="AD18" i="1"/>
  <c r="AE18" i="1" s="1"/>
  <c r="AD20" i="1"/>
  <c r="AE20" i="1" s="1"/>
  <c r="AH38" i="1"/>
  <c r="AI38" i="1" s="1"/>
  <c r="AD25" i="1"/>
  <c r="AE25" i="1" s="1"/>
  <c r="AH36" i="1"/>
  <c r="AI36" i="1" s="1"/>
  <c r="AH35" i="1"/>
  <c r="AI35" i="1" s="1"/>
  <c r="AH18" i="1"/>
  <c r="AI18" i="1" s="1"/>
  <c r="AH25" i="1"/>
  <c r="AI25" i="1" s="1"/>
  <c r="AH32" i="1"/>
  <c r="AI32" i="1" s="1"/>
  <c r="AD38" i="1"/>
  <c r="AE38" i="1" s="1"/>
  <c r="AH29" i="1"/>
  <c r="AI29" i="1" s="1"/>
  <c r="AH19" i="1"/>
  <c r="AI19" i="1" s="1"/>
  <c r="AH17" i="1"/>
  <c r="AI17" i="1" s="1"/>
  <c r="AH21" i="1"/>
  <c r="AI21" i="1" s="1"/>
  <c r="AH20" i="1"/>
  <c r="AI20" i="1" s="1"/>
  <c r="AH15" i="1"/>
  <c r="AI15" i="1" s="1"/>
  <c r="AH16" i="1"/>
  <c r="AI16" i="1" s="1"/>
  <c r="BI5" i="1"/>
  <c r="AG5" i="1" s="1"/>
  <c r="BI6" i="1"/>
  <c r="AG6" i="1" s="1"/>
  <c r="BI7" i="1"/>
  <c r="AG7" i="1" s="1"/>
  <c r="BI9" i="1"/>
  <c r="AG9" i="1" s="1"/>
  <c r="BI10" i="1"/>
  <c r="AG10" i="1" s="1"/>
  <c r="BI11" i="1"/>
  <c r="AG11" i="1" s="1"/>
  <c r="BI12" i="1"/>
  <c r="AG12" i="1" s="1"/>
  <c r="BI13" i="1"/>
  <c r="AG13" i="1" s="1"/>
  <c r="BI4" i="1"/>
  <c r="AG4" i="1" s="1"/>
  <c r="AB5" i="1"/>
  <c r="AB6" i="1"/>
  <c r="AB7" i="1"/>
  <c r="AB8" i="1"/>
  <c r="AB9" i="1"/>
  <c r="AB10" i="1"/>
  <c r="AB11" i="1"/>
  <c r="AB12" i="1"/>
  <c r="AB13" i="1"/>
  <c r="Z5" i="1"/>
  <c r="AP5" i="1" s="1"/>
  <c r="Z6" i="1"/>
  <c r="AP6" i="1" s="1"/>
  <c r="Z7" i="1"/>
  <c r="AP7" i="1" s="1"/>
  <c r="Z8" i="1"/>
  <c r="AP8" i="1" s="1"/>
  <c r="Z9" i="1"/>
  <c r="AP9" i="1" s="1"/>
  <c r="Z10" i="1"/>
  <c r="AP10" i="1" s="1"/>
  <c r="Z11" i="1"/>
  <c r="AP11" i="1" s="1"/>
  <c r="Z12" i="1"/>
  <c r="AP12" i="1" s="1"/>
  <c r="Z13" i="1"/>
  <c r="AP13" i="1" s="1"/>
  <c r="D5" i="1"/>
  <c r="D6" i="1"/>
  <c r="D7" i="1"/>
  <c r="D8" i="1"/>
  <c r="D9" i="1"/>
  <c r="D10" i="1"/>
  <c r="D11" i="1"/>
  <c r="D12" i="1"/>
  <c r="D13" i="1"/>
  <c r="D4" i="1"/>
  <c r="AB4" i="1"/>
  <c r="Z4" i="1"/>
  <c r="AP4" i="1" s="1"/>
  <c r="AQ13" i="1"/>
  <c r="O13" i="1"/>
  <c r="AQ12" i="1"/>
  <c r="O12" i="1"/>
  <c r="AQ11" i="1"/>
  <c r="O11" i="1"/>
  <c r="AQ10" i="1"/>
  <c r="O10" i="1"/>
  <c r="AQ4" i="1"/>
  <c r="AQ9" i="1"/>
  <c r="O9" i="1"/>
  <c r="BI8" i="1"/>
  <c r="AG8" i="1" s="1"/>
  <c r="AQ8" i="1"/>
  <c r="O8" i="1"/>
  <c r="AQ7" i="1"/>
  <c r="O7" i="1"/>
  <c r="AQ6" i="1"/>
  <c r="O6" i="1"/>
  <c r="AR5" i="1"/>
  <c r="BP5" i="1" s="1"/>
  <c r="AQ5" i="1"/>
  <c r="O5" i="1"/>
  <c r="O4" i="1"/>
  <c r="AD5" i="1" l="1"/>
  <c r="AE5" i="1" s="1"/>
  <c r="AK13" i="1"/>
  <c r="AK5" i="1"/>
  <c r="AK12" i="1"/>
  <c r="AL10" i="1"/>
  <c r="AK4" i="1"/>
  <c r="AK9" i="1"/>
  <c r="AL8" i="1"/>
  <c r="AL11" i="1"/>
  <c r="AL7" i="1"/>
  <c r="AR6" i="1"/>
  <c r="BP6" i="1" s="1"/>
  <c r="AH5" i="1"/>
  <c r="AI5" i="1" s="1"/>
  <c r="AR10" i="1"/>
  <c r="BP10" i="1" s="1"/>
  <c r="AR12" i="1"/>
  <c r="BP12" i="1" s="1"/>
  <c r="AR8" i="1"/>
  <c r="BP8" i="1" s="1"/>
  <c r="AL6" i="1"/>
  <c r="AR13" i="1"/>
  <c r="BP13" i="1" s="1"/>
  <c r="AK11" i="1"/>
  <c r="AK10" i="1"/>
  <c r="AK8" i="1"/>
  <c r="AR11" i="1"/>
  <c r="BP11" i="1" s="1"/>
  <c r="AL9" i="1"/>
  <c r="AR9" i="1"/>
  <c r="BP9" i="1" s="1"/>
  <c r="AK7" i="1"/>
  <c r="AL13" i="1"/>
  <c r="AL5" i="1"/>
  <c r="AR7" i="1"/>
  <c r="BP7" i="1" s="1"/>
  <c r="AK6" i="1"/>
  <c r="AL12" i="1"/>
  <c r="AN4" i="1"/>
  <c r="AO4" i="1"/>
  <c r="AL4" i="1"/>
  <c r="AR4" i="1"/>
  <c r="BP4" i="1" s="1"/>
  <c r="AD4" i="1" l="1"/>
  <c r="AE4" i="1" s="1"/>
  <c r="AD12" i="1"/>
  <c r="AE12" i="1" s="1"/>
  <c r="AD9" i="1"/>
  <c r="AE9" i="1" s="1"/>
  <c r="AD13" i="1"/>
  <c r="AE13" i="1" s="1"/>
  <c r="AD10" i="1"/>
  <c r="AE10" i="1" s="1"/>
  <c r="AD8" i="1"/>
  <c r="AE8" i="1" s="1"/>
  <c r="AD11" i="1"/>
  <c r="AE11" i="1" s="1"/>
  <c r="AD7" i="1"/>
  <c r="AE7" i="1" s="1"/>
  <c r="AD6" i="1"/>
  <c r="AE6" i="1" s="1"/>
  <c r="AH7" i="1"/>
  <c r="AI7" i="1" s="1"/>
  <c r="AH9" i="1"/>
  <c r="AI9" i="1" s="1"/>
  <c r="AH12" i="1"/>
  <c r="AI12" i="1" s="1"/>
  <c r="AH6" i="1"/>
  <c r="AI6" i="1" s="1"/>
  <c r="AH13" i="1"/>
  <c r="AI13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<sst xmlns="http://schemas.openxmlformats.org/spreadsheetml/2006/main" count="370" uniqueCount="206">
  <si>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</si>
  <si>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</si>
  <si>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</si>
  <si>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</si>
  <si>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</si>
  <si>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</si>
  <si>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</si>
  <si>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</si>
  <si>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</si>
  <si>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</si>
  <si>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</si>
  <si>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</si>
  <si>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</si>
  <si>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</si>
  <si>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</si>
  <si>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</si>
  <si>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</si>
  <si>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</si>
  <si>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</si>
  <si>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</si>
  <si>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</si>
  <si>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</si>
  <si>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</si>
  <si>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</si>
  <si>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</si>
  <si>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</si>
  <si>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</si>
  <si>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</si>
  <si>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</si>
  <si>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</si>
  <si>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</si>
  <si>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</si>
  <si>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</si>
  <si>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</si>
  <si>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</si>
  <si>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</si>
  <si>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</si>
  <si>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</si>
  <si>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</si>
  <si>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</si>
  <si>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</si>
  <si>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</si>
  <si>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</si>
  <si>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</si>
  <si>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</si>
  <si>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</si>
  <si>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</si>
  <si>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</si>
  <si>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</si>
  <si>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</si>
  <si>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</si>
  <si>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</si>
  <si>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</si>
  <si>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</si>
  <si>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</si>
  <si>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</si>
  <si>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</si>
  <si>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</si>
  <si>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</si>
  <si>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</si>
  <si>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</si>
  <si>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</si>
  <si>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</si>
  <si>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</si>
  <si>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</si>
  <si>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J0605R</t>
  </si>
  <si>
    <t>J205LY</t>
  </si>
  <si>
    <t>J42229</t>
  </si>
  <si>
    <t>J42639</t>
  </si>
  <si>
    <t>J42640</t>
  </si>
  <si>
    <t>J42641</t>
  </si>
  <si>
    <t>J42642</t>
  </si>
  <si>
    <t>J42643</t>
  </si>
  <si>
    <t>J42644</t>
  </si>
  <si>
    <t>J45399</t>
  </si>
  <si>
    <t>J45400</t>
  </si>
  <si>
    <t>J45401</t>
  </si>
  <si>
    <t>J45402</t>
  </si>
  <si>
    <t>J45403</t>
  </si>
  <si>
    <t>J45404</t>
  </si>
  <si>
    <t>J45405</t>
  </si>
  <si>
    <t>J45406</t>
  </si>
  <si>
    <t>J45407</t>
  </si>
  <si>
    <t>J45408</t>
  </si>
  <si>
    <t>J45409</t>
  </si>
  <si>
    <t>J45410</t>
  </si>
  <si>
    <t>J45411</t>
  </si>
  <si>
    <t>J45412</t>
  </si>
  <si>
    <t>J45413</t>
  </si>
  <si>
    <t>J45414</t>
  </si>
  <si>
    <t>J7576P</t>
  </si>
  <si>
    <t>J7577P</t>
  </si>
  <si>
    <t>J7578P</t>
  </si>
  <si>
    <t>J7581P</t>
  </si>
  <si>
    <t>J7579P</t>
  </si>
  <si>
    <t>J7580P</t>
  </si>
  <si>
    <t>J79957</t>
  </si>
  <si>
    <t>J80405</t>
  </si>
  <si>
    <t>J80406</t>
  </si>
  <si>
    <t>JZ2301</t>
  </si>
  <si>
    <t>ｽﾏｰﾄﾊﾞﾘｭｰ/ﾎﾟﾘ袋 3号 150×80mm 100枚/B303J</t>
  </si>
  <si>
    <t>ｽﾏｰﾄﾊﾞﾘｭｰ/ﾎﾟﾘ袋 規格ﾀｲﾌﾟ 10号 100枚/B310J</t>
  </si>
  <si>
    <t>ｽﾏｰﾄﾊﾞﾘｭｰ/ﾎﾟﾘ袋 規格ﾀｲﾌﾟ 8号 100枚/B308J</t>
  </si>
  <si>
    <t>G)ｽﾏｰﾄﾊﾞﾘｭｰ/ｾﾛﾊﾝﾃｰﾌﾟ 12mm×35m 10巻/B637J</t>
  </si>
  <si>
    <t>G)ｽﾏｰﾄﾊﾞﾘｭｰ/ｾﾛﾊﾝﾃｰﾌﾟ 15mm×35m 10巻/B638J</t>
  </si>
  <si>
    <t>G)ｽﾏｰﾄﾊﾞﾘｭｰ/ｾﾛﾊﾝﾃｰﾌﾟ 15mm×50m 10巻/B641J</t>
  </si>
  <si>
    <t>G)ｽﾏｰﾄﾊﾞﾘｭｰ/ｾﾛﾊﾝﾃｰﾌﾟ 18mm×35m 10巻/B639J</t>
  </si>
  <si>
    <t>G)ｽﾏｰﾄﾊﾞﾘｭｰ/ｾﾛﾊﾝﾃｰﾌﾟ 18mm×50m 10巻/B642J</t>
  </si>
  <si>
    <t>G)ｽﾏｰﾄﾊﾞﾘｭｰ/ｾﾛﾊﾝﾃｰﾌﾟ 24mm×35m 5巻/B640J</t>
  </si>
  <si>
    <t>ｽﾏｰﾄﾊﾞﾘｭｰ/OPP袋(ｼｰﾙなし) A3 100枚/B625J-A3</t>
  </si>
  <si>
    <t>ｽﾏｰﾄﾊﾞﾘｭｰ/OPP袋(ｼｰﾙなし) A4 100枚/B625J-A4</t>
  </si>
  <si>
    <t>ｽﾏｰﾄﾊﾞﾘｭｰ/OPP袋(ｼｰﾙなし) A5 100枚/B625J-A5</t>
  </si>
  <si>
    <t>ｽﾏｰﾄﾊﾞﾘｭｰ/OPP袋(ｼｰﾙなし) B4 100枚/B625J-B4</t>
  </si>
  <si>
    <t>ｽﾏｰﾄﾊﾞﾘｭｰ/OPP袋(ｼｰﾙなし) B5 100枚/B625J-B5</t>
  </si>
  <si>
    <t>ｽﾏｰﾄﾊﾞﾘｭｰ/OPP袋(ｼｰﾙなし) はがき 100枚/B625J-HA</t>
  </si>
  <si>
    <t>ｽﾏｰﾄﾊﾞﾘｭｰ/OPP袋(ｼｰﾙなし) 小物用 100枚/B625J-KO</t>
  </si>
  <si>
    <t>ｽﾏｰﾄﾊﾞﾘｭｰ/OPP袋(ｼｰﾙなし) 長3 100枚/B625J-N3</t>
  </si>
  <si>
    <t>ｽﾏｰﾄﾊﾞﾘｭｰ/OPP袋(ﾌﾀｼｰﾙ付き) A4 100枚/B626J-A4</t>
  </si>
  <si>
    <t>ｽﾏｰﾄﾊﾞﾘｭｰ/OPP袋(ﾌﾀｼｰﾙ付き) A5 100枚/B626J-A5</t>
  </si>
  <si>
    <t>ｽﾏｰﾄﾊﾞﾘｭｰ/OPP袋(ﾌﾀｼｰﾙ付き) B4 100枚/B626J-B4</t>
  </si>
  <si>
    <t>ｽﾏｰﾄﾊﾞﾘｭｰ/OPP袋(ﾌﾀｼｰﾙ付き) B5 100枚/B626J-B5</t>
  </si>
  <si>
    <t>ｽﾏｰﾄﾊﾞﾘｭｰ/OPP袋(ﾌﾀｼｰﾙ付き) はがき 100枚/B626J-HA</t>
  </si>
  <si>
    <t>ｽﾏｰﾄﾊﾞﾘｭｰ/OPP袋(ﾌﾀｼｰﾙ付き) 角2 100枚/B626J-K2</t>
  </si>
  <si>
    <t>ｽﾏｰﾄﾊﾞﾘｭｰ/OPP袋(ﾌﾀｼｰﾙ付き) 小物用 100枚/B626J-KO</t>
  </si>
  <si>
    <t>ｽﾏｰﾄﾊﾞﾘｭｰ/OPP袋(ﾌﾀｼｰﾙ付き) 長3 100枚/B626J-N3</t>
  </si>
  <si>
    <t>ｽﾏｰﾄﾊﾞﾘｭｰ/ﾎﾟﾘ袋 6号 210×100mm 100枚/B306J</t>
  </si>
  <si>
    <t>ｽﾏｰﾄﾊﾞﾘｭｰ/ﾎﾟﾘ袋 12号 340×230mm 100枚/B312J</t>
  </si>
  <si>
    <t>ｽﾏｰﾄﾊﾞﾘｭｰ/ﾎﾟﾘ袋 15号 450×300mm 100枚/B315J</t>
  </si>
  <si>
    <t>ｽﾏｰﾄﾊﾞﾘｭｰ/ﾎﾟﾘ袋 20号 600×460mm 100枚/B320J</t>
  </si>
  <si>
    <t>ｽﾏｰﾄﾊﾞﾘｭｰ/ﾎﾟﾘ袋 16号 480×340mm 100枚/B316J</t>
  </si>
  <si>
    <t>ｽﾏｰﾄﾊﾞﾘｭｰ/ﾎﾟﾘ袋 18号 530×380mm 100枚/B318J</t>
  </si>
  <si>
    <t>ｽﾏｰﾄﾊﾞﾘｭｰ/ﾎﾟﾘ袋 規格ﾀｲﾌﾟ 14号 100枚/B314J</t>
  </si>
  <si>
    <t>-</t>
  </si>
  <si>
    <t>-</t>
    <phoneticPr fontId="2"/>
  </si>
  <si>
    <t>ジョインテックス ポリ袋 10号 100枚 B310J 1パック</t>
  </si>
  <si>
    <t>ジョインテックス ポリ袋 8号 100枚 B308J 1パック</t>
  </si>
  <si>
    <t>ジョインテックス セロハンテープ 12mm×35m 10巻 B637J 1パック</t>
  </si>
  <si>
    <t>ジョインテックス セロハンテープ 15mm×35m 10巻 B638J 1パック</t>
  </si>
  <si>
    <t>ジョインテックス セロハンテープ 15mm×50m 10巻 B641J 1パック</t>
  </si>
  <si>
    <t>ジョインテックス セロハンテープ 18mm×35m 10巻 B639J 1パック</t>
  </si>
  <si>
    <t>ジョインテックス セロハンテープ 18mm×50m 10巻 B642J 1パック</t>
  </si>
  <si>
    <t>ジョインテックス セロハンテープ 24mm×35m 5巻 B640J 1パック</t>
  </si>
  <si>
    <t>ジョインテックス OPP袋(シールなし)A3 100枚 B625J-A3 1セット(10パック)（直送品）</t>
  </si>
  <si>
    <t>ジョインテックス OPP袋(シールなし)A4 100枚 B625J-A4 1セット(30パック)（直送品）</t>
  </si>
  <si>
    <t>ジョインテックス OPP袋(シールなし)A5 100枚 B625J-A5 1セット(30パック)（直送品）</t>
  </si>
  <si>
    <t>ジョインテックス OPP袋(シールなし)B4 100枚 B625J-B4 1セット(10パック)（直送品）</t>
  </si>
  <si>
    <t>ジョインテックス OPP袋(シールなし)B5 100枚 B625J-B5 1セット(30パック)（直送品）</t>
  </si>
  <si>
    <t>ジョインテックス OPP袋(シールなし)はがき100枚 B625J-HA 1セット(30パック)（直送品）</t>
  </si>
  <si>
    <t>ジョインテックス OPP袋(シールなし)小物用100枚 B625J-KO 1パック</t>
  </si>
  <si>
    <t>ジョインテックス OPP袋(シールなし)長3 100枚 B625J-N3 1セット(30パック)（直送品）</t>
  </si>
  <si>
    <t>ジョインテックス OPP袋(シール付)A4 100枚 B626J-A4 1パック</t>
  </si>
  <si>
    <t>ジョインテックス OPP袋(シール付)A5 100枚 B626J-A5 1セット(30パック)（直送品）</t>
  </si>
  <si>
    <t>ジョインテックス OPP袋(シール付)B4 100枚 B626J-B4 1セット(10パック)（直送品）</t>
  </si>
  <si>
    <t>ジョインテックス OPP袋(シール付)B5 100枚 B626J-B5 1セット(30パック)（直送品）</t>
  </si>
  <si>
    <t>ジョインテックス OPP袋(シール付)はがき100枚 B626J-HA 1セット(30パック)（直送品）</t>
  </si>
  <si>
    <t>ジョインテックス OPP袋(シール付)角2 100枚 B626J-K2 1パック</t>
  </si>
  <si>
    <t>ジョインテックス OPP袋(シール付)小物用100枚 B626J-KO 1セット(30パック)（直送品）</t>
  </si>
  <si>
    <t>ジョインテックス OPP袋(シール付)長3 100枚 B626J-N3 1セット(30パック)（直送品）</t>
  </si>
  <si>
    <t>ジョインテックス ポリ袋 6号 100枚 B306J 1パック</t>
  </si>
  <si>
    <t>ジョインテックス ポリ袋 12号 100枚 B312J 1パック</t>
  </si>
  <si>
    <t>ジョインテックス ポリ袋 16号 100枚 B316J　1パック（直送品）</t>
  </si>
  <si>
    <t>ジョインテックス ポリ袋 18号 100枚 B318J　1パック（直送品）</t>
  </si>
  <si>
    <t>U338258</t>
  </si>
  <si>
    <t>1パック</t>
  </si>
  <si>
    <t>U338257</t>
  </si>
  <si>
    <t>U338324</t>
  </si>
  <si>
    <t>U338322</t>
  </si>
  <si>
    <t>U338325</t>
  </si>
  <si>
    <t>U338323</t>
  </si>
  <si>
    <t>U338327</t>
  </si>
  <si>
    <t>U338326</t>
  </si>
  <si>
    <t>KK93226</t>
  </si>
  <si>
    <t>1セット(10パック)</t>
  </si>
  <si>
    <t>KK93217</t>
  </si>
  <si>
    <t>1セット(30パック)</t>
  </si>
  <si>
    <t>KK93216</t>
  </si>
  <si>
    <t>KK93222</t>
  </si>
  <si>
    <t>KK93220</t>
  </si>
  <si>
    <t>KK93219</t>
  </si>
  <si>
    <t>RJ10673</t>
  </si>
  <si>
    <t>KK93225</t>
  </si>
  <si>
    <t>RJ10676</t>
  </si>
  <si>
    <t>KK93235</t>
  </si>
  <si>
    <t>KK93228</t>
  </si>
  <si>
    <t>KK93231</t>
  </si>
  <si>
    <t>KK93234</t>
  </si>
  <si>
    <t>RJ10675</t>
  </si>
  <si>
    <t>KK93233</t>
  </si>
  <si>
    <t>KK93230</t>
  </si>
  <si>
    <t>U338255</t>
  </si>
  <si>
    <t>U338259</t>
  </si>
  <si>
    <t>U338262</t>
  </si>
  <si>
    <t>U338263</t>
  </si>
  <si>
    <t>松浦産業/ﾀｯｸﾊﾝﾄﾞﾙ 20枚入/TH-1</t>
    <phoneticPr fontId="2"/>
  </si>
  <si>
    <t>AU45058</t>
  </si>
  <si>
    <t>松浦産業 タックハンドル 20枚入 TH-1 1パック（直送品）</t>
  </si>
  <si>
    <t>ﾀﾁﾊﾞﾅ産業/ｴｱｰｸｯｼｮﾝ平袋 大 100枚入 M450450</t>
    <phoneticPr fontId="2"/>
  </si>
  <si>
    <t>X434364</t>
  </si>
  <si>
    <t>タチバナ エアークッション平袋 大 100枚入 M450450 エアークツシヨンヒラブクロ/ダイ（直送品）</t>
  </si>
  <si>
    <t>ﾀﾁﾊﾞﾅ産業/ｴｱｰｸｯｼｮﾝ平袋 小 100枚入 S300300</t>
    <phoneticPr fontId="2"/>
  </si>
  <si>
    <t>X434368</t>
  </si>
  <si>
    <t>タチバナ エアークッション平袋 小 100枚入 S300300 エアークツシヨンヒラブクロ/ショウ（直送品）</t>
  </si>
  <si>
    <t>5月
カウ</t>
    <rPh sb="1" eb="2">
      <t>ガツ</t>
    </rPh>
    <phoneticPr fontId="2"/>
  </si>
  <si>
    <t>カウ
ｽﾗｲﾄﾞ</t>
    <phoneticPr fontId="2"/>
  </si>
  <si>
    <t>6月
カウ</t>
    <rPh sb="1" eb="2">
      <t>ガツ</t>
    </rPh>
    <phoneticPr fontId="2"/>
  </si>
  <si>
    <t>6月売価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</si>
</sst>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0" xfId="0" applyAlignment="1">
      <alignment vertical="center" wrapText="1"/>
    </xf>
    <xf numFmtId="0" fontId="0" fillId="6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38"/>
  <sheetViews>
    <sheetView tabSelected="1" zoomScale="90" zoomScaleNormal="90" workbookViewId="0">
      <pane xSplit="7" ySplit="5" topLeftCell="H6" activePane="bottomRight" state="frozen"/>
      <selection pane="topRight" activeCell="G1" sqref="G1"/>
      <selection pane="bottomLeft" activeCell="A5" sqref="A5"/>
      <selection pane="bottomRight" activeCell="P4" sqref="P4"/>
    </sheetView>
  </sheetViews>
  <sheetFormatPr defaultRowHeight="18.75" outlineLevelCol="1" x14ac:dyDescent="0.4"/>
  <cols>
    <col min="1" max="2" width="4.625" customWidth="1"/>
    <col min="3" max="5" width="6.875" customWidth="1"/>
    <col min="6" max="6" width="45.75" customWidth="1"/>
    <col min="7" max="7" width="15.125" customWidth="1"/>
    <col min="8" max="10" width="7.5" hidden="1" customWidth="1" outlineLevel="1"/>
    <col min="11" max="11" width="1.375" hidden="1" customWidth="1" outlineLevel="1"/>
    <col min="12" max="12" width="7.625" customWidth="1" collapsed="1"/>
    <col min="13" max="15" width="7.625" customWidth="1"/>
    <col min="16" max="16" width="4.375" customWidth="1"/>
    <col min="17" max="24" width="7.625" hidden="1" customWidth="1" outlineLevel="1"/>
    <col min="25" max="25" width="6.25" customWidth="1" collapsed="1"/>
    <col min="26" max="26" width="6.25" customWidth="1"/>
    <col min="27" max="28" width="7.625" customWidth="1"/>
    <col min="29" max="29" width="4.375" customWidth="1" collapsed="1"/>
    <col min="30" max="30" width="6.375" customWidth="1"/>
    <col min="31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57" width="7.625" customWidth="1"/>
    <col min="58" max="59" width="9" customWidth="1"/>
    <col min="60" max="68" width="7.625" customWidth="1"/>
  </cols>
  <sheetData>
    <row r="1" spans="1:69" x14ac:dyDescent="0.4">
      <c r="C1" s="29" t="s">
        <v>49</v>
      </c>
      <c r="Y1" s="38" t="s">
        <v>46</v>
      </c>
      <c r="Z1" s="39"/>
      <c r="AA1" s="39"/>
      <c r="AB1" s="40"/>
    </row>
    <row r="2" spans="1:69" x14ac:dyDescent="0.4">
      <c r="C2" s="8" t="s">
        <v>33</v>
      </c>
      <c r="D2" s="9" t="s">
        <v>34</v>
      </c>
      <c r="E2" s="9" t="s">
        <v>35</v>
      </c>
      <c r="F2" s="10"/>
      <c r="G2" s="10"/>
      <c r="H2" s="32"/>
      <c r="I2" s="32"/>
      <c r="J2" s="35" t="s">
        <v>36</v>
      </c>
      <c r="K2" s="37"/>
      <c r="L2" s="35" t="s">
        <v>2</v>
      </c>
      <c r="M2" s="36"/>
      <c r="N2" s="36"/>
      <c r="O2" s="37"/>
      <c r="P2" s="11"/>
      <c r="Q2" s="31"/>
      <c r="R2" s="31"/>
      <c r="S2" s="31"/>
      <c r="T2" s="31"/>
      <c r="U2" s="31"/>
      <c r="V2" s="31"/>
      <c r="W2" s="31"/>
      <c r="X2" s="31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69" ht="75" x14ac:dyDescent="0.4">
      <c r="A3" s="1" t="s">
        <v>58</v>
      </c>
      <c r="B3" s="1" t="s">
        <v>64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60</v>
      </c>
      <c r="I3" s="12" t="s">
        <v>61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54</v>
      </c>
      <c r="Q3" s="12" t="s">
        <v>20</v>
      </c>
      <c r="R3" s="12" t="s">
        <v>21</v>
      </c>
      <c r="S3" s="12" t="s">
        <v>55</v>
      </c>
      <c r="T3" s="12" t="s">
        <v>23</v>
      </c>
      <c r="U3" s="12" t="s">
        <v>24</v>
      </c>
      <c r="V3" s="12" t="s">
        <v>56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62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63</v>
      </c>
      <c r="BH3" s="2" t="s">
        <v>205</v>
      </c>
      <c r="BI3" s="2" t="s">
        <v>15</v>
      </c>
      <c r="BJ3" s="18" t="s">
        <v>51</v>
      </c>
      <c r="BK3" s="18" t="s">
        <v>52</v>
      </c>
      <c r="BL3" s="15" t="s">
        <v>59</v>
      </c>
      <c r="BM3" s="30" t="s">
        <v>53</v>
      </c>
      <c r="BN3" s="33" t="s">
        <v>202</v>
      </c>
      <c r="BO3" s="33" t="s">
        <v>204</v>
      </c>
      <c r="BP3" s="33" t="s">
        <v>203</v>
      </c>
      <c r="BQ3" t="s">
        <v>57</v>
      </c>
    </row>
    <row r="4" spans="1:69" x14ac:dyDescent="0.4">
      <c r="A4" s="3">
        <v>1</v>
      </c>
      <c r="B4" s="3">
        <v>1</v>
      </c>
      <c r="C4" s="4" t="s">
        <v>65</v>
      </c>
      <c r="D4" s="4" t="str">
        <f>TEXT(C4,"000000")</f>
        <v>J0605R</v>
      </c>
      <c r="E4" s="4" t="s">
        <v>65</v>
      </c>
      <c r="F4" s="4" t="s">
        <v>100</v>
      </c>
      <c r="G4" s="5">
        <v>4547345021940</v>
      </c>
      <c r="H4" s="5"/>
      <c r="I4" s="5"/>
      <c r="J4" s="5">
        <v>1</v>
      </c>
      <c r="K4" s="5">
        <v>1</v>
      </c>
      <c r="L4" s="4">
        <v>0</v>
      </c>
      <c r="M4" s="4">
        <v>160</v>
      </c>
      <c r="N4" s="4">
        <v>118</v>
      </c>
      <c r="O4" s="6">
        <f t="shared" ref="O4:O13" si="0">1-N4/M4</f>
        <v>0.26249999999999996</v>
      </c>
      <c r="P4" s="4" t="s">
        <v>133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167</v>
      </c>
      <c r="AB4" s="4">
        <f>IF(AC4="",AA4,AA4*AC4)</f>
        <v>167</v>
      </c>
      <c r="AC4" s="4"/>
      <c r="AD4" s="21">
        <f t="shared" ref="AD4:AD22" si="1">ROUND(M4*AR4,0)</f>
        <v>226</v>
      </c>
      <c r="AE4" s="6">
        <f t="shared" ref="AE4" si="2">1-AB4/AD4</f>
        <v>0.26106194690265483</v>
      </c>
      <c r="AF4" s="4">
        <v>2</v>
      </c>
      <c r="AG4" s="4" t="str">
        <f>BI4</f>
        <v>-</v>
      </c>
      <c r="AH4" s="4" t="e">
        <f t="shared" ref="AH4:AH22" si="3">AG4*AR4</f>
        <v>#VALUE!</v>
      </c>
      <c r="AI4" s="6" t="e">
        <f t="shared" ref="AI4:AI22" si="4">1-AB4/AH4</f>
        <v>#VALUE!</v>
      </c>
      <c r="AJ4" s="7">
        <v>242</v>
      </c>
      <c r="AK4" s="6">
        <f t="shared" ref="AK4:AK22" si="5">1-AB4/AJ4</f>
        <v>0.30991735537190079</v>
      </c>
      <c r="AL4" s="4">
        <f t="shared" ref="AL4:AL22" si="6">AJ4-AB4</f>
        <v>75</v>
      </c>
      <c r="AM4" s="28"/>
      <c r="AN4" s="6" t="e">
        <f>1-AB4/AM4</f>
        <v>#DIV/0!</v>
      </c>
      <c r="AO4" s="4">
        <f>AM4-AB4</f>
        <v>-167</v>
      </c>
      <c r="AP4" s="6" t="e">
        <f t="shared" ref="AP4:AP22" si="7">Z4/L4</f>
        <v>#DIV/0!</v>
      </c>
      <c r="AQ4" s="6">
        <f t="shared" ref="AQ4:AQ22" si="8">AJ4/M4</f>
        <v>1.5125</v>
      </c>
      <c r="AR4" s="6">
        <f t="shared" ref="AR4:AR22" si="9">AB4/N4</f>
        <v>1.4152542372881356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132</v>
      </c>
      <c r="BD4" s="4"/>
      <c r="BE4" s="4"/>
      <c r="BF4" s="4" t="s">
        <v>132</v>
      </c>
      <c r="BG4" s="4" t="s">
        <v>132</v>
      </c>
      <c r="BH4" s="4" t="s">
        <v>132</v>
      </c>
      <c r="BI4" s="4" t="str">
        <f t="shared" ref="BI4:BI5" si="10">IF(BD4="",BH4,BD4/BE4*BH4)</f>
        <v>-</v>
      </c>
      <c r="BJ4" s="19">
        <v>4</v>
      </c>
      <c r="BK4" s="19">
        <v>8</v>
      </c>
      <c r="BL4" s="16">
        <v>18</v>
      </c>
      <c r="BM4" t="s">
        <v>132</v>
      </c>
      <c r="BN4">
        <v>171</v>
      </c>
      <c r="BO4">
        <v>171</v>
      </c>
      <c r="BP4">
        <f>IFERROR(BO4*AR4,"-")</f>
        <v>242.0084745762712</v>
      </c>
      <c r="BQ4" t="s">
        <v>132</v>
      </c>
    </row>
    <row r="5" spans="1:69" x14ac:dyDescent="0.4">
      <c r="A5" s="3">
        <v>2</v>
      </c>
      <c r="B5" s="3">
        <v>2</v>
      </c>
      <c r="C5" s="4" t="s">
        <v>66</v>
      </c>
      <c r="D5" s="4" t="str">
        <f t="shared" ref="D5:D13" si="11">TEXT(C5,"000000")</f>
        <v>J205LY</v>
      </c>
      <c r="E5" s="4" t="s">
        <v>66</v>
      </c>
      <c r="F5" s="4" t="s">
        <v>101</v>
      </c>
      <c r="G5" s="5">
        <v>4547345021971</v>
      </c>
      <c r="H5" s="5"/>
      <c r="I5" s="5"/>
      <c r="J5" s="5">
        <v>1</v>
      </c>
      <c r="K5" s="5">
        <v>1</v>
      </c>
      <c r="L5" s="4">
        <v>0</v>
      </c>
      <c r="M5" s="4">
        <v>342</v>
      </c>
      <c r="N5" s="4">
        <v>229</v>
      </c>
      <c r="O5" s="6">
        <f t="shared" si="0"/>
        <v>0.33040935672514615</v>
      </c>
      <c r="P5" s="4" t="s">
        <v>133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12">IF(AC5="",Y5,Y5*AC5)</f>
        <v>0</v>
      </c>
      <c r="AA5" s="4">
        <v>324</v>
      </c>
      <c r="AB5" s="4">
        <f t="shared" ref="AB5:AB13" si="13">IF(AC5="",AA5,AA5*AC5)</f>
        <v>324</v>
      </c>
      <c r="AC5" s="4"/>
      <c r="AD5" s="21">
        <f t="shared" si="1"/>
        <v>484</v>
      </c>
      <c r="AE5" s="6">
        <f t="shared" ref="AE5" si="14">1-AB5/AD5</f>
        <v>0.33057851239669422</v>
      </c>
      <c r="AF5" s="4">
        <v>33.5</v>
      </c>
      <c r="AG5" s="4">
        <f t="shared" ref="AG5:AG13" si="15">BI5</f>
        <v>333</v>
      </c>
      <c r="AH5" s="4">
        <f t="shared" si="3"/>
        <v>471.14410480349346</v>
      </c>
      <c r="AI5" s="6">
        <f t="shared" si="4"/>
        <v>0.31231231231231238</v>
      </c>
      <c r="AJ5" s="7">
        <v>471</v>
      </c>
      <c r="AK5" s="6">
        <f t="shared" si="5"/>
        <v>0.31210191082802552</v>
      </c>
      <c r="AL5" s="4">
        <f t="shared" si="6"/>
        <v>147</v>
      </c>
      <c r="AM5" s="28"/>
      <c r="AN5" s="6"/>
      <c r="AO5" s="6"/>
      <c r="AP5" s="6" t="e">
        <f t="shared" si="7"/>
        <v>#DIV/0!</v>
      </c>
      <c r="AQ5" s="6">
        <f t="shared" si="8"/>
        <v>1.3771929824561404</v>
      </c>
      <c r="AR5" s="6">
        <f t="shared" si="9"/>
        <v>1.4148471615720524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162</v>
      </c>
      <c r="BD5" s="4"/>
      <c r="BE5" s="4"/>
      <c r="BF5" s="4" t="s">
        <v>163</v>
      </c>
      <c r="BG5" s="4">
        <v>333</v>
      </c>
      <c r="BH5" s="4">
        <v>333</v>
      </c>
      <c r="BI5" s="4">
        <f t="shared" si="10"/>
        <v>333</v>
      </c>
      <c r="BJ5" s="19">
        <v>4</v>
      </c>
      <c r="BK5" s="19">
        <v>1</v>
      </c>
      <c r="BL5" s="16">
        <v>18</v>
      </c>
      <c r="BM5" t="s">
        <v>132</v>
      </c>
      <c r="BN5">
        <v>323</v>
      </c>
      <c r="BO5">
        <v>323</v>
      </c>
      <c r="BP5">
        <f t="shared" ref="BP5:BP38" si="16">IFERROR(BO5*AR5,"-")</f>
        <v>456.99563318777291</v>
      </c>
      <c r="BQ5" t="s">
        <v>134</v>
      </c>
    </row>
    <row r="6" spans="1:69" x14ac:dyDescent="0.4">
      <c r="A6" s="3">
        <v>3</v>
      </c>
      <c r="B6" s="3">
        <v>3</v>
      </c>
      <c r="C6" s="17" t="s">
        <v>67</v>
      </c>
      <c r="D6" s="4" t="str">
        <f t="shared" si="11"/>
        <v>J42229</v>
      </c>
      <c r="E6" s="4" t="s">
        <v>67</v>
      </c>
      <c r="F6" s="4" t="s">
        <v>102</v>
      </c>
      <c r="G6" s="5">
        <v>4547345021964</v>
      </c>
      <c r="H6" s="5"/>
      <c r="I6" s="5"/>
      <c r="J6" s="5">
        <v>1</v>
      </c>
      <c r="K6" s="5">
        <v>1</v>
      </c>
      <c r="L6" s="4">
        <v>0</v>
      </c>
      <c r="M6" s="4">
        <v>269</v>
      </c>
      <c r="N6" s="4">
        <v>186</v>
      </c>
      <c r="O6" s="6">
        <f t="shared" si="0"/>
        <v>0.30855018587360594</v>
      </c>
      <c r="P6" s="4" t="s">
        <v>133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262</v>
      </c>
      <c r="AB6" s="4">
        <f t="shared" si="13"/>
        <v>262</v>
      </c>
      <c r="AC6" s="4"/>
      <c r="AD6" s="21">
        <f t="shared" si="1"/>
        <v>379</v>
      </c>
      <c r="AE6" s="6">
        <f t="shared" ref="AE6:AE13" si="17">1-AB6/AD6</f>
        <v>0.30870712401055411</v>
      </c>
      <c r="AF6" s="4">
        <v>0.5</v>
      </c>
      <c r="AG6" s="4">
        <f t="shared" si="15"/>
        <v>269</v>
      </c>
      <c r="AH6" s="4">
        <f t="shared" si="3"/>
        <v>378.91397849462368</v>
      </c>
      <c r="AI6" s="6">
        <f t="shared" si="4"/>
        <v>0.30855018587360594</v>
      </c>
      <c r="AJ6" s="7">
        <v>378</v>
      </c>
      <c r="AK6" s="6">
        <f t="shared" si="5"/>
        <v>0.30687830687830686</v>
      </c>
      <c r="AL6" s="4">
        <f t="shared" si="6"/>
        <v>116</v>
      </c>
      <c r="AM6" s="28"/>
      <c r="AN6" s="6"/>
      <c r="AO6" s="6"/>
      <c r="AP6" s="6" t="e">
        <f t="shared" si="7"/>
        <v>#DIV/0!</v>
      </c>
      <c r="AQ6" s="6">
        <f t="shared" si="8"/>
        <v>1.4052044609665428</v>
      </c>
      <c r="AR6" s="6">
        <f t="shared" si="9"/>
        <v>1.4086021505376345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164</v>
      </c>
      <c r="BD6" s="4"/>
      <c r="BE6" s="4"/>
      <c r="BF6" s="4" t="s">
        <v>163</v>
      </c>
      <c r="BG6" s="4">
        <v>269</v>
      </c>
      <c r="BH6" s="4">
        <v>269</v>
      </c>
      <c r="BI6" s="4">
        <f t="shared" ref="BI6:BI13" si="18">IF(BD6="",BH6,BD6/BE6*BH6)</f>
        <v>269</v>
      </c>
      <c r="BJ6" s="19">
        <v>4</v>
      </c>
      <c r="BK6" s="19">
        <v>8</v>
      </c>
      <c r="BL6" s="16">
        <v>18</v>
      </c>
      <c r="BM6" t="s">
        <v>132</v>
      </c>
      <c r="BN6">
        <v>266</v>
      </c>
      <c r="BO6">
        <v>266</v>
      </c>
      <c r="BP6">
        <f t="shared" si="16"/>
        <v>374.68817204301075</v>
      </c>
      <c r="BQ6" t="s">
        <v>135</v>
      </c>
    </row>
    <row r="7" spans="1:69" x14ac:dyDescent="0.4">
      <c r="A7" s="3">
        <v>4</v>
      </c>
      <c r="B7" s="3">
        <v>4</v>
      </c>
      <c r="C7" s="17" t="s">
        <v>68</v>
      </c>
      <c r="D7" s="4" t="str">
        <f t="shared" si="11"/>
        <v>J42639</v>
      </c>
      <c r="E7" s="4" t="s">
        <v>68</v>
      </c>
      <c r="F7" s="4" t="s">
        <v>103</v>
      </c>
      <c r="G7" s="5">
        <v>4547345040569</v>
      </c>
      <c r="H7" s="5"/>
      <c r="I7" s="5"/>
      <c r="J7" s="5">
        <v>1</v>
      </c>
      <c r="K7" s="5">
        <v>1</v>
      </c>
      <c r="L7" s="4">
        <v>0</v>
      </c>
      <c r="M7" s="4">
        <v>915</v>
      </c>
      <c r="N7" s="4">
        <v>693</v>
      </c>
      <c r="O7" s="6">
        <f t="shared" si="0"/>
        <v>0.24262295081967211</v>
      </c>
      <c r="P7" s="4" t="s">
        <v>133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2"/>
        <v>0</v>
      </c>
      <c r="AA7" s="4">
        <v>925</v>
      </c>
      <c r="AB7" s="4">
        <f t="shared" si="13"/>
        <v>925</v>
      </c>
      <c r="AC7" s="4"/>
      <c r="AD7" s="21">
        <f t="shared" si="1"/>
        <v>1221</v>
      </c>
      <c r="AE7" s="6">
        <f t="shared" si="17"/>
        <v>0.24242424242424243</v>
      </c>
      <c r="AF7" s="4">
        <v>0.25</v>
      </c>
      <c r="AG7" s="4">
        <f t="shared" si="15"/>
        <v>1010</v>
      </c>
      <c r="AH7" s="4">
        <f t="shared" si="3"/>
        <v>1348.1240981240983</v>
      </c>
      <c r="AI7" s="6">
        <f t="shared" si="4"/>
        <v>0.31386138613861392</v>
      </c>
      <c r="AJ7" s="7">
        <v>1340</v>
      </c>
      <c r="AK7" s="6">
        <f t="shared" si="5"/>
        <v>0.30970149253731338</v>
      </c>
      <c r="AL7" s="4">
        <f t="shared" si="6"/>
        <v>415</v>
      </c>
      <c r="AM7" s="28"/>
      <c r="AN7" s="6"/>
      <c r="AO7" s="6"/>
      <c r="AP7" s="6" t="e">
        <f t="shared" si="7"/>
        <v>#DIV/0!</v>
      </c>
      <c r="AQ7" s="6">
        <f t="shared" si="8"/>
        <v>1.46448087431694</v>
      </c>
      <c r="AR7" s="6">
        <f t="shared" si="9"/>
        <v>1.3347763347763348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165</v>
      </c>
      <c r="BD7" s="4"/>
      <c r="BE7" s="4"/>
      <c r="BF7" s="4" t="s">
        <v>163</v>
      </c>
      <c r="BG7" s="4">
        <v>1010</v>
      </c>
      <c r="BH7" s="4">
        <v>1010</v>
      </c>
      <c r="BI7" s="4">
        <f t="shared" si="18"/>
        <v>1010</v>
      </c>
      <c r="BJ7" s="19">
        <v>4</v>
      </c>
      <c r="BK7" s="19">
        <v>8</v>
      </c>
      <c r="BL7" s="16">
        <v>6</v>
      </c>
      <c r="BM7" t="s">
        <v>132</v>
      </c>
      <c r="BN7">
        <v>1009</v>
      </c>
      <c r="BO7">
        <v>1009</v>
      </c>
      <c r="BP7">
        <f t="shared" si="16"/>
        <v>1346.7893217893218</v>
      </c>
      <c r="BQ7" t="s">
        <v>136</v>
      </c>
    </row>
    <row r="8" spans="1:69" x14ac:dyDescent="0.4">
      <c r="A8" s="3">
        <v>5</v>
      </c>
      <c r="B8" s="3">
        <v>5</v>
      </c>
      <c r="C8" s="17" t="s">
        <v>69</v>
      </c>
      <c r="D8" s="4" t="str">
        <f t="shared" si="11"/>
        <v>J42640</v>
      </c>
      <c r="E8" s="4" t="s">
        <v>69</v>
      </c>
      <c r="F8" s="4" t="s">
        <v>104</v>
      </c>
      <c r="G8" s="5">
        <v>4547345040576</v>
      </c>
      <c r="H8" s="5"/>
      <c r="I8" s="5"/>
      <c r="J8" s="5">
        <v>1</v>
      </c>
      <c r="K8" s="5">
        <v>1</v>
      </c>
      <c r="L8" s="4">
        <v>0</v>
      </c>
      <c r="M8" s="4">
        <v>1120</v>
      </c>
      <c r="N8" s="4">
        <v>860</v>
      </c>
      <c r="O8" s="6">
        <f t="shared" si="0"/>
        <v>0.2321428571428571</v>
      </c>
      <c r="P8" s="4" t="s">
        <v>133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2"/>
        <v>0</v>
      </c>
      <c r="AA8" s="4">
        <v>1147</v>
      </c>
      <c r="AB8" s="4">
        <f t="shared" si="13"/>
        <v>1147</v>
      </c>
      <c r="AC8" s="4"/>
      <c r="AD8" s="21">
        <f t="shared" si="1"/>
        <v>1494</v>
      </c>
      <c r="AE8" s="6">
        <f t="shared" si="17"/>
        <v>0.2322623828647925</v>
      </c>
      <c r="AF8" s="4">
        <v>6.75</v>
      </c>
      <c r="AG8" s="4">
        <f t="shared" si="15"/>
        <v>1319</v>
      </c>
      <c r="AH8" s="4">
        <f t="shared" si="3"/>
        <v>1759.1779069767442</v>
      </c>
      <c r="AI8" s="6">
        <f t="shared" si="4"/>
        <v>0.34799090219863538</v>
      </c>
      <c r="AJ8" s="7">
        <v>1670</v>
      </c>
      <c r="AK8" s="6">
        <f t="shared" si="5"/>
        <v>0.31317365269461073</v>
      </c>
      <c r="AL8" s="4">
        <f t="shared" si="6"/>
        <v>523</v>
      </c>
      <c r="AM8" s="28"/>
      <c r="AN8" s="6"/>
      <c r="AO8" s="6"/>
      <c r="AP8" s="6" t="e">
        <f t="shared" si="7"/>
        <v>#DIV/0!</v>
      </c>
      <c r="AQ8" s="6">
        <f t="shared" si="8"/>
        <v>1.4910714285714286</v>
      </c>
      <c r="AR8" s="6">
        <f t="shared" si="9"/>
        <v>1.3337209302325581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166</v>
      </c>
      <c r="BD8" s="4"/>
      <c r="BE8" s="4"/>
      <c r="BF8" s="4" t="s">
        <v>163</v>
      </c>
      <c r="BG8" s="4">
        <v>1319</v>
      </c>
      <c r="BH8" s="4">
        <v>1319</v>
      </c>
      <c r="BI8" s="4">
        <f t="shared" si="18"/>
        <v>1319</v>
      </c>
      <c r="BJ8" s="19">
        <v>4</v>
      </c>
      <c r="BK8" s="19">
        <v>8</v>
      </c>
      <c r="BL8" s="16">
        <v>6</v>
      </c>
      <c r="BM8" t="s">
        <v>132</v>
      </c>
      <c r="BN8">
        <v>1254</v>
      </c>
      <c r="BO8">
        <v>1254</v>
      </c>
      <c r="BP8">
        <f t="shared" si="16"/>
        <v>1672.4860465116278</v>
      </c>
      <c r="BQ8" t="s">
        <v>137</v>
      </c>
    </row>
    <row r="9" spans="1:69" x14ac:dyDescent="0.4">
      <c r="A9" s="3">
        <v>6</v>
      </c>
      <c r="B9" s="3">
        <v>6</v>
      </c>
      <c r="C9" s="17" t="s">
        <v>70</v>
      </c>
      <c r="D9" s="4" t="str">
        <f t="shared" si="11"/>
        <v>J42641</v>
      </c>
      <c r="E9" s="4" t="s">
        <v>70</v>
      </c>
      <c r="F9" s="4" t="s">
        <v>105</v>
      </c>
      <c r="G9" s="5">
        <v>4547345040644</v>
      </c>
      <c r="H9" s="5"/>
      <c r="I9" s="5"/>
      <c r="J9" s="5">
        <v>1</v>
      </c>
      <c r="K9" s="5">
        <v>1</v>
      </c>
      <c r="L9" s="4">
        <v>0</v>
      </c>
      <c r="M9" s="4">
        <v>1806</v>
      </c>
      <c r="N9" s="4">
        <v>1427</v>
      </c>
      <c r="O9" s="6">
        <f t="shared" si="0"/>
        <v>0.20985603543743081</v>
      </c>
      <c r="P9" s="4" t="s">
        <v>133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2"/>
        <v>0</v>
      </c>
      <c r="AA9" s="4">
        <v>1902</v>
      </c>
      <c r="AB9" s="4">
        <f t="shared" si="13"/>
        <v>1902</v>
      </c>
      <c r="AC9" s="4"/>
      <c r="AD9" s="21">
        <f t="shared" si="1"/>
        <v>2407</v>
      </c>
      <c r="AE9" s="6">
        <f t="shared" si="17"/>
        <v>0.20980473618612383</v>
      </c>
      <c r="AF9" s="4">
        <v>0.5</v>
      </c>
      <c r="AG9" s="4">
        <f t="shared" si="15"/>
        <v>2076</v>
      </c>
      <c r="AH9" s="4">
        <f t="shared" si="3"/>
        <v>2767.0301331464611</v>
      </c>
      <c r="AI9" s="6">
        <f t="shared" si="4"/>
        <v>0.31262042389210021</v>
      </c>
      <c r="AJ9" s="7">
        <v>2680</v>
      </c>
      <c r="AK9" s="6">
        <f t="shared" si="5"/>
        <v>0.29029850746268659</v>
      </c>
      <c r="AL9" s="4">
        <f t="shared" si="6"/>
        <v>778</v>
      </c>
      <c r="AM9" s="28"/>
      <c r="AN9" s="6"/>
      <c r="AO9" s="6"/>
      <c r="AP9" s="6" t="e">
        <f t="shared" si="7"/>
        <v>#DIV/0!</v>
      </c>
      <c r="AQ9" s="6">
        <f t="shared" si="8"/>
        <v>1.4839424141749724</v>
      </c>
      <c r="AR9" s="6">
        <f t="shared" si="9"/>
        <v>1.3328661527680448</v>
      </c>
      <c r="AS9" s="4"/>
      <c r="AT9" s="4"/>
      <c r="AU9" s="4"/>
      <c r="AV9" s="4"/>
      <c r="AW9" s="4"/>
      <c r="AX9" s="4"/>
      <c r="AY9" s="4"/>
      <c r="AZ9" s="4"/>
      <c r="BA9" s="4"/>
      <c r="BB9" s="4">
        <v>0</v>
      </c>
      <c r="BC9" s="4" t="s">
        <v>167</v>
      </c>
      <c r="BD9" s="4"/>
      <c r="BE9" s="4"/>
      <c r="BF9" s="4" t="s">
        <v>163</v>
      </c>
      <c r="BG9" s="4">
        <v>2076</v>
      </c>
      <c r="BH9" s="4">
        <v>2076</v>
      </c>
      <c r="BI9" s="4">
        <f t="shared" si="18"/>
        <v>2076</v>
      </c>
      <c r="BJ9" s="19">
        <v>4</v>
      </c>
      <c r="BK9" s="19">
        <v>8</v>
      </c>
      <c r="BL9" s="16">
        <v>6</v>
      </c>
      <c r="BM9" t="s">
        <v>132</v>
      </c>
      <c r="BN9">
        <v>1976</v>
      </c>
      <c r="BO9">
        <v>1976</v>
      </c>
      <c r="BP9">
        <f t="shared" si="16"/>
        <v>2633.7435178696564</v>
      </c>
      <c r="BQ9" t="s">
        <v>138</v>
      </c>
    </row>
    <row r="10" spans="1:69" x14ac:dyDescent="0.4">
      <c r="A10" s="3">
        <v>7</v>
      </c>
      <c r="B10" s="3">
        <v>7</v>
      </c>
      <c r="C10" s="4" t="s">
        <v>71</v>
      </c>
      <c r="D10" s="4" t="str">
        <f t="shared" si="11"/>
        <v>J42642</v>
      </c>
      <c r="E10" s="4" t="s">
        <v>71</v>
      </c>
      <c r="F10" s="4" t="s">
        <v>106</v>
      </c>
      <c r="G10" s="5">
        <v>4547345040583</v>
      </c>
      <c r="H10" s="5"/>
      <c r="I10" s="5"/>
      <c r="J10" s="5">
        <v>1</v>
      </c>
      <c r="K10" s="5">
        <v>1</v>
      </c>
      <c r="L10" s="4">
        <v>0</v>
      </c>
      <c r="M10" s="4">
        <v>1445</v>
      </c>
      <c r="N10" s="4">
        <v>1003</v>
      </c>
      <c r="O10" s="6">
        <f t="shared" si="0"/>
        <v>0.30588235294117649</v>
      </c>
      <c r="P10" s="4" t="s">
        <v>133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2"/>
        <v>0</v>
      </c>
      <c r="AA10" s="4">
        <v>1338</v>
      </c>
      <c r="AB10" s="4">
        <f t="shared" si="13"/>
        <v>1338</v>
      </c>
      <c r="AC10" s="4"/>
      <c r="AD10" s="21">
        <f t="shared" si="1"/>
        <v>1928</v>
      </c>
      <c r="AE10" s="6">
        <f t="shared" si="17"/>
        <v>0.30601659751037347</v>
      </c>
      <c r="AF10" s="4">
        <v>0.25</v>
      </c>
      <c r="AG10" s="4">
        <f t="shared" si="15"/>
        <v>1526</v>
      </c>
      <c r="AH10" s="4">
        <f t="shared" si="3"/>
        <v>2035.680957128614</v>
      </c>
      <c r="AI10" s="6">
        <f t="shared" si="4"/>
        <v>0.34272608125819126</v>
      </c>
      <c r="AJ10" s="7">
        <v>2030</v>
      </c>
      <c r="AK10" s="6">
        <f t="shared" si="5"/>
        <v>0.34088669950738915</v>
      </c>
      <c r="AL10" s="4">
        <f t="shared" si="6"/>
        <v>692</v>
      </c>
      <c r="AM10" s="28"/>
      <c r="AN10" s="6"/>
      <c r="AO10" s="6"/>
      <c r="AP10" s="6" t="e">
        <f t="shared" si="7"/>
        <v>#DIV/0!</v>
      </c>
      <c r="AQ10" s="6">
        <f t="shared" si="8"/>
        <v>1.4048442906574394</v>
      </c>
      <c r="AR10" s="6">
        <f t="shared" si="9"/>
        <v>1.3339980059820538</v>
      </c>
      <c r="AS10" s="4"/>
      <c r="AT10" s="4"/>
      <c r="AU10" s="4"/>
      <c r="AV10" s="4"/>
      <c r="AW10" s="4"/>
      <c r="AX10" s="4"/>
      <c r="AY10" s="4"/>
      <c r="AZ10" s="4"/>
      <c r="BA10" s="4"/>
      <c r="BB10" s="4">
        <v>0</v>
      </c>
      <c r="BC10" s="4" t="s">
        <v>168</v>
      </c>
      <c r="BD10" s="4"/>
      <c r="BE10" s="4"/>
      <c r="BF10" s="4" t="s">
        <v>163</v>
      </c>
      <c r="BG10" s="4">
        <v>1526</v>
      </c>
      <c r="BH10" s="4">
        <v>1526</v>
      </c>
      <c r="BI10" s="4">
        <f t="shared" si="18"/>
        <v>1526</v>
      </c>
      <c r="BJ10" s="19">
        <v>4</v>
      </c>
      <c r="BK10" s="19">
        <v>8</v>
      </c>
      <c r="BL10" s="16">
        <v>6</v>
      </c>
      <c r="BM10" t="s">
        <v>132</v>
      </c>
      <c r="BN10">
        <v>1524</v>
      </c>
      <c r="BO10">
        <v>1524</v>
      </c>
      <c r="BP10">
        <f t="shared" si="16"/>
        <v>2033.0129611166499</v>
      </c>
      <c r="BQ10" t="s">
        <v>139</v>
      </c>
    </row>
    <row r="11" spans="1:69" x14ac:dyDescent="0.4">
      <c r="A11" s="3">
        <v>8</v>
      </c>
      <c r="B11" s="3">
        <v>8</v>
      </c>
      <c r="C11" s="4" t="s">
        <v>72</v>
      </c>
      <c r="D11" s="4" t="str">
        <f t="shared" si="11"/>
        <v>J42643</v>
      </c>
      <c r="E11" s="4" t="s">
        <v>72</v>
      </c>
      <c r="F11" s="4" t="s">
        <v>107</v>
      </c>
      <c r="G11" s="5">
        <v>4547345040651</v>
      </c>
      <c r="H11" s="5"/>
      <c r="I11" s="5"/>
      <c r="J11" s="5">
        <v>1</v>
      </c>
      <c r="K11" s="5">
        <v>1</v>
      </c>
      <c r="L11" s="4">
        <v>0</v>
      </c>
      <c r="M11" s="4">
        <v>2366</v>
      </c>
      <c r="N11" s="4">
        <v>1718</v>
      </c>
      <c r="O11" s="6">
        <f t="shared" si="0"/>
        <v>0.27387996618765853</v>
      </c>
      <c r="P11" s="4" t="s">
        <v>133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2"/>
        <v>0</v>
      </c>
      <c r="AA11" s="4">
        <v>2289</v>
      </c>
      <c r="AB11" s="4">
        <f t="shared" si="13"/>
        <v>2289</v>
      </c>
      <c r="AC11" s="4"/>
      <c r="AD11" s="21">
        <f t="shared" si="1"/>
        <v>3152</v>
      </c>
      <c r="AE11" s="6">
        <f t="shared" si="17"/>
        <v>0.27379441624365486</v>
      </c>
      <c r="AF11" s="4">
        <v>0</v>
      </c>
      <c r="AG11" s="4">
        <f t="shared" si="15"/>
        <v>2494</v>
      </c>
      <c r="AH11" s="4">
        <f t="shared" si="3"/>
        <v>3322.9138533178116</v>
      </c>
      <c r="AI11" s="6">
        <f t="shared" si="4"/>
        <v>0.31114675220529275</v>
      </c>
      <c r="AJ11" s="7">
        <v>3300</v>
      </c>
      <c r="AK11" s="6">
        <f t="shared" si="5"/>
        <v>0.30636363636363639</v>
      </c>
      <c r="AL11" s="4">
        <f t="shared" si="6"/>
        <v>1011</v>
      </c>
      <c r="AM11" s="28"/>
      <c r="AN11" s="6"/>
      <c r="AO11" s="6"/>
      <c r="AP11" s="6" t="e">
        <f t="shared" si="7"/>
        <v>#DIV/0!</v>
      </c>
      <c r="AQ11" s="6">
        <f t="shared" si="8"/>
        <v>1.3947590870667794</v>
      </c>
      <c r="AR11" s="6">
        <f t="shared" si="9"/>
        <v>1.3323632130384169</v>
      </c>
      <c r="AS11" s="4"/>
      <c r="AT11" s="4"/>
      <c r="AU11" s="4"/>
      <c r="AV11" s="4"/>
      <c r="AW11" s="4"/>
      <c r="AX11" s="4"/>
      <c r="AY11" s="4"/>
      <c r="AZ11" s="4"/>
      <c r="BA11" s="4"/>
      <c r="BB11" s="4">
        <v>0</v>
      </c>
      <c r="BC11" s="4" t="s">
        <v>169</v>
      </c>
      <c r="BD11" s="4"/>
      <c r="BE11" s="4"/>
      <c r="BF11" s="4" t="s">
        <v>163</v>
      </c>
      <c r="BG11" s="4">
        <v>2494</v>
      </c>
      <c r="BH11" s="4">
        <v>2494</v>
      </c>
      <c r="BI11" s="4">
        <f t="shared" si="18"/>
        <v>2494</v>
      </c>
      <c r="BJ11" s="19">
        <v>4</v>
      </c>
      <c r="BK11" s="19">
        <v>8</v>
      </c>
      <c r="BL11" s="16">
        <v>6</v>
      </c>
      <c r="BM11" t="s">
        <v>132</v>
      </c>
      <c r="BN11">
        <v>2375</v>
      </c>
      <c r="BO11">
        <v>2375</v>
      </c>
      <c r="BP11">
        <f t="shared" si="16"/>
        <v>3164.36263096624</v>
      </c>
      <c r="BQ11" t="s">
        <v>140</v>
      </c>
    </row>
    <row r="12" spans="1:69" x14ac:dyDescent="0.4">
      <c r="A12" s="3">
        <v>9</v>
      </c>
      <c r="B12" s="3">
        <v>9</v>
      </c>
      <c r="C12" s="4" t="s">
        <v>73</v>
      </c>
      <c r="D12" s="4" t="str">
        <f t="shared" si="11"/>
        <v>J42644</v>
      </c>
      <c r="E12" s="4" t="s">
        <v>73</v>
      </c>
      <c r="F12" s="4" t="s">
        <v>108</v>
      </c>
      <c r="G12" s="5">
        <v>4547345040590</v>
      </c>
      <c r="H12" s="5"/>
      <c r="I12" s="5"/>
      <c r="J12" s="5">
        <v>1</v>
      </c>
      <c r="K12" s="5">
        <v>1</v>
      </c>
      <c r="L12" s="4">
        <v>0</v>
      </c>
      <c r="M12" s="4">
        <v>1062</v>
      </c>
      <c r="N12" s="4">
        <v>713</v>
      </c>
      <c r="O12" s="6">
        <f t="shared" si="0"/>
        <v>0.32862523540489641</v>
      </c>
      <c r="P12" s="4" t="s">
        <v>133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12"/>
        <v>0</v>
      </c>
      <c r="AA12" s="4">
        <v>951</v>
      </c>
      <c r="AB12" s="4">
        <f t="shared" si="13"/>
        <v>951</v>
      </c>
      <c r="AC12" s="4"/>
      <c r="AD12" s="21">
        <f t="shared" si="1"/>
        <v>1416</v>
      </c>
      <c r="AE12" s="6">
        <f t="shared" si="17"/>
        <v>0.32838983050847459</v>
      </c>
      <c r="AF12" s="4">
        <v>1.7500000000000002</v>
      </c>
      <c r="AG12" s="4">
        <f t="shared" si="15"/>
        <v>1046</v>
      </c>
      <c r="AH12" s="4">
        <f t="shared" si="3"/>
        <v>1395.1556802244038</v>
      </c>
      <c r="AI12" s="6">
        <f t="shared" si="4"/>
        <v>0.3183556405353728</v>
      </c>
      <c r="AJ12" s="7">
        <v>1390</v>
      </c>
      <c r="AK12" s="6">
        <f t="shared" si="5"/>
        <v>0.31582733812949637</v>
      </c>
      <c r="AL12" s="4">
        <f t="shared" si="6"/>
        <v>439</v>
      </c>
      <c r="AM12" s="28"/>
      <c r="AN12" s="6"/>
      <c r="AO12" s="6"/>
      <c r="AP12" s="6" t="e">
        <f t="shared" si="7"/>
        <v>#DIV/0!</v>
      </c>
      <c r="AQ12" s="6">
        <f t="shared" si="8"/>
        <v>1.3088512241054613</v>
      </c>
      <c r="AR12" s="6">
        <f t="shared" si="9"/>
        <v>1.3338008415147264</v>
      </c>
      <c r="AS12" s="4"/>
      <c r="AT12" s="4"/>
      <c r="AU12" s="4"/>
      <c r="AV12" s="4"/>
      <c r="AW12" s="4"/>
      <c r="AX12" s="4"/>
      <c r="AY12" s="4"/>
      <c r="AZ12" s="4"/>
      <c r="BA12" s="4"/>
      <c r="BB12" s="4">
        <v>0</v>
      </c>
      <c r="BC12" s="4" t="s">
        <v>170</v>
      </c>
      <c r="BD12" s="4"/>
      <c r="BE12" s="4"/>
      <c r="BF12" s="4" t="s">
        <v>163</v>
      </c>
      <c r="BG12" s="4">
        <v>1046</v>
      </c>
      <c r="BH12" s="4">
        <v>1046</v>
      </c>
      <c r="BI12" s="4">
        <f t="shared" si="18"/>
        <v>1046</v>
      </c>
      <c r="BJ12" s="19">
        <v>4</v>
      </c>
      <c r="BK12" s="19">
        <v>8</v>
      </c>
      <c r="BL12" s="16">
        <v>6</v>
      </c>
      <c r="BM12" t="s">
        <v>132</v>
      </c>
      <c r="BN12">
        <v>1042</v>
      </c>
      <c r="BO12">
        <v>1042</v>
      </c>
      <c r="BP12">
        <f t="shared" si="16"/>
        <v>1389.820476858345</v>
      </c>
      <c r="BQ12" t="s">
        <v>141</v>
      </c>
    </row>
    <row r="13" spans="1:69" x14ac:dyDescent="0.4">
      <c r="A13" s="3">
        <v>10</v>
      </c>
      <c r="B13" s="3">
        <v>10</v>
      </c>
      <c r="C13" s="4" t="s">
        <v>74</v>
      </c>
      <c r="D13" s="4" t="str">
        <f t="shared" si="11"/>
        <v>J45399</v>
      </c>
      <c r="E13" s="4" t="s">
        <v>74</v>
      </c>
      <c r="F13" s="4" t="s">
        <v>109</v>
      </c>
      <c r="G13" s="5">
        <v>4547345043423</v>
      </c>
      <c r="H13" s="5"/>
      <c r="I13" s="5"/>
      <c r="J13" s="5">
        <v>1</v>
      </c>
      <c r="K13" s="5">
        <v>1</v>
      </c>
      <c r="L13" s="4">
        <v>0</v>
      </c>
      <c r="M13" s="4">
        <v>1535</v>
      </c>
      <c r="N13" s="4">
        <v>1091</v>
      </c>
      <c r="O13" s="6">
        <f t="shared" si="0"/>
        <v>0.28925081433224753</v>
      </c>
      <c r="P13" s="4" t="s">
        <v>133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12"/>
        <v>0</v>
      </c>
      <c r="AA13" s="4">
        <v>1284</v>
      </c>
      <c r="AB13" s="4">
        <f t="shared" si="13"/>
        <v>1284</v>
      </c>
      <c r="AC13" s="4"/>
      <c r="AD13" s="21">
        <f t="shared" si="1"/>
        <v>1807</v>
      </c>
      <c r="AE13" s="6">
        <f t="shared" si="17"/>
        <v>0.28942999446596573</v>
      </c>
      <c r="AF13" s="4">
        <v>7.5</v>
      </c>
      <c r="AG13" s="4">
        <f t="shared" si="15"/>
        <v>1568</v>
      </c>
      <c r="AH13" s="4">
        <f t="shared" si="3"/>
        <v>1845.3822181484875</v>
      </c>
      <c r="AI13" s="6">
        <f t="shared" si="4"/>
        <v>0.30420918367346939</v>
      </c>
      <c r="AJ13" s="7">
        <v>1840</v>
      </c>
      <c r="AK13" s="6">
        <f t="shared" si="5"/>
        <v>0.30217391304347829</v>
      </c>
      <c r="AL13" s="4">
        <f t="shared" si="6"/>
        <v>556</v>
      </c>
      <c r="AM13" s="28"/>
      <c r="AN13" s="6"/>
      <c r="AO13" s="6"/>
      <c r="AP13" s="6" t="e">
        <f t="shared" si="7"/>
        <v>#DIV/0!</v>
      </c>
      <c r="AQ13" s="6">
        <f t="shared" si="8"/>
        <v>1.1986970684039089</v>
      </c>
      <c r="AR13" s="6">
        <f t="shared" si="9"/>
        <v>1.1769019248395967</v>
      </c>
      <c r="AS13" s="4"/>
      <c r="AT13" s="4"/>
      <c r="AU13" s="4"/>
      <c r="AV13" s="4"/>
      <c r="AW13" s="4"/>
      <c r="AX13" s="4"/>
      <c r="AY13" s="4"/>
      <c r="AZ13" s="4"/>
      <c r="BA13" s="4"/>
      <c r="BB13" s="4">
        <v>0</v>
      </c>
      <c r="BC13" s="4" t="s">
        <v>171</v>
      </c>
      <c r="BD13" s="4">
        <v>1</v>
      </c>
      <c r="BE13" s="4">
        <v>10</v>
      </c>
      <c r="BF13" s="4" t="s">
        <v>172</v>
      </c>
      <c r="BG13" s="4">
        <v>15680</v>
      </c>
      <c r="BH13" s="4">
        <v>15680</v>
      </c>
      <c r="BI13" s="4">
        <f t="shared" si="18"/>
        <v>1568</v>
      </c>
      <c r="BJ13" s="19">
        <v>4</v>
      </c>
      <c r="BK13" s="19">
        <v>1</v>
      </c>
      <c r="BL13" s="16">
        <v>18</v>
      </c>
      <c r="BM13" t="s">
        <v>132</v>
      </c>
      <c r="BN13">
        <v>1566</v>
      </c>
      <c r="BO13">
        <v>1566</v>
      </c>
      <c r="BP13">
        <f t="shared" si="16"/>
        <v>1843.0284142988085</v>
      </c>
      <c r="BQ13" t="s">
        <v>142</v>
      </c>
    </row>
    <row r="14" spans="1:69" x14ac:dyDescent="0.4">
      <c r="A14" s="3">
        <v>11</v>
      </c>
      <c r="B14" s="3">
        <v>11</v>
      </c>
      <c r="C14" s="4" t="s">
        <v>75</v>
      </c>
      <c r="D14" s="4" t="str">
        <f t="shared" ref="D14:D22" si="19">TEXT(C14,"000000")</f>
        <v>J45400</v>
      </c>
      <c r="E14" s="4" t="s">
        <v>75</v>
      </c>
      <c r="F14" s="4" t="s">
        <v>110</v>
      </c>
      <c r="G14" s="5">
        <v>4547345043409</v>
      </c>
      <c r="H14" s="5"/>
      <c r="I14" s="5"/>
      <c r="J14" s="5">
        <v>1</v>
      </c>
      <c r="K14" s="5">
        <v>1</v>
      </c>
      <c r="L14" s="4">
        <v>0</v>
      </c>
      <c r="M14" s="4">
        <v>775</v>
      </c>
      <c r="N14" s="4">
        <v>552</v>
      </c>
      <c r="O14" s="6">
        <f t="shared" ref="O14:O22" si="20">1-N14/M14</f>
        <v>0.28774193548387095</v>
      </c>
      <c r="P14" s="4" t="s">
        <v>133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2" si="21">IF(AC14="",Y14,Y14*AC14)</f>
        <v>0</v>
      </c>
      <c r="AA14" s="4">
        <v>650</v>
      </c>
      <c r="AB14" s="4">
        <f t="shared" ref="AB14:AB22" si="22">IF(AC14="",AA14,AA14*AC14)</f>
        <v>650</v>
      </c>
      <c r="AC14" s="4"/>
      <c r="AD14" s="21">
        <f t="shared" si="1"/>
        <v>913</v>
      </c>
      <c r="AE14" s="6">
        <f t="shared" ref="AE14:AE22" si="23">1-AB14/AD14</f>
        <v>0.28806133625410735</v>
      </c>
      <c r="AF14" s="4">
        <v>40</v>
      </c>
      <c r="AG14" s="4">
        <f t="shared" ref="AG14:AG22" si="24">BI14</f>
        <v>796</v>
      </c>
      <c r="AH14" s="4">
        <f t="shared" si="3"/>
        <v>937.31884057971001</v>
      </c>
      <c r="AI14" s="6">
        <f t="shared" si="4"/>
        <v>0.3065326633165828</v>
      </c>
      <c r="AJ14" s="7">
        <v>928</v>
      </c>
      <c r="AK14" s="6">
        <f t="shared" si="5"/>
        <v>0.29956896551724133</v>
      </c>
      <c r="AL14" s="4">
        <f t="shared" si="6"/>
        <v>278</v>
      </c>
      <c r="AM14" s="28"/>
      <c r="AN14" s="6"/>
      <c r="AO14" s="6"/>
      <c r="AP14" s="6" t="e">
        <f t="shared" si="7"/>
        <v>#DIV/0!</v>
      </c>
      <c r="AQ14" s="6">
        <f t="shared" si="8"/>
        <v>1.1974193548387098</v>
      </c>
      <c r="AR14" s="6">
        <f t="shared" si="9"/>
        <v>1.1775362318840579</v>
      </c>
      <c r="AS14" s="4"/>
      <c r="AT14" s="4"/>
      <c r="AU14" s="4"/>
      <c r="AV14" s="4"/>
      <c r="AW14" s="4"/>
      <c r="AX14" s="4"/>
      <c r="AY14" s="4"/>
      <c r="AZ14" s="4"/>
      <c r="BA14" s="4"/>
      <c r="BB14" s="4">
        <v>0</v>
      </c>
      <c r="BC14" s="4" t="s">
        <v>173</v>
      </c>
      <c r="BD14" s="4">
        <v>1</v>
      </c>
      <c r="BE14" s="4">
        <v>30</v>
      </c>
      <c r="BF14" s="4" t="s">
        <v>174</v>
      </c>
      <c r="BG14" s="4">
        <v>23880</v>
      </c>
      <c r="BH14" s="4">
        <v>23880</v>
      </c>
      <c r="BI14" s="4">
        <f t="shared" ref="BI14:BI22" si="25">IF(BD14="",BH14,BD14/BE14*BH14)</f>
        <v>796</v>
      </c>
      <c r="BJ14" s="19">
        <v>4</v>
      </c>
      <c r="BK14" s="19">
        <v>1</v>
      </c>
      <c r="BL14" s="16">
        <v>18</v>
      </c>
      <c r="BM14" t="s">
        <v>132</v>
      </c>
      <c r="BN14">
        <v>760</v>
      </c>
      <c r="BO14">
        <v>760</v>
      </c>
      <c r="BP14">
        <f t="shared" si="16"/>
        <v>894.92753623188401</v>
      </c>
      <c r="BQ14" t="s">
        <v>143</v>
      </c>
    </row>
    <row r="15" spans="1:69" x14ac:dyDescent="0.4">
      <c r="A15" s="3">
        <v>12</v>
      </c>
      <c r="B15" s="3">
        <v>12</v>
      </c>
      <c r="C15" s="4" t="s">
        <v>76</v>
      </c>
      <c r="D15" s="4" t="str">
        <f t="shared" si="19"/>
        <v>J45401</v>
      </c>
      <c r="E15" s="4" t="s">
        <v>76</v>
      </c>
      <c r="F15" s="4" t="s">
        <v>111</v>
      </c>
      <c r="G15" s="5">
        <v>4547345043379</v>
      </c>
      <c r="H15" s="5"/>
      <c r="I15" s="5"/>
      <c r="J15" s="5">
        <v>1</v>
      </c>
      <c r="K15" s="5">
        <v>1</v>
      </c>
      <c r="L15" s="4">
        <v>0</v>
      </c>
      <c r="M15" s="4">
        <v>471</v>
      </c>
      <c r="N15" s="4">
        <v>335</v>
      </c>
      <c r="O15" s="6">
        <f t="shared" si="20"/>
        <v>0.28874734607218688</v>
      </c>
      <c r="P15" s="4" t="s">
        <v>133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1"/>
        <v>0</v>
      </c>
      <c r="AA15" s="4">
        <v>390</v>
      </c>
      <c r="AB15" s="4">
        <f t="shared" si="22"/>
        <v>390</v>
      </c>
      <c r="AC15" s="4"/>
      <c r="AD15" s="21">
        <f t="shared" si="1"/>
        <v>548</v>
      </c>
      <c r="AE15" s="6">
        <f t="shared" si="23"/>
        <v>0.28832116788321172</v>
      </c>
      <c r="AF15" s="4">
        <v>24.5</v>
      </c>
      <c r="AG15" s="4">
        <f t="shared" si="24"/>
        <v>486</v>
      </c>
      <c r="AH15" s="4">
        <f t="shared" si="3"/>
        <v>565.79104477611941</v>
      </c>
      <c r="AI15" s="6">
        <f t="shared" si="4"/>
        <v>0.31069958847736623</v>
      </c>
      <c r="AJ15" s="7">
        <v>563</v>
      </c>
      <c r="AK15" s="6">
        <f t="shared" si="5"/>
        <v>0.30728241563055059</v>
      </c>
      <c r="AL15" s="4">
        <f t="shared" si="6"/>
        <v>173</v>
      </c>
      <c r="AM15" s="28"/>
      <c r="AN15" s="6"/>
      <c r="AO15" s="6"/>
      <c r="AP15" s="6" t="e">
        <f t="shared" si="7"/>
        <v>#DIV/0!</v>
      </c>
      <c r="AQ15" s="6">
        <f t="shared" si="8"/>
        <v>1.1953290870488322</v>
      </c>
      <c r="AR15" s="6">
        <f t="shared" si="9"/>
        <v>1.164179104477612</v>
      </c>
      <c r="AS15" s="4"/>
      <c r="AT15" s="4"/>
      <c r="AU15" s="4"/>
      <c r="AV15" s="4"/>
      <c r="AW15" s="4"/>
      <c r="AX15" s="4"/>
      <c r="AY15" s="4"/>
      <c r="AZ15" s="4"/>
      <c r="BA15" s="4"/>
      <c r="BB15" s="4">
        <v>0</v>
      </c>
      <c r="BC15" s="4" t="s">
        <v>175</v>
      </c>
      <c r="BD15" s="4">
        <v>1</v>
      </c>
      <c r="BE15" s="4">
        <v>30</v>
      </c>
      <c r="BF15" s="4" t="s">
        <v>174</v>
      </c>
      <c r="BG15" s="4">
        <v>14580</v>
      </c>
      <c r="BH15" s="4">
        <v>14580</v>
      </c>
      <c r="BI15" s="4">
        <f t="shared" si="25"/>
        <v>486</v>
      </c>
      <c r="BJ15" s="19">
        <v>4</v>
      </c>
      <c r="BK15" s="19">
        <v>1</v>
      </c>
      <c r="BL15" s="16">
        <v>18</v>
      </c>
      <c r="BM15" t="s">
        <v>132</v>
      </c>
      <c r="BN15">
        <v>484</v>
      </c>
      <c r="BO15">
        <v>484</v>
      </c>
      <c r="BP15">
        <f t="shared" si="16"/>
        <v>563.46268656716416</v>
      </c>
      <c r="BQ15" t="s">
        <v>144</v>
      </c>
    </row>
    <row r="16" spans="1:69" x14ac:dyDescent="0.4">
      <c r="A16" s="3">
        <v>13</v>
      </c>
      <c r="B16" s="3">
        <v>13</v>
      </c>
      <c r="C16" s="4" t="s">
        <v>77</v>
      </c>
      <c r="D16" s="4" t="str">
        <f t="shared" si="19"/>
        <v>J45402</v>
      </c>
      <c r="E16" s="4" t="s">
        <v>77</v>
      </c>
      <c r="F16" s="4" t="s">
        <v>112</v>
      </c>
      <c r="G16" s="5">
        <v>4547345043416</v>
      </c>
      <c r="H16" s="5"/>
      <c r="I16" s="5"/>
      <c r="J16" s="5">
        <v>1</v>
      </c>
      <c r="K16" s="5">
        <v>1</v>
      </c>
      <c r="L16" s="4">
        <v>0</v>
      </c>
      <c r="M16" s="4">
        <v>1277</v>
      </c>
      <c r="N16" s="4">
        <v>912</v>
      </c>
      <c r="O16" s="6">
        <f t="shared" si="20"/>
        <v>0.28582615505090059</v>
      </c>
      <c r="P16" s="4" t="s">
        <v>133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1"/>
        <v>0</v>
      </c>
      <c r="AA16" s="4">
        <v>1152</v>
      </c>
      <c r="AB16" s="4">
        <f t="shared" si="22"/>
        <v>1152</v>
      </c>
      <c r="AC16" s="4"/>
      <c r="AD16" s="21">
        <f t="shared" si="1"/>
        <v>1613</v>
      </c>
      <c r="AE16" s="6">
        <f t="shared" si="23"/>
        <v>0.28580285182889031</v>
      </c>
      <c r="AF16" s="4">
        <v>1.7500000000000002</v>
      </c>
      <c r="AG16" s="4">
        <f t="shared" si="24"/>
        <v>1313</v>
      </c>
      <c r="AH16" s="4">
        <f t="shared" si="3"/>
        <v>1658.5263157894735</v>
      </c>
      <c r="AI16" s="6">
        <f t="shared" si="4"/>
        <v>0.3054074638233053</v>
      </c>
      <c r="AJ16" s="7">
        <v>1653</v>
      </c>
      <c r="AK16" s="6">
        <f t="shared" si="5"/>
        <v>0.30308529945553542</v>
      </c>
      <c r="AL16" s="4">
        <f t="shared" si="6"/>
        <v>501</v>
      </c>
      <c r="AM16" s="28"/>
      <c r="AN16" s="6"/>
      <c r="AO16" s="6"/>
      <c r="AP16" s="6" t="e">
        <f t="shared" si="7"/>
        <v>#DIV/0!</v>
      </c>
      <c r="AQ16" s="6">
        <f t="shared" si="8"/>
        <v>1.2944400939702427</v>
      </c>
      <c r="AR16" s="6">
        <f t="shared" si="9"/>
        <v>1.263157894736842</v>
      </c>
      <c r="AS16" s="4"/>
      <c r="AT16" s="4"/>
      <c r="AU16" s="4"/>
      <c r="AV16" s="4"/>
      <c r="AW16" s="4"/>
      <c r="AX16" s="4"/>
      <c r="AY16" s="4"/>
      <c r="AZ16" s="4"/>
      <c r="BA16" s="4"/>
      <c r="BB16" s="4">
        <v>0</v>
      </c>
      <c r="BC16" s="4" t="s">
        <v>176</v>
      </c>
      <c r="BD16" s="4">
        <v>1</v>
      </c>
      <c r="BE16" s="4">
        <v>10</v>
      </c>
      <c r="BF16" s="4" t="s">
        <v>172</v>
      </c>
      <c r="BG16" s="4">
        <v>13130</v>
      </c>
      <c r="BH16" s="4">
        <v>13130</v>
      </c>
      <c r="BI16" s="4">
        <f t="shared" si="25"/>
        <v>1313</v>
      </c>
      <c r="BJ16" s="19">
        <v>4</v>
      </c>
      <c r="BK16" s="19">
        <v>1</v>
      </c>
      <c r="BL16" s="16">
        <v>18</v>
      </c>
      <c r="BM16" t="s">
        <v>132</v>
      </c>
      <c r="BN16">
        <v>1309</v>
      </c>
      <c r="BO16">
        <v>1309</v>
      </c>
      <c r="BP16">
        <f t="shared" si="16"/>
        <v>1653.4736842105262</v>
      </c>
      <c r="BQ16" t="s">
        <v>145</v>
      </c>
    </row>
    <row r="17" spans="1:69" x14ac:dyDescent="0.4">
      <c r="A17" s="3">
        <v>14</v>
      </c>
      <c r="B17" s="3">
        <v>14</v>
      </c>
      <c r="C17" s="4" t="s">
        <v>78</v>
      </c>
      <c r="D17" s="4" t="str">
        <f t="shared" si="19"/>
        <v>J45403</v>
      </c>
      <c r="E17" s="4" t="s">
        <v>78</v>
      </c>
      <c r="F17" s="4" t="s">
        <v>113</v>
      </c>
      <c r="G17" s="5">
        <v>4547345043393</v>
      </c>
      <c r="H17" s="5"/>
      <c r="I17" s="5"/>
      <c r="J17" s="5">
        <v>1</v>
      </c>
      <c r="K17" s="5">
        <v>1</v>
      </c>
      <c r="L17" s="4">
        <v>0</v>
      </c>
      <c r="M17" s="4">
        <v>638</v>
      </c>
      <c r="N17" s="4">
        <v>459</v>
      </c>
      <c r="O17" s="6">
        <f t="shared" si="20"/>
        <v>0.28056426332288398</v>
      </c>
      <c r="P17" s="4" t="s">
        <v>133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1"/>
        <v>0</v>
      </c>
      <c r="AA17" s="4">
        <v>542</v>
      </c>
      <c r="AB17" s="4">
        <f t="shared" si="22"/>
        <v>542</v>
      </c>
      <c r="AC17" s="4"/>
      <c r="AD17" s="21">
        <f t="shared" si="1"/>
        <v>753</v>
      </c>
      <c r="AE17" s="6">
        <f t="shared" si="23"/>
        <v>0.28021248339973437</v>
      </c>
      <c r="AF17" s="4">
        <v>1.5</v>
      </c>
      <c r="AG17" s="4">
        <f t="shared" si="24"/>
        <v>663</v>
      </c>
      <c r="AH17" s="4">
        <f t="shared" si="3"/>
        <v>782.88888888888891</v>
      </c>
      <c r="AI17" s="6">
        <f t="shared" si="4"/>
        <v>0.30769230769230771</v>
      </c>
      <c r="AJ17" s="7">
        <v>780</v>
      </c>
      <c r="AK17" s="6">
        <f t="shared" si="5"/>
        <v>0.30512820512820515</v>
      </c>
      <c r="AL17" s="4">
        <f t="shared" si="6"/>
        <v>238</v>
      </c>
      <c r="AM17" s="28"/>
      <c r="AN17" s="6"/>
      <c r="AO17" s="6"/>
      <c r="AP17" s="6" t="e">
        <f t="shared" si="7"/>
        <v>#DIV/0!</v>
      </c>
      <c r="AQ17" s="6">
        <f t="shared" si="8"/>
        <v>1.2225705329153604</v>
      </c>
      <c r="AR17" s="6">
        <f t="shared" si="9"/>
        <v>1.1808278867102397</v>
      </c>
      <c r="AS17" s="4"/>
      <c r="AT17" s="4"/>
      <c r="AU17" s="4"/>
      <c r="AV17" s="4"/>
      <c r="AW17" s="4"/>
      <c r="AX17" s="4"/>
      <c r="AY17" s="4"/>
      <c r="AZ17" s="4"/>
      <c r="BA17" s="4"/>
      <c r="BB17" s="4">
        <v>0</v>
      </c>
      <c r="BC17" s="4" t="s">
        <v>177</v>
      </c>
      <c r="BD17" s="4">
        <v>1</v>
      </c>
      <c r="BE17" s="4">
        <v>30</v>
      </c>
      <c r="BF17" s="4" t="s">
        <v>174</v>
      </c>
      <c r="BG17" s="4">
        <v>19890</v>
      </c>
      <c r="BH17" s="4">
        <v>19890</v>
      </c>
      <c r="BI17" s="4">
        <f t="shared" si="25"/>
        <v>663</v>
      </c>
      <c r="BJ17" s="19">
        <v>4</v>
      </c>
      <c r="BK17" s="19">
        <v>1</v>
      </c>
      <c r="BL17" s="16">
        <v>18</v>
      </c>
      <c r="BM17" t="s">
        <v>132</v>
      </c>
      <c r="BN17">
        <v>661</v>
      </c>
      <c r="BO17">
        <v>661</v>
      </c>
      <c r="BP17">
        <f t="shared" si="16"/>
        <v>780.52723311546845</v>
      </c>
      <c r="BQ17" t="s">
        <v>146</v>
      </c>
    </row>
    <row r="18" spans="1:69" x14ac:dyDescent="0.4">
      <c r="A18" s="3">
        <v>15</v>
      </c>
      <c r="B18" s="3">
        <v>15</v>
      </c>
      <c r="C18" s="4" t="s">
        <v>79</v>
      </c>
      <c r="D18" s="4" t="str">
        <f t="shared" si="19"/>
        <v>J45404</v>
      </c>
      <c r="E18" s="4" t="s">
        <v>79</v>
      </c>
      <c r="F18" s="4" t="s">
        <v>114</v>
      </c>
      <c r="G18" s="5">
        <v>4547345043362</v>
      </c>
      <c r="H18" s="5"/>
      <c r="I18" s="5"/>
      <c r="J18" s="5">
        <v>1</v>
      </c>
      <c r="K18" s="5">
        <v>1</v>
      </c>
      <c r="L18" s="4">
        <v>0</v>
      </c>
      <c r="M18" s="4">
        <v>316</v>
      </c>
      <c r="N18" s="4">
        <v>226</v>
      </c>
      <c r="O18" s="6">
        <f t="shared" si="20"/>
        <v>0.28481012658227844</v>
      </c>
      <c r="P18" s="4" t="s">
        <v>133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21"/>
        <v>0</v>
      </c>
      <c r="AA18" s="4">
        <v>260</v>
      </c>
      <c r="AB18" s="4">
        <f t="shared" si="22"/>
        <v>260</v>
      </c>
      <c r="AC18" s="4"/>
      <c r="AD18" s="21">
        <f t="shared" si="1"/>
        <v>364</v>
      </c>
      <c r="AE18" s="6">
        <f t="shared" si="23"/>
        <v>0.2857142857142857</v>
      </c>
      <c r="AF18" s="4">
        <v>0.5</v>
      </c>
      <c r="AG18" s="4">
        <f t="shared" si="24"/>
        <v>331</v>
      </c>
      <c r="AH18" s="4">
        <f t="shared" si="3"/>
        <v>380.79646017699116</v>
      </c>
      <c r="AI18" s="6">
        <f t="shared" si="4"/>
        <v>0.31722054380664655</v>
      </c>
      <c r="AJ18" s="7">
        <v>378</v>
      </c>
      <c r="AK18" s="6">
        <f t="shared" si="5"/>
        <v>0.31216931216931221</v>
      </c>
      <c r="AL18" s="4">
        <f t="shared" si="6"/>
        <v>118</v>
      </c>
      <c r="AM18" s="28"/>
      <c r="AN18" s="6"/>
      <c r="AO18" s="6"/>
      <c r="AP18" s="6" t="e">
        <f t="shared" si="7"/>
        <v>#DIV/0!</v>
      </c>
      <c r="AQ18" s="6">
        <f t="shared" si="8"/>
        <v>1.1962025316455696</v>
      </c>
      <c r="AR18" s="6">
        <f t="shared" si="9"/>
        <v>1.1504424778761062</v>
      </c>
      <c r="AS18" s="4"/>
      <c r="AT18" s="4"/>
      <c r="AU18" s="4"/>
      <c r="AV18" s="4"/>
      <c r="AW18" s="4"/>
      <c r="AX18" s="4"/>
      <c r="AY18" s="4"/>
      <c r="AZ18" s="4"/>
      <c r="BA18" s="4"/>
      <c r="BB18" s="4">
        <v>0</v>
      </c>
      <c r="BC18" s="4" t="s">
        <v>178</v>
      </c>
      <c r="BD18" s="4">
        <v>1</v>
      </c>
      <c r="BE18" s="4">
        <v>30</v>
      </c>
      <c r="BF18" s="4" t="s">
        <v>174</v>
      </c>
      <c r="BG18" s="4">
        <v>9930</v>
      </c>
      <c r="BH18" s="4">
        <v>9930</v>
      </c>
      <c r="BI18" s="4">
        <f t="shared" si="25"/>
        <v>331</v>
      </c>
      <c r="BJ18" s="19">
        <v>4</v>
      </c>
      <c r="BK18" s="19">
        <v>1</v>
      </c>
      <c r="BL18" s="16">
        <v>18</v>
      </c>
      <c r="BM18" t="s">
        <v>132</v>
      </c>
      <c r="BN18">
        <v>329</v>
      </c>
      <c r="BO18">
        <v>329</v>
      </c>
      <c r="BP18">
        <f t="shared" si="16"/>
        <v>378.49557522123894</v>
      </c>
      <c r="BQ18" t="s">
        <v>147</v>
      </c>
    </row>
    <row r="19" spans="1:69" x14ac:dyDescent="0.4">
      <c r="A19" s="3">
        <v>16</v>
      </c>
      <c r="B19" s="3">
        <v>16</v>
      </c>
      <c r="C19" s="4" t="s">
        <v>80</v>
      </c>
      <c r="D19" s="4" t="str">
        <f t="shared" si="19"/>
        <v>J45405</v>
      </c>
      <c r="E19" s="4" t="s">
        <v>80</v>
      </c>
      <c r="F19" s="4" t="s">
        <v>115</v>
      </c>
      <c r="G19" s="5">
        <v>4547345043355</v>
      </c>
      <c r="H19" s="5"/>
      <c r="I19" s="5"/>
      <c r="J19" s="5">
        <v>1</v>
      </c>
      <c r="K19" s="5">
        <v>1</v>
      </c>
      <c r="L19" s="4">
        <v>0</v>
      </c>
      <c r="M19" s="4">
        <v>218</v>
      </c>
      <c r="N19" s="4">
        <v>155</v>
      </c>
      <c r="O19" s="6">
        <f t="shared" si="20"/>
        <v>0.28899082568807344</v>
      </c>
      <c r="P19" s="4" t="s">
        <v>133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1"/>
        <v>0</v>
      </c>
      <c r="AA19" s="4">
        <v>194</v>
      </c>
      <c r="AB19" s="4">
        <f t="shared" si="22"/>
        <v>194</v>
      </c>
      <c r="AC19" s="4"/>
      <c r="AD19" s="21">
        <f t="shared" si="1"/>
        <v>273</v>
      </c>
      <c r="AE19" s="6">
        <f t="shared" si="23"/>
        <v>0.28937728937728935</v>
      </c>
      <c r="AF19" s="4">
        <v>1.5</v>
      </c>
      <c r="AG19" s="4">
        <f t="shared" si="24"/>
        <v>268</v>
      </c>
      <c r="AH19" s="4">
        <f t="shared" si="3"/>
        <v>335.43225806451613</v>
      </c>
      <c r="AI19" s="6">
        <f t="shared" si="4"/>
        <v>0.42164179104477617</v>
      </c>
      <c r="AJ19" s="7">
        <v>281</v>
      </c>
      <c r="AK19" s="6">
        <f t="shared" si="5"/>
        <v>0.30960854092526691</v>
      </c>
      <c r="AL19" s="4">
        <f t="shared" si="6"/>
        <v>87</v>
      </c>
      <c r="AM19" s="28"/>
      <c r="AN19" s="6"/>
      <c r="AO19" s="6"/>
      <c r="AP19" s="6" t="e">
        <f t="shared" si="7"/>
        <v>#DIV/0!</v>
      </c>
      <c r="AQ19" s="6">
        <f t="shared" si="8"/>
        <v>1.2889908256880733</v>
      </c>
      <c r="AR19" s="6">
        <f t="shared" si="9"/>
        <v>1.2516129032258065</v>
      </c>
      <c r="AS19" s="4"/>
      <c r="AT19" s="4"/>
      <c r="AU19" s="4"/>
      <c r="AV19" s="4"/>
      <c r="AW19" s="4"/>
      <c r="AX19" s="4"/>
      <c r="AY19" s="4"/>
      <c r="AZ19" s="4"/>
      <c r="BA19" s="4"/>
      <c r="BB19" s="4">
        <v>0</v>
      </c>
      <c r="BC19" s="4" t="s">
        <v>179</v>
      </c>
      <c r="BD19" s="4"/>
      <c r="BE19" s="4"/>
      <c r="BF19" s="4" t="s">
        <v>163</v>
      </c>
      <c r="BG19" s="4">
        <v>268</v>
      </c>
      <c r="BH19" s="4">
        <v>268</v>
      </c>
      <c r="BI19" s="4">
        <f t="shared" si="25"/>
        <v>268</v>
      </c>
      <c r="BJ19" s="19">
        <v>4</v>
      </c>
      <c r="BK19" s="19">
        <v>8</v>
      </c>
      <c r="BL19" s="16">
        <v>18</v>
      </c>
      <c r="BM19" t="s">
        <v>132</v>
      </c>
      <c r="BN19">
        <v>225</v>
      </c>
      <c r="BO19">
        <v>225</v>
      </c>
      <c r="BP19">
        <f t="shared" si="16"/>
        <v>281.61290322580646</v>
      </c>
      <c r="BQ19" t="s">
        <v>148</v>
      </c>
    </row>
    <row r="20" spans="1:69" x14ac:dyDescent="0.4">
      <c r="A20" s="3">
        <v>17</v>
      </c>
      <c r="B20" s="3">
        <v>17</v>
      </c>
      <c r="C20" s="4" t="s">
        <v>81</v>
      </c>
      <c r="D20" s="4" t="str">
        <f t="shared" si="19"/>
        <v>J45406</v>
      </c>
      <c r="E20" s="4" t="s">
        <v>81</v>
      </c>
      <c r="F20" s="4" t="s">
        <v>116</v>
      </c>
      <c r="G20" s="5">
        <v>4547345043386</v>
      </c>
      <c r="H20" s="5"/>
      <c r="I20" s="5"/>
      <c r="J20" s="5">
        <v>1</v>
      </c>
      <c r="K20" s="5">
        <v>1</v>
      </c>
      <c r="L20" s="4">
        <v>0</v>
      </c>
      <c r="M20" s="4">
        <v>381</v>
      </c>
      <c r="N20" s="4">
        <v>270</v>
      </c>
      <c r="O20" s="6">
        <f t="shared" si="20"/>
        <v>0.29133858267716539</v>
      </c>
      <c r="P20" s="4" t="s">
        <v>133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1"/>
        <v>0</v>
      </c>
      <c r="AA20" s="4">
        <v>311</v>
      </c>
      <c r="AB20" s="4">
        <f t="shared" si="22"/>
        <v>311</v>
      </c>
      <c r="AC20" s="4"/>
      <c r="AD20" s="21">
        <f t="shared" si="1"/>
        <v>439</v>
      </c>
      <c r="AE20" s="6">
        <f t="shared" si="23"/>
        <v>0.29157175398633262</v>
      </c>
      <c r="AF20" s="4">
        <v>18.5</v>
      </c>
      <c r="AG20" s="4">
        <f t="shared" si="24"/>
        <v>395</v>
      </c>
      <c r="AH20" s="4">
        <f t="shared" si="3"/>
        <v>454.98148148148152</v>
      </c>
      <c r="AI20" s="6">
        <f t="shared" si="4"/>
        <v>0.31645569620253167</v>
      </c>
      <c r="AJ20" s="7">
        <v>450</v>
      </c>
      <c r="AK20" s="6">
        <f t="shared" si="5"/>
        <v>0.30888888888888888</v>
      </c>
      <c r="AL20" s="4">
        <f t="shared" si="6"/>
        <v>139</v>
      </c>
      <c r="AM20" s="28"/>
      <c r="AN20" s="6"/>
      <c r="AO20" s="6"/>
      <c r="AP20" s="6" t="e">
        <f t="shared" si="7"/>
        <v>#DIV/0!</v>
      </c>
      <c r="AQ20" s="6">
        <f t="shared" si="8"/>
        <v>1.1811023622047243</v>
      </c>
      <c r="AR20" s="6">
        <f t="shared" si="9"/>
        <v>1.1518518518518519</v>
      </c>
      <c r="AS20" s="4"/>
      <c r="AT20" s="4"/>
      <c r="AU20" s="4"/>
      <c r="AV20" s="4"/>
      <c r="AW20" s="4"/>
      <c r="AX20" s="4"/>
      <c r="AY20" s="4"/>
      <c r="AZ20" s="4"/>
      <c r="BA20" s="4"/>
      <c r="BB20" s="4">
        <v>0</v>
      </c>
      <c r="BC20" s="4" t="s">
        <v>180</v>
      </c>
      <c r="BD20" s="4">
        <v>1</v>
      </c>
      <c r="BE20" s="4">
        <v>30</v>
      </c>
      <c r="BF20" s="4" t="s">
        <v>174</v>
      </c>
      <c r="BG20" s="4">
        <v>11850</v>
      </c>
      <c r="BH20" s="4">
        <v>11850</v>
      </c>
      <c r="BI20" s="4">
        <f t="shared" si="25"/>
        <v>395</v>
      </c>
      <c r="BJ20" s="19">
        <v>4</v>
      </c>
      <c r="BK20" s="19">
        <v>1</v>
      </c>
      <c r="BL20" s="16">
        <v>18</v>
      </c>
      <c r="BM20" t="s">
        <v>132</v>
      </c>
      <c r="BN20">
        <v>380</v>
      </c>
      <c r="BO20">
        <v>380</v>
      </c>
      <c r="BP20">
        <f t="shared" si="16"/>
        <v>437.7037037037037</v>
      </c>
      <c r="BQ20" t="s">
        <v>149</v>
      </c>
    </row>
    <row r="21" spans="1:69" x14ac:dyDescent="0.4">
      <c r="A21" s="3">
        <v>18</v>
      </c>
      <c r="B21" s="3">
        <v>18</v>
      </c>
      <c r="C21" s="4" t="s">
        <v>82</v>
      </c>
      <c r="D21" s="4" t="str">
        <f t="shared" si="19"/>
        <v>J45407</v>
      </c>
      <c r="E21" s="4" t="s">
        <v>82</v>
      </c>
      <c r="F21" s="4" t="s">
        <v>117</v>
      </c>
      <c r="G21" s="5">
        <v>4547345043485</v>
      </c>
      <c r="H21" s="5"/>
      <c r="I21" s="5"/>
      <c r="J21" s="5">
        <v>1</v>
      </c>
      <c r="K21" s="5">
        <v>1</v>
      </c>
      <c r="L21" s="4">
        <v>0</v>
      </c>
      <c r="M21" s="4">
        <v>848</v>
      </c>
      <c r="N21" s="4">
        <v>606</v>
      </c>
      <c r="O21" s="6">
        <f t="shared" si="20"/>
        <v>0.285377358490566</v>
      </c>
      <c r="P21" s="4" t="s">
        <v>133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1"/>
        <v>0</v>
      </c>
      <c r="AA21" s="4">
        <v>710</v>
      </c>
      <c r="AB21" s="4">
        <f t="shared" si="22"/>
        <v>710</v>
      </c>
      <c r="AC21" s="4"/>
      <c r="AD21" s="21">
        <f t="shared" si="1"/>
        <v>994</v>
      </c>
      <c r="AE21" s="6">
        <f t="shared" si="23"/>
        <v>0.2857142857142857</v>
      </c>
      <c r="AF21" s="4">
        <v>17.75</v>
      </c>
      <c r="AG21" s="4">
        <f t="shared" si="24"/>
        <v>1029</v>
      </c>
      <c r="AH21" s="4">
        <f t="shared" si="3"/>
        <v>1205.5940594059407</v>
      </c>
      <c r="AI21" s="6">
        <f t="shared" si="4"/>
        <v>0.41107871720116618</v>
      </c>
      <c r="AJ21" s="7">
        <v>1000</v>
      </c>
      <c r="AK21" s="6">
        <f t="shared" si="5"/>
        <v>0.29000000000000004</v>
      </c>
      <c r="AL21" s="4">
        <f t="shared" si="6"/>
        <v>290</v>
      </c>
      <c r="AM21" s="28"/>
      <c r="AN21" s="6"/>
      <c r="AO21" s="6"/>
      <c r="AP21" s="6" t="e">
        <f t="shared" si="7"/>
        <v>#DIV/0!</v>
      </c>
      <c r="AQ21" s="6">
        <f t="shared" si="8"/>
        <v>1.179245283018868</v>
      </c>
      <c r="AR21" s="6">
        <f t="shared" si="9"/>
        <v>1.1716171617161717</v>
      </c>
      <c r="AS21" s="4"/>
      <c r="AT21" s="4"/>
      <c r="AU21" s="4"/>
      <c r="AV21" s="4"/>
      <c r="AW21" s="4"/>
      <c r="AX21" s="4"/>
      <c r="AY21" s="4"/>
      <c r="AZ21" s="4"/>
      <c r="BA21" s="4"/>
      <c r="BB21" s="4">
        <v>0</v>
      </c>
      <c r="BC21" s="4" t="s">
        <v>181</v>
      </c>
      <c r="BD21" s="4"/>
      <c r="BE21" s="4"/>
      <c r="BF21" s="4" t="s">
        <v>163</v>
      </c>
      <c r="BG21" s="4">
        <v>1029</v>
      </c>
      <c r="BH21" s="4">
        <v>1029</v>
      </c>
      <c r="BI21" s="4">
        <f t="shared" si="25"/>
        <v>1029</v>
      </c>
      <c r="BJ21" s="19">
        <v>4</v>
      </c>
      <c r="BK21" s="19">
        <v>1</v>
      </c>
      <c r="BL21" s="16">
        <v>18</v>
      </c>
      <c r="BM21" t="s">
        <v>132</v>
      </c>
      <c r="BN21">
        <v>836</v>
      </c>
      <c r="BO21">
        <v>836</v>
      </c>
      <c r="BP21">
        <f t="shared" si="16"/>
        <v>979.47194719471952</v>
      </c>
      <c r="BQ21" t="s">
        <v>150</v>
      </c>
    </row>
    <row r="22" spans="1:69" x14ac:dyDescent="0.4">
      <c r="A22" s="3">
        <v>19</v>
      </c>
      <c r="B22" s="3">
        <v>19</v>
      </c>
      <c r="C22" s="4" t="s">
        <v>83</v>
      </c>
      <c r="D22" s="4" t="str">
        <f t="shared" si="19"/>
        <v>J45408</v>
      </c>
      <c r="E22" s="4" t="s">
        <v>83</v>
      </c>
      <c r="F22" s="4" t="s">
        <v>118</v>
      </c>
      <c r="G22" s="5">
        <v>4547345043454</v>
      </c>
      <c r="H22" s="5"/>
      <c r="I22" s="5"/>
      <c r="J22" s="5">
        <v>1</v>
      </c>
      <c r="K22" s="5">
        <v>1</v>
      </c>
      <c r="L22" s="4">
        <v>0</v>
      </c>
      <c r="M22" s="4">
        <v>502</v>
      </c>
      <c r="N22" s="4">
        <v>358</v>
      </c>
      <c r="O22" s="6">
        <f t="shared" si="20"/>
        <v>0.28685258964143423</v>
      </c>
      <c r="P22" s="4" t="s">
        <v>133</v>
      </c>
      <c r="Q22" s="4"/>
      <c r="R22" s="4"/>
      <c r="S22" s="4"/>
      <c r="T22" s="4"/>
      <c r="U22" s="4"/>
      <c r="V22" s="4"/>
      <c r="W22" s="4"/>
      <c r="X22" s="4"/>
      <c r="Y22" s="4">
        <v>0</v>
      </c>
      <c r="Z22" s="4">
        <f t="shared" si="21"/>
        <v>0</v>
      </c>
      <c r="AA22" s="4">
        <v>412</v>
      </c>
      <c r="AB22" s="4">
        <f t="shared" si="22"/>
        <v>412</v>
      </c>
      <c r="AC22" s="4"/>
      <c r="AD22" s="21">
        <f t="shared" si="1"/>
        <v>578</v>
      </c>
      <c r="AE22" s="6">
        <f t="shared" si="23"/>
        <v>0.28719723183390999</v>
      </c>
      <c r="AF22" s="4">
        <v>10.25</v>
      </c>
      <c r="AG22" s="4">
        <f t="shared" si="24"/>
        <v>517</v>
      </c>
      <c r="AH22" s="4">
        <f t="shared" si="3"/>
        <v>594.98324022346367</v>
      </c>
      <c r="AI22" s="6">
        <f t="shared" si="4"/>
        <v>0.30754352030947774</v>
      </c>
      <c r="AJ22" s="7">
        <v>580</v>
      </c>
      <c r="AK22" s="6">
        <f t="shared" si="5"/>
        <v>0.28965517241379313</v>
      </c>
      <c r="AL22" s="4">
        <f t="shared" si="6"/>
        <v>168</v>
      </c>
      <c r="AM22" s="28"/>
      <c r="AN22" s="6"/>
      <c r="AO22" s="6"/>
      <c r="AP22" s="6" t="e">
        <f t="shared" si="7"/>
        <v>#DIV/0!</v>
      </c>
      <c r="AQ22" s="6">
        <f t="shared" si="8"/>
        <v>1.155378486055777</v>
      </c>
      <c r="AR22" s="6">
        <f t="shared" si="9"/>
        <v>1.1508379888268156</v>
      </c>
      <c r="AS22" s="4"/>
      <c r="AT22" s="4"/>
      <c r="AU22" s="4"/>
      <c r="AV22" s="4"/>
      <c r="AW22" s="4"/>
      <c r="AX22" s="4"/>
      <c r="AY22" s="4"/>
      <c r="AZ22" s="4"/>
      <c r="BA22" s="4"/>
      <c r="BB22" s="4">
        <v>0</v>
      </c>
      <c r="BC22" s="4" t="s">
        <v>182</v>
      </c>
      <c r="BD22" s="4">
        <v>1</v>
      </c>
      <c r="BE22" s="4">
        <v>30</v>
      </c>
      <c r="BF22" s="4" t="s">
        <v>174</v>
      </c>
      <c r="BG22" s="4">
        <v>15510</v>
      </c>
      <c r="BH22" s="4">
        <v>15510</v>
      </c>
      <c r="BI22" s="4">
        <f t="shared" si="25"/>
        <v>517</v>
      </c>
      <c r="BJ22" s="19">
        <v>4</v>
      </c>
      <c r="BK22" s="19">
        <v>1</v>
      </c>
      <c r="BL22" s="16">
        <v>18</v>
      </c>
      <c r="BM22" t="s">
        <v>132</v>
      </c>
      <c r="BN22">
        <v>494</v>
      </c>
      <c r="BO22">
        <v>494</v>
      </c>
      <c r="BP22">
        <f t="shared" si="16"/>
        <v>568.51396648044692</v>
      </c>
      <c r="BQ22" t="s">
        <v>151</v>
      </c>
    </row>
    <row r="23" spans="1:69" x14ac:dyDescent="0.4">
      <c r="A23" s="3">
        <v>20</v>
      </c>
      <c r="B23" s="3">
        <v>20</v>
      </c>
      <c r="C23" s="4" t="s">
        <v>84</v>
      </c>
      <c r="D23" s="4" t="str">
        <f t="shared" ref="D23:D38" si="26">TEXT(C23,"000000")</f>
        <v>J45409</v>
      </c>
      <c r="E23" s="4" t="s">
        <v>84</v>
      </c>
      <c r="F23" s="4" t="s">
        <v>119</v>
      </c>
      <c r="G23" s="5">
        <v>4547345043508</v>
      </c>
      <c r="H23" s="5"/>
      <c r="I23" s="5"/>
      <c r="J23" s="5">
        <v>1</v>
      </c>
      <c r="K23" s="5">
        <v>1</v>
      </c>
      <c r="L23" s="4">
        <v>0</v>
      </c>
      <c r="M23" s="4">
        <v>1380</v>
      </c>
      <c r="N23" s="4">
        <v>982</v>
      </c>
      <c r="O23" s="6">
        <f t="shared" ref="O23:O38" si="27">1-N23/M23</f>
        <v>0.28840579710144931</v>
      </c>
      <c r="P23" s="4" t="s">
        <v>133</v>
      </c>
      <c r="Q23" s="4"/>
      <c r="R23" s="4"/>
      <c r="S23" s="4"/>
      <c r="T23" s="4"/>
      <c r="U23" s="4"/>
      <c r="V23" s="4"/>
      <c r="W23" s="4"/>
      <c r="X23" s="4"/>
      <c r="Y23" s="4">
        <v>0</v>
      </c>
      <c r="Z23" s="4">
        <f t="shared" ref="Z23:Z38" si="28">IF(AC23="",Y23,Y23*AC23)</f>
        <v>0</v>
      </c>
      <c r="AA23" s="4">
        <v>1132</v>
      </c>
      <c r="AB23" s="4">
        <f t="shared" ref="AB23:AB38" si="29">IF(AC23="",AA23,AA23*AC23)</f>
        <v>1132</v>
      </c>
      <c r="AC23" s="4"/>
      <c r="AD23" s="21">
        <f t="shared" ref="AD23:AD38" si="30">ROUND(M23*AR23,0)</f>
        <v>1591</v>
      </c>
      <c r="AE23" s="6">
        <f t="shared" ref="AE23:AE38" si="31">1-AB23/AD23</f>
        <v>0.28849780012570714</v>
      </c>
      <c r="AF23" s="4">
        <v>2</v>
      </c>
      <c r="AG23" s="4">
        <f t="shared" ref="AG23:AG38" si="32">BI23</f>
        <v>1415</v>
      </c>
      <c r="AH23" s="4">
        <f t="shared" ref="AH23:AH38" si="33">AG23*AR23</f>
        <v>1631.1405295315683</v>
      </c>
      <c r="AI23" s="6">
        <f t="shared" ref="AI23:AI38" si="34">1-AB23/AH23</f>
        <v>0.30600706713780923</v>
      </c>
      <c r="AJ23" s="7">
        <v>1630</v>
      </c>
      <c r="AK23" s="6">
        <f t="shared" ref="AK23:AK38" si="35">1-AB23/AJ23</f>
        <v>0.30552147239263805</v>
      </c>
      <c r="AL23" s="4">
        <f t="shared" ref="AL23:AL38" si="36">AJ23-AB23</f>
        <v>498</v>
      </c>
      <c r="AM23" s="28"/>
      <c r="AN23" s="6"/>
      <c r="AO23" s="6"/>
      <c r="AP23" s="6" t="e">
        <f t="shared" ref="AP23:AP38" si="37">Z23/L23</f>
        <v>#DIV/0!</v>
      </c>
      <c r="AQ23" s="6">
        <f t="shared" ref="AQ23:AQ38" si="38">AJ23/M23</f>
        <v>1.181159420289855</v>
      </c>
      <c r="AR23" s="6">
        <f t="shared" ref="AR23:AR38" si="39">AB23/N23</f>
        <v>1.1527494908350306</v>
      </c>
      <c r="AS23" s="4"/>
      <c r="AT23" s="4"/>
      <c r="AU23" s="4"/>
      <c r="AV23" s="4"/>
      <c r="AW23" s="4"/>
      <c r="AX23" s="4"/>
      <c r="AY23" s="4"/>
      <c r="AZ23" s="4"/>
      <c r="BA23" s="4"/>
      <c r="BB23" s="4">
        <v>0</v>
      </c>
      <c r="BC23" s="4" t="s">
        <v>183</v>
      </c>
      <c r="BD23" s="4">
        <v>1</v>
      </c>
      <c r="BE23" s="4">
        <v>10</v>
      </c>
      <c r="BF23" s="4" t="s">
        <v>172</v>
      </c>
      <c r="BG23" s="4">
        <v>14150</v>
      </c>
      <c r="BH23" s="4">
        <v>14150</v>
      </c>
      <c r="BI23" s="4">
        <f t="shared" ref="BI23:BI38" si="40">IF(BD23="",BH23,BD23/BE23*BH23)</f>
        <v>1415</v>
      </c>
      <c r="BJ23" s="19">
        <v>4</v>
      </c>
      <c r="BK23" s="19">
        <v>8</v>
      </c>
      <c r="BL23" s="16">
        <v>18</v>
      </c>
      <c r="BM23" t="s">
        <v>132</v>
      </c>
      <c r="BN23">
        <v>1415</v>
      </c>
      <c r="BO23">
        <v>1415</v>
      </c>
      <c r="BP23">
        <f t="shared" si="16"/>
        <v>1631.1405295315683</v>
      </c>
      <c r="BQ23" t="s">
        <v>152</v>
      </c>
    </row>
    <row r="24" spans="1:69" x14ac:dyDescent="0.4">
      <c r="A24" s="3">
        <v>21</v>
      </c>
      <c r="B24" s="3">
        <v>21</v>
      </c>
      <c r="C24" s="4" t="s">
        <v>85</v>
      </c>
      <c r="D24" s="4" t="str">
        <f t="shared" si="26"/>
        <v>J45410</v>
      </c>
      <c r="E24" s="4" t="s">
        <v>85</v>
      </c>
      <c r="F24" s="4" t="s">
        <v>120</v>
      </c>
      <c r="G24" s="5">
        <v>4547345043478</v>
      </c>
      <c r="H24" s="5"/>
      <c r="I24" s="5"/>
      <c r="J24" s="5">
        <v>1</v>
      </c>
      <c r="K24" s="5">
        <v>1</v>
      </c>
      <c r="L24" s="4">
        <v>0</v>
      </c>
      <c r="M24" s="4">
        <v>663</v>
      </c>
      <c r="N24" s="4">
        <v>476</v>
      </c>
      <c r="O24" s="6">
        <f t="shared" si="27"/>
        <v>0.28205128205128205</v>
      </c>
      <c r="P24" s="4" t="s">
        <v>133</v>
      </c>
      <c r="Q24" s="4"/>
      <c r="R24" s="4"/>
      <c r="S24" s="4"/>
      <c r="T24" s="4"/>
      <c r="U24" s="4"/>
      <c r="V24" s="4"/>
      <c r="W24" s="4"/>
      <c r="X24" s="4"/>
      <c r="Y24" s="4">
        <v>0</v>
      </c>
      <c r="Z24" s="4">
        <f t="shared" si="28"/>
        <v>0</v>
      </c>
      <c r="AA24" s="4">
        <v>553</v>
      </c>
      <c r="AB24" s="4">
        <f t="shared" si="29"/>
        <v>553</v>
      </c>
      <c r="AC24" s="4"/>
      <c r="AD24" s="21">
        <f t="shared" si="30"/>
        <v>770</v>
      </c>
      <c r="AE24" s="6">
        <f t="shared" si="31"/>
        <v>0.28181818181818186</v>
      </c>
      <c r="AF24" s="4">
        <v>11.25</v>
      </c>
      <c r="AG24" s="4">
        <f t="shared" si="32"/>
        <v>686</v>
      </c>
      <c r="AH24" s="4">
        <f t="shared" si="33"/>
        <v>796.97058823529414</v>
      </c>
      <c r="AI24" s="6">
        <f t="shared" si="34"/>
        <v>0.30612244897959184</v>
      </c>
      <c r="AJ24" s="7">
        <v>795</v>
      </c>
      <c r="AK24" s="6">
        <f t="shared" si="35"/>
        <v>0.30440251572327048</v>
      </c>
      <c r="AL24" s="4">
        <f t="shared" si="36"/>
        <v>242</v>
      </c>
      <c r="AM24" s="28"/>
      <c r="AN24" s="6"/>
      <c r="AO24" s="6"/>
      <c r="AP24" s="6" t="e">
        <f t="shared" si="37"/>
        <v>#DIV/0!</v>
      </c>
      <c r="AQ24" s="6">
        <f t="shared" si="38"/>
        <v>1.1990950226244343</v>
      </c>
      <c r="AR24" s="6">
        <f t="shared" si="39"/>
        <v>1.161764705882353</v>
      </c>
      <c r="AS24" s="4"/>
      <c r="AT24" s="4"/>
      <c r="AU24" s="4"/>
      <c r="AV24" s="4"/>
      <c r="AW24" s="4"/>
      <c r="AX24" s="4"/>
      <c r="AY24" s="4"/>
      <c r="AZ24" s="4"/>
      <c r="BA24" s="4"/>
      <c r="BB24" s="4">
        <v>0</v>
      </c>
      <c r="BC24" s="4" t="s">
        <v>184</v>
      </c>
      <c r="BD24" s="4">
        <v>1</v>
      </c>
      <c r="BE24" s="4">
        <v>30</v>
      </c>
      <c r="BF24" s="4" t="s">
        <v>174</v>
      </c>
      <c r="BG24" s="4">
        <v>20580</v>
      </c>
      <c r="BH24" s="4">
        <v>20580</v>
      </c>
      <c r="BI24" s="4">
        <f t="shared" si="40"/>
        <v>686</v>
      </c>
      <c r="BJ24" s="19">
        <v>4</v>
      </c>
      <c r="BK24" s="19">
        <v>1</v>
      </c>
      <c r="BL24" s="16">
        <v>18</v>
      </c>
      <c r="BM24" t="s">
        <v>132</v>
      </c>
      <c r="BN24">
        <v>685</v>
      </c>
      <c r="BO24">
        <v>685</v>
      </c>
      <c r="BP24">
        <f t="shared" si="16"/>
        <v>795.80882352941182</v>
      </c>
      <c r="BQ24" t="s">
        <v>153</v>
      </c>
    </row>
    <row r="25" spans="1:69" x14ac:dyDescent="0.4">
      <c r="A25" s="3">
        <v>22</v>
      </c>
      <c r="B25" s="3">
        <v>22</v>
      </c>
      <c r="C25" s="4" t="s">
        <v>86</v>
      </c>
      <c r="D25" s="4" t="str">
        <f t="shared" si="26"/>
        <v>J45411</v>
      </c>
      <c r="E25" s="4" t="s">
        <v>86</v>
      </c>
      <c r="F25" s="4" t="s">
        <v>121</v>
      </c>
      <c r="G25" s="5">
        <v>4547345043447</v>
      </c>
      <c r="H25" s="5"/>
      <c r="I25" s="5"/>
      <c r="J25" s="5">
        <v>1</v>
      </c>
      <c r="K25" s="5">
        <v>1</v>
      </c>
      <c r="L25" s="4">
        <v>0</v>
      </c>
      <c r="M25" s="4">
        <v>327</v>
      </c>
      <c r="N25" s="4">
        <v>231</v>
      </c>
      <c r="O25" s="6">
        <f t="shared" si="27"/>
        <v>0.29357798165137616</v>
      </c>
      <c r="P25" s="4" t="s">
        <v>133</v>
      </c>
      <c r="Q25" s="4"/>
      <c r="R25" s="4"/>
      <c r="S25" s="4"/>
      <c r="T25" s="4"/>
      <c r="U25" s="4"/>
      <c r="V25" s="4"/>
      <c r="W25" s="4"/>
      <c r="X25" s="4"/>
      <c r="Y25" s="4">
        <v>0</v>
      </c>
      <c r="Z25" s="4">
        <f t="shared" si="28"/>
        <v>0</v>
      </c>
      <c r="AA25" s="4">
        <v>259</v>
      </c>
      <c r="AB25" s="4">
        <f t="shared" si="29"/>
        <v>259</v>
      </c>
      <c r="AC25" s="4"/>
      <c r="AD25" s="21">
        <f t="shared" si="30"/>
        <v>367</v>
      </c>
      <c r="AE25" s="6">
        <f t="shared" si="31"/>
        <v>0.29427792915531337</v>
      </c>
      <c r="AF25" s="4">
        <v>5</v>
      </c>
      <c r="AG25" s="4">
        <f t="shared" si="32"/>
        <v>338</v>
      </c>
      <c r="AH25" s="4">
        <f t="shared" si="33"/>
        <v>378.96969696969694</v>
      </c>
      <c r="AI25" s="6">
        <f t="shared" si="34"/>
        <v>0.31656804733727806</v>
      </c>
      <c r="AJ25" s="7">
        <v>367</v>
      </c>
      <c r="AK25" s="6">
        <f t="shared" si="35"/>
        <v>0.29427792915531337</v>
      </c>
      <c r="AL25" s="4">
        <f t="shared" si="36"/>
        <v>108</v>
      </c>
      <c r="AM25" s="28"/>
      <c r="AN25" s="6"/>
      <c r="AO25" s="6"/>
      <c r="AP25" s="6" t="e">
        <f t="shared" si="37"/>
        <v>#DIV/0!</v>
      </c>
      <c r="AQ25" s="6">
        <f t="shared" si="38"/>
        <v>1.1223241590214068</v>
      </c>
      <c r="AR25" s="6">
        <f t="shared" si="39"/>
        <v>1.1212121212121211</v>
      </c>
      <c r="AS25" s="4"/>
      <c r="AT25" s="4"/>
      <c r="AU25" s="4"/>
      <c r="AV25" s="4"/>
      <c r="AW25" s="4"/>
      <c r="AX25" s="4"/>
      <c r="AY25" s="4"/>
      <c r="AZ25" s="4"/>
      <c r="BA25" s="4"/>
      <c r="BB25" s="4">
        <v>0</v>
      </c>
      <c r="BC25" s="4" t="s">
        <v>185</v>
      </c>
      <c r="BD25" s="4">
        <v>1</v>
      </c>
      <c r="BE25" s="4">
        <v>30</v>
      </c>
      <c r="BF25" s="4" t="s">
        <v>174</v>
      </c>
      <c r="BG25" s="4">
        <v>10140</v>
      </c>
      <c r="BH25" s="4">
        <v>10140</v>
      </c>
      <c r="BI25" s="4">
        <f t="shared" si="40"/>
        <v>338</v>
      </c>
      <c r="BJ25" s="19">
        <v>4</v>
      </c>
      <c r="BK25" s="19">
        <v>1</v>
      </c>
      <c r="BL25" s="16">
        <v>18</v>
      </c>
      <c r="BM25" t="s">
        <v>132</v>
      </c>
      <c r="BN25">
        <v>293</v>
      </c>
      <c r="BO25">
        <v>293</v>
      </c>
      <c r="BP25">
        <f t="shared" si="16"/>
        <v>328.5151515151515</v>
      </c>
      <c r="BQ25" t="s">
        <v>154</v>
      </c>
    </row>
    <row r="26" spans="1:69" x14ac:dyDescent="0.4">
      <c r="A26" s="3">
        <v>23</v>
      </c>
      <c r="B26" s="3">
        <v>23</v>
      </c>
      <c r="C26" s="4" t="s">
        <v>87</v>
      </c>
      <c r="D26" s="4" t="str">
        <f t="shared" si="26"/>
        <v>J45412</v>
      </c>
      <c r="E26" s="4" t="s">
        <v>87</v>
      </c>
      <c r="F26" s="4" t="s">
        <v>122</v>
      </c>
      <c r="G26" s="5">
        <v>4547345043492</v>
      </c>
      <c r="H26" s="5"/>
      <c r="I26" s="5"/>
      <c r="J26" s="5">
        <v>1</v>
      </c>
      <c r="K26" s="5">
        <v>1</v>
      </c>
      <c r="L26" s="4">
        <v>0</v>
      </c>
      <c r="M26" s="4">
        <v>964</v>
      </c>
      <c r="N26" s="4">
        <v>695</v>
      </c>
      <c r="O26" s="6">
        <f t="shared" si="27"/>
        <v>0.27904564315352698</v>
      </c>
      <c r="P26" s="4" t="s">
        <v>133</v>
      </c>
      <c r="Q26" s="4"/>
      <c r="R26" s="4"/>
      <c r="S26" s="4"/>
      <c r="T26" s="4"/>
      <c r="U26" s="4"/>
      <c r="V26" s="4"/>
      <c r="W26" s="4"/>
      <c r="X26" s="4"/>
      <c r="Y26" s="4">
        <v>0</v>
      </c>
      <c r="Z26" s="4">
        <f t="shared" si="28"/>
        <v>0</v>
      </c>
      <c r="AA26" s="4">
        <v>853</v>
      </c>
      <c r="AB26" s="4">
        <f t="shared" si="29"/>
        <v>853</v>
      </c>
      <c r="AC26" s="4"/>
      <c r="AD26" s="21">
        <f t="shared" si="30"/>
        <v>1183</v>
      </c>
      <c r="AE26" s="6">
        <f t="shared" si="31"/>
        <v>0.27895181741335584</v>
      </c>
      <c r="AF26" s="4">
        <v>0.5</v>
      </c>
      <c r="AG26" s="4">
        <f t="shared" si="32"/>
        <v>1180</v>
      </c>
      <c r="AH26" s="4">
        <f t="shared" si="33"/>
        <v>1448.2589928057555</v>
      </c>
      <c r="AI26" s="6">
        <f t="shared" si="34"/>
        <v>0.41101694915254239</v>
      </c>
      <c r="AJ26" s="7">
        <v>1227</v>
      </c>
      <c r="AK26" s="6">
        <f t="shared" si="35"/>
        <v>0.30480847595762017</v>
      </c>
      <c r="AL26" s="4">
        <f t="shared" si="36"/>
        <v>374</v>
      </c>
      <c r="AM26" s="28"/>
      <c r="AN26" s="6"/>
      <c r="AO26" s="6"/>
      <c r="AP26" s="6" t="e">
        <f t="shared" si="37"/>
        <v>#DIV/0!</v>
      </c>
      <c r="AQ26" s="6">
        <f t="shared" si="38"/>
        <v>1.2728215767634854</v>
      </c>
      <c r="AR26" s="6">
        <f t="shared" si="39"/>
        <v>1.227338129496403</v>
      </c>
      <c r="AS26" s="4"/>
      <c r="AT26" s="4"/>
      <c r="AU26" s="4"/>
      <c r="AV26" s="4"/>
      <c r="AW26" s="4"/>
      <c r="AX26" s="4"/>
      <c r="AY26" s="4"/>
      <c r="AZ26" s="4"/>
      <c r="BA26" s="4"/>
      <c r="BB26" s="4">
        <v>0</v>
      </c>
      <c r="BC26" s="4" t="s">
        <v>186</v>
      </c>
      <c r="BD26" s="4"/>
      <c r="BE26" s="4"/>
      <c r="BF26" s="4" t="s">
        <v>163</v>
      </c>
      <c r="BG26" s="4">
        <v>1180</v>
      </c>
      <c r="BH26" s="4">
        <v>1180</v>
      </c>
      <c r="BI26" s="4">
        <f t="shared" si="40"/>
        <v>1180</v>
      </c>
      <c r="BJ26" s="19">
        <v>4</v>
      </c>
      <c r="BK26" s="19">
        <v>8</v>
      </c>
      <c r="BL26" s="16">
        <v>18</v>
      </c>
      <c r="BM26" t="s">
        <v>132</v>
      </c>
      <c r="BN26">
        <v>1000</v>
      </c>
      <c r="BO26">
        <v>1000</v>
      </c>
      <c r="BP26">
        <f t="shared" si="16"/>
        <v>1227.3381294964029</v>
      </c>
      <c r="BQ26" t="s">
        <v>155</v>
      </c>
    </row>
    <row r="27" spans="1:69" x14ac:dyDescent="0.4">
      <c r="A27" s="3">
        <v>24</v>
      </c>
      <c r="B27" s="3">
        <v>24</v>
      </c>
      <c r="C27" s="4" t="s">
        <v>88</v>
      </c>
      <c r="D27" s="4" t="str">
        <f t="shared" si="26"/>
        <v>J45413</v>
      </c>
      <c r="E27" s="4" t="s">
        <v>88</v>
      </c>
      <c r="F27" s="4" t="s">
        <v>123</v>
      </c>
      <c r="G27" s="5">
        <v>4547345043430</v>
      </c>
      <c r="H27" s="5"/>
      <c r="I27" s="5"/>
      <c r="J27" s="5">
        <v>1</v>
      </c>
      <c r="K27" s="5">
        <v>1</v>
      </c>
      <c r="L27" s="4">
        <v>0</v>
      </c>
      <c r="M27" s="4">
        <v>231</v>
      </c>
      <c r="N27" s="4">
        <v>166</v>
      </c>
      <c r="O27" s="6">
        <f t="shared" si="27"/>
        <v>0.2813852813852814</v>
      </c>
      <c r="P27" s="4" t="s">
        <v>133</v>
      </c>
      <c r="Q27" s="4"/>
      <c r="R27" s="4"/>
      <c r="S27" s="4"/>
      <c r="T27" s="4"/>
      <c r="U27" s="4"/>
      <c r="V27" s="4"/>
      <c r="W27" s="4"/>
      <c r="X27" s="4"/>
      <c r="Y27" s="4">
        <v>0</v>
      </c>
      <c r="Z27" s="4">
        <f t="shared" si="28"/>
        <v>0</v>
      </c>
      <c r="AA27" s="4">
        <v>191</v>
      </c>
      <c r="AB27" s="4">
        <f t="shared" si="29"/>
        <v>191</v>
      </c>
      <c r="AC27" s="4"/>
      <c r="AD27" s="21">
        <f t="shared" si="30"/>
        <v>266</v>
      </c>
      <c r="AE27" s="6">
        <f t="shared" si="31"/>
        <v>0.28195488721804507</v>
      </c>
      <c r="AF27" s="4">
        <v>12.5</v>
      </c>
      <c r="AG27" s="4">
        <f t="shared" si="32"/>
        <v>243</v>
      </c>
      <c r="AH27" s="4">
        <f t="shared" si="33"/>
        <v>279.59638554216872</v>
      </c>
      <c r="AI27" s="6">
        <f t="shared" si="34"/>
        <v>0.31687242798353921</v>
      </c>
      <c r="AJ27" s="7">
        <v>277</v>
      </c>
      <c r="AK27" s="6">
        <f t="shared" si="35"/>
        <v>0.31046931407942235</v>
      </c>
      <c r="AL27" s="4">
        <f t="shared" si="36"/>
        <v>86</v>
      </c>
      <c r="AM27" s="28"/>
      <c r="AN27" s="6"/>
      <c r="AO27" s="6"/>
      <c r="AP27" s="6" t="e">
        <f t="shared" si="37"/>
        <v>#DIV/0!</v>
      </c>
      <c r="AQ27" s="6">
        <f t="shared" si="38"/>
        <v>1.1991341991341991</v>
      </c>
      <c r="AR27" s="6">
        <f t="shared" si="39"/>
        <v>1.1506024096385543</v>
      </c>
      <c r="AS27" s="4"/>
      <c r="AT27" s="4"/>
      <c r="AU27" s="4"/>
      <c r="AV27" s="4"/>
      <c r="AW27" s="4"/>
      <c r="AX27" s="4"/>
      <c r="AY27" s="4"/>
      <c r="AZ27" s="4"/>
      <c r="BA27" s="4"/>
      <c r="BB27" s="4">
        <v>0</v>
      </c>
      <c r="BC27" s="4" t="s">
        <v>187</v>
      </c>
      <c r="BD27" s="4">
        <v>1</v>
      </c>
      <c r="BE27" s="4">
        <v>30</v>
      </c>
      <c r="BF27" s="4" t="s">
        <v>174</v>
      </c>
      <c r="BG27" s="4">
        <v>7290</v>
      </c>
      <c r="BH27" s="4">
        <v>7290</v>
      </c>
      <c r="BI27" s="4">
        <f t="shared" si="40"/>
        <v>243</v>
      </c>
      <c r="BJ27" s="19">
        <v>4</v>
      </c>
      <c r="BK27" s="19">
        <v>1</v>
      </c>
      <c r="BL27" s="16">
        <v>18</v>
      </c>
      <c r="BM27" t="s">
        <v>132</v>
      </c>
      <c r="BN27">
        <v>241</v>
      </c>
      <c r="BO27">
        <v>241</v>
      </c>
      <c r="BP27">
        <f t="shared" si="16"/>
        <v>277.29518072289159</v>
      </c>
      <c r="BQ27" t="s">
        <v>156</v>
      </c>
    </row>
    <row r="28" spans="1:69" x14ac:dyDescent="0.4">
      <c r="A28" s="3">
        <v>25</v>
      </c>
      <c r="B28" s="3">
        <v>25</v>
      </c>
      <c r="C28" s="4" t="s">
        <v>89</v>
      </c>
      <c r="D28" s="4" t="str">
        <f t="shared" si="26"/>
        <v>J45414</v>
      </c>
      <c r="E28" s="4" t="s">
        <v>89</v>
      </c>
      <c r="F28" s="4" t="s">
        <v>124</v>
      </c>
      <c r="G28" s="5">
        <v>4547345043461</v>
      </c>
      <c r="H28" s="5"/>
      <c r="I28" s="5"/>
      <c r="J28" s="5">
        <v>1</v>
      </c>
      <c r="K28" s="5">
        <v>1</v>
      </c>
      <c r="L28" s="4">
        <v>0</v>
      </c>
      <c r="M28" s="4">
        <v>434</v>
      </c>
      <c r="N28" s="4">
        <v>309</v>
      </c>
      <c r="O28" s="6">
        <f t="shared" si="27"/>
        <v>0.28801843317972353</v>
      </c>
      <c r="P28" s="4" t="s">
        <v>133</v>
      </c>
      <c r="Q28" s="4"/>
      <c r="R28" s="4"/>
      <c r="S28" s="4"/>
      <c r="T28" s="4"/>
      <c r="U28" s="4"/>
      <c r="V28" s="4"/>
      <c r="W28" s="4"/>
      <c r="X28" s="4"/>
      <c r="Y28" s="4">
        <v>0</v>
      </c>
      <c r="Z28" s="4">
        <f t="shared" si="28"/>
        <v>0</v>
      </c>
      <c r="AA28" s="4">
        <v>352</v>
      </c>
      <c r="AB28" s="4">
        <f t="shared" si="29"/>
        <v>352</v>
      </c>
      <c r="AC28" s="4"/>
      <c r="AD28" s="21">
        <f t="shared" si="30"/>
        <v>494</v>
      </c>
      <c r="AE28" s="6">
        <f t="shared" si="31"/>
        <v>0.28744939271255066</v>
      </c>
      <c r="AF28" s="4">
        <v>27.250000000000004</v>
      </c>
      <c r="AG28" s="4">
        <f t="shared" si="32"/>
        <v>449</v>
      </c>
      <c r="AH28" s="4">
        <f t="shared" si="33"/>
        <v>511.48220064724921</v>
      </c>
      <c r="AI28" s="6">
        <f t="shared" si="34"/>
        <v>0.31180400890868598</v>
      </c>
      <c r="AJ28" s="7">
        <v>498</v>
      </c>
      <c r="AK28" s="6">
        <f t="shared" si="35"/>
        <v>0.29317269076305219</v>
      </c>
      <c r="AL28" s="4">
        <f t="shared" si="36"/>
        <v>146</v>
      </c>
      <c r="AM28" s="28"/>
      <c r="AN28" s="6"/>
      <c r="AO28" s="6"/>
      <c r="AP28" s="6" t="e">
        <f t="shared" si="37"/>
        <v>#DIV/0!</v>
      </c>
      <c r="AQ28" s="6">
        <f t="shared" si="38"/>
        <v>1.1474654377880185</v>
      </c>
      <c r="AR28" s="6">
        <f t="shared" si="39"/>
        <v>1.1391585760517799</v>
      </c>
      <c r="AS28" s="4"/>
      <c r="AT28" s="4"/>
      <c r="AU28" s="4"/>
      <c r="AV28" s="4"/>
      <c r="AW28" s="4"/>
      <c r="AX28" s="4"/>
      <c r="AY28" s="4"/>
      <c r="AZ28" s="4"/>
      <c r="BA28" s="4"/>
      <c r="BB28" s="4">
        <v>0</v>
      </c>
      <c r="BC28" s="4" t="s">
        <v>188</v>
      </c>
      <c r="BD28" s="4">
        <v>1</v>
      </c>
      <c r="BE28" s="4">
        <v>30</v>
      </c>
      <c r="BF28" s="4" t="s">
        <v>174</v>
      </c>
      <c r="BG28" s="4">
        <v>13470</v>
      </c>
      <c r="BH28" s="4">
        <v>13470</v>
      </c>
      <c r="BI28" s="4">
        <f t="shared" si="40"/>
        <v>449</v>
      </c>
      <c r="BJ28" s="19">
        <v>4</v>
      </c>
      <c r="BK28" s="19">
        <v>1</v>
      </c>
      <c r="BL28" s="16">
        <v>18</v>
      </c>
      <c r="BM28" t="s">
        <v>132</v>
      </c>
      <c r="BN28">
        <v>428</v>
      </c>
      <c r="BO28">
        <v>428</v>
      </c>
      <c r="BP28">
        <f t="shared" si="16"/>
        <v>487.5598705501618</v>
      </c>
      <c r="BQ28" t="s">
        <v>157</v>
      </c>
    </row>
    <row r="29" spans="1:69" x14ac:dyDescent="0.4">
      <c r="A29" s="3">
        <v>26</v>
      </c>
      <c r="B29" s="3">
        <v>26</v>
      </c>
      <c r="C29" s="4" t="s">
        <v>90</v>
      </c>
      <c r="D29" s="4" t="str">
        <f t="shared" si="26"/>
        <v>J7576P</v>
      </c>
      <c r="E29" s="4" t="s">
        <v>90</v>
      </c>
      <c r="F29" s="4" t="s">
        <v>125</v>
      </c>
      <c r="G29" s="5">
        <v>4547345021957</v>
      </c>
      <c r="H29" s="5"/>
      <c r="I29" s="5"/>
      <c r="J29" s="5">
        <v>1</v>
      </c>
      <c r="K29" s="5">
        <v>1</v>
      </c>
      <c r="L29" s="4">
        <v>0</v>
      </c>
      <c r="M29" s="4">
        <v>213</v>
      </c>
      <c r="N29" s="4">
        <v>147</v>
      </c>
      <c r="O29" s="6">
        <f t="shared" si="27"/>
        <v>0.3098591549295775</v>
      </c>
      <c r="P29" s="4" t="s">
        <v>133</v>
      </c>
      <c r="Q29" s="4"/>
      <c r="R29" s="4"/>
      <c r="S29" s="4"/>
      <c r="T29" s="4"/>
      <c r="U29" s="4"/>
      <c r="V29" s="4"/>
      <c r="W29" s="4"/>
      <c r="X29" s="4"/>
      <c r="Y29" s="4">
        <v>0</v>
      </c>
      <c r="Z29" s="4">
        <f t="shared" si="28"/>
        <v>0</v>
      </c>
      <c r="AA29" s="4">
        <v>206</v>
      </c>
      <c r="AB29" s="4">
        <f t="shared" si="29"/>
        <v>206</v>
      </c>
      <c r="AC29" s="4"/>
      <c r="AD29" s="21">
        <f t="shared" si="30"/>
        <v>298</v>
      </c>
      <c r="AE29" s="6">
        <f t="shared" si="31"/>
        <v>0.3087248322147651</v>
      </c>
      <c r="AF29" s="4">
        <v>0.25</v>
      </c>
      <c r="AG29" s="4">
        <f t="shared" si="32"/>
        <v>215</v>
      </c>
      <c r="AH29" s="4">
        <f t="shared" si="33"/>
        <v>301.29251700680271</v>
      </c>
      <c r="AI29" s="6">
        <f t="shared" si="34"/>
        <v>0.3162790697674418</v>
      </c>
      <c r="AJ29" s="7">
        <v>298</v>
      </c>
      <c r="AK29" s="6">
        <f t="shared" si="35"/>
        <v>0.3087248322147651</v>
      </c>
      <c r="AL29" s="4">
        <f t="shared" si="36"/>
        <v>92</v>
      </c>
      <c r="AM29" s="28"/>
      <c r="AN29" s="6"/>
      <c r="AO29" s="6"/>
      <c r="AP29" s="6" t="e">
        <f t="shared" si="37"/>
        <v>#DIV/0!</v>
      </c>
      <c r="AQ29" s="6">
        <f t="shared" si="38"/>
        <v>1.3990610328638498</v>
      </c>
      <c r="AR29" s="6">
        <f t="shared" si="39"/>
        <v>1.4013605442176871</v>
      </c>
      <c r="AS29" s="4"/>
      <c r="AT29" s="4"/>
      <c r="AU29" s="4"/>
      <c r="AV29" s="4"/>
      <c r="AW29" s="4"/>
      <c r="AX29" s="4"/>
      <c r="AY29" s="4"/>
      <c r="AZ29" s="4"/>
      <c r="BA29" s="4"/>
      <c r="BB29" s="4">
        <v>0</v>
      </c>
      <c r="BC29" s="4" t="s">
        <v>189</v>
      </c>
      <c r="BD29" s="4"/>
      <c r="BE29" s="4"/>
      <c r="BF29" s="4" t="s">
        <v>163</v>
      </c>
      <c r="BG29" s="4">
        <v>215</v>
      </c>
      <c r="BH29" s="4">
        <v>215</v>
      </c>
      <c r="BI29" s="4">
        <f t="shared" si="40"/>
        <v>215</v>
      </c>
      <c r="BJ29" s="19">
        <v>4</v>
      </c>
      <c r="BK29" s="19">
        <v>8</v>
      </c>
      <c r="BL29" s="16">
        <v>18</v>
      </c>
      <c r="BM29" t="s">
        <v>132</v>
      </c>
      <c r="BN29">
        <v>209</v>
      </c>
      <c r="BO29">
        <v>209</v>
      </c>
      <c r="BP29">
        <f t="shared" si="16"/>
        <v>292.88435374149662</v>
      </c>
      <c r="BQ29" t="s">
        <v>158</v>
      </c>
    </row>
    <row r="30" spans="1:69" x14ac:dyDescent="0.4">
      <c r="A30" s="3">
        <v>27</v>
      </c>
      <c r="B30" s="3">
        <v>27</v>
      </c>
      <c r="C30" s="4" t="s">
        <v>91</v>
      </c>
      <c r="D30" s="4" t="str">
        <f t="shared" si="26"/>
        <v>J7577P</v>
      </c>
      <c r="E30" s="4" t="s">
        <v>91</v>
      </c>
      <c r="F30" s="4" t="s">
        <v>126</v>
      </c>
      <c r="G30" s="5">
        <v>4547345021988</v>
      </c>
      <c r="H30" s="5"/>
      <c r="I30" s="5"/>
      <c r="J30" s="5">
        <v>1</v>
      </c>
      <c r="K30" s="5">
        <v>1</v>
      </c>
      <c r="L30" s="4">
        <v>0</v>
      </c>
      <c r="M30" s="4">
        <v>471</v>
      </c>
      <c r="N30" s="4">
        <v>364</v>
      </c>
      <c r="O30" s="6">
        <f t="shared" si="27"/>
        <v>0.227176220806794</v>
      </c>
      <c r="P30" s="4" t="s">
        <v>133</v>
      </c>
      <c r="Q30" s="4"/>
      <c r="R30" s="4"/>
      <c r="S30" s="4"/>
      <c r="T30" s="4"/>
      <c r="U30" s="4"/>
      <c r="V30" s="4"/>
      <c r="W30" s="4"/>
      <c r="X30" s="4"/>
      <c r="Y30" s="4">
        <v>0</v>
      </c>
      <c r="Z30" s="4">
        <f t="shared" si="28"/>
        <v>0</v>
      </c>
      <c r="AA30" s="4">
        <v>522</v>
      </c>
      <c r="AB30" s="4">
        <f t="shared" si="29"/>
        <v>522</v>
      </c>
      <c r="AC30" s="4"/>
      <c r="AD30" s="21">
        <f t="shared" si="30"/>
        <v>675</v>
      </c>
      <c r="AE30" s="6">
        <f t="shared" si="31"/>
        <v>0.22666666666666668</v>
      </c>
      <c r="AF30" s="4">
        <v>4.5</v>
      </c>
      <c r="AG30" s="4">
        <f t="shared" si="32"/>
        <v>526</v>
      </c>
      <c r="AH30" s="4">
        <f t="shared" si="33"/>
        <v>754.31868131868134</v>
      </c>
      <c r="AI30" s="6">
        <f t="shared" si="34"/>
        <v>0.30798479087452468</v>
      </c>
      <c r="AJ30" s="7">
        <v>722</v>
      </c>
      <c r="AK30" s="6">
        <f t="shared" si="35"/>
        <v>0.2770083102493075</v>
      </c>
      <c r="AL30" s="4">
        <f t="shared" si="36"/>
        <v>200</v>
      </c>
      <c r="AM30" s="28"/>
      <c r="AN30" s="6"/>
      <c r="AO30" s="6"/>
      <c r="AP30" s="6" t="e">
        <f t="shared" si="37"/>
        <v>#DIV/0!</v>
      </c>
      <c r="AQ30" s="6">
        <f t="shared" si="38"/>
        <v>1.5329087048832273</v>
      </c>
      <c r="AR30" s="6">
        <f t="shared" si="39"/>
        <v>1.4340659340659341</v>
      </c>
      <c r="AS30" s="4"/>
      <c r="AT30" s="4"/>
      <c r="AU30" s="4"/>
      <c r="AV30" s="4"/>
      <c r="AW30" s="4"/>
      <c r="AX30" s="4"/>
      <c r="AY30" s="4"/>
      <c r="AZ30" s="4"/>
      <c r="BA30" s="4"/>
      <c r="BB30" s="4">
        <v>0</v>
      </c>
      <c r="BC30" s="4" t="s">
        <v>190</v>
      </c>
      <c r="BD30" s="4"/>
      <c r="BE30" s="4"/>
      <c r="BF30" s="4" t="s">
        <v>163</v>
      </c>
      <c r="BG30" s="4">
        <v>526</v>
      </c>
      <c r="BH30" s="4">
        <v>526</v>
      </c>
      <c r="BI30" s="4">
        <f t="shared" si="40"/>
        <v>526</v>
      </c>
      <c r="BJ30" s="19">
        <v>4</v>
      </c>
      <c r="BK30" s="19">
        <v>1</v>
      </c>
      <c r="BL30" s="16">
        <v>18</v>
      </c>
      <c r="BM30" t="s">
        <v>132</v>
      </c>
      <c r="BN30">
        <v>504</v>
      </c>
      <c r="BO30">
        <v>504</v>
      </c>
      <c r="BP30">
        <f t="shared" si="16"/>
        <v>722.76923076923083</v>
      </c>
      <c r="BQ30" t="s">
        <v>159</v>
      </c>
    </row>
    <row r="31" spans="1:69" x14ac:dyDescent="0.4">
      <c r="A31" s="3">
        <v>28</v>
      </c>
      <c r="B31" s="3">
        <v>28</v>
      </c>
      <c r="C31" s="4" t="s">
        <v>92</v>
      </c>
      <c r="D31" s="4" t="str">
        <f t="shared" si="26"/>
        <v>J7578P</v>
      </c>
      <c r="E31" s="4" t="s">
        <v>92</v>
      </c>
      <c r="F31" s="4" t="s">
        <v>127</v>
      </c>
      <c r="G31" s="5">
        <v>4547345022008</v>
      </c>
      <c r="H31" s="5"/>
      <c r="I31" s="5"/>
      <c r="J31" s="5">
        <v>1</v>
      </c>
      <c r="K31" s="5">
        <v>1</v>
      </c>
      <c r="L31" s="4">
        <v>0</v>
      </c>
      <c r="M31" s="4">
        <v>803</v>
      </c>
      <c r="N31" s="4">
        <v>612</v>
      </c>
      <c r="O31" s="6">
        <f t="shared" si="27"/>
        <v>0.23785803237858028</v>
      </c>
      <c r="P31" s="4" t="s">
        <v>133</v>
      </c>
      <c r="Q31" s="4"/>
      <c r="R31" s="4"/>
      <c r="S31" s="4"/>
      <c r="T31" s="4"/>
      <c r="U31" s="4"/>
      <c r="V31" s="4"/>
      <c r="W31" s="4"/>
      <c r="X31" s="4"/>
      <c r="Y31" s="4">
        <v>0</v>
      </c>
      <c r="Z31" s="4">
        <f t="shared" si="28"/>
        <v>0</v>
      </c>
      <c r="AA31" s="4">
        <v>861</v>
      </c>
      <c r="AB31" s="4">
        <f t="shared" si="29"/>
        <v>861</v>
      </c>
      <c r="AC31" s="4"/>
      <c r="AD31" s="21">
        <f t="shared" si="30"/>
        <v>1130</v>
      </c>
      <c r="AE31" s="6">
        <f t="shared" si="31"/>
        <v>0.23805309734513269</v>
      </c>
      <c r="AF31" s="4">
        <v>1</v>
      </c>
      <c r="AG31" s="4" t="str">
        <f t="shared" si="32"/>
        <v>-</v>
      </c>
      <c r="AH31" s="4" t="e">
        <f t="shared" si="33"/>
        <v>#VALUE!</v>
      </c>
      <c r="AI31" s="6" t="e">
        <f t="shared" si="34"/>
        <v>#VALUE!</v>
      </c>
      <c r="AJ31" s="7">
        <v>1175</v>
      </c>
      <c r="AK31" s="6">
        <f t="shared" si="35"/>
        <v>0.2672340425531915</v>
      </c>
      <c r="AL31" s="4">
        <f t="shared" si="36"/>
        <v>314</v>
      </c>
      <c r="AM31" s="28"/>
      <c r="AN31" s="6"/>
      <c r="AO31" s="6"/>
      <c r="AP31" s="6" t="e">
        <f t="shared" si="37"/>
        <v>#DIV/0!</v>
      </c>
      <c r="AQ31" s="6">
        <f t="shared" si="38"/>
        <v>1.4632627646326277</v>
      </c>
      <c r="AR31" s="6">
        <f t="shared" si="39"/>
        <v>1.4068627450980393</v>
      </c>
      <c r="AS31" s="4"/>
      <c r="AT31" s="4"/>
      <c r="AU31" s="4"/>
      <c r="AV31" s="4"/>
      <c r="AW31" s="4"/>
      <c r="AX31" s="4"/>
      <c r="AY31" s="4"/>
      <c r="AZ31" s="4"/>
      <c r="BA31" s="4"/>
      <c r="BB31" s="4">
        <v>0</v>
      </c>
      <c r="BC31" s="4" t="s">
        <v>132</v>
      </c>
      <c r="BD31" s="4"/>
      <c r="BE31" s="4"/>
      <c r="BF31" s="4" t="s">
        <v>132</v>
      </c>
      <c r="BG31" s="4" t="s">
        <v>132</v>
      </c>
      <c r="BH31" s="4" t="s">
        <v>132</v>
      </c>
      <c r="BI31" s="4" t="str">
        <f t="shared" si="40"/>
        <v>-</v>
      </c>
      <c r="BJ31" s="19">
        <v>4</v>
      </c>
      <c r="BK31" s="19">
        <v>8</v>
      </c>
      <c r="BL31" s="16">
        <v>18</v>
      </c>
      <c r="BM31" t="s">
        <v>132</v>
      </c>
      <c r="BN31">
        <v>836</v>
      </c>
      <c r="BO31">
        <v>836</v>
      </c>
      <c r="BP31">
        <f t="shared" si="16"/>
        <v>1176.1372549019609</v>
      </c>
      <c r="BQ31" t="s">
        <v>132</v>
      </c>
    </row>
    <row r="32" spans="1:69" x14ac:dyDescent="0.4">
      <c r="A32" s="3">
        <v>29</v>
      </c>
      <c r="B32" s="3">
        <v>29</v>
      </c>
      <c r="C32" s="4" t="s">
        <v>93</v>
      </c>
      <c r="D32" s="4" t="str">
        <f t="shared" si="26"/>
        <v>J7581P</v>
      </c>
      <c r="E32" s="4" t="s">
        <v>93</v>
      </c>
      <c r="F32" s="4" t="s">
        <v>128</v>
      </c>
      <c r="G32" s="5">
        <v>4547345022039</v>
      </c>
      <c r="H32" s="5"/>
      <c r="I32" s="5"/>
      <c r="J32" s="5">
        <v>1</v>
      </c>
      <c r="K32" s="5">
        <v>1</v>
      </c>
      <c r="L32" s="4">
        <v>0</v>
      </c>
      <c r="M32" s="4">
        <v>1710</v>
      </c>
      <c r="N32" s="4">
        <v>1288</v>
      </c>
      <c r="O32" s="6">
        <f t="shared" si="27"/>
        <v>0.24678362573099411</v>
      </c>
      <c r="P32" s="4" t="s">
        <v>133</v>
      </c>
      <c r="Q32" s="4"/>
      <c r="R32" s="4"/>
      <c r="S32" s="4"/>
      <c r="T32" s="4"/>
      <c r="U32" s="4"/>
      <c r="V32" s="4"/>
      <c r="W32" s="4"/>
      <c r="X32" s="4"/>
      <c r="Y32" s="4">
        <v>0</v>
      </c>
      <c r="Z32" s="4">
        <f t="shared" si="28"/>
        <v>0</v>
      </c>
      <c r="AA32" s="4">
        <v>1820</v>
      </c>
      <c r="AB32" s="4">
        <f t="shared" si="29"/>
        <v>1820</v>
      </c>
      <c r="AC32" s="4"/>
      <c r="AD32" s="21">
        <f t="shared" si="30"/>
        <v>2416</v>
      </c>
      <c r="AE32" s="6">
        <f t="shared" si="31"/>
        <v>0.24668874172185429</v>
      </c>
      <c r="AF32" s="4">
        <v>0.5</v>
      </c>
      <c r="AG32" s="4" t="str">
        <f t="shared" si="32"/>
        <v>-</v>
      </c>
      <c r="AH32" s="4" t="e">
        <f t="shared" si="33"/>
        <v>#VALUE!</v>
      </c>
      <c r="AI32" s="6" t="e">
        <f t="shared" si="34"/>
        <v>#VALUE!</v>
      </c>
      <c r="AJ32" s="7">
        <v>2600</v>
      </c>
      <c r="AK32" s="6">
        <f t="shared" si="35"/>
        <v>0.30000000000000004</v>
      </c>
      <c r="AL32" s="4">
        <f t="shared" si="36"/>
        <v>780</v>
      </c>
      <c r="AM32" s="28"/>
      <c r="AN32" s="6"/>
      <c r="AO32" s="6"/>
      <c r="AP32" s="6" t="e">
        <f t="shared" si="37"/>
        <v>#DIV/0!</v>
      </c>
      <c r="AQ32" s="6">
        <f t="shared" si="38"/>
        <v>1.5204678362573099</v>
      </c>
      <c r="AR32" s="6">
        <f t="shared" si="39"/>
        <v>1.4130434782608696</v>
      </c>
      <c r="AS32" s="4"/>
      <c r="AT32" s="4"/>
      <c r="AU32" s="4"/>
      <c r="AV32" s="4"/>
      <c r="AW32" s="4"/>
      <c r="AX32" s="4"/>
      <c r="AY32" s="4"/>
      <c r="AZ32" s="4"/>
      <c r="BA32" s="4"/>
      <c r="BB32" s="4">
        <v>0</v>
      </c>
      <c r="BC32" s="4" t="s">
        <v>132</v>
      </c>
      <c r="BD32" s="4"/>
      <c r="BE32" s="4"/>
      <c r="BF32" s="4" t="s">
        <v>132</v>
      </c>
      <c r="BG32" s="4" t="s">
        <v>132</v>
      </c>
      <c r="BH32" s="4" t="s">
        <v>132</v>
      </c>
      <c r="BI32" s="4" t="str">
        <f t="shared" si="40"/>
        <v>-</v>
      </c>
      <c r="BJ32" s="19">
        <v>4</v>
      </c>
      <c r="BK32" s="19">
        <v>8</v>
      </c>
      <c r="BL32" s="16">
        <v>18</v>
      </c>
      <c r="BM32" t="s">
        <v>132</v>
      </c>
      <c r="BN32">
        <v>1841</v>
      </c>
      <c r="BO32">
        <v>1841</v>
      </c>
      <c r="BP32">
        <f t="shared" si="16"/>
        <v>2601.413043478261</v>
      </c>
      <c r="BQ32" t="s">
        <v>132</v>
      </c>
    </row>
    <row r="33" spans="1:69" x14ac:dyDescent="0.4">
      <c r="A33" s="3">
        <v>30</v>
      </c>
      <c r="B33" s="3">
        <v>30</v>
      </c>
      <c r="C33" s="4" t="s">
        <v>94</v>
      </c>
      <c r="D33" s="4" t="str">
        <f t="shared" si="26"/>
        <v>J7579P</v>
      </c>
      <c r="E33" s="4" t="s">
        <v>94</v>
      </c>
      <c r="F33" s="4" t="s">
        <v>129</v>
      </c>
      <c r="G33" s="5">
        <v>4547345022015</v>
      </c>
      <c r="H33" s="5"/>
      <c r="I33" s="5"/>
      <c r="J33" s="5">
        <v>1</v>
      </c>
      <c r="K33" s="5">
        <v>1</v>
      </c>
      <c r="L33" s="4">
        <v>0</v>
      </c>
      <c r="M33" s="4">
        <v>1040</v>
      </c>
      <c r="N33" s="4">
        <v>823</v>
      </c>
      <c r="O33" s="6">
        <f t="shared" si="27"/>
        <v>0.20865384615384619</v>
      </c>
      <c r="P33" s="4" t="s">
        <v>133</v>
      </c>
      <c r="Q33" s="4"/>
      <c r="R33" s="4"/>
      <c r="S33" s="4"/>
      <c r="T33" s="4"/>
      <c r="U33" s="4"/>
      <c r="V33" s="4"/>
      <c r="W33" s="4"/>
      <c r="X33" s="4"/>
      <c r="Y33" s="4">
        <v>0</v>
      </c>
      <c r="Z33" s="4">
        <f t="shared" si="28"/>
        <v>0</v>
      </c>
      <c r="AA33" s="4">
        <v>1164</v>
      </c>
      <c r="AB33" s="4">
        <f t="shared" si="29"/>
        <v>1164</v>
      </c>
      <c r="AC33" s="4"/>
      <c r="AD33" s="21">
        <f t="shared" si="30"/>
        <v>1471</v>
      </c>
      <c r="AE33" s="6">
        <f t="shared" si="31"/>
        <v>0.2087015635622026</v>
      </c>
      <c r="AF33" s="4">
        <v>0</v>
      </c>
      <c r="AG33" s="4">
        <f t="shared" si="32"/>
        <v>1179</v>
      </c>
      <c r="AH33" s="4">
        <f t="shared" si="33"/>
        <v>1667.5042527339006</v>
      </c>
      <c r="AI33" s="6">
        <f t="shared" si="34"/>
        <v>0.30195080576759969</v>
      </c>
      <c r="AJ33" s="7">
        <v>1590</v>
      </c>
      <c r="AK33" s="6">
        <f t="shared" si="35"/>
        <v>0.26792452830188684</v>
      </c>
      <c r="AL33" s="4">
        <f t="shared" si="36"/>
        <v>426</v>
      </c>
      <c r="AM33" s="28"/>
      <c r="AN33" s="6"/>
      <c r="AO33" s="6"/>
      <c r="AP33" s="6" t="e">
        <f t="shared" si="37"/>
        <v>#DIV/0!</v>
      </c>
      <c r="AQ33" s="6">
        <f t="shared" si="38"/>
        <v>1.5288461538461537</v>
      </c>
      <c r="AR33" s="6">
        <f t="shared" si="39"/>
        <v>1.4143377885783719</v>
      </c>
      <c r="AS33" s="4"/>
      <c r="AT33" s="4"/>
      <c r="AU33" s="4"/>
      <c r="AV33" s="4"/>
      <c r="AW33" s="4"/>
      <c r="AX33" s="4"/>
      <c r="AY33" s="4"/>
      <c r="AZ33" s="4"/>
      <c r="BA33" s="4"/>
      <c r="BB33" s="4">
        <v>0</v>
      </c>
      <c r="BC33" s="4" t="s">
        <v>191</v>
      </c>
      <c r="BD33" s="4"/>
      <c r="BE33" s="4"/>
      <c r="BF33" s="4" t="s">
        <v>163</v>
      </c>
      <c r="BG33" s="4">
        <v>1179</v>
      </c>
      <c r="BH33" s="4">
        <v>1179</v>
      </c>
      <c r="BI33" s="4">
        <f t="shared" si="40"/>
        <v>1179</v>
      </c>
      <c r="BJ33" s="19">
        <v>4</v>
      </c>
      <c r="BK33" s="19">
        <v>8</v>
      </c>
      <c r="BL33" s="16">
        <v>18</v>
      </c>
      <c r="BM33" t="s">
        <v>132</v>
      </c>
      <c r="BN33">
        <v>1121</v>
      </c>
      <c r="BO33">
        <v>1121</v>
      </c>
      <c r="BP33">
        <f t="shared" si="16"/>
        <v>1585.472660996355</v>
      </c>
      <c r="BQ33" t="s">
        <v>160</v>
      </c>
    </row>
    <row r="34" spans="1:69" x14ac:dyDescent="0.4">
      <c r="A34" s="3">
        <v>31</v>
      </c>
      <c r="B34" s="3">
        <v>31</v>
      </c>
      <c r="C34" s="4" t="s">
        <v>95</v>
      </c>
      <c r="D34" s="4" t="str">
        <f t="shared" si="26"/>
        <v>J7580P</v>
      </c>
      <c r="E34" s="4" t="s">
        <v>95</v>
      </c>
      <c r="F34" s="4" t="s">
        <v>130</v>
      </c>
      <c r="G34" s="5">
        <v>4547345022022</v>
      </c>
      <c r="H34" s="5"/>
      <c r="I34" s="5"/>
      <c r="J34" s="5">
        <v>1</v>
      </c>
      <c r="K34" s="5">
        <v>1</v>
      </c>
      <c r="L34" s="4">
        <v>0</v>
      </c>
      <c r="M34" s="4">
        <v>1264</v>
      </c>
      <c r="N34" s="4">
        <v>987</v>
      </c>
      <c r="O34" s="6">
        <f t="shared" si="27"/>
        <v>0.21914556962025311</v>
      </c>
      <c r="P34" s="4" t="s">
        <v>133</v>
      </c>
      <c r="Q34" s="4"/>
      <c r="R34" s="4"/>
      <c r="S34" s="4"/>
      <c r="T34" s="4"/>
      <c r="U34" s="4"/>
      <c r="V34" s="4"/>
      <c r="W34" s="4"/>
      <c r="X34" s="4"/>
      <c r="Y34" s="4">
        <v>0</v>
      </c>
      <c r="Z34" s="4">
        <f t="shared" si="28"/>
        <v>0</v>
      </c>
      <c r="AA34" s="4">
        <v>1391</v>
      </c>
      <c r="AB34" s="4">
        <f t="shared" si="29"/>
        <v>1391</v>
      </c>
      <c r="AC34" s="4"/>
      <c r="AD34" s="21">
        <f t="shared" si="30"/>
        <v>1781</v>
      </c>
      <c r="AE34" s="6">
        <f t="shared" si="31"/>
        <v>0.21897810218978098</v>
      </c>
      <c r="AF34" s="4">
        <v>0.25</v>
      </c>
      <c r="AG34" s="4">
        <f t="shared" si="32"/>
        <v>1415</v>
      </c>
      <c r="AH34" s="4">
        <f t="shared" si="33"/>
        <v>1994.1894630192503</v>
      </c>
      <c r="AI34" s="6">
        <f t="shared" si="34"/>
        <v>0.30247349823321557</v>
      </c>
      <c r="AJ34" s="7">
        <v>1985</v>
      </c>
      <c r="AK34" s="6">
        <f t="shared" si="35"/>
        <v>0.29924433249370275</v>
      </c>
      <c r="AL34" s="4">
        <f t="shared" si="36"/>
        <v>594</v>
      </c>
      <c r="AM34" s="28"/>
      <c r="AN34" s="6"/>
      <c r="AO34" s="6"/>
      <c r="AP34" s="6" t="e">
        <f t="shared" si="37"/>
        <v>#DIV/0!</v>
      </c>
      <c r="AQ34" s="6">
        <f t="shared" si="38"/>
        <v>1.5704113924050633</v>
      </c>
      <c r="AR34" s="6">
        <f t="shared" si="39"/>
        <v>1.4093211752786221</v>
      </c>
      <c r="AS34" s="4"/>
      <c r="AT34" s="4"/>
      <c r="AU34" s="4"/>
      <c r="AV34" s="4"/>
      <c r="AW34" s="4"/>
      <c r="AX34" s="4"/>
      <c r="AY34" s="4"/>
      <c r="AZ34" s="4"/>
      <c r="BA34" s="4"/>
      <c r="BB34" s="4">
        <v>0</v>
      </c>
      <c r="BC34" s="4" t="s">
        <v>192</v>
      </c>
      <c r="BD34" s="4"/>
      <c r="BE34" s="4"/>
      <c r="BF34" s="4" t="s">
        <v>163</v>
      </c>
      <c r="BG34" s="4">
        <v>1415</v>
      </c>
      <c r="BH34" s="4">
        <v>1415</v>
      </c>
      <c r="BI34" s="4">
        <f t="shared" si="40"/>
        <v>1415</v>
      </c>
      <c r="BJ34" s="19">
        <v>4</v>
      </c>
      <c r="BK34" s="19">
        <v>8</v>
      </c>
      <c r="BL34" s="16">
        <v>18</v>
      </c>
      <c r="BM34" t="s">
        <v>132</v>
      </c>
      <c r="BN34">
        <v>1409</v>
      </c>
      <c r="BO34">
        <v>1409</v>
      </c>
      <c r="BP34">
        <f t="shared" si="16"/>
        <v>1985.7335359675785</v>
      </c>
      <c r="BQ34" t="s">
        <v>161</v>
      </c>
    </row>
    <row r="35" spans="1:69" x14ac:dyDescent="0.4">
      <c r="A35" s="3">
        <v>32</v>
      </c>
      <c r="B35" s="3">
        <v>32</v>
      </c>
      <c r="C35" s="4" t="s">
        <v>96</v>
      </c>
      <c r="D35" s="4" t="str">
        <f t="shared" si="26"/>
        <v>J79957</v>
      </c>
      <c r="E35" s="4" t="s">
        <v>96</v>
      </c>
      <c r="F35" s="4" t="s">
        <v>193</v>
      </c>
      <c r="G35" s="5">
        <v>2001234841320</v>
      </c>
      <c r="H35" s="5"/>
      <c r="I35" s="5"/>
      <c r="J35" s="5">
        <v>1</v>
      </c>
      <c r="K35" s="5">
        <v>1</v>
      </c>
      <c r="L35" s="4">
        <v>0</v>
      </c>
      <c r="M35" s="4">
        <v>294</v>
      </c>
      <c r="N35" s="4">
        <v>208</v>
      </c>
      <c r="O35" s="6">
        <f t="shared" si="27"/>
        <v>0.29251700680272108</v>
      </c>
      <c r="P35" s="4" t="s">
        <v>133</v>
      </c>
      <c r="Q35" s="4"/>
      <c r="R35" s="4"/>
      <c r="S35" s="4"/>
      <c r="T35" s="4"/>
      <c r="U35" s="4"/>
      <c r="V35" s="4"/>
      <c r="W35" s="4"/>
      <c r="X35" s="4"/>
      <c r="Y35" s="4">
        <v>0</v>
      </c>
      <c r="Z35" s="4">
        <f t="shared" si="28"/>
        <v>0</v>
      </c>
      <c r="AA35" s="4">
        <v>233</v>
      </c>
      <c r="AB35" s="4">
        <f t="shared" si="29"/>
        <v>233</v>
      </c>
      <c r="AC35" s="4"/>
      <c r="AD35" s="21">
        <f t="shared" si="30"/>
        <v>329</v>
      </c>
      <c r="AE35" s="6">
        <f t="shared" si="31"/>
        <v>0.29179331306990886</v>
      </c>
      <c r="AF35" s="4">
        <v>19.25</v>
      </c>
      <c r="AG35" s="4">
        <f t="shared" si="32"/>
        <v>359</v>
      </c>
      <c r="AH35" s="4">
        <f t="shared" si="33"/>
        <v>402.14903846153845</v>
      </c>
      <c r="AI35" s="6">
        <f t="shared" si="34"/>
        <v>0.42061281337047352</v>
      </c>
      <c r="AJ35" s="7">
        <v>340</v>
      </c>
      <c r="AK35" s="6">
        <f t="shared" si="35"/>
        <v>0.31470588235294117</v>
      </c>
      <c r="AL35" s="4">
        <f t="shared" si="36"/>
        <v>107</v>
      </c>
      <c r="AM35" s="28"/>
      <c r="AN35" s="6"/>
      <c r="AO35" s="6"/>
      <c r="AP35" s="6" t="e">
        <f t="shared" si="37"/>
        <v>#DIV/0!</v>
      </c>
      <c r="AQ35" s="6">
        <f t="shared" si="38"/>
        <v>1.1564625850340136</v>
      </c>
      <c r="AR35" s="6">
        <f t="shared" si="39"/>
        <v>1.1201923076923077</v>
      </c>
      <c r="AS35" s="4"/>
      <c r="AT35" s="4"/>
      <c r="AU35" s="4"/>
      <c r="AV35" s="4"/>
      <c r="AW35" s="4"/>
      <c r="AX35" s="4"/>
      <c r="AY35" s="4"/>
      <c r="AZ35" s="4"/>
      <c r="BA35" s="4"/>
      <c r="BB35" s="4">
        <v>0</v>
      </c>
      <c r="BC35" s="4" t="s">
        <v>194</v>
      </c>
      <c r="BD35" s="4"/>
      <c r="BE35" s="4"/>
      <c r="BF35" s="4" t="s">
        <v>132</v>
      </c>
      <c r="BG35" s="4">
        <v>323</v>
      </c>
      <c r="BH35" s="4">
        <v>359</v>
      </c>
      <c r="BI35" s="4">
        <f t="shared" si="40"/>
        <v>359</v>
      </c>
      <c r="BJ35" s="19">
        <v>4</v>
      </c>
      <c r="BK35" s="19">
        <v>1</v>
      </c>
      <c r="BL35" s="16">
        <v>18</v>
      </c>
      <c r="BM35" t="s">
        <v>132</v>
      </c>
      <c r="BN35" t="s">
        <v>133</v>
      </c>
      <c r="BO35" t="s">
        <v>132</v>
      </c>
      <c r="BP35" t="str">
        <f t="shared" si="16"/>
        <v>-</v>
      </c>
      <c r="BQ35" t="s">
        <v>195</v>
      </c>
    </row>
    <row r="36" spans="1:69" x14ac:dyDescent="0.4">
      <c r="A36" s="34">
        <v>33</v>
      </c>
      <c r="B36" s="3">
        <v>33</v>
      </c>
      <c r="C36" s="4" t="s">
        <v>97</v>
      </c>
      <c r="D36" s="4" t="str">
        <f t="shared" si="26"/>
        <v>J80405</v>
      </c>
      <c r="E36" s="4" t="s">
        <v>97</v>
      </c>
      <c r="F36" s="4" t="s">
        <v>196</v>
      </c>
      <c r="G36" s="5">
        <v>2001234841450</v>
      </c>
      <c r="H36" s="5"/>
      <c r="I36" s="5"/>
      <c r="J36" s="5">
        <v>1</v>
      </c>
      <c r="K36" s="5">
        <v>1</v>
      </c>
      <c r="L36" s="4">
        <v>4670</v>
      </c>
      <c r="M36" s="4">
        <v>4203</v>
      </c>
      <c r="N36" s="4">
        <v>3269</v>
      </c>
      <c r="O36" s="6">
        <f t="shared" si="27"/>
        <v>0.22222222222222221</v>
      </c>
      <c r="P36" s="4" t="s">
        <v>133</v>
      </c>
      <c r="Q36" s="4"/>
      <c r="R36" s="4"/>
      <c r="S36" s="4"/>
      <c r="T36" s="4"/>
      <c r="U36" s="4"/>
      <c r="V36" s="4"/>
      <c r="W36" s="4"/>
      <c r="X36" s="4"/>
      <c r="Y36" s="4">
        <v>6328</v>
      </c>
      <c r="Z36" s="4">
        <f t="shared" si="28"/>
        <v>6328</v>
      </c>
      <c r="AA36" s="4">
        <v>4430</v>
      </c>
      <c r="AB36" s="4">
        <f t="shared" si="29"/>
        <v>4430</v>
      </c>
      <c r="AC36" s="4"/>
      <c r="AD36" s="21">
        <f t="shared" si="30"/>
        <v>5696</v>
      </c>
      <c r="AE36" s="6">
        <f t="shared" si="31"/>
        <v>0.2222612359550562</v>
      </c>
      <c r="AF36" s="4">
        <v>0.25</v>
      </c>
      <c r="AG36" s="4">
        <f t="shared" si="32"/>
        <v>4246</v>
      </c>
      <c r="AH36" s="4">
        <f t="shared" si="33"/>
        <v>5753.9859284184759</v>
      </c>
      <c r="AI36" s="6">
        <f t="shared" si="34"/>
        <v>0.23009891662741389</v>
      </c>
      <c r="AJ36" s="7">
        <v>5753</v>
      </c>
      <c r="AK36" s="6">
        <f t="shared" si="35"/>
        <v>0.2299669737528246</v>
      </c>
      <c r="AL36" s="4">
        <f t="shared" si="36"/>
        <v>1323</v>
      </c>
      <c r="AM36" s="28"/>
      <c r="AN36" s="6"/>
      <c r="AO36" s="6"/>
      <c r="AP36" s="6">
        <f t="shared" si="37"/>
        <v>1.3550321199143469</v>
      </c>
      <c r="AQ36" s="6">
        <f t="shared" si="38"/>
        <v>1.3687842017606471</v>
      </c>
      <c r="AR36" s="6">
        <f t="shared" si="39"/>
        <v>1.3551544814928111</v>
      </c>
      <c r="AS36" s="4"/>
      <c r="AT36" s="4"/>
      <c r="AU36" s="4"/>
      <c r="AV36" s="4"/>
      <c r="AW36" s="4"/>
      <c r="AX36" s="4"/>
      <c r="AY36" s="4"/>
      <c r="AZ36" s="4"/>
      <c r="BA36" s="4"/>
      <c r="BB36" s="4">
        <v>0</v>
      </c>
      <c r="BC36" s="4" t="s">
        <v>197</v>
      </c>
      <c r="BD36" s="4"/>
      <c r="BE36" s="4"/>
      <c r="BF36" s="4" t="s">
        <v>132</v>
      </c>
      <c r="BG36" s="4">
        <v>4246</v>
      </c>
      <c r="BH36" s="4">
        <v>4246</v>
      </c>
      <c r="BI36" s="4">
        <f t="shared" si="40"/>
        <v>4246</v>
      </c>
      <c r="BJ36" s="19">
        <v>2</v>
      </c>
      <c r="BK36" s="19">
        <v>8</v>
      </c>
      <c r="BL36" s="16">
        <v>18</v>
      </c>
      <c r="BM36" t="s">
        <v>132</v>
      </c>
      <c r="BN36">
        <v>4437</v>
      </c>
      <c r="BO36">
        <v>4437</v>
      </c>
      <c r="BP36">
        <f t="shared" si="16"/>
        <v>6012.8204343836032</v>
      </c>
      <c r="BQ36" t="s">
        <v>198</v>
      </c>
    </row>
    <row r="37" spans="1:69" x14ac:dyDescent="0.4">
      <c r="A37" s="34">
        <v>34</v>
      </c>
      <c r="B37" s="3">
        <v>34</v>
      </c>
      <c r="C37" s="4" t="s">
        <v>98</v>
      </c>
      <c r="D37" s="4" t="str">
        <f t="shared" si="26"/>
        <v>J80406</v>
      </c>
      <c r="E37" s="4" t="s">
        <v>98</v>
      </c>
      <c r="F37" s="4" t="s">
        <v>199</v>
      </c>
      <c r="G37" s="5">
        <v>2001234841467</v>
      </c>
      <c r="H37" s="5"/>
      <c r="I37" s="5"/>
      <c r="J37" s="5">
        <v>1</v>
      </c>
      <c r="K37" s="5">
        <v>1</v>
      </c>
      <c r="L37" s="4">
        <v>2710</v>
      </c>
      <c r="M37" s="4">
        <v>2958</v>
      </c>
      <c r="N37" s="4">
        <v>1897</v>
      </c>
      <c r="O37" s="6">
        <f t="shared" si="27"/>
        <v>0.35868830290736986</v>
      </c>
      <c r="P37" s="4" t="s">
        <v>133</v>
      </c>
      <c r="Q37" s="4"/>
      <c r="R37" s="4"/>
      <c r="S37" s="4"/>
      <c r="T37" s="4"/>
      <c r="U37" s="4"/>
      <c r="V37" s="4"/>
      <c r="W37" s="4"/>
      <c r="X37" s="4"/>
      <c r="Y37" s="4">
        <v>3698</v>
      </c>
      <c r="Z37" s="4">
        <f t="shared" si="28"/>
        <v>3698</v>
      </c>
      <c r="AA37" s="4">
        <v>2589</v>
      </c>
      <c r="AB37" s="4">
        <f t="shared" si="29"/>
        <v>2589</v>
      </c>
      <c r="AC37" s="4"/>
      <c r="AD37" s="21">
        <f t="shared" si="30"/>
        <v>4037</v>
      </c>
      <c r="AE37" s="6">
        <f t="shared" si="31"/>
        <v>0.35868218974485999</v>
      </c>
      <c r="AF37" s="4">
        <v>0.25</v>
      </c>
      <c r="AG37" s="4">
        <f t="shared" si="32"/>
        <v>2464</v>
      </c>
      <c r="AH37" s="4">
        <f t="shared" si="33"/>
        <v>3362.8339483394839</v>
      </c>
      <c r="AI37" s="6">
        <f t="shared" si="34"/>
        <v>0.23011363636363646</v>
      </c>
      <c r="AJ37" s="7">
        <v>3500</v>
      </c>
      <c r="AK37" s="6">
        <f t="shared" si="35"/>
        <v>0.26028571428571423</v>
      </c>
      <c r="AL37" s="4">
        <f t="shared" si="36"/>
        <v>911</v>
      </c>
      <c r="AM37" s="28"/>
      <c r="AN37" s="6"/>
      <c r="AO37" s="6"/>
      <c r="AP37" s="6">
        <f t="shared" si="37"/>
        <v>1.3645756457564575</v>
      </c>
      <c r="AQ37" s="6">
        <f t="shared" si="38"/>
        <v>1.1832319134550371</v>
      </c>
      <c r="AR37" s="6">
        <f t="shared" si="39"/>
        <v>1.3647865050079073</v>
      </c>
      <c r="AS37" s="4"/>
      <c r="AT37" s="4"/>
      <c r="AU37" s="4"/>
      <c r="AV37" s="4"/>
      <c r="AW37" s="4"/>
      <c r="AX37" s="4"/>
      <c r="AY37" s="4"/>
      <c r="AZ37" s="4"/>
      <c r="BA37" s="4"/>
      <c r="BB37" s="4">
        <v>0</v>
      </c>
      <c r="BC37" s="4" t="s">
        <v>200</v>
      </c>
      <c r="BD37" s="4"/>
      <c r="BE37" s="4"/>
      <c r="BF37" s="4" t="s">
        <v>132</v>
      </c>
      <c r="BG37" s="4">
        <v>2464</v>
      </c>
      <c r="BH37" s="4">
        <v>2464</v>
      </c>
      <c r="BI37" s="4">
        <f t="shared" si="40"/>
        <v>2464</v>
      </c>
      <c r="BJ37" s="19">
        <v>2</v>
      </c>
      <c r="BK37" s="19">
        <v>8</v>
      </c>
      <c r="BL37" s="16">
        <v>18</v>
      </c>
      <c r="BM37" t="s">
        <v>132</v>
      </c>
      <c r="BN37">
        <v>2575</v>
      </c>
      <c r="BO37">
        <v>2575</v>
      </c>
      <c r="BP37">
        <f t="shared" si="16"/>
        <v>3514.3252503953613</v>
      </c>
      <c r="BQ37" t="s">
        <v>201</v>
      </c>
    </row>
    <row r="38" spans="1:69" x14ac:dyDescent="0.4">
      <c r="A38" s="3">
        <v>35</v>
      </c>
      <c r="B38" s="3">
        <v>35</v>
      </c>
      <c r="C38" s="4" t="s">
        <v>99</v>
      </c>
      <c r="D38" s="4" t="str">
        <f t="shared" si="26"/>
        <v>JZ2301</v>
      </c>
      <c r="E38" s="4" t="s">
        <v>99</v>
      </c>
      <c r="F38" s="4" t="s">
        <v>131</v>
      </c>
      <c r="G38" s="5">
        <v>4547345021995</v>
      </c>
      <c r="H38" s="5"/>
      <c r="I38" s="5"/>
      <c r="J38" s="5">
        <v>1</v>
      </c>
      <c r="K38" s="5">
        <v>1</v>
      </c>
      <c r="L38" s="4">
        <v>0</v>
      </c>
      <c r="M38" s="4">
        <v>778</v>
      </c>
      <c r="N38" s="4">
        <v>538</v>
      </c>
      <c r="O38" s="6">
        <f t="shared" si="27"/>
        <v>0.30848329048843193</v>
      </c>
      <c r="P38" s="4" t="s">
        <v>133</v>
      </c>
      <c r="Q38" s="4"/>
      <c r="R38" s="4"/>
      <c r="S38" s="4"/>
      <c r="T38" s="4"/>
      <c r="U38" s="4"/>
      <c r="V38" s="4"/>
      <c r="W38" s="4"/>
      <c r="X38" s="4"/>
      <c r="Y38" s="4">
        <v>0</v>
      </c>
      <c r="Z38" s="4">
        <f t="shared" si="28"/>
        <v>0</v>
      </c>
      <c r="AA38" s="4">
        <v>762</v>
      </c>
      <c r="AB38" s="4">
        <f t="shared" si="29"/>
        <v>762</v>
      </c>
      <c r="AC38" s="4"/>
      <c r="AD38" s="21">
        <f t="shared" si="30"/>
        <v>1102</v>
      </c>
      <c r="AE38" s="6">
        <f t="shared" si="31"/>
        <v>0.30852994555353896</v>
      </c>
      <c r="AF38" s="4">
        <v>0.75</v>
      </c>
      <c r="AG38" s="4" t="str">
        <f t="shared" si="32"/>
        <v>-</v>
      </c>
      <c r="AH38" s="4" t="e">
        <f t="shared" si="33"/>
        <v>#VALUE!</v>
      </c>
      <c r="AI38" s="6" t="e">
        <f t="shared" si="34"/>
        <v>#VALUE!</v>
      </c>
      <c r="AJ38" s="7">
        <v>1090</v>
      </c>
      <c r="AK38" s="6">
        <f t="shared" si="35"/>
        <v>0.30091743119266057</v>
      </c>
      <c r="AL38" s="4">
        <f t="shared" si="36"/>
        <v>328</v>
      </c>
      <c r="AM38" s="28"/>
      <c r="AN38" s="6"/>
      <c r="AO38" s="6"/>
      <c r="AP38" s="6" t="e">
        <f t="shared" si="37"/>
        <v>#DIV/0!</v>
      </c>
      <c r="AQ38" s="6">
        <f t="shared" si="38"/>
        <v>1.4010282776349614</v>
      </c>
      <c r="AR38" s="6">
        <f t="shared" si="39"/>
        <v>1.4163568773234201</v>
      </c>
      <c r="AS38" s="4"/>
      <c r="AT38" s="4"/>
      <c r="AU38" s="4"/>
      <c r="AV38" s="4"/>
      <c r="AW38" s="4"/>
      <c r="AX38" s="4"/>
      <c r="AY38" s="4"/>
      <c r="AZ38" s="4"/>
      <c r="BA38" s="4"/>
      <c r="BB38" s="4">
        <v>0</v>
      </c>
      <c r="BC38" s="4" t="s">
        <v>132</v>
      </c>
      <c r="BD38" s="4"/>
      <c r="BE38" s="4"/>
      <c r="BF38" s="4" t="s">
        <v>132</v>
      </c>
      <c r="BG38" s="4" t="s">
        <v>132</v>
      </c>
      <c r="BH38" s="4" t="s">
        <v>132</v>
      </c>
      <c r="BI38" s="4" t="str">
        <f t="shared" si="40"/>
        <v>-</v>
      </c>
      <c r="BJ38" s="19">
        <v>4</v>
      </c>
      <c r="BK38" s="19">
        <v>8</v>
      </c>
      <c r="BL38" s="16">
        <v>18</v>
      </c>
      <c r="BM38" t="s">
        <v>132</v>
      </c>
      <c r="BN38">
        <v>770</v>
      </c>
      <c r="BO38">
        <v>770</v>
      </c>
      <c r="BP38">
        <f t="shared" si="16"/>
        <v>1090.5947955390334</v>
      </c>
      <c r="BQ38" t="s">
        <v>132</v>
      </c>
    </row>
  </sheetData>
  <mergeCells count="3">
    <mergeCell ref="L2:O2"/>
    <mergeCell ref="J2:K2"/>
    <mergeCell ref="Y1:AB1"/>
  </mergeCells>
  <phoneticPr fontId="2"/>
  <conditionalFormatting sqref="AH4:AH38">
    <cfRule type="cellIs" dxfId="4" priority="4" operator="lessThan">
      <formula>$AJ4</formula>
    </cfRule>
  </conditionalFormatting>
  <conditionalFormatting sqref="AJ4:AJ38">
    <cfRule type="cellIs" dxfId="3" priority="6" operator="greaterThan">
      <formula>$Z4</formula>
    </cfRule>
  </conditionalFormatting>
  <conditionalFormatting sqref="AK4:AK38">
    <cfRule type="cellIs" dxfId="2" priority="3" operator="lessThan">
      <formula>0.2</formula>
    </cfRule>
  </conditionalFormatting>
  <conditionalFormatting sqref="BH4:BH38">
    <cfRule type="cellIs" dxfId="1" priority="2" operator="notEqual">
      <formula>$BG4</formula>
    </cfRule>
  </conditionalFormatting>
  <conditionalFormatting sqref="BO4:BO38">
    <cfRule type="cellIs" dxfId="0" priority="1" operator="notEqual">
      <formula>$BN4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2026-06-09T07:24:53Z</dcterms:modified>
</cp:coreProperties>
</file>