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7月1日改定\"/>
    </mc:Choice>
  </mc:AlternateContent>
  <xr:revisionPtr revIDLastSave="0" documentId="13_ncr:1_{8E63377A-F4A1-4463-A909-FF8460E1B9B6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Sheet1!$A$3:$BT$52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I19" i="1" l="1"/>
  <c r="AG19" i="1" s="1"/>
  <c r="BI27" i="1"/>
  <c r="AG27" i="1" s="1"/>
  <c r="BI35" i="1"/>
  <c r="AG35" i="1" s="1"/>
  <c r="BI37" i="1"/>
  <c r="AG37" i="1" s="1"/>
  <c r="BI39" i="1"/>
  <c r="AG39" i="1" s="1"/>
  <c r="BI41" i="1"/>
  <c r="AG41" i="1" s="1"/>
  <c r="BI43" i="1"/>
  <c r="AG43" i="1" s="1"/>
  <c r="BI45" i="1"/>
  <c r="AG45" i="1" s="1"/>
  <c r="BI47" i="1"/>
  <c r="AG47" i="1" s="1"/>
  <c r="BI48" i="1"/>
  <c r="AG48" i="1" s="1"/>
  <c r="BI49" i="1"/>
  <c r="AG49" i="1" s="1"/>
  <c r="BI50" i="1"/>
  <c r="AG50" i="1" s="1"/>
  <c r="BI51" i="1"/>
  <c r="AG51" i="1" s="1"/>
  <c r="AS4" i="1"/>
  <c r="O30" i="1"/>
  <c r="AQ32" i="1"/>
  <c r="AQ33" i="1"/>
  <c r="O34" i="1"/>
  <c r="AQ35" i="1"/>
  <c r="O35" i="1"/>
  <c r="AQ36" i="1"/>
  <c r="AQ37" i="1"/>
  <c r="O38" i="1"/>
  <c r="AQ39" i="1"/>
  <c r="O39" i="1"/>
  <c r="AQ40" i="1"/>
  <c r="AQ41" i="1"/>
  <c r="AQ42" i="1"/>
  <c r="O42" i="1"/>
  <c r="AQ43" i="1"/>
  <c r="O43" i="1"/>
  <c r="AQ44" i="1"/>
  <c r="O44" i="1"/>
  <c r="AQ45" i="1"/>
  <c r="O46" i="1"/>
  <c r="AQ47" i="1"/>
  <c r="O47" i="1"/>
  <c r="AQ48" i="1"/>
  <c r="AQ49" i="1"/>
  <c r="AQ50" i="1"/>
  <c r="O50" i="1"/>
  <c r="AQ51" i="1"/>
  <c r="O51" i="1"/>
  <c r="AQ52" i="1"/>
  <c r="O52" i="1"/>
  <c r="BI52" i="1"/>
  <c r="AG52" i="1" s="1"/>
  <c r="AB52" i="1"/>
  <c r="AK52" i="1" s="1"/>
  <c r="Z52" i="1"/>
  <c r="D52" i="1"/>
  <c r="AB51" i="1"/>
  <c r="AK51" i="1" s="1"/>
  <c r="Z51" i="1"/>
  <c r="AP51" i="1" s="1"/>
  <c r="D51" i="1"/>
  <c r="AB50" i="1"/>
  <c r="AK50" i="1" s="1"/>
  <c r="Z50" i="1"/>
  <c r="AP50" i="1" s="1"/>
  <c r="D50" i="1"/>
  <c r="AB49" i="1"/>
  <c r="AK49" i="1" s="1"/>
  <c r="Z49" i="1"/>
  <c r="D49" i="1"/>
  <c r="AB48" i="1"/>
  <c r="AK48" i="1" s="1"/>
  <c r="Z48" i="1"/>
  <c r="D48" i="1"/>
  <c r="AB47" i="1"/>
  <c r="AK47" i="1" s="1"/>
  <c r="Z47" i="1"/>
  <c r="AP47" i="1" s="1"/>
  <c r="D47" i="1"/>
  <c r="BI46" i="1"/>
  <c r="AG46" i="1" s="1"/>
  <c r="AQ46" i="1"/>
  <c r="AB46" i="1"/>
  <c r="AK46" i="1" s="1"/>
  <c r="Z46" i="1"/>
  <c r="D46" i="1"/>
  <c r="AB45" i="1"/>
  <c r="AK45" i="1" s="1"/>
  <c r="Z45" i="1"/>
  <c r="O45" i="1"/>
  <c r="D45" i="1"/>
  <c r="BI44" i="1"/>
  <c r="AG44" i="1" s="1"/>
  <c r="AB44" i="1"/>
  <c r="AK44" i="1" s="1"/>
  <c r="Z44" i="1"/>
  <c r="D44" i="1"/>
  <c r="AB43" i="1"/>
  <c r="AK43" i="1" s="1"/>
  <c r="Z43" i="1"/>
  <c r="AP43" i="1" s="1"/>
  <c r="D43" i="1"/>
  <c r="BI42" i="1"/>
  <c r="AG42" i="1" s="1"/>
  <c r="AB42" i="1"/>
  <c r="AK42" i="1" s="1"/>
  <c r="Z42" i="1"/>
  <c r="AP42" i="1" s="1"/>
  <c r="D42" i="1"/>
  <c r="AB41" i="1"/>
  <c r="AK41" i="1" s="1"/>
  <c r="Z41" i="1"/>
  <c r="D41" i="1"/>
  <c r="BI40" i="1"/>
  <c r="AG40" i="1" s="1"/>
  <c r="AB40" i="1"/>
  <c r="AK40" i="1" s="1"/>
  <c r="Z40" i="1"/>
  <c r="D40" i="1"/>
  <c r="AB39" i="1"/>
  <c r="AK39" i="1" s="1"/>
  <c r="Z39" i="1"/>
  <c r="AP39" i="1" s="1"/>
  <c r="D39" i="1"/>
  <c r="BI38" i="1"/>
  <c r="AG38" i="1" s="1"/>
  <c r="AQ38" i="1"/>
  <c r="AB38" i="1"/>
  <c r="AK38" i="1" s="1"/>
  <c r="Z38" i="1"/>
  <c r="D38" i="1"/>
  <c r="AB37" i="1"/>
  <c r="AK37" i="1" s="1"/>
  <c r="Z37" i="1"/>
  <c r="O37" i="1"/>
  <c r="D37" i="1"/>
  <c r="BI36" i="1"/>
  <c r="AG36" i="1" s="1"/>
  <c r="AB36" i="1"/>
  <c r="AK36" i="1" s="1"/>
  <c r="Z36" i="1"/>
  <c r="D36" i="1"/>
  <c r="AB35" i="1"/>
  <c r="AK35" i="1" s="1"/>
  <c r="Z35" i="1"/>
  <c r="AP35" i="1" s="1"/>
  <c r="D35" i="1"/>
  <c r="BI34" i="1"/>
  <c r="AG34" i="1" s="1"/>
  <c r="AQ34" i="1"/>
  <c r="AB34" i="1"/>
  <c r="AK34" i="1" s="1"/>
  <c r="Z34" i="1"/>
  <c r="AP34" i="1" s="1"/>
  <c r="D34" i="1"/>
  <c r="BI33" i="1"/>
  <c r="AG33" i="1" s="1"/>
  <c r="AB33" i="1"/>
  <c r="AK33" i="1" s="1"/>
  <c r="Z33" i="1"/>
  <c r="D33" i="1"/>
  <c r="BI32" i="1"/>
  <c r="AG32" i="1" s="1"/>
  <c r="AB32" i="1"/>
  <c r="AK32" i="1" s="1"/>
  <c r="Z32" i="1"/>
  <c r="D32" i="1"/>
  <c r="BI31" i="1"/>
  <c r="AG31" i="1" s="1"/>
  <c r="AQ31" i="1"/>
  <c r="AB31" i="1"/>
  <c r="AK31" i="1" s="1"/>
  <c r="Z31" i="1"/>
  <c r="AP31" i="1" s="1"/>
  <c r="O31" i="1"/>
  <c r="D31" i="1"/>
  <c r="BI30" i="1"/>
  <c r="AG30" i="1" s="1"/>
  <c r="AQ30" i="1"/>
  <c r="AB30" i="1"/>
  <c r="AK30" i="1" s="1"/>
  <c r="Z30" i="1"/>
  <c r="D30" i="1"/>
  <c r="BI29" i="1"/>
  <c r="AG29" i="1" s="1"/>
  <c r="AQ29" i="1"/>
  <c r="AB29" i="1"/>
  <c r="AK29" i="1" s="1"/>
  <c r="Z29" i="1"/>
  <c r="O29" i="1"/>
  <c r="D29" i="1"/>
  <c r="BI28" i="1"/>
  <c r="AG28" i="1" s="1"/>
  <c r="AQ28" i="1"/>
  <c r="AB28" i="1"/>
  <c r="AK28" i="1" s="1"/>
  <c r="Z28" i="1"/>
  <c r="AP28" i="1" s="1"/>
  <c r="O28" i="1"/>
  <c r="D28" i="1"/>
  <c r="AQ27" i="1"/>
  <c r="AB27" i="1"/>
  <c r="AK27" i="1" s="1"/>
  <c r="Z27" i="1"/>
  <c r="AP27" i="1" s="1"/>
  <c r="O27" i="1"/>
  <c r="D27" i="1"/>
  <c r="BI26" i="1"/>
  <c r="AG26" i="1" s="1"/>
  <c r="AQ26" i="1"/>
  <c r="AB26" i="1"/>
  <c r="AK26" i="1" s="1"/>
  <c r="Z26" i="1"/>
  <c r="AP26" i="1" s="1"/>
  <c r="O26" i="1"/>
  <c r="D26" i="1"/>
  <c r="BI25" i="1"/>
  <c r="AG25" i="1" s="1"/>
  <c r="AQ25" i="1"/>
  <c r="AB25" i="1"/>
  <c r="AL25" i="1" s="1"/>
  <c r="Z25" i="1"/>
  <c r="AP25" i="1" s="1"/>
  <c r="O25" i="1"/>
  <c r="D25" i="1"/>
  <c r="BI24" i="1"/>
  <c r="AG24" i="1" s="1"/>
  <c r="AQ24" i="1"/>
  <c r="AB24" i="1"/>
  <c r="AR24" i="1" s="1"/>
  <c r="BO24" i="1" s="1"/>
  <c r="Z24" i="1"/>
  <c r="AP24" i="1" s="1"/>
  <c r="O24" i="1"/>
  <c r="D24" i="1"/>
  <c r="BI23" i="1"/>
  <c r="AG23" i="1" s="1"/>
  <c r="AQ23" i="1"/>
  <c r="AB23" i="1"/>
  <c r="AR23" i="1" s="1"/>
  <c r="BR23" i="1" s="1"/>
  <c r="Z23" i="1"/>
  <c r="AP23" i="1" s="1"/>
  <c r="O23" i="1"/>
  <c r="D23" i="1"/>
  <c r="BI22" i="1"/>
  <c r="AG22" i="1" s="1"/>
  <c r="AQ22" i="1"/>
  <c r="BT22" i="1" s="1"/>
  <c r="AB22" i="1"/>
  <c r="AR22" i="1" s="1"/>
  <c r="BR22" i="1" s="1"/>
  <c r="Z22" i="1"/>
  <c r="AP22" i="1" s="1"/>
  <c r="O22" i="1"/>
  <c r="D22" i="1"/>
  <c r="BI21" i="1"/>
  <c r="AG21" i="1" s="1"/>
  <c r="AQ21" i="1"/>
  <c r="AB21" i="1"/>
  <c r="AL21" i="1" s="1"/>
  <c r="Z21" i="1"/>
  <c r="AP21" i="1" s="1"/>
  <c r="O21" i="1"/>
  <c r="D21" i="1"/>
  <c r="BI20" i="1"/>
  <c r="AG20" i="1" s="1"/>
  <c r="AQ20" i="1"/>
  <c r="AB20" i="1"/>
  <c r="Z20" i="1"/>
  <c r="AP20" i="1" s="1"/>
  <c r="O20" i="1"/>
  <c r="D20" i="1"/>
  <c r="AQ19" i="1"/>
  <c r="AB19" i="1"/>
  <c r="AL19" i="1" s="1"/>
  <c r="Z19" i="1"/>
  <c r="AP19" i="1" s="1"/>
  <c r="O19" i="1"/>
  <c r="D19" i="1"/>
  <c r="BI18" i="1"/>
  <c r="AG18" i="1" s="1"/>
  <c r="AQ18" i="1"/>
  <c r="AB18" i="1"/>
  <c r="AK18" i="1" s="1"/>
  <c r="Z18" i="1"/>
  <c r="AP18" i="1" s="1"/>
  <c r="O18" i="1"/>
  <c r="D18" i="1"/>
  <c r="BI17" i="1"/>
  <c r="AG17" i="1" s="1"/>
  <c r="AQ17" i="1"/>
  <c r="AB17" i="1"/>
  <c r="AK17" i="1" s="1"/>
  <c r="Z17" i="1"/>
  <c r="AP17" i="1" s="1"/>
  <c r="O17" i="1"/>
  <c r="D17" i="1"/>
  <c r="BI16" i="1"/>
  <c r="AG16" i="1" s="1"/>
  <c r="AQ16" i="1"/>
  <c r="AB16" i="1"/>
  <c r="AL16" i="1" s="1"/>
  <c r="Z16" i="1"/>
  <c r="AP16" i="1" s="1"/>
  <c r="O16" i="1"/>
  <c r="D16" i="1"/>
  <c r="BI15" i="1"/>
  <c r="AG15" i="1" s="1"/>
  <c r="AQ15" i="1"/>
  <c r="AB15" i="1"/>
  <c r="AL15" i="1" s="1"/>
  <c r="Z15" i="1"/>
  <c r="AP15" i="1" s="1"/>
  <c r="O15" i="1"/>
  <c r="D15" i="1"/>
  <c r="BI14" i="1"/>
  <c r="AG14" i="1" s="1"/>
  <c r="AQ14" i="1"/>
  <c r="AB14" i="1"/>
  <c r="AR14" i="1" s="1"/>
  <c r="BR14" i="1" s="1"/>
  <c r="Z14" i="1"/>
  <c r="AP14" i="1" s="1"/>
  <c r="O14" i="1"/>
  <c r="D14" i="1"/>
  <c r="AU4" i="1"/>
  <c r="AT4" i="1"/>
  <c r="BO14" i="1" l="1"/>
  <c r="BO23" i="1"/>
  <c r="BT24" i="1"/>
  <c r="BO22" i="1"/>
  <c r="BT23" i="1"/>
  <c r="BR24" i="1"/>
  <c r="BT14" i="1"/>
  <c r="AR50" i="1"/>
  <c r="AH50" i="1" s="1"/>
  <c r="AI50" i="1" s="1"/>
  <c r="AR30" i="1"/>
  <c r="AH30" i="1" s="1"/>
  <c r="AI30" i="1" s="1"/>
  <c r="AD23" i="1"/>
  <c r="AE23" i="1" s="1"/>
  <c r="AL23" i="1"/>
  <c r="AD14" i="1"/>
  <c r="AE14" i="1" s="1"/>
  <c r="AD22" i="1"/>
  <c r="AE22" i="1" s="1"/>
  <c r="AD24" i="1"/>
  <c r="AE24" i="1" s="1"/>
  <c r="AK23" i="1"/>
  <c r="AL27" i="1"/>
  <c r="AL26" i="1"/>
  <c r="AR27" i="1"/>
  <c r="BT27" i="1" s="1"/>
  <c r="AL28" i="1"/>
  <c r="AL36" i="1"/>
  <c r="AR44" i="1"/>
  <c r="BT44" i="1" s="1"/>
  <c r="AK24" i="1"/>
  <c r="AR25" i="1"/>
  <c r="BT25" i="1" s="1"/>
  <c r="AR28" i="1"/>
  <c r="AR29" i="1"/>
  <c r="BT29" i="1" s="1"/>
  <c r="AL35" i="1"/>
  <c r="AR49" i="1"/>
  <c r="AH49" i="1" s="1"/>
  <c r="AI49" i="1" s="1"/>
  <c r="AR36" i="1"/>
  <c r="BT36" i="1" s="1"/>
  <c r="AR35" i="1"/>
  <c r="AL38" i="1"/>
  <c r="AR41" i="1"/>
  <c r="BT41" i="1" s="1"/>
  <c r="AL46" i="1"/>
  <c r="AR32" i="1"/>
  <c r="BT32" i="1" s="1"/>
  <c r="AR38" i="1"/>
  <c r="BT38" i="1" s="1"/>
  <c r="AR46" i="1"/>
  <c r="AL37" i="1"/>
  <c r="AR40" i="1"/>
  <c r="BT40" i="1" s="1"/>
  <c r="AL45" i="1"/>
  <c r="AR26" i="1"/>
  <c r="BT26" i="1" s="1"/>
  <c r="AL29" i="1"/>
  <c r="AL30" i="1"/>
  <c r="AL31" i="1"/>
  <c r="AL40" i="1"/>
  <c r="AL44" i="1"/>
  <c r="AR45" i="1"/>
  <c r="AL49" i="1"/>
  <c r="AL34" i="1"/>
  <c r="AL39" i="1"/>
  <c r="AL43" i="1"/>
  <c r="AL48" i="1"/>
  <c r="AL52" i="1"/>
  <c r="AL24" i="1"/>
  <c r="AK25" i="1"/>
  <c r="AL33" i="1"/>
  <c r="AR34" i="1"/>
  <c r="BT34" i="1" s="1"/>
  <c r="AL42" i="1"/>
  <c r="AL47" i="1"/>
  <c r="AL51" i="1"/>
  <c r="AR48" i="1"/>
  <c r="AR33" i="1"/>
  <c r="BT33" i="1" s="1"/>
  <c r="AR42" i="1"/>
  <c r="AR47" i="1"/>
  <c r="BT47" i="1" s="1"/>
  <c r="AR51" i="1"/>
  <c r="BT51" i="1" s="1"/>
  <c r="AR39" i="1"/>
  <c r="BT39" i="1" s="1"/>
  <c r="AR43" i="1"/>
  <c r="AR52" i="1"/>
  <c r="AL32" i="1"/>
  <c r="AR37" i="1"/>
  <c r="AL41" i="1"/>
  <c r="AL50" i="1"/>
  <c r="AR31" i="1"/>
  <c r="BT31" i="1" s="1"/>
  <c r="AH23" i="1"/>
  <c r="AI23" i="1" s="1"/>
  <c r="AH24" i="1"/>
  <c r="AI24" i="1" s="1"/>
  <c r="O32" i="1"/>
  <c r="AP32" i="1"/>
  <c r="O33" i="1"/>
  <c r="O36" i="1"/>
  <c r="O40" i="1"/>
  <c r="O41" i="1"/>
  <c r="O48" i="1"/>
  <c r="O49" i="1"/>
  <c r="AP33" i="1"/>
  <c r="AP36" i="1"/>
  <c r="AP37" i="1"/>
  <c r="AP38" i="1"/>
  <c r="AP40" i="1"/>
  <c r="AP41" i="1"/>
  <c r="AP44" i="1"/>
  <c r="AP45" i="1"/>
  <c r="AP46" i="1"/>
  <c r="AP48" i="1"/>
  <c r="AP49" i="1"/>
  <c r="AP52" i="1"/>
  <c r="AP30" i="1"/>
  <c r="AP29" i="1"/>
  <c r="AH14" i="1"/>
  <c r="AI14" i="1" s="1"/>
  <c r="AR19" i="1"/>
  <c r="AH22" i="1"/>
  <c r="AI22" i="1" s="1"/>
  <c r="AR21" i="1"/>
  <c r="BT21" i="1" s="1"/>
  <c r="AK21" i="1"/>
  <c r="AK14" i="1"/>
  <c r="AK15" i="1"/>
  <c r="AL14" i="1"/>
  <c r="AK22" i="1"/>
  <c r="AL22" i="1"/>
  <c r="AL18" i="1"/>
  <c r="AK16" i="1"/>
  <c r="AL17" i="1"/>
  <c r="AR20" i="1"/>
  <c r="BT20" i="1" s="1"/>
  <c r="AR18" i="1"/>
  <c r="BT18" i="1" s="1"/>
  <c r="AR16" i="1"/>
  <c r="BT16" i="1" s="1"/>
  <c r="AK20" i="1"/>
  <c r="AR17" i="1"/>
  <c r="AR15" i="1"/>
  <c r="AK19" i="1"/>
  <c r="AL20" i="1"/>
  <c r="AD30" i="1" l="1"/>
  <c r="AE30" i="1" s="1"/>
  <c r="BT49" i="1"/>
  <c r="BO17" i="1"/>
  <c r="BR17" i="1"/>
  <c r="BO45" i="1"/>
  <c r="BR45" i="1"/>
  <c r="BO35" i="1"/>
  <c r="BR35" i="1"/>
  <c r="BT45" i="1"/>
  <c r="BR48" i="1"/>
  <c r="BO48" i="1"/>
  <c r="BR46" i="1"/>
  <c r="BO46" i="1"/>
  <c r="BR49" i="1"/>
  <c r="BO49" i="1"/>
  <c r="BT35" i="1"/>
  <c r="BO37" i="1"/>
  <c r="BR37" i="1"/>
  <c r="BO36" i="1"/>
  <c r="BR36" i="1"/>
  <c r="BO16" i="1"/>
  <c r="BR16" i="1"/>
  <c r="BO15" i="1"/>
  <c r="BR15" i="1"/>
  <c r="BR52" i="1"/>
  <c r="BO52" i="1"/>
  <c r="BO27" i="1"/>
  <c r="BR27" i="1"/>
  <c r="BT52" i="1"/>
  <c r="BR19" i="1"/>
  <c r="BO19" i="1"/>
  <c r="BO33" i="1"/>
  <c r="BR33" i="1"/>
  <c r="BO43" i="1"/>
  <c r="BR43" i="1"/>
  <c r="BR32" i="1"/>
  <c r="BO32" i="1"/>
  <c r="BR39" i="1"/>
  <c r="BO39" i="1"/>
  <c r="BR28" i="1"/>
  <c r="BO28" i="1"/>
  <c r="BO30" i="1"/>
  <c r="BR30" i="1"/>
  <c r="BT15" i="1"/>
  <c r="BT28" i="1"/>
  <c r="BT37" i="1"/>
  <c r="BO42" i="1"/>
  <c r="BR42" i="1"/>
  <c r="BR40" i="1"/>
  <c r="BO40" i="1"/>
  <c r="BR44" i="1"/>
  <c r="BO44" i="1"/>
  <c r="BR18" i="1"/>
  <c r="BO18" i="1"/>
  <c r="AH44" i="1"/>
  <c r="AI44" i="1" s="1"/>
  <c r="BR38" i="1"/>
  <c r="BO38" i="1"/>
  <c r="BT46" i="1"/>
  <c r="BR20" i="1"/>
  <c r="BO20" i="1"/>
  <c r="BR29" i="1"/>
  <c r="BO29" i="1"/>
  <c r="BT19" i="1"/>
  <c r="BR21" i="1"/>
  <c r="BO21" i="1"/>
  <c r="BR31" i="1"/>
  <c r="BO31" i="1"/>
  <c r="BR51" i="1"/>
  <c r="BO51" i="1"/>
  <c r="BO34" i="1"/>
  <c r="BR34" i="1"/>
  <c r="BO26" i="1"/>
  <c r="BR26" i="1"/>
  <c r="BR41" i="1"/>
  <c r="BO41" i="1"/>
  <c r="BO25" i="1"/>
  <c r="BR25" i="1"/>
  <c r="BO50" i="1"/>
  <c r="BR50" i="1"/>
  <c r="BT50" i="1"/>
  <c r="BT42" i="1"/>
  <c r="BT30" i="1"/>
  <c r="BT17" i="1"/>
  <c r="BT43" i="1"/>
  <c r="BO47" i="1"/>
  <c r="BR47" i="1"/>
  <c r="BT48" i="1"/>
  <c r="AH28" i="1"/>
  <c r="AI28" i="1" s="1"/>
  <c r="AD50" i="1"/>
  <c r="AE50" i="1" s="1"/>
  <c r="AD38" i="1"/>
  <c r="AE38" i="1" s="1"/>
  <c r="AD17" i="1"/>
  <c r="AE17" i="1" s="1"/>
  <c r="AD31" i="1"/>
  <c r="AE31" i="1" s="1"/>
  <c r="AD39" i="1"/>
  <c r="AE39" i="1" s="1"/>
  <c r="AD28" i="1"/>
  <c r="AE28" i="1" s="1"/>
  <c r="AD16" i="1"/>
  <c r="AE16" i="1" s="1"/>
  <c r="AD51" i="1"/>
  <c r="AE51" i="1" s="1"/>
  <c r="AD34" i="1"/>
  <c r="AE34" i="1" s="1"/>
  <c r="AD26" i="1"/>
  <c r="AE26" i="1" s="1"/>
  <c r="AD41" i="1"/>
  <c r="AE41" i="1" s="1"/>
  <c r="AD25" i="1"/>
  <c r="AE25" i="1" s="1"/>
  <c r="AD15" i="1"/>
  <c r="AE15" i="1" s="1"/>
  <c r="AD52" i="1"/>
  <c r="AE52" i="1" s="1"/>
  <c r="AD27" i="1"/>
  <c r="AE27" i="1" s="1"/>
  <c r="AD19" i="1"/>
  <c r="AE19" i="1" s="1"/>
  <c r="AD18" i="1"/>
  <c r="AE18" i="1" s="1"/>
  <c r="AD47" i="1"/>
  <c r="AE47" i="1" s="1"/>
  <c r="AD32" i="1"/>
  <c r="AE32" i="1" s="1"/>
  <c r="AD37" i="1"/>
  <c r="AE37" i="1" s="1"/>
  <c r="AD42" i="1"/>
  <c r="AE42" i="1" s="1"/>
  <c r="AD45" i="1"/>
  <c r="AE45" i="1" s="1"/>
  <c r="AD40" i="1"/>
  <c r="AE40" i="1" s="1"/>
  <c r="AD35" i="1"/>
  <c r="AE35" i="1" s="1"/>
  <c r="AD44" i="1"/>
  <c r="AE44" i="1" s="1"/>
  <c r="AD43" i="1"/>
  <c r="AE43" i="1" s="1"/>
  <c r="AD29" i="1"/>
  <c r="AE29" i="1" s="1"/>
  <c r="AD20" i="1"/>
  <c r="AE20" i="1" s="1"/>
  <c r="AH43" i="1"/>
  <c r="AI43" i="1" s="1"/>
  <c r="AD33" i="1"/>
  <c r="AE33" i="1" s="1"/>
  <c r="AD36" i="1"/>
  <c r="AE36" i="1" s="1"/>
  <c r="AD21" i="1"/>
  <c r="AE21" i="1" s="1"/>
  <c r="AH38" i="1"/>
  <c r="AI38" i="1" s="1"/>
  <c r="AH27" i="1"/>
  <c r="AI27" i="1" s="1"/>
  <c r="AD48" i="1"/>
  <c r="AE48" i="1" s="1"/>
  <c r="AD46" i="1"/>
  <c r="AE46" i="1" s="1"/>
  <c r="AD49" i="1"/>
  <c r="AE49" i="1" s="1"/>
  <c r="AH52" i="1"/>
  <c r="AI52" i="1" s="1"/>
  <c r="AH42" i="1"/>
  <c r="AI42" i="1" s="1"/>
  <c r="AH46" i="1"/>
  <c r="AI46" i="1" s="1"/>
  <c r="AH34" i="1"/>
  <c r="AI34" i="1" s="1"/>
  <c r="AH33" i="1"/>
  <c r="AI33" i="1" s="1"/>
  <c r="AH32" i="1"/>
  <c r="AI32" i="1" s="1"/>
  <c r="AH29" i="1"/>
  <c r="AI29" i="1" s="1"/>
  <c r="AH41" i="1"/>
  <c r="AI41" i="1" s="1"/>
  <c r="AH25" i="1"/>
  <c r="AI25" i="1" s="1"/>
  <c r="AH40" i="1"/>
  <c r="AI40" i="1" s="1"/>
  <c r="AH48" i="1"/>
  <c r="AI48" i="1" s="1"/>
  <c r="AH36" i="1"/>
  <c r="AI36" i="1" s="1"/>
  <c r="AH45" i="1"/>
  <c r="AI45" i="1" s="1"/>
  <c r="AH35" i="1"/>
  <c r="AI35" i="1" s="1"/>
  <c r="AH37" i="1"/>
  <c r="AI37" i="1" s="1"/>
  <c r="AH31" i="1"/>
  <c r="AI31" i="1" s="1"/>
  <c r="AH26" i="1"/>
  <c r="AI26" i="1" s="1"/>
  <c r="AH47" i="1"/>
  <c r="AI47" i="1" s="1"/>
  <c r="AH39" i="1"/>
  <c r="AI39" i="1" s="1"/>
  <c r="AH51" i="1"/>
  <c r="AI51" i="1" s="1"/>
  <c r="AH18" i="1"/>
  <c r="AI18" i="1" s="1"/>
  <c r="AH19" i="1"/>
  <c r="AI19" i="1" s="1"/>
  <c r="AH17" i="1"/>
  <c r="AI17" i="1" s="1"/>
  <c r="AH21" i="1"/>
  <c r="AI21" i="1" s="1"/>
  <c r="AH20" i="1"/>
  <c r="AI20" i="1" s="1"/>
  <c r="AH15" i="1"/>
  <c r="AI15" i="1" s="1"/>
  <c r="AH16" i="1"/>
  <c r="AI16" i="1" s="1"/>
  <c r="BI5" i="1"/>
  <c r="AG5" i="1" s="1"/>
  <c r="BI6" i="1"/>
  <c r="AG6" i="1" s="1"/>
  <c r="BI7" i="1"/>
  <c r="AG7" i="1" s="1"/>
  <c r="BI9" i="1"/>
  <c r="AG9" i="1" s="1"/>
  <c r="BI10" i="1"/>
  <c r="AG10" i="1" s="1"/>
  <c r="BI11" i="1"/>
  <c r="AG11" i="1" s="1"/>
  <c r="BI12" i="1"/>
  <c r="AG12" i="1" s="1"/>
  <c r="BI13" i="1"/>
  <c r="AG13" i="1" s="1"/>
  <c r="BI4" i="1"/>
  <c r="AG4" i="1" s="1"/>
  <c r="AB5" i="1"/>
  <c r="AB6" i="1"/>
  <c r="AB7" i="1"/>
  <c r="AB8" i="1"/>
  <c r="AB9" i="1"/>
  <c r="AB10" i="1"/>
  <c r="AB11" i="1"/>
  <c r="AB12" i="1"/>
  <c r="AB13" i="1"/>
  <c r="Z5" i="1"/>
  <c r="AP5" i="1" s="1"/>
  <c r="Z6" i="1"/>
  <c r="AP6" i="1" s="1"/>
  <c r="Z7" i="1"/>
  <c r="AP7" i="1" s="1"/>
  <c r="Z8" i="1"/>
  <c r="AP8" i="1" s="1"/>
  <c r="Z9" i="1"/>
  <c r="AP9" i="1" s="1"/>
  <c r="Z10" i="1"/>
  <c r="AP10" i="1" s="1"/>
  <c r="Z11" i="1"/>
  <c r="AP11" i="1" s="1"/>
  <c r="Z12" i="1"/>
  <c r="AP12" i="1" s="1"/>
  <c r="Z13" i="1"/>
  <c r="AP13" i="1" s="1"/>
  <c r="D5" i="1"/>
  <c r="D6" i="1"/>
  <c r="D7" i="1"/>
  <c r="D8" i="1"/>
  <c r="D9" i="1"/>
  <c r="D10" i="1"/>
  <c r="D11" i="1"/>
  <c r="D12" i="1"/>
  <c r="D13" i="1"/>
  <c r="D4" i="1"/>
  <c r="AB4" i="1"/>
  <c r="Z4" i="1"/>
  <c r="AP4" i="1" s="1"/>
  <c r="AQ13" i="1"/>
  <c r="O13" i="1"/>
  <c r="AQ12" i="1"/>
  <c r="O12" i="1"/>
  <c r="AQ11" i="1"/>
  <c r="O11" i="1"/>
  <c r="AQ10" i="1"/>
  <c r="O10" i="1"/>
  <c r="AQ4" i="1"/>
  <c r="AQ9" i="1"/>
  <c r="O9" i="1"/>
  <c r="BI8" i="1"/>
  <c r="AG8" i="1" s="1"/>
  <c r="AQ8" i="1"/>
  <c r="O8" i="1"/>
  <c r="AQ7" i="1"/>
  <c r="O7" i="1"/>
  <c r="AQ6" i="1"/>
  <c r="O6" i="1"/>
  <c r="AR5" i="1"/>
  <c r="AQ5" i="1"/>
  <c r="O5" i="1"/>
  <c r="O4" i="1"/>
  <c r="BR5" i="1" l="1"/>
  <c r="BO5" i="1"/>
  <c r="BT5" i="1"/>
  <c r="AD5" i="1"/>
  <c r="AE5" i="1" s="1"/>
  <c r="AK13" i="1"/>
  <c r="AK5" i="1"/>
  <c r="AK12" i="1"/>
  <c r="AL10" i="1"/>
  <c r="AK4" i="1"/>
  <c r="AK9" i="1"/>
  <c r="AL8" i="1"/>
  <c r="AL11" i="1"/>
  <c r="AL7" i="1"/>
  <c r="AR6" i="1"/>
  <c r="AH5" i="1"/>
  <c r="AI5" i="1" s="1"/>
  <c r="AR10" i="1"/>
  <c r="AR12" i="1"/>
  <c r="BT12" i="1" s="1"/>
  <c r="AR8" i="1"/>
  <c r="AL6" i="1"/>
  <c r="AR13" i="1"/>
  <c r="BT13" i="1" s="1"/>
  <c r="AK11" i="1"/>
  <c r="AK10" i="1"/>
  <c r="AK8" i="1"/>
  <c r="AR11" i="1"/>
  <c r="AL9" i="1"/>
  <c r="AR9" i="1"/>
  <c r="BT9" i="1" s="1"/>
  <c r="AK7" i="1"/>
  <c r="AL13" i="1"/>
  <c r="AL5" i="1"/>
  <c r="AR7" i="1"/>
  <c r="BT7" i="1" s="1"/>
  <c r="AK6" i="1"/>
  <c r="AL12" i="1"/>
  <c r="AN4" i="1"/>
  <c r="AO4" i="1"/>
  <c r="AL4" i="1"/>
  <c r="AR4" i="1"/>
  <c r="BT4" i="1" s="1"/>
  <c r="BR10" i="1" l="1"/>
  <c r="BO10" i="1"/>
  <c r="BR11" i="1"/>
  <c r="BO11" i="1"/>
  <c r="BO6" i="1"/>
  <c r="BR6" i="1"/>
  <c r="BR4" i="1"/>
  <c r="BO4" i="1"/>
  <c r="BR13" i="1"/>
  <c r="BO13" i="1"/>
  <c r="BT6" i="1"/>
  <c r="BR9" i="1"/>
  <c r="BO9" i="1"/>
  <c r="BO8" i="1"/>
  <c r="BR8" i="1"/>
  <c r="BT11" i="1"/>
  <c r="BO7" i="1"/>
  <c r="BR7" i="1"/>
  <c r="BR12" i="1"/>
  <c r="BO12" i="1"/>
  <c r="BT8" i="1"/>
  <c r="BT10" i="1"/>
  <c r="AD9" i="1"/>
  <c r="AE9" i="1" s="1"/>
  <c r="AD8" i="1"/>
  <c r="AE8" i="1" s="1"/>
  <c r="AD11" i="1"/>
  <c r="AE11" i="1" s="1"/>
  <c r="AD10" i="1"/>
  <c r="AE10" i="1" s="1"/>
  <c r="AD7" i="1"/>
  <c r="AE7" i="1" s="1"/>
  <c r="AD6" i="1"/>
  <c r="AE6" i="1" s="1"/>
  <c r="AD4" i="1"/>
  <c r="AE4" i="1" s="1"/>
  <c r="AD13" i="1"/>
  <c r="AE13" i="1" s="1"/>
  <c r="AD12" i="1"/>
  <c r="AE12" i="1" s="1"/>
  <c r="AH7" i="1"/>
  <c r="AI7" i="1" s="1"/>
  <c r="AH9" i="1"/>
  <c r="AI9" i="1" s="1"/>
  <c r="AH12" i="1"/>
  <c r="AI12" i="1" s="1"/>
  <c r="AH6" i="1"/>
  <c r="AI6" i="1" s="1"/>
  <c r="AH13" i="1"/>
  <c r="AI13" i="1" s="1"/>
  <c r="AH4" i="1"/>
  <c r="AI4" i="1" s="1"/>
  <c r="AH10" i="1"/>
  <c r="AI10" i="1" s="1"/>
  <c r="AH11" i="1"/>
  <c r="AI11" i="1" s="1"/>
  <c r="AH8" i="1"/>
  <c r="AI8" i="1" s="1"/>
</calcChain>
</file>

<file path=xl/sharedStrings.xml><?xml version="1.0" encoding="utf-8"?>
<sst xmlns="http://schemas.openxmlformats.org/spreadsheetml/2006/main" count="465" uniqueCount="236">
  <si>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</si>
  <si>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</si>
  <si>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</si>
  <si>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</si>
  <si>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</si>
  <si>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</si>
  <si>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</si>
  <si>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</si>
  <si>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</si>
  <si>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</si>
  <si>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</si>
  <si>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</si>
  <si>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</si>
  <si>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</si>
  <si>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</si>
  <si>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</si>
  <si>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</si>
  <si>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</si>
  <si>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</si>
  <si>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</si>
  <si>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</si>
  <si>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</si>
  <si>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</si>
  <si>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</si>
  <si>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</si>
  <si>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</si>
  <si>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</si>
  <si>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</si>
  <si>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</si>
  <si>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</si>
  <si>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</si>
  <si>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</si>
  <si>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</si>
  <si>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</si>
  <si>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</si>
  <si>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</si>
  <si>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</si>
  <si>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</si>
  <si>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</si>
  <si>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</si>
  <si>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</si>
  <si>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</si>
  <si>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</si>
  <si>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</si>
  <si>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</si>
  <si>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</si>
  <si>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</si>
  <si>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</si>
  <si>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</si>
  <si>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</si>
  <si>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</si>
  <si>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</si>
  <si>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</si>
  <si>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</si>
  <si>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</si>
  <si>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</si>
  <si>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</si>
  <si>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</si>
  <si>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</si>
  <si>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</si>
  <si>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</si>
  <si>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</si>
  <si>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5月売価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</si>
  <si>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</si>
  <si>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J722PY</t>
  </si>
  <si>
    <t>J723PY</t>
  </si>
  <si>
    <t>J724PY</t>
  </si>
  <si>
    <t>J726PY</t>
  </si>
  <si>
    <t>J728PY</t>
  </si>
  <si>
    <t>J730PY</t>
  </si>
  <si>
    <t>J731PY</t>
  </si>
  <si>
    <t>J732PY</t>
  </si>
  <si>
    <t>J733PY</t>
  </si>
  <si>
    <t>J734PY</t>
  </si>
  <si>
    <t>J709PY</t>
  </si>
  <si>
    <t>J710PY</t>
  </si>
  <si>
    <t>J711PY</t>
  </si>
  <si>
    <t>J713PY</t>
  </si>
  <si>
    <t>J715PY</t>
  </si>
  <si>
    <t>J717PY</t>
  </si>
  <si>
    <t>J718PY</t>
  </si>
  <si>
    <t>J719PY</t>
  </si>
  <si>
    <t>J720PY</t>
  </si>
  <si>
    <t>J721PY</t>
  </si>
  <si>
    <t>J725PY</t>
  </si>
  <si>
    <t>J727PY</t>
  </si>
  <si>
    <t>J729PY</t>
  </si>
  <si>
    <t>J712PY</t>
  </si>
  <si>
    <t>J714PY</t>
  </si>
  <si>
    <t>J716PY</t>
  </si>
  <si>
    <t>34/571</t>
  </si>
  <si>
    <t>ｾｲﾆﾁ/ﾕﾆﾊﾟｯｸ 55×40×0.04mm 300枚/S-4</t>
  </si>
  <si>
    <t>ｾｲﾆﾁ/ﾕﾆﾊﾟｯｸ(R) 480×340×0.04mm 100枚入/L-4</t>
  </si>
  <si>
    <t>ｾｲﾆﾁ/ﾕﾆﾊﾟｯｸ(R) 560×400×0.04mm 100枚入/SL-4</t>
  </si>
  <si>
    <t>ｾｲﾆﾁ/ﾕﾆﾊﾟｯｸ厚口 F-8 120*170*0.08mm 100枚/#6651516</t>
  </si>
  <si>
    <t>ｾｲﾆﾁ/ﾕﾆﾊﾟｯｸ(R) 厚口 400×280×0.08mm 100枚入/K-8</t>
  </si>
  <si>
    <t>ｾｲﾆﾁ/ﾕﾆﾊﾟｯｸ 0.04mm A-4 100枚入 #6650001</t>
  </si>
  <si>
    <t>ｾｲﾆﾁ/ﾕﾆﾊﾟｯｸ(R) 85× 60×0.04mm 100枚入/B-4</t>
  </si>
  <si>
    <t>ｾｲﾆﾁ/ﾕﾆﾊﾟｯｸ 0.04mm C-4 100枚入 #6650003</t>
  </si>
  <si>
    <t>ｾｲﾆﾁ/ﾕﾆﾊﾟｯｸ 0.04mm D-4 100枚入 #6650004</t>
  </si>
  <si>
    <t>ｾｲﾆﾁ/ﾕﾆﾊﾟｯｸ 0.04mm E-4 100枚入 #6650005</t>
  </si>
  <si>
    <t>ｾｲﾆﾁ/ﾕﾆﾊﾟｯｸ 0.04mm F-4 100枚入 #6650006</t>
  </si>
  <si>
    <t>ｾｲﾆﾁ/ﾕﾆﾊﾟｯｸ 170×240×0.04mm H-4 100枚入/#6650008</t>
  </si>
  <si>
    <t>ｾｲﾆﾁ/ﾕﾆﾊﾟｯｸ(R) 280×200×0.04mm 100枚入/I-4</t>
  </si>
  <si>
    <t>ｾｲﾆﾁ/ﾕﾆﾊﾟｯｸ(R) 340×240×0.04mm 100枚入/J-4</t>
  </si>
  <si>
    <t>ｾｲﾆﾁ/ﾕﾆﾊﾟｯｸ 厚口 0.08mm A-8 100枚入 #6651351</t>
  </si>
  <si>
    <t>ｾｲﾆﾁ/ﾕﾆﾊﾟｯｸ 厚口 0.08mm B-8 100枚入 #6651352</t>
  </si>
  <si>
    <t>ｾｲﾆﾁ/ﾕﾆﾊﾟｯｸ 厚口 0.08mm C-8 100枚入 #6651353</t>
  </si>
  <si>
    <t>ｾｲﾆﾁ/ﾕﾆﾊﾟｯｸ 厚口 0.08mm D-8 100枚入 #6651354</t>
  </si>
  <si>
    <t>ｾｲﾆﾁ/ﾕﾆﾊﾟｯｸ ﾏｰｸ付き 0.04mm MARK-A 100枚入 #6651641</t>
  </si>
  <si>
    <t>ｾｲﾆﾁ/ﾕﾆﾊﾟｯｸ ﾏｰｸ付き 0.04mm MARK-B 100枚入 #6651642</t>
  </si>
  <si>
    <t>ｾｲﾆﾁ/ﾕﾆﾊﾟｯｸ ﾏｰｸ付き 0.04mm MARK-C 100枚入 #6651643</t>
  </si>
  <si>
    <t>ｾｲﾆﾁ/ﾕﾆﾊﾟｯｸ ﾏｰｸ付き 0.04mm MARK-D 100枚入 #6651644</t>
  </si>
  <si>
    <t>ｾｲﾆﾁ/ﾕﾆﾊﾟｯｸ(R) 厚口 560×400×0.08mm 100枚入/SL-8</t>
  </si>
  <si>
    <t>ｾｲﾆﾁ/ﾗﾐｼﾞｯﾌﾟ ｽﾀﾝﾄﾞﾀｲﾌﾟ 50枚 32+100×80mm/LZ-8</t>
  </si>
  <si>
    <t>ｾｲﾆﾁ/ﾗﾐｼﾞｯﾌﾟ ｽﾀﾝﾄﾞﾀｲﾌﾟ 50枚 32+115×90mm/LZ-9</t>
  </si>
  <si>
    <t>ｾｲﾆﾁ/ﾗﾐｼﾞｯﾌﾟ ｽﾀﾝﾄﾞﾀｲﾌﾟ 50枚 32+160×100mm/LZ-10</t>
  </si>
  <si>
    <t>ｾｲﾆﾁ/ﾗﾐｼﾞｯﾌﾟ ｽﾀﾝﾄﾞﾀｲﾌﾟ 50枚 32+180×120mm/LZ-12</t>
  </si>
  <si>
    <t>ｾｲﾆﾁ/ﾗﾐｼﾞｯﾌﾟ ｽﾀﾝﾄﾞﾀｲﾌﾟ 50枚 32+200×140mm/LZ-14</t>
  </si>
  <si>
    <t>ｾｲﾆﾁ/ﾗﾐｼﾞｯﾌﾟ ｽﾀﾝﾄﾞﾀｲﾌﾟ 50枚 32+230×160mm/LZ-16</t>
  </si>
  <si>
    <t>ｾｲﾆﾁ/ﾗﾐｼﾞｯﾌﾟ ｽﾀﾝﾄﾞﾀｲﾌﾟ 50枚 32+260×180mm/LZ-18</t>
  </si>
  <si>
    <t>ｾｲﾆﾁ/ﾗﾐｼﾞｯﾌﾟ ｽﾀﾝﾄﾞﾀｲﾌﾟ 50枚 32+280×200mm/LZ-20</t>
  </si>
  <si>
    <t>ｾｲﾆﾁ/ﾗﾐｼﾞｯﾌﾟ ｽﾀﾝﾄﾞﾀｲﾌﾟ 50枚 32+300×220mm/LZ-22</t>
  </si>
  <si>
    <t>ｾｲﾆﾁ/ﾗﾐｼﾞｯﾌﾟ ｽﾀﾝﾄﾞﾀｲﾌﾟ 50枚 32+340×240mm/LZ-24</t>
  </si>
  <si>
    <t>ｾｲﾆﾁ/ﾗﾐｼﾞｯﾌﾟ ｽﾀﾝﾄﾞﾀｲﾌﾟ 50枚 32+100×80mm/AL-8</t>
  </si>
  <si>
    <t>ｾｲﾆﾁ/ﾗﾐｼﾞｯﾌﾟ ｽﾀﾝﾄﾞﾀｲﾌﾟ 50枚 32+115×90mm/AL-9</t>
  </si>
  <si>
    <t>ｾｲﾆﾁ/ﾗﾐｼﾞｯﾌﾟ ｽﾀﾝﾄﾞﾀｲﾌﾟ 50枚 32+160×100mm/AL-10</t>
  </si>
  <si>
    <t>ｾｲﾆﾁ/ﾗﾐｼﾞｯﾌﾟ ｽﾀﾝﾄﾞﾀｲﾌﾟ 50枚 32+180×120mm/AL-12</t>
  </si>
  <si>
    <t>ｾｲﾆﾁ/ﾗﾐｼﾞｯﾌﾟ ｽﾀﾝﾄﾞﾀｲﾌﾟ 50枚 32+200×140mm/AL-14</t>
  </si>
  <si>
    <t>ｾｲﾆﾁ/ﾗﾐｼﾞｯﾌﾟ ｽﾀﾝﾄﾞﾀｲﾌﾟ 50枚 32+230×160mm/AL-16</t>
  </si>
  <si>
    <t>ｾｲﾆﾁ/ﾗﾐｼﾞｯﾌﾟ ｽﾀﾝﾄﾞﾀｲﾌﾟ 50枚 32+260×180mm/AL-18</t>
  </si>
  <si>
    <t>ｾｲﾆﾁ/ﾗﾐｼﾞｯﾌﾟ ｽﾀﾝﾄﾞﾀｲﾌﾟ 50枚 32+280×200mm/AL-20</t>
  </si>
  <si>
    <t>ｾｲﾆﾁ/ﾗﾐｼﾞｯﾌﾟ ｽﾀﾝﾄﾞﾀｲﾌﾟ 50枚 32+300×220mm/AL-22</t>
  </si>
  <si>
    <t>ｾｲﾆﾁ/ﾗﾐｼﾞｯﾌﾟ ｽﾀﾝﾄﾞﾀｲﾌﾟ 50枚 32+340×240mm/AL-24</t>
  </si>
  <si>
    <t>ｾｲﾆﾁ/ﾗﾐｼﾞｯﾌﾟ ｽﾀﾝﾄﾞﾀｲﾌﾟ 50枚 32+170×110mm/LZ-11</t>
  </si>
  <si>
    <t>ｾｲﾆﾁ/ﾗﾐｼﾞｯﾌﾟ ｽﾀﾝﾄﾞﾀｲﾌﾟ 50枚 32+190×130mm/LZ-13</t>
  </si>
  <si>
    <t>ｾｲﾆﾁ/ﾗﾐｼﾞｯﾌﾟ ｽﾀﾝﾄﾞﾀｲﾌﾟ 50枚 32+210×150mm/LZ-15</t>
  </si>
  <si>
    <t>ｾｲﾆﾁ/ﾗﾐｼﾞｯﾌﾟ ｽﾀﾝﾄﾞﾀｲﾌﾟ 50枚 32+170×110mm/AL-11</t>
  </si>
  <si>
    <t>ｾｲﾆﾁ/ﾗﾐｼﾞｯﾌﾟ ｽﾀﾝﾄﾞﾀｲﾌﾟ 50枚 32+190×130mm/AL-13</t>
  </si>
  <si>
    <t>ｾｲﾆﾁ/ﾗﾐｼﾞｯﾌﾟ ｽﾀﾝﾄﾞﾀｲﾌﾟ 50枚 32+210×150mm/AL-15</t>
  </si>
  <si>
    <t>-</t>
  </si>
  <si>
    <t>-</t>
    <phoneticPr fontId="2"/>
  </si>
  <si>
    <t>ユニパック（R）（チャック袋）　0.04mm厚　L-4　A3　340×480mm　1袋（100枚入）　生産日本社　セイニチ</t>
  </si>
  <si>
    <t>ユニパック（R）（チャック袋）　0.04mm厚　SL-4　B3　400×560mm　1袋（100枚入）生産日本社　セイニチ</t>
  </si>
  <si>
    <t>ユニパック（R）（チャック袋）　0.08mm厚　K-8　B4　280×400mm　1袋（100枚入）　生産日本社　セイニチ</t>
  </si>
  <si>
    <t>ユニパック（R）（チャック袋） 0.04mm厚 B-4 A8 60×85mm 1袋（100枚） 生産日本社 セイニチ</t>
  </si>
  <si>
    <t>ユニパック（R）（チャック袋） 0.04mm厚 C-4 B8 70×100mm 1袋（100枚） 生産日本社 セイニチ</t>
  </si>
  <si>
    <t>ユニパック（R）（チャック袋） 0.04mm厚 D-4 A7 85×120mm 1袋（100枚） 生産日本社 セイニチ</t>
  </si>
  <si>
    <t>ユニパック（R）（チャック袋） 0.04mm厚 E-4 B7 100×140mm 1袋（100枚） 生産日本社 セイニチ</t>
  </si>
  <si>
    <t>ユニパック（R）（チャック袋） 0.04mm厚 F-4 A6 120×170mm 1袋（100枚入） 生産日本社 セイニチ</t>
  </si>
  <si>
    <t>生産日本社 ユニパックC-8 C-8 1袋（100枚入）</t>
  </si>
  <si>
    <t>生産日本社 ユニパックD-8 D-8 1袋（100枚入）</t>
  </si>
  <si>
    <t>ユニパック（R）（チャック袋） 書き込み欄付き 0.04mm厚 B9 MARK-A 1袋（100枚入） 生産日本社 セイニチ</t>
  </si>
  <si>
    <t>ユニパック（R）（チャック袋） 書き込み欄付き 0.04mm厚 A8 MARK-B 1袋（100枚入） 生産日本社 セイニチ</t>
  </si>
  <si>
    <t>ユニパック（R）（チャック袋） 書き込み欄付き 0.04mm厚 B8 MARK-C 1袋（100枚入） 生産日本社 セイニチ</t>
  </si>
  <si>
    <t>ユニパック（R）（チャック袋） 書き込み欄付き 0.04mm厚 A7 MARK-D 1袋（100枚入） 生産日本社 セイニチ</t>
  </si>
  <si>
    <t>生産日本社 チャック付きポリ袋 ユニパック 厚口 SLー8 006651523 1セット(1袋(100枚)×3)</t>
  </si>
  <si>
    <t>セイニチ ラミジップ（R）（チャック袋）透明ナイロンタイプ LZ-8 横80×縦100×底マチ25mm 1袋（50枚入）</t>
  </si>
  <si>
    <t>ラミジップ（R）（チャック袋）　透明ナイロンタイプ　LZ-9　横90×縦115×底マチ28mm　1袋（50枚入）　生産日本社　セイニチ</t>
  </si>
  <si>
    <t>ラミジップ（R）（チャック袋）　透明ナイロンタイプ　LZ-10　横100×縦160×底マチ30mm　1袋（50枚入）　生産日本社　セイニチ</t>
  </si>
  <si>
    <t>ラミジップ（R）（チャック袋） 透明ナイロンタイプ LZ-12 横120×縦180×底マチ35mm 1セット（150枚：50枚入×3袋） 生産日本社</t>
  </si>
  <si>
    <t>ラミジップ（R）（チャック袋）　透明ナイロンタイプ　LZ-14　横140×縦200×底マチ41mm　1袋（50枚入）　生産日本社　セイニチ</t>
  </si>
  <si>
    <t>ラミジップ（R）（チャック袋）　透明ナイロンタイプ　LZ-16　横160×縦230×底マチ47mm　1袋（50枚入）　生産日本社　セイニチ</t>
  </si>
  <si>
    <t>ラミジップ（R）（チャック袋）　透明ナイロンタイプ　LZ-18　横180×縦260×底マチ53mm　1袋（50枚入）　生産日本社　セイニチ</t>
  </si>
  <si>
    <t>ラミジップ（R）（チャック袋）　透明ナイロンタイプ　LZ-20　横200×縦280×底マチ58mm　1袋（50枚入）　生産日本社　セイニチ</t>
  </si>
  <si>
    <t>ラミジップ（R）（チャック袋）　透明ナイロンタイプ　LZ-22　横220×縦300×底マチ64mm　1袋（50枚入）　生産日本社　セイニチ</t>
  </si>
  <si>
    <t>生産日本社 セイニチ 「ラミジップ」 ナイロンタイプ 340×240+70 5 LZ-24 1袋(50枚) 381-3479</t>
  </si>
  <si>
    <t>生産日本社 セイニチ　「ラミジップ」　ＡＬー８　アルミタイプ　１００×８０＋２ AL-8 1袋(50枚) 381-3347</t>
  </si>
  <si>
    <t>セイニチ ラミジップ（R）（チャック袋）スタンドパック AL AL-9 横90×縦115×底マチ28mm 1袋（50枚入）</t>
  </si>
  <si>
    <t>セイニチ ラミジップ（R）（チャック袋）スタンドパック AL AL-10 横100×縦160×底マチ30mm 1袋（50枚入）</t>
  </si>
  <si>
    <t>セイニチ ラミジップ（R）（チャック袋）スタンドパック AL AL-12 横120 ×縦180×底マチ35mm 1袋（50枚入）</t>
  </si>
  <si>
    <t>セイニチ ラミジップ（R）（チャック袋）スタンドパック AL AL-14 横140 ×縦200×底マチ41mm 1袋（50枚入）</t>
  </si>
  <si>
    <t>セイニチ ラミジップ（R）（チャック袋）スタンドパック AL AL-16 横160 ×縦230×底マチ47mm 1袋（50枚入）</t>
  </si>
  <si>
    <t>セイニチ ラミジップ（R）（チャック袋）スタンドパック AL AL-18 横180 ×縦260×底マチ53mm 1袋（50枚入）</t>
  </si>
  <si>
    <t>生産日本社 アルミ製ラミジップ ALー22 300×220mm (50枚入) 101-5560810 1袋(50枚)（直送品）</t>
  </si>
  <si>
    <t>生産日本社 セイニチ 「ラミジップ」 ナイロンタイプ 170×110+33 5 LZ-11 1袋(50枚) 381-3380</t>
  </si>
  <si>
    <t>生産日本社 セイニチ 「ラミジップ」 ナイロンタイプ 190×130+37 5 LZ-13 1袋(50枚) 381-3401</t>
  </si>
  <si>
    <t>生産日本社 ラミジップ スタンドタイプ 透明 LZ-15 006656942 1セット(50枚入×4袋 合計200枚)（直送品）</t>
  </si>
  <si>
    <t>生産日本社 セイニチ 「ラミジップ」 アルミタイプ 170×110+33 (5 AL-11 1袋(50枚) 381-3223</t>
  </si>
  <si>
    <t>生産日本社 セイニチ　「ラミジップ」　アルミタイプ　１９０×１３０＋３７　（５ AL-13 1袋(50枚) 381-3258</t>
  </si>
  <si>
    <t>生産日本社 ラミジップ スタンドタイプ アルミ AL-15 006656813 1セット(50枚入×4袋 合計200枚)（直送品）</t>
  </si>
  <si>
    <t>1301671</t>
  </si>
  <si>
    <t>1袋（100枚入）</t>
  </si>
  <si>
    <t>1301635</t>
  </si>
  <si>
    <t>2869099</t>
  </si>
  <si>
    <t>JX54712</t>
  </si>
  <si>
    <t>JX54730</t>
  </si>
  <si>
    <t>JX54736</t>
  </si>
  <si>
    <t>JX54711</t>
  </si>
  <si>
    <t>7964232</t>
  </si>
  <si>
    <t>JX54731</t>
  </si>
  <si>
    <t>JX54723</t>
  </si>
  <si>
    <t>JX54719</t>
  </si>
  <si>
    <t>JX54728</t>
  </si>
  <si>
    <t>JX54718</t>
  </si>
  <si>
    <t>JX54726</t>
  </si>
  <si>
    <t>HA01680</t>
  </si>
  <si>
    <t>1セット(1袋（100枚）×3)</t>
  </si>
  <si>
    <t>AX47529</t>
  </si>
  <si>
    <t>1袋</t>
  </si>
  <si>
    <t>8492403</t>
  </si>
  <si>
    <t>1袋（50枚入）</t>
  </si>
  <si>
    <t>8492412</t>
  </si>
  <si>
    <t>5408774</t>
  </si>
  <si>
    <t>1セット（150枚</t>
  </si>
  <si>
    <t>8492440</t>
  </si>
  <si>
    <t>5388063</t>
  </si>
  <si>
    <t>5388072</t>
  </si>
  <si>
    <t>5388223</t>
  </si>
  <si>
    <t>5388232</t>
  </si>
  <si>
    <t>K406652</t>
  </si>
  <si>
    <t>1袋（50枚）</t>
  </si>
  <si>
    <t>K406452</t>
  </si>
  <si>
    <t>8492459</t>
  </si>
  <si>
    <t>8492468</t>
  </si>
  <si>
    <t>8492477</t>
  </si>
  <si>
    <t>8492495</t>
  </si>
  <si>
    <t>5388241</t>
  </si>
  <si>
    <t>5388260</t>
  </si>
  <si>
    <t>N759697</t>
  </si>
  <si>
    <t>1袋(50枚)</t>
  </si>
  <si>
    <t>K406518</t>
  </si>
  <si>
    <t>K405027</t>
  </si>
  <si>
    <t>P388132</t>
  </si>
  <si>
    <t>1セット（50枚入×4個）</t>
  </si>
  <si>
    <t>K404152</t>
  </si>
  <si>
    <t>K404127</t>
  </si>
  <si>
    <t>P388115</t>
  </si>
  <si>
    <t>5月
たの</t>
    <rPh sb="1" eb="2">
      <t>ガツ</t>
    </rPh>
    <phoneticPr fontId="2"/>
  </si>
  <si>
    <t>たの
ｽﾗｲﾄﾞ</t>
    <phoneticPr fontId="2"/>
  </si>
  <si>
    <t>5月
カウ</t>
    <rPh sb="1" eb="2">
      <t>ガツ</t>
    </rPh>
    <phoneticPr fontId="2"/>
  </si>
  <si>
    <t>カウ
ｽﾗｲﾄﾞ</t>
    <phoneticPr fontId="2"/>
  </si>
  <si>
    <t>6月売価</t>
    <rPh sb="1" eb="2">
      <t>ガツ</t>
    </rPh>
    <rPh sb="2" eb="4">
      <t>バイカ</t>
    </rPh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</si>
  <si>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</si>
  <si>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</si>
  <si>
    <t>-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</si>
</sst>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13" xfId="0" applyFill="1" applyBorder="1">
      <alignment vertical="center"/>
    </xf>
    <xf numFmtId="0" fontId="0" fillId="2" borderId="12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6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0" xfId="0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T52"/>
  <sheetViews>
    <sheetView tabSelected="1" zoomScale="90" zoomScaleNormal="90" workbookViewId="0">
      <pane xSplit="7" ySplit="5" topLeftCell="L32" activePane="bottomRight" state="frozen"/>
      <selection pane="topRight" activeCell="G1" sqref="G1"/>
      <selection pane="bottomLeft" activeCell="A5" sqref="A5"/>
      <selection pane="bottomRight" activeCell="AJ33" sqref="AJ33"/>
    </sheetView>
  </sheetViews>
  <sheetFormatPr defaultRowHeight="18.75" outlineLevelCol="1" x14ac:dyDescent="0.4"/>
  <cols>
    <col min="1" max="1" width="4.625" customWidth="1"/>
    <col min="2" max="2" width="5.75" customWidth="1"/>
    <col min="3" max="5" width="6.625" customWidth="1"/>
    <col min="6" max="6" width="48.375" customWidth="1"/>
    <col min="7" max="7" width="11.375" customWidth="1"/>
    <col min="8" max="11" width="7.5" hidden="1" customWidth="1" outlineLevel="1"/>
    <col min="12" max="12" width="7.125" customWidth="1" collapsed="1"/>
    <col min="13" max="15" width="7.125" customWidth="1"/>
    <col min="16" max="16" width="5.375" customWidth="1"/>
    <col min="17" max="24" width="7.625" hidden="1" customWidth="1" outlineLevel="1"/>
    <col min="25" max="25" width="6.375" customWidth="1" collapsed="1"/>
    <col min="26" max="28" width="6.375" customWidth="1"/>
    <col min="29" max="29" width="4.375" customWidth="1" collapsed="1"/>
    <col min="30" max="30" width="6.375" customWidth="1"/>
    <col min="31" max="31" width="7.625" customWidth="1"/>
    <col min="32" max="32" width="6.375" customWidth="1"/>
    <col min="33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70" width="7.625" customWidth="1"/>
  </cols>
  <sheetData>
    <row r="1" spans="1:72" x14ac:dyDescent="0.4">
      <c r="C1" s="27" t="s">
        <v>49</v>
      </c>
      <c r="Y1" s="35" t="s">
        <v>46</v>
      </c>
      <c r="Z1" s="36"/>
      <c r="AA1" s="36"/>
      <c r="AB1" s="37"/>
    </row>
    <row r="2" spans="1:72" x14ac:dyDescent="0.4">
      <c r="C2" s="8" t="s">
        <v>33</v>
      </c>
      <c r="D2" s="9" t="s">
        <v>34</v>
      </c>
      <c r="E2" s="9" t="s">
        <v>35</v>
      </c>
      <c r="F2" s="10"/>
      <c r="G2" s="10"/>
      <c r="H2" s="29"/>
      <c r="I2" s="29"/>
      <c r="J2" s="32" t="s">
        <v>36</v>
      </c>
      <c r="K2" s="34"/>
      <c r="L2" s="32" t="s">
        <v>2</v>
      </c>
      <c r="M2" s="33"/>
      <c r="N2" s="33"/>
      <c r="O2" s="34"/>
      <c r="P2" s="11"/>
      <c r="Q2" s="28"/>
      <c r="R2" s="28"/>
      <c r="S2" s="28"/>
      <c r="T2" s="28"/>
      <c r="U2" s="28"/>
      <c r="V2" s="28"/>
      <c r="W2" s="28"/>
      <c r="X2" s="28"/>
      <c r="Y2" s="21"/>
      <c r="Z2" s="22" t="s">
        <v>39</v>
      </c>
      <c r="AA2" s="22"/>
      <c r="AB2" s="23" t="s">
        <v>39</v>
      </c>
      <c r="AC2" s="10"/>
      <c r="AD2" s="9" t="s">
        <v>44</v>
      </c>
      <c r="AE2" s="11"/>
      <c r="AF2" s="11"/>
      <c r="AG2" s="11"/>
      <c r="AH2" s="11"/>
      <c r="AI2" s="11"/>
      <c r="AJ2" s="20" t="s">
        <v>47</v>
      </c>
      <c r="AK2" s="11"/>
      <c r="AL2" s="11"/>
      <c r="AM2" s="25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J2">
        <v>14</v>
      </c>
      <c r="BK2">
        <v>28</v>
      </c>
    </row>
    <row r="3" spans="1:72" ht="75" x14ac:dyDescent="0.4">
      <c r="A3" s="1" t="s">
        <v>57</v>
      </c>
      <c r="B3" s="1" t="s">
        <v>63</v>
      </c>
      <c r="C3" s="2" t="s">
        <v>4</v>
      </c>
      <c r="D3" s="2" t="s">
        <v>9</v>
      </c>
      <c r="E3" s="2" t="s">
        <v>10</v>
      </c>
      <c r="F3" s="2" t="s">
        <v>0</v>
      </c>
      <c r="G3" s="12" t="s">
        <v>7</v>
      </c>
      <c r="H3" s="12" t="s">
        <v>59</v>
      </c>
      <c r="I3" s="12" t="s">
        <v>60</v>
      </c>
      <c r="J3" s="12" t="s">
        <v>30</v>
      </c>
      <c r="K3" s="12" t="s">
        <v>31</v>
      </c>
      <c r="L3" s="12" t="s">
        <v>1</v>
      </c>
      <c r="M3" s="2" t="s">
        <v>8</v>
      </c>
      <c r="N3" s="2" t="s">
        <v>5</v>
      </c>
      <c r="O3" s="2" t="s">
        <v>16</v>
      </c>
      <c r="P3" s="12" t="s">
        <v>53</v>
      </c>
      <c r="Q3" s="12" t="s">
        <v>20</v>
      </c>
      <c r="R3" s="12" t="s">
        <v>21</v>
      </c>
      <c r="S3" s="12" t="s">
        <v>54</v>
      </c>
      <c r="T3" s="12" t="s">
        <v>23</v>
      </c>
      <c r="U3" s="12" t="s">
        <v>24</v>
      </c>
      <c r="V3" s="12" t="s">
        <v>55</v>
      </c>
      <c r="W3" s="12" t="s">
        <v>26</v>
      </c>
      <c r="X3" s="12" t="s">
        <v>27</v>
      </c>
      <c r="Y3" s="12" t="s">
        <v>3</v>
      </c>
      <c r="Z3" s="12" t="s">
        <v>28</v>
      </c>
      <c r="AA3" s="2" t="s">
        <v>5</v>
      </c>
      <c r="AB3" s="12" t="s">
        <v>29</v>
      </c>
      <c r="AC3" s="14" t="s">
        <v>6</v>
      </c>
      <c r="AD3" s="18" t="s">
        <v>17</v>
      </c>
      <c r="AE3" s="2" t="s">
        <v>16</v>
      </c>
      <c r="AF3" s="2" t="s">
        <v>50</v>
      </c>
      <c r="AG3" s="12" t="s">
        <v>45</v>
      </c>
      <c r="AH3" s="12" t="s">
        <v>61</v>
      </c>
      <c r="AI3" s="2" t="s">
        <v>16</v>
      </c>
      <c r="AJ3" s="13" t="s">
        <v>37</v>
      </c>
      <c r="AK3" s="2" t="s">
        <v>16</v>
      </c>
      <c r="AL3" s="2" t="s">
        <v>38</v>
      </c>
      <c r="AM3" s="24" t="s">
        <v>40</v>
      </c>
      <c r="AN3" s="12" t="s">
        <v>41</v>
      </c>
      <c r="AO3" s="12" t="s">
        <v>42</v>
      </c>
      <c r="AP3" s="12" t="s">
        <v>32</v>
      </c>
      <c r="AQ3" s="12" t="s">
        <v>43</v>
      </c>
      <c r="AR3" s="12" t="s">
        <v>18</v>
      </c>
      <c r="AS3" s="12" t="s">
        <v>19</v>
      </c>
      <c r="AT3" s="12" t="s">
        <v>20</v>
      </c>
      <c r="AU3" s="12" t="s">
        <v>21</v>
      </c>
      <c r="AV3" s="12" t="s">
        <v>22</v>
      </c>
      <c r="AW3" s="12" t="s">
        <v>23</v>
      </c>
      <c r="AX3" s="12" t="s">
        <v>24</v>
      </c>
      <c r="AY3" s="12" t="s">
        <v>25</v>
      </c>
      <c r="AZ3" s="12" t="s">
        <v>26</v>
      </c>
      <c r="BA3" s="12" t="s">
        <v>27</v>
      </c>
      <c r="BB3" s="2" t="s">
        <v>11</v>
      </c>
      <c r="BC3" s="2" t="s">
        <v>12</v>
      </c>
      <c r="BD3" s="2" t="s">
        <v>13</v>
      </c>
      <c r="BE3" s="2" t="s">
        <v>14</v>
      </c>
      <c r="BF3" s="12" t="s">
        <v>48</v>
      </c>
      <c r="BG3" s="2" t="s">
        <v>62</v>
      </c>
      <c r="BH3" s="2" t="s">
        <v>232</v>
      </c>
      <c r="BI3" s="2" t="s">
        <v>15</v>
      </c>
      <c r="BJ3" s="17" t="s">
        <v>51</v>
      </c>
      <c r="BK3" s="17" t="s">
        <v>52</v>
      </c>
      <c r="BL3" s="15" t="s">
        <v>58</v>
      </c>
      <c r="BM3" s="31" t="s">
        <v>228</v>
      </c>
      <c r="BN3" s="31" t="s">
        <v>233</v>
      </c>
      <c r="BO3" s="30" t="s">
        <v>229</v>
      </c>
      <c r="BP3" s="30" t="s">
        <v>230</v>
      </c>
      <c r="BQ3" s="30" t="s">
        <v>234</v>
      </c>
      <c r="BR3" s="30" t="s">
        <v>231</v>
      </c>
      <c r="BS3" t="s">
        <v>56</v>
      </c>
      <c r="BT3" s="30" t="s">
        <v>235</v>
      </c>
    </row>
    <row r="4" spans="1:72" x14ac:dyDescent="0.4">
      <c r="A4" s="3">
        <v>1</v>
      </c>
      <c r="B4" s="3">
        <v>1</v>
      </c>
      <c r="C4" s="4">
        <v>675682</v>
      </c>
      <c r="D4" s="4" t="str">
        <f>TEXT(C4,"000000")</f>
        <v>675682</v>
      </c>
      <c r="E4" s="4">
        <v>675682</v>
      </c>
      <c r="F4" s="4" t="s">
        <v>91</v>
      </c>
      <c r="G4" s="5">
        <v>4909767112000</v>
      </c>
      <c r="H4" s="5"/>
      <c r="I4" s="5"/>
      <c r="J4" s="5">
        <v>1</v>
      </c>
      <c r="K4" s="5">
        <v>1</v>
      </c>
      <c r="L4" s="4">
        <v>0</v>
      </c>
      <c r="M4" s="4">
        <v>822</v>
      </c>
      <c r="N4" s="4">
        <v>519</v>
      </c>
      <c r="O4" s="6">
        <f t="shared" ref="O4:O13" si="0">1-N4/M4</f>
        <v>0.36861313868613144</v>
      </c>
      <c r="P4" s="4" t="s">
        <v>141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585</v>
      </c>
      <c r="AB4" s="4">
        <f>IF(AC4="",AA4,AA4*AC4)</f>
        <v>585</v>
      </c>
      <c r="AC4" s="4"/>
      <c r="AD4" s="19">
        <f t="shared" ref="AD4:AD22" si="1">ROUND(M4*AR4,0)</f>
        <v>927</v>
      </c>
      <c r="AE4" s="6">
        <f t="shared" ref="AE4" si="2">1-AB4/AD4</f>
        <v>0.3689320388349514</v>
      </c>
      <c r="AF4" s="4">
        <v>2</v>
      </c>
      <c r="AG4" s="4" t="str">
        <f>BI4</f>
        <v>-</v>
      </c>
      <c r="AH4" s="4" t="e">
        <f t="shared" ref="AH4:AH22" si="3">AG4*AR4</f>
        <v>#VALUE!</v>
      </c>
      <c r="AI4" s="6" t="e">
        <f t="shared" ref="AI4:AI22" si="4">1-AB4/AH4</f>
        <v>#VALUE!</v>
      </c>
      <c r="AJ4" s="7">
        <v>839</v>
      </c>
      <c r="AK4" s="6">
        <f t="shared" ref="AK4:AK22" si="5">1-AB4/AJ4</f>
        <v>0.30274135876042907</v>
      </c>
      <c r="AL4" s="4">
        <f t="shared" ref="AL4:AL22" si="6">AJ4-AB4</f>
        <v>254</v>
      </c>
      <c r="AM4" s="26"/>
      <c r="AN4" s="6" t="e">
        <f>1-AB4/AM4</f>
        <v>#DIV/0!</v>
      </c>
      <c r="AO4" s="4">
        <f>AM4-AB4</f>
        <v>-585</v>
      </c>
      <c r="AP4" s="6" t="e">
        <f t="shared" ref="AP4:AP22" si="7">Z4/L4</f>
        <v>#DIV/0!</v>
      </c>
      <c r="AQ4" s="6">
        <f t="shared" ref="AQ4:AQ22" si="8">AJ4/M4</f>
        <v>1.0206812652068127</v>
      </c>
      <c r="AR4" s="6">
        <f t="shared" ref="AR4:AR22" si="9">AB4/N4</f>
        <v>1.1271676300578035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 t="s">
        <v>90</v>
      </c>
      <c r="BC4" s="4" t="s">
        <v>140</v>
      </c>
      <c r="BD4" s="4"/>
      <c r="BE4" s="4"/>
      <c r="BF4" s="4" t="s">
        <v>140</v>
      </c>
      <c r="BG4" s="4" t="s">
        <v>140</v>
      </c>
      <c r="BH4" s="4" t="s">
        <v>140</v>
      </c>
      <c r="BI4" s="4" t="str">
        <f t="shared" ref="BI4:BI5" si="10">IF(BD4="",BH4,BD4/BE4*BH4)</f>
        <v>-</v>
      </c>
      <c r="BJ4" s="4">
        <v>4</v>
      </c>
      <c r="BK4" s="4">
        <v>1</v>
      </c>
      <c r="BL4" s="4">
        <v>18</v>
      </c>
      <c r="BM4">
        <v>745</v>
      </c>
      <c r="BN4">
        <v>745</v>
      </c>
      <c r="BO4">
        <f>IFERROR(BN4*AR4,"-")</f>
        <v>839.73988439306368</v>
      </c>
      <c r="BP4">
        <v>51205</v>
      </c>
      <c r="BQ4" t="s">
        <v>140</v>
      </c>
      <c r="BR4" t="str">
        <f>IFERROR(BQ4*AR4,"-")</f>
        <v>-</v>
      </c>
      <c r="BS4" s="4" t="s">
        <v>140</v>
      </c>
      <c r="BT4" s="38">
        <f>AQ4-AR4</f>
        <v>-0.10648636485099083</v>
      </c>
    </row>
    <row r="5" spans="1:72" x14ac:dyDescent="0.4">
      <c r="A5" s="3">
        <v>2</v>
      </c>
      <c r="B5" s="3">
        <v>2</v>
      </c>
      <c r="C5" s="4">
        <v>172487</v>
      </c>
      <c r="D5" s="4" t="str">
        <f t="shared" ref="D5:D13" si="11">TEXT(C5,"000000")</f>
        <v>172487</v>
      </c>
      <c r="E5" s="4">
        <v>172487</v>
      </c>
      <c r="F5" s="4" t="s">
        <v>92</v>
      </c>
      <c r="G5" s="5">
        <v>4909767112123</v>
      </c>
      <c r="H5" s="5"/>
      <c r="I5" s="5"/>
      <c r="J5" s="5">
        <v>1</v>
      </c>
      <c r="K5" s="5">
        <v>1</v>
      </c>
      <c r="L5" s="4">
        <v>0</v>
      </c>
      <c r="M5" s="4">
        <v>2060</v>
      </c>
      <c r="N5" s="4">
        <v>1476</v>
      </c>
      <c r="O5" s="6">
        <f t="shared" si="0"/>
        <v>0.28349514563106792</v>
      </c>
      <c r="P5" s="4" t="s">
        <v>141</v>
      </c>
      <c r="Q5" s="4"/>
      <c r="R5" s="4"/>
      <c r="S5" s="4"/>
      <c r="T5" s="4"/>
      <c r="U5" s="4"/>
      <c r="V5" s="4"/>
      <c r="W5" s="4"/>
      <c r="X5" s="4"/>
      <c r="Y5" s="4">
        <v>0</v>
      </c>
      <c r="Z5" s="4">
        <f t="shared" ref="Z5:Z13" si="12">IF(AC5="",Y5,Y5*AC5)</f>
        <v>0</v>
      </c>
      <c r="AA5" s="4">
        <v>1955</v>
      </c>
      <c r="AB5" s="4">
        <f t="shared" ref="AB5:AB13" si="13">IF(AC5="",AA5,AA5*AC5)</f>
        <v>1955</v>
      </c>
      <c r="AC5" s="4"/>
      <c r="AD5" s="19">
        <f t="shared" si="1"/>
        <v>2729</v>
      </c>
      <c r="AE5" s="6">
        <f t="shared" ref="AE5" si="14">1-AB5/AD5</f>
        <v>0.28362037376328331</v>
      </c>
      <c r="AF5" s="4">
        <v>3.75</v>
      </c>
      <c r="AG5" s="4" t="str">
        <f t="shared" ref="AG5:AG13" si="15">BI5</f>
        <v>-</v>
      </c>
      <c r="AH5" s="4" t="e">
        <f t="shared" si="3"/>
        <v>#VALUE!</v>
      </c>
      <c r="AI5" s="6" t="e">
        <f t="shared" si="4"/>
        <v>#VALUE!</v>
      </c>
      <c r="AJ5" s="7">
        <v>2730</v>
      </c>
      <c r="AK5" s="6">
        <f t="shared" si="5"/>
        <v>0.28388278388278387</v>
      </c>
      <c r="AL5" s="4">
        <f t="shared" si="6"/>
        <v>775</v>
      </c>
      <c r="AM5" s="26"/>
      <c r="AN5" s="6"/>
      <c r="AO5" s="6"/>
      <c r="AP5" s="6" t="e">
        <f t="shared" si="7"/>
        <v>#DIV/0!</v>
      </c>
      <c r="AQ5" s="6">
        <f t="shared" si="8"/>
        <v>1.325242718446602</v>
      </c>
      <c r="AR5" s="6">
        <f t="shared" si="9"/>
        <v>1.3245257452574526</v>
      </c>
      <c r="AS5" s="4"/>
      <c r="AT5" s="4"/>
      <c r="AU5" s="4"/>
      <c r="AV5" s="4"/>
      <c r="AW5" s="4"/>
      <c r="AX5" s="4"/>
      <c r="AY5" s="4"/>
      <c r="AZ5" s="4"/>
      <c r="BA5" s="4"/>
      <c r="BB5" s="4" t="s">
        <v>90</v>
      </c>
      <c r="BC5" s="4" t="s">
        <v>181</v>
      </c>
      <c r="BD5" s="4"/>
      <c r="BE5" s="4"/>
      <c r="BF5" s="4" t="s">
        <v>182</v>
      </c>
      <c r="BG5" s="4">
        <v>2055</v>
      </c>
      <c r="BH5" s="4" t="s">
        <v>140</v>
      </c>
      <c r="BI5" s="4" t="str">
        <f t="shared" si="10"/>
        <v>-</v>
      </c>
      <c r="BJ5" s="4">
        <v>4</v>
      </c>
      <c r="BK5" s="4">
        <v>1</v>
      </c>
      <c r="BL5" s="4">
        <v>18</v>
      </c>
      <c r="BM5">
        <v>2213</v>
      </c>
      <c r="BN5">
        <v>2213</v>
      </c>
      <c r="BO5">
        <f t="shared" ref="BO5:BO52" si="16">IFERROR(BN5*AR5,"-")</f>
        <v>2931.1754742547428</v>
      </c>
      <c r="BP5">
        <v>2200</v>
      </c>
      <c r="BQ5" t="s">
        <v>140</v>
      </c>
      <c r="BR5" t="str">
        <f t="shared" ref="BR5:BR52" si="17">IFERROR(BQ5*AR5,"-")</f>
        <v>-</v>
      </c>
      <c r="BS5" s="4" t="s">
        <v>142</v>
      </c>
      <c r="BT5" s="38">
        <f t="shared" ref="BT5:BT52" si="18">AQ5-AR5</f>
        <v>7.1697318914942798E-4</v>
      </c>
    </row>
    <row r="6" spans="1:72" x14ac:dyDescent="0.4">
      <c r="A6" s="3">
        <v>3</v>
      </c>
      <c r="B6" s="3">
        <v>3</v>
      </c>
      <c r="C6" s="16">
        <v>172489</v>
      </c>
      <c r="D6" s="4" t="str">
        <f t="shared" si="11"/>
        <v>172489</v>
      </c>
      <c r="E6" s="4">
        <v>172489</v>
      </c>
      <c r="F6" s="4" t="s">
        <v>93</v>
      </c>
      <c r="G6" s="5">
        <v>4909767112130</v>
      </c>
      <c r="H6" s="5"/>
      <c r="I6" s="5"/>
      <c r="J6" s="5">
        <v>1</v>
      </c>
      <c r="K6" s="5">
        <v>1</v>
      </c>
      <c r="L6" s="4">
        <v>0</v>
      </c>
      <c r="M6" s="4">
        <v>3090</v>
      </c>
      <c r="N6" s="4">
        <v>2210</v>
      </c>
      <c r="O6" s="6">
        <f t="shared" si="0"/>
        <v>0.28478964401294493</v>
      </c>
      <c r="P6" s="4" t="s">
        <v>141</v>
      </c>
      <c r="Q6" s="4"/>
      <c r="R6" s="4"/>
      <c r="S6" s="4"/>
      <c r="T6" s="4"/>
      <c r="U6" s="4"/>
      <c r="V6" s="4"/>
      <c r="W6" s="4"/>
      <c r="X6" s="4"/>
      <c r="Y6" s="4">
        <v>0</v>
      </c>
      <c r="Z6" s="4">
        <f t="shared" si="12"/>
        <v>0</v>
      </c>
      <c r="AA6" s="4">
        <v>2864</v>
      </c>
      <c r="AB6" s="4">
        <f t="shared" si="13"/>
        <v>2864</v>
      </c>
      <c r="AC6" s="4"/>
      <c r="AD6" s="19">
        <f t="shared" si="1"/>
        <v>4004</v>
      </c>
      <c r="AE6" s="6">
        <f t="shared" ref="AE6:AE13" si="19">1-AB6/AD6</f>
        <v>0.28471528471528473</v>
      </c>
      <c r="AF6" s="4">
        <v>6.25</v>
      </c>
      <c r="AG6" s="4">
        <f t="shared" si="15"/>
        <v>3071</v>
      </c>
      <c r="AH6" s="4">
        <f t="shared" si="3"/>
        <v>3979.7936651583714</v>
      </c>
      <c r="AI6" s="6">
        <f t="shared" si="4"/>
        <v>0.28036470205144914</v>
      </c>
      <c r="AJ6" s="7">
        <v>4000</v>
      </c>
      <c r="AK6" s="6">
        <f t="shared" si="5"/>
        <v>0.28400000000000003</v>
      </c>
      <c r="AL6" s="4">
        <f t="shared" si="6"/>
        <v>1136</v>
      </c>
      <c r="AM6" s="26"/>
      <c r="AN6" s="6"/>
      <c r="AO6" s="6"/>
      <c r="AP6" s="6" t="e">
        <f t="shared" si="7"/>
        <v>#DIV/0!</v>
      </c>
      <c r="AQ6" s="6">
        <f t="shared" si="8"/>
        <v>1.2944983818770226</v>
      </c>
      <c r="AR6" s="6">
        <f t="shared" si="9"/>
        <v>1.2959276018099548</v>
      </c>
      <c r="AS6" s="4"/>
      <c r="AT6" s="4"/>
      <c r="AU6" s="4"/>
      <c r="AV6" s="4"/>
      <c r="AW6" s="4"/>
      <c r="AX6" s="4"/>
      <c r="AY6" s="4"/>
      <c r="AZ6" s="4"/>
      <c r="BA6" s="4"/>
      <c r="BB6" s="4" t="s">
        <v>90</v>
      </c>
      <c r="BC6" s="4" t="s">
        <v>183</v>
      </c>
      <c r="BD6" s="4"/>
      <c r="BE6" s="4"/>
      <c r="BF6" s="4" t="s">
        <v>182</v>
      </c>
      <c r="BG6" s="4">
        <v>2666</v>
      </c>
      <c r="BH6" s="4">
        <v>3071</v>
      </c>
      <c r="BI6" s="4">
        <f t="shared" ref="BI6:BI13" si="20">IF(BD6="",BH6,BD6/BE6*BH6)</f>
        <v>3071</v>
      </c>
      <c r="BJ6" s="4">
        <v>4</v>
      </c>
      <c r="BK6" s="4">
        <v>1</v>
      </c>
      <c r="BL6" s="4">
        <v>18</v>
      </c>
      <c r="BM6">
        <v>3738</v>
      </c>
      <c r="BN6">
        <v>3738</v>
      </c>
      <c r="BO6">
        <f t="shared" si="16"/>
        <v>4844.1773755656113</v>
      </c>
      <c r="BP6">
        <v>2776</v>
      </c>
      <c r="BQ6">
        <v>3610</v>
      </c>
      <c r="BR6">
        <f t="shared" si="17"/>
        <v>4678.2986425339368</v>
      </c>
      <c r="BS6" s="4" t="s">
        <v>143</v>
      </c>
      <c r="BT6" s="38">
        <f t="shared" si="18"/>
        <v>-1.4292199329322131E-3</v>
      </c>
    </row>
    <row r="7" spans="1:72" x14ac:dyDescent="0.4">
      <c r="A7" s="3">
        <v>4</v>
      </c>
      <c r="B7" s="3">
        <v>4</v>
      </c>
      <c r="C7" s="16">
        <v>680111</v>
      </c>
      <c r="D7" s="4" t="str">
        <f t="shared" si="11"/>
        <v>680111</v>
      </c>
      <c r="E7" s="4">
        <v>680111</v>
      </c>
      <c r="F7" s="4" t="s">
        <v>94</v>
      </c>
      <c r="G7" s="5">
        <v>4909767112260</v>
      </c>
      <c r="H7" s="5"/>
      <c r="I7" s="5"/>
      <c r="J7" s="5">
        <v>1</v>
      </c>
      <c r="K7" s="5">
        <v>1</v>
      </c>
      <c r="L7" s="4">
        <v>0</v>
      </c>
      <c r="M7" s="4">
        <v>830</v>
      </c>
      <c r="N7" s="4">
        <v>503</v>
      </c>
      <c r="O7" s="6">
        <f t="shared" si="0"/>
        <v>0.39397590361445778</v>
      </c>
      <c r="P7" s="4" t="s">
        <v>141</v>
      </c>
      <c r="Q7" s="4"/>
      <c r="R7" s="4"/>
      <c r="S7" s="4"/>
      <c r="T7" s="4"/>
      <c r="U7" s="4"/>
      <c r="V7" s="4"/>
      <c r="W7" s="4"/>
      <c r="X7" s="4"/>
      <c r="Y7" s="4">
        <v>0</v>
      </c>
      <c r="Z7" s="4">
        <f t="shared" si="12"/>
        <v>0</v>
      </c>
      <c r="AA7" s="4">
        <v>629</v>
      </c>
      <c r="AB7" s="4">
        <f t="shared" si="13"/>
        <v>629</v>
      </c>
      <c r="AC7" s="4"/>
      <c r="AD7" s="19">
        <f t="shared" si="1"/>
        <v>1038</v>
      </c>
      <c r="AE7" s="6">
        <f t="shared" si="19"/>
        <v>0.39402697495183048</v>
      </c>
      <c r="AF7" s="4">
        <v>11.5</v>
      </c>
      <c r="AG7" s="4" t="str">
        <f t="shared" si="15"/>
        <v>-</v>
      </c>
      <c r="AH7" s="4" t="e">
        <f t="shared" si="3"/>
        <v>#VALUE!</v>
      </c>
      <c r="AI7" s="6" t="e">
        <f t="shared" si="4"/>
        <v>#VALUE!</v>
      </c>
      <c r="AJ7" s="7">
        <v>1038</v>
      </c>
      <c r="AK7" s="6">
        <f t="shared" si="5"/>
        <v>0.39402697495183048</v>
      </c>
      <c r="AL7" s="4">
        <f t="shared" si="6"/>
        <v>409</v>
      </c>
      <c r="AM7" s="26"/>
      <c r="AN7" s="6"/>
      <c r="AO7" s="6"/>
      <c r="AP7" s="6" t="e">
        <f t="shared" si="7"/>
        <v>#DIV/0!</v>
      </c>
      <c r="AQ7" s="6">
        <f t="shared" si="8"/>
        <v>1.2506024096385542</v>
      </c>
      <c r="AR7" s="6">
        <f t="shared" si="9"/>
        <v>1.2504970178926442</v>
      </c>
      <c r="AS7" s="4"/>
      <c r="AT7" s="4"/>
      <c r="AU7" s="4"/>
      <c r="AV7" s="4"/>
      <c r="AW7" s="4"/>
      <c r="AX7" s="4"/>
      <c r="AY7" s="4"/>
      <c r="AZ7" s="4"/>
      <c r="BA7" s="4"/>
      <c r="BB7" s="4" t="s">
        <v>90</v>
      </c>
      <c r="BC7" s="4" t="s">
        <v>140</v>
      </c>
      <c r="BD7" s="4"/>
      <c r="BE7" s="4"/>
      <c r="BF7" s="4" t="s">
        <v>140</v>
      </c>
      <c r="BG7" s="4" t="s">
        <v>140</v>
      </c>
      <c r="BH7" s="4" t="s">
        <v>140</v>
      </c>
      <c r="BI7" s="4" t="str">
        <f t="shared" si="20"/>
        <v>-</v>
      </c>
      <c r="BJ7" s="4">
        <v>4</v>
      </c>
      <c r="BK7" s="4">
        <v>1</v>
      </c>
      <c r="BL7" s="4">
        <v>18</v>
      </c>
      <c r="BM7">
        <v>659</v>
      </c>
      <c r="BN7">
        <v>659</v>
      </c>
      <c r="BO7">
        <f t="shared" si="16"/>
        <v>824.07753479125256</v>
      </c>
      <c r="BP7">
        <v>670</v>
      </c>
      <c r="BQ7" t="s">
        <v>140</v>
      </c>
      <c r="BR7" t="str">
        <f t="shared" si="17"/>
        <v>-</v>
      </c>
      <c r="BS7" s="4" t="s">
        <v>140</v>
      </c>
      <c r="BT7" s="38">
        <f t="shared" si="18"/>
        <v>1.0539174590995515E-4</v>
      </c>
    </row>
    <row r="8" spans="1:72" x14ac:dyDescent="0.4">
      <c r="A8" s="3">
        <v>5</v>
      </c>
      <c r="B8" s="3">
        <v>5</v>
      </c>
      <c r="C8" s="16">
        <v>172490</v>
      </c>
      <c r="D8" s="4" t="str">
        <f t="shared" si="11"/>
        <v>172490</v>
      </c>
      <c r="E8" s="4">
        <v>172490</v>
      </c>
      <c r="F8" s="4" t="s">
        <v>95</v>
      </c>
      <c r="G8" s="5">
        <v>4909767112314</v>
      </c>
      <c r="H8" s="5"/>
      <c r="I8" s="5"/>
      <c r="J8" s="5">
        <v>1</v>
      </c>
      <c r="K8" s="5">
        <v>1</v>
      </c>
      <c r="L8" s="4">
        <v>0</v>
      </c>
      <c r="M8" s="4">
        <v>2946</v>
      </c>
      <c r="N8" s="4">
        <v>1905</v>
      </c>
      <c r="O8" s="6">
        <f t="shared" si="0"/>
        <v>0.35336048879837068</v>
      </c>
      <c r="P8" s="4" t="s">
        <v>141</v>
      </c>
      <c r="Q8" s="4"/>
      <c r="R8" s="4"/>
      <c r="S8" s="4"/>
      <c r="T8" s="4"/>
      <c r="U8" s="4"/>
      <c r="V8" s="4"/>
      <c r="W8" s="4"/>
      <c r="X8" s="4"/>
      <c r="Y8" s="4">
        <v>0</v>
      </c>
      <c r="Z8" s="4">
        <f t="shared" si="12"/>
        <v>0</v>
      </c>
      <c r="AA8" s="4">
        <v>2516</v>
      </c>
      <c r="AB8" s="4">
        <f t="shared" si="13"/>
        <v>2516</v>
      </c>
      <c r="AC8" s="4"/>
      <c r="AD8" s="19">
        <f t="shared" si="1"/>
        <v>3891</v>
      </c>
      <c r="AE8" s="6">
        <f t="shared" si="19"/>
        <v>0.35337959393472118</v>
      </c>
      <c r="AF8" s="4">
        <v>2.25</v>
      </c>
      <c r="AG8" s="4" t="str">
        <f t="shared" si="15"/>
        <v>-</v>
      </c>
      <c r="AH8" s="4" t="e">
        <f t="shared" si="3"/>
        <v>#VALUE!</v>
      </c>
      <c r="AI8" s="6" t="e">
        <f t="shared" si="4"/>
        <v>#VALUE!</v>
      </c>
      <c r="AJ8" s="7">
        <v>3890</v>
      </c>
      <c r="AK8" s="6">
        <f t="shared" si="5"/>
        <v>0.35321336760925448</v>
      </c>
      <c r="AL8" s="4">
        <f t="shared" si="6"/>
        <v>1374</v>
      </c>
      <c r="AM8" s="26"/>
      <c r="AN8" s="6"/>
      <c r="AO8" s="6"/>
      <c r="AP8" s="6" t="e">
        <f t="shared" si="7"/>
        <v>#DIV/0!</v>
      </c>
      <c r="AQ8" s="6">
        <f t="shared" si="8"/>
        <v>1.3204344874405973</v>
      </c>
      <c r="AR8" s="6">
        <f t="shared" si="9"/>
        <v>1.320734908136483</v>
      </c>
      <c r="AS8" s="4"/>
      <c r="AT8" s="4"/>
      <c r="AU8" s="4"/>
      <c r="AV8" s="4"/>
      <c r="AW8" s="4"/>
      <c r="AX8" s="4"/>
      <c r="AY8" s="4"/>
      <c r="AZ8" s="4"/>
      <c r="BA8" s="4"/>
      <c r="BB8" s="4" t="s">
        <v>90</v>
      </c>
      <c r="BC8" s="4" t="s">
        <v>184</v>
      </c>
      <c r="BD8" s="4"/>
      <c r="BE8" s="4"/>
      <c r="BF8" s="4" t="s">
        <v>182</v>
      </c>
      <c r="BG8" s="4">
        <v>2209</v>
      </c>
      <c r="BH8" s="4" t="s">
        <v>140</v>
      </c>
      <c r="BI8" s="4" t="str">
        <f t="shared" si="20"/>
        <v>-</v>
      </c>
      <c r="BJ8" s="4">
        <v>4</v>
      </c>
      <c r="BK8" s="4">
        <v>1</v>
      </c>
      <c r="BL8" s="4">
        <v>18</v>
      </c>
      <c r="BM8">
        <v>2393</v>
      </c>
      <c r="BN8">
        <v>2393</v>
      </c>
      <c r="BO8">
        <f t="shared" si="16"/>
        <v>3160.5186351706038</v>
      </c>
      <c r="BP8">
        <v>29735</v>
      </c>
      <c r="BQ8" t="s">
        <v>140</v>
      </c>
      <c r="BR8" t="str">
        <f t="shared" si="17"/>
        <v>-</v>
      </c>
      <c r="BS8" s="4" t="s">
        <v>144</v>
      </c>
      <c r="BT8" s="38">
        <f t="shared" si="18"/>
        <v>-3.0042069588565035E-4</v>
      </c>
    </row>
    <row r="9" spans="1:72" x14ac:dyDescent="0.4">
      <c r="A9" s="3">
        <v>6</v>
      </c>
      <c r="B9" s="3">
        <v>6</v>
      </c>
      <c r="C9" s="16">
        <v>165316</v>
      </c>
      <c r="D9" s="4" t="str">
        <f t="shared" si="11"/>
        <v>165316</v>
      </c>
      <c r="E9" s="4">
        <v>165316</v>
      </c>
      <c r="F9" s="4" t="s">
        <v>96</v>
      </c>
      <c r="G9" s="5">
        <v>4909767114011</v>
      </c>
      <c r="H9" s="5"/>
      <c r="I9" s="5"/>
      <c r="J9" s="5">
        <v>1</v>
      </c>
      <c r="K9" s="5">
        <v>1</v>
      </c>
      <c r="L9" s="4">
        <v>0</v>
      </c>
      <c r="M9" s="4">
        <v>242</v>
      </c>
      <c r="N9" s="4">
        <v>182</v>
      </c>
      <c r="O9" s="6">
        <f t="shared" si="0"/>
        <v>0.24793388429752061</v>
      </c>
      <c r="P9" s="4" t="s">
        <v>141</v>
      </c>
      <c r="Q9" s="4"/>
      <c r="R9" s="4"/>
      <c r="S9" s="4"/>
      <c r="T9" s="4"/>
      <c r="U9" s="4"/>
      <c r="V9" s="4"/>
      <c r="W9" s="4"/>
      <c r="X9" s="4"/>
      <c r="Y9" s="4">
        <v>0</v>
      </c>
      <c r="Z9" s="4">
        <f t="shared" si="12"/>
        <v>0</v>
      </c>
      <c r="AA9" s="4">
        <v>204</v>
      </c>
      <c r="AB9" s="4">
        <f t="shared" si="13"/>
        <v>204</v>
      </c>
      <c r="AC9" s="4"/>
      <c r="AD9" s="19">
        <f t="shared" si="1"/>
        <v>271</v>
      </c>
      <c r="AE9" s="6">
        <f t="shared" si="19"/>
        <v>0.24723247232472323</v>
      </c>
      <c r="AF9" s="4">
        <v>72.25</v>
      </c>
      <c r="AG9" s="4" t="str">
        <f t="shared" si="15"/>
        <v>-</v>
      </c>
      <c r="AH9" s="4" t="e">
        <f t="shared" si="3"/>
        <v>#VALUE!</v>
      </c>
      <c r="AI9" s="6" t="e">
        <f t="shared" si="4"/>
        <v>#VALUE!</v>
      </c>
      <c r="AJ9" s="7">
        <v>285</v>
      </c>
      <c r="AK9" s="6">
        <f t="shared" si="5"/>
        <v>0.28421052631578947</v>
      </c>
      <c r="AL9" s="4">
        <f t="shared" si="6"/>
        <v>81</v>
      </c>
      <c r="AM9" s="26"/>
      <c r="AN9" s="6"/>
      <c r="AO9" s="6"/>
      <c r="AP9" s="6" t="e">
        <f t="shared" si="7"/>
        <v>#DIV/0!</v>
      </c>
      <c r="AQ9" s="6">
        <f t="shared" si="8"/>
        <v>1.1776859504132231</v>
      </c>
      <c r="AR9" s="6">
        <f t="shared" si="9"/>
        <v>1.1208791208791209</v>
      </c>
      <c r="AS9" s="4"/>
      <c r="AT9" s="4"/>
      <c r="AU9" s="4"/>
      <c r="AV9" s="4"/>
      <c r="AW9" s="4"/>
      <c r="AX9" s="4"/>
      <c r="AY9" s="4"/>
      <c r="AZ9" s="4"/>
      <c r="BA9" s="4"/>
      <c r="BB9" s="4" t="s">
        <v>90</v>
      </c>
      <c r="BC9" s="4" t="s">
        <v>140</v>
      </c>
      <c r="BD9" s="4"/>
      <c r="BE9" s="4"/>
      <c r="BF9" s="4" t="s">
        <v>140</v>
      </c>
      <c r="BG9" s="4" t="s">
        <v>140</v>
      </c>
      <c r="BH9" s="4" t="s">
        <v>140</v>
      </c>
      <c r="BI9" s="4" t="str">
        <f t="shared" si="20"/>
        <v>-</v>
      </c>
      <c r="BJ9" s="4">
        <v>4</v>
      </c>
      <c r="BK9" s="4">
        <v>1</v>
      </c>
      <c r="BL9" s="4">
        <v>18</v>
      </c>
      <c r="BM9">
        <v>255</v>
      </c>
      <c r="BN9">
        <v>255</v>
      </c>
      <c r="BO9">
        <f t="shared" si="16"/>
        <v>285.82417582417582</v>
      </c>
      <c r="BP9">
        <v>333</v>
      </c>
      <c r="BQ9">
        <v>333</v>
      </c>
      <c r="BR9">
        <f t="shared" si="17"/>
        <v>373.25274725274727</v>
      </c>
      <c r="BS9" s="4" t="s">
        <v>140</v>
      </c>
      <c r="BT9" s="38">
        <f t="shared" si="18"/>
        <v>5.680682953410221E-2</v>
      </c>
    </row>
    <row r="10" spans="1:72" x14ac:dyDescent="0.4">
      <c r="A10" s="3">
        <v>7</v>
      </c>
      <c r="B10" s="3">
        <v>7</v>
      </c>
      <c r="C10" s="4">
        <v>172153</v>
      </c>
      <c r="D10" s="4" t="str">
        <f t="shared" si="11"/>
        <v>172153</v>
      </c>
      <c r="E10" s="4">
        <v>172153</v>
      </c>
      <c r="F10" s="4" t="s">
        <v>97</v>
      </c>
      <c r="G10" s="5">
        <v>4909767114028</v>
      </c>
      <c r="H10" s="5"/>
      <c r="I10" s="5"/>
      <c r="J10" s="5">
        <v>1</v>
      </c>
      <c r="K10" s="5">
        <v>1</v>
      </c>
      <c r="L10" s="4">
        <v>0</v>
      </c>
      <c r="M10" s="4">
        <v>337</v>
      </c>
      <c r="N10" s="4">
        <v>190</v>
      </c>
      <c r="O10" s="6">
        <f t="shared" si="0"/>
        <v>0.43620178041543023</v>
      </c>
      <c r="P10" s="4" t="s">
        <v>141</v>
      </c>
      <c r="Q10" s="4"/>
      <c r="R10" s="4"/>
      <c r="S10" s="4"/>
      <c r="T10" s="4"/>
      <c r="U10" s="4"/>
      <c r="V10" s="4"/>
      <c r="W10" s="4"/>
      <c r="X10" s="4"/>
      <c r="Y10" s="4">
        <v>0</v>
      </c>
      <c r="Z10" s="4">
        <f t="shared" si="12"/>
        <v>0</v>
      </c>
      <c r="AA10" s="4">
        <v>221</v>
      </c>
      <c r="AB10" s="4">
        <f t="shared" si="13"/>
        <v>221</v>
      </c>
      <c r="AC10" s="4"/>
      <c r="AD10" s="19">
        <f t="shared" si="1"/>
        <v>392</v>
      </c>
      <c r="AE10" s="6">
        <f t="shared" si="19"/>
        <v>0.43622448979591832</v>
      </c>
      <c r="AF10" s="4">
        <v>30.25</v>
      </c>
      <c r="AG10" s="4">
        <f t="shared" si="15"/>
        <v>273</v>
      </c>
      <c r="AH10" s="4">
        <f t="shared" si="3"/>
        <v>317.54210526315791</v>
      </c>
      <c r="AI10" s="6">
        <f t="shared" si="4"/>
        <v>0.30402930402930406</v>
      </c>
      <c r="AJ10" s="7">
        <v>337</v>
      </c>
      <c r="AK10" s="6">
        <f t="shared" si="5"/>
        <v>0.34421364985163205</v>
      </c>
      <c r="AL10" s="4">
        <f t="shared" si="6"/>
        <v>116</v>
      </c>
      <c r="AM10" s="26"/>
      <c r="AN10" s="6"/>
      <c r="AO10" s="6"/>
      <c r="AP10" s="6" t="e">
        <f t="shared" si="7"/>
        <v>#DIV/0!</v>
      </c>
      <c r="AQ10" s="6">
        <f t="shared" si="8"/>
        <v>1</v>
      </c>
      <c r="AR10" s="6">
        <f t="shared" si="9"/>
        <v>1.1631578947368422</v>
      </c>
      <c r="AS10" s="4"/>
      <c r="AT10" s="4"/>
      <c r="AU10" s="4"/>
      <c r="AV10" s="4"/>
      <c r="AW10" s="4"/>
      <c r="AX10" s="4"/>
      <c r="AY10" s="4"/>
      <c r="AZ10" s="4"/>
      <c r="BA10" s="4"/>
      <c r="BB10" s="4" t="s">
        <v>90</v>
      </c>
      <c r="BC10" s="4" t="s">
        <v>185</v>
      </c>
      <c r="BD10" s="4"/>
      <c r="BE10" s="4"/>
      <c r="BF10" s="4" t="s">
        <v>182</v>
      </c>
      <c r="BG10" s="4">
        <v>255</v>
      </c>
      <c r="BH10" s="4">
        <v>273</v>
      </c>
      <c r="BI10" s="4">
        <f t="shared" si="20"/>
        <v>273</v>
      </c>
      <c r="BJ10" s="4">
        <v>4</v>
      </c>
      <c r="BK10" s="4">
        <v>1</v>
      </c>
      <c r="BL10" s="4">
        <v>18</v>
      </c>
      <c r="BM10" t="s">
        <v>140</v>
      </c>
      <c r="BN10" t="s">
        <v>140</v>
      </c>
      <c r="BO10" t="str">
        <f t="shared" si="16"/>
        <v>-</v>
      </c>
      <c r="BP10">
        <v>267</v>
      </c>
      <c r="BQ10">
        <v>267</v>
      </c>
      <c r="BR10">
        <f t="shared" si="17"/>
        <v>310.56315789473683</v>
      </c>
      <c r="BS10" s="4" t="s">
        <v>145</v>
      </c>
      <c r="BT10" s="38">
        <f t="shared" si="18"/>
        <v>-0.16315789473684217</v>
      </c>
    </row>
    <row r="11" spans="1:72" x14ac:dyDescent="0.4">
      <c r="A11" s="3">
        <v>8</v>
      </c>
      <c r="B11" s="3">
        <v>8</v>
      </c>
      <c r="C11" s="4">
        <v>165317</v>
      </c>
      <c r="D11" s="4" t="str">
        <f t="shared" si="11"/>
        <v>165317</v>
      </c>
      <c r="E11" s="4">
        <v>165317</v>
      </c>
      <c r="F11" s="4" t="s">
        <v>98</v>
      </c>
      <c r="G11" s="5">
        <v>4909767114035</v>
      </c>
      <c r="H11" s="5"/>
      <c r="I11" s="5"/>
      <c r="J11" s="5">
        <v>1</v>
      </c>
      <c r="K11" s="5">
        <v>1</v>
      </c>
      <c r="L11" s="4">
        <v>0</v>
      </c>
      <c r="M11" s="4">
        <v>359</v>
      </c>
      <c r="N11" s="4">
        <v>198</v>
      </c>
      <c r="O11" s="6">
        <f t="shared" si="0"/>
        <v>0.44846796657381616</v>
      </c>
      <c r="P11" s="4" t="s">
        <v>141</v>
      </c>
      <c r="Q11" s="4"/>
      <c r="R11" s="4"/>
      <c r="S11" s="4"/>
      <c r="T11" s="4"/>
      <c r="U11" s="4"/>
      <c r="V11" s="4"/>
      <c r="W11" s="4"/>
      <c r="X11" s="4"/>
      <c r="Y11" s="4">
        <v>0</v>
      </c>
      <c r="Z11" s="4">
        <f t="shared" si="12"/>
        <v>0</v>
      </c>
      <c r="AA11" s="4">
        <v>238</v>
      </c>
      <c r="AB11" s="4">
        <f t="shared" si="13"/>
        <v>238</v>
      </c>
      <c r="AC11" s="4"/>
      <c r="AD11" s="19">
        <f t="shared" si="1"/>
        <v>432</v>
      </c>
      <c r="AE11" s="6">
        <f t="shared" si="19"/>
        <v>0.44907407407407407</v>
      </c>
      <c r="AF11" s="4">
        <v>34.5</v>
      </c>
      <c r="AG11" s="4">
        <f t="shared" si="15"/>
        <v>299</v>
      </c>
      <c r="AH11" s="4">
        <f t="shared" si="3"/>
        <v>359.40404040404042</v>
      </c>
      <c r="AI11" s="6">
        <f t="shared" si="4"/>
        <v>0.33779264214046822</v>
      </c>
      <c r="AJ11" s="7">
        <v>359</v>
      </c>
      <c r="AK11" s="6">
        <f t="shared" si="5"/>
        <v>0.3370473537604457</v>
      </c>
      <c r="AL11" s="4">
        <f t="shared" si="6"/>
        <v>121</v>
      </c>
      <c r="AM11" s="26"/>
      <c r="AN11" s="6"/>
      <c r="AO11" s="6"/>
      <c r="AP11" s="6" t="e">
        <f t="shared" si="7"/>
        <v>#DIV/0!</v>
      </c>
      <c r="AQ11" s="6">
        <f t="shared" si="8"/>
        <v>1</v>
      </c>
      <c r="AR11" s="6">
        <f t="shared" si="9"/>
        <v>1.202020202020202</v>
      </c>
      <c r="AS11" s="4"/>
      <c r="AT11" s="4"/>
      <c r="AU11" s="4"/>
      <c r="AV11" s="4"/>
      <c r="AW11" s="4"/>
      <c r="AX11" s="4"/>
      <c r="AY11" s="4"/>
      <c r="AZ11" s="4"/>
      <c r="BA11" s="4"/>
      <c r="BB11" s="4" t="s">
        <v>90</v>
      </c>
      <c r="BC11" s="4" t="s">
        <v>186</v>
      </c>
      <c r="BD11" s="4"/>
      <c r="BE11" s="4"/>
      <c r="BF11" s="4" t="s">
        <v>182</v>
      </c>
      <c r="BG11" s="4">
        <v>279</v>
      </c>
      <c r="BH11" s="4">
        <v>299</v>
      </c>
      <c r="BI11" s="4">
        <f t="shared" si="20"/>
        <v>299</v>
      </c>
      <c r="BJ11" s="4">
        <v>4</v>
      </c>
      <c r="BK11" s="4">
        <v>1</v>
      </c>
      <c r="BL11" s="4">
        <v>18</v>
      </c>
      <c r="BM11" t="s">
        <v>140</v>
      </c>
      <c r="BN11" t="s">
        <v>140</v>
      </c>
      <c r="BO11" t="str">
        <f t="shared" si="16"/>
        <v>-</v>
      </c>
      <c r="BP11">
        <v>276</v>
      </c>
      <c r="BQ11">
        <v>345</v>
      </c>
      <c r="BR11">
        <f t="shared" si="17"/>
        <v>414.69696969696969</v>
      </c>
      <c r="BS11" s="4" t="s">
        <v>146</v>
      </c>
      <c r="BT11" s="38">
        <f t="shared" si="18"/>
        <v>-0.20202020202020199</v>
      </c>
    </row>
    <row r="12" spans="1:72" x14ac:dyDescent="0.4">
      <c r="A12" s="3">
        <v>9</v>
      </c>
      <c r="B12" s="3">
        <v>9</v>
      </c>
      <c r="C12" s="4">
        <v>165318</v>
      </c>
      <c r="D12" s="4" t="str">
        <f t="shared" si="11"/>
        <v>165318</v>
      </c>
      <c r="E12" s="4">
        <v>165318</v>
      </c>
      <c r="F12" s="4" t="s">
        <v>99</v>
      </c>
      <c r="G12" s="5">
        <v>4909767114042</v>
      </c>
      <c r="H12" s="5"/>
      <c r="I12" s="5"/>
      <c r="J12" s="5">
        <v>1</v>
      </c>
      <c r="K12" s="5">
        <v>1</v>
      </c>
      <c r="L12" s="4">
        <v>0</v>
      </c>
      <c r="M12" s="4">
        <v>375</v>
      </c>
      <c r="N12" s="4">
        <v>215</v>
      </c>
      <c r="O12" s="6">
        <f t="shared" si="0"/>
        <v>0.42666666666666664</v>
      </c>
      <c r="P12" s="4" t="s">
        <v>141</v>
      </c>
      <c r="Q12" s="4"/>
      <c r="R12" s="4"/>
      <c r="S12" s="4"/>
      <c r="T12" s="4"/>
      <c r="U12" s="4"/>
      <c r="V12" s="4"/>
      <c r="W12" s="4"/>
      <c r="X12" s="4"/>
      <c r="Y12" s="4">
        <v>0</v>
      </c>
      <c r="Z12" s="4">
        <f t="shared" si="12"/>
        <v>0</v>
      </c>
      <c r="AA12" s="4">
        <v>254.99999999999997</v>
      </c>
      <c r="AB12" s="4">
        <f t="shared" si="13"/>
        <v>254.99999999999997</v>
      </c>
      <c r="AC12" s="4"/>
      <c r="AD12" s="19">
        <f t="shared" si="1"/>
        <v>445</v>
      </c>
      <c r="AE12" s="6">
        <f t="shared" si="19"/>
        <v>0.4269662921348315</v>
      </c>
      <c r="AF12" s="4">
        <v>54.25</v>
      </c>
      <c r="AG12" s="4">
        <f t="shared" si="15"/>
        <v>318</v>
      </c>
      <c r="AH12" s="4">
        <f t="shared" si="3"/>
        <v>377.16279069767438</v>
      </c>
      <c r="AI12" s="6">
        <f t="shared" si="4"/>
        <v>0.32389937106918243</v>
      </c>
      <c r="AJ12" s="7">
        <v>377</v>
      </c>
      <c r="AK12" s="6">
        <f t="shared" si="5"/>
        <v>0.323607427055703</v>
      </c>
      <c r="AL12" s="4">
        <f t="shared" si="6"/>
        <v>122.00000000000003</v>
      </c>
      <c r="AM12" s="26"/>
      <c r="AN12" s="6"/>
      <c r="AO12" s="6"/>
      <c r="AP12" s="6" t="e">
        <f t="shared" si="7"/>
        <v>#DIV/0!</v>
      </c>
      <c r="AQ12" s="6">
        <f t="shared" si="8"/>
        <v>1.0053333333333334</v>
      </c>
      <c r="AR12" s="6">
        <f t="shared" si="9"/>
        <v>1.1860465116279069</v>
      </c>
      <c r="AS12" s="4"/>
      <c r="AT12" s="4"/>
      <c r="AU12" s="4"/>
      <c r="AV12" s="4"/>
      <c r="AW12" s="4"/>
      <c r="AX12" s="4"/>
      <c r="AY12" s="4"/>
      <c r="AZ12" s="4"/>
      <c r="BA12" s="4"/>
      <c r="BB12" s="4" t="s">
        <v>90</v>
      </c>
      <c r="BC12" s="4" t="s">
        <v>187</v>
      </c>
      <c r="BD12" s="4"/>
      <c r="BE12" s="4"/>
      <c r="BF12" s="4" t="s">
        <v>182</v>
      </c>
      <c r="BG12" s="4">
        <v>295</v>
      </c>
      <c r="BH12" s="4">
        <v>318</v>
      </c>
      <c r="BI12" s="4">
        <f t="shared" si="20"/>
        <v>318</v>
      </c>
      <c r="BJ12" s="4">
        <v>4</v>
      </c>
      <c r="BK12" s="4">
        <v>1</v>
      </c>
      <c r="BL12" s="4">
        <v>18</v>
      </c>
      <c r="BM12">
        <v>313</v>
      </c>
      <c r="BN12">
        <v>313</v>
      </c>
      <c r="BO12">
        <f t="shared" si="16"/>
        <v>371.23255813953483</v>
      </c>
      <c r="BP12">
        <v>295</v>
      </c>
      <c r="BQ12">
        <v>370</v>
      </c>
      <c r="BR12">
        <f t="shared" si="17"/>
        <v>438.83720930232556</v>
      </c>
      <c r="BS12" s="4" t="s">
        <v>147</v>
      </c>
      <c r="BT12" s="38">
        <f t="shared" si="18"/>
        <v>-0.18071317829457345</v>
      </c>
    </row>
    <row r="13" spans="1:72" x14ac:dyDescent="0.4">
      <c r="A13" s="3">
        <v>10</v>
      </c>
      <c r="B13" s="3">
        <v>10</v>
      </c>
      <c r="C13" s="4">
        <v>165320</v>
      </c>
      <c r="D13" s="4" t="str">
        <f t="shared" si="11"/>
        <v>165320</v>
      </c>
      <c r="E13" s="4">
        <v>165320</v>
      </c>
      <c r="F13" s="4" t="s">
        <v>100</v>
      </c>
      <c r="G13" s="5">
        <v>4909767114059</v>
      </c>
      <c r="H13" s="5"/>
      <c r="I13" s="5"/>
      <c r="J13" s="5">
        <v>1</v>
      </c>
      <c r="K13" s="5">
        <v>1</v>
      </c>
      <c r="L13" s="4">
        <v>0</v>
      </c>
      <c r="M13" s="4">
        <v>457</v>
      </c>
      <c r="N13" s="4">
        <v>256</v>
      </c>
      <c r="O13" s="6">
        <f t="shared" si="0"/>
        <v>0.43982494529540483</v>
      </c>
      <c r="P13" s="4" t="s">
        <v>141</v>
      </c>
      <c r="Q13" s="4"/>
      <c r="R13" s="4"/>
      <c r="S13" s="4"/>
      <c r="T13" s="4"/>
      <c r="U13" s="4"/>
      <c r="V13" s="4"/>
      <c r="W13" s="4"/>
      <c r="X13" s="4"/>
      <c r="Y13" s="4">
        <v>0</v>
      </c>
      <c r="Z13" s="4">
        <f t="shared" si="12"/>
        <v>0</v>
      </c>
      <c r="AA13" s="4">
        <v>323</v>
      </c>
      <c r="AB13" s="4">
        <f t="shared" si="13"/>
        <v>323</v>
      </c>
      <c r="AC13" s="4"/>
      <c r="AD13" s="19">
        <f t="shared" si="1"/>
        <v>577</v>
      </c>
      <c r="AE13" s="6">
        <f t="shared" si="19"/>
        <v>0.4402079722703639</v>
      </c>
      <c r="AF13" s="4">
        <v>32.75</v>
      </c>
      <c r="AG13" s="4" t="str">
        <f t="shared" si="15"/>
        <v>-</v>
      </c>
      <c r="AH13" s="4" t="e">
        <f t="shared" si="3"/>
        <v>#VALUE!</v>
      </c>
      <c r="AI13" s="6" t="e">
        <f t="shared" si="4"/>
        <v>#VALUE!</v>
      </c>
      <c r="AJ13" s="7">
        <v>580</v>
      </c>
      <c r="AK13" s="6">
        <f t="shared" si="5"/>
        <v>0.44310344827586212</v>
      </c>
      <c r="AL13" s="4">
        <f t="shared" si="6"/>
        <v>257</v>
      </c>
      <c r="AM13" s="26"/>
      <c r="AN13" s="6"/>
      <c r="AO13" s="6"/>
      <c r="AP13" s="6" t="e">
        <f t="shared" si="7"/>
        <v>#DIV/0!</v>
      </c>
      <c r="AQ13" s="6">
        <f t="shared" si="8"/>
        <v>1.2691466083150984</v>
      </c>
      <c r="AR13" s="6">
        <f t="shared" si="9"/>
        <v>1.26171875</v>
      </c>
      <c r="AS13" s="4"/>
      <c r="AT13" s="4"/>
      <c r="AU13" s="4"/>
      <c r="AV13" s="4"/>
      <c r="AW13" s="4"/>
      <c r="AX13" s="4"/>
      <c r="AY13" s="4"/>
      <c r="AZ13" s="4"/>
      <c r="BA13" s="4"/>
      <c r="BB13" s="4" t="s">
        <v>90</v>
      </c>
      <c r="BC13" s="4" t="s">
        <v>188</v>
      </c>
      <c r="BD13" s="4"/>
      <c r="BE13" s="4"/>
      <c r="BF13" s="4" t="s">
        <v>182</v>
      </c>
      <c r="BG13" s="4">
        <v>357</v>
      </c>
      <c r="BH13" s="4" t="s">
        <v>140</v>
      </c>
      <c r="BI13" s="4" t="str">
        <f t="shared" si="20"/>
        <v>-</v>
      </c>
      <c r="BJ13" s="4">
        <v>4</v>
      </c>
      <c r="BK13" s="4">
        <v>1</v>
      </c>
      <c r="BL13" s="4">
        <v>18</v>
      </c>
      <c r="BM13">
        <v>378</v>
      </c>
      <c r="BN13" t="s">
        <v>140</v>
      </c>
      <c r="BO13" t="str">
        <f t="shared" si="16"/>
        <v>-</v>
      </c>
      <c r="BP13">
        <v>371</v>
      </c>
      <c r="BQ13">
        <v>464</v>
      </c>
      <c r="BR13">
        <f t="shared" si="17"/>
        <v>585.4375</v>
      </c>
      <c r="BS13" s="4" t="s">
        <v>148</v>
      </c>
      <c r="BT13" s="38">
        <f t="shared" si="18"/>
        <v>7.4278583150984012E-3</v>
      </c>
    </row>
    <row r="14" spans="1:72" x14ac:dyDescent="0.4">
      <c r="A14" s="3">
        <v>11</v>
      </c>
      <c r="B14" s="3">
        <v>11</v>
      </c>
      <c r="C14" s="4">
        <v>165321</v>
      </c>
      <c r="D14" s="4" t="str">
        <f t="shared" ref="D14:D22" si="21">TEXT(C14,"000000")</f>
        <v>165321</v>
      </c>
      <c r="E14" s="4">
        <v>165321</v>
      </c>
      <c r="F14" s="4" t="s">
        <v>101</v>
      </c>
      <c r="G14" s="5">
        <v>4909767114066</v>
      </c>
      <c r="H14" s="5"/>
      <c r="I14" s="5"/>
      <c r="J14" s="5">
        <v>1</v>
      </c>
      <c r="K14" s="5">
        <v>1</v>
      </c>
      <c r="L14" s="4">
        <v>0</v>
      </c>
      <c r="M14" s="4">
        <v>437</v>
      </c>
      <c r="N14" s="4">
        <v>322</v>
      </c>
      <c r="O14" s="6">
        <f t="shared" ref="O14:O22" si="22">1-N14/M14</f>
        <v>0.26315789473684215</v>
      </c>
      <c r="P14" s="4" t="s">
        <v>141</v>
      </c>
      <c r="Q14" s="4"/>
      <c r="R14" s="4"/>
      <c r="S14" s="4"/>
      <c r="T14" s="4"/>
      <c r="U14" s="4"/>
      <c r="V14" s="4"/>
      <c r="W14" s="4"/>
      <c r="X14" s="4"/>
      <c r="Y14" s="4">
        <v>0</v>
      </c>
      <c r="Z14" s="4">
        <f t="shared" ref="Z14:Z22" si="23">IF(AC14="",Y14,Y14*AC14)</f>
        <v>0</v>
      </c>
      <c r="AA14" s="4">
        <v>399</v>
      </c>
      <c r="AB14" s="4">
        <f t="shared" ref="AB14:AB22" si="24">IF(AC14="",AA14,AA14*AC14)</f>
        <v>399</v>
      </c>
      <c r="AC14" s="4"/>
      <c r="AD14" s="19">
        <f t="shared" si="1"/>
        <v>542</v>
      </c>
      <c r="AE14" s="6">
        <f t="shared" ref="AE14:AE22" si="25">1-AB14/AD14</f>
        <v>0.26383763837638374</v>
      </c>
      <c r="AF14" s="4">
        <v>42</v>
      </c>
      <c r="AG14" s="4">
        <f t="shared" ref="AG14:AG22" si="26">BI14</f>
        <v>485</v>
      </c>
      <c r="AH14" s="4">
        <f t="shared" si="3"/>
        <v>600.97826086956525</v>
      </c>
      <c r="AI14" s="6">
        <f t="shared" si="4"/>
        <v>0.33608247422680415</v>
      </c>
      <c r="AJ14" s="7">
        <v>579</v>
      </c>
      <c r="AK14" s="6">
        <f t="shared" si="5"/>
        <v>0.31088082901554404</v>
      </c>
      <c r="AL14" s="4">
        <f t="shared" si="6"/>
        <v>180</v>
      </c>
      <c r="AM14" s="26"/>
      <c r="AN14" s="6"/>
      <c r="AO14" s="6"/>
      <c r="AP14" s="6" t="e">
        <f t="shared" si="7"/>
        <v>#DIV/0!</v>
      </c>
      <c r="AQ14" s="6">
        <f t="shared" si="8"/>
        <v>1.3249427917620138</v>
      </c>
      <c r="AR14" s="6">
        <f t="shared" si="9"/>
        <v>1.2391304347826086</v>
      </c>
      <c r="AS14" s="4"/>
      <c r="AT14" s="4"/>
      <c r="AU14" s="4"/>
      <c r="AV14" s="4"/>
      <c r="AW14" s="4"/>
      <c r="AX14" s="4"/>
      <c r="AY14" s="4"/>
      <c r="AZ14" s="4"/>
      <c r="BA14" s="4"/>
      <c r="BB14" s="4" t="s">
        <v>90</v>
      </c>
      <c r="BC14" s="4" t="s">
        <v>189</v>
      </c>
      <c r="BD14" s="4"/>
      <c r="BE14" s="4"/>
      <c r="BF14" s="4" t="s">
        <v>182</v>
      </c>
      <c r="BG14" s="4">
        <v>438</v>
      </c>
      <c r="BH14" s="4">
        <v>485</v>
      </c>
      <c r="BI14" s="4">
        <f t="shared" ref="BI14:BI22" si="27">IF(BD14="",BH14,BD14/BE14*BH14)</f>
        <v>485</v>
      </c>
      <c r="BJ14" s="4">
        <v>4</v>
      </c>
      <c r="BK14" s="4">
        <v>1</v>
      </c>
      <c r="BL14" s="4">
        <v>18</v>
      </c>
      <c r="BM14" t="s">
        <v>140</v>
      </c>
      <c r="BN14">
        <v>468</v>
      </c>
      <c r="BO14">
        <f t="shared" si="16"/>
        <v>579.91304347826087</v>
      </c>
      <c r="BP14">
        <v>504</v>
      </c>
      <c r="BQ14">
        <v>504</v>
      </c>
      <c r="BR14">
        <f t="shared" si="17"/>
        <v>624.52173913043475</v>
      </c>
      <c r="BS14" s="4" t="s">
        <v>149</v>
      </c>
      <c r="BT14" s="38">
        <f t="shared" si="18"/>
        <v>8.5812356979405147E-2</v>
      </c>
    </row>
    <row r="15" spans="1:72" x14ac:dyDescent="0.4">
      <c r="A15" s="3">
        <v>12</v>
      </c>
      <c r="B15" s="3">
        <v>12</v>
      </c>
      <c r="C15" s="4">
        <v>634501</v>
      </c>
      <c r="D15" s="4" t="str">
        <f t="shared" si="21"/>
        <v>634501</v>
      </c>
      <c r="E15" s="4">
        <v>634501</v>
      </c>
      <c r="F15" s="4" t="s">
        <v>102</v>
      </c>
      <c r="G15" s="5">
        <v>4909767114080</v>
      </c>
      <c r="H15" s="5"/>
      <c r="I15" s="5"/>
      <c r="J15" s="5">
        <v>1</v>
      </c>
      <c r="K15" s="5">
        <v>1</v>
      </c>
      <c r="L15" s="4">
        <v>0</v>
      </c>
      <c r="M15" s="4">
        <v>728</v>
      </c>
      <c r="N15" s="4">
        <v>519</v>
      </c>
      <c r="O15" s="6">
        <f t="shared" si="22"/>
        <v>0.28708791208791207</v>
      </c>
      <c r="P15" s="4" t="s">
        <v>141</v>
      </c>
      <c r="Q15" s="4"/>
      <c r="R15" s="4"/>
      <c r="S15" s="4"/>
      <c r="T15" s="4"/>
      <c r="U15" s="4"/>
      <c r="V15" s="4"/>
      <c r="W15" s="4"/>
      <c r="X15" s="4"/>
      <c r="Y15" s="4">
        <v>0</v>
      </c>
      <c r="Z15" s="4">
        <f t="shared" si="23"/>
        <v>0</v>
      </c>
      <c r="AA15" s="4">
        <v>654</v>
      </c>
      <c r="AB15" s="4">
        <f t="shared" si="24"/>
        <v>654</v>
      </c>
      <c r="AC15" s="4"/>
      <c r="AD15" s="19">
        <f t="shared" si="1"/>
        <v>917</v>
      </c>
      <c r="AE15" s="6">
        <f t="shared" si="25"/>
        <v>0.2868047982551799</v>
      </c>
      <c r="AF15" s="4">
        <v>115.5</v>
      </c>
      <c r="AG15" s="4" t="str">
        <f t="shared" si="26"/>
        <v>-</v>
      </c>
      <c r="AH15" s="4" t="e">
        <f t="shared" si="3"/>
        <v>#VALUE!</v>
      </c>
      <c r="AI15" s="6" t="e">
        <f t="shared" si="4"/>
        <v>#VALUE!</v>
      </c>
      <c r="AJ15" s="7">
        <v>970</v>
      </c>
      <c r="AK15" s="6">
        <f t="shared" si="5"/>
        <v>0.32577319587628861</v>
      </c>
      <c r="AL15" s="4">
        <f t="shared" si="6"/>
        <v>316</v>
      </c>
      <c r="AM15" s="26"/>
      <c r="AN15" s="6"/>
      <c r="AO15" s="6"/>
      <c r="AP15" s="6" t="e">
        <f t="shared" si="7"/>
        <v>#DIV/0!</v>
      </c>
      <c r="AQ15" s="6">
        <f t="shared" si="8"/>
        <v>1.3324175824175823</v>
      </c>
      <c r="AR15" s="6">
        <f t="shared" si="9"/>
        <v>1.2601156069364161</v>
      </c>
      <c r="AS15" s="4"/>
      <c r="AT15" s="4"/>
      <c r="AU15" s="4"/>
      <c r="AV15" s="4"/>
      <c r="AW15" s="4"/>
      <c r="AX15" s="4"/>
      <c r="AY15" s="4"/>
      <c r="AZ15" s="4"/>
      <c r="BA15" s="4"/>
      <c r="BB15" s="4" t="s">
        <v>90</v>
      </c>
      <c r="BC15" s="4" t="s">
        <v>140</v>
      </c>
      <c r="BD15" s="4"/>
      <c r="BE15" s="4"/>
      <c r="BF15" s="4" t="s">
        <v>140</v>
      </c>
      <c r="BG15" s="4" t="s">
        <v>140</v>
      </c>
      <c r="BH15" s="4" t="s">
        <v>140</v>
      </c>
      <c r="BI15" s="4" t="str">
        <f t="shared" si="27"/>
        <v>-</v>
      </c>
      <c r="BJ15" s="4">
        <v>4</v>
      </c>
      <c r="BK15" s="4">
        <v>1</v>
      </c>
      <c r="BL15" s="4">
        <v>18</v>
      </c>
      <c r="BM15">
        <v>777</v>
      </c>
      <c r="BN15">
        <v>777</v>
      </c>
      <c r="BO15">
        <f t="shared" si="16"/>
        <v>979.10982658959529</v>
      </c>
      <c r="BP15">
        <v>729</v>
      </c>
      <c r="BQ15">
        <v>912</v>
      </c>
      <c r="BR15">
        <f t="shared" si="17"/>
        <v>1149.2254335260116</v>
      </c>
      <c r="BS15" s="4" t="s">
        <v>140</v>
      </c>
      <c r="BT15" s="38">
        <f t="shared" si="18"/>
        <v>7.2301975481166236E-2</v>
      </c>
    </row>
    <row r="16" spans="1:72" x14ac:dyDescent="0.4">
      <c r="A16" s="3">
        <v>13</v>
      </c>
      <c r="B16" s="3">
        <v>13</v>
      </c>
      <c r="C16" s="4">
        <v>172485</v>
      </c>
      <c r="D16" s="4" t="str">
        <f t="shared" si="21"/>
        <v>172485</v>
      </c>
      <c r="E16" s="4">
        <v>172485</v>
      </c>
      <c r="F16" s="4" t="s">
        <v>103</v>
      </c>
      <c r="G16" s="5">
        <v>4909767114097</v>
      </c>
      <c r="H16" s="5"/>
      <c r="I16" s="5"/>
      <c r="J16" s="5">
        <v>1</v>
      </c>
      <c r="K16" s="5">
        <v>1</v>
      </c>
      <c r="L16" s="4">
        <v>0</v>
      </c>
      <c r="M16" s="4">
        <v>932</v>
      </c>
      <c r="N16" s="4">
        <v>677</v>
      </c>
      <c r="O16" s="6">
        <f t="shared" si="22"/>
        <v>0.27360515021459231</v>
      </c>
      <c r="P16" s="4" t="s">
        <v>141</v>
      </c>
      <c r="Q16" s="4"/>
      <c r="R16" s="4"/>
      <c r="S16" s="4"/>
      <c r="T16" s="4"/>
      <c r="U16" s="4"/>
      <c r="V16" s="4"/>
      <c r="W16" s="4"/>
      <c r="X16" s="4"/>
      <c r="Y16" s="4">
        <v>0</v>
      </c>
      <c r="Z16" s="4">
        <f t="shared" si="23"/>
        <v>0</v>
      </c>
      <c r="AA16" s="4">
        <v>858</v>
      </c>
      <c r="AB16" s="4">
        <f t="shared" si="24"/>
        <v>858</v>
      </c>
      <c r="AC16" s="4"/>
      <c r="AD16" s="19">
        <f t="shared" si="1"/>
        <v>1181</v>
      </c>
      <c r="AE16" s="6">
        <f t="shared" si="25"/>
        <v>0.27349703640982215</v>
      </c>
      <c r="AF16" s="4">
        <v>26.25</v>
      </c>
      <c r="AG16" s="4" t="str">
        <f t="shared" si="26"/>
        <v>-</v>
      </c>
      <c r="AH16" s="4" t="e">
        <f t="shared" si="3"/>
        <v>#VALUE!</v>
      </c>
      <c r="AI16" s="6" t="e">
        <f t="shared" si="4"/>
        <v>#VALUE!</v>
      </c>
      <c r="AJ16" s="7">
        <v>1300</v>
      </c>
      <c r="AK16" s="6">
        <f t="shared" si="5"/>
        <v>0.33999999999999997</v>
      </c>
      <c r="AL16" s="4">
        <f t="shared" si="6"/>
        <v>442</v>
      </c>
      <c r="AM16" s="26"/>
      <c r="AN16" s="6"/>
      <c r="AO16" s="6"/>
      <c r="AP16" s="6" t="e">
        <f t="shared" si="7"/>
        <v>#DIV/0!</v>
      </c>
      <c r="AQ16" s="6">
        <f t="shared" si="8"/>
        <v>1.3948497854077253</v>
      </c>
      <c r="AR16" s="6">
        <f t="shared" si="9"/>
        <v>1.2673559822747416</v>
      </c>
      <c r="AS16" s="4"/>
      <c r="AT16" s="4"/>
      <c r="AU16" s="4"/>
      <c r="AV16" s="4"/>
      <c r="AW16" s="4"/>
      <c r="AX16" s="4"/>
      <c r="AY16" s="4"/>
      <c r="AZ16" s="4"/>
      <c r="BA16" s="4"/>
      <c r="BB16" s="4" t="s">
        <v>90</v>
      </c>
      <c r="BC16" s="4" t="s">
        <v>140</v>
      </c>
      <c r="BD16" s="4"/>
      <c r="BE16" s="4"/>
      <c r="BF16" s="4" t="s">
        <v>140</v>
      </c>
      <c r="BG16" s="4" t="s">
        <v>140</v>
      </c>
      <c r="BH16" s="4" t="s">
        <v>140</v>
      </c>
      <c r="BI16" s="4" t="str">
        <f t="shared" si="27"/>
        <v>-</v>
      </c>
      <c r="BJ16" s="4">
        <v>4</v>
      </c>
      <c r="BK16" s="4">
        <v>1</v>
      </c>
      <c r="BL16" s="4">
        <v>18</v>
      </c>
      <c r="BM16">
        <v>1031</v>
      </c>
      <c r="BN16">
        <v>1031</v>
      </c>
      <c r="BO16">
        <f t="shared" si="16"/>
        <v>1306.6440177252584</v>
      </c>
      <c r="BP16">
        <v>29260</v>
      </c>
      <c r="BQ16" t="s">
        <v>140</v>
      </c>
      <c r="BR16" t="str">
        <f t="shared" si="17"/>
        <v>-</v>
      </c>
      <c r="BS16" s="4" t="s">
        <v>140</v>
      </c>
      <c r="BT16" s="38">
        <f t="shared" si="18"/>
        <v>0.12749380313298375</v>
      </c>
    </row>
    <row r="17" spans="1:72" x14ac:dyDescent="0.4">
      <c r="A17" s="3">
        <v>14</v>
      </c>
      <c r="B17" s="3">
        <v>14</v>
      </c>
      <c r="C17" s="4">
        <v>172486</v>
      </c>
      <c r="D17" s="4" t="str">
        <f t="shared" si="21"/>
        <v>172486</v>
      </c>
      <c r="E17" s="4">
        <v>172486</v>
      </c>
      <c r="F17" s="4" t="s">
        <v>104</v>
      </c>
      <c r="G17" s="5">
        <v>4909767114103</v>
      </c>
      <c r="H17" s="5"/>
      <c r="I17" s="5"/>
      <c r="J17" s="5">
        <v>1</v>
      </c>
      <c r="K17" s="5">
        <v>1</v>
      </c>
      <c r="L17" s="4">
        <v>0</v>
      </c>
      <c r="M17" s="4">
        <v>1130</v>
      </c>
      <c r="N17" s="4">
        <v>816</v>
      </c>
      <c r="O17" s="6">
        <f t="shared" si="22"/>
        <v>0.27787610619469028</v>
      </c>
      <c r="P17" s="4" t="s">
        <v>141</v>
      </c>
      <c r="Q17" s="4"/>
      <c r="R17" s="4"/>
      <c r="S17" s="4"/>
      <c r="T17" s="4"/>
      <c r="U17" s="4"/>
      <c r="V17" s="4"/>
      <c r="W17" s="4"/>
      <c r="X17" s="4"/>
      <c r="Y17" s="4">
        <v>0</v>
      </c>
      <c r="Z17" s="4">
        <f t="shared" si="23"/>
        <v>0</v>
      </c>
      <c r="AA17" s="4">
        <v>1071</v>
      </c>
      <c r="AB17" s="4">
        <f t="shared" si="24"/>
        <v>1071</v>
      </c>
      <c r="AC17" s="4"/>
      <c r="AD17" s="19">
        <f t="shared" si="1"/>
        <v>1483</v>
      </c>
      <c r="AE17" s="6">
        <f t="shared" si="25"/>
        <v>0.27781523937963593</v>
      </c>
      <c r="AF17" s="4">
        <v>56.999999999999993</v>
      </c>
      <c r="AG17" s="4" t="str">
        <f t="shared" si="26"/>
        <v>-</v>
      </c>
      <c r="AH17" s="4" t="e">
        <f t="shared" si="3"/>
        <v>#VALUE!</v>
      </c>
      <c r="AI17" s="6" t="e">
        <f t="shared" si="4"/>
        <v>#VALUE!</v>
      </c>
      <c r="AJ17" s="7">
        <v>1600</v>
      </c>
      <c r="AK17" s="6">
        <f t="shared" si="5"/>
        <v>0.33062499999999995</v>
      </c>
      <c r="AL17" s="4">
        <f t="shared" si="6"/>
        <v>529</v>
      </c>
      <c r="AM17" s="26"/>
      <c r="AN17" s="6"/>
      <c r="AO17" s="6"/>
      <c r="AP17" s="6" t="e">
        <f t="shared" si="7"/>
        <v>#DIV/0!</v>
      </c>
      <c r="AQ17" s="6">
        <f t="shared" si="8"/>
        <v>1.415929203539823</v>
      </c>
      <c r="AR17" s="6">
        <f t="shared" si="9"/>
        <v>1.3125</v>
      </c>
      <c r="AS17" s="4"/>
      <c r="AT17" s="4"/>
      <c r="AU17" s="4"/>
      <c r="AV17" s="4"/>
      <c r="AW17" s="4"/>
      <c r="AX17" s="4"/>
      <c r="AY17" s="4"/>
      <c r="AZ17" s="4"/>
      <c r="BA17" s="4"/>
      <c r="BB17" s="4" t="s">
        <v>90</v>
      </c>
      <c r="BC17" s="4" t="s">
        <v>140</v>
      </c>
      <c r="BD17" s="4"/>
      <c r="BE17" s="4"/>
      <c r="BF17" s="4" t="s">
        <v>140</v>
      </c>
      <c r="BG17" s="4" t="s">
        <v>140</v>
      </c>
      <c r="BH17" s="4" t="s">
        <v>140</v>
      </c>
      <c r="BI17" s="4" t="str">
        <f t="shared" si="27"/>
        <v>-</v>
      </c>
      <c r="BJ17" s="4">
        <v>4</v>
      </c>
      <c r="BK17" s="4">
        <v>1</v>
      </c>
      <c r="BL17" s="4">
        <v>18</v>
      </c>
      <c r="BM17">
        <v>1229</v>
      </c>
      <c r="BN17" t="s">
        <v>140</v>
      </c>
      <c r="BO17" t="str">
        <f t="shared" si="16"/>
        <v>-</v>
      </c>
      <c r="BP17">
        <v>1145</v>
      </c>
      <c r="BQ17">
        <v>1432</v>
      </c>
      <c r="BR17">
        <f t="shared" si="17"/>
        <v>1879.5</v>
      </c>
      <c r="BS17" s="4" t="s">
        <v>140</v>
      </c>
      <c r="BT17" s="38">
        <f t="shared" si="18"/>
        <v>0.10342920353982299</v>
      </c>
    </row>
    <row r="18" spans="1:72" x14ac:dyDescent="0.4">
      <c r="A18" s="3">
        <v>15</v>
      </c>
      <c r="B18" s="3">
        <v>15</v>
      </c>
      <c r="C18" s="4">
        <v>165322</v>
      </c>
      <c r="D18" s="4" t="str">
        <f t="shared" si="21"/>
        <v>165322</v>
      </c>
      <c r="E18" s="4">
        <v>165322</v>
      </c>
      <c r="F18" s="4" t="s">
        <v>105</v>
      </c>
      <c r="G18" s="5">
        <v>4909767114219</v>
      </c>
      <c r="H18" s="5"/>
      <c r="I18" s="5"/>
      <c r="J18" s="5">
        <v>1</v>
      </c>
      <c r="K18" s="5">
        <v>1</v>
      </c>
      <c r="L18" s="4">
        <v>0</v>
      </c>
      <c r="M18" s="4">
        <v>393</v>
      </c>
      <c r="N18" s="4">
        <v>223</v>
      </c>
      <c r="O18" s="6">
        <f t="shared" si="22"/>
        <v>0.43256997455470736</v>
      </c>
      <c r="P18" s="4" t="s">
        <v>141</v>
      </c>
      <c r="Q18" s="4"/>
      <c r="R18" s="4"/>
      <c r="S18" s="4"/>
      <c r="T18" s="4"/>
      <c r="U18" s="4"/>
      <c r="V18" s="4"/>
      <c r="W18" s="4"/>
      <c r="X18" s="4"/>
      <c r="Y18" s="4">
        <v>0</v>
      </c>
      <c r="Z18" s="4">
        <f t="shared" si="23"/>
        <v>0</v>
      </c>
      <c r="AA18" s="4">
        <v>254.99999999999997</v>
      </c>
      <c r="AB18" s="4">
        <f t="shared" si="24"/>
        <v>254.99999999999997</v>
      </c>
      <c r="AC18" s="4"/>
      <c r="AD18" s="19">
        <f t="shared" si="1"/>
        <v>449</v>
      </c>
      <c r="AE18" s="6">
        <f t="shared" si="25"/>
        <v>0.43207126948775065</v>
      </c>
      <c r="AF18" s="4">
        <v>11.75</v>
      </c>
      <c r="AG18" s="4" t="str">
        <f t="shared" si="26"/>
        <v>-</v>
      </c>
      <c r="AH18" s="4" t="e">
        <f t="shared" si="3"/>
        <v>#VALUE!</v>
      </c>
      <c r="AI18" s="6" t="e">
        <f t="shared" si="4"/>
        <v>#VALUE!</v>
      </c>
      <c r="AJ18" s="7">
        <v>449</v>
      </c>
      <c r="AK18" s="6">
        <f t="shared" si="5"/>
        <v>0.43207126948775065</v>
      </c>
      <c r="AL18" s="4">
        <f t="shared" si="6"/>
        <v>194.00000000000003</v>
      </c>
      <c r="AM18" s="26"/>
      <c r="AN18" s="6"/>
      <c r="AO18" s="6"/>
      <c r="AP18" s="6" t="e">
        <f t="shared" si="7"/>
        <v>#DIV/0!</v>
      </c>
      <c r="AQ18" s="6">
        <f t="shared" si="8"/>
        <v>1.1424936386768447</v>
      </c>
      <c r="AR18" s="6">
        <f t="shared" si="9"/>
        <v>1.1434977578475336</v>
      </c>
      <c r="AS18" s="4"/>
      <c r="AT18" s="4"/>
      <c r="AU18" s="4"/>
      <c r="AV18" s="4"/>
      <c r="AW18" s="4"/>
      <c r="AX18" s="4"/>
      <c r="AY18" s="4"/>
      <c r="AZ18" s="4"/>
      <c r="BA18" s="4"/>
      <c r="BB18" s="4" t="s">
        <v>90</v>
      </c>
      <c r="BC18" s="4" t="s">
        <v>140</v>
      </c>
      <c r="BD18" s="4"/>
      <c r="BE18" s="4"/>
      <c r="BF18" s="4" t="s">
        <v>140</v>
      </c>
      <c r="BG18" s="4" t="s">
        <v>140</v>
      </c>
      <c r="BH18" s="4" t="s">
        <v>140</v>
      </c>
      <c r="BI18" s="4" t="str">
        <f t="shared" si="27"/>
        <v>-</v>
      </c>
      <c r="BJ18" s="4">
        <v>4</v>
      </c>
      <c r="BK18" s="4">
        <v>1</v>
      </c>
      <c r="BL18" s="4">
        <v>18</v>
      </c>
      <c r="BM18">
        <v>317</v>
      </c>
      <c r="BN18" t="s">
        <v>140</v>
      </c>
      <c r="BO18" t="str">
        <f t="shared" si="16"/>
        <v>-</v>
      </c>
      <c r="BP18">
        <v>391</v>
      </c>
      <c r="BQ18">
        <v>391</v>
      </c>
      <c r="BR18">
        <f t="shared" si="17"/>
        <v>447.10762331838566</v>
      </c>
      <c r="BS18" s="4" t="s">
        <v>140</v>
      </c>
      <c r="BT18" s="38">
        <f t="shared" si="18"/>
        <v>-1.0041191706888775E-3</v>
      </c>
    </row>
    <row r="19" spans="1:72" x14ac:dyDescent="0.4">
      <c r="A19" s="3">
        <v>16</v>
      </c>
      <c r="B19" s="3">
        <v>16</v>
      </c>
      <c r="C19" s="4">
        <v>165323</v>
      </c>
      <c r="D19" s="4" t="str">
        <f t="shared" si="21"/>
        <v>165323</v>
      </c>
      <c r="E19" s="4">
        <v>165323</v>
      </c>
      <c r="F19" s="4" t="s">
        <v>106</v>
      </c>
      <c r="G19" s="5">
        <v>4909767114226</v>
      </c>
      <c r="H19" s="5"/>
      <c r="I19" s="5"/>
      <c r="J19" s="5">
        <v>1</v>
      </c>
      <c r="K19" s="5">
        <v>1</v>
      </c>
      <c r="L19" s="4">
        <v>0</v>
      </c>
      <c r="M19" s="4">
        <v>383</v>
      </c>
      <c r="N19" s="4">
        <v>248</v>
      </c>
      <c r="O19" s="6">
        <f t="shared" si="22"/>
        <v>0.35248041775456918</v>
      </c>
      <c r="P19" s="4" t="s">
        <v>141</v>
      </c>
      <c r="Q19" s="4"/>
      <c r="R19" s="4"/>
      <c r="S19" s="4"/>
      <c r="T19" s="4"/>
      <c r="U19" s="4"/>
      <c r="V19" s="4"/>
      <c r="W19" s="4"/>
      <c r="X19" s="4"/>
      <c r="Y19" s="4">
        <v>0</v>
      </c>
      <c r="Z19" s="4">
        <f t="shared" si="23"/>
        <v>0</v>
      </c>
      <c r="AA19" s="4">
        <v>297</v>
      </c>
      <c r="AB19" s="4">
        <f t="shared" si="24"/>
        <v>297</v>
      </c>
      <c r="AC19" s="4"/>
      <c r="AD19" s="19">
        <f t="shared" si="1"/>
        <v>459</v>
      </c>
      <c r="AE19" s="6">
        <f t="shared" si="25"/>
        <v>0.3529411764705882</v>
      </c>
      <c r="AF19" s="4">
        <v>15.75</v>
      </c>
      <c r="AG19" s="4" t="str">
        <f t="shared" si="26"/>
        <v>-</v>
      </c>
      <c r="AH19" s="4" t="e">
        <f t="shared" si="3"/>
        <v>#VALUE!</v>
      </c>
      <c r="AI19" s="6" t="e">
        <f t="shared" si="4"/>
        <v>#VALUE!</v>
      </c>
      <c r="AJ19" s="7">
        <v>459</v>
      </c>
      <c r="AK19" s="6">
        <f t="shared" si="5"/>
        <v>0.3529411764705882</v>
      </c>
      <c r="AL19" s="4">
        <f t="shared" si="6"/>
        <v>162</v>
      </c>
      <c r="AM19" s="26"/>
      <c r="AN19" s="6"/>
      <c r="AO19" s="6"/>
      <c r="AP19" s="6" t="e">
        <f t="shared" si="7"/>
        <v>#DIV/0!</v>
      </c>
      <c r="AQ19" s="6">
        <f t="shared" si="8"/>
        <v>1.1984334203655354</v>
      </c>
      <c r="AR19" s="6">
        <f t="shared" si="9"/>
        <v>1.1975806451612903</v>
      </c>
      <c r="AS19" s="4"/>
      <c r="AT19" s="4"/>
      <c r="AU19" s="4"/>
      <c r="AV19" s="4"/>
      <c r="AW19" s="4"/>
      <c r="AX19" s="4"/>
      <c r="AY19" s="4"/>
      <c r="AZ19" s="4"/>
      <c r="BA19" s="4"/>
      <c r="BB19" s="4" t="s">
        <v>90</v>
      </c>
      <c r="BC19" s="4" t="s">
        <v>140</v>
      </c>
      <c r="BD19" s="4"/>
      <c r="BE19" s="4"/>
      <c r="BF19" s="4" t="s">
        <v>140</v>
      </c>
      <c r="BG19" s="4" t="s">
        <v>140</v>
      </c>
      <c r="BH19" s="4" t="s">
        <v>140</v>
      </c>
      <c r="BI19" s="4" t="str">
        <f t="shared" si="27"/>
        <v>-</v>
      </c>
      <c r="BJ19" s="4">
        <v>4</v>
      </c>
      <c r="BK19" s="4">
        <v>1</v>
      </c>
      <c r="BL19" s="4">
        <v>18</v>
      </c>
      <c r="BM19">
        <v>337</v>
      </c>
      <c r="BN19">
        <v>337</v>
      </c>
      <c r="BO19">
        <f t="shared" si="16"/>
        <v>403.58467741935482</v>
      </c>
      <c r="BP19">
        <v>437</v>
      </c>
      <c r="BQ19">
        <v>437</v>
      </c>
      <c r="BR19">
        <f t="shared" si="17"/>
        <v>523.34274193548379</v>
      </c>
      <c r="BS19" s="4" t="s">
        <v>140</v>
      </c>
      <c r="BT19" s="38">
        <f t="shared" si="18"/>
        <v>8.5277520424509312E-4</v>
      </c>
    </row>
    <row r="20" spans="1:72" x14ac:dyDescent="0.4">
      <c r="A20" s="3">
        <v>17</v>
      </c>
      <c r="B20" s="3">
        <v>17</v>
      </c>
      <c r="C20" s="4">
        <v>165325</v>
      </c>
      <c r="D20" s="4" t="str">
        <f t="shared" si="21"/>
        <v>165325</v>
      </c>
      <c r="E20" s="4">
        <v>165325</v>
      </c>
      <c r="F20" s="4" t="s">
        <v>107</v>
      </c>
      <c r="G20" s="5">
        <v>4909767114233</v>
      </c>
      <c r="H20" s="5"/>
      <c r="I20" s="5"/>
      <c r="J20" s="5">
        <v>1</v>
      </c>
      <c r="K20" s="5">
        <v>1</v>
      </c>
      <c r="L20" s="4">
        <v>0</v>
      </c>
      <c r="M20" s="4">
        <v>477</v>
      </c>
      <c r="N20" s="4">
        <v>272</v>
      </c>
      <c r="O20" s="6">
        <f t="shared" si="22"/>
        <v>0.42976939203354303</v>
      </c>
      <c r="P20" s="4" t="s">
        <v>141</v>
      </c>
      <c r="Q20" s="4"/>
      <c r="R20" s="4"/>
      <c r="S20" s="4"/>
      <c r="T20" s="4"/>
      <c r="U20" s="4"/>
      <c r="V20" s="4"/>
      <c r="W20" s="4"/>
      <c r="X20" s="4"/>
      <c r="Y20" s="4">
        <v>0</v>
      </c>
      <c r="Z20" s="4">
        <f t="shared" si="23"/>
        <v>0</v>
      </c>
      <c r="AA20" s="4">
        <v>331</v>
      </c>
      <c r="AB20" s="4">
        <f t="shared" si="24"/>
        <v>331</v>
      </c>
      <c r="AC20" s="4"/>
      <c r="AD20" s="19">
        <f t="shared" si="1"/>
        <v>580</v>
      </c>
      <c r="AE20" s="6">
        <f t="shared" si="25"/>
        <v>0.42931034482758623</v>
      </c>
      <c r="AF20" s="4">
        <v>18.75</v>
      </c>
      <c r="AG20" s="4">
        <f t="shared" si="26"/>
        <v>405</v>
      </c>
      <c r="AH20" s="4">
        <f t="shared" si="3"/>
        <v>492.84926470588232</v>
      </c>
      <c r="AI20" s="6">
        <f t="shared" si="4"/>
        <v>0.32839506172839505</v>
      </c>
      <c r="AJ20" s="7">
        <v>490</v>
      </c>
      <c r="AK20" s="6">
        <f t="shared" si="5"/>
        <v>0.32448979591836735</v>
      </c>
      <c r="AL20" s="4">
        <f t="shared" si="6"/>
        <v>159</v>
      </c>
      <c r="AM20" s="26"/>
      <c r="AN20" s="6"/>
      <c r="AO20" s="6"/>
      <c r="AP20" s="6" t="e">
        <f t="shared" si="7"/>
        <v>#DIV/0!</v>
      </c>
      <c r="AQ20" s="6">
        <f t="shared" si="8"/>
        <v>1.0272536687631026</v>
      </c>
      <c r="AR20" s="6">
        <f t="shared" si="9"/>
        <v>1.2169117647058822</v>
      </c>
      <c r="AS20" s="4"/>
      <c r="AT20" s="4"/>
      <c r="AU20" s="4"/>
      <c r="AV20" s="4"/>
      <c r="AW20" s="4"/>
      <c r="AX20" s="4"/>
      <c r="AY20" s="4"/>
      <c r="AZ20" s="4"/>
      <c r="BA20" s="4"/>
      <c r="BB20" s="4" t="s">
        <v>90</v>
      </c>
      <c r="BC20" s="4" t="s">
        <v>190</v>
      </c>
      <c r="BD20" s="4"/>
      <c r="BE20" s="4"/>
      <c r="BF20" s="4" t="s">
        <v>182</v>
      </c>
      <c r="BG20" s="4">
        <v>370</v>
      </c>
      <c r="BH20" s="4">
        <v>405</v>
      </c>
      <c r="BI20" s="4">
        <f t="shared" si="27"/>
        <v>405</v>
      </c>
      <c r="BJ20" s="4">
        <v>4</v>
      </c>
      <c r="BK20" s="4">
        <v>1</v>
      </c>
      <c r="BL20" s="4">
        <v>18</v>
      </c>
      <c r="BM20">
        <v>391</v>
      </c>
      <c r="BN20">
        <v>391</v>
      </c>
      <c r="BO20">
        <f t="shared" si="16"/>
        <v>475.81249999999994</v>
      </c>
      <c r="BP20">
        <v>495</v>
      </c>
      <c r="BQ20">
        <v>495</v>
      </c>
      <c r="BR20">
        <f t="shared" si="17"/>
        <v>602.37132352941171</v>
      </c>
      <c r="BS20" s="4" t="s">
        <v>150</v>
      </c>
      <c r="BT20" s="38">
        <f t="shared" si="18"/>
        <v>-0.1896580959427796</v>
      </c>
    </row>
    <row r="21" spans="1:72" x14ac:dyDescent="0.4">
      <c r="A21" s="3">
        <v>18</v>
      </c>
      <c r="B21" s="3">
        <v>18</v>
      </c>
      <c r="C21" s="4">
        <v>165326</v>
      </c>
      <c r="D21" s="4" t="str">
        <f t="shared" si="21"/>
        <v>165326</v>
      </c>
      <c r="E21" s="4">
        <v>165326</v>
      </c>
      <c r="F21" s="4" t="s">
        <v>108</v>
      </c>
      <c r="G21" s="5">
        <v>4909767114240</v>
      </c>
      <c r="H21" s="5"/>
      <c r="I21" s="5"/>
      <c r="J21" s="5">
        <v>1</v>
      </c>
      <c r="K21" s="5">
        <v>1</v>
      </c>
      <c r="L21" s="4">
        <v>0</v>
      </c>
      <c r="M21" s="4">
        <v>591</v>
      </c>
      <c r="N21" s="4">
        <v>314</v>
      </c>
      <c r="O21" s="6">
        <f t="shared" si="22"/>
        <v>0.46869712351945858</v>
      </c>
      <c r="P21" s="4" t="s">
        <v>141</v>
      </c>
      <c r="Q21" s="4"/>
      <c r="R21" s="4"/>
      <c r="S21" s="4"/>
      <c r="T21" s="4"/>
      <c r="U21" s="4"/>
      <c r="V21" s="4"/>
      <c r="W21" s="4"/>
      <c r="X21" s="4"/>
      <c r="Y21" s="4">
        <v>0</v>
      </c>
      <c r="Z21" s="4">
        <f t="shared" si="23"/>
        <v>0</v>
      </c>
      <c r="AA21" s="4">
        <v>374</v>
      </c>
      <c r="AB21" s="4">
        <f t="shared" si="24"/>
        <v>374</v>
      </c>
      <c r="AC21" s="4"/>
      <c r="AD21" s="19">
        <f t="shared" si="1"/>
        <v>704</v>
      </c>
      <c r="AE21" s="6">
        <f t="shared" si="25"/>
        <v>0.46875</v>
      </c>
      <c r="AF21" s="4">
        <v>11</v>
      </c>
      <c r="AG21" s="4">
        <f t="shared" si="26"/>
        <v>462</v>
      </c>
      <c r="AH21" s="4">
        <f t="shared" si="3"/>
        <v>550.28025477707001</v>
      </c>
      <c r="AI21" s="6">
        <f t="shared" si="4"/>
        <v>0.32034632034632027</v>
      </c>
      <c r="AJ21" s="7">
        <v>600</v>
      </c>
      <c r="AK21" s="6">
        <f t="shared" si="5"/>
        <v>0.37666666666666671</v>
      </c>
      <c r="AL21" s="4">
        <f t="shared" si="6"/>
        <v>226</v>
      </c>
      <c r="AM21" s="26"/>
      <c r="AN21" s="6"/>
      <c r="AO21" s="6"/>
      <c r="AP21" s="6" t="e">
        <f t="shared" si="7"/>
        <v>#DIV/0!</v>
      </c>
      <c r="AQ21" s="6">
        <f t="shared" si="8"/>
        <v>1.015228426395939</v>
      </c>
      <c r="AR21" s="6">
        <f t="shared" si="9"/>
        <v>1.1910828025477707</v>
      </c>
      <c r="AS21" s="4"/>
      <c r="AT21" s="4"/>
      <c r="AU21" s="4"/>
      <c r="AV21" s="4"/>
      <c r="AW21" s="4"/>
      <c r="AX21" s="4"/>
      <c r="AY21" s="4"/>
      <c r="AZ21" s="4"/>
      <c r="BA21" s="4"/>
      <c r="BB21" s="4" t="s">
        <v>90</v>
      </c>
      <c r="BC21" s="4" t="s">
        <v>191</v>
      </c>
      <c r="BD21" s="4"/>
      <c r="BE21" s="4"/>
      <c r="BF21" s="4" t="s">
        <v>182</v>
      </c>
      <c r="BG21" s="4">
        <v>417</v>
      </c>
      <c r="BH21" s="4">
        <v>462</v>
      </c>
      <c r="BI21" s="4">
        <f t="shared" si="27"/>
        <v>462</v>
      </c>
      <c r="BJ21" s="4">
        <v>4</v>
      </c>
      <c r="BK21" s="4">
        <v>1</v>
      </c>
      <c r="BL21" s="4">
        <v>18</v>
      </c>
      <c r="BM21">
        <v>443</v>
      </c>
      <c r="BN21">
        <v>443</v>
      </c>
      <c r="BO21">
        <f t="shared" si="16"/>
        <v>527.64968152866243</v>
      </c>
      <c r="BP21">
        <v>542</v>
      </c>
      <c r="BQ21">
        <v>542</v>
      </c>
      <c r="BR21">
        <f t="shared" si="17"/>
        <v>645.56687898089172</v>
      </c>
      <c r="BS21" s="4" t="s">
        <v>151</v>
      </c>
      <c r="BT21" s="38">
        <f t="shared" si="18"/>
        <v>-0.17585437615183164</v>
      </c>
    </row>
    <row r="22" spans="1:72" x14ac:dyDescent="0.4">
      <c r="A22" s="3">
        <v>19</v>
      </c>
      <c r="B22" s="3">
        <v>19</v>
      </c>
      <c r="C22" s="4">
        <v>165327</v>
      </c>
      <c r="D22" s="4" t="str">
        <f t="shared" si="21"/>
        <v>165327</v>
      </c>
      <c r="E22" s="4">
        <v>165327</v>
      </c>
      <c r="F22" s="4" t="s">
        <v>109</v>
      </c>
      <c r="G22" s="5">
        <v>4909767114417</v>
      </c>
      <c r="H22" s="5"/>
      <c r="I22" s="5"/>
      <c r="J22" s="5">
        <v>1</v>
      </c>
      <c r="K22" s="5">
        <v>1</v>
      </c>
      <c r="L22" s="4">
        <v>0</v>
      </c>
      <c r="M22" s="4">
        <v>278</v>
      </c>
      <c r="N22" s="4">
        <v>198</v>
      </c>
      <c r="O22" s="6">
        <f t="shared" si="22"/>
        <v>0.28776978417266186</v>
      </c>
      <c r="P22" s="4" t="s">
        <v>141</v>
      </c>
      <c r="Q22" s="4"/>
      <c r="R22" s="4"/>
      <c r="S22" s="4"/>
      <c r="T22" s="4"/>
      <c r="U22" s="4"/>
      <c r="V22" s="4"/>
      <c r="W22" s="4"/>
      <c r="X22" s="4"/>
      <c r="Y22" s="4">
        <v>0</v>
      </c>
      <c r="Z22" s="4">
        <f t="shared" si="23"/>
        <v>0</v>
      </c>
      <c r="AA22" s="4">
        <v>221</v>
      </c>
      <c r="AB22" s="4">
        <f t="shared" si="24"/>
        <v>221</v>
      </c>
      <c r="AC22" s="4"/>
      <c r="AD22" s="19">
        <f t="shared" si="1"/>
        <v>310</v>
      </c>
      <c r="AE22" s="6">
        <f t="shared" si="25"/>
        <v>0.2870967741935484</v>
      </c>
      <c r="AF22" s="4">
        <v>28.749999999999996</v>
      </c>
      <c r="AG22" s="4">
        <f t="shared" si="26"/>
        <v>285</v>
      </c>
      <c r="AH22" s="4">
        <f t="shared" si="3"/>
        <v>318.10606060606062</v>
      </c>
      <c r="AI22" s="6">
        <f t="shared" si="4"/>
        <v>0.3052631578947369</v>
      </c>
      <c r="AJ22" s="7">
        <v>318</v>
      </c>
      <c r="AK22" s="6">
        <f t="shared" si="5"/>
        <v>0.30503144654088055</v>
      </c>
      <c r="AL22" s="4">
        <f t="shared" si="6"/>
        <v>97</v>
      </c>
      <c r="AM22" s="26"/>
      <c r="AN22" s="6"/>
      <c r="AO22" s="6"/>
      <c r="AP22" s="6" t="e">
        <f t="shared" si="7"/>
        <v>#DIV/0!</v>
      </c>
      <c r="AQ22" s="6">
        <f t="shared" si="8"/>
        <v>1.1438848920863309</v>
      </c>
      <c r="AR22" s="6">
        <f t="shared" si="9"/>
        <v>1.1161616161616161</v>
      </c>
      <c r="AS22" s="4"/>
      <c r="AT22" s="4"/>
      <c r="AU22" s="4"/>
      <c r="AV22" s="4"/>
      <c r="AW22" s="4"/>
      <c r="AX22" s="4"/>
      <c r="AY22" s="4"/>
      <c r="AZ22" s="4"/>
      <c r="BA22" s="4"/>
      <c r="BB22" s="4">
        <v>0</v>
      </c>
      <c r="BC22" s="4" t="s">
        <v>192</v>
      </c>
      <c r="BD22" s="4"/>
      <c r="BE22" s="4"/>
      <c r="BF22" s="4" t="s">
        <v>182</v>
      </c>
      <c r="BG22" s="4">
        <v>271</v>
      </c>
      <c r="BH22" s="4">
        <v>285</v>
      </c>
      <c r="BI22" s="4">
        <f t="shared" si="27"/>
        <v>285</v>
      </c>
      <c r="BJ22" s="4">
        <v>4</v>
      </c>
      <c r="BK22" s="4">
        <v>1</v>
      </c>
      <c r="BL22" s="4">
        <v>18</v>
      </c>
      <c r="BM22" t="s">
        <v>140</v>
      </c>
      <c r="BN22" t="s">
        <v>140</v>
      </c>
      <c r="BO22" t="str">
        <f t="shared" si="16"/>
        <v>-</v>
      </c>
      <c r="BP22">
        <v>390</v>
      </c>
      <c r="BQ22">
        <v>390</v>
      </c>
      <c r="BR22">
        <f t="shared" si="17"/>
        <v>435.30303030303031</v>
      </c>
      <c r="BS22" s="4" t="s">
        <v>152</v>
      </c>
      <c r="BT22" s="38">
        <f t="shared" si="18"/>
        <v>2.7723275924714796E-2</v>
      </c>
    </row>
    <row r="23" spans="1:72" x14ac:dyDescent="0.4">
      <c r="A23" s="3">
        <v>20</v>
      </c>
      <c r="B23" s="3">
        <v>20</v>
      </c>
      <c r="C23" s="4">
        <v>165328</v>
      </c>
      <c r="D23" s="4" t="str">
        <f t="shared" ref="D23:D52" si="28">TEXT(C23,"000000")</f>
        <v>165328</v>
      </c>
      <c r="E23" s="4">
        <v>165328</v>
      </c>
      <c r="F23" s="4" t="s">
        <v>110</v>
      </c>
      <c r="G23" s="5">
        <v>4909767114424</v>
      </c>
      <c r="H23" s="5"/>
      <c r="I23" s="5"/>
      <c r="J23" s="5">
        <v>1</v>
      </c>
      <c r="K23" s="5">
        <v>1</v>
      </c>
      <c r="L23" s="4">
        <v>0</v>
      </c>
      <c r="M23" s="4">
        <v>288</v>
      </c>
      <c r="N23" s="4">
        <v>206</v>
      </c>
      <c r="O23" s="6">
        <f t="shared" ref="O23:O52" si="29">1-N23/M23</f>
        <v>0.28472222222222221</v>
      </c>
      <c r="P23" s="4" t="s">
        <v>141</v>
      </c>
      <c r="Q23" s="4"/>
      <c r="R23" s="4"/>
      <c r="S23" s="4"/>
      <c r="T23" s="4"/>
      <c r="U23" s="4"/>
      <c r="V23" s="4"/>
      <c r="W23" s="4"/>
      <c r="X23" s="4"/>
      <c r="Y23" s="4">
        <v>0</v>
      </c>
      <c r="Z23" s="4">
        <f t="shared" ref="Z23:Z52" si="30">IF(AC23="",Y23,Y23*AC23)</f>
        <v>0</v>
      </c>
      <c r="AA23" s="4">
        <v>238</v>
      </c>
      <c r="AB23" s="4">
        <f t="shared" ref="AB23:AB52" si="31">IF(AC23="",AA23,AA23*AC23)</f>
        <v>238</v>
      </c>
      <c r="AC23" s="4"/>
      <c r="AD23" s="19">
        <f t="shared" ref="AD23:AD52" si="32">ROUND(M23*AR23,0)</f>
        <v>333</v>
      </c>
      <c r="AE23" s="6">
        <f t="shared" ref="AE23:AE52" si="33">1-AB23/AD23</f>
        <v>0.28528528528528529</v>
      </c>
      <c r="AF23" s="4">
        <v>12.5</v>
      </c>
      <c r="AG23" s="4">
        <f t="shared" ref="AG23:AG52" si="34">BI23</f>
        <v>320</v>
      </c>
      <c r="AH23" s="4">
        <f t="shared" ref="AH23:AH52" si="35">AG23*AR23</f>
        <v>369.70873786407765</v>
      </c>
      <c r="AI23" s="6">
        <f t="shared" ref="AI23:AI52" si="36">1-AB23/AH23</f>
        <v>0.35624999999999996</v>
      </c>
      <c r="AJ23" s="7">
        <v>369</v>
      </c>
      <c r="AK23" s="6">
        <f t="shared" ref="AK23:AK52" si="37">1-AB23/AJ23</f>
        <v>0.3550135501355014</v>
      </c>
      <c r="AL23" s="4">
        <f t="shared" ref="AL23:AL52" si="38">AJ23-AB23</f>
        <v>131</v>
      </c>
      <c r="AM23" s="26"/>
      <c r="AN23" s="6"/>
      <c r="AO23" s="6"/>
      <c r="AP23" s="6" t="e">
        <f t="shared" ref="AP23:AP52" si="39">Z23/L23</f>
        <v>#DIV/0!</v>
      </c>
      <c r="AQ23" s="6">
        <f t="shared" ref="AQ23:AQ52" si="40">AJ23/M23</f>
        <v>1.28125</v>
      </c>
      <c r="AR23" s="6">
        <f t="shared" ref="AR23:AR52" si="41">AB23/N23</f>
        <v>1.1553398058252426</v>
      </c>
      <c r="AS23" s="4"/>
      <c r="AT23" s="4"/>
      <c r="AU23" s="4"/>
      <c r="AV23" s="4"/>
      <c r="AW23" s="4"/>
      <c r="AX23" s="4"/>
      <c r="AY23" s="4"/>
      <c r="AZ23" s="4"/>
      <c r="BA23" s="4"/>
      <c r="BB23" s="4">
        <v>0</v>
      </c>
      <c r="BC23" s="4" t="s">
        <v>193</v>
      </c>
      <c r="BD23" s="4"/>
      <c r="BE23" s="4"/>
      <c r="BF23" s="4" t="s">
        <v>182</v>
      </c>
      <c r="BG23" s="4">
        <v>303</v>
      </c>
      <c r="BH23" s="4">
        <v>320</v>
      </c>
      <c r="BI23" s="4">
        <f t="shared" ref="BI23:BI52" si="42">IF(BD23="",BH23,BD23/BE23*BH23)</f>
        <v>320</v>
      </c>
      <c r="BJ23" s="4">
        <v>4</v>
      </c>
      <c r="BK23" s="4">
        <v>1</v>
      </c>
      <c r="BL23" s="4">
        <v>18</v>
      </c>
      <c r="BM23" t="s">
        <v>140</v>
      </c>
      <c r="BN23" t="s">
        <v>140</v>
      </c>
      <c r="BO23" t="str">
        <f t="shared" si="16"/>
        <v>-</v>
      </c>
      <c r="BP23">
        <v>409</v>
      </c>
      <c r="BQ23">
        <v>409</v>
      </c>
      <c r="BR23">
        <f t="shared" si="17"/>
        <v>472.53398058252424</v>
      </c>
      <c r="BS23" s="4" t="s">
        <v>153</v>
      </c>
      <c r="BT23" s="38">
        <f t="shared" si="18"/>
        <v>0.12591019417475735</v>
      </c>
    </row>
    <row r="24" spans="1:72" x14ac:dyDescent="0.4">
      <c r="A24" s="3">
        <v>21</v>
      </c>
      <c r="B24" s="3">
        <v>21</v>
      </c>
      <c r="C24" s="4">
        <v>165329</v>
      </c>
      <c r="D24" s="4" t="str">
        <f t="shared" si="28"/>
        <v>165329</v>
      </c>
      <c r="E24" s="4">
        <v>165329</v>
      </c>
      <c r="F24" s="4" t="s">
        <v>111</v>
      </c>
      <c r="G24" s="5">
        <v>4909767114431</v>
      </c>
      <c r="H24" s="5"/>
      <c r="I24" s="5"/>
      <c r="J24" s="5">
        <v>1</v>
      </c>
      <c r="K24" s="5">
        <v>1</v>
      </c>
      <c r="L24" s="4">
        <v>0</v>
      </c>
      <c r="M24" s="4">
        <v>358</v>
      </c>
      <c r="N24" s="4">
        <v>223</v>
      </c>
      <c r="O24" s="6">
        <f t="shared" si="29"/>
        <v>0.37709497206703912</v>
      </c>
      <c r="P24" s="4" t="s">
        <v>141</v>
      </c>
      <c r="Q24" s="4"/>
      <c r="R24" s="4"/>
      <c r="S24" s="4"/>
      <c r="T24" s="4"/>
      <c r="U24" s="4"/>
      <c r="V24" s="4"/>
      <c r="W24" s="4"/>
      <c r="X24" s="4"/>
      <c r="Y24" s="4">
        <v>0</v>
      </c>
      <c r="Z24" s="4">
        <f t="shared" si="30"/>
        <v>0</v>
      </c>
      <c r="AA24" s="4">
        <v>263</v>
      </c>
      <c r="AB24" s="4">
        <f t="shared" si="31"/>
        <v>263</v>
      </c>
      <c r="AC24" s="4"/>
      <c r="AD24" s="19">
        <f t="shared" si="32"/>
        <v>422</v>
      </c>
      <c r="AE24" s="6">
        <f t="shared" si="33"/>
        <v>0.37677725118483407</v>
      </c>
      <c r="AF24" s="4">
        <v>2</v>
      </c>
      <c r="AG24" s="4">
        <f t="shared" si="34"/>
        <v>368</v>
      </c>
      <c r="AH24" s="4">
        <f t="shared" si="35"/>
        <v>434.00896860986552</v>
      </c>
      <c r="AI24" s="6">
        <f t="shared" si="36"/>
        <v>0.39402173913043481</v>
      </c>
      <c r="AJ24" s="7">
        <v>420</v>
      </c>
      <c r="AK24" s="6">
        <f t="shared" si="37"/>
        <v>0.37380952380952381</v>
      </c>
      <c r="AL24" s="4">
        <f t="shared" si="38"/>
        <v>157</v>
      </c>
      <c r="AM24" s="26"/>
      <c r="AN24" s="6"/>
      <c r="AO24" s="6"/>
      <c r="AP24" s="6" t="e">
        <f t="shared" si="39"/>
        <v>#DIV/0!</v>
      </c>
      <c r="AQ24" s="6">
        <f t="shared" si="40"/>
        <v>1.1731843575418994</v>
      </c>
      <c r="AR24" s="6">
        <f t="shared" si="41"/>
        <v>1.1793721973094171</v>
      </c>
      <c r="AS24" s="4"/>
      <c r="AT24" s="4"/>
      <c r="AU24" s="4"/>
      <c r="AV24" s="4"/>
      <c r="AW24" s="4"/>
      <c r="AX24" s="4"/>
      <c r="AY24" s="4"/>
      <c r="AZ24" s="4"/>
      <c r="BA24" s="4"/>
      <c r="BB24" s="4">
        <v>0</v>
      </c>
      <c r="BC24" s="4" t="s">
        <v>194</v>
      </c>
      <c r="BD24" s="4"/>
      <c r="BE24" s="4"/>
      <c r="BF24" s="4" t="s">
        <v>182</v>
      </c>
      <c r="BG24" s="4">
        <v>348</v>
      </c>
      <c r="BH24" s="4">
        <v>368</v>
      </c>
      <c r="BI24" s="4">
        <f t="shared" si="42"/>
        <v>368</v>
      </c>
      <c r="BJ24" s="4">
        <v>4</v>
      </c>
      <c r="BK24" s="4">
        <v>1</v>
      </c>
      <c r="BL24" s="4">
        <v>18</v>
      </c>
      <c r="BM24" t="s">
        <v>140</v>
      </c>
      <c r="BN24" t="s">
        <v>140</v>
      </c>
      <c r="BO24" t="str">
        <f t="shared" si="16"/>
        <v>-</v>
      </c>
      <c r="BP24">
        <v>428</v>
      </c>
      <c r="BQ24">
        <v>428</v>
      </c>
      <c r="BR24">
        <f t="shared" si="17"/>
        <v>504.77130044843051</v>
      </c>
      <c r="BS24" s="4" t="s">
        <v>154</v>
      </c>
      <c r="BT24" s="38">
        <f t="shared" si="18"/>
        <v>-6.1878397675176888E-3</v>
      </c>
    </row>
    <row r="25" spans="1:72" x14ac:dyDescent="0.4">
      <c r="A25" s="3">
        <v>22</v>
      </c>
      <c r="B25" s="3">
        <v>22</v>
      </c>
      <c r="C25" s="4">
        <v>165330</v>
      </c>
      <c r="D25" s="4" t="str">
        <f t="shared" si="28"/>
        <v>165330</v>
      </c>
      <c r="E25" s="4">
        <v>165330</v>
      </c>
      <c r="F25" s="4" t="s">
        <v>112</v>
      </c>
      <c r="G25" s="5">
        <v>4909767114448</v>
      </c>
      <c r="H25" s="5"/>
      <c r="I25" s="5"/>
      <c r="J25" s="5">
        <v>1</v>
      </c>
      <c r="K25" s="5">
        <v>1</v>
      </c>
      <c r="L25" s="4">
        <v>0</v>
      </c>
      <c r="M25" s="4">
        <v>416</v>
      </c>
      <c r="N25" s="4">
        <v>272</v>
      </c>
      <c r="O25" s="6">
        <f t="shared" si="29"/>
        <v>0.34615384615384615</v>
      </c>
      <c r="P25" s="4" t="s">
        <v>141</v>
      </c>
      <c r="Q25" s="4"/>
      <c r="R25" s="4"/>
      <c r="S25" s="4"/>
      <c r="T25" s="4"/>
      <c r="U25" s="4"/>
      <c r="V25" s="4"/>
      <c r="W25" s="4"/>
      <c r="X25" s="4"/>
      <c r="Y25" s="4">
        <v>0</v>
      </c>
      <c r="Z25" s="4">
        <f t="shared" si="30"/>
        <v>0</v>
      </c>
      <c r="AA25" s="4">
        <v>323</v>
      </c>
      <c r="AB25" s="4">
        <f t="shared" si="31"/>
        <v>323</v>
      </c>
      <c r="AC25" s="4"/>
      <c r="AD25" s="19">
        <f t="shared" si="32"/>
        <v>494</v>
      </c>
      <c r="AE25" s="6">
        <f t="shared" si="33"/>
        <v>0.34615384615384615</v>
      </c>
      <c r="AF25" s="4">
        <v>2.5</v>
      </c>
      <c r="AG25" s="4">
        <f t="shared" si="34"/>
        <v>433</v>
      </c>
      <c r="AH25" s="4">
        <f t="shared" si="35"/>
        <v>514.1875</v>
      </c>
      <c r="AI25" s="6">
        <f t="shared" si="36"/>
        <v>0.37182448036951499</v>
      </c>
      <c r="AJ25" s="7">
        <v>500</v>
      </c>
      <c r="AK25" s="6">
        <f t="shared" si="37"/>
        <v>0.35399999999999998</v>
      </c>
      <c r="AL25" s="4">
        <f t="shared" si="38"/>
        <v>177</v>
      </c>
      <c r="AM25" s="26"/>
      <c r="AN25" s="6"/>
      <c r="AO25" s="6"/>
      <c r="AP25" s="6" t="e">
        <f t="shared" si="39"/>
        <v>#DIV/0!</v>
      </c>
      <c r="AQ25" s="6">
        <f t="shared" si="40"/>
        <v>1.2019230769230769</v>
      </c>
      <c r="AR25" s="6">
        <f t="shared" si="41"/>
        <v>1.1875</v>
      </c>
      <c r="AS25" s="4"/>
      <c r="AT25" s="4"/>
      <c r="AU25" s="4"/>
      <c r="AV25" s="4"/>
      <c r="AW25" s="4"/>
      <c r="AX25" s="4"/>
      <c r="AY25" s="4"/>
      <c r="AZ25" s="4"/>
      <c r="BA25" s="4"/>
      <c r="BB25" s="4">
        <v>0</v>
      </c>
      <c r="BC25" s="4" t="s">
        <v>195</v>
      </c>
      <c r="BD25" s="4"/>
      <c r="BE25" s="4"/>
      <c r="BF25" s="4" t="s">
        <v>182</v>
      </c>
      <c r="BG25" s="4">
        <v>405</v>
      </c>
      <c r="BH25" s="4">
        <v>433</v>
      </c>
      <c r="BI25" s="4">
        <f t="shared" si="42"/>
        <v>433</v>
      </c>
      <c r="BJ25" s="4">
        <v>4</v>
      </c>
      <c r="BK25" s="4">
        <v>1</v>
      </c>
      <c r="BL25" s="4">
        <v>18</v>
      </c>
      <c r="BM25" t="s">
        <v>140</v>
      </c>
      <c r="BN25" t="s">
        <v>140</v>
      </c>
      <c r="BO25" t="str">
        <f t="shared" si="16"/>
        <v>-</v>
      </c>
      <c r="BP25">
        <v>562</v>
      </c>
      <c r="BQ25">
        <v>562</v>
      </c>
      <c r="BR25">
        <f t="shared" si="17"/>
        <v>667.375</v>
      </c>
      <c r="BS25" s="4" t="s">
        <v>155</v>
      </c>
      <c r="BT25" s="38">
        <f t="shared" si="18"/>
        <v>1.4423076923076872E-2</v>
      </c>
    </row>
    <row r="26" spans="1:72" x14ac:dyDescent="0.4">
      <c r="A26" s="3">
        <v>23</v>
      </c>
      <c r="B26" s="3">
        <v>23</v>
      </c>
      <c r="C26" s="4">
        <v>172492</v>
      </c>
      <c r="D26" s="4" t="str">
        <f t="shared" si="28"/>
        <v>172492</v>
      </c>
      <c r="E26" s="4">
        <v>172492</v>
      </c>
      <c r="F26" s="4" t="s">
        <v>113</v>
      </c>
      <c r="G26" s="5">
        <v>4909767162333</v>
      </c>
      <c r="H26" s="5"/>
      <c r="I26" s="5"/>
      <c r="J26" s="5">
        <v>1</v>
      </c>
      <c r="K26" s="5">
        <v>1</v>
      </c>
      <c r="L26" s="4">
        <v>0</v>
      </c>
      <c r="M26" s="4">
        <v>6242</v>
      </c>
      <c r="N26" s="4">
        <v>4238</v>
      </c>
      <c r="O26" s="6">
        <f t="shared" si="29"/>
        <v>0.32105094520986865</v>
      </c>
      <c r="P26" s="4" t="s">
        <v>141</v>
      </c>
      <c r="Q26" s="4"/>
      <c r="R26" s="4"/>
      <c r="S26" s="4"/>
      <c r="T26" s="4"/>
      <c r="U26" s="4"/>
      <c r="V26" s="4"/>
      <c r="W26" s="4"/>
      <c r="X26" s="4"/>
      <c r="Y26" s="4">
        <v>0</v>
      </c>
      <c r="Z26" s="4">
        <f t="shared" si="30"/>
        <v>0</v>
      </c>
      <c r="AA26" s="4">
        <v>5431</v>
      </c>
      <c r="AB26" s="4">
        <f t="shared" si="31"/>
        <v>5431</v>
      </c>
      <c r="AC26" s="4"/>
      <c r="AD26" s="19">
        <f t="shared" si="32"/>
        <v>7999</v>
      </c>
      <c r="AE26" s="6">
        <f t="shared" si="33"/>
        <v>0.32104013001625198</v>
      </c>
      <c r="AF26" s="4">
        <v>0.25</v>
      </c>
      <c r="AG26" s="4">
        <f t="shared" si="34"/>
        <v>7343.6666666666661</v>
      </c>
      <c r="AH26" s="4">
        <f t="shared" si="35"/>
        <v>9410.9140317759957</v>
      </c>
      <c r="AI26" s="6">
        <f t="shared" si="36"/>
        <v>0.42290408969179794</v>
      </c>
      <c r="AJ26" s="7">
        <v>7990</v>
      </c>
      <c r="AK26" s="6">
        <f t="shared" si="37"/>
        <v>0.3202753441802253</v>
      </c>
      <c r="AL26" s="4">
        <f t="shared" si="38"/>
        <v>2559</v>
      </c>
      <c r="AM26" s="26"/>
      <c r="AN26" s="6"/>
      <c r="AO26" s="6"/>
      <c r="AP26" s="6" t="e">
        <f t="shared" si="39"/>
        <v>#DIV/0!</v>
      </c>
      <c r="AQ26" s="6">
        <f t="shared" si="40"/>
        <v>1.2800384492149952</v>
      </c>
      <c r="AR26" s="6">
        <f t="shared" si="41"/>
        <v>1.2815007078810761</v>
      </c>
      <c r="AS26" s="4"/>
      <c r="AT26" s="4"/>
      <c r="AU26" s="4"/>
      <c r="AV26" s="4"/>
      <c r="AW26" s="4"/>
      <c r="AX26" s="4"/>
      <c r="AY26" s="4"/>
      <c r="AZ26" s="4"/>
      <c r="BA26" s="4"/>
      <c r="BB26" s="4" t="s">
        <v>90</v>
      </c>
      <c r="BC26" s="4" t="s">
        <v>196</v>
      </c>
      <c r="BD26" s="4">
        <v>1</v>
      </c>
      <c r="BE26" s="4">
        <v>3</v>
      </c>
      <c r="BF26" s="4" t="s">
        <v>197</v>
      </c>
      <c r="BG26" s="4">
        <v>18959</v>
      </c>
      <c r="BH26" s="4">
        <v>22031</v>
      </c>
      <c r="BI26" s="4">
        <f t="shared" si="42"/>
        <v>7343.6666666666661</v>
      </c>
      <c r="BJ26" s="4">
        <v>4</v>
      </c>
      <c r="BK26" s="4">
        <v>1</v>
      </c>
      <c r="BL26" s="4">
        <v>18</v>
      </c>
      <c r="BM26">
        <v>5057</v>
      </c>
      <c r="BN26">
        <v>5057</v>
      </c>
      <c r="BO26">
        <f t="shared" si="16"/>
        <v>6480.5490797546017</v>
      </c>
      <c r="BP26">
        <v>6109</v>
      </c>
      <c r="BQ26">
        <v>6109</v>
      </c>
      <c r="BR26">
        <f t="shared" si="17"/>
        <v>7828.6878244454938</v>
      </c>
      <c r="BS26" s="4" t="s">
        <v>156</v>
      </c>
      <c r="BT26" s="38">
        <f t="shared" si="18"/>
        <v>-1.4622586660808512E-3</v>
      </c>
    </row>
    <row r="27" spans="1:72" x14ac:dyDescent="0.4">
      <c r="A27" s="3">
        <v>24</v>
      </c>
      <c r="B27" s="3">
        <v>24</v>
      </c>
      <c r="C27" s="4" t="s">
        <v>64</v>
      </c>
      <c r="D27" s="4" t="str">
        <f t="shared" si="28"/>
        <v>J722PY</v>
      </c>
      <c r="E27" s="4" t="s">
        <v>64</v>
      </c>
      <c r="F27" s="4" t="s">
        <v>114</v>
      </c>
      <c r="G27" s="5">
        <v>4909767432108</v>
      </c>
      <c r="H27" s="5"/>
      <c r="I27" s="5"/>
      <c r="J27" s="5">
        <v>1</v>
      </c>
      <c r="K27" s="5">
        <v>1</v>
      </c>
      <c r="L27" s="4">
        <v>0</v>
      </c>
      <c r="M27" s="4">
        <v>768</v>
      </c>
      <c r="N27" s="4">
        <v>473</v>
      </c>
      <c r="O27" s="6">
        <f t="shared" si="29"/>
        <v>0.38411458333333337</v>
      </c>
      <c r="P27" s="4" t="s">
        <v>141</v>
      </c>
      <c r="Q27" s="4"/>
      <c r="R27" s="4"/>
      <c r="S27" s="4"/>
      <c r="T27" s="4"/>
      <c r="U27" s="4"/>
      <c r="V27" s="4"/>
      <c r="W27" s="4"/>
      <c r="X27" s="4"/>
      <c r="Y27" s="4">
        <v>0</v>
      </c>
      <c r="Z27" s="4">
        <f t="shared" si="30"/>
        <v>0</v>
      </c>
      <c r="AA27" s="4">
        <v>590</v>
      </c>
      <c r="AB27" s="4">
        <f t="shared" si="31"/>
        <v>590</v>
      </c>
      <c r="AC27" s="4"/>
      <c r="AD27" s="19">
        <f t="shared" si="32"/>
        <v>958</v>
      </c>
      <c r="AE27" s="6">
        <f t="shared" si="33"/>
        <v>0.384133611691023</v>
      </c>
      <c r="AF27" s="4">
        <v>0.25</v>
      </c>
      <c r="AG27" s="4">
        <f t="shared" si="34"/>
        <v>825</v>
      </c>
      <c r="AH27" s="4">
        <f t="shared" si="35"/>
        <v>1029.0697674418604</v>
      </c>
      <c r="AI27" s="6">
        <f t="shared" si="36"/>
        <v>0.42666666666666664</v>
      </c>
      <c r="AJ27" s="7">
        <v>958</v>
      </c>
      <c r="AK27" s="6">
        <f t="shared" si="37"/>
        <v>0.384133611691023</v>
      </c>
      <c r="AL27" s="4">
        <f t="shared" si="38"/>
        <v>368</v>
      </c>
      <c r="AM27" s="26"/>
      <c r="AN27" s="6"/>
      <c r="AO27" s="6"/>
      <c r="AP27" s="6" t="e">
        <f t="shared" si="39"/>
        <v>#DIV/0!</v>
      </c>
      <c r="AQ27" s="6">
        <f t="shared" si="40"/>
        <v>1.2473958333333333</v>
      </c>
      <c r="AR27" s="6">
        <f t="shared" si="41"/>
        <v>1.2473572938689217</v>
      </c>
      <c r="AS27" s="4"/>
      <c r="AT27" s="4"/>
      <c r="AU27" s="4"/>
      <c r="AV27" s="4"/>
      <c r="AW27" s="4"/>
      <c r="AX27" s="4"/>
      <c r="AY27" s="4"/>
      <c r="AZ27" s="4"/>
      <c r="BA27" s="4"/>
      <c r="BB27" s="4">
        <v>0</v>
      </c>
      <c r="BC27" s="4" t="s">
        <v>198</v>
      </c>
      <c r="BD27" s="4"/>
      <c r="BE27" s="4"/>
      <c r="BF27" s="4" t="s">
        <v>199</v>
      </c>
      <c r="BG27" s="4">
        <v>744</v>
      </c>
      <c r="BH27" s="4">
        <v>825</v>
      </c>
      <c r="BI27" s="4">
        <f t="shared" si="42"/>
        <v>825</v>
      </c>
      <c r="BJ27" s="4">
        <v>4</v>
      </c>
      <c r="BK27" s="4">
        <v>8</v>
      </c>
      <c r="BL27" s="4">
        <v>18</v>
      </c>
      <c r="BM27">
        <v>857</v>
      </c>
      <c r="BN27">
        <v>857</v>
      </c>
      <c r="BO27">
        <f t="shared" si="16"/>
        <v>1068.985200845666</v>
      </c>
      <c r="BP27">
        <v>874</v>
      </c>
      <c r="BQ27">
        <v>874</v>
      </c>
      <c r="BR27">
        <f t="shared" si="17"/>
        <v>1090.1902748414375</v>
      </c>
      <c r="BS27" s="4" t="s">
        <v>157</v>
      </c>
      <c r="BT27" s="38">
        <f t="shared" si="18"/>
        <v>3.8539464411568858E-5</v>
      </c>
    </row>
    <row r="28" spans="1:72" x14ac:dyDescent="0.4">
      <c r="A28" s="3">
        <v>25</v>
      </c>
      <c r="B28" s="3">
        <v>25</v>
      </c>
      <c r="C28" s="4" t="s">
        <v>65</v>
      </c>
      <c r="D28" s="4" t="str">
        <f t="shared" si="28"/>
        <v>J723PY</v>
      </c>
      <c r="E28" s="4" t="s">
        <v>65</v>
      </c>
      <c r="F28" s="4" t="s">
        <v>115</v>
      </c>
      <c r="G28" s="5">
        <v>4909767432115</v>
      </c>
      <c r="H28" s="5"/>
      <c r="I28" s="5"/>
      <c r="J28" s="5">
        <v>1</v>
      </c>
      <c r="K28" s="5">
        <v>1</v>
      </c>
      <c r="L28" s="4">
        <v>0</v>
      </c>
      <c r="M28" s="4">
        <v>879</v>
      </c>
      <c r="N28" s="4">
        <v>548</v>
      </c>
      <c r="O28" s="6">
        <f t="shared" si="29"/>
        <v>0.37656427758816835</v>
      </c>
      <c r="P28" s="4" t="s">
        <v>141</v>
      </c>
      <c r="Q28" s="4"/>
      <c r="R28" s="4"/>
      <c r="S28" s="4"/>
      <c r="T28" s="4"/>
      <c r="U28" s="4"/>
      <c r="V28" s="4"/>
      <c r="W28" s="4"/>
      <c r="X28" s="4"/>
      <c r="Y28" s="4">
        <v>0</v>
      </c>
      <c r="Z28" s="4">
        <f t="shared" si="30"/>
        <v>0</v>
      </c>
      <c r="AA28" s="4">
        <v>684</v>
      </c>
      <c r="AB28" s="4">
        <f t="shared" si="31"/>
        <v>684</v>
      </c>
      <c r="AC28" s="4"/>
      <c r="AD28" s="19">
        <f t="shared" si="32"/>
        <v>1097</v>
      </c>
      <c r="AE28" s="6">
        <f t="shared" si="33"/>
        <v>0.37648131267092066</v>
      </c>
      <c r="AF28" s="4">
        <v>1.5</v>
      </c>
      <c r="AG28" s="4">
        <f t="shared" si="34"/>
        <v>731</v>
      </c>
      <c r="AH28" s="4">
        <f t="shared" si="35"/>
        <v>912.41605839416047</v>
      </c>
      <c r="AI28" s="6">
        <f t="shared" si="36"/>
        <v>0.25034199726402184</v>
      </c>
      <c r="AJ28" s="7">
        <v>1040</v>
      </c>
      <c r="AK28" s="6">
        <f t="shared" si="37"/>
        <v>0.34230769230769231</v>
      </c>
      <c r="AL28" s="4">
        <f t="shared" si="38"/>
        <v>356</v>
      </c>
      <c r="AM28" s="26"/>
      <c r="AN28" s="6"/>
      <c r="AO28" s="6"/>
      <c r="AP28" s="6" t="e">
        <f t="shared" si="39"/>
        <v>#DIV/0!</v>
      </c>
      <c r="AQ28" s="6">
        <f t="shared" si="40"/>
        <v>1.1831626848691694</v>
      </c>
      <c r="AR28" s="6">
        <f t="shared" si="41"/>
        <v>1.2481751824817517</v>
      </c>
      <c r="AS28" s="4"/>
      <c r="AT28" s="4"/>
      <c r="AU28" s="4"/>
      <c r="AV28" s="4"/>
      <c r="AW28" s="4"/>
      <c r="AX28" s="4"/>
      <c r="AY28" s="4"/>
      <c r="AZ28" s="4"/>
      <c r="BA28" s="4"/>
      <c r="BB28" s="4">
        <v>0</v>
      </c>
      <c r="BC28" s="4" t="s">
        <v>200</v>
      </c>
      <c r="BD28" s="4"/>
      <c r="BE28" s="4"/>
      <c r="BF28" s="4" t="s">
        <v>201</v>
      </c>
      <c r="BG28" s="4">
        <v>639</v>
      </c>
      <c r="BH28" s="4">
        <v>731</v>
      </c>
      <c r="BI28" s="4">
        <f t="shared" si="42"/>
        <v>731</v>
      </c>
      <c r="BJ28" s="4">
        <v>4</v>
      </c>
      <c r="BK28" s="4">
        <v>8</v>
      </c>
      <c r="BL28" s="4">
        <v>18</v>
      </c>
      <c r="BM28">
        <v>1014</v>
      </c>
      <c r="BN28">
        <v>1014</v>
      </c>
      <c r="BO28">
        <f t="shared" si="16"/>
        <v>1265.6496350364962</v>
      </c>
      <c r="BP28">
        <v>1026</v>
      </c>
      <c r="BQ28">
        <v>1026</v>
      </c>
      <c r="BR28">
        <f t="shared" si="17"/>
        <v>1280.6277372262773</v>
      </c>
      <c r="BS28" s="4" t="s">
        <v>158</v>
      </c>
      <c r="BT28" s="38">
        <f t="shared" si="18"/>
        <v>-6.5012497612582321E-2</v>
      </c>
    </row>
    <row r="29" spans="1:72" x14ac:dyDescent="0.4">
      <c r="A29" s="3">
        <v>26</v>
      </c>
      <c r="B29" s="3">
        <v>26</v>
      </c>
      <c r="C29" s="4" t="s">
        <v>66</v>
      </c>
      <c r="D29" s="4" t="str">
        <f t="shared" si="28"/>
        <v>J724PY</v>
      </c>
      <c r="E29" s="4" t="s">
        <v>66</v>
      </c>
      <c r="F29" s="4" t="s">
        <v>116</v>
      </c>
      <c r="G29" s="5">
        <v>4909767432122</v>
      </c>
      <c r="H29" s="5"/>
      <c r="I29" s="5"/>
      <c r="J29" s="5">
        <v>1</v>
      </c>
      <c r="K29" s="5">
        <v>1</v>
      </c>
      <c r="L29" s="4">
        <v>0</v>
      </c>
      <c r="M29" s="4">
        <v>1277</v>
      </c>
      <c r="N29" s="4">
        <v>787</v>
      </c>
      <c r="O29" s="6">
        <f t="shared" si="29"/>
        <v>0.3837118245888802</v>
      </c>
      <c r="P29" s="4" t="s">
        <v>141</v>
      </c>
      <c r="Q29" s="4"/>
      <c r="R29" s="4"/>
      <c r="S29" s="4"/>
      <c r="T29" s="4"/>
      <c r="U29" s="4"/>
      <c r="V29" s="4"/>
      <c r="W29" s="4"/>
      <c r="X29" s="4"/>
      <c r="Y29" s="4">
        <v>0</v>
      </c>
      <c r="Z29" s="4">
        <f t="shared" si="30"/>
        <v>0</v>
      </c>
      <c r="AA29" s="4">
        <v>986</v>
      </c>
      <c r="AB29" s="4">
        <f t="shared" si="31"/>
        <v>986</v>
      </c>
      <c r="AC29" s="4"/>
      <c r="AD29" s="19">
        <f t="shared" si="32"/>
        <v>1600</v>
      </c>
      <c r="AE29" s="6">
        <f t="shared" si="33"/>
        <v>0.38375000000000004</v>
      </c>
      <c r="AF29" s="4">
        <v>0</v>
      </c>
      <c r="AG29" s="4">
        <f t="shared" si="34"/>
        <v>1091</v>
      </c>
      <c r="AH29" s="4">
        <f t="shared" si="35"/>
        <v>1366.8691232528588</v>
      </c>
      <c r="AI29" s="6">
        <f t="shared" si="36"/>
        <v>0.27864344637946825</v>
      </c>
      <c r="AJ29" s="7">
        <v>1490</v>
      </c>
      <c r="AK29" s="6">
        <f t="shared" si="37"/>
        <v>0.338255033557047</v>
      </c>
      <c r="AL29" s="4">
        <f t="shared" si="38"/>
        <v>504</v>
      </c>
      <c r="AM29" s="26"/>
      <c r="AN29" s="6"/>
      <c r="AO29" s="6"/>
      <c r="AP29" s="6" t="e">
        <f t="shared" si="39"/>
        <v>#DIV/0!</v>
      </c>
      <c r="AQ29" s="6">
        <f t="shared" si="40"/>
        <v>1.1667971808927173</v>
      </c>
      <c r="AR29" s="6">
        <f t="shared" si="41"/>
        <v>1.2528589580686149</v>
      </c>
      <c r="AS29" s="4"/>
      <c r="AT29" s="4"/>
      <c r="AU29" s="4"/>
      <c r="AV29" s="4"/>
      <c r="AW29" s="4"/>
      <c r="AX29" s="4"/>
      <c r="AY29" s="4"/>
      <c r="AZ29" s="4"/>
      <c r="BA29" s="4"/>
      <c r="BB29" s="4">
        <v>0</v>
      </c>
      <c r="BC29" s="4" t="s">
        <v>202</v>
      </c>
      <c r="BD29" s="4"/>
      <c r="BE29" s="4"/>
      <c r="BF29" s="4" t="s">
        <v>201</v>
      </c>
      <c r="BG29" s="4">
        <v>958</v>
      </c>
      <c r="BH29" s="4">
        <v>1091</v>
      </c>
      <c r="BI29" s="4">
        <f t="shared" si="42"/>
        <v>1091</v>
      </c>
      <c r="BJ29" s="4">
        <v>4</v>
      </c>
      <c r="BK29" s="4">
        <v>8</v>
      </c>
      <c r="BL29" s="4">
        <v>18</v>
      </c>
      <c r="BM29" t="s">
        <v>140</v>
      </c>
      <c r="BN29" t="s">
        <v>140</v>
      </c>
      <c r="BO29" t="str">
        <f t="shared" si="16"/>
        <v>-</v>
      </c>
      <c r="BP29">
        <v>1197</v>
      </c>
      <c r="BQ29">
        <v>1197</v>
      </c>
      <c r="BR29">
        <f t="shared" si="17"/>
        <v>1499.672172808132</v>
      </c>
      <c r="BS29" s="4" t="s">
        <v>159</v>
      </c>
      <c r="BT29" s="38">
        <f t="shared" si="18"/>
        <v>-8.606177717589758E-2</v>
      </c>
    </row>
    <row r="30" spans="1:72" x14ac:dyDescent="0.4">
      <c r="A30" s="3">
        <v>27</v>
      </c>
      <c r="B30" s="3">
        <v>27</v>
      </c>
      <c r="C30" s="4" t="s">
        <v>67</v>
      </c>
      <c r="D30" s="4" t="str">
        <f t="shared" si="28"/>
        <v>J726PY</v>
      </c>
      <c r="E30" s="4" t="s">
        <v>67</v>
      </c>
      <c r="F30" s="4" t="s">
        <v>117</v>
      </c>
      <c r="G30" s="5">
        <v>4909767432139</v>
      </c>
      <c r="H30" s="5"/>
      <c r="I30" s="5"/>
      <c r="J30" s="5">
        <v>1</v>
      </c>
      <c r="K30" s="5">
        <v>1</v>
      </c>
      <c r="L30" s="4">
        <v>0</v>
      </c>
      <c r="M30" s="4">
        <v>1725</v>
      </c>
      <c r="N30" s="4">
        <v>1063</v>
      </c>
      <c r="O30" s="6">
        <f t="shared" si="29"/>
        <v>0.38376811594202898</v>
      </c>
      <c r="P30" s="4" t="s">
        <v>141</v>
      </c>
      <c r="Q30" s="4"/>
      <c r="R30" s="4"/>
      <c r="S30" s="4"/>
      <c r="T30" s="4"/>
      <c r="U30" s="4"/>
      <c r="V30" s="4"/>
      <c r="W30" s="4"/>
      <c r="X30" s="4"/>
      <c r="Y30" s="4">
        <v>0</v>
      </c>
      <c r="Z30" s="4">
        <f t="shared" si="30"/>
        <v>0</v>
      </c>
      <c r="AA30" s="4">
        <v>1326</v>
      </c>
      <c r="AB30" s="4">
        <f t="shared" si="31"/>
        <v>1326</v>
      </c>
      <c r="AC30" s="4"/>
      <c r="AD30" s="19">
        <f t="shared" si="32"/>
        <v>2152</v>
      </c>
      <c r="AE30" s="6">
        <f t="shared" si="33"/>
        <v>0.38382899628252787</v>
      </c>
      <c r="AF30" s="4">
        <v>0.25</v>
      </c>
      <c r="AG30" s="4">
        <f t="shared" si="34"/>
        <v>1382.6666666666665</v>
      </c>
      <c r="AH30" s="4">
        <f t="shared" si="35"/>
        <v>1724.7563499529631</v>
      </c>
      <c r="AI30" s="6">
        <f t="shared" si="36"/>
        <v>0.231195756991321</v>
      </c>
      <c r="AJ30" s="7">
        <v>2050</v>
      </c>
      <c r="AK30" s="6">
        <f t="shared" si="37"/>
        <v>0.35317073170731705</v>
      </c>
      <c r="AL30" s="4">
        <f t="shared" si="38"/>
        <v>724</v>
      </c>
      <c r="AM30" s="26"/>
      <c r="AN30" s="6"/>
      <c r="AO30" s="6"/>
      <c r="AP30" s="6" t="e">
        <f t="shared" si="39"/>
        <v>#DIV/0!</v>
      </c>
      <c r="AQ30" s="6">
        <f t="shared" si="40"/>
        <v>1.1884057971014492</v>
      </c>
      <c r="AR30" s="6">
        <f t="shared" si="41"/>
        <v>1.2474129821260582</v>
      </c>
      <c r="AS30" s="4"/>
      <c r="AT30" s="4"/>
      <c r="AU30" s="4"/>
      <c r="AV30" s="4"/>
      <c r="AW30" s="4"/>
      <c r="AX30" s="4"/>
      <c r="AY30" s="4"/>
      <c r="AZ30" s="4"/>
      <c r="BA30" s="4"/>
      <c r="BB30" s="4">
        <v>0</v>
      </c>
      <c r="BC30" s="4" t="s">
        <v>203</v>
      </c>
      <c r="BD30" s="4">
        <v>1</v>
      </c>
      <c r="BE30" s="4">
        <v>3</v>
      </c>
      <c r="BF30" s="4" t="s">
        <v>204</v>
      </c>
      <c r="BG30" s="4">
        <v>3617</v>
      </c>
      <c r="BH30" s="4">
        <v>4148</v>
      </c>
      <c r="BI30" s="4">
        <f t="shared" si="42"/>
        <v>1382.6666666666665</v>
      </c>
      <c r="BJ30" s="4">
        <v>4</v>
      </c>
      <c r="BK30" s="4">
        <v>8</v>
      </c>
      <c r="BL30" s="4">
        <v>18</v>
      </c>
      <c r="BM30">
        <v>1914</v>
      </c>
      <c r="BN30">
        <v>1914</v>
      </c>
      <c r="BO30">
        <f t="shared" si="16"/>
        <v>2387.5484477892755</v>
      </c>
      <c r="BP30" t="s">
        <v>140</v>
      </c>
      <c r="BQ30" t="s">
        <v>140</v>
      </c>
      <c r="BR30" t="str">
        <f t="shared" si="17"/>
        <v>-</v>
      </c>
      <c r="BS30" s="4" t="s">
        <v>160</v>
      </c>
      <c r="BT30" s="38">
        <f t="shared" si="18"/>
        <v>-5.9007185024608999E-2</v>
      </c>
    </row>
    <row r="31" spans="1:72" x14ac:dyDescent="0.4">
      <c r="A31" s="3">
        <v>28</v>
      </c>
      <c r="B31" s="3">
        <v>28</v>
      </c>
      <c r="C31" s="4" t="s">
        <v>68</v>
      </c>
      <c r="D31" s="4" t="str">
        <f t="shared" si="28"/>
        <v>J728PY</v>
      </c>
      <c r="E31" s="4" t="s">
        <v>68</v>
      </c>
      <c r="F31" s="4" t="s">
        <v>118</v>
      </c>
      <c r="G31" s="5">
        <v>4909767432146</v>
      </c>
      <c r="H31" s="5"/>
      <c r="I31" s="5"/>
      <c r="J31" s="5">
        <v>1</v>
      </c>
      <c r="K31" s="5">
        <v>1</v>
      </c>
      <c r="L31" s="4">
        <v>0</v>
      </c>
      <c r="M31" s="4">
        <v>1754</v>
      </c>
      <c r="N31" s="4">
        <v>1265</v>
      </c>
      <c r="O31" s="6">
        <f t="shared" si="29"/>
        <v>0.27879133409350054</v>
      </c>
      <c r="P31" s="4" t="s">
        <v>141</v>
      </c>
      <c r="Q31" s="4"/>
      <c r="R31" s="4"/>
      <c r="S31" s="4"/>
      <c r="T31" s="4"/>
      <c r="U31" s="4"/>
      <c r="V31" s="4"/>
      <c r="W31" s="4"/>
      <c r="X31" s="4"/>
      <c r="Y31" s="4">
        <v>0</v>
      </c>
      <c r="Z31" s="4">
        <f t="shared" si="30"/>
        <v>0</v>
      </c>
      <c r="AA31" s="4">
        <v>1581</v>
      </c>
      <c r="AB31" s="4">
        <f t="shared" si="31"/>
        <v>1581</v>
      </c>
      <c r="AC31" s="4"/>
      <c r="AD31" s="19">
        <f t="shared" si="32"/>
        <v>2192</v>
      </c>
      <c r="AE31" s="6">
        <f t="shared" si="33"/>
        <v>0.27874087591240881</v>
      </c>
      <c r="AF31" s="4">
        <v>0</v>
      </c>
      <c r="AG31" s="4">
        <f t="shared" si="34"/>
        <v>1763</v>
      </c>
      <c r="AH31" s="4">
        <f t="shared" si="35"/>
        <v>2203.4015810276678</v>
      </c>
      <c r="AI31" s="6">
        <f t="shared" si="36"/>
        <v>0.28247305728871241</v>
      </c>
      <c r="AJ31" s="7">
        <v>2200</v>
      </c>
      <c r="AK31" s="6">
        <f t="shared" si="37"/>
        <v>0.28136363636363637</v>
      </c>
      <c r="AL31" s="4">
        <f t="shared" si="38"/>
        <v>619</v>
      </c>
      <c r="AM31" s="26"/>
      <c r="AN31" s="6"/>
      <c r="AO31" s="6"/>
      <c r="AP31" s="6" t="e">
        <f t="shared" si="39"/>
        <v>#DIV/0!</v>
      </c>
      <c r="AQ31" s="6">
        <f t="shared" si="40"/>
        <v>1.2542759407069555</v>
      </c>
      <c r="AR31" s="6">
        <f t="shared" si="41"/>
        <v>1.2498023715415019</v>
      </c>
      <c r="AS31" s="4"/>
      <c r="AT31" s="4"/>
      <c r="AU31" s="4"/>
      <c r="AV31" s="4"/>
      <c r="AW31" s="4"/>
      <c r="AX31" s="4"/>
      <c r="AY31" s="4"/>
      <c r="AZ31" s="4"/>
      <c r="BA31" s="4"/>
      <c r="BB31" s="4">
        <v>0</v>
      </c>
      <c r="BC31" s="4" t="s">
        <v>205</v>
      </c>
      <c r="BD31" s="4"/>
      <c r="BE31" s="4"/>
      <c r="BF31" s="4" t="s">
        <v>201</v>
      </c>
      <c r="BG31" s="4">
        <v>1552</v>
      </c>
      <c r="BH31" s="4">
        <v>1763</v>
      </c>
      <c r="BI31" s="4">
        <f t="shared" si="42"/>
        <v>1763</v>
      </c>
      <c r="BJ31" s="4">
        <v>4</v>
      </c>
      <c r="BK31" s="4">
        <v>8</v>
      </c>
      <c r="BL31" s="4">
        <v>18</v>
      </c>
      <c r="BM31" t="s">
        <v>140</v>
      </c>
      <c r="BN31" t="s">
        <v>140</v>
      </c>
      <c r="BO31" t="str">
        <f t="shared" si="16"/>
        <v>-</v>
      </c>
      <c r="BP31">
        <v>2271</v>
      </c>
      <c r="BQ31">
        <v>2271</v>
      </c>
      <c r="BR31">
        <f t="shared" si="17"/>
        <v>2838.3011857707506</v>
      </c>
      <c r="BS31" s="4" t="s">
        <v>161</v>
      </c>
      <c r="BT31" s="38">
        <f t="shared" si="18"/>
        <v>4.4735691654536058E-3</v>
      </c>
    </row>
    <row r="32" spans="1:72" x14ac:dyDescent="0.4">
      <c r="A32" s="3">
        <v>29</v>
      </c>
      <c r="B32" s="3">
        <v>29</v>
      </c>
      <c r="C32" s="4" t="s">
        <v>69</v>
      </c>
      <c r="D32" s="4" t="str">
        <f t="shared" si="28"/>
        <v>J730PY</v>
      </c>
      <c r="E32" s="4" t="s">
        <v>69</v>
      </c>
      <c r="F32" s="4" t="s">
        <v>119</v>
      </c>
      <c r="G32" s="5">
        <v>4909767432153</v>
      </c>
      <c r="H32" s="5"/>
      <c r="I32" s="5"/>
      <c r="J32" s="5">
        <v>1</v>
      </c>
      <c r="K32" s="5">
        <v>1</v>
      </c>
      <c r="L32" s="4">
        <v>0</v>
      </c>
      <c r="M32" s="4">
        <v>2542</v>
      </c>
      <c r="N32" s="4">
        <v>1690</v>
      </c>
      <c r="O32" s="6">
        <f t="shared" si="29"/>
        <v>0.33516915814319437</v>
      </c>
      <c r="P32" s="4" t="s">
        <v>141</v>
      </c>
      <c r="Q32" s="4"/>
      <c r="R32" s="4"/>
      <c r="S32" s="4"/>
      <c r="T32" s="4"/>
      <c r="U32" s="4"/>
      <c r="V32" s="4"/>
      <c r="W32" s="4"/>
      <c r="X32" s="4"/>
      <c r="Y32" s="4">
        <v>0</v>
      </c>
      <c r="Z32" s="4">
        <f t="shared" si="30"/>
        <v>0</v>
      </c>
      <c r="AA32" s="4">
        <v>2112</v>
      </c>
      <c r="AB32" s="4">
        <f t="shared" si="31"/>
        <v>2112</v>
      </c>
      <c r="AC32" s="4"/>
      <c r="AD32" s="19">
        <f t="shared" si="32"/>
        <v>3177</v>
      </c>
      <c r="AE32" s="6">
        <f t="shared" si="33"/>
        <v>0.3352219074598678</v>
      </c>
      <c r="AF32" s="4">
        <v>0</v>
      </c>
      <c r="AG32" s="4">
        <f t="shared" si="34"/>
        <v>2265</v>
      </c>
      <c r="AH32" s="4">
        <f t="shared" si="35"/>
        <v>2830.5798816568044</v>
      </c>
      <c r="AI32" s="6">
        <f t="shared" si="36"/>
        <v>0.25386313465783661</v>
      </c>
      <c r="AJ32" s="7">
        <v>3150</v>
      </c>
      <c r="AK32" s="6">
        <f t="shared" si="37"/>
        <v>0.32952380952380955</v>
      </c>
      <c r="AL32" s="4">
        <f t="shared" si="38"/>
        <v>1038</v>
      </c>
      <c r="AM32" s="26"/>
      <c r="AN32" s="6"/>
      <c r="AO32" s="6"/>
      <c r="AP32" s="6" t="e">
        <f t="shared" si="39"/>
        <v>#DIV/0!</v>
      </c>
      <c r="AQ32" s="6">
        <f t="shared" si="40"/>
        <v>1.2391817466561763</v>
      </c>
      <c r="AR32" s="6">
        <f t="shared" si="41"/>
        <v>1.2497041420118342</v>
      </c>
      <c r="AS32" s="4"/>
      <c r="AT32" s="4"/>
      <c r="AU32" s="4"/>
      <c r="AV32" s="4"/>
      <c r="AW32" s="4"/>
      <c r="AX32" s="4"/>
      <c r="AY32" s="4"/>
      <c r="AZ32" s="4"/>
      <c r="BA32" s="4"/>
      <c r="BB32" s="4">
        <v>0</v>
      </c>
      <c r="BC32" s="4" t="s">
        <v>206</v>
      </c>
      <c r="BD32" s="4"/>
      <c r="BE32" s="4"/>
      <c r="BF32" s="4" t="s">
        <v>201</v>
      </c>
      <c r="BG32" s="4">
        <v>1983</v>
      </c>
      <c r="BH32" s="4">
        <v>2265</v>
      </c>
      <c r="BI32" s="4">
        <f t="shared" si="42"/>
        <v>2265</v>
      </c>
      <c r="BJ32" s="4">
        <v>4</v>
      </c>
      <c r="BK32" s="4">
        <v>8</v>
      </c>
      <c r="BL32" s="4">
        <v>18</v>
      </c>
      <c r="BM32" t="s">
        <v>140</v>
      </c>
      <c r="BN32" t="s">
        <v>140</v>
      </c>
      <c r="BO32" t="str">
        <f t="shared" si="16"/>
        <v>-</v>
      </c>
      <c r="BP32">
        <v>3154</v>
      </c>
      <c r="BQ32">
        <v>3154</v>
      </c>
      <c r="BR32">
        <f t="shared" si="17"/>
        <v>3941.5668639053251</v>
      </c>
      <c r="BS32" s="4" t="s">
        <v>162</v>
      </c>
      <c r="BT32" s="38">
        <f t="shared" si="18"/>
        <v>-1.052239535565791E-2</v>
      </c>
    </row>
    <row r="33" spans="1:72" x14ac:dyDescent="0.4">
      <c r="A33" s="3">
        <v>30</v>
      </c>
      <c r="B33" s="3">
        <v>30</v>
      </c>
      <c r="C33" s="4" t="s">
        <v>70</v>
      </c>
      <c r="D33" s="4" t="str">
        <f t="shared" si="28"/>
        <v>J731PY</v>
      </c>
      <c r="E33" s="4" t="s">
        <v>70</v>
      </c>
      <c r="F33" s="4" t="s">
        <v>120</v>
      </c>
      <c r="G33" s="5">
        <v>4909767432160</v>
      </c>
      <c r="H33" s="5"/>
      <c r="I33" s="5"/>
      <c r="J33" s="5">
        <v>1</v>
      </c>
      <c r="K33" s="5">
        <v>1</v>
      </c>
      <c r="L33" s="4">
        <v>0</v>
      </c>
      <c r="M33" s="4">
        <v>2939</v>
      </c>
      <c r="N33" s="4">
        <v>2098</v>
      </c>
      <c r="O33" s="6">
        <f t="shared" si="29"/>
        <v>0.28615175229669954</v>
      </c>
      <c r="P33" s="4" t="s">
        <v>141</v>
      </c>
      <c r="Q33" s="4"/>
      <c r="R33" s="4"/>
      <c r="S33" s="4"/>
      <c r="T33" s="4"/>
      <c r="U33" s="4"/>
      <c r="V33" s="4"/>
      <c r="W33" s="4"/>
      <c r="X33" s="4"/>
      <c r="Y33" s="4">
        <v>0</v>
      </c>
      <c r="Z33" s="4">
        <f t="shared" si="30"/>
        <v>0</v>
      </c>
      <c r="AA33" s="4">
        <v>2618</v>
      </c>
      <c r="AB33" s="4">
        <f t="shared" si="31"/>
        <v>2618</v>
      </c>
      <c r="AC33" s="4"/>
      <c r="AD33" s="19">
        <f t="shared" si="32"/>
        <v>3667</v>
      </c>
      <c r="AE33" s="6">
        <f t="shared" si="33"/>
        <v>0.28606490319061906</v>
      </c>
      <c r="AF33" s="4">
        <v>0</v>
      </c>
      <c r="AG33" s="4">
        <f t="shared" si="34"/>
        <v>2827</v>
      </c>
      <c r="AH33" s="4">
        <f t="shared" si="35"/>
        <v>3527.6863679694948</v>
      </c>
      <c r="AI33" s="6">
        <f t="shared" si="36"/>
        <v>0.25787053413512562</v>
      </c>
      <c r="AJ33" s="7">
        <v>3800</v>
      </c>
      <c r="AK33" s="6">
        <f t="shared" si="37"/>
        <v>0.31105263157894736</v>
      </c>
      <c r="AL33" s="4">
        <f t="shared" si="38"/>
        <v>1182</v>
      </c>
      <c r="AM33" s="26"/>
      <c r="AN33" s="6"/>
      <c r="AO33" s="6"/>
      <c r="AP33" s="6" t="e">
        <f t="shared" si="39"/>
        <v>#DIV/0!</v>
      </c>
      <c r="AQ33" s="6">
        <f t="shared" si="40"/>
        <v>1.2929567880231372</v>
      </c>
      <c r="AR33" s="6">
        <f t="shared" si="41"/>
        <v>1.2478551000953289</v>
      </c>
      <c r="AS33" s="4"/>
      <c r="AT33" s="4"/>
      <c r="AU33" s="4"/>
      <c r="AV33" s="4"/>
      <c r="AW33" s="4"/>
      <c r="AX33" s="4"/>
      <c r="AY33" s="4"/>
      <c r="AZ33" s="4"/>
      <c r="BA33" s="4"/>
      <c r="BB33" s="4">
        <v>0</v>
      </c>
      <c r="BC33" s="4" t="s">
        <v>207</v>
      </c>
      <c r="BD33" s="4"/>
      <c r="BE33" s="4"/>
      <c r="BF33" s="4" t="s">
        <v>201</v>
      </c>
      <c r="BG33" s="4">
        <v>2480</v>
      </c>
      <c r="BH33" s="4">
        <v>2827</v>
      </c>
      <c r="BI33" s="4">
        <f t="shared" si="42"/>
        <v>2827</v>
      </c>
      <c r="BJ33" s="4">
        <v>4</v>
      </c>
      <c r="BK33" s="4">
        <v>8</v>
      </c>
      <c r="BL33" s="4">
        <v>18</v>
      </c>
      <c r="BM33">
        <v>3786</v>
      </c>
      <c r="BN33">
        <v>3786</v>
      </c>
      <c r="BO33">
        <f t="shared" si="16"/>
        <v>4724.3794089609146</v>
      </c>
      <c r="BP33">
        <v>3905</v>
      </c>
      <c r="BQ33">
        <v>3905</v>
      </c>
      <c r="BR33">
        <f t="shared" si="17"/>
        <v>4872.8741658722593</v>
      </c>
      <c r="BS33" s="4" t="s">
        <v>163</v>
      </c>
      <c r="BT33" s="38">
        <f t="shared" si="18"/>
        <v>4.5101687927808332E-2</v>
      </c>
    </row>
    <row r="34" spans="1:72" x14ac:dyDescent="0.4">
      <c r="A34" s="3">
        <v>31</v>
      </c>
      <c r="B34" s="3">
        <v>31</v>
      </c>
      <c r="C34" s="4" t="s">
        <v>71</v>
      </c>
      <c r="D34" s="4" t="str">
        <f t="shared" si="28"/>
        <v>J732PY</v>
      </c>
      <c r="E34" s="4" t="s">
        <v>71</v>
      </c>
      <c r="F34" s="4" t="s">
        <v>121</v>
      </c>
      <c r="G34" s="5">
        <v>4909767432177</v>
      </c>
      <c r="H34" s="5"/>
      <c r="I34" s="5"/>
      <c r="J34" s="5">
        <v>1</v>
      </c>
      <c r="K34" s="5">
        <v>1</v>
      </c>
      <c r="L34" s="4">
        <v>0</v>
      </c>
      <c r="M34" s="4">
        <v>3957</v>
      </c>
      <c r="N34" s="4">
        <v>2642</v>
      </c>
      <c r="O34" s="6">
        <f t="shared" si="29"/>
        <v>0.33232246651503661</v>
      </c>
      <c r="P34" s="4" t="s">
        <v>141</v>
      </c>
      <c r="Q34" s="4"/>
      <c r="R34" s="4"/>
      <c r="S34" s="4"/>
      <c r="T34" s="4"/>
      <c r="U34" s="4"/>
      <c r="V34" s="4"/>
      <c r="W34" s="4"/>
      <c r="X34" s="4"/>
      <c r="Y34" s="4">
        <v>0</v>
      </c>
      <c r="Z34" s="4">
        <f t="shared" si="30"/>
        <v>0</v>
      </c>
      <c r="AA34" s="4">
        <v>3297.9999999999995</v>
      </c>
      <c r="AB34" s="4">
        <f t="shared" si="31"/>
        <v>3297.9999999999995</v>
      </c>
      <c r="AC34" s="4"/>
      <c r="AD34" s="19">
        <f t="shared" si="32"/>
        <v>4940</v>
      </c>
      <c r="AE34" s="6">
        <f t="shared" si="33"/>
        <v>0.33238866396761146</v>
      </c>
      <c r="AF34" s="4">
        <v>0</v>
      </c>
      <c r="AG34" s="4">
        <f t="shared" si="34"/>
        <v>3504</v>
      </c>
      <c r="AH34" s="4">
        <f t="shared" si="35"/>
        <v>4374.0317940953819</v>
      </c>
      <c r="AI34" s="6">
        <f t="shared" si="36"/>
        <v>0.24600456621004574</v>
      </c>
      <c r="AJ34" s="7">
        <v>4940</v>
      </c>
      <c r="AK34" s="6">
        <f t="shared" si="37"/>
        <v>0.33238866396761146</v>
      </c>
      <c r="AL34" s="4">
        <f t="shared" si="38"/>
        <v>1642.0000000000005</v>
      </c>
      <c r="AM34" s="26"/>
      <c r="AN34" s="6"/>
      <c r="AO34" s="6"/>
      <c r="AP34" s="6" t="e">
        <f t="shared" si="39"/>
        <v>#DIV/0!</v>
      </c>
      <c r="AQ34" s="6">
        <f t="shared" si="40"/>
        <v>1.2484205205964114</v>
      </c>
      <c r="AR34" s="6">
        <f t="shared" si="41"/>
        <v>1.2482967448902345</v>
      </c>
      <c r="AS34" s="4"/>
      <c r="AT34" s="4"/>
      <c r="AU34" s="4"/>
      <c r="AV34" s="4"/>
      <c r="AW34" s="4"/>
      <c r="AX34" s="4"/>
      <c r="AY34" s="4"/>
      <c r="AZ34" s="4"/>
      <c r="BA34" s="4"/>
      <c r="BB34" s="4">
        <v>0</v>
      </c>
      <c r="BC34" s="4" t="s">
        <v>208</v>
      </c>
      <c r="BD34" s="4"/>
      <c r="BE34" s="4"/>
      <c r="BF34" s="4" t="s">
        <v>201</v>
      </c>
      <c r="BG34" s="4">
        <v>3066</v>
      </c>
      <c r="BH34" s="4">
        <v>3504</v>
      </c>
      <c r="BI34" s="4">
        <f t="shared" si="42"/>
        <v>3504</v>
      </c>
      <c r="BJ34" s="4">
        <v>4</v>
      </c>
      <c r="BK34" s="4">
        <v>8</v>
      </c>
      <c r="BL34" s="4">
        <v>18</v>
      </c>
      <c r="BM34" t="s">
        <v>140</v>
      </c>
      <c r="BN34" t="s">
        <v>140</v>
      </c>
      <c r="BO34" t="str">
        <f t="shared" si="16"/>
        <v>-</v>
      </c>
      <c r="BP34">
        <v>4757</v>
      </c>
      <c r="BQ34">
        <v>4757</v>
      </c>
      <c r="BR34">
        <f t="shared" si="17"/>
        <v>5938.1476154428456</v>
      </c>
      <c r="BS34" s="4" t="s">
        <v>164</v>
      </c>
      <c r="BT34" s="38">
        <f t="shared" si="18"/>
        <v>1.2377570617694289E-4</v>
      </c>
    </row>
    <row r="35" spans="1:72" x14ac:dyDescent="0.4">
      <c r="A35" s="3">
        <v>32</v>
      </c>
      <c r="B35" s="3">
        <v>32</v>
      </c>
      <c r="C35" s="4" t="s">
        <v>72</v>
      </c>
      <c r="D35" s="4" t="str">
        <f t="shared" si="28"/>
        <v>J733PY</v>
      </c>
      <c r="E35" s="4" t="s">
        <v>72</v>
      </c>
      <c r="F35" s="4" t="s">
        <v>122</v>
      </c>
      <c r="G35" s="5">
        <v>4909767432184</v>
      </c>
      <c r="H35" s="5"/>
      <c r="I35" s="5"/>
      <c r="J35" s="5">
        <v>1</v>
      </c>
      <c r="K35" s="5">
        <v>1</v>
      </c>
      <c r="L35" s="4">
        <v>0</v>
      </c>
      <c r="M35" s="4">
        <v>4536</v>
      </c>
      <c r="N35" s="4">
        <v>3194</v>
      </c>
      <c r="O35" s="6">
        <f t="shared" si="29"/>
        <v>0.29585537918871252</v>
      </c>
      <c r="P35" s="4" t="s">
        <v>141</v>
      </c>
      <c r="Q35" s="4"/>
      <c r="R35" s="4"/>
      <c r="S35" s="4"/>
      <c r="T35" s="4"/>
      <c r="U35" s="4"/>
      <c r="V35" s="4"/>
      <c r="W35" s="4"/>
      <c r="X35" s="4"/>
      <c r="Y35" s="4">
        <v>0</v>
      </c>
      <c r="Z35" s="4">
        <f t="shared" si="30"/>
        <v>0</v>
      </c>
      <c r="AA35" s="4">
        <v>3986</v>
      </c>
      <c r="AB35" s="4">
        <f t="shared" si="31"/>
        <v>3986</v>
      </c>
      <c r="AC35" s="4"/>
      <c r="AD35" s="19">
        <f t="shared" si="32"/>
        <v>5661</v>
      </c>
      <c r="AE35" s="6">
        <f t="shared" si="33"/>
        <v>0.29588411941353121</v>
      </c>
      <c r="AF35" s="4">
        <v>0</v>
      </c>
      <c r="AG35" s="4">
        <f t="shared" si="34"/>
        <v>4306</v>
      </c>
      <c r="AH35" s="4">
        <f t="shared" si="35"/>
        <v>5373.7370068879154</v>
      </c>
      <c r="AI35" s="6">
        <f t="shared" si="36"/>
        <v>0.25824431026474692</v>
      </c>
      <c r="AJ35" s="7">
        <v>6000</v>
      </c>
      <c r="AK35" s="6">
        <f t="shared" si="37"/>
        <v>0.33566666666666667</v>
      </c>
      <c r="AL35" s="4">
        <f t="shared" si="38"/>
        <v>2014</v>
      </c>
      <c r="AM35" s="26"/>
      <c r="AN35" s="6"/>
      <c r="AO35" s="6"/>
      <c r="AP35" s="6" t="e">
        <f t="shared" si="39"/>
        <v>#DIV/0!</v>
      </c>
      <c r="AQ35" s="6">
        <f t="shared" si="40"/>
        <v>1.3227513227513228</v>
      </c>
      <c r="AR35" s="6">
        <f t="shared" si="41"/>
        <v>1.2479649342517221</v>
      </c>
      <c r="AS35" s="4"/>
      <c r="AT35" s="4"/>
      <c r="AU35" s="4"/>
      <c r="AV35" s="4"/>
      <c r="AW35" s="4"/>
      <c r="AX35" s="4"/>
      <c r="AY35" s="4"/>
      <c r="AZ35" s="4"/>
      <c r="BA35" s="4"/>
      <c r="BB35" s="4">
        <v>0</v>
      </c>
      <c r="BC35" s="4" t="s">
        <v>209</v>
      </c>
      <c r="BD35" s="4"/>
      <c r="BE35" s="4"/>
      <c r="BF35" s="4" t="s">
        <v>201</v>
      </c>
      <c r="BG35" s="4">
        <v>3776</v>
      </c>
      <c r="BH35" s="4">
        <v>4306</v>
      </c>
      <c r="BI35" s="4">
        <f t="shared" si="42"/>
        <v>4306</v>
      </c>
      <c r="BJ35" s="4">
        <v>4</v>
      </c>
      <c r="BK35" s="4">
        <v>8</v>
      </c>
      <c r="BL35" s="4">
        <v>18</v>
      </c>
      <c r="BM35">
        <v>5743</v>
      </c>
      <c r="BN35">
        <v>5743</v>
      </c>
      <c r="BO35">
        <f t="shared" si="16"/>
        <v>7167.0626174076397</v>
      </c>
      <c r="BP35">
        <v>5083</v>
      </c>
      <c r="BQ35">
        <v>5083</v>
      </c>
      <c r="BR35">
        <f t="shared" si="17"/>
        <v>6343.4057608015028</v>
      </c>
      <c r="BS35" s="4" t="s">
        <v>165</v>
      </c>
      <c r="BT35" s="38">
        <f t="shared" si="18"/>
        <v>7.4786388499600731E-2</v>
      </c>
    </row>
    <row r="36" spans="1:72" x14ac:dyDescent="0.4">
      <c r="A36" s="3">
        <v>33</v>
      </c>
      <c r="B36" s="3">
        <v>33</v>
      </c>
      <c r="C36" s="4" t="s">
        <v>73</v>
      </c>
      <c r="D36" s="4" t="str">
        <f t="shared" si="28"/>
        <v>J734PY</v>
      </c>
      <c r="E36" s="4" t="s">
        <v>73</v>
      </c>
      <c r="F36" s="4" t="s">
        <v>123</v>
      </c>
      <c r="G36" s="5">
        <v>4909767432191</v>
      </c>
      <c r="H36" s="5"/>
      <c r="I36" s="5"/>
      <c r="J36" s="5">
        <v>1</v>
      </c>
      <c r="K36" s="5">
        <v>1</v>
      </c>
      <c r="L36" s="4">
        <v>0</v>
      </c>
      <c r="M36" s="4">
        <v>5046</v>
      </c>
      <c r="N36" s="4">
        <v>3833</v>
      </c>
      <c r="O36" s="6">
        <f t="shared" si="29"/>
        <v>0.24038842647641701</v>
      </c>
      <c r="P36" s="4" t="s">
        <v>141</v>
      </c>
      <c r="Q36" s="4"/>
      <c r="R36" s="4"/>
      <c r="S36" s="4"/>
      <c r="T36" s="4"/>
      <c r="U36" s="4"/>
      <c r="V36" s="4"/>
      <c r="W36" s="4"/>
      <c r="X36" s="4"/>
      <c r="Y36" s="4">
        <v>0</v>
      </c>
      <c r="Z36" s="4">
        <f t="shared" si="30"/>
        <v>0</v>
      </c>
      <c r="AA36" s="4">
        <v>4785</v>
      </c>
      <c r="AB36" s="4">
        <f t="shared" si="31"/>
        <v>4785</v>
      </c>
      <c r="AC36" s="4"/>
      <c r="AD36" s="19">
        <f t="shared" si="32"/>
        <v>6299</v>
      </c>
      <c r="AE36" s="6">
        <f t="shared" si="33"/>
        <v>0.24035561200190503</v>
      </c>
      <c r="AF36" s="4">
        <v>0</v>
      </c>
      <c r="AG36" s="4">
        <f t="shared" si="34"/>
        <v>6070</v>
      </c>
      <c r="AH36" s="4">
        <f t="shared" si="35"/>
        <v>7577.6024002087133</v>
      </c>
      <c r="AI36" s="6">
        <f t="shared" si="36"/>
        <v>0.36853377265238874</v>
      </c>
      <c r="AJ36" s="7">
        <v>7300</v>
      </c>
      <c r="AK36" s="6">
        <f t="shared" si="37"/>
        <v>0.34452054794520548</v>
      </c>
      <c r="AL36" s="4">
        <f t="shared" si="38"/>
        <v>2515</v>
      </c>
      <c r="AM36" s="26"/>
      <c r="AN36" s="6"/>
      <c r="AO36" s="6"/>
      <c r="AP36" s="6" t="e">
        <f t="shared" si="39"/>
        <v>#DIV/0!</v>
      </c>
      <c r="AQ36" s="6">
        <f t="shared" si="40"/>
        <v>1.4466904478795086</v>
      </c>
      <c r="AR36" s="6">
        <f t="shared" si="41"/>
        <v>1.2483694234281242</v>
      </c>
      <c r="AS36" s="4"/>
      <c r="AT36" s="4"/>
      <c r="AU36" s="4"/>
      <c r="AV36" s="4"/>
      <c r="AW36" s="4"/>
      <c r="AX36" s="4"/>
      <c r="AY36" s="4"/>
      <c r="AZ36" s="4"/>
      <c r="BA36" s="4"/>
      <c r="BB36" s="4">
        <v>0</v>
      </c>
      <c r="BC36" s="4" t="s">
        <v>210</v>
      </c>
      <c r="BD36" s="4"/>
      <c r="BE36" s="4"/>
      <c r="BF36" s="4" t="s">
        <v>211</v>
      </c>
      <c r="BG36" s="4">
        <v>6070</v>
      </c>
      <c r="BH36" s="4">
        <v>6070</v>
      </c>
      <c r="BI36" s="4">
        <f t="shared" si="42"/>
        <v>6070</v>
      </c>
      <c r="BJ36" s="4">
        <v>4</v>
      </c>
      <c r="BK36" s="4">
        <v>8</v>
      </c>
      <c r="BL36" s="4">
        <v>18</v>
      </c>
      <c r="BM36" t="s">
        <v>140</v>
      </c>
      <c r="BN36">
        <v>5916</v>
      </c>
      <c r="BO36">
        <f t="shared" si="16"/>
        <v>7385.3535090007827</v>
      </c>
      <c r="BP36">
        <v>6886</v>
      </c>
      <c r="BQ36">
        <v>6886</v>
      </c>
      <c r="BR36">
        <f t="shared" si="17"/>
        <v>8596.271849726063</v>
      </c>
      <c r="BS36" s="4" t="s">
        <v>166</v>
      </c>
      <c r="BT36" s="38">
        <f t="shared" si="18"/>
        <v>0.19832102445138444</v>
      </c>
    </row>
    <row r="37" spans="1:72" x14ac:dyDescent="0.4">
      <c r="A37" s="3">
        <v>34</v>
      </c>
      <c r="B37" s="3">
        <v>34</v>
      </c>
      <c r="C37" s="4" t="s">
        <v>74</v>
      </c>
      <c r="D37" s="4" t="str">
        <f t="shared" si="28"/>
        <v>J709PY</v>
      </c>
      <c r="E37" s="4" t="s">
        <v>74</v>
      </c>
      <c r="F37" s="4" t="s">
        <v>124</v>
      </c>
      <c r="G37" s="5">
        <v>4909767432207</v>
      </c>
      <c r="H37" s="5"/>
      <c r="I37" s="5"/>
      <c r="J37" s="5">
        <v>1</v>
      </c>
      <c r="K37" s="5">
        <v>1</v>
      </c>
      <c r="L37" s="4">
        <v>0</v>
      </c>
      <c r="M37" s="4">
        <v>988</v>
      </c>
      <c r="N37" s="4">
        <v>618</v>
      </c>
      <c r="O37" s="6">
        <f t="shared" si="29"/>
        <v>0.37449392712550611</v>
      </c>
      <c r="P37" s="4" t="s">
        <v>141</v>
      </c>
      <c r="Q37" s="4"/>
      <c r="R37" s="4"/>
      <c r="S37" s="4"/>
      <c r="T37" s="4"/>
      <c r="U37" s="4"/>
      <c r="V37" s="4"/>
      <c r="W37" s="4"/>
      <c r="X37" s="4"/>
      <c r="Y37" s="4">
        <v>0</v>
      </c>
      <c r="Z37" s="4">
        <f t="shared" si="30"/>
        <v>0</v>
      </c>
      <c r="AA37" s="4">
        <v>773</v>
      </c>
      <c r="AB37" s="4">
        <f t="shared" si="31"/>
        <v>773</v>
      </c>
      <c r="AC37" s="4"/>
      <c r="AD37" s="19">
        <f t="shared" si="32"/>
        <v>1236</v>
      </c>
      <c r="AE37" s="6">
        <f t="shared" si="33"/>
        <v>0.37459546925566345</v>
      </c>
      <c r="AF37" s="4">
        <v>0.25</v>
      </c>
      <c r="AG37" s="4">
        <f t="shared" si="34"/>
        <v>972</v>
      </c>
      <c r="AH37" s="4">
        <f t="shared" si="35"/>
        <v>1215.7864077669904</v>
      </c>
      <c r="AI37" s="6">
        <f t="shared" si="36"/>
        <v>0.36419753086419759</v>
      </c>
      <c r="AJ37" s="7">
        <v>1215</v>
      </c>
      <c r="AK37" s="6">
        <f t="shared" si="37"/>
        <v>0.36378600823045271</v>
      </c>
      <c r="AL37" s="4">
        <f t="shared" si="38"/>
        <v>442</v>
      </c>
      <c r="AM37" s="26"/>
      <c r="AN37" s="6"/>
      <c r="AO37" s="6"/>
      <c r="AP37" s="6" t="e">
        <f t="shared" si="39"/>
        <v>#DIV/0!</v>
      </c>
      <c r="AQ37" s="6">
        <f t="shared" si="40"/>
        <v>1.2297570850202428</v>
      </c>
      <c r="AR37" s="6">
        <f t="shared" si="41"/>
        <v>1.2508090614886731</v>
      </c>
      <c r="AS37" s="4"/>
      <c r="AT37" s="4"/>
      <c r="AU37" s="4"/>
      <c r="AV37" s="4"/>
      <c r="AW37" s="4"/>
      <c r="AX37" s="4"/>
      <c r="AY37" s="4"/>
      <c r="AZ37" s="4"/>
      <c r="BA37" s="4"/>
      <c r="BB37" s="4">
        <v>0</v>
      </c>
      <c r="BC37" s="4" t="s">
        <v>212</v>
      </c>
      <c r="BD37" s="4"/>
      <c r="BE37" s="4"/>
      <c r="BF37" s="4" t="s">
        <v>211</v>
      </c>
      <c r="BG37" s="4">
        <v>972</v>
      </c>
      <c r="BH37" s="4">
        <v>972</v>
      </c>
      <c r="BI37" s="4">
        <f t="shared" si="42"/>
        <v>972</v>
      </c>
      <c r="BJ37" s="4">
        <v>4</v>
      </c>
      <c r="BK37" s="4">
        <v>8</v>
      </c>
      <c r="BL37" s="4">
        <v>18</v>
      </c>
      <c r="BM37">
        <v>1129</v>
      </c>
      <c r="BN37">
        <v>1129</v>
      </c>
      <c r="BO37">
        <f t="shared" si="16"/>
        <v>1412.1634304207118</v>
      </c>
      <c r="BP37">
        <v>1129</v>
      </c>
      <c r="BQ37">
        <v>1129</v>
      </c>
      <c r="BR37">
        <f t="shared" si="17"/>
        <v>1412.1634304207118</v>
      </c>
      <c r="BS37" s="4" t="s">
        <v>167</v>
      </c>
      <c r="BT37" s="38">
        <f t="shared" si="18"/>
        <v>-2.1051976468430267E-2</v>
      </c>
    </row>
    <row r="38" spans="1:72" x14ac:dyDescent="0.4">
      <c r="A38" s="3">
        <v>35</v>
      </c>
      <c r="B38" s="3">
        <v>35</v>
      </c>
      <c r="C38" s="4" t="s">
        <v>75</v>
      </c>
      <c r="D38" s="4" t="str">
        <f t="shared" si="28"/>
        <v>J710PY</v>
      </c>
      <c r="E38" s="4" t="s">
        <v>75</v>
      </c>
      <c r="F38" s="4" t="s">
        <v>125</v>
      </c>
      <c r="G38" s="5">
        <v>4909767432214</v>
      </c>
      <c r="H38" s="5"/>
      <c r="I38" s="5"/>
      <c r="J38" s="5">
        <v>1</v>
      </c>
      <c r="K38" s="5">
        <v>1</v>
      </c>
      <c r="L38" s="4">
        <v>0</v>
      </c>
      <c r="M38" s="4">
        <v>1153</v>
      </c>
      <c r="N38" s="4">
        <v>709</v>
      </c>
      <c r="O38" s="6">
        <f t="shared" si="29"/>
        <v>0.38508239375542064</v>
      </c>
      <c r="P38" s="4" t="s">
        <v>141</v>
      </c>
      <c r="Q38" s="4"/>
      <c r="R38" s="4"/>
      <c r="S38" s="4"/>
      <c r="T38" s="4"/>
      <c r="U38" s="4"/>
      <c r="V38" s="4"/>
      <c r="W38" s="4"/>
      <c r="X38" s="4"/>
      <c r="Y38" s="4">
        <v>0</v>
      </c>
      <c r="Z38" s="4">
        <f t="shared" si="30"/>
        <v>0</v>
      </c>
      <c r="AA38" s="4">
        <v>888.00000000000011</v>
      </c>
      <c r="AB38" s="4">
        <f t="shared" si="31"/>
        <v>888.00000000000011</v>
      </c>
      <c r="AC38" s="4"/>
      <c r="AD38" s="19">
        <f t="shared" si="32"/>
        <v>1444</v>
      </c>
      <c r="AE38" s="6">
        <f t="shared" si="33"/>
        <v>0.38504155124653727</v>
      </c>
      <c r="AF38" s="4">
        <v>0.5</v>
      </c>
      <c r="AG38" s="4">
        <f t="shared" si="34"/>
        <v>1218</v>
      </c>
      <c r="AH38" s="4">
        <f t="shared" si="35"/>
        <v>1525.5063469675599</v>
      </c>
      <c r="AI38" s="6">
        <f t="shared" si="36"/>
        <v>0.4178981937602626</v>
      </c>
      <c r="AJ38" s="7">
        <v>1440</v>
      </c>
      <c r="AK38" s="6">
        <f t="shared" si="37"/>
        <v>0.3833333333333333</v>
      </c>
      <c r="AL38" s="4">
        <f t="shared" si="38"/>
        <v>551.99999999999989</v>
      </c>
      <c r="AM38" s="26"/>
      <c r="AN38" s="6"/>
      <c r="AO38" s="6"/>
      <c r="AP38" s="6" t="e">
        <f t="shared" si="39"/>
        <v>#DIV/0!</v>
      </c>
      <c r="AQ38" s="6">
        <f t="shared" si="40"/>
        <v>1.2489158716392021</v>
      </c>
      <c r="AR38" s="6">
        <f t="shared" si="41"/>
        <v>1.2524682651622003</v>
      </c>
      <c r="AS38" s="4"/>
      <c r="AT38" s="4"/>
      <c r="AU38" s="4"/>
      <c r="AV38" s="4"/>
      <c r="AW38" s="4"/>
      <c r="AX38" s="4"/>
      <c r="AY38" s="4"/>
      <c r="AZ38" s="4"/>
      <c r="BA38" s="4"/>
      <c r="BB38" s="4">
        <v>0</v>
      </c>
      <c r="BC38" s="4" t="s">
        <v>213</v>
      </c>
      <c r="BD38" s="4"/>
      <c r="BE38" s="4"/>
      <c r="BF38" s="4" t="s">
        <v>201</v>
      </c>
      <c r="BG38" s="4">
        <v>1100</v>
      </c>
      <c r="BH38" s="4">
        <v>1218</v>
      </c>
      <c r="BI38" s="4">
        <f t="shared" si="42"/>
        <v>1218</v>
      </c>
      <c r="BJ38" s="4">
        <v>4</v>
      </c>
      <c r="BK38" s="4">
        <v>1</v>
      </c>
      <c r="BL38" s="4">
        <v>18</v>
      </c>
      <c r="BM38">
        <v>859</v>
      </c>
      <c r="BN38">
        <v>859</v>
      </c>
      <c r="BO38">
        <f t="shared" si="16"/>
        <v>1075.87023977433</v>
      </c>
      <c r="BP38">
        <v>1380</v>
      </c>
      <c r="BQ38">
        <v>1380</v>
      </c>
      <c r="BR38">
        <f t="shared" si="17"/>
        <v>1728.4062059238365</v>
      </c>
      <c r="BS38" s="4" t="s">
        <v>168</v>
      </c>
      <c r="BT38" s="38">
        <f t="shared" si="18"/>
        <v>-3.5523935229981873E-3</v>
      </c>
    </row>
    <row r="39" spans="1:72" x14ac:dyDescent="0.4">
      <c r="A39" s="3">
        <v>36</v>
      </c>
      <c r="B39" s="3">
        <v>36</v>
      </c>
      <c r="C39" s="4" t="s">
        <v>76</v>
      </c>
      <c r="D39" s="4" t="str">
        <f t="shared" si="28"/>
        <v>J711PY</v>
      </c>
      <c r="E39" s="4" t="s">
        <v>76</v>
      </c>
      <c r="F39" s="4" t="s">
        <v>126</v>
      </c>
      <c r="G39" s="5">
        <v>4909767432221</v>
      </c>
      <c r="H39" s="5"/>
      <c r="I39" s="5"/>
      <c r="J39" s="5">
        <v>1</v>
      </c>
      <c r="K39" s="5">
        <v>1</v>
      </c>
      <c r="L39" s="4">
        <v>0</v>
      </c>
      <c r="M39" s="4">
        <v>1475</v>
      </c>
      <c r="N39" s="4">
        <v>985</v>
      </c>
      <c r="O39" s="6">
        <f t="shared" si="29"/>
        <v>0.33220338983050846</v>
      </c>
      <c r="P39" s="4" t="s">
        <v>141</v>
      </c>
      <c r="Q39" s="4"/>
      <c r="R39" s="4"/>
      <c r="S39" s="4"/>
      <c r="T39" s="4"/>
      <c r="U39" s="4"/>
      <c r="V39" s="4"/>
      <c r="W39" s="4"/>
      <c r="X39" s="4"/>
      <c r="Y39" s="4">
        <v>0</v>
      </c>
      <c r="Z39" s="4">
        <f t="shared" si="30"/>
        <v>0</v>
      </c>
      <c r="AA39" s="4">
        <v>1232</v>
      </c>
      <c r="AB39" s="4">
        <f t="shared" si="31"/>
        <v>1232</v>
      </c>
      <c r="AC39" s="4"/>
      <c r="AD39" s="19">
        <f t="shared" si="32"/>
        <v>1845</v>
      </c>
      <c r="AE39" s="6">
        <f t="shared" si="33"/>
        <v>0.33224932249322492</v>
      </c>
      <c r="AF39" s="4">
        <v>0.75</v>
      </c>
      <c r="AG39" s="4">
        <f t="shared" si="34"/>
        <v>1772</v>
      </c>
      <c r="AH39" s="4">
        <f t="shared" si="35"/>
        <v>2216.3492385786803</v>
      </c>
      <c r="AI39" s="6">
        <f t="shared" si="36"/>
        <v>0.44413092550790068</v>
      </c>
      <c r="AJ39" s="7">
        <v>1900</v>
      </c>
      <c r="AK39" s="6">
        <f t="shared" si="37"/>
        <v>0.3515789473684211</v>
      </c>
      <c r="AL39" s="4">
        <f t="shared" si="38"/>
        <v>668</v>
      </c>
      <c r="AM39" s="26"/>
      <c r="AN39" s="6"/>
      <c r="AO39" s="6"/>
      <c r="AP39" s="6" t="e">
        <f t="shared" si="39"/>
        <v>#DIV/0!</v>
      </c>
      <c r="AQ39" s="6">
        <f t="shared" si="40"/>
        <v>1.2881355932203389</v>
      </c>
      <c r="AR39" s="6">
        <f t="shared" si="41"/>
        <v>1.2507614213197971</v>
      </c>
      <c r="AS39" s="4"/>
      <c r="AT39" s="4"/>
      <c r="AU39" s="4"/>
      <c r="AV39" s="4"/>
      <c r="AW39" s="4"/>
      <c r="AX39" s="4"/>
      <c r="AY39" s="4"/>
      <c r="AZ39" s="4"/>
      <c r="BA39" s="4"/>
      <c r="BB39" s="4">
        <v>0</v>
      </c>
      <c r="BC39" s="4" t="s">
        <v>214</v>
      </c>
      <c r="BD39" s="4"/>
      <c r="BE39" s="4"/>
      <c r="BF39" s="4" t="s">
        <v>201</v>
      </c>
      <c r="BG39" s="4">
        <v>1605</v>
      </c>
      <c r="BH39" s="4">
        <v>1772</v>
      </c>
      <c r="BI39" s="4">
        <f t="shared" si="42"/>
        <v>1772</v>
      </c>
      <c r="BJ39" s="4">
        <v>4</v>
      </c>
      <c r="BK39" s="4">
        <v>1</v>
      </c>
      <c r="BL39" s="4">
        <v>18</v>
      </c>
      <c r="BM39">
        <v>1186</v>
      </c>
      <c r="BN39">
        <v>1186</v>
      </c>
      <c r="BO39">
        <f t="shared" si="16"/>
        <v>1483.4030456852793</v>
      </c>
      <c r="BP39">
        <v>1671</v>
      </c>
      <c r="BQ39">
        <v>1671</v>
      </c>
      <c r="BR39">
        <f t="shared" si="17"/>
        <v>2090.0223350253809</v>
      </c>
      <c r="BS39" s="4" t="s">
        <v>169</v>
      </c>
      <c r="BT39" s="38">
        <f t="shared" si="18"/>
        <v>3.7374171900541819E-2</v>
      </c>
    </row>
    <row r="40" spans="1:72" x14ac:dyDescent="0.4">
      <c r="A40" s="3">
        <v>37</v>
      </c>
      <c r="B40" s="3">
        <v>37</v>
      </c>
      <c r="C40" s="4" t="s">
        <v>77</v>
      </c>
      <c r="D40" s="4" t="str">
        <f t="shared" si="28"/>
        <v>J713PY</v>
      </c>
      <c r="E40" s="4" t="s">
        <v>77</v>
      </c>
      <c r="F40" s="4" t="s">
        <v>127</v>
      </c>
      <c r="G40" s="5">
        <v>4909767432238</v>
      </c>
      <c r="H40" s="5"/>
      <c r="I40" s="5"/>
      <c r="J40" s="5">
        <v>1</v>
      </c>
      <c r="K40" s="5">
        <v>1</v>
      </c>
      <c r="L40" s="4">
        <v>0</v>
      </c>
      <c r="M40" s="4">
        <v>1742</v>
      </c>
      <c r="N40" s="4">
        <v>1261</v>
      </c>
      <c r="O40" s="6">
        <f t="shared" si="29"/>
        <v>0.27611940298507465</v>
      </c>
      <c r="P40" s="4" t="s">
        <v>141</v>
      </c>
      <c r="Q40" s="4"/>
      <c r="R40" s="4"/>
      <c r="S40" s="4"/>
      <c r="T40" s="4"/>
      <c r="U40" s="4"/>
      <c r="V40" s="4"/>
      <c r="W40" s="4"/>
      <c r="X40" s="4"/>
      <c r="Y40" s="4">
        <v>0</v>
      </c>
      <c r="Z40" s="4">
        <f t="shared" si="30"/>
        <v>0</v>
      </c>
      <c r="AA40" s="4">
        <v>1576</v>
      </c>
      <c r="AB40" s="4">
        <f t="shared" si="31"/>
        <v>1576</v>
      </c>
      <c r="AC40" s="4"/>
      <c r="AD40" s="19">
        <f t="shared" si="32"/>
        <v>2177</v>
      </c>
      <c r="AE40" s="6">
        <f t="shared" si="33"/>
        <v>0.27606798346348183</v>
      </c>
      <c r="AF40" s="4">
        <v>0.75</v>
      </c>
      <c r="AG40" s="4">
        <f t="shared" si="34"/>
        <v>2310</v>
      </c>
      <c r="AH40" s="4">
        <f t="shared" si="35"/>
        <v>2887.0420301348136</v>
      </c>
      <c r="AI40" s="6">
        <f t="shared" si="36"/>
        <v>0.45411255411255413</v>
      </c>
      <c r="AJ40" s="7">
        <v>2450</v>
      </c>
      <c r="AK40" s="6">
        <f t="shared" si="37"/>
        <v>0.35673469387755097</v>
      </c>
      <c r="AL40" s="4">
        <f t="shared" si="38"/>
        <v>874</v>
      </c>
      <c r="AM40" s="26"/>
      <c r="AN40" s="6"/>
      <c r="AO40" s="6"/>
      <c r="AP40" s="6" t="e">
        <f t="shared" si="39"/>
        <v>#DIV/0!</v>
      </c>
      <c r="AQ40" s="6">
        <f t="shared" si="40"/>
        <v>1.4064293915040185</v>
      </c>
      <c r="AR40" s="6">
        <f t="shared" si="41"/>
        <v>1.2498017446471055</v>
      </c>
      <c r="AS40" s="4"/>
      <c r="AT40" s="4"/>
      <c r="AU40" s="4"/>
      <c r="AV40" s="4"/>
      <c r="AW40" s="4"/>
      <c r="AX40" s="4"/>
      <c r="AY40" s="4"/>
      <c r="AZ40" s="4"/>
      <c r="BA40" s="4"/>
      <c r="BB40" s="4">
        <v>0</v>
      </c>
      <c r="BC40" s="4" t="s">
        <v>215</v>
      </c>
      <c r="BD40" s="4"/>
      <c r="BE40" s="4"/>
      <c r="BF40" s="4" t="s">
        <v>201</v>
      </c>
      <c r="BG40" s="4">
        <v>2099</v>
      </c>
      <c r="BH40" s="4">
        <v>2310</v>
      </c>
      <c r="BI40" s="4">
        <f t="shared" si="42"/>
        <v>2310</v>
      </c>
      <c r="BJ40" s="4">
        <v>4</v>
      </c>
      <c r="BK40" s="4">
        <v>1</v>
      </c>
      <c r="BL40" s="4">
        <v>18</v>
      </c>
      <c r="BM40">
        <v>1643</v>
      </c>
      <c r="BN40">
        <v>1643</v>
      </c>
      <c r="BO40">
        <f t="shared" si="16"/>
        <v>2053.4242664551944</v>
      </c>
      <c r="BP40">
        <v>2309</v>
      </c>
      <c r="BQ40">
        <v>2309</v>
      </c>
      <c r="BR40">
        <f t="shared" si="17"/>
        <v>2885.7922283901667</v>
      </c>
      <c r="BS40" s="4" t="s">
        <v>170</v>
      </c>
      <c r="BT40" s="38">
        <f t="shared" si="18"/>
        <v>0.15662764685691299</v>
      </c>
    </row>
    <row r="41" spans="1:72" x14ac:dyDescent="0.4">
      <c r="A41" s="3">
        <v>38</v>
      </c>
      <c r="B41" s="3">
        <v>38</v>
      </c>
      <c r="C41" s="4" t="s">
        <v>78</v>
      </c>
      <c r="D41" s="4" t="str">
        <f t="shared" si="28"/>
        <v>J715PY</v>
      </c>
      <c r="E41" s="4" t="s">
        <v>78</v>
      </c>
      <c r="F41" s="4" t="s">
        <v>128</v>
      </c>
      <c r="G41" s="5">
        <v>4909767432245</v>
      </c>
      <c r="H41" s="5"/>
      <c r="I41" s="5"/>
      <c r="J41" s="5">
        <v>1</v>
      </c>
      <c r="K41" s="5">
        <v>1</v>
      </c>
      <c r="L41" s="4">
        <v>0</v>
      </c>
      <c r="M41" s="4">
        <v>2597</v>
      </c>
      <c r="N41" s="4">
        <v>1603</v>
      </c>
      <c r="O41" s="6">
        <f t="shared" si="29"/>
        <v>0.38274932614555257</v>
      </c>
      <c r="P41" s="4" t="s">
        <v>141</v>
      </c>
      <c r="Q41" s="4"/>
      <c r="R41" s="4"/>
      <c r="S41" s="4"/>
      <c r="T41" s="4"/>
      <c r="U41" s="4"/>
      <c r="V41" s="4"/>
      <c r="W41" s="4"/>
      <c r="X41" s="4"/>
      <c r="Y41" s="4">
        <v>0</v>
      </c>
      <c r="Z41" s="4">
        <f t="shared" si="30"/>
        <v>0</v>
      </c>
      <c r="AA41" s="4">
        <v>2001.0000000000002</v>
      </c>
      <c r="AB41" s="4">
        <f t="shared" si="31"/>
        <v>2001.0000000000002</v>
      </c>
      <c r="AC41" s="4"/>
      <c r="AD41" s="19">
        <f t="shared" si="32"/>
        <v>3242</v>
      </c>
      <c r="AE41" s="6">
        <f t="shared" si="33"/>
        <v>0.38278840222085131</v>
      </c>
      <c r="AF41" s="4">
        <v>0.5</v>
      </c>
      <c r="AG41" s="4">
        <f t="shared" si="34"/>
        <v>2710</v>
      </c>
      <c r="AH41" s="4">
        <f t="shared" si="35"/>
        <v>3382.8509045539618</v>
      </c>
      <c r="AI41" s="6">
        <f t="shared" si="36"/>
        <v>0.40848708487084873</v>
      </c>
      <c r="AJ41" s="7">
        <v>3200</v>
      </c>
      <c r="AK41" s="6">
        <f t="shared" si="37"/>
        <v>0.37468749999999995</v>
      </c>
      <c r="AL41" s="4">
        <f t="shared" si="38"/>
        <v>1198.9999999999998</v>
      </c>
      <c r="AM41" s="26"/>
      <c r="AN41" s="6"/>
      <c r="AO41" s="6"/>
      <c r="AP41" s="6" t="e">
        <f t="shared" si="39"/>
        <v>#DIV/0!</v>
      </c>
      <c r="AQ41" s="6">
        <f t="shared" si="40"/>
        <v>1.2321909896033885</v>
      </c>
      <c r="AR41" s="6">
        <f t="shared" si="41"/>
        <v>1.2482844666250781</v>
      </c>
      <c r="AS41" s="4"/>
      <c r="AT41" s="4"/>
      <c r="AU41" s="4"/>
      <c r="AV41" s="4"/>
      <c r="AW41" s="4"/>
      <c r="AX41" s="4"/>
      <c r="AY41" s="4"/>
      <c r="AZ41" s="4"/>
      <c r="BA41" s="4"/>
      <c r="BB41" s="4">
        <v>0</v>
      </c>
      <c r="BC41" s="4" t="s">
        <v>216</v>
      </c>
      <c r="BD41" s="4"/>
      <c r="BE41" s="4"/>
      <c r="BF41" s="4" t="s">
        <v>201</v>
      </c>
      <c r="BG41" s="4">
        <v>2443</v>
      </c>
      <c r="BH41" s="4">
        <v>2710</v>
      </c>
      <c r="BI41" s="4">
        <f t="shared" si="42"/>
        <v>2710</v>
      </c>
      <c r="BJ41" s="4">
        <v>4</v>
      </c>
      <c r="BK41" s="4">
        <v>1</v>
      </c>
      <c r="BL41" s="4">
        <v>18</v>
      </c>
      <c r="BM41" t="s">
        <v>140</v>
      </c>
      <c r="BN41">
        <v>2083</v>
      </c>
      <c r="BO41">
        <f t="shared" si="16"/>
        <v>2600.1765439800374</v>
      </c>
      <c r="BP41">
        <v>2945</v>
      </c>
      <c r="BQ41">
        <v>2945</v>
      </c>
      <c r="BR41">
        <f t="shared" si="17"/>
        <v>3676.1977542108548</v>
      </c>
      <c r="BS41" s="4" t="s">
        <v>171</v>
      </c>
      <c r="BT41" s="38">
        <f t="shared" si="18"/>
        <v>-1.6093477021689617E-2</v>
      </c>
    </row>
    <row r="42" spans="1:72" x14ac:dyDescent="0.4">
      <c r="A42" s="3">
        <v>39</v>
      </c>
      <c r="B42" s="3">
        <v>39</v>
      </c>
      <c r="C42" s="4" t="s">
        <v>79</v>
      </c>
      <c r="D42" s="4" t="str">
        <f t="shared" si="28"/>
        <v>J717PY</v>
      </c>
      <c r="E42" s="4" t="s">
        <v>79</v>
      </c>
      <c r="F42" s="4" t="s">
        <v>129</v>
      </c>
      <c r="G42" s="5">
        <v>4909767432252</v>
      </c>
      <c r="H42" s="5"/>
      <c r="I42" s="5"/>
      <c r="J42" s="5">
        <v>1</v>
      </c>
      <c r="K42" s="5">
        <v>1</v>
      </c>
      <c r="L42" s="4">
        <v>0</v>
      </c>
      <c r="M42" s="4">
        <v>2826</v>
      </c>
      <c r="N42" s="4">
        <v>2016</v>
      </c>
      <c r="O42" s="6">
        <f t="shared" si="29"/>
        <v>0.2866242038216561</v>
      </c>
      <c r="P42" s="4" t="s">
        <v>141</v>
      </c>
      <c r="Q42" s="4"/>
      <c r="R42" s="4"/>
      <c r="S42" s="4"/>
      <c r="T42" s="4"/>
      <c r="U42" s="4"/>
      <c r="V42" s="4"/>
      <c r="W42" s="4"/>
      <c r="X42" s="4"/>
      <c r="Y42" s="4">
        <v>0</v>
      </c>
      <c r="Z42" s="4">
        <f t="shared" si="30"/>
        <v>0</v>
      </c>
      <c r="AA42" s="4">
        <v>2520</v>
      </c>
      <c r="AB42" s="4">
        <f t="shared" si="31"/>
        <v>2520</v>
      </c>
      <c r="AC42" s="4"/>
      <c r="AD42" s="19">
        <f t="shared" si="32"/>
        <v>3533</v>
      </c>
      <c r="AE42" s="6">
        <f t="shared" si="33"/>
        <v>0.28672516275120297</v>
      </c>
      <c r="AF42" s="4">
        <v>0</v>
      </c>
      <c r="AG42" s="4">
        <f t="shared" si="34"/>
        <v>3135</v>
      </c>
      <c r="AH42" s="4">
        <f t="shared" si="35"/>
        <v>3918.75</v>
      </c>
      <c r="AI42" s="6">
        <f t="shared" si="36"/>
        <v>0.35693779904306222</v>
      </c>
      <c r="AJ42" s="7">
        <v>3800</v>
      </c>
      <c r="AK42" s="6">
        <f t="shared" si="37"/>
        <v>0.33684210526315794</v>
      </c>
      <c r="AL42" s="4">
        <f t="shared" si="38"/>
        <v>1280</v>
      </c>
      <c r="AM42" s="26"/>
      <c r="AN42" s="6"/>
      <c r="AO42" s="6"/>
      <c r="AP42" s="6" t="e">
        <f t="shared" si="39"/>
        <v>#DIV/0!</v>
      </c>
      <c r="AQ42" s="6">
        <f t="shared" si="40"/>
        <v>1.3446567586694975</v>
      </c>
      <c r="AR42" s="6">
        <f t="shared" si="41"/>
        <v>1.25</v>
      </c>
      <c r="AS42" s="4"/>
      <c r="AT42" s="4"/>
      <c r="AU42" s="4"/>
      <c r="AV42" s="4"/>
      <c r="AW42" s="4"/>
      <c r="AX42" s="4"/>
      <c r="AY42" s="4"/>
      <c r="AZ42" s="4"/>
      <c r="BA42" s="4"/>
      <c r="BB42" s="4">
        <v>0</v>
      </c>
      <c r="BC42" s="4" t="s">
        <v>217</v>
      </c>
      <c r="BD42" s="4"/>
      <c r="BE42" s="4"/>
      <c r="BF42" s="4" t="s">
        <v>201</v>
      </c>
      <c r="BG42" s="4">
        <v>2799</v>
      </c>
      <c r="BH42" s="4">
        <v>3135</v>
      </c>
      <c r="BI42" s="4">
        <f t="shared" si="42"/>
        <v>3135</v>
      </c>
      <c r="BJ42" s="4">
        <v>4</v>
      </c>
      <c r="BK42" s="4">
        <v>1</v>
      </c>
      <c r="BL42" s="4">
        <v>18</v>
      </c>
      <c r="BM42">
        <v>2586</v>
      </c>
      <c r="BN42">
        <v>2586</v>
      </c>
      <c r="BO42">
        <f t="shared" si="16"/>
        <v>3232.5</v>
      </c>
      <c r="BP42">
        <v>3700</v>
      </c>
      <c r="BQ42">
        <v>3700</v>
      </c>
      <c r="BR42">
        <f t="shared" si="17"/>
        <v>4625</v>
      </c>
      <c r="BS42" s="4" t="s">
        <v>172</v>
      </c>
      <c r="BT42" s="38">
        <f t="shared" si="18"/>
        <v>9.465675866949752E-2</v>
      </c>
    </row>
    <row r="43" spans="1:72" x14ac:dyDescent="0.4">
      <c r="A43" s="3">
        <v>40</v>
      </c>
      <c r="B43" s="3">
        <v>40</v>
      </c>
      <c r="C43" s="4" t="s">
        <v>80</v>
      </c>
      <c r="D43" s="4" t="str">
        <f t="shared" si="28"/>
        <v>J718PY</v>
      </c>
      <c r="E43" s="4" t="s">
        <v>80</v>
      </c>
      <c r="F43" s="4" t="s">
        <v>130</v>
      </c>
      <c r="G43" s="5">
        <v>4909767432269</v>
      </c>
      <c r="H43" s="5"/>
      <c r="I43" s="5"/>
      <c r="J43" s="5">
        <v>1</v>
      </c>
      <c r="K43" s="5">
        <v>1</v>
      </c>
      <c r="L43" s="4">
        <v>0</v>
      </c>
      <c r="M43" s="4">
        <v>3848</v>
      </c>
      <c r="N43" s="4">
        <v>2535</v>
      </c>
      <c r="O43" s="6">
        <f t="shared" si="29"/>
        <v>0.34121621621621623</v>
      </c>
      <c r="P43" s="4" t="s">
        <v>141</v>
      </c>
      <c r="Q43" s="4"/>
      <c r="R43" s="4"/>
      <c r="S43" s="4"/>
      <c r="T43" s="4"/>
      <c r="U43" s="4"/>
      <c r="V43" s="4"/>
      <c r="W43" s="4"/>
      <c r="X43" s="4"/>
      <c r="Y43" s="4">
        <v>0</v>
      </c>
      <c r="Z43" s="4">
        <f t="shared" si="30"/>
        <v>0</v>
      </c>
      <c r="AA43" s="4">
        <v>3166</v>
      </c>
      <c r="AB43" s="4">
        <f t="shared" si="31"/>
        <v>3166</v>
      </c>
      <c r="AC43" s="4"/>
      <c r="AD43" s="19">
        <f t="shared" si="32"/>
        <v>4806</v>
      </c>
      <c r="AE43" s="6">
        <f t="shared" si="33"/>
        <v>0.34124011652101538</v>
      </c>
      <c r="AF43" s="4">
        <v>0</v>
      </c>
      <c r="AG43" s="4">
        <f t="shared" si="34"/>
        <v>4264</v>
      </c>
      <c r="AH43" s="4">
        <f t="shared" si="35"/>
        <v>5325.374358974359</v>
      </c>
      <c r="AI43" s="6">
        <f t="shared" si="36"/>
        <v>0.40548780487804881</v>
      </c>
      <c r="AJ43" s="7">
        <v>4900</v>
      </c>
      <c r="AK43" s="6">
        <f t="shared" si="37"/>
        <v>0.35387755102040819</v>
      </c>
      <c r="AL43" s="4">
        <f t="shared" si="38"/>
        <v>1734</v>
      </c>
      <c r="AM43" s="26"/>
      <c r="AN43" s="6"/>
      <c r="AO43" s="6"/>
      <c r="AP43" s="6" t="e">
        <f t="shared" si="39"/>
        <v>#DIV/0!</v>
      </c>
      <c r="AQ43" s="6">
        <f t="shared" si="40"/>
        <v>1.2733887733887734</v>
      </c>
      <c r="AR43" s="6">
        <f t="shared" si="41"/>
        <v>1.2489151873767259</v>
      </c>
      <c r="AS43" s="4"/>
      <c r="AT43" s="4"/>
      <c r="AU43" s="4"/>
      <c r="AV43" s="4"/>
      <c r="AW43" s="4"/>
      <c r="AX43" s="4"/>
      <c r="AY43" s="4"/>
      <c r="AZ43" s="4"/>
      <c r="BA43" s="4"/>
      <c r="BB43" s="4">
        <v>0</v>
      </c>
      <c r="BC43" s="4" t="s">
        <v>218</v>
      </c>
      <c r="BD43" s="4"/>
      <c r="BE43" s="4"/>
      <c r="BF43" s="4" t="s">
        <v>201</v>
      </c>
      <c r="BG43" s="4">
        <v>3842</v>
      </c>
      <c r="BH43" s="4">
        <v>4264</v>
      </c>
      <c r="BI43" s="4">
        <f t="shared" si="42"/>
        <v>4264</v>
      </c>
      <c r="BJ43" s="4">
        <v>4</v>
      </c>
      <c r="BK43" s="4">
        <v>1</v>
      </c>
      <c r="BL43" s="4">
        <v>18</v>
      </c>
      <c r="BM43" t="s">
        <v>140</v>
      </c>
      <c r="BN43" t="s">
        <v>140</v>
      </c>
      <c r="BO43" t="str">
        <f t="shared" si="16"/>
        <v>-</v>
      </c>
      <c r="BP43">
        <v>4057</v>
      </c>
      <c r="BQ43">
        <v>4057</v>
      </c>
      <c r="BR43">
        <f t="shared" si="17"/>
        <v>5066.8489151873773</v>
      </c>
      <c r="BS43" s="4" t="s">
        <v>173</v>
      </c>
      <c r="BT43" s="38">
        <f t="shared" si="18"/>
        <v>2.4473586012047521E-2</v>
      </c>
    </row>
    <row r="44" spans="1:72" x14ac:dyDescent="0.4">
      <c r="A44" s="3">
        <v>41</v>
      </c>
      <c r="B44" s="3">
        <v>41</v>
      </c>
      <c r="C44" s="4" t="s">
        <v>81</v>
      </c>
      <c r="D44" s="4" t="str">
        <f t="shared" si="28"/>
        <v>J719PY</v>
      </c>
      <c r="E44" s="4" t="s">
        <v>81</v>
      </c>
      <c r="F44" s="4" t="s">
        <v>131</v>
      </c>
      <c r="G44" s="5">
        <v>4909767432276</v>
      </c>
      <c r="H44" s="5"/>
      <c r="I44" s="5"/>
      <c r="J44" s="5">
        <v>1</v>
      </c>
      <c r="K44" s="5">
        <v>1</v>
      </c>
      <c r="L44" s="4">
        <v>0</v>
      </c>
      <c r="M44" s="4">
        <v>4364</v>
      </c>
      <c r="N44" s="4">
        <v>3071</v>
      </c>
      <c r="O44" s="6">
        <f t="shared" si="29"/>
        <v>0.29628780934922094</v>
      </c>
      <c r="P44" s="4" t="s">
        <v>141</v>
      </c>
      <c r="Q44" s="4"/>
      <c r="R44" s="4"/>
      <c r="S44" s="4"/>
      <c r="T44" s="4"/>
      <c r="U44" s="4"/>
      <c r="V44" s="4"/>
      <c r="W44" s="4"/>
      <c r="X44" s="4"/>
      <c r="Y44" s="4">
        <v>0</v>
      </c>
      <c r="Z44" s="4">
        <f t="shared" si="30"/>
        <v>0</v>
      </c>
      <c r="AA44" s="4">
        <v>3833</v>
      </c>
      <c r="AB44" s="4">
        <f t="shared" si="31"/>
        <v>3833</v>
      </c>
      <c r="AC44" s="4"/>
      <c r="AD44" s="19">
        <f t="shared" si="32"/>
        <v>5447</v>
      </c>
      <c r="AE44" s="6">
        <f t="shared" si="33"/>
        <v>0.29630989535524144</v>
      </c>
      <c r="AF44" s="4">
        <v>0</v>
      </c>
      <c r="AG44" s="4" t="str">
        <f t="shared" si="34"/>
        <v>-</v>
      </c>
      <c r="AH44" s="4" t="e">
        <f t="shared" si="35"/>
        <v>#VALUE!</v>
      </c>
      <c r="AI44" s="6" t="e">
        <f t="shared" si="36"/>
        <v>#VALUE!</v>
      </c>
      <c r="AJ44" s="7">
        <v>5900</v>
      </c>
      <c r="AK44" s="6">
        <f t="shared" si="37"/>
        <v>0.35033898305084743</v>
      </c>
      <c r="AL44" s="4">
        <f t="shared" si="38"/>
        <v>2067</v>
      </c>
      <c r="AM44" s="26"/>
      <c r="AN44" s="6"/>
      <c r="AO44" s="6"/>
      <c r="AP44" s="6" t="e">
        <f t="shared" si="39"/>
        <v>#DIV/0!</v>
      </c>
      <c r="AQ44" s="6">
        <f t="shared" si="40"/>
        <v>1.3519706691109075</v>
      </c>
      <c r="AR44" s="6">
        <f t="shared" si="41"/>
        <v>1.2481276457180073</v>
      </c>
      <c r="AS44" s="4"/>
      <c r="AT44" s="4"/>
      <c r="AU44" s="4"/>
      <c r="AV44" s="4"/>
      <c r="AW44" s="4"/>
      <c r="AX44" s="4"/>
      <c r="AY44" s="4"/>
      <c r="AZ44" s="4"/>
      <c r="BA44" s="4"/>
      <c r="BB44" s="4">
        <v>0</v>
      </c>
      <c r="BC44" s="4" t="s">
        <v>140</v>
      </c>
      <c r="BD44" s="4"/>
      <c r="BE44" s="4"/>
      <c r="BF44" s="4" t="s">
        <v>140</v>
      </c>
      <c r="BG44" s="4" t="s">
        <v>140</v>
      </c>
      <c r="BH44" s="4" t="s">
        <v>140</v>
      </c>
      <c r="BI44" s="4" t="str">
        <f t="shared" si="42"/>
        <v>-</v>
      </c>
      <c r="BJ44" s="4">
        <v>4</v>
      </c>
      <c r="BK44" s="4">
        <v>8</v>
      </c>
      <c r="BL44" s="4">
        <v>18</v>
      </c>
      <c r="BM44">
        <v>3781</v>
      </c>
      <c r="BN44">
        <v>3781</v>
      </c>
      <c r="BO44">
        <f t="shared" si="16"/>
        <v>4719.1706284597858</v>
      </c>
      <c r="BP44">
        <v>5586</v>
      </c>
      <c r="BQ44">
        <v>5586</v>
      </c>
      <c r="BR44">
        <f t="shared" si="17"/>
        <v>6972.0410289807887</v>
      </c>
      <c r="BS44" s="4" t="s">
        <v>140</v>
      </c>
      <c r="BT44" s="38">
        <f t="shared" si="18"/>
        <v>0.10384302339290019</v>
      </c>
    </row>
    <row r="45" spans="1:72" x14ac:dyDescent="0.4">
      <c r="A45" s="3">
        <v>42</v>
      </c>
      <c r="B45" s="3">
        <v>42</v>
      </c>
      <c r="C45" s="4" t="s">
        <v>82</v>
      </c>
      <c r="D45" s="4" t="str">
        <f t="shared" si="28"/>
        <v>J720PY</v>
      </c>
      <c r="E45" s="4" t="s">
        <v>82</v>
      </c>
      <c r="F45" s="4" t="s">
        <v>132</v>
      </c>
      <c r="G45" s="5">
        <v>4909767432283</v>
      </c>
      <c r="H45" s="5"/>
      <c r="I45" s="5"/>
      <c r="J45" s="5">
        <v>1</v>
      </c>
      <c r="K45" s="5">
        <v>1</v>
      </c>
      <c r="L45" s="4">
        <v>0</v>
      </c>
      <c r="M45" s="4">
        <v>4837</v>
      </c>
      <c r="N45" s="4">
        <v>3677</v>
      </c>
      <c r="O45" s="6">
        <f t="shared" si="29"/>
        <v>0.23981806905106473</v>
      </c>
      <c r="P45" s="4" t="s">
        <v>141</v>
      </c>
      <c r="Q45" s="4"/>
      <c r="R45" s="4"/>
      <c r="S45" s="4"/>
      <c r="T45" s="4"/>
      <c r="U45" s="4"/>
      <c r="V45" s="4"/>
      <c r="W45" s="4"/>
      <c r="X45" s="4"/>
      <c r="Y45" s="4">
        <v>0</v>
      </c>
      <c r="Z45" s="4">
        <f t="shared" si="30"/>
        <v>0</v>
      </c>
      <c r="AA45" s="4">
        <v>4590</v>
      </c>
      <c r="AB45" s="4">
        <f t="shared" si="31"/>
        <v>4590</v>
      </c>
      <c r="AC45" s="4"/>
      <c r="AD45" s="19">
        <f t="shared" si="32"/>
        <v>6038</v>
      </c>
      <c r="AE45" s="6">
        <f t="shared" si="33"/>
        <v>0.23981450811526994</v>
      </c>
      <c r="AF45" s="4">
        <v>0</v>
      </c>
      <c r="AG45" s="4" t="str">
        <f t="shared" si="34"/>
        <v>-</v>
      </c>
      <c r="AH45" s="4" t="e">
        <f t="shared" si="35"/>
        <v>#VALUE!</v>
      </c>
      <c r="AI45" s="6" t="e">
        <f t="shared" si="36"/>
        <v>#VALUE!</v>
      </c>
      <c r="AJ45" s="7">
        <v>7200</v>
      </c>
      <c r="AK45" s="6">
        <f t="shared" si="37"/>
        <v>0.36250000000000004</v>
      </c>
      <c r="AL45" s="4">
        <f t="shared" si="38"/>
        <v>2610</v>
      </c>
      <c r="AM45" s="26"/>
      <c r="AN45" s="6"/>
      <c r="AO45" s="6"/>
      <c r="AP45" s="6" t="e">
        <f t="shared" si="39"/>
        <v>#DIV/0!</v>
      </c>
      <c r="AQ45" s="6">
        <f t="shared" si="40"/>
        <v>1.4885259458341948</v>
      </c>
      <c r="AR45" s="6">
        <f t="shared" si="41"/>
        <v>1.248300244764754</v>
      </c>
      <c r="AS45" s="4"/>
      <c r="AT45" s="4"/>
      <c r="AU45" s="4"/>
      <c r="AV45" s="4"/>
      <c r="AW45" s="4"/>
      <c r="AX45" s="4"/>
      <c r="AY45" s="4"/>
      <c r="AZ45" s="4"/>
      <c r="BA45" s="4"/>
      <c r="BB45" s="4">
        <v>0</v>
      </c>
      <c r="BC45" s="4" t="s">
        <v>219</v>
      </c>
      <c r="BD45" s="4"/>
      <c r="BE45" s="4"/>
      <c r="BF45" s="4" t="s">
        <v>220</v>
      </c>
      <c r="BG45" s="4">
        <v>6170</v>
      </c>
      <c r="BH45" s="4" t="s">
        <v>140</v>
      </c>
      <c r="BI45" s="4" t="str">
        <f t="shared" si="42"/>
        <v>-</v>
      </c>
      <c r="BJ45" s="4">
        <v>4</v>
      </c>
      <c r="BK45" s="4">
        <v>8</v>
      </c>
      <c r="BL45" s="4">
        <v>18</v>
      </c>
      <c r="BM45" t="s">
        <v>140</v>
      </c>
      <c r="BN45">
        <v>4630</v>
      </c>
      <c r="BO45">
        <f t="shared" si="16"/>
        <v>5779.6301332608109</v>
      </c>
      <c r="BP45">
        <v>6790</v>
      </c>
      <c r="BQ45">
        <v>6790</v>
      </c>
      <c r="BR45">
        <f t="shared" si="17"/>
        <v>8475.9586619526799</v>
      </c>
      <c r="BS45" s="4" t="s">
        <v>174</v>
      </c>
      <c r="BT45" s="38">
        <f t="shared" si="18"/>
        <v>0.24022570106944086</v>
      </c>
    </row>
    <row r="46" spans="1:72" x14ac:dyDescent="0.4">
      <c r="A46" s="3">
        <v>43</v>
      </c>
      <c r="B46" s="3">
        <v>43</v>
      </c>
      <c r="C46" s="4" t="s">
        <v>83</v>
      </c>
      <c r="D46" s="4" t="str">
        <f t="shared" si="28"/>
        <v>J721PY</v>
      </c>
      <c r="E46" s="4" t="s">
        <v>83</v>
      </c>
      <c r="F46" s="4" t="s">
        <v>133</v>
      </c>
      <c r="G46" s="5">
        <v>4909767432290</v>
      </c>
      <c r="H46" s="5"/>
      <c r="I46" s="5"/>
      <c r="J46" s="5">
        <v>1</v>
      </c>
      <c r="K46" s="5">
        <v>1</v>
      </c>
      <c r="L46" s="4">
        <v>0</v>
      </c>
      <c r="M46" s="4">
        <v>6394</v>
      </c>
      <c r="N46" s="4">
        <v>4638</v>
      </c>
      <c r="O46" s="6">
        <f t="shared" si="29"/>
        <v>0.27463246793869256</v>
      </c>
      <c r="P46" s="4" t="s">
        <v>141</v>
      </c>
      <c r="Q46" s="4"/>
      <c r="R46" s="4"/>
      <c r="S46" s="4"/>
      <c r="T46" s="4"/>
      <c r="U46" s="4"/>
      <c r="V46" s="4"/>
      <c r="W46" s="4"/>
      <c r="X46" s="4"/>
      <c r="Y46" s="4">
        <v>0</v>
      </c>
      <c r="Z46" s="4">
        <f t="shared" si="30"/>
        <v>0</v>
      </c>
      <c r="AA46" s="4">
        <v>5788</v>
      </c>
      <c r="AB46" s="4">
        <f t="shared" si="31"/>
        <v>5788</v>
      </c>
      <c r="AC46" s="4"/>
      <c r="AD46" s="19">
        <f t="shared" si="32"/>
        <v>7979</v>
      </c>
      <c r="AE46" s="6">
        <f t="shared" si="33"/>
        <v>0.2745958140117809</v>
      </c>
      <c r="AF46" s="4">
        <v>0</v>
      </c>
      <c r="AG46" s="4" t="str">
        <f t="shared" si="34"/>
        <v>-</v>
      </c>
      <c r="AH46" s="4" t="e">
        <f t="shared" si="35"/>
        <v>#VALUE!</v>
      </c>
      <c r="AI46" s="6" t="e">
        <f t="shared" si="36"/>
        <v>#VALUE!</v>
      </c>
      <c r="AJ46" s="7">
        <v>8900</v>
      </c>
      <c r="AK46" s="6">
        <f t="shared" si="37"/>
        <v>0.34966292134831456</v>
      </c>
      <c r="AL46" s="4">
        <f t="shared" si="38"/>
        <v>3112</v>
      </c>
      <c r="AM46" s="26"/>
      <c r="AN46" s="6"/>
      <c r="AO46" s="6"/>
      <c r="AP46" s="6" t="e">
        <f t="shared" si="39"/>
        <v>#DIV/0!</v>
      </c>
      <c r="AQ46" s="6">
        <f t="shared" si="40"/>
        <v>1.3919299343134188</v>
      </c>
      <c r="AR46" s="6">
        <f t="shared" si="41"/>
        <v>1.2479517033203966</v>
      </c>
      <c r="AS46" s="4"/>
      <c r="AT46" s="4"/>
      <c r="AU46" s="4"/>
      <c r="AV46" s="4"/>
      <c r="AW46" s="4"/>
      <c r="AX46" s="4"/>
      <c r="AY46" s="4"/>
      <c r="AZ46" s="4"/>
      <c r="BA46" s="4"/>
      <c r="BB46" s="4">
        <v>0</v>
      </c>
      <c r="BC46" s="4" t="s">
        <v>140</v>
      </c>
      <c r="BD46" s="4"/>
      <c r="BE46" s="4"/>
      <c r="BF46" s="4" t="s">
        <v>140</v>
      </c>
      <c r="BG46" s="4" t="s">
        <v>140</v>
      </c>
      <c r="BH46" s="4" t="s">
        <v>140</v>
      </c>
      <c r="BI46" s="4" t="str">
        <f t="shared" si="42"/>
        <v>-</v>
      </c>
      <c r="BJ46" s="4">
        <v>4</v>
      </c>
      <c r="BK46" s="4">
        <v>8</v>
      </c>
      <c r="BL46" s="4">
        <v>18</v>
      </c>
      <c r="BM46">
        <v>8329</v>
      </c>
      <c r="BN46">
        <v>8329</v>
      </c>
      <c r="BO46">
        <f t="shared" si="16"/>
        <v>10394.189736955583</v>
      </c>
      <c r="BP46">
        <v>8303</v>
      </c>
      <c r="BQ46">
        <v>8303</v>
      </c>
      <c r="BR46">
        <f t="shared" si="17"/>
        <v>10361.742992669253</v>
      </c>
      <c r="BS46" s="4" t="s">
        <v>140</v>
      </c>
      <c r="BT46" s="38">
        <f t="shared" si="18"/>
        <v>0.1439782309930222</v>
      </c>
    </row>
    <row r="47" spans="1:72" x14ac:dyDescent="0.4">
      <c r="A47" s="3">
        <v>44</v>
      </c>
      <c r="B47" s="3">
        <v>44</v>
      </c>
      <c r="C47" s="4" t="s">
        <v>84</v>
      </c>
      <c r="D47" s="4" t="str">
        <f t="shared" si="28"/>
        <v>J725PY</v>
      </c>
      <c r="E47" s="4" t="s">
        <v>84</v>
      </c>
      <c r="F47" s="4" t="s">
        <v>134</v>
      </c>
      <c r="G47" s="5">
        <v>4909767432313</v>
      </c>
      <c r="H47" s="5"/>
      <c r="I47" s="5"/>
      <c r="J47" s="5">
        <v>1</v>
      </c>
      <c r="K47" s="5">
        <v>1</v>
      </c>
      <c r="L47" s="4">
        <v>0</v>
      </c>
      <c r="M47" s="4">
        <v>1285</v>
      </c>
      <c r="N47" s="4">
        <v>944</v>
      </c>
      <c r="O47" s="6">
        <f t="shared" si="29"/>
        <v>0.26536964980544742</v>
      </c>
      <c r="P47" s="4" t="s">
        <v>141</v>
      </c>
      <c r="Q47" s="4"/>
      <c r="R47" s="4"/>
      <c r="S47" s="4"/>
      <c r="T47" s="4"/>
      <c r="U47" s="4"/>
      <c r="V47" s="4"/>
      <c r="W47" s="4"/>
      <c r="X47" s="4"/>
      <c r="Y47" s="4">
        <v>0</v>
      </c>
      <c r="Z47" s="4">
        <f t="shared" si="30"/>
        <v>0</v>
      </c>
      <c r="AA47" s="4">
        <v>1181</v>
      </c>
      <c r="AB47" s="4">
        <f t="shared" si="31"/>
        <v>1181</v>
      </c>
      <c r="AC47" s="4"/>
      <c r="AD47" s="19">
        <f t="shared" si="32"/>
        <v>1608</v>
      </c>
      <c r="AE47" s="6">
        <f t="shared" si="33"/>
        <v>0.26554726368159209</v>
      </c>
      <c r="AF47" s="4">
        <v>0</v>
      </c>
      <c r="AG47" s="4">
        <f t="shared" si="34"/>
        <v>1472</v>
      </c>
      <c r="AH47" s="4">
        <f t="shared" si="35"/>
        <v>1841.5593220338983</v>
      </c>
      <c r="AI47" s="6">
        <f t="shared" si="36"/>
        <v>0.35869565217391308</v>
      </c>
      <c r="AJ47" s="7">
        <v>1840</v>
      </c>
      <c r="AK47" s="6">
        <f t="shared" si="37"/>
        <v>0.35815217391304344</v>
      </c>
      <c r="AL47" s="4">
        <f t="shared" si="38"/>
        <v>659</v>
      </c>
      <c r="AM47" s="26"/>
      <c r="AN47" s="6"/>
      <c r="AO47" s="6"/>
      <c r="AP47" s="6" t="e">
        <f t="shared" si="39"/>
        <v>#DIV/0!</v>
      </c>
      <c r="AQ47" s="6">
        <f t="shared" si="40"/>
        <v>1.4319066147859922</v>
      </c>
      <c r="AR47" s="6">
        <f t="shared" si="41"/>
        <v>1.2510593220338984</v>
      </c>
      <c r="AS47" s="4"/>
      <c r="AT47" s="4"/>
      <c r="AU47" s="4"/>
      <c r="AV47" s="4"/>
      <c r="AW47" s="4"/>
      <c r="AX47" s="4"/>
      <c r="AY47" s="4"/>
      <c r="AZ47" s="4"/>
      <c r="BA47" s="4"/>
      <c r="BB47" s="4">
        <v>0</v>
      </c>
      <c r="BC47" s="4" t="s">
        <v>221</v>
      </c>
      <c r="BD47" s="4"/>
      <c r="BE47" s="4"/>
      <c r="BF47" s="4" t="s">
        <v>211</v>
      </c>
      <c r="BG47" s="4">
        <v>1472</v>
      </c>
      <c r="BH47" s="4">
        <v>1472</v>
      </c>
      <c r="BI47" s="4">
        <f t="shared" si="42"/>
        <v>1472</v>
      </c>
      <c r="BJ47" s="4">
        <v>4</v>
      </c>
      <c r="BK47" s="4">
        <v>8</v>
      </c>
      <c r="BL47" s="4">
        <v>18</v>
      </c>
      <c r="BM47" t="s">
        <v>140</v>
      </c>
      <c r="BN47" t="s">
        <v>140</v>
      </c>
      <c r="BO47" t="str">
        <f t="shared" si="16"/>
        <v>-</v>
      </c>
      <c r="BP47">
        <v>1511</v>
      </c>
      <c r="BQ47">
        <v>1511</v>
      </c>
      <c r="BR47">
        <f t="shared" si="17"/>
        <v>1890.3506355932204</v>
      </c>
      <c r="BS47" s="4" t="s">
        <v>175</v>
      </c>
      <c r="BT47" s="38">
        <f t="shared" si="18"/>
        <v>0.18084729275209388</v>
      </c>
    </row>
    <row r="48" spans="1:72" x14ac:dyDescent="0.4">
      <c r="A48" s="3">
        <v>45</v>
      </c>
      <c r="B48" s="3">
        <v>45</v>
      </c>
      <c r="C48" s="4" t="s">
        <v>85</v>
      </c>
      <c r="D48" s="4" t="str">
        <f t="shared" si="28"/>
        <v>J727PY</v>
      </c>
      <c r="E48" s="4" t="s">
        <v>85</v>
      </c>
      <c r="F48" s="4" t="s">
        <v>135</v>
      </c>
      <c r="G48" s="5">
        <v>4909767432320</v>
      </c>
      <c r="H48" s="5"/>
      <c r="I48" s="5"/>
      <c r="J48" s="5">
        <v>1</v>
      </c>
      <c r="K48" s="5">
        <v>1</v>
      </c>
      <c r="L48" s="4">
        <v>0</v>
      </c>
      <c r="M48" s="4">
        <v>1794</v>
      </c>
      <c r="N48" s="4">
        <v>1175</v>
      </c>
      <c r="O48" s="6">
        <f t="shared" si="29"/>
        <v>0.34503901895206246</v>
      </c>
      <c r="P48" s="4" t="s">
        <v>141</v>
      </c>
      <c r="Q48" s="4"/>
      <c r="R48" s="4"/>
      <c r="S48" s="4"/>
      <c r="T48" s="4"/>
      <c r="U48" s="4"/>
      <c r="V48" s="4"/>
      <c r="W48" s="4"/>
      <c r="X48" s="4"/>
      <c r="Y48" s="4">
        <v>0</v>
      </c>
      <c r="Z48" s="4">
        <f t="shared" si="30"/>
        <v>0</v>
      </c>
      <c r="AA48" s="4">
        <v>1470</v>
      </c>
      <c r="AB48" s="4">
        <f t="shared" si="31"/>
        <v>1470</v>
      </c>
      <c r="AC48" s="4"/>
      <c r="AD48" s="19">
        <f t="shared" si="32"/>
        <v>2244</v>
      </c>
      <c r="AE48" s="6">
        <f t="shared" si="33"/>
        <v>0.34491978609625673</v>
      </c>
      <c r="AF48" s="4">
        <v>0.25</v>
      </c>
      <c r="AG48" s="4">
        <f t="shared" si="34"/>
        <v>1840</v>
      </c>
      <c r="AH48" s="4">
        <f t="shared" si="35"/>
        <v>2301.9574468085107</v>
      </c>
      <c r="AI48" s="6">
        <f t="shared" si="36"/>
        <v>0.36141304347826086</v>
      </c>
      <c r="AJ48" s="7">
        <v>2300</v>
      </c>
      <c r="AK48" s="6">
        <f t="shared" si="37"/>
        <v>0.36086956521739133</v>
      </c>
      <c r="AL48" s="4">
        <f t="shared" si="38"/>
        <v>830</v>
      </c>
      <c r="AM48" s="26"/>
      <c r="AN48" s="6"/>
      <c r="AO48" s="6"/>
      <c r="AP48" s="6" t="e">
        <f t="shared" si="39"/>
        <v>#DIV/0!</v>
      </c>
      <c r="AQ48" s="6">
        <f t="shared" si="40"/>
        <v>1.2820512820512822</v>
      </c>
      <c r="AR48" s="6">
        <f t="shared" si="41"/>
        <v>1.2510638297872341</v>
      </c>
      <c r="AS48" s="4"/>
      <c r="AT48" s="4"/>
      <c r="AU48" s="4"/>
      <c r="AV48" s="4"/>
      <c r="AW48" s="4"/>
      <c r="AX48" s="4"/>
      <c r="AY48" s="4"/>
      <c r="AZ48" s="4"/>
      <c r="BA48" s="4"/>
      <c r="BB48" s="4">
        <v>0</v>
      </c>
      <c r="BC48" s="4" t="s">
        <v>222</v>
      </c>
      <c r="BD48" s="4"/>
      <c r="BE48" s="4"/>
      <c r="BF48" s="4" t="s">
        <v>211</v>
      </c>
      <c r="BG48" s="4">
        <v>1840</v>
      </c>
      <c r="BH48" s="4">
        <v>1840</v>
      </c>
      <c r="BI48" s="4">
        <f t="shared" si="42"/>
        <v>1840</v>
      </c>
      <c r="BJ48" s="4">
        <v>4</v>
      </c>
      <c r="BK48" s="4">
        <v>8</v>
      </c>
      <c r="BL48" s="4">
        <v>18</v>
      </c>
      <c r="BM48">
        <v>2129</v>
      </c>
      <c r="BN48">
        <v>2129</v>
      </c>
      <c r="BO48">
        <f t="shared" si="16"/>
        <v>2663.5148936170212</v>
      </c>
      <c r="BP48">
        <v>1862</v>
      </c>
      <c r="BQ48">
        <v>1862</v>
      </c>
      <c r="BR48">
        <f t="shared" si="17"/>
        <v>2329.48085106383</v>
      </c>
      <c r="BS48" s="4" t="s">
        <v>176</v>
      </c>
      <c r="BT48" s="38">
        <f t="shared" si="18"/>
        <v>3.0987452264048088E-2</v>
      </c>
    </row>
    <row r="49" spans="1:72" x14ac:dyDescent="0.4">
      <c r="A49" s="3">
        <v>46</v>
      </c>
      <c r="B49" s="3">
        <v>46</v>
      </c>
      <c r="C49" s="4" t="s">
        <v>86</v>
      </c>
      <c r="D49" s="4" t="str">
        <f t="shared" si="28"/>
        <v>J729PY</v>
      </c>
      <c r="E49" s="4" t="s">
        <v>86</v>
      </c>
      <c r="F49" s="4" t="s">
        <v>136</v>
      </c>
      <c r="G49" s="5">
        <v>4909767432337</v>
      </c>
      <c r="H49" s="5"/>
      <c r="I49" s="5"/>
      <c r="J49" s="5">
        <v>1</v>
      </c>
      <c r="K49" s="5">
        <v>1</v>
      </c>
      <c r="L49" s="4">
        <v>0</v>
      </c>
      <c r="M49" s="4">
        <v>2023</v>
      </c>
      <c r="N49" s="4">
        <v>1442</v>
      </c>
      <c r="O49" s="6">
        <f t="shared" si="29"/>
        <v>0.28719723183390999</v>
      </c>
      <c r="P49" s="4" t="s">
        <v>141</v>
      </c>
      <c r="Q49" s="4"/>
      <c r="R49" s="4"/>
      <c r="S49" s="4"/>
      <c r="T49" s="4"/>
      <c r="U49" s="4"/>
      <c r="V49" s="4"/>
      <c r="W49" s="4"/>
      <c r="X49" s="4"/>
      <c r="Y49" s="4">
        <v>0</v>
      </c>
      <c r="Z49" s="4">
        <f t="shared" si="30"/>
        <v>0</v>
      </c>
      <c r="AA49" s="4">
        <v>1805.9999999999998</v>
      </c>
      <c r="AB49" s="4">
        <f t="shared" si="31"/>
        <v>1805.9999999999998</v>
      </c>
      <c r="AC49" s="4"/>
      <c r="AD49" s="19">
        <f t="shared" si="32"/>
        <v>2534</v>
      </c>
      <c r="AE49" s="6">
        <f t="shared" si="33"/>
        <v>0.28729281767955805</v>
      </c>
      <c r="AF49" s="4">
        <v>0</v>
      </c>
      <c r="AG49" s="4">
        <f t="shared" si="34"/>
        <v>2853.25</v>
      </c>
      <c r="AH49" s="4">
        <f t="shared" si="35"/>
        <v>3573.4878640776697</v>
      </c>
      <c r="AI49" s="6">
        <f t="shared" si="36"/>
        <v>0.49461140804345927</v>
      </c>
      <c r="AJ49" s="7">
        <v>2800</v>
      </c>
      <c r="AK49" s="6">
        <f t="shared" si="37"/>
        <v>0.35500000000000009</v>
      </c>
      <c r="AL49" s="4">
        <f t="shared" si="38"/>
        <v>994.00000000000023</v>
      </c>
      <c r="AM49" s="26"/>
      <c r="AN49" s="6"/>
      <c r="AO49" s="6"/>
      <c r="AP49" s="6" t="e">
        <f t="shared" si="39"/>
        <v>#DIV/0!</v>
      </c>
      <c r="AQ49" s="6">
        <f t="shared" si="40"/>
        <v>1.3840830449826989</v>
      </c>
      <c r="AR49" s="6">
        <f t="shared" si="41"/>
        <v>1.2524271844660193</v>
      </c>
      <c r="AS49" s="4"/>
      <c r="AT49" s="4"/>
      <c r="AU49" s="4"/>
      <c r="AV49" s="4"/>
      <c r="AW49" s="4"/>
      <c r="AX49" s="4"/>
      <c r="AY49" s="4"/>
      <c r="AZ49" s="4"/>
      <c r="BA49" s="4"/>
      <c r="BB49" s="4">
        <v>0</v>
      </c>
      <c r="BC49" s="4" t="s">
        <v>223</v>
      </c>
      <c r="BD49" s="4">
        <v>1</v>
      </c>
      <c r="BE49" s="4">
        <v>4</v>
      </c>
      <c r="BF49" s="4" t="s">
        <v>224</v>
      </c>
      <c r="BG49" s="4">
        <v>9267</v>
      </c>
      <c r="BH49" s="4">
        <v>11413</v>
      </c>
      <c r="BI49" s="4">
        <f t="shared" si="42"/>
        <v>2853.25</v>
      </c>
      <c r="BJ49" s="4">
        <v>4</v>
      </c>
      <c r="BK49" s="4">
        <v>8</v>
      </c>
      <c r="BL49" s="4">
        <v>18</v>
      </c>
      <c r="BM49" t="s">
        <v>140</v>
      </c>
      <c r="BN49" t="s">
        <v>140</v>
      </c>
      <c r="BO49" t="str">
        <f t="shared" si="16"/>
        <v>-</v>
      </c>
      <c r="BP49">
        <v>2641</v>
      </c>
      <c r="BQ49">
        <v>2641</v>
      </c>
      <c r="BR49">
        <f t="shared" si="17"/>
        <v>3307.6601941747572</v>
      </c>
      <c r="BS49" s="4" t="s">
        <v>177</v>
      </c>
      <c r="BT49" s="38">
        <f t="shared" si="18"/>
        <v>0.13165586051667955</v>
      </c>
    </row>
    <row r="50" spans="1:72" x14ac:dyDescent="0.4">
      <c r="A50" s="3">
        <v>47</v>
      </c>
      <c r="B50" s="3">
        <v>47</v>
      </c>
      <c r="C50" s="4" t="s">
        <v>87</v>
      </c>
      <c r="D50" s="4" t="str">
        <f t="shared" si="28"/>
        <v>J712PY</v>
      </c>
      <c r="E50" s="4" t="s">
        <v>87</v>
      </c>
      <c r="F50" s="4" t="s">
        <v>137</v>
      </c>
      <c r="G50" s="5">
        <v>4909767432412</v>
      </c>
      <c r="H50" s="5"/>
      <c r="I50" s="5"/>
      <c r="J50" s="5">
        <v>1</v>
      </c>
      <c r="K50" s="5">
        <v>1</v>
      </c>
      <c r="L50" s="4">
        <v>0</v>
      </c>
      <c r="M50" s="4">
        <v>1858</v>
      </c>
      <c r="N50" s="4">
        <v>1142</v>
      </c>
      <c r="O50" s="6">
        <f t="shared" si="29"/>
        <v>0.38536060279870832</v>
      </c>
      <c r="P50" s="4" t="s">
        <v>141</v>
      </c>
      <c r="Q50" s="4"/>
      <c r="R50" s="4"/>
      <c r="S50" s="4"/>
      <c r="T50" s="4"/>
      <c r="U50" s="4"/>
      <c r="V50" s="4"/>
      <c r="W50" s="4"/>
      <c r="X50" s="4"/>
      <c r="Y50" s="4">
        <v>0</v>
      </c>
      <c r="Z50" s="4">
        <f t="shared" si="30"/>
        <v>0</v>
      </c>
      <c r="AA50" s="4">
        <v>1423</v>
      </c>
      <c r="AB50" s="4">
        <f t="shared" si="31"/>
        <v>1423</v>
      </c>
      <c r="AC50" s="4"/>
      <c r="AD50" s="19">
        <f t="shared" si="32"/>
        <v>2315</v>
      </c>
      <c r="AE50" s="6">
        <f t="shared" si="33"/>
        <v>0.38531317494600437</v>
      </c>
      <c r="AF50" s="4">
        <v>0</v>
      </c>
      <c r="AG50" s="4">
        <f t="shared" si="34"/>
        <v>1788</v>
      </c>
      <c r="AH50" s="4">
        <f t="shared" si="35"/>
        <v>2227.9544658493869</v>
      </c>
      <c r="AI50" s="6">
        <f t="shared" si="36"/>
        <v>0.36129753914988816</v>
      </c>
      <c r="AJ50" s="7">
        <v>2220</v>
      </c>
      <c r="AK50" s="6">
        <f t="shared" si="37"/>
        <v>0.35900900900900901</v>
      </c>
      <c r="AL50" s="4">
        <f t="shared" si="38"/>
        <v>797</v>
      </c>
      <c r="AM50" s="26"/>
      <c r="AN50" s="6"/>
      <c r="AO50" s="6"/>
      <c r="AP50" s="6" t="e">
        <f t="shared" si="39"/>
        <v>#DIV/0!</v>
      </c>
      <c r="AQ50" s="6">
        <f t="shared" si="40"/>
        <v>1.1948331539289558</v>
      </c>
      <c r="AR50" s="6">
        <f t="shared" si="41"/>
        <v>1.2460595446584939</v>
      </c>
      <c r="AS50" s="4"/>
      <c r="AT50" s="4"/>
      <c r="AU50" s="4"/>
      <c r="AV50" s="4"/>
      <c r="AW50" s="4"/>
      <c r="AX50" s="4"/>
      <c r="AY50" s="4"/>
      <c r="AZ50" s="4"/>
      <c r="BA50" s="4"/>
      <c r="BB50" s="4">
        <v>0</v>
      </c>
      <c r="BC50" s="4" t="s">
        <v>225</v>
      </c>
      <c r="BD50" s="4"/>
      <c r="BE50" s="4"/>
      <c r="BF50" s="4" t="s">
        <v>211</v>
      </c>
      <c r="BG50" s="4">
        <v>1788</v>
      </c>
      <c r="BH50" s="4">
        <v>1788</v>
      </c>
      <c r="BI50" s="4">
        <f t="shared" si="42"/>
        <v>1788</v>
      </c>
      <c r="BJ50" s="4">
        <v>4</v>
      </c>
      <c r="BK50" s="4">
        <v>8</v>
      </c>
      <c r="BL50" s="4">
        <v>18</v>
      </c>
      <c r="BM50">
        <v>2071</v>
      </c>
      <c r="BN50">
        <v>2071</v>
      </c>
      <c r="BO50">
        <f t="shared" si="16"/>
        <v>2580.5893169877409</v>
      </c>
      <c r="BP50">
        <v>1815</v>
      </c>
      <c r="BQ50">
        <v>1815</v>
      </c>
      <c r="BR50">
        <f t="shared" si="17"/>
        <v>2261.5980735551666</v>
      </c>
      <c r="BS50" s="4" t="s">
        <v>178</v>
      </c>
      <c r="BT50" s="38">
        <f t="shared" si="18"/>
        <v>-5.1226390729538052E-2</v>
      </c>
    </row>
    <row r="51" spans="1:72" x14ac:dyDescent="0.4">
      <c r="A51" s="3">
        <v>48</v>
      </c>
      <c r="B51" s="3">
        <v>48</v>
      </c>
      <c r="C51" s="4" t="s">
        <v>88</v>
      </c>
      <c r="D51" s="4" t="str">
        <f t="shared" si="28"/>
        <v>J714PY</v>
      </c>
      <c r="E51" s="4" t="s">
        <v>88</v>
      </c>
      <c r="F51" s="4" t="s">
        <v>138</v>
      </c>
      <c r="G51" s="5">
        <v>4909767432429</v>
      </c>
      <c r="H51" s="5"/>
      <c r="I51" s="5"/>
      <c r="J51" s="5">
        <v>1</v>
      </c>
      <c r="K51" s="5">
        <v>1</v>
      </c>
      <c r="L51" s="4">
        <v>0</v>
      </c>
      <c r="M51" s="4">
        <v>1997</v>
      </c>
      <c r="N51" s="4">
        <v>1442</v>
      </c>
      <c r="O51" s="6">
        <f t="shared" si="29"/>
        <v>0.27791687531296949</v>
      </c>
      <c r="P51" s="4" t="s">
        <v>141</v>
      </c>
      <c r="Q51" s="4"/>
      <c r="R51" s="4"/>
      <c r="S51" s="4"/>
      <c r="T51" s="4"/>
      <c r="U51" s="4"/>
      <c r="V51" s="4"/>
      <c r="W51" s="4"/>
      <c r="X51" s="4"/>
      <c r="Y51" s="4">
        <v>0</v>
      </c>
      <c r="Z51" s="4">
        <f t="shared" si="30"/>
        <v>0</v>
      </c>
      <c r="AA51" s="4">
        <v>1805.9999999999998</v>
      </c>
      <c r="AB51" s="4">
        <f t="shared" si="31"/>
        <v>1805.9999999999998</v>
      </c>
      <c r="AC51" s="4"/>
      <c r="AD51" s="19">
        <f t="shared" si="32"/>
        <v>2501</v>
      </c>
      <c r="AE51" s="6">
        <f t="shared" si="33"/>
        <v>0.27788884446221518</v>
      </c>
      <c r="AF51" s="4">
        <v>0</v>
      </c>
      <c r="AG51" s="4">
        <f t="shared" si="34"/>
        <v>2260</v>
      </c>
      <c r="AH51" s="4">
        <f t="shared" si="35"/>
        <v>2830.4854368932038</v>
      </c>
      <c r="AI51" s="6">
        <f t="shared" si="36"/>
        <v>0.36194690265486729</v>
      </c>
      <c r="AJ51" s="7">
        <v>2800</v>
      </c>
      <c r="AK51" s="6">
        <f t="shared" si="37"/>
        <v>0.35500000000000009</v>
      </c>
      <c r="AL51" s="4">
        <f t="shared" si="38"/>
        <v>994.00000000000023</v>
      </c>
      <c r="AM51" s="26"/>
      <c r="AN51" s="6"/>
      <c r="AO51" s="6"/>
      <c r="AP51" s="6" t="e">
        <f t="shared" si="39"/>
        <v>#DIV/0!</v>
      </c>
      <c r="AQ51" s="6">
        <f t="shared" si="40"/>
        <v>1.4021031547320981</v>
      </c>
      <c r="AR51" s="6">
        <f t="shared" si="41"/>
        <v>1.2524271844660193</v>
      </c>
      <c r="AS51" s="4"/>
      <c r="AT51" s="4"/>
      <c r="AU51" s="4"/>
      <c r="AV51" s="4"/>
      <c r="AW51" s="4"/>
      <c r="AX51" s="4"/>
      <c r="AY51" s="4"/>
      <c r="AZ51" s="4"/>
      <c r="BA51" s="4"/>
      <c r="BB51" s="4">
        <v>0</v>
      </c>
      <c r="BC51" s="4" t="s">
        <v>226</v>
      </c>
      <c r="BD51" s="4"/>
      <c r="BE51" s="4"/>
      <c r="BF51" s="4" t="s">
        <v>211</v>
      </c>
      <c r="BG51" s="4">
        <v>2260</v>
      </c>
      <c r="BH51" s="4">
        <v>2260</v>
      </c>
      <c r="BI51" s="4">
        <f t="shared" si="42"/>
        <v>2260</v>
      </c>
      <c r="BJ51" s="4">
        <v>4</v>
      </c>
      <c r="BK51" s="4">
        <v>8</v>
      </c>
      <c r="BL51" s="4">
        <v>18</v>
      </c>
      <c r="BM51" t="s">
        <v>140</v>
      </c>
      <c r="BN51" t="s">
        <v>140</v>
      </c>
      <c r="BO51" t="str">
        <f t="shared" si="16"/>
        <v>-</v>
      </c>
      <c r="BP51">
        <v>2641</v>
      </c>
      <c r="BQ51">
        <v>2641</v>
      </c>
      <c r="BR51">
        <f t="shared" si="17"/>
        <v>3307.6601941747572</v>
      </c>
      <c r="BS51" s="4" t="s">
        <v>179</v>
      </c>
      <c r="BT51" s="38">
        <f t="shared" si="18"/>
        <v>0.14967597026607882</v>
      </c>
    </row>
    <row r="52" spans="1:72" x14ac:dyDescent="0.4">
      <c r="A52" s="3">
        <v>49</v>
      </c>
      <c r="B52" s="3">
        <v>49</v>
      </c>
      <c r="C52" s="4" t="s">
        <v>89</v>
      </c>
      <c r="D52" s="4" t="str">
        <f t="shared" si="28"/>
        <v>J716PY</v>
      </c>
      <c r="E52" s="4" t="s">
        <v>89</v>
      </c>
      <c r="F52" s="4" t="s">
        <v>139</v>
      </c>
      <c r="G52" s="5">
        <v>4909767432436</v>
      </c>
      <c r="H52" s="5"/>
      <c r="I52" s="5"/>
      <c r="J52" s="5">
        <v>1</v>
      </c>
      <c r="K52" s="5">
        <v>1</v>
      </c>
      <c r="L52" s="4">
        <v>0</v>
      </c>
      <c r="M52" s="4">
        <v>2480</v>
      </c>
      <c r="N52" s="4">
        <v>1772</v>
      </c>
      <c r="O52" s="6">
        <f t="shared" si="29"/>
        <v>0.28548387096774197</v>
      </c>
      <c r="P52" s="4" t="s">
        <v>141</v>
      </c>
      <c r="Q52" s="4"/>
      <c r="R52" s="4"/>
      <c r="S52" s="4"/>
      <c r="T52" s="4"/>
      <c r="U52" s="4"/>
      <c r="V52" s="4"/>
      <c r="W52" s="4"/>
      <c r="X52" s="4"/>
      <c r="Y52" s="4">
        <v>0</v>
      </c>
      <c r="Z52" s="4">
        <f t="shared" si="30"/>
        <v>0</v>
      </c>
      <c r="AA52" s="4">
        <v>2214</v>
      </c>
      <c r="AB52" s="4">
        <f t="shared" si="31"/>
        <v>2214</v>
      </c>
      <c r="AC52" s="4"/>
      <c r="AD52" s="19">
        <f t="shared" si="32"/>
        <v>3099</v>
      </c>
      <c r="AE52" s="6">
        <f t="shared" si="33"/>
        <v>0.28557599225556629</v>
      </c>
      <c r="AF52" s="4">
        <v>0.75</v>
      </c>
      <c r="AG52" s="4">
        <f t="shared" si="34"/>
        <v>3371.25</v>
      </c>
      <c r="AH52" s="4">
        <f t="shared" si="35"/>
        <v>4212.1599887133179</v>
      </c>
      <c r="AI52" s="6">
        <f t="shared" si="36"/>
        <v>0.47437893956247679</v>
      </c>
      <c r="AJ52" s="7">
        <v>3500</v>
      </c>
      <c r="AK52" s="6">
        <f t="shared" si="37"/>
        <v>0.36742857142857144</v>
      </c>
      <c r="AL52" s="4">
        <f t="shared" si="38"/>
        <v>1286</v>
      </c>
      <c r="AM52" s="26"/>
      <c r="AN52" s="6"/>
      <c r="AO52" s="6"/>
      <c r="AP52" s="6" t="e">
        <f t="shared" si="39"/>
        <v>#DIV/0!</v>
      </c>
      <c r="AQ52" s="6">
        <f t="shared" si="40"/>
        <v>1.4112903225806452</v>
      </c>
      <c r="AR52" s="6">
        <f t="shared" si="41"/>
        <v>1.2494356659142212</v>
      </c>
      <c r="AS52" s="4"/>
      <c r="AT52" s="4"/>
      <c r="AU52" s="4"/>
      <c r="AV52" s="4"/>
      <c r="AW52" s="4"/>
      <c r="AX52" s="4"/>
      <c r="AY52" s="4"/>
      <c r="AZ52" s="4"/>
      <c r="BA52" s="4"/>
      <c r="BB52" s="4">
        <v>0</v>
      </c>
      <c r="BC52" s="4" t="s">
        <v>227</v>
      </c>
      <c r="BD52" s="4">
        <v>1</v>
      </c>
      <c r="BE52" s="4">
        <v>4</v>
      </c>
      <c r="BF52" s="4" t="s">
        <v>224</v>
      </c>
      <c r="BG52" s="4">
        <v>10892</v>
      </c>
      <c r="BH52" s="4">
        <v>13485</v>
      </c>
      <c r="BI52" s="4">
        <f t="shared" si="42"/>
        <v>3371.25</v>
      </c>
      <c r="BJ52" s="4">
        <v>4</v>
      </c>
      <c r="BK52" s="4">
        <v>8</v>
      </c>
      <c r="BL52" s="4">
        <v>18</v>
      </c>
      <c r="BM52">
        <v>3186</v>
      </c>
      <c r="BN52">
        <v>3186</v>
      </c>
      <c r="BO52">
        <f t="shared" si="16"/>
        <v>3980.7020316027088</v>
      </c>
      <c r="BP52">
        <v>3278</v>
      </c>
      <c r="BQ52">
        <v>3278</v>
      </c>
      <c r="BR52">
        <f t="shared" si="17"/>
        <v>4095.6501128668169</v>
      </c>
      <c r="BS52" s="4" t="s">
        <v>180</v>
      </c>
      <c r="BT52" s="38">
        <f t="shared" si="18"/>
        <v>0.16185465666642407</v>
      </c>
    </row>
  </sheetData>
  <autoFilter ref="A3:BT52" xr:uid="{7A1660CF-9003-4B2D-B659-7F339ED5B476}"/>
  <mergeCells count="3">
    <mergeCell ref="L2:O2"/>
    <mergeCell ref="J2:K2"/>
    <mergeCell ref="Y1:AB1"/>
  </mergeCells>
  <phoneticPr fontId="2"/>
  <conditionalFormatting sqref="AH4:AH52">
    <cfRule type="cellIs" dxfId="5" priority="5" operator="lessThan">
      <formula>$AJ4</formula>
    </cfRule>
  </conditionalFormatting>
  <conditionalFormatting sqref="AI4:AI52">
    <cfRule type="cellIs" dxfId="4" priority="4" operator="lessThan">
      <formula>0.2</formula>
    </cfRule>
  </conditionalFormatting>
  <conditionalFormatting sqref="AJ4:AJ52">
    <cfRule type="cellIs" dxfId="3" priority="7" operator="greaterThan">
      <formula>$Z4</formula>
    </cfRule>
  </conditionalFormatting>
  <conditionalFormatting sqref="BH4:BH52">
    <cfRule type="cellIs" dxfId="2" priority="3" operator="notEqual">
      <formula>$BG4</formula>
    </cfRule>
  </conditionalFormatting>
  <conditionalFormatting sqref="BN4:BN52">
    <cfRule type="cellIs" dxfId="1" priority="2" operator="notEqual">
      <formula>$BM4</formula>
    </cfRule>
  </conditionalFormatting>
  <conditionalFormatting sqref="BQ4:BQ52">
    <cfRule type="cellIs" dxfId="0" priority="1" operator="notEqual">
      <formula>$BP4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2026-06-10T08:35:59Z</dcterms:modified>
</cp:coreProperties>
</file>