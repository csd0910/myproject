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7月1日改定\"/>
    </mc:Choice>
  </mc:AlternateContent>
  <xr:revisionPtr revIDLastSave="0" documentId="13_ncr:1_{32733301-2788-41B9-AD2E-4D5253DFF39C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19" i="1" l="1"/>
  <c r="BJ19" i="1" l="1"/>
  <c r="AG19" i="1" s="1"/>
  <c r="BJ20" i="1"/>
  <c r="AG20" i="1" s="1"/>
  <c r="BJ21" i="1"/>
  <c r="AG21" i="1" s="1"/>
  <c r="BJ22" i="1"/>
  <c r="AG22" i="1" s="1"/>
  <c r="BJ23" i="1"/>
  <c r="AG23" i="1" s="1"/>
  <c r="BJ24" i="1"/>
  <c r="AG24" i="1" s="1"/>
  <c r="BJ27" i="1"/>
  <c r="AG27" i="1" s="1"/>
  <c r="BJ28" i="1"/>
  <c r="AG28" i="1" s="1"/>
  <c r="AT4" i="1"/>
  <c r="O23" i="1"/>
  <c r="O24" i="1"/>
  <c r="O25" i="1"/>
  <c r="O26" i="1"/>
  <c r="AR27" i="1"/>
  <c r="AR28" i="1"/>
  <c r="AB28" i="1"/>
  <c r="AL28" i="1" s="1"/>
  <c r="Z28" i="1"/>
  <c r="AQ28" i="1" s="1"/>
  <c r="D28" i="1"/>
  <c r="AB27" i="1"/>
  <c r="AL27" i="1" s="1"/>
  <c r="Z27" i="1"/>
  <c r="O27" i="1"/>
  <c r="D27" i="1"/>
  <c r="BJ26" i="1"/>
  <c r="AG26" i="1" s="1"/>
  <c r="AR26" i="1"/>
  <c r="AB26" i="1"/>
  <c r="AL26" i="1" s="1"/>
  <c r="Z26" i="1"/>
  <c r="AQ26" i="1" s="1"/>
  <c r="D26" i="1"/>
  <c r="BJ25" i="1"/>
  <c r="AG25" i="1" s="1"/>
  <c r="AR25" i="1"/>
  <c r="AB25" i="1"/>
  <c r="AL25" i="1" s="1"/>
  <c r="Z25" i="1"/>
  <c r="D25" i="1"/>
  <c r="AR24" i="1"/>
  <c r="AB24" i="1"/>
  <c r="AL24" i="1" s="1"/>
  <c r="Z24" i="1"/>
  <c r="AQ24" i="1" s="1"/>
  <c r="D24" i="1"/>
  <c r="AR23" i="1"/>
  <c r="AB23" i="1"/>
  <c r="AL23" i="1" s="1"/>
  <c r="Z23" i="1"/>
  <c r="AQ23" i="1" s="1"/>
  <c r="D23" i="1"/>
  <c r="AR22" i="1"/>
  <c r="AB22" i="1"/>
  <c r="AS22" i="1" s="1"/>
  <c r="AD22" i="1" s="1"/>
  <c r="AE22" i="1" s="1"/>
  <c r="Z22" i="1"/>
  <c r="AQ22" i="1" s="1"/>
  <c r="O22" i="1"/>
  <c r="D22" i="1"/>
  <c r="AR21" i="1"/>
  <c r="AB21" i="1"/>
  <c r="AM21" i="1" s="1"/>
  <c r="Z21" i="1"/>
  <c r="AQ21" i="1" s="1"/>
  <c r="O21" i="1"/>
  <c r="D21" i="1"/>
  <c r="AR20" i="1"/>
  <c r="AB20" i="1"/>
  <c r="AJ20" i="1" s="1"/>
  <c r="Z20" i="1"/>
  <c r="AQ20" i="1" s="1"/>
  <c r="O20" i="1"/>
  <c r="D20" i="1"/>
  <c r="AR19" i="1"/>
  <c r="AB19" i="1"/>
  <c r="AM19" i="1" s="1"/>
  <c r="Z19" i="1"/>
  <c r="AQ19" i="1" s="1"/>
  <c r="O19" i="1"/>
  <c r="D19" i="1"/>
  <c r="BJ18" i="1"/>
  <c r="AG18" i="1" s="1"/>
  <c r="AR18" i="1"/>
  <c r="AB18" i="1"/>
  <c r="AL18" i="1" s="1"/>
  <c r="Z18" i="1"/>
  <c r="AQ18" i="1" s="1"/>
  <c r="O18" i="1"/>
  <c r="D18" i="1"/>
  <c r="BJ17" i="1"/>
  <c r="AG17" i="1" s="1"/>
  <c r="AR17" i="1"/>
  <c r="AB17" i="1"/>
  <c r="AL17" i="1" s="1"/>
  <c r="Z17" i="1"/>
  <c r="AQ17" i="1" s="1"/>
  <c r="O17" i="1"/>
  <c r="D17" i="1"/>
  <c r="BJ16" i="1"/>
  <c r="AG16" i="1" s="1"/>
  <c r="AR16" i="1"/>
  <c r="AB16" i="1"/>
  <c r="AM16" i="1" s="1"/>
  <c r="Z16" i="1"/>
  <c r="AQ16" i="1" s="1"/>
  <c r="O16" i="1"/>
  <c r="D16" i="1"/>
  <c r="BJ15" i="1"/>
  <c r="AG15" i="1" s="1"/>
  <c r="AR15" i="1"/>
  <c r="AB15" i="1"/>
  <c r="AM15" i="1" s="1"/>
  <c r="Z15" i="1"/>
  <c r="AQ15" i="1" s="1"/>
  <c r="O15" i="1"/>
  <c r="D15" i="1"/>
  <c r="BJ14" i="1"/>
  <c r="AG14" i="1" s="1"/>
  <c r="AR14" i="1"/>
  <c r="AB14" i="1"/>
  <c r="AS14" i="1" s="1"/>
  <c r="AD14" i="1" s="1"/>
  <c r="AE14" i="1" s="1"/>
  <c r="Z14" i="1"/>
  <c r="AQ14" i="1" s="1"/>
  <c r="O14" i="1"/>
  <c r="D14" i="1"/>
  <c r="AV4" i="1"/>
  <c r="AU4" i="1"/>
  <c r="BP14" i="1" l="1"/>
  <c r="BP22" i="1"/>
  <c r="AJ23" i="1"/>
  <c r="BS22" i="1"/>
  <c r="BS14" i="1"/>
  <c r="AJ27" i="1"/>
  <c r="AJ15" i="1"/>
  <c r="AM26" i="1"/>
  <c r="AJ28" i="1"/>
  <c r="AJ26" i="1"/>
  <c r="AJ18" i="1"/>
  <c r="AJ25" i="1"/>
  <c r="AJ17" i="1"/>
  <c r="AJ24" i="1"/>
  <c r="AJ16" i="1"/>
  <c r="AJ22" i="1"/>
  <c r="AJ14" i="1"/>
  <c r="AJ21" i="1"/>
  <c r="AM27" i="1"/>
  <c r="AM28" i="1"/>
  <c r="AM23" i="1"/>
  <c r="AS23" i="1"/>
  <c r="AS28" i="1"/>
  <c r="AS27" i="1"/>
  <c r="AM25" i="1"/>
  <c r="AM24" i="1"/>
  <c r="AS24" i="1"/>
  <c r="AQ27" i="1"/>
  <c r="O28" i="1"/>
  <c r="AS25" i="1"/>
  <c r="AS26" i="1"/>
  <c r="AQ25" i="1"/>
  <c r="AH14" i="1"/>
  <c r="AI14" i="1" s="1"/>
  <c r="AS19" i="1"/>
  <c r="AH22" i="1"/>
  <c r="AI22" i="1" s="1"/>
  <c r="AS21" i="1"/>
  <c r="AL21" i="1"/>
  <c r="AL14" i="1"/>
  <c r="AL15" i="1"/>
  <c r="AM14" i="1"/>
  <c r="AL22" i="1"/>
  <c r="AM22" i="1"/>
  <c r="AM18" i="1"/>
  <c r="AL16" i="1"/>
  <c r="AM17" i="1"/>
  <c r="AS20" i="1"/>
  <c r="AS18" i="1"/>
  <c r="AS16" i="1"/>
  <c r="AL20" i="1"/>
  <c r="AS17" i="1"/>
  <c r="AS15" i="1"/>
  <c r="AL19" i="1"/>
  <c r="AM20" i="1"/>
  <c r="BS16" i="1" l="1"/>
  <c r="BP16" i="1"/>
  <c r="BS27" i="1"/>
  <c r="BP27" i="1"/>
  <c r="BS18" i="1"/>
  <c r="BP18" i="1"/>
  <c r="BS26" i="1"/>
  <c r="BP26" i="1"/>
  <c r="BS28" i="1"/>
  <c r="BP28" i="1"/>
  <c r="BS20" i="1"/>
  <c r="BP20" i="1"/>
  <c r="BS25" i="1"/>
  <c r="BP25" i="1"/>
  <c r="BS23" i="1"/>
  <c r="BP23" i="1"/>
  <c r="BS21" i="1"/>
  <c r="BP21" i="1"/>
  <c r="BS15" i="1"/>
  <c r="BP15" i="1"/>
  <c r="BS24" i="1"/>
  <c r="BP24" i="1"/>
  <c r="BS17" i="1"/>
  <c r="BP17" i="1"/>
  <c r="BS19" i="1"/>
  <c r="BP19" i="1"/>
  <c r="AD16" i="1"/>
  <c r="AE16" i="1" s="1"/>
  <c r="AD27" i="1"/>
  <c r="AE27" i="1" s="1"/>
  <c r="AD18" i="1"/>
  <c r="AE18" i="1" s="1"/>
  <c r="AD26" i="1"/>
  <c r="AE26" i="1" s="1"/>
  <c r="AD28" i="1"/>
  <c r="AE28" i="1" s="1"/>
  <c r="AD20" i="1"/>
  <c r="AE20" i="1" s="1"/>
  <c r="AD25" i="1"/>
  <c r="AE25" i="1" s="1"/>
  <c r="AD23" i="1"/>
  <c r="AE23" i="1" s="1"/>
  <c r="AD21" i="1"/>
  <c r="AE21" i="1" s="1"/>
  <c r="AD15" i="1"/>
  <c r="AE15" i="1" s="1"/>
  <c r="AD24" i="1"/>
  <c r="AE24" i="1" s="1"/>
  <c r="AD17" i="1"/>
  <c r="AE17" i="1" s="1"/>
  <c r="AD19" i="1"/>
  <c r="AE19" i="1" s="1"/>
  <c r="AH26" i="1"/>
  <c r="AI26" i="1" s="1"/>
  <c r="AH25" i="1"/>
  <c r="AI25" i="1" s="1"/>
  <c r="AH18" i="1"/>
  <c r="AI18" i="1" s="1"/>
  <c r="AH28" i="1"/>
  <c r="AI28" i="1" s="1"/>
  <c r="AH23" i="1"/>
  <c r="AI23" i="1" s="1"/>
  <c r="AH24" i="1"/>
  <c r="AI24" i="1" s="1"/>
  <c r="AH27" i="1"/>
  <c r="AI27" i="1" s="1"/>
  <c r="AH19" i="1"/>
  <c r="AI19" i="1" s="1"/>
  <c r="AH17" i="1"/>
  <c r="AI17" i="1" s="1"/>
  <c r="AH21" i="1"/>
  <c r="AI21" i="1" s="1"/>
  <c r="AH20" i="1"/>
  <c r="AI20" i="1" s="1"/>
  <c r="AH15" i="1"/>
  <c r="AI15" i="1" s="1"/>
  <c r="AH16" i="1"/>
  <c r="AI16" i="1" s="1"/>
  <c r="BJ5" i="1"/>
  <c r="AG5" i="1" s="1"/>
  <c r="BJ6" i="1"/>
  <c r="AG6" i="1" s="1"/>
  <c r="BJ7" i="1"/>
  <c r="AG7" i="1" s="1"/>
  <c r="BJ9" i="1"/>
  <c r="AG9" i="1" s="1"/>
  <c r="BJ10" i="1"/>
  <c r="AG10" i="1" s="1"/>
  <c r="BJ11" i="1"/>
  <c r="AG11" i="1" s="1"/>
  <c r="BJ12" i="1"/>
  <c r="AG12" i="1" s="1"/>
  <c r="BJ13" i="1"/>
  <c r="AG13" i="1" s="1"/>
  <c r="BJ4" i="1"/>
  <c r="AG4" i="1" s="1"/>
  <c r="AB5" i="1"/>
  <c r="AJ5" i="1" s="1"/>
  <c r="AB6" i="1"/>
  <c r="AJ6" i="1" s="1"/>
  <c r="AB7" i="1"/>
  <c r="AJ7" i="1" s="1"/>
  <c r="AB8" i="1"/>
  <c r="AJ8" i="1" s="1"/>
  <c r="AB9" i="1"/>
  <c r="AJ9" i="1" s="1"/>
  <c r="AB10" i="1"/>
  <c r="AJ10" i="1" s="1"/>
  <c r="AB11" i="1"/>
  <c r="AJ11" i="1" s="1"/>
  <c r="AB12" i="1"/>
  <c r="AJ12" i="1" s="1"/>
  <c r="AB13" i="1"/>
  <c r="AJ13" i="1" s="1"/>
  <c r="Z5" i="1"/>
  <c r="AQ5" i="1" s="1"/>
  <c r="Z6" i="1"/>
  <c r="AQ6" i="1" s="1"/>
  <c r="Z7" i="1"/>
  <c r="AQ7" i="1" s="1"/>
  <c r="Z8" i="1"/>
  <c r="AQ8" i="1" s="1"/>
  <c r="Z9" i="1"/>
  <c r="AQ9" i="1" s="1"/>
  <c r="Z10" i="1"/>
  <c r="AQ10" i="1" s="1"/>
  <c r="Z11" i="1"/>
  <c r="AQ11" i="1" s="1"/>
  <c r="Z12" i="1"/>
  <c r="AQ12" i="1" s="1"/>
  <c r="Z13" i="1"/>
  <c r="AQ13" i="1" s="1"/>
  <c r="D5" i="1"/>
  <c r="D6" i="1"/>
  <c r="D7" i="1"/>
  <c r="D8" i="1"/>
  <c r="D9" i="1"/>
  <c r="D10" i="1"/>
  <c r="D11" i="1"/>
  <c r="D12" i="1"/>
  <c r="D13" i="1"/>
  <c r="D4" i="1"/>
  <c r="AB4" i="1"/>
  <c r="AJ4" i="1" s="1"/>
  <c r="Z4" i="1"/>
  <c r="AQ4" i="1" s="1"/>
  <c r="AR13" i="1"/>
  <c r="O13" i="1"/>
  <c r="AR12" i="1"/>
  <c r="O12" i="1"/>
  <c r="AR11" i="1"/>
  <c r="O11" i="1"/>
  <c r="AR10" i="1"/>
  <c r="O10" i="1"/>
  <c r="AR4" i="1"/>
  <c r="AR9" i="1"/>
  <c r="O9" i="1"/>
  <c r="BJ8" i="1"/>
  <c r="AG8" i="1" s="1"/>
  <c r="AR8" i="1"/>
  <c r="O8" i="1"/>
  <c r="AR7" i="1"/>
  <c r="O7" i="1"/>
  <c r="AR6" i="1"/>
  <c r="O6" i="1"/>
  <c r="AS5" i="1"/>
  <c r="AR5" i="1"/>
  <c r="O5" i="1"/>
  <c r="O4" i="1"/>
  <c r="BS5" i="1" l="1"/>
  <c r="BP5" i="1"/>
  <c r="AD5" i="1"/>
  <c r="AE5" i="1" s="1"/>
  <c r="AL13" i="1"/>
  <c r="AL5" i="1"/>
  <c r="AL12" i="1"/>
  <c r="AM10" i="1"/>
  <c r="AL4" i="1"/>
  <c r="AL9" i="1"/>
  <c r="AM8" i="1"/>
  <c r="AM11" i="1"/>
  <c r="AM7" i="1"/>
  <c r="AS6" i="1"/>
  <c r="AH5" i="1"/>
  <c r="AI5" i="1" s="1"/>
  <c r="AS10" i="1"/>
  <c r="AS12" i="1"/>
  <c r="AS8" i="1"/>
  <c r="AM6" i="1"/>
  <c r="AS13" i="1"/>
  <c r="AL11" i="1"/>
  <c r="AL10" i="1"/>
  <c r="AL8" i="1"/>
  <c r="AS11" i="1"/>
  <c r="AM9" i="1"/>
  <c r="AS9" i="1"/>
  <c r="AL7" i="1"/>
  <c r="AM13" i="1"/>
  <c r="AM5" i="1"/>
  <c r="AS7" i="1"/>
  <c r="AL6" i="1"/>
  <c r="AM12" i="1"/>
  <c r="AO4" i="1"/>
  <c r="AP4" i="1"/>
  <c r="AM4" i="1"/>
  <c r="AS4" i="1"/>
  <c r="BS12" i="1" l="1"/>
  <c r="BP12" i="1"/>
  <c r="BS10" i="1"/>
  <c r="BP10" i="1"/>
  <c r="BS9" i="1"/>
  <c r="BP9" i="1"/>
  <c r="BS8" i="1"/>
  <c r="BP8" i="1"/>
  <c r="BS11" i="1"/>
  <c r="BP11" i="1"/>
  <c r="BS6" i="1"/>
  <c r="BP6" i="1"/>
  <c r="BS4" i="1"/>
  <c r="BP4" i="1"/>
  <c r="BS13" i="1"/>
  <c r="BP13" i="1"/>
  <c r="BS7" i="1"/>
  <c r="BP7" i="1"/>
  <c r="AD8" i="1"/>
  <c r="AE8" i="1" s="1"/>
  <c r="AD11" i="1"/>
  <c r="AE11" i="1" s="1"/>
  <c r="AD9" i="1"/>
  <c r="AE9" i="1" s="1"/>
  <c r="AD12" i="1"/>
  <c r="AE12" i="1" s="1"/>
  <c r="AD10" i="1"/>
  <c r="AE10" i="1" s="1"/>
  <c r="AD7" i="1"/>
  <c r="AE7" i="1" s="1"/>
  <c r="AD6" i="1"/>
  <c r="AE6" i="1" s="1"/>
  <c r="AD4" i="1"/>
  <c r="AE4" i="1" s="1"/>
  <c r="AD13" i="1"/>
  <c r="AE13" i="1" s="1"/>
  <c r="AH7" i="1"/>
  <c r="AI7" i="1" s="1"/>
  <c r="AH9" i="1"/>
  <c r="AI9" i="1" s="1"/>
  <c r="AH12" i="1"/>
  <c r="AI12" i="1" s="1"/>
  <c r="AH6" i="1"/>
  <c r="AI6" i="1" s="1"/>
  <c r="AH13" i="1"/>
  <c r="AI13" i="1" s="1"/>
  <c r="AH4" i="1"/>
  <c r="AI4" i="1" s="1"/>
  <c r="AH10" i="1"/>
  <c r="AI10" i="1" s="1"/>
  <c r="AH11" i="1"/>
  <c r="AI11" i="1" s="1"/>
  <c r="AH8" i="1"/>
  <c r="AI8" i="1" s="1"/>
</calcChain>
</file>

<file path=xl/sharedStrings.xml><?xml version="1.0" encoding="utf-8"?>
<sst xmlns="http://schemas.openxmlformats.org/spreadsheetml/2006/main" count="353" uniqueCount="187">
  <si>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</si>
  <si>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</si>
  <si>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</si>
  <si>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</si>
  <si>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</si>
  <si>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</si>
  <si>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</si>
  <si>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</si>
  <si>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</si>
  <si>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</si>
  <si>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</si>
  <si>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</si>
  <si>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</si>
  <si>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</si>
  <si>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</si>
  <si>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</si>
  <si>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</si>
  <si>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</si>
  <si>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</si>
  <si>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</si>
  <si>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</si>
  <si>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</si>
  <si>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</si>
  <si>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</si>
  <si>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</si>
  <si>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</si>
  <si>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</si>
  <si>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</si>
  <si>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</si>
  <si>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</si>
  <si>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</si>
  <si>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</si>
  <si>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</si>
  <si>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</si>
  <si>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</si>
  <si>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</si>
  <si>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</si>
  <si>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</si>
  <si>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</si>
  <si>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</si>
  <si>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</si>
  <si>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</si>
  <si>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</si>
  <si>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</si>
  <si>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</si>
  <si>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</si>
  <si>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</si>
  <si>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</si>
  <si>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</si>
  <si>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</si>
  <si>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</si>
  <si>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</si>
  <si>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</si>
  <si>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</si>
  <si>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</si>
  <si>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</si>
  <si>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</si>
  <si>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</si>
  <si>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</si>
  <si>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</si>
  <si>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</si>
  <si>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</si>
  <si>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</si>
  <si>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</si>
  <si>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J527RS</t>
  </si>
  <si>
    <t>J29675</t>
  </si>
  <si>
    <t>J29672</t>
  </si>
  <si>
    <t>J29673</t>
  </si>
  <si>
    <t>J29674</t>
  </si>
  <si>
    <t>J116LN</t>
  </si>
  <si>
    <t>J117LN</t>
  </si>
  <si>
    <t>J429SD</t>
  </si>
  <si>
    <t>J6012Y</t>
  </si>
  <si>
    <t>J6013Y</t>
  </si>
  <si>
    <t>J6014Y</t>
  </si>
  <si>
    <t>J928MH</t>
  </si>
  <si>
    <t>J119LN</t>
  </si>
  <si>
    <t>J120LN</t>
  </si>
  <si>
    <t>J121LN</t>
  </si>
  <si>
    <t>J353SD</t>
  </si>
  <si>
    <t>J2263S</t>
  </si>
  <si>
    <t>J2264S</t>
  </si>
  <si>
    <t>J8501Y</t>
  </si>
  <si>
    <t>J2265S</t>
  </si>
  <si>
    <t>J8502Y</t>
  </si>
  <si>
    <t>J8503Y</t>
  </si>
  <si>
    <t>J8504Y</t>
  </si>
  <si>
    <t>J8980W</t>
  </si>
  <si>
    <t>J8981W</t>
  </si>
  <si>
    <t>ｺｱ/ﾊﾟﾝﾀﾞさんのﾁｬｯｸ袋 F 20枚</t>
  </si>
  <si>
    <t>小久保工業所/ﾊﾟﾝﾀﾞさん手さげ袋 25枚入/K-940</t>
  </si>
  <si>
    <t>小久保工業所/おさるさんの手さげ袋 25枚入/3665</t>
  </si>
  <si>
    <t>小久保工業所/くまさんの手さげ袋 25枚入/3664</t>
  </si>
  <si>
    <t>小久保工業所/ぞうさんの手さげ袋 25枚入/3663</t>
  </si>
  <si>
    <t>ﾊｳｽﾎｰﾙﾄﾞｼﾞｬﾊﾟﾝ/ﾊﾞｲｵﾏｽﾚｼﾞ袋 Sｻｲｽﾞ 100枚入/TU30</t>
  </si>
  <si>
    <t>ﾊｳｽﾎｰﾙﾄﾞｼﾞｬﾊﾟﾝ/ﾊﾞｲｵﾏｽﾚｼﾞ袋 Mｻｲｽﾞ 100枚入/TU35</t>
  </si>
  <si>
    <t>ﾊｳｽﾎｰﾙﾄﾞｼﾞｬﾊﾟﾝ/ﾊﾞｲｵﾏｽﾚｼﾞ袋 Lｻｲｽﾞ 100枚入/TU40</t>
  </si>
  <si>
    <t>HHJ/ひも付き ﾚｼﾞ袋 S 白 ｺﾝﾊﾟｸﾄﾀｲﾌﾟ 50枚入り/TN36</t>
  </si>
  <si>
    <t>HHJ/ひも付き ﾚｼﾞ袋 M 白 ｺﾝﾊﾟｸﾄﾀｲﾌﾟ 50枚入り/TN41</t>
  </si>
  <si>
    <t>HHJ/ひも付き ﾚｼﾞ袋 L 白 ｺﾝﾊﾟｸﾄﾀｲﾌﾟ 40枚入り/TN46</t>
  </si>
  <si>
    <t>ﾊｳｽﾎｰﾙﾄﾞｼﾞｬﾊﾟﾝ/ﾚｼﾞｶｺﾞﾊﾞｯｸﾞ すっぽりｻｲｽﾞ 白 5枚入</t>
  </si>
  <si>
    <t>ﾊｳｽﾎｰﾙﾄﾞｼﾞｬﾊﾟﾝ/ﾛｰﾙﾚｼﾞ袋 Mｻｲｽﾞ 20L 20枚入/RR20</t>
  </si>
  <si>
    <t>ﾊｳｽﾎｰﾙﾄﾞｼﾞｬﾊﾟﾝ/ﾛｰﾙﾚｼﾞ袋 Lｻｲｽﾞ 25L 15枚入/RR25</t>
  </si>
  <si>
    <t>ﾊｳｽﾎｰﾙﾄﾞｼﾞｬﾊﾟﾝ/ﾛｰﾙﾚｼﾞ袋 Sｻｲｽﾞ 7L 30枚入/RR15</t>
  </si>
  <si>
    <t>ﾊｳｽﾎｰﾙﾄﾞｼﾞｬﾊﾟﾝ/食品用ｷｯﾁﾝﾎﾟﾘ袋 ﾏﾁ付 300枚/KB08</t>
  </si>
  <si>
    <t>ﾊｳｽﾎｰﾙﾄﾞｼﾞｬﾊﾟﾝ/ﾁｬｯｸ袋 Wｼﾞｯﾊﾟｰﾀｲﾌﾟ 透明 40枚/CB-1</t>
  </si>
  <si>
    <t>ﾊｳｽﾎｰﾙﾄﾞｼﾞｬﾊﾟﾝ/ﾁｬｯｸ袋 Wｼﾞｯﾊﾟｰﾀｲﾌﾟ 透明 25枚/CD-1</t>
  </si>
  <si>
    <t>ﾊｳｽﾎｰﾙﾄﾞｼﾞｬﾊﾟﾝ/ﾁｬｯｸ袋 ﾀﾃ140×ﾖｺ100mm 20枚入/CE-1</t>
  </si>
  <si>
    <t>ﾊｳｽﾎｰﾙﾄﾞｼﾞｬﾊﾟﾝ/ﾁｬｯｸ袋 Wｼﾞｯﾊﾟｰﾀｲﾌﾟ 透明 17枚/CF-1</t>
  </si>
  <si>
    <t>ﾊｳｽﾎｰﾙﾄﾞｼﾞｬﾊﾟﾝ/ﾁｬｯｸ袋 ﾀﾃ200×ﾖｺ140mm 15枚入/CG-1</t>
  </si>
  <si>
    <t>ﾊｳｽﾎｰﾙﾄﾞｼﾞｬﾊﾟﾝ/ﾁｬｯｸ袋 ﾀﾃ240×ﾖｺ170mm 10枚入/CH-1</t>
  </si>
  <si>
    <t>ﾊｳｽﾎｰﾙﾄﾞｼﾞｬﾊﾟﾝ/ﾁｬｯｸ袋 ﾀﾃ280×ﾖｺ200mm 7枚入/CI-1</t>
  </si>
  <si>
    <t>宇部ﾌｨﾙﾑ/とって付きﾎﾟﾘ袋 Lｻｲｽﾞ 25枚入</t>
  </si>
  <si>
    <t>宇部ﾌｨﾙﾑ/湯煎もできるｷｯﾁﾝﾊﾟｯｸ Mｻｲｽﾞ 250枚入</t>
  </si>
  <si>
    <t>-</t>
  </si>
  <si>
    <t>-</t>
    <phoneticPr fontId="2"/>
  </si>
  <si>
    <t>ジャパックス Kー940 パンダさんの手さげ袋 4562161959406 1箱(120個入)（直送品）</t>
  </si>
  <si>
    <t>ジャパックス Kー941 おさるさんの手さげ袋 4562161959413 1箱(120個入)（直送品）</t>
  </si>
  <si>
    <t>ジャパックス Kー942 くまさんの手さげ袋 4562161959420 1箱(120個入)（直送品）</t>
  </si>
  <si>
    <t>ジャパックス Kー943 ぞうさんの手さげ袋 4562161959437 1箱(120個入)（直送品）</t>
  </si>
  <si>
    <t>ハウスホールドジャパン バイオマス配合25％レジ袋30号白100枚 TU30 4580287293112 1個(100枚)（直送品）</t>
  </si>
  <si>
    <t>ハウスホールドジャパン バイオマス配合25％レジ袋35号白100枚 TU35 4580287293129 1個(100枚)（直送品）</t>
  </si>
  <si>
    <t>ハウスホールドジャパン バイオマス配合25%レジ袋40号白100枚 TU40 4580287293136 1セット(100枚×30点セット)（直送品）</t>
  </si>
  <si>
    <t>ハウスホールドジャパン スマートバッグ S TN36 1パック(50枚入)（直送品）</t>
  </si>
  <si>
    <t>ハウスホールドジャパン スマートバッグ M TN41 1ケース(50枚入×60)（直送品）</t>
  </si>
  <si>
    <t>ハウスホールドジャパン スマートバッグ L TN46 1セット(40枚入×5)（直送品）</t>
  </si>
  <si>
    <t>ハウスホールドジャパン レジカゴ袋 白 5枚 RK55 4580287322447 1個(5枚)（直送品）</t>
  </si>
  <si>
    <t>ハウスホールドジャパン ロールタイプレジ袋 RR20 4580287322577 1セット(20枚×60個)</t>
  </si>
  <si>
    <t>ハウスホールドジャパン ロールレジ袋 25L 15枚 RR25 4580287322591 1個(15枚)（直送品）</t>
  </si>
  <si>
    <t>ハウスホールドジャパン ロールレジ袋 7L 30枚 RR15 4580287322607 1セット(1パック(30枚)×80)</t>
  </si>
  <si>
    <t>ハウスホールドジャパン CBー1 吊下チャック袋60×85×0.04 4580287322959 1個(40枚)（直送品）</t>
  </si>
  <si>
    <t>ハウスホールドジャパン CDー1 吊下チャック袋85×120×0.04 4580287322966 1個(25枚)（直送品）</t>
  </si>
  <si>
    <t>ハウスホールドジャパン CEー1 吊下チャック袋100×140×0.04 4580287322973 1個(20枚)（直送品）</t>
  </si>
  <si>
    <t>ハウスホールドジャパン CFー1 吊下チャック袋120×170×0.04 4580287322980 1個(17枚)（直送品）</t>
  </si>
  <si>
    <t>ハウスホールドジャパン CGー1 吊下チャック袋140×200×0.04 4580287322997 1個(15枚)（直送品）</t>
  </si>
  <si>
    <t>ハウスホールドジャパン CHー1 吊下チャック袋170×240×0.04 4580287323000 1個(10枚)（直送品）</t>
  </si>
  <si>
    <t>ハウスホールドジャパン CIー1 吊下チャック袋200×280×0.04 4580287323017 1個(7枚)（直送品）</t>
  </si>
  <si>
    <t>宇部フィルム とって付きポリ袋Lサイズ 25枚入り 4904701940084 1セット(25枚入×30)（直送品）</t>
  </si>
  <si>
    <t>ポリ袋 食品保存袋 キッチンパック マチ付き M 半透明  エンボス加工 25×35cm 5箱（250枚入×5）宇部フィルム</t>
  </si>
  <si>
    <t>RH58965</t>
  </si>
  <si>
    <t>1箱（120個入）</t>
  </si>
  <si>
    <t>RH58966</t>
  </si>
  <si>
    <t>RH58967</t>
  </si>
  <si>
    <t>RH58968</t>
  </si>
  <si>
    <t>AWA0432</t>
  </si>
  <si>
    <t>1個(100枚)</t>
  </si>
  <si>
    <t>AWA0435</t>
  </si>
  <si>
    <t>WW44963</t>
  </si>
  <si>
    <t>1セット(100枚×30点セット)</t>
  </si>
  <si>
    <t>UR53343</t>
  </si>
  <si>
    <t>1パック（50枚入）</t>
  </si>
  <si>
    <t>AWR8745</t>
  </si>
  <si>
    <t>1ケース(50枚入×60)</t>
  </si>
  <si>
    <t>AWR9722</t>
  </si>
  <si>
    <t>1セット(40枚入×5)</t>
  </si>
  <si>
    <t>AWA0508</t>
  </si>
  <si>
    <t>1個(5枚)</t>
  </si>
  <si>
    <t>KR43346</t>
  </si>
  <si>
    <t>1セット（20枚×60個）</t>
  </si>
  <si>
    <t>AWA0510</t>
  </si>
  <si>
    <t>1個(15枚)</t>
  </si>
  <si>
    <t>KR43344</t>
  </si>
  <si>
    <t>1セット(1パック（30枚）×80)</t>
  </si>
  <si>
    <t>AWA0538</t>
  </si>
  <si>
    <t>1個(40枚)</t>
  </si>
  <si>
    <t>AWA0540</t>
  </si>
  <si>
    <t>1個(25枚)</t>
  </si>
  <si>
    <t>AWA0539</t>
  </si>
  <si>
    <t>1個(20枚)</t>
  </si>
  <si>
    <t>AWA0541</t>
  </si>
  <si>
    <t>1個(17枚)</t>
  </si>
  <si>
    <t>AWA0542</t>
  </si>
  <si>
    <t>AWA0543</t>
  </si>
  <si>
    <t>1個(10枚)</t>
  </si>
  <si>
    <t>AWA0544</t>
  </si>
  <si>
    <t>1個(7枚)</t>
  </si>
  <si>
    <t>AAA8322</t>
  </si>
  <si>
    <t>1セット（25枚入×30）</t>
  </si>
  <si>
    <t>AJE3751</t>
  </si>
  <si>
    <t>1セット（1箱（250枚入）×5）</t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</si>
  <si>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</si>
  <si>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</si>
  <si>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</si>
  <si>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たの
ｽﾗｲﾄﾞ</t>
    <phoneticPr fontId="2"/>
  </si>
  <si>
    <t>6月売価</t>
    <rPh sb="1" eb="2">
      <t>ガツ</t>
    </rPh>
    <rPh sb="2" eb="4">
      <t>バイカ</t>
    </rPh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</si>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</sst>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T28"/>
  <sheetViews>
    <sheetView tabSelected="1" zoomScale="90" zoomScaleNormal="90" workbookViewId="0">
      <pane xSplit="7" ySplit="5" topLeftCell="P6" activePane="bottomRight" state="frozen"/>
      <selection pane="topRight" activeCell="G1" sqref="G1"/>
      <selection pane="bottomLeft" activeCell="A5" sqref="A5"/>
      <selection pane="bottomRight"/>
    </sheetView>
  </sheetViews>
  <sheetFormatPr defaultRowHeight="18.75" outlineLevelCol="1" x14ac:dyDescent="0.4"/>
  <cols>
    <col min="1" max="2" width="4.125" customWidth="1"/>
    <col min="3" max="5" width="7.3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3" width="7.625" customWidth="1"/>
    <col min="14" max="14" width="6.125" customWidth="1"/>
    <col min="15" max="15" width="6.375" customWidth="1"/>
    <col min="16" max="16" width="5.375" customWidth="1"/>
    <col min="17" max="24" width="7.625" hidden="1" customWidth="1" outlineLevel="1"/>
    <col min="25" max="25" width="6.25" customWidth="1" collapsed="1"/>
    <col min="26" max="28" width="6.25" customWidth="1"/>
    <col min="29" max="29" width="4.375" customWidth="1" collapsed="1"/>
    <col min="30" max="30" width="6.5" customWidth="1"/>
    <col min="31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58" width="7.625" customWidth="1"/>
    <col min="59" max="60" width="9" customWidth="1"/>
    <col min="61" max="71" width="7.625" customWidth="1"/>
  </cols>
  <sheetData>
    <row r="1" spans="1:72" x14ac:dyDescent="0.4">
      <c r="C1" s="29" t="s">
        <v>49</v>
      </c>
      <c r="Y1" s="37" t="s">
        <v>46</v>
      </c>
      <c r="Z1" s="38"/>
      <c r="AA1" s="38"/>
      <c r="AB1" s="39"/>
    </row>
    <row r="2" spans="1:72" x14ac:dyDescent="0.4">
      <c r="C2" s="8" t="s">
        <v>33</v>
      </c>
      <c r="D2" s="9" t="s">
        <v>34</v>
      </c>
      <c r="E2" s="9" t="s">
        <v>35</v>
      </c>
      <c r="F2" s="10"/>
      <c r="G2" s="10"/>
      <c r="H2" s="31"/>
      <c r="I2" s="31"/>
      <c r="J2" s="34" t="s">
        <v>36</v>
      </c>
      <c r="K2" s="36"/>
      <c r="L2" s="34" t="s">
        <v>2</v>
      </c>
      <c r="M2" s="35"/>
      <c r="N2" s="35"/>
      <c r="O2" s="36"/>
      <c r="P2" s="11"/>
      <c r="Q2" s="30"/>
      <c r="R2" s="30"/>
      <c r="S2" s="30"/>
      <c r="T2" s="30"/>
      <c r="U2" s="30"/>
      <c r="V2" s="30"/>
      <c r="W2" s="30"/>
      <c r="X2" s="30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11"/>
      <c r="AG2" s="11"/>
      <c r="AH2" s="11"/>
      <c r="AI2" s="11"/>
      <c r="AJ2" s="11"/>
      <c r="AK2" s="22" t="s">
        <v>47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2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2" t="s">
        <v>50</v>
      </c>
      <c r="AG3" s="12" t="s">
        <v>45</v>
      </c>
      <c r="AH3" s="12" t="s">
        <v>61</v>
      </c>
      <c r="AI3" s="2" t="s">
        <v>16</v>
      </c>
      <c r="AJ3" s="2" t="s">
        <v>44</v>
      </c>
      <c r="AK3" s="13" t="s">
        <v>37</v>
      </c>
      <c r="AL3" s="2" t="s">
        <v>16</v>
      </c>
      <c r="AM3" s="2" t="s">
        <v>38</v>
      </c>
      <c r="AN3" s="26" t="s">
        <v>40</v>
      </c>
      <c r="AO3" s="12" t="s">
        <v>41</v>
      </c>
      <c r="AP3" s="12" t="s">
        <v>42</v>
      </c>
      <c r="AQ3" s="12" t="s">
        <v>32</v>
      </c>
      <c r="AR3" s="12" t="s">
        <v>43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12" t="s">
        <v>25</v>
      </c>
      <c r="BA3" s="12" t="s">
        <v>26</v>
      </c>
      <c r="BB3" s="12" t="s">
        <v>27</v>
      </c>
      <c r="BC3" s="2" t="s">
        <v>11</v>
      </c>
      <c r="BD3" s="2" t="s">
        <v>12</v>
      </c>
      <c r="BE3" s="2" t="s">
        <v>13</v>
      </c>
      <c r="BF3" s="2" t="s">
        <v>14</v>
      </c>
      <c r="BG3" s="12" t="s">
        <v>48</v>
      </c>
      <c r="BH3" s="2" t="s">
        <v>62</v>
      </c>
      <c r="BI3" s="2" t="s">
        <v>184</v>
      </c>
      <c r="BJ3" s="2" t="s">
        <v>15</v>
      </c>
      <c r="BK3" s="18" t="s">
        <v>51</v>
      </c>
      <c r="BL3" s="18" t="s">
        <v>52</v>
      </c>
      <c r="BM3" s="15" t="s">
        <v>58</v>
      </c>
      <c r="BN3" s="32" t="s">
        <v>180</v>
      </c>
      <c r="BO3" s="32" t="s">
        <v>185</v>
      </c>
      <c r="BP3" s="33" t="s">
        <v>183</v>
      </c>
      <c r="BQ3" s="33" t="s">
        <v>181</v>
      </c>
      <c r="BR3" s="33" t="s">
        <v>186</v>
      </c>
      <c r="BS3" s="33" t="s">
        <v>182</v>
      </c>
      <c r="BT3" t="s">
        <v>56</v>
      </c>
    </row>
    <row r="4" spans="1:72" x14ac:dyDescent="0.4">
      <c r="A4" s="3">
        <v>1</v>
      </c>
      <c r="B4" s="3">
        <v>1</v>
      </c>
      <c r="C4" s="4" t="s">
        <v>64</v>
      </c>
      <c r="D4" s="4" t="str">
        <f>TEXT(C4,"000000")</f>
        <v>J527RS</v>
      </c>
      <c r="E4" s="4" t="s">
        <v>64</v>
      </c>
      <c r="F4" s="4" t="s">
        <v>89</v>
      </c>
      <c r="G4" s="5">
        <v>4562161950632</v>
      </c>
      <c r="H4" s="5"/>
      <c r="I4" s="5"/>
      <c r="J4" s="5">
        <v>1</v>
      </c>
      <c r="K4" s="5">
        <v>1</v>
      </c>
      <c r="L4" s="4">
        <v>0</v>
      </c>
      <c r="M4" s="4">
        <v>84</v>
      </c>
      <c r="N4" s="4">
        <v>55</v>
      </c>
      <c r="O4" s="6">
        <f t="shared" ref="O4:O13" si="0">1-N4/M4</f>
        <v>0.34523809523809523</v>
      </c>
      <c r="P4" s="4" t="s">
        <v>115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67</v>
      </c>
      <c r="AB4" s="4">
        <f>IF(AC4="",AA4,AA4*AC4)</f>
        <v>67</v>
      </c>
      <c r="AC4" s="4"/>
      <c r="AD4" s="21">
        <f t="shared" ref="AD4:AD22" si="1">ROUND(M4*AS4,0)</f>
        <v>102</v>
      </c>
      <c r="AE4" s="6">
        <f t="shared" ref="AE4" si="2">1-AB4/AD4</f>
        <v>0.34313725490196079</v>
      </c>
      <c r="AF4" s="4">
        <v>2</v>
      </c>
      <c r="AG4" s="4" t="str">
        <f>BJ4</f>
        <v>-</v>
      </c>
      <c r="AH4" s="4" t="e">
        <f t="shared" ref="AH4:AH22" si="3">AG4*AS4</f>
        <v>#VALUE!</v>
      </c>
      <c r="AI4" s="6" t="e">
        <f t="shared" ref="AI4:AI22" si="4">1-AB4/AH4</f>
        <v>#VALUE!</v>
      </c>
      <c r="AJ4" s="4">
        <f>AB4/0.6</f>
        <v>111.66666666666667</v>
      </c>
      <c r="AK4" s="7">
        <v>110</v>
      </c>
      <c r="AL4" s="6">
        <f t="shared" ref="AL4:AL22" si="5">1-AB4/AK4</f>
        <v>0.39090909090909087</v>
      </c>
      <c r="AM4" s="4">
        <f t="shared" ref="AM4:AM22" si="6">AK4-AB4</f>
        <v>43</v>
      </c>
      <c r="AN4" s="28"/>
      <c r="AO4" s="6" t="e">
        <f>1-AB4/AN4</f>
        <v>#DIV/0!</v>
      </c>
      <c r="AP4" s="4">
        <f>AN4-AB4</f>
        <v>-67</v>
      </c>
      <c r="AQ4" s="6" t="e">
        <f t="shared" ref="AQ4:AQ22" si="7">Z4/L4</f>
        <v>#DIV/0!</v>
      </c>
      <c r="AR4" s="6">
        <f t="shared" ref="AR4:AR22" si="8">AK4/M4</f>
        <v>1.3095238095238095</v>
      </c>
      <c r="AS4" s="6">
        <f t="shared" ref="AS4:AS22" si="9">AB4/N4</f>
        <v>1.2181818181818183</v>
      </c>
      <c r="AT4" s="4" t="str">
        <f>IFERROR(ROUND($AK4*P4/$M4,0),"-")</f>
        <v>-</v>
      </c>
      <c r="AU4" s="4" t="str">
        <f>IF(Q4="","-",Q4)</f>
        <v>-</v>
      </c>
      <c r="AV4" s="4" t="str">
        <f>IF(R4="","-",R4)</f>
        <v>-</v>
      </c>
      <c r="AW4" s="4"/>
      <c r="AX4" s="4"/>
      <c r="AY4" s="4"/>
      <c r="AZ4" s="4"/>
      <c r="BA4" s="4"/>
      <c r="BB4" s="4"/>
      <c r="BC4" s="4">
        <v>0</v>
      </c>
      <c r="BD4" s="4" t="s">
        <v>114</v>
      </c>
      <c r="BE4" s="4"/>
      <c r="BF4" s="4"/>
      <c r="BG4" s="4" t="s">
        <v>114</v>
      </c>
      <c r="BH4" s="4" t="s">
        <v>114</v>
      </c>
      <c r="BI4" s="4" t="s">
        <v>114</v>
      </c>
      <c r="BJ4" s="4" t="str">
        <f t="shared" ref="BJ4:BJ5" si="10">IF(BE4="",BI4,BE4/BF4*BI4)</f>
        <v>-</v>
      </c>
      <c r="BK4" s="19">
        <v>4</v>
      </c>
      <c r="BL4" s="19">
        <v>8</v>
      </c>
      <c r="BM4" s="16">
        <v>18</v>
      </c>
      <c r="BN4" t="s">
        <v>114</v>
      </c>
      <c r="BO4" t="s">
        <v>114</v>
      </c>
      <c r="BP4" t="str">
        <f>IFERROR(BO4*AS4,"-")</f>
        <v>-</v>
      </c>
      <c r="BQ4" t="s">
        <v>114</v>
      </c>
      <c r="BR4" t="s">
        <v>114</v>
      </c>
      <c r="BS4" t="str">
        <f>IFERROR(BR4*AS4,"-")</f>
        <v>-</v>
      </c>
      <c r="BT4" t="s">
        <v>114</v>
      </c>
    </row>
    <row r="5" spans="1:72" x14ac:dyDescent="0.4">
      <c r="A5" s="3">
        <v>2</v>
      </c>
      <c r="B5" s="3">
        <v>2</v>
      </c>
      <c r="C5" s="4" t="s">
        <v>65</v>
      </c>
      <c r="D5" s="4" t="str">
        <f t="shared" ref="D5:D13" si="11">TEXT(C5,"000000")</f>
        <v>J29675</v>
      </c>
      <c r="E5" s="4" t="s">
        <v>65</v>
      </c>
      <c r="F5" s="4" t="s">
        <v>90</v>
      </c>
      <c r="G5" s="5">
        <v>4562161959406</v>
      </c>
      <c r="H5" s="5"/>
      <c r="I5" s="5"/>
      <c r="J5" s="5">
        <v>1</v>
      </c>
      <c r="K5" s="5">
        <v>1</v>
      </c>
      <c r="L5" s="4">
        <v>0</v>
      </c>
      <c r="M5" s="4">
        <v>107</v>
      </c>
      <c r="N5" s="4">
        <v>65</v>
      </c>
      <c r="O5" s="6">
        <f t="shared" si="0"/>
        <v>0.39252336448598135</v>
      </c>
      <c r="P5" s="4" t="s">
        <v>115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13" si="12">IF(AC5="",Y5,Y5*AC5)</f>
        <v>0</v>
      </c>
      <c r="AA5" s="4">
        <v>82</v>
      </c>
      <c r="AB5" s="4">
        <f t="shared" ref="AB5:AB13" si="13">IF(AC5="",AA5,AA5*AC5)</f>
        <v>82</v>
      </c>
      <c r="AC5" s="4"/>
      <c r="AD5" s="21">
        <f t="shared" si="1"/>
        <v>135</v>
      </c>
      <c r="AE5" s="6">
        <f t="shared" ref="AE5" si="14">1-AB5/AD5</f>
        <v>0.3925925925925926</v>
      </c>
      <c r="AF5" s="4">
        <v>10.5</v>
      </c>
      <c r="AG5" s="4">
        <f t="shared" ref="AG5:AG13" si="15">BJ5</f>
        <v>115.69166666666666</v>
      </c>
      <c r="AH5" s="4">
        <f t="shared" si="3"/>
        <v>145.94948717948716</v>
      </c>
      <c r="AI5" s="6">
        <f t="shared" si="4"/>
        <v>0.43816178059497224</v>
      </c>
      <c r="AJ5" s="4">
        <f t="shared" ref="AJ5:AJ28" si="16">AB5/0.6</f>
        <v>136.66666666666669</v>
      </c>
      <c r="AK5" s="7">
        <v>136</v>
      </c>
      <c r="AL5" s="6">
        <f t="shared" si="5"/>
        <v>0.3970588235294118</v>
      </c>
      <c r="AM5" s="4">
        <f t="shared" si="6"/>
        <v>54</v>
      </c>
      <c r="AN5" s="28"/>
      <c r="AO5" s="6"/>
      <c r="AP5" s="6"/>
      <c r="AQ5" s="6" t="e">
        <f t="shared" si="7"/>
        <v>#DIV/0!</v>
      </c>
      <c r="AR5" s="6">
        <f t="shared" si="8"/>
        <v>1.2710280373831775</v>
      </c>
      <c r="AS5" s="6">
        <f t="shared" si="9"/>
        <v>1.2615384615384615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139</v>
      </c>
      <c r="BE5" s="4">
        <v>1</v>
      </c>
      <c r="BF5" s="4">
        <v>120</v>
      </c>
      <c r="BG5" s="4" t="s">
        <v>140</v>
      </c>
      <c r="BH5" s="4">
        <v>13883</v>
      </c>
      <c r="BI5" s="4">
        <v>13883</v>
      </c>
      <c r="BJ5" s="4">
        <f t="shared" si="10"/>
        <v>115.69166666666666</v>
      </c>
      <c r="BK5" s="19">
        <v>4</v>
      </c>
      <c r="BL5" s="19">
        <v>1</v>
      </c>
      <c r="BM5" s="16">
        <v>18</v>
      </c>
      <c r="BN5" t="s">
        <v>114</v>
      </c>
      <c r="BO5" t="s">
        <v>114</v>
      </c>
      <c r="BP5" t="str">
        <f t="shared" ref="BP5:BP28" si="17">IFERROR(BO5*AS5,"-")</f>
        <v>-</v>
      </c>
      <c r="BQ5" t="s">
        <v>114</v>
      </c>
      <c r="BR5" t="s">
        <v>114</v>
      </c>
      <c r="BS5" t="str">
        <f t="shared" ref="BS5:BS28" si="18">IFERROR(BR5*AS5,"-")</f>
        <v>-</v>
      </c>
      <c r="BT5" t="s">
        <v>116</v>
      </c>
    </row>
    <row r="6" spans="1:72" x14ac:dyDescent="0.4">
      <c r="A6" s="3">
        <v>3</v>
      </c>
      <c r="B6" s="3">
        <v>3</v>
      </c>
      <c r="C6" s="17" t="s">
        <v>66</v>
      </c>
      <c r="D6" s="4" t="str">
        <f t="shared" si="11"/>
        <v>J29672</v>
      </c>
      <c r="E6" s="4" t="s">
        <v>66</v>
      </c>
      <c r="F6" s="4" t="s">
        <v>91</v>
      </c>
      <c r="G6" s="5">
        <v>4562161959413</v>
      </c>
      <c r="H6" s="5"/>
      <c r="I6" s="5"/>
      <c r="J6" s="5">
        <v>1</v>
      </c>
      <c r="K6" s="5">
        <v>1</v>
      </c>
      <c r="L6" s="4">
        <v>0</v>
      </c>
      <c r="M6" s="4">
        <v>101</v>
      </c>
      <c r="N6" s="4">
        <v>65</v>
      </c>
      <c r="O6" s="6">
        <f t="shared" si="0"/>
        <v>0.35643564356435642</v>
      </c>
      <c r="P6" s="4" t="s">
        <v>115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12"/>
        <v>0</v>
      </c>
      <c r="AA6" s="4">
        <v>79</v>
      </c>
      <c r="AB6" s="4">
        <f t="shared" si="13"/>
        <v>79</v>
      </c>
      <c r="AC6" s="4"/>
      <c r="AD6" s="21">
        <f t="shared" si="1"/>
        <v>123</v>
      </c>
      <c r="AE6" s="6">
        <f t="shared" ref="AE6:AE13" si="19">1-AB6/AD6</f>
        <v>0.35772357723577231</v>
      </c>
      <c r="AF6" s="4">
        <v>0.5</v>
      </c>
      <c r="AG6" s="4">
        <f t="shared" si="15"/>
        <v>115.69166666666666</v>
      </c>
      <c r="AH6" s="4">
        <f t="shared" si="3"/>
        <v>140.60987179487176</v>
      </c>
      <c r="AI6" s="6">
        <f t="shared" si="4"/>
        <v>0.43816178059497213</v>
      </c>
      <c r="AJ6" s="4">
        <f t="shared" si="16"/>
        <v>131.66666666666669</v>
      </c>
      <c r="AK6" s="7">
        <v>130</v>
      </c>
      <c r="AL6" s="6">
        <f t="shared" si="5"/>
        <v>0.39230769230769236</v>
      </c>
      <c r="AM6" s="4">
        <f t="shared" si="6"/>
        <v>51</v>
      </c>
      <c r="AN6" s="28"/>
      <c r="AO6" s="6"/>
      <c r="AP6" s="6"/>
      <c r="AQ6" s="6" t="e">
        <f t="shared" si="7"/>
        <v>#DIV/0!</v>
      </c>
      <c r="AR6" s="6">
        <f t="shared" si="8"/>
        <v>1.2871287128712872</v>
      </c>
      <c r="AS6" s="6">
        <f t="shared" si="9"/>
        <v>1.2153846153846153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141</v>
      </c>
      <c r="BE6" s="4">
        <v>1</v>
      </c>
      <c r="BF6" s="4">
        <v>120</v>
      </c>
      <c r="BG6" s="4" t="s">
        <v>140</v>
      </c>
      <c r="BH6" s="4">
        <v>13883</v>
      </c>
      <c r="BI6" s="4">
        <v>13883</v>
      </c>
      <c r="BJ6" s="4">
        <f t="shared" ref="BJ6:BJ13" si="20">IF(BE6="",BI6,BE6/BF6*BI6)</f>
        <v>115.69166666666666</v>
      </c>
      <c r="BK6" s="19">
        <v>4</v>
      </c>
      <c r="BL6" s="19">
        <v>8</v>
      </c>
      <c r="BM6" s="16">
        <v>18</v>
      </c>
      <c r="BN6" t="s">
        <v>114</v>
      </c>
      <c r="BO6" t="s">
        <v>114</v>
      </c>
      <c r="BP6" t="str">
        <f t="shared" si="17"/>
        <v>-</v>
      </c>
      <c r="BQ6" t="s">
        <v>114</v>
      </c>
      <c r="BR6" t="s">
        <v>114</v>
      </c>
      <c r="BS6" t="str">
        <f t="shared" si="18"/>
        <v>-</v>
      </c>
      <c r="BT6" t="s">
        <v>117</v>
      </c>
    </row>
    <row r="7" spans="1:72" x14ac:dyDescent="0.4">
      <c r="A7" s="3">
        <v>4</v>
      </c>
      <c r="B7" s="3">
        <v>4</v>
      </c>
      <c r="C7" s="17" t="s">
        <v>67</v>
      </c>
      <c r="D7" s="4" t="str">
        <f t="shared" si="11"/>
        <v>J29673</v>
      </c>
      <c r="E7" s="4" t="s">
        <v>67</v>
      </c>
      <c r="F7" s="4" t="s">
        <v>92</v>
      </c>
      <c r="G7" s="5">
        <v>4562161959420</v>
      </c>
      <c r="H7" s="5"/>
      <c r="I7" s="5"/>
      <c r="J7" s="5">
        <v>1</v>
      </c>
      <c r="K7" s="5">
        <v>1</v>
      </c>
      <c r="L7" s="4">
        <v>0</v>
      </c>
      <c r="M7" s="4">
        <v>106</v>
      </c>
      <c r="N7" s="4">
        <v>65</v>
      </c>
      <c r="O7" s="6">
        <f t="shared" si="0"/>
        <v>0.3867924528301887</v>
      </c>
      <c r="P7" s="4" t="s">
        <v>115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2"/>
        <v>0</v>
      </c>
      <c r="AA7" s="4">
        <v>79</v>
      </c>
      <c r="AB7" s="4">
        <f t="shared" si="13"/>
        <v>79</v>
      </c>
      <c r="AC7" s="4"/>
      <c r="AD7" s="21">
        <f t="shared" si="1"/>
        <v>129</v>
      </c>
      <c r="AE7" s="6">
        <f t="shared" si="19"/>
        <v>0.38759689922480622</v>
      </c>
      <c r="AF7" s="4">
        <v>3.5000000000000004</v>
      </c>
      <c r="AG7" s="4">
        <f t="shared" si="15"/>
        <v>115.69166666666666</v>
      </c>
      <c r="AH7" s="4">
        <f t="shared" si="3"/>
        <v>140.60987179487176</v>
      </c>
      <c r="AI7" s="6">
        <f t="shared" si="4"/>
        <v>0.43816178059497213</v>
      </c>
      <c r="AJ7" s="4">
        <f t="shared" si="16"/>
        <v>131.66666666666669</v>
      </c>
      <c r="AK7" s="7">
        <v>130</v>
      </c>
      <c r="AL7" s="6">
        <f t="shared" si="5"/>
        <v>0.39230769230769236</v>
      </c>
      <c r="AM7" s="4">
        <f t="shared" si="6"/>
        <v>51</v>
      </c>
      <c r="AN7" s="28"/>
      <c r="AO7" s="6"/>
      <c r="AP7" s="6"/>
      <c r="AQ7" s="6" t="e">
        <f t="shared" si="7"/>
        <v>#DIV/0!</v>
      </c>
      <c r="AR7" s="6">
        <f t="shared" si="8"/>
        <v>1.2264150943396226</v>
      </c>
      <c r="AS7" s="6">
        <f t="shared" si="9"/>
        <v>1.2153846153846153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142</v>
      </c>
      <c r="BE7" s="4">
        <v>1</v>
      </c>
      <c r="BF7" s="4">
        <v>120</v>
      </c>
      <c r="BG7" s="4" t="s">
        <v>140</v>
      </c>
      <c r="BH7" s="4">
        <v>13883</v>
      </c>
      <c r="BI7" s="4">
        <v>13883</v>
      </c>
      <c r="BJ7" s="4">
        <f t="shared" si="20"/>
        <v>115.69166666666666</v>
      </c>
      <c r="BK7" s="19">
        <v>4</v>
      </c>
      <c r="BL7" s="19">
        <v>1</v>
      </c>
      <c r="BM7" s="16">
        <v>18</v>
      </c>
      <c r="BN7" t="s">
        <v>114</v>
      </c>
      <c r="BO7" t="s">
        <v>114</v>
      </c>
      <c r="BP7" t="str">
        <f t="shared" si="17"/>
        <v>-</v>
      </c>
      <c r="BQ7" t="s">
        <v>114</v>
      </c>
      <c r="BR7" t="s">
        <v>114</v>
      </c>
      <c r="BS7" t="str">
        <f t="shared" si="18"/>
        <v>-</v>
      </c>
      <c r="BT7" t="s">
        <v>118</v>
      </c>
    </row>
    <row r="8" spans="1:72" x14ac:dyDescent="0.4">
      <c r="A8" s="3">
        <v>5</v>
      </c>
      <c r="B8" s="3">
        <v>5</v>
      </c>
      <c r="C8" s="17" t="s">
        <v>68</v>
      </c>
      <c r="D8" s="4" t="str">
        <f t="shared" si="11"/>
        <v>J29674</v>
      </c>
      <c r="E8" s="4" t="s">
        <v>68</v>
      </c>
      <c r="F8" s="4" t="s">
        <v>93</v>
      </c>
      <c r="G8" s="5">
        <v>4562161959437</v>
      </c>
      <c r="H8" s="5"/>
      <c r="I8" s="5"/>
      <c r="J8" s="5">
        <v>1</v>
      </c>
      <c r="K8" s="5">
        <v>1</v>
      </c>
      <c r="L8" s="4">
        <v>0</v>
      </c>
      <c r="M8" s="4">
        <v>101</v>
      </c>
      <c r="N8" s="4">
        <v>65</v>
      </c>
      <c r="O8" s="6">
        <f t="shared" si="0"/>
        <v>0.35643564356435642</v>
      </c>
      <c r="P8" s="4" t="s">
        <v>115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2"/>
        <v>0</v>
      </c>
      <c r="AA8" s="4">
        <v>79</v>
      </c>
      <c r="AB8" s="4">
        <f t="shared" si="13"/>
        <v>79</v>
      </c>
      <c r="AC8" s="4"/>
      <c r="AD8" s="21">
        <f t="shared" si="1"/>
        <v>123</v>
      </c>
      <c r="AE8" s="6">
        <f t="shared" si="19"/>
        <v>0.35772357723577231</v>
      </c>
      <c r="AF8" s="4">
        <v>3.5000000000000004</v>
      </c>
      <c r="AG8" s="4">
        <f t="shared" si="15"/>
        <v>115.69166666666666</v>
      </c>
      <c r="AH8" s="4">
        <f t="shared" si="3"/>
        <v>140.60987179487176</v>
      </c>
      <c r="AI8" s="6">
        <f t="shared" si="4"/>
        <v>0.43816178059497213</v>
      </c>
      <c r="AJ8" s="4">
        <f t="shared" si="16"/>
        <v>131.66666666666669</v>
      </c>
      <c r="AK8" s="7">
        <v>130</v>
      </c>
      <c r="AL8" s="6">
        <f t="shared" si="5"/>
        <v>0.39230769230769236</v>
      </c>
      <c r="AM8" s="4">
        <f t="shared" si="6"/>
        <v>51</v>
      </c>
      <c r="AN8" s="28"/>
      <c r="AO8" s="6"/>
      <c r="AP8" s="6"/>
      <c r="AQ8" s="6" t="e">
        <f t="shared" si="7"/>
        <v>#DIV/0!</v>
      </c>
      <c r="AR8" s="6">
        <f t="shared" si="8"/>
        <v>1.2871287128712872</v>
      </c>
      <c r="AS8" s="6">
        <f t="shared" si="9"/>
        <v>1.2153846153846153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143</v>
      </c>
      <c r="BE8" s="4">
        <v>1</v>
      </c>
      <c r="BF8" s="4">
        <v>120</v>
      </c>
      <c r="BG8" s="4" t="s">
        <v>140</v>
      </c>
      <c r="BH8" s="4">
        <v>13883</v>
      </c>
      <c r="BI8" s="4">
        <v>13883</v>
      </c>
      <c r="BJ8" s="4">
        <f t="shared" si="20"/>
        <v>115.69166666666666</v>
      </c>
      <c r="BK8" s="19">
        <v>4</v>
      </c>
      <c r="BL8" s="19">
        <v>1</v>
      </c>
      <c r="BM8" s="16">
        <v>18</v>
      </c>
      <c r="BN8" t="s">
        <v>114</v>
      </c>
      <c r="BO8" t="s">
        <v>114</v>
      </c>
      <c r="BP8" t="str">
        <f t="shared" si="17"/>
        <v>-</v>
      </c>
      <c r="BQ8" t="s">
        <v>114</v>
      </c>
      <c r="BR8" t="s">
        <v>114</v>
      </c>
      <c r="BS8" t="str">
        <f t="shared" si="18"/>
        <v>-</v>
      </c>
      <c r="BT8" t="s">
        <v>119</v>
      </c>
    </row>
    <row r="9" spans="1:72" x14ac:dyDescent="0.4">
      <c r="A9" s="3">
        <v>6</v>
      </c>
      <c r="B9" s="3">
        <v>6</v>
      </c>
      <c r="C9" s="17" t="s">
        <v>69</v>
      </c>
      <c r="D9" s="4" t="str">
        <f t="shared" si="11"/>
        <v>J116LN</v>
      </c>
      <c r="E9" s="4" t="s">
        <v>69</v>
      </c>
      <c r="F9" s="4" t="s">
        <v>94</v>
      </c>
      <c r="G9" s="5">
        <v>4580287293112</v>
      </c>
      <c r="H9" s="5"/>
      <c r="I9" s="5"/>
      <c r="J9" s="5">
        <v>1</v>
      </c>
      <c r="K9" s="5">
        <v>1</v>
      </c>
      <c r="L9" s="4">
        <v>0</v>
      </c>
      <c r="M9" s="4">
        <v>234</v>
      </c>
      <c r="N9" s="4">
        <v>160</v>
      </c>
      <c r="O9" s="6">
        <f t="shared" si="0"/>
        <v>0.31623931623931623</v>
      </c>
      <c r="P9" s="4" t="s">
        <v>115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12"/>
        <v>0</v>
      </c>
      <c r="AA9" s="4">
        <v>224</v>
      </c>
      <c r="AB9" s="4">
        <f t="shared" si="13"/>
        <v>224</v>
      </c>
      <c r="AC9" s="4"/>
      <c r="AD9" s="21">
        <f t="shared" si="1"/>
        <v>328</v>
      </c>
      <c r="AE9" s="6">
        <f t="shared" si="19"/>
        <v>0.31707317073170727</v>
      </c>
      <c r="AF9" s="4">
        <v>12</v>
      </c>
      <c r="AG9" s="4">
        <f t="shared" si="15"/>
        <v>380</v>
      </c>
      <c r="AH9" s="4">
        <f t="shared" si="3"/>
        <v>532</v>
      </c>
      <c r="AI9" s="6">
        <f t="shared" si="4"/>
        <v>0.57894736842105265</v>
      </c>
      <c r="AJ9" s="4">
        <f t="shared" si="16"/>
        <v>373.33333333333337</v>
      </c>
      <c r="AK9" s="7">
        <v>370</v>
      </c>
      <c r="AL9" s="6">
        <f t="shared" si="5"/>
        <v>0.39459459459459456</v>
      </c>
      <c r="AM9" s="4">
        <f t="shared" si="6"/>
        <v>146</v>
      </c>
      <c r="AN9" s="28"/>
      <c r="AO9" s="6"/>
      <c r="AP9" s="6"/>
      <c r="AQ9" s="6" t="e">
        <f t="shared" si="7"/>
        <v>#DIV/0!</v>
      </c>
      <c r="AR9" s="6">
        <f t="shared" si="8"/>
        <v>1.5811965811965811</v>
      </c>
      <c r="AS9" s="6">
        <f t="shared" si="9"/>
        <v>1.4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144</v>
      </c>
      <c r="BE9" s="4"/>
      <c r="BF9" s="4"/>
      <c r="BG9" s="4" t="s">
        <v>145</v>
      </c>
      <c r="BH9" s="4">
        <v>380</v>
      </c>
      <c r="BI9" s="4">
        <v>380</v>
      </c>
      <c r="BJ9" s="4">
        <f t="shared" si="20"/>
        <v>380</v>
      </c>
      <c r="BK9" s="19">
        <v>4</v>
      </c>
      <c r="BL9" s="19">
        <v>1</v>
      </c>
      <c r="BM9" s="16">
        <v>18</v>
      </c>
      <c r="BN9" t="s">
        <v>114</v>
      </c>
      <c r="BO9" t="s">
        <v>114</v>
      </c>
      <c r="BP9" t="str">
        <f t="shared" si="17"/>
        <v>-</v>
      </c>
      <c r="BQ9" t="s">
        <v>114</v>
      </c>
      <c r="BR9" t="s">
        <v>114</v>
      </c>
      <c r="BS9" t="str">
        <f t="shared" si="18"/>
        <v>-</v>
      </c>
      <c r="BT9" t="s">
        <v>120</v>
      </c>
    </row>
    <row r="10" spans="1:72" x14ac:dyDescent="0.4">
      <c r="A10" s="3">
        <v>7</v>
      </c>
      <c r="B10" s="3">
        <v>7</v>
      </c>
      <c r="C10" s="4" t="s">
        <v>70</v>
      </c>
      <c r="D10" s="4" t="str">
        <f t="shared" si="11"/>
        <v>J117LN</v>
      </c>
      <c r="E10" s="4" t="s">
        <v>70</v>
      </c>
      <c r="F10" s="4" t="s">
        <v>95</v>
      </c>
      <c r="G10" s="5">
        <v>4580287293129</v>
      </c>
      <c r="H10" s="5"/>
      <c r="I10" s="5"/>
      <c r="J10" s="5">
        <v>1</v>
      </c>
      <c r="K10" s="5">
        <v>1</v>
      </c>
      <c r="L10" s="4">
        <v>0</v>
      </c>
      <c r="M10" s="4">
        <v>344</v>
      </c>
      <c r="N10" s="4">
        <v>235</v>
      </c>
      <c r="O10" s="6">
        <f t="shared" si="0"/>
        <v>0.31686046511627908</v>
      </c>
      <c r="P10" s="4" t="s">
        <v>115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12"/>
        <v>0</v>
      </c>
      <c r="AA10" s="4">
        <v>331</v>
      </c>
      <c r="AB10" s="4">
        <f t="shared" si="13"/>
        <v>331</v>
      </c>
      <c r="AC10" s="4"/>
      <c r="AD10" s="21">
        <f t="shared" si="1"/>
        <v>485</v>
      </c>
      <c r="AE10" s="6">
        <f t="shared" si="19"/>
        <v>0.31752577319587627</v>
      </c>
      <c r="AF10" s="4">
        <v>10</v>
      </c>
      <c r="AG10" s="4">
        <f t="shared" si="15"/>
        <v>548</v>
      </c>
      <c r="AH10" s="4">
        <f t="shared" si="3"/>
        <v>771.86382978723395</v>
      </c>
      <c r="AI10" s="6">
        <f t="shared" si="4"/>
        <v>0.57116788321167877</v>
      </c>
      <c r="AJ10" s="4">
        <f t="shared" si="16"/>
        <v>551.66666666666674</v>
      </c>
      <c r="AK10" s="7">
        <v>550</v>
      </c>
      <c r="AL10" s="6">
        <f t="shared" si="5"/>
        <v>0.39818181818181819</v>
      </c>
      <c r="AM10" s="4">
        <f t="shared" si="6"/>
        <v>219</v>
      </c>
      <c r="AN10" s="28"/>
      <c r="AO10" s="6"/>
      <c r="AP10" s="6"/>
      <c r="AQ10" s="6" t="e">
        <f t="shared" si="7"/>
        <v>#DIV/0!</v>
      </c>
      <c r="AR10" s="6">
        <f t="shared" si="8"/>
        <v>1.5988372093023255</v>
      </c>
      <c r="AS10" s="6">
        <f t="shared" si="9"/>
        <v>1.4085106382978723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146</v>
      </c>
      <c r="BE10" s="4"/>
      <c r="BF10" s="4"/>
      <c r="BG10" s="4" t="s">
        <v>145</v>
      </c>
      <c r="BH10" s="4">
        <v>548</v>
      </c>
      <c r="BI10" s="4">
        <v>548</v>
      </c>
      <c r="BJ10" s="4">
        <f t="shared" si="20"/>
        <v>548</v>
      </c>
      <c r="BK10" s="19">
        <v>4</v>
      </c>
      <c r="BL10" s="19">
        <v>1</v>
      </c>
      <c r="BM10" s="16">
        <v>18</v>
      </c>
      <c r="BN10" t="s">
        <v>114</v>
      </c>
      <c r="BO10" t="s">
        <v>114</v>
      </c>
      <c r="BP10" t="str">
        <f t="shared" si="17"/>
        <v>-</v>
      </c>
      <c r="BQ10" t="s">
        <v>114</v>
      </c>
      <c r="BR10" t="s">
        <v>114</v>
      </c>
      <c r="BS10" t="str">
        <f t="shared" si="18"/>
        <v>-</v>
      </c>
      <c r="BT10" t="s">
        <v>121</v>
      </c>
    </row>
    <row r="11" spans="1:72" x14ac:dyDescent="0.4">
      <c r="A11" s="3">
        <v>8</v>
      </c>
      <c r="B11" s="3">
        <v>8</v>
      </c>
      <c r="C11" s="4" t="s">
        <v>71</v>
      </c>
      <c r="D11" s="4" t="str">
        <f t="shared" si="11"/>
        <v>J429SD</v>
      </c>
      <c r="E11" s="4" t="s">
        <v>71</v>
      </c>
      <c r="F11" s="4" t="s">
        <v>96</v>
      </c>
      <c r="G11" s="5">
        <v>4580287293136</v>
      </c>
      <c r="H11" s="5"/>
      <c r="I11" s="5"/>
      <c r="J11" s="5">
        <v>1</v>
      </c>
      <c r="K11" s="5">
        <v>1</v>
      </c>
      <c r="L11" s="4">
        <v>0</v>
      </c>
      <c r="M11" s="4">
        <v>427</v>
      </c>
      <c r="N11" s="4">
        <v>315</v>
      </c>
      <c r="O11" s="6">
        <f t="shared" si="0"/>
        <v>0.26229508196721307</v>
      </c>
      <c r="P11" s="4" t="s">
        <v>115</v>
      </c>
      <c r="Q11" s="4"/>
      <c r="R11" s="4"/>
      <c r="S11" s="4"/>
      <c r="T11" s="4"/>
      <c r="U11" s="4"/>
      <c r="V11" s="4"/>
      <c r="W11" s="4"/>
      <c r="X11" s="4"/>
      <c r="Y11" s="4">
        <v>0</v>
      </c>
      <c r="Z11" s="4">
        <f t="shared" si="12"/>
        <v>0</v>
      </c>
      <c r="AA11" s="4">
        <v>447</v>
      </c>
      <c r="AB11" s="4">
        <f t="shared" si="13"/>
        <v>447</v>
      </c>
      <c r="AC11" s="4"/>
      <c r="AD11" s="21">
        <f t="shared" si="1"/>
        <v>606</v>
      </c>
      <c r="AE11" s="6">
        <f t="shared" si="19"/>
        <v>0.26237623762376239</v>
      </c>
      <c r="AF11" s="4">
        <v>9.75</v>
      </c>
      <c r="AG11" s="4">
        <f t="shared" si="15"/>
        <v>406.8</v>
      </c>
      <c r="AH11" s="4">
        <f t="shared" si="3"/>
        <v>577.26857142857148</v>
      </c>
      <c r="AI11" s="6">
        <f t="shared" si="4"/>
        <v>0.22566371681415931</v>
      </c>
      <c r="AJ11" s="4">
        <f t="shared" si="16"/>
        <v>745</v>
      </c>
      <c r="AK11" s="7">
        <v>640</v>
      </c>
      <c r="AL11" s="6">
        <f t="shared" si="5"/>
        <v>0.30156249999999996</v>
      </c>
      <c r="AM11" s="4">
        <f t="shared" si="6"/>
        <v>193</v>
      </c>
      <c r="AN11" s="28"/>
      <c r="AO11" s="6"/>
      <c r="AP11" s="6"/>
      <c r="AQ11" s="6" t="e">
        <f t="shared" si="7"/>
        <v>#DIV/0!</v>
      </c>
      <c r="AR11" s="6">
        <f t="shared" si="8"/>
        <v>1.4988290398126465</v>
      </c>
      <c r="AS11" s="6">
        <f t="shared" si="9"/>
        <v>1.4190476190476191</v>
      </c>
      <c r="AT11" s="4"/>
      <c r="AU11" s="4"/>
      <c r="AV11" s="4"/>
      <c r="AW11" s="4"/>
      <c r="AX11" s="4"/>
      <c r="AY11" s="4"/>
      <c r="AZ11" s="4"/>
      <c r="BA11" s="4"/>
      <c r="BB11" s="4"/>
      <c r="BC11" s="4">
        <v>0</v>
      </c>
      <c r="BD11" s="4" t="s">
        <v>147</v>
      </c>
      <c r="BE11" s="4">
        <v>1</v>
      </c>
      <c r="BF11" s="4">
        <v>30</v>
      </c>
      <c r="BG11" s="4" t="s">
        <v>148</v>
      </c>
      <c r="BH11" s="4">
        <v>12204</v>
      </c>
      <c r="BI11" s="4">
        <v>12204</v>
      </c>
      <c r="BJ11" s="4">
        <f t="shared" si="20"/>
        <v>406.8</v>
      </c>
      <c r="BK11" s="19">
        <v>4</v>
      </c>
      <c r="BL11" s="19">
        <v>1</v>
      </c>
      <c r="BM11" s="16">
        <v>18</v>
      </c>
      <c r="BN11">
        <v>405</v>
      </c>
      <c r="BO11" t="s">
        <v>114</v>
      </c>
      <c r="BP11" t="str">
        <f t="shared" si="17"/>
        <v>-</v>
      </c>
      <c r="BQ11" t="s">
        <v>114</v>
      </c>
      <c r="BR11" t="s">
        <v>114</v>
      </c>
      <c r="BS11" t="str">
        <f t="shared" si="18"/>
        <v>-</v>
      </c>
      <c r="BT11" t="s">
        <v>122</v>
      </c>
    </row>
    <row r="12" spans="1:72" x14ac:dyDescent="0.4">
      <c r="A12" s="3">
        <v>9</v>
      </c>
      <c r="B12" s="3">
        <v>9</v>
      </c>
      <c r="C12" s="4" t="s">
        <v>72</v>
      </c>
      <c r="D12" s="4" t="str">
        <f t="shared" si="11"/>
        <v>J6012Y</v>
      </c>
      <c r="E12" s="4" t="s">
        <v>72</v>
      </c>
      <c r="F12" s="4" t="s">
        <v>97</v>
      </c>
      <c r="G12" s="5">
        <v>4580287316576</v>
      </c>
      <c r="H12" s="5"/>
      <c r="I12" s="5"/>
      <c r="J12" s="5">
        <v>1</v>
      </c>
      <c r="K12" s="5">
        <v>1</v>
      </c>
      <c r="L12" s="4">
        <v>0</v>
      </c>
      <c r="M12" s="4">
        <v>154</v>
      </c>
      <c r="N12" s="4">
        <v>105</v>
      </c>
      <c r="O12" s="6">
        <f t="shared" si="0"/>
        <v>0.31818181818181823</v>
      </c>
      <c r="P12" s="4" t="s">
        <v>115</v>
      </c>
      <c r="Q12" s="4"/>
      <c r="R12" s="4"/>
      <c r="S12" s="4"/>
      <c r="T12" s="4"/>
      <c r="U12" s="4"/>
      <c r="V12" s="4"/>
      <c r="W12" s="4"/>
      <c r="X12" s="4"/>
      <c r="Y12" s="4">
        <v>0</v>
      </c>
      <c r="Z12" s="4">
        <f t="shared" si="12"/>
        <v>0</v>
      </c>
      <c r="AA12" s="4">
        <v>147</v>
      </c>
      <c r="AB12" s="4">
        <f t="shared" si="13"/>
        <v>147</v>
      </c>
      <c r="AC12" s="4"/>
      <c r="AD12" s="21">
        <f t="shared" si="1"/>
        <v>216</v>
      </c>
      <c r="AE12" s="6">
        <f t="shared" si="19"/>
        <v>0.31944444444444442</v>
      </c>
      <c r="AF12" s="4">
        <v>0.5</v>
      </c>
      <c r="AG12" s="4">
        <f t="shared" si="15"/>
        <v>211</v>
      </c>
      <c r="AH12" s="4">
        <f t="shared" si="3"/>
        <v>295.39999999999998</v>
      </c>
      <c r="AI12" s="6">
        <f t="shared" si="4"/>
        <v>0.50236966824644547</v>
      </c>
      <c r="AJ12" s="4">
        <f t="shared" si="16"/>
        <v>245</v>
      </c>
      <c r="AK12" s="7">
        <v>230</v>
      </c>
      <c r="AL12" s="6">
        <f t="shared" si="5"/>
        <v>0.36086956521739133</v>
      </c>
      <c r="AM12" s="4">
        <f t="shared" si="6"/>
        <v>83</v>
      </c>
      <c r="AN12" s="28"/>
      <c r="AO12" s="6"/>
      <c r="AP12" s="6"/>
      <c r="AQ12" s="6" t="e">
        <f t="shared" si="7"/>
        <v>#DIV/0!</v>
      </c>
      <c r="AR12" s="6">
        <f t="shared" si="8"/>
        <v>1.4935064935064934</v>
      </c>
      <c r="AS12" s="6">
        <f t="shared" si="9"/>
        <v>1.4</v>
      </c>
      <c r="AT12" s="4"/>
      <c r="AU12" s="4"/>
      <c r="AV12" s="4"/>
      <c r="AW12" s="4"/>
      <c r="AX12" s="4"/>
      <c r="AY12" s="4"/>
      <c r="AZ12" s="4"/>
      <c r="BA12" s="4"/>
      <c r="BB12" s="4"/>
      <c r="BC12" s="4">
        <v>0</v>
      </c>
      <c r="BD12" s="4" t="s">
        <v>149</v>
      </c>
      <c r="BE12" s="4"/>
      <c r="BF12" s="4"/>
      <c r="BG12" s="4" t="s">
        <v>150</v>
      </c>
      <c r="BH12" s="4">
        <v>157</v>
      </c>
      <c r="BI12" s="4">
        <v>211</v>
      </c>
      <c r="BJ12" s="4">
        <f t="shared" si="20"/>
        <v>211</v>
      </c>
      <c r="BK12" s="19">
        <v>4</v>
      </c>
      <c r="BL12" s="19">
        <v>1</v>
      </c>
      <c r="BM12" s="16">
        <v>18</v>
      </c>
      <c r="BN12" t="s">
        <v>114</v>
      </c>
      <c r="BO12" t="s">
        <v>114</v>
      </c>
      <c r="BP12" t="str">
        <f t="shared" si="17"/>
        <v>-</v>
      </c>
      <c r="BQ12" t="s">
        <v>114</v>
      </c>
      <c r="BR12" t="s">
        <v>114</v>
      </c>
      <c r="BS12" t="str">
        <f t="shared" si="18"/>
        <v>-</v>
      </c>
      <c r="BT12" t="s">
        <v>123</v>
      </c>
    </row>
    <row r="13" spans="1:72" x14ac:dyDescent="0.4">
      <c r="A13" s="3">
        <v>10</v>
      </c>
      <c r="B13" s="3">
        <v>10</v>
      </c>
      <c r="C13" s="4" t="s">
        <v>73</v>
      </c>
      <c r="D13" s="4" t="str">
        <f t="shared" si="11"/>
        <v>J6013Y</v>
      </c>
      <c r="E13" s="4" t="s">
        <v>73</v>
      </c>
      <c r="F13" s="4" t="s">
        <v>98</v>
      </c>
      <c r="G13" s="5">
        <v>4580287316583</v>
      </c>
      <c r="H13" s="5"/>
      <c r="I13" s="5"/>
      <c r="J13" s="5">
        <v>1</v>
      </c>
      <c r="K13" s="5">
        <v>1</v>
      </c>
      <c r="L13" s="4">
        <v>0</v>
      </c>
      <c r="M13" s="4">
        <v>184</v>
      </c>
      <c r="N13" s="4">
        <v>142</v>
      </c>
      <c r="O13" s="6">
        <f t="shared" si="0"/>
        <v>0.22826086956521741</v>
      </c>
      <c r="P13" s="4" t="s">
        <v>115</v>
      </c>
      <c r="Q13" s="4"/>
      <c r="R13" s="4"/>
      <c r="S13" s="4"/>
      <c r="T13" s="4"/>
      <c r="U13" s="4"/>
      <c r="V13" s="4"/>
      <c r="W13" s="4"/>
      <c r="X13" s="4"/>
      <c r="Y13" s="4">
        <v>0</v>
      </c>
      <c r="Z13" s="4">
        <f t="shared" si="12"/>
        <v>0</v>
      </c>
      <c r="AA13" s="4">
        <v>200</v>
      </c>
      <c r="AB13" s="4">
        <f t="shared" si="13"/>
        <v>200</v>
      </c>
      <c r="AC13" s="4"/>
      <c r="AD13" s="21">
        <f t="shared" si="1"/>
        <v>259</v>
      </c>
      <c r="AE13" s="6">
        <f t="shared" si="19"/>
        <v>0.22779922779922779</v>
      </c>
      <c r="AF13" s="4">
        <v>0.5</v>
      </c>
      <c r="AG13" s="4">
        <f t="shared" si="15"/>
        <v>277.0333333333333</v>
      </c>
      <c r="AH13" s="4">
        <f t="shared" si="3"/>
        <v>390.18779342722996</v>
      </c>
      <c r="AI13" s="6">
        <f t="shared" si="4"/>
        <v>0.48742630249067487</v>
      </c>
      <c r="AJ13" s="4">
        <f t="shared" si="16"/>
        <v>333.33333333333337</v>
      </c>
      <c r="AK13" s="7">
        <v>300</v>
      </c>
      <c r="AL13" s="6">
        <f t="shared" si="5"/>
        <v>0.33333333333333337</v>
      </c>
      <c r="AM13" s="4">
        <f t="shared" si="6"/>
        <v>100</v>
      </c>
      <c r="AN13" s="28"/>
      <c r="AO13" s="6"/>
      <c r="AP13" s="6"/>
      <c r="AQ13" s="6" t="e">
        <f t="shared" si="7"/>
        <v>#DIV/0!</v>
      </c>
      <c r="AR13" s="6">
        <f t="shared" si="8"/>
        <v>1.6304347826086956</v>
      </c>
      <c r="AS13" s="6">
        <f t="shared" si="9"/>
        <v>1.408450704225352</v>
      </c>
      <c r="AT13" s="4"/>
      <c r="AU13" s="4"/>
      <c r="AV13" s="4"/>
      <c r="AW13" s="4"/>
      <c r="AX13" s="4"/>
      <c r="AY13" s="4"/>
      <c r="AZ13" s="4"/>
      <c r="BA13" s="4"/>
      <c r="BB13" s="4"/>
      <c r="BC13" s="4">
        <v>0</v>
      </c>
      <c r="BD13" s="4" t="s">
        <v>151</v>
      </c>
      <c r="BE13" s="4">
        <v>1</v>
      </c>
      <c r="BF13" s="4">
        <v>60</v>
      </c>
      <c r="BG13" s="4" t="s">
        <v>152</v>
      </c>
      <c r="BH13" s="4">
        <v>11985</v>
      </c>
      <c r="BI13" s="4">
        <v>16622</v>
      </c>
      <c r="BJ13" s="4">
        <f t="shared" si="20"/>
        <v>277.0333333333333</v>
      </c>
      <c r="BK13" s="19">
        <v>4</v>
      </c>
      <c r="BL13" s="19">
        <v>1</v>
      </c>
      <c r="BM13" s="16">
        <v>18</v>
      </c>
      <c r="BN13" t="s">
        <v>114</v>
      </c>
      <c r="BO13" t="s">
        <v>114</v>
      </c>
      <c r="BP13" t="str">
        <f t="shared" si="17"/>
        <v>-</v>
      </c>
      <c r="BQ13" t="s">
        <v>114</v>
      </c>
      <c r="BR13" t="s">
        <v>114</v>
      </c>
      <c r="BS13" t="str">
        <f t="shared" si="18"/>
        <v>-</v>
      </c>
      <c r="BT13" t="s">
        <v>124</v>
      </c>
    </row>
    <row r="14" spans="1:72" x14ac:dyDescent="0.4">
      <c r="A14" s="3">
        <v>11</v>
      </c>
      <c r="B14" s="3">
        <v>11</v>
      </c>
      <c r="C14" s="4" t="s">
        <v>74</v>
      </c>
      <c r="D14" s="4" t="str">
        <f t="shared" ref="D14:D22" si="21">TEXT(C14,"000000")</f>
        <v>J6014Y</v>
      </c>
      <c r="E14" s="4" t="s">
        <v>74</v>
      </c>
      <c r="F14" s="4" t="s">
        <v>99</v>
      </c>
      <c r="G14" s="5">
        <v>4580287316590</v>
      </c>
      <c r="H14" s="5"/>
      <c r="I14" s="5"/>
      <c r="J14" s="5">
        <v>1</v>
      </c>
      <c r="K14" s="5">
        <v>1</v>
      </c>
      <c r="L14" s="4">
        <v>0</v>
      </c>
      <c r="M14" s="4">
        <v>213</v>
      </c>
      <c r="N14" s="4">
        <v>152</v>
      </c>
      <c r="O14" s="6">
        <f t="shared" ref="O14:O22" si="22">1-N14/M14</f>
        <v>0.28638497652582162</v>
      </c>
      <c r="P14" s="4" t="s">
        <v>115</v>
      </c>
      <c r="Q14" s="4"/>
      <c r="R14" s="4"/>
      <c r="S14" s="4"/>
      <c r="T14" s="4"/>
      <c r="U14" s="4"/>
      <c r="V14" s="4"/>
      <c r="W14" s="4"/>
      <c r="X14" s="4"/>
      <c r="Y14" s="4">
        <v>0</v>
      </c>
      <c r="Z14" s="4">
        <f t="shared" ref="Z14:Z22" si="23">IF(AC14="",Y14,Y14*AC14)</f>
        <v>0</v>
      </c>
      <c r="AA14" s="4">
        <v>220</v>
      </c>
      <c r="AB14" s="4">
        <f t="shared" ref="AB14:AB22" si="24">IF(AC14="",AA14,AA14*AC14)</f>
        <v>220</v>
      </c>
      <c r="AC14" s="4"/>
      <c r="AD14" s="21">
        <f t="shared" si="1"/>
        <v>308</v>
      </c>
      <c r="AE14" s="6">
        <f t="shared" ref="AE14:AE22" si="25">1-AB14/AD14</f>
        <v>0.2857142857142857</v>
      </c>
      <c r="AF14" s="4">
        <v>0.25</v>
      </c>
      <c r="AG14" s="4">
        <f t="shared" ref="AG14:AG22" si="26">BJ14</f>
        <v>307.40000000000003</v>
      </c>
      <c r="AH14" s="4">
        <f t="shared" si="3"/>
        <v>444.92105263157902</v>
      </c>
      <c r="AI14" s="6">
        <f t="shared" si="4"/>
        <v>0.50553025374105409</v>
      </c>
      <c r="AJ14" s="4">
        <f t="shared" si="16"/>
        <v>366.66666666666669</v>
      </c>
      <c r="AK14" s="7">
        <v>340</v>
      </c>
      <c r="AL14" s="6">
        <f t="shared" si="5"/>
        <v>0.3529411764705882</v>
      </c>
      <c r="AM14" s="4">
        <f t="shared" si="6"/>
        <v>120</v>
      </c>
      <c r="AN14" s="28"/>
      <c r="AO14" s="6"/>
      <c r="AP14" s="6"/>
      <c r="AQ14" s="6" t="e">
        <f t="shared" si="7"/>
        <v>#DIV/0!</v>
      </c>
      <c r="AR14" s="6">
        <f t="shared" si="8"/>
        <v>1.596244131455399</v>
      </c>
      <c r="AS14" s="6">
        <f t="shared" si="9"/>
        <v>1.4473684210526316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153</v>
      </c>
      <c r="BE14" s="4">
        <v>1</v>
      </c>
      <c r="BF14" s="4">
        <v>5</v>
      </c>
      <c r="BG14" s="4" t="s">
        <v>154</v>
      </c>
      <c r="BH14" s="4">
        <v>1083</v>
      </c>
      <c r="BI14" s="4">
        <v>1537</v>
      </c>
      <c r="BJ14" s="4">
        <f t="shared" ref="BJ14:BJ22" si="27">IF(BE14="",BI14,BE14/BF14*BI14)</f>
        <v>307.40000000000003</v>
      </c>
      <c r="BK14" s="19">
        <v>4</v>
      </c>
      <c r="BL14" s="19">
        <v>1</v>
      </c>
      <c r="BM14" s="16">
        <v>18</v>
      </c>
      <c r="BN14" t="s">
        <v>114</v>
      </c>
      <c r="BO14" t="s">
        <v>114</v>
      </c>
      <c r="BP14" t="str">
        <f t="shared" si="17"/>
        <v>-</v>
      </c>
      <c r="BQ14" t="s">
        <v>114</v>
      </c>
      <c r="BR14" t="s">
        <v>114</v>
      </c>
      <c r="BS14" t="str">
        <f t="shared" si="18"/>
        <v>-</v>
      </c>
      <c r="BT14" t="s">
        <v>125</v>
      </c>
    </row>
    <row r="15" spans="1:72" x14ac:dyDescent="0.4">
      <c r="A15" s="3">
        <v>12</v>
      </c>
      <c r="B15" s="3">
        <v>12</v>
      </c>
      <c r="C15" s="4" t="s">
        <v>75</v>
      </c>
      <c r="D15" s="4" t="str">
        <f t="shared" si="21"/>
        <v>J928MH</v>
      </c>
      <c r="E15" s="4" t="s">
        <v>75</v>
      </c>
      <c r="F15" s="4" t="s">
        <v>100</v>
      </c>
      <c r="G15" s="5">
        <v>4580287322447</v>
      </c>
      <c r="H15" s="5"/>
      <c r="I15" s="5"/>
      <c r="J15" s="5">
        <v>1</v>
      </c>
      <c r="K15" s="5">
        <v>1</v>
      </c>
      <c r="L15" s="4">
        <v>0</v>
      </c>
      <c r="M15" s="4">
        <v>147</v>
      </c>
      <c r="N15" s="4">
        <v>99</v>
      </c>
      <c r="O15" s="6">
        <f t="shared" si="22"/>
        <v>0.32653061224489799</v>
      </c>
      <c r="P15" s="4" t="s">
        <v>115</v>
      </c>
      <c r="Q15" s="4"/>
      <c r="R15" s="4"/>
      <c r="S15" s="4"/>
      <c r="T15" s="4"/>
      <c r="U15" s="4"/>
      <c r="V15" s="4"/>
      <c r="W15" s="4"/>
      <c r="X15" s="4"/>
      <c r="Y15" s="4">
        <v>0</v>
      </c>
      <c r="Z15" s="4">
        <f t="shared" si="23"/>
        <v>0</v>
      </c>
      <c r="AA15" s="4">
        <v>129</v>
      </c>
      <c r="AB15" s="4">
        <f t="shared" si="24"/>
        <v>129</v>
      </c>
      <c r="AC15" s="4"/>
      <c r="AD15" s="21">
        <f t="shared" si="1"/>
        <v>192</v>
      </c>
      <c r="AE15" s="6">
        <f t="shared" si="25"/>
        <v>0.328125</v>
      </c>
      <c r="AF15" s="4">
        <v>0.5</v>
      </c>
      <c r="AG15" s="4">
        <f t="shared" si="26"/>
        <v>228</v>
      </c>
      <c r="AH15" s="4">
        <f t="shared" si="3"/>
        <v>297.09090909090907</v>
      </c>
      <c r="AI15" s="6">
        <f t="shared" si="4"/>
        <v>0.56578947368421051</v>
      </c>
      <c r="AJ15" s="4">
        <f t="shared" si="16"/>
        <v>215</v>
      </c>
      <c r="AK15" s="7">
        <v>214</v>
      </c>
      <c r="AL15" s="6">
        <f t="shared" si="5"/>
        <v>0.39719626168224298</v>
      </c>
      <c r="AM15" s="4">
        <f t="shared" si="6"/>
        <v>85</v>
      </c>
      <c r="AN15" s="28"/>
      <c r="AO15" s="6"/>
      <c r="AP15" s="6"/>
      <c r="AQ15" s="6" t="e">
        <f t="shared" si="7"/>
        <v>#DIV/0!</v>
      </c>
      <c r="AR15" s="6">
        <f t="shared" si="8"/>
        <v>1.4557823129251701</v>
      </c>
      <c r="AS15" s="6">
        <f t="shared" si="9"/>
        <v>1.303030303030303</v>
      </c>
      <c r="AT15" s="4"/>
      <c r="AU15" s="4"/>
      <c r="AV15" s="4"/>
      <c r="AW15" s="4"/>
      <c r="AX15" s="4"/>
      <c r="AY15" s="4"/>
      <c r="AZ15" s="4"/>
      <c r="BA15" s="4"/>
      <c r="BB15" s="4"/>
      <c r="BC15" s="4">
        <v>0</v>
      </c>
      <c r="BD15" s="4" t="s">
        <v>155</v>
      </c>
      <c r="BE15" s="4"/>
      <c r="BF15" s="4"/>
      <c r="BG15" s="4" t="s">
        <v>156</v>
      </c>
      <c r="BH15" s="4">
        <v>228</v>
      </c>
      <c r="BI15" s="4">
        <v>228</v>
      </c>
      <c r="BJ15" s="4">
        <f t="shared" si="27"/>
        <v>228</v>
      </c>
      <c r="BK15" s="19">
        <v>4</v>
      </c>
      <c r="BL15" s="19">
        <v>8</v>
      </c>
      <c r="BM15" s="16">
        <v>18</v>
      </c>
      <c r="BN15" t="s">
        <v>114</v>
      </c>
      <c r="BO15" t="s">
        <v>114</v>
      </c>
      <c r="BP15" t="str">
        <f t="shared" si="17"/>
        <v>-</v>
      </c>
      <c r="BQ15">
        <v>12718</v>
      </c>
      <c r="BR15">
        <v>12718</v>
      </c>
      <c r="BS15">
        <f t="shared" si="18"/>
        <v>16571.939393939392</v>
      </c>
      <c r="BT15" t="s">
        <v>126</v>
      </c>
    </row>
    <row r="16" spans="1:72" x14ac:dyDescent="0.4">
      <c r="A16" s="3">
        <v>13</v>
      </c>
      <c r="B16" s="3">
        <v>13</v>
      </c>
      <c r="C16" s="4" t="s">
        <v>76</v>
      </c>
      <c r="D16" s="4" t="str">
        <f t="shared" si="21"/>
        <v>J119LN</v>
      </c>
      <c r="E16" s="4" t="s">
        <v>76</v>
      </c>
      <c r="F16" s="4" t="s">
        <v>101</v>
      </c>
      <c r="G16" s="5">
        <v>4580287322577</v>
      </c>
      <c r="H16" s="5"/>
      <c r="I16" s="5"/>
      <c r="J16" s="5">
        <v>1</v>
      </c>
      <c r="K16" s="5">
        <v>1</v>
      </c>
      <c r="L16" s="4">
        <v>0</v>
      </c>
      <c r="M16" s="4">
        <v>128</v>
      </c>
      <c r="N16" s="4">
        <v>88</v>
      </c>
      <c r="O16" s="6">
        <f t="shared" si="22"/>
        <v>0.3125</v>
      </c>
      <c r="P16" s="4" t="s">
        <v>115</v>
      </c>
      <c r="Q16" s="4"/>
      <c r="R16" s="4"/>
      <c r="S16" s="4"/>
      <c r="T16" s="4"/>
      <c r="U16" s="4"/>
      <c r="V16" s="4"/>
      <c r="W16" s="4"/>
      <c r="X16" s="4"/>
      <c r="Y16" s="4">
        <v>0</v>
      </c>
      <c r="Z16" s="4">
        <f t="shared" si="23"/>
        <v>0</v>
      </c>
      <c r="AA16" s="4">
        <v>126</v>
      </c>
      <c r="AB16" s="4">
        <f t="shared" si="24"/>
        <v>126</v>
      </c>
      <c r="AC16" s="4"/>
      <c r="AD16" s="21">
        <f t="shared" si="1"/>
        <v>183</v>
      </c>
      <c r="AE16" s="6">
        <f t="shared" si="25"/>
        <v>0.31147540983606559</v>
      </c>
      <c r="AF16" s="4">
        <v>1.5</v>
      </c>
      <c r="AG16" s="4">
        <f t="shared" si="26"/>
        <v>131.86666666666667</v>
      </c>
      <c r="AH16" s="4">
        <f t="shared" si="3"/>
        <v>188.80909090909094</v>
      </c>
      <c r="AI16" s="6">
        <f t="shared" si="4"/>
        <v>0.3326592517694642</v>
      </c>
      <c r="AJ16" s="4">
        <f t="shared" si="16"/>
        <v>210</v>
      </c>
      <c r="AK16" s="7">
        <v>188</v>
      </c>
      <c r="AL16" s="6">
        <f t="shared" si="5"/>
        <v>0.32978723404255317</v>
      </c>
      <c r="AM16" s="4">
        <f t="shared" si="6"/>
        <v>62</v>
      </c>
      <c r="AN16" s="28"/>
      <c r="AO16" s="6"/>
      <c r="AP16" s="6"/>
      <c r="AQ16" s="6" t="e">
        <f t="shared" si="7"/>
        <v>#DIV/0!</v>
      </c>
      <c r="AR16" s="6">
        <f t="shared" si="8"/>
        <v>1.46875</v>
      </c>
      <c r="AS16" s="6">
        <f t="shared" si="9"/>
        <v>1.4318181818181819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157</v>
      </c>
      <c r="BE16" s="4">
        <v>1</v>
      </c>
      <c r="BF16" s="4">
        <v>60</v>
      </c>
      <c r="BG16" s="4" t="s">
        <v>158</v>
      </c>
      <c r="BH16" s="4">
        <v>7912</v>
      </c>
      <c r="BI16" s="4">
        <v>7912</v>
      </c>
      <c r="BJ16" s="4">
        <f t="shared" si="27"/>
        <v>131.86666666666667</v>
      </c>
      <c r="BK16" s="19">
        <v>4</v>
      </c>
      <c r="BL16" s="19">
        <v>8</v>
      </c>
      <c r="BM16" s="16">
        <v>18</v>
      </c>
      <c r="BN16">
        <v>135</v>
      </c>
      <c r="BO16" t="s">
        <v>114</v>
      </c>
      <c r="BP16" t="str">
        <f t="shared" si="17"/>
        <v>-</v>
      </c>
      <c r="BQ16" t="s">
        <v>114</v>
      </c>
      <c r="BR16" t="s">
        <v>114</v>
      </c>
      <c r="BS16" t="str">
        <f t="shared" si="18"/>
        <v>-</v>
      </c>
      <c r="BT16" t="s">
        <v>127</v>
      </c>
    </row>
    <row r="17" spans="1:72" x14ac:dyDescent="0.4">
      <c r="A17" s="3">
        <v>14</v>
      </c>
      <c r="B17" s="3">
        <v>14</v>
      </c>
      <c r="C17" s="4" t="s">
        <v>77</v>
      </c>
      <c r="D17" s="4" t="str">
        <f t="shared" si="21"/>
        <v>J120LN</v>
      </c>
      <c r="E17" s="4" t="s">
        <v>77</v>
      </c>
      <c r="F17" s="4" t="s">
        <v>102</v>
      </c>
      <c r="G17" s="5">
        <v>4580287322591</v>
      </c>
      <c r="H17" s="5"/>
      <c r="I17" s="5"/>
      <c r="J17" s="5">
        <v>1</v>
      </c>
      <c r="K17" s="5">
        <v>1</v>
      </c>
      <c r="L17" s="4">
        <v>0</v>
      </c>
      <c r="M17" s="4">
        <v>127</v>
      </c>
      <c r="N17" s="4">
        <v>87</v>
      </c>
      <c r="O17" s="6">
        <f t="shared" si="22"/>
        <v>0.31496062992125984</v>
      </c>
      <c r="P17" s="4" t="s">
        <v>115</v>
      </c>
      <c r="Q17" s="4"/>
      <c r="R17" s="4"/>
      <c r="S17" s="4"/>
      <c r="T17" s="4"/>
      <c r="U17" s="4"/>
      <c r="V17" s="4"/>
      <c r="W17" s="4"/>
      <c r="X17" s="4"/>
      <c r="Y17" s="4">
        <v>0</v>
      </c>
      <c r="Z17" s="4">
        <f t="shared" si="23"/>
        <v>0</v>
      </c>
      <c r="AA17" s="4">
        <v>126</v>
      </c>
      <c r="AB17" s="4">
        <f t="shared" si="24"/>
        <v>126</v>
      </c>
      <c r="AC17" s="4"/>
      <c r="AD17" s="21">
        <f t="shared" si="1"/>
        <v>184</v>
      </c>
      <c r="AE17" s="6">
        <f t="shared" si="25"/>
        <v>0.31521739130434778</v>
      </c>
      <c r="AF17" s="4">
        <v>0.75</v>
      </c>
      <c r="AG17" s="4">
        <f t="shared" si="26"/>
        <v>198</v>
      </c>
      <c r="AH17" s="4">
        <f t="shared" si="3"/>
        <v>286.75862068965517</v>
      </c>
      <c r="AI17" s="6">
        <f t="shared" si="4"/>
        <v>0.56060606060606055</v>
      </c>
      <c r="AJ17" s="4">
        <f t="shared" si="16"/>
        <v>210</v>
      </c>
      <c r="AK17" s="7">
        <v>208</v>
      </c>
      <c r="AL17" s="6">
        <f t="shared" si="5"/>
        <v>0.39423076923076927</v>
      </c>
      <c r="AM17" s="4">
        <f t="shared" si="6"/>
        <v>82</v>
      </c>
      <c r="AN17" s="28"/>
      <c r="AO17" s="6"/>
      <c r="AP17" s="6"/>
      <c r="AQ17" s="6" t="e">
        <f t="shared" si="7"/>
        <v>#DIV/0!</v>
      </c>
      <c r="AR17" s="6">
        <f t="shared" si="8"/>
        <v>1.6377952755905512</v>
      </c>
      <c r="AS17" s="6">
        <f t="shared" si="9"/>
        <v>1.4482758620689655</v>
      </c>
      <c r="AT17" s="4"/>
      <c r="AU17" s="4"/>
      <c r="AV17" s="4"/>
      <c r="AW17" s="4"/>
      <c r="AX17" s="4"/>
      <c r="AY17" s="4"/>
      <c r="AZ17" s="4"/>
      <c r="BA17" s="4"/>
      <c r="BB17" s="4"/>
      <c r="BC17" s="4">
        <v>0</v>
      </c>
      <c r="BD17" s="4" t="s">
        <v>159</v>
      </c>
      <c r="BE17" s="4"/>
      <c r="BF17" s="4"/>
      <c r="BG17" s="4" t="s">
        <v>160</v>
      </c>
      <c r="BH17" s="4">
        <v>198</v>
      </c>
      <c r="BI17" s="4">
        <v>198</v>
      </c>
      <c r="BJ17" s="4">
        <f t="shared" si="27"/>
        <v>198</v>
      </c>
      <c r="BK17" s="19">
        <v>4</v>
      </c>
      <c r="BL17" s="19">
        <v>8</v>
      </c>
      <c r="BM17" s="16">
        <v>18</v>
      </c>
      <c r="BN17" t="s">
        <v>114</v>
      </c>
      <c r="BO17" t="s">
        <v>114</v>
      </c>
      <c r="BP17" t="str">
        <f t="shared" si="17"/>
        <v>-</v>
      </c>
      <c r="BQ17">
        <v>158</v>
      </c>
      <c r="BR17">
        <v>158</v>
      </c>
      <c r="BS17">
        <f t="shared" si="18"/>
        <v>228.82758620689654</v>
      </c>
      <c r="BT17" t="s">
        <v>128</v>
      </c>
    </row>
    <row r="18" spans="1:72" x14ac:dyDescent="0.4">
      <c r="A18" s="3">
        <v>15</v>
      </c>
      <c r="B18" s="3">
        <v>15</v>
      </c>
      <c r="C18" s="4" t="s">
        <v>78</v>
      </c>
      <c r="D18" s="4" t="str">
        <f t="shared" si="21"/>
        <v>J121LN</v>
      </c>
      <c r="E18" s="4" t="s">
        <v>78</v>
      </c>
      <c r="F18" s="4" t="s">
        <v>103</v>
      </c>
      <c r="G18" s="5">
        <v>4580287322607</v>
      </c>
      <c r="H18" s="5"/>
      <c r="I18" s="5"/>
      <c r="J18" s="5">
        <v>1</v>
      </c>
      <c r="K18" s="5">
        <v>1</v>
      </c>
      <c r="L18" s="4">
        <v>0</v>
      </c>
      <c r="M18" s="4">
        <v>108</v>
      </c>
      <c r="N18" s="4">
        <v>74</v>
      </c>
      <c r="O18" s="6">
        <f t="shared" si="22"/>
        <v>0.31481481481481477</v>
      </c>
      <c r="P18" s="4" t="s">
        <v>115</v>
      </c>
      <c r="Q18" s="4"/>
      <c r="R18" s="4"/>
      <c r="S18" s="4"/>
      <c r="T18" s="4"/>
      <c r="U18" s="4"/>
      <c r="V18" s="4"/>
      <c r="W18" s="4"/>
      <c r="X18" s="4"/>
      <c r="Y18" s="4">
        <v>0</v>
      </c>
      <c r="Z18" s="4">
        <f t="shared" si="23"/>
        <v>0</v>
      </c>
      <c r="AA18" s="4">
        <v>100</v>
      </c>
      <c r="AB18" s="4">
        <f t="shared" si="24"/>
        <v>100</v>
      </c>
      <c r="AC18" s="4"/>
      <c r="AD18" s="21">
        <f t="shared" si="1"/>
        <v>146</v>
      </c>
      <c r="AE18" s="6">
        <f t="shared" si="25"/>
        <v>0.31506849315068497</v>
      </c>
      <c r="AF18" s="4">
        <v>3.25</v>
      </c>
      <c r="AG18" s="4">
        <f t="shared" si="26"/>
        <v>121.85000000000001</v>
      </c>
      <c r="AH18" s="4">
        <f t="shared" si="3"/>
        <v>164.66216216216216</v>
      </c>
      <c r="AI18" s="6">
        <f t="shared" si="4"/>
        <v>0.39269593762823141</v>
      </c>
      <c r="AJ18" s="4">
        <f t="shared" si="16"/>
        <v>166.66666666666669</v>
      </c>
      <c r="AK18" s="7">
        <v>164</v>
      </c>
      <c r="AL18" s="6">
        <f t="shared" si="5"/>
        <v>0.3902439024390244</v>
      </c>
      <c r="AM18" s="4">
        <f t="shared" si="6"/>
        <v>64</v>
      </c>
      <c r="AN18" s="28"/>
      <c r="AO18" s="6"/>
      <c r="AP18" s="6"/>
      <c r="AQ18" s="6" t="e">
        <f t="shared" si="7"/>
        <v>#DIV/0!</v>
      </c>
      <c r="AR18" s="6">
        <f t="shared" si="8"/>
        <v>1.5185185185185186</v>
      </c>
      <c r="AS18" s="6">
        <f t="shared" si="9"/>
        <v>1.3513513513513513</v>
      </c>
      <c r="AT18" s="4"/>
      <c r="AU18" s="4"/>
      <c r="AV18" s="4"/>
      <c r="AW18" s="4"/>
      <c r="AX18" s="4"/>
      <c r="AY18" s="4"/>
      <c r="AZ18" s="4"/>
      <c r="BA18" s="4"/>
      <c r="BB18" s="4"/>
      <c r="BC18" s="4">
        <v>0</v>
      </c>
      <c r="BD18" s="4" t="s">
        <v>161</v>
      </c>
      <c r="BE18" s="4">
        <v>1</v>
      </c>
      <c r="BF18" s="4">
        <v>80</v>
      </c>
      <c r="BG18" s="4" t="s">
        <v>162</v>
      </c>
      <c r="BH18" s="4">
        <v>9748</v>
      </c>
      <c r="BI18" s="4">
        <v>9748</v>
      </c>
      <c r="BJ18" s="4">
        <f t="shared" si="27"/>
        <v>121.85000000000001</v>
      </c>
      <c r="BK18" s="19">
        <v>4</v>
      </c>
      <c r="BL18" s="19">
        <v>8</v>
      </c>
      <c r="BM18" s="16">
        <v>18</v>
      </c>
      <c r="BN18" t="s">
        <v>114</v>
      </c>
      <c r="BO18" t="s">
        <v>114</v>
      </c>
      <c r="BP18" t="str">
        <f t="shared" si="17"/>
        <v>-</v>
      </c>
      <c r="BQ18">
        <v>136</v>
      </c>
      <c r="BR18">
        <v>136</v>
      </c>
      <c r="BS18">
        <f t="shared" si="18"/>
        <v>183.78378378378378</v>
      </c>
      <c r="BT18" t="s">
        <v>129</v>
      </c>
    </row>
    <row r="19" spans="1:72" x14ac:dyDescent="0.4">
      <c r="A19" s="3">
        <v>16</v>
      </c>
      <c r="B19" s="3">
        <v>16</v>
      </c>
      <c r="C19" s="4" t="s">
        <v>79</v>
      </c>
      <c r="D19" s="4" t="str">
        <f t="shared" si="21"/>
        <v>J353SD</v>
      </c>
      <c r="E19" s="4" t="s">
        <v>79</v>
      </c>
      <c r="F19" s="4" t="s">
        <v>104</v>
      </c>
      <c r="G19" s="5">
        <v>4580287322904</v>
      </c>
      <c r="H19" s="5"/>
      <c r="I19" s="5"/>
      <c r="J19" s="5">
        <v>1</v>
      </c>
      <c r="K19" s="5">
        <v>1</v>
      </c>
      <c r="L19" s="4">
        <v>0</v>
      </c>
      <c r="M19" s="4">
        <v>336</v>
      </c>
      <c r="N19" s="4">
        <v>231</v>
      </c>
      <c r="O19" s="6">
        <f t="shared" si="22"/>
        <v>0.3125</v>
      </c>
      <c r="P19" s="4" t="s">
        <v>115</v>
      </c>
      <c r="Q19" s="4"/>
      <c r="R19" s="4"/>
      <c r="S19" s="4"/>
      <c r="T19" s="4"/>
      <c r="U19" s="4"/>
      <c r="V19" s="4"/>
      <c r="W19" s="4"/>
      <c r="X19" s="4"/>
      <c r="Y19" s="4">
        <v>0</v>
      </c>
      <c r="Z19" s="4">
        <f t="shared" si="23"/>
        <v>0</v>
      </c>
      <c r="AA19" s="4">
        <v>321</v>
      </c>
      <c r="AB19" s="4">
        <f t="shared" si="24"/>
        <v>321</v>
      </c>
      <c r="AC19" s="4"/>
      <c r="AD19" s="21">
        <f t="shared" si="1"/>
        <v>467</v>
      </c>
      <c r="AE19" s="6">
        <f t="shared" si="25"/>
        <v>0.31263383297644542</v>
      </c>
      <c r="AF19" s="4">
        <v>8.5</v>
      </c>
      <c r="AG19" s="4" t="str">
        <f t="shared" si="26"/>
        <v>-</v>
      </c>
      <c r="AH19" s="4" t="e">
        <f t="shared" si="3"/>
        <v>#VALUE!</v>
      </c>
      <c r="AI19" s="6" t="e">
        <f t="shared" si="4"/>
        <v>#VALUE!</v>
      </c>
      <c r="AJ19" s="4">
        <f>AB19/0.6</f>
        <v>535</v>
      </c>
      <c r="AK19" s="7">
        <v>530</v>
      </c>
      <c r="AL19" s="6">
        <f t="shared" si="5"/>
        <v>0.39433962264150946</v>
      </c>
      <c r="AM19" s="4">
        <f t="shared" si="6"/>
        <v>209</v>
      </c>
      <c r="AN19" s="28"/>
      <c r="AO19" s="6"/>
      <c r="AP19" s="6"/>
      <c r="AQ19" s="6" t="e">
        <f t="shared" si="7"/>
        <v>#DIV/0!</v>
      </c>
      <c r="AR19" s="6">
        <f t="shared" si="8"/>
        <v>1.5773809523809523</v>
      </c>
      <c r="AS19" s="6">
        <f t="shared" si="9"/>
        <v>1.3896103896103895</v>
      </c>
      <c r="AT19" s="4"/>
      <c r="AU19" s="4"/>
      <c r="AV19" s="4"/>
      <c r="AW19" s="4"/>
      <c r="AX19" s="4"/>
      <c r="AY19" s="4"/>
      <c r="AZ19" s="4"/>
      <c r="BA19" s="4"/>
      <c r="BB19" s="4"/>
      <c r="BC19" s="4">
        <v>0</v>
      </c>
      <c r="BD19" s="4" t="s">
        <v>114</v>
      </c>
      <c r="BE19" s="4"/>
      <c r="BF19" s="4"/>
      <c r="BG19" s="4" t="s">
        <v>114</v>
      </c>
      <c r="BH19" s="4" t="s">
        <v>114</v>
      </c>
      <c r="BI19" s="4" t="s">
        <v>114</v>
      </c>
      <c r="BJ19" s="4" t="str">
        <f t="shared" si="27"/>
        <v>-</v>
      </c>
      <c r="BK19" s="19">
        <v>4</v>
      </c>
      <c r="BL19" s="19">
        <v>1</v>
      </c>
      <c r="BM19" s="16">
        <v>18</v>
      </c>
      <c r="BN19" t="s">
        <v>114</v>
      </c>
      <c r="BO19" t="s">
        <v>114</v>
      </c>
      <c r="BP19" t="str">
        <f t="shared" si="17"/>
        <v>-</v>
      </c>
      <c r="BQ19" t="s">
        <v>114</v>
      </c>
      <c r="BR19" t="s">
        <v>114</v>
      </c>
      <c r="BS19" t="str">
        <f t="shared" si="18"/>
        <v>-</v>
      </c>
      <c r="BT19" t="s">
        <v>114</v>
      </c>
    </row>
    <row r="20" spans="1:72" x14ac:dyDescent="0.4">
      <c r="A20" s="3">
        <v>17</v>
      </c>
      <c r="B20" s="3">
        <v>17</v>
      </c>
      <c r="C20" s="4" t="s">
        <v>80</v>
      </c>
      <c r="D20" s="4" t="str">
        <f t="shared" si="21"/>
        <v>J2263S</v>
      </c>
      <c r="E20" s="4" t="s">
        <v>80</v>
      </c>
      <c r="F20" s="4" t="s">
        <v>105</v>
      </c>
      <c r="G20" s="5">
        <v>4580287322959</v>
      </c>
      <c r="H20" s="5"/>
      <c r="I20" s="5"/>
      <c r="J20" s="5">
        <v>1</v>
      </c>
      <c r="K20" s="5">
        <v>1</v>
      </c>
      <c r="L20" s="4">
        <v>0</v>
      </c>
      <c r="M20" s="4">
        <v>112</v>
      </c>
      <c r="N20" s="4">
        <v>60</v>
      </c>
      <c r="O20" s="6">
        <f t="shared" si="22"/>
        <v>0.4642857142857143</v>
      </c>
      <c r="P20" s="4" t="s">
        <v>115</v>
      </c>
      <c r="Q20" s="4"/>
      <c r="R20" s="4"/>
      <c r="S20" s="4"/>
      <c r="T20" s="4"/>
      <c r="U20" s="4"/>
      <c r="V20" s="4"/>
      <c r="W20" s="4"/>
      <c r="X20" s="4"/>
      <c r="Y20" s="4">
        <v>0</v>
      </c>
      <c r="Z20" s="4">
        <f t="shared" si="23"/>
        <v>0</v>
      </c>
      <c r="AA20" s="4">
        <v>65</v>
      </c>
      <c r="AB20" s="4">
        <f t="shared" si="24"/>
        <v>65</v>
      </c>
      <c r="AC20" s="4"/>
      <c r="AD20" s="21">
        <f t="shared" si="1"/>
        <v>121</v>
      </c>
      <c r="AE20" s="6">
        <f t="shared" si="25"/>
        <v>0.46280991735537191</v>
      </c>
      <c r="AF20" s="4">
        <v>2.25</v>
      </c>
      <c r="AG20" s="4">
        <f t="shared" si="26"/>
        <v>128</v>
      </c>
      <c r="AH20" s="4">
        <f t="shared" si="3"/>
        <v>138.66666666666666</v>
      </c>
      <c r="AI20" s="6">
        <f t="shared" si="4"/>
        <v>0.53125</v>
      </c>
      <c r="AJ20" s="4">
        <f t="shared" si="16"/>
        <v>108.33333333333334</v>
      </c>
      <c r="AK20" s="7">
        <v>118</v>
      </c>
      <c r="AL20" s="6">
        <f t="shared" si="5"/>
        <v>0.44915254237288138</v>
      </c>
      <c r="AM20" s="4">
        <f t="shared" si="6"/>
        <v>53</v>
      </c>
      <c r="AN20" s="28"/>
      <c r="AO20" s="6"/>
      <c r="AP20" s="6"/>
      <c r="AQ20" s="6" t="e">
        <f t="shared" si="7"/>
        <v>#DIV/0!</v>
      </c>
      <c r="AR20" s="6">
        <f t="shared" si="8"/>
        <v>1.0535714285714286</v>
      </c>
      <c r="AS20" s="6">
        <f t="shared" si="9"/>
        <v>1.0833333333333333</v>
      </c>
      <c r="AT20" s="4"/>
      <c r="AU20" s="4"/>
      <c r="AV20" s="4"/>
      <c r="AW20" s="4"/>
      <c r="AX20" s="4"/>
      <c r="AY20" s="4"/>
      <c r="AZ20" s="4"/>
      <c r="BA20" s="4"/>
      <c r="BB20" s="4"/>
      <c r="BC20" s="4">
        <v>0</v>
      </c>
      <c r="BD20" s="4" t="s">
        <v>163</v>
      </c>
      <c r="BE20" s="4"/>
      <c r="BF20" s="4"/>
      <c r="BG20" s="4" t="s">
        <v>164</v>
      </c>
      <c r="BH20" s="4">
        <v>128</v>
      </c>
      <c r="BI20" s="4">
        <v>128</v>
      </c>
      <c r="BJ20" s="4">
        <f t="shared" si="27"/>
        <v>128</v>
      </c>
      <c r="BK20" s="19">
        <v>4</v>
      </c>
      <c r="BL20" s="19">
        <v>1</v>
      </c>
      <c r="BM20" s="16">
        <v>18</v>
      </c>
      <c r="BN20" t="s">
        <v>114</v>
      </c>
      <c r="BO20" t="s">
        <v>114</v>
      </c>
      <c r="BP20" t="str">
        <f t="shared" si="17"/>
        <v>-</v>
      </c>
      <c r="BQ20" t="s">
        <v>114</v>
      </c>
      <c r="BR20" t="s">
        <v>114</v>
      </c>
      <c r="BS20" t="str">
        <f t="shared" si="18"/>
        <v>-</v>
      </c>
      <c r="BT20" t="s">
        <v>130</v>
      </c>
    </row>
    <row r="21" spans="1:72" x14ac:dyDescent="0.4">
      <c r="A21" s="3">
        <v>18</v>
      </c>
      <c r="B21" s="3">
        <v>18</v>
      </c>
      <c r="C21" s="4" t="s">
        <v>81</v>
      </c>
      <c r="D21" s="4" t="str">
        <f t="shared" si="21"/>
        <v>J2264S</v>
      </c>
      <c r="E21" s="4" t="s">
        <v>81</v>
      </c>
      <c r="F21" s="4" t="s">
        <v>106</v>
      </c>
      <c r="G21" s="5">
        <v>4580287322966</v>
      </c>
      <c r="H21" s="5"/>
      <c r="I21" s="5"/>
      <c r="J21" s="5">
        <v>1</v>
      </c>
      <c r="K21" s="5">
        <v>1</v>
      </c>
      <c r="L21" s="4">
        <v>0</v>
      </c>
      <c r="M21" s="4">
        <v>115</v>
      </c>
      <c r="N21" s="4">
        <v>60</v>
      </c>
      <c r="O21" s="6">
        <f t="shared" si="22"/>
        <v>0.47826086956521741</v>
      </c>
      <c r="P21" s="4" t="s">
        <v>115</v>
      </c>
      <c r="Q21" s="4"/>
      <c r="R21" s="4"/>
      <c r="S21" s="4"/>
      <c r="T21" s="4"/>
      <c r="U21" s="4"/>
      <c r="V21" s="4"/>
      <c r="W21" s="4"/>
      <c r="X21" s="4"/>
      <c r="Y21" s="4">
        <v>0</v>
      </c>
      <c r="Z21" s="4">
        <f t="shared" si="23"/>
        <v>0</v>
      </c>
      <c r="AA21" s="4">
        <v>65</v>
      </c>
      <c r="AB21" s="4">
        <f t="shared" si="24"/>
        <v>65</v>
      </c>
      <c r="AC21" s="4"/>
      <c r="AD21" s="21">
        <f t="shared" si="1"/>
        <v>125</v>
      </c>
      <c r="AE21" s="6">
        <f t="shared" si="25"/>
        <v>0.48</v>
      </c>
      <c r="AF21" s="4">
        <v>1.25</v>
      </c>
      <c r="AG21" s="4">
        <f t="shared" si="26"/>
        <v>128</v>
      </c>
      <c r="AH21" s="4">
        <f t="shared" si="3"/>
        <v>138.66666666666666</v>
      </c>
      <c r="AI21" s="6">
        <f t="shared" si="4"/>
        <v>0.53125</v>
      </c>
      <c r="AJ21" s="4">
        <f t="shared" si="16"/>
        <v>108.33333333333334</v>
      </c>
      <c r="AK21" s="7">
        <v>118</v>
      </c>
      <c r="AL21" s="6">
        <f t="shared" si="5"/>
        <v>0.44915254237288138</v>
      </c>
      <c r="AM21" s="4">
        <f t="shared" si="6"/>
        <v>53</v>
      </c>
      <c r="AN21" s="28"/>
      <c r="AO21" s="6"/>
      <c r="AP21" s="6"/>
      <c r="AQ21" s="6" t="e">
        <f t="shared" si="7"/>
        <v>#DIV/0!</v>
      </c>
      <c r="AR21" s="6">
        <f t="shared" si="8"/>
        <v>1.0260869565217392</v>
      </c>
      <c r="AS21" s="6">
        <f t="shared" si="9"/>
        <v>1.0833333333333333</v>
      </c>
      <c r="AT21" s="4"/>
      <c r="AU21" s="4"/>
      <c r="AV21" s="4"/>
      <c r="AW21" s="4"/>
      <c r="AX21" s="4"/>
      <c r="AY21" s="4"/>
      <c r="AZ21" s="4"/>
      <c r="BA21" s="4"/>
      <c r="BB21" s="4"/>
      <c r="BC21" s="4">
        <v>0</v>
      </c>
      <c r="BD21" s="4" t="s">
        <v>165</v>
      </c>
      <c r="BE21" s="4"/>
      <c r="BF21" s="4"/>
      <c r="BG21" s="4" t="s">
        <v>166</v>
      </c>
      <c r="BH21" s="4">
        <v>128</v>
      </c>
      <c r="BI21" s="4">
        <v>128</v>
      </c>
      <c r="BJ21" s="4">
        <f t="shared" si="27"/>
        <v>128</v>
      </c>
      <c r="BK21" s="19">
        <v>4</v>
      </c>
      <c r="BL21" s="19">
        <v>8</v>
      </c>
      <c r="BM21" s="16">
        <v>18</v>
      </c>
      <c r="BN21" t="s">
        <v>114</v>
      </c>
      <c r="BO21" t="s">
        <v>114</v>
      </c>
      <c r="BP21" t="str">
        <f t="shared" si="17"/>
        <v>-</v>
      </c>
      <c r="BQ21" t="s">
        <v>114</v>
      </c>
      <c r="BR21" t="s">
        <v>114</v>
      </c>
      <c r="BS21" t="str">
        <f t="shared" si="18"/>
        <v>-</v>
      </c>
      <c r="BT21" t="s">
        <v>131</v>
      </c>
    </row>
    <row r="22" spans="1:72" x14ac:dyDescent="0.4">
      <c r="A22" s="3">
        <v>19</v>
      </c>
      <c r="B22" s="3">
        <v>19</v>
      </c>
      <c r="C22" s="4" t="s">
        <v>82</v>
      </c>
      <c r="D22" s="4" t="str">
        <f t="shared" si="21"/>
        <v>J8501Y</v>
      </c>
      <c r="E22" s="4" t="s">
        <v>82</v>
      </c>
      <c r="F22" s="4" t="s">
        <v>107</v>
      </c>
      <c r="G22" s="5">
        <v>4580287322973</v>
      </c>
      <c r="H22" s="5"/>
      <c r="I22" s="5"/>
      <c r="J22" s="5">
        <v>1</v>
      </c>
      <c r="K22" s="5">
        <v>1</v>
      </c>
      <c r="L22" s="4">
        <v>0</v>
      </c>
      <c r="M22" s="4">
        <v>95</v>
      </c>
      <c r="N22" s="4">
        <v>60</v>
      </c>
      <c r="O22" s="6">
        <f t="shared" si="22"/>
        <v>0.36842105263157898</v>
      </c>
      <c r="P22" s="4" t="s">
        <v>115</v>
      </c>
      <c r="Q22" s="4"/>
      <c r="R22" s="4"/>
      <c r="S22" s="4"/>
      <c r="T22" s="4"/>
      <c r="U22" s="4"/>
      <c r="V22" s="4"/>
      <c r="W22" s="4"/>
      <c r="X22" s="4"/>
      <c r="Y22" s="4">
        <v>0</v>
      </c>
      <c r="Z22" s="4">
        <f t="shared" si="23"/>
        <v>0</v>
      </c>
      <c r="AA22" s="4">
        <v>65</v>
      </c>
      <c r="AB22" s="4">
        <f t="shared" si="24"/>
        <v>65</v>
      </c>
      <c r="AC22" s="4"/>
      <c r="AD22" s="21">
        <f t="shared" si="1"/>
        <v>103</v>
      </c>
      <c r="AE22" s="6">
        <f t="shared" si="25"/>
        <v>0.3689320388349514</v>
      </c>
      <c r="AF22" s="4">
        <v>0.5</v>
      </c>
      <c r="AG22" s="4">
        <f t="shared" si="26"/>
        <v>128</v>
      </c>
      <c r="AH22" s="4">
        <f t="shared" si="3"/>
        <v>138.66666666666666</v>
      </c>
      <c r="AI22" s="6">
        <f t="shared" si="4"/>
        <v>0.53125</v>
      </c>
      <c r="AJ22" s="4">
        <f t="shared" si="16"/>
        <v>108.33333333333334</v>
      </c>
      <c r="AK22" s="7">
        <v>118</v>
      </c>
      <c r="AL22" s="6">
        <f t="shared" si="5"/>
        <v>0.44915254237288138</v>
      </c>
      <c r="AM22" s="4">
        <f t="shared" si="6"/>
        <v>53</v>
      </c>
      <c r="AN22" s="28"/>
      <c r="AO22" s="6"/>
      <c r="AP22" s="6"/>
      <c r="AQ22" s="6" t="e">
        <f t="shared" si="7"/>
        <v>#DIV/0!</v>
      </c>
      <c r="AR22" s="6">
        <f t="shared" si="8"/>
        <v>1.2421052631578948</v>
      </c>
      <c r="AS22" s="6">
        <f t="shared" si="9"/>
        <v>1.0833333333333333</v>
      </c>
      <c r="AT22" s="4"/>
      <c r="AU22" s="4"/>
      <c r="AV22" s="4"/>
      <c r="AW22" s="4"/>
      <c r="AX22" s="4"/>
      <c r="AY22" s="4"/>
      <c r="AZ22" s="4"/>
      <c r="BA22" s="4"/>
      <c r="BB22" s="4"/>
      <c r="BC22" s="4">
        <v>0</v>
      </c>
      <c r="BD22" s="4" t="s">
        <v>167</v>
      </c>
      <c r="BE22" s="4"/>
      <c r="BF22" s="4"/>
      <c r="BG22" s="4" t="s">
        <v>168</v>
      </c>
      <c r="BH22" s="4">
        <v>128</v>
      </c>
      <c r="BI22" s="4">
        <v>128</v>
      </c>
      <c r="BJ22" s="4">
        <f t="shared" si="27"/>
        <v>128</v>
      </c>
      <c r="BK22" s="19">
        <v>4</v>
      </c>
      <c r="BL22" s="19">
        <v>8</v>
      </c>
      <c r="BM22" s="16">
        <v>18</v>
      </c>
      <c r="BN22" t="s">
        <v>114</v>
      </c>
      <c r="BO22" t="s">
        <v>114</v>
      </c>
      <c r="BP22" t="str">
        <f t="shared" si="17"/>
        <v>-</v>
      </c>
      <c r="BQ22" t="s">
        <v>114</v>
      </c>
      <c r="BR22" t="s">
        <v>114</v>
      </c>
      <c r="BS22" t="str">
        <f t="shared" si="18"/>
        <v>-</v>
      </c>
      <c r="BT22" t="s">
        <v>132</v>
      </c>
    </row>
    <row r="23" spans="1:72" x14ac:dyDescent="0.4">
      <c r="A23" s="3">
        <v>20</v>
      </c>
      <c r="B23" s="3">
        <v>20</v>
      </c>
      <c r="C23" s="4" t="s">
        <v>83</v>
      </c>
      <c r="D23" s="4" t="str">
        <f t="shared" ref="D23:D28" si="28">TEXT(C23,"000000")</f>
        <v>J2265S</v>
      </c>
      <c r="E23" s="4" t="s">
        <v>83</v>
      </c>
      <c r="F23" s="4" t="s">
        <v>108</v>
      </c>
      <c r="G23" s="5">
        <v>4580287322980</v>
      </c>
      <c r="H23" s="5"/>
      <c r="I23" s="5"/>
      <c r="J23" s="5">
        <v>1</v>
      </c>
      <c r="K23" s="5">
        <v>1</v>
      </c>
      <c r="L23" s="4">
        <v>0</v>
      </c>
      <c r="M23" s="4">
        <v>89</v>
      </c>
      <c r="N23" s="4">
        <v>60</v>
      </c>
      <c r="O23" s="6">
        <f t="shared" ref="O23:O28" si="29">1-N23/M23</f>
        <v>0.3258426966292135</v>
      </c>
      <c r="P23" s="4" t="s">
        <v>115</v>
      </c>
      <c r="Q23" s="4"/>
      <c r="R23" s="4"/>
      <c r="S23" s="4"/>
      <c r="T23" s="4"/>
      <c r="U23" s="4"/>
      <c r="V23" s="4"/>
      <c r="W23" s="4"/>
      <c r="X23" s="4"/>
      <c r="Y23" s="4">
        <v>0</v>
      </c>
      <c r="Z23" s="4">
        <f t="shared" ref="Z23:Z28" si="30">IF(AC23="",Y23,Y23*AC23)</f>
        <v>0</v>
      </c>
      <c r="AA23" s="4">
        <v>65</v>
      </c>
      <c r="AB23" s="4">
        <f t="shared" ref="AB23:AB28" si="31">IF(AC23="",AA23,AA23*AC23)</f>
        <v>65</v>
      </c>
      <c r="AC23" s="4"/>
      <c r="AD23" s="21">
        <f t="shared" ref="AD23:AD28" si="32">ROUND(M23*AS23,0)</f>
        <v>96</v>
      </c>
      <c r="AE23" s="6">
        <f t="shared" ref="AE23:AE28" si="33">1-AB23/AD23</f>
        <v>0.32291666666666663</v>
      </c>
      <c r="AF23" s="4">
        <v>1</v>
      </c>
      <c r="AG23" s="4">
        <f t="shared" ref="AG23:AG28" si="34">BJ23</f>
        <v>128</v>
      </c>
      <c r="AH23" s="4">
        <f t="shared" ref="AH23:AH28" si="35">AG23*AS23</f>
        <v>138.66666666666666</v>
      </c>
      <c r="AI23" s="6">
        <f t="shared" ref="AI23:AI28" si="36">1-AB23/AH23</f>
        <v>0.53125</v>
      </c>
      <c r="AJ23" s="4">
        <f t="shared" si="16"/>
        <v>108.33333333333334</v>
      </c>
      <c r="AK23" s="7">
        <v>118</v>
      </c>
      <c r="AL23" s="6">
        <f t="shared" ref="AL23:AL28" si="37">1-AB23/AK23</f>
        <v>0.44915254237288138</v>
      </c>
      <c r="AM23" s="4">
        <f t="shared" ref="AM23:AM28" si="38">AK23-AB23</f>
        <v>53</v>
      </c>
      <c r="AN23" s="28"/>
      <c r="AO23" s="6"/>
      <c r="AP23" s="6"/>
      <c r="AQ23" s="6" t="e">
        <f t="shared" ref="AQ23:AQ28" si="39">Z23/L23</f>
        <v>#DIV/0!</v>
      </c>
      <c r="AR23" s="6">
        <f t="shared" ref="AR23:AR28" si="40">AK23/M23</f>
        <v>1.3258426966292134</v>
      </c>
      <c r="AS23" s="6">
        <f t="shared" ref="AS23:AS28" si="41">AB23/N23</f>
        <v>1.0833333333333333</v>
      </c>
      <c r="AT23" s="4"/>
      <c r="AU23" s="4"/>
      <c r="AV23" s="4"/>
      <c r="AW23" s="4"/>
      <c r="AX23" s="4"/>
      <c r="AY23" s="4"/>
      <c r="AZ23" s="4"/>
      <c r="BA23" s="4"/>
      <c r="BB23" s="4"/>
      <c r="BC23" s="4">
        <v>0</v>
      </c>
      <c r="BD23" s="4" t="s">
        <v>169</v>
      </c>
      <c r="BE23" s="4"/>
      <c r="BF23" s="4"/>
      <c r="BG23" s="4" t="s">
        <v>170</v>
      </c>
      <c r="BH23" s="4">
        <v>128</v>
      </c>
      <c r="BI23" s="4">
        <v>128</v>
      </c>
      <c r="BJ23" s="4">
        <f t="shared" ref="BJ23:BJ28" si="42">IF(BE23="",BI23,BE23/BF23*BI23)</f>
        <v>128</v>
      </c>
      <c r="BK23" s="19">
        <v>4</v>
      </c>
      <c r="BL23" s="19">
        <v>8</v>
      </c>
      <c r="BM23" s="16">
        <v>18</v>
      </c>
      <c r="BN23" t="s">
        <v>114</v>
      </c>
      <c r="BO23" t="s">
        <v>114</v>
      </c>
      <c r="BP23" t="str">
        <f t="shared" si="17"/>
        <v>-</v>
      </c>
      <c r="BQ23" t="s">
        <v>114</v>
      </c>
      <c r="BR23" t="s">
        <v>114</v>
      </c>
      <c r="BS23" t="str">
        <f t="shared" si="18"/>
        <v>-</v>
      </c>
      <c r="BT23" t="s">
        <v>133</v>
      </c>
    </row>
    <row r="24" spans="1:72" x14ac:dyDescent="0.4">
      <c r="A24" s="3">
        <v>21</v>
      </c>
      <c r="B24" s="3">
        <v>21</v>
      </c>
      <c r="C24" s="4" t="s">
        <v>84</v>
      </c>
      <c r="D24" s="4" t="str">
        <f t="shared" si="28"/>
        <v>J8502Y</v>
      </c>
      <c r="E24" s="4" t="s">
        <v>84</v>
      </c>
      <c r="F24" s="4" t="s">
        <v>109</v>
      </c>
      <c r="G24" s="5">
        <v>4580287322997</v>
      </c>
      <c r="H24" s="5"/>
      <c r="I24" s="5"/>
      <c r="J24" s="5">
        <v>1</v>
      </c>
      <c r="K24" s="5">
        <v>1</v>
      </c>
      <c r="L24" s="4">
        <v>0</v>
      </c>
      <c r="M24" s="4">
        <v>103</v>
      </c>
      <c r="N24" s="4">
        <v>60</v>
      </c>
      <c r="O24" s="6">
        <f t="shared" si="29"/>
        <v>0.41747572815533984</v>
      </c>
      <c r="P24" s="4" t="s">
        <v>115</v>
      </c>
      <c r="Q24" s="4"/>
      <c r="R24" s="4"/>
      <c r="S24" s="4"/>
      <c r="T24" s="4"/>
      <c r="U24" s="4"/>
      <c r="V24" s="4"/>
      <c r="W24" s="4"/>
      <c r="X24" s="4"/>
      <c r="Y24" s="4">
        <v>0</v>
      </c>
      <c r="Z24" s="4">
        <f t="shared" si="30"/>
        <v>0</v>
      </c>
      <c r="AA24" s="4">
        <v>65</v>
      </c>
      <c r="AB24" s="4">
        <f t="shared" si="31"/>
        <v>65</v>
      </c>
      <c r="AC24" s="4"/>
      <c r="AD24" s="21">
        <f t="shared" si="32"/>
        <v>112</v>
      </c>
      <c r="AE24" s="6">
        <f t="shared" si="33"/>
        <v>0.4196428571428571</v>
      </c>
      <c r="AF24" s="4">
        <v>0.75</v>
      </c>
      <c r="AG24" s="4">
        <f t="shared" si="34"/>
        <v>128</v>
      </c>
      <c r="AH24" s="4">
        <f t="shared" si="35"/>
        <v>138.66666666666666</v>
      </c>
      <c r="AI24" s="6">
        <f t="shared" si="36"/>
        <v>0.53125</v>
      </c>
      <c r="AJ24" s="4">
        <f t="shared" si="16"/>
        <v>108.33333333333334</v>
      </c>
      <c r="AK24" s="7">
        <v>118</v>
      </c>
      <c r="AL24" s="6">
        <f t="shared" si="37"/>
        <v>0.44915254237288138</v>
      </c>
      <c r="AM24" s="4">
        <f t="shared" si="38"/>
        <v>53</v>
      </c>
      <c r="AN24" s="28"/>
      <c r="AO24" s="6"/>
      <c r="AP24" s="6"/>
      <c r="AQ24" s="6" t="e">
        <f t="shared" si="39"/>
        <v>#DIV/0!</v>
      </c>
      <c r="AR24" s="6">
        <f t="shared" si="40"/>
        <v>1.145631067961165</v>
      </c>
      <c r="AS24" s="6">
        <f t="shared" si="41"/>
        <v>1.0833333333333333</v>
      </c>
      <c r="AT24" s="4"/>
      <c r="AU24" s="4"/>
      <c r="AV24" s="4"/>
      <c r="AW24" s="4"/>
      <c r="AX24" s="4"/>
      <c r="AY24" s="4"/>
      <c r="AZ24" s="4"/>
      <c r="BA24" s="4"/>
      <c r="BB24" s="4"/>
      <c r="BC24" s="4">
        <v>0</v>
      </c>
      <c r="BD24" s="4" t="s">
        <v>171</v>
      </c>
      <c r="BE24" s="4"/>
      <c r="BF24" s="4"/>
      <c r="BG24" s="4" t="s">
        <v>160</v>
      </c>
      <c r="BH24" s="4">
        <v>128</v>
      </c>
      <c r="BI24" s="4">
        <v>128</v>
      </c>
      <c r="BJ24" s="4">
        <f t="shared" si="42"/>
        <v>128</v>
      </c>
      <c r="BK24" s="19">
        <v>4</v>
      </c>
      <c r="BL24" s="19">
        <v>8</v>
      </c>
      <c r="BM24" s="16">
        <v>18</v>
      </c>
      <c r="BN24" t="s">
        <v>114</v>
      </c>
      <c r="BO24" t="s">
        <v>114</v>
      </c>
      <c r="BP24" t="str">
        <f t="shared" si="17"/>
        <v>-</v>
      </c>
      <c r="BQ24" t="s">
        <v>114</v>
      </c>
      <c r="BR24" t="s">
        <v>114</v>
      </c>
      <c r="BS24" t="str">
        <f t="shared" si="18"/>
        <v>-</v>
      </c>
      <c r="BT24" t="s">
        <v>134</v>
      </c>
    </row>
    <row r="25" spans="1:72" x14ac:dyDescent="0.4">
      <c r="A25" s="3">
        <v>22</v>
      </c>
      <c r="B25" s="3">
        <v>22</v>
      </c>
      <c r="C25" s="4" t="s">
        <v>85</v>
      </c>
      <c r="D25" s="4" t="str">
        <f t="shared" si="28"/>
        <v>J8503Y</v>
      </c>
      <c r="E25" s="4" t="s">
        <v>85</v>
      </c>
      <c r="F25" s="4" t="s">
        <v>110</v>
      </c>
      <c r="G25" s="5">
        <v>4580287323000</v>
      </c>
      <c r="H25" s="5"/>
      <c r="I25" s="5"/>
      <c r="J25" s="5">
        <v>1</v>
      </c>
      <c r="K25" s="5">
        <v>1</v>
      </c>
      <c r="L25" s="4">
        <v>0</v>
      </c>
      <c r="M25" s="4">
        <v>103</v>
      </c>
      <c r="N25" s="4">
        <v>60</v>
      </c>
      <c r="O25" s="6">
        <f t="shared" si="29"/>
        <v>0.41747572815533984</v>
      </c>
      <c r="P25" s="4" t="s">
        <v>115</v>
      </c>
      <c r="Q25" s="4"/>
      <c r="R25" s="4"/>
      <c r="S25" s="4"/>
      <c r="T25" s="4"/>
      <c r="U25" s="4"/>
      <c r="V25" s="4"/>
      <c r="W25" s="4"/>
      <c r="X25" s="4"/>
      <c r="Y25" s="4">
        <v>0</v>
      </c>
      <c r="Z25" s="4">
        <f t="shared" si="30"/>
        <v>0</v>
      </c>
      <c r="AA25" s="4">
        <v>65</v>
      </c>
      <c r="AB25" s="4">
        <f t="shared" si="31"/>
        <v>65</v>
      </c>
      <c r="AC25" s="4"/>
      <c r="AD25" s="21">
        <f t="shared" si="32"/>
        <v>112</v>
      </c>
      <c r="AE25" s="6">
        <f t="shared" si="33"/>
        <v>0.4196428571428571</v>
      </c>
      <c r="AF25" s="4">
        <v>0.75</v>
      </c>
      <c r="AG25" s="4">
        <f t="shared" si="34"/>
        <v>128</v>
      </c>
      <c r="AH25" s="4">
        <f t="shared" si="35"/>
        <v>138.66666666666666</v>
      </c>
      <c r="AI25" s="6">
        <f t="shared" si="36"/>
        <v>0.53125</v>
      </c>
      <c r="AJ25" s="4">
        <f t="shared" si="16"/>
        <v>108.33333333333334</v>
      </c>
      <c r="AK25" s="7">
        <v>118</v>
      </c>
      <c r="AL25" s="6">
        <f t="shared" si="37"/>
        <v>0.44915254237288138</v>
      </c>
      <c r="AM25" s="4">
        <f t="shared" si="38"/>
        <v>53</v>
      </c>
      <c r="AN25" s="28"/>
      <c r="AO25" s="6"/>
      <c r="AP25" s="6"/>
      <c r="AQ25" s="6" t="e">
        <f t="shared" si="39"/>
        <v>#DIV/0!</v>
      </c>
      <c r="AR25" s="6">
        <f t="shared" si="40"/>
        <v>1.145631067961165</v>
      </c>
      <c r="AS25" s="6">
        <f t="shared" si="41"/>
        <v>1.0833333333333333</v>
      </c>
      <c r="AT25" s="4"/>
      <c r="AU25" s="4"/>
      <c r="AV25" s="4"/>
      <c r="AW25" s="4"/>
      <c r="AX25" s="4"/>
      <c r="AY25" s="4"/>
      <c r="AZ25" s="4"/>
      <c r="BA25" s="4"/>
      <c r="BB25" s="4"/>
      <c r="BC25" s="4">
        <v>0</v>
      </c>
      <c r="BD25" s="4" t="s">
        <v>172</v>
      </c>
      <c r="BE25" s="4"/>
      <c r="BF25" s="4"/>
      <c r="BG25" s="4" t="s">
        <v>173</v>
      </c>
      <c r="BH25" s="4">
        <v>128</v>
      </c>
      <c r="BI25" s="4">
        <v>128</v>
      </c>
      <c r="BJ25" s="4">
        <f t="shared" si="42"/>
        <v>128</v>
      </c>
      <c r="BK25" s="19">
        <v>4</v>
      </c>
      <c r="BL25" s="19">
        <v>8</v>
      </c>
      <c r="BM25" s="16">
        <v>18</v>
      </c>
      <c r="BN25" t="s">
        <v>114</v>
      </c>
      <c r="BO25" t="s">
        <v>114</v>
      </c>
      <c r="BP25" t="str">
        <f t="shared" si="17"/>
        <v>-</v>
      </c>
      <c r="BQ25" t="s">
        <v>114</v>
      </c>
      <c r="BR25" t="s">
        <v>114</v>
      </c>
      <c r="BS25" t="str">
        <f t="shared" si="18"/>
        <v>-</v>
      </c>
      <c r="BT25" t="s">
        <v>135</v>
      </c>
    </row>
    <row r="26" spans="1:72" x14ac:dyDescent="0.4">
      <c r="A26" s="3">
        <v>23</v>
      </c>
      <c r="B26" s="3">
        <v>23</v>
      </c>
      <c r="C26" s="4" t="s">
        <v>86</v>
      </c>
      <c r="D26" s="4" t="str">
        <f t="shared" si="28"/>
        <v>J8504Y</v>
      </c>
      <c r="E26" s="4" t="s">
        <v>86</v>
      </c>
      <c r="F26" s="4" t="s">
        <v>111</v>
      </c>
      <c r="G26" s="5">
        <v>4580287323017</v>
      </c>
      <c r="H26" s="5"/>
      <c r="I26" s="5"/>
      <c r="J26" s="5">
        <v>1</v>
      </c>
      <c r="K26" s="5">
        <v>1</v>
      </c>
      <c r="L26" s="4">
        <v>0</v>
      </c>
      <c r="M26" s="4">
        <v>103</v>
      </c>
      <c r="N26" s="4">
        <v>60</v>
      </c>
      <c r="O26" s="6">
        <f t="shared" si="29"/>
        <v>0.41747572815533984</v>
      </c>
      <c r="P26" s="4" t="s">
        <v>115</v>
      </c>
      <c r="Q26" s="4"/>
      <c r="R26" s="4"/>
      <c r="S26" s="4"/>
      <c r="T26" s="4"/>
      <c r="U26" s="4"/>
      <c r="V26" s="4"/>
      <c r="W26" s="4"/>
      <c r="X26" s="4"/>
      <c r="Y26" s="4">
        <v>0</v>
      </c>
      <c r="Z26" s="4">
        <f t="shared" si="30"/>
        <v>0</v>
      </c>
      <c r="AA26" s="4">
        <v>65</v>
      </c>
      <c r="AB26" s="4">
        <f t="shared" si="31"/>
        <v>65</v>
      </c>
      <c r="AC26" s="4"/>
      <c r="AD26" s="21">
        <f t="shared" si="32"/>
        <v>112</v>
      </c>
      <c r="AE26" s="6">
        <f t="shared" si="33"/>
        <v>0.4196428571428571</v>
      </c>
      <c r="AF26" s="4">
        <v>0.75</v>
      </c>
      <c r="AG26" s="4">
        <f t="shared" si="34"/>
        <v>128</v>
      </c>
      <c r="AH26" s="4">
        <f t="shared" si="35"/>
        <v>138.66666666666666</v>
      </c>
      <c r="AI26" s="6">
        <f t="shared" si="36"/>
        <v>0.53125</v>
      </c>
      <c r="AJ26" s="4">
        <f t="shared" si="16"/>
        <v>108.33333333333334</v>
      </c>
      <c r="AK26" s="7">
        <v>118</v>
      </c>
      <c r="AL26" s="6">
        <f t="shared" si="37"/>
        <v>0.44915254237288138</v>
      </c>
      <c r="AM26" s="4">
        <f t="shared" si="38"/>
        <v>53</v>
      </c>
      <c r="AN26" s="28"/>
      <c r="AO26" s="6"/>
      <c r="AP26" s="6"/>
      <c r="AQ26" s="6" t="e">
        <f t="shared" si="39"/>
        <v>#DIV/0!</v>
      </c>
      <c r="AR26" s="6">
        <f t="shared" si="40"/>
        <v>1.145631067961165</v>
      </c>
      <c r="AS26" s="6">
        <f t="shared" si="41"/>
        <v>1.0833333333333333</v>
      </c>
      <c r="AT26" s="4"/>
      <c r="AU26" s="4"/>
      <c r="AV26" s="4"/>
      <c r="AW26" s="4"/>
      <c r="AX26" s="4"/>
      <c r="AY26" s="4"/>
      <c r="AZ26" s="4"/>
      <c r="BA26" s="4"/>
      <c r="BB26" s="4"/>
      <c r="BC26" s="4">
        <v>0</v>
      </c>
      <c r="BD26" s="4" t="s">
        <v>174</v>
      </c>
      <c r="BE26" s="4"/>
      <c r="BF26" s="4"/>
      <c r="BG26" s="4" t="s">
        <v>175</v>
      </c>
      <c r="BH26" s="4">
        <v>128</v>
      </c>
      <c r="BI26" s="4">
        <v>128</v>
      </c>
      <c r="BJ26" s="4">
        <f t="shared" si="42"/>
        <v>128</v>
      </c>
      <c r="BK26" s="19">
        <v>4</v>
      </c>
      <c r="BL26" s="19">
        <v>8</v>
      </c>
      <c r="BM26" s="16">
        <v>18</v>
      </c>
      <c r="BN26" t="s">
        <v>114</v>
      </c>
      <c r="BO26" t="s">
        <v>114</v>
      </c>
      <c r="BP26" t="str">
        <f t="shared" si="17"/>
        <v>-</v>
      </c>
      <c r="BQ26" t="s">
        <v>114</v>
      </c>
      <c r="BR26" t="s">
        <v>114</v>
      </c>
      <c r="BS26" t="str">
        <f t="shared" si="18"/>
        <v>-</v>
      </c>
      <c r="BT26" t="s">
        <v>136</v>
      </c>
    </row>
    <row r="27" spans="1:72" x14ac:dyDescent="0.4">
      <c r="A27" s="3">
        <v>24</v>
      </c>
      <c r="B27" s="3">
        <v>24</v>
      </c>
      <c r="C27" s="4" t="s">
        <v>87</v>
      </c>
      <c r="D27" s="4" t="str">
        <f t="shared" si="28"/>
        <v>J8980W</v>
      </c>
      <c r="E27" s="4" t="s">
        <v>87</v>
      </c>
      <c r="F27" s="4" t="s">
        <v>112</v>
      </c>
      <c r="G27" s="5">
        <v>4904701940084</v>
      </c>
      <c r="H27" s="5"/>
      <c r="I27" s="5"/>
      <c r="J27" s="5">
        <v>1</v>
      </c>
      <c r="K27" s="5">
        <v>1</v>
      </c>
      <c r="L27" s="4">
        <v>0</v>
      </c>
      <c r="M27" s="4">
        <v>281</v>
      </c>
      <c r="N27" s="4">
        <v>191</v>
      </c>
      <c r="O27" s="6">
        <f t="shared" si="29"/>
        <v>0.32028469750889677</v>
      </c>
      <c r="P27" s="4" t="s">
        <v>115</v>
      </c>
      <c r="Q27" s="4"/>
      <c r="R27" s="4"/>
      <c r="S27" s="4"/>
      <c r="T27" s="4"/>
      <c r="U27" s="4"/>
      <c r="V27" s="4"/>
      <c r="W27" s="4"/>
      <c r="X27" s="4"/>
      <c r="Y27" s="4">
        <v>0</v>
      </c>
      <c r="Z27" s="4">
        <f t="shared" si="30"/>
        <v>0</v>
      </c>
      <c r="AA27" s="4">
        <v>239</v>
      </c>
      <c r="AB27" s="4">
        <f t="shared" si="31"/>
        <v>239</v>
      </c>
      <c r="AC27" s="4"/>
      <c r="AD27" s="21">
        <f t="shared" si="32"/>
        <v>352</v>
      </c>
      <c r="AE27" s="6">
        <f t="shared" si="33"/>
        <v>0.32102272727272729</v>
      </c>
      <c r="AF27" s="4">
        <v>0.5</v>
      </c>
      <c r="AG27" s="4">
        <f t="shared" si="34"/>
        <v>260.93333333333334</v>
      </c>
      <c r="AH27" s="4">
        <f t="shared" si="35"/>
        <v>326.50820244328099</v>
      </c>
      <c r="AI27" s="6">
        <f t="shared" si="36"/>
        <v>0.26801226366888098</v>
      </c>
      <c r="AJ27" s="4">
        <f t="shared" si="16"/>
        <v>398.33333333333337</v>
      </c>
      <c r="AK27" s="7">
        <v>350</v>
      </c>
      <c r="AL27" s="6">
        <f t="shared" si="37"/>
        <v>0.31714285714285717</v>
      </c>
      <c r="AM27" s="4">
        <f t="shared" si="38"/>
        <v>111</v>
      </c>
      <c r="AN27" s="28"/>
      <c r="AO27" s="6"/>
      <c r="AP27" s="6"/>
      <c r="AQ27" s="6" t="e">
        <f t="shared" si="39"/>
        <v>#DIV/0!</v>
      </c>
      <c r="AR27" s="6">
        <f t="shared" si="40"/>
        <v>1.2455516014234875</v>
      </c>
      <c r="AS27" s="6">
        <f t="shared" si="41"/>
        <v>1.2513089005235603</v>
      </c>
      <c r="AT27" s="4"/>
      <c r="AU27" s="4"/>
      <c r="AV27" s="4"/>
      <c r="AW27" s="4"/>
      <c r="AX27" s="4"/>
      <c r="AY27" s="4"/>
      <c r="AZ27" s="4"/>
      <c r="BA27" s="4"/>
      <c r="BB27" s="4"/>
      <c r="BC27" s="4">
        <v>0</v>
      </c>
      <c r="BD27" s="4" t="s">
        <v>176</v>
      </c>
      <c r="BE27" s="4">
        <v>1</v>
      </c>
      <c r="BF27" s="4">
        <v>30</v>
      </c>
      <c r="BG27" s="4" t="s">
        <v>177</v>
      </c>
      <c r="BH27" s="4">
        <v>7828</v>
      </c>
      <c r="BI27" s="4">
        <v>7828</v>
      </c>
      <c r="BJ27" s="4">
        <f t="shared" si="42"/>
        <v>260.93333333333334</v>
      </c>
      <c r="BK27" s="19">
        <v>4</v>
      </c>
      <c r="BL27" s="19">
        <v>8</v>
      </c>
      <c r="BM27" s="16">
        <v>18</v>
      </c>
      <c r="BN27" t="s">
        <v>114</v>
      </c>
      <c r="BO27" t="s">
        <v>114</v>
      </c>
      <c r="BP27" t="str">
        <f t="shared" si="17"/>
        <v>-</v>
      </c>
      <c r="BQ27" t="s">
        <v>114</v>
      </c>
      <c r="BR27" t="s">
        <v>114</v>
      </c>
      <c r="BS27" t="str">
        <f t="shared" si="18"/>
        <v>-</v>
      </c>
      <c r="BT27" t="s">
        <v>137</v>
      </c>
    </row>
    <row r="28" spans="1:72" x14ac:dyDescent="0.4">
      <c r="A28" s="3">
        <v>25</v>
      </c>
      <c r="B28" s="3">
        <v>25</v>
      </c>
      <c r="C28" s="4" t="s">
        <v>88</v>
      </c>
      <c r="D28" s="4" t="str">
        <f t="shared" si="28"/>
        <v>J8981W</v>
      </c>
      <c r="E28" s="4" t="s">
        <v>88</v>
      </c>
      <c r="F28" s="4" t="s">
        <v>113</v>
      </c>
      <c r="G28" s="5">
        <v>4904701940220</v>
      </c>
      <c r="H28" s="5"/>
      <c r="I28" s="5"/>
      <c r="J28" s="5">
        <v>1</v>
      </c>
      <c r="K28" s="5">
        <v>1</v>
      </c>
      <c r="L28" s="4">
        <v>0</v>
      </c>
      <c r="M28" s="4">
        <v>421</v>
      </c>
      <c r="N28" s="4">
        <v>286</v>
      </c>
      <c r="O28" s="6">
        <f t="shared" si="29"/>
        <v>0.32066508313539188</v>
      </c>
      <c r="P28" s="4" t="s">
        <v>115</v>
      </c>
      <c r="Q28" s="4"/>
      <c r="R28" s="4"/>
      <c r="S28" s="4"/>
      <c r="T28" s="4"/>
      <c r="U28" s="4"/>
      <c r="V28" s="4"/>
      <c r="W28" s="4"/>
      <c r="X28" s="4"/>
      <c r="Y28" s="4">
        <v>0</v>
      </c>
      <c r="Z28" s="4">
        <f t="shared" si="30"/>
        <v>0</v>
      </c>
      <c r="AA28" s="4">
        <v>382</v>
      </c>
      <c r="AB28" s="4">
        <f t="shared" si="31"/>
        <v>382</v>
      </c>
      <c r="AC28" s="4"/>
      <c r="AD28" s="21">
        <f t="shared" si="32"/>
        <v>562</v>
      </c>
      <c r="AE28" s="6">
        <f t="shared" si="33"/>
        <v>0.32028469750889677</v>
      </c>
      <c r="AF28" s="4">
        <v>2.25</v>
      </c>
      <c r="AG28" s="4" t="e">
        <f t="shared" si="34"/>
        <v>#VALUE!</v>
      </c>
      <c r="AH28" s="4" t="e">
        <f t="shared" si="35"/>
        <v>#VALUE!</v>
      </c>
      <c r="AI28" s="6" t="e">
        <f t="shared" si="36"/>
        <v>#VALUE!</v>
      </c>
      <c r="AJ28" s="4">
        <f t="shared" si="16"/>
        <v>636.66666666666674</v>
      </c>
      <c r="AK28" s="7">
        <v>600</v>
      </c>
      <c r="AL28" s="6">
        <f t="shared" si="37"/>
        <v>0.36333333333333329</v>
      </c>
      <c r="AM28" s="4">
        <f t="shared" si="38"/>
        <v>218</v>
      </c>
      <c r="AN28" s="28"/>
      <c r="AO28" s="6"/>
      <c r="AP28" s="6"/>
      <c r="AQ28" s="6" t="e">
        <f t="shared" si="39"/>
        <v>#DIV/0!</v>
      </c>
      <c r="AR28" s="6">
        <f t="shared" si="40"/>
        <v>1.4251781472684086</v>
      </c>
      <c r="AS28" s="6">
        <f t="shared" si="41"/>
        <v>1.3356643356643356</v>
      </c>
      <c r="AT28" s="4"/>
      <c r="AU28" s="4"/>
      <c r="AV28" s="4"/>
      <c r="AW28" s="4"/>
      <c r="AX28" s="4"/>
      <c r="AY28" s="4"/>
      <c r="AZ28" s="4"/>
      <c r="BA28" s="4"/>
      <c r="BB28" s="4"/>
      <c r="BC28" s="4">
        <v>0</v>
      </c>
      <c r="BD28" s="4" t="s">
        <v>178</v>
      </c>
      <c r="BE28" s="4">
        <v>1</v>
      </c>
      <c r="BF28" s="4">
        <v>5</v>
      </c>
      <c r="BG28" s="4" t="s">
        <v>179</v>
      </c>
      <c r="BH28" s="4">
        <v>2269</v>
      </c>
      <c r="BI28" s="4" t="s">
        <v>114</v>
      </c>
      <c r="BJ28" s="4" t="e">
        <f t="shared" si="42"/>
        <v>#VALUE!</v>
      </c>
      <c r="BK28" s="19">
        <v>4</v>
      </c>
      <c r="BL28" s="19">
        <v>8</v>
      </c>
      <c r="BM28" s="16">
        <v>18</v>
      </c>
      <c r="BN28" t="s">
        <v>114</v>
      </c>
      <c r="BO28" t="s">
        <v>114</v>
      </c>
      <c r="BP28" t="str">
        <f t="shared" si="17"/>
        <v>-</v>
      </c>
      <c r="BQ28">
        <v>498</v>
      </c>
      <c r="BR28">
        <v>498</v>
      </c>
      <c r="BS28">
        <f t="shared" si="18"/>
        <v>665.16083916083915</v>
      </c>
      <c r="BT28" t="s">
        <v>138</v>
      </c>
    </row>
  </sheetData>
  <autoFilter ref="A3:BT3" xr:uid="{7A1660CF-9003-4B2D-B659-7F339ED5B476}"/>
  <mergeCells count="3">
    <mergeCell ref="L2:O2"/>
    <mergeCell ref="J2:K2"/>
    <mergeCell ref="Y1:AB1"/>
  </mergeCells>
  <phoneticPr fontId="2"/>
  <conditionalFormatting sqref="AH4:AH28">
    <cfRule type="cellIs" dxfId="2" priority="2" operator="lessThan">
      <formula>$AK4</formula>
    </cfRule>
  </conditionalFormatting>
  <conditionalFormatting sqref="AK4:AK28">
    <cfRule type="cellIs" dxfId="1" priority="4" operator="greaterThan">
      <formula>$Z4</formula>
    </cfRule>
  </conditionalFormatting>
  <conditionalFormatting sqref="BI4:BI28">
    <cfRule type="cellIs" dxfId="0" priority="1" operator="notEqual">
      <formula>$BH4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2026-06-05T04:13:32Z</dcterms:modified>
</cp:coreProperties>
</file>