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2F0C0A62-F5DF-4EB1-8E6C-C54E0CE0163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16" i="1" l="1"/>
  <c r="AD16" i="1" s="1"/>
  <c r="BD17" i="1"/>
  <c r="AD17" i="1" s="1"/>
  <c r="BD18" i="1"/>
  <c r="AD18" i="1" s="1"/>
  <c r="BD19" i="1"/>
  <c r="AD19" i="1" s="1"/>
  <c r="BD20" i="1"/>
  <c r="AD20" i="1" s="1"/>
  <c r="BD27" i="1"/>
  <c r="AD27" i="1" s="1"/>
  <c r="BD21" i="1"/>
  <c r="AD21" i="1" s="1"/>
  <c r="BD23" i="1"/>
  <c r="AD23" i="1" s="1"/>
  <c r="BD25" i="1"/>
  <c r="AD25" i="1" s="1"/>
  <c r="BD28" i="1"/>
  <c r="AD28" i="1" s="1"/>
  <c r="BD32" i="1"/>
  <c r="AD32" i="1" s="1"/>
  <c r="BD33" i="1"/>
  <c r="AD33" i="1" s="1"/>
  <c r="BD26" i="1"/>
  <c r="AD26" i="1" s="1"/>
  <c r="BD31" i="1"/>
  <c r="AD31" i="1" s="1"/>
  <c r="BD30" i="1"/>
  <c r="AD30" i="1" s="1"/>
  <c r="AP4" i="1"/>
  <c r="AQ4" i="1"/>
  <c r="AR4" i="1"/>
  <c r="AS4" i="1"/>
  <c r="AT4" i="1"/>
  <c r="AU4" i="1"/>
  <c r="AP5" i="1"/>
  <c r="AQ5" i="1"/>
  <c r="AR5" i="1"/>
  <c r="AS5" i="1"/>
  <c r="AT5" i="1"/>
  <c r="AU5" i="1"/>
  <c r="AP6" i="1"/>
  <c r="AQ6" i="1"/>
  <c r="AR6" i="1"/>
  <c r="AS6" i="1"/>
  <c r="AT6" i="1"/>
  <c r="AU6" i="1"/>
  <c r="AP7" i="1"/>
  <c r="AQ7" i="1"/>
  <c r="AR7" i="1"/>
  <c r="AS7" i="1"/>
  <c r="AT7" i="1"/>
  <c r="AU7" i="1"/>
  <c r="AP8" i="1"/>
  <c r="AQ8" i="1"/>
  <c r="AR8" i="1"/>
  <c r="AS8" i="1"/>
  <c r="AT8" i="1"/>
  <c r="AU8" i="1"/>
  <c r="AP9" i="1"/>
  <c r="AQ9" i="1"/>
  <c r="AR9" i="1"/>
  <c r="AS9" i="1"/>
  <c r="AT9" i="1"/>
  <c r="AU9" i="1"/>
  <c r="AP10" i="1"/>
  <c r="AQ10" i="1"/>
  <c r="AR10" i="1"/>
  <c r="AS10" i="1"/>
  <c r="AT10" i="1"/>
  <c r="AU10" i="1"/>
  <c r="AP11" i="1"/>
  <c r="AQ11" i="1"/>
  <c r="AR11" i="1"/>
  <c r="AS11" i="1"/>
  <c r="AT11" i="1"/>
  <c r="AU11" i="1"/>
  <c r="AP12" i="1"/>
  <c r="AQ12" i="1"/>
  <c r="AR12" i="1"/>
  <c r="AS12" i="1"/>
  <c r="AT12" i="1"/>
  <c r="AU12" i="1"/>
  <c r="AP13" i="1"/>
  <c r="AQ13" i="1"/>
  <c r="AR13" i="1"/>
  <c r="AS13" i="1"/>
  <c r="AT13" i="1"/>
  <c r="AU13" i="1"/>
  <c r="AP14" i="1"/>
  <c r="AQ14" i="1"/>
  <c r="AR14" i="1"/>
  <c r="AS14" i="1"/>
  <c r="AT14" i="1"/>
  <c r="AU14" i="1"/>
  <c r="AP15" i="1"/>
  <c r="AQ15" i="1"/>
  <c r="AR15" i="1"/>
  <c r="AS15" i="1"/>
  <c r="AT15" i="1"/>
  <c r="AU15" i="1"/>
  <c r="AP16" i="1"/>
  <c r="AQ16" i="1"/>
  <c r="AR16" i="1"/>
  <c r="AS16" i="1"/>
  <c r="AT16" i="1"/>
  <c r="AU16" i="1"/>
  <c r="AP17" i="1"/>
  <c r="AQ17" i="1"/>
  <c r="AR17" i="1"/>
  <c r="AS17" i="1"/>
  <c r="AT17" i="1"/>
  <c r="AU17" i="1"/>
  <c r="AP18" i="1"/>
  <c r="AQ18" i="1"/>
  <c r="AR18" i="1"/>
  <c r="AS18" i="1"/>
  <c r="AT18" i="1"/>
  <c r="AU18" i="1"/>
  <c r="AP19" i="1"/>
  <c r="AQ19" i="1"/>
  <c r="AR19" i="1"/>
  <c r="AS19" i="1"/>
  <c r="AT19" i="1"/>
  <c r="AU19" i="1"/>
  <c r="AP21" i="1"/>
  <c r="AQ21" i="1"/>
  <c r="AR21" i="1"/>
  <c r="AS21" i="1"/>
  <c r="AT21" i="1"/>
  <c r="AU21" i="1"/>
  <c r="AP23" i="1"/>
  <c r="AQ23" i="1"/>
  <c r="AR23" i="1"/>
  <c r="AS23" i="1"/>
  <c r="AT23" i="1"/>
  <c r="AU23" i="1"/>
  <c r="AP25" i="1"/>
  <c r="AQ25" i="1"/>
  <c r="AR25" i="1"/>
  <c r="AS25" i="1"/>
  <c r="AT25" i="1"/>
  <c r="AU25" i="1"/>
  <c r="AP26" i="1"/>
  <c r="AQ26" i="1"/>
  <c r="AR26" i="1"/>
  <c r="AS26" i="1"/>
  <c r="AT26" i="1"/>
  <c r="AU26" i="1"/>
  <c r="AP27" i="1"/>
  <c r="AQ27" i="1"/>
  <c r="AR27" i="1"/>
  <c r="AS27" i="1"/>
  <c r="AT27" i="1"/>
  <c r="AU27" i="1"/>
  <c r="AP28" i="1"/>
  <c r="AQ28" i="1"/>
  <c r="AR28" i="1"/>
  <c r="AS28" i="1"/>
  <c r="AT28" i="1"/>
  <c r="AU28" i="1"/>
  <c r="AP29" i="1"/>
  <c r="AQ29" i="1"/>
  <c r="AR29" i="1"/>
  <c r="AS29" i="1"/>
  <c r="AT29" i="1"/>
  <c r="AU29" i="1"/>
  <c r="AP30" i="1"/>
  <c r="AQ30" i="1"/>
  <c r="AR30" i="1"/>
  <c r="AS30" i="1"/>
  <c r="AT30" i="1"/>
  <c r="AU30" i="1"/>
  <c r="AP31" i="1"/>
  <c r="AQ31" i="1"/>
  <c r="AR31" i="1"/>
  <c r="AS31" i="1"/>
  <c r="AT31" i="1"/>
  <c r="AU31" i="1"/>
  <c r="AP32" i="1"/>
  <c r="AQ32" i="1"/>
  <c r="AR32" i="1"/>
  <c r="AS32" i="1"/>
  <c r="AT32" i="1"/>
  <c r="AU32" i="1"/>
  <c r="AP33" i="1"/>
  <c r="AQ33" i="1"/>
  <c r="AR33" i="1"/>
  <c r="AS33" i="1"/>
  <c r="AT33" i="1"/>
  <c r="AU33" i="1"/>
  <c r="AP20" i="1"/>
  <c r="AQ20" i="1"/>
  <c r="AR20" i="1"/>
  <c r="AS20" i="1"/>
  <c r="AT20" i="1"/>
  <c r="AU20" i="1"/>
  <c r="AP22" i="1"/>
  <c r="AQ22" i="1"/>
  <c r="AR22" i="1"/>
  <c r="AS22" i="1"/>
  <c r="AT22" i="1"/>
  <c r="AU22" i="1"/>
  <c r="AP24" i="1"/>
  <c r="AQ24" i="1"/>
  <c r="AR24" i="1"/>
  <c r="AS24" i="1"/>
  <c r="AT24" i="1"/>
  <c r="AU24" i="1"/>
  <c r="W24" i="1"/>
  <c r="AM24" i="1" s="1"/>
  <c r="W22" i="1"/>
  <c r="AM22" i="1" s="1"/>
  <c r="W20" i="1"/>
  <c r="AM20" i="1" s="1"/>
  <c r="Y24" i="1"/>
  <c r="Y22" i="1"/>
  <c r="Y20" i="1"/>
  <c r="AH20" i="1" s="1"/>
  <c r="O22" i="1"/>
  <c r="O20" i="1"/>
  <c r="O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3" i="1"/>
  <c r="I25" i="1"/>
  <c r="I26" i="1"/>
  <c r="I27" i="1"/>
  <c r="I28" i="1"/>
  <c r="I29" i="1"/>
  <c r="I30" i="1"/>
  <c r="I31" i="1"/>
  <c r="I32" i="1"/>
  <c r="I33" i="1"/>
  <c r="I20" i="1"/>
  <c r="I22" i="1"/>
  <c r="I24" i="1"/>
  <c r="BD24" i="1"/>
  <c r="AD24" i="1" s="1"/>
  <c r="AN24" i="1"/>
  <c r="BD22" i="1"/>
  <c r="AD22" i="1" s="1"/>
  <c r="AN20" i="1"/>
  <c r="AN17" i="1"/>
  <c r="O21" i="1"/>
  <c r="AN25" i="1"/>
  <c r="O25" i="1"/>
  <c r="AN26" i="1"/>
  <c r="AN27" i="1"/>
  <c r="AN28" i="1"/>
  <c r="O29" i="1"/>
  <c r="AN30" i="1"/>
  <c r="O30" i="1"/>
  <c r="O31" i="1"/>
  <c r="O32" i="1"/>
  <c r="O33" i="1"/>
  <c r="Y33" i="1"/>
  <c r="AO33" i="1" s="1"/>
  <c r="BN33" i="1" s="1"/>
  <c r="W33" i="1"/>
  <c r="D33" i="1"/>
  <c r="AN32" i="1"/>
  <c r="Y32" i="1"/>
  <c r="AI32" i="1" s="1"/>
  <c r="W32" i="1"/>
  <c r="AM32" i="1" s="1"/>
  <c r="D32" i="1"/>
  <c r="AN31" i="1"/>
  <c r="Y31" i="1"/>
  <c r="W31" i="1"/>
  <c r="AM31" i="1" s="1"/>
  <c r="D31" i="1"/>
  <c r="Y30" i="1"/>
  <c r="AH30" i="1" s="1"/>
  <c r="W30" i="1"/>
  <c r="D30" i="1"/>
  <c r="BD29" i="1"/>
  <c r="AD29" i="1" s="1"/>
  <c r="Y29" i="1"/>
  <c r="AO29" i="1" s="1"/>
  <c r="W29" i="1"/>
  <c r="D29" i="1"/>
  <c r="Y28" i="1"/>
  <c r="AH28" i="1" s="1"/>
  <c r="W28" i="1"/>
  <c r="AM28" i="1" s="1"/>
  <c r="O28" i="1"/>
  <c r="D28" i="1"/>
  <c r="Y27" i="1"/>
  <c r="AO27" i="1" s="1"/>
  <c r="W27" i="1"/>
  <c r="D27" i="1"/>
  <c r="Y26" i="1"/>
  <c r="AI26" i="1" s="1"/>
  <c r="W26" i="1"/>
  <c r="AM26" i="1" s="1"/>
  <c r="O26" i="1"/>
  <c r="D26" i="1"/>
  <c r="Y25" i="1"/>
  <c r="W25" i="1"/>
  <c r="AM25" i="1" s="1"/>
  <c r="D25" i="1"/>
  <c r="AN23" i="1"/>
  <c r="Y23" i="1"/>
  <c r="AO23" i="1" s="1"/>
  <c r="BK23" i="1" s="1"/>
  <c r="W23" i="1"/>
  <c r="AM23" i="1" s="1"/>
  <c r="O23" i="1"/>
  <c r="D23" i="1"/>
  <c r="AN21" i="1"/>
  <c r="Y21" i="1"/>
  <c r="AO21" i="1" s="1"/>
  <c r="AA21" i="1" s="1"/>
  <c r="W21" i="1"/>
  <c r="D21" i="1"/>
  <c r="AN19" i="1"/>
  <c r="Y19" i="1"/>
  <c r="AO19" i="1" s="1"/>
  <c r="AA19" i="1" s="1"/>
  <c r="W19" i="1"/>
  <c r="O19" i="1"/>
  <c r="D19" i="1"/>
  <c r="AN18" i="1"/>
  <c r="Y18" i="1"/>
  <c r="AI18" i="1" s="1"/>
  <c r="W18" i="1"/>
  <c r="AM18" i="1" s="1"/>
  <c r="O18" i="1"/>
  <c r="D18" i="1"/>
  <c r="Y17" i="1"/>
  <c r="AI17" i="1" s="1"/>
  <c r="W17" i="1"/>
  <c r="D17" i="1"/>
  <c r="AN16" i="1"/>
  <c r="Y16" i="1"/>
  <c r="AH16" i="1" s="1"/>
  <c r="W16" i="1"/>
  <c r="AM16" i="1" s="1"/>
  <c r="O16" i="1"/>
  <c r="D16" i="1"/>
  <c r="BD15" i="1"/>
  <c r="AD15" i="1" s="1"/>
  <c r="AN15" i="1"/>
  <c r="Y15" i="1"/>
  <c r="W15" i="1"/>
  <c r="AM15" i="1" s="1"/>
  <c r="O15" i="1"/>
  <c r="D15" i="1"/>
  <c r="BD14" i="1"/>
  <c r="AD14" i="1" s="1"/>
  <c r="AN14" i="1"/>
  <c r="Y14" i="1"/>
  <c r="AI14" i="1" s="1"/>
  <c r="W14" i="1"/>
  <c r="AM14" i="1" s="1"/>
  <c r="O14" i="1"/>
  <c r="D14" i="1"/>
  <c r="BD13" i="1"/>
  <c r="AD13" i="1" s="1"/>
  <c r="AN13" i="1"/>
  <c r="Y13" i="1"/>
  <c r="AI13" i="1" s="1"/>
  <c r="W13" i="1"/>
  <c r="AM13" i="1" s="1"/>
  <c r="O13" i="1"/>
  <c r="D13" i="1"/>
  <c r="BD12" i="1"/>
  <c r="AD12" i="1" s="1"/>
  <c r="AN12" i="1"/>
  <c r="Y12" i="1"/>
  <c r="AO12" i="1" s="1"/>
  <c r="AA12" i="1" s="1"/>
  <c r="AB12" i="1" s="1"/>
  <c r="W12" i="1"/>
  <c r="AM12" i="1" s="1"/>
  <c r="O12" i="1"/>
  <c r="D12" i="1"/>
  <c r="BD11" i="1"/>
  <c r="AD11" i="1" s="1"/>
  <c r="AN11" i="1"/>
  <c r="Y11" i="1"/>
  <c r="AO11" i="1" s="1"/>
  <c r="W11" i="1"/>
  <c r="AM11" i="1" s="1"/>
  <c r="O11" i="1"/>
  <c r="D11" i="1"/>
  <c r="BD10" i="1"/>
  <c r="AD10" i="1" s="1"/>
  <c r="AN10" i="1"/>
  <c r="Y10" i="1"/>
  <c r="AO10" i="1" s="1"/>
  <c r="W10" i="1"/>
  <c r="AM10" i="1" s="1"/>
  <c r="O10" i="1"/>
  <c r="D10" i="1"/>
  <c r="BD9" i="1"/>
  <c r="AD9" i="1" s="1"/>
  <c r="AN9" i="1"/>
  <c r="Y9" i="1"/>
  <c r="AI9" i="1" s="1"/>
  <c r="W9" i="1"/>
  <c r="AM9" i="1" s="1"/>
  <c r="O9" i="1"/>
  <c r="D9" i="1"/>
  <c r="BD8" i="1"/>
  <c r="AD8" i="1" s="1"/>
  <c r="AN8" i="1"/>
  <c r="Y8" i="1"/>
  <c r="AO8" i="1" s="1"/>
  <c r="W8" i="1"/>
  <c r="AM8" i="1" s="1"/>
  <c r="O8" i="1"/>
  <c r="D8" i="1"/>
  <c r="BD7" i="1"/>
  <c r="AD7" i="1" s="1"/>
  <c r="AN7" i="1"/>
  <c r="Y7" i="1"/>
  <c r="AI7" i="1" s="1"/>
  <c r="W7" i="1"/>
  <c r="AM7" i="1" s="1"/>
  <c r="O7" i="1"/>
  <c r="D7" i="1"/>
  <c r="BD6" i="1"/>
  <c r="AD6" i="1" s="1"/>
  <c r="AN6" i="1"/>
  <c r="Y6" i="1"/>
  <c r="AO6" i="1" s="1"/>
  <c r="W6" i="1"/>
  <c r="AM6" i="1" s="1"/>
  <c r="O6" i="1"/>
  <c r="D6" i="1"/>
  <c r="BD5" i="1"/>
  <c r="AD5" i="1" s="1"/>
  <c r="AN5" i="1"/>
  <c r="Y5" i="1"/>
  <c r="AO5" i="1" s="1"/>
  <c r="W5" i="1"/>
  <c r="AM5" i="1" s="1"/>
  <c r="O5" i="1"/>
  <c r="D5" i="1"/>
  <c r="BD4" i="1"/>
  <c r="AD4" i="1" s="1"/>
  <c r="AN4" i="1"/>
  <c r="Y4" i="1"/>
  <c r="AI4" i="1" s="1"/>
  <c r="W4" i="1"/>
  <c r="AM4" i="1" s="1"/>
  <c r="O4" i="1"/>
  <c r="D4" i="1"/>
  <c r="BN19" i="1" l="1"/>
  <c r="BK21" i="1"/>
  <c r="BN21" i="1"/>
  <c r="BK27" i="1"/>
  <c r="AA5" i="1"/>
  <c r="AB5" i="1" s="1"/>
  <c r="BK5" i="1"/>
  <c r="BN5" i="1"/>
  <c r="AA23" i="1"/>
  <c r="AB23" i="1" s="1"/>
  <c r="BN23" i="1"/>
  <c r="AA10" i="1"/>
  <c r="AB10" i="1" s="1"/>
  <c r="BN10" i="1"/>
  <c r="BK10" i="1"/>
  <c r="BK33" i="1"/>
  <c r="AA8" i="1"/>
  <c r="AB8" i="1" s="1"/>
  <c r="BN8" i="1"/>
  <c r="BK8" i="1"/>
  <c r="AA6" i="1"/>
  <c r="AB6" i="1" s="1"/>
  <c r="BN6" i="1"/>
  <c r="AA11" i="1"/>
  <c r="AB11" i="1" s="1"/>
  <c r="BK11" i="1"/>
  <c r="BN11" i="1"/>
  <c r="BK6" i="1"/>
  <c r="BK29" i="1"/>
  <c r="BN29" i="1"/>
  <c r="BN12" i="1"/>
  <c r="BK19" i="1"/>
  <c r="BN27" i="1"/>
  <c r="BK12" i="1"/>
  <c r="AE6" i="1"/>
  <c r="AF6" i="1" s="1"/>
  <c r="AE11" i="1"/>
  <c r="AF11" i="1" s="1"/>
  <c r="AE19" i="1"/>
  <c r="AF19" i="1" s="1"/>
  <c r="AE33" i="1"/>
  <c r="AF33" i="1" s="1"/>
  <c r="AE29" i="1"/>
  <c r="AF29" i="1" s="1"/>
  <c r="AE5" i="1"/>
  <c r="AF5" i="1" s="1"/>
  <c r="AE10" i="1"/>
  <c r="AF10" i="1" s="1"/>
  <c r="AE21" i="1"/>
  <c r="AF21" i="1" s="1"/>
  <c r="AE27" i="1"/>
  <c r="AF27" i="1" s="1"/>
  <c r="AE12" i="1"/>
  <c r="AF12" i="1" s="1"/>
  <c r="AE23" i="1"/>
  <c r="AF23" i="1" s="1"/>
  <c r="AE8" i="1"/>
  <c r="AF8" i="1" s="1"/>
  <c r="AN22" i="1"/>
  <c r="AI20" i="1"/>
  <c r="AH24" i="1"/>
  <c r="AO20" i="1"/>
  <c r="AO24" i="1"/>
  <c r="AH22" i="1"/>
  <c r="AI24" i="1"/>
  <c r="AI22" i="1"/>
  <c r="AO22" i="1"/>
  <c r="AI28" i="1"/>
  <c r="AH5" i="1"/>
  <c r="AH4" i="1"/>
  <c r="AI5" i="1"/>
  <c r="AI12" i="1"/>
  <c r="AH13" i="1"/>
  <c r="AH12" i="1"/>
  <c r="AH14" i="1"/>
  <c r="AH15" i="1"/>
  <c r="AH17" i="1"/>
  <c r="AI15" i="1"/>
  <c r="AO26" i="1"/>
  <c r="AO15" i="1"/>
  <c r="AH27" i="1"/>
  <c r="AH33" i="1"/>
  <c r="AO14" i="1"/>
  <c r="AI27" i="1"/>
  <c r="AM17" i="1"/>
  <c r="AN29" i="1"/>
  <c r="AN33" i="1"/>
  <c r="AM19" i="1"/>
  <c r="O27" i="1"/>
  <c r="AM27" i="1"/>
  <c r="AO30" i="1"/>
  <c r="AA27" i="1"/>
  <c r="AB27" i="1" s="1"/>
  <c r="AM29" i="1"/>
  <c r="O17" i="1"/>
  <c r="AA29" i="1"/>
  <c r="AB29" i="1" s="1"/>
  <c r="AM21" i="1"/>
  <c r="AM30" i="1"/>
  <c r="AM33" i="1"/>
  <c r="AA33" i="1"/>
  <c r="AB33" i="1" s="1"/>
  <c r="AI10" i="1"/>
  <c r="AH10" i="1"/>
  <c r="AH6" i="1"/>
  <c r="AO18" i="1"/>
  <c r="AH18" i="1"/>
  <c r="AO7" i="1"/>
  <c r="AI25" i="1"/>
  <c r="AO25" i="1"/>
  <c r="AI11" i="1"/>
  <c r="AH11" i="1"/>
  <c r="AO17" i="1"/>
  <c r="AI21" i="1"/>
  <c r="AH32" i="1"/>
  <c r="AO32" i="1"/>
  <c r="AI33" i="1"/>
  <c r="AH26" i="1"/>
  <c r="AH29" i="1"/>
  <c r="AO28" i="1"/>
  <c r="AI29" i="1"/>
  <c r="AI6" i="1"/>
  <c r="AH7" i="1"/>
  <c r="AO13" i="1"/>
  <c r="AH9" i="1"/>
  <c r="AI23" i="1"/>
  <c r="AH23" i="1"/>
  <c r="AO9" i="1"/>
  <c r="AO4" i="1"/>
  <c r="AO16" i="1"/>
  <c r="AI16" i="1"/>
  <c r="AI8" i="1"/>
  <c r="AH8" i="1"/>
  <c r="AB19" i="1"/>
  <c r="AH19" i="1"/>
  <c r="AI19" i="1"/>
  <c r="AH21" i="1"/>
  <c r="AB21" i="1"/>
  <c r="AO31" i="1"/>
  <c r="AI31" i="1"/>
  <c r="AH31" i="1"/>
  <c r="AH25" i="1"/>
  <c r="AI30" i="1"/>
  <c r="BK4" i="1" l="1"/>
  <c r="BN4" i="1"/>
  <c r="BN15" i="1"/>
  <c r="BK15" i="1"/>
  <c r="BK20" i="1"/>
  <c r="BN20" i="1"/>
  <c r="BN26" i="1"/>
  <c r="BK26" i="1"/>
  <c r="BK22" i="1"/>
  <c r="BN22" i="1"/>
  <c r="BK32" i="1"/>
  <c r="BN32" i="1"/>
  <c r="BN25" i="1"/>
  <c r="BK25" i="1"/>
  <c r="BN30" i="1"/>
  <c r="BK30" i="1"/>
  <c r="BN9" i="1"/>
  <c r="BK9" i="1"/>
  <c r="BK13" i="1"/>
  <c r="BN13" i="1"/>
  <c r="BN31" i="1"/>
  <c r="BK31" i="1"/>
  <c r="BK16" i="1"/>
  <c r="BN16" i="1"/>
  <c r="BK28" i="1"/>
  <c r="BN28" i="1"/>
  <c r="BN17" i="1"/>
  <c r="BK17" i="1"/>
  <c r="BN24" i="1"/>
  <c r="BK24" i="1"/>
  <c r="BK14" i="1"/>
  <c r="BN14" i="1"/>
  <c r="BK7" i="1"/>
  <c r="BN7" i="1"/>
  <c r="BN18" i="1"/>
  <c r="BK18" i="1"/>
  <c r="AA32" i="1"/>
  <c r="AB32" i="1" s="1"/>
  <c r="AA30" i="1"/>
  <c r="AB30" i="1" s="1"/>
  <c r="AA14" i="1"/>
  <c r="AB14" i="1" s="1"/>
  <c r="AA15" i="1"/>
  <c r="AB15" i="1" s="1"/>
  <c r="AA20" i="1"/>
  <c r="AB20" i="1" s="1"/>
  <c r="AA9" i="1"/>
  <c r="AB9" i="1" s="1"/>
  <c r="AA22" i="1"/>
  <c r="AB22" i="1" s="1"/>
  <c r="AA31" i="1"/>
  <c r="AB31" i="1" s="1"/>
  <c r="AA28" i="1"/>
  <c r="AB28" i="1" s="1"/>
  <c r="AA17" i="1"/>
  <c r="AB17" i="1" s="1"/>
  <c r="AA24" i="1"/>
  <c r="AB24" i="1" s="1"/>
  <c r="AA7" i="1"/>
  <c r="AB7" i="1" s="1"/>
  <c r="AA18" i="1"/>
  <c r="AB18" i="1" s="1"/>
  <c r="AA25" i="1"/>
  <c r="AB25" i="1" s="1"/>
  <c r="AE24" i="1"/>
  <c r="AF24" i="1" s="1"/>
  <c r="AE32" i="1"/>
  <c r="AF32" i="1" s="1"/>
  <c r="AE7" i="1"/>
  <c r="AF7" i="1" s="1"/>
  <c r="AE31" i="1"/>
  <c r="AF31" i="1" s="1"/>
  <c r="AE17" i="1"/>
  <c r="AF17" i="1" s="1"/>
  <c r="AA16" i="1"/>
  <c r="AB16" i="1" s="1"/>
  <c r="AE16" i="1"/>
  <c r="AF16" i="1" s="1"/>
  <c r="AE30" i="1"/>
  <c r="AF30" i="1" s="1"/>
  <c r="AE18" i="1"/>
  <c r="AF18" i="1" s="1"/>
  <c r="AA13" i="1"/>
  <c r="AB13" i="1" s="1"/>
  <c r="AE13" i="1"/>
  <c r="AF13" i="1" s="1"/>
  <c r="AA26" i="1"/>
  <c r="AB26" i="1" s="1"/>
  <c r="AE26" i="1"/>
  <c r="AF26" i="1" s="1"/>
  <c r="AE22" i="1"/>
  <c r="AF22" i="1" s="1"/>
  <c r="AE20" i="1"/>
  <c r="AF20" i="1" s="1"/>
  <c r="AE14" i="1"/>
  <c r="AF14" i="1" s="1"/>
  <c r="AE28" i="1"/>
  <c r="AF28" i="1" s="1"/>
  <c r="AE25" i="1"/>
  <c r="AF25" i="1" s="1"/>
  <c r="AA4" i="1"/>
  <c r="AB4" i="1" s="1"/>
  <c r="AE4" i="1"/>
  <c r="AF4" i="1" s="1"/>
  <c r="AE9" i="1"/>
  <c r="AF9" i="1" s="1"/>
  <c r="AE15" i="1"/>
  <c r="AF15" i="1" s="1"/>
</calcChain>
</file>

<file path=xl/sharedStrings.xml><?xml version="1.0" encoding="utf-8"?>
<sst xmlns="http://schemas.openxmlformats.org/spreadsheetml/2006/main" count="474" uniqueCount="173">
  <si>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</si>
  <si>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</si>
  <si>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</si>
  <si>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</si>
  <si>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</si>
  <si>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</si>
  <si>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</si>
  <si>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</si>
  <si>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</si>
  <si>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</si>
  <si>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</si>
  <si>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</si>
  <si>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</si>
  <si>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</si>
  <si>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</si>
  <si>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</si>
  <si>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</si>
  <si>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</si>
  <si>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</si>
  <si>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</si>
  <si>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</si>
  <si>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</si>
  <si>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</si>
  <si>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</si>
  <si>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</si>
  <si>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</si>
  <si>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</si>
  <si>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</si>
  <si>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</si>
  <si>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</si>
  <si>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</si>
  <si>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</si>
  <si>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</si>
  <si>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</si>
  <si>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</si>
  <si>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</si>
  <si>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</si>
  <si>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</si>
  <si>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</si>
  <si>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</si>
  <si>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</si>
  <si>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</si>
  <si>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</si>
  <si>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</si>
  <si>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</si>
  <si>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</si>
  <si>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</si>
  <si>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</si>
  <si>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</si>
  <si>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</si>
  <si>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</si>
  <si>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</si>
  <si>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</si>
  <si>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</si>
  <si>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</si>
  <si>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</si>
  <si>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J055LY</t>
  </si>
  <si>
    <t>J416NC</t>
  </si>
  <si>
    <t>526536</t>
  </si>
  <si>
    <t>526545</t>
  </si>
  <si>
    <t>526572</t>
  </si>
  <si>
    <t>JX4143</t>
  </si>
  <si>
    <t>JX4144</t>
  </si>
  <si>
    <t>JX4145</t>
  </si>
  <si>
    <t>新No.</t>
    <rPh sb="0" eb="1">
      <t>シン</t>
    </rPh>
    <phoneticPr fontId="2"/>
  </si>
  <si>
    <t>34/235</t>
  </si>
  <si>
    <t>34/59</t>
  </si>
  <si>
    <t>34/94</t>
  </si>
  <si>
    <t>34/317</t>
  </si>
  <si>
    <t>ﾌﾟﾗｽ/ﾛｰﾗｰｹｼﾎﾟﾝ ﾜｲﾄﾞ IS-510CM ﾎﾜｲﾄ/38-130</t>
  </si>
  <si>
    <t>ﾌﾟﾗｽ/ﾛｰﾗｰｹｼﾎﾟﾝ ﾜｲﾄﾞ IS-510CM ｸﾞﾘｰﾝ/38-131</t>
  </si>
  <si>
    <t>ﾌﾟﾗｽ/ﾛｰﾗｰｹｼﾎﾟﾝ ﾜｲﾄﾞ IS-510CM ﾌﾞﾙｰ/38-132</t>
  </si>
  <si>
    <t>ﾌﾟﾗｽ/ﾛｰﾗｰｹｼﾎﾟﾝ ﾜｲﾄﾞ IS-510CM ﾋﾟﾝｸ/38-133</t>
  </si>
  <si>
    <t>ﾌﾟﾗｽ/ﾛｰﾗｰｹｼﾎﾟﾝ ﾜｲﾄﾞ IS-510CM ｲｴﾛｰ/38-134</t>
  </si>
  <si>
    <t>ﾌﾟﾗｽ/ﾛｰﾗｰｹｼﾎﾟﾝﾜｲﾄﾞ専用ｲﾝｸｶｰﾄﾘｯｼﾞ IS-017CM/38-129</t>
  </si>
  <si>
    <t>ﾌﾟﾗｽ/1行ｹｼﾎﾟﾝ(本体) 4mm幅 ﾎﾜｲﾄ/IS-440CM</t>
  </si>
  <si>
    <t>ﾌﾟﾗｽ/1行ｹｼﾎﾟﾝ(本体) 4mm幅 ｸﾞﾘｰﾝ/IS-440CM</t>
  </si>
  <si>
    <t>ﾌﾟﾗｽ/1行ｹｼﾎﾟﾝ(本体) 5mm幅 ﾈｲﾋﾞｰ/IS-450CM</t>
  </si>
  <si>
    <t>ﾌﾟﾗｽ/1行ｹｼﾎﾟﾝ(本体) 5mm幅 ﾋﾟﾝｸ/IS-450CM</t>
  </si>
  <si>
    <t>ﾌﾟﾗｽ/1行ｹｼﾎﾟﾝ(4mm)専用交換ﾃｰﾌﾟ/IS-040CM</t>
  </si>
  <si>
    <t>ﾌﾟﾗｽ/1行ｹｼﾎﾟﾝ(5mm)専用交換ﾃｰﾌﾟ/IS-050CM</t>
  </si>
  <si>
    <t>G)ﾌﾟﾗｽ/差替ﾘﾌｨﾙ 1ﾎﾟｹｯﾄ A4 2･4･30穴 100枚 透明</t>
  </si>
  <si>
    <t>ﾌﾟﾗｽ/ｸﾘｱｰﾎﾙﾀﾞｰ〈ﾊﾟｯｸ品〉徳用 A4ﾀﾃ ｸﾘｱｰ 100枚</t>
  </si>
  <si>
    <t>ﾌﾟﾗｽ/ｸﾘｱｰﾎﾙﾀﾞｰ 抗菌 A4 10枚 76200</t>
  </si>
  <si>
    <t>ﾌﾟﾗｽ/ぴったりすっきりﾎﾙﾀﾞｰ 長3 ｸﾘｱｰ 10枚 FL-220HO</t>
  </si>
  <si>
    <t>ﾌﾟﾗｽ/ぴったりすっきりﾎﾙﾀﾞｰ 長3 ﾌﾞﾙｰ 10枚 FL-220HO</t>
  </si>
  <si>
    <t>ﾌﾟﾗｽ/ぴったりすっきりﾎﾙﾀﾞｰ 長4 ｸﾘｱｰ 10枚 FL-221HO</t>
  </si>
  <si>
    <t>ﾌﾟﾗｽ/ｶﾓﾌﾗｰｼﾞｭﾎﾙﾀﾞｰ A4 ｶﾗｰｱｿｰﾄ 5枚/89426FL127CH5P</t>
  </si>
  <si>
    <t>ﾌﾟﾗｽ/2WAYﾎﾙﾀﾞｰ A4(A3二つ折り) ﾌﾞﾙｰ FL-116CH/88741</t>
  </si>
  <si>
    <t>ﾌﾟﾗｽ/2WAYﾎﾙﾀﾞｰ A4(A3二つ折り) ﾚｯﾄﾞ/88742/FL-116CH</t>
  </si>
  <si>
    <t>ﾌﾟﾗｽ/2WAYﾎﾙﾀﾞｰ A4(A3二つ折り) ﾎﾜｲﾄ/88743/FL-116CH</t>
  </si>
  <si>
    <t>ﾌﾟﾗｽ/ｼﾝﾌﾟﾙﾜｰｸ ﾎﾟｹｯﾄ付ｴﾝﾍﾞﾛｰﾌﾟ(ﾏﾁ付き)A4ﾀﾃ ｸﾘｱ 10枚</t>
  </si>
  <si>
    <t>ﾌﾟﾗｽ/ｼﾝﾌﾟﾙﾜｰｸ ﾎﾟｹｯﾄ付ｴﾝﾍﾞﾛｰﾌﾟ(ﾏﾁ付き)A4ﾖｺ ﾌﾞﾙｰ10枚</t>
  </si>
  <si>
    <t>ﾌﾟﾗｽ/ｼﾝﾌﾟﾙﾜｰｸ ﾎﾟｹｯﾄ付ｴﾝﾍﾞﾛｰﾌﾟ(ﾏﾁ付き)A4ﾖｺ ｸﾘｱ 10枚</t>
  </si>
  <si>
    <t>G)ﾌﾟﾗｽ/ﾜﾝﾀｯﾁｽﾄｯｶｰ[D型]ﾌﾀ式 A4･B4用 10枚</t>
  </si>
  <si>
    <t>G)ﾌﾟﾗｽ/ﾜﾝﾀｯﾁｽﾄｯｶｰ[D型]ﾌﾀ式 A4用 10枚</t>
  </si>
  <si>
    <t>荷姿</t>
    <rPh sb="0" eb="2">
      <t>ニスガタ</t>
    </rPh>
    <phoneticPr fontId="2"/>
  </si>
  <si>
    <t>キー</t>
    <phoneticPr fontId="2"/>
  </si>
  <si>
    <t>ﾌﾟﾗｽ/ぴったりすっきりﾎﾙﾀﾞｰ 長3 ｸﾘｱｰ 100枚 FL-220HO</t>
  </si>
  <si>
    <t>ﾌﾟﾗｽ/ぴったりすっきりﾎﾙﾀﾞｰ 長3 ﾌﾞﾙｰ 100枚 FL-220HO</t>
  </si>
  <si>
    <t>ﾌﾟﾗｽ/ぴったりすっきりﾎﾙﾀﾞｰ 長4 ｸﾘｱｰ 100枚 FL-221HO</t>
  </si>
  <si>
    <t>ｱｽｸﾙ
ｽﾗｲﾄﾞ</t>
    <phoneticPr fontId="2"/>
  </si>
  <si>
    <t>-</t>
  </si>
  <si>
    <t>改定日</t>
    <rPh sb="0" eb="3">
      <t>カイテイビ</t>
    </rPh>
    <phoneticPr fontId="2"/>
  </si>
  <si>
    <t>プラス ローラーケシポンワイド ホワイト 白 個人情報保護スタンプ IS-510CM 38130</t>
  </si>
  <si>
    <t>プラス ローラーケシポンワイド IS-510CM グリーン 1個</t>
  </si>
  <si>
    <t>プラス ローラーケシポンワイド ブルー IS-510CM 1個</t>
  </si>
  <si>
    <t>プラス ローラーケシポンワイド ピンク IS-510CM</t>
  </si>
  <si>
    <t>プラス ローラーケシポンワイド イエロー IS-510CM 1個</t>
  </si>
  <si>
    <t>プラス　ローラーケシポンワイド　専用インクカートリッジ　IS-017CM</t>
  </si>
  <si>
    <t>プラス　1行ケシポン　4mm幅　ホワイト　IS-440CM</t>
  </si>
  <si>
    <t>プラス　1行ケシポン　4mm幅　グリーン　IS-440CM</t>
  </si>
  <si>
    <t>プラス　1行ケシポン　5mm幅　ピンク　IS-450CM</t>
  </si>
  <si>
    <t>プラス 1行ケシポン交換テープ IS-050CM 1個</t>
  </si>
  <si>
    <t>プラス リフィールA4 30穴 100枚 RE-161RW-100P 1パック</t>
  </si>
  <si>
    <t>プラス クリアーホルダー A4 100枚 ファイル FL-170HO-100 88106</t>
  </si>
  <si>
    <t>プラス　ぴったりすっきりホルダー　長形3号　クリアー　透明　1セット（20枚：10枚入×2袋）　ファイル　88256</t>
  </si>
  <si>
    <t>プラス カモフラージュホルダー FL-127CH-5P 混色 1パック（5冊）</t>
  </si>
  <si>
    <t>プラス SW2WAYH 116CH A4（見開きA3） BL FL-116CH 1セット（5冊）（直送品）</t>
  </si>
  <si>
    <t>プラス SW2WAYH RD 116CH FL-116CH 1冊</t>
  </si>
  <si>
    <t>プラス 2WAYホルダー A4/A3 ホワイト FL-116CH WH 1冊</t>
  </si>
  <si>
    <t>プラス シンプルワーク ポケット付エンベロープ A4タテ マチ付 クリア 透明 3枚入 ファイル 88274</t>
  </si>
  <si>
    <t>プラス　シンプルワーク　ポケット付エンベロープマチ付　A4ヨコ　ブルー　88571　1袋（10枚入）</t>
  </si>
  <si>
    <t>プラス　シンプルワーク　ポケット付エンベロープ　A4ヨコ　マチ付　クリア　透明　3枚入　ファイル　88574</t>
  </si>
  <si>
    <t>プラス　ぴったりすっきりホルダー　長形3号　クリアー　透明　1箱（100枚：10枚入×10袋）　ファイル　88256</t>
  </si>
  <si>
    <t>1個</t>
  </si>
  <si>
    <t>5794895</t>
  </si>
  <si>
    <t>J086371</t>
  </si>
  <si>
    <t>J086372</t>
  </si>
  <si>
    <t>5794901</t>
  </si>
  <si>
    <t>AX33329</t>
  </si>
  <si>
    <t>5794886</t>
  </si>
  <si>
    <t>9405387</t>
  </si>
  <si>
    <t>9419506</t>
  </si>
  <si>
    <t>8190144</t>
  </si>
  <si>
    <t>8251437</t>
  </si>
  <si>
    <t>8235863</t>
  </si>
  <si>
    <t>A798374</t>
  </si>
  <si>
    <t>1冊</t>
  </si>
  <si>
    <t>J081130</t>
  </si>
  <si>
    <t>1パック</t>
  </si>
  <si>
    <t>1袋（10枚入）</t>
  </si>
  <si>
    <t>J485775</t>
  </si>
  <si>
    <t>J473880</t>
  </si>
  <si>
    <t>1セット（20枚</t>
  </si>
  <si>
    <t>1パック（5冊）</t>
  </si>
  <si>
    <t>EK40058</t>
  </si>
  <si>
    <t>N981447</t>
  </si>
  <si>
    <t>1セット（5冊）</t>
  </si>
  <si>
    <t>RX46016</t>
  </si>
  <si>
    <t>XN21724</t>
  </si>
  <si>
    <t>585669</t>
  </si>
  <si>
    <t>1パック（3枚入）</t>
  </si>
  <si>
    <t>9483786</t>
  </si>
  <si>
    <t>585650</t>
  </si>
  <si>
    <t>1セット（3枚</t>
  </si>
  <si>
    <t>008045</t>
  </si>
  <si>
    <t>1箱（10枚入）</t>
  </si>
  <si>
    <t>008054</t>
  </si>
  <si>
    <t>J473881</t>
  </si>
  <si>
    <t>1箱（100枚</t>
  </si>
  <si>
    <t>5月売価</t>
    <rPh sb="1" eb="2">
      <t>ガツ</t>
    </rPh>
    <rPh sb="2" eb="4">
      <t>バイカ</t>
    </rPh>
    <phoneticPr fontId="2"/>
  </si>
  <si>
    <t>プラス　1行ケシポン　5mm幅　ネイビー　IS-450CM</t>
  </si>
  <si>
    <t>プラス　1行ケシポン　4mm幅専用交換テープ　IS-040CM</t>
  </si>
  <si>
    <t>プラス 文書保存箱 ワンタッチストッカー D型フタ式 A4／B4用 書類収納 ダンボール 10枚 40076</t>
  </si>
  <si>
    <t>プラス 文書保存箱 ワンタッチストッカー D型フタ式 A4用 書類収納 ダンボール 10枚 40077</t>
  </si>
  <si>
    <t>5月
たの</t>
    <rPh sb="1" eb="2">
      <t>ガツ</t>
    </rPh>
    <phoneticPr fontId="2"/>
  </si>
  <si>
    <t>5月
カウ</t>
    <rPh sb="1" eb="2">
      <t>ガツ</t>
    </rPh>
    <phoneticPr fontId="2"/>
  </si>
  <si>
    <t>たの
ｽﾗｲﾄﾞ</t>
    <phoneticPr fontId="2"/>
  </si>
  <si>
    <t>カウ
ｽﾗｲﾄﾞ</t>
    <phoneticPr fontId="2"/>
  </si>
  <si>
    <t>6売価</t>
    <rPh sb="1" eb="3">
      <t>バイカ</t>
    </rPh>
    <phoneticPr fontId="2"/>
  </si>
  <si>
    <t>6月
たの</t>
    <rPh sb="1" eb="2">
      <t>ガツ</t>
    </rPh>
    <phoneticPr fontId="2"/>
  </si>
  <si>
    <t>6
カウ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</si>
</sst>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178" fontId="0" fillId="0" borderId="0" xfId="0" applyNumberFormat="1">
      <alignment vertical="center"/>
    </xf>
    <xf numFmtId="0" fontId="0" fillId="2" borderId="18" xfId="0" applyFill="1" applyBorder="1">
      <alignment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8" xfId="0" applyBorder="1">
      <alignment vertical="center"/>
    </xf>
    <xf numFmtId="0" fontId="0" fillId="7" borderId="4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33"/>
  <sheetViews>
    <sheetView tabSelected="1" zoomScale="90" zoomScaleNormal="90" workbookViewId="0">
      <pane xSplit="7" ySplit="3" topLeftCell="N8" activePane="bottomRight" state="frozen"/>
      <selection pane="topRight" activeCell="G1" sqref="G1"/>
      <selection pane="bottomLeft" activeCell="A5" sqref="A5"/>
      <selection pane="bottomRight" activeCell="AG14" sqref="AG14"/>
    </sheetView>
  </sheetViews>
  <sheetFormatPr defaultRowHeight="18.75" outlineLevelCol="1" x14ac:dyDescent="0.4"/>
  <cols>
    <col min="6" max="6" width="48.375" customWidth="1"/>
    <col min="7" max="7" width="15.5" bestFit="1" customWidth="1"/>
    <col min="8" max="9" width="7.5" bestFit="1" customWidth="1"/>
    <col min="10" max="11" width="7.5" hidden="1" customWidth="1" outlineLevel="1"/>
    <col min="12" max="12" width="7.625" customWidth="1" collapsed="1"/>
    <col min="13" max="16" width="7.625" customWidth="1"/>
    <col min="17" max="21" width="7.625" hidden="1" customWidth="1" outlineLevel="1"/>
    <col min="22" max="22" width="7.625" customWidth="1" collapsed="1"/>
    <col min="23" max="25" width="7.625" customWidth="1"/>
    <col min="26" max="26" width="4.375" customWidth="1" collapsed="1"/>
    <col min="27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47" width="7.625" customWidth="1" outlineLevel="1"/>
    <col min="48" max="51" width="7.625" customWidth="1"/>
    <col min="52" max="52" width="16.25" customWidth="1"/>
    <col min="53" max="54" width="8.625" customWidth="1"/>
    <col min="55" max="66" width="7.625" customWidth="1"/>
  </cols>
  <sheetData>
    <row r="1" spans="1:67" x14ac:dyDescent="0.4">
      <c r="C1" s="28" t="s">
        <v>46</v>
      </c>
      <c r="V1" s="42" t="s">
        <v>43</v>
      </c>
      <c r="W1" s="43"/>
      <c r="X1" s="43"/>
      <c r="Y1" s="44"/>
    </row>
    <row r="2" spans="1:67" x14ac:dyDescent="0.4">
      <c r="C2" s="8" t="s">
        <v>30</v>
      </c>
      <c r="D2" s="9" t="s">
        <v>31</v>
      </c>
      <c r="E2" s="9" t="s">
        <v>32</v>
      </c>
      <c r="F2" s="10"/>
      <c r="G2" s="10"/>
      <c r="H2" s="30"/>
      <c r="I2" s="30"/>
      <c r="J2" s="39" t="s">
        <v>33</v>
      </c>
      <c r="K2" s="41"/>
      <c r="L2" s="39" t="s">
        <v>2</v>
      </c>
      <c r="M2" s="40"/>
      <c r="N2" s="40"/>
      <c r="O2" s="41"/>
      <c r="P2" s="11"/>
      <c r="Q2" s="29"/>
      <c r="R2" s="29"/>
      <c r="S2" s="29"/>
      <c r="T2" s="29"/>
      <c r="U2" s="29"/>
      <c r="V2" s="22"/>
      <c r="W2" s="23" t="s">
        <v>36</v>
      </c>
      <c r="X2" s="23"/>
      <c r="Y2" s="24" t="s">
        <v>36</v>
      </c>
      <c r="Z2" s="10"/>
      <c r="AA2" s="9" t="s">
        <v>41</v>
      </c>
      <c r="AB2" s="11"/>
      <c r="AC2" s="11"/>
      <c r="AD2" s="11"/>
      <c r="AE2" s="11"/>
      <c r="AF2" s="11"/>
      <c r="AG2" s="21" t="s">
        <v>44</v>
      </c>
      <c r="AH2" s="11"/>
      <c r="AI2" s="11"/>
      <c r="AJ2" s="26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>
        <v>51</v>
      </c>
      <c r="BE2">
        <v>14</v>
      </c>
      <c r="BF2">
        <v>28</v>
      </c>
    </row>
    <row r="3" spans="1:67" ht="75" x14ac:dyDescent="0.4">
      <c r="A3" s="1" t="s">
        <v>53</v>
      </c>
      <c r="B3" s="1" t="s">
        <v>64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2" t="s">
        <v>96</v>
      </c>
      <c r="I3" s="2" t="s">
        <v>97</v>
      </c>
      <c r="J3" s="12" t="s">
        <v>27</v>
      </c>
      <c r="K3" s="12" t="s">
        <v>28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50</v>
      </c>
      <c r="Q3" s="12" t="s">
        <v>20</v>
      </c>
      <c r="R3" s="12" t="s">
        <v>21</v>
      </c>
      <c r="S3" s="12" t="s">
        <v>51</v>
      </c>
      <c r="T3" s="12" t="s">
        <v>23</v>
      </c>
      <c r="U3" s="12" t="s">
        <v>24</v>
      </c>
      <c r="V3" s="12" t="s">
        <v>3</v>
      </c>
      <c r="W3" s="12" t="s">
        <v>25</v>
      </c>
      <c r="X3" s="2" t="s">
        <v>5</v>
      </c>
      <c r="Y3" s="12" t="s">
        <v>26</v>
      </c>
      <c r="Z3" s="14" t="s">
        <v>6</v>
      </c>
      <c r="AA3" s="19" t="s">
        <v>17</v>
      </c>
      <c r="AB3" s="2" t="s">
        <v>16</v>
      </c>
      <c r="AC3" s="2" t="s">
        <v>47</v>
      </c>
      <c r="AD3" s="12" t="s">
        <v>42</v>
      </c>
      <c r="AE3" s="12" t="s">
        <v>101</v>
      </c>
      <c r="AF3" s="2" t="s">
        <v>16</v>
      </c>
      <c r="AG3" s="13" t="s">
        <v>34</v>
      </c>
      <c r="AH3" s="2" t="s">
        <v>16</v>
      </c>
      <c r="AI3" s="2" t="s">
        <v>35</v>
      </c>
      <c r="AJ3" s="25" t="s">
        <v>37</v>
      </c>
      <c r="AK3" s="12" t="s">
        <v>38</v>
      </c>
      <c r="AL3" s="12" t="s">
        <v>39</v>
      </c>
      <c r="AM3" s="12" t="s">
        <v>29</v>
      </c>
      <c r="AN3" s="12" t="s">
        <v>40</v>
      </c>
      <c r="AO3" s="12" t="s">
        <v>18</v>
      </c>
      <c r="AP3" s="12" t="s">
        <v>19</v>
      </c>
      <c r="AQ3" s="12" t="s">
        <v>20</v>
      </c>
      <c r="AR3" s="12" t="s">
        <v>21</v>
      </c>
      <c r="AS3" s="12" t="s">
        <v>22</v>
      </c>
      <c r="AT3" s="12" t="s">
        <v>23</v>
      </c>
      <c r="AU3" s="12" t="s">
        <v>24</v>
      </c>
      <c r="AV3" s="2" t="s">
        <v>11</v>
      </c>
      <c r="AW3" s="2" t="s">
        <v>12</v>
      </c>
      <c r="AX3" s="2" t="s">
        <v>13</v>
      </c>
      <c r="AY3" s="2" t="s">
        <v>14</v>
      </c>
      <c r="AZ3" s="12" t="s">
        <v>45</v>
      </c>
      <c r="BA3" s="12" t="s">
        <v>55</v>
      </c>
      <c r="BB3" s="2" t="s">
        <v>161</v>
      </c>
      <c r="BC3" s="2" t="s">
        <v>170</v>
      </c>
      <c r="BD3" s="2" t="s">
        <v>15</v>
      </c>
      <c r="BE3" s="17" t="s">
        <v>48</v>
      </c>
      <c r="BF3" s="17" t="s">
        <v>49</v>
      </c>
      <c r="BG3" s="15" t="s">
        <v>54</v>
      </c>
      <c r="BH3" s="34" t="s">
        <v>103</v>
      </c>
      <c r="BI3" s="37" t="s">
        <v>166</v>
      </c>
      <c r="BJ3" s="35" t="s">
        <v>171</v>
      </c>
      <c r="BK3" s="36" t="s">
        <v>168</v>
      </c>
      <c r="BL3" s="36" t="s">
        <v>167</v>
      </c>
      <c r="BM3" s="36" t="s">
        <v>172</v>
      </c>
      <c r="BN3" s="36" t="s">
        <v>169</v>
      </c>
      <c r="BO3" t="s">
        <v>52</v>
      </c>
    </row>
    <row r="4" spans="1:67" x14ac:dyDescent="0.4">
      <c r="A4" s="3">
        <v>22</v>
      </c>
      <c r="B4" s="3">
        <v>22</v>
      </c>
      <c r="C4" s="4">
        <v>665107</v>
      </c>
      <c r="D4" s="4" t="str">
        <f t="shared" ref="D4:D9" si="0">TEXT(C4,"000000")</f>
        <v>665107</v>
      </c>
      <c r="E4" s="4">
        <v>665107</v>
      </c>
      <c r="F4" s="4" t="s">
        <v>69</v>
      </c>
      <c r="G4" s="5">
        <v>4977564526504</v>
      </c>
      <c r="H4" s="5">
        <v>5</v>
      </c>
      <c r="I4" s="5" t="str">
        <f t="shared" ref="I4:I15" si="1">C4&amp;H4</f>
        <v>6651075</v>
      </c>
      <c r="J4" s="5">
        <v>1</v>
      </c>
      <c r="K4" s="5">
        <v>1</v>
      </c>
      <c r="L4" s="4">
        <v>1500</v>
      </c>
      <c r="M4" s="4">
        <v>1200</v>
      </c>
      <c r="N4" s="4">
        <v>750</v>
      </c>
      <c r="O4" s="6">
        <f t="shared" ref="O4:O15" si="2">1-N4/M4</f>
        <v>0.375</v>
      </c>
      <c r="P4" s="4" t="s">
        <v>102</v>
      </c>
      <c r="Q4" s="4" t="s">
        <v>102</v>
      </c>
      <c r="R4" s="4" t="s">
        <v>102</v>
      </c>
      <c r="S4" s="4" t="s">
        <v>102</v>
      </c>
      <c r="T4" s="4" t="s">
        <v>102</v>
      </c>
      <c r="U4" s="4" t="s">
        <v>102</v>
      </c>
      <c r="V4" s="4">
        <v>1570</v>
      </c>
      <c r="W4" s="4">
        <f t="shared" ref="W4:W15" si="3">IF(Z4="",V4,V4*Z4)</f>
        <v>1570</v>
      </c>
      <c r="X4" s="4">
        <v>785</v>
      </c>
      <c r="Y4" s="4">
        <f t="shared" ref="Y4:Y15" si="4">IF(Z4="",X4,X4*Z4)</f>
        <v>785</v>
      </c>
      <c r="Z4" s="4"/>
      <c r="AA4" s="20">
        <f t="shared" ref="AA4:AA15" si="5">ROUND(M4*AO4,0)</f>
        <v>1256</v>
      </c>
      <c r="AB4" s="6">
        <f t="shared" ref="AB4:AB15" si="6">1-Y4/AA4</f>
        <v>0.375</v>
      </c>
      <c r="AC4" s="38">
        <v>11</v>
      </c>
      <c r="AD4" s="4">
        <f t="shared" ref="AD4:AD15" si="7">BD4</f>
        <v>1146</v>
      </c>
      <c r="AE4" s="4">
        <f t="shared" ref="AE4:AE15" si="8">AD4*AO4</f>
        <v>1199.48</v>
      </c>
      <c r="AF4" s="6">
        <f t="shared" ref="AF4:AF15" si="9">1-Y4/AE4</f>
        <v>0.34554973821989532</v>
      </c>
      <c r="AG4" s="7">
        <v>1200</v>
      </c>
      <c r="AH4" s="6">
        <f t="shared" ref="AH4:AH15" si="10">1-Y4/AG4</f>
        <v>0.34583333333333333</v>
      </c>
      <c r="AI4" s="4">
        <f t="shared" ref="AI4:AI15" si="11">AG4-Y4</f>
        <v>415</v>
      </c>
      <c r="AJ4" s="27"/>
      <c r="AK4" s="6"/>
      <c r="AL4" s="6"/>
      <c r="AM4" s="6">
        <f t="shared" ref="AM4:AM15" si="12">W4/L4</f>
        <v>1.0466666666666666</v>
      </c>
      <c r="AN4" s="6">
        <f t="shared" ref="AN4:AN15" si="13">AG4/M4</f>
        <v>1</v>
      </c>
      <c r="AO4" s="6">
        <f t="shared" ref="AO4:AO15" si="14">Y4/N4</f>
        <v>1.0466666666666666</v>
      </c>
      <c r="AP4" s="4" t="str">
        <f t="shared" ref="AP4:AP15" si="15">IFERROR(ROUND($AG4*P4/$M4,0),"-")</f>
        <v>-</v>
      </c>
      <c r="AQ4" s="4" t="str">
        <f t="shared" ref="AQ4:AQ15" si="16">IF(Q4="","-",Q4)</f>
        <v>-</v>
      </c>
      <c r="AR4" s="4" t="str">
        <f t="shared" ref="AR4:AR15" si="17">IF(R4="","-",R4)</f>
        <v>-</v>
      </c>
      <c r="AS4" s="4" t="str">
        <f t="shared" ref="AS4:AS15" si="18">IFERROR(ROUND($AG4*S4/$M4,0),"-")</f>
        <v>-</v>
      </c>
      <c r="AT4" s="4" t="str">
        <f t="shared" ref="AT4:AT15" si="19">IF(T4="","-",T4)</f>
        <v>-</v>
      </c>
      <c r="AU4" s="4" t="str">
        <f t="shared" ref="AU4:AU15" si="20">IF(U4="","-",U4)</f>
        <v>-</v>
      </c>
      <c r="AV4" s="4" t="s">
        <v>65</v>
      </c>
      <c r="AW4" s="4" t="s">
        <v>126</v>
      </c>
      <c r="AX4" s="4"/>
      <c r="AY4" s="4"/>
      <c r="AZ4" s="4" t="s">
        <v>125</v>
      </c>
      <c r="BA4" s="4">
        <v>1146</v>
      </c>
      <c r="BB4" s="4">
        <v>1146</v>
      </c>
      <c r="BC4" s="4">
        <v>1146</v>
      </c>
      <c r="BD4" s="4">
        <f t="shared" ref="BD4:BD15" si="21">IF(AX4="",BC4,AX4/AY4*BC4)</f>
        <v>1146</v>
      </c>
      <c r="BE4" s="18">
        <v>4</v>
      </c>
      <c r="BF4" s="18">
        <v>1</v>
      </c>
      <c r="BG4" s="16">
        <v>7</v>
      </c>
      <c r="BH4" s="33">
        <v>46204</v>
      </c>
      <c r="BI4">
        <v>1164</v>
      </c>
      <c r="BJ4" t="s">
        <v>102</v>
      </c>
      <c r="BK4" t="str">
        <f t="shared" ref="BK4:BK15" si="22">IFERROR(BJ4*AO4,"-")</f>
        <v>-</v>
      </c>
      <c r="BL4">
        <v>1387</v>
      </c>
      <c r="BM4">
        <v>1387</v>
      </c>
      <c r="BN4">
        <f t="shared" ref="BN4:BN15" si="23">IFERROR(BM4*AO4,"-")</f>
        <v>1451.7266666666667</v>
      </c>
      <c r="BO4" s="4" t="s">
        <v>104</v>
      </c>
    </row>
    <row r="5" spans="1:67" x14ac:dyDescent="0.4">
      <c r="A5" s="3">
        <v>23</v>
      </c>
      <c r="B5" s="3">
        <v>23</v>
      </c>
      <c r="C5" s="4">
        <v>665108</v>
      </c>
      <c r="D5" s="4" t="str">
        <f t="shared" si="0"/>
        <v>665108</v>
      </c>
      <c r="E5" s="4">
        <v>665108</v>
      </c>
      <c r="F5" s="4" t="s">
        <v>70</v>
      </c>
      <c r="G5" s="5">
        <v>4977564526511</v>
      </c>
      <c r="H5" s="5">
        <v>5</v>
      </c>
      <c r="I5" s="5" t="str">
        <f t="shared" si="1"/>
        <v>6651085</v>
      </c>
      <c r="J5" s="5">
        <v>1</v>
      </c>
      <c r="K5" s="5">
        <v>1</v>
      </c>
      <c r="L5" s="4">
        <v>1500</v>
      </c>
      <c r="M5" s="4">
        <v>1200</v>
      </c>
      <c r="N5" s="4">
        <v>750</v>
      </c>
      <c r="O5" s="6">
        <f t="shared" si="2"/>
        <v>0.375</v>
      </c>
      <c r="P5" s="4" t="s">
        <v>102</v>
      </c>
      <c r="Q5" s="4" t="s">
        <v>102</v>
      </c>
      <c r="R5" s="4" t="s">
        <v>102</v>
      </c>
      <c r="S5" s="4" t="s">
        <v>102</v>
      </c>
      <c r="T5" s="4" t="s">
        <v>102</v>
      </c>
      <c r="U5" s="4" t="s">
        <v>102</v>
      </c>
      <c r="V5" s="4">
        <v>1570</v>
      </c>
      <c r="W5" s="4">
        <f t="shared" si="3"/>
        <v>1570</v>
      </c>
      <c r="X5" s="4">
        <v>785</v>
      </c>
      <c r="Y5" s="4">
        <f t="shared" si="4"/>
        <v>785</v>
      </c>
      <c r="Z5" s="4"/>
      <c r="AA5" s="20">
        <f t="shared" si="5"/>
        <v>1256</v>
      </c>
      <c r="AB5" s="6">
        <f t="shared" si="6"/>
        <v>0.375</v>
      </c>
      <c r="AC5" s="38">
        <v>0.75</v>
      </c>
      <c r="AD5" s="4">
        <f t="shared" si="7"/>
        <v>1573</v>
      </c>
      <c r="AE5" s="4">
        <f t="shared" si="8"/>
        <v>1646.4066666666665</v>
      </c>
      <c r="AF5" s="6">
        <f t="shared" si="9"/>
        <v>0.52320406865861413</v>
      </c>
      <c r="AG5" s="7">
        <v>1200</v>
      </c>
      <c r="AH5" s="6">
        <f t="shared" si="10"/>
        <v>0.34583333333333333</v>
      </c>
      <c r="AI5" s="4">
        <f t="shared" si="11"/>
        <v>415</v>
      </c>
      <c r="AJ5" s="27"/>
      <c r="AK5" s="6"/>
      <c r="AL5" s="6"/>
      <c r="AM5" s="6">
        <f t="shared" si="12"/>
        <v>1.0466666666666666</v>
      </c>
      <c r="AN5" s="6">
        <f t="shared" si="13"/>
        <v>1</v>
      </c>
      <c r="AO5" s="6">
        <f t="shared" si="14"/>
        <v>1.0466666666666666</v>
      </c>
      <c r="AP5" s="4" t="str">
        <f t="shared" si="15"/>
        <v>-</v>
      </c>
      <c r="AQ5" s="4" t="str">
        <f t="shared" si="16"/>
        <v>-</v>
      </c>
      <c r="AR5" s="4" t="str">
        <f t="shared" si="17"/>
        <v>-</v>
      </c>
      <c r="AS5" s="4" t="str">
        <f t="shared" si="18"/>
        <v>-</v>
      </c>
      <c r="AT5" s="4" t="str">
        <f t="shared" si="19"/>
        <v>-</v>
      </c>
      <c r="AU5" s="4" t="str">
        <f t="shared" si="20"/>
        <v>-</v>
      </c>
      <c r="AV5" s="4" t="s">
        <v>65</v>
      </c>
      <c r="AW5" s="4" t="s">
        <v>127</v>
      </c>
      <c r="AX5" s="4"/>
      <c r="AY5" s="4"/>
      <c r="AZ5" s="4" t="s">
        <v>125</v>
      </c>
      <c r="BA5" s="4">
        <v>1573</v>
      </c>
      <c r="BB5" s="4">
        <v>1573</v>
      </c>
      <c r="BC5" s="4">
        <v>1573</v>
      </c>
      <c r="BD5" s="4">
        <f t="shared" si="21"/>
        <v>1573</v>
      </c>
      <c r="BE5" s="18">
        <v>4</v>
      </c>
      <c r="BF5" s="18">
        <v>1</v>
      </c>
      <c r="BG5" s="16">
        <v>7</v>
      </c>
      <c r="BH5" s="33">
        <v>46204</v>
      </c>
      <c r="BI5" t="s">
        <v>102</v>
      </c>
      <c r="BJ5" t="s">
        <v>102</v>
      </c>
      <c r="BK5" t="str">
        <f t="shared" si="22"/>
        <v>-</v>
      </c>
      <c r="BL5">
        <v>1387</v>
      </c>
      <c r="BM5">
        <v>1387</v>
      </c>
      <c r="BN5">
        <f t="shared" si="23"/>
        <v>1451.7266666666667</v>
      </c>
      <c r="BO5" s="4" t="s">
        <v>105</v>
      </c>
    </row>
    <row r="6" spans="1:67" x14ac:dyDescent="0.4">
      <c r="A6" s="3">
        <v>24</v>
      </c>
      <c r="B6" s="3">
        <v>24</v>
      </c>
      <c r="C6" s="4">
        <v>665110</v>
      </c>
      <c r="D6" s="4" t="str">
        <f t="shared" si="0"/>
        <v>665110</v>
      </c>
      <c r="E6" s="4">
        <v>665110</v>
      </c>
      <c r="F6" s="4" t="s">
        <v>71</v>
      </c>
      <c r="G6" s="5">
        <v>4977564526528</v>
      </c>
      <c r="H6" s="5">
        <v>5</v>
      </c>
      <c r="I6" s="5" t="str">
        <f t="shared" si="1"/>
        <v>6651105</v>
      </c>
      <c r="J6" s="5">
        <v>1</v>
      </c>
      <c r="K6" s="5">
        <v>1</v>
      </c>
      <c r="L6" s="4">
        <v>1500</v>
      </c>
      <c r="M6" s="4">
        <v>1200</v>
      </c>
      <c r="N6" s="4">
        <v>750</v>
      </c>
      <c r="O6" s="6">
        <f t="shared" si="2"/>
        <v>0.375</v>
      </c>
      <c r="P6" s="4" t="s">
        <v>102</v>
      </c>
      <c r="Q6" s="4" t="s">
        <v>102</v>
      </c>
      <c r="R6" s="4" t="s">
        <v>102</v>
      </c>
      <c r="S6" s="4" t="s">
        <v>102</v>
      </c>
      <c r="T6" s="4" t="s">
        <v>102</v>
      </c>
      <c r="U6" s="4" t="s">
        <v>102</v>
      </c>
      <c r="V6" s="4">
        <v>1570</v>
      </c>
      <c r="W6" s="4">
        <f t="shared" si="3"/>
        <v>1570</v>
      </c>
      <c r="X6" s="4">
        <v>785</v>
      </c>
      <c r="Y6" s="4">
        <f t="shared" si="4"/>
        <v>785</v>
      </c>
      <c r="Z6" s="4"/>
      <c r="AA6" s="20">
        <f t="shared" si="5"/>
        <v>1256</v>
      </c>
      <c r="AB6" s="6">
        <f t="shared" si="6"/>
        <v>0.375</v>
      </c>
      <c r="AC6" s="38">
        <v>1</v>
      </c>
      <c r="AD6" s="4">
        <f t="shared" si="7"/>
        <v>1573</v>
      </c>
      <c r="AE6" s="4">
        <f t="shared" si="8"/>
        <v>1646.4066666666665</v>
      </c>
      <c r="AF6" s="6">
        <f t="shared" si="9"/>
        <v>0.52320406865861413</v>
      </c>
      <c r="AG6" s="7">
        <v>1200</v>
      </c>
      <c r="AH6" s="6">
        <f t="shared" si="10"/>
        <v>0.34583333333333333</v>
      </c>
      <c r="AI6" s="4">
        <f t="shared" si="11"/>
        <v>415</v>
      </c>
      <c r="AJ6" s="27"/>
      <c r="AK6" s="6"/>
      <c r="AL6" s="6"/>
      <c r="AM6" s="6">
        <f t="shared" si="12"/>
        <v>1.0466666666666666</v>
      </c>
      <c r="AN6" s="6">
        <f t="shared" si="13"/>
        <v>1</v>
      </c>
      <c r="AO6" s="6">
        <f t="shared" si="14"/>
        <v>1.0466666666666666</v>
      </c>
      <c r="AP6" s="4" t="str">
        <f t="shared" si="15"/>
        <v>-</v>
      </c>
      <c r="AQ6" s="4" t="str">
        <f t="shared" si="16"/>
        <v>-</v>
      </c>
      <c r="AR6" s="4" t="str">
        <f t="shared" si="17"/>
        <v>-</v>
      </c>
      <c r="AS6" s="4" t="str">
        <f t="shared" si="18"/>
        <v>-</v>
      </c>
      <c r="AT6" s="4" t="str">
        <f t="shared" si="19"/>
        <v>-</v>
      </c>
      <c r="AU6" s="4" t="str">
        <f t="shared" si="20"/>
        <v>-</v>
      </c>
      <c r="AV6" s="4" t="s">
        <v>65</v>
      </c>
      <c r="AW6" s="4" t="s">
        <v>128</v>
      </c>
      <c r="AX6" s="4"/>
      <c r="AY6" s="4"/>
      <c r="AZ6" s="4" t="s">
        <v>125</v>
      </c>
      <c r="BA6" s="4">
        <v>1573</v>
      </c>
      <c r="BB6" s="4">
        <v>1573</v>
      </c>
      <c r="BC6" s="4">
        <v>1573</v>
      </c>
      <c r="BD6" s="4">
        <f t="shared" si="21"/>
        <v>1573</v>
      </c>
      <c r="BE6" s="18">
        <v>4</v>
      </c>
      <c r="BF6" s="18">
        <v>1</v>
      </c>
      <c r="BG6" s="16">
        <v>7</v>
      </c>
      <c r="BH6" s="33">
        <v>46204</v>
      </c>
      <c r="BI6" t="s">
        <v>102</v>
      </c>
      <c r="BJ6" t="s">
        <v>102</v>
      </c>
      <c r="BK6" t="str">
        <f t="shared" si="22"/>
        <v>-</v>
      </c>
      <c r="BL6">
        <v>1277</v>
      </c>
      <c r="BM6">
        <v>1277</v>
      </c>
      <c r="BN6">
        <f t="shared" si="23"/>
        <v>1336.5933333333332</v>
      </c>
      <c r="BO6" s="4" t="s">
        <v>106</v>
      </c>
    </row>
    <row r="7" spans="1:67" x14ac:dyDescent="0.4">
      <c r="A7" s="3">
        <v>25</v>
      </c>
      <c r="B7" s="3">
        <v>25</v>
      </c>
      <c r="C7" s="4">
        <v>665111</v>
      </c>
      <c r="D7" s="4" t="str">
        <f t="shared" si="0"/>
        <v>665111</v>
      </c>
      <c r="E7" s="4">
        <v>665111</v>
      </c>
      <c r="F7" s="4" t="s">
        <v>72</v>
      </c>
      <c r="G7" s="5">
        <v>4977564526535</v>
      </c>
      <c r="H7" s="5">
        <v>5</v>
      </c>
      <c r="I7" s="5" t="str">
        <f t="shared" si="1"/>
        <v>6651115</v>
      </c>
      <c r="J7" s="5">
        <v>1</v>
      </c>
      <c r="K7" s="5">
        <v>1</v>
      </c>
      <c r="L7" s="4">
        <v>1500</v>
      </c>
      <c r="M7" s="4">
        <v>1200</v>
      </c>
      <c r="N7" s="4">
        <v>750</v>
      </c>
      <c r="O7" s="6">
        <f t="shared" si="2"/>
        <v>0.375</v>
      </c>
      <c r="P7" s="4" t="s">
        <v>102</v>
      </c>
      <c r="Q7" s="4" t="s">
        <v>102</v>
      </c>
      <c r="R7" s="4" t="s">
        <v>102</v>
      </c>
      <c r="S7" s="4" t="s">
        <v>102</v>
      </c>
      <c r="T7" s="4" t="s">
        <v>102</v>
      </c>
      <c r="U7" s="4" t="s">
        <v>102</v>
      </c>
      <c r="V7" s="4">
        <v>1570</v>
      </c>
      <c r="W7" s="4">
        <f t="shared" si="3"/>
        <v>1570</v>
      </c>
      <c r="X7" s="4">
        <v>785</v>
      </c>
      <c r="Y7" s="4">
        <f t="shared" si="4"/>
        <v>785</v>
      </c>
      <c r="Z7" s="4"/>
      <c r="AA7" s="20">
        <f t="shared" si="5"/>
        <v>1256</v>
      </c>
      <c r="AB7" s="6">
        <f t="shared" si="6"/>
        <v>0.375</v>
      </c>
      <c r="AC7" s="38">
        <v>0.5</v>
      </c>
      <c r="AD7" s="4">
        <f t="shared" si="7"/>
        <v>1146</v>
      </c>
      <c r="AE7" s="4">
        <f t="shared" si="8"/>
        <v>1199.48</v>
      </c>
      <c r="AF7" s="6">
        <f t="shared" si="9"/>
        <v>0.34554973821989532</v>
      </c>
      <c r="AG7" s="7">
        <v>1200</v>
      </c>
      <c r="AH7" s="6">
        <f t="shared" si="10"/>
        <v>0.34583333333333333</v>
      </c>
      <c r="AI7" s="4">
        <f t="shared" si="11"/>
        <v>415</v>
      </c>
      <c r="AJ7" s="27"/>
      <c r="AK7" s="6"/>
      <c r="AL7" s="6"/>
      <c r="AM7" s="6">
        <f t="shared" si="12"/>
        <v>1.0466666666666666</v>
      </c>
      <c r="AN7" s="6">
        <f t="shared" si="13"/>
        <v>1</v>
      </c>
      <c r="AO7" s="6">
        <f t="shared" si="14"/>
        <v>1.0466666666666666</v>
      </c>
      <c r="AP7" s="4" t="str">
        <f t="shared" si="15"/>
        <v>-</v>
      </c>
      <c r="AQ7" s="4" t="str">
        <f t="shared" si="16"/>
        <v>-</v>
      </c>
      <c r="AR7" s="4" t="str">
        <f t="shared" si="17"/>
        <v>-</v>
      </c>
      <c r="AS7" s="4" t="str">
        <f t="shared" si="18"/>
        <v>-</v>
      </c>
      <c r="AT7" s="4" t="str">
        <f t="shared" si="19"/>
        <v>-</v>
      </c>
      <c r="AU7" s="4" t="str">
        <f t="shared" si="20"/>
        <v>-</v>
      </c>
      <c r="AV7" s="4" t="s">
        <v>65</v>
      </c>
      <c r="AW7" s="4" t="s">
        <v>129</v>
      </c>
      <c r="AX7" s="4"/>
      <c r="AY7" s="4"/>
      <c r="AZ7" s="4" t="s">
        <v>125</v>
      </c>
      <c r="BA7" s="4">
        <v>1146</v>
      </c>
      <c r="BB7" s="4">
        <v>1146</v>
      </c>
      <c r="BC7" s="4">
        <v>1146</v>
      </c>
      <c r="BD7" s="4">
        <f t="shared" si="21"/>
        <v>1146</v>
      </c>
      <c r="BE7" s="18">
        <v>4</v>
      </c>
      <c r="BF7" s="18">
        <v>1</v>
      </c>
      <c r="BG7" s="16">
        <v>7</v>
      </c>
      <c r="BH7" s="33">
        <v>46204</v>
      </c>
      <c r="BI7">
        <v>1164</v>
      </c>
      <c r="BJ7">
        <v>1164</v>
      </c>
      <c r="BK7">
        <f t="shared" si="22"/>
        <v>1218.32</v>
      </c>
      <c r="BL7">
        <v>1277</v>
      </c>
      <c r="BM7">
        <v>1277</v>
      </c>
      <c r="BN7">
        <f t="shared" si="23"/>
        <v>1336.5933333333332</v>
      </c>
      <c r="BO7" s="4" t="s">
        <v>107</v>
      </c>
    </row>
    <row r="8" spans="1:67" x14ac:dyDescent="0.4">
      <c r="A8" s="3">
        <v>26</v>
      </c>
      <c r="B8" s="3">
        <v>26</v>
      </c>
      <c r="C8" s="4">
        <v>665112</v>
      </c>
      <c r="D8" s="4" t="str">
        <f t="shared" si="0"/>
        <v>665112</v>
      </c>
      <c r="E8" s="4">
        <v>665112</v>
      </c>
      <c r="F8" s="4" t="s">
        <v>73</v>
      </c>
      <c r="G8" s="5">
        <v>4977564526542</v>
      </c>
      <c r="H8" s="5">
        <v>5</v>
      </c>
      <c r="I8" s="5" t="str">
        <f t="shared" si="1"/>
        <v>6651125</v>
      </c>
      <c r="J8" s="5">
        <v>1</v>
      </c>
      <c r="K8" s="5">
        <v>1</v>
      </c>
      <c r="L8" s="4">
        <v>1500</v>
      </c>
      <c r="M8" s="4">
        <v>1058</v>
      </c>
      <c r="N8" s="4">
        <v>750</v>
      </c>
      <c r="O8" s="6">
        <f t="shared" si="2"/>
        <v>0.29111531190926276</v>
      </c>
      <c r="P8" s="4" t="s">
        <v>102</v>
      </c>
      <c r="Q8" s="4" t="s">
        <v>102</v>
      </c>
      <c r="R8" s="4" t="s">
        <v>102</v>
      </c>
      <c r="S8" s="4" t="s">
        <v>102</v>
      </c>
      <c r="T8" s="4" t="s">
        <v>102</v>
      </c>
      <c r="U8" s="4" t="s">
        <v>102</v>
      </c>
      <c r="V8" s="4">
        <v>1570</v>
      </c>
      <c r="W8" s="4">
        <f t="shared" si="3"/>
        <v>1570</v>
      </c>
      <c r="X8" s="4">
        <v>785</v>
      </c>
      <c r="Y8" s="4">
        <f t="shared" si="4"/>
        <v>785</v>
      </c>
      <c r="Z8" s="4"/>
      <c r="AA8" s="20">
        <f t="shared" si="5"/>
        <v>1107</v>
      </c>
      <c r="AB8" s="6">
        <f t="shared" si="6"/>
        <v>0.29087624209575424</v>
      </c>
      <c r="AC8" s="38">
        <v>1</v>
      </c>
      <c r="AD8" s="4">
        <f t="shared" si="7"/>
        <v>1350</v>
      </c>
      <c r="AE8" s="4">
        <f t="shared" si="8"/>
        <v>1413</v>
      </c>
      <c r="AF8" s="6">
        <f t="shared" si="9"/>
        <v>0.44444444444444442</v>
      </c>
      <c r="AG8" s="7">
        <v>1200</v>
      </c>
      <c r="AH8" s="6">
        <f t="shared" si="10"/>
        <v>0.34583333333333333</v>
      </c>
      <c r="AI8" s="4">
        <f t="shared" si="11"/>
        <v>415</v>
      </c>
      <c r="AJ8" s="27"/>
      <c r="AK8" s="6"/>
      <c r="AL8" s="6"/>
      <c r="AM8" s="6">
        <f t="shared" si="12"/>
        <v>1.0466666666666666</v>
      </c>
      <c r="AN8" s="6">
        <f t="shared" si="13"/>
        <v>1.1342155009451795</v>
      </c>
      <c r="AO8" s="6">
        <f t="shared" si="14"/>
        <v>1.0466666666666666</v>
      </c>
      <c r="AP8" s="4" t="str">
        <f t="shared" si="15"/>
        <v>-</v>
      </c>
      <c r="AQ8" s="4" t="str">
        <f t="shared" si="16"/>
        <v>-</v>
      </c>
      <c r="AR8" s="4" t="str">
        <f t="shared" si="17"/>
        <v>-</v>
      </c>
      <c r="AS8" s="4" t="str">
        <f t="shared" si="18"/>
        <v>-</v>
      </c>
      <c r="AT8" s="4" t="str">
        <f t="shared" si="19"/>
        <v>-</v>
      </c>
      <c r="AU8" s="4" t="str">
        <f t="shared" si="20"/>
        <v>-</v>
      </c>
      <c r="AV8" s="4" t="s">
        <v>65</v>
      </c>
      <c r="AW8" s="4" t="s">
        <v>130</v>
      </c>
      <c r="AX8" s="4"/>
      <c r="AY8" s="4"/>
      <c r="AZ8" s="4" t="s">
        <v>125</v>
      </c>
      <c r="BA8" s="4">
        <v>1350</v>
      </c>
      <c r="BB8" s="4">
        <v>1350</v>
      </c>
      <c r="BC8" s="4">
        <v>1350</v>
      </c>
      <c r="BD8" s="4">
        <f t="shared" si="21"/>
        <v>1350</v>
      </c>
      <c r="BE8" s="18">
        <v>4</v>
      </c>
      <c r="BF8" s="18">
        <v>1</v>
      </c>
      <c r="BG8" s="16">
        <v>7</v>
      </c>
      <c r="BH8" s="33">
        <v>46204</v>
      </c>
      <c r="BI8" t="s">
        <v>102</v>
      </c>
      <c r="BJ8" t="s">
        <v>102</v>
      </c>
      <c r="BK8" t="str">
        <f t="shared" si="22"/>
        <v>-</v>
      </c>
      <c r="BL8">
        <v>1387</v>
      </c>
      <c r="BM8">
        <v>1387</v>
      </c>
      <c r="BN8">
        <f t="shared" si="23"/>
        <v>1451.7266666666667</v>
      </c>
      <c r="BO8" s="4" t="s">
        <v>108</v>
      </c>
    </row>
    <row r="9" spans="1:67" x14ac:dyDescent="0.4">
      <c r="A9" s="3">
        <v>27</v>
      </c>
      <c r="B9" s="3">
        <v>27</v>
      </c>
      <c r="C9" s="4">
        <v>665113</v>
      </c>
      <c r="D9" s="4" t="str">
        <f t="shared" si="0"/>
        <v>665113</v>
      </c>
      <c r="E9" s="4">
        <v>665113</v>
      </c>
      <c r="F9" s="4" t="s">
        <v>74</v>
      </c>
      <c r="G9" s="5">
        <v>4977564526559</v>
      </c>
      <c r="H9" s="5">
        <v>5</v>
      </c>
      <c r="I9" s="5" t="str">
        <f t="shared" si="1"/>
        <v>6651135</v>
      </c>
      <c r="J9" s="5">
        <v>1</v>
      </c>
      <c r="K9" s="5">
        <v>1</v>
      </c>
      <c r="L9" s="4">
        <v>820</v>
      </c>
      <c r="M9" s="4">
        <v>747</v>
      </c>
      <c r="N9" s="4">
        <v>410</v>
      </c>
      <c r="O9" s="6">
        <f t="shared" si="2"/>
        <v>0.45113788487282458</v>
      </c>
      <c r="P9" s="4" t="s">
        <v>102</v>
      </c>
      <c r="Q9" s="4" t="s">
        <v>102</v>
      </c>
      <c r="R9" s="4" t="s">
        <v>102</v>
      </c>
      <c r="S9" s="4" t="s">
        <v>102</v>
      </c>
      <c r="T9" s="4" t="s">
        <v>102</v>
      </c>
      <c r="U9" s="4" t="s">
        <v>102</v>
      </c>
      <c r="V9" s="4">
        <v>860</v>
      </c>
      <c r="W9" s="4">
        <f t="shared" si="3"/>
        <v>860</v>
      </c>
      <c r="X9" s="4">
        <v>430</v>
      </c>
      <c r="Y9" s="4">
        <f t="shared" si="4"/>
        <v>430</v>
      </c>
      <c r="Z9" s="4"/>
      <c r="AA9" s="20">
        <f t="shared" si="5"/>
        <v>783</v>
      </c>
      <c r="AB9" s="6">
        <f t="shared" si="6"/>
        <v>0.45083014048531289</v>
      </c>
      <c r="AC9" s="38">
        <v>38</v>
      </c>
      <c r="AD9" s="4">
        <f t="shared" si="7"/>
        <v>700</v>
      </c>
      <c r="AE9" s="4">
        <f t="shared" si="8"/>
        <v>734.14634146341461</v>
      </c>
      <c r="AF9" s="6">
        <f t="shared" si="9"/>
        <v>0.41428571428571426</v>
      </c>
      <c r="AG9" s="7">
        <v>784</v>
      </c>
      <c r="AH9" s="6">
        <f t="shared" si="10"/>
        <v>0.45153061224489799</v>
      </c>
      <c r="AI9" s="4">
        <f t="shared" si="11"/>
        <v>354</v>
      </c>
      <c r="AJ9" s="27"/>
      <c r="AK9" s="6"/>
      <c r="AL9" s="6"/>
      <c r="AM9" s="6">
        <f t="shared" si="12"/>
        <v>1.0487804878048781</v>
      </c>
      <c r="AN9" s="6">
        <f t="shared" si="13"/>
        <v>1.0495314591700133</v>
      </c>
      <c r="AO9" s="6">
        <f t="shared" si="14"/>
        <v>1.0487804878048781</v>
      </c>
      <c r="AP9" s="4" t="str">
        <f t="shared" si="15"/>
        <v>-</v>
      </c>
      <c r="AQ9" s="4" t="str">
        <f t="shared" si="16"/>
        <v>-</v>
      </c>
      <c r="AR9" s="4" t="str">
        <f t="shared" si="17"/>
        <v>-</v>
      </c>
      <c r="AS9" s="4" t="str">
        <f t="shared" si="18"/>
        <v>-</v>
      </c>
      <c r="AT9" s="4" t="str">
        <f t="shared" si="19"/>
        <v>-</v>
      </c>
      <c r="AU9" s="4" t="str">
        <f t="shared" si="20"/>
        <v>-</v>
      </c>
      <c r="AV9" s="4" t="s">
        <v>65</v>
      </c>
      <c r="AW9" s="4" t="s">
        <v>131</v>
      </c>
      <c r="AX9" s="4"/>
      <c r="AY9" s="4"/>
      <c r="AZ9" s="4" t="s">
        <v>125</v>
      </c>
      <c r="BA9" s="4">
        <v>700</v>
      </c>
      <c r="BB9" s="4">
        <v>700</v>
      </c>
      <c r="BC9" s="4">
        <v>700</v>
      </c>
      <c r="BD9" s="4">
        <f t="shared" si="21"/>
        <v>700</v>
      </c>
      <c r="BE9" s="18">
        <v>4</v>
      </c>
      <c r="BF9" s="18">
        <v>1</v>
      </c>
      <c r="BG9" s="16">
        <v>7</v>
      </c>
      <c r="BH9" s="33">
        <v>46204</v>
      </c>
      <c r="BI9" t="s">
        <v>102</v>
      </c>
      <c r="BJ9">
        <v>714</v>
      </c>
      <c r="BK9">
        <f t="shared" si="22"/>
        <v>748.82926829268297</v>
      </c>
      <c r="BL9">
        <v>711</v>
      </c>
      <c r="BM9">
        <v>711</v>
      </c>
      <c r="BN9">
        <f t="shared" si="23"/>
        <v>745.68292682926835</v>
      </c>
      <c r="BO9" s="4" t="s">
        <v>109</v>
      </c>
    </row>
    <row r="10" spans="1:67" x14ac:dyDescent="0.4">
      <c r="A10" s="3">
        <v>35</v>
      </c>
      <c r="B10" s="3">
        <v>35</v>
      </c>
      <c r="C10" s="4">
        <v>677807</v>
      </c>
      <c r="D10" s="4" t="str">
        <f t="shared" ref="D10:D15" si="24">TEXT(C10,"000000")</f>
        <v>677807</v>
      </c>
      <c r="E10" s="4">
        <v>677807</v>
      </c>
      <c r="F10" s="4" t="s">
        <v>75</v>
      </c>
      <c r="G10" s="5">
        <v>4977564499976</v>
      </c>
      <c r="H10" s="5">
        <v>5</v>
      </c>
      <c r="I10" s="5" t="str">
        <f t="shared" si="1"/>
        <v>6778075</v>
      </c>
      <c r="J10" s="5">
        <v>1</v>
      </c>
      <c r="K10" s="5">
        <v>1</v>
      </c>
      <c r="L10" s="4">
        <v>410</v>
      </c>
      <c r="M10" s="4">
        <v>384</v>
      </c>
      <c r="N10" s="4">
        <v>205</v>
      </c>
      <c r="O10" s="6">
        <f t="shared" si="2"/>
        <v>0.46614583333333337</v>
      </c>
      <c r="P10" s="4" t="s">
        <v>102</v>
      </c>
      <c r="Q10" s="4" t="s">
        <v>102</v>
      </c>
      <c r="R10" s="4" t="s">
        <v>102</v>
      </c>
      <c r="S10" s="4" t="s">
        <v>102</v>
      </c>
      <c r="T10" s="4" t="s">
        <v>102</v>
      </c>
      <c r="U10" s="4" t="s">
        <v>102</v>
      </c>
      <c r="V10" s="4">
        <v>480</v>
      </c>
      <c r="W10" s="4">
        <f t="shared" si="3"/>
        <v>480</v>
      </c>
      <c r="X10" s="4">
        <v>240</v>
      </c>
      <c r="Y10" s="4">
        <f t="shared" si="4"/>
        <v>240</v>
      </c>
      <c r="Z10" s="4"/>
      <c r="AA10" s="20">
        <f t="shared" si="5"/>
        <v>450</v>
      </c>
      <c r="AB10" s="6">
        <f t="shared" si="6"/>
        <v>0.46666666666666667</v>
      </c>
      <c r="AC10" s="38">
        <v>2.75</v>
      </c>
      <c r="AD10" s="4">
        <f t="shared" si="7"/>
        <v>400</v>
      </c>
      <c r="AE10" s="4">
        <f t="shared" si="8"/>
        <v>468.29268292682923</v>
      </c>
      <c r="AF10" s="6">
        <f t="shared" si="9"/>
        <v>0.48749999999999993</v>
      </c>
      <c r="AG10" s="7">
        <v>432</v>
      </c>
      <c r="AH10" s="6">
        <f t="shared" si="10"/>
        <v>0.44444444444444442</v>
      </c>
      <c r="AI10" s="4">
        <f t="shared" si="11"/>
        <v>192</v>
      </c>
      <c r="AJ10" s="27"/>
      <c r="AK10" s="6"/>
      <c r="AL10" s="6"/>
      <c r="AM10" s="6">
        <f t="shared" si="12"/>
        <v>1.1707317073170731</v>
      </c>
      <c r="AN10" s="6">
        <f t="shared" si="13"/>
        <v>1.125</v>
      </c>
      <c r="AO10" s="6">
        <f t="shared" si="14"/>
        <v>1.1707317073170731</v>
      </c>
      <c r="AP10" s="4" t="str">
        <f t="shared" si="15"/>
        <v>-</v>
      </c>
      <c r="AQ10" s="4" t="str">
        <f t="shared" si="16"/>
        <v>-</v>
      </c>
      <c r="AR10" s="4" t="str">
        <f t="shared" si="17"/>
        <v>-</v>
      </c>
      <c r="AS10" s="4" t="str">
        <f t="shared" si="18"/>
        <v>-</v>
      </c>
      <c r="AT10" s="4" t="str">
        <f t="shared" si="19"/>
        <v>-</v>
      </c>
      <c r="AU10" s="4" t="str">
        <f t="shared" si="20"/>
        <v>-</v>
      </c>
      <c r="AV10" s="4" t="s">
        <v>65</v>
      </c>
      <c r="AW10" s="4" t="s">
        <v>132</v>
      </c>
      <c r="AX10" s="4"/>
      <c r="AY10" s="4"/>
      <c r="AZ10" s="4" t="s">
        <v>125</v>
      </c>
      <c r="BA10" s="4">
        <v>400</v>
      </c>
      <c r="BB10" s="4">
        <v>400</v>
      </c>
      <c r="BC10" s="4">
        <v>400</v>
      </c>
      <c r="BD10" s="4">
        <f t="shared" si="21"/>
        <v>400</v>
      </c>
      <c r="BE10" s="18">
        <v>4</v>
      </c>
      <c r="BF10" s="18">
        <v>1</v>
      </c>
      <c r="BG10" s="16">
        <v>7</v>
      </c>
      <c r="BH10" s="33">
        <v>46204</v>
      </c>
      <c r="BI10">
        <v>374</v>
      </c>
      <c r="BJ10" t="s">
        <v>102</v>
      </c>
      <c r="BK10" t="str">
        <f t="shared" si="22"/>
        <v>-</v>
      </c>
      <c r="BL10">
        <v>369</v>
      </c>
      <c r="BM10">
        <v>369</v>
      </c>
      <c r="BN10">
        <f t="shared" si="23"/>
        <v>432</v>
      </c>
      <c r="BO10" s="4" t="s">
        <v>110</v>
      </c>
    </row>
    <row r="11" spans="1:67" x14ac:dyDescent="0.4">
      <c r="A11" s="3">
        <v>36</v>
      </c>
      <c r="B11" s="3">
        <v>36</v>
      </c>
      <c r="C11" s="4">
        <v>677809</v>
      </c>
      <c r="D11" s="4" t="str">
        <f t="shared" si="24"/>
        <v>677809</v>
      </c>
      <c r="E11" s="4">
        <v>677809</v>
      </c>
      <c r="F11" s="4" t="s">
        <v>76</v>
      </c>
      <c r="G11" s="5">
        <v>4977564499983</v>
      </c>
      <c r="H11" s="5">
        <v>5</v>
      </c>
      <c r="I11" s="5" t="str">
        <f t="shared" si="1"/>
        <v>6778095</v>
      </c>
      <c r="J11" s="5">
        <v>1</v>
      </c>
      <c r="K11" s="5">
        <v>1</v>
      </c>
      <c r="L11" s="4">
        <v>410</v>
      </c>
      <c r="M11" s="4">
        <v>384</v>
      </c>
      <c r="N11" s="4">
        <v>205</v>
      </c>
      <c r="O11" s="6">
        <f t="shared" si="2"/>
        <v>0.46614583333333337</v>
      </c>
      <c r="P11" s="4" t="s">
        <v>102</v>
      </c>
      <c r="Q11" s="4" t="s">
        <v>102</v>
      </c>
      <c r="R11" s="4" t="s">
        <v>102</v>
      </c>
      <c r="S11" s="4" t="s">
        <v>102</v>
      </c>
      <c r="T11" s="4" t="s">
        <v>102</v>
      </c>
      <c r="U11" s="4" t="s">
        <v>102</v>
      </c>
      <c r="V11" s="4">
        <v>480</v>
      </c>
      <c r="W11" s="4">
        <f t="shared" si="3"/>
        <v>480</v>
      </c>
      <c r="X11" s="4">
        <v>240</v>
      </c>
      <c r="Y11" s="4">
        <f t="shared" si="4"/>
        <v>240</v>
      </c>
      <c r="Z11" s="4"/>
      <c r="AA11" s="20">
        <f t="shared" si="5"/>
        <v>450</v>
      </c>
      <c r="AB11" s="6">
        <f t="shared" si="6"/>
        <v>0.46666666666666667</v>
      </c>
      <c r="AC11" s="38">
        <v>1.5</v>
      </c>
      <c r="AD11" s="4">
        <f t="shared" si="7"/>
        <v>400</v>
      </c>
      <c r="AE11" s="4">
        <f t="shared" si="8"/>
        <v>468.29268292682923</v>
      </c>
      <c r="AF11" s="6">
        <f t="shared" si="9"/>
        <v>0.48749999999999993</v>
      </c>
      <c r="AG11" s="7">
        <v>432</v>
      </c>
      <c r="AH11" s="6">
        <f t="shared" si="10"/>
        <v>0.44444444444444442</v>
      </c>
      <c r="AI11" s="4">
        <f t="shared" si="11"/>
        <v>192</v>
      </c>
      <c r="AJ11" s="27"/>
      <c r="AK11" s="6"/>
      <c r="AL11" s="6"/>
      <c r="AM11" s="6">
        <f t="shared" si="12"/>
        <v>1.1707317073170731</v>
      </c>
      <c r="AN11" s="6">
        <f t="shared" si="13"/>
        <v>1.125</v>
      </c>
      <c r="AO11" s="6">
        <f t="shared" si="14"/>
        <v>1.1707317073170731</v>
      </c>
      <c r="AP11" s="4" t="str">
        <f t="shared" si="15"/>
        <v>-</v>
      </c>
      <c r="AQ11" s="4" t="str">
        <f t="shared" si="16"/>
        <v>-</v>
      </c>
      <c r="AR11" s="4" t="str">
        <f t="shared" si="17"/>
        <v>-</v>
      </c>
      <c r="AS11" s="4" t="str">
        <f t="shared" si="18"/>
        <v>-</v>
      </c>
      <c r="AT11" s="4" t="str">
        <f t="shared" si="19"/>
        <v>-</v>
      </c>
      <c r="AU11" s="4" t="str">
        <f t="shared" si="20"/>
        <v>-</v>
      </c>
      <c r="AV11" s="4" t="s">
        <v>65</v>
      </c>
      <c r="AW11" s="4" t="s">
        <v>133</v>
      </c>
      <c r="AX11" s="4"/>
      <c r="AY11" s="4"/>
      <c r="AZ11" s="4" t="s">
        <v>125</v>
      </c>
      <c r="BA11" s="4">
        <v>400</v>
      </c>
      <c r="BB11" s="4">
        <v>400</v>
      </c>
      <c r="BC11" s="4">
        <v>400</v>
      </c>
      <c r="BD11" s="4">
        <f t="shared" si="21"/>
        <v>400</v>
      </c>
      <c r="BE11" s="18">
        <v>4</v>
      </c>
      <c r="BF11" s="18">
        <v>1</v>
      </c>
      <c r="BG11" s="16">
        <v>7</v>
      </c>
      <c r="BH11" s="33">
        <v>46204</v>
      </c>
      <c r="BI11">
        <v>374</v>
      </c>
      <c r="BJ11">
        <v>374</v>
      </c>
      <c r="BK11">
        <f t="shared" si="22"/>
        <v>437.85365853658533</v>
      </c>
      <c r="BL11">
        <v>369</v>
      </c>
      <c r="BM11">
        <v>369</v>
      </c>
      <c r="BN11">
        <f t="shared" si="23"/>
        <v>432</v>
      </c>
      <c r="BO11" s="4" t="s">
        <v>111</v>
      </c>
    </row>
    <row r="12" spans="1:67" x14ac:dyDescent="0.4">
      <c r="A12" s="3">
        <v>37</v>
      </c>
      <c r="B12" s="3">
        <v>37</v>
      </c>
      <c r="C12" s="4">
        <v>677810</v>
      </c>
      <c r="D12" s="4" t="str">
        <f t="shared" si="24"/>
        <v>677810</v>
      </c>
      <c r="E12" s="4">
        <v>677810</v>
      </c>
      <c r="F12" s="4" t="s">
        <v>77</v>
      </c>
      <c r="G12" s="5">
        <v>4977564499990</v>
      </c>
      <c r="H12" s="5">
        <v>5</v>
      </c>
      <c r="I12" s="5" t="str">
        <f t="shared" si="1"/>
        <v>6778105</v>
      </c>
      <c r="J12" s="5">
        <v>1</v>
      </c>
      <c r="K12" s="5">
        <v>1</v>
      </c>
      <c r="L12" s="4">
        <v>410</v>
      </c>
      <c r="M12" s="4">
        <v>384</v>
      </c>
      <c r="N12" s="4">
        <v>205</v>
      </c>
      <c r="O12" s="6">
        <f t="shared" si="2"/>
        <v>0.46614583333333337</v>
      </c>
      <c r="P12" s="4" t="s">
        <v>102</v>
      </c>
      <c r="Q12" s="4" t="s">
        <v>102</v>
      </c>
      <c r="R12" s="4" t="s">
        <v>102</v>
      </c>
      <c r="S12" s="4" t="s">
        <v>102</v>
      </c>
      <c r="T12" s="4" t="s">
        <v>102</v>
      </c>
      <c r="U12" s="4" t="s">
        <v>102</v>
      </c>
      <c r="V12" s="4">
        <v>480</v>
      </c>
      <c r="W12" s="4">
        <f t="shared" si="3"/>
        <v>480</v>
      </c>
      <c r="X12" s="4">
        <v>240</v>
      </c>
      <c r="Y12" s="4">
        <f t="shared" si="4"/>
        <v>240</v>
      </c>
      <c r="Z12" s="4"/>
      <c r="AA12" s="20">
        <f t="shared" si="5"/>
        <v>450</v>
      </c>
      <c r="AB12" s="6">
        <f t="shared" si="6"/>
        <v>0.46666666666666667</v>
      </c>
      <c r="AC12" s="38">
        <v>8.5</v>
      </c>
      <c r="AD12" s="4">
        <f t="shared" si="7"/>
        <v>374</v>
      </c>
      <c r="AE12" s="4">
        <f t="shared" si="8"/>
        <v>437.85365853658533</v>
      </c>
      <c r="AF12" s="6">
        <f t="shared" si="9"/>
        <v>0.45187165775401061</v>
      </c>
      <c r="AG12" s="7">
        <v>432</v>
      </c>
      <c r="AH12" s="6">
        <f t="shared" si="10"/>
        <v>0.44444444444444442</v>
      </c>
      <c r="AI12" s="4">
        <f t="shared" si="11"/>
        <v>192</v>
      </c>
      <c r="AJ12" s="27"/>
      <c r="AK12" s="6"/>
      <c r="AL12" s="6"/>
      <c r="AM12" s="6">
        <f t="shared" si="12"/>
        <v>1.1707317073170731</v>
      </c>
      <c r="AN12" s="6">
        <f t="shared" si="13"/>
        <v>1.125</v>
      </c>
      <c r="AO12" s="6">
        <f t="shared" si="14"/>
        <v>1.1707317073170731</v>
      </c>
      <c r="AP12" s="4" t="str">
        <f t="shared" si="15"/>
        <v>-</v>
      </c>
      <c r="AQ12" s="4" t="str">
        <f t="shared" si="16"/>
        <v>-</v>
      </c>
      <c r="AR12" s="4" t="str">
        <f t="shared" si="17"/>
        <v>-</v>
      </c>
      <c r="AS12" s="4" t="str">
        <f t="shared" si="18"/>
        <v>-</v>
      </c>
      <c r="AT12" s="4" t="str">
        <f t="shared" si="19"/>
        <v>-</v>
      </c>
      <c r="AU12" s="4" t="str">
        <f t="shared" si="20"/>
        <v>-</v>
      </c>
      <c r="AV12" s="4" t="s">
        <v>65</v>
      </c>
      <c r="AW12" s="4" t="s">
        <v>134</v>
      </c>
      <c r="AX12" s="4"/>
      <c r="AY12" s="4"/>
      <c r="AZ12" s="4" t="s">
        <v>125</v>
      </c>
      <c r="BA12" s="4">
        <v>360</v>
      </c>
      <c r="BB12" s="4">
        <v>374</v>
      </c>
      <c r="BC12" s="4">
        <v>374</v>
      </c>
      <c r="BD12" s="4">
        <f t="shared" si="21"/>
        <v>374</v>
      </c>
      <c r="BE12" s="18">
        <v>4</v>
      </c>
      <c r="BF12" s="18">
        <v>1</v>
      </c>
      <c r="BG12" s="16">
        <v>7</v>
      </c>
      <c r="BH12" s="33">
        <v>46204</v>
      </c>
      <c r="BI12">
        <v>374</v>
      </c>
      <c r="BJ12">
        <v>374</v>
      </c>
      <c r="BK12">
        <f t="shared" si="22"/>
        <v>437.85365853658533</v>
      </c>
      <c r="BL12">
        <v>369</v>
      </c>
      <c r="BM12">
        <v>369</v>
      </c>
      <c r="BN12">
        <f t="shared" si="23"/>
        <v>432</v>
      </c>
      <c r="BO12" s="4" t="s">
        <v>162</v>
      </c>
    </row>
    <row r="13" spans="1:67" x14ac:dyDescent="0.4">
      <c r="A13" s="3">
        <v>38</v>
      </c>
      <c r="B13" s="3">
        <v>38</v>
      </c>
      <c r="C13" s="4">
        <v>677811</v>
      </c>
      <c r="D13" s="4" t="str">
        <f t="shared" si="24"/>
        <v>677811</v>
      </c>
      <c r="E13" s="4">
        <v>677811</v>
      </c>
      <c r="F13" s="4" t="s">
        <v>78</v>
      </c>
      <c r="G13" s="5">
        <v>4977564500009</v>
      </c>
      <c r="H13" s="5">
        <v>5</v>
      </c>
      <c r="I13" s="5" t="str">
        <f t="shared" si="1"/>
        <v>6778115</v>
      </c>
      <c r="J13" s="5">
        <v>1</v>
      </c>
      <c r="K13" s="5">
        <v>1</v>
      </c>
      <c r="L13" s="4">
        <v>410</v>
      </c>
      <c r="M13" s="4">
        <v>384</v>
      </c>
      <c r="N13" s="4">
        <v>205</v>
      </c>
      <c r="O13" s="6">
        <f t="shared" si="2"/>
        <v>0.46614583333333337</v>
      </c>
      <c r="P13" s="4" t="s">
        <v>102</v>
      </c>
      <c r="Q13" s="4" t="s">
        <v>102</v>
      </c>
      <c r="R13" s="4" t="s">
        <v>102</v>
      </c>
      <c r="S13" s="4" t="s">
        <v>102</v>
      </c>
      <c r="T13" s="4" t="s">
        <v>102</v>
      </c>
      <c r="U13" s="4" t="s">
        <v>102</v>
      </c>
      <c r="V13" s="4">
        <v>480</v>
      </c>
      <c r="W13" s="4">
        <f t="shared" si="3"/>
        <v>480</v>
      </c>
      <c r="X13" s="4">
        <v>240</v>
      </c>
      <c r="Y13" s="4">
        <f t="shared" si="4"/>
        <v>240</v>
      </c>
      <c r="Z13" s="4"/>
      <c r="AA13" s="20">
        <f t="shared" si="5"/>
        <v>450</v>
      </c>
      <c r="AB13" s="6">
        <f t="shared" si="6"/>
        <v>0.46666666666666667</v>
      </c>
      <c r="AC13" s="38">
        <v>3.5000000000000004</v>
      </c>
      <c r="AD13" s="4">
        <f t="shared" si="7"/>
        <v>400</v>
      </c>
      <c r="AE13" s="4">
        <f t="shared" si="8"/>
        <v>468.29268292682923</v>
      </c>
      <c r="AF13" s="6">
        <f t="shared" si="9"/>
        <v>0.48749999999999993</v>
      </c>
      <c r="AG13" s="7">
        <v>432</v>
      </c>
      <c r="AH13" s="6">
        <f t="shared" si="10"/>
        <v>0.44444444444444442</v>
      </c>
      <c r="AI13" s="4">
        <f t="shared" si="11"/>
        <v>192</v>
      </c>
      <c r="AJ13" s="27"/>
      <c r="AK13" s="6"/>
      <c r="AL13" s="6"/>
      <c r="AM13" s="6">
        <f t="shared" si="12"/>
        <v>1.1707317073170731</v>
      </c>
      <c r="AN13" s="6">
        <f t="shared" si="13"/>
        <v>1.125</v>
      </c>
      <c r="AO13" s="6">
        <f t="shared" si="14"/>
        <v>1.1707317073170731</v>
      </c>
      <c r="AP13" s="4" t="str">
        <f t="shared" si="15"/>
        <v>-</v>
      </c>
      <c r="AQ13" s="4" t="str">
        <f t="shared" si="16"/>
        <v>-</v>
      </c>
      <c r="AR13" s="4" t="str">
        <f t="shared" si="17"/>
        <v>-</v>
      </c>
      <c r="AS13" s="4" t="str">
        <f t="shared" si="18"/>
        <v>-</v>
      </c>
      <c r="AT13" s="4" t="str">
        <f t="shared" si="19"/>
        <v>-</v>
      </c>
      <c r="AU13" s="4" t="str">
        <f t="shared" si="20"/>
        <v>-</v>
      </c>
      <c r="AV13" s="4" t="s">
        <v>65</v>
      </c>
      <c r="AW13" s="4" t="s">
        <v>135</v>
      </c>
      <c r="AX13" s="4"/>
      <c r="AY13" s="4"/>
      <c r="AZ13" s="4" t="s">
        <v>125</v>
      </c>
      <c r="BA13" s="4">
        <v>400</v>
      </c>
      <c r="BB13" s="4">
        <v>400</v>
      </c>
      <c r="BC13" s="4">
        <v>400</v>
      </c>
      <c r="BD13" s="4">
        <f t="shared" si="21"/>
        <v>400</v>
      </c>
      <c r="BE13" s="18">
        <v>4</v>
      </c>
      <c r="BF13" s="18">
        <v>1</v>
      </c>
      <c r="BG13" s="16">
        <v>7</v>
      </c>
      <c r="BH13" s="33">
        <v>46204</v>
      </c>
      <c r="BI13" t="s">
        <v>102</v>
      </c>
      <c r="BJ13">
        <v>374</v>
      </c>
      <c r="BK13">
        <f t="shared" si="22"/>
        <v>437.85365853658533</v>
      </c>
      <c r="BL13">
        <v>369</v>
      </c>
      <c r="BM13">
        <v>369</v>
      </c>
      <c r="BN13">
        <f t="shared" si="23"/>
        <v>432</v>
      </c>
      <c r="BO13" s="4" t="s">
        <v>112</v>
      </c>
    </row>
    <row r="14" spans="1:67" x14ac:dyDescent="0.4">
      <c r="A14" s="3">
        <v>39</v>
      </c>
      <c r="B14" s="3">
        <v>39</v>
      </c>
      <c r="C14" s="4">
        <v>680622</v>
      </c>
      <c r="D14" s="4" t="str">
        <f t="shared" si="24"/>
        <v>680622</v>
      </c>
      <c r="E14" s="4">
        <v>680622</v>
      </c>
      <c r="F14" s="4" t="s">
        <v>79</v>
      </c>
      <c r="G14" s="5">
        <v>4977564500016</v>
      </c>
      <c r="H14" s="5">
        <v>5</v>
      </c>
      <c r="I14" s="5" t="str">
        <f t="shared" si="1"/>
        <v>6806225</v>
      </c>
      <c r="J14" s="5">
        <v>1</v>
      </c>
      <c r="K14" s="5">
        <v>1</v>
      </c>
      <c r="L14" s="4">
        <v>240</v>
      </c>
      <c r="M14" s="4">
        <v>205</v>
      </c>
      <c r="N14" s="4">
        <v>120</v>
      </c>
      <c r="O14" s="6">
        <f t="shared" si="2"/>
        <v>0.41463414634146345</v>
      </c>
      <c r="P14" s="4" t="s">
        <v>102</v>
      </c>
      <c r="Q14" s="4" t="s">
        <v>102</v>
      </c>
      <c r="R14" s="4" t="s">
        <v>102</v>
      </c>
      <c r="S14" s="4" t="s">
        <v>102</v>
      </c>
      <c r="T14" s="4" t="s">
        <v>102</v>
      </c>
      <c r="U14" s="4" t="s">
        <v>102</v>
      </c>
      <c r="V14" s="4">
        <v>280</v>
      </c>
      <c r="W14" s="4">
        <f t="shared" si="3"/>
        <v>280</v>
      </c>
      <c r="X14" s="4">
        <v>140</v>
      </c>
      <c r="Y14" s="4">
        <f t="shared" si="4"/>
        <v>140</v>
      </c>
      <c r="Z14" s="4"/>
      <c r="AA14" s="20">
        <f t="shared" si="5"/>
        <v>239</v>
      </c>
      <c r="AB14" s="6">
        <f t="shared" si="6"/>
        <v>0.41422594142259417</v>
      </c>
      <c r="AC14" s="38">
        <v>8.75</v>
      </c>
      <c r="AD14" s="4">
        <f t="shared" si="7"/>
        <v>219</v>
      </c>
      <c r="AE14" s="4">
        <f t="shared" si="8"/>
        <v>255.50000000000003</v>
      </c>
      <c r="AF14" s="6">
        <f t="shared" si="9"/>
        <v>0.45205479452054798</v>
      </c>
      <c r="AG14" s="7">
        <v>240</v>
      </c>
      <c r="AH14" s="6">
        <f t="shared" si="10"/>
        <v>0.41666666666666663</v>
      </c>
      <c r="AI14" s="4">
        <f t="shared" si="11"/>
        <v>100</v>
      </c>
      <c r="AJ14" s="27"/>
      <c r="AK14" s="6"/>
      <c r="AL14" s="6"/>
      <c r="AM14" s="6">
        <f t="shared" si="12"/>
        <v>1.1666666666666667</v>
      </c>
      <c r="AN14" s="6">
        <f t="shared" si="13"/>
        <v>1.1707317073170731</v>
      </c>
      <c r="AO14" s="6">
        <f t="shared" si="14"/>
        <v>1.1666666666666667</v>
      </c>
      <c r="AP14" s="4" t="str">
        <f t="shared" si="15"/>
        <v>-</v>
      </c>
      <c r="AQ14" s="4" t="str">
        <f t="shared" si="16"/>
        <v>-</v>
      </c>
      <c r="AR14" s="4" t="str">
        <f t="shared" si="17"/>
        <v>-</v>
      </c>
      <c r="AS14" s="4" t="str">
        <f t="shared" si="18"/>
        <v>-</v>
      </c>
      <c r="AT14" s="4" t="str">
        <f t="shared" si="19"/>
        <v>-</v>
      </c>
      <c r="AU14" s="4" t="str">
        <f t="shared" si="20"/>
        <v>-</v>
      </c>
      <c r="AV14" s="4" t="s">
        <v>65</v>
      </c>
      <c r="AW14" s="4" t="s">
        <v>136</v>
      </c>
      <c r="AX14" s="4"/>
      <c r="AY14" s="4"/>
      <c r="AZ14" s="4" t="s">
        <v>125</v>
      </c>
      <c r="BA14" s="4">
        <v>197</v>
      </c>
      <c r="BB14" s="4">
        <v>219</v>
      </c>
      <c r="BC14" s="4">
        <v>219</v>
      </c>
      <c r="BD14" s="4">
        <f t="shared" si="21"/>
        <v>219</v>
      </c>
      <c r="BE14" s="18">
        <v>4</v>
      </c>
      <c r="BF14" s="18">
        <v>1</v>
      </c>
      <c r="BG14" s="16">
        <v>7</v>
      </c>
      <c r="BH14" s="33">
        <v>46204</v>
      </c>
      <c r="BI14">
        <v>240</v>
      </c>
      <c r="BJ14">
        <v>240</v>
      </c>
      <c r="BK14">
        <f t="shared" si="22"/>
        <v>280</v>
      </c>
      <c r="BL14">
        <v>216</v>
      </c>
      <c r="BM14">
        <v>216</v>
      </c>
      <c r="BN14">
        <f t="shared" si="23"/>
        <v>252.00000000000003</v>
      </c>
      <c r="BO14" s="4" t="s">
        <v>163</v>
      </c>
    </row>
    <row r="15" spans="1:67" x14ac:dyDescent="0.4">
      <c r="A15" s="3">
        <v>40</v>
      </c>
      <c r="B15" s="3">
        <v>40</v>
      </c>
      <c r="C15" s="4">
        <v>680623</v>
      </c>
      <c r="D15" s="4" t="str">
        <f t="shared" si="24"/>
        <v>680623</v>
      </c>
      <c r="E15" s="4">
        <v>680623</v>
      </c>
      <c r="F15" s="4" t="s">
        <v>80</v>
      </c>
      <c r="G15" s="5">
        <v>4977564500023</v>
      </c>
      <c r="H15" s="5">
        <v>5</v>
      </c>
      <c r="I15" s="5" t="str">
        <f t="shared" si="1"/>
        <v>6806235</v>
      </c>
      <c r="J15" s="5">
        <v>1</v>
      </c>
      <c r="K15" s="5">
        <v>1</v>
      </c>
      <c r="L15" s="4">
        <v>240</v>
      </c>
      <c r="M15" s="4">
        <v>205</v>
      </c>
      <c r="N15" s="4">
        <v>120</v>
      </c>
      <c r="O15" s="6">
        <f t="shared" si="2"/>
        <v>0.41463414634146345</v>
      </c>
      <c r="P15" s="4" t="s">
        <v>102</v>
      </c>
      <c r="Q15" s="4" t="s">
        <v>102</v>
      </c>
      <c r="R15" s="4" t="s">
        <v>102</v>
      </c>
      <c r="S15" s="4" t="s">
        <v>102</v>
      </c>
      <c r="T15" s="4" t="s">
        <v>102</v>
      </c>
      <c r="U15" s="4" t="s">
        <v>102</v>
      </c>
      <c r="V15" s="4">
        <v>280</v>
      </c>
      <c r="W15" s="4">
        <f t="shared" si="3"/>
        <v>280</v>
      </c>
      <c r="X15" s="4">
        <v>140</v>
      </c>
      <c r="Y15" s="4">
        <f t="shared" si="4"/>
        <v>140</v>
      </c>
      <c r="Z15" s="4"/>
      <c r="AA15" s="20">
        <f t="shared" si="5"/>
        <v>239</v>
      </c>
      <c r="AB15" s="6">
        <f t="shared" si="6"/>
        <v>0.41422594142259417</v>
      </c>
      <c r="AC15" s="38">
        <v>28.999999999999996</v>
      </c>
      <c r="AD15" s="4">
        <f t="shared" si="7"/>
        <v>217</v>
      </c>
      <c r="AE15" s="4">
        <f t="shared" si="8"/>
        <v>253.16666666666669</v>
      </c>
      <c r="AF15" s="6">
        <f t="shared" si="9"/>
        <v>0.44700460829493094</v>
      </c>
      <c r="AG15" s="7">
        <v>240</v>
      </c>
      <c r="AH15" s="6">
        <f t="shared" si="10"/>
        <v>0.41666666666666663</v>
      </c>
      <c r="AI15" s="4">
        <f t="shared" si="11"/>
        <v>100</v>
      </c>
      <c r="AJ15" s="27"/>
      <c r="AK15" s="6"/>
      <c r="AL15" s="6"/>
      <c r="AM15" s="6">
        <f t="shared" si="12"/>
        <v>1.1666666666666667</v>
      </c>
      <c r="AN15" s="6">
        <f t="shared" si="13"/>
        <v>1.1707317073170731</v>
      </c>
      <c r="AO15" s="6">
        <f t="shared" si="14"/>
        <v>1.1666666666666667</v>
      </c>
      <c r="AP15" s="4" t="str">
        <f t="shared" si="15"/>
        <v>-</v>
      </c>
      <c r="AQ15" s="4" t="str">
        <f t="shared" si="16"/>
        <v>-</v>
      </c>
      <c r="AR15" s="4" t="str">
        <f t="shared" si="17"/>
        <v>-</v>
      </c>
      <c r="AS15" s="4" t="str">
        <f t="shared" si="18"/>
        <v>-</v>
      </c>
      <c r="AT15" s="4" t="str">
        <f t="shared" si="19"/>
        <v>-</v>
      </c>
      <c r="AU15" s="4" t="str">
        <f t="shared" si="20"/>
        <v>-</v>
      </c>
      <c r="AV15" s="4" t="s">
        <v>65</v>
      </c>
      <c r="AW15" s="4" t="s">
        <v>137</v>
      </c>
      <c r="AX15" s="4"/>
      <c r="AY15" s="4"/>
      <c r="AZ15" s="4" t="s">
        <v>125</v>
      </c>
      <c r="BA15" s="4">
        <v>217</v>
      </c>
      <c r="BB15" s="4">
        <v>217</v>
      </c>
      <c r="BC15" s="4">
        <v>217</v>
      </c>
      <c r="BD15" s="4">
        <f t="shared" si="21"/>
        <v>217</v>
      </c>
      <c r="BE15" s="18">
        <v>4</v>
      </c>
      <c r="BF15" s="18">
        <v>1</v>
      </c>
      <c r="BG15" s="16">
        <v>7</v>
      </c>
      <c r="BH15" s="33">
        <v>46204</v>
      </c>
      <c r="BI15">
        <v>240</v>
      </c>
      <c r="BJ15" t="s">
        <v>102</v>
      </c>
      <c r="BK15" t="str">
        <f t="shared" si="22"/>
        <v>-</v>
      </c>
      <c r="BL15">
        <v>216</v>
      </c>
      <c r="BM15">
        <v>216</v>
      </c>
      <c r="BN15">
        <f t="shared" si="23"/>
        <v>252.00000000000003</v>
      </c>
      <c r="BO15" s="4" t="s">
        <v>113</v>
      </c>
    </row>
    <row r="16" spans="1:67" x14ac:dyDescent="0.4">
      <c r="A16" s="3">
        <v>102</v>
      </c>
      <c r="B16" s="3">
        <v>102</v>
      </c>
      <c r="C16" s="4" t="s">
        <v>56</v>
      </c>
      <c r="D16" s="4" t="str">
        <f t="shared" ref="D16:D19" si="25">TEXT(C16,"000000")</f>
        <v>J055LY</v>
      </c>
      <c r="E16" s="4" t="s">
        <v>56</v>
      </c>
      <c r="F16" s="4" t="s">
        <v>81</v>
      </c>
      <c r="G16" s="5">
        <v>4977564659837</v>
      </c>
      <c r="H16" s="5">
        <v>5</v>
      </c>
      <c r="I16" s="5" t="str">
        <f t="shared" ref="I16" si="26">C16&amp;H16</f>
        <v>J055LY5</v>
      </c>
      <c r="J16" s="5">
        <v>1</v>
      </c>
      <c r="K16" s="5">
        <v>1</v>
      </c>
      <c r="L16" s="4">
        <v>1550</v>
      </c>
      <c r="M16" s="4">
        <v>1252</v>
      </c>
      <c r="N16" s="4">
        <v>775</v>
      </c>
      <c r="O16" s="6">
        <f t="shared" ref="O16" si="27">1-N16/M16</f>
        <v>0.38099041533546329</v>
      </c>
      <c r="P16" s="4" t="s">
        <v>102</v>
      </c>
      <c r="Q16" s="4" t="s">
        <v>102</v>
      </c>
      <c r="R16" s="4" t="s">
        <v>102</v>
      </c>
      <c r="S16" s="4" t="s">
        <v>102</v>
      </c>
      <c r="T16" s="4" t="s">
        <v>102</v>
      </c>
      <c r="U16" s="4" t="s">
        <v>102</v>
      </c>
      <c r="V16" s="4">
        <v>1900</v>
      </c>
      <c r="W16" s="4">
        <f t="shared" ref="W16" si="28">IF(Z16="",V16,V16*Z16)</f>
        <v>1900</v>
      </c>
      <c r="X16" s="4">
        <v>867</v>
      </c>
      <c r="Y16" s="4">
        <f t="shared" ref="Y16" si="29">IF(Z16="",X16,X16*Z16)</f>
        <v>867</v>
      </c>
      <c r="Z16" s="4"/>
      <c r="AA16" s="20">
        <f t="shared" ref="AA16" si="30">ROUND(M16*AO16,0)</f>
        <v>1401</v>
      </c>
      <c r="AB16" s="6">
        <f t="shared" ref="AB16" si="31">1-Y16/AA16</f>
        <v>0.38115631691648821</v>
      </c>
      <c r="AC16" s="38">
        <v>30</v>
      </c>
      <c r="AD16" s="4">
        <f t="shared" ref="AD16" si="32">BD16</f>
        <v>1688</v>
      </c>
      <c r="AE16" s="4">
        <f t="shared" ref="AE16" si="33">AD16*AO16</f>
        <v>1888.3819354838708</v>
      </c>
      <c r="AF16" s="6">
        <f t="shared" ref="AF16" si="34">1-Y16/AE16</f>
        <v>0.54087677725118488</v>
      </c>
      <c r="AG16" s="7">
        <v>1400</v>
      </c>
      <c r="AH16" s="6">
        <f t="shared" ref="AH16" si="35">1-Y16/AG16</f>
        <v>0.38071428571428567</v>
      </c>
      <c r="AI16" s="4">
        <f t="shared" ref="AI16" si="36">AG16-Y16</f>
        <v>533</v>
      </c>
      <c r="AJ16" s="27"/>
      <c r="AK16" s="6"/>
      <c r="AL16" s="6"/>
      <c r="AM16" s="6">
        <f t="shared" ref="AM16" si="37">W16/L16</f>
        <v>1.2258064516129032</v>
      </c>
      <c r="AN16" s="6">
        <f t="shared" ref="AN16" si="38">AG16/M16</f>
        <v>1.1182108626198084</v>
      </c>
      <c r="AO16" s="6">
        <f t="shared" ref="AO16" si="39">Y16/N16</f>
        <v>1.1187096774193548</v>
      </c>
      <c r="AP16" s="4" t="str">
        <f t="shared" ref="AP16" si="40">IFERROR(ROUND($AG16*P16/$M16,0),"-")</f>
        <v>-</v>
      </c>
      <c r="AQ16" s="4" t="str">
        <f t="shared" ref="AQ16" si="41">IF(Q16="","-",Q16)</f>
        <v>-</v>
      </c>
      <c r="AR16" s="4" t="str">
        <f t="shared" ref="AR16" si="42">IF(R16="","-",R16)</f>
        <v>-</v>
      </c>
      <c r="AS16" s="4" t="str">
        <f t="shared" ref="AS16" si="43">IFERROR(ROUND($AG16*S16/$M16,0),"-")</f>
        <v>-</v>
      </c>
      <c r="AT16" s="4" t="str">
        <f t="shared" ref="AT16" si="44">IF(T16="","-",T16)</f>
        <v>-</v>
      </c>
      <c r="AU16" s="4" t="str">
        <f t="shared" ref="AU16" si="45">IF(U16="","-",U16)</f>
        <v>-</v>
      </c>
      <c r="AV16" s="4" t="s">
        <v>66</v>
      </c>
      <c r="AW16" s="4" t="s">
        <v>139</v>
      </c>
      <c r="AX16" s="4"/>
      <c r="AY16" s="4"/>
      <c r="AZ16" s="4" t="s">
        <v>140</v>
      </c>
      <c r="BA16" s="4">
        <v>1688</v>
      </c>
      <c r="BB16" s="4">
        <v>1688</v>
      </c>
      <c r="BC16" s="4">
        <v>1688</v>
      </c>
      <c r="BD16" s="4">
        <f t="shared" ref="BD16" si="46">IF(AX16="",BC16,AX16/AY16*BC16)</f>
        <v>1688</v>
      </c>
      <c r="BE16" s="18">
        <v>4</v>
      </c>
      <c r="BF16" s="18">
        <v>1</v>
      </c>
      <c r="BG16" s="16">
        <v>3</v>
      </c>
      <c r="BH16" s="33">
        <v>46204</v>
      </c>
      <c r="BI16" t="s">
        <v>102</v>
      </c>
      <c r="BJ16" t="s">
        <v>102</v>
      </c>
      <c r="BK16" t="str">
        <f t="shared" ref="BK16" si="47">IFERROR(BJ16*AO16,"-")</f>
        <v>-</v>
      </c>
      <c r="BL16">
        <v>1700</v>
      </c>
      <c r="BM16">
        <v>1700</v>
      </c>
      <c r="BN16">
        <f t="shared" ref="BN16" si="48">IFERROR(BM16*AO16,"-")</f>
        <v>1901.8064516129032</v>
      </c>
      <c r="BO16" s="4" t="s">
        <v>114</v>
      </c>
    </row>
    <row r="17" spans="1:68" x14ac:dyDescent="0.4">
      <c r="A17" s="3">
        <v>115</v>
      </c>
      <c r="B17" s="3">
        <v>115</v>
      </c>
      <c r="C17" s="4">
        <v>675277</v>
      </c>
      <c r="D17" s="4" t="str">
        <f t="shared" si="25"/>
        <v>675277</v>
      </c>
      <c r="E17" s="4">
        <v>675277</v>
      </c>
      <c r="F17" s="4" t="s">
        <v>82</v>
      </c>
      <c r="G17" s="5">
        <v>4977564607838</v>
      </c>
      <c r="H17" s="5">
        <v>5</v>
      </c>
      <c r="I17" s="5" t="str">
        <f t="shared" ref="I17:I28" si="49">C17&amp;H17</f>
        <v>6752775</v>
      </c>
      <c r="J17" s="5">
        <v>1</v>
      </c>
      <c r="K17" s="5">
        <v>1</v>
      </c>
      <c r="L17" s="4">
        <v>0</v>
      </c>
      <c r="M17" s="4">
        <v>1230</v>
      </c>
      <c r="N17" s="4">
        <v>880</v>
      </c>
      <c r="O17" s="6">
        <f t="shared" ref="O17:O28" si="50">1-N17/M17</f>
        <v>0.28455284552845528</v>
      </c>
      <c r="P17" s="4" t="s">
        <v>102</v>
      </c>
      <c r="Q17" s="4" t="s">
        <v>102</v>
      </c>
      <c r="R17" s="4" t="s">
        <v>102</v>
      </c>
      <c r="S17" s="4" t="s">
        <v>102</v>
      </c>
      <c r="T17" s="4" t="s">
        <v>102</v>
      </c>
      <c r="U17" s="4" t="s">
        <v>102</v>
      </c>
      <c r="V17" s="4">
        <v>0</v>
      </c>
      <c r="W17" s="4">
        <f t="shared" ref="W17:W28" si="51">IF(Z17="",V17,V17*Z17)</f>
        <v>0</v>
      </c>
      <c r="X17" s="4">
        <v>968</v>
      </c>
      <c r="Y17" s="4">
        <f t="shared" ref="Y17:Y28" si="52">IF(Z17="",X17,X17*Z17)</f>
        <v>968</v>
      </c>
      <c r="Z17" s="4"/>
      <c r="AA17" s="20">
        <f t="shared" ref="AA17:AA28" si="53">ROUND(M17*AO17,0)</f>
        <v>1353</v>
      </c>
      <c r="AB17" s="6">
        <f t="shared" ref="AB17:AB28" si="54">1-Y17/AA17</f>
        <v>0.28455284552845528</v>
      </c>
      <c r="AC17" s="38">
        <v>47.75</v>
      </c>
      <c r="AD17" s="4">
        <f t="shared" ref="AD17:AD28" si="55">BD17</f>
        <v>1237</v>
      </c>
      <c r="AE17" s="4">
        <f t="shared" ref="AE17:AE28" si="56">AD17*AO17</f>
        <v>1360.7</v>
      </c>
      <c r="AF17" s="6">
        <f t="shared" ref="AF17:AF28" si="57">1-Y17/AE17</f>
        <v>0.2886014551333872</v>
      </c>
      <c r="AG17" s="7">
        <v>1360</v>
      </c>
      <c r="AH17" s="6">
        <f t="shared" ref="AH17:AH28" si="58">1-Y17/AG17</f>
        <v>0.28823529411764703</v>
      </c>
      <c r="AI17" s="4">
        <f t="shared" ref="AI17:AI28" si="59">AG17-Y17</f>
        <v>392</v>
      </c>
      <c r="AJ17" s="27"/>
      <c r="AK17" s="6"/>
      <c r="AL17" s="6"/>
      <c r="AM17" s="6" t="e">
        <f t="shared" ref="AM17:AM28" si="60">W17/L17</f>
        <v>#DIV/0!</v>
      </c>
      <c r="AN17" s="6">
        <f t="shared" ref="AN17:AN28" si="61">AG17/M17</f>
        <v>1.1056910569105691</v>
      </c>
      <c r="AO17" s="6">
        <f t="shared" ref="AO17:AO28" si="62">Y17/N17</f>
        <v>1.1000000000000001</v>
      </c>
      <c r="AP17" s="4" t="str">
        <f t="shared" ref="AP17:AP28" si="63">IFERROR(ROUND($AG17*P17/$M17,0),"-")</f>
        <v>-</v>
      </c>
      <c r="AQ17" s="4" t="str">
        <f t="shared" ref="AQ17:AQ28" si="64">IF(Q17="","-",Q17)</f>
        <v>-</v>
      </c>
      <c r="AR17" s="4" t="str">
        <f t="shared" ref="AR17:AR28" si="65">IF(R17="","-",R17)</f>
        <v>-</v>
      </c>
      <c r="AS17" s="4" t="str">
        <f t="shared" ref="AS17:AS28" si="66">IFERROR(ROUND($AG17*S17/$M17,0),"-")</f>
        <v>-</v>
      </c>
      <c r="AT17" s="4" t="str">
        <f t="shared" ref="AT17:AT28" si="67">IF(T17="","-",T17)</f>
        <v>-</v>
      </c>
      <c r="AU17" s="4" t="str">
        <f t="shared" ref="AU17:AU28" si="68">IF(U17="","-",U17)</f>
        <v>-</v>
      </c>
      <c r="AV17" s="4">
        <v>12571</v>
      </c>
      <c r="AW17" s="4" t="s">
        <v>142</v>
      </c>
      <c r="AX17" s="4"/>
      <c r="AY17" s="4"/>
      <c r="AZ17" s="4" t="s">
        <v>140</v>
      </c>
      <c r="BA17" s="4">
        <v>1237</v>
      </c>
      <c r="BB17" s="4">
        <v>1237</v>
      </c>
      <c r="BC17" s="4">
        <v>1237</v>
      </c>
      <c r="BD17" s="4">
        <f t="shared" ref="BD17:BD28" si="69">IF(AX17="",BC17,AX17/AY17*BC17)</f>
        <v>1237</v>
      </c>
      <c r="BE17" s="18">
        <v>4</v>
      </c>
      <c r="BF17" s="18">
        <v>1</v>
      </c>
      <c r="BG17" s="16">
        <v>3</v>
      </c>
      <c r="BH17" s="33">
        <v>46204</v>
      </c>
      <c r="BI17">
        <v>1395</v>
      </c>
      <c r="BJ17">
        <v>1395</v>
      </c>
      <c r="BK17">
        <f t="shared" ref="BK17:BK28" si="70">IFERROR(BJ17*AO17,"-")</f>
        <v>1534.5000000000002</v>
      </c>
      <c r="BL17">
        <v>1743</v>
      </c>
      <c r="BM17">
        <v>1743</v>
      </c>
      <c r="BN17">
        <f t="shared" ref="BN17:BN28" si="71">IFERROR(BM17*AO17,"-")</f>
        <v>1917.3000000000002</v>
      </c>
      <c r="BO17" s="4" t="s">
        <v>115</v>
      </c>
    </row>
    <row r="18" spans="1:68" x14ac:dyDescent="0.4">
      <c r="A18" s="3">
        <v>116</v>
      </c>
      <c r="B18" s="3">
        <v>116</v>
      </c>
      <c r="C18" s="4" t="s">
        <v>57</v>
      </c>
      <c r="D18" s="4" t="str">
        <f t="shared" si="25"/>
        <v>J416NC</v>
      </c>
      <c r="E18" s="4" t="s">
        <v>57</v>
      </c>
      <c r="F18" s="4" t="s">
        <v>83</v>
      </c>
      <c r="G18" s="5">
        <v>4977564718190</v>
      </c>
      <c r="H18" s="5">
        <v>5</v>
      </c>
      <c r="I18" s="5" t="str">
        <f t="shared" si="49"/>
        <v>J416NC5</v>
      </c>
      <c r="J18" s="5">
        <v>1</v>
      </c>
      <c r="K18" s="5">
        <v>1</v>
      </c>
      <c r="L18" s="4">
        <v>0</v>
      </c>
      <c r="M18" s="4">
        <v>313</v>
      </c>
      <c r="N18" s="4">
        <v>190</v>
      </c>
      <c r="O18" s="6">
        <f t="shared" si="50"/>
        <v>0.39297124600638977</v>
      </c>
      <c r="P18" s="4" t="s">
        <v>102</v>
      </c>
      <c r="Q18" s="4" t="s">
        <v>102</v>
      </c>
      <c r="R18" s="4" t="s">
        <v>102</v>
      </c>
      <c r="S18" s="4" t="s">
        <v>102</v>
      </c>
      <c r="T18" s="4" t="s">
        <v>102</v>
      </c>
      <c r="U18" s="4" t="s">
        <v>102</v>
      </c>
      <c r="V18" s="4">
        <v>0</v>
      </c>
      <c r="W18" s="4">
        <f t="shared" si="51"/>
        <v>0</v>
      </c>
      <c r="X18" s="4">
        <v>210</v>
      </c>
      <c r="Y18" s="4">
        <f t="shared" si="52"/>
        <v>210</v>
      </c>
      <c r="Z18" s="4"/>
      <c r="AA18" s="20">
        <f t="shared" si="53"/>
        <v>346</v>
      </c>
      <c r="AB18" s="6">
        <f t="shared" si="54"/>
        <v>0.39306358381502893</v>
      </c>
      <c r="AC18" s="38">
        <v>2.25</v>
      </c>
      <c r="AD18" s="4" t="str">
        <f t="shared" si="55"/>
        <v>-</v>
      </c>
      <c r="AE18" s="4" t="e">
        <f t="shared" si="56"/>
        <v>#VALUE!</v>
      </c>
      <c r="AF18" s="6" t="e">
        <f t="shared" si="57"/>
        <v>#VALUE!</v>
      </c>
      <c r="AG18" s="7">
        <v>338</v>
      </c>
      <c r="AH18" s="6">
        <f t="shared" si="58"/>
        <v>0.37869822485207105</v>
      </c>
      <c r="AI18" s="4">
        <f t="shared" si="59"/>
        <v>128</v>
      </c>
      <c r="AJ18" s="27"/>
      <c r="AK18" s="6"/>
      <c r="AL18" s="6"/>
      <c r="AM18" s="6" t="e">
        <f t="shared" si="60"/>
        <v>#DIV/0!</v>
      </c>
      <c r="AN18" s="6">
        <f t="shared" si="61"/>
        <v>1.0798722044728435</v>
      </c>
      <c r="AO18" s="6">
        <f t="shared" si="62"/>
        <v>1.1052631578947369</v>
      </c>
      <c r="AP18" s="4" t="str">
        <f t="shared" si="63"/>
        <v>-</v>
      </c>
      <c r="AQ18" s="4" t="str">
        <f t="shared" si="64"/>
        <v>-</v>
      </c>
      <c r="AR18" s="4" t="str">
        <f t="shared" si="65"/>
        <v>-</v>
      </c>
      <c r="AS18" s="4" t="str">
        <f t="shared" si="66"/>
        <v>-</v>
      </c>
      <c r="AT18" s="4" t="str">
        <f t="shared" si="67"/>
        <v>-</v>
      </c>
      <c r="AU18" s="4" t="str">
        <f t="shared" si="68"/>
        <v>-</v>
      </c>
      <c r="AV18" s="4">
        <v>12571</v>
      </c>
      <c r="AW18" s="4" t="s">
        <v>102</v>
      </c>
      <c r="AX18" s="4"/>
      <c r="AY18" s="4"/>
      <c r="AZ18" s="4" t="s">
        <v>102</v>
      </c>
      <c r="BA18" s="4" t="s">
        <v>102</v>
      </c>
      <c r="BB18" s="4" t="s">
        <v>102</v>
      </c>
      <c r="BC18" s="4" t="s">
        <v>102</v>
      </c>
      <c r="BD18" s="4" t="str">
        <f t="shared" si="69"/>
        <v>-</v>
      </c>
      <c r="BE18" s="18">
        <v>4</v>
      </c>
      <c r="BF18" s="18">
        <v>8</v>
      </c>
      <c r="BG18" s="16">
        <v>3</v>
      </c>
      <c r="BH18" s="33">
        <v>46204</v>
      </c>
      <c r="BI18" t="s">
        <v>102</v>
      </c>
      <c r="BJ18" t="s">
        <v>102</v>
      </c>
      <c r="BK18" t="str">
        <f t="shared" si="70"/>
        <v>-</v>
      </c>
      <c r="BL18">
        <v>347</v>
      </c>
      <c r="BM18">
        <v>347</v>
      </c>
      <c r="BN18">
        <f t="shared" si="71"/>
        <v>383.5263157894737</v>
      </c>
      <c r="BO18" s="4" t="s">
        <v>102</v>
      </c>
    </row>
    <row r="19" spans="1:68" x14ac:dyDescent="0.4">
      <c r="A19" s="3">
        <v>119</v>
      </c>
      <c r="B19" s="3">
        <v>119</v>
      </c>
      <c r="C19" s="31">
        <v>526536</v>
      </c>
      <c r="D19" s="4" t="str">
        <f t="shared" si="25"/>
        <v>526536</v>
      </c>
      <c r="E19" s="4">
        <v>526536</v>
      </c>
      <c r="F19" s="4" t="s">
        <v>84</v>
      </c>
      <c r="G19" s="5">
        <v>4977564686451</v>
      </c>
      <c r="H19" s="5">
        <v>5</v>
      </c>
      <c r="I19" s="5" t="str">
        <f t="shared" si="49"/>
        <v>5265365</v>
      </c>
      <c r="J19" s="5">
        <v>2</v>
      </c>
      <c r="K19" s="5">
        <v>2</v>
      </c>
      <c r="L19" s="4">
        <v>170</v>
      </c>
      <c r="M19" s="4">
        <v>114</v>
      </c>
      <c r="N19" s="4">
        <v>68</v>
      </c>
      <c r="O19" s="6">
        <f t="shared" si="50"/>
        <v>0.40350877192982459</v>
      </c>
      <c r="P19" s="4" t="s">
        <v>102</v>
      </c>
      <c r="Q19" s="4" t="s">
        <v>102</v>
      </c>
      <c r="R19" s="4" t="s">
        <v>102</v>
      </c>
      <c r="S19" s="4" t="s">
        <v>102</v>
      </c>
      <c r="T19" s="4" t="s">
        <v>102</v>
      </c>
      <c r="U19" s="4" t="s">
        <v>102</v>
      </c>
      <c r="V19" s="4">
        <v>180</v>
      </c>
      <c r="W19" s="4">
        <f t="shared" si="51"/>
        <v>180</v>
      </c>
      <c r="X19" s="4">
        <v>72</v>
      </c>
      <c r="Y19" s="4">
        <f t="shared" si="52"/>
        <v>72</v>
      </c>
      <c r="Z19" s="4"/>
      <c r="AA19" s="20">
        <f t="shared" si="53"/>
        <v>121</v>
      </c>
      <c r="AB19" s="6">
        <f t="shared" si="54"/>
        <v>0.4049586776859504</v>
      </c>
      <c r="AC19" s="38">
        <v>76.75</v>
      </c>
      <c r="AD19" s="4">
        <f t="shared" si="55"/>
        <v>115.5</v>
      </c>
      <c r="AE19" s="4">
        <f t="shared" si="56"/>
        <v>122.29411764705883</v>
      </c>
      <c r="AF19" s="6">
        <f t="shared" si="57"/>
        <v>0.41125541125541132</v>
      </c>
      <c r="AG19" s="7">
        <v>120</v>
      </c>
      <c r="AH19" s="6">
        <f t="shared" si="58"/>
        <v>0.4</v>
      </c>
      <c r="AI19" s="4">
        <f t="shared" si="59"/>
        <v>48</v>
      </c>
      <c r="AJ19" s="27"/>
      <c r="AK19" s="6"/>
      <c r="AL19" s="6"/>
      <c r="AM19" s="6">
        <f t="shared" si="60"/>
        <v>1.0588235294117647</v>
      </c>
      <c r="AN19" s="6">
        <f t="shared" si="61"/>
        <v>1.0526315789473684</v>
      </c>
      <c r="AO19" s="6">
        <f t="shared" si="62"/>
        <v>1.0588235294117647</v>
      </c>
      <c r="AP19" s="4" t="str">
        <f t="shared" si="63"/>
        <v>-</v>
      </c>
      <c r="AQ19" s="4" t="str">
        <f t="shared" si="64"/>
        <v>-</v>
      </c>
      <c r="AR19" s="4" t="str">
        <f t="shared" si="65"/>
        <v>-</v>
      </c>
      <c r="AS19" s="4" t="str">
        <f t="shared" si="66"/>
        <v>-</v>
      </c>
      <c r="AT19" s="4" t="str">
        <f t="shared" si="67"/>
        <v>-</v>
      </c>
      <c r="AU19" s="4" t="str">
        <f t="shared" si="68"/>
        <v>-</v>
      </c>
      <c r="AV19" s="4">
        <v>12540</v>
      </c>
      <c r="AW19" s="4" t="s">
        <v>143</v>
      </c>
      <c r="AX19" s="4">
        <v>1</v>
      </c>
      <c r="AY19" s="4">
        <v>2</v>
      </c>
      <c r="AZ19" s="4" t="s">
        <v>144</v>
      </c>
      <c r="BA19" s="4">
        <v>231</v>
      </c>
      <c r="BB19" s="4">
        <v>231</v>
      </c>
      <c r="BC19" s="4">
        <v>231</v>
      </c>
      <c r="BD19" s="4">
        <f t="shared" si="69"/>
        <v>115.5</v>
      </c>
      <c r="BE19" s="18">
        <v>4</v>
      </c>
      <c r="BF19" s="18">
        <v>1</v>
      </c>
      <c r="BG19" s="16">
        <v>3</v>
      </c>
      <c r="BH19" s="33">
        <v>46204</v>
      </c>
      <c r="BI19" t="s">
        <v>102</v>
      </c>
      <c r="BJ19" t="s">
        <v>102</v>
      </c>
      <c r="BK19" t="str">
        <f t="shared" si="70"/>
        <v>-</v>
      </c>
      <c r="BL19">
        <v>160</v>
      </c>
      <c r="BM19">
        <v>160</v>
      </c>
      <c r="BN19">
        <f t="shared" si="71"/>
        <v>169.41176470588235</v>
      </c>
      <c r="BO19" s="4" t="s">
        <v>116</v>
      </c>
    </row>
    <row r="20" spans="1:68" x14ac:dyDescent="0.4">
      <c r="A20" s="3">
        <v>231</v>
      </c>
      <c r="B20" s="3">
        <v>119</v>
      </c>
      <c r="C20" s="31">
        <v>526536</v>
      </c>
      <c r="D20" s="4" t="s">
        <v>58</v>
      </c>
      <c r="E20" s="4">
        <v>526689</v>
      </c>
      <c r="F20" s="4" t="s">
        <v>98</v>
      </c>
      <c r="G20" s="5">
        <v>4977564686451</v>
      </c>
      <c r="H20" s="5">
        <v>8</v>
      </c>
      <c r="I20" s="5" t="str">
        <f t="shared" si="49"/>
        <v>5265368</v>
      </c>
      <c r="J20" s="5"/>
      <c r="K20" s="5"/>
      <c r="L20" s="4">
        <v>1700</v>
      </c>
      <c r="M20" s="4">
        <v>1027</v>
      </c>
      <c r="N20" s="4">
        <v>680</v>
      </c>
      <c r="O20" s="6">
        <f t="shared" si="50"/>
        <v>0.33787731256085685</v>
      </c>
      <c r="P20" s="4" t="s">
        <v>102</v>
      </c>
      <c r="Q20" s="4" t="s">
        <v>102</v>
      </c>
      <c r="R20" s="4" t="s">
        <v>102</v>
      </c>
      <c r="S20" s="4" t="s">
        <v>102</v>
      </c>
      <c r="T20" s="4" t="s">
        <v>102</v>
      </c>
      <c r="U20" s="4" t="s">
        <v>102</v>
      </c>
      <c r="V20" s="4">
        <v>180</v>
      </c>
      <c r="W20" s="4">
        <f t="shared" si="51"/>
        <v>1800</v>
      </c>
      <c r="X20" s="4">
        <v>72</v>
      </c>
      <c r="Y20" s="4">
        <f t="shared" si="52"/>
        <v>720</v>
      </c>
      <c r="Z20" s="4">
        <v>10</v>
      </c>
      <c r="AA20" s="20">
        <f t="shared" si="53"/>
        <v>1087</v>
      </c>
      <c r="AB20" s="6">
        <f t="shared" si="54"/>
        <v>0.33762649494020236</v>
      </c>
      <c r="AC20" s="38">
        <v>76.75</v>
      </c>
      <c r="AD20" s="4">
        <f t="shared" si="55"/>
        <v>1037</v>
      </c>
      <c r="AE20" s="4">
        <f t="shared" si="56"/>
        <v>1098</v>
      </c>
      <c r="AF20" s="6">
        <f t="shared" si="57"/>
        <v>0.34426229508196726</v>
      </c>
      <c r="AG20" s="7">
        <v>1090</v>
      </c>
      <c r="AH20" s="6">
        <f t="shared" si="58"/>
        <v>0.33944954128440363</v>
      </c>
      <c r="AI20" s="4">
        <f t="shared" si="59"/>
        <v>370</v>
      </c>
      <c r="AJ20" s="27"/>
      <c r="AK20" s="6"/>
      <c r="AL20" s="6"/>
      <c r="AM20" s="6">
        <f t="shared" si="60"/>
        <v>1.0588235294117647</v>
      </c>
      <c r="AN20" s="6">
        <f t="shared" si="61"/>
        <v>1.0613437195715676</v>
      </c>
      <c r="AO20" s="6">
        <f t="shared" si="62"/>
        <v>1.0588235294117647</v>
      </c>
      <c r="AP20" s="4" t="str">
        <f t="shared" si="63"/>
        <v>-</v>
      </c>
      <c r="AQ20" s="4" t="str">
        <f t="shared" si="64"/>
        <v>-</v>
      </c>
      <c r="AR20" s="4" t="str">
        <f t="shared" si="65"/>
        <v>-</v>
      </c>
      <c r="AS20" s="4" t="str">
        <f t="shared" si="66"/>
        <v>-</v>
      </c>
      <c r="AT20" s="4" t="str">
        <f t="shared" si="67"/>
        <v>-</v>
      </c>
      <c r="AU20" s="4" t="str">
        <f t="shared" si="68"/>
        <v>-</v>
      </c>
      <c r="AV20" s="4">
        <v>12540</v>
      </c>
      <c r="AW20" s="4" t="s">
        <v>159</v>
      </c>
      <c r="AX20" s="4"/>
      <c r="AY20" s="4"/>
      <c r="AZ20" s="4" t="s">
        <v>160</v>
      </c>
      <c r="BA20" s="4">
        <v>1037</v>
      </c>
      <c r="BB20" s="4">
        <v>1037</v>
      </c>
      <c r="BC20" s="4">
        <v>1037</v>
      </c>
      <c r="BD20" s="4">
        <f t="shared" si="69"/>
        <v>1037</v>
      </c>
      <c r="BE20" s="18">
        <v>4</v>
      </c>
      <c r="BF20" s="18">
        <v>1</v>
      </c>
      <c r="BG20" s="16">
        <v>3</v>
      </c>
      <c r="BH20" s="33">
        <v>46204</v>
      </c>
      <c r="BI20" t="s">
        <v>102</v>
      </c>
      <c r="BJ20" t="s">
        <v>102</v>
      </c>
      <c r="BK20" t="str">
        <f t="shared" si="70"/>
        <v>-</v>
      </c>
      <c r="BL20">
        <v>160</v>
      </c>
      <c r="BM20">
        <v>160</v>
      </c>
      <c r="BN20">
        <f t="shared" si="71"/>
        <v>169.41176470588235</v>
      </c>
      <c r="BO20" s="4" t="s">
        <v>124</v>
      </c>
      <c r="BP20">
        <v>2</v>
      </c>
    </row>
    <row r="21" spans="1:68" x14ac:dyDescent="0.4">
      <c r="A21" s="3">
        <v>120</v>
      </c>
      <c r="B21" s="3">
        <v>120</v>
      </c>
      <c r="C21" s="31">
        <v>526545</v>
      </c>
      <c r="D21" s="4" t="str">
        <f>TEXT(C21,"000000")</f>
        <v>526545</v>
      </c>
      <c r="E21" s="4">
        <v>526545</v>
      </c>
      <c r="F21" s="4" t="s">
        <v>85</v>
      </c>
      <c r="G21" s="5">
        <v>4977564686468</v>
      </c>
      <c r="H21" s="5">
        <v>5</v>
      </c>
      <c r="I21" s="5" t="str">
        <f t="shared" si="49"/>
        <v>5265455</v>
      </c>
      <c r="J21" s="5">
        <v>2</v>
      </c>
      <c r="K21" s="5">
        <v>2</v>
      </c>
      <c r="L21" s="4">
        <v>170</v>
      </c>
      <c r="M21" s="4">
        <v>114</v>
      </c>
      <c r="N21" s="4">
        <v>68</v>
      </c>
      <c r="O21" s="6">
        <f t="shared" si="50"/>
        <v>0.40350877192982459</v>
      </c>
      <c r="P21" s="4" t="s">
        <v>102</v>
      </c>
      <c r="Q21" s="4" t="s">
        <v>102</v>
      </c>
      <c r="R21" s="4" t="s">
        <v>102</v>
      </c>
      <c r="S21" s="4" t="s">
        <v>102</v>
      </c>
      <c r="T21" s="4" t="s">
        <v>102</v>
      </c>
      <c r="U21" s="4" t="s">
        <v>102</v>
      </c>
      <c r="V21" s="4">
        <v>180</v>
      </c>
      <c r="W21" s="4">
        <f t="shared" si="51"/>
        <v>180</v>
      </c>
      <c r="X21" s="4">
        <v>72</v>
      </c>
      <c r="Y21" s="4">
        <f t="shared" si="52"/>
        <v>72</v>
      </c>
      <c r="Z21" s="4"/>
      <c r="AA21" s="20">
        <f t="shared" si="53"/>
        <v>121</v>
      </c>
      <c r="AB21" s="6">
        <f t="shared" si="54"/>
        <v>0.4049586776859504</v>
      </c>
      <c r="AC21" s="38">
        <v>6.25</v>
      </c>
      <c r="AD21" s="4" t="str">
        <f t="shared" si="55"/>
        <v>-</v>
      </c>
      <c r="AE21" s="4" t="e">
        <f t="shared" si="56"/>
        <v>#VALUE!</v>
      </c>
      <c r="AF21" s="6" t="e">
        <f t="shared" si="57"/>
        <v>#VALUE!</v>
      </c>
      <c r="AG21" s="7">
        <v>120</v>
      </c>
      <c r="AH21" s="6">
        <f t="shared" si="58"/>
        <v>0.4</v>
      </c>
      <c r="AI21" s="4">
        <f t="shared" si="59"/>
        <v>48</v>
      </c>
      <c r="AJ21" s="27"/>
      <c r="AK21" s="6"/>
      <c r="AL21" s="6"/>
      <c r="AM21" s="6">
        <f t="shared" si="60"/>
        <v>1.0588235294117647</v>
      </c>
      <c r="AN21" s="6">
        <f t="shared" si="61"/>
        <v>1.0526315789473684</v>
      </c>
      <c r="AO21" s="6">
        <f t="shared" si="62"/>
        <v>1.0588235294117647</v>
      </c>
      <c r="AP21" s="4" t="str">
        <f t="shared" si="63"/>
        <v>-</v>
      </c>
      <c r="AQ21" s="4" t="str">
        <f t="shared" si="64"/>
        <v>-</v>
      </c>
      <c r="AR21" s="4" t="str">
        <f t="shared" si="65"/>
        <v>-</v>
      </c>
      <c r="AS21" s="4" t="str">
        <f t="shared" si="66"/>
        <v>-</v>
      </c>
      <c r="AT21" s="4" t="str">
        <f t="shared" si="67"/>
        <v>-</v>
      </c>
      <c r="AU21" s="4" t="str">
        <f t="shared" si="68"/>
        <v>-</v>
      </c>
      <c r="AV21" s="4">
        <v>12540</v>
      </c>
      <c r="AW21" s="4" t="s">
        <v>102</v>
      </c>
      <c r="AX21" s="4"/>
      <c r="AY21" s="4"/>
      <c r="AZ21" s="4" t="s">
        <v>102</v>
      </c>
      <c r="BA21" s="4" t="s">
        <v>102</v>
      </c>
      <c r="BB21" s="4" t="s">
        <v>102</v>
      </c>
      <c r="BC21" s="4" t="s">
        <v>102</v>
      </c>
      <c r="BD21" s="4" t="str">
        <f t="shared" si="69"/>
        <v>-</v>
      </c>
      <c r="BE21" s="18">
        <v>4</v>
      </c>
      <c r="BF21" s="18">
        <v>1</v>
      </c>
      <c r="BG21" s="16">
        <v>3</v>
      </c>
      <c r="BH21" s="33">
        <v>46204</v>
      </c>
      <c r="BI21" t="s">
        <v>102</v>
      </c>
      <c r="BJ21" t="s">
        <v>102</v>
      </c>
      <c r="BK21" t="str">
        <f t="shared" si="70"/>
        <v>-</v>
      </c>
      <c r="BL21" t="s">
        <v>102</v>
      </c>
      <c r="BM21" t="s">
        <v>102</v>
      </c>
      <c r="BN21" t="str">
        <f t="shared" si="71"/>
        <v>-</v>
      </c>
      <c r="BO21" s="4" t="s">
        <v>102</v>
      </c>
    </row>
    <row r="22" spans="1:68" x14ac:dyDescent="0.4">
      <c r="A22" s="3">
        <v>232</v>
      </c>
      <c r="B22" s="3">
        <v>120</v>
      </c>
      <c r="C22" s="31">
        <v>526545</v>
      </c>
      <c r="D22" s="4" t="s">
        <v>59</v>
      </c>
      <c r="E22" s="4">
        <v>526698</v>
      </c>
      <c r="F22" s="4" t="s">
        <v>99</v>
      </c>
      <c r="G22" s="5">
        <v>4977564686468</v>
      </c>
      <c r="H22" s="5">
        <v>8</v>
      </c>
      <c r="I22" s="5" t="str">
        <f t="shared" si="49"/>
        <v>5265458</v>
      </c>
      <c r="J22" s="5"/>
      <c r="K22" s="5"/>
      <c r="L22" s="4">
        <v>1700</v>
      </c>
      <c r="M22" s="4">
        <v>1027</v>
      </c>
      <c r="N22" s="4">
        <v>680</v>
      </c>
      <c r="O22" s="6">
        <f t="shared" si="50"/>
        <v>0.33787731256085685</v>
      </c>
      <c r="P22" s="4" t="s">
        <v>102</v>
      </c>
      <c r="Q22" s="4" t="s">
        <v>102</v>
      </c>
      <c r="R22" s="4" t="s">
        <v>102</v>
      </c>
      <c r="S22" s="4" t="s">
        <v>102</v>
      </c>
      <c r="T22" s="4" t="s">
        <v>102</v>
      </c>
      <c r="U22" s="4" t="s">
        <v>102</v>
      </c>
      <c r="V22" s="4">
        <v>180</v>
      </c>
      <c r="W22" s="4">
        <f t="shared" si="51"/>
        <v>1800</v>
      </c>
      <c r="X22" s="4">
        <v>72</v>
      </c>
      <c r="Y22" s="4">
        <f t="shared" si="52"/>
        <v>720</v>
      </c>
      <c r="Z22" s="4">
        <v>10</v>
      </c>
      <c r="AA22" s="20">
        <f t="shared" si="53"/>
        <v>1087</v>
      </c>
      <c r="AB22" s="6">
        <f t="shared" si="54"/>
        <v>0.33762649494020236</v>
      </c>
      <c r="AC22" s="38">
        <v>6.25</v>
      </c>
      <c r="AD22" s="4" t="str">
        <f t="shared" si="55"/>
        <v>-</v>
      </c>
      <c r="AE22" s="4" t="e">
        <f t="shared" si="56"/>
        <v>#VALUE!</v>
      </c>
      <c r="AF22" s="6" t="e">
        <f t="shared" si="57"/>
        <v>#VALUE!</v>
      </c>
      <c r="AG22" s="7">
        <v>1090</v>
      </c>
      <c r="AH22" s="6">
        <f t="shared" si="58"/>
        <v>0.33944954128440363</v>
      </c>
      <c r="AI22" s="4">
        <f t="shared" si="59"/>
        <v>370</v>
      </c>
      <c r="AJ22" s="27"/>
      <c r="AK22" s="6"/>
      <c r="AL22" s="6"/>
      <c r="AM22" s="6">
        <f t="shared" si="60"/>
        <v>1.0588235294117647</v>
      </c>
      <c r="AN22" s="6">
        <f t="shared" si="61"/>
        <v>1.0613437195715676</v>
      </c>
      <c r="AO22" s="6">
        <f t="shared" si="62"/>
        <v>1.0588235294117647</v>
      </c>
      <c r="AP22" s="4" t="str">
        <f t="shared" si="63"/>
        <v>-</v>
      </c>
      <c r="AQ22" s="4" t="str">
        <f t="shared" si="64"/>
        <v>-</v>
      </c>
      <c r="AR22" s="4" t="str">
        <f t="shared" si="65"/>
        <v>-</v>
      </c>
      <c r="AS22" s="4" t="str">
        <f t="shared" si="66"/>
        <v>-</v>
      </c>
      <c r="AT22" s="4" t="str">
        <f t="shared" si="67"/>
        <v>-</v>
      </c>
      <c r="AU22" s="4" t="str">
        <f t="shared" si="68"/>
        <v>-</v>
      </c>
      <c r="AV22" s="4">
        <v>12540</v>
      </c>
      <c r="AW22" s="4" t="s">
        <v>102</v>
      </c>
      <c r="AX22" s="4"/>
      <c r="AY22" s="4"/>
      <c r="AZ22" s="4" t="s">
        <v>102</v>
      </c>
      <c r="BA22" s="4" t="s">
        <v>102</v>
      </c>
      <c r="BB22" s="4" t="s">
        <v>102</v>
      </c>
      <c r="BC22" s="4" t="s">
        <v>102</v>
      </c>
      <c r="BD22" s="4" t="str">
        <f t="shared" si="69"/>
        <v>-</v>
      </c>
      <c r="BE22" s="18">
        <v>4</v>
      </c>
      <c r="BF22" s="18">
        <v>1</v>
      </c>
      <c r="BG22" s="16">
        <v>3</v>
      </c>
      <c r="BH22" s="33">
        <v>46204</v>
      </c>
      <c r="BI22" t="s">
        <v>102</v>
      </c>
      <c r="BJ22" t="s">
        <v>102</v>
      </c>
      <c r="BK22" t="str">
        <f t="shared" si="70"/>
        <v>-</v>
      </c>
      <c r="BL22" t="s">
        <v>102</v>
      </c>
      <c r="BM22" t="s">
        <v>102</v>
      </c>
      <c r="BN22" t="str">
        <f t="shared" si="71"/>
        <v>-</v>
      </c>
      <c r="BO22" s="4" t="s">
        <v>102</v>
      </c>
      <c r="BP22">
        <v>2</v>
      </c>
    </row>
    <row r="23" spans="1:68" x14ac:dyDescent="0.4">
      <c r="A23" s="3">
        <v>121</v>
      </c>
      <c r="B23" s="3">
        <v>121</v>
      </c>
      <c r="C23" s="31">
        <v>526572</v>
      </c>
      <c r="D23" s="4" t="str">
        <f>TEXT(C23,"000000")</f>
        <v>526572</v>
      </c>
      <c r="E23" s="4">
        <v>526572</v>
      </c>
      <c r="F23" s="4" t="s">
        <v>86</v>
      </c>
      <c r="G23" s="5">
        <v>4977564686475</v>
      </c>
      <c r="H23" s="5">
        <v>5</v>
      </c>
      <c r="I23" s="5" t="str">
        <f t="shared" si="49"/>
        <v>5265725</v>
      </c>
      <c r="J23" s="5">
        <v>2</v>
      </c>
      <c r="K23" s="5">
        <v>2</v>
      </c>
      <c r="L23" s="4">
        <v>170</v>
      </c>
      <c r="M23" s="4">
        <v>114</v>
      </c>
      <c r="N23" s="4">
        <v>68</v>
      </c>
      <c r="O23" s="6">
        <f t="shared" si="50"/>
        <v>0.40350877192982459</v>
      </c>
      <c r="P23" s="4" t="s">
        <v>102</v>
      </c>
      <c r="Q23" s="4" t="s">
        <v>102</v>
      </c>
      <c r="R23" s="4" t="s">
        <v>102</v>
      </c>
      <c r="S23" s="4" t="s">
        <v>102</v>
      </c>
      <c r="T23" s="4" t="s">
        <v>102</v>
      </c>
      <c r="U23" s="4" t="s">
        <v>102</v>
      </c>
      <c r="V23" s="4">
        <v>180</v>
      </c>
      <c r="W23" s="4">
        <f t="shared" si="51"/>
        <v>180</v>
      </c>
      <c r="X23" s="4">
        <v>72</v>
      </c>
      <c r="Y23" s="4">
        <f t="shared" si="52"/>
        <v>72</v>
      </c>
      <c r="Z23" s="4"/>
      <c r="AA23" s="20">
        <f t="shared" si="53"/>
        <v>121</v>
      </c>
      <c r="AB23" s="6">
        <f t="shared" si="54"/>
        <v>0.4049586776859504</v>
      </c>
      <c r="AC23" s="38">
        <v>17.25</v>
      </c>
      <c r="AD23" s="4" t="str">
        <f t="shared" si="55"/>
        <v>-</v>
      </c>
      <c r="AE23" s="4" t="e">
        <f t="shared" si="56"/>
        <v>#VALUE!</v>
      </c>
      <c r="AF23" s="6" t="e">
        <f t="shared" si="57"/>
        <v>#VALUE!</v>
      </c>
      <c r="AG23" s="7">
        <v>120</v>
      </c>
      <c r="AH23" s="6">
        <f t="shared" si="58"/>
        <v>0.4</v>
      </c>
      <c r="AI23" s="4">
        <f t="shared" si="59"/>
        <v>48</v>
      </c>
      <c r="AJ23" s="27"/>
      <c r="AK23" s="6"/>
      <c r="AL23" s="6"/>
      <c r="AM23" s="6">
        <f t="shared" si="60"/>
        <v>1.0588235294117647</v>
      </c>
      <c r="AN23" s="6">
        <f t="shared" si="61"/>
        <v>1.0526315789473684</v>
      </c>
      <c r="AO23" s="6">
        <f t="shared" si="62"/>
        <v>1.0588235294117647</v>
      </c>
      <c r="AP23" s="4" t="str">
        <f t="shared" si="63"/>
        <v>-</v>
      </c>
      <c r="AQ23" s="4" t="str">
        <f t="shared" si="64"/>
        <v>-</v>
      </c>
      <c r="AR23" s="4" t="str">
        <f t="shared" si="65"/>
        <v>-</v>
      </c>
      <c r="AS23" s="4" t="str">
        <f t="shared" si="66"/>
        <v>-</v>
      </c>
      <c r="AT23" s="4" t="str">
        <f t="shared" si="67"/>
        <v>-</v>
      </c>
      <c r="AU23" s="4" t="str">
        <f t="shared" si="68"/>
        <v>-</v>
      </c>
      <c r="AV23" s="4">
        <v>12540</v>
      </c>
      <c r="AW23" s="4" t="s">
        <v>102</v>
      </c>
      <c r="AX23" s="4"/>
      <c r="AY23" s="4"/>
      <c r="AZ23" s="4" t="s">
        <v>102</v>
      </c>
      <c r="BA23" s="4" t="s">
        <v>102</v>
      </c>
      <c r="BB23" s="4" t="s">
        <v>102</v>
      </c>
      <c r="BC23" s="4" t="s">
        <v>102</v>
      </c>
      <c r="BD23" s="4" t="str">
        <f t="shared" si="69"/>
        <v>-</v>
      </c>
      <c r="BE23" s="18">
        <v>4</v>
      </c>
      <c r="BF23" s="18">
        <v>1</v>
      </c>
      <c r="BG23" s="16">
        <v>3</v>
      </c>
      <c r="BH23" s="33">
        <v>46204</v>
      </c>
      <c r="BI23" t="s">
        <v>102</v>
      </c>
      <c r="BJ23" t="s">
        <v>102</v>
      </c>
      <c r="BK23" t="str">
        <f t="shared" si="70"/>
        <v>-</v>
      </c>
      <c r="BL23" t="s">
        <v>102</v>
      </c>
      <c r="BM23" t="s">
        <v>102</v>
      </c>
      <c r="BN23" t="str">
        <f t="shared" si="71"/>
        <v>-</v>
      </c>
      <c r="BO23" s="4" t="s">
        <v>102</v>
      </c>
    </row>
    <row r="24" spans="1:68" x14ac:dyDescent="0.4">
      <c r="A24" s="3">
        <v>233</v>
      </c>
      <c r="B24" s="3">
        <v>121</v>
      </c>
      <c r="C24" s="31">
        <v>526572</v>
      </c>
      <c r="D24" s="4" t="s">
        <v>60</v>
      </c>
      <c r="E24" s="4">
        <v>526707</v>
      </c>
      <c r="F24" s="4" t="s">
        <v>100</v>
      </c>
      <c r="G24" s="5">
        <v>4977564686475</v>
      </c>
      <c r="H24" s="5">
        <v>8</v>
      </c>
      <c r="I24" s="5" t="str">
        <f t="shared" si="49"/>
        <v>5265728</v>
      </c>
      <c r="J24" s="5"/>
      <c r="K24" s="5"/>
      <c r="L24" s="4">
        <v>1700</v>
      </c>
      <c r="M24" s="4">
        <v>1007</v>
      </c>
      <c r="N24" s="4">
        <v>680</v>
      </c>
      <c r="O24" s="6">
        <f t="shared" si="50"/>
        <v>0.32472691161866929</v>
      </c>
      <c r="P24" s="4" t="s">
        <v>102</v>
      </c>
      <c r="Q24" s="4" t="s">
        <v>102</v>
      </c>
      <c r="R24" s="4" t="s">
        <v>102</v>
      </c>
      <c r="S24" s="4" t="s">
        <v>102</v>
      </c>
      <c r="T24" s="4" t="s">
        <v>102</v>
      </c>
      <c r="U24" s="4" t="s">
        <v>102</v>
      </c>
      <c r="V24" s="4">
        <v>180</v>
      </c>
      <c r="W24" s="4">
        <f t="shared" si="51"/>
        <v>1800</v>
      </c>
      <c r="X24" s="4">
        <v>72</v>
      </c>
      <c r="Y24" s="4">
        <f t="shared" si="52"/>
        <v>720</v>
      </c>
      <c r="Z24" s="4">
        <v>10</v>
      </c>
      <c r="AA24" s="20">
        <f t="shared" si="53"/>
        <v>1066</v>
      </c>
      <c r="AB24" s="6">
        <f t="shared" si="54"/>
        <v>0.32457786116322707</v>
      </c>
      <c r="AC24" s="38">
        <v>17.25</v>
      </c>
      <c r="AD24" s="4" t="str">
        <f t="shared" si="55"/>
        <v>-</v>
      </c>
      <c r="AE24" s="4" t="e">
        <f t="shared" si="56"/>
        <v>#VALUE!</v>
      </c>
      <c r="AF24" s="6" t="e">
        <f t="shared" si="57"/>
        <v>#VALUE!</v>
      </c>
      <c r="AG24" s="7">
        <v>1090</v>
      </c>
      <c r="AH24" s="6">
        <f t="shared" si="58"/>
        <v>0.33944954128440363</v>
      </c>
      <c r="AI24" s="4">
        <f t="shared" si="59"/>
        <v>370</v>
      </c>
      <c r="AJ24" s="27"/>
      <c r="AK24" s="6"/>
      <c r="AL24" s="6"/>
      <c r="AM24" s="6">
        <f t="shared" si="60"/>
        <v>1.0588235294117647</v>
      </c>
      <c r="AN24" s="6">
        <f t="shared" si="61"/>
        <v>1.0824230387288978</v>
      </c>
      <c r="AO24" s="6">
        <f t="shared" si="62"/>
        <v>1.0588235294117647</v>
      </c>
      <c r="AP24" s="4" t="str">
        <f t="shared" si="63"/>
        <v>-</v>
      </c>
      <c r="AQ24" s="4" t="str">
        <f t="shared" si="64"/>
        <v>-</v>
      </c>
      <c r="AR24" s="4" t="str">
        <f t="shared" si="65"/>
        <v>-</v>
      </c>
      <c r="AS24" s="4" t="str">
        <f t="shared" si="66"/>
        <v>-</v>
      </c>
      <c r="AT24" s="4" t="str">
        <f t="shared" si="67"/>
        <v>-</v>
      </c>
      <c r="AU24" s="4" t="str">
        <f t="shared" si="68"/>
        <v>-</v>
      </c>
      <c r="AV24" s="4">
        <v>12540</v>
      </c>
      <c r="AW24" s="4" t="s">
        <v>102</v>
      </c>
      <c r="AX24" s="4"/>
      <c r="AY24" s="4"/>
      <c r="AZ24" s="4" t="s">
        <v>102</v>
      </c>
      <c r="BA24" s="4" t="s">
        <v>102</v>
      </c>
      <c r="BB24" s="4" t="s">
        <v>102</v>
      </c>
      <c r="BC24" s="4" t="s">
        <v>102</v>
      </c>
      <c r="BD24" s="4" t="str">
        <f t="shared" si="69"/>
        <v>-</v>
      </c>
      <c r="BE24" s="18">
        <v>4</v>
      </c>
      <c r="BF24" s="18">
        <v>1</v>
      </c>
      <c r="BG24" s="16">
        <v>3</v>
      </c>
      <c r="BH24" s="33">
        <v>46204</v>
      </c>
      <c r="BI24" t="s">
        <v>102</v>
      </c>
      <c r="BJ24" t="s">
        <v>102</v>
      </c>
      <c r="BK24" t="str">
        <f t="shared" si="70"/>
        <v>-</v>
      </c>
      <c r="BL24" t="s">
        <v>102</v>
      </c>
      <c r="BM24" t="s">
        <v>102</v>
      </c>
      <c r="BN24" t="str">
        <f t="shared" si="71"/>
        <v>-</v>
      </c>
      <c r="BO24" s="4" t="s">
        <v>102</v>
      </c>
      <c r="BP24">
        <v>2</v>
      </c>
    </row>
    <row r="25" spans="1:68" x14ac:dyDescent="0.4">
      <c r="A25" s="3">
        <v>128</v>
      </c>
      <c r="B25" s="3">
        <v>128</v>
      </c>
      <c r="C25" s="4">
        <v>178331</v>
      </c>
      <c r="D25" s="4" t="str">
        <f t="shared" ref="D25" si="72">TEXT(C25,"000000")</f>
        <v>178331</v>
      </c>
      <c r="E25" s="4">
        <v>178331</v>
      </c>
      <c r="F25" s="4" t="s">
        <v>87</v>
      </c>
      <c r="G25" s="5">
        <v>4977564482626</v>
      </c>
      <c r="H25" s="5">
        <v>5</v>
      </c>
      <c r="I25" s="5" t="str">
        <f t="shared" si="49"/>
        <v>1783315</v>
      </c>
      <c r="J25" s="5">
        <v>1</v>
      </c>
      <c r="K25" s="5">
        <v>1</v>
      </c>
      <c r="L25" s="4">
        <v>630</v>
      </c>
      <c r="M25" s="4">
        <v>464</v>
      </c>
      <c r="N25" s="4">
        <v>281</v>
      </c>
      <c r="O25" s="6">
        <f t="shared" si="50"/>
        <v>0.3943965517241379</v>
      </c>
      <c r="P25" s="4" t="s">
        <v>102</v>
      </c>
      <c r="Q25" s="4" t="s">
        <v>102</v>
      </c>
      <c r="R25" s="4" t="s">
        <v>102</v>
      </c>
      <c r="S25" s="4" t="s">
        <v>102</v>
      </c>
      <c r="T25" s="4" t="s">
        <v>102</v>
      </c>
      <c r="U25" s="4" t="s">
        <v>102</v>
      </c>
      <c r="V25" s="4">
        <v>650</v>
      </c>
      <c r="W25" s="4">
        <f t="shared" si="51"/>
        <v>650</v>
      </c>
      <c r="X25" s="4">
        <v>290</v>
      </c>
      <c r="Y25" s="4">
        <f t="shared" si="52"/>
        <v>290</v>
      </c>
      <c r="Z25" s="4"/>
      <c r="AA25" s="20">
        <f t="shared" si="53"/>
        <v>479</v>
      </c>
      <c r="AB25" s="6">
        <f t="shared" si="54"/>
        <v>0.39457202505219202</v>
      </c>
      <c r="AC25" s="38">
        <v>15.25</v>
      </c>
      <c r="AD25" s="4">
        <f t="shared" si="55"/>
        <v>630</v>
      </c>
      <c r="AE25" s="4">
        <f t="shared" si="56"/>
        <v>650.17793594306045</v>
      </c>
      <c r="AF25" s="6">
        <f t="shared" si="57"/>
        <v>0.553968253968254</v>
      </c>
      <c r="AG25" s="7">
        <v>478</v>
      </c>
      <c r="AH25" s="6">
        <f t="shared" si="58"/>
        <v>0.39330543933054396</v>
      </c>
      <c r="AI25" s="4">
        <f t="shared" si="59"/>
        <v>188</v>
      </c>
      <c r="AJ25" s="27"/>
      <c r="AK25" s="6"/>
      <c r="AL25" s="6"/>
      <c r="AM25" s="6">
        <f t="shared" si="60"/>
        <v>1.0317460317460319</v>
      </c>
      <c r="AN25" s="6">
        <f t="shared" si="61"/>
        <v>1.0301724137931034</v>
      </c>
      <c r="AO25" s="6">
        <f t="shared" si="62"/>
        <v>1.0320284697508897</v>
      </c>
      <c r="AP25" s="4" t="str">
        <f t="shared" si="63"/>
        <v>-</v>
      </c>
      <c r="AQ25" s="4" t="str">
        <f t="shared" si="64"/>
        <v>-</v>
      </c>
      <c r="AR25" s="4" t="str">
        <f t="shared" si="65"/>
        <v>-</v>
      </c>
      <c r="AS25" s="4" t="str">
        <f t="shared" si="66"/>
        <v>-</v>
      </c>
      <c r="AT25" s="4" t="str">
        <f t="shared" si="67"/>
        <v>-</v>
      </c>
      <c r="AU25" s="4" t="str">
        <f t="shared" si="68"/>
        <v>-</v>
      </c>
      <c r="AV25" s="4">
        <v>12571</v>
      </c>
      <c r="AW25" s="4" t="s">
        <v>146</v>
      </c>
      <c r="AX25" s="4"/>
      <c r="AY25" s="4"/>
      <c r="AZ25" s="4" t="s">
        <v>145</v>
      </c>
      <c r="BA25" s="4">
        <v>630</v>
      </c>
      <c r="BB25" s="4">
        <v>630</v>
      </c>
      <c r="BC25" s="4">
        <v>630</v>
      </c>
      <c r="BD25" s="4">
        <f t="shared" si="69"/>
        <v>630</v>
      </c>
      <c r="BE25" s="18">
        <v>4</v>
      </c>
      <c r="BF25" s="18">
        <v>1</v>
      </c>
      <c r="BG25" s="16">
        <v>3</v>
      </c>
      <c r="BH25" s="33">
        <v>46204</v>
      </c>
      <c r="BI25" t="s">
        <v>102</v>
      </c>
      <c r="BJ25" t="s">
        <v>102</v>
      </c>
      <c r="BK25" t="str">
        <f t="shared" si="70"/>
        <v>-</v>
      </c>
      <c r="BL25">
        <v>515</v>
      </c>
      <c r="BM25">
        <v>515</v>
      </c>
      <c r="BN25">
        <f t="shared" si="71"/>
        <v>531.49466192170814</v>
      </c>
      <c r="BO25" s="4" t="s">
        <v>117</v>
      </c>
    </row>
    <row r="26" spans="1:68" x14ac:dyDescent="0.4">
      <c r="A26" s="3">
        <v>153</v>
      </c>
      <c r="B26" s="3">
        <v>153</v>
      </c>
      <c r="C26" s="4" t="s">
        <v>61</v>
      </c>
      <c r="D26" s="4" t="str">
        <f t="shared" ref="D26:D28" si="73">TEXT(C26,"000000")</f>
        <v>JX4143</v>
      </c>
      <c r="E26" s="4" t="s">
        <v>61</v>
      </c>
      <c r="F26" s="4" t="s">
        <v>88</v>
      </c>
      <c r="G26" s="5">
        <v>4977564410100</v>
      </c>
      <c r="H26" s="5">
        <v>5</v>
      </c>
      <c r="I26" s="5" t="str">
        <f t="shared" si="49"/>
        <v>JX41435</v>
      </c>
      <c r="J26" s="5">
        <v>1</v>
      </c>
      <c r="K26" s="5">
        <v>1</v>
      </c>
      <c r="L26" s="4">
        <v>0</v>
      </c>
      <c r="M26" s="4">
        <v>234</v>
      </c>
      <c r="N26" s="4">
        <v>130</v>
      </c>
      <c r="O26" s="6">
        <f t="shared" si="50"/>
        <v>0.44444444444444442</v>
      </c>
      <c r="P26" s="4" t="s">
        <v>102</v>
      </c>
      <c r="Q26" s="4" t="s">
        <v>102</v>
      </c>
      <c r="R26" s="4" t="s">
        <v>102</v>
      </c>
      <c r="S26" s="4" t="s">
        <v>102</v>
      </c>
      <c r="T26" s="4" t="s">
        <v>102</v>
      </c>
      <c r="U26" s="4" t="s">
        <v>102</v>
      </c>
      <c r="V26" s="4">
        <v>0</v>
      </c>
      <c r="W26" s="4">
        <f t="shared" si="51"/>
        <v>0</v>
      </c>
      <c r="X26" s="4">
        <v>140</v>
      </c>
      <c r="Y26" s="4">
        <f t="shared" si="52"/>
        <v>140</v>
      </c>
      <c r="Z26" s="4"/>
      <c r="AA26" s="20">
        <f t="shared" si="53"/>
        <v>252</v>
      </c>
      <c r="AB26" s="6">
        <f t="shared" si="54"/>
        <v>0.44444444444444442</v>
      </c>
      <c r="AC26" s="38">
        <v>6.75</v>
      </c>
      <c r="AD26" s="4">
        <f t="shared" si="55"/>
        <v>299.60000000000002</v>
      </c>
      <c r="AE26" s="4">
        <f t="shared" si="56"/>
        <v>322.64615384615388</v>
      </c>
      <c r="AF26" s="6">
        <f t="shared" si="57"/>
        <v>0.56608811748998678</v>
      </c>
      <c r="AG26" s="7">
        <v>248</v>
      </c>
      <c r="AH26" s="6">
        <f t="shared" si="58"/>
        <v>0.43548387096774188</v>
      </c>
      <c r="AI26" s="4">
        <f t="shared" si="59"/>
        <v>108</v>
      </c>
      <c r="AJ26" s="27"/>
      <c r="AK26" s="6"/>
      <c r="AL26" s="6"/>
      <c r="AM26" s="6" t="e">
        <f t="shared" si="60"/>
        <v>#DIV/0!</v>
      </c>
      <c r="AN26" s="6">
        <f t="shared" si="61"/>
        <v>1.0598290598290598</v>
      </c>
      <c r="AO26" s="6">
        <f t="shared" si="62"/>
        <v>1.0769230769230769</v>
      </c>
      <c r="AP26" s="4" t="str">
        <f t="shared" si="63"/>
        <v>-</v>
      </c>
      <c r="AQ26" s="4" t="str">
        <f t="shared" si="64"/>
        <v>-</v>
      </c>
      <c r="AR26" s="4" t="str">
        <f t="shared" si="65"/>
        <v>-</v>
      </c>
      <c r="AS26" s="4" t="str">
        <f t="shared" si="66"/>
        <v>-</v>
      </c>
      <c r="AT26" s="4" t="str">
        <f t="shared" si="67"/>
        <v>-</v>
      </c>
      <c r="AU26" s="4" t="str">
        <f t="shared" si="68"/>
        <v>-</v>
      </c>
      <c r="AV26" s="4">
        <v>12451</v>
      </c>
      <c r="AW26" s="4" t="s">
        <v>147</v>
      </c>
      <c r="AX26" s="4">
        <v>1</v>
      </c>
      <c r="AY26" s="4">
        <v>5</v>
      </c>
      <c r="AZ26" s="4" t="s">
        <v>148</v>
      </c>
      <c r="BA26" s="4">
        <v>1300</v>
      </c>
      <c r="BB26" s="4">
        <v>1300</v>
      </c>
      <c r="BC26" s="4">
        <v>1498</v>
      </c>
      <c r="BD26" s="4">
        <f t="shared" si="69"/>
        <v>299.60000000000002</v>
      </c>
      <c r="BE26" s="18">
        <v>4</v>
      </c>
      <c r="BF26" s="18">
        <v>1</v>
      </c>
      <c r="BG26" s="16">
        <v>3</v>
      </c>
      <c r="BH26" s="33">
        <v>46204</v>
      </c>
      <c r="BI26" t="s">
        <v>102</v>
      </c>
      <c r="BJ26" t="s">
        <v>102</v>
      </c>
      <c r="BK26" t="str">
        <f t="shared" si="70"/>
        <v>-</v>
      </c>
      <c r="BL26">
        <v>244</v>
      </c>
      <c r="BM26">
        <v>244</v>
      </c>
      <c r="BN26">
        <f t="shared" si="71"/>
        <v>262.76923076923077</v>
      </c>
      <c r="BO26" s="4" t="s">
        <v>118</v>
      </c>
    </row>
    <row r="27" spans="1:68" x14ac:dyDescent="0.4">
      <c r="A27" s="3">
        <v>154</v>
      </c>
      <c r="B27" s="3">
        <v>154</v>
      </c>
      <c r="C27" s="4" t="s">
        <v>62</v>
      </c>
      <c r="D27" s="4" t="str">
        <f t="shared" si="73"/>
        <v>JX4144</v>
      </c>
      <c r="E27" s="4" t="s">
        <v>62</v>
      </c>
      <c r="F27" s="4" t="s">
        <v>89</v>
      </c>
      <c r="G27" s="5">
        <v>4977564410117</v>
      </c>
      <c r="H27" s="5">
        <v>5</v>
      </c>
      <c r="I27" s="5" t="str">
        <f t="shared" si="49"/>
        <v>JX41445</v>
      </c>
      <c r="J27" s="5">
        <v>1</v>
      </c>
      <c r="K27" s="5">
        <v>1</v>
      </c>
      <c r="L27" s="4">
        <v>0</v>
      </c>
      <c r="M27" s="4">
        <v>234</v>
      </c>
      <c r="N27" s="4">
        <v>130</v>
      </c>
      <c r="O27" s="6">
        <f t="shared" si="50"/>
        <v>0.44444444444444442</v>
      </c>
      <c r="P27" s="4" t="s">
        <v>102</v>
      </c>
      <c r="Q27" s="4" t="s">
        <v>102</v>
      </c>
      <c r="R27" s="4" t="s">
        <v>102</v>
      </c>
      <c r="S27" s="4" t="s">
        <v>102</v>
      </c>
      <c r="T27" s="4" t="s">
        <v>102</v>
      </c>
      <c r="U27" s="4" t="s">
        <v>102</v>
      </c>
      <c r="V27" s="4">
        <v>0</v>
      </c>
      <c r="W27" s="4">
        <f t="shared" si="51"/>
        <v>0</v>
      </c>
      <c r="X27" s="4">
        <v>140</v>
      </c>
      <c r="Y27" s="4">
        <f t="shared" si="52"/>
        <v>140</v>
      </c>
      <c r="Z27" s="4"/>
      <c r="AA27" s="20">
        <f t="shared" si="53"/>
        <v>252</v>
      </c>
      <c r="AB27" s="6">
        <f t="shared" si="54"/>
        <v>0.44444444444444442</v>
      </c>
      <c r="AC27" s="38">
        <v>2</v>
      </c>
      <c r="AD27" s="4">
        <f t="shared" si="55"/>
        <v>303</v>
      </c>
      <c r="AE27" s="4">
        <f t="shared" si="56"/>
        <v>326.30769230769226</v>
      </c>
      <c r="AF27" s="6">
        <f t="shared" si="57"/>
        <v>0.57095709570957087</v>
      </c>
      <c r="AG27" s="7">
        <v>248</v>
      </c>
      <c r="AH27" s="6">
        <f t="shared" si="58"/>
        <v>0.43548387096774188</v>
      </c>
      <c r="AI27" s="4">
        <f t="shared" si="59"/>
        <v>108</v>
      </c>
      <c r="AJ27" s="27"/>
      <c r="AK27" s="6"/>
      <c r="AL27" s="6"/>
      <c r="AM27" s="6" t="e">
        <f t="shared" si="60"/>
        <v>#DIV/0!</v>
      </c>
      <c r="AN27" s="6">
        <f t="shared" si="61"/>
        <v>1.0598290598290598</v>
      </c>
      <c r="AO27" s="6">
        <f t="shared" si="62"/>
        <v>1.0769230769230769</v>
      </c>
      <c r="AP27" s="4" t="str">
        <f t="shared" si="63"/>
        <v>-</v>
      </c>
      <c r="AQ27" s="4" t="str">
        <f t="shared" si="64"/>
        <v>-</v>
      </c>
      <c r="AR27" s="4" t="str">
        <f t="shared" si="65"/>
        <v>-</v>
      </c>
      <c r="AS27" s="4" t="str">
        <f t="shared" si="66"/>
        <v>-</v>
      </c>
      <c r="AT27" s="4" t="str">
        <f t="shared" si="67"/>
        <v>-</v>
      </c>
      <c r="AU27" s="4" t="str">
        <f t="shared" si="68"/>
        <v>-</v>
      </c>
      <c r="AV27" s="4">
        <v>12451</v>
      </c>
      <c r="AW27" s="4" t="s">
        <v>149</v>
      </c>
      <c r="AX27" s="4"/>
      <c r="AY27" s="4"/>
      <c r="AZ27" s="4" t="s">
        <v>138</v>
      </c>
      <c r="BA27" s="4">
        <v>303</v>
      </c>
      <c r="BB27" s="4">
        <v>303</v>
      </c>
      <c r="BC27" s="4">
        <v>303</v>
      </c>
      <c r="BD27" s="4">
        <f t="shared" si="69"/>
        <v>303</v>
      </c>
      <c r="BE27" s="18">
        <v>4</v>
      </c>
      <c r="BF27" s="18">
        <v>8</v>
      </c>
      <c r="BG27" s="16">
        <v>3</v>
      </c>
      <c r="BH27" s="33">
        <v>46204</v>
      </c>
      <c r="BI27" t="s">
        <v>102</v>
      </c>
      <c r="BJ27" t="s">
        <v>102</v>
      </c>
      <c r="BK27" t="str">
        <f t="shared" si="70"/>
        <v>-</v>
      </c>
      <c r="BL27">
        <v>252</v>
      </c>
      <c r="BM27">
        <v>252</v>
      </c>
      <c r="BN27">
        <f t="shared" si="71"/>
        <v>271.38461538461536</v>
      </c>
      <c r="BO27" s="4" t="s">
        <v>119</v>
      </c>
    </row>
    <row r="28" spans="1:68" x14ac:dyDescent="0.4">
      <c r="A28" s="3">
        <v>155</v>
      </c>
      <c r="B28" s="3">
        <v>155</v>
      </c>
      <c r="C28" s="4" t="s">
        <v>63</v>
      </c>
      <c r="D28" s="4" t="str">
        <f t="shared" si="73"/>
        <v>JX4145</v>
      </c>
      <c r="E28" s="4" t="s">
        <v>63</v>
      </c>
      <c r="F28" s="4" t="s">
        <v>90</v>
      </c>
      <c r="G28" s="5">
        <v>4977564410124</v>
      </c>
      <c r="H28" s="5">
        <v>5</v>
      </c>
      <c r="I28" s="5" t="str">
        <f t="shared" si="49"/>
        <v>JX41455</v>
      </c>
      <c r="J28" s="5">
        <v>1</v>
      </c>
      <c r="K28" s="5">
        <v>1</v>
      </c>
      <c r="L28" s="4">
        <v>0</v>
      </c>
      <c r="M28" s="4">
        <v>234</v>
      </c>
      <c r="N28" s="4">
        <v>130</v>
      </c>
      <c r="O28" s="6">
        <f t="shared" si="50"/>
        <v>0.44444444444444442</v>
      </c>
      <c r="P28" s="4" t="s">
        <v>102</v>
      </c>
      <c r="Q28" s="4" t="s">
        <v>102</v>
      </c>
      <c r="R28" s="4" t="s">
        <v>102</v>
      </c>
      <c r="S28" s="4" t="s">
        <v>102</v>
      </c>
      <c r="T28" s="4" t="s">
        <v>102</v>
      </c>
      <c r="U28" s="4" t="s">
        <v>102</v>
      </c>
      <c r="V28" s="4">
        <v>0</v>
      </c>
      <c r="W28" s="4">
        <f t="shared" si="51"/>
        <v>0</v>
      </c>
      <c r="X28" s="4">
        <v>140</v>
      </c>
      <c r="Y28" s="4">
        <f t="shared" si="52"/>
        <v>140</v>
      </c>
      <c r="Z28" s="4"/>
      <c r="AA28" s="20">
        <f t="shared" si="53"/>
        <v>252</v>
      </c>
      <c r="AB28" s="6">
        <f t="shared" si="54"/>
        <v>0.44444444444444442</v>
      </c>
      <c r="AC28" s="38">
        <v>0.25</v>
      </c>
      <c r="AD28" s="4">
        <f t="shared" si="55"/>
        <v>252</v>
      </c>
      <c r="AE28" s="4">
        <f t="shared" si="56"/>
        <v>271.38461538461536</v>
      </c>
      <c r="AF28" s="6">
        <f t="shared" si="57"/>
        <v>0.48412698412698407</v>
      </c>
      <c r="AG28" s="7">
        <v>248</v>
      </c>
      <c r="AH28" s="6">
        <f t="shared" si="58"/>
        <v>0.43548387096774188</v>
      </c>
      <c r="AI28" s="4">
        <f t="shared" si="59"/>
        <v>108</v>
      </c>
      <c r="AJ28" s="27"/>
      <c r="AK28" s="6"/>
      <c r="AL28" s="6"/>
      <c r="AM28" s="6" t="e">
        <f t="shared" si="60"/>
        <v>#DIV/0!</v>
      </c>
      <c r="AN28" s="6">
        <f t="shared" si="61"/>
        <v>1.0598290598290598</v>
      </c>
      <c r="AO28" s="6">
        <f t="shared" si="62"/>
        <v>1.0769230769230769</v>
      </c>
      <c r="AP28" s="4" t="str">
        <f t="shared" si="63"/>
        <v>-</v>
      </c>
      <c r="AQ28" s="4" t="str">
        <f t="shared" si="64"/>
        <v>-</v>
      </c>
      <c r="AR28" s="4" t="str">
        <f t="shared" si="65"/>
        <v>-</v>
      </c>
      <c r="AS28" s="4" t="str">
        <f t="shared" si="66"/>
        <v>-</v>
      </c>
      <c r="AT28" s="4" t="str">
        <f t="shared" si="67"/>
        <v>-</v>
      </c>
      <c r="AU28" s="4" t="str">
        <f t="shared" si="68"/>
        <v>-</v>
      </c>
      <c r="AV28" s="4">
        <v>12451</v>
      </c>
      <c r="AW28" s="4" t="s">
        <v>150</v>
      </c>
      <c r="AX28" s="4"/>
      <c r="AY28" s="4"/>
      <c r="AZ28" s="4" t="s">
        <v>138</v>
      </c>
      <c r="BA28" s="4">
        <v>252</v>
      </c>
      <c r="BB28" s="4">
        <v>252</v>
      </c>
      <c r="BC28" s="4">
        <v>252</v>
      </c>
      <c r="BD28" s="4">
        <f t="shared" si="69"/>
        <v>252</v>
      </c>
      <c r="BE28" s="18">
        <v>4</v>
      </c>
      <c r="BF28" s="18">
        <v>8</v>
      </c>
      <c r="BG28" s="16">
        <v>3</v>
      </c>
      <c r="BH28" s="33">
        <v>46204</v>
      </c>
      <c r="BI28" t="s">
        <v>102</v>
      </c>
      <c r="BJ28" t="s">
        <v>102</v>
      </c>
      <c r="BK28" t="str">
        <f t="shared" si="70"/>
        <v>-</v>
      </c>
      <c r="BL28">
        <v>244</v>
      </c>
      <c r="BM28">
        <v>244</v>
      </c>
      <c r="BN28">
        <f t="shared" si="71"/>
        <v>262.76923076923077</v>
      </c>
      <c r="BO28" s="4" t="s">
        <v>120</v>
      </c>
    </row>
    <row r="29" spans="1:68" x14ac:dyDescent="0.4">
      <c r="A29" s="3">
        <v>162</v>
      </c>
      <c r="B29" s="3">
        <v>162</v>
      </c>
      <c r="C29" s="4">
        <v>626045</v>
      </c>
      <c r="D29" s="4" t="str">
        <f t="shared" ref="D29:D31" si="74">TEXT(C29,"000000")</f>
        <v>626045</v>
      </c>
      <c r="E29" s="4">
        <v>626045</v>
      </c>
      <c r="F29" s="4" t="s">
        <v>91</v>
      </c>
      <c r="G29" s="5">
        <v>4977564402969</v>
      </c>
      <c r="H29" s="5">
        <v>5</v>
      </c>
      <c r="I29" s="5" t="str">
        <f t="shared" ref="I29:I33" si="75">C29&amp;H29</f>
        <v>6260455</v>
      </c>
      <c r="J29" s="5">
        <v>1</v>
      </c>
      <c r="K29" s="5">
        <v>1</v>
      </c>
      <c r="L29" s="4">
        <v>0</v>
      </c>
      <c r="M29" s="4">
        <v>1355</v>
      </c>
      <c r="N29" s="4">
        <v>970</v>
      </c>
      <c r="O29" s="6">
        <f t="shared" ref="O29:O33" si="76">1-N29/M29</f>
        <v>0.28413284132841332</v>
      </c>
      <c r="P29" s="4" t="s">
        <v>102</v>
      </c>
      <c r="Q29" s="4" t="s">
        <v>102</v>
      </c>
      <c r="R29" s="4" t="s">
        <v>102</v>
      </c>
      <c r="S29" s="4" t="s">
        <v>102</v>
      </c>
      <c r="T29" s="4" t="s">
        <v>102</v>
      </c>
      <c r="U29" s="4" t="s">
        <v>102</v>
      </c>
      <c r="V29" s="4">
        <v>0</v>
      </c>
      <c r="W29" s="4">
        <f t="shared" ref="W29:W33" si="77">IF(Z29="",V29,V29*Z29)</f>
        <v>0</v>
      </c>
      <c r="X29" s="4">
        <v>102</v>
      </c>
      <c r="Y29" s="4">
        <f t="shared" ref="Y29:Y33" si="78">IF(Z29="",X29,X29*Z29)</f>
        <v>1020</v>
      </c>
      <c r="Z29" s="4">
        <v>10</v>
      </c>
      <c r="AA29" s="20">
        <f t="shared" ref="AA29:AA33" si="79">ROUND(M29*AO29,0)</f>
        <v>1425</v>
      </c>
      <c r="AB29" s="6">
        <f t="shared" ref="AB29:AB33" si="80">1-Y29/AA29</f>
        <v>0.28421052631578947</v>
      </c>
      <c r="AC29" s="38">
        <v>156.25</v>
      </c>
      <c r="AD29" s="4">
        <f t="shared" ref="AD29:AD33" si="81">BD29</f>
        <v>940</v>
      </c>
      <c r="AE29" s="4">
        <f t="shared" ref="AE29:AE33" si="82">AD29*AO29</f>
        <v>988.45360824742272</v>
      </c>
      <c r="AF29" s="6">
        <f t="shared" ref="AF29:AF33" si="83">1-Y29/AE29</f>
        <v>-3.1914893617021267E-2</v>
      </c>
      <c r="AG29" s="7">
        <v>1580</v>
      </c>
      <c r="AH29" s="6">
        <f t="shared" ref="AH29:AH33" si="84">1-Y29/AG29</f>
        <v>0.35443037974683544</v>
      </c>
      <c r="AI29" s="4">
        <f t="shared" ref="AI29:AI33" si="85">AG29-Y29</f>
        <v>560</v>
      </c>
      <c r="AJ29" s="27"/>
      <c r="AK29" s="6"/>
      <c r="AL29" s="6"/>
      <c r="AM29" s="6" t="e">
        <f t="shared" ref="AM29:AM33" si="86">W29/L29</f>
        <v>#DIV/0!</v>
      </c>
      <c r="AN29" s="6">
        <f t="shared" ref="AN29:AN33" si="87">AG29/M29</f>
        <v>1.1660516605166051</v>
      </c>
      <c r="AO29" s="6">
        <f t="shared" ref="AO29:AO33" si="88">Y29/N29</f>
        <v>1.0515463917525774</v>
      </c>
      <c r="AP29" s="4" t="str">
        <f t="shared" ref="AP29:AP33" si="89">IFERROR(ROUND($AG29*P29/$M29,0),"-")</f>
        <v>-</v>
      </c>
      <c r="AQ29" s="4" t="str">
        <f t="shared" ref="AQ29:AQ33" si="90">IF(Q29="","-",Q29)</f>
        <v>-</v>
      </c>
      <c r="AR29" s="4" t="str">
        <f t="shared" ref="AR29:AR33" si="91">IF(R29="","-",R29)</f>
        <v>-</v>
      </c>
      <c r="AS29" s="4" t="str">
        <f t="shared" ref="AS29:AS33" si="92">IFERROR(ROUND($AG29*S29/$M29,0),"-")</f>
        <v>-</v>
      </c>
      <c r="AT29" s="4" t="str">
        <f t="shared" ref="AT29:AT33" si="93">IF(T29="","-",T29)</f>
        <v>-</v>
      </c>
      <c r="AU29" s="4" t="str">
        <f t="shared" ref="AU29:AU33" si="94">IF(U29="","-",U29)</f>
        <v>-</v>
      </c>
      <c r="AV29" s="4" t="s">
        <v>67</v>
      </c>
      <c r="AW29" s="4" t="s">
        <v>151</v>
      </c>
      <c r="AX29" s="4">
        <v>10</v>
      </c>
      <c r="AY29" s="4">
        <v>3</v>
      </c>
      <c r="AZ29" s="4" t="s">
        <v>152</v>
      </c>
      <c r="BA29" s="4">
        <v>282</v>
      </c>
      <c r="BB29" s="4">
        <v>282</v>
      </c>
      <c r="BC29" s="4">
        <v>282</v>
      </c>
      <c r="BD29" s="4">
        <f t="shared" ref="BD29:BD33" si="95">IF(AX29="",BC29,AX29/AY29*BC29)</f>
        <v>940</v>
      </c>
      <c r="BE29" s="18">
        <v>4</v>
      </c>
      <c r="BF29" s="18">
        <v>1</v>
      </c>
      <c r="BG29" s="16">
        <v>3</v>
      </c>
      <c r="BH29" s="33">
        <v>46204</v>
      </c>
      <c r="BI29" t="s">
        <v>102</v>
      </c>
      <c r="BJ29" t="s">
        <v>102</v>
      </c>
      <c r="BK29" t="str">
        <f t="shared" ref="BK29:BK33" si="96">IFERROR(BJ29*AO29,"-")</f>
        <v>-</v>
      </c>
      <c r="BL29">
        <v>1652</v>
      </c>
      <c r="BM29">
        <v>1652</v>
      </c>
      <c r="BN29">
        <f t="shared" ref="BN29:BN33" si="97">IFERROR(BM29*AO29,"-")</f>
        <v>1737.1546391752579</v>
      </c>
      <c r="BO29" s="4" t="s">
        <v>121</v>
      </c>
    </row>
    <row r="30" spans="1:68" x14ac:dyDescent="0.4">
      <c r="A30" s="3">
        <v>165</v>
      </c>
      <c r="B30" s="3">
        <v>165</v>
      </c>
      <c r="C30" s="4">
        <v>626046</v>
      </c>
      <c r="D30" s="4" t="str">
        <f t="shared" si="74"/>
        <v>626046</v>
      </c>
      <c r="E30" s="4">
        <v>626046</v>
      </c>
      <c r="F30" s="4" t="s">
        <v>92</v>
      </c>
      <c r="G30" s="5">
        <v>4977564402990</v>
      </c>
      <c r="H30" s="5">
        <v>5</v>
      </c>
      <c r="I30" s="5" t="str">
        <f t="shared" si="75"/>
        <v>6260465</v>
      </c>
      <c r="J30" s="5">
        <v>1</v>
      </c>
      <c r="K30" s="5">
        <v>1</v>
      </c>
      <c r="L30" s="4">
        <v>0</v>
      </c>
      <c r="M30" s="4">
        <v>1355</v>
      </c>
      <c r="N30" s="4">
        <v>970</v>
      </c>
      <c r="O30" s="6">
        <f t="shared" si="76"/>
        <v>0.28413284132841332</v>
      </c>
      <c r="P30" s="4" t="s">
        <v>102</v>
      </c>
      <c r="Q30" s="4" t="s">
        <v>102</v>
      </c>
      <c r="R30" s="4" t="s">
        <v>102</v>
      </c>
      <c r="S30" s="4" t="s">
        <v>102</v>
      </c>
      <c r="T30" s="4" t="s">
        <v>102</v>
      </c>
      <c r="U30" s="4" t="s">
        <v>102</v>
      </c>
      <c r="V30" s="4">
        <v>0</v>
      </c>
      <c r="W30" s="4">
        <f t="shared" si="77"/>
        <v>0</v>
      </c>
      <c r="X30" s="4">
        <v>102</v>
      </c>
      <c r="Y30" s="4">
        <f t="shared" si="78"/>
        <v>1020</v>
      </c>
      <c r="Z30" s="4">
        <v>10</v>
      </c>
      <c r="AA30" s="20">
        <f t="shared" si="79"/>
        <v>1425</v>
      </c>
      <c r="AB30" s="6">
        <f t="shared" si="80"/>
        <v>0.28421052631578947</v>
      </c>
      <c r="AC30" s="38">
        <v>10.25</v>
      </c>
      <c r="AD30" s="4">
        <f t="shared" si="81"/>
        <v>937</v>
      </c>
      <c r="AE30" s="4">
        <f t="shared" si="82"/>
        <v>985.29896907216494</v>
      </c>
      <c r="AF30" s="6">
        <f t="shared" si="83"/>
        <v>-3.5218783351120608E-2</v>
      </c>
      <c r="AG30" s="7">
        <v>1580</v>
      </c>
      <c r="AH30" s="6">
        <f t="shared" si="84"/>
        <v>0.35443037974683544</v>
      </c>
      <c r="AI30" s="4">
        <f t="shared" si="85"/>
        <v>560</v>
      </c>
      <c r="AJ30" s="27"/>
      <c r="AK30" s="6"/>
      <c r="AL30" s="6"/>
      <c r="AM30" s="6" t="e">
        <f t="shared" si="86"/>
        <v>#DIV/0!</v>
      </c>
      <c r="AN30" s="6">
        <f t="shared" si="87"/>
        <v>1.1660516605166051</v>
      </c>
      <c r="AO30" s="6">
        <f t="shared" si="88"/>
        <v>1.0515463917525774</v>
      </c>
      <c r="AP30" s="4" t="str">
        <f t="shared" si="89"/>
        <v>-</v>
      </c>
      <c r="AQ30" s="4" t="str">
        <f t="shared" si="90"/>
        <v>-</v>
      </c>
      <c r="AR30" s="4" t="str">
        <f t="shared" si="91"/>
        <v>-</v>
      </c>
      <c r="AS30" s="4" t="str">
        <f t="shared" si="92"/>
        <v>-</v>
      </c>
      <c r="AT30" s="4" t="str">
        <f t="shared" si="93"/>
        <v>-</v>
      </c>
      <c r="AU30" s="4" t="str">
        <f t="shared" si="94"/>
        <v>-</v>
      </c>
      <c r="AV30" s="4" t="s">
        <v>67</v>
      </c>
      <c r="AW30" s="4" t="s">
        <v>153</v>
      </c>
      <c r="AX30" s="4"/>
      <c r="AY30" s="4"/>
      <c r="AZ30" s="4" t="s">
        <v>141</v>
      </c>
      <c r="BA30" s="4">
        <v>937</v>
      </c>
      <c r="BB30" s="4">
        <v>937</v>
      </c>
      <c r="BC30" s="4">
        <v>937</v>
      </c>
      <c r="BD30" s="4">
        <f t="shared" si="95"/>
        <v>937</v>
      </c>
      <c r="BE30" s="18">
        <v>4</v>
      </c>
      <c r="BF30" s="18">
        <v>1</v>
      </c>
      <c r="BG30" s="16">
        <v>3</v>
      </c>
      <c r="BH30" s="33">
        <v>46204</v>
      </c>
      <c r="BI30">
        <v>80</v>
      </c>
      <c r="BJ30">
        <v>80</v>
      </c>
      <c r="BK30">
        <f t="shared" si="96"/>
        <v>84.123711340206185</v>
      </c>
      <c r="BL30">
        <v>1470</v>
      </c>
      <c r="BM30">
        <v>1470</v>
      </c>
      <c r="BN30">
        <f t="shared" si="97"/>
        <v>1545.7731958762888</v>
      </c>
      <c r="BO30" s="4" t="s">
        <v>122</v>
      </c>
    </row>
    <row r="31" spans="1:68" x14ac:dyDescent="0.4">
      <c r="A31" s="3">
        <v>168</v>
      </c>
      <c r="B31" s="3">
        <v>168</v>
      </c>
      <c r="C31" s="4">
        <v>626047</v>
      </c>
      <c r="D31" s="4" t="str">
        <f t="shared" si="74"/>
        <v>626047</v>
      </c>
      <c r="E31" s="4">
        <v>626047</v>
      </c>
      <c r="F31" s="4" t="s">
        <v>93</v>
      </c>
      <c r="G31" s="5">
        <v>4977564403027</v>
      </c>
      <c r="H31" s="5">
        <v>5</v>
      </c>
      <c r="I31" s="5" t="str">
        <f t="shared" si="75"/>
        <v>6260475</v>
      </c>
      <c r="J31" s="5">
        <v>1</v>
      </c>
      <c r="K31" s="5">
        <v>1</v>
      </c>
      <c r="L31" s="4">
        <v>0</v>
      </c>
      <c r="M31" s="4">
        <v>1355</v>
      </c>
      <c r="N31" s="4">
        <v>970</v>
      </c>
      <c r="O31" s="6">
        <f t="shared" si="76"/>
        <v>0.28413284132841332</v>
      </c>
      <c r="P31" s="4" t="s">
        <v>102</v>
      </c>
      <c r="Q31" s="4" t="s">
        <v>102</v>
      </c>
      <c r="R31" s="4" t="s">
        <v>102</v>
      </c>
      <c r="S31" s="4" t="s">
        <v>102</v>
      </c>
      <c r="T31" s="4" t="s">
        <v>102</v>
      </c>
      <c r="U31" s="4" t="s">
        <v>102</v>
      </c>
      <c r="V31" s="4">
        <v>0</v>
      </c>
      <c r="W31" s="4">
        <f t="shared" si="77"/>
        <v>0</v>
      </c>
      <c r="X31" s="4">
        <v>102</v>
      </c>
      <c r="Y31" s="4">
        <f t="shared" si="78"/>
        <v>1020</v>
      </c>
      <c r="Z31" s="4">
        <v>10</v>
      </c>
      <c r="AA31" s="20">
        <f t="shared" si="79"/>
        <v>1425</v>
      </c>
      <c r="AB31" s="6">
        <f t="shared" si="80"/>
        <v>0.28421052631578947</v>
      </c>
      <c r="AC31" s="38">
        <v>52.75</v>
      </c>
      <c r="AD31" s="4">
        <f t="shared" si="81"/>
        <v>940</v>
      </c>
      <c r="AE31" s="4">
        <f t="shared" si="82"/>
        <v>988.45360824742272</v>
      </c>
      <c r="AF31" s="6">
        <f t="shared" si="83"/>
        <v>-3.1914893617021267E-2</v>
      </c>
      <c r="AG31" s="7">
        <v>1580</v>
      </c>
      <c r="AH31" s="6">
        <f t="shared" si="84"/>
        <v>0.35443037974683544</v>
      </c>
      <c r="AI31" s="4">
        <f t="shared" si="85"/>
        <v>560</v>
      </c>
      <c r="AJ31" s="27"/>
      <c r="AK31" s="6"/>
      <c r="AL31" s="6"/>
      <c r="AM31" s="6" t="e">
        <f t="shared" si="86"/>
        <v>#DIV/0!</v>
      </c>
      <c r="AN31" s="6">
        <f t="shared" si="87"/>
        <v>1.1660516605166051</v>
      </c>
      <c r="AO31" s="6">
        <f t="shared" si="88"/>
        <v>1.0515463917525774</v>
      </c>
      <c r="AP31" s="4" t="str">
        <f t="shared" si="89"/>
        <v>-</v>
      </c>
      <c r="AQ31" s="4" t="str">
        <f t="shared" si="90"/>
        <v>-</v>
      </c>
      <c r="AR31" s="4" t="str">
        <f t="shared" si="91"/>
        <v>-</v>
      </c>
      <c r="AS31" s="4" t="str">
        <f t="shared" si="92"/>
        <v>-</v>
      </c>
      <c r="AT31" s="4" t="str">
        <f t="shared" si="93"/>
        <v>-</v>
      </c>
      <c r="AU31" s="4" t="str">
        <f t="shared" si="94"/>
        <v>-</v>
      </c>
      <c r="AV31" s="4" t="s">
        <v>67</v>
      </c>
      <c r="AW31" s="4" t="s">
        <v>154</v>
      </c>
      <c r="AX31" s="4">
        <v>10</v>
      </c>
      <c r="AY31" s="4">
        <v>3</v>
      </c>
      <c r="AZ31" s="4" t="s">
        <v>155</v>
      </c>
      <c r="BA31" s="4">
        <v>282</v>
      </c>
      <c r="BB31" s="4">
        <v>282</v>
      </c>
      <c r="BC31" s="4">
        <v>282</v>
      </c>
      <c r="BD31" s="4">
        <f t="shared" si="95"/>
        <v>940</v>
      </c>
      <c r="BE31" s="18">
        <v>4</v>
      </c>
      <c r="BF31" s="18">
        <v>1</v>
      </c>
      <c r="BG31" s="16">
        <v>3</v>
      </c>
      <c r="BH31" s="33">
        <v>46204</v>
      </c>
      <c r="BI31">
        <v>80</v>
      </c>
      <c r="BJ31" t="s">
        <v>102</v>
      </c>
      <c r="BK31" t="str">
        <f t="shared" si="96"/>
        <v>-</v>
      </c>
      <c r="BL31">
        <v>179</v>
      </c>
      <c r="BM31">
        <v>179</v>
      </c>
      <c r="BN31">
        <f t="shared" si="97"/>
        <v>188.22680412371136</v>
      </c>
      <c r="BO31" s="4" t="s">
        <v>123</v>
      </c>
    </row>
    <row r="32" spans="1:68" x14ac:dyDescent="0.4">
      <c r="A32" s="32">
        <v>201</v>
      </c>
      <c r="B32" s="3">
        <v>201</v>
      </c>
      <c r="C32" s="4">
        <v>658357</v>
      </c>
      <c r="D32" s="4" t="str">
        <f t="shared" ref="D32:D33" si="98">TEXT(C32,"000000")</f>
        <v>658357</v>
      </c>
      <c r="E32" s="4">
        <v>658357</v>
      </c>
      <c r="F32" s="4" t="s">
        <v>94</v>
      </c>
      <c r="G32" s="5">
        <v>4977564500085</v>
      </c>
      <c r="H32" s="5">
        <v>5</v>
      </c>
      <c r="I32" s="5" t="str">
        <f t="shared" si="75"/>
        <v>6583575</v>
      </c>
      <c r="J32" s="5">
        <v>1</v>
      </c>
      <c r="K32" s="5">
        <v>1</v>
      </c>
      <c r="L32" s="4">
        <v>16000</v>
      </c>
      <c r="M32" s="4">
        <v>7696</v>
      </c>
      <c r="N32" s="4">
        <v>4480</v>
      </c>
      <c r="O32" s="6">
        <f t="shared" si="76"/>
        <v>0.41787941787941785</v>
      </c>
      <c r="P32" s="4" t="s">
        <v>102</v>
      </c>
      <c r="Q32" s="4" t="s">
        <v>102</v>
      </c>
      <c r="R32" s="4" t="s">
        <v>102</v>
      </c>
      <c r="S32" s="4" t="s">
        <v>102</v>
      </c>
      <c r="T32" s="4" t="s">
        <v>102</v>
      </c>
      <c r="U32" s="4" t="s">
        <v>102</v>
      </c>
      <c r="V32" s="4">
        <v>17500</v>
      </c>
      <c r="W32" s="4">
        <f t="shared" si="77"/>
        <v>17500</v>
      </c>
      <c r="X32" s="4">
        <v>4900</v>
      </c>
      <c r="Y32" s="4">
        <f t="shared" si="78"/>
        <v>4900</v>
      </c>
      <c r="Z32" s="4"/>
      <c r="AA32" s="20">
        <f t="shared" si="79"/>
        <v>8418</v>
      </c>
      <c r="AB32" s="6">
        <f t="shared" si="80"/>
        <v>0.41791399382276073</v>
      </c>
      <c r="AC32" s="38">
        <v>11</v>
      </c>
      <c r="AD32" s="4">
        <f t="shared" si="81"/>
        <v>5219</v>
      </c>
      <c r="AE32" s="4">
        <f t="shared" si="82"/>
        <v>5708.28125</v>
      </c>
      <c r="AF32" s="6">
        <f t="shared" si="83"/>
        <v>0.14159800728108829</v>
      </c>
      <c r="AG32" s="7">
        <v>7980</v>
      </c>
      <c r="AH32" s="6">
        <f t="shared" si="84"/>
        <v>0.38596491228070173</v>
      </c>
      <c r="AI32" s="4">
        <f t="shared" si="85"/>
        <v>3080</v>
      </c>
      <c r="AJ32" s="27"/>
      <c r="AK32" s="6"/>
      <c r="AL32" s="6"/>
      <c r="AM32" s="6">
        <f t="shared" si="86"/>
        <v>1.09375</v>
      </c>
      <c r="AN32" s="6">
        <f t="shared" si="87"/>
        <v>1.0369022869022868</v>
      </c>
      <c r="AO32" s="6">
        <f t="shared" si="88"/>
        <v>1.09375</v>
      </c>
      <c r="AP32" s="4" t="str">
        <f t="shared" si="89"/>
        <v>-</v>
      </c>
      <c r="AQ32" s="4" t="str">
        <f t="shared" si="90"/>
        <v>-</v>
      </c>
      <c r="AR32" s="4" t="str">
        <f t="shared" si="91"/>
        <v>-</v>
      </c>
      <c r="AS32" s="4" t="str">
        <f t="shared" si="92"/>
        <v>-</v>
      </c>
      <c r="AT32" s="4" t="str">
        <f t="shared" si="93"/>
        <v>-</v>
      </c>
      <c r="AU32" s="4" t="str">
        <f t="shared" si="94"/>
        <v>-</v>
      </c>
      <c r="AV32" s="4" t="s">
        <v>68</v>
      </c>
      <c r="AW32" s="4" t="s">
        <v>156</v>
      </c>
      <c r="AX32" s="4"/>
      <c r="AY32" s="4"/>
      <c r="AZ32" s="4" t="s">
        <v>157</v>
      </c>
      <c r="BA32" s="4">
        <v>4615</v>
      </c>
      <c r="BB32" s="4">
        <v>5219</v>
      </c>
      <c r="BC32" s="4">
        <v>5219</v>
      </c>
      <c r="BD32" s="4">
        <f t="shared" si="95"/>
        <v>5219</v>
      </c>
      <c r="BE32" s="18">
        <v>2</v>
      </c>
      <c r="BF32" s="18">
        <v>1</v>
      </c>
      <c r="BG32" s="16">
        <v>3</v>
      </c>
      <c r="BH32" s="33">
        <v>46204</v>
      </c>
      <c r="BI32" t="s">
        <v>102</v>
      </c>
      <c r="BJ32" t="s">
        <v>102</v>
      </c>
      <c r="BK32" t="str">
        <f t="shared" si="96"/>
        <v>-</v>
      </c>
      <c r="BL32">
        <v>1600</v>
      </c>
      <c r="BM32">
        <v>16000</v>
      </c>
      <c r="BN32">
        <f t="shared" si="97"/>
        <v>17500</v>
      </c>
      <c r="BO32" s="4" t="s">
        <v>164</v>
      </c>
    </row>
    <row r="33" spans="1:67" x14ac:dyDescent="0.4">
      <c r="A33" s="32">
        <v>202</v>
      </c>
      <c r="B33" s="3">
        <v>202</v>
      </c>
      <c r="C33" s="4">
        <v>658358</v>
      </c>
      <c r="D33" s="4" t="str">
        <f t="shared" si="98"/>
        <v>658358</v>
      </c>
      <c r="E33" s="4">
        <v>658358</v>
      </c>
      <c r="F33" s="4" t="s">
        <v>95</v>
      </c>
      <c r="G33" s="5">
        <v>4977564500092</v>
      </c>
      <c r="H33" s="5">
        <v>5</v>
      </c>
      <c r="I33" s="5" t="str">
        <f t="shared" si="75"/>
        <v>6583585</v>
      </c>
      <c r="J33" s="5">
        <v>1</v>
      </c>
      <c r="K33" s="5">
        <v>1</v>
      </c>
      <c r="L33" s="4">
        <v>14500</v>
      </c>
      <c r="M33" s="4">
        <v>4774</v>
      </c>
      <c r="N33" s="4">
        <v>3480</v>
      </c>
      <c r="O33" s="6">
        <f t="shared" si="76"/>
        <v>0.27105152911604524</v>
      </c>
      <c r="P33" s="4" t="s">
        <v>102</v>
      </c>
      <c r="Q33" s="4" t="s">
        <v>102</v>
      </c>
      <c r="R33" s="4" t="s">
        <v>102</v>
      </c>
      <c r="S33" s="4" t="s">
        <v>102</v>
      </c>
      <c r="T33" s="4" t="s">
        <v>102</v>
      </c>
      <c r="U33" s="4" t="s">
        <v>102</v>
      </c>
      <c r="V33" s="4">
        <v>16000</v>
      </c>
      <c r="W33" s="4">
        <f t="shared" si="77"/>
        <v>16000</v>
      </c>
      <c r="X33" s="4">
        <v>3840</v>
      </c>
      <c r="Y33" s="4">
        <f t="shared" si="78"/>
        <v>3840</v>
      </c>
      <c r="Z33" s="4"/>
      <c r="AA33" s="20">
        <f t="shared" si="79"/>
        <v>5268</v>
      </c>
      <c r="AB33" s="6">
        <f t="shared" si="80"/>
        <v>0.27107061503416852</v>
      </c>
      <c r="AC33" s="38">
        <v>45.75</v>
      </c>
      <c r="AD33" s="4">
        <f t="shared" si="81"/>
        <v>2855</v>
      </c>
      <c r="AE33" s="4">
        <f t="shared" si="82"/>
        <v>3150.344827586207</v>
      </c>
      <c r="AF33" s="6">
        <f t="shared" si="83"/>
        <v>-0.21891418563922938</v>
      </c>
      <c r="AG33" s="7">
        <v>5380</v>
      </c>
      <c r="AH33" s="6">
        <f t="shared" si="84"/>
        <v>0.28624535315985133</v>
      </c>
      <c r="AI33" s="4">
        <f t="shared" si="85"/>
        <v>1540</v>
      </c>
      <c r="AJ33" s="27"/>
      <c r="AK33" s="6"/>
      <c r="AL33" s="6"/>
      <c r="AM33" s="6">
        <f t="shared" si="86"/>
        <v>1.103448275862069</v>
      </c>
      <c r="AN33" s="6">
        <f t="shared" si="87"/>
        <v>1.1269375785504818</v>
      </c>
      <c r="AO33" s="6">
        <f t="shared" si="88"/>
        <v>1.103448275862069</v>
      </c>
      <c r="AP33" s="4" t="str">
        <f t="shared" si="89"/>
        <v>-</v>
      </c>
      <c r="AQ33" s="4" t="str">
        <f t="shared" si="90"/>
        <v>-</v>
      </c>
      <c r="AR33" s="4" t="str">
        <f t="shared" si="91"/>
        <v>-</v>
      </c>
      <c r="AS33" s="4" t="str">
        <f t="shared" si="92"/>
        <v>-</v>
      </c>
      <c r="AT33" s="4" t="str">
        <f t="shared" si="93"/>
        <v>-</v>
      </c>
      <c r="AU33" s="4" t="str">
        <f t="shared" si="94"/>
        <v>-</v>
      </c>
      <c r="AV33" s="4" t="s">
        <v>68</v>
      </c>
      <c r="AW33" s="4" t="s">
        <v>158</v>
      </c>
      <c r="AX33" s="4"/>
      <c r="AY33" s="4"/>
      <c r="AZ33" s="4" t="s">
        <v>157</v>
      </c>
      <c r="BA33" s="4">
        <v>2827</v>
      </c>
      <c r="BB33" s="4">
        <v>2855</v>
      </c>
      <c r="BC33" s="4">
        <v>2855</v>
      </c>
      <c r="BD33" s="4">
        <f t="shared" si="95"/>
        <v>2855</v>
      </c>
      <c r="BE33" s="18">
        <v>2</v>
      </c>
      <c r="BF33" s="18">
        <v>1</v>
      </c>
      <c r="BG33" s="16">
        <v>3</v>
      </c>
      <c r="BH33" s="33">
        <v>46204</v>
      </c>
      <c r="BI33" t="s">
        <v>102</v>
      </c>
      <c r="BJ33" t="s">
        <v>102</v>
      </c>
      <c r="BK33" t="str">
        <f t="shared" si="96"/>
        <v>-</v>
      </c>
      <c r="BL33">
        <v>1450</v>
      </c>
      <c r="BM33">
        <v>14500</v>
      </c>
      <c r="BN33">
        <f t="shared" si="97"/>
        <v>16000</v>
      </c>
      <c r="BO33" s="4" t="s">
        <v>165</v>
      </c>
    </row>
  </sheetData>
  <sortState xmlns:xlrd2="http://schemas.microsoft.com/office/spreadsheetml/2017/richdata2" ref="A4:BP33">
    <sortCondition ref="B4:B33"/>
  </sortState>
  <mergeCells count="3">
    <mergeCell ref="L2:O2"/>
    <mergeCell ref="J2:K2"/>
    <mergeCell ref="V1:Y1"/>
  </mergeCells>
  <phoneticPr fontId="2"/>
  <conditionalFormatting sqref="AE4:AE33">
    <cfRule type="cellIs" dxfId="4" priority="4" operator="lessThan">
      <formula>$AG4</formula>
    </cfRule>
  </conditionalFormatting>
  <conditionalFormatting sqref="AF4:AF33">
    <cfRule type="cellIs" dxfId="3" priority="1" operator="lessThan">
      <formula>0.2</formula>
    </cfRule>
  </conditionalFormatting>
  <conditionalFormatting sqref="AG4:AG33">
    <cfRule type="cellIs" dxfId="2" priority="6" operator="greaterThan">
      <formula>$W4</formula>
    </cfRule>
  </conditionalFormatting>
  <conditionalFormatting sqref="BB4:BB33">
    <cfRule type="cellIs" dxfId="1" priority="3" operator="notEqual">
      <formula>$BA4</formula>
    </cfRule>
  </conditionalFormatting>
  <conditionalFormatting sqref="BC4:BC33">
    <cfRule type="cellIs" dxfId="0" priority="2" operator="notEqual">
      <formula>$BB4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2026-06-11T00:34:19Z</dcterms:modified>
</cp:coreProperties>
</file>